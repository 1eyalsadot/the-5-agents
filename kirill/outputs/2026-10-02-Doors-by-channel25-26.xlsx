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1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2.xml" ContentType="application/vnd.openxmlformats-officedocument.spreadsheetml.comments+xml"/>
  <Override PartName="/xl/worksheets/sheet19.xml" ContentType="application/vnd.openxmlformats-officedocument.spreadsheetml.worksheet+xml"/>
  <Override PartName="/xl/comments/comment3.xml" ContentType="application/vnd.openxmlformats-officedocument.spreadsheetml.comments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8" autoFilterDateGrouping="1"/>
  </bookViews>
  <sheets>
    <sheet xmlns:r="http://schemas.openxmlformats.org/officeDocument/2006/relationships" name="CHMI קבוצות לקוחות" sheetId="1" state="visible" r:id="rId1"/>
    <sheet xmlns:r="http://schemas.openxmlformats.org/officeDocument/2006/relationships" name="נקודות לפי סוכן 2026" sheetId="2" state="visible" r:id="rId2"/>
    <sheet xmlns:r="http://schemas.openxmlformats.org/officeDocument/2006/relationships" name="נקודות לפי סוכן 2025" sheetId="3" state="visible" r:id="rId3"/>
    <sheet xmlns:r="http://schemas.openxmlformats.org/officeDocument/2006/relationships" name="RawData" sheetId="4" state="hidden" r:id="rId4"/>
    <sheet xmlns:r="http://schemas.openxmlformats.org/officeDocument/2006/relationships" name="הערות שיטה" sheetId="5" state="hidden" r:id="rId5"/>
    <sheet xmlns:r="http://schemas.openxmlformats.org/officeDocument/2006/relationships" name="קבוצות לקוחות - מקור" sheetId="6" state="hidden" r:id="rId6"/>
    <sheet xmlns:r="http://schemas.openxmlformats.org/officeDocument/2006/relationships" name="נקודות - מקור" sheetId="7" state="hidden" r:id="rId7"/>
    <sheet xmlns:r="http://schemas.openxmlformats.org/officeDocument/2006/relationships" name="נקודות - מקור 2025" sheetId="8" state="hidden" r:id="rId8"/>
    <sheet xmlns:r="http://schemas.openxmlformats.org/officeDocument/2006/relationships" name="סיכום NET" sheetId="9" state="visible" r:id="rId9"/>
    <sheet xmlns:r="http://schemas.openxmlformats.org/officeDocument/2006/relationships" name="השוואת מכר לפי סוכן" sheetId="10" state="visible" r:id="rId10"/>
    <sheet xmlns:r="http://schemas.openxmlformats.org/officeDocument/2006/relationships" name="סוכנים-ערוצים - מקור" sheetId="11" state="hidden" r:id="rId11"/>
    <sheet xmlns:r="http://schemas.openxmlformats.org/officeDocument/2006/relationships" name="סוכנים-ערוצים 2025" sheetId="12" state="visible" r:id="rId12"/>
    <sheet xmlns:r="http://schemas.openxmlformats.org/officeDocument/2006/relationships" name="סוכנים-ערוצים 2026" sheetId="13" state="visible" r:id="rId13"/>
    <sheet xmlns:r="http://schemas.openxmlformats.org/officeDocument/2006/relationships" name="סוכנים-ערוצים סיכום" sheetId="14" state="visible" r:id="rId14"/>
    <sheet xmlns:r="http://schemas.openxmlformats.org/officeDocument/2006/relationships" name="לקוחות לפי סוכן - מקור" sheetId="15" state="hidden" r:id="rId15"/>
    <sheet xmlns:r="http://schemas.openxmlformats.org/officeDocument/2006/relationships" name="לקוחות לפי סוכן" sheetId="16" state="visible" r:id="rId16"/>
    <sheet xmlns:r="http://schemas.openxmlformats.org/officeDocument/2006/relationships" name="סיכום מפורט - סוכן-ערוץ-חנות" sheetId="17" state="visible" r:id="rId17"/>
    <sheet xmlns:r="http://schemas.openxmlformats.org/officeDocument/2006/relationships" name="לקוחות לפי סוכן - מקור חדש" sheetId="18" state="visible" r:id="rId18"/>
    <sheet xmlns:r="http://schemas.openxmlformats.org/officeDocument/2006/relationships" name="1510" sheetId="19" state="visible" r:id="rId19"/>
    <sheet xmlns:r="http://schemas.openxmlformats.org/officeDocument/2006/relationships" name="לקוחות לפי סוכן 1015" sheetId="20" state="visible" r:id="rId2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dd/mm/yy"/>
    <numFmt numFmtId="166" formatCode="0.0%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4"/>
    </font>
    <font>
      <name val="Arial"/>
      <charset val="1"/>
      <family val="2"/>
      <b val="1"/>
      <color rgb="FFFFFFFF"/>
      <sz val="11"/>
    </font>
    <font>
      <name val="Arial"/>
      <charset val="1"/>
      <family val="2"/>
      <color rgb="FFFF0000"/>
      <sz val="10"/>
    </font>
    <font>
      <name val="Arial"/>
      <charset val="1"/>
      <family val="2"/>
      <sz val="10"/>
    </font>
    <font>
      <name val="Arial"/>
      <charset val="1"/>
      <family val="2"/>
      <b val="1"/>
      <sz val="10"/>
    </font>
    <font>
      <name val="Arial"/>
      <charset val="1"/>
      <family val="2"/>
      <i val="1"/>
      <sz val="10"/>
    </font>
    <font>
      <name val="Arial"/>
      <charset val="1"/>
      <family val="2"/>
      <color rgb="FF0000FF"/>
      <sz val="10"/>
    </font>
    <font>
      <name val="Arial"/>
      <charset val="1"/>
      <family val="2"/>
      <b val="1"/>
      <color rgb="FFFFFFFF"/>
      <sz val="10"/>
    </font>
    <font>
      <name val="Calibri"/>
      <charset val="177"/>
      <family val="2"/>
      <color theme="1"/>
      <sz val="10"/>
    </font>
    <font>
      <name val="FreeSans"/>
      <family val="2"/>
      <sz val="10"/>
    </font>
    <font>
      <name val="Arial"/>
      <family val="2"/>
      <sz val="10"/>
    </font>
    <font>
      <name val="Arial"/>
      <charset val="1"/>
      <family val="2"/>
      <i val="1"/>
      <color rgb="FF808080"/>
      <sz val="9"/>
    </font>
    <font>
      <name val="Arial"/>
      <charset val="1"/>
      <family val="2"/>
      <i val="1"/>
      <color rgb="FF595959"/>
      <sz val="10"/>
    </font>
    <font>
      <name val="Arial"/>
      <charset val="1"/>
      <family val="2"/>
      <b val="1"/>
      <sz val="11"/>
    </font>
    <font>
      <name val="Calibri"/>
      <charset val="1"/>
      <family val="2"/>
      <b val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0"/>
    </font>
    <font>
      <name val="Arial"/>
      <charset val="1"/>
      <family val="0"/>
      <i val="1"/>
      <sz val="10"/>
    </font>
  </fonts>
  <fills count="9">
    <fill>
      <patternFill/>
    </fill>
    <fill>
      <patternFill patternType="gray125"/>
    </fill>
    <fill>
      <patternFill patternType="solid">
        <fgColor rgb="FF4472C4"/>
        <bgColor rgb="FF558ED5"/>
      </patternFill>
    </fill>
    <fill>
      <patternFill patternType="solid">
        <fgColor theme="0" tint="-0.15"/>
        <bgColor rgb="FFD9E1F2"/>
      </patternFill>
    </fill>
    <fill>
      <patternFill patternType="solid">
        <fgColor rgb="FF92D050"/>
        <bgColor rgb="FFB0B0B0"/>
      </patternFill>
    </fill>
    <fill>
      <patternFill patternType="solid">
        <fgColor rgb="FFD9E1F2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FFFFFF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 wrapText="1"/>
    </xf>
    <xf numFmtId="0" fontId="6" fillId="0" borderId="1" applyAlignment="1" pivotButton="0" quotePrefix="0" xfId="0">
      <alignment horizontal="right" vertical="bottom"/>
    </xf>
    <xf numFmtId="3" fontId="6" fillId="3" borderId="1" applyAlignment="1" pivotButton="0" quotePrefix="0" xfId="0">
      <alignment horizontal="general" vertical="bottom"/>
    </xf>
    <xf numFmtId="3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right" vertical="bottom"/>
    </xf>
    <xf numFmtId="3" fontId="7" fillId="3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3" fontId="8" fillId="4" borderId="1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 wrapText="1"/>
    </xf>
    <xf numFmtId="0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3" fontId="8" fillId="4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 wrapText="1"/>
    </xf>
    <xf numFmtId="0" fontId="5" fillId="2" borderId="2" applyAlignment="1" pivotButton="0" quotePrefix="0" xfId="0">
      <alignment horizontal="center" vertical="bottom"/>
    </xf>
    <xf numFmtId="4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right" vertical="bottom" wrapText="1"/>
    </xf>
    <xf numFmtId="0" fontId="5" fillId="2" borderId="2" applyAlignment="1" pivotButton="0" quotePrefix="0" xfId="0">
      <alignment horizontal="center" vertical="bottom" wrapText="1"/>
    </xf>
    <xf numFmtId="0" fontId="7" fillId="0" borderId="2" applyAlignment="1" pivotButton="0" quotePrefix="0" xfId="0">
      <alignment horizontal="general" vertical="bottom"/>
    </xf>
    <xf numFmtId="3" fontId="7" fillId="0" borderId="2" applyAlignment="1" pivotButton="0" quotePrefix="0" xfId="0">
      <alignment horizontal="center" vertical="bottom"/>
    </xf>
    <xf numFmtId="0" fontId="8" fillId="4" borderId="2" applyAlignment="1" pivotButton="0" quotePrefix="0" xfId="0">
      <alignment horizontal="general" vertical="bottom"/>
    </xf>
    <xf numFmtId="3" fontId="8" fillId="4" borderId="2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/>
    </xf>
    <xf numFmtId="164" fontId="7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0" fontId="10" fillId="0" borderId="2" applyAlignment="1" pivotButton="0" quotePrefix="0" xfId="0">
      <alignment horizontal="general" vertical="bottom"/>
    </xf>
    <xf numFmtId="3" fontId="8" fillId="4" borderId="2" applyAlignment="1" pivotButton="0" quotePrefix="0" xfId="0">
      <alignment horizontal="center" vertical="bottom"/>
    </xf>
    <xf numFmtId="166" fontId="7" fillId="0" borderId="0" applyAlignment="1" pivotButton="0" quotePrefix="0" xfId="0">
      <alignment horizontal="general" vertical="bottom"/>
    </xf>
    <xf numFmtId="166" fontId="8" fillId="4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readingOrder="2"/>
    </xf>
    <xf numFmtId="0" fontId="0" fillId="0" borderId="0" applyAlignment="1" pivotButton="0" quotePrefix="0" xfId="0">
      <alignment horizontal="right" vertical="bottom"/>
    </xf>
    <xf numFmtId="0" fontId="5" fillId="2" borderId="0" applyAlignment="1" pivotButton="0" quotePrefix="0" xfId="0">
      <alignment horizontal="right" vertical="bottom"/>
    </xf>
    <xf numFmtId="0" fontId="8" fillId="4" borderId="0" applyAlignment="1" pivotButton="0" quotePrefix="0" xfId="0">
      <alignment horizontal="right" vertical="bottom"/>
    </xf>
    <xf numFmtId="4" fontId="8" fillId="4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general" vertical="bottom"/>
    </xf>
    <xf numFmtId="0" fontId="16" fillId="5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4" fontId="8" fillId="5" borderId="0" applyAlignment="1" pivotButton="0" quotePrefix="0" xfId="0">
      <alignment horizontal="general" vertical="bottom"/>
    </xf>
    <xf numFmtId="3" fontId="8" fillId="5" borderId="0" applyAlignment="1" pivotButton="0" quotePrefix="0" xfId="0">
      <alignment horizontal="general" vertical="bottom"/>
    </xf>
    <xf numFmtId="0" fontId="17" fillId="6" borderId="0" applyAlignment="1" pivotButton="0" quotePrefix="0" xfId="0">
      <alignment horizontal="general" vertical="bottom"/>
    </xf>
    <xf numFmtId="4" fontId="17" fillId="6" borderId="0" applyAlignment="1" pivotButton="0" quotePrefix="0" xfId="0">
      <alignment horizontal="general" vertical="bottom"/>
    </xf>
    <xf numFmtId="3" fontId="17" fillId="6" borderId="0" applyAlignment="1" pivotButton="0" quotePrefix="0" xfId="0">
      <alignment horizontal="general" vertical="bottom"/>
    </xf>
    <xf numFmtId="0" fontId="18" fillId="7" borderId="0" applyAlignment="1" pivotButton="0" quotePrefix="0" xfId="0">
      <alignment horizontal="general" vertical="bottom"/>
    </xf>
    <xf numFmtId="0" fontId="19" fillId="2" borderId="0" applyAlignment="1" pivotButton="0" quotePrefix="0" xfId="0">
      <alignment horizontal="center" vertical="bottom"/>
    </xf>
    <xf numFmtId="0" fontId="19" fillId="2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4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2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4" fontId="0" fillId="4" borderId="0" applyAlignment="1" pivotButton="0" quotePrefix="0" xfId="0">
      <alignment horizontal="general" vertical="bottom"/>
    </xf>
    <xf numFmtId="3" fontId="0" fillId="4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3" fillId="8" borderId="0" applyAlignment="1" pivotButton="0" quotePrefix="0" xfId="0">
      <alignment horizontal="general" vertical="bottom"/>
    </xf>
    <xf numFmtId="4" fontId="0" fillId="8" borderId="0" applyAlignment="1" pivotButton="0" quotePrefix="0" xfId="0">
      <alignment horizontal="general" vertical="bottom"/>
    </xf>
    <xf numFmtId="3" fontId="0" fillId="8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4" borderId="0" applyAlignment="1" pivotButton="0" quotePrefix="0" xfId="0">
      <alignment horizontal="general" vertical="bottom"/>
    </xf>
    <xf numFmtId="4" fontId="22" fillId="4" borderId="0" applyAlignment="1" pivotButton="0" quotePrefix="0" xfId="0">
      <alignment horizontal="general" vertical="bottom"/>
    </xf>
    <xf numFmtId="3" fontId="22" fillId="4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4" fontId="20" fillId="0" borderId="0" applyAlignment="1" pivotButton="0" quotePrefix="0" xfId="0">
      <alignment horizontal="general" vertical="bottom"/>
    </xf>
    <xf numFmtId="3" fontId="2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 wrapText="1"/>
    </xf>
    <xf numFmtId="0" fontId="6" fillId="0" borderId="1" applyAlignment="1" pivotButton="0" quotePrefix="0" xfId="0">
      <alignment horizontal="right" vertical="bottom"/>
    </xf>
    <xf numFmtId="3" fontId="6" fillId="3" borderId="1" applyAlignment="1" pivotButton="0" quotePrefix="0" xfId="0">
      <alignment horizontal="general" vertical="bottom"/>
    </xf>
    <xf numFmtId="3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right" vertical="bottom"/>
    </xf>
    <xf numFmtId="3" fontId="7" fillId="3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3" fontId="8" fillId="4" borderId="1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 wrapText="1"/>
    </xf>
    <xf numFmtId="0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3" fontId="8" fillId="4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 wrapText="1"/>
    </xf>
    <xf numFmtId="0" fontId="5" fillId="2" borderId="2" applyAlignment="1" pivotButton="0" quotePrefix="0" xfId="0">
      <alignment horizontal="center" vertical="bottom"/>
    </xf>
    <xf numFmtId="4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right" vertical="bottom" wrapText="1"/>
    </xf>
    <xf numFmtId="0" fontId="5" fillId="2" borderId="2" applyAlignment="1" pivotButton="0" quotePrefix="0" xfId="0">
      <alignment horizontal="center" vertical="bottom" wrapText="1"/>
    </xf>
    <xf numFmtId="0" fontId="7" fillId="0" borderId="2" applyAlignment="1" pivotButton="0" quotePrefix="0" xfId="0">
      <alignment horizontal="general" vertical="bottom"/>
    </xf>
    <xf numFmtId="3" fontId="7" fillId="0" borderId="2" applyAlignment="1" pivotButton="0" quotePrefix="0" xfId="0">
      <alignment horizontal="center" vertical="bottom"/>
    </xf>
    <xf numFmtId="0" fontId="8" fillId="4" borderId="2" applyAlignment="1" pivotButton="0" quotePrefix="0" xfId="0">
      <alignment horizontal="general" vertical="bottom"/>
    </xf>
    <xf numFmtId="3" fontId="8" fillId="4" borderId="2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/>
    </xf>
    <xf numFmtId="164" fontId="7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165" fontId="7" fillId="0" borderId="0" applyAlignment="1" pivotButton="0" quotePrefix="0" xfId="0">
      <alignment horizontal="general" vertical="bottom"/>
    </xf>
    <xf numFmtId="0" fontId="10" fillId="0" borderId="2" applyAlignment="1" pivotButton="0" quotePrefix="0" xfId="0">
      <alignment horizontal="general" vertical="bottom"/>
    </xf>
    <xf numFmtId="3" fontId="8" fillId="4" borderId="2" applyAlignment="1" pivotButton="0" quotePrefix="0" xfId="0">
      <alignment horizontal="center" vertical="bottom"/>
    </xf>
    <xf numFmtId="166" fontId="7" fillId="0" borderId="0" applyAlignment="1" pivotButton="0" quotePrefix="0" xfId="0">
      <alignment horizontal="general" vertical="bottom"/>
    </xf>
    <xf numFmtId="166" fontId="8" fillId="4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center" vertical="bottom" wrapText="1"/>
    </xf>
    <xf numFmtId="0" fontId="7" fillId="0" borderId="0" applyAlignment="1" pivotButton="0" quotePrefix="0" xfId="0">
      <alignment horizontal="general" vertical="top" readingOrder="2"/>
    </xf>
    <xf numFmtId="0" fontId="0" fillId="0" borderId="0" applyAlignment="1" pivotButton="0" quotePrefix="0" xfId="0">
      <alignment horizontal="right" vertical="bottom"/>
    </xf>
    <xf numFmtId="0" fontId="5" fillId="2" borderId="0" applyAlignment="1" pivotButton="0" quotePrefix="0" xfId="0">
      <alignment horizontal="right" vertical="bottom"/>
    </xf>
    <xf numFmtId="0" fontId="8" fillId="4" borderId="0" applyAlignment="1" pivotButton="0" quotePrefix="0" xfId="0">
      <alignment horizontal="right" vertical="bottom"/>
    </xf>
    <xf numFmtId="4" fontId="8" fillId="4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general" vertical="bottom"/>
    </xf>
    <xf numFmtId="0" fontId="16" fillId="5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4" fontId="8" fillId="5" borderId="0" applyAlignment="1" pivotButton="0" quotePrefix="0" xfId="0">
      <alignment horizontal="general" vertical="bottom"/>
    </xf>
    <xf numFmtId="3" fontId="8" fillId="5" borderId="0" applyAlignment="1" pivotButton="0" quotePrefix="0" xfId="0">
      <alignment horizontal="general" vertical="bottom"/>
    </xf>
    <xf numFmtId="0" fontId="17" fillId="6" borderId="0" applyAlignment="1" pivotButton="0" quotePrefix="0" xfId="0">
      <alignment horizontal="general" vertical="bottom"/>
    </xf>
    <xf numFmtId="4" fontId="17" fillId="6" borderId="0" applyAlignment="1" pivotButton="0" quotePrefix="0" xfId="0">
      <alignment horizontal="general" vertical="bottom"/>
    </xf>
    <xf numFmtId="3" fontId="17" fillId="6" borderId="0" applyAlignment="1" pivotButton="0" quotePrefix="0" xfId="0">
      <alignment horizontal="general" vertical="bottom"/>
    </xf>
    <xf numFmtId="0" fontId="18" fillId="7" borderId="0" applyAlignment="1" pivotButton="0" quotePrefix="0" xfId="0">
      <alignment horizontal="general" vertical="bottom"/>
    </xf>
    <xf numFmtId="0" fontId="19" fillId="2" borderId="0" applyAlignment="1" pivotButton="0" quotePrefix="0" xfId="0">
      <alignment horizontal="center" vertical="bottom"/>
    </xf>
    <xf numFmtId="0" fontId="19" fillId="2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4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2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4" fontId="0" fillId="4" borderId="0" applyAlignment="1" pivotButton="0" quotePrefix="0" xfId="0">
      <alignment horizontal="general" vertical="bottom"/>
    </xf>
    <xf numFmtId="3" fontId="0" fillId="4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3" fillId="8" borderId="0" applyAlignment="1" pivotButton="0" quotePrefix="0" xfId="0">
      <alignment horizontal="general" vertical="bottom"/>
    </xf>
    <xf numFmtId="4" fontId="0" fillId="8" borderId="0" applyAlignment="1" pivotButton="0" quotePrefix="0" xfId="0">
      <alignment horizontal="general" vertical="bottom"/>
    </xf>
    <xf numFmtId="3" fontId="0" fillId="8" borderId="0" applyAlignment="1" pivotButton="0" quotePrefix="0" xfId="0">
      <alignment horizontal="general" vertical="bottom"/>
    </xf>
    <xf numFmtId="4" fontId="22" fillId="4" borderId="0" applyAlignment="1" pivotButton="0" quotePrefix="0" xfId="0">
      <alignment horizontal="general" vertical="bottom"/>
    </xf>
    <xf numFmtId="3" fontId="22" fillId="4" borderId="0" applyAlignment="1" pivotButton="0" quotePrefix="0" xfId="0">
      <alignment horizontal="general" vertical="bottom"/>
    </xf>
    <xf numFmtId="3" fontId="2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558ED5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2D050"/>
      <rgbColor rgb="FFFFC000"/>
      <rgbColor rgb="FFFF9900"/>
      <rgbColor rgb="FFED7D31"/>
      <rgbColor rgb="FF595959"/>
      <rgbColor rgb="FFB0B0B0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Unknown Author</author>
  </authors>
  <commentList>
    <comment ref="A163" authorId="0" shapeId="0">
      <text>
        <t>שורה זו הכילה עד 04/10/2026 סכום מצטבר ישן של "ק.חולים מאוחדת" (₪183,572.1), ללא פירוט לפי נקודה. ב-04/10/2026 הוחלף בפירוט מלא לפי נקודה (50 נקודות, סה"כ ₪184,023.8) שנוסף בהמשך הגיליון (החל משורה 164 לפני התזוזה). השורה נוקתה למניעת כפילות. מקור: שיוך-מאוחדת.xlsx (PPLAY1, 04/10/2026 11:25:27). (קיריל, 2026-10-04)</t>
      </text>
    </comment>
    <comment ref="A175" authorId="0" shapeId="0">
      <text>
        <t>שיוך נקבע ע"י המשתמש בפועל ב-04.10.2026 (היה: מפוצל בין אזולאי דוד=10,074.4 לבין "- Unassigned -"=1,625; מוזג במלואו לאזולאי דוד, סה"כ 11,699.4)</t>
      </text>
    </comment>
    <comment ref="A176" authorId="0" shapeId="0">
      <text>
        <t>שיוך נקבע ע"י המשתמש בפועל ב-04.10.2026 (היה: מפוצל בין אזולאי דוד=3,271.1 לבין "- Unassigned -"=500; מוזג במלואו לאזולאי דוד, סה"כ 3,771.1)</t>
      </text>
    </comment>
    <comment ref="A178" authorId="0" shapeId="0">
      <text>
        <t>שיוך נקבע ע"י המשתמש בפועל ב-04.10.2026 (היה: מפוצל בין אזולאי דוד=33,574.8 לבין "- Unassigned -"=1,625; מוזג במלואו לאזולאי דוד, סה"כ 35,199.8)</t>
      </text>
    </comment>
    <comment ref="A179" authorId="0" shapeId="0">
      <text>
        <t>שיוך נקבע ע"י המשתמש בפועל ב-04.10.2026 (היה: מפוצל בין אזולאי דוד=9,815.6 לבין "- Unassigned -"=1,875; מוזג במלואו לאזולאי דוד, סה"כ 11,690.6)</t>
      </text>
    </comment>
    <comment ref="A180" authorId="0" shapeId="0">
      <text>
        <t>שיוך נקבע ע"י המשתמש בפועל ב-04.10.2026 (היה: מפוצל בין אזולאי דוד=4,814.4 לבין "- Unassigned -"=375; מוזג במלואו לאזולאי דוד, סה"כ 5,189.4)</t>
      </text>
    </comment>
    <comment ref="A187" authorId="0" shapeId="0">
      <text>
        <t>שיוך נקבע ע"י המשתמש בפועל ב-04.10.2026 (היה: מפוצל בין אזולאי דוד=9,683.8 לבין "- Unassigned -"=625; מוזג במלואו לאזולאי דוד, סה"כ 10,308.8)</t>
      </text>
    </comment>
    <comment ref="A199" authorId="0" shapeId="0">
      <text>
        <t>שיוך נקבע ע"י המשתמש בפועל ב-04.10.2026 (היה: מפוצל בין אזולאי דוד=5,503.8 לבין "- Unassigned -"=250; מוזג במלואו לאזולאי דוד, סה"כ 5,753.8)</t>
      </text>
    </comment>
    <comment ref="A202" authorId="0" shapeId="0">
      <text>
        <t>שיוך נקבע ע"י המשתמש בפועל ב-04.10.2026 (היה: מפוצל בין אזולאי דוד=4,484 לבין "- Unassigned -"=250; מוזג במלואו לאזולאי דוד, סה"כ 4,734)</t>
      </text>
    </comment>
    <comment ref="E202" authorId="0" shapeId="0">
      <text>
        <t>נקודה זו משויכת לכמה סוכנים במקור (אזולאי דוד=₪1,293.9, סטניסלב נסאר=₪126.5) - פוצל בדיוק לפי המקור. מקור: שיוך-מאוחדת.xlsx, שורה 101. (קיריל, 2026-10-04)</t>
      </text>
    </comment>
    <comment ref="A204" authorId="0" shapeId="0">
      <text>
        <t>שיוך נקבע ע"י המשתמש בפועל ב-04.10.2026 (היה: מפוצל בין אזולאי דוד=6,320.4 לבין "- Unassigned -"=875; מוזג במלואו לאזולאי דוד, סה"כ 7,195.4)</t>
      </text>
    </comment>
    <comment ref="A209" authorId="0" shapeId="0">
      <text>
        <t>שיוך נקבע ע"י המשתמש בפועל ב-04.10.2026 (היה: מפוצל בין אזולאי דוד=1,195.3 לבין "- Unassigned -"=250; מוזג במלואו לאזולאי דוד, סה"כ 1,445.3)</t>
      </text>
    </comment>
    <comment ref="A213" authorId="0" shapeId="0">
      <text>
        <t>שיוך נקבע ע"י המשתמש בפועל ב-04.10.2026 (היה: "- Unassigned -" בלבד=500; עודכן לאזולאי דוד, סה"כ 500)</t>
      </text>
    </comment>
    <comment ref="A366" authorId="0" shapeId="0">
      <text>
        <t>שורה זו הכילה עד 04/10/2026 סכום מצטבר ישן של "ק.חולים מאוחדת" (₪41,172.5), ללא פירוט לפי נקודה. ב-04/10/2026 הוחלף בפירוט מלא לפי נקודה (25 נקודות, סה"כ ₪41,206.6) שנוסף בהמשך הגיליון (החל משורה 317 לפני התזוזה). השורה נוקתה למניעת כפילות. מקור: שיוך-מאוחדת.xlsx (PPLAY1, 04/10/2026 11:25:27). (קיריל, 2026-10-04)</t>
      </text>
    </comment>
    <comment ref="A383" authorId="0" shapeId="0">
      <text>
        <t>שיוך נקבע ע"י המשתמש בפועל ב-04.10.2026 (היה: מפוצל בין אזולאי דוד=1,293.9 לבין סטניסלב נסאר=126.5; הוחלט שהכל עובר לסטניסלב נסאר, סה"כ 1,420.4 - שורת אזולאי דוד הוסרה)</t>
      </text>
    </comment>
    <comment ref="E383" authorId="0" shapeId="0">
      <text>
        <t>נקודה זו משויכת לכמה סוכנים במקור (אזולאי דוד=₪1,293.9, סטניסלב נסאר=₪126.5) - פוצל בדיוק לפי המקור. מקור: שיוך-מאוחדת.xlsx, שורה 101. (קיריל, 2026-10-04)</t>
      </text>
    </comment>
    <comment ref="A384" authorId="0" shapeId="0">
      <text>
        <t>שיוך נקבע ע"י המשתמש בפועל ב-04.10.2026 (היה: מפוצל בין סטניסלב נסאר=3,102.6 לבין "- Unassigned -"=500; מוזג במלואו לסטניסלב נסאר, סה"כ 3,602.6)</t>
      </text>
    </comment>
    <comment ref="E477" authorId="0" shapeId="0">
      <text>
        <t>בדיקת כפילות אפשרית: שם דומה ל-"טל שחר ת""א ב.מ שרםפארם" (CHMI, אותו סוכן). ייתכן אותו לקוח פיזי המדווח בשתי מערכות שונות. לא מוזג אוטומטית - לאשר עם המשתמש. (קיריל, 2026-10-02)</t>
      </text>
    </comment>
    <comment ref="E487" authorId="0" shapeId="0">
      <text>
        <t>בדיקת כפילות אפשרית: שם דומה ל-"156903 טל שחר ב.מ" (NetSuite, אותו סוכן). ייתכן אותו לקוח פיזי המדווח בשתי מערכות שונות. לא מוזג אוטומטית - לאשר עם המשתמש. (קיריל, 2026-10-02)</t>
      </text>
    </comment>
    <comment ref="A607" authorId="0" shapeId="0">
      <text>
        <t>שורה זו הכילה עד 04/10/2026 סכום מצטבר ישן של "ק.חולים מאוחדת" (₪39,665.7), ללא פירוט לפי נקודה. ב-04/10/2026 הוחלף בפירוט מלא לפי נקודה (20 נקודות, סה"כ ₪39,849.9) שנוסף בהמשך הגיליון (החל משורה 533 לפני התזוזה). השורה נוקתה למניעת כפילות. מקור: שיוך-מאוחדת.xlsx (PPLAY1, 04/10/2026 11:25:27). (קיריל, 2026-10-04)</t>
      </text>
    </comment>
    <comment ref="A609" authorId="0" shapeId="0">
      <text>
        <t>שיוך נקבע ע"י המשתמש בפועל ב-04.10.2026 (היה: מפוצל בין חיים ויצמן=1,076.8 לבין "- Unassigned -"=1,125; מוזג במלואו לחיים ויצמן, סה"כ 2,201.8)</t>
      </text>
    </comment>
    <comment ref="A622" authorId="0" shapeId="0">
      <text>
        <t>שיוך נקבע ע"י המשתמש בפועל ב-04.10.2026 (היה: מפוצל בין חיים ויצמן=2,255.1 לבין "- Unassigned -"=375; מוזג במלואו לחיים ויצמן, סה"כ 2,630.1)</t>
      </text>
    </comment>
    <comment ref="A836" authorId="0" shapeId="0">
      <text>
        <t>שורה זו הכילה עד 04/10/2026 סכום מצטבר ישן של "ק.חולים מאוחדת" (₪49,271.5), ללא פירוט לפי נקודה. ב-04/10/2026 הוחלף בפירוט מלא לפי נקודה (26 נקודות, סה"כ ₪49,485.3) שנוסף בהמשך הגיליון (החל משורה 742 לפני התזוזה). השורה נוקתה למניעת כפילות. מקור: שיוך-מאוחדת.xlsx (PPLAY1, 04/10/2026 11:25:27). (קיריל, 2026-10-04)</t>
      </text>
    </comment>
    <comment ref="A837" authorId="0" shapeId="0">
      <text>
        <t>שיוך נקבע ע"י המשתמש בפועל ב-04.10.2026 (היה: מפוצל בין חאזם תלחמי=5,527.4 לבין "- Unassigned -"=1,000; מוזג במלואו לחאזם תלחמי, סה"כ 6,527.4)</t>
      </text>
    </comment>
    <comment ref="A838" authorId="0" shapeId="0">
      <text>
        <t>שיוך נקבע ע"י המשתמש בפועל ב-04.10.2026 (היה: מפוצל בין חאזם תלחמי=4,595.6 לבין "- Unassigned -"=500; מוזג במלואו לחאזם תלחמי, סה"כ 5,095.6)</t>
      </text>
    </comment>
    <comment ref="A855" authorId="0" shapeId="0">
      <text>
        <t>שיוך נקבע ע"י המשתמש בפועל ב-04.10.2026 (היה: מפוצל בין חאזם תלחמי=771.2 לבין "- Unassigned -"=500; מוזג במלואו לחאזם תלחמי, סה"כ 1,271.2)</t>
      </text>
    </comment>
    <comment ref="A863" authorId="0" shapeId="0">
      <text>
        <t>שיוך נקבע ע"י המשתמש בפועל ב-04.10.2026 (היה: "- Unassigned -" בלבד=660.9; עודכן לחאזם תלחמי, סה"כ 660.9)</t>
      </text>
    </comment>
    <comment ref="A864" authorId="0" shapeId="0">
      <text>
        <t>שיוך נקבע ע"י המשתמש בפועל ב-04.10.2026 (היה: "- Unassigned -" בלבד=926.3; עודכן לחאזם תלחמי, סה"כ 926.3)</t>
      </text>
    </comment>
    <comment ref="A865" authorId="0" shapeId="0">
      <text>
        <t>שיוך נקבע ע"י המשתמש בפועל ב-04.10.2026 (היה: "- Unassigned -" בלבד=294.6; עודכן לחאזם תלחמי, סה"כ 294.6)</t>
      </text>
    </comment>
    <comment ref="E865" authorId="0" shapeId="0">
      <text>
        <t>חלק מסכום הנקודה (סה"כ ₪6,527.4) לא משויך לסוכן ספציפי במקור - שויך בפועל ₪5,527.4 מתוך ₪6,527.4 (יתרה ₪1,000.0 ללא שיוך). מקור: שיוך-מאוחדת.xlsx, שורה 24. (קיריל, 2026-10-04)</t>
      </text>
    </comment>
    <comment ref="E866" authorId="0" shapeId="0">
      <text>
        <t>חלק מסכום הנקודה (סה"כ ₪5,095.6) לא משויך לסוכן ספציפי במקור - שויך בפועל ₪4,595.6 מתוך ₪5,095.6 (יתרה ₪500.0 ללא שיוך). מקור: שיוך-מאוחדת.xlsx, שורה 25. (קיריל, 2026-10-04)</t>
      </text>
    </comment>
    <comment ref="E867" authorId="0" shapeId="0">
      <text>
        <t>חלק מסכום הנקודה (סה"כ ₪2,201.8) לא משויך לסוכן ספציפי במקור - שויך בפועל ₪1,076.8 מתוך ₪2,201.8 (יתרה ₪1,125.0 ללא שיוך). מקור: שיוך-מאוחדת.xlsx, שורה 26. (קיריל, 2026-10-04)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1" authorId="0" shapeId="0">
      <text>
        <t>ייבוא גולמי של קובץ ‫"מכירות-25-מול-26-לפי-לקוח-סוכן.xlsx"‬ (kirill/reference/doors-1510-source/). לא נערך — רק יובא כפי שהוא, לשם שימוש כמקור לנוסחאות בגיליון "1510".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J63" authorId="0" shapeId="0">
      <text>
        <t>מוזג עם קובץ "מכירות 25-26 לפי לקוח-סוכן" — שורה 299 (' רמת שלמה פארם בע""""מ י-ם ב.מ').
מכר 2025 ושתי הכמויות לא היו קיימים במקור (CHMI) — הושלמו מהקובץ החדש: מכר 2025=28.10, כמות 2025=1, כמות 2026=45.</t>
      </text>
    </comment>
    <comment ref="J64" authorId="0" shapeId="0">
      <text>
        <t>מוזג עם קובץ "מכירות 25-26 לפי לקוח-סוכן" — שורה 300 (' ברודר ב.שמש ב.מ').
מכר 2025 ושתי הכמויות לא היו קיימים במקור (CHMI) — הושלמו מהקובץ החדש: מכר 2025=495.50, כמות 2025=16, כמות 2026=3.</t>
      </text>
    </comment>
    <comment ref="J65" authorId="0" shapeId="0">
      <text>
        <t>מוזג עם קובץ "מכירות 25-26 לפי לקוח-סוכן" — שורה 301 (' בקשי מחנה יהודה י-ם ב.מ').
מכר 2025 ושתי הכמויות לא היו קיימים במקור (CHMI) — הושלמו מהקובץ החדש: מכר 2025=7,083.10, כמות 2025=268, כמות 2026=201.
מכר 2026 שונה בין המקורות: במקור ₪5,722.70, בקובץ החדש (סה"כ) ₪6,113.50 — נבחר המקור כברירת מחדל (עקבי עם כלל ברירת המחדל שאושר).</t>
      </text>
    </comment>
    <comment ref="J66" authorId="0" shapeId="0">
      <text>
        <t>מוזג עם קובץ "מכירות 25-26 לפי לקוח-סוכן" — שורה 302 (' גאולה י-ם ב.מ').
מכר 2025 ושתי הכמויות לא היו קיימים במקור (CHMI) — הושלמו מהקובץ החדש: מכר 2025=30,059.50, כמות 2025=1023, כמות 2026=860.</t>
      </text>
    </comment>
    <comment ref="J67" authorId="0" shapeId="0">
      <text>
        <t>מוזג עם קובץ "מכירות 25-26 לפי לקוח-סוכן" — שורה 303 (' גבעת זאב י-ם ב.מ').
מכר 2025 ושתי הכמויות לא היו קיימים במקור (CHMI) — הושלמו מהקובץ החדש: מכר 2025=9,444.00, כמות 2025=212, כמות 2026=115.</t>
      </text>
    </comment>
    <comment ref="J68" authorId="0" shapeId="0">
      <text>
        <t>מוזג עם קובץ "מכירות 25-26 לפי לקוח-סוכן" — שורה 304 (' גבעת שאול ב.מ-מדי פלוס בע""""מ').
מכר 2025 ושתי הכמויות לא היו קיימים במקור (CHMI) — הושלמו מהקובץ החדש: מכר 2025=8,944.60, כמות 2025=362, כמות 2026=281.</t>
      </text>
    </comment>
    <comment ref="J69" authorId="0" shapeId="0">
      <text>
        <t>מוזג עם קובץ "מכירות 25-26 לפי לקוח-סוכן" — שורה 305 (' אורנים פארם ירושלים ב.מ').
מכר 2025 ושתי הכמויות לא היו קיימים במקור (CHMI) — הושלמו מהקובץ החדש: מכר 2025=13,503.90, כמות 2025=506, כמות 2026=346.</t>
      </text>
    </comment>
    <comment ref="J70" authorId="0" shapeId="0">
      <text>
        <t>מוזג עם קובץ "מכירות 25-26 לפי לקוח-סוכן" — שורה 306 (' מזור י-ם ב.מ').
מכר 2025 ושתי הכמויות לא היו קיימים במקור (CHMI) — הושלמו מהקובץ החדש: מכר 2025=1,323.10, כמות 2025=46, כמות 2026=33.</t>
      </text>
    </comment>
    <comment ref="J71" authorId="0" shapeId="0">
      <text>
        <t>מוזג עם קובץ "מכירות 25-26 לפי לקוח-סוכן" — שורה 307 (' ב.מ סנהדריה מדי פלוס').
מכר 2025 ושתי הכמויות לא היו קיימים במקור (CHMI) — הושלמו מהקובץ החדש: מכר 2025=9,339.00, כמות 2025=299, כמות 2026=184.
מכר 2026 שונה בין המקורות: במקור ₪5,440.60, בקובץ החדש (סה"כ) ₪5,779.50 — נבחר המקור כברירת מחדל (עקבי עם כלל ברירת המחדל שאושר).</t>
      </text>
    </comment>
    <comment ref="J72" authorId="0" shapeId="0">
      <text>
        <t>מוזג עם קובץ "מכירות 25-26 לפי לקוח-סוכן" — שורה 308 (' עוזיאל י-ם ב.מ').
מכר 2025 ושתי הכמויות לא היו קיימים במקור (CHMI) — הושלמו מהקובץ החדש: מכר 2025=6,565.30, כמות 2025=263, כמות 2026=175.</t>
      </text>
    </comment>
    <comment ref="J73" authorId="0" shapeId="0">
      <text>
        <t>מוזג עם קובץ "מכירות 25-26 לפי לקוח-סוכן" — שורה 309 (' 01.10 ב.מ.פארמה שאול בע""""מ').
מכר 2025 ושתי הכמויות לא היו קיימים במקור (CHMI) — הושלמו מהקובץ החדש: מכר 2025=3,288.40, כמות 2025=102, כמות 2026=67.</t>
      </text>
    </comment>
    <comment ref="J74" authorId="0" shapeId="0">
      <text>
        <t>מוזג עם קובץ "מכירות 25-26 לפי לקוח-סוכן" — שורה 311 (' הר הזיתים ב.מ').
מכר 2025 ושתי הכמויות לא היו קיימים במקור (CHMI) — הושלמו מהקובץ החדש: מכר 2025=4,611.20, כמות 2025=86, כמות 2026=69.</t>
      </text>
    </comment>
    <comment ref="J75" authorId="0" shapeId="0">
      <text>
        <t>מוזג עם קובץ "מכירות 25-26 לפי לקוח-סוכן" — שורה 312 (' דויטש י-ם ב.מ').
מכר 2025 ושתי הכמויות לא היו קיימים במקור (CHMI) — הושלמו מהקובץ החדש: מכר 2025=8,935.90, כמות 2025=348, כמות 2026=318.
מכר 2026 שונה בין המקורות: במקור ₪6,734.90, בקובץ החדש (סה"כ) ₪7,452.80 — נבחר המקור כברירת מחדל (עקבי עם כלל ברירת המחדל שאושר).</t>
      </text>
    </comment>
    <comment ref="J76" authorId="0" shapeId="0">
      <text>
        <t>מוזג עם קובץ "מכירות 25-26 לפי לקוח-סוכן" — שורה 313 (' פארם פלוס ירושלים ב.מ').
מכר 2025 ושתי הכמויות לא היו קיימים במקור (CHMI) — הושלמו מהקובץ החדש: מכר 2025=2,906.00, כמות 2025=111, כמות 2026=184.</t>
      </text>
    </comment>
    <comment ref="J77" authorId="0" shapeId="0">
      <text>
        <t>מוזג עם קובץ "מכירות 25-26 לפי לקוח-סוכן" — שורה 314 (' ב.מ ארמון הנציב י-ם').
מכר 2025 ושתי הכמויות לא היו קיימים במקור (CHMI) — הושלמו מהקובץ החדש: מכר 2025=0.00, כמות 2025=0, כמות 2026=3.</t>
      </text>
    </comment>
    <comment ref="J78" authorId="0" shapeId="0">
      <text>
        <t>מוזג עם קובץ "מכירות 25-26 לפי לקוח-סוכן" — שורה 315 (' ג'נא פארם ב.מ מבשרת ציון').
מכר 2025 ושתי הכמויות לא היו קיימים במקור (CHMI) — הושלמו מהקובץ החדש: מכר 2025=2,437.30, כמות 2025=77, כמות 2026=71.</t>
      </text>
    </comment>
    <comment ref="J79" authorId="0" shapeId="0">
      <text>
        <t>מוזג עם קובץ "מכירות 25-26 לפי לקוח-סוכן" — שורה 316 (' מקסיפארם ברוכים י-ם ב.מ').
מכר 2025 ושתי הכמויות לא היו קיימים במקור (CHMI) — הושלמו מהקובץ החדש: מכר 2025=2,817.30, כמות 2025=108, כמות 2026=104.</t>
      </text>
    </comment>
    <comment ref="J80" authorId="0" shapeId="0">
      <text>
        <t>מוזג עם קובץ "מכירות 25-26 לפי לקוח-סוכן" — שורה 317 (' מוריה י-ם ב.מ').
מכר 2025 ושתי הכמויות לא היו קיימים במקור (CHMI) — הושלמו מהקובץ החדש: מכר 2025=7,413.70, כמות 2025=253, כמות 2026=207.
מכר 2026 שונה בין המקורות: במקור ₪7,207.60, בקובץ החדש (סה"כ) ₪7,751.20 — נבחר המקור כברירת מחדל (עקבי עם כלל ברירת המחדל שאושר).</t>
      </text>
    </comment>
    <comment ref="J81" authorId="0" shapeId="0">
      <text>
        <t>מוזג עם קובץ "מכירות 25-26 לפי לקוח-סוכן" — שורה 355 (' דן אשדוד ב.מ שרמפארם').
מכר 2025 ושתי הכמויות לא היו קיימים במקור (CHMI) — הושלמו מהקובץ החדש: מכר 2025=3,309.00, כמות 2025=95, כמות 2026=156.</t>
      </text>
    </comment>
    <comment ref="J82" authorId="0" shapeId="0">
      <text>
        <t>מוזג עם קובץ "מכירות 25-26 לפי לקוח-סוכן" — שורה 362 (' עילית מודיעין ב.מ שרמפארם').
מכר 2025 ושתי הכמויות לא היו קיימים במקור (CHMI) — הושלמו מהקובץ החדש: מכר 2025=6,136.80, כמות 2025=249, כמות 2026=264.</t>
      </text>
    </comment>
    <comment ref="J84" authorId="0" shapeId="0">
      <text>
        <t>מוזג עם קובץ "מכירות 25-26 לפי לקוח-סוכן" — שורה 373 (' הר נוף י-ם ב.מ שרמפארם').
מכר 2025 ושתי הכמויות לא היו קיימים במקור (CHMI) — הושלמו מהקובץ החדש: מכר 2025=3,019.00, כמות 2025=95, כמות 2026=58.</t>
      </text>
    </comment>
    <comment ref="J85" authorId="0" shapeId="0">
      <text>
        <t>כפילות זוהתה: שם חנות זהה מופיע פעמיים במקור הקיים (שורות 77, 79 בגיליון 'לקוחות לפי סוכן - מקור') וגם בקובץ החדש שורה 383 (שם: ' הבירה י-ם ב.מ שרמפארם'). סכום שתי שורות המקור ל-2026: ₪185.20; בקובץ החדש: ₪127.30. לא נוספה שורה שלישית — שתי שורות המקור הקיימות נשארו ללא שינוי (כברירת המחדל: מעדיפים את המקור).</t>
      </text>
    </comment>
    <comment ref="J262" authorId="0" shapeId="0">
      <text>
        <t>התאמה לא ודאית — לבדיקת המשתמש.
שם בקובץ החדש (שורה 19): ' עמודים י-ם ב.מ'.
שם דומה קיים במקור (שורה 74 בגיליון 'לקוחות לפי סוכן - מקור'): 'מוריה י-ם ב.מ'.
סיבת אי-הוודאות: 0.80 דמיון שמי.
לא מוזג אוטומטית — שתי השורות מוצגות בנפרד, ללא שינוי בשורת המקור הקיימת.</t>
      </text>
    </comment>
    <comment ref="J292" authorId="0" shapeId="0">
      <text>
        <t>מוזג עם קובץ "מכירות 25-26 לפי לקוח-סוכן" — שורה 184 (' אבו עזמי טירה ב.מ').
מכר 2025 ושתי הכמויות לא היו קיימים במקור (CHMI) — הושלמו מהקובץ החדש: מכר 2025=8,154.70, כמות 2025=225, כמות 2026=73.</t>
      </text>
    </comment>
    <comment ref="J294" authorId="0" shapeId="0">
      <text>
        <t>מוזג עם קובץ "מכירות 25-26 לפי לקוח-סוכן" — שורה 224 (' אדם רוקחות בע""""מ טירה ב.מ').
מכר 2025 ושתי הכמויות לא היו קיימים במקור (CHMI) — הושלמו מהקובץ החדש: מכר 2025=8,292.50, כמות 2025=195, כמות 2026=164.</t>
      </text>
    </comment>
    <comment ref="J296" authorId="0" shapeId="0">
      <text>
        <t>מוזג עם קובץ "מכירות 25-26 לפי לקוח-סוכן" — שורה 319 (' מזור יבנה ב.מ שרמפארם').
מכר 2025 ושתי הכמויות לא היו קיימים במקור (CHMI) — הושלמו מהקובץ החדש: מכר 2025=535.70, כמות 2025=25, כמות 2026=8.
מכר 2026 שונה בין המקורות: במקור ₪94.10, בקובץ החדש (סה"כ) ₪187.60 — נבחר המקור כברירת מחדל (עקבי עם כלל ברירת המחדל שאושר).</t>
      </text>
    </comment>
    <comment ref="J297" authorId="0" shapeId="0">
      <text>
        <t>מוזג עם קובץ "מכירות 25-26 לפי לקוח-סוכן" — שורה 320 (' פארם דרום רהט שרם').
מכר 2025 ושתי הכמויות לא היו קיימים במקור (CHMI) — הושלמו מהקובץ החדש: מכר 2025=0.00, כמות 2025=0, כמות 2026=1.</t>
      </text>
    </comment>
    <comment ref="J298" authorId="0" shapeId="0">
      <text>
        <t>מוזג עם קובץ "מכירות 25-26 לפי לקוח-סוכן" — שורה 321 (' ב.מ הלא - אלפי מנשה שרמפארם').
מכר 2025 ושתי הכמויות לא היו קיימים במקור (CHMI) — הושלמו מהקובץ החדש: מכר 2025=7,491.60, כמות 2025=196, כמות 2026=149.</t>
      </text>
    </comment>
    <comment ref="J299" authorId="0" shapeId="0">
      <text>
        <t>מוזג עם קובץ "מכירות 25-26 לפי לקוח-סוכן" — שורה 322 (' הלא ג'לג'וליה ב.מ שרםפארם').
מכר 2025 ושתי הכמויות לא היו קיימים במקור (CHMI) — הושלמו מהקובץ החדש: מכר 2025=10,989.90, כמות 2025=259, כמות 2026=248.</t>
      </text>
    </comment>
    <comment ref="J300" authorId="0" shapeId="0">
      <text>
        <t>מוזג עם קובץ "מכירות 25-26 לפי לקוח-סוכן" — שורה 324 (' אבי 2 ר""""ג שרםפארם').
מכר 2025 ושתי הכמויות לא היו קיימים במקור (CHMI) — הושלמו מהקובץ החדש: מכר 2025=2,089.80, כמות 2025=67, כמות 2026=93.</t>
      </text>
    </comment>
    <comment ref="J301" authorId="0" shapeId="0">
      <text>
        <t>מוזג עם קובץ "מכירות 25-26 לפי לקוח-סוכן" — שורה 325 (' תל גנים ב.מ שרםפארם גבעתיים').
מכר 2025 ושתי הכמויות לא היו קיימים במקור (CHMI) — הושלמו מהקובץ החדש: מכר 2025=2,802.50, כמות 2025=79, כמות 2026=91.</t>
      </text>
    </comment>
    <comment ref="J302" authorId="0" shapeId="0">
      <text>
        <t>מוזג עם קובץ "מכירות 25-26 לפי לקוח-סוכן" — שורה 348 (' פארם לקיה ב.מ  ש.ר.ם').
מכר 2025 ושתי הכמויות לא היו קיימים במקור (CHMI) — הושלמו מהקובץ החדש: מכר 2025=4,575.00, כמות 2025=109, כמות 2026=32.</t>
      </text>
    </comment>
    <comment ref="J303" authorId="0" shapeId="0">
      <text>
        <t>מוזג עם קובץ "מכירות 25-26 לפי לקוח-סוכן" — שורה 350 (' ב.מ לנא שוכרי פארם סביון שרמפא').
מכר 2025 ושתי הכמויות לא היו קיימים במקור (CHMI) — הושלמו מהקובץ החדש: מכר 2025=3,998.30, כמות 2025=95, כמות 2026=58.</t>
      </text>
    </comment>
    <comment ref="J304" authorId="0" shapeId="0">
      <text>
        <t>מוזג עם קובץ "מכירות 25-26 לפי לקוח-סוכן" — שורה 357 (' א.ג.שפינוזה ר""""ג ב.מ. שרמפארם').
מכר 2025 ושתי הכמויות לא היו קיימים במקור (CHMI) — הושלמו מהקובץ החדש: מכר 2025=7,890.50, כמות 2025=142, כמות 2026=87.</t>
      </text>
    </comment>
    <comment ref="J305" authorId="0" shapeId="0">
      <text>
        <t>מוזג עם קובץ "מכירות 25-26 לפי לקוח-סוכן" — שורה 358 (' רהט פארם ב.מ שרמפארם').
מכר 2025 ושתי הכמויות לא היו קיימים במקור (CHMI) — הושלמו מהקובץ החדש: מכר 2025=6,261.50, כמות 2025=139, כמות 2026=71.</t>
      </text>
    </comment>
    <comment ref="J306" authorId="0" shapeId="0">
      <text>
        <t>מוזג עם קובץ "מכירות 25-26 לפי לקוח-סוכן" — שורה 359 (' ב.מ שרה פארם צור יצחק שרמפארם').
מכר 2025 ושתי הכמויות לא היו קיימים במקור (CHMI) — הושלמו מהקובץ החדש: מכר 2025=3,597.20, כמות 2025=124, כמות 2026=167.
מכר 2026 שונה בין המקורות: במקור ₪1,483.40, בקובץ החדש (סה"כ) ₪4,903.10 — נבחר המקור כברירת מחדל (עקבי עם כלל ברירת המחדל שאושר).</t>
      </text>
    </comment>
    <comment ref="J307" authorId="0" shapeId="0">
      <text>
        <t>מוזג עם קובץ "מכירות 25-26 לפי לקוח-סוכן" — שורה 371 (' רהט פארם סיטי שרמפארם').
מכר 2025 ושתי הכמויות לא היו קיימים במקור (CHMI) — הושלמו מהקובץ החדש: מכר 2025=14,672.20, כמות 2025=315, כמות 2026=352.</t>
      </text>
    </comment>
    <comment ref="J308" authorId="0" shapeId="0">
      <text>
        <t>מוזג עם קובץ "מכירות 25-26 לפי לקוח-סוכן" — שורה 374 (' בימר""""ק אלחיאת טייבה שרמפארם').
מכר 2025 ושתי הכמויות לא היו קיימים במקור (CHMI) — הושלמו מהקובץ החדש: מכר 2025=41.40, כמות 2025=1, כמות 2026=2.</t>
      </text>
    </comment>
    <comment ref="J309" authorId="0" shapeId="0">
      <text>
        <t>מוזג עם קובץ "מכירות 25-26 לפי לקוח-סוכן" — שורה 375 (' הלא פארם ג'לג'וליה ב.מ').
מכר 2025 ושתי הכמויות לא היו קיימים במקור (CHMI) — הושלמו מהקובץ החדש: מכר 2025=10,344.20, כמות 2025=294, כמות 2026=178.</t>
      </text>
    </comment>
    <comment ref="J488" authorId="0" shapeId="0">
      <text>
        <t>התאמה לא ודאית — לבדיקת המשתמש.
שם בקובץ החדש (שורה 265): ' רמת חן ר""""ג ב.מ'.
שם דומה קיים במקור (שורה 236 בגיליון 'לקוחות לפי סוכן - מקור'): '158211 רמת חן ב.מ'.
סיבת אי-הוודאות: 0.86 דמיון שמי.
לא מוזג אוטומטית — שתי השורות מוצגות בנפרד, ללא שינוי בשורת המקור הקיימת.</t>
      </text>
    </comment>
    <comment ref="J523" authorId="0" shapeId="0">
      <text>
        <t>מוזג עם קובץ "מכירות 25-26 לפי לקוח-סוכן" — שורה 318 (' שור טבצ'ניק ת""""א ב.מ').
מכר 2025 ושתי הכמויות לא היו קיימים במקור (CHMI) — הושלמו מהקובץ החדש: מכר 2025=7,347.70, כמות 2025=253, כמות 2026=145.</t>
      </text>
    </comment>
    <comment ref="J524" authorId="0" shapeId="0">
      <text>
        <t>מוזג עם קובץ "מכירות 25-26 לפי לקוח-סוכן" — שורה 323 (' המרקחה ב.מ 03.11 שרמפארם').
מכר 2025 ושתי הכמויות לא היו קיימים במקור (CHMI) — הושלמו מהקובץ החדש: מכר 2025=9,903.20, כמות 2025=314, כמות 2026=247.</t>
      </text>
    </comment>
    <comment ref="J525" authorId="0" shapeId="0">
      <text>
        <t>מוזג עם קובץ "מכירות 25-26 לפי לקוח-סוכן" — שורה 326 (' טל שחר ת""""א ב.מ שרםפארם').
מכר 2025 ושתי הכמויות לא היו קיימים במקור (CHMI) — הושלמו מהקובץ החדש: מכר 2025=841.70, כמות 2025=17, כמות 2026=40.
מכר 2026 שונה בין המקורות: במקור ₪2,020.20, בקובץ החדש (סה"כ) ₪2,741.40 — נבחר המקור כברירת מחדל (עקבי עם כלל ברירת המחדל שאושר).</t>
      </text>
    </comment>
    <comment ref="J526" authorId="0" shapeId="0">
      <text>
        <t>מוזג עם קובץ "מכירות 25-26 לפי לקוח-סוכן" — שורה 329 (' נחמיה ב""""ב ב.מ שרםפארם').
מכר 2025 ושתי הכמויות לא היו קיימים במקור (CHMI) — הושלמו מהקובץ החדש: מכר 2025=471.30, כמות 2025=50, כמות 2026=24.</t>
      </text>
    </comment>
    <comment ref="J528" authorId="0" shapeId="0">
      <text>
        <t>מוזג עם קובץ "מכירות 25-26 לפי לקוח-סוכן" — שורה 331 (' מרכז צפון ת""""א ב.מ שרםפארם').
מכר 2025 ושתי הכמויות לא היו קיימים במקור (CHMI) — הושלמו מהקובץ החדש: מכר 2025=2,111.70, כמות 2025=67, כמות 2026=18.</t>
      </text>
    </comment>
    <comment ref="J529" authorId="0" shapeId="0">
      <text>
        <t>מוזג עם קובץ "מכירות 25-26 לפי לקוח-סוכן" — שורה 351 (' בר אילן רעננה ב.מ שרמפארם').
מכר 2025 ושתי הכמויות לא היו קיימים במקור (CHMI) — הושלמו מהקובץ החדש: מכר 2025=2,422.60, כמות 2025=95, כמות 2026=47.</t>
      </text>
    </comment>
    <comment ref="J530" authorId="0" shapeId="0">
      <text>
        <t>מוזג עם קובץ "מכירות 25-26 לפי לקוח-סוכן" — שורה 353 (' .ברק )י.מ.שרותי רוקחות(ת""""א ב.מ').
מכר 2025 ושתי הכמויות לא היו קיימים במקור (CHMI) — הושלמו מהקובץ החדש: מכר 2025=6,545.10, כמות 2025=180, כמות 2026=81.</t>
      </text>
    </comment>
    <comment ref="J531" authorId="0" shapeId="0">
      <text>
        <t>מוזג עם קובץ "מכירות 25-26 לפי לקוח-סוכן" — שורה 354 (' פריים פארם-יהודה המכבי ב.מ.שרמ').
מכר 2025 ושתי הכמויות לא היו קיימים במקור (CHMI) — הושלמו מהקובץ החדש: מכר 2025=14,577.20, כמות 2025=413, כמות 2026=300.</t>
      </text>
    </comment>
    <comment ref="J532" authorId="0" shapeId="0">
      <text>
        <t>מוזג עם קובץ "מכירות 25-26 לפי לקוח-סוכן" — שורה 363 (' המרכז נס ציונה ב.מ שרםפארם').
מכר 2025 ושתי הכמויות לא היו קיימים במקור (CHMI) — הושלמו מהקובץ החדש: מכר 2025=1,558.70, כמות 2025=55, כמות 2026=57.</t>
      </text>
    </comment>
    <comment ref="J533" authorId="0" shapeId="0">
      <text>
        <t>מוזג עם קובץ "מכירות 25-26 לפי לקוח-סוכן" — שורה 369 (' כפר שמריהו ב.מ )חדש( שרמפארם').
מכר 2025 ושתי הכמויות לא היו קיימים במקור (CHMI) — הושלמו מהקובץ החדש: מכר 2025=15,288.60, כמות 2025=458, כמות 2026=287.</t>
      </text>
    </comment>
    <comment ref="J534" authorId="0" shapeId="0">
      <text>
        <t>מוזג עם קובץ "מכירות 25-26 לפי לקוח-סוכן" — שורה 370 (' לב הרצליה חדש ב.מ שרמפארם').
מכר 2025 ושתי הכמויות לא היו קיימים במקור (CHMI) — הושלמו מהקובץ החדש: מכר 2025=965.80, כמות 2025=36, כמות 2026=8.</t>
      </text>
    </comment>
    <comment ref="J535" authorId="0" shapeId="0">
      <text>
        <t>מוזג עם קובץ "מכירות 25-26 לפי לקוח-סוכן" — שורה 385 (' פארמה גנים ראשל""""צ ב.מ שרמ').
מכר 2025 ושתי הכמויות לא היו קיימים במקור (CHMI) — הושלמו מהקובץ החדש: מכר 2025=3,358.00, כמות 2025=109, כמות 2026=14.</t>
      </text>
    </comment>
    <comment ref="J536" authorId="0" shapeId="0">
      <text>
        <t>מוזג עם קובץ "מכירות 25-26 לפי לקוח-סוכן" — שורה 386 (' בית מרקחת הרצליה שרמפארם').
מכר 2025 ושתי הכמויות לא היו קיימים במקור (CHMI) — הושלמו מהקובץ החדש: מכר 2025=687.30, כמות 2025=20, כמות 2026=5.</t>
      </text>
    </comment>
    <comment ref="J537" authorId="0" shapeId="0">
      <text>
        <t>מוזג עם קובץ "מכירות 25-26 לפי לקוח-סוכן" — שורה 328 (' למד ת""""א ב.מ שרםפארם'); שורה 387 (' למד ת""""א ב.מ שרםפארם').
מכר 2025 ושתי הכמויות לא היו קיימים במקור (CHMI) — הושלמו מהקובץ החדש: מכר 2025=911.00, כמות 2025=29, כמות 2026=11.
שים לב: הקובץ החדש עצמו מכיל 2 שורות נפרדות עבור חנות זו — הסכומים חוברו.
מכר 2026 שונה בין המקורות: במקור ₪228.00, בקובץ החדש (סה"כ) ₪300.40 — נבחר המקור כברירת מחדל (עקבי עם כלל ברירת המחדל שאושר).</t>
      </text>
    </comment>
    <comment ref="J538" authorId="0" shapeId="0">
      <text>
        <t>כפילות זוהתה: שם חנות זהה מופיע פעמיים במקור הקיים (שורות 489, 500 בגיליון 'לקוחות לפי סוכן - מקור') וגם בקובץ החדש שורה 388 (שם: ' יהודה הלוי ת""""א ב.מ שרםפארם'). סכום שתי שורות המקור ל-2026: ₪3,475.60; בקובץ החדש: ₪3,054.30. לא נוספה שורה שלישית — שתי שורות המקור הקיימות נשארו ללא שינוי (כברירת המחדל: מעדיפים את המקור).</t>
      </text>
    </comment>
    <comment ref="J769" authorId="0" shapeId="0">
      <text>
        <t>מוזג עם קובץ "מכירות 25-26 לפי לקוח-סוכן" — שורה 2 (' המרכז אעבלין ב.מ').
מכר 2025 ושתי הכמויות לא היו קיימים במקור (CHMI) — הושלמו מהקובץ החדש: מכר 2025=10,975.30, כמות 2025=249, כמות 2026=79.</t>
      </text>
    </comment>
    <comment ref="J770" authorId="0" shapeId="0">
      <text>
        <t>מוזג עם קובץ "מכירות 25-26 לפי לקוח-סוכן" — שורה 3 (' (מדיקל הצפון מעיליה )חורי בע""""מ').
מכר 2025 ושתי הכמויות לא היו קיימים במקור (CHMI) — הושלמו מהקובץ החדש: מכר 2025=5,349.70, כמות 2025=102, כמות 2026=83.</t>
      </text>
    </comment>
    <comment ref="J771" authorId="0" shapeId="0">
      <text>
        <t>מוזג עם קובץ "מכירות 25-26 לפי לקוח-סוכן" — שורה 4 (' נובו פארם דיר אל אסד ב.מ').
מכר 2025 ושתי הכמויות לא היו קיימים במקור (CHMI) — הושלמו מהקובץ החדש: מכר 2025=21,464.50, כמות 2025=524, כמות 2026=424.</t>
      </text>
    </comment>
    <comment ref="J772" authorId="0" shapeId="0">
      <text>
        <t>מוזג עם קובץ "מכירות 25-26 לפי לקוח-סוכן" — שורה 5 (' שביט בע""""מ ק.אתא ב.מ').
מכר 2025 ושתי הכמויות לא היו קיימים במקור (CHMI) — הושלמו מהקובץ החדש: מכר 2025=612.50, כמות 2025=17, כמות 2026=9.</t>
      </text>
    </comment>
    <comment ref="J773" authorId="0" shapeId="0">
      <text>
        <t>מוזג עם קובץ "מכירות 25-26 לפי לקוח-סוכן" — שורה 6 (' חידאר פארם ב.מ').
מכר 2025 ושתי הכמויות לא היו קיימים במקור (CHMI) — הושלמו מהקובץ החדש: מכר 2025=3,557.40, כמות 2025=94, כמות 2026=58.</t>
      </text>
    </comment>
    <comment ref="J774" authorId="0" shapeId="0">
      <text>
        <t>מוזג עם קובץ "מכירות 25-26 לפי לקוח-סוכן" — שורה 7 (' -סמי בית שאן בע""""מ ב.מ').
מכר 2025 ושתי הכמויות לא היו קיימים במקור (CHMI) — הושלמו מהקובץ החדש: מכר 2025=647.80, כמות 2025=34, כמות 2026=13.</t>
      </text>
    </comment>
    <comment ref="J775" authorId="0" shapeId="0">
      <text>
        <t>מוזג עם קובץ "מכירות 25-26 לפי לקוח-סוכן" — שורה 8 (' רסקו טבריה ב.מ').
מכר 2025 ושתי הכמויות לא היו קיימים במקור (CHMI) — הושלמו מהקובץ החדש: מכר 2025=5,421.00, כמות 2025=162, כמות 2026=92.</t>
      </text>
    </comment>
    <comment ref="J776" authorId="0" shapeId="0">
      <text>
        <t>מוזג עם קובץ "מכירות 25-26 לפי לקוח-סוכן" — שורה 9 (' פרמה טבריה ב.מ').
מכר 2025 ושתי הכמויות לא היו קיימים במקור (CHMI) — הושלמו מהקובץ החדש: מכר 2025=211.60, כמות 2025=7, כמות 2026=9.</t>
      </text>
    </comment>
    <comment ref="J778" authorId="0" shapeId="0">
      <text>
        <t>מוזג עם קובץ "מכירות 25-26 לפי לקוח-סוכן" — שורה 10 (' .נובו פארם בית שאן ב.מ').
מכר 2025 ושתי הכמויות לא היו קיימים במקור (CHMI) — הושלמו מהקובץ החדש: מכר 2025=15,653.40, כמות 2025=395, כמות 2026=143.</t>
      </text>
    </comment>
    <comment ref="J779" authorId="0" shapeId="0">
      <text>
        <t>מוזג עם קובץ "מכירות 25-26 לפי לקוח-סוכן" — שורה 11 (' גרין ב.מ -גבעת עדה').
מכר 2025 ושתי הכמויות לא היו קיימים במקור (CHMI) — הושלמו מהקובץ החדש: מכר 2025=3,161.80, כמות 2025=69, כמות 2026=36.</t>
      </text>
    </comment>
    <comment ref="J780" authorId="0" shapeId="0">
      <text>
        <t>מוזג עם קובץ "מכירות 25-26 לפי לקוח-סוכן" — שורה 12 (' מוראד פארם ב.מ אבו סנאן').
מכר 2025 ושתי הכמויות לא היו קיימים במקור (CHMI) — הושלמו מהקובץ החדש: מכר 2025=6,271.60, כמות 2025=177, כמות 2026=60.</t>
      </text>
    </comment>
    <comment ref="J781" authorId="0" shapeId="0">
      <text>
        <t>מוזג עם קובץ "מכירות 25-26 לפי לקוח-סוכן" — שורה 13 (' נובו פארם דבאח ב.מ').
מכר 2025 ושתי הכמויות לא היו קיימים במקור (CHMI) — הושלמו מהקובץ החדש: מכר 2025=10,583.10, כמות 2025=323, כמות 2026=91.</t>
      </text>
    </comment>
    <comment ref="J782" authorId="0" shapeId="0">
      <text>
        <t>מוזג עם קובץ "מכירות 25-26 לפי לקוח-סוכן" — שורה 14 (' .אלבלד אעבלין ב.מ').
מכר 2025 ושתי הכמויות לא היו קיימים במקור (CHMI) — הושלמו מהקובץ החדש: מכר 2025=465.70, כמות 2025=17, כמות 2026=4.</t>
      </text>
    </comment>
    <comment ref="J783" authorId="0" shapeId="0">
      <text>
        <t>מוזג עם קובץ "מכירות 25-26 לפי לקוח-סוכן" — שורה 15 (' עמית נהריה ב.מ').
מכר 2025 ושתי הכמויות לא היו קיימים במקור (CHMI) — הושלמו מהקובץ החדש: מכר 2025=2,860.60, כמות 2025=91, כמות 2026=89.</t>
      </text>
    </comment>
    <comment ref="J785" authorId="0" shapeId="0">
      <text>
        <t>מוזג עם קובץ "מכירות 25-26 לפי לקוח-סוכן" — שורה 186 (' כרום פארם ב.מ').
מכר 2025 ושתי הכמויות לא היו קיימים במקור (CHMI) — הושלמו מהקובץ החדש: מכר 2025=4,165.80, כמות 2025=82, כמות 2026=48.
מכר 2026 שונה בין המקורות: במקור ₪2,789.60, בקובץ החדש (סה"כ) ₪3,837.70 — נבחר המקור כברירת מחדל (עקבי עם כלל ברירת המחדל שאושר).</t>
      </text>
    </comment>
    <comment ref="J786" authorId="0" shapeId="0">
      <text>
        <t>מוזג עם קובץ "מכירות 25-26 לפי לקוח-סוכן" — שורה 188 (' אלבלד פארם ב.מ טמרה').
מכר 2025 ושתי הכמויות לא היו קיימים במקור (CHMI) — הושלמו מהקובץ החדש: מכר 2025=8,219.90, כמות 2025=173, כמות 2026=95.
מכר 2026 שונה בין המקורות: במקור ₪3,296.00, בקובץ החדש (סה"כ) ₪6,355.60 — נבחר המקור כברירת מחדל (עקבי עם כלל ברירת המחדל שאושר).</t>
      </text>
    </comment>
    <comment ref="J787" authorId="0" shapeId="0">
      <text>
        <t>מוזג עם קובץ "מכירות 25-26 לפי לקוח-סוכן" — שורה 189 (' אל בלאד שפרעם ב.מ').
מכר 2025 ושתי הכמויות לא היו קיימים במקור (CHMI) — הושלמו מהקובץ החדש: מכר 2025=2,146.90, כמות 2025=72, כמות 2026=39.</t>
      </text>
    </comment>
    <comment ref="J788" authorId="0" shapeId="0">
      <text>
        <t>מוזג עם קובץ "מכירות 25-26 לפי לקוח-סוכן" — שורה 191 (' אלכאוכב כ.מע'אר ב.מ').
מכר 2025 ושתי הכמויות לא היו קיימים במקור (CHMI) — הושלמו מהקובץ החדש: מכר 2025=357.70, כמות 2025=10, כמות 2026=60.</t>
      </text>
    </comment>
    <comment ref="J789" authorId="0" shapeId="0">
      <text>
        <t>מוזג עם קובץ "מכירות 25-26 לפי לקוח-סוכן" — שורה 192 (' וואן פארם ב.מ מג'ד אל כרום').
מכר 2025 ושתי הכמויות לא היו קיימים במקור (CHMI) — הושלמו מהקובץ החדש: מכר 2025=8,208.30, כמות 2025=236, כמות 2026=147.</t>
      </text>
    </comment>
    <comment ref="J790" authorId="0" shapeId="0">
      <text>
        <t>מוזג עם קובץ "מכירות 25-26 לפי לקוח-סוכן" — שורה 193 (' חדאד פארם ח.הגלילית ב.מ').
מכר 2025 ושתי הכמויות לא היו קיימים במקור (CHMI) — הושלמו מהקובץ החדש: מכר 2025=7,458.50, כמות 2025=231, כמות 2026=55.
מכר 2026 שונה בין המקורות: במקור ₪2,040.70, בקובץ החדש (סה"כ) ₪2,168.70 — נבחר המקור כברירת מחדל (עקבי עם כלל ברירת המחדל שאושר).</t>
      </text>
    </comment>
    <comment ref="J791" authorId="0" shapeId="0">
      <text>
        <t>מוזג עם קובץ "מכירות 25-26 לפי לקוח-סוכן" — שורה 194 (' חמדאן פארם ב.מ').
מכר 2025 ושתי הכמויות לא היו קיימים במקור (CHMI) — הושלמו מהקובץ החדש: מכר 2025=5,068.40, כמות 2025=73, כמות 2026=18.</t>
      </text>
    </comment>
    <comment ref="J792" authorId="0" shapeId="0">
      <text>
        <t>מוזג עם קובץ "מכירות 25-26 לפי לקוח-סוכן" — שורה 195 (' הצפון כפר סמיע ב.מ חדש').
מכר 2025 ושתי הכמויות לא היו קיימים במקור (CHMI) — הושלמו מהקובץ החדש: מכר 2025=9,723.80, כמות 2025=231, כמות 2026=83.
מכר 2026 שונה בין המקורות: במקור ₪3,994.50, בקובץ החדש (סה"כ) ₪4,425.20 — נבחר המקור כברירת מחדל (עקבי עם כלל ברירת המחדל שאושר).</t>
      </text>
    </comment>
    <comment ref="J793" authorId="0" shapeId="0">
      <text>
        <t>מוזג עם קובץ "מכירות 25-26 לפי לקוח-סוכן" — שורה 196 (' מדיקל פארם-ראמה  ב.מ').
מכר 2025 ושתי הכמויות לא היו קיימים במקור (CHMI) — הושלמו מהקובץ החדש: מכר 2025=1,186.10, כמות 2025=14, כמות 2026=31.</t>
      </text>
    </comment>
    <comment ref="J794" authorId="0" shapeId="0">
      <text>
        <t>מוזג עם קובץ "מכירות 25-26 לפי לקוח-סוכן" — שורה 197 (' ספואן ב.מ שפרעם').
מכר 2025 ושתי הכמויות לא היו קיימים במקור (CHMI) — הושלמו מהקובץ החדש: מכר 2025=8,908.40, כמות 2025=212, כמות 2026=105.</t>
      </text>
    </comment>
    <comment ref="J795" authorId="0" shapeId="0">
      <text>
        <t>מוזג עם קובץ "מכירות 25-26 לפי לקוח-סוכן" — שורה 198 (' פארמה קואופ יפיע בע""""מ ב.מ').
מכר 2025 ושתי הכמויות לא היו קיימים במקור (CHMI) — הושלמו מהקובץ החדש: מכר 2025=13,113.30, כמות 2025=333, כמות 2026=223.</t>
      </text>
    </comment>
    <comment ref="J796" authorId="0" shapeId="0">
      <text>
        <t>מוזג עם קובץ "מכירות 25-26 לפי לקוח-סוכן" — שורה 199 (' פרמהזול עין מאהל ב.מ').
מכר 2025 ושתי הכמויות לא היו קיימים במקור (CHMI) — הושלמו מהקובץ החדש: מכר 2025=3,878.30, כמות 2025=58, כמות 2026=12.</t>
      </text>
    </comment>
    <comment ref="J797" authorId="0" shapeId="0">
      <text>
        <t>מוזג עם קובץ "מכירות 25-26 לפי לקוח-סוכן" — שורה 200 (' נידאא פארם תרשיחא ב.מ').
מכר 2025 ושתי הכמויות לא היו קיימים במקור (CHMI) — הושלמו מהקובץ החדש: מכר 2025=768.50, כמות 2025=21, כמות 2026=14.</t>
      </text>
    </comment>
    <comment ref="J798" authorId="0" shapeId="0">
      <text>
        <t>מוזג עם קובץ "מכירות 25-26 לפי לקוח-סוכן" — שורה 203 (' קמא פארם כפר קמא ב.מ').
מכר 2025 ושתי הכמויות לא היו קיימים במקור (CHMI) — הושלמו מהקובץ החדש: מכר 2025=10,003.40, כמות 2025=206, כמות 2026=91.</t>
      </text>
    </comment>
    <comment ref="J799" authorId="0" shapeId="0">
      <text>
        <t>מוזג עם קובץ "מכירות 25-26 לפי לקוח-סוכן" — שורה 204 (' איווה פארם זמר ב.מ').
מכר 2025 ושתי הכמויות לא היו קיימים במקור (CHMI) — הושלמו מהקובץ החדש: מכר 2025=14,240.30, כמות 2025=267, כמות 2026=234.
מכר 2026 שונה בין המקורות: במקור ₪11,337.40, בקובץ החדש (סה"כ) ₪16,185.10 — נבחר המקור כברירת מחדל (עקבי עם כלל ברירת המחדל שאושר).</t>
      </text>
    </comment>
    <comment ref="J800" authorId="0" shapeId="0">
      <text>
        <t>מוזג עם קובץ "מכירות 25-26 לפי לקוח-סוכן" — שורה 205 (' אל אח'לאס רמת הגולן ב.מ').
מכר 2025 ושתי הכמויות לא היו קיימים במקור (CHMI) — הושלמו מהקובץ החדש: מכר 2025=3,566.80, כמות 2025=72, כמות 2026=23.</t>
      </text>
    </comment>
    <comment ref="J801" authorId="0" shapeId="0">
      <text>
        <t>מוזג עם קובץ "מכירות 25-26 לפי לקוח-סוכן" — שורה 206 (' .עין קנייה רמת הגולן ב.מ').
מכר 2025 ושתי הכמויות לא היו קיימים במקור (CHMI) — הושלמו מהקובץ החדש: מכר 2025=4,757.00, כמות 2025=158, כמות 2026=136.
מכר 2026 שונה בין המקורות: במקור ₪4,777.40, בקובץ החדש (סה"כ) ₪5,546.20 — נבחר המקור כברירת מחדל (עקבי עם כלל ברירת המחדל שאושר).</t>
      </text>
    </comment>
    <comment ref="J803" authorId="0" shapeId="0">
      <text>
        <t>מוזג עם קובץ "מכירות 25-26 לפי לקוח-סוכן" — שורה 208 (' אל מרכז ראמה חדש ב.מ').
מכר 2025 ושתי הכמויות לא היו קיימים במקור (CHMI) — הושלמו מהקובץ החדש: מכר 2025=453.00, כמות 2025=11, כמות 2026=11.</t>
      </text>
    </comment>
    <comment ref="J804" authorId="0" shapeId="0">
      <text>
        <t>מוזג עם קובץ "מכירות 25-26 לפי לקוח-סוכן" — שורה 209 (' אלעין ב.מ שפרעם').
מכר 2025 ושתי הכמויות לא היו קיימים במקור (CHMI) — הושלמו מהקובץ החדש: מכר 2025=3,516.90, כמות 2025=140, כמות 2026=39.</t>
      </text>
    </comment>
    <comment ref="J805" authorId="0" shapeId="0">
      <text>
        <t>מוזג עם קובץ "מכירות 25-26 לפי לקוח-סוכן" — שורה 210 (' אבן סינא פארם טמרה ב.מ').
מכר 2025 ושתי הכמויות לא היו קיימים במקור (CHMI) — הושלמו מהקובץ החדש: מכר 2025=2,693.10, כמות 2025=100, כמות 2026=83.
מכר 2026 שונה בין המקורות: במקור ₪2,574.10, בקובץ החדש (סה"כ) ₪2,858.80 — נבחר המקור כברירת מחדל (עקבי עם כלל ברירת המחדל שאושר).</t>
      </text>
    </comment>
    <comment ref="J806" authorId="0" shapeId="0">
      <text>
        <t>מוזג עם קובץ "מכירות 25-26 לפי לקוח-סוכן" — שורה 211 (' נוגידאת פארם ב.מ').
מכר 2025 ושתי הכמויות לא היו קיימים במקור (CHMI) — הושלמו מהקובץ החדש: מכר 2025=955.10, כמות 2025=22, כמות 2026=7.</t>
      </text>
    </comment>
    <comment ref="J807" authorId="0" shapeId="0">
      <text>
        <t>מוזג עם קובץ "מכירות 25-26 לפי לקוח-סוכן" — שורה 212 (' איווה פארם ב.אל גרבייה ב.מ').
מכר 2025 ושתי הכמויות לא היו קיימים במקור (CHMI) — הושלמו מהקובץ החדש: מכר 2025=5,038.80, כמות 2025=140, כמות 2026=60.</t>
      </text>
    </comment>
    <comment ref="J808" authorId="0" shapeId="0">
      <text>
        <t>מוזג עם קובץ "מכירות 25-26 לפי לקוח-סוכן" — שורה 214 (' המרכז טמרה ב.מ').
מכר 2025 ושתי הכמויות לא היו קיימים במקור (CHMI) — הושלמו מהקובץ החדש: מכר 2025=2,736.40, כמות 2025=74, כמות 2026=1.</t>
      </text>
    </comment>
    <comment ref="J809" authorId="0" shapeId="0">
      <text>
        <t>מוזג עם קובץ "מכירות 25-26 לפי לקוח-סוכן" — שורה 217 (' ביג פארם כפר ינוח ב.מ').
מכר 2025 ושתי הכמויות לא היו קיימים במקור (CHMI) — הושלמו מהקובץ החדש: מכר 2025=3,344.00, כמות 2025=86, כמות 2026=72.
מכר 2026 שונה בין המקורות: במקור ₪3,197.30, בקובץ החדש (סה"כ) ₪3,605.70 — נבחר המקור כברירת מחדל (עקבי עם כלל ברירת המחדל שאושר).</t>
      </text>
    </comment>
    <comment ref="J810" authorId="0" shapeId="0">
      <text>
        <t>מוזג עם קובץ "מכירות 25-26 לפי לקוח-סוכן" — שורה 218 (' אקסטרה פארם בע""""מ נצרת ב.מ').
מכר 2025 ושתי הכמויות לא היו קיימים במקור (CHMI) — הושלמו מהקובץ החדש: מכר 2025=5,297.40, כמות 2025=119, כמות 2026=58.</t>
      </text>
    </comment>
    <comment ref="J811" authorId="0" shapeId="0">
      <text>
        <t>מוזג עם קובץ "מכירות 25-26 לפי לקוח-סוכן" — שורה 220 (' טופ פארם כפר קרע ב.מ. חדש').
מכר 2025 ושתי הכמויות לא היו קיימים במקור (CHMI) — הושלמו מהקובץ החדש: מכר 2025=2,028.20, כמות 2025=40, כמות 2026=11.</t>
      </text>
    </comment>
    <comment ref="J812" authorId="0" shapeId="0">
      <text>
        <t>מוזג עם קובץ "מכירות 25-26 לפי לקוח-סוכן" — שורה 221 (' איווה פארם אלרחמה בע""""מ ב.מ').
מכר 2025 ושתי הכמויות לא היו קיימים במקור (CHMI) — הושלמו מהקובץ החדש: מכר 2025=12,383.90, כמות 2025=355, כמות 2026=163.
מכר 2026 שונה בין המקורות: במקור ₪5,981.70, בקובץ החדש (סה"כ) ₪7,187.70 — נבחר המקור כברירת מחדל (עקבי עם כלל ברירת המחדל שאושר).</t>
      </text>
    </comment>
    <comment ref="J813" authorId="0" shapeId="0">
      <text>
        <t>מוזג עם קובץ "מכירות 25-26 לפי לקוח-סוכן" — שורה 222 (' ריאד פארם ב.מ ברטעה חדש').
מכר 2025 ושתי הכמויות לא היו קיימים במקור (CHMI) — הושלמו מהקובץ החדש: מכר 2025=2,068.40, כמות 2025=37, כמות 2026=22.</t>
      </text>
    </comment>
    <comment ref="J814" authorId="0" shapeId="0">
      <text>
        <t>מוזג עם קובץ "מכירות 25-26 לפי לקוח-סוכן" — שורה 226 (' מורינגה פארם בית הבריאות ב.מ מ').
מכר 2025 ושתי הכמויות לא היו קיימים במקור (CHMI) — הושלמו מהקובץ החדש: מכר 2025=8,109.40, כמות 2025=164, כמות 2026=8.</t>
      </text>
    </comment>
    <comment ref="J815" authorId="0" shapeId="0">
      <text>
        <t>מוזג עם קובץ "מכירות 25-26 לפי לקוח-סוכן" — שורה 227 (' סיטי פארם נצרת ב.מ').
מכר 2025 ושתי הכמויות לא היו קיימים במקור (CHMI) — הושלמו מהקובץ החדש: מכר 2025=216.60, כמות 2025=5, כמות 2026=3.</t>
      </text>
    </comment>
    <comment ref="J816" authorId="0" shapeId="0">
      <text>
        <t>מוזג עם קובץ "מכירות 25-26 לפי לקוח-סוכן" — שורה 229 (' מדיקל פארם שפרעם ב.מ').
מכר 2025 ושתי הכמויות לא היו קיימים במקור (CHMI) — הושלמו מהקובץ החדש: מכר 2025=6,503.70, כמות 2025=188, כמות 2026=82.</t>
      </text>
    </comment>
    <comment ref="J817" authorId="0" shapeId="0">
      <text>
        <t>מוזג עם קובץ "מכירות 25-26 לפי לקוח-סוכן" — שורה 230 (' פארמה שיא ביר אל מכסור ב.מ').
מכר 2025 ושתי הכמויות לא היו קיימים במקור (CHMI) — הושלמו מהקובץ החדש: מכר 2025=4,995.70, כמות 2025=107, כמות 2026=50.</t>
      </text>
    </comment>
    <comment ref="J818" authorId="0" shapeId="0">
      <text>
        <t>מוזג עם קובץ "מכירות 25-26 לפי לקוח-סוכן" — שורה 232 (' בית מרקחת אוור פארם עוספיא').
מכר 2025 ושתי הכמויות לא היו קיימים במקור (CHMI) — הושלמו מהקובץ החדש: מכר 2025=2,550.30, כמות 2025=60, כמות 2026=8.</t>
      </text>
    </comment>
    <comment ref="J819" authorId="0" shapeId="0">
      <text>
        <t>מוזג עם קובץ "מכירות 25-26 לפי לקוח-סוכן" — שורה 233 (' אלח'רובה ב.מ באקה אל גרבייה').
מכר 2025 ושתי הכמויות לא היו קיימים במקור (CHMI) — הושלמו מהקובץ החדש: מכר 2025=4,104.70, כמות 2025=84, כמות 2026=16.</t>
      </text>
    </comment>
    <comment ref="J820" authorId="0" shapeId="0">
      <text>
        <t>מוזג עם קובץ "מכירות 25-26 לפי לקוח-סוכן" — שורה 236 (' רימא פארם כפר יאסיף ב.מ').
מכר 2025 ושתי הכמויות לא היו קיימים במקור (CHMI) — הושלמו מהקובץ החדש: מכר 2025=10,150.20, כמות 2025=281, כמות 2026=202.</t>
      </text>
    </comment>
    <comment ref="J821" authorId="0" shapeId="0">
      <text>
        <t>מוזג עם קובץ "מכירות 25-26 לפי לקוח-סוכן" — שורה 237 (' .רימא פארם כפר קרע ב.מ').
מכר 2025 ושתי הכמויות לא היו קיימים במקור (CHMI) — הושלמו מהקובץ החדש: מכר 2025=0.00, כמות 2025=0, כמות 2026=1.</t>
      </text>
    </comment>
    <comment ref="J823" authorId="0" shapeId="0">
      <text>
        <t>מוזג עם קובץ "מכירות 25-26 לפי לקוח-סוכן" — שורה 239 (' פארמה לייף יקנעם עילית ב.מ').
מכר 2025 ושתי הכמויות לא היו קיימים במקור (CHMI) — הושלמו מהקובץ החדש: מכר 2025=4,105.10, כמות 2025=97, כמות 2026=34.</t>
      </text>
    </comment>
    <comment ref="J824" authorId="0" shapeId="0">
      <text>
        <t>מוזג עם קובץ "מכירות 25-26 לפי לקוח-סוכן" — שורה 240 (' ראפע פארם בע""""מ נצרת').
מכר 2025 ושתי הכמויות לא היו קיימים במקור (CHMI) — הושלמו מהקובץ החדש: מכר 2025=0.00, כמות 2025=0, כמות 2026=59.</t>
      </text>
    </comment>
    <comment ref="J825" authorId="0" shapeId="0">
      <text>
        <t>מוזג עם קובץ "מכירות 25-26 לפי לקוח-סוכן" — שורה 242 (' שקד פארם זכרון יעקב ב.מ').
מכר 2025 ושתי הכמויות לא היו קיימים במקור (CHMI) — הושלמו מהקובץ החדש: מכר 2025=1,587.40, כמות 2025=46, כמות 2026=12.</t>
      </text>
    </comment>
    <comment ref="J826" authorId="0" shapeId="0">
      <text>
        <t>מוזג עם קובץ "מכירות 25-26 לפי לקוח-סוכן" — שורה 333 (' בלסם פארם בית ג'אן ב.מ שרמפארם').
מכר 2025 ושתי הכמויות לא היו קיימים במקור (CHMI) — הושלמו מהקובץ החדש: מכר 2025=1,041.40, כמות 2025=22, כמות 2026=66.</t>
      </text>
    </comment>
    <comment ref="J827" authorId="0" shapeId="0">
      <text>
        <t>מוזג עם קובץ "מכירות 25-26 לפי לקוח-סוכן" — שורה 334 (' הגליל תרשיחא ב.מ שרמפארם').
מכר 2025 ושתי הכמויות לא היו קיימים במקור (CHMI) — הושלמו מהקובץ החדש: מכר 2025=34,954.00, כמות 2025=999, כמות 2026=354.</t>
      </text>
    </comment>
    <comment ref="J828" authorId="0" shapeId="0">
      <text>
        <t>מוזג עם קובץ "מכירות 25-26 לפי לקוח-סוכן" — שורה 335 (' מטר פארם ב.מ עכו').
מכר 2025 ושתי הכמויות לא היו קיימים במקור (CHMI) — הושלמו מהקובץ החדש: מכר 2025=3,479.10, כמות 2025=93, כמות 2026=34.
מכר 2026 שונה בין המקורות: במקור ₪1,412.20, בקובץ החדש (סה"כ) ₪1,470.10 — נבחר המקור כברירת מחדל (עקבי עם כלל ברירת המחדל שאושר).</t>
      </text>
    </comment>
    <comment ref="J829" authorId="0" shapeId="0">
      <text>
        <t>מוזג עם קובץ "מכירות 25-26 לפי לקוח-סוכן" — שורה 337 (' רקפות מעלות ב.מ שרמפארם').
מכר 2025 ושתי הכמויות לא היו קיימים במקור (CHMI) — הושלמו מהקובץ החדש: מכר 2025=5,673.50, כמות 2025=229, כמות 2026=150.</t>
      </text>
    </comment>
    <comment ref="J830" authorId="0" shapeId="0">
      <text>
        <t>מוזג עם קובץ "מכירות 25-26 לפי לקוח-סוכן" — שורה 338 (' מעלות בעמכ-פר ורדים ב.מ. שרמפא').
מכר 2025 ושתי הכמויות לא היו קיימים במקור (CHMI) — הושלמו מהקובץ החדש: מכר 2025=4,032.40, כמות 2025=149, כמות 2026=91.</t>
      </text>
    </comment>
    <comment ref="J831" authorId="0" shapeId="0">
      <text>
        <t>מוזג עם קובץ "מכירות 25-26 לפי לקוח-סוכן" — שורה 339 (' נארימאן פארם בע""""מ כפר ראמה שרמ').
מכר 2025 ושתי הכמויות לא היו קיימים במקור (CHMI) — הושלמו מהקובץ החדש: מכר 2025=9,047.10, כמות 2025=213, כמות 2026=150.</t>
      </text>
    </comment>
    <comment ref="J832" authorId="0" shapeId="0">
      <text>
        <t>מוזג עם קובץ "מכירות 25-26 לפי לקוח-סוכן" — שורה 340 (' ספא פארם נצרת עילית ב.מ שרמפאר').
מכר 2025 ושתי הכמויות לא היו קיימים במקור (CHMI) — הושלמו מהקובץ החדש: מכר 2025=1,670.00, כמות 2025=33, כמות 2026=34.
מכר 2026 שונה בין המקורות: במקור ₪1,496.40, בקובץ החדש (סה"כ) ₪1,543.60 — נבחר המקור כברירת מחדל (עקבי עם כלל ברירת המחדל שאושר).</t>
      </text>
    </comment>
    <comment ref="J833" authorId="0" shapeId="0">
      <text>
        <t>מוזג עם קובץ "מכירות 25-26 לפי לקוח-סוכן" — שורה 341 (' טמרה פארם בע""""מ  ב.מ שרמפארם').
מכר 2025 ושתי הכמויות לא היו קיימים במקור (CHMI) — הושלמו מהקובץ החדש: מכר 2025=20,967.00, כמות 2025=358, כמות 2026=204.
מכר 2026 שונה בין המקורות: במקור ₪7,846.80, בקובץ החדש (סה"כ) ₪10,465.40 — נבחר המקור כברירת מחדל (עקבי עם כלל ברירת המחדל שאושר).</t>
      </text>
    </comment>
    <comment ref="J834" authorId="0" shapeId="0">
      <text>
        <t>מוזג עם קובץ "מכירות 25-26 לפי לקוח-סוכן" — שורה 342 (' אורנים טבעון ב.מ שרמפארם').
מכר 2025 ושתי הכמויות לא היו קיימים במקור (CHMI) — הושלמו מהקובץ החדש: מכר 2025=314.50, כמות 2025=12, כמות 2026=14.</t>
      </text>
    </comment>
    <comment ref="J835" authorId="0" shapeId="0">
      <text>
        <t>מוזג עם קובץ "מכירות 25-26 לפי לקוח-סוכן" — שורה 343 (' לב כרמל בע""""מ ב.מ  שרמפארם').
מכר 2025 ושתי הכמויות לא היו קיימים במקור (CHMI) — הושלמו מהקובץ החדש: מכר 2025=4,847.30, כמות 2025=161, כמות 2026=84.
מכר 2026 שונה בין המקורות: במקור ₪3,320.80, בקובץ החדש (סה"כ) ₪3,536.10 — נבחר המקור כברירת מחדל (עקבי עם כלל ברירת המחדל שאושר).</t>
      </text>
    </comment>
    <comment ref="J836" authorId="0" shapeId="0">
      <text>
        <t>מוזג עם קובץ "מכירות 25-26 לפי לקוח-סוכן" — שורה 344 (' העליה השניה בע""""מ בימ""""ק שרמפארם').
מכר 2025 ושתי הכמויות לא היו קיימים במקור (CHMI) — הושלמו מהקובץ החדש: מכר 2025=8,422.50, כמות 2025=266, כמות 2026=151.</t>
      </text>
    </comment>
    <comment ref="J837" authorId="0" shapeId="0">
      <text>
        <t>מוזג עם קובץ "מכירות 25-26 לפי לקוח-סוכן" — שורה 345 (' צמח פארם ב.מ שרמפארם').
מכר 2025 ושתי הכמויות לא היו קיימים במקור (CHMI) — הושלמו מהקובץ החדש: מכר 2025=6,314.80, כמות 2025=158, כמות 2026=72.</t>
      </text>
    </comment>
    <comment ref="J838" authorId="0" shapeId="0">
      <text>
        <t>מוזג עם קובץ "מכירות 25-26 לפי לקוח-סוכן" — שורה 346 (' שבתאי לוי ב.מ  חיפה שרמפארם').
מכר 2025 ושתי הכמויות לא היו קיימים במקור (CHMI) — הושלמו מהקובץ החדש: מכר 2025=0.00, כמות 2025=0, כמות 2026=2.</t>
      </text>
    </comment>
    <comment ref="J839" authorId="0" shapeId="0">
      <text>
        <t>מוזג עם קובץ "מכירות 25-26 לפי לקוח-סוכן" — שורה 347 (' גולן פארם קצרין ב.מ שרמפארם').
מכר 2025 ושתי הכמויות לא היו קיימים במקור (CHMI) — הושלמו מהקובץ החדש: מכר 2025=2,565.60, כמות 2025=50, כמות 2026=28.</t>
      </text>
    </comment>
    <comment ref="J840" authorId="0" shapeId="0">
      <text>
        <t>מוזג עם קובץ "מכירות 25-26 לפי לקוח-סוכן" — שורה 349 (' נוה גנים ק מוצקין 3178 ב.מ').
מכר 2025 ושתי הכמויות לא היו קיימים במקור (CHMI) — הושלמו מהקובץ החדש: מכר 2025=481.70, כמות 2025=20, כמות 2026=36.</t>
      </text>
    </comment>
    <comment ref="J841" authorId="0" shapeId="0">
      <text>
        <t>מוזג עם קובץ "מכירות 25-26 לפי לקוח-סוכן" — שורה 352 (' מזרח עכו ב.מ שרמפארם').
מכר 2025 ושתי הכמויות לא היו קיימים במקור (CHMI) — הושלמו מהקובץ החדש: מכר 2025=14,835.20, כמות 2025=422, כמות 2026=215.</t>
      </text>
    </comment>
    <comment ref="J842" authorId="0" shapeId="0">
      <text>
        <t>מוזג עם קובץ "מכירות 25-26 לפי לקוח-סוכן" — שורה 356 (' מדיקה ק.ים-אלבוסתן פארם בע""""מ ב').
מכר 2025 ושתי הכמויות לא היו קיימים במקור (CHMI) — הושלמו מהקובץ החדש: מכר 2025=2,837.70, כמות 2025=89, כמות 2026=50.</t>
      </text>
    </comment>
    <comment ref="J844" authorId="0" shapeId="0">
      <text>
        <t>מוזג עם קובץ "מכירות 25-26 לפי לקוח-סוכן" — שורה 360 (' ריינה-אומגה פארם בע""""מ שרמפארם').
מכר 2025 ושתי הכמויות לא היו קיימים במקור (CHMI) — הושלמו מהקובץ החדש: מכר 2025=4,619.50, כמות 2025=133, כמות 2026=42.</t>
      </text>
    </comment>
    <comment ref="J845" authorId="0" shapeId="0">
      <text>
        <t>מוזג עם קובץ "מכירות 25-26 לפי לקוח-סוכן" — שורה 361 (' רמת רבין ב.מ כרמיאל שרמפארם').
מכר 2025 ושתי הכמויות לא היו קיימים במקור (CHMI) — הושלמו מהקובץ החדש: מכר 2025=3,701.60, כמות 2025=96, כמות 2026=3.</t>
      </text>
    </comment>
    <comment ref="J846" authorId="0" shapeId="0">
      <text>
        <t>מוזג עם קובץ "מכירות 25-26 לפי לקוח-סוכן" — שורה 364 (' אלאסראא שפרעם ב.מ שרמפארם').
מכר 2025 ושתי הכמויות לא היו קיימים במקור (CHMI) — הושלמו מהקובץ החדש: מכר 2025=15,091.10, כמות 2025=400, כמות 2026=96.
מכר 2026 שונה בין המקורות: במקור ₪2,808.10, בקובץ החדש (סה"כ) ₪2,161.90 — נבחר המקור כברירת מחדל (עקבי עם כלל ברירת המחדל שאושר).</t>
      </text>
    </comment>
    <comment ref="J847" authorId="0" shapeId="0">
      <text>
        <t>מוזג עם קובץ "מכירות 25-26 לפי לקוח-סוכן" — שורה 366 (' מרכז עכו ב.מ שרמפארם').
מכר 2025 ושתי הכמויות לא היו קיימים במקור (CHMI) — הושלמו מהקובץ החדש: מכר 2025=2,431.60, כמות 2025=76, כמות 2026=3.</t>
      </text>
    </comment>
    <comment ref="J848" authorId="0" shapeId="0">
      <text>
        <t>מוזג עם קובץ "מכירות 25-26 לפי לקוח-סוכן" — שורה 367 (' ספא פארם ב.מ סכנין חדש שרמפארם').
מכר 2025 ושתי הכמויות לא היו קיימים במקור (CHMI) — הושלמו מהקובץ החדש: מכר 2025=2,837.30, כמות 2025=61, כמות 2026=21.</t>
      </text>
    </comment>
    <comment ref="J849" authorId="0" shapeId="0">
      <text>
        <t>מוזג עם קובץ "מכירות 25-26 לפי לקוח-סוכן" — שורה 368 (' פארמה פלוס שפרעם ב.מ שרמפארם').
מכר 2025 ושתי הכמויות לא היו קיימים במקור (CHMI) — הושלמו מהקובץ החדש: מכר 2025=11,549.80, כמות 2025=315, כמות 2026=215.</t>
      </text>
    </comment>
    <comment ref="J850" authorId="0" shapeId="0">
      <text>
        <t>מוזג עם קובץ "מכירות 25-26 לפי לקוח-סוכן" — שורה 377 (' אקספו פארם מכר ב.מ שרמפארם').
מכר 2025 ושתי הכמויות לא היו קיימים במקור (CHMI) — הושלמו מהקובץ החדש: מכר 2025=10,654.40, כמות 2025=291, כמות 2026=107.</t>
      </text>
    </comment>
    <comment ref="J851" authorId="0" shapeId="0">
      <text>
        <t>מוזג עם קובץ "מכירות 25-26 לפי לקוח-סוכן" — שורה 378 (' אקופארם ב.מ מעלות שרמפארם').
מכר 2025 ושתי הכמויות לא היו קיימים במקור (CHMI) — הושלמו מהקובץ החדש: מכר 2025=5,265.00, כמות 2025=168, כמות 2026=124.
מכר 2026 שונה בין המקורות: במקור ₪4,316.50, בקובץ החדש (סה"כ) ₪5,145.30 — נבחר המקור כברירת מחדל (עקבי עם כלל ברירת המחדל שאושר).</t>
      </text>
    </comment>
    <comment ref="J852" authorId="0" shapeId="0">
      <text>
        <t>מוזג עם קובץ "מכירות 25-26 לפי לקוח-סוכן" — שורה 379 (' אלשיפאא ב.מ כפר עראבה שרמפארם').
מכר 2025 ושתי הכמויות לא היו קיימים במקור (CHMI) — הושלמו מהקובץ החדש: מכר 2025=0.00, כמות 2025=0, כמות 2026=1.</t>
      </text>
    </comment>
    <comment ref="J853" authorId="0" shapeId="0">
      <text>
        <t>מוזג עם קובץ "מכירות 25-26 לפי לקוח-סוכן" — שורה 380 (' אסף עפולה ב.מ שרמפארם').
מכר 2025 ושתי הכמויות לא היו קיימים במקור (CHMI) — הושלמו מהקובץ החדש: מכר 2025=546.20, כמות 2025=29, כמות 2026=27.</t>
      </text>
    </comment>
    <comment ref="J854" authorId="0" shapeId="0">
      <text>
        <t>מוזג עם קובץ "מכירות 25-26 לפי לקוח-סוכן" — שורה 381 (' השלום כפר מוקבלה ב.מ').
מכר 2025 ושתי הכמויות לא היו קיימים במקור (CHMI) — הושלמו מהקובץ החדש: מכר 2025=852.00, כמות 2025=24, כמות 2026=6.</t>
      </text>
    </comment>
    <comment ref="J855" authorId="0" shapeId="0">
      <text>
        <t>מוזג עם קובץ "מכירות 25-26 לפי לקוח-סוכן" — שורה 382 (' ב.מ CPHARM טשרניחובסקי').
מכר 2025 ושתי הכמויות לא היו קיימים במקור (CHMI) — הושלמו מהקובץ החדש: מכר 2025=841.60, כמות 2025=30, כמות 2026=1.</t>
      </text>
    </comment>
    <comment ref="J857" authorId="0" shapeId="0">
      <text>
        <t>מוזג עם קובץ "מכירות 25-26 לפי לקוח-סוכן" — שורה 389 (' אלשפא בע""""מ א.א.פחם ב.מ  שרמפאר').
מכר 2025 ושתי הכמויות לא היו קיימים במקור (CHMI) — הושלמו מהקובץ החדש: מכר 2025=740.50, כמות 2025=29, כמות 2026=15.</t>
      </text>
    </comment>
    <comment ref="J858" authorId="0" shapeId="0">
      <text>
        <t>מוזג עם קובץ "מכירות 25-26 לפי לקוח-סוכן" — שורה 390 (' אלעין פקיעין ב.מ').
מכר 2025 ושתי הכמויות לא היו קיימים במקור (CHMI) — הושלמו מהקובץ החדש: מכר 2025=2,817.00, כמות 2025=61, כמות 2026=32.</t>
      </text>
    </comment>
    <comment ref="J859" authorId="0" shapeId="0">
      <text>
        <t>מוזג עם קובץ "מכירות 25-26 לפי לקוח-סוכן" — שורה 392 (' מירוני חיפה ב.מ שרמפארם').
מכר 2025 ושתי הכמויות לא היו קיימים במקור (CHMI) — הושלמו מהקובץ החדש: מכר 2025=528.00, כמות 2025=23, כמות 2026=7.
מכר 2026 שונה בין המקורות: במקור ₪126.30, בקובץ החדש (סה"כ) ₪157.20 — נבחר המקור כברירת מחדל (עקבי עם כלל ברירת המחדל שאושר).</t>
      </text>
    </comment>
    <comment ref="J860" authorId="0" shapeId="0">
      <text>
        <t>מוזג עם קובץ "מכירות 25-26 לפי לקוח-סוכן" — שורה 393 (' השושנים ב.מ שרמפארם').
מכר 2025 ושתי הכמויות לא היו קיימים במקור (CHMI) — הושלמו מהקובץ החדש: מכר 2025=2,031.20, כמות 2025=77, כמות 2026=5.</t>
      </text>
    </comment>
    <comment ref="J1119" authorId="0" shapeId="0">
      <text>
        <t>התאמה לא ודאית — לבדיקת המשתמש.
שם בקובץ החדש (שורה 22): ' טובא פארם ב.מ'.
שם דומה קיים במקור (שורה 412 בגיליון 'לקוחות לפי סוכן - מקור'): '151198 טובא פארם'.
סיבת אי-הוודאות: קוד/ערוץ NetSuite לא תואם סוג רשת בקובץ החדש.
לא מוזג אוטומטית — שתי השורות מוצגות בנפרד, ללא שינוי בשורת המקור הקיימת.</t>
      </text>
    </comment>
    <comment ref="J1120" authorId="0" shapeId="0">
      <text>
        <t>התאמה לא ודאית — לבדיקת המשתמש.
שם בקובץ החדש (שורה 24): ' כרמל פארם ב.מ'.
שם דומה קיים במקור (שורה 644 בגיליון 'לקוחות לפי סוכן - מקור'): 'כרום פארם ב.מ'.
סיבת אי-הוודאות: 0.83 דמיון שמי.
לא מוזג אוטומטית — שתי השורות מוצגות בנפרד, ללא שינוי בשורת המקור הקיימת.</t>
      </text>
    </comment>
    <comment ref="J1121" authorId="0" shapeId="0">
      <text>
        <t>התאמה לא ודאית — לבדיקת המשתמש.
שם בקובץ החדש (שורה 87): ' .טופ פארם נצרת ב.מ'.
שם דומה קיים במקור (שורה 674 בגיליון 'לקוחות לפי סוכן - מקור'): 'סיטי פארם נצרת ב.מ'.
סיבת אי-הוודאות: 0.85 דמיון שמי.
לא מוזג אוטומטית — שתי השורות מוצגות בנפרד, ללא שינוי בשורת המקור הקיימת.</t>
      </text>
    </comment>
    <comment ref="J1122" authorId="0" shapeId="0">
      <text>
        <t>התאמה לא ודאית — לבדיקת המשתמש.
שם בקובץ החדש (שורה 89): ' מרים פארם ב.מ'.
שם דומה קיים במקור (שורה 644 בגיליון 'לקוחות לפי סוכן - מקור'): 'כרום פארם ב.מ'.
סיבת אי-הוודאות: 0.83 דמיון שמי.
לא מוזג אוטומטית — שתי השורות מוצגות בנפרד, ללא שינוי בשורת המקור הקיימת.</t>
      </text>
    </comment>
    <comment ref="J1123" authorId="0" shapeId="0">
      <text>
        <t>התאמה לא ודאית — לבדיקת המשתמש.
שם בקובץ החדש (שורה 115): ' אמיר מדיקל פארם בע""""מ ב.מ נהריה'.
שם דומה קיים במקור (שורה 408 בגיליון 'לקוחות לפי סוכן - מקור'): '151136 אמיר מדיקל פארם בע"מ'.
סיבת אי-הוודאות: 0.81 דמיון שמי.
לא מוזג אוטומטית — שתי השורות מוצגות בנפרד, ללא שינוי בשורת המקור הקיימת.</t>
      </text>
    </comment>
    <comment ref="J1124" authorId="0" shapeId="0">
      <text>
        <t>התאמה לא ודאית — לבדיקת המשתמש.
שם בקובץ החדש (שורה 176): ' ג'ת פארם ב.מ'.
שם דומה קיים במקור (שורה 665 בגיליון 'לקוחות לפי סוכן - מקור'): 'נוגידאת פארם ב.מ'.
סיבת אי-הוודאות: 0.80 דמיון שמי.
לא מוזג אוטומטית — שתי השורות מוצגות בנפרד, ללא שינוי בשורת המקור הקיימת.</t>
      </text>
    </comment>
    <comment ref="J1125" authorId="0" shapeId="0">
      <text>
        <t>התאמה לא ודאית — לבדיקת המשתמש.
שם בקובץ החדש (שורה 179): ' נור פארם כפר קרע ב.מ'.
שם דומה קיים במקור (שורה 680 בגיליון 'לקוחות לפי סוכן - מקור'): '.רימא פארם כפר קרע ב.מ'.
סיבת אי-הוודאות: 0.87 דמיון שמי.
לא מוזג אוטומטית — שתי השורות מוצגות בנפרד, ללא שינוי בשורת המקור הקיימת.</t>
      </text>
    </comment>
    <comment ref="J1126" authorId="0" shapeId="0">
      <text>
        <t>התאמה לא ודאית — לבדיקת המשתמש.
שם בקובץ החדש (שורה 190): ' אל שיפא שפרעם ב.מ'.
שם דומה קיים במקור (שורה 646 בגיליון 'לקוחות לפי סוכן - מקור'): 'אל בלאד שפרעם ב.מ'.
סיבת אי-הוודאות: 0.81 דמיון שמי.
לא מוזג אוטומטית — שתי השורות מוצגות בנפרד, ללא שינוי בשורת המקור הקיימת.</t>
      </text>
    </comment>
    <comment ref="J1127" authorId="0" shapeId="0">
      <text>
        <t>התאמה לא ודאית — לבדיקת המשתמש.
שם בקובץ החדש (שורה 336): ' מעלות בע""""מ ב.מ  שרמפארם'.
שם דומה קיים במקור (שורה 694 בגיליון 'לקוחות לפי סוכן - מקור'): 'לב כרמל בע""מ ב.מ  שרמפארם'.
סיבת אי-הוודאות: 0.81 דמיון שמי.
לא מוזג אוטומטית — שתי השורות מוצגות בנפרד, ללא שינוי בשורת המקור הקיימת.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tabColor rgb="FF558ED5"/>
    <outlinePr summaryBelow="1" summaryRight="1"/>
    <pageSetUpPr fitToPage="0"/>
  </sheetPr>
  <dimension ref="A1:D2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6" activeCellId="0" sqref="A16"/>
    </sheetView>
  </sheetViews>
  <sheetFormatPr baseColWidth="8" defaultColWidth="8.57421875" defaultRowHeight="15" zeroHeight="0" outlineLevelRow="0"/>
  <cols>
    <col width="41" customWidth="1" style="81" min="1" max="1"/>
    <col width="20.43" customWidth="1" style="81" min="2" max="2"/>
    <col width="16" customWidth="1" style="81" min="3" max="3"/>
    <col width="36.57" customWidth="1" style="81" min="4" max="4"/>
  </cols>
  <sheetData>
    <row r="1" ht="16.5" customHeight="1" s="82">
      <c r="A1" s="83" t="inlineStr">
        <is>
          <t>קבוצות לקוחות — ספירת לקוחות (שורות) לפי קבוצה, מתוך דוח PPlay1 of uriel (Reporter)</t>
        </is>
      </c>
    </row>
    <row r="3" ht="15" customHeight="1" s="82">
      <c r="A3" s="84" t="inlineStr">
        <is>
          <t>קבוצת לקוחות</t>
        </is>
      </c>
      <c r="B3" s="84" t="inlineStr">
        <is>
          <t>מספר לקוחות (שורות)</t>
        </is>
      </c>
      <c r="C3" s="84" t="inlineStr">
        <is>
          <t>סכום 2025 (מקור)</t>
        </is>
      </c>
      <c r="D3" s="84" t="inlineStr">
        <is>
          <t>סכום 2026 (מקור)</t>
        </is>
      </c>
    </row>
    <row r="4" ht="15" customHeight="1" s="82">
      <c r="A4" s="85" t="inlineStr">
        <is>
          <t>0בתי טבע</t>
        </is>
      </c>
      <c r="B4" s="86">
        <f>COUNTIF('קבוצות לקוחות - מקור'!$A$2:$A$945,$A4)</f>
        <v/>
      </c>
      <c r="C4" s="87">
        <f>SUMIF('קבוצות לקוחות - מקור'!$A$2:$A$945,$A4,'קבוצות לקוחות - מקור'!$C$2:$C$945)</f>
        <v/>
      </c>
      <c r="D4" s="87">
        <f>SUMIF('קבוצות לקוחות - מקור'!$A$2:$A$945,$A4,'קבוצות לקוחות - מקור'!$D$2:$D$945)</f>
        <v/>
      </c>
    </row>
    <row r="5" ht="15" customHeight="1" s="82">
      <c r="A5" s="85" t="inlineStr">
        <is>
          <t>0בתי טבע רשתות</t>
        </is>
      </c>
      <c r="B5" s="86">
        <f>COUNTIF('קבוצות לקוחות - מקור'!$A$2:$A$945,$A5)</f>
        <v/>
      </c>
      <c r="C5" s="87">
        <f>SUMIF('קבוצות לקוחות - מקור'!$A$2:$A$945,$A5,'קבוצות לקוחות - מקור'!$C$2:$C$945)</f>
        <v/>
      </c>
      <c r="D5" s="87">
        <f>SUMIF('קבוצות לקוחות - מקור'!$A$2:$A$945,$A5,'קבוצות לקוחות - מקור'!$D$2:$D$945)</f>
        <v/>
      </c>
    </row>
    <row r="6" ht="15" customHeight="1" s="82">
      <c r="A6" s="88" t="inlineStr">
        <is>
          <t>0בתי מרקחת</t>
        </is>
      </c>
      <c r="B6" s="89">
        <f>COUNTIF('קבוצות לקוחות - מקור'!$A$2:$A$945,$A6)</f>
        <v/>
      </c>
      <c r="C6" s="90">
        <f>SUMIF('קבוצות לקוחות - מקור'!$A$2:$A$945,$A6,'קבוצות לקוחות - מקור'!$C$2:$C$945)</f>
        <v/>
      </c>
      <c r="D6" s="90">
        <f>SUMIF('קבוצות לקוחות - מקור'!$A$2:$A$945,$A6,'קבוצות לקוחות - מקור'!$D$2:$D$945)</f>
        <v/>
      </c>
    </row>
    <row r="7" ht="15" customHeight="1" s="82">
      <c r="A7" s="88" t="inlineStr">
        <is>
          <t>מגזר ערבי</t>
        </is>
      </c>
      <c r="B7" s="89">
        <f>COUNTIF('קבוצות לקוחות - מקור'!$A$2:$A$945,$A7)</f>
        <v/>
      </c>
      <c r="C7" s="90">
        <f>SUMIF('קבוצות לקוחות - מקור'!$A$2:$A$945,$A7,'קבוצות לקוחות - מקור'!$C$2:$C$945)</f>
        <v/>
      </c>
      <c r="D7" s="90">
        <f>SUMIF('קבוצות לקוחות - מקור'!$A$2:$A$945,$A7,'קבוצות לקוחות - מקור'!$D$2:$D$945)</f>
        <v/>
      </c>
    </row>
    <row r="8" ht="15" customHeight="1" s="82">
      <c r="A8" s="88" t="inlineStr">
        <is>
          <t>רוקחים עתיד</t>
        </is>
      </c>
      <c r="B8" s="89">
        <f>COUNTIF('קבוצות לקוחות - מקור'!$A$2:$A$945,$A8)</f>
        <v/>
      </c>
      <c r="C8" s="90">
        <f>SUMIF('קבוצות לקוחות - מקור'!$A$2:$A$945,$A8,'קבוצות לקוחות - מקור'!$C$2:$C$945)</f>
        <v/>
      </c>
      <c r="D8" s="90">
        <f>SUMIF('קבוצות לקוחות - מקור'!$A$2:$A$945,$A8,'קבוצות לקוחות - מקור'!$D$2:$D$945)</f>
        <v/>
      </c>
    </row>
    <row r="9" ht="15" customHeight="1" s="82">
      <c r="A9" s="88" t="inlineStr">
        <is>
          <t>רשת י-ם</t>
        </is>
      </c>
      <c r="B9" s="89">
        <f>COUNTIF('קבוצות לקוחות - מקור'!$A$2:$A$945,$A9)</f>
        <v/>
      </c>
      <c r="C9" s="90">
        <f>SUMIF('קבוצות לקוחות - מקור'!$A$2:$A$945,$A9,'קבוצות לקוחות - מקור'!$C$2:$C$945)</f>
        <v/>
      </c>
      <c r="D9" s="90">
        <f>SUMIF('קבוצות לקוחות - מקור'!$A$2:$A$945,$A9,'קבוצות לקוחות - מקור'!$D$2:$D$945)</f>
        <v/>
      </c>
    </row>
    <row r="10" ht="15" customHeight="1" s="82">
      <c r="A10" s="88" t="inlineStr">
        <is>
          <t>שור טבצניק</t>
        </is>
      </c>
      <c r="B10" s="89">
        <f>COUNTIF('קבוצות לקוחות - מקור'!$A$2:$A$945,$A10)</f>
        <v/>
      </c>
      <c r="C10" s="90">
        <f>SUMIF('קבוצות לקוחות - מקור'!$A$2:$A$945,$A10,'קבוצות לקוחות - מקור'!$C$2:$C$945)</f>
        <v/>
      </c>
      <c r="D10" s="90">
        <f>SUMIF('קבוצות לקוחות - מקור'!$A$2:$A$945,$A10,'קבוצות לקוחות - מקור'!$D$2:$D$945)</f>
        <v/>
      </c>
    </row>
    <row r="11" ht="15" customHeight="1" s="82">
      <c r="A11" s="88" t="inlineStr">
        <is>
          <t>שרם</t>
        </is>
      </c>
      <c r="B11" s="89">
        <f>COUNTIF('קבוצות לקוחות - מקור'!$A$2:$A$945,$A11)</f>
        <v/>
      </c>
      <c r="C11" s="90">
        <f>SUMIF('קבוצות לקוחות - מקור'!$A$2:$A$945,$A11,'קבוצות לקוחות - מקור'!$C$2:$C$945)</f>
        <v/>
      </c>
      <c r="D11" s="90">
        <f>SUMIF('קבוצות לקוחות - מקור'!$A$2:$A$945,$A11,'קבוצות לקוחות - מקור'!$D$2:$D$945)</f>
        <v/>
      </c>
    </row>
    <row r="12" ht="15" customHeight="1" s="82">
      <c r="A12" s="85" t="inlineStr">
        <is>
          <t>0כללי</t>
        </is>
      </c>
      <c r="B12" s="86">
        <f>COUNTIF('קבוצות לקוחות - מקור'!$A$2:$A$945,$A12)</f>
        <v/>
      </c>
      <c r="C12" s="87">
        <f>SUMIF('קבוצות לקוחות - מקור'!$A$2:$A$945,$A12,'קבוצות לקוחות - מקור'!$C$2:$C$945)</f>
        <v/>
      </c>
      <c r="D12" s="87">
        <f>SUMIF('קבוצות לקוחות - מקור'!$A$2:$A$945,$A12,'קבוצות לקוחות - מקור'!$D$2:$D$945)</f>
        <v/>
      </c>
    </row>
    <row r="13" ht="15" customHeight="1" s="82">
      <c r="A13" s="88" t="inlineStr">
        <is>
          <t>0מפיצי משנה</t>
        </is>
      </c>
      <c r="B13" s="89">
        <f>COUNTIF('קבוצות לקוחות - מקור'!$A$2:$A$945,$A13)</f>
        <v/>
      </c>
      <c r="C13" s="90">
        <f>SUMIF('קבוצות לקוחות - מקור'!$A$2:$A$945,$A13,'קבוצות לקוחות - מקור'!$C$2:$C$945)</f>
        <v/>
      </c>
      <c r="D13" s="90">
        <f>SUMIF('קבוצות לקוחות - מקור'!$A$2:$A$945,$A13,'קבוצות לקוחות - מקור'!$D$2:$D$945)</f>
        <v/>
      </c>
    </row>
    <row r="14" ht="15" customHeight="1" s="82">
      <c r="A14" s="85" t="inlineStr">
        <is>
          <t>ס. פארם</t>
        </is>
      </c>
      <c r="B14" s="86">
        <f>COUNTIF('קבוצות לקוחות - מקור'!$A$2:$A$945,$A14)</f>
        <v/>
      </c>
      <c r="C14" s="87">
        <f>SUMIF('קבוצות לקוחות - מקור'!$A$2:$A$945,$A14,'קבוצות לקוחות - מקור'!$C$2:$C$945)</f>
        <v/>
      </c>
      <c r="D14" s="87">
        <f>SUMIF('קבוצות לקוחות - מקור'!$A$2:$A$945,$A14,'קבוצות לקוחות - מקור'!$D$2:$D$945)</f>
        <v/>
      </c>
    </row>
    <row r="15" ht="15" customHeight="1" s="82">
      <c r="A15" s="88" t="inlineStr">
        <is>
          <t>BE</t>
        </is>
      </c>
      <c r="B15" s="89">
        <f>COUNTIF('קבוצות לקוחות - מקור'!$A$2:$A$945,$A15)</f>
        <v/>
      </c>
      <c r="C15" s="90">
        <f>SUMIF('קבוצות לקוחות - מקור'!$A$2:$A$945,$A15,'קבוצות לקוחות - מקור'!$C$2:$C$945)</f>
        <v/>
      </c>
      <c r="D15" s="90">
        <f>SUMIF('קבוצות לקוחות - מקור'!$A$2:$A$945,$A15,'קבוצות לקוחות - מקור'!$D$2:$D$945)</f>
        <v/>
      </c>
    </row>
    <row r="16" ht="15" customHeight="1" s="82">
      <c r="A16" s="88" t="inlineStr">
        <is>
          <t>סופרפארם</t>
        </is>
      </c>
      <c r="B16" s="89">
        <f>COUNTIF('קבוצות לקוחות - מקור'!$A$2:$A$945,$A16)</f>
        <v/>
      </c>
      <c r="C16" s="90">
        <f>SUMIF('קבוצות לקוחות - מקור'!$A$2:$A$945,$A16,'קבוצות לקוחות - מקור'!$C$2:$C$945)</f>
        <v/>
      </c>
      <c r="D16" s="90">
        <f>SUMIF('קבוצות לקוחות - מקור'!$A$2:$A$945,$A16,'קבוצות לקוחות - מקור'!$D$2:$D$945)</f>
        <v/>
      </c>
    </row>
    <row r="17" ht="15" customHeight="1" s="82">
      <c r="A17" s="88" t="inlineStr">
        <is>
          <t>שופרסל BE</t>
        </is>
      </c>
      <c r="B17" s="89">
        <f>COUNTIF('קבוצות לקוחות - מקור'!$A$2:$A$945,$A17)</f>
        <v/>
      </c>
      <c r="C17" s="90">
        <f>SUMIF('קבוצות לקוחות - מקור'!$A$2:$A$945,$A17,'קבוצות לקוחות - מקור'!$C$2:$C$945)</f>
        <v/>
      </c>
      <c r="D17" s="90">
        <f>SUMIF('קבוצות לקוחות - מקור'!$A$2:$A$945,$A17,'קבוצות לקוחות - מקור'!$D$2:$D$945)</f>
        <v/>
      </c>
    </row>
    <row r="18" ht="15" customHeight="1" s="82">
      <c r="A18" s="88" t="inlineStr">
        <is>
          <t>0צרכנים פרטיים</t>
        </is>
      </c>
      <c r="B18" s="89">
        <f>COUNTIF('קבוצות לקוחות - מקור'!$A$2:$A$945,$A18)</f>
        <v/>
      </c>
      <c r="C18" s="90">
        <f>SUMIF('קבוצות לקוחות - מקור'!$A$2:$A$945,$A18,'קבוצות לקוחות - מקור'!$C$2:$C$945)</f>
        <v/>
      </c>
      <c r="D18" s="90">
        <f>SUMIF('קבוצות לקוחות - מקור'!$A$2:$A$945,$A18,'קבוצות לקוחות - מקור'!$D$2:$D$945)</f>
        <v/>
      </c>
    </row>
    <row r="19" ht="15" customHeight="1" s="82">
      <c r="A19" s="85" t="inlineStr">
        <is>
          <t>0קופות חולים</t>
        </is>
      </c>
      <c r="B19" s="86">
        <f>COUNTIF('קבוצות לקוחות - מקור'!$A$2:$A$945,$A19)</f>
        <v/>
      </c>
      <c r="C19" s="87">
        <f>SUMIF('קבוצות לקוחות - מקור'!$A$2:$A$945,$A19,'קבוצות לקוחות - מקור'!$C$2:$C$945)</f>
        <v/>
      </c>
      <c r="D19" s="87">
        <f>SUMIF('קבוצות לקוחות - מקור'!$A$2:$A$945,$A19,'קבוצות לקוחות - מקור'!$D$2:$D$945)</f>
        <v/>
      </c>
    </row>
    <row r="20" ht="15" customHeight="1" s="82">
      <c r="A20" s="85" t="inlineStr">
        <is>
          <t>0שונות</t>
        </is>
      </c>
      <c r="B20" s="86">
        <f>COUNTIF('קבוצות לקוחות - מקור'!$A$2:$A$945,$A20)</f>
        <v/>
      </c>
      <c r="C20" s="87">
        <f>SUMIF('קבוצות לקוחות - מקור'!$A$2:$A$945,$A20,'קבוצות לקוחות - מקור'!$C$2:$C$945)</f>
        <v/>
      </c>
      <c r="D20" s="87">
        <f>SUMIF('קבוצות לקוחות - מקור'!$A$2:$A$945,$A20,'קבוצות לקוחות - מקור'!$D$2:$D$945)</f>
        <v/>
      </c>
    </row>
    <row r="21" ht="15" customHeight="1" s="82">
      <c r="A21" s="91" t="inlineStr">
        <is>
          <t>סה"כ 17 קבוצות</t>
        </is>
      </c>
      <c r="B21" s="92">
        <f>SUM(B4:B20)</f>
        <v/>
      </c>
      <c r="C21" s="92">
        <f>SUM(C4:C20)</f>
        <v/>
      </c>
      <c r="D21" s="92">
        <f>SUM(D4:D20)</f>
        <v/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558ED5"/>
    <outlinePr summaryBelow="1" summaryRight="1"/>
    <pageSetUpPr fitToPage="0"/>
  </sheetPr>
  <dimension ref="A1:H27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E33" activeCellId="0" sqref="E33"/>
    </sheetView>
  </sheetViews>
  <sheetFormatPr baseColWidth="8" defaultColWidth="8.57421875" defaultRowHeight="15" zeroHeight="0" outlineLevelRow="0"/>
  <cols>
    <col width="22" customWidth="1" style="81" min="1" max="1"/>
    <col width="16" customWidth="1" style="81" min="2" max="2"/>
    <col width="22.43" customWidth="1" style="81" min="3" max="3"/>
    <col width="14" customWidth="1" style="81" min="4" max="4"/>
    <col width="12" customWidth="1" style="81" min="5" max="6"/>
    <col width="14" customWidth="1" style="81" min="7" max="7"/>
    <col width="20" customWidth="1" style="81" min="8" max="8"/>
  </cols>
  <sheetData>
    <row r="1" ht="18" customHeight="1" s="82">
      <c r="A1" s="83" t="inlineStr">
        <is>
          <t>נקודות לכל סוכן בכל קבוצת לקוחות — מתוך דוח PPlay1 of uriel (Reporter), "2026_נקודות_של_סוכן_1"</t>
        </is>
      </c>
    </row>
    <row r="3" ht="15" customHeight="1" s="82">
      <c r="A3" s="93" t="inlineStr">
        <is>
          <t>קבוצת לקוחות</t>
        </is>
      </c>
      <c r="B3" s="93" t="inlineStr">
        <is>
          <t>חיים וייצמ</t>
        </is>
      </c>
      <c r="C3" s="93" t="inlineStr">
        <is>
          <t>חאזם תלחמי</t>
        </is>
      </c>
      <c r="D3" s="93" t="inlineStr">
        <is>
          <t>סטאס נסאר</t>
        </is>
      </c>
      <c r="E3" s="93" t="inlineStr">
        <is>
          <t>עיסא</t>
        </is>
      </c>
      <c r="F3" s="93" t="inlineStr">
        <is>
          <t>.דוד א</t>
        </is>
      </c>
      <c r="G3" s="93" t="inlineStr">
        <is>
          <t>לא מטופל</t>
        </is>
      </c>
      <c r="H3" s="93" t="inlineStr">
        <is>
          <t>סה"כ נקודות (קבוצה)</t>
        </is>
      </c>
    </row>
    <row r="4" ht="15" customHeight="1" s="82">
      <c r="A4" s="94" t="inlineStr">
        <is>
          <t>0בתי מרקחת</t>
        </is>
      </c>
      <c r="B4" s="95">
        <f>COUNTIFS('נקודות - מקור'!$A$2:$A$564,$A4,'נקודות - מקור'!$C$2:$C$564,"&lt;&gt;0")</f>
        <v/>
      </c>
      <c r="C4" s="95">
        <f>COUNTIFS('נקודות - מקור'!$A$2:$A$564,$A4,'נקודות - מקור'!$D$2:$D$564,"&lt;&gt;0")</f>
        <v/>
      </c>
      <c r="D4" s="95">
        <f>COUNTIFS('נקודות - מקור'!$A$2:$A$564,$A4,'נקודות - מקור'!$E$2:$E$564,"&lt;&gt;0")</f>
        <v/>
      </c>
      <c r="E4" s="95">
        <f>COUNTIFS('נקודות - מקור'!$A$2:$A$564,$A4,'נקודות - מקור'!$F$2:$F$564,"&lt;&gt;0")</f>
        <v/>
      </c>
      <c r="F4" s="95">
        <f>COUNTIFS('נקודות - מקור'!$A$2:$A$564,$A4,'נקודות - מקור'!$G$2:$G$564,"&lt;&gt;0")</f>
        <v/>
      </c>
      <c r="G4" s="95">
        <f>COUNTIFS('נקודות - מקור'!$A$2:$A$564,$A4,'נקודות - מקור'!$H$2:$H$564,0)</f>
        <v/>
      </c>
      <c r="H4" s="95">
        <f>COUNTIFS('נקודות - מקור'!$A$2:$A$564,$A4)</f>
        <v/>
      </c>
    </row>
    <row r="5" ht="15" customHeight="1" s="82">
      <c r="A5" s="94" t="inlineStr">
        <is>
          <t>מגזר ערבי</t>
        </is>
      </c>
      <c r="B5" s="95">
        <f>COUNTIFS('נקודות - מקור'!$A$2:$A$564,$A5,'נקודות - מקור'!$C$2:$C$564,"&lt;&gt;0")</f>
        <v/>
      </c>
      <c r="C5" s="95">
        <f>COUNTIFS('נקודות - מקור'!$A$2:$A$564,$A5,'נקודות - מקור'!$D$2:$D$564,"&lt;&gt;0")</f>
        <v/>
      </c>
      <c r="D5" s="95">
        <f>COUNTIFS('נקודות - מקור'!$A$2:$A$564,$A5,'נקודות - מקור'!$E$2:$E$564,"&lt;&gt;0")</f>
        <v/>
      </c>
      <c r="E5" s="95">
        <f>COUNTIFS('נקודות - מקור'!$A$2:$A$564,$A5,'נקודות - מקור'!$F$2:$F$564,"&lt;&gt;0")</f>
        <v/>
      </c>
      <c r="F5" s="95">
        <f>COUNTIFS('נקודות - מקור'!$A$2:$A$564,$A5,'נקודות - מקור'!$G$2:$G$564,"&lt;&gt;0")</f>
        <v/>
      </c>
      <c r="G5" s="95">
        <f>COUNTIFS('נקודות - מקור'!$A$2:$A$564,$A5,'נקודות - מקור'!$H$2:$H$564,0)</f>
        <v/>
      </c>
      <c r="H5" s="95">
        <f>COUNTIFS('נקודות - מקור'!$A$2:$A$564,$A5)</f>
        <v/>
      </c>
    </row>
    <row r="6" ht="15" customHeight="1" s="82">
      <c r="A6" s="94" t="inlineStr">
        <is>
          <t>רוקחים עתיד</t>
        </is>
      </c>
      <c r="B6" s="95">
        <f>COUNTIFS('נקודות - מקור'!$A$2:$A$564,$A6,'נקודות - מקור'!$C$2:$C$564,"&lt;&gt;0")</f>
        <v/>
      </c>
      <c r="C6" s="95">
        <f>COUNTIFS('נקודות - מקור'!$A$2:$A$564,$A6,'נקודות - מקור'!$D$2:$D$564,"&lt;&gt;0")</f>
        <v/>
      </c>
      <c r="D6" s="95">
        <f>COUNTIFS('נקודות - מקור'!$A$2:$A$564,$A6,'נקודות - מקור'!$E$2:$E$564,"&lt;&gt;0")</f>
        <v/>
      </c>
      <c r="E6" s="95">
        <f>COUNTIFS('נקודות - מקור'!$A$2:$A$564,$A6,'נקודות - מקור'!$F$2:$F$564,"&lt;&gt;0")</f>
        <v/>
      </c>
      <c r="F6" s="95">
        <f>COUNTIFS('נקודות - מקור'!$A$2:$A$564,$A6,'נקודות - מקור'!$G$2:$G$564,"&lt;&gt;0")</f>
        <v/>
      </c>
      <c r="G6" s="95">
        <f>COUNTIFS('נקודות - מקור'!$A$2:$A$564,$A6,'נקודות - מקור'!$H$2:$H$564,0)</f>
        <v/>
      </c>
      <c r="H6" s="95">
        <f>COUNTIFS('נקודות - מקור'!$A$2:$A$564,$A6)</f>
        <v/>
      </c>
    </row>
    <row r="7" ht="15" customHeight="1" s="82">
      <c r="A7" s="94" t="inlineStr">
        <is>
          <t>רשת י-ם</t>
        </is>
      </c>
      <c r="B7" s="95">
        <f>COUNTIFS('נקודות - מקור'!$A$2:$A$564,$A7,'נקודות - מקור'!$C$2:$C$564,"&lt;&gt;0")</f>
        <v/>
      </c>
      <c r="C7" s="95">
        <f>COUNTIFS('נקודות - מקור'!$A$2:$A$564,$A7,'נקודות - מקור'!$D$2:$D$564,"&lt;&gt;0")</f>
        <v/>
      </c>
      <c r="D7" s="95">
        <f>COUNTIFS('נקודות - מקור'!$A$2:$A$564,$A7,'נקודות - מקור'!$E$2:$E$564,"&lt;&gt;0")</f>
        <v/>
      </c>
      <c r="E7" s="95">
        <f>COUNTIFS('נקודות - מקור'!$A$2:$A$564,$A7,'נקודות - מקור'!$F$2:$F$564,"&lt;&gt;0")</f>
        <v/>
      </c>
      <c r="F7" s="95">
        <f>COUNTIFS('נקודות - מקור'!$A$2:$A$564,$A7,'נקודות - מקור'!$G$2:$G$564,"&lt;&gt;0")</f>
        <v/>
      </c>
      <c r="G7" s="95">
        <f>COUNTIFS('נקודות - מקור'!$A$2:$A$564,$A7,'נקודות - מקור'!$H$2:$H$564,0)</f>
        <v/>
      </c>
      <c r="H7" s="95">
        <f>COUNTIFS('נקודות - מקור'!$A$2:$A$564,$A7)</f>
        <v/>
      </c>
    </row>
    <row r="8" ht="15" customHeight="1" s="82">
      <c r="A8" s="94" t="inlineStr">
        <is>
          <t>שור טבצניק</t>
        </is>
      </c>
      <c r="B8" s="95">
        <f>COUNTIFS('נקודות - מקור'!$A$2:$A$564,$A8,'נקודות - מקור'!$C$2:$C$564,"&lt;&gt;0")</f>
        <v/>
      </c>
      <c r="C8" s="95">
        <f>COUNTIFS('נקודות - מקור'!$A$2:$A$564,$A8,'נקודות - מקור'!$D$2:$D$564,"&lt;&gt;0")</f>
        <v/>
      </c>
      <c r="D8" s="95">
        <f>COUNTIFS('נקודות - מקור'!$A$2:$A$564,$A8,'נקודות - מקור'!$E$2:$E$564,"&lt;&gt;0")</f>
        <v/>
      </c>
      <c r="E8" s="95">
        <f>COUNTIFS('נקודות - מקור'!$A$2:$A$564,$A8,'נקודות - מקור'!$F$2:$F$564,"&lt;&gt;0")</f>
        <v/>
      </c>
      <c r="F8" s="95">
        <f>COUNTIFS('נקודות - מקור'!$A$2:$A$564,$A8,'נקודות - מקור'!$G$2:$G$564,"&lt;&gt;0")</f>
        <v/>
      </c>
      <c r="G8" s="95">
        <f>COUNTIFS('נקודות - מקור'!$A$2:$A$564,$A8,'נקודות - מקור'!$H$2:$H$564,0)</f>
        <v/>
      </c>
      <c r="H8" s="95">
        <f>COUNTIFS('נקודות - מקור'!$A$2:$A$564,$A8)</f>
        <v/>
      </c>
    </row>
    <row r="9" ht="15" customHeight="1" s="82">
      <c r="A9" s="94" t="inlineStr">
        <is>
          <t>שרם</t>
        </is>
      </c>
      <c r="B9" s="95">
        <f>COUNTIFS('נקודות - מקור'!$A$2:$A$564,$A9,'נקודות - מקור'!$C$2:$C$564,"&lt;&gt;0")</f>
        <v/>
      </c>
      <c r="C9" s="95">
        <f>COUNTIFS('נקודות - מקור'!$A$2:$A$564,$A9,'נקודות - מקור'!$D$2:$D$564,"&lt;&gt;0")</f>
        <v/>
      </c>
      <c r="D9" s="95">
        <f>COUNTIFS('נקודות - מקור'!$A$2:$A$564,$A9,'נקודות - מקור'!$E$2:$E$564,"&lt;&gt;0")</f>
        <v/>
      </c>
      <c r="E9" s="95">
        <f>COUNTIFS('נקודות - מקור'!$A$2:$A$564,$A9,'נקודות - מקור'!$F$2:$F$564,"&lt;&gt;0")</f>
        <v/>
      </c>
      <c r="F9" s="95">
        <f>COUNTIFS('נקודות - מקור'!$A$2:$A$564,$A9,'נקודות - מקור'!$G$2:$G$564,"&lt;&gt;0")</f>
        <v/>
      </c>
      <c r="G9" s="95">
        <f>COUNTIFS('נקודות - מקור'!$A$2:$A$564,$A9,'נקודות - מקור'!$H$2:$H$564,0)</f>
        <v/>
      </c>
      <c r="H9" s="95">
        <f>COUNTIFS('נקודות - מקור'!$A$2:$A$564,$A9)</f>
        <v/>
      </c>
    </row>
    <row r="10" ht="15" customHeight="1" s="82">
      <c r="A10" s="94" t="inlineStr">
        <is>
          <t>0מפיצי משנה</t>
        </is>
      </c>
      <c r="B10" s="95">
        <f>COUNTIFS('נקודות - מקור'!$A$2:$A$564,$A10,'נקודות - מקור'!$C$2:$C$564,"&lt;&gt;0")</f>
        <v/>
      </c>
      <c r="C10" s="95">
        <f>COUNTIFS('נקודות - מקור'!$A$2:$A$564,$A10,'נקודות - מקור'!$D$2:$D$564,"&lt;&gt;0")</f>
        <v/>
      </c>
      <c r="D10" s="95">
        <f>COUNTIFS('נקודות - מקור'!$A$2:$A$564,$A10,'נקודות - מקור'!$E$2:$E$564,"&lt;&gt;0")</f>
        <v/>
      </c>
      <c r="E10" s="95">
        <f>COUNTIFS('נקודות - מקור'!$A$2:$A$564,$A10,'נקודות - מקור'!$F$2:$F$564,"&lt;&gt;0")</f>
        <v/>
      </c>
      <c r="F10" s="95">
        <f>COUNTIFS('נקודות - מקור'!$A$2:$A$564,$A10,'נקודות - מקור'!$G$2:$G$564,"&lt;&gt;0")</f>
        <v/>
      </c>
      <c r="G10" s="95">
        <f>COUNTIFS('נקודות - מקור'!$A$2:$A$564,$A10,'נקודות - מקור'!$H$2:$H$564,0)</f>
        <v/>
      </c>
      <c r="H10" s="95">
        <f>COUNTIFS('נקודות - מקור'!$A$2:$A$564,$A10)</f>
        <v/>
      </c>
    </row>
    <row r="11" ht="15" customHeight="1" s="82">
      <c r="A11" s="94" t="inlineStr">
        <is>
          <t>ס. פארם</t>
        </is>
      </c>
      <c r="B11" s="95">
        <f>COUNTIFS('נקודות - מקור'!$A$2:$A$564,$A11,'נקודות - מקור'!$C$2:$C$564,"&lt;&gt;0")</f>
        <v/>
      </c>
      <c r="C11" s="95">
        <f>COUNTIFS('נקודות - מקור'!$A$2:$A$564,$A11,'נקודות - מקור'!$D$2:$D$564,"&lt;&gt;0")</f>
        <v/>
      </c>
      <c r="D11" s="95">
        <f>COUNTIFS('נקודות - מקור'!$A$2:$A$564,$A11,'נקודות - מקור'!$E$2:$E$564,"&lt;&gt;0")</f>
        <v/>
      </c>
      <c r="E11" s="95">
        <f>COUNTIFS('נקודות - מקור'!$A$2:$A$564,$A11,'נקודות - מקור'!$F$2:$F$564,"&lt;&gt;0")</f>
        <v/>
      </c>
      <c r="F11" s="95">
        <f>COUNTIFS('נקודות - מקור'!$A$2:$A$564,$A11,'נקודות - מקור'!$G$2:$G$564,"&lt;&gt;0")</f>
        <v/>
      </c>
      <c r="G11" s="95">
        <f>COUNTIFS('נקודות - מקור'!$A$2:$A$564,$A11,'נקודות - מקור'!$H$2:$H$564,0)</f>
        <v/>
      </c>
      <c r="H11" s="95">
        <f>COUNTIFS('נקודות - מקור'!$A$2:$A$564,$A11)</f>
        <v/>
      </c>
    </row>
    <row r="12" ht="15" customHeight="1" s="82">
      <c r="A12" s="94" t="inlineStr">
        <is>
          <t>שופרסל BE</t>
        </is>
      </c>
      <c r="B12" s="95">
        <f>COUNTIFS('נקודות - מקור'!$A$2:$A$564,$A12,'נקודות - מקור'!$C$2:$C$564,"&lt;&gt;0")</f>
        <v/>
      </c>
      <c r="C12" s="95">
        <f>COUNTIFS('נקודות - מקור'!$A$2:$A$564,$A12,'נקודות - מקור'!$D$2:$D$564,"&lt;&gt;0")</f>
        <v/>
      </c>
      <c r="D12" s="95">
        <f>COUNTIFS('נקודות - מקור'!$A$2:$A$564,$A12,'נקודות - מקור'!$E$2:$E$564,"&lt;&gt;0")</f>
        <v/>
      </c>
      <c r="E12" s="95">
        <f>COUNTIFS('נקודות - מקור'!$A$2:$A$564,$A12,'נקודות - מקור'!$F$2:$F$564,"&lt;&gt;0")</f>
        <v/>
      </c>
      <c r="F12" s="95">
        <f>COUNTIFS('נקודות - מקור'!$A$2:$A$564,$A12,'נקודות - מקור'!$G$2:$G$564,"&lt;&gt;0")</f>
        <v/>
      </c>
      <c r="G12" s="95">
        <f>COUNTIFS('נקודות - מקור'!$A$2:$A$564,$A12,'נקודות - מקור'!$H$2:$H$564,0)</f>
        <v/>
      </c>
      <c r="H12" s="95">
        <f>COUNTIFS('נקודות - מקור'!$A$2:$A$564,$A12)</f>
        <v/>
      </c>
    </row>
    <row r="13" ht="15" customHeight="1" s="82">
      <c r="A13" s="94" t="inlineStr">
        <is>
          <t>0קופות חולים</t>
        </is>
      </c>
      <c r="B13" s="95">
        <f>COUNTIFS('נקודות - מקור'!$A$2:$A$564,$A13,'נקודות - מקור'!$C$2:$C$564,"&lt;&gt;0")</f>
        <v/>
      </c>
      <c r="C13" s="95">
        <f>COUNTIFS('נקודות - מקור'!$A$2:$A$564,$A13,'נקודות - מקור'!$D$2:$D$564,"&lt;&gt;0")</f>
        <v/>
      </c>
      <c r="D13" s="95">
        <f>COUNTIFS('נקודות - מקור'!$A$2:$A$564,$A13,'נקודות - מקור'!$E$2:$E$564,"&lt;&gt;0")</f>
        <v/>
      </c>
      <c r="E13" s="95">
        <f>COUNTIFS('נקודות - מקור'!$A$2:$A$564,$A13,'נקודות - מקור'!$F$2:$F$564,"&lt;&gt;0")</f>
        <v/>
      </c>
      <c r="F13" s="95">
        <f>COUNTIFS('נקודות - מקור'!$A$2:$A$564,$A13,'נקודות - מקור'!$G$2:$G$564,"&lt;&gt;0")</f>
        <v/>
      </c>
      <c r="G13" s="95">
        <f>COUNTIFS('נקודות - מקור'!$A$2:$A$564,$A13,'נקודות - מקור'!$H$2:$H$564,0)</f>
        <v/>
      </c>
      <c r="H13" s="95">
        <f>COUNTIFS('נקודות - מקור'!$A$2:$A$564,$A13)</f>
        <v/>
      </c>
    </row>
    <row r="14" ht="15" customHeight="1" s="82">
      <c r="A14" s="96" t="inlineStr">
        <is>
          <t>סה"כ</t>
        </is>
      </c>
      <c r="B14" s="97">
        <f>SUM(B4:B13)</f>
        <v/>
      </c>
      <c r="C14" s="97">
        <f>SUM(C4:C13)</f>
        <v/>
      </c>
      <c r="D14" s="97">
        <f>SUM(D4:D13)</f>
        <v/>
      </c>
      <c r="E14" s="97">
        <f>SUM(E4:E13)</f>
        <v/>
      </c>
      <c r="F14" s="97">
        <f>SUM(F4:F13)</f>
        <v/>
      </c>
      <c r="G14" s="97">
        <f>SUM(G4:G13)</f>
        <v/>
      </c>
      <c r="H14" s="97">
        <f>SUM(H4:H13)</f>
        <v/>
      </c>
    </row>
    <row r="16" ht="15" customHeight="1" s="82">
      <c r="A16" s="98" t="inlineStr">
        <is>
          <t>בדיקת הצלבה — מספר שורות-לקוח במקור (COUNTA):</t>
        </is>
      </c>
      <c r="B16" s="94">
        <f>COUNTA('נקודות - מקור'!$A$2:$A$564)</f>
        <v/>
      </c>
    </row>
    <row r="17" ht="15" customHeight="1" s="82">
      <c r="A17" s="98" t="inlineStr">
        <is>
          <t>הפרש מול "סה"כ נקודות" הכללי (צריך להיות 0):</t>
        </is>
      </c>
      <c r="B17" s="94">
        <f>H14-B16</f>
        <v/>
      </c>
    </row>
    <row r="20" ht="15" customHeight="1" s="82">
      <c r="A20" s="98" t="inlineStr">
        <is>
          <t>נקודות עם יותר מסוכן אחד (לשקיפות — לא נזרקות, נספרות בכל הסוכנים הרלוונטיים):</t>
        </is>
      </c>
    </row>
    <row r="21" ht="15" customHeight="1" s="82">
      <c r="A21" s="93" t="inlineStr">
        <is>
          <t>קבוצה</t>
        </is>
      </c>
      <c r="B21" s="93" t="inlineStr">
        <is>
          <t>שם לקוח (מקור)</t>
        </is>
      </c>
      <c r="C21" s="93" t="inlineStr">
        <is>
          <t>סוכנים עם סכום≠0</t>
        </is>
      </c>
    </row>
    <row r="22" ht="15" customHeight="1" s="82">
      <c r="A22" s="94" t="inlineStr">
        <is>
          <t>שרם</t>
        </is>
      </c>
      <c r="B22" s="94" t="inlineStr">
        <is>
          <t>ב.מ שרה פארם צור יצחק שרמפארם</t>
        </is>
      </c>
      <c r="C22" s="94" t="inlineStr">
        <is>
          <t>חאזם תלחמי, סטאס נסאר</t>
        </is>
      </c>
    </row>
    <row r="23" ht="15" customHeight="1" s="82">
      <c r="A23" s="94" t="n"/>
      <c r="B23" s="94" t="n"/>
      <c r="C23" s="94" t="n"/>
    </row>
    <row r="26" ht="15" customHeight="1" s="82">
      <c r="A26" s="98" t="n"/>
    </row>
    <row r="27" ht="15" customHeight="1" s="82">
      <c r="A27" s="99" t="n"/>
    </row>
  </sheetData>
  <mergeCells count="1">
    <mergeCell ref="A27:H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558ED5"/>
    <outlinePr summaryBelow="1" summaryRight="1"/>
    <pageSetUpPr fitToPage="0"/>
  </sheetPr>
  <dimension ref="A1:H25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K26" activeCellId="0" sqref="K26"/>
    </sheetView>
  </sheetViews>
  <sheetFormatPr baseColWidth="8" defaultColWidth="8.57421875" defaultRowHeight="15" zeroHeight="0" outlineLevelRow="0"/>
  <cols>
    <col width="22" customWidth="1" style="81" min="1" max="1"/>
    <col width="16" customWidth="1" style="81" min="2" max="2"/>
    <col width="15.86" customWidth="1" style="81" min="3" max="3"/>
    <col width="14" customWidth="1" style="81" min="4" max="4"/>
    <col width="12" customWidth="1" style="81" min="5" max="5"/>
    <col width="14" customWidth="1" style="81" min="7" max="7"/>
    <col width="20" customWidth="1" style="81" min="8" max="8"/>
  </cols>
  <sheetData>
    <row r="1" ht="16.5" customHeight="1" s="82">
      <c r="A1" s="83" t="inlineStr">
        <is>
          <t>נקודות לכל סוכן בכל קבוצת לקוחות — מתוך דוח PPlay1 of uriel (Reporter), "2025_נקודות_של_סוכן_1" (2025, שנה מלאה)</t>
        </is>
      </c>
    </row>
    <row r="3" ht="26.25" customHeight="1" s="82">
      <c r="A3" s="93" t="inlineStr">
        <is>
          <t>קבוצת לקוחות</t>
        </is>
      </c>
      <c r="B3" s="93" t="inlineStr">
        <is>
          <t>חיים וייצמ</t>
        </is>
      </c>
      <c r="C3" s="93" t="inlineStr">
        <is>
          <t>חאזם תלחמי</t>
        </is>
      </c>
      <c r="D3" s="93" t="inlineStr">
        <is>
          <t>סטאס נסאר</t>
        </is>
      </c>
      <c r="E3" s="93" t="inlineStr">
        <is>
          <t>עיסא</t>
        </is>
      </c>
      <c r="F3" s="93" t="inlineStr">
        <is>
          <t>.דוד א</t>
        </is>
      </c>
      <c r="G3" s="93" t="inlineStr">
        <is>
          <t>לא מטופל</t>
        </is>
      </c>
      <c r="H3" s="93" t="inlineStr">
        <is>
          <t>סה"כ נקודות (קבוצה)</t>
        </is>
      </c>
    </row>
    <row r="4" ht="15" customHeight="1" s="82">
      <c r="A4" s="94" t="inlineStr">
        <is>
          <t>0בתי מרקחת</t>
        </is>
      </c>
      <c r="B4" s="95">
        <f>COUNTIFS('נקודות - מקור 2025'!$A$2:$A$583,$A4,'נקודות - מקור 2025'!$C$2:$C$583,"&lt;&gt;0")</f>
        <v/>
      </c>
      <c r="C4" s="95">
        <f>COUNTIFS('נקודות - מקור 2025'!$A$2:$A$583,$A4,'נקודות - מקור 2025'!$D$2:$D$583,"&lt;&gt;0")</f>
        <v/>
      </c>
      <c r="D4" s="95">
        <f>COUNTIFS('נקודות - מקור 2025'!$A$2:$A$583,$A4,'נקודות - מקור 2025'!$E$2:$E$583,"&lt;&gt;0")</f>
        <v/>
      </c>
      <c r="E4" s="95">
        <f>COUNTIFS('נקודות - מקור 2025'!$A$2:$A$583,$A4,'נקודות - מקור 2025'!$F$2:$F$583,"&lt;&gt;0")</f>
        <v/>
      </c>
      <c r="F4" s="95">
        <f>COUNTIFS('נקודות - מקור 2025'!$A$2:$A$583,$A4,'נקודות - מקור 2025'!$G$2:$G$583,"&lt;&gt;0")</f>
        <v/>
      </c>
      <c r="G4" s="95">
        <f>COUNTIFS('נקודות - מקור 2025'!$A$2:$A$583,$A4,'נקודות - מקור 2025'!$H$2:$H$583,0)</f>
        <v/>
      </c>
      <c r="H4" s="95">
        <f>COUNTIFS('נקודות - מקור 2025'!$A$2:$A$583,$A4)</f>
        <v/>
      </c>
    </row>
    <row r="5" ht="15" customHeight="1" s="82">
      <c r="A5" s="94" t="inlineStr">
        <is>
          <t>מגזר ערבי</t>
        </is>
      </c>
      <c r="B5" s="95">
        <f>COUNTIFS('נקודות - מקור 2025'!$A$2:$A$583,$A5,'נקודות - מקור 2025'!$C$2:$C$583,"&lt;&gt;0")</f>
        <v/>
      </c>
      <c r="C5" s="95">
        <f>COUNTIFS('נקודות - מקור 2025'!$A$2:$A$583,$A5,'נקודות - מקור 2025'!$D$2:$D$583,"&lt;&gt;0")</f>
        <v/>
      </c>
      <c r="D5" s="95">
        <f>COUNTIFS('נקודות - מקור 2025'!$A$2:$A$583,$A5,'נקודות - מקור 2025'!$E$2:$E$583,"&lt;&gt;0")</f>
        <v/>
      </c>
      <c r="E5" s="95">
        <f>COUNTIFS('נקודות - מקור 2025'!$A$2:$A$583,$A5,'נקודות - מקור 2025'!$F$2:$F$583,"&lt;&gt;0")</f>
        <v/>
      </c>
      <c r="F5" s="95">
        <f>COUNTIFS('נקודות - מקור 2025'!$A$2:$A$583,$A5,'נקודות - מקור 2025'!$G$2:$G$583,"&lt;&gt;0")</f>
        <v/>
      </c>
      <c r="G5" s="95">
        <f>COUNTIFS('נקודות - מקור 2025'!$A$2:$A$583,$A5,'נקודות - מקור 2025'!$H$2:$H$583,0)</f>
        <v/>
      </c>
      <c r="H5" s="95">
        <f>COUNTIFS('נקודות - מקור 2025'!$A$2:$A$583,$A5)</f>
        <v/>
      </c>
    </row>
    <row r="6" ht="15" customHeight="1" s="82">
      <c r="A6" s="94" t="inlineStr">
        <is>
          <t>רוקחים עתיד</t>
        </is>
      </c>
      <c r="B6" s="95">
        <f>COUNTIFS('נקודות - מקור 2025'!$A$2:$A$583,$A6,'נקודות - מקור 2025'!$C$2:$C$583,"&lt;&gt;0")</f>
        <v/>
      </c>
      <c r="C6" s="95">
        <f>COUNTIFS('נקודות - מקור 2025'!$A$2:$A$583,$A6,'נקודות - מקור 2025'!$D$2:$D$583,"&lt;&gt;0")</f>
        <v/>
      </c>
      <c r="D6" s="95">
        <f>COUNTIFS('נקודות - מקור 2025'!$A$2:$A$583,$A6,'נקודות - מקור 2025'!$E$2:$E$583,"&lt;&gt;0")</f>
        <v/>
      </c>
      <c r="E6" s="95">
        <f>COUNTIFS('נקודות - מקור 2025'!$A$2:$A$583,$A6,'נקודות - מקור 2025'!$F$2:$F$583,"&lt;&gt;0")</f>
        <v/>
      </c>
      <c r="F6" s="95">
        <f>COUNTIFS('נקודות - מקור 2025'!$A$2:$A$583,$A6,'נקודות - מקור 2025'!$G$2:$G$583,"&lt;&gt;0")</f>
        <v/>
      </c>
      <c r="G6" s="95">
        <f>COUNTIFS('נקודות - מקור 2025'!$A$2:$A$583,$A6,'נקודות - מקור 2025'!$H$2:$H$583,0)</f>
        <v/>
      </c>
      <c r="H6" s="95">
        <f>COUNTIFS('נקודות - מקור 2025'!$A$2:$A$583,$A6)</f>
        <v/>
      </c>
    </row>
    <row r="7" ht="15" customHeight="1" s="82">
      <c r="A7" s="94" t="inlineStr">
        <is>
          <t>רשת י-ם</t>
        </is>
      </c>
      <c r="B7" s="95">
        <f>COUNTIFS('נקודות - מקור 2025'!$A$2:$A$583,$A7,'נקודות - מקור 2025'!$C$2:$C$583,"&lt;&gt;0")</f>
        <v/>
      </c>
      <c r="C7" s="95">
        <f>COUNTIFS('נקודות - מקור 2025'!$A$2:$A$583,$A7,'נקודות - מקור 2025'!$D$2:$D$583,"&lt;&gt;0")</f>
        <v/>
      </c>
      <c r="D7" s="95">
        <f>COUNTIFS('נקודות - מקור 2025'!$A$2:$A$583,$A7,'נקודות - מקור 2025'!$E$2:$E$583,"&lt;&gt;0")</f>
        <v/>
      </c>
      <c r="E7" s="95">
        <f>COUNTIFS('נקודות - מקור 2025'!$A$2:$A$583,$A7,'נקודות - מקור 2025'!$F$2:$F$583,"&lt;&gt;0")</f>
        <v/>
      </c>
      <c r="F7" s="95">
        <f>COUNTIFS('נקודות - מקור 2025'!$A$2:$A$583,$A7,'נקודות - מקור 2025'!$G$2:$G$583,"&lt;&gt;0")</f>
        <v/>
      </c>
      <c r="G7" s="95">
        <f>COUNTIFS('נקודות - מקור 2025'!$A$2:$A$583,$A7,'נקודות - מקור 2025'!$H$2:$H$583,0)</f>
        <v/>
      </c>
      <c r="H7" s="95">
        <f>COUNTIFS('נקודות - מקור 2025'!$A$2:$A$583,$A7)</f>
        <v/>
      </c>
    </row>
    <row r="8" ht="15" customHeight="1" s="82">
      <c r="A8" s="94" t="inlineStr">
        <is>
          <t>שור טבצניק</t>
        </is>
      </c>
      <c r="B8" s="95">
        <f>COUNTIFS('נקודות - מקור 2025'!$A$2:$A$583,$A8,'נקודות - מקור 2025'!$C$2:$C$583,"&lt;&gt;0")</f>
        <v/>
      </c>
      <c r="C8" s="95">
        <f>COUNTIFS('נקודות - מקור 2025'!$A$2:$A$583,$A8,'נקודות - מקור 2025'!$D$2:$D$583,"&lt;&gt;0")</f>
        <v/>
      </c>
      <c r="D8" s="95">
        <f>COUNTIFS('נקודות - מקור 2025'!$A$2:$A$583,$A8,'נקודות - מקור 2025'!$E$2:$E$583,"&lt;&gt;0")</f>
        <v/>
      </c>
      <c r="E8" s="95">
        <f>COUNTIFS('נקודות - מקור 2025'!$A$2:$A$583,$A8,'נקודות - מקור 2025'!$F$2:$F$583,"&lt;&gt;0")</f>
        <v/>
      </c>
      <c r="F8" s="95">
        <f>COUNTIFS('נקודות - מקור 2025'!$A$2:$A$583,$A8,'נקודות - מקור 2025'!$G$2:$G$583,"&lt;&gt;0")</f>
        <v/>
      </c>
      <c r="G8" s="95">
        <f>COUNTIFS('נקודות - מקור 2025'!$A$2:$A$583,$A8,'נקודות - מקור 2025'!$H$2:$H$583,0)</f>
        <v/>
      </c>
      <c r="H8" s="95">
        <f>COUNTIFS('נקודות - מקור 2025'!$A$2:$A$583,$A8)</f>
        <v/>
      </c>
    </row>
    <row r="9" ht="15" customHeight="1" s="82">
      <c r="A9" s="94" t="inlineStr">
        <is>
          <t>שרם</t>
        </is>
      </c>
      <c r="B9" s="95">
        <f>COUNTIFS('נקודות - מקור 2025'!$A$2:$A$583,$A9,'נקודות - מקור 2025'!$C$2:$C$583,"&lt;&gt;0")</f>
        <v/>
      </c>
      <c r="C9" s="95">
        <f>COUNTIFS('נקודות - מקור 2025'!$A$2:$A$583,$A9,'נקודות - מקור 2025'!$D$2:$D$583,"&lt;&gt;0")</f>
        <v/>
      </c>
      <c r="D9" s="95">
        <f>COUNTIFS('נקודות - מקור 2025'!$A$2:$A$583,$A9,'נקודות - מקור 2025'!$E$2:$E$583,"&lt;&gt;0")</f>
        <v/>
      </c>
      <c r="E9" s="95">
        <f>COUNTIFS('נקודות - מקור 2025'!$A$2:$A$583,$A9,'נקודות - מקור 2025'!$F$2:$F$583,"&lt;&gt;0")</f>
        <v/>
      </c>
      <c r="F9" s="95">
        <f>COUNTIFS('נקודות - מקור 2025'!$A$2:$A$583,$A9,'נקודות - מקור 2025'!$G$2:$G$583,"&lt;&gt;0")</f>
        <v/>
      </c>
      <c r="G9" s="95">
        <f>COUNTIFS('נקודות - מקור 2025'!$A$2:$A$583,$A9,'נקודות - מקור 2025'!$H$2:$H$583,0)</f>
        <v/>
      </c>
      <c r="H9" s="95">
        <f>COUNTIFS('נקודות - מקור 2025'!$A$2:$A$583,$A9)</f>
        <v/>
      </c>
    </row>
    <row r="10" ht="15" customHeight="1" s="82">
      <c r="A10" s="94" t="inlineStr">
        <is>
          <t>0מפיצי משנה</t>
        </is>
      </c>
      <c r="B10" s="95">
        <f>COUNTIFS('נקודות - מקור 2025'!$A$2:$A$583,$A10,'נקודות - מקור 2025'!$C$2:$C$583,"&lt;&gt;0")</f>
        <v/>
      </c>
      <c r="C10" s="95">
        <f>COUNTIFS('נקודות - מקור 2025'!$A$2:$A$583,$A10,'נקודות - מקור 2025'!$D$2:$D$583,"&lt;&gt;0")</f>
        <v/>
      </c>
      <c r="D10" s="95">
        <f>COUNTIFS('נקודות - מקור 2025'!$A$2:$A$583,$A10,'נקודות - מקור 2025'!$E$2:$E$583,"&lt;&gt;0")</f>
        <v/>
      </c>
      <c r="E10" s="95">
        <f>COUNTIFS('נקודות - מקור 2025'!$A$2:$A$583,$A10,'נקודות - מקור 2025'!$F$2:$F$583,"&lt;&gt;0")</f>
        <v/>
      </c>
      <c r="F10" s="95">
        <f>COUNTIFS('נקודות - מקור 2025'!$A$2:$A$583,$A10,'נקודות - מקור 2025'!$G$2:$G$583,"&lt;&gt;0")</f>
        <v/>
      </c>
      <c r="G10" s="95">
        <f>COUNTIFS('נקודות - מקור 2025'!$A$2:$A$583,$A10,'נקודות - מקור 2025'!$H$2:$H$583,0)</f>
        <v/>
      </c>
      <c r="H10" s="95">
        <f>COUNTIFS('נקודות - מקור 2025'!$A$2:$A$583,$A10)</f>
        <v/>
      </c>
    </row>
    <row r="11" ht="15" customHeight="1" s="82">
      <c r="A11" s="94" t="inlineStr">
        <is>
          <t>ס. פארם</t>
        </is>
      </c>
      <c r="B11" s="95">
        <f>COUNTIFS('נקודות - מקור 2025'!$A$2:$A$583,$A11,'נקודות - מקור 2025'!$C$2:$C$583,"&lt;&gt;0")</f>
        <v/>
      </c>
      <c r="C11" s="95">
        <f>COUNTIFS('נקודות - מקור 2025'!$A$2:$A$583,$A11,'נקודות - מקור 2025'!$D$2:$D$583,"&lt;&gt;0")</f>
        <v/>
      </c>
      <c r="D11" s="95">
        <f>COUNTIFS('נקודות - מקור 2025'!$A$2:$A$583,$A11,'נקודות - מקור 2025'!$E$2:$E$583,"&lt;&gt;0")</f>
        <v/>
      </c>
      <c r="E11" s="95">
        <f>COUNTIFS('נקודות - מקור 2025'!$A$2:$A$583,$A11,'נקודות - מקור 2025'!$F$2:$F$583,"&lt;&gt;0")</f>
        <v/>
      </c>
      <c r="F11" s="95">
        <f>COUNTIFS('נקודות - מקור 2025'!$A$2:$A$583,$A11,'נקודות - מקור 2025'!$G$2:$G$583,"&lt;&gt;0")</f>
        <v/>
      </c>
      <c r="G11" s="95">
        <f>COUNTIFS('נקודות - מקור 2025'!$A$2:$A$583,$A11,'נקודות - מקור 2025'!$H$2:$H$583,0)</f>
        <v/>
      </c>
      <c r="H11" s="95">
        <f>COUNTIFS('נקודות - מקור 2025'!$A$2:$A$583,$A11)</f>
        <v/>
      </c>
    </row>
    <row r="12" ht="15" customHeight="1" s="82">
      <c r="A12" s="94" t="inlineStr">
        <is>
          <t>שופרסל BE</t>
        </is>
      </c>
      <c r="B12" s="95">
        <f>COUNTIFS('נקודות - מקור 2025'!$A$2:$A$583,$A12,'נקודות - מקור 2025'!$C$2:$C$583,"&lt;&gt;0")</f>
        <v/>
      </c>
      <c r="C12" s="95">
        <f>COUNTIFS('נקודות - מקור 2025'!$A$2:$A$583,$A12,'נקודות - מקור 2025'!$D$2:$D$583,"&lt;&gt;0")</f>
        <v/>
      </c>
      <c r="D12" s="95">
        <f>COUNTIFS('נקודות - מקור 2025'!$A$2:$A$583,$A12,'נקודות - מקור 2025'!$E$2:$E$583,"&lt;&gt;0")</f>
        <v/>
      </c>
      <c r="E12" s="95">
        <f>COUNTIFS('נקודות - מקור 2025'!$A$2:$A$583,$A12,'נקודות - מקור 2025'!$F$2:$F$583,"&lt;&gt;0")</f>
        <v/>
      </c>
      <c r="F12" s="95">
        <f>COUNTIFS('נקודות - מקור 2025'!$A$2:$A$583,$A12,'נקודות - מקור 2025'!$G$2:$G$583,"&lt;&gt;0")</f>
        <v/>
      </c>
      <c r="G12" s="95">
        <f>COUNTIFS('נקודות - מקור 2025'!$A$2:$A$583,$A12,'נקודות - מקור 2025'!$H$2:$H$583,0)</f>
        <v/>
      </c>
      <c r="H12" s="95">
        <f>COUNTIFS('נקודות - מקור 2025'!$A$2:$A$583,$A12)</f>
        <v/>
      </c>
    </row>
    <row r="13" ht="15" customHeight="1" s="82">
      <c r="A13" s="96" t="inlineStr">
        <is>
          <t>סה"כ</t>
        </is>
      </c>
      <c r="B13" s="97">
        <f>SUM(B4:B12)</f>
        <v/>
      </c>
      <c r="C13" s="97">
        <f>SUM(C4:C12)</f>
        <v/>
      </c>
      <c r="D13" s="97">
        <f>SUM(D4:D12)</f>
        <v/>
      </c>
      <c r="E13" s="97">
        <f>SUM(E4:E12)</f>
        <v/>
      </c>
      <c r="F13" s="97">
        <f>SUM(F4:F12)</f>
        <v/>
      </c>
      <c r="G13" s="97">
        <f>SUM(G4:G12)</f>
        <v/>
      </c>
      <c r="H13" s="97">
        <f>SUM(H4:H12)</f>
        <v/>
      </c>
    </row>
    <row r="15" ht="15" customHeight="1" s="82">
      <c r="A15" s="98" t="inlineStr">
        <is>
          <t>בדיקת הצלבה — מספר שורות-לקוח במקור (COUNTA):</t>
        </is>
      </c>
      <c r="B15" s="94">
        <f>COUNTA('נקודות - מקור 2025'!$A$2:$A$583)</f>
        <v/>
      </c>
    </row>
    <row r="16" ht="15" customHeight="1" s="82">
      <c r="A16" s="98" t="inlineStr">
        <is>
          <t>הפרש מול "סה"כ נקודות" הכללי (צריך להיות 0):</t>
        </is>
      </c>
      <c r="B16" s="94">
        <f>H13-B15</f>
        <v/>
      </c>
    </row>
    <row r="19" ht="15" customHeight="1" s="82">
      <c r="A19" s="98" t="inlineStr">
        <is>
          <t>נקודות עם יותר מסוכן אחד (לשקיפות — לא נזרקות, נספרות בכל הסוכנים הרלוונטיים):</t>
        </is>
      </c>
    </row>
    <row r="20" ht="26.25" customHeight="1" s="82">
      <c r="A20" s="93" t="inlineStr">
        <is>
          <t>קבוצה</t>
        </is>
      </c>
      <c r="B20" s="93" t="inlineStr">
        <is>
          <t>שם לקוח (מקור)</t>
        </is>
      </c>
      <c r="C20" s="93" t="inlineStr">
        <is>
          <t>סוכנים עם סכום≠0</t>
        </is>
      </c>
    </row>
    <row r="21" ht="15" customHeight="1" s="82">
      <c r="A21" s="94" t="inlineStr">
        <is>
          <t>0בתי מרקחת</t>
        </is>
      </c>
      <c r="B21" s="94" t="inlineStr">
        <is>
          <t>בתי מרקחת פרטי</t>
        </is>
      </c>
      <c r="C21" s="94" t="inlineStr">
        <is>
          <t>חיים וייצמ, חאזם תלחמי, סטאס נסאר, .דוד א</t>
        </is>
      </c>
    </row>
    <row r="24" ht="15" customHeight="1" s="82">
      <c r="A24" s="98" t="n"/>
    </row>
    <row r="25" ht="60" customHeight="1" s="82">
      <c r="A25" s="100" t="n"/>
      <c r="B25" s="100" t="n"/>
      <c r="C25" s="100" t="n"/>
      <c r="D25" s="100" t="n"/>
      <c r="E25" s="100" t="n"/>
      <c r="F25" s="100" t="n"/>
      <c r="G25" s="100" t="n"/>
      <c r="H25" s="10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H2208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7421875" defaultRowHeight="15" zeroHeight="0" outlineLevelRow="0"/>
  <cols>
    <col width="32" customWidth="1" style="81" min="1" max="1"/>
    <col width="36" customWidth="1" style="81" min="2" max="2"/>
    <col width="14" customWidth="1" style="81" min="3" max="3"/>
    <col width="10" customWidth="1" style="81" min="4" max="4"/>
    <col width="13" customWidth="1" style="81" min="5" max="8"/>
  </cols>
  <sheetData>
    <row r="1" ht="15" customHeight="1" s="82">
      <c r="A1" s="101" t="inlineStr">
        <is>
          <t>ערוץ (קוד+שם)</t>
        </is>
      </c>
      <c r="B1" s="101" t="inlineStr">
        <is>
          <t>לקוח</t>
        </is>
      </c>
      <c r="C1" s="101" t="inlineStr">
        <is>
          <t>מספר מסמך</t>
        </is>
      </c>
      <c r="D1" s="101" t="inlineStr">
        <is>
          <t>סוג מסמך</t>
        </is>
      </c>
      <c r="E1" s="101" t="inlineStr">
        <is>
          <t>מכירות 2025</t>
        </is>
      </c>
      <c r="F1" s="101" t="inlineStr">
        <is>
          <t>כמות 2025</t>
        </is>
      </c>
      <c r="G1" s="101" t="inlineStr">
        <is>
          <t>מכירות 2026</t>
        </is>
      </c>
      <c r="H1" s="101" t="inlineStr">
        <is>
          <t>כמות 2026</t>
        </is>
      </c>
    </row>
    <row r="2" ht="15" customHeight="1" s="82">
      <c r="A2" s="94" t="inlineStr">
        <is>
          <t>102 - Orthopedic institutes</t>
        </is>
      </c>
      <c r="B2" s="94" t="inlineStr">
        <is>
          <t>150002 אילן המרכז לאורטופדיה</t>
        </is>
      </c>
      <c r="C2" s="94" t="inlineStr">
        <is>
          <t>INV60424</t>
        </is>
      </c>
      <c r="D2" s="94" t="inlineStr">
        <is>
          <t>INV</t>
        </is>
      </c>
      <c r="E2" s="102" t="n">
        <v>1498.64</v>
      </c>
      <c r="F2" s="94" t="n">
        <v>29</v>
      </c>
      <c r="G2" s="102" t="n">
        <v>0</v>
      </c>
      <c r="H2" s="94" t="n">
        <v>0</v>
      </c>
    </row>
    <row r="3" ht="15" customHeight="1" s="82">
      <c r="A3" s="94" t="inlineStr">
        <is>
          <t>102 - Orthopedic institutes</t>
        </is>
      </c>
      <c r="B3" s="94" t="inlineStr">
        <is>
          <t>150002 אילן המרכז לאורטופדיה</t>
        </is>
      </c>
      <c r="C3" s="94" t="inlineStr">
        <is>
          <t>INV68487</t>
        </is>
      </c>
      <c r="D3" s="94" t="inlineStr">
        <is>
          <t>INV</t>
        </is>
      </c>
      <c r="E3" s="102" t="n">
        <v>0</v>
      </c>
      <c r="F3" s="94" t="n">
        <v>0</v>
      </c>
      <c r="G3" s="102" t="n">
        <v>1222.81</v>
      </c>
      <c r="H3" s="94" t="n">
        <v>9</v>
      </c>
    </row>
    <row r="4" ht="15" customHeight="1" s="82">
      <c r="A4" s="94" t="inlineStr">
        <is>
          <t>102 - Orthopedic institutes</t>
        </is>
      </c>
      <c r="B4" s="94" t="inlineStr">
        <is>
          <t>150002 אילן המרכז לאורטופדיה</t>
        </is>
      </c>
      <c r="C4" s="94" t="inlineStr">
        <is>
          <t>INV68397</t>
        </is>
      </c>
      <c r="D4" s="94" t="inlineStr">
        <is>
          <t>INV</t>
        </is>
      </c>
      <c r="E4" s="102" t="n">
        <v>0</v>
      </c>
      <c r="F4" s="94" t="n">
        <v>0</v>
      </c>
      <c r="G4" s="102" t="n">
        <v>855.88</v>
      </c>
      <c r="H4" s="94" t="n">
        <v>16</v>
      </c>
    </row>
    <row r="5" ht="15" customHeight="1" s="82">
      <c r="A5" s="94" t="inlineStr">
        <is>
          <t>102 - Orthopedic institutes</t>
        </is>
      </c>
      <c r="B5" s="94" t="inlineStr">
        <is>
          <t>150002 אילן המרכז לאורטופדיה</t>
        </is>
      </c>
      <c r="C5" s="94" t="inlineStr">
        <is>
          <t>INV67820</t>
        </is>
      </c>
      <c r="D5" s="94" t="inlineStr">
        <is>
          <t>INV</t>
        </is>
      </c>
      <c r="E5" s="102" t="n">
        <v>0</v>
      </c>
      <c r="F5" s="94" t="n">
        <v>0</v>
      </c>
      <c r="G5" s="102" t="n">
        <v>819.9400000000001</v>
      </c>
      <c r="H5" s="94" t="n">
        <v>7</v>
      </c>
    </row>
    <row r="6" ht="15" customHeight="1" s="82">
      <c r="A6" s="94" t="inlineStr">
        <is>
          <t>102 - Orthopedic institutes</t>
        </is>
      </c>
      <c r="B6" s="94" t="inlineStr">
        <is>
          <t>150002 אילן המרכז לאורטופדיה</t>
        </is>
      </c>
      <c r="C6" s="94" t="inlineStr">
        <is>
          <t>INV52159</t>
        </is>
      </c>
      <c r="D6" s="94" t="inlineStr">
        <is>
          <t>INV</t>
        </is>
      </c>
      <c r="E6" s="102" t="n">
        <v>790.5700000000001</v>
      </c>
      <c r="F6" s="94" t="n">
        <v>9</v>
      </c>
      <c r="G6" s="102" t="n">
        <v>0</v>
      </c>
      <c r="H6" s="94" t="n">
        <v>0</v>
      </c>
    </row>
    <row r="7" ht="15" customHeight="1" s="82">
      <c r="A7" s="94" t="inlineStr">
        <is>
          <t>102 - Orthopedic institutes</t>
        </is>
      </c>
      <c r="B7" s="94" t="inlineStr">
        <is>
          <t>150002 אילן המרכז לאורטופדיה</t>
        </is>
      </c>
      <c r="C7" s="94" t="inlineStr">
        <is>
          <t>INV68852</t>
        </is>
      </c>
      <c r="D7" s="94" t="inlineStr">
        <is>
          <t>INV</t>
        </is>
      </c>
      <c r="E7" s="102" t="n">
        <v>0</v>
      </c>
      <c r="F7" s="94" t="n">
        <v>0</v>
      </c>
      <c r="G7" s="102" t="n">
        <v>718.99</v>
      </c>
      <c r="H7" s="94" t="n">
        <v>12</v>
      </c>
    </row>
    <row r="8" ht="15" customHeight="1" s="82">
      <c r="A8" s="94" t="inlineStr">
        <is>
          <t>102 - Orthopedic institutes</t>
        </is>
      </c>
      <c r="B8" s="94" t="inlineStr">
        <is>
          <t>150002 אילן המרכז לאורטופדיה</t>
        </is>
      </c>
      <c r="C8" s="94" t="inlineStr">
        <is>
          <t>INV68593</t>
        </is>
      </c>
      <c r="D8" s="94" t="inlineStr">
        <is>
          <t>INV</t>
        </is>
      </c>
      <c r="E8" s="102" t="n">
        <v>0</v>
      </c>
      <c r="F8" s="94" t="n">
        <v>0</v>
      </c>
      <c r="G8" s="102" t="n">
        <v>709.15</v>
      </c>
      <c r="H8" s="94" t="n">
        <v>17</v>
      </c>
    </row>
    <row r="9" ht="15" customHeight="1" s="82">
      <c r="A9" s="94" t="inlineStr">
        <is>
          <t>102 - Orthopedic institutes</t>
        </is>
      </c>
      <c r="B9" s="94" t="inlineStr">
        <is>
          <t>150002 אילן המרכז לאורטופדיה</t>
        </is>
      </c>
      <c r="C9" s="94" t="inlineStr">
        <is>
          <t>INV65991</t>
        </is>
      </c>
      <c r="D9" s="94" t="inlineStr">
        <is>
          <t>INV</t>
        </is>
      </c>
      <c r="E9" s="102" t="n">
        <v>657.45</v>
      </c>
      <c r="F9" s="94" t="n">
        <v>20</v>
      </c>
      <c r="G9" s="102" t="n">
        <v>0</v>
      </c>
      <c r="H9" s="94" t="n">
        <v>0</v>
      </c>
    </row>
    <row r="10" ht="15" customHeight="1" s="82">
      <c r="A10" s="94" t="inlineStr">
        <is>
          <t>102 - Orthopedic institutes</t>
        </is>
      </c>
      <c r="B10" s="94" t="inlineStr">
        <is>
          <t>150002 אילן המרכז לאורטופדיה</t>
        </is>
      </c>
      <c r="C10" s="94" t="inlineStr">
        <is>
          <t>INV66251</t>
        </is>
      </c>
      <c r="D10" s="94" t="inlineStr">
        <is>
          <t>INV</t>
        </is>
      </c>
      <c r="E10" s="102" t="n">
        <v>638.53</v>
      </c>
      <c r="F10" s="94" t="n">
        <v>6</v>
      </c>
      <c r="G10" s="102" t="n">
        <v>0</v>
      </c>
      <c r="H10" s="94" t="n">
        <v>0</v>
      </c>
    </row>
    <row r="11" ht="15" customHeight="1" s="82">
      <c r="A11" s="94" t="inlineStr">
        <is>
          <t>102 - Orthopedic institutes</t>
        </is>
      </c>
      <c r="B11" s="94" t="inlineStr">
        <is>
          <t>150002 אילן המרכז לאורטופדיה</t>
        </is>
      </c>
      <c r="C11" s="94" t="inlineStr">
        <is>
          <t>INV68791</t>
        </is>
      </c>
      <c r="D11" s="94" t="inlineStr">
        <is>
          <t>INV</t>
        </is>
      </c>
      <c r="E11" s="102" t="n">
        <v>0</v>
      </c>
      <c r="F11" s="94" t="n">
        <v>0</v>
      </c>
      <c r="G11" s="102" t="n">
        <v>630</v>
      </c>
      <c r="H11" s="94" t="n">
        <v>7</v>
      </c>
    </row>
    <row r="12" ht="15" customHeight="1" s="82">
      <c r="A12" s="94" t="inlineStr">
        <is>
          <t>102 - Orthopedic institutes</t>
        </is>
      </c>
      <c r="B12" s="94" t="inlineStr">
        <is>
          <t>150002 אילן המרכז לאורטופדיה</t>
        </is>
      </c>
      <c r="C12" s="94" t="inlineStr">
        <is>
          <t>INV66952</t>
        </is>
      </c>
      <c r="D12" s="94" t="inlineStr">
        <is>
          <t>INV</t>
        </is>
      </c>
      <c r="E12" s="102" t="n">
        <v>629.99</v>
      </c>
      <c r="F12" s="94" t="n">
        <v>7</v>
      </c>
      <c r="G12" s="102" t="n">
        <v>0</v>
      </c>
      <c r="H12" s="94" t="n">
        <v>0</v>
      </c>
    </row>
    <row r="13" ht="15" customHeight="1" s="82">
      <c r="A13" s="94" t="inlineStr">
        <is>
          <t>102 - Orthopedic institutes</t>
        </is>
      </c>
      <c r="B13" s="94" t="inlineStr">
        <is>
          <t>150002 אילן המרכז לאורטופדיה</t>
        </is>
      </c>
      <c r="C13" s="94" t="inlineStr">
        <is>
          <t>INV69189</t>
        </is>
      </c>
      <c r="D13" s="94" t="inlineStr">
        <is>
          <t>INV</t>
        </is>
      </c>
      <c r="E13" s="102" t="n">
        <v>0</v>
      </c>
      <c r="F13" s="94" t="n">
        <v>0</v>
      </c>
      <c r="G13" s="102" t="n">
        <v>562.36</v>
      </c>
      <c r="H13" s="94" t="n">
        <v>13</v>
      </c>
    </row>
    <row r="14" ht="15" customHeight="1" s="82">
      <c r="A14" s="94" t="inlineStr">
        <is>
          <t>102 - Orthopedic institutes</t>
        </is>
      </c>
      <c r="B14" s="94" t="inlineStr">
        <is>
          <t>150002 אילן המרכז לאורטופדיה</t>
        </is>
      </c>
      <c r="C14" s="94" t="inlineStr">
        <is>
          <t>INV68720</t>
        </is>
      </c>
      <c r="D14" s="94" t="inlineStr">
        <is>
          <t>INV</t>
        </is>
      </c>
      <c r="E14" s="102" t="n">
        <v>0</v>
      </c>
      <c r="F14" s="94" t="n">
        <v>0</v>
      </c>
      <c r="G14" s="102" t="n">
        <v>559.39</v>
      </c>
      <c r="H14" s="94" t="n">
        <v>8</v>
      </c>
    </row>
    <row r="15" ht="15" customHeight="1" s="82">
      <c r="A15" s="94" t="inlineStr">
        <is>
          <t>102 - Orthopedic institutes</t>
        </is>
      </c>
      <c r="B15" s="94" t="inlineStr">
        <is>
          <t>150002 אילן המרכז לאורטופדיה</t>
        </is>
      </c>
      <c r="C15" s="94" t="inlineStr">
        <is>
          <t>INV63574</t>
        </is>
      </c>
      <c r="D15" s="94" t="inlineStr">
        <is>
          <t>INV</t>
        </is>
      </c>
      <c r="E15" s="102" t="n">
        <v>550.62</v>
      </c>
      <c r="F15" s="94" t="n">
        <v>7</v>
      </c>
      <c r="G15" s="102" t="n">
        <v>0</v>
      </c>
      <c r="H15" s="94" t="n">
        <v>0</v>
      </c>
    </row>
    <row r="16" ht="15" customHeight="1" s="82">
      <c r="A16" s="94" t="inlineStr">
        <is>
          <t>102 - Orthopedic institutes</t>
        </is>
      </c>
      <c r="B16" s="94" t="inlineStr">
        <is>
          <t>150002 אילן המרכז לאורטופדיה</t>
        </is>
      </c>
      <c r="C16" s="94" t="inlineStr">
        <is>
          <t>INV69170</t>
        </is>
      </c>
      <c r="D16" s="94" t="inlineStr">
        <is>
          <t>INV</t>
        </is>
      </c>
      <c r="E16" s="102" t="n">
        <v>0</v>
      </c>
      <c r="F16" s="94" t="n">
        <v>0</v>
      </c>
      <c r="G16" s="102" t="n">
        <v>545.04</v>
      </c>
      <c r="H16" s="94" t="n">
        <v>14</v>
      </c>
    </row>
    <row r="17" ht="15" customHeight="1" s="82">
      <c r="A17" s="94" t="inlineStr">
        <is>
          <t>102 - Orthopedic institutes</t>
        </is>
      </c>
      <c r="B17" s="94" t="inlineStr">
        <is>
          <t>150002 אילן המרכז לאורטופדיה</t>
        </is>
      </c>
      <c r="C17" s="94" t="inlineStr">
        <is>
          <t>INV45990</t>
        </is>
      </c>
      <c r="D17" s="94" t="inlineStr">
        <is>
          <t>INV</t>
        </is>
      </c>
      <c r="E17" s="102" t="n">
        <v>542.84</v>
      </c>
      <c r="F17" s="94" t="n">
        <v>14</v>
      </c>
      <c r="G17" s="102" t="n">
        <v>0</v>
      </c>
      <c r="H17" s="94" t="n">
        <v>0</v>
      </c>
    </row>
    <row r="18" ht="15" customHeight="1" s="82">
      <c r="A18" s="94" t="inlineStr">
        <is>
          <t>102 - Orthopedic institutes</t>
        </is>
      </c>
      <c r="B18" s="94" t="inlineStr">
        <is>
          <t>150002 אילן המרכז לאורטופדיה</t>
        </is>
      </c>
      <c r="C18" s="94" t="inlineStr">
        <is>
          <t>INV66505</t>
        </is>
      </c>
      <c r="D18" s="94" t="inlineStr">
        <is>
          <t>INV</t>
        </is>
      </c>
      <c r="E18" s="102" t="n">
        <v>540</v>
      </c>
      <c r="F18" s="94" t="n">
        <v>6</v>
      </c>
      <c r="G18" s="102" t="n">
        <v>0</v>
      </c>
      <c r="H18" s="94" t="n">
        <v>0</v>
      </c>
    </row>
    <row r="19" ht="15" customHeight="1" s="82">
      <c r="A19" s="94" t="inlineStr">
        <is>
          <t>102 - Orthopedic institutes</t>
        </is>
      </c>
      <c r="B19" s="94" t="inlineStr">
        <is>
          <t>150002 אילן המרכז לאורטופדיה</t>
        </is>
      </c>
      <c r="C19" s="94" t="inlineStr">
        <is>
          <t>INV68261</t>
        </is>
      </c>
      <c r="D19" s="94" t="inlineStr">
        <is>
          <t>INV</t>
        </is>
      </c>
      <c r="E19" s="102" t="n">
        <v>0</v>
      </c>
      <c r="F19" s="94" t="n">
        <v>0</v>
      </c>
      <c r="G19" s="102" t="n">
        <v>520</v>
      </c>
      <c r="H19" s="94" t="n">
        <v>2</v>
      </c>
    </row>
    <row r="20" ht="15" customHeight="1" s="82">
      <c r="A20" s="94" t="inlineStr">
        <is>
          <t>102 - Orthopedic institutes</t>
        </is>
      </c>
      <c r="B20" s="94" t="inlineStr">
        <is>
          <t>150002 אילן המרכז לאורטופדיה</t>
        </is>
      </c>
      <c r="C20" s="94" t="inlineStr">
        <is>
          <t>INV68777</t>
        </is>
      </c>
      <c r="D20" s="94" t="inlineStr">
        <is>
          <t>INV</t>
        </is>
      </c>
      <c r="E20" s="102" t="n">
        <v>0</v>
      </c>
      <c r="F20" s="94" t="n">
        <v>0</v>
      </c>
      <c r="G20" s="102" t="n">
        <v>509.69</v>
      </c>
      <c r="H20" s="94" t="n">
        <v>14</v>
      </c>
    </row>
    <row r="21" ht="15" customHeight="1" s="82">
      <c r="A21" s="94" t="inlineStr">
        <is>
          <t>102 - Orthopedic institutes</t>
        </is>
      </c>
      <c r="B21" s="94" t="inlineStr">
        <is>
          <t>150002 אילן המרכז לאורטופדיה</t>
        </is>
      </c>
      <c r="C21" s="94" t="inlineStr">
        <is>
          <t>INV68157</t>
        </is>
      </c>
      <c r="D21" s="94" t="inlineStr">
        <is>
          <t>INV</t>
        </is>
      </c>
      <c r="E21" s="102" t="n">
        <v>0</v>
      </c>
      <c r="F21" s="94" t="n">
        <v>0</v>
      </c>
      <c r="G21" s="102" t="n">
        <v>498.4</v>
      </c>
      <c r="H21" s="94" t="n">
        <v>6</v>
      </c>
    </row>
    <row r="22" ht="15" customHeight="1" s="82">
      <c r="A22" s="94" t="inlineStr">
        <is>
          <t>102 - Orthopedic institutes</t>
        </is>
      </c>
      <c r="B22" s="94" t="inlineStr">
        <is>
          <t>150002 אילן המרכז לאורטופדיה</t>
        </is>
      </c>
      <c r="C22" s="94" t="inlineStr">
        <is>
          <t>INV67323</t>
        </is>
      </c>
      <c r="D22" s="94" t="inlineStr">
        <is>
          <t>INV</t>
        </is>
      </c>
      <c r="E22" s="102" t="n">
        <v>0</v>
      </c>
      <c r="F22" s="94" t="n">
        <v>0</v>
      </c>
      <c r="G22" s="102" t="n">
        <v>496.53</v>
      </c>
      <c r="H22" s="94" t="n">
        <v>7</v>
      </c>
    </row>
    <row r="23" ht="15" customHeight="1" s="82">
      <c r="A23" s="94" t="inlineStr">
        <is>
          <t>102 - Orthopedic institutes</t>
        </is>
      </c>
      <c r="B23" s="94" t="inlineStr">
        <is>
          <t>150002 אילן המרכז לאורטופדיה</t>
        </is>
      </c>
      <c r="C23" s="94" t="inlineStr">
        <is>
          <t>INV66471</t>
        </is>
      </c>
      <c r="D23" s="94" t="inlineStr">
        <is>
          <t>INV</t>
        </is>
      </c>
      <c r="E23" s="102" t="n">
        <v>471.56</v>
      </c>
      <c r="F23" s="94" t="n">
        <v>8</v>
      </c>
      <c r="G23" s="102" t="n">
        <v>0</v>
      </c>
      <c r="H23" s="94" t="n">
        <v>0</v>
      </c>
    </row>
    <row r="24" ht="15" customHeight="1" s="82">
      <c r="A24" s="94" t="inlineStr">
        <is>
          <t>102 - Orthopedic institutes</t>
        </is>
      </c>
      <c r="B24" s="94" t="inlineStr">
        <is>
          <t>150002 אילן המרכז לאורטופדיה</t>
        </is>
      </c>
      <c r="C24" s="94" t="inlineStr">
        <is>
          <t>INV69098</t>
        </is>
      </c>
      <c r="D24" s="94" t="inlineStr">
        <is>
          <t>INV</t>
        </is>
      </c>
      <c r="E24" s="102" t="n">
        <v>0</v>
      </c>
      <c r="F24" s="94" t="n">
        <v>0</v>
      </c>
      <c r="G24" s="102" t="n">
        <v>457.29</v>
      </c>
      <c r="H24" s="94" t="n">
        <v>7</v>
      </c>
    </row>
    <row r="25" ht="15" customHeight="1" s="82">
      <c r="A25" s="94" t="inlineStr">
        <is>
          <t>102 - Orthopedic institutes</t>
        </is>
      </c>
      <c r="B25" s="94" t="inlineStr">
        <is>
          <t>150002 אילן המרכז לאורטופדיה</t>
        </is>
      </c>
      <c r="C25" s="94" t="inlineStr">
        <is>
          <t>INV53572</t>
        </is>
      </c>
      <c r="D25" s="94" t="inlineStr">
        <is>
          <t>INV</t>
        </is>
      </c>
      <c r="E25" s="102" t="n">
        <v>444</v>
      </c>
      <c r="F25" s="94" t="n">
        <v>2</v>
      </c>
      <c r="G25" s="102" t="n">
        <v>0</v>
      </c>
      <c r="H25" s="94" t="n">
        <v>0</v>
      </c>
    </row>
    <row r="26" ht="15" customHeight="1" s="82">
      <c r="A26" s="94" t="inlineStr">
        <is>
          <t>102 - Orthopedic institutes</t>
        </is>
      </c>
      <c r="B26" s="94" t="inlineStr">
        <is>
          <t>150002 אילן המרכז לאורטופדיה</t>
        </is>
      </c>
      <c r="C26" s="94" t="inlineStr">
        <is>
          <t>INV56253</t>
        </is>
      </c>
      <c r="D26" s="94" t="inlineStr">
        <is>
          <t>INV</t>
        </is>
      </c>
      <c r="E26" s="102" t="n">
        <v>431.63</v>
      </c>
      <c r="F26" s="94" t="n">
        <v>9</v>
      </c>
      <c r="G26" s="102" t="n">
        <v>0</v>
      </c>
      <c r="H26" s="94" t="n">
        <v>0</v>
      </c>
    </row>
    <row r="27" ht="15" customHeight="1" s="82">
      <c r="A27" s="94" t="inlineStr">
        <is>
          <t>102 - Orthopedic institutes</t>
        </is>
      </c>
      <c r="B27" s="94" t="inlineStr">
        <is>
          <t>150002 אילן המרכז לאורטופדיה</t>
        </is>
      </c>
      <c r="C27" s="94" t="inlineStr">
        <is>
          <t>INV52785</t>
        </is>
      </c>
      <c r="D27" s="94" t="inlineStr">
        <is>
          <t>INV</t>
        </is>
      </c>
      <c r="E27" s="102" t="n">
        <v>430</v>
      </c>
      <c r="F27" s="94" t="n">
        <v>3</v>
      </c>
      <c r="G27" s="102" t="n">
        <v>0</v>
      </c>
      <c r="H27" s="94" t="n">
        <v>0</v>
      </c>
    </row>
    <row r="28" ht="15" customHeight="1" s="82">
      <c r="A28" s="94" t="inlineStr">
        <is>
          <t>102 - Orthopedic institutes</t>
        </is>
      </c>
      <c r="B28" s="94" t="inlineStr">
        <is>
          <t>150002 אילן המרכז לאורטופדיה</t>
        </is>
      </c>
      <c r="C28" s="94" t="inlineStr">
        <is>
          <t>INV61140</t>
        </is>
      </c>
      <c r="D28" s="94" t="inlineStr">
        <is>
          <t>INV</t>
        </is>
      </c>
      <c r="E28" s="102" t="n">
        <v>398.88</v>
      </c>
      <c r="F28" s="94" t="n">
        <v>13</v>
      </c>
      <c r="G28" s="102" t="n">
        <v>0</v>
      </c>
      <c r="H28" s="94" t="n">
        <v>0</v>
      </c>
    </row>
    <row r="29" ht="15" customHeight="1" s="82">
      <c r="A29" s="94" t="inlineStr">
        <is>
          <t>102 - Orthopedic institutes</t>
        </is>
      </c>
      <c r="B29" s="94" t="inlineStr">
        <is>
          <t>150002 אילן המרכז לאורטופדיה</t>
        </is>
      </c>
      <c r="C29" s="94" t="inlineStr">
        <is>
          <t>INV47221</t>
        </is>
      </c>
      <c r="D29" s="94" t="inlineStr">
        <is>
          <t>INV</t>
        </is>
      </c>
      <c r="E29" s="102" t="n">
        <v>395.35</v>
      </c>
      <c r="F29" s="94" t="n">
        <v>9</v>
      </c>
      <c r="G29" s="102" t="n">
        <v>0</v>
      </c>
      <c r="H29" s="94" t="n">
        <v>0</v>
      </c>
    </row>
    <row r="30" ht="15" customHeight="1" s="82">
      <c r="A30" s="94" t="inlineStr">
        <is>
          <t>102 - Orthopedic institutes</t>
        </is>
      </c>
      <c r="B30" s="94" t="inlineStr">
        <is>
          <t>150002 אילן המרכז לאורטופדיה</t>
        </is>
      </c>
      <c r="C30" s="94" t="inlineStr">
        <is>
          <t>INV69271</t>
        </is>
      </c>
      <c r="D30" s="94" t="inlineStr">
        <is>
          <t>INV</t>
        </is>
      </c>
      <c r="E30" s="102" t="n">
        <v>0</v>
      </c>
      <c r="F30" s="94" t="n">
        <v>0</v>
      </c>
      <c r="G30" s="102" t="n">
        <v>370</v>
      </c>
      <c r="H30" s="94" t="n">
        <v>3</v>
      </c>
    </row>
    <row r="31" ht="15" customHeight="1" s="82">
      <c r="A31" s="94" t="inlineStr">
        <is>
          <t>102 - Orthopedic institutes</t>
        </is>
      </c>
      <c r="B31" s="94" t="inlineStr">
        <is>
          <t>150002 אילן המרכז לאורטופדיה</t>
        </is>
      </c>
      <c r="C31" s="94" t="inlineStr">
        <is>
          <t>INV41397</t>
        </is>
      </c>
      <c r="D31" s="94" t="inlineStr">
        <is>
          <t>INV</t>
        </is>
      </c>
      <c r="E31" s="102" t="n">
        <v>340.38</v>
      </c>
      <c r="F31" s="94" t="n">
        <v>10</v>
      </c>
      <c r="G31" s="102" t="n">
        <v>0</v>
      </c>
      <c r="H31" s="94" t="n">
        <v>0</v>
      </c>
    </row>
    <row r="32" ht="15" customHeight="1" s="82">
      <c r="A32" s="94" t="inlineStr">
        <is>
          <t>102 - Orthopedic institutes</t>
        </is>
      </c>
      <c r="B32" s="94" t="inlineStr">
        <is>
          <t>150002 אילן המרכז לאורטופדיה</t>
        </is>
      </c>
      <c r="C32" s="94" t="inlineStr">
        <is>
          <t>INV42773</t>
        </is>
      </c>
      <c r="D32" s="94" t="inlineStr">
        <is>
          <t>INV</t>
        </is>
      </c>
      <c r="E32" s="102" t="n">
        <v>329.06</v>
      </c>
      <c r="F32" s="94" t="n">
        <v>5</v>
      </c>
      <c r="G32" s="102" t="n">
        <v>0</v>
      </c>
      <c r="H32" s="94" t="n">
        <v>0</v>
      </c>
    </row>
    <row r="33" ht="15" customHeight="1" s="82">
      <c r="A33" s="94" t="inlineStr">
        <is>
          <t>102 - Orthopedic institutes</t>
        </is>
      </c>
      <c r="B33" s="94" t="inlineStr">
        <is>
          <t>150002 אילן המרכז לאורטופדיה</t>
        </is>
      </c>
      <c r="C33" s="94" t="inlineStr">
        <is>
          <t>INV40380</t>
        </is>
      </c>
      <c r="D33" s="94" t="inlineStr">
        <is>
          <t>INV</t>
        </is>
      </c>
      <c r="E33" s="102" t="n">
        <v>119.74</v>
      </c>
      <c r="F33" s="94" t="n">
        <v>2</v>
      </c>
      <c r="G33" s="102" t="n">
        <v>0</v>
      </c>
      <c r="H33" s="94" t="n">
        <v>0</v>
      </c>
    </row>
    <row r="34" ht="15" customHeight="1" s="82">
      <c r="A34" s="94" t="inlineStr">
        <is>
          <t>102 - Orthopedic institutes</t>
        </is>
      </c>
      <c r="B34" s="94" t="inlineStr">
        <is>
          <t>150002 אילן המרכז לאורטופדיה</t>
        </is>
      </c>
      <c r="C34" s="94" t="inlineStr">
        <is>
          <t>CM44690</t>
        </is>
      </c>
      <c r="D34" s="94" t="inlineStr">
        <is>
          <t>CM</t>
        </is>
      </c>
      <c r="E34" s="102" t="n">
        <v>0</v>
      </c>
      <c r="F34" s="94" t="n">
        <v>0</v>
      </c>
      <c r="G34" s="102" t="n">
        <v>-90</v>
      </c>
      <c r="H34" s="94" t="n">
        <v>-1</v>
      </c>
    </row>
    <row r="35" ht="15" customHeight="1" s="82">
      <c r="A35" s="94" t="inlineStr">
        <is>
          <t>102 - Orthopedic institutes</t>
        </is>
      </c>
      <c r="B35" s="94" t="inlineStr">
        <is>
          <t>150002 אילן המרכז לאורטופדיה</t>
        </is>
      </c>
      <c r="C35" s="94" t="inlineStr">
        <is>
          <t>CM44028</t>
        </is>
      </c>
      <c r="D35" s="94" t="inlineStr">
        <is>
          <t>CM</t>
        </is>
      </c>
      <c r="E35" s="102" t="n">
        <v>-280</v>
      </c>
      <c r="F35" s="94" t="n">
        <v>-2</v>
      </c>
      <c r="G35" s="102" t="n">
        <v>0</v>
      </c>
      <c r="H35" s="94" t="n">
        <v>0</v>
      </c>
    </row>
    <row r="36" ht="15" customHeight="1" s="82">
      <c r="A36" s="94" t="inlineStr">
        <is>
          <t>102 - Orthopedic institutes</t>
        </is>
      </c>
      <c r="B36" s="94" t="inlineStr">
        <is>
          <t>150002 אילן המרכז לאורטופדיה</t>
        </is>
      </c>
      <c r="C36" s="94" t="inlineStr">
        <is>
          <t>CM44396</t>
        </is>
      </c>
      <c r="D36" s="94" t="inlineStr">
        <is>
          <t>CM</t>
        </is>
      </c>
      <c r="E36" s="102" t="n">
        <v>0</v>
      </c>
      <c r="F36" s="94" t="n">
        <v>0</v>
      </c>
      <c r="G36" s="102" t="n">
        <v>-540</v>
      </c>
      <c r="H36" s="94" t="n">
        <v>-6</v>
      </c>
    </row>
    <row r="37" ht="15" customHeight="1" s="82">
      <c r="A37" s="94" t="inlineStr">
        <is>
          <t>102 - Orthopedic institutes</t>
        </is>
      </c>
      <c r="B37" s="94" t="inlineStr">
        <is>
          <t>150002 אילן המרכז לאורטופדיה</t>
        </is>
      </c>
      <c r="C37" s="94" t="inlineStr">
        <is>
          <t>CM43918</t>
        </is>
      </c>
      <c r="D37" s="94" t="inlineStr">
        <is>
          <t>CM</t>
        </is>
      </c>
      <c r="E37" s="102" t="n">
        <v>-1498.64</v>
      </c>
      <c r="F37" s="94" t="n">
        <v>-29</v>
      </c>
      <c r="G37" s="102" t="n">
        <v>0</v>
      </c>
      <c r="H37" s="94" t="n">
        <v>0</v>
      </c>
    </row>
    <row r="38" ht="15" customHeight="1" s="82">
      <c r="A38" s="94" t="inlineStr">
        <is>
          <t>102 - Orthopedic institutes</t>
        </is>
      </c>
      <c r="B38" s="94" t="inlineStr">
        <is>
          <t>150003 עטרת ק. יובל בע"מ</t>
        </is>
      </c>
      <c r="C38" s="94" t="inlineStr">
        <is>
          <t>CS20106</t>
        </is>
      </c>
      <c r="D38" s="94" t="inlineStr">
        <is>
          <t>CS</t>
        </is>
      </c>
      <c r="E38" s="102" t="n">
        <v>0</v>
      </c>
      <c r="F38" s="94" t="n">
        <v>0</v>
      </c>
      <c r="G38" s="102" t="n">
        <v>1735.38</v>
      </c>
      <c r="H38" s="94" t="n">
        <v>15</v>
      </c>
    </row>
    <row r="39" ht="15" customHeight="1" s="82">
      <c r="A39" s="94" t="inlineStr">
        <is>
          <t>102 - Orthopedic institutes</t>
        </is>
      </c>
      <c r="B39" s="94" t="inlineStr">
        <is>
          <t>150003 עטרת ק. יובל בע"מ</t>
        </is>
      </c>
      <c r="C39" s="94" t="inlineStr">
        <is>
          <t>INV68503</t>
        </is>
      </c>
      <c r="D39" s="94" t="inlineStr">
        <is>
          <t>INV</t>
        </is>
      </c>
      <c r="E39" s="102" t="n">
        <v>0</v>
      </c>
      <c r="F39" s="94" t="n">
        <v>0</v>
      </c>
      <c r="G39" s="102" t="n">
        <v>1735.38</v>
      </c>
      <c r="H39" s="94" t="n">
        <v>15</v>
      </c>
    </row>
    <row r="40" ht="15" customHeight="1" s="82">
      <c r="A40" s="94" t="inlineStr">
        <is>
          <t>102 - Orthopedic institutes</t>
        </is>
      </c>
      <c r="B40" s="94" t="inlineStr">
        <is>
          <t>150003 עטרת ק. יובל בע"מ</t>
        </is>
      </c>
      <c r="C40" s="94" t="inlineStr">
        <is>
          <t>INV67837</t>
        </is>
      </c>
      <c r="D40" s="94" t="inlineStr">
        <is>
          <t>INV</t>
        </is>
      </c>
      <c r="E40" s="102" t="n">
        <v>0</v>
      </c>
      <c r="F40" s="94" t="n">
        <v>0</v>
      </c>
      <c r="G40" s="102" t="n">
        <v>1110</v>
      </c>
      <c r="H40" s="94" t="n">
        <v>20</v>
      </c>
    </row>
    <row r="41" ht="15" customHeight="1" s="82">
      <c r="A41" s="94" t="inlineStr">
        <is>
          <t>102 - Orthopedic institutes</t>
        </is>
      </c>
      <c r="B41" s="94" t="inlineStr">
        <is>
          <t>150003 עטרת ק. יובל בע"מ</t>
        </is>
      </c>
      <c r="C41" s="94" t="inlineStr">
        <is>
          <t>INV50514</t>
        </is>
      </c>
      <c r="D41" s="94" t="inlineStr">
        <is>
          <t>INV</t>
        </is>
      </c>
      <c r="E41" s="102" t="n">
        <v>922.95</v>
      </c>
      <c r="F41" s="94" t="n">
        <v>10</v>
      </c>
      <c r="G41" s="102" t="n">
        <v>0</v>
      </c>
      <c r="H41" s="94" t="n">
        <v>0</v>
      </c>
    </row>
    <row r="42" ht="15" customHeight="1" s="82">
      <c r="A42" s="94" t="inlineStr">
        <is>
          <t>102 - Orthopedic institutes</t>
        </is>
      </c>
      <c r="B42" s="94" t="inlineStr">
        <is>
          <t>150003 עטרת ק. יובל בע"מ</t>
        </is>
      </c>
      <c r="C42" s="94" t="inlineStr">
        <is>
          <t>INV60834</t>
        </is>
      </c>
      <c r="D42" s="94" t="inlineStr">
        <is>
          <t>INV</t>
        </is>
      </c>
      <c r="E42" s="102" t="n">
        <v>468.54</v>
      </c>
      <c r="F42" s="94" t="n">
        <v>4</v>
      </c>
      <c r="G42" s="102" t="n">
        <v>0</v>
      </c>
      <c r="H42" s="94" t="n">
        <v>0</v>
      </c>
    </row>
    <row r="43" ht="15" customHeight="1" s="82">
      <c r="A43" s="94" t="inlineStr">
        <is>
          <t>102 - Orthopedic institutes</t>
        </is>
      </c>
      <c r="B43" s="94" t="inlineStr">
        <is>
          <t>150003 עטרת ק. יובל בע"מ</t>
        </is>
      </c>
      <c r="C43" s="94" t="inlineStr">
        <is>
          <t>INV66242</t>
        </is>
      </c>
      <c r="D43" s="94" t="inlineStr">
        <is>
          <t>INV</t>
        </is>
      </c>
      <c r="E43" s="102" t="n">
        <v>420.01</v>
      </c>
      <c r="F43" s="94" t="n">
        <v>3</v>
      </c>
      <c r="G43" s="102" t="n">
        <v>0</v>
      </c>
      <c r="H43" s="94" t="n">
        <v>0</v>
      </c>
    </row>
    <row r="44" ht="15" customHeight="1" s="82">
      <c r="A44" s="94" t="inlineStr">
        <is>
          <t>102 - Orthopedic institutes</t>
        </is>
      </c>
      <c r="B44" s="94" t="inlineStr">
        <is>
          <t>150003 עטרת ק. יובל בע"מ</t>
        </is>
      </c>
      <c r="C44" s="94" t="inlineStr">
        <is>
          <t>INV54139</t>
        </is>
      </c>
      <c r="D44" s="94" t="inlineStr">
        <is>
          <t>INV</t>
        </is>
      </c>
      <c r="E44" s="102" t="n">
        <v>420.01</v>
      </c>
      <c r="F44" s="94" t="n">
        <v>3</v>
      </c>
      <c r="G44" s="102" t="n">
        <v>0</v>
      </c>
      <c r="H44" s="94" t="n">
        <v>0</v>
      </c>
    </row>
    <row r="45" ht="15" customHeight="1" s="82">
      <c r="A45" s="94" t="inlineStr">
        <is>
          <t>102 - Orthopedic institutes</t>
        </is>
      </c>
      <c r="B45" s="94" t="inlineStr">
        <is>
          <t>150003 עטרת ק. יובל בע"מ</t>
        </is>
      </c>
      <c r="C45" s="94" t="inlineStr">
        <is>
          <t>INV40683</t>
        </is>
      </c>
      <c r="D45" s="94" t="inlineStr">
        <is>
          <t>INV</t>
        </is>
      </c>
      <c r="E45" s="102" t="n">
        <v>415.38</v>
      </c>
      <c r="F45" s="94" t="n">
        <v>5</v>
      </c>
      <c r="G45" s="102" t="n">
        <v>0</v>
      </c>
      <c r="H45" s="94" t="n">
        <v>0</v>
      </c>
    </row>
    <row r="46" ht="15" customHeight="1" s="82">
      <c r="A46" s="94" t="inlineStr">
        <is>
          <t>102 - Orthopedic institutes</t>
        </is>
      </c>
      <c r="B46" s="94" t="inlineStr">
        <is>
          <t>150003 עטרת ק. יובל בע"מ</t>
        </is>
      </c>
      <c r="C46" s="94" t="inlineStr">
        <is>
          <t>INV65724</t>
        </is>
      </c>
      <c r="D46" s="94" t="inlineStr">
        <is>
          <t>INV</t>
        </is>
      </c>
      <c r="E46" s="102" t="n">
        <v>360</v>
      </c>
      <c r="F46" s="94" t="n">
        <v>4</v>
      </c>
      <c r="G46" s="102" t="n">
        <v>0</v>
      </c>
      <c r="H46" s="94" t="n">
        <v>0</v>
      </c>
    </row>
    <row r="47" ht="15" customHeight="1" s="82">
      <c r="A47" s="94" t="inlineStr">
        <is>
          <t>102 - Orthopedic institutes</t>
        </is>
      </c>
      <c r="B47" s="94" t="inlineStr">
        <is>
          <t>150003 עטרת ק. יובל בע"מ</t>
        </is>
      </c>
      <c r="C47" s="94" t="inlineStr">
        <is>
          <t>INV67401</t>
        </is>
      </c>
      <c r="D47" s="94" t="inlineStr">
        <is>
          <t>INV</t>
        </is>
      </c>
      <c r="E47" s="102" t="n">
        <v>0</v>
      </c>
      <c r="F47" s="94" t="n">
        <v>0</v>
      </c>
      <c r="G47" s="102" t="n">
        <v>295</v>
      </c>
      <c r="H47" s="94" t="n">
        <v>4</v>
      </c>
    </row>
    <row r="48" ht="15" customHeight="1" s="82">
      <c r="A48" s="94" t="inlineStr">
        <is>
          <t>102 - Orthopedic institutes</t>
        </is>
      </c>
      <c r="B48" s="94" t="inlineStr">
        <is>
          <t>150003 עטרת ק. יובל בע"מ</t>
        </is>
      </c>
      <c r="C48" s="94" t="inlineStr">
        <is>
          <t>INV68048</t>
        </is>
      </c>
      <c r="D48" s="94" t="inlineStr">
        <is>
          <t>INV</t>
        </is>
      </c>
      <c r="E48" s="102" t="n">
        <v>0</v>
      </c>
      <c r="F48" s="94" t="n">
        <v>0</v>
      </c>
      <c r="G48" s="102" t="n">
        <v>223.07</v>
      </c>
      <c r="H48" s="94" t="n">
        <v>3</v>
      </c>
    </row>
    <row r="49" ht="15" customHeight="1" s="82">
      <c r="A49" s="94" t="inlineStr">
        <is>
          <t>102 - Orthopedic institutes</t>
        </is>
      </c>
      <c r="B49" s="94" t="inlineStr">
        <is>
          <t>150004 מדיקל אופיר ב"ש בע"מ</t>
        </is>
      </c>
      <c r="C49" s="94" t="inlineStr">
        <is>
          <t>INV68974</t>
        </is>
      </c>
      <c r="D49" s="94" t="inlineStr">
        <is>
          <t>INV</t>
        </is>
      </c>
      <c r="E49" s="102" t="n">
        <v>0</v>
      </c>
      <c r="F49" s="94" t="n">
        <v>0</v>
      </c>
      <c r="G49" s="102" t="n">
        <v>1620.02</v>
      </c>
      <c r="H49" s="94" t="n">
        <v>9</v>
      </c>
    </row>
    <row r="50" ht="15" customHeight="1" s="82">
      <c r="A50" s="94" t="inlineStr">
        <is>
          <t>102 - Orthopedic institutes</t>
        </is>
      </c>
      <c r="B50" s="94" t="inlineStr">
        <is>
          <t>150004 מדיקל אופיר ב"ש בע"מ</t>
        </is>
      </c>
      <c r="C50" s="94" t="inlineStr">
        <is>
          <t>INV69122</t>
        </is>
      </c>
      <c r="D50" s="94" t="inlineStr">
        <is>
          <t>INV</t>
        </is>
      </c>
      <c r="E50" s="102" t="n">
        <v>0</v>
      </c>
      <c r="F50" s="94" t="n">
        <v>0</v>
      </c>
      <c r="G50" s="102" t="n">
        <v>1560.01</v>
      </c>
      <c r="H50" s="94" t="n">
        <v>6</v>
      </c>
    </row>
    <row r="51" ht="15" customHeight="1" s="82">
      <c r="A51" s="94" t="inlineStr">
        <is>
          <t>102 - Orthopedic institutes</t>
        </is>
      </c>
      <c r="B51" s="94" t="inlineStr">
        <is>
          <t>150004 מדיקל אופיר ב"ש בע"מ</t>
        </is>
      </c>
      <c r="C51" s="94" t="inlineStr">
        <is>
          <t>INV68254</t>
        </is>
      </c>
      <c r="D51" s="94" t="inlineStr">
        <is>
          <t>INV</t>
        </is>
      </c>
      <c r="E51" s="102" t="n">
        <v>0</v>
      </c>
      <c r="F51" s="94" t="n">
        <v>0</v>
      </c>
      <c r="G51" s="102" t="n">
        <v>1040.01</v>
      </c>
      <c r="H51" s="94" t="n">
        <v>4</v>
      </c>
    </row>
    <row r="52" ht="15" customHeight="1" s="82">
      <c r="A52" s="94" t="inlineStr">
        <is>
          <t>102 - Orthopedic institutes</t>
        </is>
      </c>
      <c r="B52" s="94" t="inlineStr">
        <is>
          <t>150004 מדיקל אופיר ב"ש בע"מ</t>
        </is>
      </c>
      <c r="C52" s="94" t="inlineStr">
        <is>
          <t>INV67857</t>
        </is>
      </c>
      <c r="D52" s="94" t="inlineStr">
        <is>
          <t>INV</t>
        </is>
      </c>
      <c r="E52" s="102" t="n">
        <v>0</v>
      </c>
      <c r="F52" s="94" t="n">
        <v>0</v>
      </c>
      <c r="G52" s="102" t="n">
        <v>864</v>
      </c>
      <c r="H52" s="94" t="n">
        <v>5</v>
      </c>
    </row>
    <row r="53" ht="15" customHeight="1" s="82">
      <c r="A53" s="94" t="inlineStr">
        <is>
          <t>102 - Orthopedic institutes</t>
        </is>
      </c>
      <c r="B53" s="94" t="inlineStr">
        <is>
          <t>150004 מדיקל אופיר ב"ש בע"מ</t>
        </is>
      </c>
      <c r="C53" s="94" t="inlineStr">
        <is>
          <t>INV68622</t>
        </is>
      </c>
      <c r="D53" s="94" t="inlineStr">
        <is>
          <t>INV</t>
        </is>
      </c>
      <c r="E53" s="102" t="n">
        <v>0</v>
      </c>
      <c r="F53" s="94" t="n">
        <v>0</v>
      </c>
      <c r="G53" s="102" t="n">
        <v>840.01</v>
      </c>
      <c r="H53" s="94" t="n">
        <v>6</v>
      </c>
    </row>
    <row r="54" ht="15" customHeight="1" s="82">
      <c r="A54" s="94" t="inlineStr">
        <is>
          <t>102 - Orthopedic institutes</t>
        </is>
      </c>
      <c r="B54" s="94" t="inlineStr">
        <is>
          <t>150004 מדיקל אופיר ב"ש בע"מ</t>
        </is>
      </c>
      <c r="C54" s="94" t="inlineStr">
        <is>
          <t>INV67439</t>
        </is>
      </c>
      <c r="D54" s="94" t="inlineStr">
        <is>
          <t>INV</t>
        </is>
      </c>
      <c r="E54" s="102" t="n">
        <v>0</v>
      </c>
      <c r="F54" s="94" t="n">
        <v>0</v>
      </c>
      <c r="G54" s="102" t="n">
        <v>640</v>
      </c>
      <c r="H54" s="94" t="n">
        <v>6</v>
      </c>
    </row>
    <row r="55" ht="15" customHeight="1" s="82">
      <c r="A55" s="94" t="inlineStr">
        <is>
          <t>102 - Orthopedic institutes</t>
        </is>
      </c>
      <c r="B55" s="94" t="inlineStr">
        <is>
          <t>150004 מדיקל אופיר ב"ש בע"מ</t>
        </is>
      </c>
      <c r="C55" s="94" t="inlineStr">
        <is>
          <t>INV46644</t>
        </is>
      </c>
      <c r="D55" s="94" t="inlineStr">
        <is>
          <t>INV</t>
        </is>
      </c>
      <c r="E55" s="102" t="n">
        <v>508</v>
      </c>
      <c r="F55" s="94" t="n">
        <v>4</v>
      </c>
      <c r="G55" s="102" t="n">
        <v>0</v>
      </c>
      <c r="H55" s="94" t="n">
        <v>0</v>
      </c>
    </row>
    <row r="56" ht="15" customHeight="1" s="82">
      <c r="A56" s="94" t="inlineStr">
        <is>
          <t>102 - Orthopedic institutes</t>
        </is>
      </c>
      <c r="B56" s="94" t="inlineStr">
        <is>
          <t>150004 מדיקל אופיר ב"ש בע"מ</t>
        </is>
      </c>
      <c r="C56" s="94" t="inlineStr">
        <is>
          <t>INV65554</t>
        </is>
      </c>
      <c r="D56" s="94" t="inlineStr">
        <is>
          <t>INV</t>
        </is>
      </c>
      <c r="E56" s="102" t="n">
        <v>420.01</v>
      </c>
      <c r="F56" s="94" t="n">
        <v>3</v>
      </c>
      <c r="G56" s="102" t="n">
        <v>0</v>
      </c>
      <c r="H56" s="94" t="n">
        <v>0</v>
      </c>
    </row>
    <row r="57" ht="15" customHeight="1" s="82">
      <c r="A57" s="94" t="inlineStr">
        <is>
          <t>102 - Orthopedic institutes</t>
        </is>
      </c>
      <c r="B57" s="94" t="inlineStr">
        <is>
          <t>150004 מדיקל אופיר ב"ש בע"מ</t>
        </is>
      </c>
      <c r="C57" s="94" t="inlineStr">
        <is>
          <t>INV65912</t>
        </is>
      </c>
      <c r="D57" s="94" t="inlineStr">
        <is>
          <t>INV</t>
        </is>
      </c>
      <c r="E57" s="102" t="n">
        <v>240</v>
      </c>
      <c r="F57" s="94" t="n">
        <v>3</v>
      </c>
      <c r="G57" s="102" t="n">
        <v>0</v>
      </c>
      <c r="H57" s="94" t="n">
        <v>0</v>
      </c>
    </row>
    <row r="58" ht="15" customHeight="1" s="82">
      <c r="A58" s="94" t="inlineStr">
        <is>
          <t>102 - Orthopedic institutes</t>
        </is>
      </c>
      <c r="B58" s="94" t="inlineStr">
        <is>
          <t>150005 אקספרס הנעלה ועור בע"מ</t>
        </is>
      </c>
      <c r="C58" s="94" t="inlineStr">
        <is>
          <t>INV60263</t>
        </is>
      </c>
      <c r="D58" s="94" t="inlineStr">
        <is>
          <t>INV</t>
        </is>
      </c>
      <c r="E58" s="102" t="n">
        <v>2820.04</v>
      </c>
      <c r="F58" s="94" t="n">
        <v>42</v>
      </c>
      <c r="G58" s="102" t="n">
        <v>0</v>
      </c>
      <c r="H58" s="94" t="n">
        <v>0</v>
      </c>
    </row>
    <row r="59" ht="15" customHeight="1" s="82">
      <c r="A59" s="94" t="inlineStr">
        <is>
          <t>102 - Orthopedic institutes</t>
        </is>
      </c>
      <c r="B59" s="94" t="inlineStr">
        <is>
          <t>150005 אקספרס הנעלה ועור בע"מ</t>
        </is>
      </c>
      <c r="C59" s="94" t="inlineStr">
        <is>
          <t>INV41396</t>
        </is>
      </c>
      <c r="D59" s="94" t="inlineStr">
        <is>
          <t>INV</t>
        </is>
      </c>
      <c r="E59" s="102" t="n">
        <v>2624.39</v>
      </c>
      <c r="F59" s="94" t="n">
        <v>43</v>
      </c>
      <c r="G59" s="102" t="n">
        <v>0</v>
      </c>
      <c r="H59" s="94" t="n">
        <v>0</v>
      </c>
    </row>
    <row r="60" ht="15" customHeight="1" s="82">
      <c r="A60" s="94" t="inlineStr">
        <is>
          <t>102 - Orthopedic institutes</t>
        </is>
      </c>
      <c r="B60" s="94" t="inlineStr">
        <is>
          <t>150005 אקספרס הנעלה ועור בע"מ</t>
        </is>
      </c>
      <c r="C60" s="94" t="inlineStr">
        <is>
          <t>INV68367</t>
        </is>
      </c>
      <c r="D60" s="94" t="inlineStr">
        <is>
          <t>INV</t>
        </is>
      </c>
      <c r="E60" s="102" t="n">
        <v>0</v>
      </c>
      <c r="F60" s="94" t="n">
        <v>0</v>
      </c>
      <c r="G60" s="102" t="n">
        <v>2558.89</v>
      </c>
      <c r="H60" s="94" t="n">
        <v>15</v>
      </c>
    </row>
    <row r="61" ht="15" customHeight="1" s="82">
      <c r="A61" s="94" t="inlineStr">
        <is>
          <t>102 - Orthopedic institutes</t>
        </is>
      </c>
      <c r="B61" s="94" t="inlineStr">
        <is>
          <t>150005 אקספרס הנעלה ועור בע"מ</t>
        </is>
      </c>
      <c r="C61" s="94" t="inlineStr">
        <is>
          <t>INV50594</t>
        </is>
      </c>
      <c r="D61" s="94" t="inlineStr">
        <is>
          <t>INV</t>
        </is>
      </c>
      <c r="E61" s="102" t="n">
        <v>2421.42</v>
      </c>
      <c r="F61" s="94" t="n">
        <v>46</v>
      </c>
      <c r="G61" s="102" t="n">
        <v>0</v>
      </c>
      <c r="H61" s="94" t="n">
        <v>0</v>
      </c>
    </row>
    <row r="62" ht="15" customHeight="1" s="82">
      <c r="A62" s="94" t="inlineStr">
        <is>
          <t>102 - Orthopedic institutes</t>
        </is>
      </c>
      <c r="B62" s="94" t="inlineStr">
        <is>
          <t>150005 אקספרס הנעלה ועור בע"מ</t>
        </is>
      </c>
      <c r="C62" s="94" t="inlineStr">
        <is>
          <t>INV68692</t>
        </is>
      </c>
      <c r="D62" s="94" t="inlineStr">
        <is>
          <t>INV</t>
        </is>
      </c>
      <c r="E62" s="102" t="n">
        <v>0</v>
      </c>
      <c r="F62" s="94" t="n">
        <v>0</v>
      </c>
      <c r="G62" s="102" t="n">
        <v>2358.83</v>
      </c>
      <c r="H62" s="94" t="n">
        <v>37</v>
      </c>
    </row>
    <row r="63" ht="15" customHeight="1" s="82">
      <c r="A63" s="94" t="inlineStr">
        <is>
          <t>102 - Orthopedic institutes</t>
        </is>
      </c>
      <c r="B63" s="94" t="inlineStr">
        <is>
          <t>150005 אקספרס הנעלה ועור בע"מ</t>
        </is>
      </c>
      <c r="C63" s="94" t="inlineStr">
        <is>
          <t>INV69326</t>
        </is>
      </c>
      <c r="D63" s="94" t="inlineStr">
        <is>
          <t>INV</t>
        </is>
      </c>
      <c r="E63" s="102" t="n">
        <v>0</v>
      </c>
      <c r="F63" s="94" t="n">
        <v>0</v>
      </c>
      <c r="G63" s="102" t="n">
        <v>2174.61</v>
      </c>
      <c r="H63" s="94" t="n">
        <v>51</v>
      </c>
    </row>
    <row r="64" ht="15" customHeight="1" s="82">
      <c r="A64" s="94" t="inlineStr">
        <is>
          <t>102 - Orthopedic institutes</t>
        </is>
      </c>
      <c r="B64" s="94" t="inlineStr">
        <is>
          <t>150005 אקספרס הנעלה ועור בע"מ</t>
        </is>
      </c>
      <c r="C64" s="94" t="inlineStr">
        <is>
          <t>INV69081</t>
        </is>
      </c>
      <c r="D64" s="94" t="inlineStr">
        <is>
          <t>INV</t>
        </is>
      </c>
      <c r="E64" s="102" t="n">
        <v>0</v>
      </c>
      <c r="F64" s="94" t="n">
        <v>0</v>
      </c>
      <c r="G64" s="102" t="n">
        <v>2165.15</v>
      </c>
      <c r="H64" s="94" t="n">
        <v>35</v>
      </c>
    </row>
    <row r="65" ht="15" customHeight="1" s="82">
      <c r="A65" s="94" t="inlineStr">
        <is>
          <t>102 - Orthopedic institutes</t>
        </is>
      </c>
      <c r="B65" s="94" t="inlineStr">
        <is>
          <t>150005 אקספרס הנעלה ועור בע"מ</t>
        </is>
      </c>
      <c r="C65" s="94" t="inlineStr">
        <is>
          <t>INV66682</t>
        </is>
      </c>
      <c r="D65" s="94" t="inlineStr">
        <is>
          <t>INV</t>
        </is>
      </c>
      <c r="E65" s="102" t="n">
        <v>2024.96</v>
      </c>
      <c r="F65" s="94" t="n">
        <v>10</v>
      </c>
      <c r="G65" s="102" t="n">
        <v>0</v>
      </c>
      <c r="H65" s="94" t="n">
        <v>0</v>
      </c>
    </row>
    <row r="66" ht="15" customHeight="1" s="82">
      <c r="A66" s="94" t="inlineStr">
        <is>
          <t>102 - Orthopedic institutes</t>
        </is>
      </c>
      <c r="B66" s="94" t="inlineStr">
        <is>
          <t>150005 אקספרס הנעלה ועור בע"מ</t>
        </is>
      </c>
      <c r="C66" s="94" t="inlineStr">
        <is>
          <t>INV69099</t>
        </is>
      </c>
      <c r="D66" s="94" t="inlineStr">
        <is>
          <t>INV</t>
        </is>
      </c>
      <c r="E66" s="102" t="n">
        <v>0</v>
      </c>
      <c r="F66" s="94" t="n">
        <v>0</v>
      </c>
      <c r="G66" s="102" t="n">
        <v>1999.24</v>
      </c>
      <c r="H66" s="94" t="n">
        <v>12</v>
      </c>
    </row>
    <row r="67" ht="15" customHeight="1" s="82">
      <c r="A67" s="94" t="inlineStr">
        <is>
          <t>102 - Orthopedic institutes</t>
        </is>
      </c>
      <c r="B67" s="94" t="inlineStr">
        <is>
          <t>150005 אקספרס הנעלה ועור בע"מ</t>
        </is>
      </c>
      <c r="C67" s="94" t="inlineStr">
        <is>
          <t>INV68209</t>
        </is>
      </c>
      <c r="D67" s="94" t="inlineStr">
        <is>
          <t>INV</t>
        </is>
      </c>
      <c r="E67" s="102" t="n">
        <v>0</v>
      </c>
      <c r="F67" s="94" t="n">
        <v>0</v>
      </c>
      <c r="G67" s="102" t="n">
        <v>1750.23</v>
      </c>
      <c r="H67" s="94" t="n">
        <v>23</v>
      </c>
    </row>
    <row r="68" ht="15" customHeight="1" s="82">
      <c r="A68" s="94" t="inlineStr">
        <is>
          <t>102 - Orthopedic institutes</t>
        </is>
      </c>
      <c r="B68" s="94" t="inlineStr">
        <is>
          <t>150005 אקספרס הנעלה ועור בע"מ</t>
        </is>
      </c>
      <c r="C68" s="94" t="inlineStr">
        <is>
          <t>INV53013</t>
        </is>
      </c>
      <c r="D68" s="94" t="inlineStr">
        <is>
          <t>INV</t>
        </is>
      </c>
      <c r="E68" s="102" t="n">
        <v>1676.68</v>
      </c>
      <c r="F68" s="94" t="n">
        <v>24</v>
      </c>
      <c r="G68" s="102" t="n">
        <v>0</v>
      </c>
      <c r="H68" s="94" t="n">
        <v>0</v>
      </c>
    </row>
    <row r="69" ht="15" customHeight="1" s="82">
      <c r="A69" s="94" t="inlineStr">
        <is>
          <t>102 - Orthopedic institutes</t>
        </is>
      </c>
      <c r="B69" s="94" t="inlineStr">
        <is>
          <t>150005 אקספרס הנעלה ועור בע"מ</t>
        </is>
      </c>
      <c r="C69" s="94" t="inlineStr">
        <is>
          <t>INV66243</t>
        </is>
      </c>
      <c r="D69" s="94" t="inlineStr">
        <is>
          <t>INV</t>
        </is>
      </c>
      <c r="E69" s="102" t="n">
        <v>1626.78</v>
      </c>
      <c r="F69" s="94" t="n">
        <v>18</v>
      </c>
      <c r="G69" s="102" t="n">
        <v>0</v>
      </c>
      <c r="H69" s="94" t="n">
        <v>0</v>
      </c>
    </row>
    <row r="70" ht="15" customHeight="1" s="82">
      <c r="A70" s="94" t="inlineStr">
        <is>
          <t>102 - Orthopedic institutes</t>
        </is>
      </c>
      <c r="B70" s="94" t="inlineStr">
        <is>
          <t>150005 אקספרס הנעלה ועור בע"מ</t>
        </is>
      </c>
      <c r="C70" s="94" t="inlineStr">
        <is>
          <t>INV44424</t>
        </is>
      </c>
      <c r="D70" s="94" t="inlineStr">
        <is>
          <t>INV</t>
        </is>
      </c>
      <c r="E70" s="102" t="n">
        <v>1426.82</v>
      </c>
      <c r="F70" s="94" t="n">
        <v>14</v>
      </c>
      <c r="G70" s="102" t="n">
        <v>0</v>
      </c>
      <c r="H70" s="94" t="n">
        <v>0</v>
      </c>
    </row>
    <row r="71" ht="15" customHeight="1" s="82">
      <c r="A71" s="94" t="inlineStr">
        <is>
          <t>102 - Orthopedic institutes</t>
        </is>
      </c>
      <c r="B71" s="94" t="inlineStr">
        <is>
          <t>150005 אקספרס הנעלה ועור בע"מ</t>
        </is>
      </c>
      <c r="C71" s="94" t="inlineStr">
        <is>
          <t>INV69262</t>
        </is>
      </c>
      <c r="D71" s="94" t="inlineStr">
        <is>
          <t>INV</t>
        </is>
      </c>
      <c r="E71" s="102" t="n">
        <v>0</v>
      </c>
      <c r="F71" s="94" t="n">
        <v>0</v>
      </c>
      <c r="G71" s="102" t="n">
        <v>1354.2</v>
      </c>
      <c r="H71" s="94" t="n">
        <v>16</v>
      </c>
    </row>
    <row r="72" ht="15" customHeight="1" s="82">
      <c r="A72" s="94" t="inlineStr">
        <is>
          <t>102 - Orthopedic institutes</t>
        </is>
      </c>
      <c r="B72" s="94" t="inlineStr">
        <is>
          <t>150005 אקספרס הנעלה ועור בע"מ</t>
        </is>
      </c>
      <c r="C72" s="94" t="inlineStr">
        <is>
          <t>INV67781</t>
        </is>
      </c>
      <c r="D72" s="94" t="inlineStr">
        <is>
          <t>INV</t>
        </is>
      </c>
      <c r="E72" s="102" t="n">
        <v>0</v>
      </c>
      <c r="F72" s="94" t="n">
        <v>0</v>
      </c>
      <c r="G72" s="102" t="n">
        <v>1250.29</v>
      </c>
      <c r="H72" s="94" t="n">
        <v>44</v>
      </c>
    </row>
    <row r="73" ht="15" customHeight="1" s="82">
      <c r="A73" s="94" t="inlineStr">
        <is>
          <t>102 - Orthopedic institutes</t>
        </is>
      </c>
      <c r="B73" s="94" t="inlineStr">
        <is>
          <t>150005 אקספרס הנעלה ועור בע"מ</t>
        </is>
      </c>
      <c r="C73" s="94" t="inlineStr">
        <is>
          <t>INV66961</t>
        </is>
      </c>
      <c r="D73" s="94" t="inlineStr">
        <is>
          <t>INV</t>
        </is>
      </c>
      <c r="E73" s="102" t="n">
        <v>1201.87</v>
      </c>
      <c r="F73" s="94" t="n">
        <v>32</v>
      </c>
      <c r="G73" s="102" t="n">
        <v>0</v>
      </c>
      <c r="H73" s="94" t="n">
        <v>0</v>
      </c>
    </row>
    <row r="74" ht="15" customHeight="1" s="82">
      <c r="A74" s="94" t="inlineStr">
        <is>
          <t>102 - Orthopedic institutes</t>
        </is>
      </c>
      <c r="B74" s="94" t="inlineStr">
        <is>
          <t>150005 אקספרס הנעלה ועור בע"מ</t>
        </is>
      </c>
      <c r="C74" s="94" t="inlineStr">
        <is>
          <t>INV68813</t>
        </is>
      </c>
      <c r="D74" s="94" t="inlineStr">
        <is>
          <t>INV</t>
        </is>
      </c>
      <c r="E74" s="102" t="n">
        <v>0</v>
      </c>
      <c r="F74" s="94" t="n">
        <v>0</v>
      </c>
      <c r="G74" s="102" t="n">
        <v>1135.29</v>
      </c>
      <c r="H74" s="94" t="n">
        <v>24</v>
      </c>
    </row>
    <row r="75" ht="15" customHeight="1" s="82">
      <c r="A75" s="94" t="inlineStr">
        <is>
          <t>102 - Orthopedic institutes</t>
        </is>
      </c>
      <c r="B75" s="94" t="inlineStr">
        <is>
          <t>150005 אקספרס הנעלה ועור בע"מ</t>
        </is>
      </c>
      <c r="C75" s="94" t="inlineStr">
        <is>
          <t>INV54126</t>
        </is>
      </c>
      <c r="D75" s="94" t="inlineStr">
        <is>
          <t>INV</t>
        </is>
      </c>
      <c r="E75" s="102" t="n">
        <v>1097.24</v>
      </c>
      <c r="F75" s="94" t="n">
        <v>26</v>
      </c>
      <c r="G75" s="102" t="n">
        <v>0</v>
      </c>
      <c r="H75" s="94" t="n">
        <v>0</v>
      </c>
    </row>
    <row r="76" ht="15" customHeight="1" s="82">
      <c r="A76" s="94" t="inlineStr">
        <is>
          <t>102 - Orthopedic institutes</t>
        </is>
      </c>
      <c r="B76" s="94" t="inlineStr">
        <is>
          <t>150005 אקספרס הנעלה ועור בע"מ</t>
        </is>
      </c>
      <c r="C76" s="94" t="inlineStr">
        <is>
          <t>INV67350</t>
        </is>
      </c>
      <c r="D76" s="94" t="inlineStr">
        <is>
          <t>INV</t>
        </is>
      </c>
      <c r="E76" s="102" t="n">
        <v>0</v>
      </c>
      <c r="F76" s="94" t="n">
        <v>0</v>
      </c>
      <c r="G76" s="102" t="n">
        <v>1070.66</v>
      </c>
      <c r="H76" s="94" t="n">
        <v>10</v>
      </c>
    </row>
    <row r="77" ht="15" customHeight="1" s="82">
      <c r="A77" s="94" t="inlineStr">
        <is>
          <t>102 - Orthopedic institutes</t>
        </is>
      </c>
      <c r="B77" s="94" t="inlineStr">
        <is>
          <t>150005 אקספרס הנעלה ועור בע"מ</t>
        </is>
      </c>
      <c r="C77" s="94" t="inlineStr">
        <is>
          <t>INV65749</t>
        </is>
      </c>
      <c r="D77" s="94" t="inlineStr">
        <is>
          <t>INV</t>
        </is>
      </c>
      <c r="E77" s="102" t="n">
        <v>995</v>
      </c>
      <c r="F77" s="94" t="n">
        <v>8</v>
      </c>
      <c r="G77" s="102" t="n">
        <v>0</v>
      </c>
      <c r="H77" s="94" t="n">
        <v>0</v>
      </c>
    </row>
    <row r="78" ht="15" customHeight="1" s="82">
      <c r="A78" s="94" t="inlineStr">
        <is>
          <t>102 - Orthopedic institutes</t>
        </is>
      </c>
      <c r="B78" s="94" t="inlineStr">
        <is>
          <t>150005 אקספרס הנעלה ועור בע"מ</t>
        </is>
      </c>
      <c r="C78" s="94" t="inlineStr">
        <is>
          <t>INV67981</t>
        </is>
      </c>
      <c r="D78" s="94" t="inlineStr">
        <is>
          <t>INV</t>
        </is>
      </c>
      <c r="E78" s="102" t="n">
        <v>0</v>
      </c>
      <c r="F78" s="94" t="n">
        <v>0</v>
      </c>
      <c r="G78" s="102" t="n">
        <v>974.95</v>
      </c>
      <c r="H78" s="94" t="n">
        <v>7</v>
      </c>
    </row>
    <row r="79" ht="15" customHeight="1" s="82">
      <c r="A79" s="94" t="inlineStr">
        <is>
          <t>102 - Orthopedic institutes</t>
        </is>
      </c>
      <c r="B79" s="94" t="inlineStr">
        <is>
          <t>150005 אקספרס הנעלה ועור בע"מ</t>
        </is>
      </c>
      <c r="C79" s="94" t="inlineStr">
        <is>
          <t>INV51262</t>
        </is>
      </c>
      <c r="D79" s="94" t="inlineStr">
        <is>
          <t>INV</t>
        </is>
      </c>
      <c r="E79" s="102" t="n">
        <v>934.95</v>
      </c>
      <c r="F79" s="94" t="n">
        <v>6</v>
      </c>
      <c r="G79" s="102" t="n">
        <v>0</v>
      </c>
      <c r="H79" s="94" t="n">
        <v>0</v>
      </c>
    </row>
    <row r="80" ht="15" customHeight="1" s="82">
      <c r="A80" s="94" t="inlineStr">
        <is>
          <t>102 - Orthopedic institutes</t>
        </is>
      </c>
      <c r="B80" s="94" t="inlineStr">
        <is>
          <t>150005 אקספרס הנעלה ועור בע"מ</t>
        </is>
      </c>
      <c r="C80" s="94" t="inlineStr">
        <is>
          <t>INV69158</t>
        </is>
      </c>
      <c r="D80" s="94" t="inlineStr">
        <is>
          <t>INV</t>
        </is>
      </c>
      <c r="E80" s="102" t="n">
        <v>0</v>
      </c>
      <c r="F80" s="94" t="n">
        <v>0</v>
      </c>
      <c r="G80" s="102" t="n">
        <v>925.0700000000001</v>
      </c>
      <c r="H80" s="94" t="n">
        <v>10</v>
      </c>
    </row>
    <row r="81" ht="15" customHeight="1" s="82">
      <c r="A81" s="94" t="inlineStr">
        <is>
          <t>102 - Orthopedic institutes</t>
        </is>
      </c>
      <c r="B81" s="94" t="inlineStr">
        <is>
          <t>150005 אקספרס הנעלה ועור בע"מ</t>
        </is>
      </c>
      <c r="C81" s="94" t="inlineStr">
        <is>
          <t>INV68576</t>
        </is>
      </c>
      <c r="D81" s="94" t="inlineStr">
        <is>
          <t>INV</t>
        </is>
      </c>
      <c r="E81" s="102" t="n">
        <v>0</v>
      </c>
      <c r="F81" s="94" t="n">
        <v>0</v>
      </c>
      <c r="G81" s="102" t="n">
        <v>892</v>
      </c>
      <c r="H81" s="94" t="n">
        <v>6</v>
      </c>
    </row>
    <row r="82" ht="15" customHeight="1" s="82">
      <c r="A82" s="94" t="inlineStr">
        <is>
          <t>102 - Orthopedic institutes</t>
        </is>
      </c>
      <c r="B82" s="94" t="inlineStr">
        <is>
          <t>150005 אקספרס הנעלה ועור בע"מ</t>
        </is>
      </c>
      <c r="C82" s="94" t="inlineStr">
        <is>
          <t>INV44993</t>
        </is>
      </c>
      <c r="D82" s="94" t="inlineStr">
        <is>
          <t>INV</t>
        </is>
      </c>
      <c r="E82" s="102" t="n">
        <v>775.27</v>
      </c>
      <c r="F82" s="94" t="n">
        <v>6</v>
      </c>
      <c r="G82" s="102" t="n">
        <v>0</v>
      </c>
      <c r="H82" s="94" t="n">
        <v>0</v>
      </c>
    </row>
    <row r="83" ht="15" customHeight="1" s="82">
      <c r="A83" s="94" t="inlineStr">
        <is>
          <t>102 - Orthopedic institutes</t>
        </is>
      </c>
      <c r="B83" s="94" t="inlineStr">
        <is>
          <t>150005 אקספרס הנעלה ועור בע"מ</t>
        </is>
      </c>
      <c r="C83" s="94" t="inlineStr">
        <is>
          <t>INV64508</t>
        </is>
      </c>
      <c r="D83" s="94" t="inlineStr">
        <is>
          <t>INV</t>
        </is>
      </c>
      <c r="E83" s="102" t="n">
        <v>675.04</v>
      </c>
      <c r="F83" s="94" t="n">
        <v>42</v>
      </c>
      <c r="G83" s="102" t="n">
        <v>0</v>
      </c>
      <c r="H83" s="94" t="n">
        <v>0</v>
      </c>
    </row>
    <row r="84" ht="15" customHeight="1" s="82">
      <c r="A84" s="94" t="inlineStr">
        <is>
          <t>102 - Orthopedic institutes</t>
        </is>
      </c>
      <c r="B84" s="94" t="inlineStr">
        <is>
          <t>150005 אקספרס הנעלה ועור בע"מ</t>
        </is>
      </c>
      <c r="C84" s="94" t="inlineStr">
        <is>
          <t>INV49822</t>
        </is>
      </c>
      <c r="D84" s="94" t="inlineStr">
        <is>
          <t>INV</t>
        </is>
      </c>
      <c r="E84" s="102" t="n">
        <v>593.89</v>
      </c>
      <c r="F84" s="94" t="n">
        <v>6</v>
      </c>
      <c r="G84" s="102" t="n">
        <v>0</v>
      </c>
      <c r="H84" s="94" t="n">
        <v>0</v>
      </c>
    </row>
    <row r="85" ht="15" customHeight="1" s="82">
      <c r="A85" s="94" t="inlineStr">
        <is>
          <t>102 - Orthopedic institutes</t>
        </is>
      </c>
      <c r="B85" s="94" t="inlineStr">
        <is>
          <t>150005 אקספרס הנעלה ועור בע"מ</t>
        </is>
      </c>
      <c r="C85" s="94" t="inlineStr">
        <is>
          <t>INV49823</t>
        </is>
      </c>
      <c r="D85" s="94" t="inlineStr">
        <is>
          <t>INV</t>
        </is>
      </c>
      <c r="E85" s="102" t="n">
        <v>560.98</v>
      </c>
      <c r="F85" s="94" t="n">
        <v>6</v>
      </c>
      <c r="G85" s="102" t="n">
        <v>0</v>
      </c>
      <c r="H85" s="94" t="n">
        <v>0</v>
      </c>
    </row>
    <row r="86" ht="15" customHeight="1" s="82">
      <c r="A86" s="94" t="inlineStr">
        <is>
          <t>102 - Orthopedic institutes</t>
        </is>
      </c>
      <c r="B86" s="94" t="inlineStr">
        <is>
          <t>150005 אקספרס הנעלה ועור בע"מ</t>
        </is>
      </c>
      <c r="C86" s="94" t="inlineStr">
        <is>
          <t>INV66345</t>
        </is>
      </c>
      <c r="D86" s="94" t="inlineStr">
        <is>
          <t>INV</t>
        </is>
      </c>
      <c r="E86" s="102" t="n">
        <v>544.8200000000001</v>
      </c>
      <c r="F86" s="94" t="n">
        <v>13</v>
      </c>
      <c r="G86" s="102" t="n">
        <v>0</v>
      </c>
      <c r="H86" s="94" t="n">
        <v>0</v>
      </c>
    </row>
    <row r="87" ht="15" customHeight="1" s="82">
      <c r="A87" s="94" t="inlineStr">
        <is>
          <t>102 - Orthopedic institutes</t>
        </is>
      </c>
      <c r="B87" s="94" t="inlineStr">
        <is>
          <t>150005 אקספרס הנעלה ועור בע"מ</t>
        </is>
      </c>
      <c r="C87" s="94" t="inlineStr">
        <is>
          <t>INV57071</t>
        </is>
      </c>
      <c r="D87" s="94" t="inlineStr">
        <is>
          <t>INV</t>
        </is>
      </c>
      <c r="E87" s="102" t="n">
        <v>534.26</v>
      </c>
      <c r="F87" s="94" t="n">
        <v>6</v>
      </c>
      <c r="G87" s="102" t="n">
        <v>0</v>
      </c>
      <c r="H87" s="94" t="n">
        <v>0</v>
      </c>
    </row>
    <row r="88" ht="15" customHeight="1" s="82">
      <c r="A88" s="94" t="inlineStr">
        <is>
          <t>102 - Orthopedic institutes</t>
        </is>
      </c>
      <c r="B88" s="94" t="inlineStr">
        <is>
          <t>150005 אקספרס הנעלה ועור בע"מ</t>
        </is>
      </c>
      <c r="C88" s="94" t="inlineStr">
        <is>
          <t>INV69116</t>
        </is>
      </c>
      <c r="D88" s="94" t="inlineStr">
        <is>
          <t>INV</t>
        </is>
      </c>
      <c r="E88" s="102" t="n">
        <v>0</v>
      </c>
      <c r="F88" s="94" t="n">
        <v>0</v>
      </c>
      <c r="G88" s="102" t="n">
        <v>519.99</v>
      </c>
      <c r="H88" s="94" t="n">
        <v>4</v>
      </c>
    </row>
    <row r="89" ht="15" customHeight="1" s="82">
      <c r="A89" s="94" t="inlineStr">
        <is>
          <t>102 - Orthopedic institutes</t>
        </is>
      </c>
      <c r="B89" s="94" t="inlineStr">
        <is>
          <t>150005 אקספרס הנעלה ועור בע"מ</t>
        </is>
      </c>
      <c r="C89" s="94" t="inlineStr">
        <is>
          <t>INV67986</t>
        </is>
      </c>
      <c r="D89" s="94" t="inlineStr">
        <is>
          <t>INV</t>
        </is>
      </c>
      <c r="E89" s="102" t="n">
        <v>0</v>
      </c>
      <c r="F89" s="94" t="n">
        <v>0</v>
      </c>
      <c r="G89" s="102" t="n">
        <v>500</v>
      </c>
      <c r="H89" s="94" t="n">
        <v>20</v>
      </c>
    </row>
    <row r="90" ht="15" customHeight="1" s="82">
      <c r="A90" s="94" t="inlineStr">
        <is>
          <t>102 - Orthopedic institutes</t>
        </is>
      </c>
      <c r="B90" s="94" t="inlineStr">
        <is>
          <t>150005 אקספרס הנעלה ועור בע"מ</t>
        </is>
      </c>
      <c r="C90" s="94" t="inlineStr">
        <is>
          <t>INV64475</t>
        </is>
      </c>
      <c r="D90" s="94" t="inlineStr">
        <is>
          <t>INV</t>
        </is>
      </c>
      <c r="E90" s="102" t="n">
        <v>475.15</v>
      </c>
      <c r="F90" s="94" t="n">
        <v>6</v>
      </c>
      <c r="G90" s="102" t="n">
        <v>0</v>
      </c>
      <c r="H90" s="94" t="n">
        <v>0</v>
      </c>
    </row>
    <row r="91" ht="15" customHeight="1" s="82">
      <c r="A91" s="94" t="inlineStr">
        <is>
          <t>102 - Orthopedic institutes</t>
        </is>
      </c>
      <c r="B91" s="94" t="inlineStr">
        <is>
          <t>150005 אקספרס הנעלה ועור בע"מ</t>
        </is>
      </c>
      <c r="C91" s="94" t="inlineStr">
        <is>
          <t>INV68820</t>
        </is>
      </c>
      <c r="D91" s="94" t="inlineStr">
        <is>
          <t>INV</t>
        </is>
      </c>
      <c r="E91" s="102" t="n">
        <v>0</v>
      </c>
      <c r="F91" s="94" t="n">
        <v>0</v>
      </c>
      <c r="G91" s="102" t="n">
        <v>410.84</v>
      </c>
      <c r="H91" s="94" t="n">
        <v>3</v>
      </c>
    </row>
    <row r="92" ht="15" customHeight="1" s="82">
      <c r="A92" s="94" t="inlineStr">
        <is>
          <t>102 - Orthopedic institutes</t>
        </is>
      </c>
      <c r="B92" s="94" t="inlineStr">
        <is>
          <t>150005 אקספרס הנעלה ועור בע"מ</t>
        </is>
      </c>
      <c r="C92" s="94" t="inlineStr">
        <is>
          <t>INV66386</t>
        </is>
      </c>
      <c r="D92" s="94" t="inlineStr">
        <is>
          <t>INV</t>
        </is>
      </c>
      <c r="E92" s="102" t="n">
        <v>404.95</v>
      </c>
      <c r="F92" s="94" t="n">
        <v>5</v>
      </c>
      <c r="G92" s="102" t="n">
        <v>0</v>
      </c>
      <c r="H92" s="94" t="n">
        <v>0</v>
      </c>
    </row>
    <row r="93" ht="15" customHeight="1" s="82">
      <c r="A93" s="94" t="inlineStr">
        <is>
          <t>102 - Orthopedic institutes</t>
        </is>
      </c>
      <c r="B93" s="94" t="inlineStr">
        <is>
          <t>150005 אקספרס הנעלה ועור בע"מ</t>
        </is>
      </c>
      <c r="C93" s="94" t="inlineStr">
        <is>
          <t>INV43007</t>
        </is>
      </c>
      <c r="D93" s="94" t="inlineStr">
        <is>
          <t>INV</t>
        </is>
      </c>
      <c r="E93" s="102" t="n">
        <v>368.13</v>
      </c>
      <c r="F93" s="94" t="n">
        <v>4</v>
      </c>
      <c r="G93" s="102" t="n">
        <v>0</v>
      </c>
      <c r="H93" s="94" t="n">
        <v>0</v>
      </c>
    </row>
    <row r="94" ht="15" customHeight="1" s="82">
      <c r="A94" s="94" t="inlineStr">
        <is>
          <t>102 - Orthopedic institutes</t>
        </is>
      </c>
      <c r="B94" s="94" t="inlineStr">
        <is>
          <t>150005 אקספרס הנעלה ועור בע"מ</t>
        </is>
      </c>
      <c r="C94" s="94" t="inlineStr">
        <is>
          <t>INV64600</t>
        </is>
      </c>
      <c r="D94" s="94" t="inlineStr">
        <is>
          <t>INV</t>
        </is>
      </c>
      <c r="E94" s="102" t="n">
        <v>252.93</v>
      </c>
      <c r="F94" s="94" t="n">
        <v>4</v>
      </c>
      <c r="G94" s="102" t="n">
        <v>0</v>
      </c>
      <c r="H94" s="94" t="n">
        <v>0</v>
      </c>
    </row>
    <row r="95" ht="15" customHeight="1" s="82">
      <c r="A95" s="94" t="inlineStr">
        <is>
          <t>102 - Orthopedic institutes</t>
        </is>
      </c>
      <c r="B95" s="94" t="inlineStr">
        <is>
          <t>150005 אקספרס הנעלה ועור בע"מ</t>
        </is>
      </c>
      <c r="C95" s="94" t="inlineStr">
        <is>
          <t>CM43758</t>
        </is>
      </c>
      <c r="D95" s="94" t="inlineStr">
        <is>
          <t>CM</t>
        </is>
      </c>
      <c r="E95" s="102" t="n">
        <v>-94.98999999999999</v>
      </c>
      <c r="F95" s="94" t="n">
        <v>-1</v>
      </c>
      <c r="G95" s="102" t="n">
        <v>0</v>
      </c>
      <c r="H95" s="94" t="n">
        <v>0</v>
      </c>
    </row>
    <row r="96" ht="15" customHeight="1" s="82">
      <c r="A96" s="94" t="inlineStr">
        <is>
          <t>102 - Orthopedic institutes</t>
        </is>
      </c>
      <c r="B96" s="94" t="inlineStr">
        <is>
          <t>150005 אקספרס הנעלה ועור בע"מ</t>
        </is>
      </c>
      <c r="C96" s="94" t="inlineStr">
        <is>
          <t>CM43970</t>
        </is>
      </c>
      <c r="D96" s="94" t="inlineStr">
        <is>
          <t>CM</t>
        </is>
      </c>
      <c r="E96" s="102" t="n">
        <v>-252.97</v>
      </c>
      <c r="F96" s="94" t="n">
        <v>-3</v>
      </c>
      <c r="G96" s="102" t="n">
        <v>0</v>
      </c>
      <c r="H96" s="94" t="n">
        <v>0</v>
      </c>
    </row>
    <row r="97" ht="15" customHeight="1" s="82">
      <c r="A97" s="94" t="inlineStr">
        <is>
          <t>102 - Orthopedic institutes</t>
        </is>
      </c>
      <c r="B97" s="94" t="inlineStr">
        <is>
          <t>150005 אקספרס הנעלה ועור בע"מ</t>
        </is>
      </c>
      <c r="C97" s="94" t="inlineStr">
        <is>
          <t>CM43638</t>
        </is>
      </c>
      <c r="D97" s="94" t="inlineStr">
        <is>
          <t>CM</t>
        </is>
      </c>
      <c r="E97" s="102" t="n">
        <v>-593.89</v>
      </c>
      <c r="F97" s="94" t="n">
        <v>-6</v>
      </c>
      <c r="G97" s="102" t="n">
        <v>0</v>
      </c>
      <c r="H97" s="94" t="n">
        <v>0</v>
      </c>
    </row>
    <row r="98" ht="15" customHeight="1" s="82">
      <c r="A98" s="94" t="inlineStr">
        <is>
          <t>102 - Orthopedic institutes</t>
        </is>
      </c>
      <c r="B98" s="94" t="inlineStr">
        <is>
          <t>150005 אקספרס הנעלה ועור בע"מ</t>
        </is>
      </c>
      <c r="C98" s="94" t="inlineStr">
        <is>
          <t>CM43420</t>
        </is>
      </c>
      <c r="D98" s="94" t="inlineStr">
        <is>
          <t>CM</t>
        </is>
      </c>
      <c r="E98" s="102" t="n">
        <v>-775.27</v>
      </c>
      <c r="F98" s="94" t="n">
        <v>-6</v>
      </c>
      <c r="G98" s="102" t="n">
        <v>0</v>
      </c>
      <c r="H98" s="94" t="n">
        <v>0</v>
      </c>
    </row>
    <row r="99" ht="15" customHeight="1" s="82">
      <c r="A99" s="94" t="inlineStr">
        <is>
          <t>102 - Orthopedic institutes</t>
        </is>
      </c>
      <c r="B99" s="94" t="inlineStr">
        <is>
          <t>150007 אבידן אורטופדיה שיקומית ב</t>
        </is>
      </c>
      <c r="C99" s="94" t="inlineStr">
        <is>
          <t>INV68894</t>
        </is>
      </c>
      <c r="D99" s="94" t="inlineStr">
        <is>
          <t>INV</t>
        </is>
      </c>
      <c r="E99" s="102" t="n">
        <v>0</v>
      </c>
      <c r="F99" s="94" t="n">
        <v>0</v>
      </c>
      <c r="G99" s="102" t="n">
        <v>1200.01</v>
      </c>
      <c r="H99" s="94" t="n">
        <v>12</v>
      </c>
    </row>
    <row r="100" ht="15" customHeight="1" s="82">
      <c r="A100" s="94" t="inlineStr">
        <is>
          <t>102 - Orthopedic institutes</t>
        </is>
      </c>
      <c r="B100" s="94" t="inlineStr">
        <is>
          <t>150007 אבידן אורטופדיה שיקומית ב</t>
        </is>
      </c>
      <c r="C100" s="94" t="inlineStr">
        <is>
          <t>INV68376</t>
        </is>
      </c>
      <c r="D100" s="94" t="inlineStr">
        <is>
          <t>INV</t>
        </is>
      </c>
      <c r="E100" s="102" t="n">
        <v>0</v>
      </c>
      <c r="F100" s="94" t="n">
        <v>0</v>
      </c>
      <c r="G100" s="102" t="n">
        <v>989.98</v>
      </c>
      <c r="H100" s="94" t="n">
        <v>10</v>
      </c>
    </row>
    <row r="101" ht="15" customHeight="1" s="82">
      <c r="A101" s="94" t="inlineStr">
        <is>
          <t>102 - Orthopedic institutes</t>
        </is>
      </c>
      <c r="B101" s="94" t="inlineStr">
        <is>
          <t>150007 אבידן אורטופדיה שיקומית ב</t>
        </is>
      </c>
      <c r="C101" s="94" t="inlineStr">
        <is>
          <t>INV68762</t>
        </is>
      </c>
      <c r="D101" s="94" t="inlineStr">
        <is>
          <t>INV</t>
        </is>
      </c>
      <c r="E101" s="102" t="n">
        <v>0</v>
      </c>
      <c r="F101" s="94" t="n">
        <v>0</v>
      </c>
      <c r="G101" s="102" t="n">
        <v>664.99</v>
      </c>
      <c r="H101" s="94" t="n">
        <v>7</v>
      </c>
    </row>
    <row r="102" ht="15" customHeight="1" s="82">
      <c r="A102" s="94" t="inlineStr">
        <is>
          <t>102 - Orthopedic institutes</t>
        </is>
      </c>
      <c r="B102" s="94" t="inlineStr">
        <is>
          <t>150007 אבידן אורטופדיה שיקומית ב</t>
        </is>
      </c>
      <c r="C102" s="94" t="inlineStr">
        <is>
          <t>INV68823</t>
        </is>
      </c>
      <c r="D102" s="94" t="inlineStr">
        <is>
          <t>INV</t>
        </is>
      </c>
      <c r="E102" s="102" t="n">
        <v>0</v>
      </c>
      <c r="F102" s="94" t="n">
        <v>0</v>
      </c>
      <c r="G102" s="102" t="n">
        <v>557.09</v>
      </c>
      <c r="H102" s="94" t="n">
        <v>12</v>
      </c>
    </row>
    <row r="103" ht="15" customHeight="1" s="82">
      <c r="A103" s="94" t="inlineStr">
        <is>
          <t>102 - Orthopedic institutes</t>
        </is>
      </c>
      <c r="B103" s="94" t="inlineStr">
        <is>
          <t>150007 אבידן אורטופדיה שיקומית ב</t>
        </is>
      </c>
      <c r="C103" s="94" t="inlineStr">
        <is>
          <t>INV66298</t>
        </is>
      </c>
      <c r="D103" s="94" t="inlineStr">
        <is>
          <t>INV</t>
        </is>
      </c>
      <c r="E103" s="102" t="n">
        <v>360</v>
      </c>
      <c r="F103" s="94" t="n">
        <v>3</v>
      </c>
      <c r="G103" s="102" t="n">
        <v>0</v>
      </c>
      <c r="H103" s="94" t="n">
        <v>0</v>
      </c>
    </row>
    <row r="104" ht="15" customHeight="1" s="82">
      <c r="A104" s="94" t="inlineStr">
        <is>
          <t>102 - Orthopedic institutes</t>
        </is>
      </c>
      <c r="B104" s="94" t="inlineStr">
        <is>
          <t>150010 אור אורטופדיה</t>
        </is>
      </c>
      <c r="C104" s="94" t="inlineStr">
        <is>
          <t>INV68493</t>
        </is>
      </c>
      <c r="D104" s="94" t="inlineStr">
        <is>
          <t>INV</t>
        </is>
      </c>
      <c r="E104" s="102" t="n">
        <v>0</v>
      </c>
      <c r="F104" s="94" t="n">
        <v>0</v>
      </c>
      <c r="G104" s="102" t="n">
        <v>5236.9</v>
      </c>
      <c r="H104" s="94" t="n">
        <v>60</v>
      </c>
    </row>
    <row r="105" ht="15" customHeight="1" s="82">
      <c r="A105" s="94" t="inlineStr">
        <is>
          <t>102 - Orthopedic institutes</t>
        </is>
      </c>
      <c r="B105" s="94" t="inlineStr">
        <is>
          <t>150010 אור אורטופדיה</t>
        </is>
      </c>
      <c r="C105" s="94" t="inlineStr">
        <is>
          <t>INV67895</t>
        </is>
      </c>
      <c r="D105" s="94" t="inlineStr">
        <is>
          <t>INV</t>
        </is>
      </c>
      <c r="E105" s="102" t="n">
        <v>0</v>
      </c>
      <c r="F105" s="94" t="n">
        <v>0</v>
      </c>
      <c r="G105" s="102" t="n">
        <v>2484.62</v>
      </c>
      <c r="H105" s="94" t="n">
        <v>46</v>
      </c>
    </row>
    <row r="106" ht="15" customHeight="1" s="82">
      <c r="A106" s="94" t="inlineStr">
        <is>
          <t>102 - Orthopedic institutes</t>
        </is>
      </c>
      <c r="B106" s="94" t="inlineStr">
        <is>
          <t>150010 אור אורטופדיה</t>
        </is>
      </c>
      <c r="C106" s="94" t="inlineStr">
        <is>
          <t>INV57518</t>
        </is>
      </c>
      <c r="D106" s="94" t="inlineStr">
        <is>
          <t>INV</t>
        </is>
      </c>
      <c r="E106" s="102" t="n">
        <v>2413.06</v>
      </c>
      <c r="F106" s="94" t="n">
        <v>74</v>
      </c>
      <c r="G106" s="102" t="n">
        <v>0</v>
      </c>
      <c r="H106" s="94" t="n">
        <v>0</v>
      </c>
    </row>
    <row r="107" ht="15" customHeight="1" s="82">
      <c r="A107" s="94" t="inlineStr">
        <is>
          <t>102 - Orthopedic institutes</t>
        </is>
      </c>
      <c r="B107" s="94" t="inlineStr">
        <is>
          <t>150010 אור אורטופדיה</t>
        </is>
      </c>
      <c r="C107" s="94" t="inlineStr">
        <is>
          <t>INV56054</t>
        </is>
      </c>
      <c r="D107" s="94" t="inlineStr">
        <is>
          <t>INV</t>
        </is>
      </c>
      <c r="E107" s="102" t="n">
        <v>2391.17</v>
      </c>
      <c r="F107" s="94" t="n">
        <v>35</v>
      </c>
      <c r="G107" s="102" t="n">
        <v>0</v>
      </c>
      <c r="H107" s="94" t="n">
        <v>0</v>
      </c>
    </row>
    <row r="108" ht="15" customHeight="1" s="82">
      <c r="A108" s="94" t="inlineStr">
        <is>
          <t>102 - Orthopedic institutes</t>
        </is>
      </c>
      <c r="B108" s="94" t="inlineStr">
        <is>
          <t>150010 אור אורטופדיה</t>
        </is>
      </c>
      <c r="C108" s="94" t="inlineStr">
        <is>
          <t>INV52153</t>
        </is>
      </c>
      <c r="D108" s="94" t="inlineStr">
        <is>
          <t>INV</t>
        </is>
      </c>
      <c r="E108" s="102" t="n">
        <v>2270.97</v>
      </c>
      <c r="F108" s="94" t="n">
        <v>19</v>
      </c>
      <c r="G108" s="102" t="n">
        <v>0</v>
      </c>
      <c r="H108" s="94" t="n">
        <v>0</v>
      </c>
    </row>
    <row r="109" ht="15" customHeight="1" s="82">
      <c r="A109" s="94" t="inlineStr">
        <is>
          <t>102 - Orthopedic institutes</t>
        </is>
      </c>
      <c r="B109" s="94" t="inlineStr">
        <is>
          <t>150010 אור אורטופדיה</t>
        </is>
      </c>
      <c r="C109" s="94" t="inlineStr">
        <is>
          <t>INV66091</t>
        </is>
      </c>
      <c r="D109" s="94" t="inlineStr">
        <is>
          <t>INV</t>
        </is>
      </c>
      <c r="E109" s="102" t="n">
        <v>1870.02</v>
      </c>
      <c r="F109" s="94" t="n">
        <v>26</v>
      </c>
      <c r="G109" s="102" t="n">
        <v>0</v>
      </c>
      <c r="H109" s="94" t="n">
        <v>0</v>
      </c>
    </row>
    <row r="110" ht="15" customHeight="1" s="82">
      <c r="A110" s="94" t="inlineStr">
        <is>
          <t>102 - Orthopedic institutes</t>
        </is>
      </c>
      <c r="B110" s="94" t="inlineStr">
        <is>
          <t>150010 אור אורטופדיה</t>
        </is>
      </c>
      <c r="C110" s="94" t="inlineStr">
        <is>
          <t>INV46313</t>
        </is>
      </c>
      <c r="D110" s="94" t="inlineStr">
        <is>
          <t>INV</t>
        </is>
      </c>
      <c r="E110" s="102" t="n">
        <v>1836.95</v>
      </c>
      <c r="F110" s="94" t="n">
        <v>32</v>
      </c>
      <c r="G110" s="102" t="n">
        <v>0</v>
      </c>
      <c r="H110" s="94" t="n">
        <v>0</v>
      </c>
    </row>
    <row r="111" ht="15" customHeight="1" s="82">
      <c r="A111" s="94" t="inlineStr">
        <is>
          <t>102 - Orthopedic institutes</t>
        </is>
      </c>
      <c r="B111" s="94" t="inlineStr">
        <is>
          <t>150010 אור אורטופדיה</t>
        </is>
      </c>
      <c r="C111" s="94" t="inlineStr">
        <is>
          <t>INV67589</t>
        </is>
      </c>
      <c r="D111" s="94" t="inlineStr">
        <is>
          <t>INV</t>
        </is>
      </c>
      <c r="E111" s="102" t="n">
        <v>0</v>
      </c>
      <c r="F111" s="94" t="n">
        <v>0</v>
      </c>
      <c r="G111" s="102" t="n">
        <v>1831.49</v>
      </c>
      <c r="H111" s="94" t="n">
        <v>33</v>
      </c>
    </row>
    <row r="112" ht="15" customHeight="1" s="82">
      <c r="A112" s="94" t="inlineStr">
        <is>
          <t>102 - Orthopedic institutes</t>
        </is>
      </c>
      <c r="B112" s="94" t="inlineStr">
        <is>
          <t>150010 אור אורטופדיה</t>
        </is>
      </c>
      <c r="C112" s="94" t="inlineStr">
        <is>
          <t>INV66499</t>
        </is>
      </c>
      <c r="D112" s="94" t="inlineStr">
        <is>
          <t>INV</t>
        </is>
      </c>
      <c r="E112" s="102" t="n">
        <v>1612.75</v>
      </c>
      <c r="F112" s="94" t="n">
        <v>33</v>
      </c>
      <c r="G112" s="102" t="n">
        <v>0</v>
      </c>
      <c r="H112" s="94" t="n">
        <v>0</v>
      </c>
    </row>
    <row r="113" ht="15" customHeight="1" s="82">
      <c r="A113" s="94" t="inlineStr">
        <is>
          <t>102 - Orthopedic institutes</t>
        </is>
      </c>
      <c r="B113" s="94" t="inlineStr">
        <is>
          <t>150010 אור אורטופדיה</t>
        </is>
      </c>
      <c r="C113" s="94" t="inlineStr">
        <is>
          <t>INV50323</t>
        </is>
      </c>
      <c r="D113" s="94" t="inlineStr">
        <is>
          <t>INV</t>
        </is>
      </c>
      <c r="E113" s="102" t="n">
        <v>1594.14</v>
      </c>
      <c r="F113" s="94" t="n">
        <v>20</v>
      </c>
      <c r="G113" s="102" t="n">
        <v>0</v>
      </c>
      <c r="H113" s="94" t="n">
        <v>0</v>
      </c>
    </row>
    <row r="114" ht="15" customHeight="1" s="82">
      <c r="A114" s="94" t="inlineStr">
        <is>
          <t>102 - Orthopedic institutes</t>
        </is>
      </c>
      <c r="B114" s="94" t="inlineStr">
        <is>
          <t>150010 אור אורטופדיה</t>
        </is>
      </c>
      <c r="C114" s="94" t="inlineStr">
        <is>
          <t>INV40497</t>
        </is>
      </c>
      <c r="D114" s="94" t="inlineStr">
        <is>
          <t>INV</t>
        </is>
      </c>
      <c r="E114" s="102" t="n">
        <v>1538.36</v>
      </c>
      <c r="F114" s="94" t="n">
        <v>18</v>
      </c>
      <c r="G114" s="102" t="n">
        <v>0</v>
      </c>
      <c r="H114" s="94" t="n">
        <v>0</v>
      </c>
    </row>
    <row r="115" ht="15" customHeight="1" s="82">
      <c r="A115" s="94" t="inlineStr">
        <is>
          <t>102 - Orthopedic institutes</t>
        </is>
      </c>
      <c r="B115" s="94" t="inlineStr">
        <is>
          <t>150010 אור אורטופדיה</t>
        </is>
      </c>
      <c r="C115" s="94" t="inlineStr">
        <is>
          <t>INV68922</t>
        </is>
      </c>
      <c r="D115" s="94" t="inlineStr">
        <is>
          <t>INV</t>
        </is>
      </c>
      <c r="E115" s="102" t="n">
        <v>0</v>
      </c>
      <c r="F115" s="94" t="n">
        <v>0</v>
      </c>
      <c r="G115" s="102" t="n">
        <v>1508.15</v>
      </c>
      <c r="H115" s="94" t="n">
        <v>34</v>
      </c>
    </row>
    <row r="116" ht="15" customHeight="1" s="82">
      <c r="A116" s="94" t="inlineStr">
        <is>
          <t>102 - Orthopedic institutes</t>
        </is>
      </c>
      <c r="B116" s="94" t="inlineStr">
        <is>
          <t>150010 אור אורטופדיה</t>
        </is>
      </c>
      <c r="C116" s="94" t="inlineStr">
        <is>
          <t>INV68580</t>
        </is>
      </c>
      <c r="D116" s="94" t="inlineStr">
        <is>
          <t>INV</t>
        </is>
      </c>
      <c r="E116" s="102" t="n">
        <v>0</v>
      </c>
      <c r="F116" s="94" t="n">
        <v>0</v>
      </c>
      <c r="G116" s="102" t="n">
        <v>1399.77</v>
      </c>
      <c r="H116" s="94" t="n">
        <v>23</v>
      </c>
    </row>
    <row r="117" ht="15" customHeight="1" s="82">
      <c r="A117" s="94" t="inlineStr">
        <is>
          <t>102 - Orthopedic institutes</t>
        </is>
      </c>
      <c r="B117" s="94" t="inlineStr">
        <is>
          <t>150010 אור אורטופדיה</t>
        </is>
      </c>
      <c r="C117" s="94" t="inlineStr">
        <is>
          <t>INV65396</t>
        </is>
      </c>
      <c r="D117" s="94" t="inlineStr">
        <is>
          <t>INV</t>
        </is>
      </c>
      <c r="E117" s="102" t="n">
        <v>1357.28</v>
      </c>
      <c r="F117" s="94" t="n">
        <v>31</v>
      </c>
      <c r="G117" s="102" t="n">
        <v>0</v>
      </c>
      <c r="H117" s="94" t="n">
        <v>0</v>
      </c>
    </row>
    <row r="118" ht="15" customHeight="1" s="82">
      <c r="A118" s="94" t="inlineStr">
        <is>
          <t>102 - Orthopedic institutes</t>
        </is>
      </c>
      <c r="B118" s="94" t="inlineStr">
        <is>
          <t>150010 אור אורטופדיה</t>
        </is>
      </c>
      <c r="C118" s="94" t="inlineStr">
        <is>
          <t>INV60836</t>
        </is>
      </c>
      <c r="D118" s="94" t="inlineStr">
        <is>
          <t>INV</t>
        </is>
      </c>
      <c r="E118" s="102" t="n">
        <v>1298.71</v>
      </c>
      <c r="F118" s="94" t="n">
        <v>16</v>
      </c>
      <c r="G118" s="102" t="n">
        <v>0</v>
      </c>
      <c r="H118" s="94" t="n">
        <v>0</v>
      </c>
    </row>
    <row r="119" ht="15" customHeight="1" s="82">
      <c r="A119" s="94" t="inlineStr">
        <is>
          <t>102 - Orthopedic institutes</t>
        </is>
      </c>
      <c r="B119" s="94" t="inlineStr">
        <is>
          <t>150010 אור אורטופדיה</t>
        </is>
      </c>
      <c r="C119" s="94" t="inlineStr">
        <is>
          <t>INV62717</t>
        </is>
      </c>
      <c r="D119" s="94" t="inlineStr">
        <is>
          <t>INV</t>
        </is>
      </c>
      <c r="E119" s="102" t="n">
        <v>1262.17</v>
      </c>
      <c r="F119" s="94" t="n">
        <v>27</v>
      </c>
      <c r="G119" s="102" t="n">
        <v>0</v>
      </c>
      <c r="H119" s="94" t="n">
        <v>0</v>
      </c>
    </row>
    <row r="120" ht="15" customHeight="1" s="82">
      <c r="A120" s="94" t="inlineStr">
        <is>
          <t>102 - Orthopedic institutes</t>
        </is>
      </c>
      <c r="B120" s="94" t="inlineStr">
        <is>
          <t>150010 אור אורטופדיה</t>
        </is>
      </c>
      <c r="C120" s="94" t="inlineStr">
        <is>
          <t>INV68158</t>
        </is>
      </c>
      <c r="D120" s="94" t="inlineStr">
        <is>
          <t>INV</t>
        </is>
      </c>
      <c r="E120" s="102" t="n">
        <v>0</v>
      </c>
      <c r="F120" s="94" t="n">
        <v>0</v>
      </c>
      <c r="G120" s="102" t="n">
        <v>1239.83</v>
      </c>
      <c r="H120" s="94" t="n">
        <v>29</v>
      </c>
    </row>
    <row r="121" ht="15" customHeight="1" s="82">
      <c r="A121" s="94" t="inlineStr">
        <is>
          <t>102 - Orthopedic institutes</t>
        </is>
      </c>
      <c r="B121" s="94" t="inlineStr">
        <is>
          <t>150010 אור אורטופדיה</t>
        </is>
      </c>
      <c r="C121" s="94" t="inlineStr">
        <is>
          <t>INV68984</t>
        </is>
      </c>
      <c r="D121" s="94" t="inlineStr">
        <is>
          <t>INV</t>
        </is>
      </c>
      <c r="E121" s="102" t="n">
        <v>0</v>
      </c>
      <c r="F121" s="94" t="n">
        <v>0</v>
      </c>
      <c r="G121" s="102" t="n">
        <v>1162.03</v>
      </c>
      <c r="H121" s="94" t="n">
        <v>17</v>
      </c>
    </row>
    <row r="122" ht="15" customHeight="1" s="82">
      <c r="A122" s="94" t="inlineStr">
        <is>
          <t>102 - Orthopedic institutes</t>
        </is>
      </c>
      <c r="B122" s="94" t="inlineStr">
        <is>
          <t>150010 אור אורטופדיה</t>
        </is>
      </c>
      <c r="C122" s="94" t="inlineStr">
        <is>
          <t>INV69083</t>
        </is>
      </c>
      <c r="D122" s="94" t="inlineStr">
        <is>
          <t>INV</t>
        </is>
      </c>
      <c r="E122" s="102" t="n">
        <v>0</v>
      </c>
      <c r="F122" s="94" t="n">
        <v>0</v>
      </c>
      <c r="G122" s="102" t="n">
        <v>1151.74</v>
      </c>
      <c r="H122" s="94" t="n">
        <v>17</v>
      </c>
    </row>
    <row r="123" ht="15" customHeight="1" s="82">
      <c r="A123" s="94" t="inlineStr">
        <is>
          <t>102 - Orthopedic institutes</t>
        </is>
      </c>
      <c r="B123" s="94" t="inlineStr">
        <is>
          <t>150010 אור אורטופדיה</t>
        </is>
      </c>
      <c r="C123" s="94" t="inlineStr">
        <is>
          <t>INV65692</t>
        </is>
      </c>
      <c r="D123" s="94" t="inlineStr">
        <is>
          <t>INV</t>
        </is>
      </c>
      <c r="E123" s="102" t="n">
        <v>1134.04</v>
      </c>
      <c r="F123" s="94" t="n">
        <v>19</v>
      </c>
      <c r="G123" s="102" t="n">
        <v>0</v>
      </c>
      <c r="H123" s="94" t="n">
        <v>0</v>
      </c>
    </row>
    <row r="124" ht="15" customHeight="1" s="82">
      <c r="A124" s="94" t="inlineStr">
        <is>
          <t>102 - Orthopedic institutes</t>
        </is>
      </c>
      <c r="B124" s="94" t="inlineStr">
        <is>
          <t>150010 אור אורטופדיה</t>
        </is>
      </c>
      <c r="C124" s="94" t="inlineStr">
        <is>
          <t>INV67304</t>
        </is>
      </c>
      <c r="D124" s="94" t="inlineStr">
        <is>
          <t>INV</t>
        </is>
      </c>
      <c r="E124" s="102" t="n">
        <v>0</v>
      </c>
      <c r="F124" s="94" t="n">
        <v>0</v>
      </c>
      <c r="G124" s="102" t="n">
        <v>1113.04</v>
      </c>
      <c r="H124" s="94" t="n">
        <v>21</v>
      </c>
    </row>
    <row r="125" ht="15" customHeight="1" s="82">
      <c r="A125" s="94" t="inlineStr">
        <is>
          <t>102 - Orthopedic institutes</t>
        </is>
      </c>
      <c r="B125" s="94" t="inlineStr">
        <is>
          <t>150010 אור אורטופדיה</t>
        </is>
      </c>
      <c r="C125" s="94" t="inlineStr">
        <is>
          <t>INV41360</t>
        </is>
      </c>
      <c r="D125" s="94" t="inlineStr">
        <is>
          <t>INV</t>
        </is>
      </c>
      <c r="E125" s="102" t="n">
        <v>1009.5</v>
      </c>
      <c r="F125" s="94" t="n">
        <v>18</v>
      </c>
      <c r="G125" s="102" t="n">
        <v>0</v>
      </c>
      <c r="H125" s="94" t="n">
        <v>0</v>
      </c>
    </row>
    <row r="126" ht="15" customHeight="1" s="82">
      <c r="A126" s="94" t="inlineStr">
        <is>
          <t>102 - Orthopedic institutes</t>
        </is>
      </c>
      <c r="B126" s="94" t="inlineStr">
        <is>
          <t>150010 אור אורטופדיה</t>
        </is>
      </c>
      <c r="C126" s="94" t="inlineStr">
        <is>
          <t>INV68666</t>
        </is>
      </c>
      <c r="D126" s="94" t="inlineStr">
        <is>
          <t>INV</t>
        </is>
      </c>
      <c r="E126" s="102" t="n">
        <v>0</v>
      </c>
      <c r="F126" s="94" t="n">
        <v>0</v>
      </c>
      <c r="G126" s="102" t="n">
        <v>960.38</v>
      </c>
      <c r="H126" s="94" t="n">
        <v>14</v>
      </c>
    </row>
    <row r="127" ht="15" customHeight="1" s="82">
      <c r="A127" s="94" t="inlineStr">
        <is>
          <t>102 - Orthopedic institutes</t>
        </is>
      </c>
      <c r="B127" s="94" t="inlineStr">
        <is>
          <t>150010 אור אורטופדיה</t>
        </is>
      </c>
      <c r="C127" s="94" t="inlineStr">
        <is>
          <t>INV50509</t>
        </is>
      </c>
      <c r="D127" s="94" t="inlineStr">
        <is>
          <t>INV</t>
        </is>
      </c>
      <c r="E127" s="102" t="n">
        <v>945.09</v>
      </c>
      <c r="F127" s="94" t="n">
        <v>19</v>
      </c>
      <c r="G127" s="102" t="n">
        <v>0</v>
      </c>
      <c r="H127" s="94" t="n">
        <v>0</v>
      </c>
    </row>
    <row r="128" ht="15" customHeight="1" s="82">
      <c r="A128" s="94" t="inlineStr">
        <is>
          <t>102 - Orthopedic institutes</t>
        </is>
      </c>
      <c r="B128" s="94" t="inlineStr">
        <is>
          <t>150010 אור אורטופדיה</t>
        </is>
      </c>
      <c r="C128" s="94" t="inlineStr">
        <is>
          <t>INV51795</t>
        </is>
      </c>
      <c r="D128" s="94" t="inlineStr">
        <is>
          <t>INV</t>
        </is>
      </c>
      <c r="E128" s="102" t="n">
        <v>914.27</v>
      </c>
      <c r="F128" s="94" t="n">
        <v>12</v>
      </c>
      <c r="G128" s="102" t="n">
        <v>0</v>
      </c>
      <c r="H128" s="94" t="n">
        <v>0</v>
      </c>
    </row>
    <row r="129" ht="15" customHeight="1" s="82">
      <c r="A129" s="94" t="inlineStr">
        <is>
          <t>102 - Orthopedic institutes</t>
        </is>
      </c>
      <c r="B129" s="94" t="inlineStr">
        <is>
          <t>150010 אור אורטופדיה</t>
        </is>
      </c>
      <c r="C129" s="94" t="inlineStr">
        <is>
          <t>INV66713</t>
        </is>
      </c>
      <c r="D129" s="94" t="inlineStr">
        <is>
          <t>INV</t>
        </is>
      </c>
      <c r="E129" s="102" t="n">
        <v>904.0700000000001</v>
      </c>
      <c r="F129" s="94" t="n">
        <v>9</v>
      </c>
      <c r="G129" s="102" t="n">
        <v>0</v>
      </c>
      <c r="H129" s="94" t="n">
        <v>0</v>
      </c>
    </row>
    <row r="130" ht="15" customHeight="1" s="82">
      <c r="A130" s="94" t="inlineStr">
        <is>
          <t>102 - Orthopedic institutes</t>
        </is>
      </c>
      <c r="B130" s="94" t="inlineStr">
        <is>
          <t>150010 אור אורטופדיה</t>
        </is>
      </c>
      <c r="C130" s="94" t="inlineStr">
        <is>
          <t>INV42295</t>
        </is>
      </c>
      <c r="D130" s="94" t="inlineStr">
        <is>
          <t>INV</t>
        </is>
      </c>
      <c r="E130" s="102" t="n">
        <v>867.04</v>
      </c>
      <c r="F130" s="94" t="n">
        <v>9</v>
      </c>
      <c r="G130" s="102" t="n">
        <v>0</v>
      </c>
      <c r="H130" s="94" t="n">
        <v>0</v>
      </c>
    </row>
    <row r="131" ht="15" customHeight="1" s="82">
      <c r="A131" s="94" t="inlineStr">
        <is>
          <t>102 - Orthopedic institutes</t>
        </is>
      </c>
      <c r="B131" s="94" t="inlineStr">
        <is>
          <t>150010 אור אורטופדיה</t>
        </is>
      </c>
      <c r="C131" s="94" t="inlineStr">
        <is>
          <t>INV46573</t>
        </is>
      </c>
      <c r="D131" s="94" t="inlineStr">
        <is>
          <t>INV</t>
        </is>
      </c>
      <c r="E131" s="102" t="n">
        <v>829.76</v>
      </c>
      <c r="F131" s="94" t="n">
        <v>7</v>
      </c>
      <c r="G131" s="102" t="n">
        <v>0</v>
      </c>
      <c r="H131" s="94" t="n">
        <v>0</v>
      </c>
    </row>
    <row r="132" ht="15" customHeight="1" s="82">
      <c r="A132" s="94" t="inlineStr">
        <is>
          <t>102 - Orthopedic institutes</t>
        </is>
      </c>
      <c r="B132" s="94" t="inlineStr">
        <is>
          <t>150010 אור אורטופדיה</t>
        </is>
      </c>
      <c r="C132" s="94" t="inlineStr">
        <is>
          <t>INV66239</t>
        </is>
      </c>
      <c r="D132" s="94" t="inlineStr">
        <is>
          <t>INV</t>
        </is>
      </c>
      <c r="E132" s="102" t="n">
        <v>794.15</v>
      </c>
      <c r="F132" s="94" t="n">
        <v>12</v>
      </c>
      <c r="G132" s="102" t="n">
        <v>0</v>
      </c>
      <c r="H132" s="94" t="n">
        <v>0</v>
      </c>
    </row>
    <row r="133" ht="15" customHeight="1" s="82">
      <c r="A133" s="94" t="inlineStr">
        <is>
          <t>102 - Orthopedic institutes</t>
        </is>
      </c>
      <c r="B133" s="94" t="inlineStr">
        <is>
          <t>150010 אור אורטופדיה</t>
        </is>
      </c>
      <c r="C133" s="94" t="inlineStr">
        <is>
          <t>INV69201</t>
        </is>
      </c>
      <c r="D133" s="94" t="inlineStr">
        <is>
          <t>INV</t>
        </is>
      </c>
      <c r="E133" s="102" t="n">
        <v>0</v>
      </c>
      <c r="F133" s="94" t="n">
        <v>0</v>
      </c>
      <c r="G133" s="102" t="n">
        <v>777.7</v>
      </c>
      <c r="H133" s="94" t="n">
        <v>12</v>
      </c>
    </row>
    <row r="134" ht="15" customHeight="1" s="82">
      <c r="A134" s="94" t="inlineStr">
        <is>
          <t>102 - Orthopedic institutes</t>
        </is>
      </c>
      <c r="B134" s="94" t="inlineStr">
        <is>
          <t>150010 אור אורטופדיה</t>
        </is>
      </c>
      <c r="C134" s="94" t="inlineStr">
        <is>
          <t>INV68656</t>
        </is>
      </c>
      <c r="D134" s="94" t="inlineStr">
        <is>
          <t>INV</t>
        </is>
      </c>
      <c r="E134" s="102" t="n">
        <v>0</v>
      </c>
      <c r="F134" s="94" t="n">
        <v>0</v>
      </c>
      <c r="G134" s="102" t="n">
        <v>757.71</v>
      </c>
      <c r="H134" s="94" t="n">
        <v>14</v>
      </c>
    </row>
    <row r="135" ht="15" customHeight="1" s="82">
      <c r="A135" s="94" t="inlineStr">
        <is>
          <t>102 - Orthopedic institutes</t>
        </is>
      </c>
      <c r="B135" s="94" t="inlineStr">
        <is>
          <t>150010 אור אורטופדיה</t>
        </is>
      </c>
      <c r="C135" s="94" t="inlineStr">
        <is>
          <t>INV69272</t>
        </is>
      </c>
      <c r="D135" s="94" t="inlineStr">
        <is>
          <t>INV</t>
        </is>
      </c>
      <c r="E135" s="102" t="n">
        <v>0</v>
      </c>
      <c r="F135" s="94" t="n">
        <v>0</v>
      </c>
      <c r="G135" s="102" t="n">
        <v>728.4400000000001</v>
      </c>
      <c r="H135" s="94" t="n">
        <v>17</v>
      </c>
    </row>
    <row r="136" ht="15" customHeight="1" s="82">
      <c r="A136" s="94" t="inlineStr">
        <is>
          <t>102 - Orthopedic institutes</t>
        </is>
      </c>
      <c r="B136" s="94" t="inlineStr">
        <is>
          <t>150010 אור אורטופדיה</t>
        </is>
      </c>
      <c r="C136" s="94" t="inlineStr">
        <is>
          <t>INV66808</t>
        </is>
      </c>
      <c r="D136" s="94" t="inlineStr">
        <is>
          <t>INV</t>
        </is>
      </c>
      <c r="E136" s="102" t="n">
        <v>717.55</v>
      </c>
      <c r="F136" s="94" t="n">
        <v>9</v>
      </c>
      <c r="G136" s="102" t="n">
        <v>0</v>
      </c>
      <c r="H136" s="94" t="n">
        <v>0</v>
      </c>
    </row>
    <row r="137" ht="15" customHeight="1" s="82">
      <c r="A137" s="94" t="inlineStr">
        <is>
          <t>102 - Orthopedic institutes</t>
        </is>
      </c>
      <c r="B137" s="94" t="inlineStr">
        <is>
          <t>150010 אור אורטופדיה</t>
        </is>
      </c>
      <c r="C137" s="94" t="inlineStr">
        <is>
          <t>INV47225</t>
        </is>
      </c>
      <c r="D137" s="94" t="inlineStr">
        <is>
          <t>INV</t>
        </is>
      </c>
      <c r="E137" s="102" t="n">
        <v>657.97</v>
      </c>
      <c r="F137" s="94" t="n">
        <v>13</v>
      </c>
      <c r="G137" s="102" t="n">
        <v>0</v>
      </c>
      <c r="H137" s="94" t="n">
        <v>0</v>
      </c>
    </row>
    <row r="138" ht="15" customHeight="1" s="82">
      <c r="A138" s="94" t="inlineStr">
        <is>
          <t>102 - Orthopedic institutes</t>
        </is>
      </c>
      <c r="B138" s="94" t="inlineStr">
        <is>
          <t>150010 אור אורטופדיה</t>
        </is>
      </c>
      <c r="C138" s="94" t="inlineStr">
        <is>
          <t>INV68183</t>
        </is>
      </c>
      <c r="D138" s="94" t="inlineStr">
        <is>
          <t>INV</t>
        </is>
      </c>
      <c r="E138" s="102" t="n">
        <v>0</v>
      </c>
      <c r="F138" s="94" t="n">
        <v>0</v>
      </c>
      <c r="G138" s="102" t="n">
        <v>656.47</v>
      </c>
      <c r="H138" s="94" t="n">
        <v>7</v>
      </c>
    </row>
    <row r="139" ht="15" customHeight="1" s="82">
      <c r="A139" s="94" t="inlineStr">
        <is>
          <t>102 - Orthopedic institutes</t>
        </is>
      </c>
      <c r="B139" s="94" t="inlineStr">
        <is>
          <t>150010 אור אורטופדיה</t>
        </is>
      </c>
      <c r="C139" s="94" t="inlineStr">
        <is>
          <t>INV66744</t>
        </is>
      </c>
      <c r="D139" s="94" t="inlineStr">
        <is>
          <t>INV</t>
        </is>
      </c>
      <c r="E139" s="102" t="n">
        <v>590.8</v>
      </c>
      <c r="F139" s="94" t="n">
        <v>17</v>
      </c>
      <c r="G139" s="102" t="n">
        <v>0</v>
      </c>
      <c r="H139" s="94" t="n">
        <v>0</v>
      </c>
    </row>
    <row r="140" ht="15" customHeight="1" s="82">
      <c r="A140" s="94" t="inlineStr">
        <is>
          <t>102 - Orthopedic institutes</t>
        </is>
      </c>
      <c r="B140" s="94" t="inlineStr">
        <is>
          <t>150010 אור אורטופדיה</t>
        </is>
      </c>
      <c r="C140" s="94" t="inlineStr">
        <is>
          <t>INV54125</t>
        </is>
      </c>
      <c r="D140" s="94" t="inlineStr">
        <is>
          <t>INV</t>
        </is>
      </c>
      <c r="E140" s="102" t="n">
        <v>198</v>
      </c>
      <c r="F140" s="94" t="n">
        <v>2</v>
      </c>
      <c r="G140" s="102" t="n">
        <v>0</v>
      </c>
      <c r="H140" s="94" t="n">
        <v>0</v>
      </c>
    </row>
    <row r="141" ht="15" customHeight="1" s="82">
      <c r="A141" s="94" t="inlineStr">
        <is>
          <t>102 - Orthopedic institutes</t>
        </is>
      </c>
      <c r="B141" s="94" t="inlineStr">
        <is>
          <t>150010 אור אורטופדיה</t>
        </is>
      </c>
      <c r="C141" s="94" t="inlineStr">
        <is>
          <t>INV67906</t>
        </is>
      </c>
      <c r="D141" s="94" t="inlineStr">
        <is>
          <t>INV</t>
        </is>
      </c>
      <c r="E141" s="102" t="n">
        <v>0</v>
      </c>
      <c r="F141" s="94" t="n">
        <v>0</v>
      </c>
      <c r="G141" s="102" t="n">
        <v>160</v>
      </c>
      <c r="H141" s="94" t="n">
        <v>2</v>
      </c>
    </row>
    <row r="142" ht="15" customHeight="1" s="82">
      <c r="A142" s="94" t="inlineStr">
        <is>
          <t>102 - Orthopedic institutes</t>
        </is>
      </c>
      <c r="B142" s="94" t="inlineStr">
        <is>
          <t>150010 אור אורטופדיה</t>
        </is>
      </c>
      <c r="C142" s="94" t="inlineStr">
        <is>
          <t>INV68496</t>
        </is>
      </c>
      <c r="D142" s="94" t="inlineStr">
        <is>
          <t>INV</t>
        </is>
      </c>
      <c r="E142" s="102" t="n">
        <v>0</v>
      </c>
      <c r="F142" s="94" t="n">
        <v>0</v>
      </c>
      <c r="G142" s="102" t="n">
        <v>142.72</v>
      </c>
      <c r="H142" s="94" t="n">
        <v>5</v>
      </c>
    </row>
    <row r="143" ht="15" customHeight="1" s="82">
      <c r="A143" s="94" t="inlineStr">
        <is>
          <t>102 - Orthopedic institutes</t>
        </is>
      </c>
      <c r="B143" s="94" t="inlineStr">
        <is>
          <t>150010 אור אורטופדיה</t>
        </is>
      </c>
      <c r="C143" s="94" t="inlineStr">
        <is>
          <t>CM44315</t>
        </is>
      </c>
      <c r="D143" s="94" t="inlineStr">
        <is>
          <t>CM</t>
        </is>
      </c>
      <c r="E143" s="102" t="n">
        <v>0</v>
      </c>
      <c r="F143" s="94" t="n">
        <v>0</v>
      </c>
      <c r="G143" s="102" t="n">
        <v>-80</v>
      </c>
      <c r="H143" s="94" t="n">
        <v>-1</v>
      </c>
    </row>
    <row r="144" ht="15" customHeight="1" s="82">
      <c r="A144" s="94" t="inlineStr">
        <is>
          <t>102 - Orthopedic institutes</t>
        </is>
      </c>
      <c r="B144" s="94" t="inlineStr">
        <is>
          <t>150010 אור אורטופדיה</t>
        </is>
      </c>
      <c r="C144" s="94" t="inlineStr">
        <is>
          <t>CM44229</t>
        </is>
      </c>
      <c r="D144" s="94" t="inlineStr">
        <is>
          <t>CM</t>
        </is>
      </c>
      <c r="E144" s="102" t="n">
        <v>-120</v>
      </c>
      <c r="F144" s="94" t="n">
        <v>-1</v>
      </c>
      <c r="G144" s="102" t="n">
        <v>0</v>
      </c>
      <c r="H144" s="94" t="n">
        <v>0</v>
      </c>
    </row>
    <row r="145" ht="15" customHeight="1" s="82">
      <c r="A145" s="94" t="inlineStr">
        <is>
          <t>102 - Orthopedic institutes</t>
        </is>
      </c>
      <c r="B145" s="94" t="inlineStr">
        <is>
          <t>150010 אור אורטופדיה</t>
        </is>
      </c>
      <c r="C145" s="94" t="inlineStr">
        <is>
          <t>CM43392</t>
        </is>
      </c>
      <c r="D145" s="94" t="inlineStr">
        <is>
          <t>CM</t>
        </is>
      </c>
      <c r="E145" s="102" t="n">
        <v>-217.36</v>
      </c>
      <c r="F145" s="94" t="n">
        <v>-2</v>
      </c>
      <c r="G145" s="102" t="n">
        <v>0</v>
      </c>
      <c r="H145" s="94" t="n">
        <v>0</v>
      </c>
    </row>
    <row r="146" ht="15" customHeight="1" s="82">
      <c r="A146" s="94" t="inlineStr">
        <is>
          <t>102 - Orthopedic institutes</t>
        </is>
      </c>
      <c r="B146" s="94" t="inlineStr">
        <is>
          <t>150010 אור אורטופדיה</t>
        </is>
      </c>
      <c r="C146" s="94" t="inlineStr">
        <is>
          <t>CM43750</t>
        </is>
      </c>
      <c r="D146" s="94" t="inlineStr">
        <is>
          <t>CM</t>
        </is>
      </c>
      <c r="E146" s="102" t="n">
        <v>-281.14</v>
      </c>
      <c r="F146" s="94" t="n">
        <v>-2</v>
      </c>
      <c r="G146" s="102" t="n">
        <v>0</v>
      </c>
      <c r="H146" s="94" t="n">
        <v>0</v>
      </c>
    </row>
    <row r="147" ht="15" customHeight="1" s="82">
      <c r="A147" s="94" t="inlineStr">
        <is>
          <t>102 - Orthopedic institutes</t>
        </is>
      </c>
      <c r="B147" s="94" t="inlineStr">
        <is>
          <t>150010 אור אורטופדיה</t>
        </is>
      </c>
      <c r="C147" s="94" t="inlineStr">
        <is>
          <t>CM43615</t>
        </is>
      </c>
      <c r="D147" s="94" t="inlineStr">
        <is>
          <t>CM</t>
        </is>
      </c>
      <c r="E147" s="102" t="n">
        <v>-378.54</v>
      </c>
      <c r="F147" s="94" t="n">
        <v>-4</v>
      </c>
      <c r="G147" s="102" t="n">
        <v>0</v>
      </c>
      <c r="H147" s="94" t="n">
        <v>0</v>
      </c>
    </row>
    <row r="148" ht="15" customHeight="1" s="82">
      <c r="A148" s="94" t="inlineStr">
        <is>
          <t>102 - Orthopedic institutes</t>
        </is>
      </c>
      <c r="B148" s="94" t="inlineStr">
        <is>
          <t>150010 אור אורטופדיה</t>
        </is>
      </c>
      <c r="C148" s="94" t="inlineStr">
        <is>
          <t>CM44535</t>
        </is>
      </c>
      <c r="D148" s="94" t="inlineStr">
        <is>
          <t>CM</t>
        </is>
      </c>
      <c r="E148" s="102" t="n">
        <v>0</v>
      </c>
      <c r="F148" s="94" t="n">
        <v>0</v>
      </c>
      <c r="G148" s="102" t="n">
        <v>-384.02</v>
      </c>
      <c r="H148" s="94" t="n">
        <v>-2</v>
      </c>
    </row>
    <row r="149" ht="15" customHeight="1" s="82">
      <c r="A149" s="94" t="inlineStr">
        <is>
          <t>102 - Orthopedic institutes</t>
        </is>
      </c>
      <c r="B149" s="94" t="inlineStr">
        <is>
          <t>150010 אור אורטופדיה</t>
        </is>
      </c>
      <c r="C149" s="94" t="inlineStr">
        <is>
          <t>CM43836</t>
        </is>
      </c>
      <c r="D149" s="94" t="inlineStr">
        <is>
          <t>CM</t>
        </is>
      </c>
      <c r="E149" s="102" t="n">
        <v>-663.83</v>
      </c>
      <c r="F149" s="94" t="n">
        <v>-6</v>
      </c>
      <c r="G149" s="102" t="n">
        <v>0</v>
      </c>
      <c r="H149" s="94" t="n">
        <v>0</v>
      </c>
    </row>
    <row r="150" ht="15" customHeight="1" s="82">
      <c r="A150" s="94" t="inlineStr">
        <is>
          <t>102 - Orthopedic institutes</t>
        </is>
      </c>
      <c r="B150" s="94" t="inlineStr">
        <is>
          <t>150012 אשד אורטופדיה בע"מ</t>
        </is>
      </c>
      <c r="C150" s="94" t="inlineStr">
        <is>
          <t>INV67167</t>
        </is>
      </c>
      <c r="D150" s="94" t="inlineStr">
        <is>
          <t>INV</t>
        </is>
      </c>
      <c r="E150" s="102" t="n">
        <v>0</v>
      </c>
      <c r="F150" s="94" t="n">
        <v>0</v>
      </c>
      <c r="G150" s="102" t="n">
        <v>1560.01</v>
      </c>
      <c r="H150" s="94" t="n">
        <v>6</v>
      </c>
    </row>
    <row r="151" ht="15" customHeight="1" s="82">
      <c r="A151" s="94" t="inlineStr">
        <is>
          <t>102 - Orthopedic institutes</t>
        </is>
      </c>
      <c r="B151" s="94" t="inlineStr">
        <is>
          <t>150012 אשד אורטופדיה בע"מ</t>
        </is>
      </c>
      <c r="C151" s="94" t="inlineStr">
        <is>
          <t>INV68223</t>
        </is>
      </c>
      <c r="D151" s="94" t="inlineStr">
        <is>
          <t>INV</t>
        </is>
      </c>
      <c r="E151" s="102" t="n">
        <v>0</v>
      </c>
      <c r="F151" s="94" t="n">
        <v>0</v>
      </c>
      <c r="G151" s="102" t="n">
        <v>1120.02</v>
      </c>
      <c r="H151" s="94" t="n">
        <v>8</v>
      </c>
    </row>
    <row r="152" ht="15" customHeight="1" s="82">
      <c r="A152" s="94" t="inlineStr">
        <is>
          <t>102 - Orthopedic institutes</t>
        </is>
      </c>
      <c r="B152" s="94" t="inlineStr">
        <is>
          <t>150012 אשד אורטופדיה בע"מ</t>
        </is>
      </c>
      <c r="C152" s="94" t="inlineStr">
        <is>
          <t>INV45339</t>
        </is>
      </c>
      <c r="D152" s="94" t="inlineStr">
        <is>
          <t>INV</t>
        </is>
      </c>
      <c r="E152" s="102" t="n">
        <v>897.4</v>
      </c>
      <c r="F152" s="94" t="n">
        <v>10</v>
      </c>
      <c r="G152" s="102" t="n">
        <v>0</v>
      </c>
      <c r="H152" s="94" t="n">
        <v>0</v>
      </c>
    </row>
    <row r="153" ht="15" customHeight="1" s="82">
      <c r="A153" s="94" t="inlineStr">
        <is>
          <t>102 - Orthopedic institutes</t>
        </is>
      </c>
      <c r="B153" s="94" t="inlineStr">
        <is>
          <t>150012 אשד אורטופדיה בע"מ</t>
        </is>
      </c>
      <c r="C153" s="94" t="inlineStr">
        <is>
          <t>INV68078</t>
        </is>
      </c>
      <c r="D153" s="94" t="inlineStr">
        <is>
          <t>INV</t>
        </is>
      </c>
      <c r="E153" s="102" t="n">
        <v>0</v>
      </c>
      <c r="F153" s="94" t="n">
        <v>0</v>
      </c>
      <c r="G153" s="102" t="n">
        <v>888</v>
      </c>
      <c r="H153" s="94" t="n">
        <v>4</v>
      </c>
    </row>
    <row r="154" ht="15" customHeight="1" s="82">
      <c r="A154" s="94" t="inlineStr">
        <is>
          <t>102 - Orthopedic institutes</t>
        </is>
      </c>
      <c r="B154" s="94" t="inlineStr">
        <is>
          <t>150012 אשד אורטופדיה בע"מ</t>
        </is>
      </c>
      <c r="C154" s="94" t="inlineStr">
        <is>
          <t>INV68398</t>
        </is>
      </c>
      <c r="D154" s="94" t="inlineStr">
        <is>
          <t>INV</t>
        </is>
      </c>
      <c r="E154" s="102" t="n">
        <v>0</v>
      </c>
      <c r="F154" s="94" t="n">
        <v>0</v>
      </c>
      <c r="G154" s="102" t="n">
        <v>888</v>
      </c>
      <c r="H154" s="94" t="n">
        <v>4</v>
      </c>
    </row>
    <row r="155" ht="15" customHeight="1" s="82">
      <c r="A155" s="94" t="inlineStr">
        <is>
          <t>102 - Orthopedic institutes</t>
        </is>
      </c>
      <c r="B155" s="94" t="inlineStr">
        <is>
          <t>150012 אשד אורטופדיה בע"מ</t>
        </is>
      </c>
      <c r="C155" s="94" t="inlineStr">
        <is>
          <t>INV66974</t>
        </is>
      </c>
      <c r="D155" s="94" t="inlineStr">
        <is>
          <t>INV</t>
        </is>
      </c>
      <c r="E155" s="102" t="n">
        <v>840.01</v>
      </c>
      <c r="F155" s="94" t="n">
        <v>6</v>
      </c>
      <c r="G155" s="102" t="n">
        <v>0</v>
      </c>
      <c r="H155" s="94" t="n">
        <v>0</v>
      </c>
    </row>
    <row r="156" ht="15" customHeight="1" s="82">
      <c r="A156" s="94" t="inlineStr">
        <is>
          <t>102 - Orthopedic institutes</t>
        </is>
      </c>
      <c r="B156" s="94" t="inlineStr">
        <is>
          <t>150012 אשד אורטופדיה בע"מ</t>
        </is>
      </c>
      <c r="C156" s="94" t="inlineStr">
        <is>
          <t>INV66339</t>
        </is>
      </c>
      <c r="D156" s="94" t="inlineStr">
        <is>
          <t>INV</t>
        </is>
      </c>
      <c r="E156" s="102" t="n">
        <v>824.58</v>
      </c>
      <c r="F156" s="94" t="n">
        <v>8</v>
      </c>
      <c r="G156" s="102" t="n">
        <v>0</v>
      </c>
      <c r="H156" s="94" t="n">
        <v>0</v>
      </c>
    </row>
    <row r="157" ht="15" customHeight="1" s="82">
      <c r="A157" s="94" t="inlineStr">
        <is>
          <t>102 - Orthopedic institutes</t>
        </is>
      </c>
      <c r="B157" s="94" t="inlineStr">
        <is>
          <t>150012 אשד אורטופדיה בע"מ</t>
        </is>
      </c>
      <c r="C157" s="94" t="inlineStr">
        <is>
          <t>INV66224</t>
        </is>
      </c>
      <c r="D157" s="94" t="inlineStr">
        <is>
          <t>INV</t>
        </is>
      </c>
      <c r="E157" s="102" t="n">
        <v>806</v>
      </c>
      <c r="F157" s="94" t="n">
        <v>4</v>
      </c>
      <c r="G157" s="102" t="n">
        <v>0</v>
      </c>
      <c r="H157" s="94" t="n">
        <v>0</v>
      </c>
    </row>
    <row r="158" ht="15" customHeight="1" s="82">
      <c r="A158" s="94" t="inlineStr">
        <is>
          <t>102 - Orthopedic institutes</t>
        </is>
      </c>
      <c r="B158" s="94" t="inlineStr">
        <is>
          <t>150012 אשד אורטופדיה בע"מ</t>
        </is>
      </c>
      <c r="C158" s="94" t="inlineStr">
        <is>
          <t>INV68970</t>
        </is>
      </c>
      <c r="D158" s="94" t="inlineStr">
        <is>
          <t>INV</t>
        </is>
      </c>
      <c r="E158" s="102" t="n">
        <v>0</v>
      </c>
      <c r="F158" s="94" t="n">
        <v>0</v>
      </c>
      <c r="G158" s="102" t="n">
        <v>692.29</v>
      </c>
      <c r="H158" s="94" t="n">
        <v>6</v>
      </c>
    </row>
    <row r="159" ht="15" customHeight="1" s="82">
      <c r="A159" s="94" t="inlineStr">
        <is>
          <t>102 - Orthopedic institutes</t>
        </is>
      </c>
      <c r="B159" s="94" t="inlineStr">
        <is>
          <t>150012 אשד אורטופדיה בע"מ</t>
        </is>
      </c>
      <c r="C159" s="94" t="inlineStr">
        <is>
          <t>INV68618</t>
        </is>
      </c>
      <c r="D159" s="94" t="inlineStr">
        <is>
          <t>INV</t>
        </is>
      </c>
      <c r="E159" s="102" t="n">
        <v>0</v>
      </c>
      <c r="F159" s="94" t="n">
        <v>0</v>
      </c>
      <c r="G159" s="102" t="n">
        <v>666</v>
      </c>
      <c r="H159" s="94" t="n">
        <v>3</v>
      </c>
    </row>
    <row r="160" ht="15" customHeight="1" s="82">
      <c r="A160" s="94" t="inlineStr">
        <is>
          <t>102 - Orthopedic institutes</t>
        </is>
      </c>
      <c r="B160" s="94" t="inlineStr">
        <is>
          <t>150012 אשד אורטופדיה בע"מ</t>
        </is>
      </c>
      <c r="C160" s="94" t="inlineStr">
        <is>
          <t>INV68875</t>
        </is>
      </c>
      <c r="D160" s="94" t="inlineStr">
        <is>
          <t>INV</t>
        </is>
      </c>
      <c r="E160" s="102" t="n">
        <v>0</v>
      </c>
      <c r="F160" s="94" t="n">
        <v>0</v>
      </c>
      <c r="G160" s="102" t="n">
        <v>666</v>
      </c>
      <c r="H160" s="94" t="n">
        <v>3</v>
      </c>
    </row>
    <row r="161" ht="15" customHeight="1" s="82">
      <c r="A161" s="94" t="inlineStr">
        <is>
          <t>102 - Orthopedic institutes</t>
        </is>
      </c>
      <c r="B161" s="94" t="inlineStr">
        <is>
          <t>150012 אשד אורטופדיה בע"מ</t>
        </is>
      </c>
      <c r="C161" s="94" t="inlineStr">
        <is>
          <t>INV46847</t>
        </is>
      </c>
      <c r="D161" s="94" t="inlineStr">
        <is>
          <t>INV</t>
        </is>
      </c>
      <c r="E161" s="102" t="n">
        <v>516</v>
      </c>
      <c r="F161" s="94" t="n">
        <v>4</v>
      </c>
      <c r="G161" s="102" t="n">
        <v>0</v>
      </c>
      <c r="H161" s="94" t="n">
        <v>0</v>
      </c>
    </row>
    <row r="162" ht="15" customHeight="1" s="82">
      <c r="A162" s="94" t="inlineStr">
        <is>
          <t>102 - Orthopedic institutes</t>
        </is>
      </c>
      <c r="B162" s="94" t="inlineStr">
        <is>
          <t>150012 אשד אורטופדיה בע"מ</t>
        </is>
      </c>
      <c r="C162" s="94" t="inlineStr">
        <is>
          <t>INV67456</t>
        </is>
      </c>
      <c r="D162" s="94" t="inlineStr">
        <is>
          <t>INV</t>
        </is>
      </c>
      <c r="E162" s="102" t="n">
        <v>0</v>
      </c>
      <c r="F162" s="94" t="n">
        <v>0</v>
      </c>
      <c r="G162" s="102" t="n">
        <v>489.74</v>
      </c>
      <c r="H162" s="94" t="n">
        <v>11</v>
      </c>
    </row>
    <row r="163" ht="15" customHeight="1" s="82">
      <c r="A163" s="94" t="inlineStr">
        <is>
          <t>102 - Orthopedic institutes</t>
        </is>
      </c>
      <c r="B163" s="94" t="inlineStr">
        <is>
          <t>150012 אשד אורטופדיה בע"מ</t>
        </is>
      </c>
      <c r="C163" s="94" t="inlineStr">
        <is>
          <t>INV69135</t>
        </is>
      </c>
      <c r="D163" s="94" t="inlineStr">
        <is>
          <t>INV</t>
        </is>
      </c>
      <c r="E163" s="102" t="n">
        <v>0</v>
      </c>
      <c r="F163" s="94" t="n">
        <v>0</v>
      </c>
      <c r="G163" s="102" t="n">
        <v>444</v>
      </c>
      <c r="H163" s="94" t="n">
        <v>2</v>
      </c>
    </row>
    <row r="164" ht="15" customHeight="1" s="82">
      <c r="A164" s="94" t="inlineStr">
        <is>
          <t>102 - Orthopedic institutes</t>
        </is>
      </c>
      <c r="B164" s="94" t="inlineStr">
        <is>
          <t>150012 אשד אורטופדיה בע"מ</t>
        </is>
      </c>
      <c r="C164" s="94" t="inlineStr">
        <is>
          <t>INV47380</t>
        </is>
      </c>
      <c r="D164" s="94" t="inlineStr">
        <is>
          <t>INV</t>
        </is>
      </c>
      <c r="E164" s="102" t="n">
        <v>427.82</v>
      </c>
      <c r="F164" s="94" t="n">
        <v>4</v>
      </c>
      <c r="G164" s="102" t="n">
        <v>0</v>
      </c>
      <c r="H164" s="94" t="n">
        <v>0</v>
      </c>
    </row>
    <row r="165" ht="15" customHeight="1" s="82">
      <c r="A165" s="94" t="inlineStr">
        <is>
          <t>102 - Orthopedic institutes</t>
        </is>
      </c>
      <c r="B165" s="94" t="inlineStr">
        <is>
          <t>150012 אשד אורטופדיה בע"מ</t>
        </is>
      </c>
      <c r="C165" s="94" t="inlineStr">
        <is>
          <t>INV52161</t>
        </is>
      </c>
      <c r="D165" s="94" t="inlineStr">
        <is>
          <t>INV</t>
        </is>
      </c>
      <c r="E165" s="102" t="n">
        <v>412.29</v>
      </c>
      <c r="F165" s="94" t="n">
        <v>4</v>
      </c>
      <c r="G165" s="102" t="n">
        <v>0</v>
      </c>
      <c r="H165" s="94" t="n">
        <v>0</v>
      </c>
    </row>
    <row r="166" ht="15" customHeight="1" s="82">
      <c r="A166" s="94" t="inlineStr">
        <is>
          <t>102 - Orthopedic institutes</t>
        </is>
      </c>
      <c r="B166" s="94" t="inlineStr">
        <is>
          <t>150012 אשד אורטופדיה בע"מ</t>
        </is>
      </c>
      <c r="C166" s="94" t="inlineStr">
        <is>
          <t>INV69051</t>
        </is>
      </c>
      <c r="D166" s="94" t="inlineStr">
        <is>
          <t>INV</t>
        </is>
      </c>
      <c r="E166" s="102" t="n">
        <v>0</v>
      </c>
      <c r="F166" s="94" t="n">
        <v>0</v>
      </c>
      <c r="G166" s="102" t="n">
        <v>412.29</v>
      </c>
      <c r="H166" s="94" t="n">
        <v>4</v>
      </c>
    </row>
    <row r="167" ht="15" customHeight="1" s="82">
      <c r="A167" s="94" t="inlineStr">
        <is>
          <t>102 - Orthopedic institutes</t>
        </is>
      </c>
      <c r="B167" s="94" t="inlineStr">
        <is>
          <t>150012 אשד אורטופדיה בע"מ</t>
        </is>
      </c>
      <c r="C167" s="94" t="inlineStr">
        <is>
          <t>INV68822</t>
        </is>
      </c>
      <c r="D167" s="94" t="inlineStr">
        <is>
          <t>INV</t>
        </is>
      </c>
      <c r="E167" s="102" t="n">
        <v>0</v>
      </c>
      <c r="F167" s="94" t="n">
        <v>0</v>
      </c>
      <c r="G167" s="102" t="n">
        <v>390.84</v>
      </c>
      <c r="H167" s="94" t="n">
        <v>6</v>
      </c>
    </row>
    <row r="168" ht="15" customHeight="1" s="82">
      <c r="A168" s="94" t="inlineStr">
        <is>
          <t>102 - Orthopedic institutes</t>
        </is>
      </c>
      <c r="B168" s="94" t="inlineStr">
        <is>
          <t>150012 אשד אורטופדיה בע"מ</t>
        </is>
      </c>
      <c r="C168" s="94" t="inlineStr">
        <is>
          <t>INV48850</t>
        </is>
      </c>
      <c r="D168" s="94" t="inlineStr">
        <is>
          <t>INV</t>
        </is>
      </c>
      <c r="E168" s="102" t="n">
        <v>364</v>
      </c>
      <c r="F168" s="94" t="n">
        <v>4</v>
      </c>
      <c r="G168" s="102" t="n">
        <v>0</v>
      </c>
      <c r="H168" s="94" t="n">
        <v>0</v>
      </c>
    </row>
    <row r="169" ht="15" customHeight="1" s="82">
      <c r="A169" s="94" t="inlineStr">
        <is>
          <t>102 - Orthopedic institutes</t>
        </is>
      </c>
      <c r="B169" s="94" t="inlineStr">
        <is>
          <t>150012 אשד אורטופדיה בע"מ</t>
        </is>
      </c>
      <c r="C169" s="94" t="inlineStr">
        <is>
          <t>INV59593</t>
        </is>
      </c>
      <c r="D169" s="94" t="inlineStr">
        <is>
          <t>INV</t>
        </is>
      </c>
      <c r="E169" s="102" t="n">
        <v>360</v>
      </c>
      <c r="F169" s="94" t="n">
        <v>6</v>
      </c>
      <c r="G169" s="102" t="n">
        <v>0</v>
      </c>
      <c r="H169" s="94" t="n">
        <v>0</v>
      </c>
    </row>
    <row r="170" ht="15" customHeight="1" s="82">
      <c r="A170" s="94" t="inlineStr">
        <is>
          <t>102 - Orthopedic institutes</t>
        </is>
      </c>
      <c r="B170" s="94" t="inlineStr">
        <is>
          <t>150012 אשד אורטופדיה בע"מ</t>
        </is>
      </c>
      <c r="C170" s="94" t="inlineStr">
        <is>
          <t>INV65815</t>
        </is>
      </c>
      <c r="D170" s="94" t="inlineStr">
        <is>
          <t>INV</t>
        </is>
      </c>
      <c r="E170" s="102" t="n">
        <v>350.89</v>
      </c>
      <c r="F170" s="94" t="n">
        <v>5</v>
      </c>
      <c r="G170" s="102" t="n">
        <v>0</v>
      </c>
      <c r="H170" s="94" t="n">
        <v>0</v>
      </c>
    </row>
    <row r="171" ht="15" customHeight="1" s="82">
      <c r="A171" s="94" t="inlineStr">
        <is>
          <t>102 - Orthopedic institutes</t>
        </is>
      </c>
      <c r="B171" s="94" t="inlineStr">
        <is>
          <t>150012 אשד אורטופדיה בע"מ</t>
        </is>
      </c>
      <c r="C171" s="94" t="inlineStr">
        <is>
          <t>INV66382</t>
        </is>
      </c>
      <c r="D171" s="94" t="inlineStr">
        <is>
          <t>INV</t>
        </is>
      </c>
      <c r="E171" s="102" t="n">
        <v>286.51</v>
      </c>
      <c r="F171" s="94" t="n">
        <v>5</v>
      </c>
      <c r="G171" s="102" t="n">
        <v>0</v>
      </c>
      <c r="H171" s="94" t="n">
        <v>0</v>
      </c>
    </row>
    <row r="172" ht="15" customHeight="1" s="82">
      <c r="A172" s="94" t="inlineStr">
        <is>
          <t>102 - Orthopedic institutes</t>
        </is>
      </c>
      <c r="B172" s="94" t="inlineStr">
        <is>
          <t>150012 אשד אורטופדיה בע"מ</t>
        </is>
      </c>
      <c r="C172" s="94" t="inlineStr">
        <is>
          <t>INV66899</t>
        </is>
      </c>
      <c r="D172" s="94" t="inlineStr">
        <is>
          <t>INV</t>
        </is>
      </c>
      <c r="E172" s="102" t="n">
        <v>240</v>
      </c>
      <c r="F172" s="94" t="n">
        <v>3</v>
      </c>
      <c r="G172" s="102" t="n">
        <v>0</v>
      </c>
      <c r="H172" s="94" t="n">
        <v>0</v>
      </c>
    </row>
    <row r="173" ht="15" customHeight="1" s="82">
      <c r="A173" s="94" t="inlineStr">
        <is>
          <t>102 - Orthopedic institutes</t>
        </is>
      </c>
      <c r="B173" s="94" t="inlineStr">
        <is>
          <t>150012 אשד אורטופדיה בע"מ</t>
        </is>
      </c>
      <c r="C173" s="94" t="inlineStr">
        <is>
          <t>INV57067</t>
        </is>
      </c>
      <c r="D173" s="94" t="inlineStr">
        <is>
          <t>INV</t>
        </is>
      </c>
      <c r="E173" s="102" t="n">
        <v>204.59</v>
      </c>
      <c r="F173" s="94" t="n">
        <v>4</v>
      </c>
      <c r="G173" s="102" t="n">
        <v>0</v>
      </c>
      <c r="H173" s="94" t="n">
        <v>0</v>
      </c>
    </row>
    <row r="174" ht="15" customHeight="1" s="82">
      <c r="A174" s="94" t="inlineStr">
        <is>
          <t>102 - Orthopedic institutes</t>
        </is>
      </c>
      <c r="B174" s="94" t="inlineStr">
        <is>
          <t>150012 אשד אורטופדיה בע"מ</t>
        </is>
      </c>
      <c r="C174" s="94" t="inlineStr">
        <is>
          <t>INV67488</t>
        </is>
      </c>
      <c r="D174" s="94" t="inlineStr">
        <is>
          <t>INV</t>
        </is>
      </c>
      <c r="E174" s="102" t="n">
        <v>0</v>
      </c>
      <c r="F174" s="94" t="n">
        <v>0</v>
      </c>
      <c r="G174" s="102" t="n">
        <v>140</v>
      </c>
      <c r="H174" s="94" t="n">
        <v>1</v>
      </c>
    </row>
    <row r="175" ht="15" customHeight="1" s="82">
      <c r="A175" s="94" t="inlineStr">
        <is>
          <t>102 - Orthopedic institutes</t>
        </is>
      </c>
      <c r="B175" s="94" t="inlineStr">
        <is>
          <t>150013 גליל אורטופדיה</t>
        </is>
      </c>
      <c r="C175" s="94" t="inlineStr">
        <is>
          <t>INV65394</t>
        </is>
      </c>
      <c r="D175" s="94" t="inlineStr">
        <is>
          <t>INV</t>
        </is>
      </c>
      <c r="E175" s="102" t="n">
        <v>5440.16</v>
      </c>
      <c r="F175" s="94" t="n">
        <v>47</v>
      </c>
      <c r="G175" s="102" t="n">
        <v>0</v>
      </c>
      <c r="H175" s="94" t="n">
        <v>0</v>
      </c>
    </row>
    <row r="176" ht="15" customHeight="1" s="82">
      <c r="A176" s="94" t="inlineStr">
        <is>
          <t>102 - Orthopedic institutes</t>
        </is>
      </c>
      <c r="B176" s="94" t="inlineStr">
        <is>
          <t>150013 גליל אורטופדיה</t>
        </is>
      </c>
      <c r="C176" s="94" t="inlineStr">
        <is>
          <t>INV68971</t>
        </is>
      </c>
      <c r="D176" s="94" t="inlineStr">
        <is>
          <t>INV</t>
        </is>
      </c>
      <c r="E176" s="102" t="n">
        <v>0</v>
      </c>
      <c r="F176" s="94" t="n">
        <v>0</v>
      </c>
      <c r="G176" s="102" t="n">
        <v>3311.71</v>
      </c>
      <c r="H176" s="94" t="n">
        <v>34</v>
      </c>
    </row>
    <row r="177" ht="15" customHeight="1" s="82">
      <c r="A177" s="94" t="inlineStr">
        <is>
          <t>102 - Orthopedic institutes</t>
        </is>
      </c>
      <c r="B177" s="94" t="inlineStr">
        <is>
          <t>150013 גליל אורטופדיה</t>
        </is>
      </c>
      <c r="C177" s="94" t="inlineStr">
        <is>
          <t>INV66259</t>
        </is>
      </c>
      <c r="D177" s="94" t="inlineStr">
        <is>
          <t>INV</t>
        </is>
      </c>
      <c r="E177" s="102" t="n">
        <v>2825.13</v>
      </c>
      <c r="F177" s="94" t="n">
        <v>33</v>
      </c>
      <c r="G177" s="102" t="n">
        <v>0</v>
      </c>
      <c r="H177" s="94" t="n">
        <v>0</v>
      </c>
    </row>
    <row r="178" ht="15" customHeight="1" s="82">
      <c r="A178" s="94" t="inlineStr">
        <is>
          <t>102 - Orthopedic institutes</t>
        </is>
      </c>
      <c r="B178" s="94" t="inlineStr">
        <is>
          <t>150013 גליל אורטופדיה</t>
        </is>
      </c>
      <c r="C178" s="94" t="inlineStr">
        <is>
          <t>INV40693</t>
        </is>
      </c>
      <c r="D178" s="94" t="inlineStr">
        <is>
          <t>INV</t>
        </is>
      </c>
      <c r="E178" s="102" t="n">
        <v>2723.08</v>
      </c>
      <c r="F178" s="94" t="n">
        <v>29</v>
      </c>
      <c r="G178" s="102" t="n">
        <v>0</v>
      </c>
      <c r="H178" s="94" t="n">
        <v>0</v>
      </c>
    </row>
    <row r="179" ht="15" customHeight="1" s="82">
      <c r="A179" s="94" t="inlineStr">
        <is>
          <t>102 - Orthopedic institutes</t>
        </is>
      </c>
      <c r="B179" s="94" t="inlineStr">
        <is>
          <t>150013 גליל אורטופדיה</t>
        </is>
      </c>
      <c r="C179" s="94" t="inlineStr">
        <is>
          <t>INV47226</t>
        </is>
      </c>
      <c r="D179" s="94" t="inlineStr">
        <is>
          <t>INV</t>
        </is>
      </c>
      <c r="E179" s="102" t="n">
        <v>1874.22</v>
      </c>
      <c r="F179" s="94" t="n">
        <v>18</v>
      </c>
      <c r="G179" s="102" t="n">
        <v>0</v>
      </c>
      <c r="H179" s="94" t="n">
        <v>0</v>
      </c>
    </row>
    <row r="180" ht="15" customHeight="1" s="82">
      <c r="A180" s="94" t="inlineStr">
        <is>
          <t>102 - Orthopedic institutes</t>
        </is>
      </c>
      <c r="B180" s="94" t="inlineStr">
        <is>
          <t>150013 גליל אורטופדיה</t>
        </is>
      </c>
      <c r="C180" s="94" t="inlineStr">
        <is>
          <t>INV67058</t>
        </is>
      </c>
      <c r="D180" s="94" t="inlineStr">
        <is>
          <t>INV</t>
        </is>
      </c>
      <c r="E180" s="102" t="n">
        <v>1840</v>
      </c>
      <c r="F180" s="94" t="n">
        <v>16</v>
      </c>
      <c r="G180" s="102" t="n">
        <v>0</v>
      </c>
      <c r="H180" s="94" t="n">
        <v>0</v>
      </c>
    </row>
    <row r="181" ht="15" customHeight="1" s="82">
      <c r="A181" s="94" t="inlineStr">
        <is>
          <t>102 - Orthopedic institutes</t>
        </is>
      </c>
      <c r="B181" s="94" t="inlineStr">
        <is>
          <t>150013 גליל אורטופדיה</t>
        </is>
      </c>
      <c r="C181" s="94" t="inlineStr">
        <is>
          <t>INV68603</t>
        </is>
      </c>
      <c r="D181" s="94" t="inlineStr">
        <is>
          <t>INV</t>
        </is>
      </c>
      <c r="E181" s="102" t="n">
        <v>0</v>
      </c>
      <c r="F181" s="94" t="n">
        <v>0</v>
      </c>
      <c r="G181" s="102" t="n">
        <v>1763.11</v>
      </c>
      <c r="H181" s="94" t="n">
        <v>17</v>
      </c>
    </row>
    <row r="182" ht="15" customHeight="1" s="82">
      <c r="A182" s="94" t="inlineStr">
        <is>
          <t>102 - Orthopedic institutes</t>
        </is>
      </c>
      <c r="B182" s="94" t="inlineStr">
        <is>
          <t>150013 גליל אורטופדיה</t>
        </is>
      </c>
      <c r="C182" s="94" t="inlineStr">
        <is>
          <t>INV69064</t>
        </is>
      </c>
      <c r="D182" s="94" t="inlineStr">
        <is>
          <t>INV</t>
        </is>
      </c>
      <c r="E182" s="102" t="n">
        <v>0</v>
      </c>
      <c r="F182" s="94" t="n">
        <v>0</v>
      </c>
      <c r="G182" s="102" t="n">
        <v>1349.77</v>
      </c>
      <c r="H182" s="94" t="n">
        <v>8</v>
      </c>
    </row>
    <row r="183" ht="15" customHeight="1" s="82">
      <c r="A183" s="94" t="inlineStr">
        <is>
          <t>102 - Orthopedic institutes</t>
        </is>
      </c>
      <c r="B183" s="94" t="inlineStr">
        <is>
          <t>150013 גליל אורטופדיה</t>
        </is>
      </c>
      <c r="C183" s="94" t="inlineStr">
        <is>
          <t>INV69327</t>
        </is>
      </c>
      <c r="D183" s="94" t="inlineStr">
        <is>
          <t>INV</t>
        </is>
      </c>
      <c r="E183" s="102" t="n">
        <v>0</v>
      </c>
      <c r="F183" s="94" t="n">
        <v>0</v>
      </c>
      <c r="G183" s="102" t="n">
        <v>1320.76</v>
      </c>
      <c r="H183" s="94" t="n">
        <v>9</v>
      </c>
    </row>
    <row r="184" ht="15" customHeight="1" s="82">
      <c r="A184" s="94" t="inlineStr">
        <is>
          <t>102 - Orthopedic institutes</t>
        </is>
      </c>
      <c r="B184" s="94" t="inlineStr">
        <is>
          <t>150013 גליל אורטופדיה</t>
        </is>
      </c>
      <c r="C184" s="94" t="inlineStr">
        <is>
          <t>INV65730</t>
        </is>
      </c>
      <c r="D184" s="94" t="inlineStr">
        <is>
          <t>INV</t>
        </is>
      </c>
      <c r="E184" s="102" t="n">
        <v>1116.4</v>
      </c>
      <c r="F184" s="94" t="n">
        <v>9</v>
      </c>
      <c r="G184" s="102" t="n">
        <v>0</v>
      </c>
      <c r="H184" s="94" t="n">
        <v>0</v>
      </c>
    </row>
    <row r="185" ht="15" customHeight="1" s="82">
      <c r="A185" s="94" t="inlineStr">
        <is>
          <t>102 - Orthopedic institutes</t>
        </is>
      </c>
      <c r="B185" s="94" t="inlineStr">
        <is>
          <t>150013 גליל אורטופדיה</t>
        </is>
      </c>
      <c r="C185" s="94" t="inlineStr">
        <is>
          <t>INV52156</t>
        </is>
      </c>
      <c r="D185" s="94" t="inlineStr">
        <is>
          <t>INV</t>
        </is>
      </c>
      <c r="E185" s="102" t="n">
        <v>892.92</v>
      </c>
      <c r="F185" s="94" t="n">
        <v>6</v>
      </c>
      <c r="G185" s="102" t="n">
        <v>0</v>
      </c>
      <c r="H185" s="94" t="n">
        <v>0</v>
      </c>
    </row>
    <row r="186" ht="15" customHeight="1" s="82">
      <c r="A186" s="94" t="inlineStr">
        <is>
          <t>102 - Orthopedic institutes</t>
        </is>
      </c>
      <c r="B186" s="94" t="inlineStr">
        <is>
          <t>150013 גליל אורטופדיה</t>
        </is>
      </c>
      <c r="C186" s="94" t="inlineStr">
        <is>
          <t>INV53200</t>
        </is>
      </c>
      <c r="D186" s="94" t="inlineStr">
        <is>
          <t>INV</t>
        </is>
      </c>
      <c r="E186" s="102" t="n">
        <v>558.28</v>
      </c>
      <c r="F186" s="94" t="n">
        <v>4</v>
      </c>
      <c r="G186" s="102" t="n">
        <v>0</v>
      </c>
      <c r="H186" s="94" t="n">
        <v>0</v>
      </c>
    </row>
    <row r="187" ht="15" customHeight="1" s="82">
      <c r="A187" s="94" t="inlineStr">
        <is>
          <t>102 - Orthopedic institutes</t>
        </is>
      </c>
      <c r="B187" s="94" t="inlineStr">
        <is>
          <t>150013 גליל אורטופדיה</t>
        </is>
      </c>
      <c r="C187" s="94" t="inlineStr">
        <is>
          <t>INV69157</t>
        </is>
      </c>
      <c r="D187" s="94" t="inlineStr">
        <is>
          <t>INV</t>
        </is>
      </c>
      <c r="E187" s="102" t="n">
        <v>0</v>
      </c>
      <c r="F187" s="94" t="n">
        <v>0</v>
      </c>
      <c r="G187" s="102" t="n">
        <v>400.01</v>
      </c>
      <c r="H187" s="94" t="n">
        <v>5</v>
      </c>
    </row>
    <row r="188" ht="15" customHeight="1" s="82">
      <c r="A188" s="94" t="inlineStr">
        <is>
          <t>102 - Orthopedic institutes</t>
        </is>
      </c>
      <c r="B188" s="94" t="inlineStr">
        <is>
          <t>150013 גליל אורטופדיה</t>
        </is>
      </c>
      <c r="C188" s="94" t="inlineStr">
        <is>
          <t>INV69186</t>
        </is>
      </c>
      <c r="D188" s="94" t="inlineStr">
        <is>
          <t>INV</t>
        </is>
      </c>
      <c r="E188" s="102" t="n">
        <v>0</v>
      </c>
      <c r="F188" s="94" t="n">
        <v>0</v>
      </c>
      <c r="G188" s="102" t="n">
        <v>350.83</v>
      </c>
      <c r="H188" s="94" t="n">
        <v>4</v>
      </c>
    </row>
    <row r="189" ht="15" customHeight="1" s="82">
      <c r="A189" s="94" t="inlineStr">
        <is>
          <t>102 - Orthopedic institutes</t>
        </is>
      </c>
      <c r="B189" s="94" t="inlineStr">
        <is>
          <t>150013 גליל אורטופדיה</t>
        </is>
      </c>
      <c r="C189" s="94" t="inlineStr">
        <is>
          <t>CM44492</t>
        </is>
      </c>
      <c r="D189" s="94" t="inlineStr">
        <is>
          <t>CM</t>
        </is>
      </c>
      <c r="E189" s="102" t="n">
        <v>0</v>
      </c>
      <c r="F189" s="94" t="n">
        <v>0</v>
      </c>
      <c r="G189" s="102" t="n">
        <v>-1200.01</v>
      </c>
      <c r="H189" s="94" t="n">
        <v>-10</v>
      </c>
    </row>
    <row r="190" ht="15" customHeight="1" s="82">
      <c r="A190" s="94" t="inlineStr">
        <is>
          <t>102 - Orthopedic institutes</t>
        </is>
      </c>
      <c r="B190" s="94" t="inlineStr">
        <is>
          <t>150020 בירו אורטופדיה (יוסי)</t>
        </is>
      </c>
      <c r="C190" s="94" t="inlineStr">
        <is>
          <t>INV66661</t>
        </is>
      </c>
      <c r="D190" s="94" t="inlineStr">
        <is>
          <t>INV</t>
        </is>
      </c>
      <c r="E190" s="102" t="n">
        <v>1451.35</v>
      </c>
      <c r="F190" s="94" t="n">
        <v>12</v>
      </c>
      <c r="G190" s="102" t="n">
        <v>0</v>
      </c>
      <c r="H190" s="94" t="n">
        <v>0</v>
      </c>
    </row>
    <row r="191" ht="15" customHeight="1" s="82">
      <c r="A191" s="94" t="inlineStr">
        <is>
          <t>102 - Orthopedic institutes</t>
        </is>
      </c>
      <c r="B191" s="94" t="inlineStr">
        <is>
          <t>150020 בירו אורטופדיה (יוסי)</t>
        </is>
      </c>
      <c r="C191" s="94" t="inlineStr">
        <is>
          <t>INV68516</t>
        </is>
      </c>
      <c r="D191" s="94" t="inlineStr">
        <is>
          <t>INV</t>
        </is>
      </c>
      <c r="E191" s="102" t="n">
        <v>0</v>
      </c>
      <c r="F191" s="94" t="n">
        <v>0</v>
      </c>
      <c r="G191" s="102" t="n">
        <v>925.36</v>
      </c>
      <c r="H191" s="94" t="n">
        <v>11</v>
      </c>
    </row>
    <row r="192" ht="15" customHeight="1" s="82">
      <c r="A192" s="94" t="inlineStr">
        <is>
          <t>102 - Orthopedic institutes</t>
        </is>
      </c>
      <c r="B192" s="94" t="inlineStr">
        <is>
          <t>150020 בירו אורטופדיה (יוסי)</t>
        </is>
      </c>
      <c r="C192" s="94" t="inlineStr">
        <is>
          <t>INV64435</t>
        </is>
      </c>
      <c r="D192" s="94" t="inlineStr">
        <is>
          <t>INV</t>
        </is>
      </c>
      <c r="E192" s="102" t="n">
        <v>560.01</v>
      </c>
      <c r="F192" s="94" t="n">
        <v>4</v>
      </c>
      <c r="G192" s="102" t="n">
        <v>0</v>
      </c>
      <c r="H192" s="94" t="n">
        <v>0</v>
      </c>
    </row>
    <row r="193" ht="15" customHeight="1" s="82">
      <c r="A193" s="94" t="inlineStr">
        <is>
          <t>102 - Orthopedic institutes</t>
        </is>
      </c>
      <c r="B193" s="94" t="inlineStr">
        <is>
          <t>150020 בירו אורטופדיה (יוסי)</t>
        </is>
      </c>
      <c r="C193" s="94" t="inlineStr">
        <is>
          <t>INV65824</t>
        </is>
      </c>
      <c r="D193" s="94" t="inlineStr">
        <is>
          <t>INV</t>
        </is>
      </c>
      <c r="E193" s="102" t="n">
        <v>558.54</v>
      </c>
      <c r="F193" s="94" t="n">
        <v>6</v>
      </c>
      <c r="G193" s="102" t="n">
        <v>0</v>
      </c>
      <c r="H193" s="94" t="n">
        <v>0</v>
      </c>
    </row>
    <row r="194" ht="15" customHeight="1" s="82">
      <c r="A194" s="94" t="inlineStr">
        <is>
          <t>102 - Orthopedic institutes</t>
        </is>
      </c>
      <c r="B194" s="94" t="inlineStr">
        <is>
          <t>150020 בירו אורטופדיה (יוסי)</t>
        </is>
      </c>
      <c r="C194" s="94" t="inlineStr">
        <is>
          <t>INV68938</t>
        </is>
      </c>
      <c r="D194" s="94" t="inlineStr">
        <is>
          <t>INV</t>
        </is>
      </c>
      <c r="E194" s="102" t="n">
        <v>0</v>
      </c>
      <c r="F194" s="94" t="n">
        <v>0</v>
      </c>
      <c r="G194" s="102" t="n">
        <v>500</v>
      </c>
      <c r="H194" s="94" t="n">
        <v>3</v>
      </c>
    </row>
    <row r="195" ht="15" customHeight="1" s="82">
      <c r="A195" s="94" t="inlineStr">
        <is>
          <t>102 - Orthopedic institutes</t>
        </is>
      </c>
      <c r="B195" s="94" t="inlineStr">
        <is>
          <t>150020 בירו אורטופדיה (יוסי)</t>
        </is>
      </c>
      <c r="C195" s="94" t="inlineStr">
        <is>
          <t>INV43021</t>
        </is>
      </c>
      <c r="D195" s="94" t="inlineStr">
        <is>
          <t>INV</t>
        </is>
      </c>
      <c r="E195" s="102" t="n">
        <v>159</v>
      </c>
      <c r="F195" s="94" t="n">
        <v>2</v>
      </c>
      <c r="G195" s="102" t="n">
        <v>0</v>
      </c>
      <c r="H195" s="94" t="n">
        <v>0</v>
      </c>
    </row>
    <row r="196" ht="15" customHeight="1" s="82">
      <c r="A196" s="94" t="inlineStr">
        <is>
          <t>102 - Orthopedic institutes</t>
        </is>
      </c>
      <c r="B196" s="94" t="inlineStr">
        <is>
          <t>150022 ברוכים אורטופדיה-יעקב ברו</t>
        </is>
      </c>
      <c r="C196" s="94" t="inlineStr">
        <is>
          <t>INV68570</t>
        </is>
      </c>
      <c r="D196" s="94" t="inlineStr">
        <is>
          <t>INV</t>
        </is>
      </c>
      <c r="E196" s="102" t="n">
        <v>0</v>
      </c>
      <c r="F196" s="94" t="n">
        <v>0</v>
      </c>
      <c r="G196" s="102" t="n">
        <v>959.29</v>
      </c>
      <c r="H196" s="94" t="n">
        <v>8</v>
      </c>
    </row>
    <row r="197" ht="15" customHeight="1" s="82">
      <c r="A197" s="94" t="inlineStr">
        <is>
          <t>102 - Orthopedic institutes</t>
        </is>
      </c>
      <c r="B197" s="94" t="inlineStr">
        <is>
          <t>150022 ברוכים אורטופדיה-יעקב ברו</t>
        </is>
      </c>
      <c r="C197" s="94" t="inlineStr">
        <is>
          <t>INV61646</t>
        </is>
      </c>
      <c r="D197" s="94" t="inlineStr">
        <is>
          <t>INV</t>
        </is>
      </c>
      <c r="E197" s="102" t="n">
        <v>749.97</v>
      </c>
      <c r="F197" s="94" t="n">
        <v>36</v>
      </c>
      <c r="G197" s="102" t="n">
        <v>0</v>
      </c>
      <c r="H197" s="94" t="n">
        <v>0</v>
      </c>
    </row>
    <row r="198" ht="15" customHeight="1" s="82">
      <c r="A198" s="94" t="inlineStr">
        <is>
          <t>102 - Orthopedic institutes</t>
        </is>
      </c>
      <c r="B198" s="94" t="inlineStr">
        <is>
          <t>150022 ברוכים אורטופדיה-יעקב ברו</t>
        </is>
      </c>
      <c r="C198" s="94" t="inlineStr">
        <is>
          <t>INV67352</t>
        </is>
      </c>
      <c r="D198" s="94" t="inlineStr">
        <is>
          <t>INV</t>
        </is>
      </c>
      <c r="E198" s="102" t="n">
        <v>0</v>
      </c>
      <c r="F198" s="94" t="n">
        <v>0</v>
      </c>
      <c r="G198" s="102" t="n">
        <v>702.45</v>
      </c>
      <c r="H198" s="94" t="n">
        <v>17</v>
      </c>
    </row>
    <row r="199" ht="15" customHeight="1" s="82">
      <c r="A199" s="94" t="inlineStr">
        <is>
          <t>102 - Orthopedic institutes</t>
        </is>
      </c>
      <c r="B199" s="94" t="inlineStr">
        <is>
          <t>150022 ברוכים אורטופדיה-יעקב ברו</t>
        </is>
      </c>
      <c r="C199" s="94" t="inlineStr">
        <is>
          <t>INV69277</t>
        </is>
      </c>
      <c r="D199" s="94" t="inlineStr">
        <is>
          <t>INV</t>
        </is>
      </c>
      <c r="E199" s="102" t="n">
        <v>0</v>
      </c>
      <c r="F199" s="94" t="n">
        <v>0</v>
      </c>
      <c r="G199" s="102" t="n">
        <v>517.84</v>
      </c>
      <c r="H199" s="94" t="n">
        <v>17</v>
      </c>
    </row>
    <row r="200" ht="15" customHeight="1" s="82">
      <c r="A200" s="94" t="inlineStr">
        <is>
          <t>102 - Orthopedic institutes</t>
        </is>
      </c>
      <c r="B200" s="94" t="inlineStr">
        <is>
          <t>150022 ברוכים אורטופדיה-יעקב ברו</t>
        </is>
      </c>
      <c r="C200" s="94" t="inlineStr">
        <is>
          <t>INV48875</t>
        </is>
      </c>
      <c r="D200" s="94" t="inlineStr">
        <is>
          <t>INV</t>
        </is>
      </c>
      <c r="E200" s="102" t="n">
        <v>444</v>
      </c>
      <c r="F200" s="94" t="n">
        <v>2</v>
      </c>
      <c r="G200" s="102" t="n">
        <v>0</v>
      </c>
      <c r="H200" s="94" t="n">
        <v>0</v>
      </c>
    </row>
    <row r="201" ht="15" customHeight="1" s="82">
      <c r="A201" s="94" t="inlineStr">
        <is>
          <t>102 - Orthopedic institutes</t>
        </is>
      </c>
      <c r="B201" s="94" t="inlineStr">
        <is>
          <t>150022 ברוכים אורטופדיה-יעקב ברו</t>
        </is>
      </c>
      <c r="C201" s="94" t="inlineStr">
        <is>
          <t>INV40694</t>
        </is>
      </c>
      <c r="D201" s="94" t="inlineStr">
        <is>
          <t>INV</t>
        </is>
      </c>
      <c r="E201" s="102" t="n">
        <v>425</v>
      </c>
      <c r="F201" s="94" t="n">
        <v>17</v>
      </c>
      <c r="G201" s="102" t="n">
        <v>0</v>
      </c>
      <c r="H201" s="94" t="n">
        <v>0</v>
      </c>
    </row>
    <row r="202" ht="15" customHeight="1" s="82">
      <c r="A202" s="94" t="inlineStr">
        <is>
          <t>102 - Orthopedic institutes</t>
        </is>
      </c>
      <c r="B202" s="94" t="inlineStr">
        <is>
          <t>150022 ברוכים אורטופדיה-יעקב ברו</t>
        </is>
      </c>
      <c r="C202" s="94" t="inlineStr">
        <is>
          <t>CM44305</t>
        </is>
      </c>
      <c r="D202" s="94" t="inlineStr">
        <is>
          <t>CM</t>
        </is>
      </c>
      <c r="E202" s="102" t="n">
        <v>0</v>
      </c>
      <c r="F202" s="94" t="n">
        <v>0</v>
      </c>
      <c r="G202" s="102" t="n">
        <v>-270.22</v>
      </c>
      <c r="H202" s="94" t="n">
        <v>-5</v>
      </c>
    </row>
    <row r="203" ht="15" customHeight="1" s="82">
      <c r="A203" s="94" t="inlineStr">
        <is>
          <t>102 - Orthopedic institutes</t>
        </is>
      </c>
      <c r="B203" s="94" t="inlineStr">
        <is>
          <t>150027 ברזילי אורטופדיה-ר"ג</t>
        </is>
      </c>
      <c r="C203" s="94" t="inlineStr">
        <is>
          <t>INV66897</t>
        </is>
      </c>
      <c r="D203" s="94" t="inlineStr">
        <is>
          <t>INV</t>
        </is>
      </c>
      <c r="E203" s="102" t="n">
        <v>1200.01</v>
      </c>
      <c r="F203" s="94" t="n">
        <v>12</v>
      </c>
      <c r="G203" s="102" t="n">
        <v>0</v>
      </c>
      <c r="H203" s="94" t="n">
        <v>0</v>
      </c>
    </row>
    <row r="204" ht="15" customHeight="1" s="82">
      <c r="A204" s="94" t="inlineStr">
        <is>
          <t>102 - Orthopedic institutes</t>
        </is>
      </c>
      <c r="B204" s="94" t="inlineStr">
        <is>
          <t>150027 ברזילי אורטופדיה-ר"ג</t>
        </is>
      </c>
      <c r="C204" s="94" t="inlineStr">
        <is>
          <t>INV68281</t>
        </is>
      </c>
      <c r="D204" s="94" t="inlineStr">
        <is>
          <t>INV</t>
        </is>
      </c>
      <c r="E204" s="102" t="n">
        <v>0</v>
      </c>
      <c r="F204" s="94" t="n">
        <v>0</v>
      </c>
      <c r="G204" s="102" t="n">
        <v>938.14</v>
      </c>
      <c r="H204" s="94" t="n">
        <v>14</v>
      </c>
    </row>
    <row r="205" ht="15" customHeight="1" s="82">
      <c r="A205" s="94" t="inlineStr">
        <is>
          <t>102 - Orthopedic institutes</t>
        </is>
      </c>
      <c r="B205" s="94" t="inlineStr">
        <is>
          <t>150027 ברזילי אורטופדיה-ר"ג</t>
        </is>
      </c>
      <c r="C205" s="94" t="inlineStr">
        <is>
          <t>INV40854</t>
        </is>
      </c>
      <c r="D205" s="94" t="inlineStr">
        <is>
          <t>INV</t>
        </is>
      </c>
      <c r="E205" s="102" t="n">
        <v>902.65</v>
      </c>
      <c r="F205" s="94" t="n">
        <v>12</v>
      </c>
      <c r="G205" s="102" t="n">
        <v>0</v>
      </c>
      <c r="H205" s="94" t="n">
        <v>0</v>
      </c>
    </row>
    <row r="206" ht="15" customHeight="1" s="82">
      <c r="A206" s="94" t="inlineStr">
        <is>
          <t>102 - Orthopedic institutes</t>
        </is>
      </c>
      <c r="B206" s="94" t="inlineStr">
        <is>
          <t>150027 ברזילי אורטופדיה-ר"ג</t>
        </is>
      </c>
      <c r="C206" s="94" t="inlineStr">
        <is>
          <t>INV68364</t>
        </is>
      </c>
      <c r="D206" s="94" t="inlineStr">
        <is>
          <t>INV</t>
        </is>
      </c>
      <c r="E206" s="102" t="n">
        <v>0</v>
      </c>
      <c r="F206" s="94" t="n">
        <v>0</v>
      </c>
      <c r="G206" s="102" t="n">
        <v>783.96</v>
      </c>
      <c r="H206" s="94" t="n">
        <v>16</v>
      </c>
    </row>
    <row r="207" ht="15" customHeight="1" s="82">
      <c r="A207" s="94" t="inlineStr">
        <is>
          <t>102 - Orthopedic institutes</t>
        </is>
      </c>
      <c r="B207" s="94" t="inlineStr">
        <is>
          <t>150027 ברזילי אורטופדיה-ר"ג</t>
        </is>
      </c>
      <c r="C207" s="94" t="inlineStr">
        <is>
          <t>INV57490</t>
        </is>
      </c>
      <c r="D207" s="94" t="inlineStr">
        <is>
          <t>INV</t>
        </is>
      </c>
      <c r="E207" s="102" t="n">
        <v>655.99</v>
      </c>
      <c r="F207" s="94" t="n">
        <v>5</v>
      </c>
      <c r="G207" s="102" t="n">
        <v>0</v>
      </c>
      <c r="H207" s="94" t="n">
        <v>0</v>
      </c>
    </row>
    <row r="208" ht="15" customHeight="1" s="82">
      <c r="A208" s="94" t="inlineStr">
        <is>
          <t>102 - Orthopedic institutes</t>
        </is>
      </c>
      <c r="B208" s="94" t="inlineStr">
        <is>
          <t>150027 ברזילי אורטופדיה-ר"ג</t>
        </is>
      </c>
      <c r="C208" s="94" t="inlineStr">
        <is>
          <t>INV63506</t>
        </is>
      </c>
      <c r="D208" s="94" t="inlineStr">
        <is>
          <t>INV</t>
        </is>
      </c>
      <c r="E208" s="102" t="n">
        <v>489.97</v>
      </c>
      <c r="F208" s="94" t="n">
        <v>10</v>
      </c>
      <c r="G208" s="102" t="n">
        <v>0</v>
      </c>
      <c r="H208" s="94" t="n">
        <v>0</v>
      </c>
    </row>
    <row r="209" ht="15" customHeight="1" s="82">
      <c r="A209" s="94" t="inlineStr">
        <is>
          <t>102 - Orthopedic institutes</t>
        </is>
      </c>
      <c r="B209" s="94" t="inlineStr">
        <is>
          <t>150027 ברזילי אורטופדיה-ר"ג</t>
        </is>
      </c>
      <c r="C209" s="94" t="inlineStr">
        <is>
          <t>INV44982</t>
        </is>
      </c>
      <c r="D209" s="94" t="inlineStr">
        <is>
          <t>INV</t>
        </is>
      </c>
      <c r="E209" s="102" t="n">
        <v>343</v>
      </c>
      <c r="F209" s="94" t="n">
        <v>7</v>
      </c>
      <c r="G209" s="102" t="n">
        <v>0</v>
      </c>
      <c r="H209" s="94" t="n">
        <v>0</v>
      </c>
    </row>
    <row r="210" ht="15" customHeight="1" s="82">
      <c r="A210" s="94" t="inlineStr">
        <is>
          <t>102 - Orthopedic institutes</t>
        </is>
      </c>
      <c r="B210" s="94" t="inlineStr">
        <is>
          <t>150035 אורטו-ארט</t>
        </is>
      </c>
      <c r="C210" s="94" t="inlineStr">
        <is>
          <t>INV67778</t>
        </is>
      </c>
      <c r="D210" s="94" t="inlineStr">
        <is>
          <t>INV</t>
        </is>
      </c>
      <c r="E210" s="102" t="n">
        <v>0</v>
      </c>
      <c r="F210" s="94" t="n">
        <v>0</v>
      </c>
      <c r="G210" s="102" t="n">
        <v>1729.98</v>
      </c>
      <c r="H210" s="94" t="n">
        <v>9</v>
      </c>
    </row>
    <row r="211" ht="15" customHeight="1" s="82">
      <c r="A211" s="94" t="inlineStr">
        <is>
          <t>102 - Orthopedic institutes</t>
        </is>
      </c>
      <c r="B211" s="94" t="inlineStr">
        <is>
          <t>150035 אורטו-ארט</t>
        </is>
      </c>
      <c r="C211" s="94" t="inlineStr">
        <is>
          <t>INV55049</t>
        </is>
      </c>
      <c r="D211" s="94" t="inlineStr">
        <is>
          <t>INV</t>
        </is>
      </c>
      <c r="E211" s="102" t="n">
        <v>1480.17</v>
      </c>
      <c r="F211" s="94" t="n">
        <v>17</v>
      </c>
      <c r="G211" s="102" t="n">
        <v>0</v>
      </c>
      <c r="H211" s="94" t="n">
        <v>0</v>
      </c>
    </row>
    <row r="212" ht="15" customHeight="1" s="82">
      <c r="A212" s="94" t="inlineStr">
        <is>
          <t>102 - Orthopedic institutes</t>
        </is>
      </c>
      <c r="B212" s="94" t="inlineStr">
        <is>
          <t>150035 אורטו-ארט</t>
        </is>
      </c>
      <c r="C212" s="94" t="inlineStr">
        <is>
          <t>INV55489</t>
        </is>
      </c>
      <c r="D212" s="94" t="inlineStr">
        <is>
          <t>INV</t>
        </is>
      </c>
      <c r="E212" s="102" t="n">
        <v>1429.89</v>
      </c>
      <c r="F212" s="94" t="n">
        <v>11</v>
      </c>
      <c r="G212" s="102" t="n">
        <v>0</v>
      </c>
      <c r="H212" s="94" t="n">
        <v>0</v>
      </c>
    </row>
    <row r="213" ht="15" customHeight="1" s="82">
      <c r="A213" s="94" t="inlineStr">
        <is>
          <t>102 - Orthopedic institutes</t>
        </is>
      </c>
      <c r="B213" s="94" t="inlineStr">
        <is>
          <t>150035 אורטו-ארט</t>
        </is>
      </c>
      <c r="C213" s="94" t="inlineStr">
        <is>
          <t>INV45208</t>
        </is>
      </c>
      <c r="D213" s="94" t="inlineStr">
        <is>
          <t>INV</t>
        </is>
      </c>
      <c r="E213" s="102" t="n">
        <v>1376.63</v>
      </c>
      <c r="F213" s="94" t="n">
        <v>14</v>
      </c>
      <c r="G213" s="102" t="n">
        <v>0</v>
      </c>
      <c r="H213" s="94" t="n">
        <v>0</v>
      </c>
    </row>
    <row r="214" ht="15" customHeight="1" s="82">
      <c r="A214" s="94" t="inlineStr">
        <is>
          <t>102 - Orthopedic institutes</t>
        </is>
      </c>
      <c r="B214" s="94" t="inlineStr">
        <is>
          <t>150035 אורטו-ארט</t>
        </is>
      </c>
      <c r="C214" s="94" t="inlineStr">
        <is>
          <t>INV40695</t>
        </is>
      </c>
      <c r="D214" s="94" t="inlineStr">
        <is>
          <t>INV</t>
        </is>
      </c>
      <c r="E214" s="102" t="n">
        <v>1240.53</v>
      </c>
      <c r="F214" s="94" t="n">
        <v>12</v>
      </c>
      <c r="G214" s="102" t="n">
        <v>0</v>
      </c>
      <c r="H214" s="94" t="n">
        <v>0</v>
      </c>
    </row>
    <row r="215" ht="15" customHeight="1" s="82">
      <c r="A215" s="94" t="inlineStr">
        <is>
          <t>102 - Orthopedic institutes</t>
        </is>
      </c>
      <c r="B215" s="94" t="inlineStr">
        <is>
          <t>150035 אורטו-ארט</t>
        </is>
      </c>
      <c r="C215" s="94" t="inlineStr">
        <is>
          <t>INV69259</t>
        </is>
      </c>
      <c r="D215" s="94" t="inlineStr">
        <is>
          <t>INV</t>
        </is>
      </c>
      <c r="E215" s="102" t="n">
        <v>0</v>
      </c>
      <c r="F215" s="94" t="n">
        <v>0</v>
      </c>
      <c r="G215" s="102" t="n">
        <v>796.11</v>
      </c>
      <c r="H215" s="94" t="n">
        <v>7</v>
      </c>
    </row>
    <row r="216" ht="15" customHeight="1" s="82">
      <c r="A216" s="94" t="inlineStr">
        <is>
          <t>102 - Orthopedic institutes</t>
        </is>
      </c>
      <c r="B216" s="94" t="inlineStr">
        <is>
          <t>150035 אורטו-ארט</t>
        </is>
      </c>
      <c r="C216" s="94" t="inlineStr">
        <is>
          <t>CM43813</t>
        </is>
      </c>
      <c r="D216" s="94" t="inlineStr">
        <is>
          <t>CM</t>
        </is>
      </c>
      <c r="E216" s="102" t="n">
        <v>-1058.21</v>
      </c>
      <c r="F216" s="94" t="n">
        <v>-11</v>
      </c>
      <c r="G216" s="102" t="n">
        <v>0</v>
      </c>
      <c r="H216" s="94" t="n">
        <v>0</v>
      </c>
    </row>
    <row r="217" ht="15" customHeight="1" s="82">
      <c r="A217" s="94" t="inlineStr">
        <is>
          <t>102 - Orthopedic institutes</t>
        </is>
      </c>
      <c r="B217" s="94" t="inlineStr">
        <is>
          <t>150041 דן סימון אורטופדיה-פנורמה</t>
        </is>
      </c>
      <c r="C217" s="94" t="inlineStr">
        <is>
          <t>INV66626</t>
        </is>
      </c>
      <c r="D217" s="94" t="inlineStr">
        <is>
          <t>INV</t>
        </is>
      </c>
      <c r="E217" s="102" t="n">
        <v>787.3200000000001</v>
      </c>
      <c r="F217" s="94" t="n">
        <v>3</v>
      </c>
      <c r="G217" s="102" t="n">
        <v>0</v>
      </c>
      <c r="H217" s="94" t="n">
        <v>0</v>
      </c>
    </row>
    <row r="218" ht="15" customHeight="1" s="82">
      <c r="A218" s="94" t="inlineStr">
        <is>
          <t>102 - Orthopedic institutes</t>
        </is>
      </c>
      <c r="B218" s="94" t="inlineStr">
        <is>
          <t>150041 דן סימון אורטופדיה-פנורמה</t>
        </is>
      </c>
      <c r="C218" s="94" t="inlineStr">
        <is>
          <t>INV68507</t>
        </is>
      </c>
      <c r="D218" s="94" t="inlineStr">
        <is>
          <t>INV</t>
        </is>
      </c>
      <c r="E218" s="102" t="n">
        <v>0</v>
      </c>
      <c r="F218" s="94" t="n">
        <v>0</v>
      </c>
      <c r="G218" s="102" t="n">
        <v>422.28</v>
      </c>
      <c r="H218" s="94" t="n">
        <v>2</v>
      </c>
    </row>
    <row r="219" ht="15" customHeight="1" s="82">
      <c r="A219" s="94" t="inlineStr">
        <is>
          <t>102 - Orthopedic institutes</t>
        </is>
      </c>
      <c r="B219" s="94" t="inlineStr">
        <is>
          <t>150041 דן סימון אורטופדיה-פנורמה</t>
        </is>
      </c>
      <c r="C219" s="94" t="inlineStr">
        <is>
          <t>INV65675</t>
        </is>
      </c>
      <c r="D219" s="94" t="inlineStr">
        <is>
          <t>INV</t>
        </is>
      </c>
      <c r="E219" s="102" t="n">
        <v>170</v>
      </c>
      <c r="F219" s="94" t="n">
        <v>2</v>
      </c>
      <c r="G219" s="102" t="n">
        <v>0</v>
      </c>
      <c r="H219" s="94" t="n">
        <v>0</v>
      </c>
    </row>
    <row r="220" ht="15" customHeight="1" s="82">
      <c r="A220" s="94" t="inlineStr">
        <is>
          <t>102 - Orthopedic institutes</t>
        </is>
      </c>
      <c r="B220" s="94" t="inlineStr">
        <is>
          <t>150051 הררי אורטופדיה</t>
        </is>
      </c>
      <c r="C220" s="94" t="inlineStr">
        <is>
          <t>INV69204</t>
        </is>
      </c>
      <c r="D220" s="94" t="inlineStr">
        <is>
          <t>INV</t>
        </is>
      </c>
      <c r="E220" s="102" t="n">
        <v>0</v>
      </c>
      <c r="F220" s="94" t="n">
        <v>0</v>
      </c>
      <c r="G220" s="102" t="n">
        <v>2236.31</v>
      </c>
      <c r="H220" s="94" t="n">
        <v>14</v>
      </c>
    </row>
    <row r="221" ht="15" customHeight="1" s="82">
      <c r="A221" s="94" t="inlineStr">
        <is>
          <t>102 - Orthopedic institutes</t>
        </is>
      </c>
      <c r="B221" s="94" t="inlineStr">
        <is>
          <t>150051 הררי אורטופדיה</t>
        </is>
      </c>
      <c r="C221" s="94" t="inlineStr">
        <is>
          <t>INV68641</t>
        </is>
      </c>
      <c r="D221" s="94" t="inlineStr">
        <is>
          <t>INV</t>
        </is>
      </c>
      <c r="E221" s="102" t="n">
        <v>0</v>
      </c>
      <c r="F221" s="94" t="n">
        <v>0</v>
      </c>
      <c r="G221" s="102" t="n">
        <v>1843.15</v>
      </c>
      <c r="H221" s="94" t="n">
        <v>16</v>
      </c>
    </row>
    <row r="222" ht="15" customHeight="1" s="82">
      <c r="A222" s="94" t="inlineStr">
        <is>
          <t>102 - Orthopedic institutes</t>
        </is>
      </c>
      <c r="B222" s="94" t="inlineStr">
        <is>
          <t>150051 הררי אורטופדיה</t>
        </is>
      </c>
      <c r="C222" s="94" t="inlineStr">
        <is>
          <t>INV66240</t>
        </is>
      </c>
      <c r="D222" s="94" t="inlineStr">
        <is>
          <t>INV</t>
        </is>
      </c>
      <c r="E222" s="102" t="n">
        <v>885.5</v>
      </c>
      <c r="F222" s="94" t="n">
        <v>5</v>
      </c>
      <c r="G222" s="102" t="n">
        <v>0</v>
      </c>
      <c r="H222" s="94" t="n">
        <v>0</v>
      </c>
    </row>
    <row r="223" ht="15" customHeight="1" s="82">
      <c r="A223" s="94" t="inlineStr">
        <is>
          <t>102 - Orthopedic institutes</t>
        </is>
      </c>
      <c r="B223" s="94" t="inlineStr">
        <is>
          <t>150051 הררי אורטופדיה</t>
        </is>
      </c>
      <c r="C223" s="94" t="inlineStr">
        <is>
          <t>INV56259</t>
        </is>
      </c>
      <c r="D223" s="94" t="inlineStr">
        <is>
          <t>INV</t>
        </is>
      </c>
      <c r="E223" s="102" t="n">
        <v>851.01</v>
      </c>
      <c r="F223" s="94" t="n">
        <v>4</v>
      </c>
      <c r="G223" s="102" t="n">
        <v>0</v>
      </c>
      <c r="H223" s="94" t="n">
        <v>0</v>
      </c>
    </row>
    <row r="224" ht="15" customHeight="1" s="82">
      <c r="A224" s="94" t="inlineStr">
        <is>
          <t>102 - Orthopedic institutes</t>
        </is>
      </c>
      <c r="B224" s="94" t="inlineStr">
        <is>
          <t>150051 הררי אורטופדיה</t>
        </is>
      </c>
      <c r="C224" s="94" t="inlineStr">
        <is>
          <t>INV69010</t>
        </is>
      </c>
      <c r="D224" s="94" t="inlineStr">
        <is>
          <t>INV</t>
        </is>
      </c>
      <c r="E224" s="102" t="n">
        <v>0</v>
      </c>
      <c r="F224" s="94" t="n">
        <v>0</v>
      </c>
      <c r="G224" s="102" t="n">
        <v>721.05</v>
      </c>
      <c r="H224" s="94" t="n">
        <v>10</v>
      </c>
    </row>
    <row r="225" ht="15" customHeight="1" s="82">
      <c r="A225" s="94" t="inlineStr">
        <is>
          <t>102 - Orthopedic institutes</t>
        </is>
      </c>
      <c r="B225" s="94" t="inlineStr">
        <is>
          <t>150051 הררי אורטופדיה</t>
        </is>
      </c>
      <c r="C225" s="94" t="inlineStr">
        <is>
          <t>INV64627</t>
        </is>
      </c>
      <c r="D225" s="94" t="inlineStr">
        <is>
          <t>INV</t>
        </is>
      </c>
      <c r="E225" s="102" t="n">
        <v>692.74</v>
      </c>
      <c r="F225" s="94" t="n">
        <v>4</v>
      </c>
      <c r="G225" s="102" t="n">
        <v>0</v>
      </c>
      <c r="H225" s="94" t="n">
        <v>0</v>
      </c>
    </row>
    <row r="226" ht="15" customHeight="1" s="82">
      <c r="A226" s="94" t="inlineStr">
        <is>
          <t>102 - Orthopedic institutes</t>
        </is>
      </c>
      <c r="B226" s="94" t="inlineStr">
        <is>
          <t>150051 הררי אורטופדיה</t>
        </is>
      </c>
      <c r="C226" s="94" t="inlineStr">
        <is>
          <t>INV67269</t>
        </is>
      </c>
      <c r="D226" s="94" t="inlineStr">
        <is>
          <t>INV</t>
        </is>
      </c>
      <c r="E226" s="102" t="n">
        <v>0</v>
      </c>
      <c r="F226" s="94" t="n">
        <v>0</v>
      </c>
      <c r="G226" s="102" t="n">
        <v>686.99</v>
      </c>
      <c r="H226" s="94" t="n">
        <v>7</v>
      </c>
    </row>
    <row r="227" ht="15" customHeight="1" s="82">
      <c r="A227" s="94" t="inlineStr">
        <is>
          <t>102 - Orthopedic institutes</t>
        </is>
      </c>
      <c r="B227" s="94" t="inlineStr">
        <is>
          <t>150051 הררי אורטופדיה</t>
        </is>
      </c>
      <c r="C227" s="94" t="inlineStr">
        <is>
          <t>INV69303</t>
        </is>
      </c>
      <c r="D227" s="94" t="inlineStr">
        <is>
          <t>INV</t>
        </is>
      </c>
      <c r="E227" s="102" t="n">
        <v>0</v>
      </c>
      <c r="F227" s="94" t="n">
        <v>0</v>
      </c>
      <c r="G227" s="102" t="n">
        <v>666.22</v>
      </c>
      <c r="H227" s="94" t="n">
        <v>6</v>
      </c>
    </row>
    <row r="228" ht="15" customHeight="1" s="82">
      <c r="A228" s="94" t="inlineStr">
        <is>
          <t>102 - Orthopedic institutes</t>
        </is>
      </c>
      <c r="B228" s="94" t="inlineStr">
        <is>
          <t>150051 הררי אורטופדיה</t>
        </is>
      </c>
      <c r="C228" s="94" t="inlineStr">
        <is>
          <t>INV55507</t>
        </is>
      </c>
      <c r="D228" s="94" t="inlineStr">
        <is>
          <t>INV</t>
        </is>
      </c>
      <c r="E228" s="102" t="n">
        <v>645.5700000000001</v>
      </c>
      <c r="F228" s="94" t="n">
        <v>7</v>
      </c>
      <c r="G228" s="102" t="n">
        <v>0</v>
      </c>
      <c r="H228" s="94" t="n">
        <v>0</v>
      </c>
    </row>
    <row r="229" ht="15" customHeight="1" s="82">
      <c r="A229" s="94" t="inlineStr">
        <is>
          <t>102 - Orthopedic institutes</t>
        </is>
      </c>
      <c r="B229" s="94" t="inlineStr">
        <is>
          <t>150051 הררי אורטופדיה</t>
        </is>
      </c>
      <c r="C229" s="94" t="inlineStr">
        <is>
          <t>INV68780</t>
        </is>
      </c>
      <c r="D229" s="94" t="inlineStr">
        <is>
          <t>INV</t>
        </is>
      </c>
      <c r="E229" s="102" t="n">
        <v>0</v>
      </c>
      <c r="F229" s="94" t="n">
        <v>0</v>
      </c>
      <c r="G229" s="102" t="n">
        <v>596.86</v>
      </c>
      <c r="H229" s="94" t="n">
        <v>9</v>
      </c>
    </row>
    <row r="230" ht="15" customHeight="1" s="82">
      <c r="A230" s="94" t="inlineStr">
        <is>
          <t>102 - Orthopedic institutes</t>
        </is>
      </c>
      <c r="B230" s="94" t="inlineStr">
        <is>
          <t>150051 הררי אורטופדיה</t>
        </is>
      </c>
      <c r="C230" s="94" t="inlineStr">
        <is>
          <t>INV49244</t>
        </is>
      </c>
      <c r="D230" s="94" t="inlineStr">
        <is>
          <t>INV</t>
        </is>
      </c>
      <c r="E230" s="102" t="n">
        <v>388.99</v>
      </c>
      <c r="F230" s="94" t="n">
        <v>3</v>
      </c>
      <c r="G230" s="102" t="n">
        <v>0</v>
      </c>
      <c r="H230" s="94" t="n">
        <v>0</v>
      </c>
    </row>
    <row r="231" ht="15" customHeight="1" s="82">
      <c r="A231" s="94" t="inlineStr">
        <is>
          <t>102 - Orthopedic institutes</t>
        </is>
      </c>
      <c r="B231" s="94" t="inlineStr">
        <is>
          <t>150051 הררי אורטופדיה</t>
        </is>
      </c>
      <c r="C231" s="94" t="inlineStr">
        <is>
          <t>INV69242</t>
        </is>
      </c>
      <c r="D231" s="94" t="inlineStr">
        <is>
          <t>INV</t>
        </is>
      </c>
      <c r="E231" s="102" t="n">
        <v>0</v>
      </c>
      <c r="F231" s="94" t="n">
        <v>0</v>
      </c>
      <c r="G231" s="102" t="n">
        <v>306.46</v>
      </c>
      <c r="H231" s="94" t="n">
        <v>3</v>
      </c>
    </row>
    <row r="232" ht="15" customHeight="1" s="82">
      <c r="A232" s="94" t="inlineStr">
        <is>
          <t>102 - Orthopedic institutes</t>
        </is>
      </c>
      <c r="B232" s="94" t="inlineStr">
        <is>
          <t>150051 הררי אורטופדיה</t>
        </is>
      </c>
      <c r="C232" s="94" t="inlineStr">
        <is>
          <t>INV65897</t>
        </is>
      </c>
      <c r="D232" s="94" t="inlineStr">
        <is>
          <t>INV</t>
        </is>
      </c>
      <c r="E232" s="102" t="n">
        <v>219.27</v>
      </c>
      <c r="F232" s="94" t="n">
        <v>3</v>
      </c>
      <c r="G232" s="102" t="n">
        <v>0</v>
      </c>
      <c r="H232" s="94" t="n">
        <v>0</v>
      </c>
    </row>
    <row r="233" ht="15" customHeight="1" s="82">
      <c r="A233" s="94" t="inlineStr">
        <is>
          <t>102 - Orthopedic institutes</t>
        </is>
      </c>
      <c r="B233" s="94" t="inlineStr">
        <is>
          <t>150051 הררי אורטופדיה</t>
        </is>
      </c>
      <c r="C233" s="94" t="inlineStr">
        <is>
          <t>CM44111</t>
        </is>
      </c>
      <c r="D233" s="94" t="inlineStr">
        <is>
          <t>CM</t>
        </is>
      </c>
      <c r="E233" s="102" t="n">
        <v>-219.27</v>
      </c>
      <c r="F233" s="94" t="n">
        <v>-3</v>
      </c>
      <c r="G233" s="102" t="n">
        <v>0</v>
      </c>
      <c r="H233" s="94" t="n">
        <v>0</v>
      </c>
    </row>
    <row r="234" ht="15" customHeight="1" s="82">
      <c r="A234" s="94" t="inlineStr">
        <is>
          <t>102 - Orthopedic institutes</t>
        </is>
      </c>
      <c r="B234" s="94" t="inlineStr">
        <is>
          <t>150052 מדיקליין אורטופדיה</t>
        </is>
      </c>
      <c r="C234" s="94" t="inlineStr">
        <is>
          <t>INV65895</t>
        </is>
      </c>
      <c r="D234" s="94" t="inlineStr">
        <is>
          <t>INV</t>
        </is>
      </c>
      <c r="E234" s="102" t="n">
        <v>2159.95</v>
      </c>
      <c r="F234" s="94" t="n">
        <v>33</v>
      </c>
      <c r="G234" s="102" t="n">
        <v>0</v>
      </c>
      <c r="H234" s="94" t="n">
        <v>0</v>
      </c>
    </row>
    <row r="235" ht="15" customHeight="1" s="82">
      <c r="A235" s="94" t="inlineStr">
        <is>
          <t>102 - Orthopedic institutes</t>
        </is>
      </c>
      <c r="B235" s="94" t="inlineStr">
        <is>
          <t>150052 מדיקליין אורטופדיה</t>
        </is>
      </c>
      <c r="C235" s="94" t="inlineStr">
        <is>
          <t>INV51761</t>
        </is>
      </c>
      <c r="D235" s="94" t="inlineStr">
        <is>
          <t>INV</t>
        </is>
      </c>
      <c r="E235" s="102" t="n">
        <v>1983.13</v>
      </c>
      <c r="F235" s="94" t="n">
        <v>70</v>
      </c>
      <c r="G235" s="102" t="n">
        <v>0</v>
      </c>
      <c r="H235" s="94" t="n">
        <v>0</v>
      </c>
    </row>
    <row r="236" ht="15" customHeight="1" s="82">
      <c r="A236" s="94" t="inlineStr">
        <is>
          <t>102 - Orthopedic institutes</t>
        </is>
      </c>
      <c r="B236" s="94" t="inlineStr">
        <is>
          <t>150052 מדיקליין אורטופדיה</t>
        </is>
      </c>
      <c r="C236" s="94" t="inlineStr">
        <is>
          <t>INV69044</t>
        </is>
      </c>
      <c r="D236" s="94" t="inlineStr">
        <is>
          <t>INV</t>
        </is>
      </c>
      <c r="E236" s="102" t="n">
        <v>0</v>
      </c>
      <c r="F236" s="94" t="n">
        <v>0</v>
      </c>
      <c r="G236" s="102" t="n">
        <v>1554.69</v>
      </c>
      <c r="H236" s="94" t="n">
        <v>20</v>
      </c>
    </row>
    <row r="237" ht="15" customHeight="1" s="82">
      <c r="A237" s="94" t="inlineStr">
        <is>
          <t>102 - Orthopedic institutes</t>
        </is>
      </c>
      <c r="B237" s="94" t="inlineStr">
        <is>
          <t>150052 מדיקליין אורטופדיה</t>
        </is>
      </c>
      <c r="C237" s="94" t="inlineStr">
        <is>
          <t>INV60425</t>
        </is>
      </c>
      <c r="D237" s="94" t="inlineStr">
        <is>
          <t>INV</t>
        </is>
      </c>
      <c r="E237" s="102" t="n">
        <v>1418.92</v>
      </c>
      <c r="F237" s="94" t="n">
        <v>29</v>
      </c>
      <c r="G237" s="102" t="n">
        <v>0</v>
      </c>
      <c r="H237" s="94" t="n">
        <v>0</v>
      </c>
    </row>
    <row r="238" ht="15" customHeight="1" s="82">
      <c r="A238" s="94" t="inlineStr">
        <is>
          <t>102 - Orthopedic institutes</t>
        </is>
      </c>
      <c r="B238" s="94" t="inlineStr">
        <is>
          <t>150052 מדיקליין אורטופדיה</t>
        </is>
      </c>
      <c r="C238" s="94" t="inlineStr">
        <is>
          <t>INV66928</t>
        </is>
      </c>
      <c r="D238" s="94" t="inlineStr">
        <is>
          <t>INV</t>
        </is>
      </c>
      <c r="E238" s="102" t="n">
        <v>1384.05</v>
      </c>
      <c r="F238" s="94" t="n">
        <v>14</v>
      </c>
      <c r="G238" s="102" t="n">
        <v>0</v>
      </c>
      <c r="H238" s="94" t="n">
        <v>0</v>
      </c>
    </row>
    <row r="239" ht="15" customHeight="1" s="82">
      <c r="A239" s="94" t="inlineStr">
        <is>
          <t>102 - Orthopedic institutes</t>
        </is>
      </c>
      <c r="B239" s="94" t="inlineStr">
        <is>
          <t>150052 מדיקליין אורטופדיה</t>
        </is>
      </c>
      <c r="C239" s="94" t="inlineStr">
        <is>
          <t>INV67442</t>
        </is>
      </c>
      <c r="D239" s="94" t="inlineStr">
        <is>
          <t>INV</t>
        </is>
      </c>
      <c r="E239" s="102" t="n">
        <v>0</v>
      </c>
      <c r="F239" s="94" t="n">
        <v>0</v>
      </c>
      <c r="G239" s="102" t="n">
        <v>1317.58</v>
      </c>
      <c r="H239" s="94" t="n">
        <v>16</v>
      </c>
    </row>
    <row r="240" ht="15" customHeight="1" s="82">
      <c r="A240" s="94" t="inlineStr">
        <is>
          <t>102 - Orthopedic institutes</t>
        </is>
      </c>
      <c r="B240" s="94" t="inlineStr">
        <is>
          <t>150052 מדיקליין אורטופדיה</t>
        </is>
      </c>
      <c r="C240" s="94" t="inlineStr">
        <is>
          <t>INV68457</t>
        </is>
      </c>
      <c r="D240" s="94" t="inlineStr">
        <is>
          <t>INV</t>
        </is>
      </c>
      <c r="E240" s="102" t="n">
        <v>0</v>
      </c>
      <c r="F240" s="94" t="n">
        <v>0</v>
      </c>
      <c r="G240" s="102" t="n">
        <v>1315.94</v>
      </c>
      <c r="H240" s="94" t="n">
        <v>20</v>
      </c>
    </row>
    <row r="241" ht="15" customHeight="1" s="82">
      <c r="A241" s="94" t="inlineStr">
        <is>
          <t>102 - Orthopedic institutes</t>
        </is>
      </c>
      <c r="B241" s="94" t="inlineStr">
        <is>
          <t>150052 מדיקליין אורטופדיה</t>
        </is>
      </c>
      <c r="C241" s="94" t="inlineStr">
        <is>
          <t>INV42282</t>
        </is>
      </c>
      <c r="D241" s="94" t="inlineStr">
        <is>
          <t>INV</t>
        </is>
      </c>
      <c r="E241" s="102" t="n">
        <v>1206.01</v>
      </c>
      <c r="F241" s="94" t="n">
        <v>30</v>
      </c>
      <c r="G241" s="102" t="n">
        <v>0</v>
      </c>
      <c r="H241" s="94" t="n">
        <v>0</v>
      </c>
    </row>
    <row r="242" ht="15" customHeight="1" s="82">
      <c r="A242" s="94" t="inlineStr">
        <is>
          <t>102 - Orthopedic institutes</t>
        </is>
      </c>
      <c r="B242" s="94" t="inlineStr">
        <is>
          <t>150052 מדיקליין אורטופדיה</t>
        </is>
      </c>
      <c r="C242" s="94" t="inlineStr">
        <is>
          <t>INV66723</t>
        </is>
      </c>
      <c r="D242" s="94" t="inlineStr">
        <is>
          <t>INV</t>
        </is>
      </c>
      <c r="E242" s="102" t="n">
        <v>730.79</v>
      </c>
      <c r="F242" s="94" t="n">
        <v>9</v>
      </c>
      <c r="G242" s="102" t="n">
        <v>0</v>
      </c>
      <c r="H242" s="94" t="n">
        <v>0</v>
      </c>
    </row>
    <row r="243" ht="15" customHeight="1" s="82">
      <c r="A243" s="94" t="inlineStr">
        <is>
          <t>102 - Orthopedic institutes</t>
        </is>
      </c>
      <c r="B243" s="94" t="inlineStr">
        <is>
          <t>150052 מדיקליין אורטופדיה</t>
        </is>
      </c>
      <c r="C243" s="94" t="inlineStr">
        <is>
          <t>INV66256</t>
        </is>
      </c>
      <c r="D243" s="94" t="inlineStr">
        <is>
          <t>INV</t>
        </is>
      </c>
      <c r="E243" s="102" t="n">
        <v>607.15</v>
      </c>
      <c r="F243" s="94" t="n">
        <v>7</v>
      </c>
      <c r="G243" s="102" t="n">
        <v>0</v>
      </c>
      <c r="H243" s="94" t="n">
        <v>0</v>
      </c>
    </row>
    <row r="244" ht="15" customHeight="1" s="82">
      <c r="A244" s="94" t="inlineStr">
        <is>
          <t>102 - Orthopedic institutes</t>
        </is>
      </c>
      <c r="B244" s="94" t="inlineStr">
        <is>
          <t>150052 מדיקליין אורטופדיה</t>
        </is>
      </c>
      <c r="C244" s="94" t="inlineStr">
        <is>
          <t>INV69281</t>
        </is>
      </c>
      <c r="D244" s="94" t="inlineStr">
        <is>
          <t>INV</t>
        </is>
      </c>
      <c r="E244" s="102" t="n">
        <v>0</v>
      </c>
      <c r="F244" s="94" t="n">
        <v>0</v>
      </c>
      <c r="G244" s="102" t="n">
        <v>586.1799999999999</v>
      </c>
      <c r="H244" s="94" t="n">
        <v>7</v>
      </c>
    </row>
    <row r="245" ht="15" customHeight="1" s="82">
      <c r="A245" s="94" t="inlineStr">
        <is>
          <t>102 - Orthopedic institutes</t>
        </is>
      </c>
      <c r="B245" s="94" t="inlineStr">
        <is>
          <t>150052 מדיקליין אורטופדיה</t>
        </is>
      </c>
      <c r="C245" s="94" t="inlineStr">
        <is>
          <t>INV69183</t>
        </is>
      </c>
      <c r="D245" s="94" t="inlineStr">
        <is>
          <t>INV</t>
        </is>
      </c>
      <c r="E245" s="102" t="n">
        <v>0</v>
      </c>
      <c r="F245" s="94" t="n">
        <v>0</v>
      </c>
      <c r="G245" s="102" t="n">
        <v>575.08</v>
      </c>
      <c r="H245" s="94" t="n">
        <v>8</v>
      </c>
    </row>
    <row r="246" ht="15" customHeight="1" s="82">
      <c r="A246" s="94" t="inlineStr">
        <is>
          <t>102 - Orthopedic institutes</t>
        </is>
      </c>
      <c r="B246" s="94" t="inlineStr">
        <is>
          <t>150052 מדיקליין אורטופדיה</t>
        </is>
      </c>
      <c r="C246" s="94" t="inlineStr">
        <is>
          <t>CM44269</t>
        </is>
      </c>
      <c r="D246" s="94" t="inlineStr">
        <is>
          <t>CM</t>
        </is>
      </c>
      <c r="E246" s="102" t="n">
        <v>0</v>
      </c>
      <c r="F246" s="94" t="n">
        <v>0</v>
      </c>
      <c r="G246" s="102" t="n">
        <v>-430.71</v>
      </c>
      <c r="H246" s="94" t="n">
        <v>-5</v>
      </c>
    </row>
    <row r="247" ht="15" customHeight="1" s="82">
      <c r="A247" s="94" t="inlineStr">
        <is>
          <t>102 - Orthopedic institutes</t>
        </is>
      </c>
      <c r="B247" s="94" t="inlineStr">
        <is>
          <t>150055 סניוס מדיק בע"מ</t>
        </is>
      </c>
      <c r="C247" s="94" t="inlineStr">
        <is>
          <t>INV68615</t>
        </is>
      </c>
      <c r="D247" s="94" t="inlineStr">
        <is>
          <t>INV</t>
        </is>
      </c>
      <c r="E247" s="102" t="n">
        <v>0</v>
      </c>
      <c r="F247" s="94" t="n">
        <v>0</v>
      </c>
      <c r="G247" s="102" t="n">
        <v>2624.65</v>
      </c>
      <c r="H247" s="94" t="n">
        <v>5</v>
      </c>
    </row>
    <row r="248" ht="15" customHeight="1" s="82">
      <c r="A248" s="94" t="inlineStr">
        <is>
          <t>102 - Orthopedic institutes</t>
        </is>
      </c>
      <c r="B248" s="94" t="inlineStr">
        <is>
          <t>150055 סניוס מדיק בע"מ</t>
        </is>
      </c>
      <c r="C248" s="94" t="inlineStr">
        <is>
          <t>INV68614</t>
        </is>
      </c>
      <c r="D248" s="94" t="inlineStr">
        <is>
          <t>INV</t>
        </is>
      </c>
      <c r="E248" s="102" t="n">
        <v>0</v>
      </c>
      <c r="F248" s="94" t="n">
        <v>0</v>
      </c>
      <c r="G248" s="102" t="n">
        <v>1999.31</v>
      </c>
      <c r="H248" s="94" t="n">
        <v>43</v>
      </c>
    </row>
    <row r="249" ht="15" customHeight="1" s="82">
      <c r="A249" s="94" t="inlineStr">
        <is>
          <t>102 - Orthopedic institutes</t>
        </is>
      </c>
      <c r="B249" s="94" t="inlineStr">
        <is>
          <t>150055 סניוס מדיק בע"מ</t>
        </is>
      </c>
      <c r="C249" s="94" t="inlineStr">
        <is>
          <t>INV68867</t>
        </is>
      </c>
      <c r="D249" s="94" t="inlineStr">
        <is>
          <t>INV</t>
        </is>
      </c>
      <c r="E249" s="102" t="n">
        <v>0</v>
      </c>
      <c r="F249" s="94" t="n">
        <v>0</v>
      </c>
      <c r="G249" s="102" t="n">
        <v>1890.9</v>
      </c>
      <c r="H249" s="94" t="n">
        <v>19</v>
      </c>
    </row>
    <row r="250" ht="15" customHeight="1" s="82">
      <c r="A250" s="94" t="inlineStr">
        <is>
          <t>102 - Orthopedic institutes</t>
        </is>
      </c>
      <c r="B250" s="94" t="inlineStr">
        <is>
          <t>150055 סניוס מדיק בע"מ</t>
        </is>
      </c>
      <c r="C250" s="94" t="inlineStr">
        <is>
          <t>INV67903</t>
        </is>
      </c>
      <c r="D250" s="94" t="inlineStr">
        <is>
          <t>INV</t>
        </is>
      </c>
      <c r="E250" s="102" t="n">
        <v>0</v>
      </c>
      <c r="F250" s="94" t="n">
        <v>0</v>
      </c>
      <c r="G250" s="102" t="n">
        <v>1658.35</v>
      </c>
      <c r="H250" s="94" t="n">
        <v>36</v>
      </c>
    </row>
    <row r="251" ht="15" customHeight="1" s="82">
      <c r="A251" s="94" t="inlineStr">
        <is>
          <t>102 - Orthopedic institutes</t>
        </is>
      </c>
      <c r="B251" s="94" t="inlineStr">
        <is>
          <t>150055 סניוס מדיק בע"מ</t>
        </is>
      </c>
      <c r="C251" s="94" t="inlineStr">
        <is>
          <t>INV66754</t>
        </is>
      </c>
      <c r="D251" s="94" t="inlineStr">
        <is>
          <t>INV</t>
        </is>
      </c>
      <c r="E251" s="102" t="n">
        <v>1560.27</v>
      </c>
      <c r="F251" s="94" t="n">
        <v>18</v>
      </c>
      <c r="G251" s="102" t="n">
        <v>0</v>
      </c>
      <c r="H251" s="94" t="n">
        <v>0</v>
      </c>
    </row>
    <row r="252" ht="15" customHeight="1" s="82">
      <c r="A252" s="94" t="inlineStr">
        <is>
          <t>102 - Orthopedic institutes</t>
        </is>
      </c>
      <c r="B252" s="94" t="inlineStr">
        <is>
          <t>150055 סניוס מדיק בע"מ</t>
        </is>
      </c>
      <c r="C252" s="94" t="inlineStr">
        <is>
          <t>INV69307</t>
        </is>
      </c>
      <c r="D252" s="94" t="inlineStr">
        <is>
          <t>INV</t>
        </is>
      </c>
      <c r="E252" s="102" t="n">
        <v>0</v>
      </c>
      <c r="F252" s="94" t="n">
        <v>0</v>
      </c>
      <c r="G252" s="102" t="n">
        <v>1395.66</v>
      </c>
      <c r="H252" s="94" t="n">
        <v>27</v>
      </c>
    </row>
    <row r="253" ht="15" customHeight="1" s="82">
      <c r="A253" s="94" t="inlineStr">
        <is>
          <t>102 - Orthopedic institutes</t>
        </is>
      </c>
      <c r="B253" s="94" t="inlineStr">
        <is>
          <t>150055 סניוס מדיק בע"מ</t>
        </is>
      </c>
      <c r="C253" s="94" t="inlineStr">
        <is>
          <t>INV47453</t>
        </is>
      </c>
      <c r="D253" s="94" t="inlineStr">
        <is>
          <t>INV</t>
        </is>
      </c>
      <c r="E253" s="102" t="n">
        <v>1319.17</v>
      </c>
      <c r="F253" s="94" t="n">
        <v>13</v>
      </c>
      <c r="G253" s="102" t="n">
        <v>0</v>
      </c>
      <c r="H253" s="94" t="n">
        <v>0</v>
      </c>
    </row>
    <row r="254" ht="15" customHeight="1" s="82">
      <c r="A254" s="94" t="inlineStr">
        <is>
          <t>102 - Orthopedic institutes</t>
        </is>
      </c>
      <c r="B254" s="94" t="inlineStr">
        <is>
          <t>150055 סניוס מדיק בע"מ</t>
        </is>
      </c>
      <c r="C254" s="94" t="inlineStr">
        <is>
          <t>INV67758</t>
        </is>
      </c>
      <c r="D254" s="94" t="inlineStr">
        <is>
          <t>INV</t>
        </is>
      </c>
      <c r="E254" s="102" t="n">
        <v>0</v>
      </c>
      <c r="F254" s="94" t="n">
        <v>0</v>
      </c>
      <c r="G254" s="102" t="n">
        <v>936.11</v>
      </c>
      <c r="H254" s="94" t="n">
        <v>10</v>
      </c>
    </row>
    <row r="255" ht="15" customHeight="1" s="82">
      <c r="A255" s="94" t="inlineStr">
        <is>
          <t>102 - Orthopedic institutes</t>
        </is>
      </c>
      <c r="B255" s="94" t="inlineStr">
        <is>
          <t>150055 סניוס מדיק בע"מ</t>
        </is>
      </c>
      <c r="C255" s="94" t="inlineStr">
        <is>
          <t>INV65392</t>
        </is>
      </c>
      <c r="D255" s="94" t="inlineStr">
        <is>
          <t>INV</t>
        </is>
      </c>
      <c r="E255" s="102" t="n">
        <v>934.97</v>
      </c>
      <c r="F255" s="94" t="n">
        <v>16</v>
      </c>
      <c r="G255" s="102" t="n">
        <v>0</v>
      </c>
      <c r="H255" s="94" t="n">
        <v>0</v>
      </c>
    </row>
    <row r="256" ht="15" customHeight="1" s="82">
      <c r="A256" s="94" t="inlineStr">
        <is>
          <t>102 - Orthopedic institutes</t>
        </is>
      </c>
      <c r="B256" s="94" t="inlineStr">
        <is>
          <t>150055 סניוס מדיק בע"מ</t>
        </is>
      </c>
      <c r="C256" s="94" t="inlineStr">
        <is>
          <t>INV69015</t>
        </is>
      </c>
      <c r="D256" s="94" t="inlineStr">
        <is>
          <t>INV</t>
        </is>
      </c>
      <c r="E256" s="102" t="n">
        <v>0</v>
      </c>
      <c r="F256" s="94" t="n">
        <v>0</v>
      </c>
      <c r="G256" s="102" t="n">
        <v>929</v>
      </c>
      <c r="H256" s="94" t="n">
        <v>25</v>
      </c>
    </row>
    <row r="257" ht="15" customHeight="1" s="82">
      <c r="A257" s="94" t="inlineStr">
        <is>
          <t>102 - Orthopedic institutes</t>
        </is>
      </c>
      <c r="B257" s="94" t="inlineStr">
        <is>
          <t>150055 סניוס מדיק בע"מ</t>
        </is>
      </c>
      <c r="C257" s="94" t="inlineStr">
        <is>
          <t>INV65915</t>
        </is>
      </c>
      <c r="D257" s="94" t="inlineStr">
        <is>
          <t>INV</t>
        </is>
      </c>
      <c r="E257" s="102" t="n">
        <v>910.39</v>
      </c>
      <c r="F257" s="94" t="n">
        <v>15</v>
      </c>
      <c r="G257" s="102" t="n">
        <v>0</v>
      </c>
      <c r="H257" s="94" t="n">
        <v>0</v>
      </c>
    </row>
    <row r="258" ht="15" customHeight="1" s="82">
      <c r="A258" s="94" t="inlineStr">
        <is>
          <t>102 - Orthopedic institutes</t>
        </is>
      </c>
      <c r="B258" s="94" t="inlineStr">
        <is>
          <t>150055 סניוס מדיק בע"מ</t>
        </is>
      </c>
      <c r="C258" s="94" t="inlineStr">
        <is>
          <t>INV66997</t>
        </is>
      </c>
      <c r="D258" s="94" t="inlineStr">
        <is>
          <t>INV</t>
        </is>
      </c>
      <c r="E258" s="102" t="n">
        <v>900.26</v>
      </c>
      <c r="F258" s="94" t="n">
        <v>19</v>
      </c>
      <c r="G258" s="102" t="n">
        <v>0</v>
      </c>
      <c r="H258" s="94" t="n">
        <v>0</v>
      </c>
    </row>
    <row r="259" ht="15" customHeight="1" s="82">
      <c r="A259" s="94" t="inlineStr">
        <is>
          <t>102 - Orthopedic institutes</t>
        </is>
      </c>
      <c r="B259" s="94" t="inlineStr">
        <is>
          <t>150055 סניוס מדיק בע"מ</t>
        </is>
      </c>
      <c r="C259" s="94" t="inlineStr">
        <is>
          <t>INV55523</t>
        </is>
      </c>
      <c r="D259" s="94" t="inlineStr">
        <is>
          <t>INV</t>
        </is>
      </c>
      <c r="E259" s="102" t="n">
        <v>862.86</v>
      </c>
      <c r="F259" s="94" t="n">
        <v>23</v>
      </c>
      <c r="G259" s="102" t="n">
        <v>0</v>
      </c>
      <c r="H259" s="94" t="n">
        <v>0</v>
      </c>
    </row>
    <row r="260" ht="15" customHeight="1" s="82">
      <c r="A260" s="94" t="inlineStr">
        <is>
          <t>102 - Orthopedic institutes</t>
        </is>
      </c>
      <c r="B260" s="94" t="inlineStr">
        <is>
          <t>150055 סניוס מדיק בע"מ</t>
        </is>
      </c>
      <c r="C260" s="94" t="inlineStr">
        <is>
          <t>INV43012</t>
        </is>
      </c>
      <c r="D260" s="94" t="inlineStr">
        <is>
          <t>INV</t>
        </is>
      </c>
      <c r="E260" s="102" t="n">
        <v>794.6900000000001</v>
      </c>
      <c r="F260" s="94" t="n">
        <v>23</v>
      </c>
      <c r="G260" s="102" t="n">
        <v>0</v>
      </c>
      <c r="H260" s="94" t="n">
        <v>0</v>
      </c>
    </row>
    <row r="261" ht="15" customHeight="1" s="82">
      <c r="A261" s="94" t="inlineStr">
        <is>
          <t>102 - Orthopedic institutes</t>
        </is>
      </c>
      <c r="B261" s="94" t="inlineStr">
        <is>
          <t>150055 סניוס מדיק בע"מ</t>
        </is>
      </c>
      <c r="C261" s="94" t="inlineStr">
        <is>
          <t>INV66300</t>
        </is>
      </c>
      <c r="D261" s="94" t="inlineStr">
        <is>
          <t>INV</t>
        </is>
      </c>
      <c r="E261" s="102" t="n">
        <v>790.66</v>
      </c>
      <c r="F261" s="94" t="n">
        <v>13</v>
      </c>
      <c r="G261" s="102" t="n">
        <v>0</v>
      </c>
      <c r="H261" s="94" t="n">
        <v>0</v>
      </c>
    </row>
    <row r="262" ht="15" customHeight="1" s="82">
      <c r="A262" s="94" t="inlineStr">
        <is>
          <t>102 - Orthopedic institutes</t>
        </is>
      </c>
      <c r="B262" s="94" t="inlineStr">
        <is>
          <t>150055 סניוס מדיק בע"מ</t>
        </is>
      </c>
      <c r="C262" s="94" t="inlineStr">
        <is>
          <t>INV44998</t>
        </is>
      </c>
      <c r="D262" s="94" t="inlineStr">
        <is>
          <t>INV</t>
        </is>
      </c>
      <c r="E262" s="102" t="n">
        <v>775.27</v>
      </c>
      <c r="F262" s="94" t="n">
        <v>6</v>
      </c>
      <c r="G262" s="102" t="n">
        <v>0</v>
      </c>
      <c r="H262" s="94" t="n">
        <v>0</v>
      </c>
    </row>
    <row r="263" ht="15" customHeight="1" s="82">
      <c r="A263" s="94" t="inlineStr">
        <is>
          <t>102 - Orthopedic institutes</t>
        </is>
      </c>
      <c r="B263" s="94" t="inlineStr">
        <is>
          <t>150055 סניוס מדיק בע"מ</t>
        </is>
      </c>
      <c r="C263" s="94" t="inlineStr">
        <is>
          <t>INV59163</t>
        </is>
      </c>
      <c r="D263" s="94" t="inlineStr">
        <is>
          <t>INV</t>
        </is>
      </c>
      <c r="E263" s="102" t="n">
        <v>773.8</v>
      </c>
      <c r="F263" s="94" t="n">
        <v>19</v>
      </c>
      <c r="G263" s="102" t="n">
        <v>0</v>
      </c>
      <c r="H263" s="94" t="n">
        <v>0</v>
      </c>
    </row>
    <row r="264" ht="15" customHeight="1" s="82">
      <c r="A264" s="94" t="inlineStr">
        <is>
          <t>102 - Orthopedic institutes</t>
        </is>
      </c>
      <c r="B264" s="94" t="inlineStr">
        <is>
          <t>150055 סניוס מדיק בע"מ</t>
        </is>
      </c>
      <c r="C264" s="94" t="inlineStr">
        <is>
          <t>INV67262</t>
        </is>
      </c>
      <c r="D264" s="94" t="inlineStr">
        <is>
          <t>INV</t>
        </is>
      </c>
      <c r="E264" s="102" t="n">
        <v>0</v>
      </c>
      <c r="F264" s="94" t="n">
        <v>0</v>
      </c>
      <c r="G264" s="102" t="n">
        <v>750.5700000000001</v>
      </c>
      <c r="H264" s="94" t="n">
        <v>16</v>
      </c>
    </row>
    <row r="265" ht="15" customHeight="1" s="82">
      <c r="A265" s="94" t="inlineStr">
        <is>
          <t>102 - Orthopedic institutes</t>
        </is>
      </c>
      <c r="B265" s="94" t="inlineStr">
        <is>
          <t>150055 סניוס מדיק בע"מ</t>
        </is>
      </c>
      <c r="C265" s="94" t="inlineStr">
        <is>
          <t>INV66548</t>
        </is>
      </c>
      <c r="D265" s="94" t="inlineStr">
        <is>
          <t>INV</t>
        </is>
      </c>
      <c r="E265" s="102" t="n">
        <v>742.12</v>
      </c>
      <c r="F265" s="94" t="n">
        <v>11</v>
      </c>
      <c r="G265" s="102" t="n">
        <v>0</v>
      </c>
      <c r="H265" s="94" t="n">
        <v>0</v>
      </c>
    </row>
    <row r="266" ht="15" customHeight="1" s="82">
      <c r="A266" s="94" t="inlineStr">
        <is>
          <t>102 - Orthopedic institutes</t>
        </is>
      </c>
      <c r="B266" s="94" t="inlineStr">
        <is>
          <t>150055 סניוס מדיק בע"מ</t>
        </is>
      </c>
      <c r="C266" s="94" t="inlineStr">
        <is>
          <t>INV68520</t>
        </is>
      </c>
      <c r="D266" s="94" t="inlineStr">
        <is>
          <t>INV</t>
        </is>
      </c>
      <c r="E266" s="102" t="n">
        <v>0</v>
      </c>
      <c r="F266" s="94" t="n">
        <v>0</v>
      </c>
      <c r="G266" s="102" t="n">
        <v>704.84</v>
      </c>
      <c r="H266" s="94" t="n">
        <v>7</v>
      </c>
    </row>
    <row r="267" ht="15" customHeight="1" s="82">
      <c r="A267" s="94" t="inlineStr">
        <is>
          <t>102 - Orthopedic institutes</t>
        </is>
      </c>
      <c r="B267" s="94" t="inlineStr">
        <is>
          <t>150055 סניוס מדיק בע"מ</t>
        </is>
      </c>
      <c r="C267" s="94" t="inlineStr">
        <is>
          <t>INV69145</t>
        </is>
      </c>
      <c r="D267" s="94" t="inlineStr">
        <is>
          <t>INV</t>
        </is>
      </c>
      <c r="E267" s="102" t="n">
        <v>0</v>
      </c>
      <c r="F267" s="94" t="n">
        <v>0</v>
      </c>
      <c r="G267" s="102" t="n">
        <v>700</v>
      </c>
      <c r="H267" s="94" t="n">
        <v>2</v>
      </c>
    </row>
    <row r="268" ht="15" customHeight="1" s="82">
      <c r="A268" s="94" t="inlineStr">
        <is>
          <t>102 - Orthopedic institutes</t>
        </is>
      </c>
      <c r="B268" s="94" t="inlineStr">
        <is>
          <t>150055 סניוס מדיק בע"מ</t>
        </is>
      </c>
      <c r="C268" s="94" t="inlineStr">
        <is>
          <t>INV68842</t>
        </is>
      </c>
      <c r="D268" s="94" t="inlineStr">
        <is>
          <t>INV</t>
        </is>
      </c>
      <c r="E268" s="102" t="n">
        <v>0</v>
      </c>
      <c r="F268" s="94" t="n">
        <v>0</v>
      </c>
      <c r="G268" s="102" t="n">
        <v>585.67</v>
      </c>
      <c r="H268" s="94" t="n">
        <v>5</v>
      </c>
    </row>
    <row r="269" ht="15" customHeight="1" s="82">
      <c r="A269" s="94" t="inlineStr">
        <is>
          <t>102 - Orthopedic institutes</t>
        </is>
      </c>
      <c r="B269" s="94" t="inlineStr">
        <is>
          <t>150055 סניוס מדיק בע"מ</t>
        </is>
      </c>
      <c r="C269" s="94" t="inlineStr">
        <is>
          <t>INV65393</t>
        </is>
      </c>
      <c r="D269" s="94" t="inlineStr">
        <is>
          <t>INV</t>
        </is>
      </c>
      <c r="E269" s="102" t="n">
        <v>540</v>
      </c>
      <c r="F269" s="94" t="n">
        <v>36</v>
      </c>
      <c r="G269" s="102" t="n">
        <v>0</v>
      </c>
      <c r="H269" s="94" t="n">
        <v>0</v>
      </c>
    </row>
    <row r="270" ht="15" customHeight="1" s="82">
      <c r="A270" s="94" t="inlineStr">
        <is>
          <t>102 - Orthopedic institutes</t>
        </is>
      </c>
      <c r="B270" s="94" t="inlineStr">
        <is>
          <t>150055 סניוס מדיק בע"מ</t>
        </is>
      </c>
      <c r="C270" s="94" t="inlineStr">
        <is>
          <t>INV67452</t>
        </is>
      </c>
      <c r="D270" s="94" t="inlineStr">
        <is>
          <t>INV</t>
        </is>
      </c>
      <c r="E270" s="102" t="n">
        <v>0</v>
      </c>
      <c r="F270" s="94" t="n">
        <v>0</v>
      </c>
      <c r="G270" s="102" t="n">
        <v>505.84</v>
      </c>
      <c r="H270" s="94" t="n">
        <v>11</v>
      </c>
    </row>
    <row r="271" ht="15" customHeight="1" s="82">
      <c r="A271" s="94" t="inlineStr">
        <is>
          <t>102 - Orthopedic institutes</t>
        </is>
      </c>
      <c r="B271" s="94" t="inlineStr">
        <is>
          <t>150055 סניוס מדיק בע"מ</t>
        </is>
      </c>
      <c r="C271" s="94" t="inlineStr">
        <is>
          <t>INV64599</t>
        </is>
      </c>
      <c r="D271" s="94" t="inlineStr">
        <is>
          <t>INV</t>
        </is>
      </c>
      <c r="E271" s="102" t="n">
        <v>496.03</v>
      </c>
      <c r="F271" s="94" t="n">
        <v>9</v>
      </c>
      <c r="G271" s="102" t="n">
        <v>0</v>
      </c>
      <c r="H271" s="94" t="n">
        <v>0</v>
      </c>
    </row>
    <row r="272" ht="15" customHeight="1" s="82">
      <c r="A272" s="94" t="inlineStr">
        <is>
          <t>102 - Orthopedic institutes</t>
        </is>
      </c>
      <c r="B272" s="94" t="inlineStr">
        <is>
          <t>150055 סניוס מדיק בע"מ</t>
        </is>
      </c>
      <c r="C272" s="94" t="inlineStr">
        <is>
          <t>INV68658</t>
        </is>
      </c>
      <c r="D272" s="94" t="inlineStr">
        <is>
          <t>INV</t>
        </is>
      </c>
      <c r="E272" s="102" t="n">
        <v>0</v>
      </c>
      <c r="F272" s="94" t="n">
        <v>0</v>
      </c>
      <c r="G272" s="102" t="n">
        <v>477.9</v>
      </c>
      <c r="H272" s="94" t="n">
        <v>6</v>
      </c>
    </row>
    <row r="273" ht="15" customHeight="1" s="82">
      <c r="A273" s="94" t="inlineStr">
        <is>
          <t>102 - Orthopedic institutes</t>
        </is>
      </c>
      <c r="B273" s="94" t="inlineStr">
        <is>
          <t>150055 סניוס מדיק בע"מ</t>
        </is>
      </c>
      <c r="C273" s="94" t="inlineStr">
        <is>
          <t>INV66309</t>
        </is>
      </c>
      <c r="D273" s="94" t="inlineStr">
        <is>
          <t>INV</t>
        </is>
      </c>
      <c r="E273" s="102" t="n">
        <v>435.34</v>
      </c>
      <c r="F273" s="94" t="n">
        <v>12</v>
      </c>
      <c r="G273" s="102" t="n">
        <v>0</v>
      </c>
      <c r="H273" s="94" t="n">
        <v>0</v>
      </c>
    </row>
    <row r="274" ht="15" customHeight="1" s="82">
      <c r="A274" s="94" t="inlineStr">
        <is>
          <t>102 - Orthopedic institutes</t>
        </is>
      </c>
      <c r="B274" s="94" t="inlineStr">
        <is>
          <t>150055 סניוס מדיק בע"מ</t>
        </is>
      </c>
      <c r="C274" s="94" t="inlineStr">
        <is>
          <t>INV44372</t>
        </is>
      </c>
      <c r="D274" s="94" t="inlineStr">
        <is>
          <t>INV</t>
        </is>
      </c>
      <c r="E274" s="102" t="n">
        <v>372</v>
      </c>
      <c r="F274" s="94" t="n">
        <v>4</v>
      </c>
      <c r="G274" s="102" t="n">
        <v>0</v>
      </c>
      <c r="H274" s="94" t="n">
        <v>0</v>
      </c>
    </row>
    <row r="275" ht="15" customHeight="1" s="82">
      <c r="A275" s="94" t="inlineStr">
        <is>
          <t>102 - Orthopedic institutes</t>
        </is>
      </c>
      <c r="B275" s="94" t="inlineStr">
        <is>
          <t>150055 סניוס מדיק בע"מ</t>
        </is>
      </c>
      <c r="C275" s="94" t="inlineStr">
        <is>
          <t>INV47455</t>
        </is>
      </c>
      <c r="D275" s="94" t="inlineStr">
        <is>
          <t>INV</t>
        </is>
      </c>
      <c r="E275" s="102" t="n">
        <v>150</v>
      </c>
      <c r="F275" s="94" t="n">
        <v>2</v>
      </c>
      <c r="G275" s="102" t="n">
        <v>0</v>
      </c>
      <c r="H275" s="94" t="n">
        <v>0</v>
      </c>
    </row>
    <row r="276" ht="15" customHeight="1" s="82">
      <c r="A276" s="94" t="inlineStr">
        <is>
          <t>102 - Orthopedic institutes</t>
        </is>
      </c>
      <c r="B276" s="94" t="inlineStr">
        <is>
          <t>150055 סניוס מדיק בע"מ</t>
        </is>
      </c>
      <c r="C276" s="94" t="inlineStr">
        <is>
          <t>CM44680</t>
        </is>
      </c>
      <c r="D276" s="94" t="inlineStr">
        <is>
          <t>CM</t>
        </is>
      </c>
      <c r="E276" s="102" t="n">
        <v>0</v>
      </c>
      <c r="F276" s="94" t="n">
        <v>0</v>
      </c>
      <c r="G276" s="102" t="n">
        <v>-351.4</v>
      </c>
      <c r="H276" s="94" t="n">
        <v>-3</v>
      </c>
    </row>
    <row r="277" ht="15" customHeight="1" s="82">
      <c r="A277" s="94" t="inlineStr">
        <is>
          <t>102 - Orthopedic institutes</t>
        </is>
      </c>
      <c r="B277" s="94" t="inlineStr">
        <is>
          <t>150055 סניוס מדיק בע"מ</t>
        </is>
      </c>
      <c r="C277" s="94" t="inlineStr">
        <is>
          <t>CM44681</t>
        </is>
      </c>
      <c r="D277" s="94" t="inlineStr">
        <is>
          <t>CM</t>
        </is>
      </c>
      <c r="E277" s="102" t="n">
        <v>0</v>
      </c>
      <c r="F277" s="94" t="n">
        <v>0</v>
      </c>
      <c r="G277" s="102" t="n">
        <v>-524.9299999999999</v>
      </c>
      <c r="H277" s="94" t="n">
        <v>-1</v>
      </c>
    </row>
    <row r="278" ht="15" customHeight="1" s="82">
      <c r="A278" s="94" t="inlineStr">
        <is>
          <t>102 - Orthopedic institutes</t>
        </is>
      </c>
      <c r="B278" s="94" t="inlineStr">
        <is>
          <t>150067 גרינברג ר.ע.י.ה אורטופדיה</t>
        </is>
      </c>
      <c r="C278" s="94" t="inlineStr">
        <is>
          <t>INV54075</t>
        </is>
      </c>
      <c r="D278" s="94" t="inlineStr">
        <is>
          <t>INV</t>
        </is>
      </c>
      <c r="E278" s="102" t="n">
        <v>1560.01</v>
      </c>
      <c r="F278" s="94" t="n">
        <v>6</v>
      </c>
      <c r="G278" s="102" t="n">
        <v>0</v>
      </c>
      <c r="H278" s="94" t="n">
        <v>0</v>
      </c>
    </row>
    <row r="279" ht="15" customHeight="1" s="82">
      <c r="A279" s="94" t="inlineStr">
        <is>
          <t>102 - Orthopedic institutes</t>
        </is>
      </c>
      <c r="B279" s="94" t="inlineStr">
        <is>
          <t>150067 גרינברג ר.ע.י.ה אורטופדיה</t>
        </is>
      </c>
      <c r="C279" s="94" t="inlineStr">
        <is>
          <t>INV50322</t>
        </is>
      </c>
      <c r="D279" s="94" t="inlineStr">
        <is>
          <t>INV</t>
        </is>
      </c>
      <c r="E279" s="102" t="n">
        <v>1332</v>
      </c>
      <c r="F279" s="94" t="n">
        <v>6</v>
      </c>
      <c r="G279" s="102" t="n">
        <v>0</v>
      </c>
      <c r="H279" s="94" t="n">
        <v>0</v>
      </c>
    </row>
    <row r="280" ht="15" customHeight="1" s="82">
      <c r="A280" s="94" t="inlineStr">
        <is>
          <t>102 - Orthopedic institutes</t>
        </is>
      </c>
      <c r="B280" s="94" t="inlineStr">
        <is>
          <t>150094 אייזלר החברה לניהול בע"מ</t>
        </is>
      </c>
      <c r="C280" s="94" t="inlineStr">
        <is>
          <t>INV65557</t>
        </is>
      </c>
      <c r="D280" s="94" t="inlineStr">
        <is>
          <t>INV</t>
        </is>
      </c>
      <c r="E280" s="102" t="n">
        <v>1875.55</v>
      </c>
      <c r="F280" s="94" t="n">
        <v>43</v>
      </c>
      <c r="G280" s="102" t="n">
        <v>0</v>
      </c>
      <c r="H280" s="94" t="n">
        <v>0</v>
      </c>
    </row>
    <row r="281" ht="15" customHeight="1" s="82">
      <c r="A281" s="94" t="inlineStr">
        <is>
          <t>102 - Orthopedic institutes</t>
        </is>
      </c>
      <c r="B281" s="94" t="inlineStr">
        <is>
          <t>150094 אייזלר החברה לניהול בע"מ</t>
        </is>
      </c>
      <c r="C281" s="94" t="inlineStr">
        <is>
          <t>INV66544</t>
        </is>
      </c>
      <c r="D281" s="94" t="inlineStr">
        <is>
          <t>INV</t>
        </is>
      </c>
      <c r="E281" s="102" t="n">
        <v>1529.65</v>
      </c>
      <c r="F281" s="94" t="n">
        <v>23</v>
      </c>
      <c r="G281" s="102" t="n">
        <v>0</v>
      </c>
      <c r="H281" s="94" t="n">
        <v>0</v>
      </c>
    </row>
    <row r="282" ht="15" customHeight="1" s="82">
      <c r="A282" s="94" t="inlineStr">
        <is>
          <t>102 - Orthopedic institutes</t>
        </is>
      </c>
      <c r="B282" s="94" t="inlineStr">
        <is>
          <t>150094 אייזלר החברה לניהול בע"מ</t>
        </is>
      </c>
      <c r="C282" s="94" t="inlineStr">
        <is>
          <t>INV67169</t>
        </is>
      </c>
      <c r="D282" s="94" t="inlineStr">
        <is>
          <t>INV</t>
        </is>
      </c>
      <c r="E282" s="102" t="n">
        <v>0</v>
      </c>
      <c r="F282" s="94" t="n">
        <v>0</v>
      </c>
      <c r="G282" s="102" t="n">
        <v>1502.38</v>
      </c>
      <c r="H282" s="94" t="n">
        <v>22</v>
      </c>
    </row>
    <row r="283" ht="15" customHeight="1" s="82">
      <c r="A283" s="94" t="inlineStr">
        <is>
          <t>102 - Orthopedic institutes</t>
        </is>
      </c>
      <c r="B283" s="94" t="inlineStr">
        <is>
          <t>150094 אייזלר החברה לניהול בע"מ</t>
        </is>
      </c>
      <c r="C283" s="94" t="inlineStr">
        <is>
          <t>INV41390</t>
        </is>
      </c>
      <c r="D283" s="94" t="inlineStr">
        <is>
          <t>INV</t>
        </is>
      </c>
      <c r="E283" s="102" t="n">
        <v>1145.15</v>
      </c>
      <c r="F283" s="94" t="n">
        <v>19</v>
      </c>
      <c r="G283" s="102" t="n">
        <v>0</v>
      </c>
      <c r="H283" s="94" t="n">
        <v>0</v>
      </c>
    </row>
    <row r="284" ht="15" customHeight="1" s="82">
      <c r="A284" s="94" t="inlineStr">
        <is>
          <t>102 - Orthopedic institutes</t>
        </is>
      </c>
      <c r="B284" s="94" t="inlineStr">
        <is>
          <t>150094 אייזלר החברה לניהול בע"מ</t>
        </is>
      </c>
      <c r="C284" s="94" t="inlineStr">
        <is>
          <t>INV66717</t>
        </is>
      </c>
      <c r="D284" s="94" t="inlineStr">
        <is>
          <t>INV</t>
        </is>
      </c>
      <c r="E284" s="102" t="n">
        <v>1089.97</v>
      </c>
      <c r="F284" s="94" t="n">
        <v>20</v>
      </c>
      <c r="G284" s="102" t="n">
        <v>0</v>
      </c>
      <c r="H284" s="94" t="n">
        <v>0</v>
      </c>
    </row>
    <row r="285" ht="15" customHeight="1" s="82">
      <c r="A285" s="94" t="inlineStr">
        <is>
          <t>102 - Orthopedic institutes</t>
        </is>
      </c>
      <c r="B285" s="94" t="inlineStr">
        <is>
          <t>150094 אייזלר החברה לניהול בע"מ</t>
        </is>
      </c>
      <c r="C285" s="94" t="inlineStr">
        <is>
          <t>INV66843</t>
        </is>
      </c>
      <c r="D285" s="94" t="inlineStr">
        <is>
          <t>INV</t>
        </is>
      </c>
      <c r="E285" s="102" t="n">
        <v>1070.02</v>
      </c>
      <c r="F285" s="94" t="n">
        <v>8</v>
      </c>
      <c r="G285" s="102" t="n">
        <v>0</v>
      </c>
      <c r="H285" s="94" t="n">
        <v>0</v>
      </c>
    </row>
    <row r="286" ht="15" customHeight="1" s="82">
      <c r="A286" s="94" t="inlineStr">
        <is>
          <t>102 - Orthopedic institutes</t>
        </is>
      </c>
      <c r="B286" s="94" t="inlineStr">
        <is>
          <t>150094 אייזלר החברה לניהול בע"מ</t>
        </is>
      </c>
      <c r="C286" s="94" t="inlineStr">
        <is>
          <t>INV49246</t>
        </is>
      </c>
      <c r="D286" s="94" t="inlineStr">
        <is>
          <t>INV</t>
        </is>
      </c>
      <c r="E286" s="102" t="n">
        <v>1031.4</v>
      </c>
      <c r="F286" s="94" t="n">
        <v>39</v>
      </c>
      <c r="G286" s="102" t="n">
        <v>0</v>
      </c>
      <c r="H286" s="94" t="n">
        <v>0</v>
      </c>
    </row>
    <row r="287" ht="15" customHeight="1" s="82">
      <c r="A287" s="94" t="inlineStr">
        <is>
          <t>102 - Orthopedic institutes</t>
        </is>
      </c>
      <c r="B287" s="94" t="inlineStr">
        <is>
          <t>150094 אייזלר החברה לניהול בע"מ</t>
        </is>
      </c>
      <c r="C287" s="94" t="inlineStr">
        <is>
          <t>INV66924</t>
        </is>
      </c>
      <c r="D287" s="94" t="inlineStr">
        <is>
          <t>INV</t>
        </is>
      </c>
      <c r="E287" s="102" t="n">
        <v>1028.19</v>
      </c>
      <c r="F287" s="94" t="n">
        <v>29</v>
      </c>
      <c r="G287" s="102" t="n">
        <v>0</v>
      </c>
      <c r="H287" s="94" t="n">
        <v>0</v>
      </c>
    </row>
    <row r="288" ht="15" customHeight="1" s="82">
      <c r="A288" s="94" t="inlineStr">
        <is>
          <t>102 - Orthopedic institutes</t>
        </is>
      </c>
      <c r="B288" s="94" t="inlineStr">
        <is>
          <t>150094 אייזלר החברה לניהול בע"מ</t>
        </is>
      </c>
      <c r="C288" s="94" t="inlineStr">
        <is>
          <t>INV47421</t>
        </is>
      </c>
      <c r="D288" s="94" t="inlineStr">
        <is>
          <t>INV</t>
        </is>
      </c>
      <c r="E288" s="102" t="n">
        <v>989.63</v>
      </c>
      <c r="F288" s="94" t="n">
        <v>14</v>
      </c>
      <c r="G288" s="102" t="n">
        <v>0</v>
      </c>
      <c r="H288" s="94" t="n">
        <v>0</v>
      </c>
    </row>
    <row r="289" ht="15" customHeight="1" s="82">
      <c r="A289" s="94" t="inlineStr">
        <is>
          <t>102 - Orthopedic institutes</t>
        </is>
      </c>
      <c r="B289" s="94" t="inlineStr">
        <is>
          <t>150094 אייזלר החברה לניהול בע"מ</t>
        </is>
      </c>
      <c r="C289" s="94" t="inlineStr">
        <is>
          <t>INV54552</t>
        </is>
      </c>
      <c r="D289" s="94" t="inlineStr">
        <is>
          <t>INV</t>
        </is>
      </c>
      <c r="E289" s="102" t="n">
        <v>953.55</v>
      </c>
      <c r="F289" s="94" t="n">
        <v>12</v>
      </c>
      <c r="G289" s="102" t="n">
        <v>0</v>
      </c>
      <c r="H289" s="94" t="n">
        <v>0</v>
      </c>
    </row>
    <row r="290" ht="15" customHeight="1" s="82">
      <c r="A290" s="94" t="inlineStr">
        <is>
          <t>102 - Orthopedic institutes</t>
        </is>
      </c>
      <c r="B290" s="94" t="inlineStr">
        <is>
          <t>150094 אייזלר החברה לניהול בע"מ</t>
        </is>
      </c>
      <c r="C290" s="94" t="inlineStr">
        <is>
          <t>INV43802</t>
        </is>
      </c>
      <c r="D290" s="94" t="inlineStr">
        <is>
          <t>INV</t>
        </is>
      </c>
      <c r="E290" s="102" t="n">
        <v>920.2</v>
      </c>
      <c r="F290" s="94" t="n">
        <v>12</v>
      </c>
      <c r="G290" s="102" t="n">
        <v>0</v>
      </c>
      <c r="H290" s="94" t="n">
        <v>0</v>
      </c>
    </row>
    <row r="291" ht="15" customHeight="1" s="82">
      <c r="A291" s="94" t="inlineStr">
        <is>
          <t>102 - Orthopedic institutes</t>
        </is>
      </c>
      <c r="B291" s="94" t="inlineStr">
        <is>
          <t>150094 אייזלר החברה לניהול בע"מ</t>
        </is>
      </c>
      <c r="C291" s="94" t="inlineStr">
        <is>
          <t>INV65867</t>
        </is>
      </c>
      <c r="D291" s="94" t="inlineStr">
        <is>
          <t>INV</t>
        </is>
      </c>
      <c r="E291" s="102" t="n">
        <v>902.48</v>
      </c>
      <c r="F291" s="94" t="n">
        <v>15</v>
      </c>
      <c r="G291" s="102" t="n">
        <v>0</v>
      </c>
      <c r="H291" s="94" t="n">
        <v>0</v>
      </c>
    </row>
    <row r="292" ht="15" customHeight="1" s="82">
      <c r="A292" s="94" t="inlineStr">
        <is>
          <t>102 - Orthopedic institutes</t>
        </is>
      </c>
      <c r="B292" s="94" t="inlineStr">
        <is>
          <t>150094 אייזלר החברה לניהול בע"מ</t>
        </is>
      </c>
      <c r="C292" s="94" t="inlineStr">
        <is>
          <t>INV57519</t>
        </is>
      </c>
      <c r="D292" s="94" t="inlineStr">
        <is>
          <t>INV</t>
        </is>
      </c>
      <c r="E292" s="102" t="n">
        <v>825.01</v>
      </c>
      <c r="F292" s="94" t="n">
        <v>12</v>
      </c>
      <c r="G292" s="102" t="n">
        <v>0</v>
      </c>
      <c r="H292" s="94" t="n">
        <v>0</v>
      </c>
    </row>
    <row r="293" ht="15" customHeight="1" s="82">
      <c r="A293" s="94" t="inlineStr">
        <is>
          <t>102 - Orthopedic institutes</t>
        </is>
      </c>
      <c r="B293" s="94" t="inlineStr">
        <is>
          <t>150094 אייזלר החברה לניהול בע"מ</t>
        </is>
      </c>
      <c r="C293" s="94" t="inlineStr">
        <is>
          <t>INV64632</t>
        </is>
      </c>
      <c r="D293" s="94" t="inlineStr">
        <is>
          <t>INV</t>
        </is>
      </c>
      <c r="E293" s="102" t="n">
        <v>810.3200000000001</v>
      </c>
      <c r="F293" s="94" t="n">
        <v>23</v>
      </c>
      <c r="G293" s="102" t="n">
        <v>0</v>
      </c>
      <c r="H293" s="94" t="n">
        <v>0</v>
      </c>
    </row>
    <row r="294" ht="15" customHeight="1" s="82">
      <c r="A294" s="94" t="inlineStr">
        <is>
          <t>102 - Orthopedic institutes</t>
        </is>
      </c>
      <c r="B294" s="94" t="inlineStr">
        <is>
          <t>150094 אייזלר החברה לניהול בע"מ</t>
        </is>
      </c>
      <c r="C294" s="94" t="inlineStr">
        <is>
          <t>INV56258</t>
        </is>
      </c>
      <c r="D294" s="94" t="inlineStr">
        <is>
          <t>INV</t>
        </is>
      </c>
      <c r="E294" s="102" t="n">
        <v>795.16</v>
      </c>
      <c r="F294" s="94" t="n">
        <v>11</v>
      </c>
      <c r="G294" s="102" t="n">
        <v>0</v>
      </c>
      <c r="H294" s="94" t="n">
        <v>0</v>
      </c>
    </row>
    <row r="295" ht="15" customHeight="1" s="82">
      <c r="A295" s="94" t="inlineStr">
        <is>
          <t>102 - Orthopedic institutes</t>
        </is>
      </c>
      <c r="B295" s="94" t="inlineStr">
        <is>
          <t>150094 אייזלר החברה לניהול בע"מ</t>
        </is>
      </c>
      <c r="C295" s="94" t="inlineStr">
        <is>
          <t>INV65982</t>
        </is>
      </c>
      <c r="D295" s="94" t="inlineStr">
        <is>
          <t>INV</t>
        </is>
      </c>
      <c r="E295" s="102" t="n">
        <v>752.79</v>
      </c>
      <c r="F295" s="94" t="n">
        <v>12</v>
      </c>
      <c r="G295" s="102" t="n">
        <v>0</v>
      </c>
      <c r="H295" s="94" t="n">
        <v>0</v>
      </c>
    </row>
    <row r="296" ht="15" customHeight="1" s="82">
      <c r="A296" s="94" t="inlineStr">
        <is>
          <t>102 - Orthopedic institutes</t>
        </is>
      </c>
      <c r="B296" s="94" t="inlineStr">
        <is>
          <t>150094 אייזלר החברה לניהול בע"מ</t>
        </is>
      </c>
      <c r="C296" s="94" t="inlineStr">
        <is>
          <t>INV51781</t>
        </is>
      </c>
      <c r="D296" s="94" t="inlineStr">
        <is>
          <t>INV</t>
        </is>
      </c>
      <c r="E296" s="102" t="n">
        <v>727.01</v>
      </c>
      <c r="F296" s="94" t="n">
        <v>7</v>
      </c>
      <c r="G296" s="102" t="n">
        <v>0</v>
      </c>
      <c r="H296" s="94" t="n">
        <v>0</v>
      </c>
    </row>
    <row r="297" ht="15" customHeight="1" s="82">
      <c r="A297" s="94" t="inlineStr">
        <is>
          <t>102 - Orthopedic institutes</t>
        </is>
      </c>
      <c r="B297" s="94" t="inlineStr">
        <is>
          <t>150094 אייזלר החברה לניהול בע"מ</t>
        </is>
      </c>
      <c r="C297" s="94" t="inlineStr">
        <is>
          <t>INV52563</t>
        </is>
      </c>
      <c r="D297" s="94" t="inlineStr">
        <is>
          <t>INV</t>
        </is>
      </c>
      <c r="E297" s="102" t="n">
        <v>725.63</v>
      </c>
      <c r="F297" s="94" t="n">
        <v>7</v>
      </c>
      <c r="G297" s="102" t="n">
        <v>0</v>
      </c>
      <c r="H297" s="94" t="n">
        <v>0</v>
      </c>
    </row>
    <row r="298" ht="15" customHeight="1" s="82">
      <c r="A298" s="94" t="inlineStr">
        <is>
          <t>102 - Orthopedic institutes</t>
        </is>
      </c>
      <c r="B298" s="94" t="inlineStr">
        <is>
          <t>150094 אייזלר החברה לניהול בע"מ</t>
        </is>
      </c>
      <c r="C298" s="94" t="inlineStr">
        <is>
          <t>INV46841</t>
        </is>
      </c>
      <c r="D298" s="94" t="inlineStr">
        <is>
          <t>INV</t>
        </is>
      </c>
      <c r="E298" s="102" t="n">
        <v>671.33</v>
      </c>
      <c r="F298" s="94" t="n">
        <v>8</v>
      </c>
      <c r="G298" s="102" t="n">
        <v>0</v>
      </c>
      <c r="H298" s="94" t="n">
        <v>0</v>
      </c>
    </row>
    <row r="299" ht="15" customHeight="1" s="82">
      <c r="A299" s="94" t="inlineStr">
        <is>
          <t>102 - Orthopedic institutes</t>
        </is>
      </c>
      <c r="B299" s="94" t="inlineStr">
        <is>
          <t>150094 אייזלר החברה לניהול בע"מ</t>
        </is>
      </c>
      <c r="C299" s="94" t="inlineStr">
        <is>
          <t>INV66624</t>
        </is>
      </c>
      <c r="D299" s="94" t="inlineStr">
        <is>
          <t>INV</t>
        </is>
      </c>
      <c r="E299" s="102" t="n">
        <v>640.08</v>
      </c>
      <c r="F299" s="94" t="n">
        <v>4</v>
      </c>
      <c r="G299" s="102" t="n">
        <v>0</v>
      </c>
      <c r="H299" s="94" t="n">
        <v>0</v>
      </c>
    </row>
    <row r="300" ht="15" customHeight="1" s="82">
      <c r="A300" s="94" t="inlineStr">
        <is>
          <t>102 - Orthopedic institutes</t>
        </is>
      </c>
      <c r="B300" s="94" t="inlineStr">
        <is>
          <t>150094 אייזלר החברה לניהול בע"מ</t>
        </is>
      </c>
      <c r="C300" s="94" t="inlineStr">
        <is>
          <t>INV48390</t>
        </is>
      </c>
      <c r="D300" s="94" t="inlineStr">
        <is>
          <t>INV</t>
        </is>
      </c>
      <c r="E300" s="102" t="n">
        <v>629.92</v>
      </c>
      <c r="F300" s="94" t="n">
        <v>22</v>
      </c>
      <c r="G300" s="102" t="n">
        <v>0</v>
      </c>
      <c r="H300" s="94" t="n">
        <v>0</v>
      </c>
    </row>
    <row r="301" ht="15" customHeight="1" s="82">
      <c r="A301" s="94" t="inlineStr">
        <is>
          <t>102 - Orthopedic institutes</t>
        </is>
      </c>
      <c r="B301" s="94" t="inlineStr">
        <is>
          <t>150094 אייזלר החברה לניהול בע"מ</t>
        </is>
      </c>
      <c r="C301" s="94" t="inlineStr">
        <is>
          <t>INV66414</t>
        </is>
      </c>
      <c r="D301" s="94" t="inlineStr">
        <is>
          <t>INV</t>
        </is>
      </c>
      <c r="E301" s="102" t="n">
        <v>620.34</v>
      </c>
      <c r="F301" s="94" t="n">
        <v>24</v>
      </c>
      <c r="G301" s="102" t="n">
        <v>0</v>
      </c>
      <c r="H301" s="94" t="n">
        <v>0</v>
      </c>
    </row>
    <row r="302" ht="15" customHeight="1" s="82">
      <c r="A302" s="94" t="inlineStr">
        <is>
          <t>102 - Orthopedic institutes</t>
        </is>
      </c>
      <c r="B302" s="94" t="inlineStr">
        <is>
          <t>150094 אייזלר החברה לניהול בע"מ</t>
        </is>
      </c>
      <c r="C302" s="94" t="inlineStr">
        <is>
          <t>INV50497</t>
        </is>
      </c>
      <c r="D302" s="94" t="inlineStr">
        <is>
          <t>INV</t>
        </is>
      </c>
      <c r="E302" s="102" t="n">
        <v>619.72</v>
      </c>
      <c r="F302" s="94" t="n">
        <v>14</v>
      </c>
      <c r="G302" s="102" t="n">
        <v>0</v>
      </c>
      <c r="H302" s="94" t="n">
        <v>0</v>
      </c>
    </row>
    <row r="303" ht="15" customHeight="1" s="82">
      <c r="A303" s="94" t="inlineStr">
        <is>
          <t>102 - Orthopedic institutes</t>
        </is>
      </c>
      <c r="B303" s="94" t="inlineStr">
        <is>
          <t>150094 אייזלר החברה לניהול בע"מ</t>
        </is>
      </c>
      <c r="C303" s="94" t="inlineStr">
        <is>
          <t>INV44991</t>
        </is>
      </c>
      <c r="D303" s="94" t="inlineStr">
        <is>
          <t>INV</t>
        </is>
      </c>
      <c r="E303" s="102" t="n">
        <v>597.0599999999999</v>
      </c>
      <c r="F303" s="94" t="n">
        <v>6</v>
      </c>
      <c r="G303" s="102" t="n">
        <v>0</v>
      </c>
      <c r="H303" s="94" t="n">
        <v>0</v>
      </c>
    </row>
    <row r="304" ht="15" customHeight="1" s="82">
      <c r="A304" s="94" t="inlineStr">
        <is>
          <t>102 - Orthopedic institutes</t>
        </is>
      </c>
      <c r="B304" s="94" t="inlineStr">
        <is>
          <t>150094 אייזלר החברה לניהול בע"מ</t>
        </is>
      </c>
      <c r="C304" s="94" t="inlineStr">
        <is>
          <t>INV66236</t>
        </is>
      </c>
      <c r="D304" s="94" t="inlineStr">
        <is>
          <t>INV</t>
        </is>
      </c>
      <c r="E304" s="102" t="n">
        <v>560</v>
      </c>
      <c r="F304" s="94" t="n">
        <v>4</v>
      </c>
      <c r="G304" s="102" t="n">
        <v>0</v>
      </c>
      <c r="H304" s="94" t="n">
        <v>0</v>
      </c>
    </row>
    <row r="305" ht="15" customHeight="1" s="82">
      <c r="A305" s="94" t="inlineStr">
        <is>
          <t>102 - Orthopedic institutes</t>
        </is>
      </c>
      <c r="B305" s="94" t="inlineStr">
        <is>
          <t>150094 אייזלר החברה לניהול בע"מ</t>
        </is>
      </c>
      <c r="C305" s="94" t="inlineStr">
        <is>
          <t>INV59574</t>
        </is>
      </c>
      <c r="D305" s="94" t="inlineStr">
        <is>
          <t>INV</t>
        </is>
      </c>
      <c r="E305" s="102" t="n">
        <v>549.01</v>
      </c>
      <c r="F305" s="94" t="n">
        <v>21</v>
      </c>
      <c r="G305" s="102" t="n">
        <v>0</v>
      </c>
      <c r="H305" s="94" t="n">
        <v>0</v>
      </c>
    </row>
    <row r="306" ht="15" customHeight="1" s="82">
      <c r="A306" s="94" t="inlineStr">
        <is>
          <t>102 - Orthopedic institutes</t>
        </is>
      </c>
      <c r="B306" s="94" t="inlineStr">
        <is>
          <t>150094 אייזלר החברה לניהול בע"מ</t>
        </is>
      </c>
      <c r="C306" s="94" t="inlineStr">
        <is>
          <t>INV66330</t>
        </is>
      </c>
      <c r="D306" s="94" t="inlineStr">
        <is>
          <t>INV</t>
        </is>
      </c>
      <c r="E306" s="102" t="n">
        <v>541.8</v>
      </c>
      <c r="F306" s="94" t="n">
        <v>6</v>
      </c>
      <c r="G306" s="102" t="n">
        <v>0</v>
      </c>
      <c r="H306" s="94" t="n">
        <v>0</v>
      </c>
    </row>
    <row r="307" ht="15" customHeight="1" s="82">
      <c r="A307" s="94" t="inlineStr">
        <is>
          <t>102 - Orthopedic institutes</t>
        </is>
      </c>
      <c r="B307" s="94" t="inlineStr">
        <is>
          <t>150094 אייזלר החברה לניהול בע"מ</t>
        </is>
      </c>
      <c r="C307" s="94" t="inlineStr">
        <is>
          <t>INV53345</t>
        </is>
      </c>
      <c r="D307" s="94" t="inlineStr">
        <is>
          <t>INV</t>
        </is>
      </c>
      <c r="E307" s="102" t="n">
        <v>539.98</v>
      </c>
      <c r="F307" s="94" t="n">
        <v>3</v>
      </c>
      <c r="G307" s="102" t="n">
        <v>0</v>
      </c>
      <c r="H307" s="94" t="n">
        <v>0</v>
      </c>
    </row>
    <row r="308" ht="15" customHeight="1" s="82">
      <c r="A308" s="94" t="inlineStr">
        <is>
          <t>102 - Orthopedic institutes</t>
        </is>
      </c>
      <c r="B308" s="94" t="inlineStr">
        <is>
          <t>150094 אייזלר החברה לניהול בע"מ</t>
        </is>
      </c>
      <c r="C308" s="94" t="inlineStr">
        <is>
          <t>INV54121</t>
        </is>
      </c>
      <c r="D308" s="94" t="inlineStr">
        <is>
          <t>INV</t>
        </is>
      </c>
      <c r="E308" s="102" t="n">
        <v>531.84</v>
      </c>
      <c r="F308" s="94" t="n">
        <v>14</v>
      </c>
      <c r="G308" s="102" t="n">
        <v>0</v>
      </c>
      <c r="H308" s="94" t="n">
        <v>0</v>
      </c>
    </row>
    <row r="309" ht="15" customHeight="1" s="82">
      <c r="A309" s="94" t="inlineStr">
        <is>
          <t>102 - Orthopedic institutes</t>
        </is>
      </c>
      <c r="B309" s="94" t="inlineStr">
        <is>
          <t>150094 אייזלר החברה לניהול בע"מ</t>
        </is>
      </c>
      <c r="C309" s="94" t="inlineStr">
        <is>
          <t>INV66684</t>
        </is>
      </c>
      <c r="D309" s="94" t="inlineStr">
        <is>
          <t>INV</t>
        </is>
      </c>
      <c r="E309" s="102" t="n">
        <v>516.04</v>
      </c>
      <c r="F309" s="94" t="n">
        <v>5</v>
      </c>
      <c r="G309" s="102" t="n">
        <v>0</v>
      </c>
      <c r="H309" s="94" t="n">
        <v>0</v>
      </c>
    </row>
    <row r="310" ht="15" customHeight="1" s="82">
      <c r="A310" s="94" t="inlineStr">
        <is>
          <t>102 - Orthopedic institutes</t>
        </is>
      </c>
      <c r="B310" s="94" t="inlineStr">
        <is>
          <t>150094 אייזלר החברה לניהול בע"מ</t>
        </is>
      </c>
      <c r="C310" s="94" t="inlineStr">
        <is>
          <t>INV66558</t>
        </is>
      </c>
      <c r="D310" s="94" t="inlineStr">
        <is>
          <t>INV</t>
        </is>
      </c>
      <c r="E310" s="102" t="n">
        <v>459.47</v>
      </c>
      <c r="F310" s="94" t="n">
        <v>6</v>
      </c>
      <c r="G310" s="102" t="n">
        <v>0</v>
      </c>
      <c r="H310" s="94" t="n">
        <v>0</v>
      </c>
    </row>
    <row r="311" ht="15" customHeight="1" s="82">
      <c r="A311" s="94" t="inlineStr">
        <is>
          <t>102 - Orthopedic institutes</t>
        </is>
      </c>
      <c r="B311" s="94" t="inlineStr">
        <is>
          <t>150094 אייזלר החברה לניהול בע"מ</t>
        </is>
      </c>
      <c r="C311" s="94" t="inlineStr">
        <is>
          <t>INV57933</t>
        </is>
      </c>
      <c r="D311" s="94" t="inlineStr">
        <is>
          <t>INV</t>
        </is>
      </c>
      <c r="E311" s="102" t="n">
        <v>454.79</v>
      </c>
      <c r="F311" s="94" t="n">
        <v>7</v>
      </c>
      <c r="G311" s="102" t="n">
        <v>0</v>
      </c>
      <c r="H311" s="94" t="n">
        <v>0</v>
      </c>
    </row>
    <row r="312" ht="15" customHeight="1" s="82">
      <c r="A312" s="94" t="inlineStr">
        <is>
          <t>102 - Orthopedic institutes</t>
        </is>
      </c>
      <c r="B312" s="94" t="inlineStr">
        <is>
          <t>150094 אייזלר החברה לניהול בע"מ</t>
        </is>
      </c>
      <c r="C312" s="94" t="inlineStr">
        <is>
          <t>INV60766</t>
        </is>
      </c>
      <c r="D312" s="94" t="inlineStr">
        <is>
          <t>INV</t>
        </is>
      </c>
      <c r="E312" s="102" t="n">
        <v>449.15</v>
      </c>
      <c r="F312" s="94" t="n">
        <v>11</v>
      </c>
      <c r="G312" s="102" t="n">
        <v>0</v>
      </c>
      <c r="H312" s="94" t="n">
        <v>0</v>
      </c>
    </row>
    <row r="313" ht="15" customHeight="1" s="82">
      <c r="A313" s="94" t="inlineStr">
        <is>
          <t>102 - Orthopedic institutes</t>
        </is>
      </c>
      <c r="B313" s="94" t="inlineStr">
        <is>
          <t>150094 אייזלר החברה לניהול בע"מ</t>
        </is>
      </c>
      <c r="C313" s="94" t="inlineStr">
        <is>
          <t>INV42778</t>
        </is>
      </c>
      <c r="D313" s="94" t="inlineStr">
        <is>
          <t>INV</t>
        </is>
      </c>
      <c r="E313" s="102" t="n">
        <v>444.3</v>
      </c>
      <c r="F313" s="94" t="n">
        <v>9</v>
      </c>
      <c r="G313" s="102" t="n">
        <v>0</v>
      </c>
      <c r="H313" s="94" t="n">
        <v>0</v>
      </c>
    </row>
    <row r="314" ht="15" customHeight="1" s="82">
      <c r="A314" s="94" t="inlineStr">
        <is>
          <t>102 - Orthopedic institutes</t>
        </is>
      </c>
      <c r="B314" s="94" t="inlineStr">
        <is>
          <t>150094 אייזלר החברה לניהול בע"מ</t>
        </is>
      </c>
      <c r="C314" s="94" t="inlineStr">
        <is>
          <t>INV67120</t>
        </is>
      </c>
      <c r="D314" s="94" t="inlineStr">
        <is>
          <t>INV</t>
        </is>
      </c>
      <c r="E314" s="102" t="n">
        <v>438.76</v>
      </c>
      <c r="F314" s="94" t="n">
        <v>5</v>
      </c>
      <c r="G314" s="102" t="n">
        <v>0</v>
      </c>
      <c r="H314" s="94" t="n">
        <v>0</v>
      </c>
    </row>
    <row r="315" ht="15" customHeight="1" s="82">
      <c r="A315" s="94" t="inlineStr">
        <is>
          <t>102 - Orthopedic institutes</t>
        </is>
      </c>
      <c r="B315" s="94" t="inlineStr">
        <is>
          <t>150094 אייזלר החברה לניהול בע"מ</t>
        </is>
      </c>
      <c r="C315" s="94" t="inlineStr">
        <is>
          <t>INV42293</t>
        </is>
      </c>
      <c r="D315" s="94" t="inlineStr">
        <is>
          <t>INV</t>
        </is>
      </c>
      <c r="E315" s="102" t="n">
        <v>432.45</v>
      </c>
      <c r="F315" s="94" t="n">
        <v>5</v>
      </c>
      <c r="G315" s="102" t="n">
        <v>0</v>
      </c>
      <c r="H315" s="94" t="n">
        <v>0</v>
      </c>
    </row>
    <row r="316" ht="15" customHeight="1" s="82">
      <c r="A316" s="94" t="inlineStr">
        <is>
          <t>102 - Orthopedic institutes</t>
        </is>
      </c>
      <c r="B316" s="94" t="inlineStr">
        <is>
          <t>150094 אייזלר החברה לניהול בע"מ</t>
        </is>
      </c>
      <c r="C316" s="94" t="inlineStr">
        <is>
          <t>INV65896</t>
        </is>
      </c>
      <c r="D316" s="94" t="inlineStr">
        <is>
          <t>INV</t>
        </is>
      </c>
      <c r="E316" s="102" t="n">
        <v>427.71</v>
      </c>
      <c r="F316" s="94" t="n">
        <v>3</v>
      </c>
      <c r="G316" s="102" t="n">
        <v>0</v>
      </c>
      <c r="H316" s="94" t="n">
        <v>0</v>
      </c>
    </row>
    <row r="317" ht="15" customHeight="1" s="82">
      <c r="A317" s="94" t="inlineStr">
        <is>
          <t>102 - Orthopedic institutes</t>
        </is>
      </c>
      <c r="B317" s="94" t="inlineStr">
        <is>
          <t>150094 אייזלר החברה לניהול בע"מ</t>
        </is>
      </c>
      <c r="C317" s="94" t="inlineStr">
        <is>
          <t>INV67357</t>
        </is>
      </c>
      <c r="D317" s="94" t="inlineStr">
        <is>
          <t>INV</t>
        </is>
      </c>
      <c r="E317" s="102" t="n">
        <v>0</v>
      </c>
      <c r="F317" s="94" t="n">
        <v>0</v>
      </c>
      <c r="G317" s="102" t="n">
        <v>410.06</v>
      </c>
      <c r="H317" s="94" t="n">
        <v>4</v>
      </c>
    </row>
    <row r="318" ht="15" customHeight="1" s="82">
      <c r="A318" s="94" t="inlineStr">
        <is>
          <t>102 - Orthopedic institutes</t>
        </is>
      </c>
      <c r="B318" s="94" t="inlineStr">
        <is>
          <t>150094 אייזלר החברה לניהול בע"מ</t>
        </is>
      </c>
      <c r="C318" s="94" t="inlineStr">
        <is>
          <t>INV65748</t>
        </is>
      </c>
      <c r="D318" s="94" t="inlineStr">
        <is>
          <t>INV</t>
        </is>
      </c>
      <c r="E318" s="102" t="n">
        <v>357.01</v>
      </c>
      <c r="F318" s="94" t="n">
        <v>3</v>
      </c>
      <c r="G318" s="102" t="n">
        <v>0</v>
      </c>
      <c r="H318" s="94" t="n">
        <v>0</v>
      </c>
    </row>
    <row r="319" ht="15" customHeight="1" s="82">
      <c r="A319" s="94" t="inlineStr">
        <is>
          <t>102 - Orthopedic institutes</t>
        </is>
      </c>
      <c r="B319" s="94" t="inlineStr">
        <is>
          <t>150094 אייזלר החברה לניהול בע"מ</t>
        </is>
      </c>
      <c r="C319" s="94" t="inlineStr">
        <is>
          <t>INV65889</t>
        </is>
      </c>
      <c r="D319" s="94" t="inlineStr">
        <is>
          <t>INV</t>
        </is>
      </c>
      <c r="E319" s="102" t="n">
        <v>203.3</v>
      </c>
      <c r="F319" s="94" t="n">
        <v>3</v>
      </c>
      <c r="G319" s="102" t="n">
        <v>0</v>
      </c>
      <c r="H319" s="94" t="n">
        <v>0</v>
      </c>
    </row>
    <row r="320" ht="15" customHeight="1" s="82">
      <c r="A320" s="94" t="inlineStr">
        <is>
          <t>102 - Orthopedic institutes</t>
        </is>
      </c>
      <c r="B320" s="94" t="inlineStr">
        <is>
          <t>150094 אייזלר החברה לניהול בע"מ</t>
        </is>
      </c>
      <c r="C320" s="94" t="inlineStr">
        <is>
          <t>INV51785</t>
        </is>
      </c>
      <c r="D320" s="94" t="inlineStr">
        <is>
          <t>INV</t>
        </is>
      </c>
      <c r="E320" s="102" t="n">
        <v>170</v>
      </c>
      <c r="F320" s="94" t="n">
        <v>2</v>
      </c>
      <c r="G320" s="102" t="n">
        <v>0</v>
      </c>
      <c r="H320" s="94" t="n">
        <v>0</v>
      </c>
    </row>
    <row r="321" ht="15" customHeight="1" s="82">
      <c r="A321" s="94" t="inlineStr">
        <is>
          <t>102 - Orthopedic institutes</t>
        </is>
      </c>
      <c r="B321" s="94" t="inlineStr">
        <is>
          <t>150107 א.א אורטופדיה ספורט-ראשלצ</t>
        </is>
      </c>
      <c r="C321" s="94" t="inlineStr">
        <is>
          <t>INV68584</t>
        </is>
      </c>
      <c r="D321" s="94" t="inlineStr">
        <is>
          <t>INV</t>
        </is>
      </c>
      <c r="E321" s="102" t="n">
        <v>0</v>
      </c>
      <c r="F321" s="94" t="n">
        <v>0</v>
      </c>
      <c r="G321" s="102" t="n">
        <v>1355.01</v>
      </c>
      <c r="H321" s="94" t="n">
        <v>7</v>
      </c>
    </row>
    <row r="322" ht="15" customHeight="1" s="82">
      <c r="A322" s="94" t="inlineStr">
        <is>
          <t>102 - Orthopedic institutes</t>
        </is>
      </c>
      <c r="B322" s="94" t="inlineStr">
        <is>
          <t>150107 א.א אורטופדיה ספורט-ראשלצ</t>
        </is>
      </c>
      <c r="C322" s="94" t="inlineStr">
        <is>
          <t>INV47472</t>
        </is>
      </c>
      <c r="D322" s="94" t="inlineStr">
        <is>
          <t>INV</t>
        </is>
      </c>
      <c r="E322" s="102" t="n">
        <v>960</v>
      </c>
      <c r="F322" s="94" t="n">
        <v>50</v>
      </c>
      <c r="G322" s="102" t="n">
        <v>0</v>
      </c>
      <c r="H322" s="94" t="n">
        <v>0</v>
      </c>
    </row>
    <row r="323" ht="15" customHeight="1" s="82">
      <c r="A323" s="94" t="inlineStr">
        <is>
          <t>102 - Orthopedic institutes</t>
        </is>
      </c>
      <c r="B323" s="94" t="inlineStr">
        <is>
          <t>150107 א.א אורטופדיה ספורט-ראשלצ</t>
        </is>
      </c>
      <c r="C323" s="94" t="inlineStr">
        <is>
          <t>INV68585</t>
        </is>
      </c>
      <c r="D323" s="94" t="inlineStr">
        <is>
          <t>INV</t>
        </is>
      </c>
      <c r="E323" s="102" t="n">
        <v>0</v>
      </c>
      <c r="F323" s="94" t="n">
        <v>0</v>
      </c>
      <c r="G323" s="102" t="n">
        <v>960</v>
      </c>
      <c r="H323" s="94" t="n">
        <v>50</v>
      </c>
    </row>
    <row r="324" ht="15" customHeight="1" s="82">
      <c r="A324" s="94" t="inlineStr">
        <is>
          <t>102 - Orthopedic institutes</t>
        </is>
      </c>
      <c r="B324" s="94" t="inlineStr">
        <is>
          <t>150107 א.א אורטופדיה ספורט-ראשלצ</t>
        </is>
      </c>
      <c r="C324" s="94" t="inlineStr">
        <is>
          <t>INV46051</t>
        </is>
      </c>
      <c r="D324" s="94" t="inlineStr">
        <is>
          <t>INV</t>
        </is>
      </c>
      <c r="E324" s="102" t="n">
        <v>804</v>
      </c>
      <c r="F324" s="94" t="n">
        <v>5</v>
      </c>
      <c r="G324" s="102" t="n">
        <v>0</v>
      </c>
      <c r="H324" s="94" t="n">
        <v>0</v>
      </c>
    </row>
    <row r="325" ht="15" customHeight="1" s="82">
      <c r="A325" s="94" t="inlineStr">
        <is>
          <t>102 - Orthopedic institutes</t>
        </is>
      </c>
      <c r="B325" s="94" t="inlineStr">
        <is>
          <t>150107 א.א אורטופדיה ספורט-ראשלצ</t>
        </is>
      </c>
      <c r="C325" s="94" t="inlineStr">
        <is>
          <t>INV67374</t>
        </is>
      </c>
      <c r="D325" s="94" t="inlineStr">
        <is>
          <t>INV</t>
        </is>
      </c>
      <c r="E325" s="102" t="n">
        <v>0</v>
      </c>
      <c r="F325" s="94" t="n">
        <v>0</v>
      </c>
      <c r="G325" s="102" t="n">
        <v>700.01</v>
      </c>
      <c r="H325" s="94" t="n">
        <v>5</v>
      </c>
    </row>
    <row r="326" ht="15" customHeight="1" s="82">
      <c r="A326" s="94" t="inlineStr">
        <is>
          <t>102 - Orthopedic institutes</t>
        </is>
      </c>
      <c r="B326" s="94" t="inlineStr">
        <is>
          <t>150107 א.א אורטופדיה ספורט-ראשלצ</t>
        </is>
      </c>
      <c r="C326" s="94" t="inlineStr">
        <is>
          <t>INV67900</t>
        </is>
      </c>
      <c r="D326" s="94" t="inlineStr">
        <is>
          <t>INV</t>
        </is>
      </c>
      <c r="E326" s="102" t="n">
        <v>0</v>
      </c>
      <c r="F326" s="94" t="n">
        <v>0</v>
      </c>
      <c r="G326" s="102" t="n">
        <v>700.01</v>
      </c>
      <c r="H326" s="94" t="n">
        <v>5</v>
      </c>
    </row>
    <row r="327" ht="15" customHeight="1" s="82">
      <c r="A327" s="94" t="inlineStr">
        <is>
          <t>102 - Orthopedic institutes</t>
        </is>
      </c>
      <c r="B327" s="94" t="inlineStr">
        <is>
          <t>150107 א.א אורטופדיה ספורט-ראשלצ</t>
        </is>
      </c>
      <c r="C327" s="94" t="inlineStr">
        <is>
          <t>INV61660</t>
        </is>
      </c>
      <c r="D327" s="94" t="inlineStr">
        <is>
          <t>INV</t>
        </is>
      </c>
      <c r="E327" s="102" t="n">
        <v>700</v>
      </c>
      <c r="F327" s="94" t="n">
        <v>2</v>
      </c>
      <c r="G327" s="102" t="n">
        <v>0</v>
      </c>
      <c r="H327" s="94" t="n">
        <v>0</v>
      </c>
    </row>
    <row r="328" ht="15" customHeight="1" s="82">
      <c r="A328" s="94" t="inlineStr">
        <is>
          <t>102 - Orthopedic institutes</t>
        </is>
      </c>
      <c r="B328" s="94" t="inlineStr">
        <is>
          <t>150107 א.א אורטופדיה ספורט-ראשלצ</t>
        </is>
      </c>
      <c r="C328" s="94" t="inlineStr">
        <is>
          <t>INV59396</t>
        </is>
      </c>
      <c r="D328" s="94" t="inlineStr">
        <is>
          <t>INV</t>
        </is>
      </c>
      <c r="E328" s="102" t="n">
        <v>610</v>
      </c>
      <c r="F328" s="94" t="n">
        <v>2</v>
      </c>
      <c r="G328" s="102" t="n">
        <v>0</v>
      </c>
      <c r="H328" s="94" t="n">
        <v>0</v>
      </c>
    </row>
    <row r="329" ht="15" customHeight="1" s="82">
      <c r="A329" s="94" t="inlineStr">
        <is>
          <t>102 - Orthopedic institutes</t>
        </is>
      </c>
      <c r="B329" s="94" t="inlineStr">
        <is>
          <t>150107 א.א אורטופדיה ספורט-ראשלצ</t>
        </is>
      </c>
      <c r="C329" s="94" t="inlineStr">
        <is>
          <t>INV57931</t>
        </is>
      </c>
      <c r="D329" s="94" t="inlineStr">
        <is>
          <t>INV</t>
        </is>
      </c>
      <c r="E329" s="102" t="n">
        <v>610</v>
      </c>
      <c r="F329" s="94" t="n">
        <v>2</v>
      </c>
      <c r="G329" s="102" t="n">
        <v>0</v>
      </c>
      <c r="H329" s="94" t="n">
        <v>0</v>
      </c>
    </row>
    <row r="330" ht="15" customHeight="1" s="82">
      <c r="A330" s="94" t="inlineStr">
        <is>
          <t>102 - Orthopedic institutes</t>
        </is>
      </c>
      <c r="B330" s="94" t="inlineStr">
        <is>
          <t>150107 א.א אורטופדיה ספורט-ראשלצ</t>
        </is>
      </c>
      <c r="C330" s="94" t="inlineStr">
        <is>
          <t>INV64625</t>
        </is>
      </c>
      <c r="D330" s="94" t="inlineStr">
        <is>
          <t>INV</t>
        </is>
      </c>
      <c r="E330" s="102" t="n">
        <v>520</v>
      </c>
      <c r="F330" s="94" t="n">
        <v>2</v>
      </c>
      <c r="G330" s="102" t="n">
        <v>0</v>
      </c>
      <c r="H330" s="94" t="n">
        <v>0</v>
      </c>
    </row>
    <row r="331" ht="15" customHeight="1" s="82">
      <c r="A331" s="94" t="inlineStr">
        <is>
          <t>102 - Orthopedic institutes</t>
        </is>
      </c>
      <c r="B331" s="94" t="inlineStr">
        <is>
          <t>150107 א.א אורטופדיה ספורט-ראשלצ</t>
        </is>
      </c>
      <c r="C331" s="94" t="inlineStr">
        <is>
          <t>INV67485</t>
        </is>
      </c>
      <c r="D331" s="94" t="inlineStr">
        <is>
          <t>INV</t>
        </is>
      </c>
      <c r="E331" s="102" t="n">
        <v>0</v>
      </c>
      <c r="F331" s="94" t="n">
        <v>0</v>
      </c>
      <c r="G331" s="102" t="n">
        <v>520</v>
      </c>
      <c r="H331" s="94" t="n">
        <v>2</v>
      </c>
    </row>
    <row r="332" ht="15" customHeight="1" s="82">
      <c r="A332" s="94" t="inlineStr">
        <is>
          <t>102 - Orthopedic institutes</t>
        </is>
      </c>
      <c r="B332" s="94" t="inlineStr">
        <is>
          <t>150107 א.א אורטופדיה ספורט-ראשלצ</t>
        </is>
      </c>
      <c r="C332" s="94" t="inlineStr">
        <is>
          <t>INV49705</t>
        </is>
      </c>
      <c r="D332" s="94" t="inlineStr">
        <is>
          <t>INV</t>
        </is>
      </c>
      <c r="E332" s="102" t="n">
        <v>420</v>
      </c>
      <c r="F332" s="94" t="n">
        <v>4</v>
      </c>
      <c r="G332" s="102" t="n">
        <v>0</v>
      </c>
      <c r="H332" s="94" t="n">
        <v>0</v>
      </c>
    </row>
    <row r="333" ht="15" customHeight="1" s="82">
      <c r="A333" s="94" t="inlineStr">
        <is>
          <t>102 - Orthopedic institutes</t>
        </is>
      </c>
      <c r="B333" s="94" t="inlineStr">
        <is>
          <t>150107 א.א אורטופדיה ספורט-ראשלצ</t>
        </is>
      </c>
      <c r="C333" s="94" t="inlineStr">
        <is>
          <t>INV67170</t>
        </is>
      </c>
      <c r="D333" s="94" t="inlineStr">
        <is>
          <t>INV</t>
        </is>
      </c>
      <c r="E333" s="102" t="n">
        <v>0</v>
      </c>
      <c r="F333" s="94" t="n">
        <v>0</v>
      </c>
      <c r="G333" s="102" t="n">
        <v>365</v>
      </c>
      <c r="H333" s="94" t="n">
        <v>2</v>
      </c>
    </row>
    <row r="334" ht="15" customHeight="1" s="82">
      <c r="A334" s="94" t="inlineStr">
        <is>
          <t>102 - Orthopedic institutes</t>
        </is>
      </c>
      <c r="B334" s="94" t="inlineStr">
        <is>
          <t>150107 א.א אורטופדיה ספורט-ראשלצ</t>
        </is>
      </c>
      <c r="C334" s="94" t="inlineStr">
        <is>
          <t>INV68674</t>
        </is>
      </c>
      <c r="D334" s="94" t="inlineStr">
        <is>
          <t>INV</t>
        </is>
      </c>
      <c r="E334" s="102" t="n">
        <v>0</v>
      </c>
      <c r="F334" s="94" t="n">
        <v>0</v>
      </c>
      <c r="G334" s="102" t="n">
        <v>350</v>
      </c>
      <c r="H334" s="94" t="n">
        <v>1</v>
      </c>
    </row>
    <row r="335" ht="15" customHeight="1" s="82">
      <c r="A335" s="94" t="inlineStr">
        <is>
          <t>102 - Orthopedic institutes</t>
        </is>
      </c>
      <c r="B335" s="94" t="inlineStr">
        <is>
          <t>150107 א.א אורטופדיה ספורט-ראשלצ</t>
        </is>
      </c>
      <c r="C335" s="94" t="inlineStr">
        <is>
          <t>INV62009</t>
        </is>
      </c>
      <c r="D335" s="94" t="inlineStr">
        <is>
          <t>INV</t>
        </is>
      </c>
      <c r="E335" s="102" t="n">
        <v>350</v>
      </c>
      <c r="F335" s="94" t="n">
        <v>1</v>
      </c>
      <c r="G335" s="102" t="n">
        <v>0</v>
      </c>
      <c r="H335" s="94" t="n">
        <v>0</v>
      </c>
    </row>
    <row r="336" ht="15" customHeight="1" s="82">
      <c r="A336" s="94" t="inlineStr">
        <is>
          <t>102 - Orthopedic institutes</t>
        </is>
      </c>
      <c r="B336" s="94" t="inlineStr">
        <is>
          <t>150107 א.א אורטופדיה ספורט-ראשלצ</t>
        </is>
      </c>
      <c r="C336" s="94" t="inlineStr">
        <is>
          <t>CM44100</t>
        </is>
      </c>
      <c r="D336" s="94" t="inlineStr">
        <is>
          <t>CM</t>
        </is>
      </c>
      <c r="E336" s="102" t="n">
        <v>-700</v>
      </c>
      <c r="F336" s="94" t="n">
        <v>-2</v>
      </c>
      <c r="G336" s="102" t="n">
        <v>0</v>
      </c>
      <c r="H336" s="94" t="n">
        <v>0</v>
      </c>
    </row>
    <row r="337" ht="15" customHeight="1" s="82">
      <c r="A337" s="94" t="inlineStr">
        <is>
          <t>102 - Orthopedic institutes</t>
        </is>
      </c>
      <c r="B337" s="94" t="inlineStr">
        <is>
          <t>150125 מ.ח. כף רגל וקרסול מ.אורט</t>
        </is>
      </c>
      <c r="C337" s="94" t="inlineStr">
        <is>
          <t>INV57089</t>
        </is>
      </c>
      <c r="D337" s="94" t="inlineStr">
        <is>
          <t>INV</t>
        </is>
      </c>
      <c r="E337" s="102" t="n">
        <v>2743.01</v>
      </c>
      <c r="F337" s="94" t="n">
        <v>19</v>
      </c>
      <c r="G337" s="102" t="n">
        <v>0</v>
      </c>
      <c r="H337" s="94" t="n">
        <v>0</v>
      </c>
    </row>
    <row r="338" ht="15" customHeight="1" s="82">
      <c r="A338" s="94" t="inlineStr">
        <is>
          <t>102 - Orthopedic institutes</t>
        </is>
      </c>
      <c r="B338" s="94" t="inlineStr">
        <is>
          <t>150125 מ.ח. כף רגל וקרסול מ.אורט</t>
        </is>
      </c>
      <c r="C338" s="94" t="inlineStr">
        <is>
          <t>INV67179</t>
        </is>
      </c>
      <c r="D338" s="94" t="inlineStr">
        <is>
          <t>INV</t>
        </is>
      </c>
      <c r="E338" s="102" t="n">
        <v>0</v>
      </c>
      <c r="F338" s="94" t="n">
        <v>0</v>
      </c>
      <c r="G338" s="102" t="n">
        <v>2140.03</v>
      </c>
      <c r="H338" s="94" t="n">
        <v>11</v>
      </c>
    </row>
    <row r="339" ht="15" customHeight="1" s="82">
      <c r="A339" s="94" t="inlineStr">
        <is>
          <t>102 - Orthopedic institutes</t>
        </is>
      </c>
      <c r="B339" s="94" t="inlineStr">
        <is>
          <t>150130 מדנט באר שבע</t>
        </is>
      </c>
      <c r="C339" s="94" t="inlineStr">
        <is>
          <t>INV49814</t>
        </is>
      </c>
      <c r="D339" s="94" t="inlineStr">
        <is>
          <t>INV</t>
        </is>
      </c>
      <c r="E339" s="102" t="n">
        <v>3629.24</v>
      </c>
      <c r="F339" s="94" t="n">
        <v>29</v>
      </c>
      <c r="G339" s="102" t="n">
        <v>0</v>
      </c>
      <c r="H339" s="94" t="n">
        <v>0</v>
      </c>
    </row>
    <row r="340" ht="15" customHeight="1" s="82">
      <c r="A340" s="94" t="inlineStr">
        <is>
          <t>102 - Orthopedic institutes</t>
        </is>
      </c>
      <c r="B340" s="94" t="inlineStr">
        <is>
          <t>150130 מדנט באר שבע</t>
        </is>
      </c>
      <c r="C340" s="94" t="inlineStr">
        <is>
          <t>INV68464</t>
        </is>
      </c>
      <c r="D340" s="94" t="inlineStr">
        <is>
          <t>INV</t>
        </is>
      </c>
      <c r="E340" s="102" t="n">
        <v>0</v>
      </c>
      <c r="F340" s="94" t="n">
        <v>0</v>
      </c>
      <c r="G340" s="102" t="n">
        <v>2888.21</v>
      </c>
      <c r="H340" s="94" t="n">
        <v>25</v>
      </c>
    </row>
    <row r="341" ht="15" customHeight="1" s="82">
      <c r="A341" s="94" t="inlineStr">
        <is>
          <t>102 - Orthopedic institutes</t>
        </is>
      </c>
      <c r="B341" s="94" t="inlineStr">
        <is>
          <t>150130 מדנט באר שבע</t>
        </is>
      </c>
      <c r="C341" s="94" t="inlineStr">
        <is>
          <t>INV65679</t>
        </is>
      </c>
      <c r="D341" s="94" t="inlineStr">
        <is>
          <t>INV</t>
        </is>
      </c>
      <c r="E341" s="102" t="n">
        <v>2643.52</v>
      </c>
      <c r="F341" s="94" t="n">
        <v>24</v>
      </c>
      <c r="G341" s="102" t="n">
        <v>0</v>
      </c>
      <c r="H341" s="94" t="n">
        <v>0</v>
      </c>
    </row>
    <row r="342" ht="15" customHeight="1" s="82">
      <c r="A342" s="94" t="inlineStr">
        <is>
          <t>102 - Orthopedic institutes</t>
        </is>
      </c>
      <c r="B342" s="94" t="inlineStr">
        <is>
          <t>150130 מדנט באר שבע</t>
        </is>
      </c>
      <c r="C342" s="94" t="inlineStr">
        <is>
          <t>INV62652</t>
        </is>
      </c>
      <c r="D342" s="94" t="inlineStr">
        <is>
          <t>INV</t>
        </is>
      </c>
      <c r="E342" s="102" t="n">
        <v>2532.3</v>
      </c>
      <c r="F342" s="94" t="n">
        <v>38</v>
      </c>
      <c r="G342" s="102" t="n">
        <v>0</v>
      </c>
      <c r="H342" s="94" t="n">
        <v>0</v>
      </c>
    </row>
    <row r="343" ht="15" customHeight="1" s="82">
      <c r="A343" s="94" t="inlineStr">
        <is>
          <t>102 - Orthopedic institutes</t>
        </is>
      </c>
      <c r="B343" s="94" t="inlineStr">
        <is>
          <t>150130 מדנט באר שבע</t>
        </is>
      </c>
      <c r="C343" s="94" t="inlineStr">
        <is>
          <t>INV67436</t>
        </is>
      </c>
      <c r="D343" s="94" t="inlineStr">
        <is>
          <t>INV</t>
        </is>
      </c>
      <c r="E343" s="102" t="n">
        <v>0</v>
      </c>
      <c r="F343" s="94" t="n">
        <v>0</v>
      </c>
      <c r="G343" s="102" t="n">
        <v>2336.91</v>
      </c>
      <c r="H343" s="94" t="n">
        <v>31</v>
      </c>
    </row>
    <row r="344" ht="15" customHeight="1" s="82">
      <c r="A344" s="94" t="inlineStr">
        <is>
          <t>102 - Orthopedic institutes</t>
        </is>
      </c>
      <c r="B344" s="94" t="inlineStr">
        <is>
          <t>150130 מדנט באר שבע</t>
        </is>
      </c>
      <c r="C344" s="94" t="inlineStr">
        <is>
          <t>INV43579</t>
        </is>
      </c>
      <c r="D344" s="94" t="inlineStr">
        <is>
          <t>INV</t>
        </is>
      </c>
      <c r="E344" s="102" t="n">
        <v>2326.02</v>
      </c>
      <c r="F344" s="94" t="n">
        <v>51</v>
      </c>
      <c r="G344" s="102" t="n">
        <v>0</v>
      </c>
      <c r="H344" s="94" t="n">
        <v>0</v>
      </c>
    </row>
    <row r="345" ht="15" customHeight="1" s="82">
      <c r="A345" s="94" t="inlineStr">
        <is>
          <t>102 - Orthopedic institutes</t>
        </is>
      </c>
      <c r="B345" s="94" t="inlineStr">
        <is>
          <t>150130 מדנט באר שבע</t>
        </is>
      </c>
      <c r="C345" s="94" t="inlineStr">
        <is>
          <t>INV69108</t>
        </is>
      </c>
      <c r="D345" s="94" t="inlineStr">
        <is>
          <t>INV</t>
        </is>
      </c>
      <c r="E345" s="102" t="n">
        <v>0</v>
      </c>
      <c r="F345" s="94" t="n">
        <v>0</v>
      </c>
      <c r="G345" s="102" t="n">
        <v>2302.1</v>
      </c>
      <c r="H345" s="94" t="n">
        <v>16</v>
      </c>
    </row>
    <row r="346" ht="15" customHeight="1" s="82">
      <c r="A346" s="94" t="inlineStr">
        <is>
          <t>102 - Orthopedic institutes</t>
        </is>
      </c>
      <c r="B346" s="94" t="inlineStr">
        <is>
          <t>150130 מדנט באר שבע</t>
        </is>
      </c>
      <c r="C346" s="94" t="inlineStr">
        <is>
          <t>INV57732</t>
        </is>
      </c>
      <c r="D346" s="94" t="inlineStr">
        <is>
          <t>INV</t>
        </is>
      </c>
      <c r="E346" s="102" t="n">
        <v>2155.45</v>
      </c>
      <c r="F346" s="94" t="n">
        <v>33</v>
      </c>
      <c r="G346" s="102" t="n">
        <v>0</v>
      </c>
      <c r="H346" s="94" t="n">
        <v>0</v>
      </c>
    </row>
    <row r="347" ht="15" customHeight="1" s="82">
      <c r="A347" s="94" t="inlineStr">
        <is>
          <t>102 - Orthopedic institutes</t>
        </is>
      </c>
      <c r="B347" s="94" t="inlineStr">
        <is>
          <t>150130 מדנט באר שבע</t>
        </is>
      </c>
      <c r="C347" s="94" t="inlineStr">
        <is>
          <t>INV69246</t>
        </is>
      </c>
      <c r="D347" s="94" t="inlineStr">
        <is>
          <t>INV</t>
        </is>
      </c>
      <c r="E347" s="102" t="n">
        <v>0</v>
      </c>
      <c r="F347" s="94" t="n">
        <v>0</v>
      </c>
      <c r="G347" s="102" t="n">
        <v>2006.89</v>
      </c>
      <c r="H347" s="94" t="n">
        <v>51</v>
      </c>
    </row>
    <row r="348" ht="15" customHeight="1" s="82">
      <c r="A348" s="94" t="inlineStr">
        <is>
          <t>102 - Orthopedic institutes</t>
        </is>
      </c>
      <c r="B348" s="94" t="inlineStr">
        <is>
          <t>150130 מדנט באר שבע</t>
        </is>
      </c>
      <c r="C348" s="94" t="inlineStr">
        <is>
          <t>INV67817</t>
        </is>
      </c>
      <c r="D348" s="94" t="inlineStr">
        <is>
          <t>INV</t>
        </is>
      </c>
      <c r="E348" s="102" t="n">
        <v>0</v>
      </c>
      <c r="F348" s="94" t="n">
        <v>0</v>
      </c>
      <c r="G348" s="102" t="n">
        <v>1998</v>
      </c>
      <c r="H348" s="94" t="n">
        <v>12</v>
      </c>
    </row>
    <row r="349" ht="15" customHeight="1" s="82">
      <c r="A349" s="94" t="inlineStr">
        <is>
          <t>102 - Orthopedic institutes</t>
        </is>
      </c>
      <c r="B349" s="94" t="inlineStr">
        <is>
          <t>150130 מדנט באר שבע</t>
        </is>
      </c>
      <c r="C349" s="94" t="inlineStr">
        <is>
          <t>INV54140</t>
        </is>
      </c>
      <c r="D349" s="94" t="inlineStr">
        <is>
          <t>INV</t>
        </is>
      </c>
      <c r="E349" s="102" t="n">
        <v>1968.75</v>
      </c>
      <c r="F349" s="94" t="n">
        <v>37</v>
      </c>
      <c r="G349" s="102" t="n">
        <v>0</v>
      </c>
      <c r="H349" s="94" t="n">
        <v>0</v>
      </c>
    </row>
    <row r="350" ht="15" customHeight="1" s="82">
      <c r="A350" s="94" t="inlineStr">
        <is>
          <t>102 - Orthopedic institutes</t>
        </is>
      </c>
      <c r="B350" s="94" t="inlineStr">
        <is>
          <t>150130 מדנט באר שבע</t>
        </is>
      </c>
      <c r="C350" s="94" t="inlineStr">
        <is>
          <t>INV69049</t>
        </is>
      </c>
      <c r="D350" s="94" t="inlineStr">
        <is>
          <t>INV</t>
        </is>
      </c>
      <c r="E350" s="102" t="n">
        <v>0</v>
      </c>
      <c r="F350" s="94" t="n">
        <v>0</v>
      </c>
      <c r="G350" s="102" t="n">
        <v>1961.06</v>
      </c>
      <c r="H350" s="94" t="n">
        <v>33</v>
      </c>
    </row>
    <row r="351" ht="15" customHeight="1" s="82">
      <c r="A351" s="94" t="inlineStr">
        <is>
          <t>102 - Orthopedic institutes</t>
        </is>
      </c>
      <c r="B351" s="94" t="inlineStr">
        <is>
          <t>150130 מדנט באר שבע</t>
        </is>
      </c>
      <c r="C351" s="94" t="inlineStr">
        <is>
          <t>INV68110</t>
        </is>
      </c>
      <c r="D351" s="94" t="inlineStr">
        <is>
          <t>INV</t>
        </is>
      </c>
      <c r="E351" s="102" t="n">
        <v>0</v>
      </c>
      <c r="F351" s="94" t="n">
        <v>0</v>
      </c>
      <c r="G351" s="102" t="n">
        <v>1944.25</v>
      </c>
      <c r="H351" s="94" t="n">
        <v>35</v>
      </c>
    </row>
    <row r="352" ht="15" customHeight="1" s="82">
      <c r="A352" s="94" t="inlineStr">
        <is>
          <t>102 - Orthopedic institutes</t>
        </is>
      </c>
      <c r="B352" s="94" t="inlineStr">
        <is>
          <t>150130 מדנט באר שבע</t>
        </is>
      </c>
      <c r="C352" s="94" t="inlineStr">
        <is>
          <t>INV66929</t>
        </is>
      </c>
      <c r="D352" s="94" t="inlineStr">
        <is>
          <t>INV</t>
        </is>
      </c>
      <c r="E352" s="102" t="n">
        <v>1927.54</v>
      </c>
      <c r="F352" s="94" t="n">
        <v>35</v>
      </c>
      <c r="G352" s="102" t="n">
        <v>0</v>
      </c>
      <c r="H352" s="94" t="n">
        <v>0</v>
      </c>
    </row>
    <row r="353" ht="15" customHeight="1" s="82">
      <c r="A353" s="94" t="inlineStr">
        <is>
          <t>102 - Orthopedic institutes</t>
        </is>
      </c>
      <c r="B353" s="94" t="inlineStr">
        <is>
          <t>150130 מדנט באר שבע</t>
        </is>
      </c>
      <c r="C353" s="94" t="inlineStr">
        <is>
          <t>INV53248</t>
        </is>
      </c>
      <c r="D353" s="94" t="inlineStr">
        <is>
          <t>INV</t>
        </is>
      </c>
      <c r="E353" s="102" t="n">
        <v>1872.37</v>
      </c>
      <c r="F353" s="94" t="n">
        <v>19</v>
      </c>
      <c r="G353" s="102" t="n">
        <v>0</v>
      </c>
      <c r="H353" s="94" t="n">
        <v>0</v>
      </c>
    </row>
    <row r="354" ht="15" customHeight="1" s="82">
      <c r="A354" s="94" t="inlineStr">
        <is>
          <t>102 - Orthopedic institutes</t>
        </is>
      </c>
      <c r="B354" s="94" t="inlineStr">
        <is>
          <t>150130 מדנט באר שבע</t>
        </is>
      </c>
      <c r="C354" s="94" t="inlineStr">
        <is>
          <t>INV60200</t>
        </is>
      </c>
      <c r="D354" s="94" t="inlineStr">
        <is>
          <t>INV</t>
        </is>
      </c>
      <c r="E354" s="102" t="n">
        <v>1872.08</v>
      </c>
      <c r="F354" s="94" t="n">
        <v>58</v>
      </c>
      <c r="G354" s="102" t="n">
        <v>0</v>
      </c>
      <c r="H354" s="94" t="n">
        <v>0</v>
      </c>
    </row>
    <row r="355" ht="15" customHeight="1" s="82">
      <c r="A355" s="94" t="inlineStr">
        <is>
          <t>102 - Orthopedic institutes</t>
        </is>
      </c>
      <c r="B355" s="94" t="inlineStr">
        <is>
          <t>150130 מדנט באר שבע</t>
        </is>
      </c>
      <c r="C355" s="94" t="inlineStr">
        <is>
          <t>INV65446</t>
        </is>
      </c>
      <c r="D355" s="94" t="inlineStr">
        <is>
          <t>INV</t>
        </is>
      </c>
      <c r="E355" s="102" t="n">
        <v>1852.63</v>
      </c>
      <c r="F355" s="94" t="n">
        <v>53</v>
      </c>
      <c r="G355" s="102" t="n">
        <v>0</v>
      </c>
      <c r="H355" s="94" t="n">
        <v>0</v>
      </c>
    </row>
    <row r="356" ht="15" customHeight="1" s="82">
      <c r="A356" s="94" t="inlineStr">
        <is>
          <t>102 - Orthopedic institutes</t>
        </is>
      </c>
      <c r="B356" s="94" t="inlineStr">
        <is>
          <t>150130 מדנט באר שבע</t>
        </is>
      </c>
      <c r="C356" s="94" t="inlineStr">
        <is>
          <t>INV68841</t>
        </is>
      </c>
      <c r="D356" s="94" t="inlineStr">
        <is>
          <t>INV</t>
        </is>
      </c>
      <c r="E356" s="102" t="n">
        <v>0</v>
      </c>
      <c r="F356" s="94" t="n">
        <v>0</v>
      </c>
      <c r="G356" s="102" t="n">
        <v>1839.26</v>
      </c>
      <c r="H356" s="94" t="n">
        <v>40</v>
      </c>
    </row>
    <row r="357" ht="15" customHeight="1" s="82">
      <c r="A357" s="94" t="inlineStr">
        <is>
          <t>102 - Orthopedic institutes</t>
        </is>
      </c>
      <c r="B357" s="94" t="inlineStr">
        <is>
          <t>150130 מדנט באר שבע</t>
        </is>
      </c>
      <c r="C357" s="94" t="inlineStr">
        <is>
          <t>INV68530</t>
        </is>
      </c>
      <c r="D357" s="94" t="inlineStr">
        <is>
          <t>INV</t>
        </is>
      </c>
      <c r="E357" s="102" t="n">
        <v>0</v>
      </c>
      <c r="F357" s="94" t="n">
        <v>0</v>
      </c>
      <c r="G357" s="102" t="n">
        <v>1810.94</v>
      </c>
      <c r="H357" s="94" t="n">
        <v>13</v>
      </c>
    </row>
    <row r="358" ht="15" customHeight="1" s="82">
      <c r="A358" s="94" t="inlineStr">
        <is>
          <t>102 - Orthopedic institutes</t>
        </is>
      </c>
      <c r="B358" s="94" t="inlineStr">
        <is>
          <t>150130 מדנט באר שבע</t>
        </is>
      </c>
      <c r="C358" s="94" t="inlineStr">
        <is>
          <t>INV41357</t>
        </is>
      </c>
      <c r="D358" s="94" t="inlineStr">
        <is>
          <t>INV</t>
        </is>
      </c>
      <c r="E358" s="102" t="n">
        <v>1808.09</v>
      </c>
      <c r="F358" s="94" t="n">
        <v>24</v>
      </c>
      <c r="G358" s="102" t="n">
        <v>0</v>
      </c>
      <c r="H358" s="94" t="n">
        <v>0</v>
      </c>
    </row>
    <row r="359" ht="15" customHeight="1" s="82">
      <c r="A359" s="94" t="inlineStr">
        <is>
          <t>102 - Orthopedic institutes</t>
        </is>
      </c>
      <c r="B359" s="94" t="inlineStr">
        <is>
          <t>150130 מדנט באר שבע</t>
        </is>
      </c>
      <c r="C359" s="94" t="inlineStr">
        <is>
          <t>INV44437</t>
        </is>
      </c>
      <c r="D359" s="94" t="inlineStr">
        <is>
          <t>INV</t>
        </is>
      </c>
      <c r="E359" s="102" t="n">
        <v>1784.53</v>
      </c>
      <c r="F359" s="94" t="n">
        <v>25</v>
      </c>
      <c r="G359" s="102" t="n">
        <v>0</v>
      </c>
      <c r="H359" s="94" t="n">
        <v>0</v>
      </c>
    </row>
    <row r="360" ht="15" customHeight="1" s="82">
      <c r="A360" s="94" t="inlineStr">
        <is>
          <t>102 - Orthopedic institutes</t>
        </is>
      </c>
      <c r="B360" s="94" t="inlineStr">
        <is>
          <t>150130 מדנט באר שבע</t>
        </is>
      </c>
      <c r="C360" s="94" t="inlineStr">
        <is>
          <t>INV67672</t>
        </is>
      </c>
      <c r="D360" s="94" t="inlineStr">
        <is>
          <t>INV</t>
        </is>
      </c>
      <c r="E360" s="102" t="n">
        <v>0</v>
      </c>
      <c r="F360" s="94" t="n">
        <v>0</v>
      </c>
      <c r="G360" s="102" t="n">
        <v>1709.16</v>
      </c>
      <c r="H360" s="94" t="n">
        <v>49</v>
      </c>
    </row>
    <row r="361" ht="15" customHeight="1" s="82">
      <c r="A361" s="94" t="inlineStr">
        <is>
          <t>102 - Orthopedic institutes</t>
        </is>
      </c>
      <c r="B361" s="94" t="inlineStr">
        <is>
          <t>150130 מדנט באר שבע</t>
        </is>
      </c>
      <c r="C361" s="94" t="inlineStr">
        <is>
          <t>INV66690</t>
        </is>
      </c>
      <c r="D361" s="94" t="inlineStr">
        <is>
          <t>INV</t>
        </is>
      </c>
      <c r="E361" s="102" t="n">
        <v>1672.52</v>
      </c>
      <c r="F361" s="94" t="n">
        <v>27</v>
      </c>
      <c r="G361" s="102" t="n">
        <v>0</v>
      </c>
      <c r="H361" s="94" t="n">
        <v>0</v>
      </c>
    </row>
    <row r="362" ht="15" customHeight="1" s="82">
      <c r="A362" s="94" t="inlineStr">
        <is>
          <t>102 - Orthopedic institutes</t>
        </is>
      </c>
      <c r="B362" s="94" t="inlineStr">
        <is>
          <t>150130 מדנט באר שבע</t>
        </is>
      </c>
      <c r="C362" s="94" t="inlineStr">
        <is>
          <t>INV68659</t>
        </is>
      </c>
      <c r="D362" s="94" t="inlineStr">
        <is>
          <t>INV</t>
        </is>
      </c>
      <c r="E362" s="102" t="n">
        <v>0</v>
      </c>
      <c r="F362" s="94" t="n">
        <v>0</v>
      </c>
      <c r="G362" s="102" t="n">
        <v>1575.23</v>
      </c>
      <c r="H362" s="94" t="n">
        <v>30</v>
      </c>
    </row>
    <row r="363" ht="15" customHeight="1" s="82">
      <c r="A363" s="94" t="inlineStr">
        <is>
          <t>102 - Orthopedic institutes</t>
        </is>
      </c>
      <c r="B363" s="94" t="inlineStr">
        <is>
          <t>150130 מדנט באר שבע</t>
        </is>
      </c>
      <c r="C363" s="94" t="inlineStr">
        <is>
          <t>INV66175</t>
        </is>
      </c>
      <c r="D363" s="94" t="inlineStr">
        <is>
          <t>INV</t>
        </is>
      </c>
      <c r="E363" s="102" t="n">
        <v>1521.05</v>
      </c>
      <c r="F363" s="94" t="n">
        <v>54</v>
      </c>
      <c r="G363" s="102" t="n">
        <v>0</v>
      </c>
      <c r="H363" s="94" t="n">
        <v>0</v>
      </c>
    </row>
    <row r="364" ht="15" customHeight="1" s="82">
      <c r="A364" s="94" t="inlineStr">
        <is>
          <t>102 - Orthopedic institutes</t>
        </is>
      </c>
      <c r="B364" s="94" t="inlineStr">
        <is>
          <t>150130 מדנט באר שבע</t>
        </is>
      </c>
      <c r="C364" s="94" t="inlineStr">
        <is>
          <t>INV51289</t>
        </is>
      </c>
      <c r="D364" s="94" t="inlineStr">
        <is>
          <t>INV</t>
        </is>
      </c>
      <c r="E364" s="102" t="n">
        <v>1512.3</v>
      </c>
      <c r="F364" s="94" t="n">
        <v>27</v>
      </c>
      <c r="G364" s="102" t="n">
        <v>0</v>
      </c>
      <c r="H364" s="94" t="n">
        <v>0</v>
      </c>
    </row>
    <row r="365" ht="15" customHeight="1" s="82">
      <c r="A365" s="94" t="inlineStr">
        <is>
          <t>102 - Orthopedic institutes</t>
        </is>
      </c>
      <c r="B365" s="94" t="inlineStr">
        <is>
          <t>150130 מדנט באר שבע</t>
        </is>
      </c>
      <c r="C365" s="94" t="inlineStr">
        <is>
          <t>INV67140</t>
        </is>
      </c>
      <c r="D365" s="94" t="inlineStr">
        <is>
          <t>INV</t>
        </is>
      </c>
      <c r="E365" s="102" t="n">
        <v>1482.73</v>
      </c>
      <c r="F365" s="94" t="n">
        <v>50</v>
      </c>
      <c r="G365" s="102" t="n">
        <v>0</v>
      </c>
      <c r="H365" s="94" t="n">
        <v>0</v>
      </c>
    </row>
    <row r="366" ht="15" customHeight="1" s="82">
      <c r="A366" s="94" t="inlineStr">
        <is>
          <t>102 - Orthopedic institutes</t>
        </is>
      </c>
      <c r="B366" s="94" t="inlineStr">
        <is>
          <t>150130 מדנט באר שבע</t>
        </is>
      </c>
      <c r="C366" s="94" t="inlineStr">
        <is>
          <t>INV68571</t>
        </is>
      </c>
      <c r="D366" s="94" t="inlineStr">
        <is>
          <t>INV</t>
        </is>
      </c>
      <c r="E366" s="102" t="n">
        <v>0</v>
      </c>
      <c r="F366" s="94" t="n">
        <v>0</v>
      </c>
      <c r="G366" s="102" t="n">
        <v>1419.86</v>
      </c>
      <c r="H366" s="94" t="n">
        <v>32</v>
      </c>
    </row>
    <row r="367" ht="15" customHeight="1" s="82">
      <c r="A367" s="94" t="inlineStr">
        <is>
          <t>102 - Orthopedic institutes</t>
        </is>
      </c>
      <c r="B367" s="94" t="inlineStr">
        <is>
          <t>150130 מדנט באר שבע</t>
        </is>
      </c>
      <c r="C367" s="94" t="inlineStr">
        <is>
          <t>INV68915</t>
        </is>
      </c>
      <c r="D367" s="94" t="inlineStr">
        <is>
          <t>INV</t>
        </is>
      </c>
      <c r="E367" s="102" t="n">
        <v>0</v>
      </c>
      <c r="F367" s="94" t="n">
        <v>0</v>
      </c>
      <c r="G367" s="102" t="n">
        <v>1351.22</v>
      </c>
      <c r="H367" s="94" t="n">
        <v>13</v>
      </c>
    </row>
    <row r="368" ht="15" customHeight="1" s="82">
      <c r="A368" s="94" t="inlineStr">
        <is>
          <t>102 - Orthopedic institutes</t>
        </is>
      </c>
      <c r="B368" s="94" t="inlineStr">
        <is>
          <t>150130 מדנט באר שבע</t>
        </is>
      </c>
      <c r="C368" s="94" t="inlineStr">
        <is>
          <t>INV68951</t>
        </is>
      </c>
      <c r="D368" s="94" t="inlineStr">
        <is>
          <t>INV</t>
        </is>
      </c>
      <c r="E368" s="102" t="n">
        <v>0</v>
      </c>
      <c r="F368" s="94" t="n">
        <v>0</v>
      </c>
      <c r="G368" s="102" t="n">
        <v>1328.39</v>
      </c>
      <c r="H368" s="94" t="n">
        <v>36</v>
      </c>
    </row>
    <row r="369" ht="15" customHeight="1" s="82">
      <c r="A369" s="94" t="inlineStr">
        <is>
          <t>102 - Orthopedic institutes</t>
        </is>
      </c>
      <c r="B369" s="94" t="inlineStr">
        <is>
          <t>150130 מדנט באר שבע</t>
        </is>
      </c>
      <c r="C369" s="94" t="inlineStr">
        <is>
          <t>INV68400</t>
        </is>
      </c>
      <c r="D369" s="94" t="inlineStr">
        <is>
          <t>INV</t>
        </is>
      </c>
      <c r="E369" s="102" t="n">
        <v>0</v>
      </c>
      <c r="F369" s="94" t="n">
        <v>0</v>
      </c>
      <c r="G369" s="102" t="n">
        <v>1325.82</v>
      </c>
      <c r="H369" s="94" t="n">
        <v>41</v>
      </c>
    </row>
    <row r="370" ht="15" customHeight="1" s="82">
      <c r="A370" s="94" t="inlineStr">
        <is>
          <t>102 - Orthopedic institutes</t>
        </is>
      </c>
      <c r="B370" s="94" t="inlineStr">
        <is>
          <t>150130 מדנט באר שבע</t>
        </is>
      </c>
      <c r="C370" s="94" t="inlineStr">
        <is>
          <t>INV69309</t>
        </is>
      </c>
      <c r="D370" s="94" t="inlineStr">
        <is>
          <t>INV</t>
        </is>
      </c>
      <c r="E370" s="102" t="n">
        <v>0</v>
      </c>
      <c r="F370" s="94" t="n">
        <v>0</v>
      </c>
      <c r="G370" s="102" t="n">
        <v>1322.29</v>
      </c>
      <c r="H370" s="94" t="n">
        <v>26</v>
      </c>
    </row>
    <row r="371" ht="15" customHeight="1" s="82">
      <c r="A371" s="94" t="inlineStr">
        <is>
          <t>102 - Orthopedic institutes</t>
        </is>
      </c>
      <c r="B371" s="94" t="inlineStr">
        <is>
          <t>150130 מדנט באר שבע</t>
        </is>
      </c>
      <c r="C371" s="94" t="inlineStr">
        <is>
          <t>INV69184</t>
        </is>
      </c>
      <c r="D371" s="94" t="inlineStr">
        <is>
          <t>INV</t>
        </is>
      </c>
      <c r="E371" s="102" t="n">
        <v>0</v>
      </c>
      <c r="F371" s="94" t="n">
        <v>0</v>
      </c>
      <c r="G371" s="102" t="n">
        <v>1292.63</v>
      </c>
      <c r="H371" s="94" t="n">
        <v>19</v>
      </c>
    </row>
    <row r="372" ht="15" customHeight="1" s="82">
      <c r="A372" s="94" t="inlineStr">
        <is>
          <t>102 - Orthopedic institutes</t>
        </is>
      </c>
      <c r="B372" s="94" t="inlineStr">
        <is>
          <t>150130 מדנט באר שבע</t>
        </is>
      </c>
      <c r="C372" s="94" t="inlineStr">
        <is>
          <t>INV66584</t>
        </is>
      </c>
      <c r="D372" s="94" t="inlineStr">
        <is>
          <t>INV</t>
        </is>
      </c>
      <c r="E372" s="102" t="n">
        <v>1266.34</v>
      </c>
      <c r="F372" s="94" t="n">
        <v>13</v>
      </c>
      <c r="G372" s="102" t="n">
        <v>0</v>
      </c>
      <c r="H372" s="94" t="n">
        <v>0</v>
      </c>
    </row>
    <row r="373" ht="15" customHeight="1" s="82">
      <c r="A373" s="94" t="inlineStr">
        <is>
          <t>102 - Orthopedic institutes</t>
        </is>
      </c>
      <c r="B373" s="94" t="inlineStr">
        <is>
          <t>150130 מדנט באר שבע</t>
        </is>
      </c>
      <c r="C373" s="94" t="inlineStr">
        <is>
          <t>INV68260</t>
        </is>
      </c>
      <c r="D373" s="94" t="inlineStr">
        <is>
          <t>INV</t>
        </is>
      </c>
      <c r="E373" s="102" t="n">
        <v>0</v>
      </c>
      <c r="F373" s="94" t="n">
        <v>0</v>
      </c>
      <c r="G373" s="102" t="n">
        <v>1258.85</v>
      </c>
      <c r="H373" s="94" t="n">
        <v>39</v>
      </c>
    </row>
    <row r="374" ht="15" customHeight="1" s="82">
      <c r="A374" s="94" t="inlineStr">
        <is>
          <t>102 - Orthopedic institutes</t>
        </is>
      </c>
      <c r="B374" s="94" t="inlineStr">
        <is>
          <t>150130 מדנט באר שבע</t>
        </is>
      </c>
      <c r="C374" s="94" t="inlineStr">
        <is>
          <t>INV64597</t>
        </is>
      </c>
      <c r="D374" s="94" t="inlineStr">
        <is>
          <t>INV</t>
        </is>
      </c>
      <c r="E374" s="102" t="n">
        <v>1203.37</v>
      </c>
      <c r="F374" s="94" t="n">
        <v>29</v>
      </c>
      <c r="G374" s="102" t="n">
        <v>0</v>
      </c>
      <c r="H374" s="94" t="n">
        <v>0</v>
      </c>
    </row>
    <row r="375" ht="15" customHeight="1" s="82">
      <c r="A375" s="94" t="inlineStr">
        <is>
          <t>102 - Orthopedic institutes</t>
        </is>
      </c>
      <c r="B375" s="94" t="inlineStr">
        <is>
          <t>150130 מדנט באר שבע</t>
        </is>
      </c>
      <c r="C375" s="94" t="inlineStr">
        <is>
          <t>INV48100</t>
        </is>
      </c>
      <c r="D375" s="94" t="inlineStr">
        <is>
          <t>INV</t>
        </is>
      </c>
      <c r="E375" s="102" t="n">
        <v>1136.67</v>
      </c>
      <c r="F375" s="94" t="n">
        <v>34</v>
      </c>
      <c r="G375" s="102" t="n">
        <v>0</v>
      </c>
      <c r="H375" s="94" t="n">
        <v>0</v>
      </c>
    </row>
    <row r="376" ht="15" customHeight="1" s="82">
      <c r="A376" s="94" t="inlineStr">
        <is>
          <t>102 - Orthopedic institutes</t>
        </is>
      </c>
      <c r="B376" s="94" t="inlineStr">
        <is>
          <t>150130 מדנט באר שבע</t>
        </is>
      </c>
      <c r="C376" s="94" t="inlineStr">
        <is>
          <t>INV67009</t>
        </is>
      </c>
      <c r="D376" s="94" t="inlineStr">
        <is>
          <t>INV</t>
        </is>
      </c>
      <c r="E376" s="102" t="n">
        <v>960.33</v>
      </c>
      <c r="F376" s="94" t="n">
        <v>16</v>
      </c>
      <c r="G376" s="102" t="n">
        <v>0</v>
      </c>
      <c r="H376" s="94" t="n">
        <v>0</v>
      </c>
    </row>
    <row r="377" ht="15" customHeight="1" s="82">
      <c r="A377" s="94" t="inlineStr">
        <is>
          <t>102 - Orthopedic institutes</t>
        </is>
      </c>
      <c r="B377" s="94" t="inlineStr">
        <is>
          <t>150130 מדנט באר שבע</t>
        </is>
      </c>
      <c r="C377" s="94" t="inlineStr">
        <is>
          <t>INV67818</t>
        </is>
      </c>
      <c r="D377" s="94" t="inlineStr">
        <is>
          <t>INV</t>
        </is>
      </c>
      <c r="E377" s="102" t="n">
        <v>0</v>
      </c>
      <c r="F377" s="94" t="n">
        <v>0</v>
      </c>
      <c r="G377" s="102" t="n">
        <v>951.23</v>
      </c>
      <c r="H377" s="94" t="n">
        <v>15</v>
      </c>
    </row>
    <row r="378" ht="15" customHeight="1" s="82">
      <c r="A378" s="94" t="inlineStr">
        <is>
          <t>102 - Orthopedic institutes</t>
        </is>
      </c>
      <c r="B378" s="94" t="inlineStr">
        <is>
          <t>150130 מדנט באר שבע</t>
        </is>
      </c>
      <c r="C378" s="94" t="inlineStr">
        <is>
          <t>INV40551</t>
        </is>
      </c>
      <c r="D378" s="94" t="inlineStr">
        <is>
          <t>INV</t>
        </is>
      </c>
      <c r="E378" s="102" t="n">
        <v>755.4400000000001</v>
      </c>
      <c r="F378" s="94" t="n">
        <v>7</v>
      </c>
      <c r="G378" s="102" t="n">
        <v>0</v>
      </c>
      <c r="H378" s="94" t="n">
        <v>0</v>
      </c>
    </row>
    <row r="379" ht="15" customHeight="1" s="82">
      <c r="A379" s="94" t="inlineStr">
        <is>
          <t>102 - Orthopedic institutes</t>
        </is>
      </c>
      <c r="B379" s="94" t="inlineStr">
        <is>
          <t>150130 מדנט באר שבע</t>
        </is>
      </c>
      <c r="C379" s="94" t="inlineStr">
        <is>
          <t>INV45818</t>
        </is>
      </c>
      <c r="D379" s="94" t="inlineStr">
        <is>
          <t>INV</t>
        </is>
      </c>
      <c r="E379" s="102" t="n">
        <v>692.3200000000001</v>
      </c>
      <c r="F379" s="94" t="n">
        <v>22</v>
      </c>
      <c r="G379" s="102" t="n">
        <v>0</v>
      </c>
      <c r="H379" s="94" t="n">
        <v>0</v>
      </c>
    </row>
    <row r="380" ht="15" customHeight="1" s="82">
      <c r="A380" s="94" t="inlineStr">
        <is>
          <t>102 - Orthopedic institutes</t>
        </is>
      </c>
      <c r="B380" s="94" t="inlineStr">
        <is>
          <t>150130 מדנט באר שבע</t>
        </is>
      </c>
      <c r="C380" s="94" t="inlineStr">
        <is>
          <t>INV68701</t>
        </is>
      </c>
      <c r="D380" s="94" t="inlineStr">
        <is>
          <t>INV</t>
        </is>
      </c>
      <c r="E380" s="102" t="n">
        <v>0</v>
      </c>
      <c r="F380" s="94" t="n">
        <v>0</v>
      </c>
      <c r="G380" s="102" t="n">
        <v>660.74</v>
      </c>
      <c r="H380" s="94" t="n">
        <v>14</v>
      </c>
    </row>
    <row r="381" ht="15" customHeight="1" s="82">
      <c r="A381" s="94" t="inlineStr">
        <is>
          <t>102 - Orthopedic institutes</t>
        </is>
      </c>
      <c r="B381" s="94" t="inlineStr">
        <is>
          <t>150130 מדנט באר שבע</t>
        </is>
      </c>
      <c r="C381" s="94" t="inlineStr">
        <is>
          <t>INV68882</t>
        </is>
      </c>
      <c r="D381" s="94" t="inlineStr">
        <is>
          <t>INV</t>
        </is>
      </c>
      <c r="E381" s="102" t="n">
        <v>0</v>
      </c>
      <c r="F381" s="94" t="n">
        <v>0</v>
      </c>
      <c r="G381" s="102" t="n">
        <v>656.05</v>
      </c>
      <c r="H381" s="94" t="n">
        <v>8</v>
      </c>
    </row>
    <row r="382" ht="15" customHeight="1" s="82">
      <c r="A382" s="94" t="inlineStr">
        <is>
          <t>102 - Orthopedic institutes</t>
        </is>
      </c>
      <c r="B382" s="94" t="inlineStr">
        <is>
          <t>150130 מדנט באר שבע</t>
        </is>
      </c>
      <c r="C382" s="94" t="inlineStr">
        <is>
          <t>INV65921</t>
        </is>
      </c>
      <c r="D382" s="94" t="inlineStr">
        <is>
          <t>INV</t>
        </is>
      </c>
      <c r="E382" s="102" t="n">
        <v>644.09</v>
      </c>
      <c r="F382" s="94" t="n">
        <v>9</v>
      </c>
      <c r="G382" s="102" t="n">
        <v>0</v>
      </c>
      <c r="H382" s="94" t="n">
        <v>0</v>
      </c>
    </row>
    <row r="383" ht="15" customHeight="1" s="82">
      <c r="A383" s="94" t="inlineStr">
        <is>
          <t>102 - Orthopedic institutes</t>
        </is>
      </c>
      <c r="B383" s="94" t="inlineStr">
        <is>
          <t>150130 מדנט באר שבע</t>
        </is>
      </c>
      <c r="C383" s="94" t="inlineStr">
        <is>
          <t>INV69082</t>
        </is>
      </c>
      <c r="D383" s="94" t="inlineStr">
        <is>
          <t>INV</t>
        </is>
      </c>
      <c r="E383" s="102" t="n">
        <v>0</v>
      </c>
      <c r="F383" s="94" t="n">
        <v>0</v>
      </c>
      <c r="G383" s="102" t="n">
        <v>564.75</v>
      </c>
      <c r="H383" s="94" t="n">
        <v>6</v>
      </c>
    </row>
    <row r="384" ht="15" customHeight="1" s="82">
      <c r="A384" s="94" t="inlineStr">
        <is>
          <t>102 - Orthopedic institutes</t>
        </is>
      </c>
      <c r="B384" s="94" t="inlineStr">
        <is>
          <t>150130 מדנט באר שבע</t>
        </is>
      </c>
      <c r="C384" s="94" t="inlineStr">
        <is>
          <t>INV66542</t>
        </is>
      </c>
      <c r="D384" s="94" t="inlineStr">
        <is>
          <t>INV</t>
        </is>
      </c>
      <c r="E384" s="102" t="n">
        <v>479.72</v>
      </c>
      <c r="F384" s="94" t="n">
        <v>15</v>
      </c>
      <c r="G384" s="102" t="n">
        <v>0</v>
      </c>
      <c r="H384" s="94" t="n">
        <v>0</v>
      </c>
    </row>
    <row r="385" ht="15" customHeight="1" s="82">
      <c r="A385" s="94" t="inlineStr">
        <is>
          <t>102 - Orthopedic institutes</t>
        </is>
      </c>
      <c r="B385" s="94" t="inlineStr">
        <is>
          <t>150130 מדנט באר שבע</t>
        </is>
      </c>
      <c r="C385" s="94" t="inlineStr">
        <is>
          <t>INV44981</t>
        </is>
      </c>
      <c r="D385" s="94" t="inlineStr">
        <is>
          <t>INV</t>
        </is>
      </c>
      <c r="E385" s="102" t="n">
        <v>457.32</v>
      </c>
      <c r="F385" s="94" t="n">
        <v>11</v>
      </c>
      <c r="G385" s="102" t="n">
        <v>0</v>
      </c>
      <c r="H385" s="94" t="n">
        <v>0</v>
      </c>
    </row>
    <row r="386" ht="15" customHeight="1" s="82">
      <c r="A386" s="94" t="inlineStr">
        <is>
          <t>102 - Orthopedic institutes</t>
        </is>
      </c>
      <c r="B386" s="94" t="inlineStr">
        <is>
          <t>150130 מדנט באר שבע</t>
        </is>
      </c>
      <c r="C386" s="94" t="inlineStr">
        <is>
          <t>INV65423</t>
        </is>
      </c>
      <c r="D386" s="94" t="inlineStr">
        <is>
          <t>INV</t>
        </is>
      </c>
      <c r="E386" s="102" t="n">
        <v>220</v>
      </c>
      <c r="F386" s="94" t="n">
        <v>20</v>
      </c>
      <c r="G386" s="102" t="n">
        <v>0</v>
      </c>
      <c r="H386" s="94" t="n">
        <v>0</v>
      </c>
    </row>
    <row r="387" ht="15" customHeight="1" s="82">
      <c r="A387" s="94" t="inlineStr">
        <is>
          <t>102 - Orthopedic institutes</t>
        </is>
      </c>
      <c r="B387" s="94" t="inlineStr">
        <is>
          <t>150130 מדנט באר שבע</t>
        </is>
      </c>
      <c r="C387" s="94" t="inlineStr">
        <is>
          <t>CM44076</t>
        </is>
      </c>
      <c r="D387" s="94" t="inlineStr">
        <is>
          <t>CM</t>
        </is>
      </c>
      <c r="E387" s="102" t="n">
        <v>-287.84</v>
      </c>
      <c r="F387" s="94" t="n">
        <v>-20</v>
      </c>
      <c r="G387" s="102" t="n">
        <v>0</v>
      </c>
      <c r="H387" s="94" t="n">
        <v>0</v>
      </c>
    </row>
    <row r="388" ht="15" customHeight="1" s="82">
      <c r="A388" s="94" t="inlineStr">
        <is>
          <t>102 - Orthopedic institutes</t>
        </is>
      </c>
      <c r="B388" s="94" t="inlineStr">
        <is>
          <t>150136 מידרך אורטופדיה</t>
        </is>
      </c>
      <c r="C388" s="94" t="inlineStr">
        <is>
          <t>INV45823</t>
        </is>
      </c>
      <c r="D388" s="94" t="inlineStr">
        <is>
          <t>INV</t>
        </is>
      </c>
      <c r="E388" s="102" t="n">
        <v>457.35</v>
      </c>
      <c r="F388" s="94" t="n">
        <v>16</v>
      </c>
      <c r="G388" s="102" t="n">
        <v>0</v>
      </c>
      <c r="H388" s="94" t="n">
        <v>0</v>
      </c>
    </row>
    <row r="389" ht="15" customHeight="1" s="82">
      <c r="A389" s="94" t="inlineStr">
        <is>
          <t>102 - Orthopedic institutes</t>
        </is>
      </c>
      <c r="B389" s="94" t="inlineStr">
        <is>
          <t>150136 מידרך אורטופדיה</t>
        </is>
      </c>
      <c r="C389" s="94" t="inlineStr">
        <is>
          <t>INV66020</t>
        </is>
      </c>
      <c r="D389" s="94" t="inlineStr">
        <is>
          <t>INV</t>
        </is>
      </c>
      <c r="E389" s="102" t="n">
        <v>453.9</v>
      </c>
      <c r="F389" s="94" t="n">
        <v>5</v>
      </c>
      <c r="G389" s="102" t="n">
        <v>0</v>
      </c>
      <c r="H389" s="94" t="n">
        <v>0</v>
      </c>
    </row>
    <row r="390" ht="15" customHeight="1" s="82">
      <c r="A390" s="94" t="inlineStr">
        <is>
          <t>102 - Orthopedic institutes</t>
        </is>
      </c>
      <c r="B390" s="94" t="inlineStr">
        <is>
          <t>150138 מדיק סנטר ר.א בע"מ</t>
        </is>
      </c>
      <c r="C390" s="94" t="inlineStr">
        <is>
          <t>INV68673</t>
        </is>
      </c>
      <c r="D390" s="94" t="inlineStr">
        <is>
          <t>INV</t>
        </is>
      </c>
      <c r="E390" s="102" t="n">
        <v>0</v>
      </c>
      <c r="F390" s="94" t="n">
        <v>0</v>
      </c>
      <c r="G390" s="102" t="n">
        <v>2642.77</v>
      </c>
      <c r="H390" s="94" t="n">
        <v>20</v>
      </c>
    </row>
    <row r="391" ht="15" customHeight="1" s="82">
      <c r="A391" s="94" t="inlineStr">
        <is>
          <t>102 - Orthopedic institutes</t>
        </is>
      </c>
      <c r="B391" s="94" t="inlineStr">
        <is>
          <t>150138 מדיק סנטר ר.א בע"מ</t>
        </is>
      </c>
      <c r="C391" s="94" t="inlineStr">
        <is>
          <t>INV68263</t>
        </is>
      </c>
      <c r="D391" s="94" t="inlineStr">
        <is>
          <t>INV</t>
        </is>
      </c>
      <c r="E391" s="102" t="n">
        <v>0</v>
      </c>
      <c r="F391" s="94" t="n">
        <v>0</v>
      </c>
      <c r="G391" s="102" t="n">
        <v>2564.88</v>
      </c>
      <c r="H391" s="94" t="n">
        <v>21</v>
      </c>
    </row>
    <row r="392" ht="15" customHeight="1" s="82">
      <c r="A392" s="94" t="inlineStr">
        <is>
          <t>102 - Orthopedic institutes</t>
        </is>
      </c>
      <c r="B392" s="94" t="inlineStr">
        <is>
          <t>150138 מדיק סנטר ר.א בע"מ</t>
        </is>
      </c>
      <c r="C392" s="94" t="inlineStr">
        <is>
          <t>INV68419</t>
        </is>
      </c>
      <c r="D392" s="94" t="inlineStr">
        <is>
          <t>INV</t>
        </is>
      </c>
      <c r="E392" s="102" t="n">
        <v>0</v>
      </c>
      <c r="F392" s="94" t="n">
        <v>0</v>
      </c>
      <c r="G392" s="102" t="n">
        <v>2491.03</v>
      </c>
      <c r="H392" s="94" t="n">
        <v>31</v>
      </c>
    </row>
    <row r="393" ht="15" customHeight="1" s="82">
      <c r="A393" s="94" t="inlineStr">
        <is>
          <t>102 - Orthopedic institutes</t>
        </is>
      </c>
      <c r="B393" s="94" t="inlineStr">
        <is>
          <t>150138 מדיק סנטר ר.א בע"מ</t>
        </is>
      </c>
      <c r="C393" s="94" t="inlineStr">
        <is>
          <t>INV69101</t>
        </is>
      </c>
      <c r="D393" s="94" t="inlineStr">
        <is>
          <t>INV</t>
        </is>
      </c>
      <c r="E393" s="102" t="n">
        <v>0</v>
      </c>
      <c r="F393" s="94" t="n">
        <v>0</v>
      </c>
      <c r="G393" s="102" t="n">
        <v>2389.81</v>
      </c>
      <c r="H393" s="94" t="n">
        <v>16</v>
      </c>
    </row>
    <row r="394" ht="15" customHeight="1" s="82">
      <c r="A394" s="94" t="inlineStr">
        <is>
          <t>102 - Orthopedic institutes</t>
        </is>
      </c>
      <c r="B394" s="94" t="inlineStr">
        <is>
          <t>150138 מדיק סנטר ר.א בע"מ</t>
        </is>
      </c>
      <c r="C394" s="94" t="inlineStr">
        <is>
          <t>INV67432</t>
        </is>
      </c>
      <c r="D394" s="94" t="inlineStr">
        <is>
          <t>INV</t>
        </is>
      </c>
      <c r="E394" s="102" t="n">
        <v>0</v>
      </c>
      <c r="F394" s="94" t="n">
        <v>0</v>
      </c>
      <c r="G394" s="102" t="n">
        <v>2129.9</v>
      </c>
      <c r="H394" s="94" t="n">
        <v>19</v>
      </c>
    </row>
    <row r="395" ht="15" customHeight="1" s="82">
      <c r="A395" s="94" t="inlineStr">
        <is>
          <t>102 - Orthopedic institutes</t>
        </is>
      </c>
      <c r="B395" s="94" t="inlineStr">
        <is>
          <t>150138 מדיק סנטר ר.א בע"מ</t>
        </is>
      </c>
      <c r="C395" s="94" t="inlineStr">
        <is>
          <t>INV43578</t>
        </is>
      </c>
      <c r="D395" s="94" t="inlineStr">
        <is>
          <t>INV</t>
        </is>
      </c>
      <c r="E395" s="102" t="n">
        <v>1696.7</v>
      </c>
      <c r="F395" s="94" t="n">
        <v>14</v>
      </c>
      <c r="G395" s="102" t="n">
        <v>0</v>
      </c>
      <c r="H395" s="94" t="n">
        <v>0</v>
      </c>
    </row>
    <row r="396" ht="15" customHeight="1" s="82">
      <c r="A396" s="94" t="inlineStr">
        <is>
          <t>102 - Orthopedic institutes</t>
        </is>
      </c>
      <c r="B396" s="94" t="inlineStr">
        <is>
          <t>150138 מדיק סנטר ר.א בע"מ</t>
        </is>
      </c>
      <c r="C396" s="94" t="inlineStr">
        <is>
          <t>INV66148</t>
        </is>
      </c>
      <c r="D396" s="94" t="inlineStr">
        <is>
          <t>INV</t>
        </is>
      </c>
      <c r="E396" s="102" t="n">
        <v>1694.98</v>
      </c>
      <c r="F396" s="94" t="n">
        <v>14</v>
      </c>
      <c r="G396" s="102" t="n">
        <v>0</v>
      </c>
      <c r="H396" s="94" t="n">
        <v>0</v>
      </c>
    </row>
    <row r="397" ht="15" customHeight="1" s="82">
      <c r="A397" s="94" t="inlineStr">
        <is>
          <t>102 - Orthopedic institutes</t>
        </is>
      </c>
      <c r="B397" s="94" t="inlineStr">
        <is>
          <t>150138 מדיק סנטר ר.א בע"מ</t>
        </is>
      </c>
      <c r="C397" s="94" t="inlineStr">
        <is>
          <t>INV53009</t>
        </is>
      </c>
      <c r="D397" s="94" t="inlineStr">
        <is>
          <t>INV</t>
        </is>
      </c>
      <c r="E397" s="102" t="n">
        <v>1676.44</v>
      </c>
      <c r="F397" s="94" t="n">
        <v>12</v>
      </c>
      <c r="G397" s="102" t="n">
        <v>0</v>
      </c>
      <c r="H397" s="94" t="n">
        <v>0</v>
      </c>
    </row>
    <row r="398" ht="15" customHeight="1" s="82">
      <c r="A398" s="94" t="inlineStr">
        <is>
          <t>102 - Orthopedic institutes</t>
        </is>
      </c>
      <c r="B398" s="94" t="inlineStr">
        <is>
          <t>150138 מדיק סנטר ר.א בע"מ</t>
        </is>
      </c>
      <c r="C398" s="94" t="inlineStr">
        <is>
          <t>INV54555</t>
        </is>
      </c>
      <c r="D398" s="94" t="inlineStr">
        <is>
          <t>INV</t>
        </is>
      </c>
      <c r="E398" s="102" t="n">
        <v>1672.48</v>
      </c>
      <c r="F398" s="94" t="n">
        <v>21</v>
      </c>
      <c r="G398" s="102" t="n">
        <v>0</v>
      </c>
      <c r="H398" s="94" t="n">
        <v>0</v>
      </c>
    </row>
    <row r="399" ht="15" customHeight="1" s="82">
      <c r="A399" s="94" t="inlineStr">
        <is>
          <t>102 - Orthopedic institutes</t>
        </is>
      </c>
      <c r="B399" s="94" t="inlineStr">
        <is>
          <t>150138 מדיק סנטר ר.א בע"מ</t>
        </is>
      </c>
      <c r="C399" s="94" t="inlineStr">
        <is>
          <t>INV66583</t>
        </is>
      </c>
      <c r="D399" s="94" t="inlineStr">
        <is>
          <t>INV</t>
        </is>
      </c>
      <c r="E399" s="102" t="n">
        <v>1493.21</v>
      </c>
      <c r="F399" s="94" t="n">
        <v>16</v>
      </c>
      <c r="G399" s="102" t="n">
        <v>0</v>
      </c>
      <c r="H399" s="94" t="n">
        <v>0</v>
      </c>
    </row>
    <row r="400" ht="15" customHeight="1" s="82">
      <c r="A400" s="94" t="inlineStr">
        <is>
          <t>102 - Orthopedic institutes</t>
        </is>
      </c>
      <c r="B400" s="94" t="inlineStr">
        <is>
          <t>150138 מדיק סנטר ר.א בע"מ</t>
        </is>
      </c>
      <c r="C400" s="94" t="inlineStr">
        <is>
          <t>INV66718</t>
        </is>
      </c>
      <c r="D400" s="94" t="inlineStr">
        <is>
          <t>INV</t>
        </is>
      </c>
      <c r="E400" s="102" t="n">
        <v>1469.44</v>
      </c>
      <c r="F400" s="94" t="n">
        <v>18</v>
      </c>
      <c r="G400" s="102" t="n">
        <v>0</v>
      </c>
      <c r="H400" s="94" t="n">
        <v>0</v>
      </c>
    </row>
    <row r="401" ht="15" customHeight="1" s="82">
      <c r="A401" s="94" t="inlineStr">
        <is>
          <t>102 - Orthopedic institutes</t>
        </is>
      </c>
      <c r="B401" s="94" t="inlineStr">
        <is>
          <t>150138 מדיק סנטר ר.א בע"מ</t>
        </is>
      </c>
      <c r="C401" s="94" t="inlineStr">
        <is>
          <t>INV67832</t>
        </is>
      </c>
      <c r="D401" s="94" t="inlineStr">
        <is>
          <t>INV</t>
        </is>
      </c>
      <c r="E401" s="102" t="n">
        <v>0</v>
      </c>
      <c r="F401" s="94" t="n">
        <v>0</v>
      </c>
      <c r="G401" s="102" t="n">
        <v>1440.97</v>
      </c>
      <c r="H401" s="94" t="n">
        <v>15</v>
      </c>
    </row>
    <row r="402" ht="15" customHeight="1" s="82">
      <c r="A402" s="94" t="inlineStr">
        <is>
          <t>102 - Orthopedic institutes</t>
        </is>
      </c>
      <c r="B402" s="94" t="inlineStr">
        <is>
          <t>150138 מדיק סנטר ר.א בע"מ</t>
        </is>
      </c>
      <c r="C402" s="94" t="inlineStr">
        <is>
          <t>INV62005</t>
        </is>
      </c>
      <c r="D402" s="94" t="inlineStr">
        <is>
          <t>INV</t>
        </is>
      </c>
      <c r="E402" s="102" t="n">
        <v>1435.53</v>
      </c>
      <c r="F402" s="94" t="n">
        <v>16</v>
      </c>
      <c r="G402" s="102" t="n">
        <v>0</v>
      </c>
      <c r="H402" s="94" t="n">
        <v>0</v>
      </c>
    </row>
    <row r="403" ht="15" customHeight="1" s="82">
      <c r="A403" s="94" t="inlineStr">
        <is>
          <t>102 - Orthopedic institutes</t>
        </is>
      </c>
      <c r="B403" s="94" t="inlineStr">
        <is>
          <t>150138 מדיק סנטר ר.א בע"מ</t>
        </is>
      </c>
      <c r="C403" s="94" t="inlineStr">
        <is>
          <t>INV68733</t>
        </is>
      </c>
      <c r="D403" s="94" t="inlineStr">
        <is>
          <t>INV</t>
        </is>
      </c>
      <c r="E403" s="102" t="n">
        <v>0</v>
      </c>
      <c r="F403" s="94" t="n">
        <v>0</v>
      </c>
      <c r="G403" s="102" t="n">
        <v>1409.69</v>
      </c>
      <c r="H403" s="94" t="n">
        <v>23</v>
      </c>
    </row>
    <row r="404" ht="15" customHeight="1" s="82">
      <c r="A404" s="94" t="inlineStr">
        <is>
          <t>102 - Orthopedic institutes</t>
        </is>
      </c>
      <c r="B404" s="94" t="inlineStr">
        <is>
          <t>150138 מדיק סנטר ר.א בע"מ</t>
        </is>
      </c>
      <c r="C404" s="94" t="inlineStr">
        <is>
          <t>INV66898</t>
        </is>
      </c>
      <c r="D404" s="94" t="inlineStr">
        <is>
          <t>INV</t>
        </is>
      </c>
      <c r="E404" s="102" t="n">
        <v>1380.1</v>
      </c>
      <c r="F404" s="94" t="n">
        <v>21</v>
      </c>
      <c r="G404" s="102" t="n">
        <v>0</v>
      </c>
      <c r="H404" s="94" t="n">
        <v>0</v>
      </c>
    </row>
    <row r="405" ht="15" customHeight="1" s="82">
      <c r="A405" s="94" t="inlineStr">
        <is>
          <t>102 - Orthopedic institutes</t>
        </is>
      </c>
      <c r="B405" s="94" t="inlineStr">
        <is>
          <t>150138 מדיק סנטר ר.א בע"מ</t>
        </is>
      </c>
      <c r="C405" s="94" t="inlineStr">
        <is>
          <t>INV66506</t>
        </is>
      </c>
      <c r="D405" s="94" t="inlineStr">
        <is>
          <t>INV</t>
        </is>
      </c>
      <c r="E405" s="102" t="n">
        <v>1364.19</v>
      </c>
      <c r="F405" s="94" t="n">
        <v>12</v>
      </c>
      <c r="G405" s="102" t="n">
        <v>0</v>
      </c>
      <c r="H405" s="94" t="n">
        <v>0</v>
      </c>
    </row>
    <row r="406" ht="15" customHeight="1" s="82">
      <c r="A406" s="94" t="inlineStr">
        <is>
          <t>102 - Orthopedic institutes</t>
        </is>
      </c>
      <c r="B406" s="94" t="inlineStr">
        <is>
          <t>150138 מדיק סנטר ר.א בע"מ</t>
        </is>
      </c>
      <c r="C406" s="94" t="inlineStr">
        <is>
          <t>INV68549</t>
        </is>
      </c>
      <c r="D406" s="94" t="inlineStr">
        <is>
          <t>INV</t>
        </is>
      </c>
      <c r="E406" s="102" t="n">
        <v>0</v>
      </c>
      <c r="F406" s="94" t="n">
        <v>0</v>
      </c>
      <c r="G406" s="102" t="n">
        <v>1341.08</v>
      </c>
      <c r="H406" s="94" t="n">
        <v>20</v>
      </c>
    </row>
    <row r="407" ht="15" customHeight="1" s="82">
      <c r="A407" s="94" t="inlineStr">
        <is>
          <t>102 - Orthopedic institutes</t>
        </is>
      </c>
      <c r="B407" s="94" t="inlineStr">
        <is>
          <t>150138 מדיק סנטר ר.א בע"מ</t>
        </is>
      </c>
      <c r="C407" s="94" t="inlineStr">
        <is>
          <t>INV68557</t>
        </is>
      </c>
      <c r="D407" s="94" t="inlineStr">
        <is>
          <t>INV</t>
        </is>
      </c>
      <c r="E407" s="102" t="n">
        <v>0</v>
      </c>
      <c r="F407" s="94" t="n">
        <v>0</v>
      </c>
      <c r="G407" s="102" t="n">
        <v>1341.08</v>
      </c>
      <c r="H407" s="94" t="n">
        <v>20</v>
      </c>
    </row>
    <row r="408" ht="15" customHeight="1" s="82">
      <c r="A408" s="94" t="inlineStr">
        <is>
          <t>102 - Orthopedic institutes</t>
        </is>
      </c>
      <c r="B408" s="94" t="inlineStr">
        <is>
          <t>150138 מדיק סנטר ר.א בע"מ</t>
        </is>
      </c>
      <c r="C408" s="94" t="inlineStr">
        <is>
          <t>INV69200</t>
        </is>
      </c>
      <c r="D408" s="94" t="inlineStr">
        <is>
          <t>INV</t>
        </is>
      </c>
      <c r="E408" s="102" t="n">
        <v>0</v>
      </c>
      <c r="F408" s="94" t="n">
        <v>0</v>
      </c>
      <c r="G408" s="102" t="n">
        <v>1324.03</v>
      </c>
      <c r="H408" s="94" t="n">
        <v>24</v>
      </c>
    </row>
    <row r="409" ht="15" customHeight="1" s="82">
      <c r="A409" s="94" t="inlineStr">
        <is>
          <t>102 - Orthopedic institutes</t>
        </is>
      </c>
      <c r="B409" s="94" t="inlineStr">
        <is>
          <t>150138 מדיק סנטר ר.א בע"מ</t>
        </is>
      </c>
      <c r="C409" s="94" t="inlineStr">
        <is>
          <t>INV42286</t>
        </is>
      </c>
      <c r="D409" s="94" t="inlineStr">
        <is>
          <t>INV</t>
        </is>
      </c>
      <c r="E409" s="102" t="n">
        <v>1311.24</v>
      </c>
      <c r="F409" s="94" t="n">
        <v>25</v>
      </c>
      <c r="G409" s="102" t="n">
        <v>0</v>
      </c>
      <c r="H409" s="94" t="n">
        <v>0</v>
      </c>
    </row>
    <row r="410" ht="15" customHeight="1" s="82">
      <c r="A410" s="94" t="inlineStr">
        <is>
          <t>102 - Orthopedic institutes</t>
        </is>
      </c>
      <c r="B410" s="94" t="inlineStr">
        <is>
          <t>150138 מדיק סנטר ר.א בע"מ</t>
        </is>
      </c>
      <c r="C410" s="94" t="inlineStr">
        <is>
          <t>INV48870</t>
        </is>
      </c>
      <c r="D410" s="94" t="inlineStr">
        <is>
          <t>INV</t>
        </is>
      </c>
      <c r="E410" s="102" t="n">
        <v>1297.57</v>
      </c>
      <c r="F410" s="94" t="n">
        <v>29</v>
      </c>
      <c r="G410" s="102" t="n">
        <v>0</v>
      </c>
      <c r="H410" s="94" t="n">
        <v>0</v>
      </c>
    </row>
    <row r="411" ht="15" customHeight="1" s="82">
      <c r="A411" s="94" t="inlineStr">
        <is>
          <t>102 - Orthopedic institutes</t>
        </is>
      </c>
      <c r="B411" s="94" t="inlineStr">
        <is>
          <t>150138 מדיק סנטר ר.א בע"מ</t>
        </is>
      </c>
      <c r="C411" s="94" t="inlineStr">
        <is>
          <t>INV57106</t>
        </is>
      </c>
      <c r="D411" s="94" t="inlineStr">
        <is>
          <t>INV</t>
        </is>
      </c>
      <c r="E411" s="102" t="n">
        <v>1205.81</v>
      </c>
      <c r="F411" s="94" t="n">
        <v>19</v>
      </c>
      <c r="G411" s="102" t="n">
        <v>0</v>
      </c>
      <c r="H411" s="94" t="n">
        <v>0</v>
      </c>
    </row>
    <row r="412" ht="15" customHeight="1" s="82">
      <c r="A412" s="94" t="inlineStr">
        <is>
          <t>102 - Orthopedic institutes</t>
        </is>
      </c>
      <c r="B412" s="94" t="inlineStr">
        <is>
          <t>150138 מדיק סנטר ר.א בע"מ</t>
        </is>
      </c>
      <c r="C412" s="94" t="inlineStr">
        <is>
          <t>INV66105</t>
        </is>
      </c>
      <c r="D412" s="94" t="inlineStr">
        <is>
          <t>INV</t>
        </is>
      </c>
      <c r="E412" s="102" t="n">
        <v>1159.25</v>
      </c>
      <c r="F412" s="94" t="n">
        <v>27</v>
      </c>
      <c r="G412" s="102" t="n">
        <v>0</v>
      </c>
      <c r="H412" s="94" t="n">
        <v>0</v>
      </c>
    </row>
    <row r="413" ht="15" customHeight="1" s="82">
      <c r="A413" s="94" t="inlineStr">
        <is>
          <t>102 - Orthopedic institutes</t>
        </is>
      </c>
      <c r="B413" s="94" t="inlineStr">
        <is>
          <t>150138 מדיק סנטר ר.א בע"מ</t>
        </is>
      </c>
      <c r="C413" s="94" t="inlineStr">
        <is>
          <t>INV65919</t>
        </is>
      </c>
      <c r="D413" s="94" t="inlineStr">
        <is>
          <t>INV</t>
        </is>
      </c>
      <c r="E413" s="102" t="n">
        <v>1158.88</v>
      </c>
      <c r="F413" s="94" t="n">
        <v>11</v>
      </c>
      <c r="G413" s="102" t="n">
        <v>0</v>
      </c>
      <c r="H413" s="94" t="n">
        <v>0</v>
      </c>
    </row>
    <row r="414" ht="15" customHeight="1" s="82">
      <c r="A414" s="94" t="inlineStr">
        <is>
          <t>102 - Orthopedic institutes</t>
        </is>
      </c>
      <c r="B414" s="94" t="inlineStr">
        <is>
          <t>150138 מדיק סנטר ר.א בע"מ</t>
        </is>
      </c>
      <c r="C414" s="94" t="inlineStr">
        <is>
          <t>INV40887</t>
        </is>
      </c>
      <c r="D414" s="94" t="inlineStr">
        <is>
          <t>INV</t>
        </is>
      </c>
      <c r="E414" s="102" t="n">
        <v>1098.82</v>
      </c>
      <c r="F414" s="94" t="n">
        <v>16</v>
      </c>
      <c r="G414" s="102" t="n">
        <v>0</v>
      </c>
      <c r="H414" s="94" t="n">
        <v>0</v>
      </c>
    </row>
    <row r="415" ht="15" customHeight="1" s="82">
      <c r="A415" s="94" t="inlineStr">
        <is>
          <t>102 - Orthopedic institutes</t>
        </is>
      </c>
      <c r="B415" s="94" t="inlineStr">
        <is>
          <t>150138 מדיק סנטר ר.א בע"מ</t>
        </is>
      </c>
      <c r="C415" s="94" t="inlineStr">
        <is>
          <t>INV54122</t>
        </is>
      </c>
      <c r="D415" s="94" t="inlineStr">
        <is>
          <t>INV</t>
        </is>
      </c>
      <c r="E415" s="102" t="n">
        <v>1075.77</v>
      </c>
      <c r="F415" s="94" t="n">
        <v>10</v>
      </c>
      <c r="G415" s="102" t="n">
        <v>0</v>
      </c>
      <c r="H415" s="94" t="n">
        <v>0</v>
      </c>
    </row>
    <row r="416" ht="15" customHeight="1" s="82">
      <c r="A416" s="94" t="inlineStr">
        <is>
          <t>102 - Orthopedic institutes</t>
        </is>
      </c>
      <c r="B416" s="94" t="inlineStr">
        <is>
          <t>150138 מדיק סנטר ר.א בע"מ</t>
        </is>
      </c>
      <c r="C416" s="94" t="inlineStr">
        <is>
          <t>INV61655</t>
        </is>
      </c>
      <c r="D416" s="94" t="inlineStr">
        <is>
          <t>INV</t>
        </is>
      </c>
      <c r="E416" s="102" t="n">
        <v>1071.33</v>
      </c>
      <c r="F416" s="94" t="n">
        <v>17</v>
      </c>
      <c r="G416" s="102" t="n">
        <v>0</v>
      </c>
      <c r="H416" s="94" t="n">
        <v>0</v>
      </c>
    </row>
    <row r="417" ht="15" customHeight="1" s="82">
      <c r="A417" s="94" t="inlineStr">
        <is>
          <t>102 - Orthopedic institutes</t>
        </is>
      </c>
      <c r="B417" s="94" t="inlineStr">
        <is>
          <t>150138 מדיק סנטר ר.א בע"מ</t>
        </is>
      </c>
      <c r="C417" s="94" t="inlineStr">
        <is>
          <t>INV56475</t>
        </is>
      </c>
      <c r="D417" s="94" t="inlineStr">
        <is>
          <t>INV</t>
        </is>
      </c>
      <c r="E417" s="102" t="n">
        <v>1071.15</v>
      </c>
      <c r="F417" s="94" t="n">
        <v>21</v>
      </c>
      <c r="G417" s="102" t="n">
        <v>0</v>
      </c>
      <c r="H417" s="94" t="n">
        <v>0</v>
      </c>
    </row>
    <row r="418" ht="15" customHeight="1" s="82">
      <c r="A418" s="94" t="inlineStr">
        <is>
          <t>102 - Orthopedic institutes</t>
        </is>
      </c>
      <c r="B418" s="94" t="inlineStr">
        <is>
          <t>150138 מדיק סנטר ר.א בע"מ</t>
        </is>
      </c>
      <c r="C418" s="94" t="inlineStr">
        <is>
          <t>INV67092</t>
        </is>
      </c>
      <c r="D418" s="94" t="inlineStr">
        <is>
          <t>INV</t>
        </is>
      </c>
      <c r="E418" s="102" t="n">
        <v>1070</v>
      </c>
      <c r="F418" s="94" t="n">
        <v>12</v>
      </c>
      <c r="G418" s="102" t="n">
        <v>0</v>
      </c>
      <c r="H418" s="94" t="n">
        <v>0</v>
      </c>
    </row>
    <row r="419" ht="15" customHeight="1" s="82">
      <c r="A419" s="94" t="inlineStr">
        <is>
          <t>102 - Orthopedic institutes</t>
        </is>
      </c>
      <c r="B419" s="94" t="inlineStr">
        <is>
          <t>150138 מדיק סנטר ר.א בע"מ</t>
        </is>
      </c>
      <c r="C419" s="94" t="inlineStr">
        <is>
          <t>INV68956</t>
        </is>
      </c>
      <c r="D419" s="94" t="inlineStr">
        <is>
          <t>INV</t>
        </is>
      </c>
      <c r="E419" s="102" t="n">
        <v>0</v>
      </c>
      <c r="F419" s="94" t="n">
        <v>0</v>
      </c>
      <c r="G419" s="102" t="n">
        <v>1062.19</v>
      </c>
      <c r="H419" s="94" t="n">
        <v>19</v>
      </c>
    </row>
    <row r="420" ht="15" customHeight="1" s="82">
      <c r="A420" s="94" t="inlineStr">
        <is>
          <t>102 - Orthopedic institutes</t>
        </is>
      </c>
      <c r="B420" s="94" t="inlineStr">
        <is>
          <t>150138 מדיק סנטר ר.א בע"מ</t>
        </is>
      </c>
      <c r="C420" s="94" t="inlineStr">
        <is>
          <t>INV68011</t>
        </is>
      </c>
      <c r="D420" s="94" t="inlineStr">
        <is>
          <t>INV</t>
        </is>
      </c>
      <c r="E420" s="102" t="n">
        <v>0</v>
      </c>
      <c r="F420" s="94" t="n">
        <v>0</v>
      </c>
      <c r="G420" s="102" t="n">
        <v>1032.84</v>
      </c>
      <c r="H420" s="94" t="n">
        <v>14</v>
      </c>
    </row>
    <row r="421" ht="15" customHeight="1" s="82">
      <c r="A421" s="94" t="inlineStr">
        <is>
          <t>102 - Orthopedic institutes</t>
        </is>
      </c>
      <c r="B421" s="94" t="inlineStr">
        <is>
          <t>150138 מדיק סנטר ר.א בע"מ</t>
        </is>
      </c>
      <c r="C421" s="94" t="inlineStr">
        <is>
          <t>INV52564</t>
        </is>
      </c>
      <c r="D421" s="94" t="inlineStr">
        <is>
          <t>INV</t>
        </is>
      </c>
      <c r="E421" s="102" t="n">
        <v>1019.09</v>
      </c>
      <c r="F421" s="94" t="n">
        <v>12</v>
      </c>
      <c r="G421" s="102" t="n">
        <v>0</v>
      </c>
      <c r="H421" s="94" t="n">
        <v>0</v>
      </c>
    </row>
    <row r="422" ht="15" customHeight="1" s="82">
      <c r="A422" s="94" t="inlineStr">
        <is>
          <t>102 - Orthopedic institutes</t>
        </is>
      </c>
      <c r="B422" s="94" t="inlineStr">
        <is>
          <t>150138 מדיק סנטר ר.א בע"מ</t>
        </is>
      </c>
      <c r="C422" s="94" t="inlineStr">
        <is>
          <t>INV67351</t>
        </is>
      </c>
      <c r="D422" s="94" t="inlineStr">
        <is>
          <t>INV</t>
        </is>
      </c>
      <c r="E422" s="102" t="n">
        <v>0</v>
      </c>
      <c r="F422" s="94" t="n">
        <v>0</v>
      </c>
      <c r="G422" s="102" t="n">
        <v>1017.22</v>
      </c>
      <c r="H422" s="94" t="n">
        <v>10</v>
      </c>
    </row>
    <row r="423" ht="15" customHeight="1" s="82">
      <c r="A423" s="94" t="inlineStr">
        <is>
          <t>102 - Orthopedic institutes</t>
        </is>
      </c>
      <c r="B423" s="94" t="inlineStr">
        <is>
          <t>150138 מדיק סנטר ר.א בע"מ</t>
        </is>
      </c>
      <c r="C423" s="94" t="inlineStr">
        <is>
          <t>INV65442</t>
        </is>
      </c>
      <c r="D423" s="94" t="inlineStr">
        <is>
          <t>INV</t>
        </is>
      </c>
      <c r="E423" s="102" t="n">
        <v>993.28</v>
      </c>
      <c r="F423" s="94" t="n">
        <v>11</v>
      </c>
      <c r="G423" s="102" t="n">
        <v>0</v>
      </c>
      <c r="H423" s="94" t="n">
        <v>0</v>
      </c>
    </row>
    <row r="424" ht="15" customHeight="1" s="82">
      <c r="A424" s="94" t="inlineStr">
        <is>
          <t>102 - Orthopedic institutes</t>
        </is>
      </c>
      <c r="B424" s="94" t="inlineStr">
        <is>
          <t>150138 מדיק סנטר ר.א בע"מ</t>
        </is>
      </c>
      <c r="C424" s="94" t="inlineStr">
        <is>
          <t>INV50311</t>
        </is>
      </c>
      <c r="D424" s="94" t="inlineStr">
        <is>
          <t>INV</t>
        </is>
      </c>
      <c r="E424" s="102" t="n">
        <v>984.52</v>
      </c>
      <c r="F424" s="94" t="n">
        <v>27</v>
      </c>
      <c r="G424" s="102" t="n">
        <v>0</v>
      </c>
      <c r="H424" s="94" t="n">
        <v>0</v>
      </c>
    </row>
    <row r="425" ht="15" customHeight="1" s="82">
      <c r="A425" s="94" t="inlineStr">
        <is>
          <t>102 - Orthopedic institutes</t>
        </is>
      </c>
      <c r="B425" s="94" t="inlineStr">
        <is>
          <t>150138 מדיק סנטר ר.א בע"מ</t>
        </is>
      </c>
      <c r="C425" s="94" t="inlineStr">
        <is>
          <t>INV66639</t>
        </is>
      </c>
      <c r="D425" s="94" t="inlineStr">
        <is>
          <t>INV</t>
        </is>
      </c>
      <c r="E425" s="102" t="n">
        <v>972.89</v>
      </c>
      <c r="F425" s="94" t="n">
        <v>24</v>
      </c>
      <c r="G425" s="102" t="n">
        <v>0</v>
      </c>
      <c r="H425" s="94" t="n">
        <v>0</v>
      </c>
    </row>
    <row r="426" ht="15" customHeight="1" s="82">
      <c r="A426" s="94" t="inlineStr">
        <is>
          <t>102 - Orthopedic institutes</t>
        </is>
      </c>
      <c r="B426" s="94" t="inlineStr">
        <is>
          <t>150138 מדיק סנטר ר.א בע"מ</t>
        </is>
      </c>
      <c r="C426" s="94" t="inlineStr">
        <is>
          <t>INV67739</t>
        </is>
      </c>
      <c r="D426" s="94" t="inlineStr">
        <is>
          <t>INV</t>
        </is>
      </c>
      <c r="E426" s="102" t="n">
        <v>0</v>
      </c>
      <c r="F426" s="94" t="n">
        <v>0</v>
      </c>
      <c r="G426" s="102" t="n">
        <v>972.49</v>
      </c>
      <c r="H426" s="94" t="n">
        <v>12</v>
      </c>
    </row>
    <row r="427" ht="15" customHeight="1" s="82">
      <c r="A427" s="94" t="inlineStr">
        <is>
          <t>102 - Orthopedic institutes</t>
        </is>
      </c>
      <c r="B427" s="94" t="inlineStr">
        <is>
          <t>150138 מדיק סנטר ר.א בע"מ</t>
        </is>
      </c>
      <c r="C427" s="94" t="inlineStr">
        <is>
          <t>INV68111</t>
        </is>
      </c>
      <c r="D427" s="94" t="inlineStr">
        <is>
          <t>INV</t>
        </is>
      </c>
      <c r="E427" s="102" t="n">
        <v>0</v>
      </c>
      <c r="F427" s="94" t="n">
        <v>0</v>
      </c>
      <c r="G427" s="102" t="n">
        <v>935.05</v>
      </c>
      <c r="H427" s="94" t="n">
        <v>14</v>
      </c>
    </row>
    <row r="428" ht="15" customHeight="1" s="82">
      <c r="A428" s="94" t="inlineStr">
        <is>
          <t>102 - Orthopedic institutes</t>
        </is>
      </c>
      <c r="B428" s="94" t="inlineStr">
        <is>
          <t>150138 מדיק סנטר ר.א בע"מ</t>
        </is>
      </c>
      <c r="C428" s="94" t="inlineStr">
        <is>
          <t>INV65533</t>
        </is>
      </c>
      <c r="D428" s="94" t="inlineStr">
        <is>
          <t>INV</t>
        </is>
      </c>
      <c r="E428" s="102" t="n">
        <v>925.66</v>
      </c>
      <c r="F428" s="94" t="n">
        <v>21</v>
      </c>
      <c r="G428" s="102" t="n">
        <v>0</v>
      </c>
      <c r="H428" s="94" t="n">
        <v>0</v>
      </c>
    </row>
    <row r="429" ht="15" customHeight="1" s="82">
      <c r="A429" s="94" t="inlineStr">
        <is>
          <t>102 - Orthopedic institutes</t>
        </is>
      </c>
      <c r="B429" s="94" t="inlineStr">
        <is>
          <t>150138 מדיק סנטר ר.א בע"מ</t>
        </is>
      </c>
      <c r="C429" s="94" t="inlineStr">
        <is>
          <t>INV66953</t>
        </is>
      </c>
      <c r="D429" s="94" t="inlineStr">
        <is>
          <t>INV</t>
        </is>
      </c>
      <c r="E429" s="102" t="n">
        <v>900</v>
      </c>
      <c r="F429" s="94" t="n">
        <v>10</v>
      </c>
      <c r="G429" s="102" t="n">
        <v>0</v>
      </c>
      <c r="H429" s="94" t="n">
        <v>0</v>
      </c>
    </row>
    <row r="430" ht="15" customHeight="1" s="82">
      <c r="A430" s="94" t="inlineStr">
        <is>
          <t>102 - Orthopedic institutes</t>
        </is>
      </c>
      <c r="B430" s="94" t="inlineStr">
        <is>
          <t>150138 מדיק סנטר ר.א בע"מ</t>
        </is>
      </c>
      <c r="C430" s="94" t="inlineStr">
        <is>
          <t>INV68182</t>
        </is>
      </c>
      <c r="D430" s="94" t="inlineStr">
        <is>
          <t>INV</t>
        </is>
      </c>
      <c r="E430" s="102" t="n">
        <v>0</v>
      </c>
      <c r="F430" s="94" t="n">
        <v>0</v>
      </c>
      <c r="G430" s="102" t="n">
        <v>891.16</v>
      </c>
      <c r="H430" s="94" t="n">
        <v>26</v>
      </c>
    </row>
    <row r="431" ht="15" customHeight="1" s="82">
      <c r="A431" s="94" t="inlineStr">
        <is>
          <t>102 - Orthopedic institutes</t>
        </is>
      </c>
      <c r="B431" s="94" t="inlineStr">
        <is>
          <t>150138 מדיק סנטר ר.א בע"מ</t>
        </is>
      </c>
      <c r="C431" s="94" t="inlineStr">
        <is>
          <t>INV67560</t>
        </is>
      </c>
      <c r="D431" s="94" t="inlineStr">
        <is>
          <t>INV</t>
        </is>
      </c>
      <c r="E431" s="102" t="n">
        <v>0</v>
      </c>
      <c r="F431" s="94" t="n">
        <v>0</v>
      </c>
      <c r="G431" s="102" t="n">
        <v>880.54</v>
      </c>
      <c r="H431" s="94" t="n">
        <v>20</v>
      </c>
    </row>
    <row r="432" ht="15" customHeight="1" s="82">
      <c r="A432" s="94" t="inlineStr">
        <is>
          <t>102 - Orthopedic institutes</t>
        </is>
      </c>
      <c r="B432" s="94" t="inlineStr">
        <is>
          <t>150138 מדיק סנטר ר.א בע"מ</t>
        </is>
      </c>
      <c r="C432" s="94" t="inlineStr">
        <is>
          <t>INV67964</t>
        </is>
      </c>
      <c r="D432" s="94" t="inlineStr">
        <is>
          <t>INV</t>
        </is>
      </c>
      <c r="E432" s="102" t="n">
        <v>0</v>
      </c>
      <c r="F432" s="94" t="n">
        <v>0</v>
      </c>
      <c r="G432" s="102" t="n">
        <v>822.49</v>
      </c>
      <c r="H432" s="94" t="n">
        <v>18</v>
      </c>
    </row>
    <row r="433" ht="15" customHeight="1" s="82">
      <c r="A433" s="94" t="inlineStr">
        <is>
          <t>102 - Orthopedic institutes</t>
        </is>
      </c>
      <c r="B433" s="94" t="inlineStr">
        <is>
          <t>150138 מדיק סנטר ר.א בע"מ</t>
        </is>
      </c>
      <c r="C433" s="94" t="inlineStr">
        <is>
          <t>INV67376</t>
        </is>
      </c>
      <c r="D433" s="94" t="inlineStr">
        <is>
          <t>INV</t>
        </is>
      </c>
      <c r="E433" s="102" t="n">
        <v>0</v>
      </c>
      <c r="F433" s="94" t="n">
        <v>0</v>
      </c>
      <c r="G433" s="102" t="n">
        <v>821.28</v>
      </c>
      <c r="H433" s="94" t="n">
        <v>10</v>
      </c>
    </row>
    <row r="434" ht="15" customHeight="1" s="82">
      <c r="A434" s="94" t="inlineStr">
        <is>
          <t>102 - Orthopedic institutes</t>
        </is>
      </c>
      <c r="B434" s="94" t="inlineStr">
        <is>
          <t>150138 מדיק סנטר ר.א בע"מ</t>
        </is>
      </c>
      <c r="C434" s="94" t="inlineStr">
        <is>
          <t>INV51258</t>
        </is>
      </c>
      <c r="D434" s="94" t="inlineStr">
        <is>
          <t>INV</t>
        </is>
      </c>
      <c r="E434" s="102" t="n">
        <v>804.55</v>
      </c>
      <c r="F434" s="94" t="n">
        <v>17</v>
      </c>
      <c r="G434" s="102" t="n">
        <v>0</v>
      </c>
      <c r="H434" s="94" t="n">
        <v>0</v>
      </c>
    </row>
    <row r="435" ht="15" customHeight="1" s="82">
      <c r="A435" s="94" t="inlineStr">
        <is>
          <t>102 - Orthopedic institutes</t>
        </is>
      </c>
      <c r="B435" s="94" t="inlineStr">
        <is>
          <t>150138 מדיק סנטר ר.א בע"מ</t>
        </is>
      </c>
      <c r="C435" s="94" t="inlineStr">
        <is>
          <t>INV69117</t>
        </is>
      </c>
      <c r="D435" s="94" t="inlineStr">
        <is>
          <t>INV</t>
        </is>
      </c>
      <c r="E435" s="102" t="n">
        <v>0</v>
      </c>
      <c r="F435" s="94" t="n">
        <v>0</v>
      </c>
      <c r="G435" s="102" t="n">
        <v>786.99</v>
      </c>
      <c r="H435" s="94" t="n">
        <v>10</v>
      </c>
    </row>
    <row r="436" ht="15" customHeight="1" s="82">
      <c r="A436" s="94" t="inlineStr">
        <is>
          <t>102 - Orthopedic institutes</t>
        </is>
      </c>
      <c r="B436" s="94" t="inlineStr">
        <is>
          <t>150138 מדיק סנטר ר.א בע"מ</t>
        </is>
      </c>
      <c r="C436" s="94" t="inlineStr">
        <is>
          <t>INV69063</t>
        </is>
      </c>
      <c r="D436" s="94" t="inlineStr">
        <is>
          <t>INV</t>
        </is>
      </c>
      <c r="E436" s="102" t="n">
        <v>0</v>
      </c>
      <c r="F436" s="94" t="n">
        <v>0</v>
      </c>
      <c r="G436" s="102" t="n">
        <v>774.35</v>
      </c>
      <c r="H436" s="94" t="n">
        <v>36</v>
      </c>
    </row>
    <row r="437" ht="15" customHeight="1" s="82">
      <c r="A437" s="94" t="inlineStr">
        <is>
          <t>102 - Orthopedic institutes</t>
        </is>
      </c>
      <c r="B437" s="94" t="inlineStr">
        <is>
          <t>150138 מדיק סנטר ר.א בע"מ</t>
        </is>
      </c>
      <c r="C437" s="94" t="inlineStr">
        <is>
          <t>INV59566</t>
        </is>
      </c>
      <c r="D437" s="94" t="inlineStr">
        <is>
          <t>INV</t>
        </is>
      </c>
      <c r="E437" s="102" t="n">
        <v>761.3200000000001</v>
      </c>
      <c r="F437" s="94" t="n">
        <v>11</v>
      </c>
      <c r="G437" s="102" t="n">
        <v>0</v>
      </c>
      <c r="H437" s="94" t="n">
        <v>0</v>
      </c>
    </row>
    <row r="438" ht="15" customHeight="1" s="82">
      <c r="A438" s="94" t="inlineStr">
        <is>
          <t>102 - Orthopedic institutes</t>
        </is>
      </c>
      <c r="B438" s="94" t="inlineStr">
        <is>
          <t>150138 מדיק סנטר ר.א בע"מ</t>
        </is>
      </c>
      <c r="C438" s="94" t="inlineStr">
        <is>
          <t>INV58391</t>
        </is>
      </c>
      <c r="D438" s="94" t="inlineStr">
        <is>
          <t>INV</t>
        </is>
      </c>
      <c r="E438" s="102" t="n">
        <v>755.97</v>
      </c>
      <c r="F438" s="94" t="n">
        <v>12</v>
      </c>
      <c r="G438" s="102" t="n">
        <v>0</v>
      </c>
      <c r="H438" s="94" t="n">
        <v>0</v>
      </c>
    </row>
    <row r="439" ht="15" customHeight="1" s="82">
      <c r="A439" s="94" t="inlineStr">
        <is>
          <t>102 - Orthopedic institutes</t>
        </is>
      </c>
      <c r="B439" s="94" t="inlineStr">
        <is>
          <t>150138 מדיק סנטר ר.א בע"מ</t>
        </is>
      </c>
      <c r="C439" s="94" t="inlineStr">
        <is>
          <t>INV43735</t>
        </is>
      </c>
      <c r="D439" s="94" t="inlineStr">
        <is>
          <t>INV</t>
        </is>
      </c>
      <c r="E439" s="102" t="n">
        <v>738.0700000000001</v>
      </c>
      <c r="F439" s="94" t="n">
        <v>18</v>
      </c>
      <c r="G439" s="102" t="n">
        <v>0</v>
      </c>
      <c r="H439" s="94" t="n">
        <v>0</v>
      </c>
    </row>
    <row r="440" ht="15" customHeight="1" s="82">
      <c r="A440" s="94" t="inlineStr">
        <is>
          <t>102 - Orthopedic institutes</t>
        </is>
      </c>
      <c r="B440" s="94" t="inlineStr">
        <is>
          <t>150138 מדיק סנטר ר.א בע"מ</t>
        </is>
      </c>
      <c r="C440" s="94" t="inlineStr">
        <is>
          <t>INV65772</t>
        </is>
      </c>
      <c r="D440" s="94" t="inlineStr">
        <is>
          <t>INV</t>
        </is>
      </c>
      <c r="E440" s="102" t="n">
        <v>727.75</v>
      </c>
      <c r="F440" s="94" t="n">
        <v>14</v>
      </c>
      <c r="G440" s="102" t="n">
        <v>0</v>
      </c>
      <c r="H440" s="94" t="n">
        <v>0</v>
      </c>
    </row>
    <row r="441" ht="15" customHeight="1" s="82">
      <c r="A441" s="94" t="inlineStr">
        <is>
          <t>102 - Orthopedic institutes</t>
        </is>
      </c>
      <c r="B441" s="94" t="inlineStr">
        <is>
          <t>150138 מדיק סנטר ר.א בע"מ</t>
        </is>
      </c>
      <c r="C441" s="94" t="inlineStr">
        <is>
          <t>INV67639</t>
        </is>
      </c>
      <c r="D441" s="94" t="inlineStr">
        <is>
          <t>INV</t>
        </is>
      </c>
      <c r="E441" s="102" t="n">
        <v>0</v>
      </c>
      <c r="F441" s="94" t="n">
        <v>0</v>
      </c>
      <c r="G441" s="102" t="n">
        <v>722.2</v>
      </c>
      <c r="H441" s="94" t="n">
        <v>14</v>
      </c>
    </row>
    <row r="442" ht="15" customHeight="1" s="82">
      <c r="A442" s="94" t="inlineStr">
        <is>
          <t>102 - Orthopedic institutes</t>
        </is>
      </c>
      <c r="B442" s="94" t="inlineStr">
        <is>
          <t>150138 מדיק סנטר ר.א בע"מ</t>
        </is>
      </c>
      <c r="C442" s="94" t="inlineStr">
        <is>
          <t>INV68808</t>
        </is>
      </c>
      <c r="D442" s="94" t="inlineStr">
        <is>
          <t>INV</t>
        </is>
      </c>
      <c r="E442" s="102" t="n">
        <v>0</v>
      </c>
      <c r="F442" s="94" t="n">
        <v>0</v>
      </c>
      <c r="G442" s="102" t="n">
        <v>698.8</v>
      </c>
      <c r="H442" s="94" t="n">
        <v>9</v>
      </c>
    </row>
    <row r="443" ht="15" customHeight="1" s="82">
      <c r="A443" s="94" t="inlineStr">
        <is>
          <t>102 - Orthopedic institutes</t>
        </is>
      </c>
      <c r="B443" s="94" t="inlineStr">
        <is>
          <t>150138 מדיק סנטר ר.א בע"מ</t>
        </is>
      </c>
      <c r="C443" s="94" t="inlineStr">
        <is>
          <t>INV47475</t>
        </is>
      </c>
      <c r="D443" s="94" t="inlineStr">
        <is>
          <t>INV</t>
        </is>
      </c>
      <c r="E443" s="102" t="n">
        <v>688.8200000000001</v>
      </c>
      <c r="F443" s="94" t="n">
        <v>14</v>
      </c>
      <c r="G443" s="102" t="n">
        <v>0</v>
      </c>
      <c r="H443" s="94" t="n">
        <v>0</v>
      </c>
    </row>
    <row r="444" ht="15" customHeight="1" s="82">
      <c r="A444" s="94" t="inlineStr">
        <is>
          <t>102 - Orthopedic institutes</t>
        </is>
      </c>
      <c r="B444" s="94" t="inlineStr">
        <is>
          <t>150138 מדיק סנטר ר.א בע"מ</t>
        </is>
      </c>
      <c r="C444" s="94" t="inlineStr">
        <is>
          <t>INV65690</t>
        </is>
      </c>
      <c r="D444" s="94" t="inlineStr">
        <is>
          <t>INV</t>
        </is>
      </c>
      <c r="E444" s="102" t="n">
        <v>688.7</v>
      </c>
      <c r="F444" s="94" t="n">
        <v>10</v>
      </c>
      <c r="G444" s="102" t="n">
        <v>0</v>
      </c>
      <c r="H444" s="94" t="n">
        <v>0</v>
      </c>
    </row>
    <row r="445" ht="15" customHeight="1" s="82">
      <c r="A445" s="94" t="inlineStr">
        <is>
          <t>102 - Orthopedic institutes</t>
        </is>
      </c>
      <c r="B445" s="94" t="inlineStr">
        <is>
          <t>150138 מדיק סנטר ר.א בע"מ</t>
        </is>
      </c>
      <c r="C445" s="94" t="inlineStr">
        <is>
          <t>INV67934</t>
        </is>
      </c>
      <c r="D445" s="94" t="inlineStr">
        <is>
          <t>INV</t>
        </is>
      </c>
      <c r="E445" s="102" t="n">
        <v>0</v>
      </c>
      <c r="F445" s="94" t="n">
        <v>0</v>
      </c>
      <c r="G445" s="102" t="n">
        <v>634.84</v>
      </c>
      <c r="H445" s="94" t="n">
        <v>8</v>
      </c>
    </row>
    <row r="446" ht="15" customHeight="1" s="82">
      <c r="A446" s="94" t="inlineStr">
        <is>
          <t>102 - Orthopedic institutes</t>
        </is>
      </c>
      <c r="B446" s="94" t="inlineStr">
        <is>
          <t>150138 מדיק סנטר ר.א בע"מ</t>
        </is>
      </c>
      <c r="C446" s="94" t="inlineStr">
        <is>
          <t>INV42882</t>
        </is>
      </c>
      <c r="D446" s="94" t="inlineStr">
        <is>
          <t>INV</t>
        </is>
      </c>
      <c r="E446" s="102" t="n">
        <v>623.96</v>
      </c>
      <c r="F446" s="94" t="n">
        <v>9</v>
      </c>
      <c r="G446" s="102" t="n">
        <v>0</v>
      </c>
      <c r="H446" s="94" t="n">
        <v>0</v>
      </c>
    </row>
    <row r="447" ht="15" customHeight="1" s="82">
      <c r="A447" s="94" t="inlineStr">
        <is>
          <t>102 - Orthopedic institutes</t>
        </is>
      </c>
      <c r="B447" s="94" t="inlineStr">
        <is>
          <t>150138 מדיק סנטר ר.א בע"מ</t>
        </is>
      </c>
      <c r="C447" s="94" t="inlineStr">
        <is>
          <t>INV66183</t>
        </is>
      </c>
      <c r="D447" s="94" t="inlineStr">
        <is>
          <t>INV</t>
        </is>
      </c>
      <c r="E447" s="102" t="n">
        <v>623.7</v>
      </c>
      <c r="F447" s="94" t="n">
        <v>16</v>
      </c>
      <c r="G447" s="102" t="n">
        <v>0</v>
      </c>
      <c r="H447" s="94" t="n">
        <v>0</v>
      </c>
    </row>
    <row r="448" ht="15" customHeight="1" s="82">
      <c r="A448" s="94" t="inlineStr">
        <is>
          <t>102 - Orthopedic institutes</t>
        </is>
      </c>
      <c r="B448" s="94" t="inlineStr">
        <is>
          <t>150138 מדיק סנטר ר.א בע"מ</t>
        </is>
      </c>
      <c r="C448" s="94" t="inlineStr">
        <is>
          <t>INV69243</t>
        </is>
      </c>
      <c r="D448" s="94" t="inlineStr">
        <is>
          <t>INV</t>
        </is>
      </c>
      <c r="E448" s="102" t="n">
        <v>0</v>
      </c>
      <c r="F448" s="94" t="n">
        <v>0</v>
      </c>
      <c r="G448" s="102" t="n">
        <v>607.96</v>
      </c>
      <c r="H448" s="94" t="n">
        <v>19</v>
      </c>
    </row>
    <row r="449" ht="15" customHeight="1" s="82">
      <c r="A449" s="94" t="inlineStr">
        <is>
          <t>102 - Orthopedic institutes</t>
        </is>
      </c>
      <c r="B449" s="94" t="inlineStr">
        <is>
          <t>150138 מדיק סנטר ר.א בע"מ</t>
        </is>
      </c>
      <c r="C449" s="94" t="inlineStr">
        <is>
          <t>INV66343</t>
        </is>
      </c>
      <c r="D449" s="94" t="inlineStr">
        <is>
          <t>INV</t>
        </is>
      </c>
      <c r="E449" s="102" t="n">
        <v>603.6799999999999</v>
      </c>
      <c r="F449" s="94" t="n">
        <v>11</v>
      </c>
      <c r="G449" s="102" t="n">
        <v>0</v>
      </c>
      <c r="H449" s="94" t="n">
        <v>0</v>
      </c>
    </row>
    <row r="450" ht="15" customHeight="1" s="82">
      <c r="A450" s="94" t="inlineStr">
        <is>
          <t>102 - Orthopedic institutes</t>
        </is>
      </c>
      <c r="B450" s="94" t="inlineStr">
        <is>
          <t>150138 מדיק סנטר ר.א בע"מ</t>
        </is>
      </c>
      <c r="C450" s="94" t="inlineStr">
        <is>
          <t>INV68869</t>
        </is>
      </c>
      <c r="D450" s="94" t="inlineStr">
        <is>
          <t>INV</t>
        </is>
      </c>
      <c r="E450" s="102" t="n">
        <v>0</v>
      </c>
      <c r="F450" s="94" t="n">
        <v>0</v>
      </c>
      <c r="G450" s="102" t="n">
        <v>584.84</v>
      </c>
      <c r="H450" s="94" t="n">
        <v>8</v>
      </c>
    </row>
    <row r="451" ht="15" customHeight="1" s="82">
      <c r="A451" s="94" t="inlineStr">
        <is>
          <t>102 - Orthopedic institutes</t>
        </is>
      </c>
      <c r="B451" s="94" t="inlineStr">
        <is>
          <t>150138 מדיק סנטר ר.א בע"מ</t>
        </is>
      </c>
      <c r="C451" s="94" t="inlineStr">
        <is>
          <t>INV46844</t>
        </is>
      </c>
      <c r="D451" s="94" t="inlineStr">
        <is>
          <t>INV</t>
        </is>
      </c>
      <c r="E451" s="102" t="n">
        <v>530.0599999999999</v>
      </c>
      <c r="F451" s="94" t="n">
        <v>8</v>
      </c>
      <c r="G451" s="102" t="n">
        <v>0</v>
      </c>
      <c r="H451" s="94" t="n">
        <v>0</v>
      </c>
    </row>
    <row r="452" ht="15" customHeight="1" s="82">
      <c r="A452" s="94" t="inlineStr">
        <is>
          <t>102 - Orthopedic institutes</t>
        </is>
      </c>
      <c r="B452" s="94" t="inlineStr">
        <is>
          <t>150138 מדיק סנטר ר.א בע"מ</t>
        </is>
      </c>
      <c r="C452" s="94" t="inlineStr">
        <is>
          <t>INV68349</t>
        </is>
      </c>
      <c r="D452" s="94" t="inlineStr">
        <is>
          <t>INV</t>
        </is>
      </c>
      <c r="E452" s="102" t="n">
        <v>0</v>
      </c>
      <c r="F452" s="94" t="n">
        <v>0</v>
      </c>
      <c r="G452" s="102" t="n">
        <v>516.99</v>
      </c>
      <c r="H452" s="94" t="n">
        <v>6</v>
      </c>
    </row>
    <row r="453" ht="15" customHeight="1" s="82">
      <c r="A453" s="94" t="inlineStr">
        <is>
          <t>102 - Orthopedic institutes</t>
        </is>
      </c>
      <c r="B453" s="94" t="inlineStr">
        <is>
          <t>150138 מדיק סנטר ר.א בע"מ</t>
        </is>
      </c>
      <c r="C453" s="94" t="inlineStr">
        <is>
          <t>INV68628</t>
        </is>
      </c>
      <c r="D453" s="94" t="inlineStr">
        <is>
          <t>INV</t>
        </is>
      </c>
      <c r="E453" s="102" t="n">
        <v>0</v>
      </c>
      <c r="F453" s="94" t="n">
        <v>0</v>
      </c>
      <c r="G453" s="102" t="n">
        <v>514.4299999999999</v>
      </c>
      <c r="H453" s="94" t="n">
        <v>8</v>
      </c>
    </row>
    <row r="454" ht="15" customHeight="1" s="82">
      <c r="A454" s="94" t="inlineStr">
        <is>
          <t>102 - Orthopedic institutes</t>
        </is>
      </c>
      <c r="B454" s="94" t="inlineStr">
        <is>
          <t>150138 מדיק סנטר ר.א בע"מ</t>
        </is>
      </c>
      <c r="C454" s="94" t="inlineStr">
        <is>
          <t>INV69021</t>
        </is>
      </c>
      <c r="D454" s="94" t="inlineStr">
        <is>
          <t>INV</t>
        </is>
      </c>
      <c r="E454" s="102" t="n">
        <v>0</v>
      </c>
      <c r="F454" s="94" t="n">
        <v>0</v>
      </c>
      <c r="G454" s="102" t="n">
        <v>502.1</v>
      </c>
      <c r="H454" s="94" t="n">
        <v>9</v>
      </c>
    </row>
    <row r="455" ht="15" customHeight="1" s="82">
      <c r="A455" s="94" t="inlineStr">
        <is>
          <t>102 - Orthopedic institutes</t>
        </is>
      </c>
      <c r="B455" s="94" t="inlineStr">
        <is>
          <t>150138 מדיק סנטר ר.א בע"מ</t>
        </is>
      </c>
      <c r="C455" s="94" t="inlineStr">
        <is>
          <t>INV65976</t>
        </is>
      </c>
      <c r="D455" s="94" t="inlineStr">
        <is>
          <t>INV</t>
        </is>
      </c>
      <c r="E455" s="102" t="n">
        <v>470</v>
      </c>
      <c r="F455" s="94" t="n">
        <v>6</v>
      </c>
      <c r="G455" s="102" t="n">
        <v>0</v>
      </c>
      <c r="H455" s="94" t="n">
        <v>0</v>
      </c>
    </row>
    <row r="456" ht="15" customHeight="1" s="82">
      <c r="A456" s="94" t="inlineStr">
        <is>
          <t>102 - Orthopedic institutes</t>
        </is>
      </c>
      <c r="B456" s="94" t="inlineStr">
        <is>
          <t>150138 מדיק סנטר ר.א בע"מ</t>
        </is>
      </c>
      <c r="C456" s="94" t="inlineStr">
        <is>
          <t>INV64062</t>
        </is>
      </c>
      <c r="D456" s="94" t="inlineStr">
        <is>
          <t>INV</t>
        </is>
      </c>
      <c r="E456" s="102" t="n">
        <v>435.49</v>
      </c>
      <c r="F456" s="94" t="n">
        <v>11</v>
      </c>
      <c r="G456" s="102" t="n">
        <v>0</v>
      </c>
      <c r="H456" s="94" t="n">
        <v>0</v>
      </c>
    </row>
    <row r="457" ht="15" customHeight="1" s="82">
      <c r="A457" s="94" t="inlineStr">
        <is>
          <t>102 - Orthopedic institutes</t>
        </is>
      </c>
      <c r="B457" s="94" t="inlineStr">
        <is>
          <t>150138 מדיק סנטר ר.א בע"מ</t>
        </is>
      </c>
      <c r="C457" s="94" t="inlineStr">
        <is>
          <t>INV69273</t>
        </is>
      </c>
      <c r="D457" s="94" t="inlineStr">
        <is>
          <t>INV</t>
        </is>
      </c>
      <c r="E457" s="102" t="n">
        <v>0</v>
      </c>
      <c r="F457" s="94" t="n">
        <v>0</v>
      </c>
      <c r="G457" s="102" t="n">
        <v>434.99</v>
      </c>
      <c r="H457" s="94" t="n">
        <v>5</v>
      </c>
    </row>
    <row r="458" ht="15" customHeight="1" s="82">
      <c r="A458" s="94" t="inlineStr">
        <is>
          <t>102 - Orthopedic institutes</t>
        </is>
      </c>
      <c r="B458" s="94" t="inlineStr">
        <is>
          <t>150138 מדיק סנטר ר.א בע"מ</t>
        </is>
      </c>
      <c r="C458" s="94" t="inlineStr">
        <is>
          <t>INV43006</t>
        </is>
      </c>
      <c r="D458" s="94" t="inlineStr">
        <is>
          <t>INV</t>
        </is>
      </c>
      <c r="E458" s="102" t="n">
        <v>390</v>
      </c>
      <c r="F458" s="94" t="n">
        <v>6</v>
      </c>
      <c r="G458" s="102" t="n">
        <v>0</v>
      </c>
      <c r="H458" s="94" t="n">
        <v>0</v>
      </c>
    </row>
    <row r="459" ht="15" customHeight="1" s="82">
      <c r="A459" s="94" t="inlineStr">
        <is>
          <t>102 - Orthopedic institutes</t>
        </is>
      </c>
      <c r="B459" s="94" t="inlineStr">
        <is>
          <t>150138 מדיק סנטר ר.א בע"מ</t>
        </is>
      </c>
      <c r="C459" s="94" t="inlineStr">
        <is>
          <t>INV53190</t>
        </is>
      </c>
      <c r="D459" s="94" t="inlineStr">
        <is>
          <t>INV</t>
        </is>
      </c>
      <c r="E459" s="102" t="n">
        <v>169.99</v>
      </c>
      <c r="F459" s="94" t="n">
        <v>2</v>
      </c>
      <c r="G459" s="102" t="n">
        <v>0</v>
      </c>
      <c r="H459" s="94" t="n">
        <v>0</v>
      </c>
    </row>
    <row r="460" ht="15" customHeight="1" s="82">
      <c r="A460" s="94" t="inlineStr">
        <is>
          <t>102 - Orthopedic institutes</t>
        </is>
      </c>
      <c r="B460" s="94" t="inlineStr">
        <is>
          <t>150138 מדיק סנטר ר.א בע"מ</t>
        </is>
      </c>
      <c r="C460" s="94" t="inlineStr">
        <is>
          <t>INV51260</t>
        </is>
      </c>
      <c r="D460" s="94" t="inlineStr">
        <is>
          <t>INV</t>
        </is>
      </c>
      <c r="E460" s="102" t="n">
        <v>168.55</v>
      </c>
      <c r="F460" s="94" t="n">
        <v>5</v>
      </c>
      <c r="G460" s="102" t="n">
        <v>0</v>
      </c>
      <c r="H460" s="94" t="n">
        <v>0</v>
      </c>
    </row>
    <row r="461" ht="15" customHeight="1" s="82">
      <c r="A461" s="94" t="inlineStr">
        <is>
          <t>102 - Orthopedic institutes</t>
        </is>
      </c>
      <c r="B461" s="94" t="inlineStr">
        <is>
          <t>150138 מדיק סנטר ר.א בע"מ</t>
        </is>
      </c>
      <c r="C461" s="94" t="inlineStr">
        <is>
          <t>INV54136</t>
        </is>
      </c>
      <c r="D461" s="94" t="inlineStr">
        <is>
          <t>INV</t>
        </is>
      </c>
      <c r="E461" s="102" t="n">
        <v>94.5</v>
      </c>
      <c r="F461" s="94" t="n">
        <v>1</v>
      </c>
      <c r="G461" s="102" t="n">
        <v>0</v>
      </c>
      <c r="H461" s="94" t="n">
        <v>0</v>
      </c>
    </row>
    <row r="462" ht="15" customHeight="1" s="82">
      <c r="A462" s="94" t="inlineStr">
        <is>
          <t>102 - Orthopedic institutes</t>
        </is>
      </c>
      <c r="B462" s="94" t="inlineStr">
        <is>
          <t>150138 מדיק סנטר ר.א בע"מ</t>
        </is>
      </c>
      <c r="C462" s="94" t="inlineStr">
        <is>
          <t>INV65364</t>
        </is>
      </c>
      <c r="D462" s="94" t="inlineStr">
        <is>
          <t>INV</t>
        </is>
      </c>
      <c r="E462" s="102" t="n">
        <v>0.01</v>
      </c>
      <c r="F462" s="94" t="n">
        <v>2</v>
      </c>
      <c r="G462" s="102" t="n">
        <v>0</v>
      </c>
      <c r="H462" s="94" t="n">
        <v>0</v>
      </c>
    </row>
    <row r="463" ht="15" customHeight="1" s="82">
      <c r="A463" s="94" t="inlineStr">
        <is>
          <t>102 - Orthopedic institutes</t>
        </is>
      </c>
      <c r="B463" s="94" t="inlineStr">
        <is>
          <t>150138 מדיק סנטר ר.א בע"מ</t>
        </is>
      </c>
      <c r="C463" s="94" t="inlineStr">
        <is>
          <t>CM43751</t>
        </is>
      </c>
      <c r="D463" s="94" t="inlineStr">
        <is>
          <t>CM</t>
        </is>
      </c>
      <c r="E463" s="102" t="n">
        <v>-103.07</v>
      </c>
      <c r="F463" s="94" t="n">
        <v>-1</v>
      </c>
      <c r="G463" s="102" t="n">
        <v>0</v>
      </c>
      <c r="H463" s="94" t="n">
        <v>0</v>
      </c>
    </row>
    <row r="464" ht="15" customHeight="1" s="82">
      <c r="A464" s="94" t="inlineStr">
        <is>
          <t>102 - Orthopedic institutes</t>
        </is>
      </c>
      <c r="B464" s="94" t="inlineStr">
        <is>
          <t>150138 מדיק סנטר ר.א בע"מ</t>
        </is>
      </c>
      <c r="C464" s="94" t="inlineStr">
        <is>
          <t>CM43731</t>
        </is>
      </c>
      <c r="D464" s="94" t="inlineStr">
        <is>
          <t>CM</t>
        </is>
      </c>
      <c r="E464" s="102" t="n">
        <v>-661.75</v>
      </c>
      <c r="F464" s="94" t="n">
        <v>-2</v>
      </c>
      <c r="G464" s="102" t="n">
        <v>0</v>
      </c>
      <c r="H464" s="94" t="n">
        <v>0</v>
      </c>
    </row>
    <row r="465" ht="15" customHeight="1" s="82">
      <c r="A465" s="94" t="inlineStr">
        <is>
          <t>102 - Orthopedic institutes</t>
        </is>
      </c>
      <c r="B465" s="94" t="inlineStr">
        <is>
          <t>150138 מדיק סנטר ר.א בע"מ</t>
        </is>
      </c>
      <c r="C465" s="94" t="inlineStr">
        <is>
          <t>CM44422</t>
        </is>
      </c>
      <c r="D465" s="94" t="inlineStr">
        <is>
          <t>CM</t>
        </is>
      </c>
      <c r="E465" s="102" t="n">
        <v>0</v>
      </c>
      <c r="F465" s="94" t="n">
        <v>0</v>
      </c>
      <c r="G465" s="102" t="n">
        <v>-1020.01</v>
      </c>
      <c r="H465" s="94" t="n">
        <v>-7</v>
      </c>
    </row>
    <row r="466" ht="15" customHeight="1" s="82">
      <c r="A466" s="94" t="inlineStr">
        <is>
          <t>102 - Orthopedic institutes</t>
        </is>
      </c>
      <c r="B466" s="94" t="inlineStr">
        <is>
          <t>150138 מדיק סנטר ר.א בע"מ</t>
        </is>
      </c>
      <c r="C466" s="94" t="inlineStr">
        <is>
          <t>CM44469</t>
        </is>
      </c>
      <c r="D466" s="94" t="inlineStr">
        <is>
          <t>CM</t>
        </is>
      </c>
      <c r="E466" s="102" t="n">
        <v>0</v>
      </c>
      <c r="F466" s="94" t="n">
        <v>0</v>
      </c>
      <c r="G466" s="102" t="n">
        <v>-1341.08</v>
      </c>
      <c r="H466" s="94" t="n">
        <v>-20</v>
      </c>
    </row>
    <row r="467" ht="15" customHeight="1" s="82">
      <c r="A467" s="94" t="inlineStr">
        <is>
          <t>102 - Orthopedic institutes</t>
        </is>
      </c>
      <c r="B467" s="94" t="inlineStr">
        <is>
          <t>150139 מדילייט-אורטופדיה</t>
        </is>
      </c>
      <c r="C467" s="94" t="inlineStr">
        <is>
          <t>INV53189</t>
        </is>
      </c>
      <c r="D467" s="94" t="inlineStr">
        <is>
          <t>INV</t>
        </is>
      </c>
      <c r="E467" s="102" t="n">
        <v>4200.07</v>
      </c>
      <c r="F467" s="94" t="n">
        <v>30</v>
      </c>
      <c r="G467" s="102" t="n">
        <v>0</v>
      </c>
      <c r="H467" s="94" t="n">
        <v>0</v>
      </c>
    </row>
    <row r="468" ht="15" customHeight="1" s="82">
      <c r="A468" s="94" t="inlineStr">
        <is>
          <t>102 - Orthopedic institutes</t>
        </is>
      </c>
      <c r="B468" s="94" t="inlineStr">
        <is>
          <t>150139 מדילייט-אורטופדיה</t>
        </is>
      </c>
      <c r="C468" s="94" t="inlineStr">
        <is>
          <t>INV66677</t>
        </is>
      </c>
      <c r="D468" s="94" t="inlineStr">
        <is>
          <t>INV</t>
        </is>
      </c>
      <c r="E468" s="102" t="n">
        <v>3920.07</v>
      </c>
      <c r="F468" s="94" t="n">
        <v>28</v>
      </c>
      <c r="G468" s="102" t="n">
        <v>0</v>
      </c>
      <c r="H468" s="94" t="n">
        <v>0</v>
      </c>
    </row>
    <row r="469" ht="15" customHeight="1" s="82">
      <c r="A469" s="94" t="inlineStr">
        <is>
          <t>102 - Orthopedic institutes</t>
        </is>
      </c>
      <c r="B469" s="94" t="inlineStr">
        <is>
          <t>150139 מדילייט-אורטופדיה</t>
        </is>
      </c>
      <c r="C469" s="94" t="inlineStr">
        <is>
          <t>INV68982</t>
        </is>
      </c>
      <c r="D469" s="94" t="inlineStr">
        <is>
          <t>INV</t>
        </is>
      </c>
      <c r="E469" s="102" t="n">
        <v>0</v>
      </c>
      <c r="F469" s="94" t="n">
        <v>0</v>
      </c>
      <c r="G469" s="102" t="n">
        <v>3745.05</v>
      </c>
      <c r="H469" s="94" t="n">
        <v>30</v>
      </c>
    </row>
    <row r="470" ht="15" customHeight="1" s="82">
      <c r="A470" s="94" t="inlineStr">
        <is>
          <t>102 - Orthopedic institutes</t>
        </is>
      </c>
      <c r="B470" s="94" t="inlineStr">
        <is>
          <t>150139 מדילייט-אורטופדיה</t>
        </is>
      </c>
      <c r="C470" s="94" t="inlineStr">
        <is>
          <t>INV66180</t>
        </is>
      </c>
      <c r="D470" s="94" t="inlineStr">
        <is>
          <t>INV</t>
        </is>
      </c>
      <c r="E470" s="102" t="n">
        <v>3500.06</v>
      </c>
      <c r="F470" s="94" t="n">
        <v>25</v>
      </c>
      <c r="G470" s="102" t="n">
        <v>0</v>
      </c>
      <c r="H470" s="94" t="n">
        <v>0</v>
      </c>
    </row>
    <row r="471" ht="15" customHeight="1" s="82">
      <c r="A471" s="94" t="inlineStr">
        <is>
          <t>102 - Orthopedic institutes</t>
        </is>
      </c>
      <c r="B471" s="94" t="inlineStr">
        <is>
          <t>150139 מדילייט-אורטופדיה</t>
        </is>
      </c>
      <c r="C471" s="94" t="inlineStr">
        <is>
          <t>INV67373</t>
        </is>
      </c>
      <c r="D471" s="94" t="inlineStr">
        <is>
          <t>INV</t>
        </is>
      </c>
      <c r="E471" s="102" t="n">
        <v>0</v>
      </c>
      <c r="F471" s="94" t="n">
        <v>0</v>
      </c>
      <c r="G471" s="102" t="n">
        <v>3430.03</v>
      </c>
      <c r="H471" s="94" t="n">
        <v>31</v>
      </c>
    </row>
    <row r="472" ht="15" customHeight="1" s="82">
      <c r="A472" s="94" t="inlineStr">
        <is>
          <t>102 - Orthopedic institutes</t>
        </is>
      </c>
      <c r="B472" s="94" t="inlineStr">
        <is>
          <t>150139 מדילייט-אורטופדיה</t>
        </is>
      </c>
      <c r="C472" s="94" t="inlineStr">
        <is>
          <t>INV61927</t>
        </is>
      </c>
      <c r="D472" s="94" t="inlineStr">
        <is>
          <t>INV</t>
        </is>
      </c>
      <c r="E472" s="102" t="n">
        <v>3220.06</v>
      </c>
      <c r="F472" s="94" t="n">
        <v>23</v>
      </c>
      <c r="G472" s="102" t="n">
        <v>0</v>
      </c>
      <c r="H472" s="94" t="n">
        <v>0</v>
      </c>
    </row>
    <row r="473" ht="15" customHeight="1" s="82">
      <c r="A473" s="94" t="inlineStr">
        <is>
          <t>102 - Orthopedic institutes</t>
        </is>
      </c>
      <c r="B473" s="94" t="inlineStr">
        <is>
          <t>150139 מדילייט-אורטופדיה</t>
        </is>
      </c>
      <c r="C473" s="94" t="inlineStr">
        <is>
          <t>INV68638</t>
        </is>
      </c>
      <c r="D473" s="94" t="inlineStr">
        <is>
          <t>INV</t>
        </is>
      </c>
      <c r="E473" s="102" t="n">
        <v>0</v>
      </c>
      <c r="F473" s="94" t="n">
        <v>0</v>
      </c>
      <c r="G473" s="102" t="n">
        <v>3045.04</v>
      </c>
      <c r="H473" s="94" t="n">
        <v>25</v>
      </c>
    </row>
    <row r="474" ht="15" customHeight="1" s="82">
      <c r="A474" s="94" t="inlineStr">
        <is>
          <t>102 - Orthopedic institutes</t>
        </is>
      </c>
      <c r="B474" s="94" t="inlineStr">
        <is>
          <t>150139 מדילייט-אורטופדיה</t>
        </is>
      </c>
      <c r="C474" s="94" t="inlineStr">
        <is>
          <t>INV65680</t>
        </is>
      </c>
      <c r="D474" s="94" t="inlineStr">
        <is>
          <t>INV</t>
        </is>
      </c>
      <c r="E474" s="102" t="n">
        <v>2835.04</v>
      </c>
      <c r="F474" s="94" t="n">
        <v>22</v>
      </c>
      <c r="G474" s="102" t="n">
        <v>0</v>
      </c>
      <c r="H474" s="94" t="n">
        <v>0</v>
      </c>
    </row>
    <row r="475" ht="15" customHeight="1" s="82">
      <c r="A475" s="94" t="inlineStr">
        <is>
          <t>102 - Orthopedic institutes</t>
        </is>
      </c>
      <c r="B475" s="94" t="inlineStr">
        <is>
          <t>150139 מדילייט-אורטופדיה</t>
        </is>
      </c>
      <c r="C475" s="94" t="inlineStr">
        <is>
          <t>INV67728</t>
        </is>
      </c>
      <c r="D475" s="94" t="inlineStr">
        <is>
          <t>INV</t>
        </is>
      </c>
      <c r="E475" s="102" t="n">
        <v>0</v>
      </c>
      <c r="F475" s="94" t="n">
        <v>0</v>
      </c>
      <c r="G475" s="102" t="n">
        <v>2800.05</v>
      </c>
      <c r="H475" s="94" t="n">
        <v>20</v>
      </c>
    </row>
    <row r="476" ht="15" customHeight="1" s="82">
      <c r="A476" s="94" t="inlineStr">
        <is>
          <t>102 - Orthopedic institutes</t>
        </is>
      </c>
      <c r="B476" s="94" t="inlineStr">
        <is>
          <t>150139 מדילייט-אורטופדיה</t>
        </is>
      </c>
      <c r="C476" s="94" t="inlineStr">
        <is>
          <t>INV46049</t>
        </is>
      </c>
      <c r="D476" s="94" t="inlineStr">
        <is>
          <t>INV</t>
        </is>
      </c>
      <c r="E476" s="102" t="n">
        <v>2598.7</v>
      </c>
      <c r="F476" s="94" t="n">
        <v>26</v>
      </c>
      <c r="G476" s="102" t="n">
        <v>0</v>
      </c>
      <c r="H476" s="94" t="n">
        <v>0</v>
      </c>
    </row>
    <row r="477" ht="15" customHeight="1" s="82">
      <c r="A477" s="94" t="inlineStr">
        <is>
          <t>102 - Orthopedic institutes</t>
        </is>
      </c>
      <c r="B477" s="94" t="inlineStr">
        <is>
          <t>150139 מדילייט-אורטופדיה</t>
        </is>
      </c>
      <c r="C477" s="94" t="inlineStr">
        <is>
          <t>INV68856</t>
        </is>
      </c>
      <c r="D477" s="94" t="inlineStr">
        <is>
          <t>INV</t>
        </is>
      </c>
      <c r="E477" s="102" t="n">
        <v>0</v>
      </c>
      <c r="F477" s="94" t="n">
        <v>0</v>
      </c>
      <c r="G477" s="102" t="n">
        <v>2590.01</v>
      </c>
      <c r="H477" s="94" t="n">
        <v>25</v>
      </c>
    </row>
    <row r="478" ht="15" customHeight="1" s="82">
      <c r="A478" s="94" t="inlineStr">
        <is>
          <t>102 - Orthopedic institutes</t>
        </is>
      </c>
      <c r="B478" s="94" t="inlineStr">
        <is>
          <t>150139 מדילייט-אורטופדיה</t>
        </is>
      </c>
      <c r="C478" s="94" t="inlineStr">
        <is>
          <t>INV65899</t>
        </is>
      </c>
      <c r="D478" s="94" t="inlineStr">
        <is>
          <t>INV</t>
        </is>
      </c>
      <c r="E478" s="102" t="n">
        <v>2520.04</v>
      </c>
      <c r="F478" s="94" t="n">
        <v>18</v>
      </c>
      <c r="G478" s="102" t="n">
        <v>0</v>
      </c>
      <c r="H478" s="94" t="n">
        <v>0</v>
      </c>
    </row>
    <row r="479" ht="15" customHeight="1" s="82">
      <c r="A479" s="94" t="inlineStr">
        <is>
          <t>102 - Orthopedic institutes</t>
        </is>
      </c>
      <c r="B479" s="94" t="inlineStr">
        <is>
          <t>150139 מדילייט-אורטופדיה</t>
        </is>
      </c>
      <c r="C479" s="94" t="inlineStr">
        <is>
          <t>INV68504</t>
        </is>
      </c>
      <c r="D479" s="94" t="inlineStr">
        <is>
          <t>INV</t>
        </is>
      </c>
      <c r="E479" s="102" t="n">
        <v>0</v>
      </c>
      <c r="F479" s="94" t="n">
        <v>0</v>
      </c>
      <c r="G479" s="102" t="n">
        <v>2219</v>
      </c>
      <c r="H479" s="94" t="n">
        <v>23</v>
      </c>
    </row>
    <row r="480" ht="15" customHeight="1" s="82">
      <c r="A480" s="94" t="inlineStr">
        <is>
          <t>102 - Orthopedic institutes</t>
        </is>
      </c>
      <c r="B480" s="94" t="inlineStr">
        <is>
          <t>150139 מדילייט-אורטופדיה</t>
        </is>
      </c>
      <c r="C480" s="94" t="inlineStr">
        <is>
          <t>INV64436</t>
        </is>
      </c>
      <c r="D480" s="94" t="inlineStr">
        <is>
          <t>INV</t>
        </is>
      </c>
      <c r="E480" s="102" t="n">
        <v>2100.04</v>
      </c>
      <c r="F480" s="94" t="n">
        <v>15</v>
      </c>
      <c r="G480" s="102" t="n">
        <v>0</v>
      </c>
      <c r="H480" s="94" t="n">
        <v>0</v>
      </c>
    </row>
    <row r="481" ht="15" customHeight="1" s="82">
      <c r="A481" s="94" t="inlineStr">
        <is>
          <t>102 - Orthopedic institutes</t>
        </is>
      </c>
      <c r="B481" s="94" t="inlineStr">
        <is>
          <t>150139 מדילייט-אורטופדיה</t>
        </is>
      </c>
      <c r="C481" s="94" t="inlineStr">
        <is>
          <t>INV68081</t>
        </is>
      </c>
      <c r="D481" s="94" t="inlineStr">
        <is>
          <t>INV</t>
        </is>
      </c>
      <c r="E481" s="102" t="n">
        <v>0</v>
      </c>
      <c r="F481" s="94" t="n">
        <v>0</v>
      </c>
      <c r="G481" s="102" t="n">
        <v>1960.03</v>
      </c>
      <c r="H481" s="94" t="n">
        <v>14</v>
      </c>
    </row>
    <row r="482" ht="15" customHeight="1" s="82">
      <c r="A482" s="94" t="inlineStr">
        <is>
          <t>102 - Orthopedic institutes</t>
        </is>
      </c>
      <c r="B482" s="94" t="inlineStr">
        <is>
          <t>150139 מדילייט-אורטופדיה</t>
        </is>
      </c>
      <c r="C482" s="94" t="inlineStr">
        <is>
          <t>INV42287</t>
        </is>
      </c>
      <c r="D482" s="94" t="inlineStr">
        <is>
          <t>INV</t>
        </is>
      </c>
      <c r="E482" s="102" t="n">
        <v>1905</v>
      </c>
      <c r="F482" s="94" t="n">
        <v>15</v>
      </c>
      <c r="G482" s="102" t="n">
        <v>0</v>
      </c>
      <c r="H482" s="94" t="n">
        <v>0</v>
      </c>
    </row>
    <row r="483" ht="15" customHeight="1" s="82">
      <c r="A483" s="94" t="inlineStr">
        <is>
          <t>102 - Orthopedic institutes</t>
        </is>
      </c>
      <c r="B483" s="94" t="inlineStr">
        <is>
          <t>150139 מדילייט-אורטופדיה</t>
        </is>
      </c>
      <c r="C483" s="94" t="inlineStr">
        <is>
          <t>INV66418</t>
        </is>
      </c>
      <c r="D483" s="94" t="inlineStr">
        <is>
          <t>INV</t>
        </is>
      </c>
      <c r="E483" s="102" t="n">
        <v>1554.98</v>
      </c>
      <c r="F483" s="94" t="n">
        <v>12</v>
      </c>
      <c r="G483" s="102" t="n">
        <v>0</v>
      </c>
      <c r="H483" s="94" t="n">
        <v>0</v>
      </c>
    </row>
    <row r="484" ht="15" customHeight="1" s="82">
      <c r="A484" s="94" t="inlineStr">
        <is>
          <t>102 - Orthopedic institutes</t>
        </is>
      </c>
      <c r="B484" s="94" t="inlineStr">
        <is>
          <t>150139 מדילייט-אורטופדיה</t>
        </is>
      </c>
      <c r="C484" s="94" t="inlineStr">
        <is>
          <t>INV56426</t>
        </is>
      </c>
      <c r="D484" s="94" t="inlineStr">
        <is>
          <t>INV</t>
        </is>
      </c>
      <c r="E484" s="102" t="n">
        <v>1548.26</v>
      </c>
      <c r="F484" s="94" t="n">
        <v>16</v>
      </c>
      <c r="G484" s="102" t="n">
        <v>0</v>
      </c>
      <c r="H484" s="94" t="n">
        <v>0</v>
      </c>
    </row>
    <row r="485" ht="15" customHeight="1" s="82">
      <c r="A485" s="94" t="inlineStr">
        <is>
          <t>102 - Orthopedic institutes</t>
        </is>
      </c>
      <c r="B485" s="94" t="inlineStr">
        <is>
          <t>150139 מדילייט-אורטופדיה</t>
        </is>
      </c>
      <c r="C485" s="94" t="inlineStr">
        <is>
          <t>INV65480</t>
        </is>
      </c>
      <c r="D485" s="94" t="inlineStr">
        <is>
          <t>INV</t>
        </is>
      </c>
      <c r="E485" s="102" t="n">
        <v>1530.02</v>
      </c>
      <c r="F485" s="94" t="n">
        <v>11</v>
      </c>
      <c r="G485" s="102" t="n">
        <v>0</v>
      </c>
      <c r="H485" s="94" t="n">
        <v>0</v>
      </c>
    </row>
    <row r="486" ht="15" customHeight="1" s="82">
      <c r="A486" s="94" t="inlineStr">
        <is>
          <t>102 - Orthopedic institutes</t>
        </is>
      </c>
      <c r="B486" s="94" t="inlineStr">
        <is>
          <t>150139 מדילייט-אורטופדיה</t>
        </is>
      </c>
      <c r="C486" s="94" t="inlineStr">
        <is>
          <t>INV69325</t>
        </is>
      </c>
      <c r="D486" s="94" t="inlineStr">
        <is>
          <t>INV</t>
        </is>
      </c>
      <c r="E486" s="102" t="n">
        <v>0</v>
      </c>
      <c r="F486" s="94" t="n">
        <v>0</v>
      </c>
      <c r="G486" s="102" t="n">
        <v>1400.02</v>
      </c>
      <c r="H486" s="94" t="n">
        <v>10</v>
      </c>
    </row>
    <row r="487" ht="15" customHeight="1" s="82">
      <c r="A487" s="94" t="inlineStr">
        <is>
          <t>102 - Orthopedic institutes</t>
        </is>
      </c>
      <c r="B487" s="94" t="inlineStr">
        <is>
          <t>150139 מדילייט-אורטופדיה</t>
        </is>
      </c>
      <c r="C487" s="94" t="inlineStr">
        <is>
          <t>INV69226</t>
        </is>
      </c>
      <c r="D487" s="94" t="inlineStr">
        <is>
          <t>INV</t>
        </is>
      </c>
      <c r="E487" s="102" t="n">
        <v>0</v>
      </c>
      <c r="F487" s="94" t="n">
        <v>0</v>
      </c>
      <c r="G487" s="102" t="n">
        <v>1400.02</v>
      </c>
      <c r="H487" s="94" t="n">
        <v>10</v>
      </c>
    </row>
    <row r="488" ht="15" customHeight="1" s="82">
      <c r="A488" s="94" t="inlineStr">
        <is>
          <t>102 - Orthopedic institutes</t>
        </is>
      </c>
      <c r="B488" s="94" t="inlineStr">
        <is>
          <t>150139 מדילייט-אורטופדיה</t>
        </is>
      </c>
      <c r="C488" s="94" t="inlineStr">
        <is>
          <t>INV66498</t>
        </is>
      </c>
      <c r="D488" s="94" t="inlineStr">
        <is>
          <t>INV</t>
        </is>
      </c>
      <c r="E488" s="102" t="n">
        <v>1322.93</v>
      </c>
      <c r="F488" s="94" t="n">
        <v>27</v>
      </c>
      <c r="G488" s="102" t="n">
        <v>0</v>
      </c>
      <c r="H488" s="94" t="n">
        <v>0</v>
      </c>
    </row>
    <row r="489" ht="15" customHeight="1" s="82">
      <c r="A489" s="94" t="inlineStr">
        <is>
          <t>102 - Orthopedic institutes</t>
        </is>
      </c>
      <c r="B489" s="94" t="inlineStr">
        <is>
          <t>150139 מדילייט-אורטופדיה</t>
        </is>
      </c>
      <c r="C489" s="94" t="inlineStr">
        <is>
          <t>INV46834</t>
        </is>
      </c>
      <c r="D489" s="94" t="inlineStr">
        <is>
          <t>INV</t>
        </is>
      </c>
      <c r="E489" s="102" t="n">
        <v>1270</v>
      </c>
      <c r="F489" s="94" t="n">
        <v>10</v>
      </c>
      <c r="G489" s="102" t="n">
        <v>0</v>
      </c>
      <c r="H489" s="94" t="n">
        <v>0</v>
      </c>
    </row>
    <row r="490" ht="15" customHeight="1" s="82">
      <c r="A490" s="94" t="inlineStr">
        <is>
          <t>102 - Orthopedic institutes</t>
        </is>
      </c>
      <c r="B490" s="94" t="inlineStr">
        <is>
          <t>150139 מדילייט-אורטופדיה</t>
        </is>
      </c>
      <c r="C490" s="94" t="inlineStr">
        <is>
          <t>INV41490</t>
        </is>
      </c>
      <c r="D490" s="94" t="inlineStr">
        <is>
          <t>INV</t>
        </is>
      </c>
      <c r="E490" s="102" t="n">
        <v>1270</v>
      </c>
      <c r="F490" s="94" t="n">
        <v>10</v>
      </c>
      <c r="G490" s="102" t="n">
        <v>0</v>
      </c>
      <c r="H490" s="94" t="n">
        <v>0</v>
      </c>
    </row>
    <row r="491" ht="15" customHeight="1" s="82">
      <c r="A491" s="94" t="inlineStr">
        <is>
          <t>102 - Orthopedic institutes</t>
        </is>
      </c>
      <c r="B491" s="94" t="inlineStr">
        <is>
          <t>150139 מדילייט-אורטופדיה</t>
        </is>
      </c>
      <c r="C491" s="94" t="inlineStr">
        <is>
          <t>INV67838</t>
        </is>
      </c>
      <c r="D491" s="94" t="inlineStr">
        <is>
          <t>INV</t>
        </is>
      </c>
      <c r="E491" s="102" t="n">
        <v>0</v>
      </c>
      <c r="F491" s="94" t="n">
        <v>0</v>
      </c>
      <c r="G491" s="102" t="n">
        <v>1107.54</v>
      </c>
      <c r="H491" s="94" t="n">
        <v>12</v>
      </c>
    </row>
    <row r="492" ht="15" customHeight="1" s="82">
      <c r="A492" s="94" t="inlineStr">
        <is>
          <t>102 - Orthopedic institutes</t>
        </is>
      </c>
      <c r="B492" s="94" t="inlineStr">
        <is>
          <t>150139 מדילייט-אורטופדיה</t>
        </is>
      </c>
      <c r="C492" s="94" t="inlineStr">
        <is>
          <t>INV65524</t>
        </is>
      </c>
      <c r="D492" s="94" t="inlineStr">
        <is>
          <t>INV</t>
        </is>
      </c>
      <c r="E492" s="102" t="n">
        <v>1077.94</v>
      </c>
      <c r="F492" s="94" t="n">
        <v>22</v>
      </c>
      <c r="G492" s="102" t="n">
        <v>0</v>
      </c>
      <c r="H492" s="94" t="n">
        <v>0</v>
      </c>
    </row>
    <row r="493" ht="15" customHeight="1" s="82">
      <c r="A493" s="94" t="inlineStr">
        <is>
          <t>102 - Orthopedic institutes</t>
        </is>
      </c>
      <c r="B493" s="94" t="inlineStr">
        <is>
          <t>150139 מדילייט-אורטופדיה</t>
        </is>
      </c>
      <c r="C493" s="94" t="inlineStr">
        <is>
          <t>INV68045</t>
        </is>
      </c>
      <c r="D493" s="94" t="inlineStr">
        <is>
          <t>INV</t>
        </is>
      </c>
      <c r="E493" s="102" t="n">
        <v>0</v>
      </c>
      <c r="F493" s="94" t="n">
        <v>0</v>
      </c>
      <c r="G493" s="102" t="n">
        <v>1036.42</v>
      </c>
      <c r="H493" s="94" t="n">
        <v>13</v>
      </c>
    </row>
    <row r="494" ht="15" customHeight="1" s="82">
      <c r="A494" s="94" t="inlineStr">
        <is>
          <t>102 - Orthopedic institutes</t>
        </is>
      </c>
      <c r="B494" s="94" t="inlineStr">
        <is>
          <t>150139 מדילייט-אורטופדיה</t>
        </is>
      </c>
      <c r="C494" s="94" t="inlineStr">
        <is>
          <t>INV42290</t>
        </is>
      </c>
      <c r="D494" s="94" t="inlineStr">
        <is>
          <t>INV</t>
        </is>
      </c>
      <c r="E494" s="102" t="n">
        <v>566.77</v>
      </c>
      <c r="F494" s="94" t="n">
        <v>10</v>
      </c>
      <c r="G494" s="102" t="n">
        <v>0</v>
      </c>
      <c r="H494" s="94" t="n">
        <v>0</v>
      </c>
    </row>
    <row r="495" ht="15" customHeight="1" s="82">
      <c r="A495" s="94" t="inlineStr">
        <is>
          <t>102 - Orthopedic institutes</t>
        </is>
      </c>
      <c r="B495" s="94" t="inlineStr">
        <is>
          <t>150139 מדילייט-אורטופדיה</t>
        </is>
      </c>
      <c r="C495" s="94" t="inlineStr">
        <is>
          <t>INV66832</t>
        </is>
      </c>
      <c r="D495" s="94" t="inlineStr">
        <is>
          <t>INV</t>
        </is>
      </c>
      <c r="E495" s="102" t="n">
        <v>525</v>
      </c>
      <c r="F495" s="94" t="n">
        <v>5</v>
      </c>
      <c r="G495" s="102" t="n">
        <v>0</v>
      </c>
      <c r="H495" s="94" t="n">
        <v>0</v>
      </c>
    </row>
    <row r="496" ht="15" customHeight="1" s="82">
      <c r="A496" s="94" t="inlineStr">
        <is>
          <t>102 - Orthopedic institutes</t>
        </is>
      </c>
      <c r="B496" s="94" t="inlineStr">
        <is>
          <t>150139 מדילייט-אורטופדיה</t>
        </is>
      </c>
      <c r="C496" s="94" t="inlineStr">
        <is>
          <t>INV62656</t>
        </is>
      </c>
      <c r="D496" s="94" t="inlineStr">
        <is>
          <t>INV</t>
        </is>
      </c>
      <c r="E496" s="102" t="n">
        <v>420</v>
      </c>
      <c r="F496" s="94" t="n">
        <v>4</v>
      </c>
      <c r="G496" s="102" t="n">
        <v>0</v>
      </c>
      <c r="H496" s="94" t="n">
        <v>0</v>
      </c>
    </row>
    <row r="497" ht="15" customHeight="1" s="82">
      <c r="A497" s="94" t="inlineStr">
        <is>
          <t>102 - Orthopedic institutes</t>
        </is>
      </c>
      <c r="B497" s="94" t="inlineStr">
        <is>
          <t>150139 מדילייט-אורטופדיה</t>
        </is>
      </c>
      <c r="C497" s="94" t="inlineStr">
        <is>
          <t>INV53343</t>
        </is>
      </c>
      <c r="D497" s="94" t="inlineStr">
        <is>
          <t>INV</t>
        </is>
      </c>
      <c r="E497" s="102" t="n">
        <v>293.98</v>
      </c>
      <c r="F497" s="94" t="n">
        <v>6</v>
      </c>
      <c r="G497" s="102" t="n">
        <v>0</v>
      </c>
      <c r="H497" s="94" t="n">
        <v>0</v>
      </c>
    </row>
    <row r="498" ht="15" customHeight="1" s="82">
      <c r="A498" s="94" t="inlineStr">
        <is>
          <t>102 - Orthopedic institutes</t>
        </is>
      </c>
      <c r="B498" s="94" t="inlineStr">
        <is>
          <t>150139 מדילייט-אורטופדיה</t>
        </is>
      </c>
      <c r="C498" s="94" t="inlineStr">
        <is>
          <t>CM43612</t>
        </is>
      </c>
      <c r="D498" s="94" t="inlineStr">
        <is>
          <t>CM</t>
        </is>
      </c>
      <c r="E498" s="102" t="n">
        <v>-888</v>
      </c>
      <c r="F498" s="94" t="n">
        <v>-4</v>
      </c>
      <c r="G498" s="102" t="n">
        <v>0</v>
      </c>
      <c r="H498" s="94" t="n">
        <v>0</v>
      </c>
    </row>
    <row r="499" ht="15" customHeight="1" s="82">
      <c r="A499" s="94" t="inlineStr">
        <is>
          <t>102 - Orthopedic institutes</t>
        </is>
      </c>
      <c r="B499" s="94" t="inlineStr">
        <is>
          <t>150147 ריאד נופי ובנוי בע"מ</t>
        </is>
      </c>
      <c r="C499" s="94" t="inlineStr">
        <is>
          <t>INV66576</t>
        </is>
      </c>
      <c r="D499" s="94" t="inlineStr">
        <is>
          <t>INV</t>
        </is>
      </c>
      <c r="E499" s="102" t="n">
        <v>1350</v>
      </c>
      <c r="F499" s="94" t="n">
        <v>10</v>
      </c>
      <c r="G499" s="102" t="n">
        <v>0</v>
      </c>
      <c r="H499" s="94" t="n">
        <v>0</v>
      </c>
    </row>
    <row r="500" ht="15" customHeight="1" s="82">
      <c r="A500" s="94" t="inlineStr">
        <is>
          <t>102 - Orthopedic institutes</t>
        </is>
      </c>
      <c r="B500" s="94" t="inlineStr">
        <is>
          <t>150147 ריאד נופי ובנוי בע"מ</t>
        </is>
      </c>
      <c r="C500" s="94" t="inlineStr">
        <is>
          <t>INV68667</t>
        </is>
      </c>
      <c r="D500" s="94" t="inlineStr">
        <is>
          <t>INV</t>
        </is>
      </c>
      <c r="E500" s="102" t="n">
        <v>0</v>
      </c>
      <c r="F500" s="94" t="n">
        <v>0</v>
      </c>
      <c r="G500" s="102" t="n">
        <v>1350</v>
      </c>
      <c r="H500" s="94" t="n">
        <v>10</v>
      </c>
    </row>
    <row r="501" ht="15" customHeight="1" s="82">
      <c r="A501" s="94" t="inlineStr">
        <is>
          <t>102 - Orthopedic institutes</t>
        </is>
      </c>
      <c r="B501" s="94" t="inlineStr">
        <is>
          <t>150148 מ.בריאותי רגל-ג.ע.ש</t>
        </is>
      </c>
      <c r="C501" s="94" t="inlineStr">
        <is>
          <t>INV67420</t>
        </is>
      </c>
      <c r="D501" s="94" t="inlineStr">
        <is>
          <t>INV</t>
        </is>
      </c>
      <c r="E501" s="102" t="n">
        <v>0</v>
      </c>
      <c r="F501" s="94" t="n">
        <v>0</v>
      </c>
      <c r="G501" s="102" t="n">
        <v>1200.01</v>
      </c>
      <c r="H501" s="94" t="n">
        <v>12</v>
      </c>
    </row>
    <row r="502" ht="15" customHeight="1" s="82">
      <c r="A502" s="94" t="inlineStr">
        <is>
          <t>102 - Orthopedic institutes</t>
        </is>
      </c>
      <c r="B502" s="94" t="inlineStr">
        <is>
          <t>150148 מ.בריאותי רגל-ג.ע.ש</t>
        </is>
      </c>
      <c r="C502" s="94" t="inlineStr">
        <is>
          <t>INV68548</t>
        </is>
      </c>
      <c r="D502" s="94" t="inlineStr">
        <is>
          <t>INV</t>
        </is>
      </c>
      <c r="E502" s="102" t="n">
        <v>0</v>
      </c>
      <c r="F502" s="94" t="n">
        <v>0</v>
      </c>
      <c r="G502" s="102" t="n">
        <v>1040.01</v>
      </c>
      <c r="H502" s="94" t="n">
        <v>4</v>
      </c>
    </row>
    <row r="503" ht="15" customHeight="1" s="82">
      <c r="A503" s="94" t="inlineStr">
        <is>
          <t>102 - Orthopedic institutes</t>
        </is>
      </c>
      <c r="B503" s="94" t="inlineStr">
        <is>
          <t>150148 מ.בריאותי רגל-ג.ע.ש</t>
        </is>
      </c>
      <c r="C503" s="94" t="inlineStr">
        <is>
          <t>INV42780</t>
        </is>
      </c>
      <c r="D503" s="94" t="inlineStr">
        <is>
          <t>INV</t>
        </is>
      </c>
      <c r="E503" s="102" t="n">
        <v>888</v>
      </c>
      <c r="F503" s="94" t="n">
        <v>4</v>
      </c>
      <c r="G503" s="102" t="n">
        <v>0</v>
      </c>
      <c r="H503" s="94" t="n">
        <v>0</v>
      </c>
    </row>
    <row r="504" ht="15" customHeight="1" s="82">
      <c r="A504" s="94" t="inlineStr">
        <is>
          <t>102 - Orthopedic institutes</t>
        </is>
      </c>
      <c r="B504" s="94" t="inlineStr">
        <is>
          <t>150148 מ.בריאותי רגל-ג.ע.ש</t>
        </is>
      </c>
      <c r="C504" s="94" t="inlineStr">
        <is>
          <t>INV66845</t>
        </is>
      </c>
      <c r="D504" s="94" t="inlineStr">
        <is>
          <t>INV</t>
        </is>
      </c>
      <c r="E504" s="102" t="n">
        <v>780.01</v>
      </c>
      <c r="F504" s="94" t="n">
        <v>3</v>
      </c>
      <c r="G504" s="102" t="n">
        <v>0</v>
      </c>
      <c r="H504" s="94" t="n">
        <v>0</v>
      </c>
    </row>
    <row r="505" ht="15" customHeight="1" s="82">
      <c r="A505" s="94" t="inlineStr">
        <is>
          <t>102 - Orthopedic institutes</t>
        </is>
      </c>
      <c r="B505" s="94" t="inlineStr">
        <is>
          <t>150148 מ.בריאותי רגל-ג.ע.ש</t>
        </is>
      </c>
      <c r="C505" s="94" t="inlineStr">
        <is>
          <t>INV50032</t>
        </is>
      </c>
      <c r="D505" s="94" t="inlineStr">
        <is>
          <t>INV</t>
        </is>
      </c>
      <c r="E505" s="102" t="n">
        <v>543</v>
      </c>
      <c r="F505" s="94" t="n">
        <v>3</v>
      </c>
      <c r="G505" s="102" t="n">
        <v>0</v>
      </c>
      <c r="H505" s="94" t="n">
        <v>0</v>
      </c>
    </row>
    <row r="506" ht="15" customHeight="1" s="82">
      <c r="A506" s="94" t="inlineStr">
        <is>
          <t>102 - Orthopedic institutes</t>
        </is>
      </c>
      <c r="B506" s="94" t="inlineStr">
        <is>
          <t>150148 מ.בריאותי רגל-ג.ע.ש</t>
        </is>
      </c>
      <c r="C506" s="94" t="inlineStr">
        <is>
          <t>CM44322</t>
        </is>
      </c>
      <c r="D506" s="94" t="inlineStr">
        <is>
          <t>CM</t>
        </is>
      </c>
      <c r="E506" s="102" t="n">
        <v>0</v>
      </c>
      <c r="F506" s="94" t="n">
        <v>0</v>
      </c>
      <c r="G506" s="102" t="n">
        <v>-1200.01</v>
      </c>
      <c r="H506" s="94" t="n">
        <v>-12</v>
      </c>
    </row>
    <row r="507" ht="15" customHeight="1" s="82">
      <c r="A507" s="94" t="inlineStr">
        <is>
          <t>102 - Orthopedic institutes</t>
        </is>
      </c>
      <c r="B507" s="94" t="inlineStr">
        <is>
          <t>150149 באלנס אורטופדיה אורי שחר</t>
        </is>
      </c>
      <c r="C507" s="94" t="inlineStr">
        <is>
          <t>INV68532</t>
        </is>
      </c>
      <c r="D507" s="94" t="inlineStr">
        <is>
          <t>INV</t>
        </is>
      </c>
      <c r="E507" s="102" t="n">
        <v>0</v>
      </c>
      <c r="F507" s="94" t="n">
        <v>0</v>
      </c>
      <c r="G507" s="102" t="n">
        <v>2629.24</v>
      </c>
      <c r="H507" s="94" t="n">
        <v>15</v>
      </c>
    </row>
    <row r="508" ht="15" customHeight="1" s="82">
      <c r="A508" s="94" t="inlineStr">
        <is>
          <t>102 - Orthopedic institutes</t>
        </is>
      </c>
      <c r="B508" s="94" t="inlineStr">
        <is>
          <t>150149 באלנס אורטופדיה אורי שחר</t>
        </is>
      </c>
      <c r="C508" s="94" t="inlineStr">
        <is>
          <t>INV60235</t>
        </is>
      </c>
      <c r="D508" s="94" t="inlineStr">
        <is>
          <t>INV</t>
        </is>
      </c>
      <c r="E508" s="102" t="n">
        <v>780.01</v>
      </c>
      <c r="F508" s="94" t="n">
        <v>3</v>
      </c>
      <c r="G508" s="102" t="n">
        <v>0</v>
      </c>
      <c r="H508" s="94" t="n">
        <v>0</v>
      </c>
    </row>
    <row r="509" ht="15" customHeight="1" s="82">
      <c r="A509" s="94" t="inlineStr">
        <is>
          <t>102 - Orthopedic institutes</t>
        </is>
      </c>
      <c r="B509" s="94" t="inlineStr">
        <is>
          <t>150149 באלנס אורטופדיה אורי שחר</t>
        </is>
      </c>
      <c r="C509" s="94" t="inlineStr">
        <is>
          <t>INV68788</t>
        </is>
      </c>
      <c r="D509" s="94" t="inlineStr">
        <is>
          <t>INV</t>
        </is>
      </c>
      <c r="E509" s="102" t="n">
        <v>0</v>
      </c>
      <c r="F509" s="94" t="n">
        <v>0</v>
      </c>
      <c r="G509" s="102" t="n">
        <v>770.01</v>
      </c>
      <c r="H509" s="94" t="n">
        <v>4</v>
      </c>
    </row>
    <row r="510" ht="15" customHeight="1" s="82">
      <c r="A510" s="94" t="inlineStr">
        <is>
          <t>102 - Orthopedic institutes</t>
        </is>
      </c>
      <c r="B510" s="94" t="inlineStr">
        <is>
          <t>150149 באלנס אורטופדיה אורי שחר</t>
        </is>
      </c>
      <c r="C510" s="94" t="inlineStr">
        <is>
          <t>INV67737</t>
        </is>
      </c>
      <c r="D510" s="94" t="inlineStr">
        <is>
          <t>INV</t>
        </is>
      </c>
      <c r="E510" s="102" t="n">
        <v>0</v>
      </c>
      <c r="F510" s="94" t="n">
        <v>0</v>
      </c>
      <c r="G510" s="102" t="n">
        <v>770.01</v>
      </c>
      <c r="H510" s="94" t="n">
        <v>4</v>
      </c>
    </row>
    <row r="511" ht="15" customHeight="1" s="82">
      <c r="A511" s="94" t="inlineStr">
        <is>
          <t>102 - Orthopedic institutes</t>
        </is>
      </c>
      <c r="B511" s="94" t="inlineStr">
        <is>
          <t>150149 באלנס אורטופדיה אורי שחר</t>
        </is>
      </c>
      <c r="C511" s="94" t="inlineStr">
        <is>
          <t>INV57934</t>
        </is>
      </c>
      <c r="D511" s="94" t="inlineStr">
        <is>
          <t>INV</t>
        </is>
      </c>
      <c r="E511" s="102" t="n">
        <v>560.01</v>
      </c>
      <c r="F511" s="94" t="n">
        <v>4</v>
      </c>
      <c r="G511" s="102" t="n">
        <v>0</v>
      </c>
      <c r="H511" s="94" t="n">
        <v>0</v>
      </c>
    </row>
    <row r="512" ht="15" customHeight="1" s="82">
      <c r="A512" s="94" t="inlineStr">
        <is>
          <t>102 - Orthopedic institutes</t>
        </is>
      </c>
      <c r="B512" s="94" t="inlineStr">
        <is>
          <t>150149 באלנס אורטופדיה אורי שחר</t>
        </is>
      </c>
      <c r="C512" s="94" t="inlineStr">
        <is>
          <t>INV54536</t>
        </is>
      </c>
      <c r="D512" s="94" t="inlineStr">
        <is>
          <t>INV</t>
        </is>
      </c>
      <c r="E512" s="102" t="n">
        <v>435</v>
      </c>
      <c r="F512" s="94" t="n">
        <v>2</v>
      </c>
      <c r="G512" s="102" t="n">
        <v>0</v>
      </c>
      <c r="H512" s="94" t="n">
        <v>0</v>
      </c>
    </row>
    <row r="513" ht="15" customHeight="1" s="82">
      <c r="A513" s="94" t="inlineStr">
        <is>
          <t>102 - Orthopedic institutes</t>
        </is>
      </c>
      <c r="B513" s="94" t="inlineStr">
        <is>
          <t>150149 באלנס אורטופדיה אורי שחר</t>
        </is>
      </c>
      <c r="C513" s="94" t="inlineStr">
        <is>
          <t>INV68108</t>
        </is>
      </c>
      <c r="D513" s="94" t="inlineStr">
        <is>
          <t>INV</t>
        </is>
      </c>
      <c r="E513" s="102" t="n">
        <v>0</v>
      </c>
      <c r="F513" s="94" t="n">
        <v>0</v>
      </c>
      <c r="G513" s="102" t="n">
        <v>420.01</v>
      </c>
      <c r="H513" s="94" t="n">
        <v>3</v>
      </c>
    </row>
    <row r="514" ht="15" customHeight="1" s="82">
      <c r="A514" s="94" t="inlineStr">
        <is>
          <t>102 - Orthopedic institutes</t>
        </is>
      </c>
      <c r="B514" s="94" t="inlineStr">
        <is>
          <t>150149 באלנס אורטופדיה אורי שחר</t>
        </is>
      </c>
      <c r="C514" s="94" t="inlineStr">
        <is>
          <t>INV67358</t>
        </is>
      </c>
      <c r="D514" s="94" t="inlineStr">
        <is>
          <t>INV</t>
        </is>
      </c>
      <c r="E514" s="102" t="n">
        <v>0</v>
      </c>
      <c r="F514" s="94" t="n">
        <v>0</v>
      </c>
      <c r="G514" s="102" t="n">
        <v>350</v>
      </c>
      <c r="H514" s="94" t="n">
        <v>1</v>
      </c>
    </row>
    <row r="515" ht="15" customHeight="1" s="82">
      <c r="A515" s="94" t="inlineStr">
        <is>
          <t>102 - Orthopedic institutes</t>
        </is>
      </c>
      <c r="B515" s="94" t="inlineStr">
        <is>
          <t>150149 באלנס אורטופדיה אורי שחר</t>
        </is>
      </c>
      <c r="C515" s="94" t="inlineStr">
        <is>
          <t>INV40373</t>
        </is>
      </c>
      <c r="D515" s="94" t="inlineStr">
        <is>
          <t>INV</t>
        </is>
      </c>
      <c r="E515" s="102" t="n">
        <v>320.5</v>
      </c>
      <c r="F515" s="94" t="n">
        <v>3</v>
      </c>
      <c r="G515" s="102" t="n">
        <v>0</v>
      </c>
      <c r="H515" s="94" t="n">
        <v>0</v>
      </c>
    </row>
    <row r="516" ht="15" customHeight="1" s="82">
      <c r="A516" s="94" t="inlineStr">
        <is>
          <t>102 - Orthopedic institutes</t>
        </is>
      </c>
      <c r="B516" s="94" t="inlineStr">
        <is>
          <t>150149 באלנס אורטופדיה אורי שחר</t>
        </is>
      </c>
      <c r="C516" s="94" t="inlineStr">
        <is>
          <t>INV65980</t>
        </is>
      </c>
      <c r="D516" s="94" t="inlineStr">
        <is>
          <t>INV</t>
        </is>
      </c>
      <c r="E516" s="102" t="n">
        <v>133.07</v>
      </c>
      <c r="F516" s="94" t="n">
        <v>2</v>
      </c>
      <c r="G516" s="102" t="n">
        <v>0</v>
      </c>
      <c r="H516" s="94" t="n">
        <v>0</v>
      </c>
    </row>
    <row r="517" ht="15" customHeight="1" s="82">
      <c r="A517" s="94" t="inlineStr">
        <is>
          <t>102 - Orthopedic institutes</t>
        </is>
      </c>
      <c r="B517" s="94" t="inlineStr">
        <is>
          <t>150160 המ.הבריאותי לרגל בע"מ</t>
        </is>
      </c>
      <c r="C517" s="94" t="inlineStr">
        <is>
          <t>INV67381</t>
        </is>
      </c>
      <c r="D517" s="94" t="inlineStr">
        <is>
          <t>INV</t>
        </is>
      </c>
      <c r="E517" s="102" t="n">
        <v>0</v>
      </c>
      <c r="F517" s="94" t="n">
        <v>0</v>
      </c>
      <c r="G517" s="102" t="n">
        <v>412.29</v>
      </c>
      <c r="H517" s="94" t="n">
        <v>4</v>
      </c>
    </row>
    <row r="518" ht="15" customHeight="1" s="82">
      <c r="A518" s="94" t="inlineStr">
        <is>
          <t>102 - Orthopedic institutes</t>
        </is>
      </c>
      <c r="B518" s="94" t="inlineStr">
        <is>
          <t>150160 המ.הבריאותי לרגל בע"מ</t>
        </is>
      </c>
      <c r="C518" s="94" t="inlineStr">
        <is>
          <t>INV54124</t>
        </is>
      </c>
      <c r="D518" s="94" t="inlineStr">
        <is>
          <t>INV</t>
        </is>
      </c>
      <c r="E518" s="102" t="n">
        <v>290</v>
      </c>
      <c r="F518" s="94" t="n">
        <v>2</v>
      </c>
      <c r="G518" s="102" t="n">
        <v>0</v>
      </c>
      <c r="H518" s="94" t="n">
        <v>0</v>
      </c>
    </row>
    <row r="519" ht="15" customHeight="1" s="82">
      <c r="A519" s="94" t="inlineStr">
        <is>
          <t>102 - Orthopedic institutes</t>
        </is>
      </c>
      <c r="B519" s="94" t="inlineStr">
        <is>
          <t>150160 המ.הבריאותי לרגל בע"מ</t>
        </is>
      </c>
      <c r="C519" s="94" t="inlineStr">
        <is>
          <t>INV68672</t>
        </is>
      </c>
      <c r="D519" s="94" t="inlineStr">
        <is>
          <t>INV</t>
        </is>
      </c>
      <c r="E519" s="102" t="n">
        <v>0</v>
      </c>
      <c r="F519" s="94" t="n">
        <v>0</v>
      </c>
      <c r="G519" s="102" t="n">
        <v>236.14</v>
      </c>
      <c r="H519" s="94" t="n">
        <v>3</v>
      </c>
    </row>
    <row r="520" ht="15" customHeight="1" s="82">
      <c r="A520" s="94" t="inlineStr">
        <is>
          <t>102 - Orthopedic institutes</t>
        </is>
      </c>
      <c r="B520" s="94" t="inlineStr">
        <is>
          <t>150160 המ.הבריאותי לרגל בע"מ</t>
        </is>
      </c>
      <c r="C520" s="94" t="inlineStr">
        <is>
          <t>INV67766</t>
        </is>
      </c>
      <c r="D520" s="94" t="inlineStr">
        <is>
          <t>INV</t>
        </is>
      </c>
      <c r="E520" s="102" t="n">
        <v>0</v>
      </c>
      <c r="F520" s="94" t="n">
        <v>0</v>
      </c>
      <c r="G520" s="102" t="n">
        <v>227.71</v>
      </c>
      <c r="H520" s="94" t="n">
        <v>3</v>
      </c>
    </row>
    <row r="521" ht="15" customHeight="1" s="82">
      <c r="A521" s="94" t="inlineStr">
        <is>
          <t>102 - Orthopedic institutes</t>
        </is>
      </c>
      <c r="B521" s="94" t="inlineStr">
        <is>
          <t>150160 המ.הבריאותי לרגל בע"מ</t>
        </is>
      </c>
      <c r="C521" s="94" t="inlineStr">
        <is>
          <t>INV62003</t>
        </is>
      </c>
      <c r="D521" s="94" t="inlineStr">
        <is>
          <t>INV</t>
        </is>
      </c>
      <c r="E521" s="102" t="n">
        <v>135.32</v>
      </c>
      <c r="F521" s="94" t="n">
        <v>2</v>
      </c>
      <c r="G521" s="102" t="n">
        <v>0</v>
      </c>
      <c r="H521" s="94" t="n">
        <v>0</v>
      </c>
    </row>
    <row r="522" ht="15" customHeight="1" s="82">
      <c r="A522" s="94" t="inlineStr">
        <is>
          <t>102 - Orthopedic institutes</t>
        </is>
      </c>
      <c r="B522" s="94" t="inlineStr">
        <is>
          <t>150161 ענת אורטופדיה א'-חיימוב ט</t>
        </is>
      </c>
      <c r="C522" s="94" t="inlineStr">
        <is>
          <t>INV67734</t>
        </is>
      </c>
      <c r="D522" s="94" t="inlineStr">
        <is>
          <t>INV</t>
        </is>
      </c>
      <c r="E522" s="102" t="n">
        <v>0</v>
      </c>
      <c r="F522" s="94" t="n">
        <v>0</v>
      </c>
      <c r="G522" s="102" t="n">
        <v>1283.37</v>
      </c>
      <c r="H522" s="94" t="n">
        <v>15</v>
      </c>
    </row>
    <row r="523" ht="15" customHeight="1" s="82">
      <c r="A523" s="94" t="inlineStr">
        <is>
          <t>102 - Orthopedic institutes</t>
        </is>
      </c>
      <c r="B523" s="94" t="inlineStr">
        <is>
          <t>150161 ענת אורטופדיה א'-חיימוב ט</t>
        </is>
      </c>
      <c r="C523" s="94" t="inlineStr">
        <is>
          <t>INV66573</t>
        </is>
      </c>
      <c r="D523" s="94" t="inlineStr">
        <is>
          <t>INV</t>
        </is>
      </c>
      <c r="E523" s="102" t="n">
        <v>1132.51</v>
      </c>
      <c r="F523" s="94" t="n">
        <v>21</v>
      </c>
      <c r="G523" s="102" t="n">
        <v>0</v>
      </c>
      <c r="H523" s="94" t="n">
        <v>0</v>
      </c>
    </row>
    <row r="524" ht="15" customHeight="1" s="82">
      <c r="A524" s="94" t="inlineStr">
        <is>
          <t>102 - Orthopedic institutes</t>
        </is>
      </c>
      <c r="B524" s="94" t="inlineStr">
        <is>
          <t>150161 ענת אורטופדיה א'-חיימוב ט</t>
        </is>
      </c>
      <c r="C524" s="94" t="inlineStr">
        <is>
          <t>INV45211</t>
        </is>
      </c>
      <c r="D524" s="94" t="inlineStr">
        <is>
          <t>INV</t>
        </is>
      </c>
      <c r="E524" s="102" t="n">
        <v>1041.77</v>
      </c>
      <c r="F524" s="94" t="n">
        <v>18</v>
      </c>
      <c r="G524" s="102" t="n">
        <v>0</v>
      </c>
      <c r="H524" s="94" t="n">
        <v>0</v>
      </c>
    </row>
    <row r="525" ht="15" customHeight="1" s="82">
      <c r="A525" s="94" t="inlineStr">
        <is>
          <t>102 - Orthopedic institutes</t>
        </is>
      </c>
      <c r="B525" s="94" t="inlineStr">
        <is>
          <t>150161 ענת אורטופדיה א'-חיימוב ט</t>
        </is>
      </c>
      <c r="C525" s="94" t="inlineStr">
        <is>
          <t>INV67909</t>
        </is>
      </c>
      <c r="D525" s="94" t="inlineStr">
        <is>
          <t>INV</t>
        </is>
      </c>
      <c r="E525" s="102" t="n">
        <v>0</v>
      </c>
      <c r="F525" s="94" t="n">
        <v>0</v>
      </c>
      <c r="G525" s="102" t="n">
        <v>1016.17</v>
      </c>
      <c r="H525" s="94" t="n">
        <v>7</v>
      </c>
    </row>
    <row r="526" ht="15" customHeight="1" s="82">
      <c r="A526" s="94" t="inlineStr">
        <is>
          <t>102 - Orthopedic institutes</t>
        </is>
      </c>
      <c r="B526" s="94" t="inlineStr">
        <is>
          <t>150161 ענת אורטופדיה א'-חיימוב ט</t>
        </is>
      </c>
      <c r="C526" s="94" t="inlineStr">
        <is>
          <t>INV68782</t>
        </is>
      </c>
      <c r="D526" s="94" t="inlineStr">
        <is>
          <t>INV</t>
        </is>
      </c>
      <c r="E526" s="102" t="n">
        <v>0</v>
      </c>
      <c r="F526" s="94" t="n">
        <v>0</v>
      </c>
      <c r="G526" s="102" t="n">
        <v>962</v>
      </c>
      <c r="H526" s="94" t="n">
        <v>27</v>
      </c>
    </row>
    <row r="527" ht="15" customHeight="1" s="82">
      <c r="A527" s="94" t="inlineStr">
        <is>
          <t>102 - Orthopedic institutes</t>
        </is>
      </c>
      <c r="B527" s="94" t="inlineStr">
        <is>
          <t>150161 ענת אורטופדיה א'-חיימוב ט</t>
        </is>
      </c>
      <c r="C527" s="94" t="inlineStr">
        <is>
          <t>INV67176</t>
        </is>
      </c>
      <c r="D527" s="94" t="inlineStr">
        <is>
          <t>INV</t>
        </is>
      </c>
      <c r="E527" s="102" t="n">
        <v>0</v>
      </c>
      <c r="F527" s="94" t="n">
        <v>0</v>
      </c>
      <c r="G527" s="102" t="n">
        <v>881.1</v>
      </c>
      <c r="H527" s="94" t="n">
        <v>25</v>
      </c>
    </row>
    <row r="528" ht="15" customHeight="1" s="82">
      <c r="A528" s="94" t="inlineStr">
        <is>
          <t>102 - Orthopedic institutes</t>
        </is>
      </c>
      <c r="B528" s="94" t="inlineStr">
        <is>
          <t>150161 ענת אורטופדיה א'-חיימוב ט</t>
        </is>
      </c>
      <c r="C528" s="94" t="inlineStr">
        <is>
          <t>INV68952</t>
        </is>
      </c>
      <c r="D528" s="94" t="inlineStr">
        <is>
          <t>INV</t>
        </is>
      </c>
      <c r="E528" s="102" t="n">
        <v>0</v>
      </c>
      <c r="F528" s="94" t="n">
        <v>0</v>
      </c>
      <c r="G528" s="102" t="n">
        <v>770</v>
      </c>
      <c r="H528" s="94" t="n">
        <v>3</v>
      </c>
    </row>
    <row r="529" ht="15" customHeight="1" s="82">
      <c r="A529" s="94" t="inlineStr">
        <is>
          <t>102 - Orthopedic institutes</t>
        </is>
      </c>
      <c r="B529" s="94" t="inlineStr">
        <is>
          <t>150161 ענת אורטופדיה א'-חיימוב ט</t>
        </is>
      </c>
      <c r="C529" s="94" t="inlineStr">
        <is>
          <t>INV68232</t>
        </is>
      </c>
      <c r="D529" s="94" t="inlineStr">
        <is>
          <t>INV</t>
        </is>
      </c>
      <c r="E529" s="102" t="n">
        <v>0</v>
      </c>
      <c r="F529" s="94" t="n">
        <v>0</v>
      </c>
      <c r="G529" s="102" t="n">
        <v>700</v>
      </c>
      <c r="H529" s="94" t="n">
        <v>2</v>
      </c>
    </row>
    <row r="530" ht="15" customHeight="1" s="82">
      <c r="A530" s="94" t="inlineStr">
        <is>
          <t>102 - Orthopedic institutes</t>
        </is>
      </c>
      <c r="B530" s="94" t="inlineStr">
        <is>
          <t>150161 ענת אורטופדיה א'-חיימוב ט</t>
        </is>
      </c>
      <c r="C530" s="94" t="inlineStr">
        <is>
          <t>INV63509</t>
        </is>
      </c>
      <c r="D530" s="94" t="inlineStr">
        <is>
          <t>INV</t>
        </is>
      </c>
      <c r="E530" s="102" t="n">
        <v>527.05</v>
      </c>
      <c r="F530" s="94" t="n">
        <v>16</v>
      </c>
      <c r="G530" s="102" t="n">
        <v>0</v>
      </c>
      <c r="H530" s="94" t="n">
        <v>0</v>
      </c>
    </row>
    <row r="531" ht="15" customHeight="1" s="82">
      <c r="A531" s="94" t="inlineStr">
        <is>
          <t>102 - Orthopedic institutes</t>
        </is>
      </c>
      <c r="B531" s="94" t="inlineStr">
        <is>
          <t>150161 ענת אורטופדיה א'-חיימוב ט</t>
        </is>
      </c>
      <c r="C531" s="94" t="inlineStr">
        <is>
          <t>INV68727</t>
        </is>
      </c>
      <c r="D531" s="94" t="inlineStr">
        <is>
          <t>INV</t>
        </is>
      </c>
      <c r="E531" s="102" t="n">
        <v>0</v>
      </c>
      <c r="F531" s="94" t="n">
        <v>0</v>
      </c>
      <c r="G531" s="102" t="n">
        <v>504.93</v>
      </c>
      <c r="H531" s="94" t="n">
        <v>28</v>
      </c>
    </row>
    <row r="532" ht="15" customHeight="1" s="82">
      <c r="A532" s="94" t="inlineStr">
        <is>
          <t>102 - Orthopedic institutes</t>
        </is>
      </c>
      <c r="B532" s="94" t="inlineStr">
        <is>
          <t>150161 ענת אורטופדיה א'-חיימוב ט</t>
        </is>
      </c>
      <c r="C532" s="94" t="inlineStr">
        <is>
          <t>INV69067</t>
        </is>
      </c>
      <c r="D532" s="94" t="inlineStr">
        <is>
          <t>INV</t>
        </is>
      </c>
      <c r="E532" s="102" t="n">
        <v>0</v>
      </c>
      <c r="F532" s="94" t="n">
        <v>0</v>
      </c>
      <c r="G532" s="102" t="n">
        <v>457.96</v>
      </c>
      <c r="H532" s="94" t="n">
        <v>11</v>
      </c>
    </row>
    <row r="533" ht="15" customHeight="1" s="82">
      <c r="A533" s="94" t="inlineStr">
        <is>
          <t>102 - Orthopedic institutes</t>
        </is>
      </c>
      <c r="B533" s="94" t="inlineStr">
        <is>
          <t>150161 ענת אורטופדיה א'-חיימוב ט</t>
        </is>
      </c>
      <c r="C533" s="94" t="inlineStr">
        <is>
          <t>INV68599</t>
        </is>
      </c>
      <c r="D533" s="94" t="inlineStr">
        <is>
          <t>INV</t>
        </is>
      </c>
      <c r="E533" s="102" t="n">
        <v>0</v>
      </c>
      <c r="F533" s="94" t="n">
        <v>0</v>
      </c>
      <c r="G533" s="102" t="n">
        <v>360</v>
      </c>
      <c r="H533" s="94" t="n">
        <v>2</v>
      </c>
    </row>
    <row r="534" ht="15" customHeight="1" s="82">
      <c r="A534" s="94" t="inlineStr">
        <is>
          <t>102 - Orthopedic institutes</t>
        </is>
      </c>
      <c r="B534" s="94" t="inlineStr">
        <is>
          <t>150161 ענת אורטופדיה א'-חיימוב ט</t>
        </is>
      </c>
      <c r="C534" s="94" t="inlineStr">
        <is>
          <t>INV67764</t>
        </is>
      </c>
      <c r="D534" s="94" t="inlineStr">
        <is>
          <t>INV</t>
        </is>
      </c>
      <c r="E534" s="102" t="n">
        <v>0</v>
      </c>
      <c r="F534" s="94" t="n">
        <v>0</v>
      </c>
      <c r="G534" s="102" t="n">
        <v>236.14</v>
      </c>
      <c r="H534" s="94" t="n">
        <v>3</v>
      </c>
    </row>
    <row r="535" ht="15" customHeight="1" s="82">
      <c r="A535" s="94" t="inlineStr">
        <is>
          <t>102 - Orthopedic institutes</t>
        </is>
      </c>
      <c r="B535" s="94" t="inlineStr">
        <is>
          <t>150161 ענת אורטופדיה א'-חיימוב ט</t>
        </is>
      </c>
      <c r="C535" s="94" t="inlineStr">
        <is>
          <t>INV45214</t>
        </is>
      </c>
      <c r="D535" s="94" t="inlineStr">
        <is>
          <t>INV</t>
        </is>
      </c>
      <c r="E535" s="102" t="n">
        <v>130.2</v>
      </c>
      <c r="F535" s="94" t="n">
        <v>2</v>
      </c>
      <c r="G535" s="102" t="n">
        <v>0</v>
      </c>
      <c r="H535" s="94" t="n">
        <v>0</v>
      </c>
    </row>
    <row r="536" ht="15" customHeight="1" s="82">
      <c r="A536" s="94" t="inlineStr">
        <is>
          <t>102 - Orthopedic institutes</t>
        </is>
      </c>
      <c r="B536" s="94" t="inlineStr">
        <is>
          <t>150161 ענת אורטופדיה א'-חיימוב ט</t>
        </is>
      </c>
      <c r="C536" s="94" t="inlineStr">
        <is>
          <t>INV55062</t>
        </is>
      </c>
      <c r="D536" s="94" t="inlineStr">
        <is>
          <t>INV</t>
        </is>
      </c>
      <c r="E536" s="102" t="n">
        <v>120</v>
      </c>
      <c r="F536" s="94" t="n">
        <v>2</v>
      </c>
      <c r="G536" s="102" t="n">
        <v>0</v>
      </c>
      <c r="H536" s="94" t="n">
        <v>0</v>
      </c>
    </row>
    <row r="537" ht="15" customHeight="1" s="82">
      <c r="A537" s="94" t="inlineStr">
        <is>
          <t>102 - Orthopedic institutes</t>
        </is>
      </c>
      <c r="B537" s="94" t="inlineStr">
        <is>
          <t>150161 ענת אורטופדיה א'-חיימוב ט</t>
        </is>
      </c>
      <c r="C537" s="94" t="inlineStr">
        <is>
          <t>CM43757</t>
        </is>
      </c>
      <c r="D537" s="94" t="inlineStr">
        <is>
          <t>CM</t>
        </is>
      </c>
      <c r="E537" s="102" t="n">
        <v>-215.37</v>
      </c>
      <c r="F537" s="94" t="n">
        <v>-3</v>
      </c>
      <c r="G537" s="102" t="n">
        <v>0</v>
      </c>
      <c r="H537" s="94" t="n">
        <v>0</v>
      </c>
    </row>
    <row r="538" ht="15" customHeight="1" s="82">
      <c r="A538" s="94" t="inlineStr">
        <is>
          <t>102 - Orthopedic institutes</t>
        </is>
      </c>
      <c r="B538" s="94" t="inlineStr">
        <is>
          <t>150161 ענת אורטופדיה א'-חיימוב ט</t>
        </is>
      </c>
      <c r="C538" s="94" t="inlineStr">
        <is>
          <t>CM44636</t>
        </is>
      </c>
      <c r="D538" s="94" t="inlineStr">
        <is>
          <t>CM</t>
        </is>
      </c>
      <c r="E538" s="102" t="n">
        <v>0</v>
      </c>
      <c r="F538" s="94" t="n">
        <v>0</v>
      </c>
      <c r="G538" s="102" t="n">
        <v>-486</v>
      </c>
      <c r="H538" s="94" t="n">
        <v>-16</v>
      </c>
    </row>
    <row r="539" ht="15" customHeight="1" s="82">
      <c r="A539" s="94" t="inlineStr">
        <is>
          <t>102 - Orthopedic institutes</t>
        </is>
      </c>
      <c r="B539" s="94" t="inlineStr">
        <is>
          <t>150170 אליאורט אורטופדיה מתקדמת</t>
        </is>
      </c>
      <c r="C539" s="94" t="inlineStr">
        <is>
          <t>INV65823</t>
        </is>
      </c>
      <c r="D539" s="94" t="inlineStr">
        <is>
          <t>INV</t>
        </is>
      </c>
      <c r="E539" s="102" t="n">
        <v>2366.97</v>
      </c>
      <c r="F539" s="94" t="n">
        <v>23</v>
      </c>
      <c r="G539" s="102" t="n">
        <v>0</v>
      </c>
      <c r="H539" s="94" t="n">
        <v>0</v>
      </c>
    </row>
    <row r="540" ht="15" customHeight="1" s="82">
      <c r="A540" s="94" t="inlineStr">
        <is>
          <t>102 - Orthopedic institutes</t>
        </is>
      </c>
      <c r="B540" s="94" t="inlineStr">
        <is>
          <t>150170 אליאורט אורטופדיה מתקדמת</t>
        </is>
      </c>
      <c r="C540" s="94" t="inlineStr">
        <is>
          <t>INV69121</t>
        </is>
      </c>
      <c r="D540" s="94" t="inlineStr">
        <is>
          <t>INV</t>
        </is>
      </c>
      <c r="E540" s="102" t="n">
        <v>0</v>
      </c>
      <c r="F540" s="94" t="n">
        <v>0</v>
      </c>
      <c r="G540" s="102" t="n">
        <v>1059.15</v>
      </c>
      <c r="H540" s="94" t="n">
        <v>8</v>
      </c>
    </row>
    <row r="541" ht="15" customHeight="1" s="82">
      <c r="A541" s="94" t="inlineStr">
        <is>
          <t>102 - Orthopedic institutes</t>
        </is>
      </c>
      <c r="B541" s="94" t="inlineStr">
        <is>
          <t>150170 אליאורט אורטופדיה מתקדמת</t>
        </is>
      </c>
      <c r="C541" s="94" t="inlineStr">
        <is>
          <t>INV59592</t>
        </is>
      </c>
      <c r="D541" s="94" t="inlineStr">
        <is>
          <t>INV</t>
        </is>
      </c>
      <c r="E541" s="102" t="n">
        <v>933.77</v>
      </c>
      <c r="F541" s="94" t="n">
        <v>19</v>
      </c>
      <c r="G541" s="102" t="n">
        <v>0</v>
      </c>
      <c r="H541" s="94" t="n">
        <v>0</v>
      </c>
    </row>
    <row r="542" ht="15" customHeight="1" s="82">
      <c r="A542" s="94" t="inlineStr">
        <is>
          <t>102 - Orthopedic institutes</t>
        </is>
      </c>
      <c r="B542" s="94" t="inlineStr">
        <is>
          <t>150170 אליאורט אורטופדיה מתקדמת</t>
        </is>
      </c>
      <c r="C542" s="94" t="inlineStr">
        <is>
          <t>INV68178</t>
        </is>
      </c>
      <c r="D542" s="94" t="inlineStr">
        <is>
          <t>INV</t>
        </is>
      </c>
      <c r="E542" s="102" t="n">
        <v>0</v>
      </c>
      <c r="F542" s="94" t="n">
        <v>0</v>
      </c>
      <c r="G542" s="102" t="n">
        <v>728.4299999999999</v>
      </c>
      <c r="H542" s="94" t="n">
        <v>8</v>
      </c>
    </row>
    <row r="543" ht="15" customHeight="1" s="82">
      <c r="A543" s="94" t="inlineStr">
        <is>
          <t>102 - Orthopedic institutes</t>
        </is>
      </c>
      <c r="B543" s="94" t="inlineStr">
        <is>
          <t>150170 אליאורט אורטופדיה מתקדמת</t>
        </is>
      </c>
      <c r="C543" s="94" t="inlineStr">
        <is>
          <t>INV60423</t>
        </is>
      </c>
      <c r="D543" s="94" t="inlineStr">
        <is>
          <t>INV</t>
        </is>
      </c>
      <c r="E543" s="102" t="n">
        <v>724.23</v>
      </c>
      <c r="F543" s="94" t="n">
        <v>23</v>
      </c>
      <c r="G543" s="102" t="n">
        <v>0</v>
      </c>
      <c r="H543" s="94" t="n">
        <v>0</v>
      </c>
    </row>
    <row r="544" ht="15" customHeight="1" s="82">
      <c r="A544" s="94" t="inlineStr">
        <is>
          <t>102 - Orthopedic institutes</t>
        </is>
      </c>
      <c r="B544" s="94" t="inlineStr">
        <is>
          <t>150170 אליאורט אורטופדיה מתקדמת</t>
        </is>
      </c>
      <c r="C544" s="94" t="inlineStr">
        <is>
          <t>INV66306</t>
        </is>
      </c>
      <c r="D544" s="94" t="inlineStr">
        <is>
          <t>INV</t>
        </is>
      </c>
      <c r="E544" s="102" t="n">
        <v>720</v>
      </c>
      <c r="F544" s="94" t="n">
        <v>7</v>
      </c>
      <c r="G544" s="102" t="n">
        <v>0</v>
      </c>
      <c r="H544" s="94" t="n">
        <v>0</v>
      </c>
    </row>
    <row r="545" ht="15" customHeight="1" s="82">
      <c r="A545" s="94" t="inlineStr">
        <is>
          <t>102 - Orthopedic institutes</t>
        </is>
      </c>
      <c r="B545" s="94" t="inlineStr">
        <is>
          <t>150170 אליאורט אורטופדיה מתקדמת</t>
        </is>
      </c>
      <c r="C545" s="94" t="inlineStr">
        <is>
          <t>INV66746</t>
        </is>
      </c>
      <c r="D545" s="94" t="inlineStr">
        <is>
          <t>INV</t>
        </is>
      </c>
      <c r="E545" s="102" t="n">
        <v>638.52</v>
      </c>
      <c r="F545" s="94" t="n">
        <v>7</v>
      </c>
      <c r="G545" s="102" t="n">
        <v>0</v>
      </c>
      <c r="H545" s="94" t="n">
        <v>0</v>
      </c>
    </row>
    <row r="546" ht="15" customHeight="1" s="82">
      <c r="A546" s="94" t="inlineStr">
        <is>
          <t>102 - Orthopedic institutes</t>
        </is>
      </c>
      <c r="B546" s="94" t="inlineStr">
        <is>
          <t>150170 אליאורט אורטופדיה מתקדמת</t>
        </is>
      </c>
      <c r="C546" s="94" t="inlineStr">
        <is>
          <t>INV48869</t>
        </is>
      </c>
      <c r="D546" s="94" t="inlineStr">
        <is>
          <t>INV</t>
        </is>
      </c>
      <c r="E546" s="102" t="n">
        <v>622.96</v>
      </c>
      <c r="F546" s="94" t="n">
        <v>14</v>
      </c>
      <c r="G546" s="102" t="n">
        <v>0</v>
      </c>
      <c r="H546" s="94" t="n">
        <v>0</v>
      </c>
    </row>
    <row r="547" ht="15" customHeight="1" s="82">
      <c r="A547" s="94" t="inlineStr">
        <is>
          <t>102 - Orthopedic institutes</t>
        </is>
      </c>
      <c r="B547" s="94" t="inlineStr">
        <is>
          <t>150170 אליאורט אורטופדיה מתקדמת</t>
        </is>
      </c>
      <c r="C547" s="94" t="inlineStr">
        <is>
          <t>INV60059</t>
        </is>
      </c>
      <c r="D547" s="94" t="inlineStr">
        <is>
          <t>INV</t>
        </is>
      </c>
      <c r="E547" s="102" t="n">
        <v>590.47</v>
      </c>
      <c r="F547" s="94" t="n">
        <v>20</v>
      </c>
      <c r="G547" s="102" t="n">
        <v>0</v>
      </c>
      <c r="H547" s="94" t="n">
        <v>0</v>
      </c>
    </row>
    <row r="548" ht="15" customHeight="1" s="82">
      <c r="A548" s="94" t="inlineStr">
        <is>
          <t>102 - Orthopedic institutes</t>
        </is>
      </c>
      <c r="B548" s="94" t="inlineStr">
        <is>
          <t>150170 אליאורט אורטופדיה מתקדמת</t>
        </is>
      </c>
      <c r="C548" s="94" t="inlineStr">
        <is>
          <t>INV43595</t>
        </is>
      </c>
      <c r="D548" s="94" t="inlineStr">
        <is>
          <t>INV</t>
        </is>
      </c>
      <c r="E548" s="102" t="n">
        <v>464</v>
      </c>
      <c r="F548" s="94" t="n">
        <v>4</v>
      </c>
      <c r="G548" s="102" t="n">
        <v>0</v>
      </c>
      <c r="H548" s="94" t="n">
        <v>0</v>
      </c>
    </row>
    <row r="549" ht="15" customHeight="1" s="82">
      <c r="A549" s="94" t="inlineStr">
        <is>
          <t>102 - Orthopedic institutes</t>
        </is>
      </c>
      <c r="B549" s="94" t="inlineStr">
        <is>
          <t>150170 אליאורט אורטופדיה מתקדמת</t>
        </is>
      </c>
      <c r="C549" s="94" t="inlineStr">
        <is>
          <t>INV44207</t>
        </is>
      </c>
      <c r="D549" s="94" t="inlineStr">
        <is>
          <t>INV</t>
        </is>
      </c>
      <c r="E549" s="102" t="n">
        <v>401.59</v>
      </c>
      <c r="F549" s="94" t="n">
        <v>5</v>
      </c>
      <c r="G549" s="102" t="n">
        <v>0</v>
      </c>
      <c r="H549" s="94" t="n">
        <v>0</v>
      </c>
    </row>
    <row r="550" ht="15" customHeight="1" s="82">
      <c r="A550" s="94" t="inlineStr">
        <is>
          <t>102 - Orthopedic institutes</t>
        </is>
      </c>
      <c r="B550" s="94" t="inlineStr">
        <is>
          <t>150170 אליאורט אורטופדיה מתקדמת</t>
        </is>
      </c>
      <c r="C550" s="94" t="inlineStr">
        <is>
          <t>INV66088</t>
        </is>
      </c>
      <c r="D550" s="94" t="inlineStr">
        <is>
          <t>INV</t>
        </is>
      </c>
      <c r="E550" s="102" t="n">
        <v>360</v>
      </c>
      <c r="F550" s="94" t="n">
        <v>4</v>
      </c>
      <c r="G550" s="102" t="n">
        <v>0</v>
      </c>
      <c r="H550" s="94" t="n">
        <v>0</v>
      </c>
    </row>
    <row r="551" ht="15" customHeight="1" s="82">
      <c r="A551" s="94" t="inlineStr">
        <is>
          <t>102 - Orthopedic institutes</t>
        </is>
      </c>
      <c r="B551" s="94" t="inlineStr">
        <is>
          <t>150170 אליאורט אורטופדיה מתקדמת</t>
        </is>
      </c>
      <c r="C551" s="94" t="inlineStr">
        <is>
          <t>INV62968</t>
        </is>
      </c>
      <c r="D551" s="94" t="inlineStr">
        <is>
          <t>INV</t>
        </is>
      </c>
      <c r="E551" s="102" t="n">
        <v>336.88</v>
      </c>
      <c r="F551" s="94" t="n">
        <v>2</v>
      </c>
      <c r="G551" s="102" t="n">
        <v>0</v>
      </c>
      <c r="H551" s="94" t="n">
        <v>0</v>
      </c>
    </row>
    <row r="552" ht="15" customHeight="1" s="82">
      <c r="A552" s="94" t="inlineStr">
        <is>
          <t>102 - Orthopedic institutes</t>
        </is>
      </c>
      <c r="B552" s="94" t="inlineStr">
        <is>
          <t>150170 אליאורט אורטופדיה מתקדמת</t>
        </is>
      </c>
      <c r="C552" s="94" t="inlineStr">
        <is>
          <t>INV69110</t>
        </is>
      </c>
      <c r="D552" s="94" t="inlineStr">
        <is>
          <t>INV</t>
        </is>
      </c>
      <c r="E552" s="102" t="n">
        <v>0</v>
      </c>
      <c r="F552" s="94" t="n">
        <v>0</v>
      </c>
      <c r="G552" s="102" t="n">
        <v>0.01</v>
      </c>
      <c r="H552" s="94" t="n">
        <v>2</v>
      </c>
    </row>
    <row r="553" ht="15" customHeight="1" s="82">
      <c r="A553" s="94" t="inlineStr">
        <is>
          <t>102 - Orthopedic institutes</t>
        </is>
      </c>
      <c r="B553" s="94" t="inlineStr">
        <is>
          <t>150170 אליאורט אורטופדיה מתקדמת</t>
        </is>
      </c>
      <c r="C553" s="94" t="inlineStr">
        <is>
          <t>CM44682</t>
        </is>
      </c>
      <c r="D553" s="94" t="inlineStr">
        <is>
          <t>CM</t>
        </is>
      </c>
      <c r="E553" s="102" t="n">
        <v>0</v>
      </c>
      <c r="F553" s="94" t="n">
        <v>0</v>
      </c>
      <c r="G553" s="102" t="n">
        <v>-64.55</v>
      </c>
      <c r="H553" s="94" t="n">
        <v>-3</v>
      </c>
    </row>
    <row r="554" ht="15" customHeight="1" s="82">
      <c r="A554" s="94" t="inlineStr">
        <is>
          <t>102 - Orthopedic institutes</t>
        </is>
      </c>
      <c r="B554" s="94" t="inlineStr">
        <is>
          <t>150173 ש.א.ש פתרונות ציוד בע"מ</t>
        </is>
      </c>
      <c r="C554" s="94" t="inlineStr">
        <is>
          <t>CM43373</t>
        </is>
      </c>
      <c r="D554" s="94" t="inlineStr">
        <is>
          <t>CM</t>
        </is>
      </c>
      <c r="E554" s="102" t="n">
        <v>-2984.01</v>
      </c>
      <c r="F554" s="94" t="n">
        <v>-53</v>
      </c>
      <c r="G554" s="102" t="n">
        <v>0</v>
      </c>
      <c r="H554" s="94" t="n">
        <v>0</v>
      </c>
    </row>
    <row r="555" ht="15" customHeight="1" s="82">
      <c r="A555" s="94" t="inlineStr">
        <is>
          <t>102 - Orthopedic institutes</t>
        </is>
      </c>
      <c r="B555" s="94" t="inlineStr">
        <is>
          <t>150181 מכון ציון-מרכזים רפואיים</t>
        </is>
      </c>
      <c r="C555" s="94" t="inlineStr">
        <is>
          <t>INV66895</t>
        </is>
      </c>
      <c r="D555" s="94" t="inlineStr">
        <is>
          <t>INV</t>
        </is>
      </c>
      <c r="E555" s="102" t="n">
        <v>2536.33</v>
      </c>
      <c r="F555" s="94" t="n">
        <v>23</v>
      </c>
      <c r="G555" s="102" t="n">
        <v>0</v>
      </c>
      <c r="H555" s="94" t="n">
        <v>0</v>
      </c>
    </row>
    <row r="556" ht="15" customHeight="1" s="82">
      <c r="A556" s="94" t="inlineStr">
        <is>
          <t>102 - Orthopedic institutes</t>
        </is>
      </c>
      <c r="B556" s="94" t="inlineStr">
        <is>
          <t>150181 מכון ציון-מרכזים רפואיים</t>
        </is>
      </c>
      <c r="C556" s="94" t="inlineStr">
        <is>
          <t>INV68492</t>
        </is>
      </c>
      <c r="D556" s="94" t="inlineStr">
        <is>
          <t>INV</t>
        </is>
      </c>
      <c r="E556" s="102" t="n">
        <v>0</v>
      </c>
      <c r="F556" s="94" t="n">
        <v>0</v>
      </c>
      <c r="G556" s="102" t="n">
        <v>2479.23</v>
      </c>
      <c r="H556" s="94" t="n">
        <v>15</v>
      </c>
    </row>
    <row r="557" ht="15" customHeight="1" s="82">
      <c r="A557" s="94" t="inlineStr">
        <is>
          <t>102 - Orthopedic institutes</t>
        </is>
      </c>
      <c r="B557" s="94" t="inlineStr">
        <is>
          <t>150181 מכון ציון-מרכזים רפואיים</t>
        </is>
      </c>
      <c r="C557" s="94" t="inlineStr">
        <is>
          <t>INV55485</t>
        </is>
      </c>
      <c r="D557" s="94" t="inlineStr">
        <is>
          <t>INV</t>
        </is>
      </c>
      <c r="E557" s="102" t="n">
        <v>2372.98</v>
      </c>
      <c r="F557" s="94" t="n">
        <v>18</v>
      </c>
      <c r="G557" s="102" t="n">
        <v>0</v>
      </c>
      <c r="H557" s="94" t="n">
        <v>0</v>
      </c>
    </row>
    <row r="558" ht="15" customHeight="1" s="82">
      <c r="A558" s="94" t="inlineStr">
        <is>
          <t>102 - Orthopedic institutes</t>
        </is>
      </c>
      <c r="B558" s="94" t="inlineStr">
        <is>
          <t>150181 מכון ציון-מרכזים רפואיים</t>
        </is>
      </c>
      <c r="C558" s="94" t="inlineStr">
        <is>
          <t>INV65526</t>
        </is>
      </c>
      <c r="D558" s="94" t="inlineStr">
        <is>
          <t>INV</t>
        </is>
      </c>
      <c r="E558" s="102" t="n">
        <v>2020</v>
      </c>
      <c r="F558" s="94" t="n">
        <v>20</v>
      </c>
      <c r="G558" s="102" t="n">
        <v>0</v>
      </c>
      <c r="H558" s="94" t="n">
        <v>0</v>
      </c>
    </row>
    <row r="559" ht="15" customHeight="1" s="82">
      <c r="A559" s="94" t="inlineStr">
        <is>
          <t>102 - Orthopedic institutes</t>
        </is>
      </c>
      <c r="B559" s="94" t="inlineStr">
        <is>
          <t>150181 מכון ציון-מרכזים רפואיים</t>
        </is>
      </c>
      <c r="C559" s="94" t="inlineStr">
        <is>
          <t>INV66018</t>
        </is>
      </c>
      <c r="D559" s="94" t="inlineStr">
        <is>
          <t>INV</t>
        </is>
      </c>
      <c r="E559" s="102" t="n">
        <v>1390</v>
      </c>
      <c r="F559" s="94" t="n">
        <v>7</v>
      </c>
      <c r="G559" s="102" t="n">
        <v>0</v>
      </c>
      <c r="H559" s="94" t="n">
        <v>0</v>
      </c>
    </row>
    <row r="560" ht="15" customHeight="1" s="82">
      <c r="A560" s="94" t="inlineStr">
        <is>
          <t>102 - Orthopedic institutes</t>
        </is>
      </c>
      <c r="B560" s="94" t="inlineStr">
        <is>
          <t>150181 מכון ציון-מרכזים רפואיים</t>
        </is>
      </c>
      <c r="C560" s="94" t="inlineStr">
        <is>
          <t>INV69156</t>
        </is>
      </c>
      <c r="D560" s="94" t="inlineStr">
        <is>
          <t>INV</t>
        </is>
      </c>
      <c r="E560" s="102" t="n">
        <v>0</v>
      </c>
      <c r="F560" s="94" t="n">
        <v>0</v>
      </c>
      <c r="G560" s="102" t="n">
        <v>1182.64</v>
      </c>
      <c r="H560" s="94" t="n">
        <v>9</v>
      </c>
    </row>
    <row r="561" ht="15" customHeight="1" s="82">
      <c r="A561" s="94" t="inlineStr">
        <is>
          <t>102 - Orthopedic institutes</t>
        </is>
      </c>
      <c r="B561" s="94" t="inlineStr">
        <is>
          <t>150181 מכון ציון-מרכזים רפואיים</t>
        </is>
      </c>
      <c r="C561" s="94" t="inlineStr">
        <is>
          <t>INV59980</t>
        </is>
      </c>
      <c r="D561" s="94" t="inlineStr">
        <is>
          <t>INV</t>
        </is>
      </c>
      <c r="E561" s="102" t="n">
        <v>1130.01</v>
      </c>
      <c r="F561" s="94" t="n">
        <v>4</v>
      </c>
      <c r="G561" s="102" t="n">
        <v>0</v>
      </c>
      <c r="H561" s="94" t="n">
        <v>0</v>
      </c>
    </row>
    <row r="562" ht="15" customHeight="1" s="82">
      <c r="A562" s="94" t="inlineStr">
        <is>
          <t>102 - Orthopedic institutes</t>
        </is>
      </c>
      <c r="B562" s="94" t="inlineStr">
        <is>
          <t>150181 מכון ציון-מרכזים רפואיים</t>
        </is>
      </c>
      <c r="C562" s="94" t="inlineStr">
        <is>
          <t>INV67902</t>
        </is>
      </c>
      <c r="D562" s="94" t="inlineStr">
        <is>
          <t>INV</t>
        </is>
      </c>
      <c r="E562" s="102" t="n">
        <v>0</v>
      </c>
      <c r="F562" s="94" t="n">
        <v>0</v>
      </c>
      <c r="G562" s="102" t="n">
        <v>1040</v>
      </c>
      <c r="H562" s="94" t="n">
        <v>5</v>
      </c>
    </row>
    <row r="563" ht="15" customHeight="1" s="82">
      <c r="A563" s="94" t="inlineStr">
        <is>
          <t>102 - Orthopedic institutes</t>
        </is>
      </c>
      <c r="B563" s="94" t="inlineStr">
        <is>
          <t>150181 מכון ציון-מרכזים רפואיים</t>
        </is>
      </c>
      <c r="C563" s="94" t="inlineStr">
        <is>
          <t>INV45820</t>
        </is>
      </c>
      <c r="D563" s="94" t="inlineStr">
        <is>
          <t>INV</t>
        </is>
      </c>
      <c r="E563" s="102" t="n">
        <v>672.99</v>
      </c>
      <c r="F563" s="94" t="n">
        <v>5</v>
      </c>
      <c r="G563" s="102" t="n">
        <v>0</v>
      </c>
      <c r="H563" s="94" t="n">
        <v>0</v>
      </c>
    </row>
    <row r="564" ht="15" customHeight="1" s="82">
      <c r="A564" s="94" t="inlineStr">
        <is>
          <t>102 - Orthopedic institutes</t>
        </is>
      </c>
      <c r="B564" s="94" t="inlineStr">
        <is>
          <t>150181 מכון ציון-מרכזים רפואיים</t>
        </is>
      </c>
      <c r="C564" s="94" t="inlineStr">
        <is>
          <t>INV43721</t>
        </is>
      </c>
      <c r="D564" s="94" t="inlineStr">
        <is>
          <t>INV</t>
        </is>
      </c>
      <c r="E564" s="102" t="n">
        <v>530.77</v>
      </c>
      <c r="F564" s="94" t="n">
        <v>2</v>
      </c>
      <c r="G564" s="102" t="n">
        <v>0</v>
      </c>
      <c r="H564" s="94" t="n">
        <v>0</v>
      </c>
    </row>
    <row r="565" ht="15" customHeight="1" s="82">
      <c r="A565" s="94" t="inlineStr">
        <is>
          <t>102 - Orthopedic institutes</t>
        </is>
      </c>
      <c r="B565" s="94" t="inlineStr">
        <is>
          <t>150181 מכון ציון-מרכזים רפואיים</t>
        </is>
      </c>
      <c r="C565" s="94" t="inlineStr">
        <is>
          <t>INV66435</t>
        </is>
      </c>
      <c r="D565" s="94" t="inlineStr">
        <is>
          <t>INV</t>
        </is>
      </c>
      <c r="E565" s="102" t="n">
        <v>520</v>
      </c>
      <c r="F565" s="94" t="n">
        <v>4</v>
      </c>
      <c r="G565" s="102" t="n">
        <v>0</v>
      </c>
      <c r="H565" s="94" t="n">
        <v>0</v>
      </c>
    </row>
    <row r="566" ht="15" customHeight="1" s="82">
      <c r="A566" s="94" t="inlineStr">
        <is>
          <t>102 - Orthopedic institutes</t>
        </is>
      </c>
      <c r="B566" s="94" t="inlineStr">
        <is>
          <t>150181 מכון ציון-מרכזים רפואיים</t>
        </is>
      </c>
      <c r="C566" s="94" t="inlineStr">
        <is>
          <t>INV69196</t>
        </is>
      </c>
      <c r="D566" s="94" t="inlineStr">
        <is>
          <t>INV</t>
        </is>
      </c>
      <c r="E566" s="102" t="n">
        <v>0</v>
      </c>
      <c r="F566" s="94" t="n">
        <v>0</v>
      </c>
      <c r="G566" s="102" t="n">
        <v>389.99</v>
      </c>
      <c r="H566" s="94" t="n">
        <v>3</v>
      </c>
    </row>
    <row r="567" ht="15" customHeight="1" s="82">
      <c r="A567" s="94" t="inlineStr">
        <is>
          <t>102 - Orthopedic institutes</t>
        </is>
      </c>
      <c r="B567" s="94" t="inlineStr">
        <is>
          <t>150182 עטרת מדיפוט נתניה</t>
        </is>
      </c>
      <c r="C567" s="94" t="inlineStr">
        <is>
          <t>INV67397</t>
        </is>
      </c>
      <c r="D567" s="94" t="inlineStr">
        <is>
          <t>INV</t>
        </is>
      </c>
      <c r="E567" s="102" t="n">
        <v>0</v>
      </c>
      <c r="F567" s="94" t="n">
        <v>0</v>
      </c>
      <c r="G567" s="102" t="n">
        <v>789.28</v>
      </c>
      <c r="H567" s="94" t="n">
        <v>32</v>
      </c>
    </row>
    <row r="568" ht="15" customHeight="1" s="82">
      <c r="A568" s="94" t="inlineStr">
        <is>
          <t>102 - Orthopedic institutes</t>
        </is>
      </c>
      <c r="B568" s="94" t="inlineStr">
        <is>
          <t>150182 עטרת מדיפוט נתניה</t>
        </is>
      </c>
      <c r="C568" s="94" t="inlineStr">
        <is>
          <t>INV69120</t>
        </is>
      </c>
      <c r="D568" s="94" t="inlineStr">
        <is>
          <t>INV</t>
        </is>
      </c>
      <c r="E568" s="102" t="n">
        <v>0</v>
      </c>
      <c r="F568" s="94" t="n">
        <v>0</v>
      </c>
      <c r="G568" s="102" t="n">
        <v>738.36</v>
      </c>
      <c r="H568" s="94" t="n">
        <v>8</v>
      </c>
    </row>
    <row r="569" ht="15" customHeight="1" s="82">
      <c r="A569" s="94" t="inlineStr">
        <is>
          <t>102 - Orthopedic institutes</t>
        </is>
      </c>
      <c r="B569" s="94" t="inlineStr">
        <is>
          <t>150182 עטרת מדיפוט נתניה</t>
        </is>
      </c>
      <c r="C569" s="94" t="inlineStr">
        <is>
          <t>INV62663</t>
        </is>
      </c>
      <c r="D569" s="94" t="inlineStr">
        <is>
          <t>INV</t>
        </is>
      </c>
      <c r="E569" s="102" t="n">
        <v>724.67</v>
      </c>
      <c r="F569" s="94" t="n">
        <v>8</v>
      </c>
      <c r="G569" s="102" t="n">
        <v>0</v>
      </c>
      <c r="H569" s="94" t="n">
        <v>0</v>
      </c>
    </row>
    <row r="570" ht="15" customHeight="1" s="82">
      <c r="A570" s="94" t="inlineStr">
        <is>
          <t>102 - Orthopedic institutes</t>
        </is>
      </c>
      <c r="B570" s="94" t="inlineStr">
        <is>
          <t>150182 עטרת מדיפוט נתניה</t>
        </is>
      </c>
      <c r="C570" s="94" t="inlineStr">
        <is>
          <t>INV65633</t>
        </is>
      </c>
      <c r="D570" s="94" t="inlineStr">
        <is>
          <t>INV</t>
        </is>
      </c>
      <c r="E570" s="102" t="n">
        <v>721.33</v>
      </c>
      <c r="F570" s="94" t="n">
        <v>8</v>
      </c>
      <c r="G570" s="102" t="n">
        <v>0</v>
      </c>
      <c r="H570" s="94" t="n">
        <v>0</v>
      </c>
    </row>
    <row r="571" ht="15" customHeight="1" s="82">
      <c r="A571" s="94" t="inlineStr">
        <is>
          <t>102 - Orthopedic institutes</t>
        </is>
      </c>
      <c r="B571" s="94" t="inlineStr">
        <is>
          <t>150182 עטרת מדיפוט נתניה</t>
        </is>
      </c>
      <c r="C571" s="94" t="inlineStr">
        <is>
          <t>INV66764</t>
        </is>
      </c>
      <c r="D571" s="94" t="inlineStr">
        <is>
          <t>INV</t>
        </is>
      </c>
      <c r="E571" s="102" t="n">
        <v>700</v>
      </c>
      <c r="F571" s="94" t="n">
        <v>2</v>
      </c>
      <c r="G571" s="102" t="n">
        <v>0</v>
      </c>
      <c r="H571" s="94" t="n">
        <v>0</v>
      </c>
    </row>
    <row r="572" ht="15" customHeight="1" s="82">
      <c r="A572" s="94" t="inlineStr">
        <is>
          <t>102 - Orthopedic institutes</t>
        </is>
      </c>
      <c r="B572" s="94" t="inlineStr">
        <is>
          <t>150182 עטרת מדיפוט נתניה</t>
        </is>
      </c>
      <c r="C572" s="94" t="inlineStr">
        <is>
          <t>INV66305</t>
        </is>
      </c>
      <c r="D572" s="94" t="inlineStr">
        <is>
          <t>INV</t>
        </is>
      </c>
      <c r="E572" s="102" t="n">
        <v>668.67</v>
      </c>
      <c r="F572" s="94" t="n">
        <v>23</v>
      </c>
      <c r="G572" s="102" t="n">
        <v>0</v>
      </c>
      <c r="H572" s="94" t="n">
        <v>0</v>
      </c>
    </row>
    <row r="573" ht="15" customHeight="1" s="82">
      <c r="A573" s="94" t="inlineStr">
        <is>
          <t>102 - Orthopedic institutes</t>
        </is>
      </c>
      <c r="B573" s="94" t="inlineStr">
        <is>
          <t>150182 עטרת מדיפוט נתניה</t>
        </is>
      </c>
      <c r="C573" s="94" t="inlineStr">
        <is>
          <t>INV66741</t>
        </is>
      </c>
      <c r="D573" s="94" t="inlineStr">
        <is>
          <t>INV</t>
        </is>
      </c>
      <c r="E573" s="102" t="n">
        <v>605.95</v>
      </c>
      <c r="F573" s="94" t="n">
        <v>3</v>
      </c>
      <c r="G573" s="102" t="n">
        <v>0</v>
      </c>
      <c r="H573" s="94" t="n">
        <v>0</v>
      </c>
    </row>
    <row r="574" ht="15" customHeight="1" s="82">
      <c r="A574" s="94" t="inlineStr">
        <is>
          <t>102 - Orthopedic institutes</t>
        </is>
      </c>
      <c r="B574" s="94" t="inlineStr">
        <is>
          <t>150182 עטרת מדיפוט נתניה</t>
        </is>
      </c>
      <c r="C574" s="94" t="inlineStr">
        <is>
          <t>INV68169</t>
        </is>
      </c>
      <c r="D574" s="94" t="inlineStr">
        <is>
          <t>INV</t>
        </is>
      </c>
      <c r="E574" s="102" t="n">
        <v>0</v>
      </c>
      <c r="F574" s="94" t="n">
        <v>0</v>
      </c>
      <c r="G574" s="102" t="n">
        <v>558.8099999999999</v>
      </c>
      <c r="H574" s="94" t="n">
        <v>4</v>
      </c>
    </row>
    <row r="575" ht="15" customHeight="1" s="82">
      <c r="A575" s="94" t="inlineStr">
        <is>
          <t>102 - Orthopedic institutes</t>
        </is>
      </c>
      <c r="B575" s="94" t="inlineStr">
        <is>
          <t>150182 עטרת מדיפוט נתניה</t>
        </is>
      </c>
      <c r="C575" s="94" t="inlineStr">
        <is>
          <t>INV65728</t>
        </is>
      </c>
      <c r="D575" s="94" t="inlineStr">
        <is>
          <t>INV</t>
        </is>
      </c>
      <c r="E575" s="102" t="n">
        <v>518.12</v>
      </c>
      <c r="F575" s="94" t="n">
        <v>13</v>
      </c>
      <c r="G575" s="102" t="n">
        <v>0</v>
      </c>
      <c r="H575" s="94" t="n">
        <v>0</v>
      </c>
    </row>
    <row r="576" ht="15" customHeight="1" s="82">
      <c r="A576" s="94" t="inlineStr">
        <is>
          <t>102 - Orthopedic institutes</t>
        </is>
      </c>
      <c r="B576" s="94" t="inlineStr">
        <is>
          <t>150182 עטרת מדיפוט נתניה</t>
        </is>
      </c>
      <c r="C576" s="94" t="inlineStr">
        <is>
          <t>INV52569</t>
        </is>
      </c>
      <c r="D576" s="94" t="inlineStr">
        <is>
          <t>INV</t>
        </is>
      </c>
      <c r="E576" s="102" t="n">
        <v>518.05</v>
      </c>
      <c r="F576" s="94" t="n">
        <v>11</v>
      </c>
      <c r="G576" s="102" t="n">
        <v>0</v>
      </c>
      <c r="H576" s="94" t="n">
        <v>0</v>
      </c>
    </row>
    <row r="577" ht="15" customHeight="1" s="82">
      <c r="A577" s="94" t="inlineStr">
        <is>
          <t>102 - Orthopedic institutes</t>
        </is>
      </c>
      <c r="B577" s="94" t="inlineStr">
        <is>
          <t>150182 עטרת מדיפוט נתניה</t>
        </is>
      </c>
      <c r="C577" s="94" t="inlineStr">
        <is>
          <t>INV56437</t>
        </is>
      </c>
      <c r="D577" s="94" t="inlineStr">
        <is>
          <t>INV</t>
        </is>
      </c>
      <c r="E577" s="102" t="n">
        <v>502.53</v>
      </c>
      <c r="F577" s="94" t="n">
        <v>12</v>
      </c>
      <c r="G577" s="102" t="n">
        <v>0</v>
      </c>
      <c r="H577" s="94" t="n">
        <v>0</v>
      </c>
    </row>
    <row r="578" ht="15" customHeight="1" s="82">
      <c r="A578" s="94" t="inlineStr">
        <is>
          <t>102 - Orthopedic institutes</t>
        </is>
      </c>
      <c r="B578" s="94" t="inlineStr">
        <is>
          <t>150182 עטרת מדיפוט נתניה</t>
        </is>
      </c>
      <c r="C578" s="94" t="inlineStr">
        <is>
          <t>INV65834</t>
        </is>
      </c>
      <c r="D578" s="94" t="inlineStr">
        <is>
          <t>INV</t>
        </is>
      </c>
      <c r="E578" s="102" t="n">
        <v>493.9</v>
      </c>
      <c r="F578" s="94" t="n">
        <v>7</v>
      </c>
      <c r="G578" s="102" t="n">
        <v>0</v>
      </c>
      <c r="H578" s="94" t="n">
        <v>0</v>
      </c>
    </row>
    <row r="579" ht="15" customHeight="1" s="82">
      <c r="A579" s="94" t="inlineStr">
        <is>
          <t>102 - Orthopedic institutes</t>
        </is>
      </c>
      <c r="B579" s="94" t="inlineStr">
        <is>
          <t>150182 עטרת מדיפוט נתניה</t>
        </is>
      </c>
      <c r="C579" s="94" t="inlineStr">
        <is>
          <t>INV68647</t>
        </is>
      </c>
      <c r="D579" s="94" t="inlineStr">
        <is>
          <t>INV</t>
        </is>
      </c>
      <c r="E579" s="102" t="n">
        <v>0</v>
      </c>
      <c r="F579" s="94" t="n">
        <v>0</v>
      </c>
      <c r="G579" s="102" t="n">
        <v>481.4</v>
      </c>
      <c r="H579" s="94" t="n">
        <v>9</v>
      </c>
    </row>
    <row r="580" ht="15" customHeight="1" s="82">
      <c r="A580" s="94" t="inlineStr">
        <is>
          <t>102 - Orthopedic institutes</t>
        </is>
      </c>
      <c r="B580" s="94" t="inlineStr">
        <is>
          <t>150182 עטרת מדיפוט נתניה</t>
        </is>
      </c>
      <c r="C580" s="94" t="inlineStr">
        <is>
          <t>INV68796</t>
        </is>
      </c>
      <c r="D580" s="94" t="inlineStr">
        <is>
          <t>INV</t>
        </is>
      </c>
      <c r="E580" s="102" t="n">
        <v>0</v>
      </c>
      <c r="F580" s="94" t="n">
        <v>0</v>
      </c>
      <c r="G580" s="102" t="n">
        <v>480.59</v>
      </c>
      <c r="H580" s="94" t="n">
        <v>17</v>
      </c>
    </row>
    <row r="581" ht="15" customHeight="1" s="82">
      <c r="A581" s="94" t="inlineStr">
        <is>
          <t>102 - Orthopedic institutes</t>
        </is>
      </c>
      <c r="B581" s="94" t="inlineStr">
        <is>
          <t>150182 עטרת מדיפוט נתניה</t>
        </is>
      </c>
      <c r="C581" s="94" t="inlineStr">
        <is>
          <t>INV67636</t>
        </is>
      </c>
      <c r="D581" s="94" t="inlineStr">
        <is>
          <t>INV</t>
        </is>
      </c>
      <c r="E581" s="102" t="n">
        <v>0</v>
      </c>
      <c r="F581" s="94" t="n">
        <v>0</v>
      </c>
      <c r="G581" s="102" t="n">
        <v>477.86</v>
      </c>
      <c r="H581" s="94" t="n">
        <v>22</v>
      </c>
    </row>
    <row r="582" ht="15" customHeight="1" s="82">
      <c r="A582" s="94" t="inlineStr">
        <is>
          <t>102 - Orthopedic institutes</t>
        </is>
      </c>
      <c r="B582" s="94" t="inlineStr">
        <is>
          <t>150182 עטרת מדיפוט נתניה</t>
        </is>
      </c>
      <c r="C582" s="94" t="inlineStr">
        <is>
          <t>INV66824</t>
        </is>
      </c>
      <c r="D582" s="94" t="inlineStr">
        <is>
          <t>INV</t>
        </is>
      </c>
      <c r="E582" s="102" t="n">
        <v>462.23</v>
      </c>
      <c r="F582" s="94" t="n">
        <v>7</v>
      </c>
      <c r="G582" s="102" t="n">
        <v>0</v>
      </c>
      <c r="H582" s="94" t="n">
        <v>0</v>
      </c>
    </row>
    <row r="583" ht="15" customHeight="1" s="82">
      <c r="A583" s="94" t="inlineStr">
        <is>
          <t>102 - Orthopedic institutes</t>
        </is>
      </c>
      <c r="B583" s="94" t="inlineStr">
        <is>
          <t>150182 עטרת מדיפוט נתניה</t>
        </is>
      </c>
      <c r="C583" s="94" t="inlineStr">
        <is>
          <t>INV49247</t>
        </is>
      </c>
      <c r="D583" s="94" t="inlineStr">
        <is>
          <t>INV</t>
        </is>
      </c>
      <c r="E583" s="102" t="n">
        <v>461.47</v>
      </c>
      <c r="F583" s="94" t="n">
        <v>5</v>
      </c>
      <c r="G583" s="102" t="n">
        <v>0</v>
      </c>
      <c r="H583" s="94" t="n">
        <v>0</v>
      </c>
    </row>
    <row r="584" ht="15" customHeight="1" s="82">
      <c r="A584" s="94" t="inlineStr">
        <is>
          <t>102 - Orthopedic institutes</t>
        </is>
      </c>
      <c r="B584" s="94" t="inlineStr">
        <is>
          <t>150182 עטרת מדיפוט נתניה</t>
        </is>
      </c>
      <c r="C584" s="94" t="inlineStr">
        <is>
          <t>INV68498</t>
        </is>
      </c>
      <c r="D584" s="94" t="inlineStr">
        <is>
          <t>INV</t>
        </is>
      </c>
      <c r="E584" s="102" t="n">
        <v>0</v>
      </c>
      <c r="F584" s="94" t="n">
        <v>0</v>
      </c>
      <c r="G584" s="102" t="n">
        <v>459.17</v>
      </c>
      <c r="H584" s="94" t="n">
        <v>12</v>
      </c>
    </row>
    <row r="585" ht="15" customHeight="1" s="82">
      <c r="A585" s="94" t="inlineStr">
        <is>
          <t>102 - Orthopedic institutes</t>
        </is>
      </c>
      <c r="B585" s="94" t="inlineStr">
        <is>
          <t>150182 עטרת מדיפוט נתניה</t>
        </is>
      </c>
      <c r="C585" s="94" t="inlineStr">
        <is>
          <t>INV69058</t>
        </is>
      </c>
      <c r="D585" s="94" t="inlineStr">
        <is>
          <t>INV</t>
        </is>
      </c>
      <c r="E585" s="102" t="n">
        <v>0</v>
      </c>
      <c r="F585" s="94" t="n">
        <v>0</v>
      </c>
      <c r="G585" s="102" t="n">
        <v>445.19</v>
      </c>
      <c r="H585" s="94" t="n">
        <v>17</v>
      </c>
    </row>
    <row r="586" ht="15" customHeight="1" s="82">
      <c r="A586" s="94" t="inlineStr">
        <is>
          <t>102 - Orthopedic institutes</t>
        </is>
      </c>
      <c r="B586" s="94" t="inlineStr">
        <is>
          <t>150182 עטרת מדיפוט נתניה</t>
        </is>
      </c>
      <c r="C586" s="94" t="inlineStr">
        <is>
          <t>INV65500</t>
        </is>
      </c>
      <c r="D586" s="94" t="inlineStr">
        <is>
          <t>INV</t>
        </is>
      </c>
      <c r="E586" s="102" t="n">
        <v>422.41</v>
      </c>
      <c r="F586" s="94" t="n">
        <v>6</v>
      </c>
      <c r="G586" s="102" t="n">
        <v>0</v>
      </c>
      <c r="H586" s="94" t="n">
        <v>0</v>
      </c>
    </row>
    <row r="587" ht="15" customHeight="1" s="82">
      <c r="A587" s="94" t="inlineStr">
        <is>
          <t>102 - Orthopedic institutes</t>
        </is>
      </c>
      <c r="B587" s="94" t="inlineStr">
        <is>
          <t>150182 עטרת מדיפוט נתניה</t>
        </is>
      </c>
      <c r="C587" s="94" t="inlineStr">
        <is>
          <t>INV47477</t>
        </is>
      </c>
      <c r="D587" s="94" t="inlineStr">
        <is>
          <t>INV</t>
        </is>
      </c>
      <c r="E587" s="102" t="n">
        <v>408.17</v>
      </c>
      <c r="F587" s="94" t="n">
        <v>9</v>
      </c>
      <c r="G587" s="102" t="n">
        <v>0</v>
      </c>
      <c r="H587" s="94" t="n">
        <v>0</v>
      </c>
    </row>
    <row r="588" ht="15" customHeight="1" s="82">
      <c r="A588" s="94" t="inlineStr">
        <is>
          <t>102 - Orthopedic institutes</t>
        </is>
      </c>
      <c r="B588" s="94" t="inlineStr">
        <is>
          <t>150182 עטרת מדיפוט נתניה</t>
        </is>
      </c>
      <c r="C588" s="94" t="inlineStr">
        <is>
          <t>INV66547</t>
        </is>
      </c>
      <c r="D588" s="94" t="inlineStr">
        <is>
          <t>INV</t>
        </is>
      </c>
      <c r="E588" s="102" t="n">
        <v>401.23</v>
      </c>
      <c r="F588" s="94" t="n">
        <v>3</v>
      </c>
      <c r="G588" s="102" t="n">
        <v>0</v>
      </c>
      <c r="H588" s="94" t="n">
        <v>0</v>
      </c>
    </row>
    <row r="589" ht="15" customHeight="1" s="82">
      <c r="A589" s="94" t="inlineStr">
        <is>
          <t>102 - Orthopedic institutes</t>
        </is>
      </c>
      <c r="B589" s="94" t="inlineStr">
        <is>
          <t>150182 עטרת מדיפוט נתניה</t>
        </is>
      </c>
      <c r="C589" s="94" t="inlineStr">
        <is>
          <t>INV66340</t>
        </is>
      </c>
      <c r="D589" s="94" t="inlineStr">
        <is>
          <t>INV</t>
        </is>
      </c>
      <c r="E589" s="102" t="n">
        <v>396.42</v>
      </c>
      <c r="F589" s="94" t="n">
        <v>5</v>
      </c>
      <c r="G589" s="102" t="n">
        <v>0</v>
      </c>
      <c r="H589" s="94" t="n">
        <v>0</v>
      </c>
    </row>
    <row r="590" ht="15" customHeight="1" s="82">
      <c r="A590" s="94" t="inlineStr">
        <is>
          <t>102 - Orthopedic institutes</t>
        </is>
      </c>
      <c r="B590" s="94" t="inlineStr">
        <is>
          <t>150182 עטרת מדיפוט נתניה</t>
        </is>
      </c>
      <c r="C590" s="94" t="inlineStr">
        <is>
          <t>INV68195</t>
        </is>
      </c>
      <c r="D590" s="94" t="inlineStr">
        <is>
          <t>INV</t>
        </is>
      </c>
      <c r="E590" s="102" t="n">
        <v>0</v>
      </c>
      <c r="F590" s="94" t="n">
        <v>0</v>
      </c>
      <c r="G590" s="102" t="n">
        <v>387.11</v>
      </c>
      <c r="H590" s="94" t="n">
        <v>11</v>
      </c>
    </row>
    <row r="591" ht="15" customHeight="1" s="82">
      <c r="A591" s="94" t="inlineStr">
        <is>
          <t>102 - Orthopedic institutes</t>
        </is>
      </c>
      <c r="B591" s="94" t="inlineStr">
        <is>
          <t>150182 עטרת מדיפוט נתניה</t>
        </is>
      </c>
      <c r="C591" s="94" t="inlineStr">
        <is>
          <t>INV48982</t>
        </is>
      </c>
      <c r="D591" s="94" t="inlineStr">
        <is>
          <t>INV</t>
        </is>
      </c>
      <c r="E591" s="102" t="n">
        <v>381.32</v>
      </c>
      <c r="F591" s="94" t="n">
        <v>4</v>
      </c>
      <c r="G591" s="102" t="n">
        <v>0</v>
      </c>
      <c r="H591" s="94" t="n">
        <v>0</v>
      </c>
    </row>
    <row r="592" ht="15" customHeight="1" s="82">
      <c r="A592" s="94" t="inlineStr">
        <is>
          <t>102 - Orthopedic institutes</t>
        </is>
      </c>
      <c r="B592" s="94" t="inlineStr">
        <is>
          <t>150182 עטרת מדיפוט נתניה</t>
        </is>
      </c>
      <c r="C592" s="94" t="inlineStr">
        <is>
          <t>INV68509</t>
        </is>
      </c>
      <c r="D592" s="94" t="inlineStr">
        <is>
          <t>INV</t>
        </is>
      </c>
      <c r="E592" s="102" t="n">
        <v>0</v>
      </c>
      <c r="F592" s="94" t="n">
        <v>0</v>
      </c>
      <c r="G592" s="102" t="n">
        <v>356.63</v>
      </c>
      <c r="H592" s="94" t="n">
        <v>12</v>
      </c>
    </row>
    <row r="593" ht="15" customHeight="1" s="82">
      <c r="A593" s="94" t="inlineStr">
        <is>
          <t>102 - Orthopedic institutes</t>
        </is>
      </c>
      <c r="B593" s="94" t="inlineStr">
        <is>
          <t>150182 עטרת מדיפוט נתניה</t>
        </is>
      </c>
      <c r="C593" s="94" t="inlineStr">
        <is>
          <t>INV47474</t>
        </is>
      </c>
      <c r="D593" s="94" t="inlineStr">
        <is>
          <t>INV</t>
        </is>
      </c>
      <c r="E593" s="102" t="n">
        <v>351</v>
      </c>
      <c r="F593" s="94" t="n">
        <v>2</v>
      </c>
      <c r="G593" s="102" t="n">
        <v>0</v>
      </c>
      <c r="H593" s="94" t="n">
        <v>0</v>
      </c>
    </row>
    <row r="594" ht="15" customHeight="1" s="82">
      <c r="A594" s="94" t="inlineStr">
        <is>
          <t>102 - Orthopedic institutes</t>
        </is>
      </c>
      <c r="B594" s="94" t="inlineStr">
        <is>
          <t>150182 עטרת מדיפוט נתניה</t>
        </is>
      </c>
      <c r="C594" s="94" t="inlineStr">
        <is>
          <t>INV57090</t>
        </is>
      </c>
      <c r="D594" s="94" t="inlineStr">
        <is>
          <t>INV</t>
        </is>
      </c>
      <c r="E594" s="102" t="n">
        <v>350.84</v>
      </c>
      <c r="F594" s="94" t="n">
        <v>5</v>
      </c>
      <c r="G594" s="102" t="n">
        <v>0</v>
      </c>
      <c r="H594" s="94" t="n">
        <v>0</v>
      </c>
    </row>
    <row r="595" ht="15" customHeight="1" s="82">
      <c r="A595" s="94" t="inlineStr">
        <is>
          <t>102 - Orthopedic institutes</t>
        </is>
      </c>
      <c r="B595" s="94" t="inlineStr">
        <is>
          <t>150182 עטרת מדיפוט נתניה</t>
        </is>
      </c>
      <c r="C595" s="94" t="inlineStr">
        <is>
          <t>INV42032</t>
        </is>
      </c>
      <c r="D595" s="94" t="inlineStr">
        <is>
          <t>INV</t>
        </is>
      </c>
      <c r="E595" s="102" t="n">
        <v>321</v>
      </c>
      <c r="F595" s="94" t="n">
        <v>1</v>
      </c>
      <c r="G595" s="102" t="n">
        <v>0</v>
      </c>
      <c r="H595" s="94" t="n">
        <v>0</v>
      </c>
    </row>
    <row r="596" ht="15" customHeight="1" s="82">
      <c r="A596" s="94" t="inlineStr">
        <is>
          <t>102 - Orthopedic institutes</t>
        </is>
      </c>
      <c r="B596" s="94" t="inlineStr">
        <is>
          <t>150182 עטרת מדיפוט נתניה</t>
        </is>
      </c>
      <c r="C596" s="94" t="inlineStr">
        <is>
          <t>INV44206</t>
        </is>
      </c>
      <c r="D596" s="94" t="inlineStr">
        <is>
          <t>INV</t>
        </is>
      </c>
      <c r="E596" s="102" t="n">
        <v>317.17</v>
      </c>
      <c r="F596" s="94" t="n">
        <v>12</v>
      </c>
      <c r="G596" s="102" t="n">
        <v>0</v>
      </c>
      <c r="H596" s="94" t="n">
        <v>0</v>
      </c>
    </row>
    <row r="597" ht="15" customHeight="1" s="82">
      <c r="A597" s="94" t="inlineStr">
        <is>
          <t>102 - Orthopedic institutes</t>
        </is>
      </c>
      <c r="B597" s="94" t="inlineStr">
        <is>
          <t>150182 עטרת מדיפוט נתניה</t>
        </is>
      </c>
      <c r="C597" s="94" t="inlineStr">
        <is>
          <t>INV55055</t>
        </is>
      </c>
      <c r="D597" s="94" t="inlineStr">
        <is>
          <t>INV</t>
        </is>
      </c>
      <c r="E597" s="102" t="n">
        <v>316.32</v>
      </c>
      <c r="F597" s="94" t="n">
        <v>4</v>
      </c>
      <c r="G597" s="102" t="n">
        <v>0</v>
      </c>
      <c r="H597" s="94" t="n">
        <v>0</v>
      </c>
    </row>
    <row r="598" ht="15" customHeight="1" s="82">
      <c r="A598" s="94" t="inlineStr">
        <is>
          <t>102 - Orthopedic institutes</t>
        </is>
      </c>
      <c r="B598" s="94" t="inlineStr">
        <is>
          <t>150182 עטרת מדיפוט נתניה</t>
        </is>
      </c>
      <c r="C598" s="94" t="inlineStr">
        <is>
          <t>INV55999</t>
        </is>
      </c>
      <c r="D598" s="94" t="inlineStr">
        <is>
          <t>INV</t>
        </is>
      </c>
      <c r="E598" s="102" t="n">
        <v>316.24</v>
      </c>
      <c r="F598" s="94" t="n">
        <v>2</v>
      </c>
      <c r="G598" s="102" t="n">
        <v>0</v>
      </c>
      <c r="H598" s="94" t="n">
        <v>0</v>
      </c>
    </row>
    <row r="599" ht="15" customHeight="1" s="82">
      <c r="A599" s="94" t="inlineStr">
        <is>
          <t>102 - Orthopedic institutes</t>
        </is>
      </c>
      <c r="B599" s="94" t="inlineStr">
        <is>
          <t>150182 עטרת מדיפוט נתניה</t>
        </is>
      </c>
      <c r="C599" s="94" t="inlineStr">
        <is>
          <t>INV68080</t>
        </is>
      </c>
      <c r="D599" s="94" t="inlineStr">
        <is>
          <t>INV</t>
        </is>
      </c>
      <c r="E599" s="102" t="n">
        <v>0</v>
      </c>
      <c r="F599" s="94" t="n">
        <v>0</v>
      </c>
      <c r="G599" s="102" t="n">
        <v>316.24</v>
      </c>
      <c r="H599" s="94" t="n">
        <v>2</v>
      </c>
    </row>
    <row r="600" ht="15" customHeight="1" s="82">
      <c r="A600" s="94" t="inlineStr">
        <is>
          <t>102 - Orthopedic institutes</t>
        </is>
      </c>
      <c r="B600" s="94" t="inlineStr">
        <is>
          <t>150182 עטרת מדיפוט נתניה</t>
        </is>
      </c>
      <c r="C600" s="94" t="inlineStr">
        <is>
          <t>INV66089</t>
        </is>
      </c>
      <c r="D600" s="94" t="inlineStr">
        <is>
          <t>INV</t>
        </is>
      </c>
      <c r="E600" s="102" t="n">
        <v>316.24</v>
      </c>
      <c r="F600" s="94" t="n">
        <v>2</v>
      </c>
      <c r="G600" s="102" t="n">
        <v>0</v>
      </c>
      <c r="H600" s="94" t="n">
        <v>0</v>
      </c>
    </row>
    <row r="601" ht="15" customHeight="1" s="82">
      <c r="A601" s="94" t="inlineStr">
        <is>
          <t>102 - Orthopedic institutes</t>
        </is>
      </c>
      <c r="B601" s="94" t="inlineStr">
        <is>
          <t>150182 עטרת מדיפוט נתניה</t>
        </is>
      </c>
      <c r="C601" s="94" t="inlineStr">
        <is>
          <t>INV66017</t>
        </is>
      </c>
      <c r="D601" s="94" t="inlineStr">
        <is>
          <t>INV</t>
        </is>
      </c>
      <c r="E601" s="102" t="n">
        <v>304.6</v>
      </c>
      <c r="F601" s="94" t="n">
        <v>2</v>
      </c>
      <c r="G601" s="102" t="n">
        <v>0</v>
      </c>
      <c r="H601" s="94" t="n">
        <v>0</v>
      </c>
    </row>
    <row r="602" ht="15" customHeight="1" s="82">
      <c r="A602" s="94" t="inlineStr">
        <is>
          <t>102 - Orthopedic institutes</t>
        </is>
      </c>
      <c r="B602" s="94" t="inlineStr">
        <is>
          <t>150182 עטרת מדיפוט נתניה</t>
        </is>
      </c>
      <c r="C602" s="94" t="inlineStr">
        <is>
          <t>INV67869</t>
        </is>
      </c>
      <c r="D602" s="94" t="inlineStr">
        <is>
          <t>INV</t>
        </is>
      </c>
      <c r="E602" s="102" t="n">
        <v>0</v>
      </c>
      <c r="F602" s="94" t="n">
        <v>0</v>
      </c>
      <c r="G602" s="102" t="n">
        <v>292.67</v>
      </c>
      <c r="H602" s="94" t="n">
        <v>6</v>
      </c>
    </row>
    <row r="603" ht="15" customHeight="1" s="82">
      <c r="A603" s="94" t="inlineStr">
        <is>
          <t>102 - Orthopedic institutes</t>
        </is>
      </c>
      <c r="B603" s="94" t="inlineStr">
        <is>
          <t>150182 עטרת מדיפוט נתניה</t>
        </is>
      </c>
      <c r="C603" s="94" t="inlineStr">
        <is>
          <t>INV65981</t>
        </is>
      </c>
      <c r="D603" s="94" t="inlineStr">
        <is>
          <t>INV</t>
        </is>
      </c>
      <c r="E603" s="102" t="n">
        <v>249.02</v>
      </c>
      <c r="F603" s="94" t="n">
        <v>2</v>
      </c>
      <c r="G603" s="102" t="n">
        <v>0</v>
      </c>
      <c r="H603" s="94" t="n">
        <v>0</v>
      </c>
    </row>
    <row r="604" ht="15" customHeight="1" s="82">
      <c r="A604" s="94" t="inlineStr">
        <is>
          <t>102 - Orthopedic institutes</t>
        </is>
      </c>
      <c r="B604" s="94" t="inlineStr">
        <is>
          <t>150182 עטרת מדיפוט נתניה</t>
        </is>
      </c>
      <c r="C604" s="94" t="inlineStr">
        <is>
          <t>INV68859</t>
        </is>
      </c>
      <c r="D604" s="94" t="inlineStr">
        <is>
          <t>INV</t>
        </is>
      </c>
      <c r="E604" s="102" t="n">
        <v>0</v>
      </c>
      <c r="F604" s="94" t="n">
        <v>0</v>
      </c>
      <c r="G604" s="102" t="n">
        <v>203.38</v>
      </c>
      <c r="H604" s="94" t="n">
        <v>1</v>
      </c>
    </row>
    <row r="605" ht="15" customHeight="1" s="82">
      <c r="A605" s="94" t="inlineStr">
        <is>
          <t>102 - Orthopedic institutes</t>
        </is>
      </c>
      <c r="B605" s="94" t="inlineStr">
        <is>
          <t>150182 עטרת מדיפוט נתניה</t>
        </is>
      </c>
      <c r="C605" s="94" t="inlineStr">
        <is>
          <t>INV69225</t>
        </is>
      </c>
      <c r="D605" s="94" t="inlineStr">
        <is>
          <t>INV</t>
        </is>
      </c>
      <c r="E605" s="102" t="n">
        <v>0</v>
      </c>
      <c r="F605" s="94" t="n">
        <v>0</v>
      </c>
      <c r="G605" s="102" t="n">
        <v>179.48</v>
      </c>
      <c r="H605" s="94" t="n">
        <v>2</v>
      </c>
    </row>
    <row r="606" ht="15" customHeight="1" s="82">
      <c r="A606" s="94" t="inlineStr">
        <is>
          <t>102 - Orthopedic institutes</t>
        </is>
      </c>
      <c r="B606" s="94" t="inlineStr">
        <is>
          <t>150182 עטרת מדיפוט נתניה</t>
        </is>
      </c>
      <c r="C606" s="94" t="inlineStr">
        <is>
          <t>INV43011</t>
        </is>
      </c>
      <c r="D606" s="94" t="inlineStr">
        <is>
          <t>INV</t>
        </is>
      </c>
      <c r="E606" s="102" t="n">
        <v>168</v>
      </c>
      <c r="F606" s="94" t="n">
        <v>3</v>
      </c>
      <c r="G606" s="102" t="n">
        <v>0</v>
      </c>
      <c r="H606" s="94" t="n">
        <v>0</v>
      </c>
    </row>
    <row r="607" ht="15" customHeight="1" s="82">
      <c r="A607" s="94" t="inlineStr">
        <is>
          <t>102 - Orthopedic institutes</t>
        </is>
      </c>
      <c r="B607" s="94" t="inlineStr">
        <is>
          <t>150182 עטרת מדיפוט נתניה</t>
        </is>
      </c>
      <c r="C607" s="94" t="inlineStr">
        <is>
          <t>INV41401</t>
        </is>
      </c>
      <c r="D607" s="94" t="inlineStr">
        <is>
          <t>INV</t>
        </is>
      </c>
      <c r="E607" s="102" t="n">
        <v>166</v>
      </c>
      <c r="F607" s="94" t="n">
        <v>2</v>
      </c>
      <c r="G607" s="102" t="n">
        <v>0</v>
      </c>
      <c r="H607" s="94" t="n">
        <v>0</v>
      </c>
    </row>
    <row r="608" ht="15" customHeight="1" s="82">
      <c r="A608" s="94" t="inlineStr">
        <is>
          <t>102 - Orthopedic institutes</t>
        </is>
      </c>
      <c r="B608" s="94" t="inlineStr">
        <is>
          <t>150182 עטרת מדיפוט נתניה</t>
        </is>
      </c>
      <c r="C608" s="94" t="inlineStr">
        <is>
          <t>INV66750</t>
        </is>
      </c>
      <c r="D608" s="94" t="inlineStr">
        <is>
          <t>INV</t>
        </is>
      </c>
      <c r="E608" s="102" t="n">
        <v>164.02</v>
      </c>
      <c r="F608" s="94" t="n">
        <v>1</v>
      </c>
      <c r="G608" s="102" t="n">
        <v>0</v>
      </c>
      <c r="H608" s="94" t="n">
        <v>0</v>
      </c>
    </row>
    <row r="609" ht="15" customHeight="1" s="82">
      <c r="A609" s="94" t="inlineStr">
        <is>
          <t>102 - Orthopedic institutes</t>
        </is>
      </c>
      <c r="B609" s="94" t="inlineStr">
        <is>
          <t>150182 עטרת מדיפוט נתניה</t>
        </is>
      </c>
      <c r="C609" s="94" t="inlineStr">
        <is>
          <t>INV42774</t>
        </is>
      </c>
      <c r="D609" s="94" t="inlineStr">
        <is>
          <t>INV</t>
        </is>
      </c>
      <c r="E609" s="102" t="n">
        <v>158.12</v>
      </c>
      <c r="F609" s="94" t="n">
        <v>1</v>
      </c>
      <c r="G609" s="102" t="n">
        <v>0</v>
      </c>
      <c r="H609" s="94" t="n">
        <v>0</v>
      </c>
    </row>
    <row r="610" ht="15" customHeight="1" s="82">
      <c r="A610" s="94" t="inlineStr">
        <is>
          <t>102 - Orthopedic institutes</t>
        </is>
      </c>
      <c r="B610" s="94" t="inlineStr">
        <is>
          <t>150182 עטרת מדיפוט נתניה</t>
        </is>
      </c>
      <c r="C610" s="94" t="inlineStr">
        <is>
          <t>INV68512</t>
        </is>
      </c>
      <c r="D610" s="94" t="inlineStr">
        <is>
          <t>INV</t>
        </is>
      </c>
      <c r="E610" s="102" t="n">
        <v>0</v>
      </c>
      <c r="F610" s="94" t="n">
        <v>0</v>
      </c>
      <c r="G610" s="102" t="n">
        <v>158.12</v>
      </c>
      <c r="H610" s="94" t="n">
        <v>1</v>
      </c>
    </row>
    <row r="611" ht="15" customHeight="1" s="82">
      <c r="A611" s="94" t="inlineStr">
        <is>
          <t>102 - Orthopedic institutes</t>
        </is>
      </c>
      <c r="B611" s="94" t="inlineStr">
        <is>
          <t>150182 עטרת מדיפוט נתניה</t>
        </is>
      </c>
      <c r="C611" s="94" t="inlineStr">
        <is>
          <t>INV68590</t>
        </is>
      </c>
      <c r="D611" s="94" t="inlineStr">
        <is>
          <t>INV</t>
        </is>
      </c>
      <c r="E611" s="102" t="n">
        <v>0</v>
      </c>
      <c r="F611" s="94" t="n">
        <v>0</v>
      </c>
      <c r="G611" s="102" t="n">
        <v>115.38</v>
      </c>
      <c r="H611" s="94" t="n">
        <v>1</v>
      </c>
    </row>
    <row r="612" ht="15" customHeight="1" s="82">
      <c r="A612" s="94" t="inlineStr">
        <is>
          <t>102 - Orthopedic institutes</t>
        </is>
      </c>
      <c r="B612" s="94" t="inlineStr">
        <is>
          <t>150182 עטרת מדיפוט נתניה</t>
        </is>
      </c>
      <c r="C612" s="94" t="inlineStr">
        <is>
          <t>INV42276</t>
        </is>
      </c>
      <c r="D612" s="94" t="inlineStr">
        <is>
          <t>INV</t>
        </is>
      </c>
      <c r="E612" s="102" t="n">
        <v>115.38</v>
      </c>
      <c r="F612" s="94" t="n">
        <v>1</v>
      </c>
      <c r="G612" s="102" t="n">
        <v>0</v>
      </c>
      <c r="H612" s="94" t="n">
        <v>0</v>
      </c>
    </row>
    <row r="613" ht="15" customHeight="1" s="82">
      <c r="A613" s="94" t="inlineStr">
        <is>
          <t>102 - Orthopedic institutes</t>
        </is>
      </c>
      <c r="B613" s="94" t="inlineStr">
        <is>
          <t>150182 עטרת מדיפוט נתניה</t>
        </is>
      </c>
      <c r="C613" s="94" t="inlineStr">
        <is>
          <t>INV66955</t>
        </is>
      </c>
      <c r="D613" s="94" t="inlineStr">
        <is>
          <t>INV</t>
        </is>
      </c>
      <c r="E613" s="102" t="n">
        <v>111.04</v>
      </c>
      <c r="F613" s="94" t="n">
        <v>1</v>
      </c>
      <c r="G613" s="102" t="n">
        <v>0</v>
      </c>
      <c r="H613" s="94" t="n">
        <v>0</v>
      </c>
    </row>
    <row r="614" ht="15" customHeight="1" s="82">
      <c r="A614" s="94" t="inlineStr">
        <is>
          <t>102 - Orthopedic institutes</t>
        </is>
      </c>
      <c r="B614" s="94" t="inlineStr">
        <is>
          <t>150182 עטרת מדיפוט נתניה</t>
        </is>
      </c>
      <c r="C614" s="94" t="inlineStr">
        <is>
          <t>INV67008</t>
        </is>
      </c>
      <c r="D614" s="94" t="inlineStr">
        <is>
          <t>INV</t>
        </is>
      </c>
      <c r="E614" s="102" t="n">
        <v>84.31999999999999</v>
      </c>
      <c r="F614" s="94" t="n">
        <v>1</v>
      </c>
      <c r="G614" s="102" t="n">
        <v>0</v>
      </c>
      <c r="H614" s="94" t="n">
        <v>0</v>
      </c>
    </row>
    <row r="615" ht="15" customHeight="1" s="82">
      <c r="A615" s="94" t="inlineStr">
        <is>
          <t>102 - Orthopedic institutes</t>
        </is>
      </c>
      <c r="B615" s="94" t="inlineStr">
        <is>
          <t>150182 עטרת מדיפוט נתניה</t>
        </is>
      </c>
      <c r="C615" s="94" t="inlineStr">
        <is>
          <t>INV65985</t>
        </is>
      </c>
      <c r="D615" s="94" t="inlineStr">
        <is>
          <t>INV</t>
        </is>
      </c>
      <c r="E615" s="102" t="n">
        <v>30</v>
      </c>
      <c r="F615" s="94" t="n">
        <v>1</v>
      </c>
      <c r="G615" s="102" t="n">
        <v>0</v>
      </c>
      <c r="H615" s="94" t="n">
        <v>0</v>
      </c>
    </row>
    <row r="616" ht="15" customHeight="1" s="82">
      <c r="A616" s="94" t="inlineStr">
        <is>
          <t>102 - Orthopedic institutes</t>
        </is>
      </c>
      <c r="B616" s="94" t="inlineStr">
        <is>
          <t>150182 עטרת מדיפוט נתניה</t>
        </is>
      </c>
      <c r="C616" s="94" t="inlineStr">
        <is>
          <t>CM44688</t>
        </is>
      </c>
      <c r="D616" s="94" t="inlineStr">
        <is>
          <t>CM</t>
        </is>
      </c>
      <c r="E616" s="102" t="n">
        <v>0</v>
      </c>
      <c r="F616" s="94" t="n">
        <v>0</v>
      </c>
      <c r="G616" s="102" t="n">
        <v>-105</v>
      </c>
      <c r="H616" s="94" t="n">
        <v>-1</v>
      </c>
    </row>
    <row r="617" ht="15" customHeight="1" s="82">
      <c r="A617" s="94" t="inlineStr">
        <is>
          <t>102 - Orthopedic institutes</t>
        </is>
      </c>
      <c r="B617" s="94" t="inlineStr">
        <is>
          <t>150182 עטרת מדיפוט נתניה</t>
        </is>
      </c>
      <c r="C617" s="94" t="inlineStr">
        <is>
          <t>CM44237</t>
        </is>
      </c>
      <c r="D617" s="94" t="inlineStr">
        <is>
          <t>CM</t>
        </is>
      </c>
      <c r="E617" s="102" t="n">
        <v>-111.04</v>
      </c>
      <c r="F617" s="94" t="n">
        <v>-1</v>
      </c>
      <c r="G617" s="102" t="n">
        <v>0</v>
      </c>
      <c r="H617" s="94" t="n">
        <v>0</v>
      </c>
    </row>
    <row r="618" ht="15" customHeight="1" s="82">
      <c r="A618" s="94" t="inlineStr">
        <is>
          <t>102 - Orthopedic institutes</t>
        </is>
      </c>
      <c r="B618" s="94" t="inlineStr">
        <is>
          <t>150182 עטרת מדיפוט נתניה</t>
        </is>
      </c>
      <c r="C618" s="94" t="inlineStr">
        <is>
          <t>CM43330</t>
        </is>
      </c>
      <c r="D618" s="94" t="inlineStr">
        <is>
          <t>CM</t>
        </is>
      </c>
      <c r="E618" s="102" t="n">
        <v>-115.38</v>
      </c>
      <c r="F618" s="94" t="n">
        <v>-1</v>
      </c>
      <c r="G618" s="102" t="n">
        <v>0</v>
      </c>
      <c r="H618" s="94" t="n">
        <v>0</v>
      </c>
    </row>
    <row r="619" ht="15" customHeight="1" s="82">
      <c r="A619" s="94" t="inlineStr">
        <is>
          <t>102 - Orthopedic institutes</t>
        </is>
      </c>
      <c r="B619" s="94" t="inlineStr">
        <is>
          <t>150182 עטרת מדיפוט נתניה</t>
        </is>
      </c>
      <c r="C619" s="94" t="inlineStr">
        <is>
          <t>CM44206</t>
        </is>
      </c>
      <c r="D619" s="94" t="inlineStr">
        <is>
          <t>CM</t>
        </is>
      </c>
      <c r="E619" s="102" t="n">
        <v>-140.57</v>
      </c>
      <c r="F619" s="94" t="n">
        <v>-1</v>
      </c>
      <c r="G619" s="102" t="n">
        <v>0</v>
      </c>
      <c r="H619" s="94" t="n">
        <v>0</v>
      </c>
    </row>
    <row r="620" ht="15" customHeight="1" s="82">
      <c r="A620" s="94" t="inlineStr">
        <is>
          <t>102 - Orthopedic institutes</t>
        </is>
      </c>
      <c r="B620" s="94" t="inlineStr">
        <is>
          <t>150182 עטרת מדיפוט נתניה</t>
        </is>
      </c>
      <c r="C620" s="94" t="inlineStr">
        <is>
          <t>CM44128</t>
        </is>
      </c>
      <c r="D620" s="94" t="inlineStr">
        <is>
          <t>CM</t>
        </is>
      </c>
      <c r="E620" s="102" t="n">
        <v>-164.02</v>
      </c>
      <c r="F620" s="94" t="n">
        <v>-1</v>
      </c>
      <c r="G620" s="102" t="n">
        <v>0</v>
      </c>
      <c r="H620" s="94" t="n">
        <v>0</v>
      </c>
    </row>
    <row r="621" ht="15" customHeight="1" s="82">
      <c r="A621" s="94" t="inlineStr">
        <is>
          <t>102 - Orthopedic institutes</t>
        </is>
      </c>
      <c r="B621" s="94" t="inlineStr">
        <is>
          <t>150182 עטרת מדיפוט נתניה</t>
        </is>
      </c>
      <c r="C621" s="94" t="inlineStr">
        <is>
          <t>CM43971</t>
        </is>
      </c>
      <c r="D621" s="94" t="inlineStr">
        <is>
          <t>CM</t>
        </is>
      </c>
      <c r="E621" s="102" t="n">
        <v>-252.93</v>
      </c>
      <c r="F621" s="94" t="n">
        <v>-4</v>
      </c>
      <c r="G621" s="102" t="n">
        <v>0</v>
      </c>
      <c r="H621" s="94" t="n">
        <v>0</v>
      </c>
    </row>
    <row r="622" ht="15" customHeight="1" s="82">
      <c r="A622" s="94" t="inlineStr">
        <is>
          <t>102 - Orthopedic institutes</t>
        </is>
      </c>
      <c r="B622" s="94" t="inlineStr">
        <is>
          <t>150196 לב האורטופדיה רחובות</t>
        </is>
      </c>
      <c r="C622" s="94" t="inlineStr">
        <is>
          <t>INV66385</t>
        </is>
      </c>
      <c r="D622" s="94" t="inlineStr">
        <is>
          <t>INV</t>
        </is>
      </c>
      <c r="E622" s="102" t="n">
        <v>1989.99</v>
      </c>
      <c r="F622" s="94" t="n">
        <v>28</v>
      </c>
      <c r="G622" s="102" t="n">
        <v>0</v>
      </c>
      <c r="H622" s="94" t="n">
        <v>0</v>
      </c>
    </row>
    <row r="623" ht="15" customHeight="1" s="82">
      <c r="A623" s="94" t="inlineStr">
        <is>
          <t>102 - Orthopedic institutes</t>
        </is>
      </c>
      <c r="B623" s="94" t="inlineStr">
        <is>
          <t>150196 לב האורטופדיה רחובות</t>
        </is>
      </c>
      <c r="C623" s="94" t="inlineStr">
        <is>
          <t>INV57517</t>
        </is>
      </c>
      <c r="D623" s="94" t="inlineStr">
        <is>
          <t>INV</t>
        </is>
      </c>
      <c r="E623" s="102" t="n">
        <v>1500.13</v>
      </c>
      <c r="F623" s="94" t="n">
        <v>21</v>
      </c>
      <c r="G623" s="102" t="n">
        <v>0</v>
      </c>
      <c r="H623" s="94" t="n">
        <v>0</v>
      </c>
    </row>
    <row r="624" ht="15" customHeight="1" s="82">
      <c r="A624" s="94" t="inlineStr">
        <is>
          <t>102 - Orthopedic institutes</t>
        </is>
      </c>
      <c r="B624" s="94" t="inlineStr">
        <is>
          <t>150196 לב האורטופדיה רחובות</t>
        </is>
      </c>
      <c r="C624" s="94" t="inlineStr">
        <is>
          <t>INV68511</t>
        </is>
      </c>
      <c r="D624" s="94" t="inlineStr">
        <is>
          <t>INV</t>
        </is>
      </c>
      <c r="E624" s="102" t="n">
        <v>0</v>
      </c>
      <c r="F624" s="94" t="n">
        <v>0</v>
      </c>
      <c r="G624" s="102" t="n">
        <v>1062.93</v>
      </c>
      <c r="H624" s="94" t="n">
        <v>19</v>
      </c>
    </row>
    <row r="625" ht="15" customHeight="1" s="82">
      <c r="A625" s="94" t="inlineStr">
        <is>
          <t>102 - Orthopedic institutes</t>
        </is>
      </c>
      <c r="B625" s="94" t="inlineStr">
        <is>
          <t>150196 לב האורטופדיה רחובות</t>
        </is>
      </c>
      <c r="C625" s="94" t="inlineStr">
        <is>
          <t>INV68893</t>
        </is>
      </c>
      <c r="D625" s="94" t="inlineStr">
        <is>
          <t>INV</t>
        </is>
      </c>
      <c r="E625" s="102" t="n">
        <v>0</v>
      </c>
      <c r="F625" s="94" t="n">
        <v>0</v>
      </c>
      <c r="G625" s="102" t="n">
        <v>949.1799999999999</v>
      </c>
      <c r="H625" s="94" t="n">
        <v>11</v>
      </c>
    </row>
    <row r="626" ht="15" customHeight="1" s="82">
      <c r="A626" s="94" t="inlineStr">
        <is>
          <t>102 - Orthopedic institutes</t>
        </is>
      </c>
      <c r="B626" s="94" t="inlineStr">
        <is>
          <t>150196 לב האורטופדיה רחובות</t>
        </is>
      </c>
      <c r="C626" s="94" t="inlineStr">
        <is>
          <t>INV67742</t>
        </is>
      </c>
      <c r="D626" s="94" t="inlineStr">
        <is>
          <t>INV</t>
        </is>
      </c>
      <c r="E626" s="102" t="n">
        <v>0</v>
      </c>
      <c r="F626" s="94" t="n">
        <v>0</v>
      </c>
      <c r="G626" s="102" t="n">
        <v>849.99</v>
      </c>
      <c r="H626" s="94" t="n">
        <v>8</v>
      </c>
    </row>
    <row r="627" ht="15" customHeight="1" s="82">
      <c r="A627" s="94" t="inlineStr">
        <is>
          <t>102 - Orthopedic institutes</t>
        </is>
      </c>
      <c r="B627" s="94" t="inlineStr">
        <is>
          <t>150196 לב האורטופדיה רחובות</t>
        </is>
      </c>
      <c r="C627" s="94" t="inlineStr">
        <is>
          <t>INV67816</t>
        </is>
      </c>
      <c r="D627" s="94" t="inlineStr">
        <is>
          <t>INV</t>
        </is>
      </c>
      <c r="E627" s="102" t="n">
        <v>0</v>
      </c>
      <c r="F627" s="94" t="n">
        <v>0</v>
      </c>
      <c r="G627" s="102" t="n">
        <v>780</v>
      </c>
      <c r="H627" s="94" t="n">
        <v>4</v>
      </c>
    </row>
    <row r="628" ht="15" customHeight="1" s="82">
      <c r="A628" s="94" t="inlineStr">
        <is>
          <t>102 - Orthopedic institutes</t>
        </is>
      </c>
      <c r="B628" s="94" t="inlineStr">
        <is>
          <t>150196 לב האורטופדיה רחובות</t>
        </is>
      </c>
      <c r="C628" s="94" t="inlineStr">
        <is>
          <t>INV67573</t>
        </is>
      </c>
      <c r="D628" s="94" t="inlineStr">
        <is>
          <t>INV</t>
        </is>
      </c>
      <c r="E628" s="102" t="n">
        <v>0</v>
      </c>
      <c r="F628" s="94" t="n">
        <v>0</v>
      </c>
      <c r="G628" s="102" t="n">
        <v>750.01</v>
      </c>
      <c r="H628" s="94" t="n">
        <v>4</v>
      </c>
    </row>
    <row r="629" ht="15" customHeight="1" s="82">
      <c r="A629" s="94" t="inlineStr">
        <is>
          <t>102 - Orthopedic institutes</t>
        </is>
      </c>
      <c r="B629" s="94" t="inlineStr">
        <is>
          <t>150196 לב האורטופדיה רחובות</t>
        </is>
      </c>
      <c r="C629" s="94" t="inlineStr">
        <is>
          <t>INV63511</t>
        </is>
      </c>
      <c r="D629" s="94" t="inlineStr">
        <is>
          <t>INV</t>
        </is>
      </c>
      <c r="E629" s="102" t="n">
        <v>715.61</v>
      </c>
      <c r="F629" s="94" t="n">
        <v>7</v>
      </c>
      <c r="G629" s="102" t="n">
        <v>0</v>
      </c>
      <c r="H629" s="94" t="n">
        <v>0</v>
      </c>
    </row>
    <row r="630" ht="15" customHeight="1" s="82">
      <c r="A630" s="94" t="inlineStr">
        <is>
          <t>102 - Orthopedic institutes</t>
        </is>
      </c>
      <c r="B630" s="94" t="inlineStr">
        <is>
          <t>150196 לב האורטופדיה רחובות</t>
        </is>
      </c>
      <c r="C630" s="94" t="inlineStr">
        <is>
          <t>INV68047</t>
        </is>
      </c>
      <c r="D630" s="94" t="inlineStr">
        <is>
          <t>INV</t>
        </is>
      </c>
      <c r="E630" s="102" t="n">
        <v>0</v>
      </c>
      <c r="F630" s="94" t="n">
        <v>0</v>
      </c>
      <c r="G630" s="102" t="n">
        <v>712.52</v>
      </c>
      <c r="H630" s="94" t="n">
        <v>9</v>
      </c>
    </row>
    <row r="631" ht="15" customHeight="1" s="82">
      <c r="A631" s="94" t="inlineStr">
        <is>
          <t>102 - Orthopedic institutes</t>
        </is>
      </c>
      <c r="B631" s="94" t="inlineStr">
        <is>
          <t>150196 לב האורטופדיה רחובות</t>
        </is>
      </c>
      <c r="C631" s="94" t="inlineStr">
        <is>
          <t>INV65922</t>
        </is>
      </c>
      <c r="D631" s="94" t="inlineStr">
        <is>
          <t>INV</t>
        </is>
      </c>
      <c r="E631" s="102" t="n">
        <v>614.8200000000001</v>
      </c>
      <c r="F631" s="94" t="n">
        <v>10</v>
      </c>
      <c r="G631" s="102" t="n">
        <v>0</v>
      </c>
      <c r="H631" s="94" t="n">
        <v>0</v>
      </c>
    </row>
    <row r="632" ht="15" customHeight="1" s="82">
      <c r="A632" s="94" t="inlineStr">
        <is>
          <t>102 - Orthopedic institutes</t>
        </is>
      </c>
      <c r="B632" s="94" t="inlineStr">
        <is>
          <t>150196 לב האורטופדיה רחובות</t>
        </is>
      </c>
      <c r="C632" s="94" t="inlineStr">
        <is>
          <t>INV67238</t>
        </is>
      </c>
      <c r="D632" s="94" t="inlineStr">
        <is>
          <t>INV</t>
        </is>
      </c>
      <c r="E632" s="102" t="n">
        <v>0</v>
      </c>
      <c r="F632" s="94" t="n">
        <v>0</v>
      </c>
      <c r="G632" s="102" t="n">
        <v>610.21</v>
      </c>
      <c r="H632" s="94" t="n">
        <v>16</v>
      </c>
    </row>
    <row r="633" ht="15" customHeight="1" s="82">
      <c r="A633" s="94" t="inlineStr">
        <is>
          <t>102 - Orthopedic institutes</t>
        </is>
      </c>
      <c r="B633" s="94" t="inlineStr">
        <is>
          <t>150196 לב האורטופדיה רחובות</t>
        </is>
      </c>
      <c r="C633" s="94" t="inlineStr">
        <is>
          <t>INV52143</t>
        </is>
      </c>
      <c r="D633" s="94" t="inlineStr">
        <is>
          <t>INV</t>
        </is>
      </c>
      <c r="E633" s="102" t="n">
        <v>573.66</v>
      </c>
      <c r="F633" s="94" t="n">
        <v>10</v>
      </c>
      <c r="G633" s="102" t="n">
        <v>0</v>
      </c>
      <c r="H633" s="94" t="n">
        <v>0</v>
      </c>
    </row>
    <row r="634" ht="15" customHeight="1" s="82">
      <c r="A634" s="94" t="inlineStr">
        <is>
          <t>102 - Orthopedic institutes</t>
        </is>
      </c>
      <c r="B634" s="94" t="inlineStr">
        <is>
          <t>150196 לב האורטופדיה רחובות</t>
        </is>
      </c>
      <c r="C634" s="94" t="inlineStr">
        <is>
          <t>INV48391</t>
        </is>
      </c>
      <c r="D634" s="94" t="inlineStr">
        <is>
          <t>INV</t>
        </is>
      </c>
      <c r="E634" s="102" t="n">
        <v>526</v>
      </c>
      <c r="F634" s="94" t="n">
        <v>7</v>
      </c>
      <c r="G634" s="102" t="n">
        <v>0</v>
      </c>
      <c r="H634" s="94" t="n">
        <v>0</v>
      </c>
    </row>
    <row r="635" ht="15" customHeight="1" s="82">
      <c r="A635" s="94" t="inlineStr">
        <is>
          <t>102 - Orthopedic institutes</t>
        </is>
      </c>
      <c r="B635" s="94" t="inlineStr">
        <is>
          <t>150196 לב האורטופדיה רחובות</t>
        </is>
      </c>
      <c r="C635" s="94" t="inlineStr">
        <is>
          <t>INV68715</t>
        </is>
      </c>
      <c r="D635" s="94" t="inlineStr">
        <is>
          <t>INV</t>
        </is>
      </c>
      <c r="E635" s="102" t="n">
        <v>0</v>
      </c>
      <c r="F635" s="94" t="n">
        <v>0</v>
      </c>
      <c r="G635" s="102" t="n">
        <v>511.68</v>
      </c>
      <c r="H635" s="94" t="n">
        <v>8</v>
      </c>
    </row>
    <row r="636" ht="15" customHeight="1" s="82">
      <c r="A636" s="94" t="inlineStr">
        <is>
          <t>102 - Orthopedic institutes</t>
        </is>
      </c>
      <c r="B636" s="94" t="inlineStr">
        <is>
          <t>150196 לב האורטופדיה רחובות</t>
        </is>
      </c>
      <c r="C636" s="94" t="inlineStr">
        <is>
          <t>INV68643</t>
        </is>
      </c>
      <c r="D636" s="94" t="inlineStr">
        <is>
          <t>INV</t>
        </is>
      </c>
      <c r="E636" s="102" t="n">
        <v>0</v>
      </c>
      <c r="F636" s="94" t="n">
        <v>0</v>
      </c>
      <c r="G636" s="102" t="n">
        <v>509.84</v>
      </c>
      <c r="H636" s="94" t="n">
        <v>14</v>
      </c>
    </row>
    <row r="637" ht="15" customHeight="1" s="82">
      <c r="A637" s="94" t="inlineStr">
        <is>
          <t>102 - Orthopedic institutes</t>
        </is>
      </c>
      <c r="B637" s="94" t="inlineStr">
        <is>
          <t>150196 לב האורטופדיה רחובות</t>
        </is>
      </c>
      <c r="C637" s="94" t="inlineStr">
        <is>
          <t>INV42278</t>
        </is>
      </c>
      <c r="D637" s="94" t="inlineStr">
        <is>
          <t>INV</t>
        </is>
      </c>
      <c r="E637" s="102" t="n">
        <v>499.08</v>
      </c>
      <c r="F637" s="94" t="n">
        <v>20</v>
      </c>
      <c r="G637" s="102" t="n">
        <v>0</v>
      </c>
      <c r="H637" s="94" t="n">
        <v>0</v>
      </c>
    </row>
    <row r="638" ht="15" customHeight="1" s="82">
      <c r="A638" s="94" t="inlineStr">
        <is>
          <t>102 - Orthopedic institutes</t>
        </is>
      </c>
      <c r="B638" s="94" t="inlineStr">
        <is>
          <t>150196 לב האורטופדיה רחובות</t>
        </is>
      </c>
      <c r="C638" s="94" t="inlineStr">
        <is>
          <t>INV66668</t>
        </is>
      </c>
      <c r="D638" s="94" t="inlineStr">
        <is>
          <t>INV</t>
        </is>
      </c>
      <c r="E638" s="102" t="n">
        <v>479.97</v>
      </c>
      <c r="F638" s="94" t="n">
        <v>14</v>
      </c>
      <c r="G638" s="102" t="n">
        <v>0</v>
      </c>
      <c r="H638" s="94" t="n">
        <v>0</v>
      </c>
    </row>
    <row r="639" ht="15" customHeight="1" s="82">
      <c r="A639" s="94" t="inlineStr">
        <is>
          <t>102 - Orthopedic institutes</t>
        </is>
      </c>
      <c r="B639" s="94" t="inlineStr">
        <is>
          <t>150196 לב האורטופדיה רחובות</t>
        </is>
      </c>
      <c r="C639" s="94" t="inlineStr">
        <is>
          <t>INV66807</t>
        </is>
      </c>
      <c r="D639" s="94" t="inlineStr">
        <is>
          <t>INV</t>
        </is>
      </c>
      <c r="E639" s="102" t="n">
        <v>477.81</v>
      </c>
      <c r="F639" s="94" t="n">
        <v>8</v>
      </c>
      <c r="G639" s="102" t="n">
        <v>0</v>
      </c>
      <c r="H639" s="94" t="n">
        <v>0</v>
      </c>
    </row>
    <row r="640" ht="15" customHeight="1" s="82">
      <c r="A640" s="94" t="inlineStr">
        <is>
          <t>102 - Orthopedic institutes</t>
        </is>
      </c>
      <c r="B640" s="94" t="inlineStr">
        <is>
          <t>150196 לב האורטופדיה רחובות</t>
        </is>
      </c>
      <c r="C640" s="94" t="inlineStr">
        <is>
          <t>INV68280</t>
        </is>
      </c>
      <c r="D640" s="94" t="inlineStr">
        <is>
          <t>INV</t>
        </is>
      </c>
      <c r="E640" s="102" t="n">
        <v>0</v>
      </c>
      <c r="F640" s="94" t="n">
        <v>0</v>
      </c>
      <c r="G640" s="102" t="n">
        <v>450</v>
      </c>
      <c r="H640" s="94" t="n">
        <v>4</v>
      </c>
    </row>
    <row r="641" ht="15" customHeight="1" s="82">
      <c r="A641" s="94" t="inlineStr">
        <is>
          <t>102 - Orthopedic institutes</t>
        </is>
      </c>
      <c r="B641" s="94" t="inlineStr">
        <is>
          <t>150196 לב האורטופדיה רחובות</t>
        </is>
      </c>
      <c r="C641" s="94" t="inlineStr">
        <is>
          <t>INV49991</t>
        </is>
      </c>
      <c r="D641" s="94" t="inlineStr">
        <is>
          <t>INV</t>
        </is>
      </c>
      <c r="E641" s="102" t="n">
        <v>445.78</v>
      </c>
      <c r="F641" s="94" t="n">
        <v>9</v>
      </c>
      <c r="G641" s="102" t="n">
        <v>0</v>
      </c>
      <c r="H641" s="94" t="n">
        <v>0</v>
      </c>
    </row>
    <row r="642" ht="15" customHeight="1" s="82">
      <c r="A642" s="94" t="inlineStr">
        <is>
          <t>102 - Orthopedic institutes</t>
        </is>
      </c>
      <c r="B642" s="94" t="inlineStr">
        <is>
          <t>150196 לב האורטופדיה רחובות</t>
        </is>
      </c>
      <c r="C642" s="94" t="inlineStr">
        <is>
          <t>INV59573</t>
        </is>
      </c>
      <c r="D642" s="94" t="inlineStr">
        <is>
          <t>INV</t>
        </is>
      </c>
      <c r="E642" s="102" t="n">
        <v>411.99</v>
      </c>
      <c r="F642" s="94" t="n">
        <v>6</v>
      </c>
      <c r="G642" s="102" t="n">
        <v>0</v>
      </c>
      <c r="H642" s="94" t="n">
        <v>0</v>
      </c>
    </row>
    <row r="643" ht="15" customHeight="1" s="82">
      <c r="A643" s="94" t="inlineStr">
        <is>
          <t>102 - Orthopedic institutes</t>
        </is>
      </c>
      <c r="B643" s="94" t="inlineStr">
        <is>
          <t>150196 לב האורטופדיה רחובות</t>
        </is>
      </c>
      <c r="C643" s="94" t="inlineStr">
        <is>
          <t>INV45333</t>
        </is>
      </c>
      <c r="D643" s="94" t="inlineStr">
        <is>
          <t>INV</t>
        </is>
      </c>
      <c r="E643" s="102" t="n">
        <v>396.01</v>
      </c>
      <c r="F643" s="94" t="n">
        <v>10</v>
      </c>
      <c r="G643" s="102" t="n">
        <v>0</v>
      </c>
      <c r="H643" s="94" t="n">
        <v>0</v>
      </c>
    </row>
    <row r="644" ht="15" customHeight="1" s="82">
      <c r="A644" s="94" t="inlineStr">
        <is>
          <t>102 - Orthopedic institutes</t>
        </is>
      </c>
      <c r="B644" s="94" t="inlineStr">
        <is>
          <t>150196 לב האורטופדיה רחובות</t>
        </is>
      </c>
      <c r="C644" s="94" t="inlineStr">
        <is>
          <t>INV69155</t>
        </is>
      </c>
      <c r="D644" s="94" t="inlineStr">
        <is>
          <t>INV</t>
        </is>
      </c>
      <c r="E644" s="102" t="n">
        <v>0</v>
      </c>
      <c r="F644" s="94" t="n">
        <v>0</v>
      </c>
      <c r="G644" s="102" t="n">
        <v>369.7</v>
      </c>
      <c r="H644" s="94" t="n">
        <v>5</v>
      </c>
    </row>
    <row r="645" ht="15" customHeight="1" s="82">
      <c r="A645" s="94" t="inlineStr">
        <is>
          <t>102 - Orthopedic institutes</t>
        </is>
      </c>
      <c r="B645" s="94" t="inlineStr">
        <is>
          <t>150196 לב האורטופדיה רחובות</t>
        </is>
      </c>
      <c r="C645" s="94" t="inlineStr">
        <is>
          <t>INV67555</t>
        </is>
      </c>
      <c r="D645" s="94" t="inlineStr">
        <is>
          <t>INV</t>
        </is>
      </c>
      <c r="E645" s="102" t="n">
        <v>0</v>
      </c>
      <c r="F645" s="94" t="n">
        <v>0</v>
      </c>
      <c r="G645" s="102" t="n">
        <v>360</v>
      </c>
      <c r="H645" s="94" t="n">
        <v>2</v>
      </c>
    </row>
    <row r="646" ht="15" customHeight="1" s="82">
      <c r="A646" s="94" t="inlineStr">
        <is>
          <t>102 - Orthopedic institutes</t>
        </is>
      </c>
      <c r="B646" s="94" t="inlineStr">
        <is>
          <t>150196 לב האורטופדיה רחובות</t>
        </is>
      </c>
      <c r="C646" s="94" t="inlineStr">
        <is>
          <t>INV67585</t>
        </is>
      </c>
      <c r="D646" s="94" t="inlineStr">
        <is>
          <t>INV</t>
        </is>
      </c>
      <c r="E646" s="102" t="n">
        <v>0</v>
      </c>
      <c r="F646" s="94" t="n">
        <v>0</v>
      </c>
      <c r="G646" s="102" t="n">
        <v>350</v>
      </c>
      <c r="H646" s="94" t="n">
        <v>1</v>
      </c>
    </row>
    <row r="647" ht="15" customHeight="1" s="82">
      <c r="A647" s="94" t="inlineStr">
        <is>
          <t>102 - Orthopedic institutes</t>
        </is>
      </c>
      <c r="B647" s="94" t="inlineStr">
        <is>
          <t>150196 לב האורטופדיה רחובות</t>
        </is>
      </c>
      <c r="C647" s="94" t="inlineStr">
        <is>
          <t>INV67411</t>
        </is>
      </c>
      <c r="D647" s="94" t="inlineStr">
        <is>
          <t>INV</t>
        </is>
      </c>
      <c r="E647" s="102" t="n">
        <v>0</v>
      </c>
      <c r="F647" s="94" t="n">
        <v>0</v>
      </c>
      <c r="G647" s="102" t="n">
        <v>300</v>
      </c>
      <c r="H647" s="94" t="n">
        <v>3</v>
      </c>
    </row>
    <row r="648" ht="15" customHeight="1" s="82">
      <c r="A648" s="94" t="inlineStr">
        <is>
          <t>102 - Orthopedic institutes</t>
        </is>
      </c>
      <c r="B648" s="94" t="inlineStr">
        <is>
          <t>150196 לב האורטופדיה רחובות</t>
        </is>
      </c>
      <c r="C648" s="94" t="inlineStr">
        <is>
          <t>INV66749</t>
        </is>
      </c>
      <c r="D648" s="94" t="inlineStr">
        <is>
          <t>INV</t>
        </is>
      </c>
      <c r="E648" s="102" t="n">
        <v>180</v>
      </c>
      <c r="F648" s="94" t="n">
        <v>1</v>
      </c>
      <c r="G648" s="102" t="n">
        <v>0</v>
      </c>
      <c r="H648" s="94" t="n">
        <v>0</v>
      </c>
    </row>
    <row r="649" ht="15" customHeight="1" s="82">
      <c r="A649" s="94" t="inlineStr">
        <is>
          <t>102 - Orthopedic institutes</t>
        </is>
      </c>
      <c r="B649" s="94" t="inlineStr">
        <is>
          <t>150196 לב האורטופדיה רחובות</t>
        </is>
      </c>
      <c r="C649" s="94" t="inlineStr">
        <is>
          <t>INV58799</t>
        </is>
      </c>
      <c r="D649" s="94" t="inlineStr">
        <is>
          <t>INV</t>
        </is>
      </c>
      <c r="E649" s="102" t="n">
        <v>143.29</v>
      </c>
      <c r="F649" s="94" t="n">
        <v>2</v>
      </c>
      <c r="G649" s="102" t="n">
        <v>0</v>
      </c>
      <c r="H649" s="94" t="n">
        <v>0</v>
      </c>
    </row>
    <row r="650" ht="15" customHeight="1" s="82">
      <c r="A650" s="94" t="inlineStr">
        <is>
          <t>102 - Orthopedic institutes</t>
        </is>
      </c>
      <c r="B650" s="94" t="inlineStr">
        <is>
          <t>150202 רוני אורטופדיה בע"מ</t>
        </is>
      </c>
      <c r="C650" s="94" t="inlineStr">
        <is>
          <t>INV67531</t>
        </is>
      </c>
      <c r="D650" s="94" t="inlineStr">
        <is>
          <t>INV</t>
        </is>
      </c>
      <c r="E650" s="102" t="n">
        <v>0</v>
      </c>
      <c r="F650" s="94" t="n">
        <v>0</v>
      </c>
      <c r="G650" s="102" t="n">
        <v>4704.13</v>
      </c>
      <c r="H650" s="94" t="n">
        <v>47</v>
      </c>
    </row>
    <row r="651" ht="15" customHeight="1" s="82">
      <c r="A651" s="94" t="inlineStr">
        <is>
          <t>102 - Orthopedic institutes</t>
        </is>
      </c>
      <c r="B651" s="94" t="inlineStr">
        <is>
          <t>150202 רוני אורטופדיה בע"מ</t>
        </is>
      </c>
      <c r="C651" s="94" t="inlineStr">
        <is>
          <t>INV58392</t>
        </is>
      </c>
      <c r="D651" s="94" t="inlineStr">
        <is>
          <t>INV</t>
        </is>
      </c>
      <c r="E651" s="102" t="n">
        <v>4188.41</v>
      </c>
      <c r="F651" s="94" t="n">
        <v>36</v>
      </c>
      <c r="G651" s="102" t="n">
        <v>0</v>
      </c>
      <c r="H651" s="94" t="n">
        <v>0</v>
      </c>
    </row>
    <row r="652" ht="15" customHeight="1" s="82">
      <c r="A652" s="94" t="inlineStr">
        <is>
          <t>102 - Orthopedic institutes</t>
        </is>
      </c>
      <c r="B652" s="94" t="inlineStr">
        <is>
          <t>150202 רוני אורטופדיה בע"מ</t>
        </is>
      </c>
      <c r="C652" s="94" t="inlineStr">
        <is>
          <t>INV68897</t>
        </is>
      </c>
      <c r="D652" s="94" t="inlineStr">
        <is>
          <t>INV</t>
        </is>
      </c>
      <c r="E652" s="102" t="n">
        <v>0</v>
      </c>
      <c r="F652" s="94" t="n">
        <v>0</v>
      </c>
      <c r="G652" s="102" t="n">
        <v>4014</v>
      </c>
      <c r="H652" s="94" t="n">
        <v>59</v>
      </c>
    </row>
    <row r="653" ht="15" customHeight="1" s="82">
      <c r="A653" s="94" t="inlineStr">
        <is>
          <t>102 - Orthopedic institutes</t>
        </is>
      </c>
      <c r="B653" s="94" t="inlineStr">
        <is>
          <t>150202 רוני אורטופדיה בע"מ</t>
        </is>
      </c>
      <c r="C653" s="94" t="inlineStr">
        <is>
          <t>INV54123</t>
        </is>
      </c>
      <c r="D653" s="94" t="inlineStr">
        <is>
          <t>INV</t>
        </is>
      </c>
      <c r="E653" s="102" t="n">
        <v>3901.87</v>
      </c>
      <c r="F653" s="94" t="n">
        <v>66</v>
      </c>
      <c r="G653" s="102" t="n">
        <v>0</v>
      </c>
      <c r="H653" s="94" t="n">
        <v>0</v>
      </c>
    </row>
    <row r="654" ht="15" customHeight="1" s="82">
      <c r="A654" s="94" t="inlineStr">
        <is>
          <t>102 - Orthopedic institutes</t>
        </is>
      </c>
      <c r="B654" s="94" t="inlineStr">
        <is>
          <t>150202 רוני אורטופדיה בע"מ</t>
        </is>
      </c>
      <c r="C654" s="94" t="inlineStr">
        <is>
          <t>INV69276</t>
        </is>
      </c>
      <c r="D654" s="94" t="inlineStr">
        <is>
          <t>INV</t>
        </is>
      </c>
      <c r="E654" s="102" t="n">
        <v>0</v>
      </c>
      <c r="F654" s="94" t="n">
        <v>0</v>
      </c>
      <c r="G654" s="102" t="n">
        <v>3859.43</v>
      </c>
      <c r="H654" s="94" t="n">
        <v>49</v>
      </c>
    </row>
    <row r="655" ht="15" customHeight="1" s="82">
      <c r="A655" s="94" t="inlineStr">
        <is>
          <t>102 - Orthopedic institutes</t>
        </is>
      </c>
      <c r="B655" s="94" t="inlineStr">
        <is>
          <t>150202 רוני אורטופדיה בע"מ</t>
        </is>
      </c>
      <c r="C655" s="94" t="inlineStr">
        <is>
          <t>INV50507</t>
        </is>
      </c>
      <c r="D655" s="94" t="inlineStr">
        <is>
          <t>INV</t>
        </is>
      </c>
      <c r="E655" s="102" t="n">
        <v>3539.29</v>
      </c>
      <c r="F655" s="94" t="n">
        <v>34</v>
      </c>
      <c r="G655" s="102" t="n">
        <v>0</v>
      </c>
      <c r="H655" s="94" t="n">
        <v>0</v>
      </c>
    </row>
    <row r="656" ht="15" customHeight="1" s="82">
      <c r="A656" s="94" t="inlineStr">
        <is>
          <t>102 - Orthopedic institutes</t>
        </is>
      </c>
      <c r="B656" s="94" t="inlineStr">
        <is>
          <t>150202 רוני אורטופדיה בע"מ</t>
        </is>
      </c>
      <c r="C656" s="94" t="inlineStr">
        <is>
          <t>INV40534</t>
        </is>
      </c>
      <c r="D656" s="94" t="inlineStr">
        <is>
          <t>INV</t>
        </is>
      </c>
      <c r="E656" s="102" t="n">
        <v>3426.85</v>
      </c>
      <c r="F656" s="94" t="n">
        <v>60</v>
      </c>
      <c r="G656" s="102" t="n">
        <v>0</v>
      </c>
      <c r="H656" s="94" t="n">
        <v>0</v>
      </c>
    </row>
    <row r="657" ht="15" customHeight="1" s="82">
      <c r="A657" s="94" t="inlineStr">
        <is>
          <t>102 - Orthopedic institutes</t>
        </is>
      </c>
      <c r="B657" s="94" t="inlineStr">
        <is>
          <t>150202 רוני אורטופדיה בע"מ</t>
        </is>
      </c>
      <c r="C657" s="94" t="inlineStr">
        <is>
          <t>INV65805</t>
        </is>
      </c>
      <c r="D657" s="94" t="inlineStr">
        <is>
          <t>INV</t>
        </is>
      </c>
      <c r="E657" s="102" t="n">
        <v>3285.83</v>
      </c>
      <c r="F657" s="94" t="n">
        <v>41</v>
      </c>
      <c r="G657" s="102" t="n">
        <v>0</v>
      </c>
      <c r="H657" s="94" t="n">
        <v>0</v>
      </c>
    </row>
    <row r="658" ht="15" customHeight="1" s="82">
      <c r="A658" s="94" t="inlineStr">
        <is>
          <t>102 - Orthopedic institutes</t>
        </is>
      </c>
      <c r="B658" s="94" t="inlineStr">
        <is>
          <t>150202 רוני אורטופדיה בע"מ</t>
        </is>
      </c>
      <c r="C658" s="94" t="inlineStr">
        <is>
          <t>INV68468</t>
        </is>
      </c>
      <c r="D658" s="94" t="inlineStr">
        <is>
          <t>INV</t>
        </is>
      </c>
      <c r="E658" s="102" t="n">
        <v>0</v>
      </c>
      <c r="F658" s="94" t="n">
        <v>0</v>
      </c>
      <c r="G658" s="102" t="n">
        <v>3038.89</v>
      </c>
      <c r="H658" s="94" t="n">
        <v>49</v>
      </c>
    </row>
    <row r="659" ht="15" customHeight="1" s="82">
      <c r="A659" s="94" t="inlineStr">
        <is>
          <t>102 - Orthopedic institutes</t>
        </is>
      </c>
      <c r="B659" s="94" t="inlineStr">
        <is>
          <t>150202 רוני אורטופדיה בע"מ</t>
        </is>
      </c>
      <c r="C659" s="94" t="inlineStr">
        <is>
          <t>INV55056</t>
        </is>
      </c>
      <c r="D659" s="94" t="inlineStr">
        <is>
          <t>INV</t>
        </is>
      </c>
      <c r="E659" s="102" t="n">
        <v>2774.5</v>
      </c>
      <c r="F659" s="94" t="n">
        <v>51</v>
      </c>
      <c r="G659" s="102" t="n">
        <v>0</v>
      </c>
      <c r="H659" s="94" t="n">
        <v>0</v>
      </c>
    </row>
    <row r="660" ht="15" customHeight="1" s="82">
      <c r="A660" s="94" t="inlineStr">
        <is>
          <t>102 - Orthopedic institutes</t>
        </is>
      </c>
      <c r="B660" s="94" t="inlineStr">
        <is>
          <t>150202 רוני אורטופדיה בע"מ</t>
        </is>
      </c>
      <c r="C660" s="94" t="inlineStr">
        <is>
          <t>INV68932</t>
        </is>
      </c>
      <c r="D660" s="94" t="inlineStr">
        <is>
          <t>INV</t>
        </is>
      </c>
      <c r="E660" s="102" t="n">
        <v>0</v>
      </c>
      <c r="F660" s="94" t="n">
        <v>0</v>
      </c>
      <c r="G660" s="102" t="n">
        <v>2552.28</v>
      </c>
      <c r="H660" s="94" t="n">
        <v>20</v>
      </c>
    </row>
    <row r="661" ht="15" customHeight="1" s="82">
      <c r="A661" s="94" t="inlineStr">
        <is>
          <t>102 - Orthopedic institutes</t>
        </is>
      </c>
      <c r="B661" s="94" t="inlineStr">
        <is>
          <t>150202 רוני אורטופדיה בע"מ</t>
        </is>
      </c>
      <c r="C661" s="94" t="inlineStr">
        <is>
          <t>INV68736</t>
        </is>
      </c>
      <c r="D661" s="94" t="inlineStr">
        <is>
          <t>INV</t>
        </is>
      </c>
      <c r="E661" s="102" t="n">
        <v>0</v>
      </c>
      <c r="F661" s="94" t="n">
        <v>0</v>
      </c>
      <c r="G661" s="102" t="n">
        <v>2511.75</v>
      </c>
      <c r="H661" s="94" t="n">
        <v>22</v>
      </c>
    </row>
    <row r="662" ht="15" customHeight="1" s="82">
      <c r="A662" s="94" t="inlineStr">
        <is>
          <t>102 - Orthopedic institutes</t>
        </is>
      </c>
      <c r="B662" s="94" t="inlineStr">
        <is>
          <t>150202 רוני אורטופדיה בע"מ</t>
        </is>
      </c>
      <c r="C662" s="94" t="inlineStr">
        <is>
          <t>INV62970</t>
        </is>
      </c>
      <c r="D662" s="94" t="inlineStr">
        <is>
          <t>INV</t>
        </is>
      </c>
      <c r="E662" s="102" t="n">
        <v>2474.69</v>
      </c>
      <c r="F662" s="94" t="n">
        <v>79</v>
      </c>
      <c r="G662" s="102" t="n">
        <v>0</v>
      </c>
      <c r="H662" s="94" t="n">
        <v>0</v>
      </c>
    </row>
    <row r="663" ht="15" customHeight="1" s="82">
      <c r="A663" s="94" t="inlineStr">
        <is>
          <t>102 - Orthopedic institutes</t>
        </is>
      </c>
      <c r="B663" s="94" t="inlineStr">
        <is>
          <t>150202 רוני אורטופדיה בע"מ</t>
        </is>
      </c>
      <c r="C663" s="94" t="inlineStr">
        <is>
          <t>INV68755</t>
        </is>
      </c>
      <c r="D663" s="94" t="inlineStr">
        <is>
          <t>INV</t>
        </is>
      </c>
      <c r="E663" s="102" t="n">
        <v>0</v>
      </c>
      <c r="F663" s="94" t="n">
        <v>0</v>
      </c>
      <c r="G663" s="102" t="n">
        <v>2464.09</v>
      </c>
      <c r="H663" s="94" t="n">
        <v>38</v>
      </c>
    </row>
    <row r="664" ht="15" customHeight="1" s="82">
      <c r="A664" s="94" t="inlineStr">
        <is>
          <t>102 - Orthopedic institutes</t>
        </is>
      </c>
      <c r="B664" s="94" t="inlineStr">
        <is>
          <t>150202 רוני אורטופדיה בע"מ</t>
        </is>
      </c>
      <c r="C664" s="94" t="inlineStr">
        <is>
          <t>INV57943</t>
        </is>
      </c>
      <c r="D664" s="94" t="inlineStr">
        <is>
          <t>INV</t>
        </is>
      </c>
      <c r="E664" s="102" t="n">
        <v>2412.73</v>
      </c>
      <c r="F664" s="94" t="n">
        <v>30</v>
      </c>
      <c r="G664" s="102" t="n">
        <v>0</v>
      </c>
      <c r="H664" s="94" t="n">
        <v>0</v>
      </c>
    </row>
    <row r="665" ht="15" customHeight="1" s="82">
      <c r="A665" s="94" t="inlineStr">
        <is>
          <t>102 - Orthopedic institutes</t>
        </is>
      </c>
      <c r="B665" s="94" t="inlineStr">
        <is>
          <t>150202 רוני אורטופדיה בע"מ</t>
        </is>
      </c>
      <c r="C665" s="94" t="inlineStr">
        <is>
          <t>INV66258</t>
        </is>
      </c>
      <c r="D665" s="94" t="inlineStr">
        <is>
          <t>INV</t>
        </is>
      </c>
      <c r="E665" s="102" t="n">
        <v>2139.81</v>
      </c>
      <c r="F665" s="94" t="n">
        <v>24</v>
      </c>
      <c r="G665" s="102" t="n">
        <v>0</v>
      </c>
      <c r="H665" s="94" t="n">
        <v>0</v>
      </c>
    </row>
    <row r="666" ht="15" customHeight="1" s="82">
      <c r="A666" s="94" t="inlineStr">
        <is>
          <t>102 - Orthopedic institutes</t>
        </is>
      </c>
      <c r="B666" s="94" t="inlineStr">
        <is>
          <t>150202 רוני אורטופדיה בע"מ</t>
        </is>
      </c>
      <c r="C666" s="94" t="inlineStr">
        <is>
          <t>INV46637</t>
        </is>
      </c>
      <c r="D666" s="94" t="inlineStr">
        <is>
          <t>INV</t>
        </is>
      </c>
      <c r="E666" s="102" t="n">
        <v>2066.89</v>
      </c>
      <c r="F666" s="94" t="n">
        <v>19</v>
      </c>
      <c r="G666" s="102" t="n">
        <v>0</v>
      </c>
      <c r="H666" s="94" t="n">
        <v>0</v>
      </c>
    </row>
    <row r="667" ht="15" customHeight="1" s="82">
      <c r="A667" s="94" t="inlineStr">
        <is>
          <t>102 - Orthopedic institutes</t>
        </is>
      </c>
      <c r="B667" s="94" t="inlineStr">
        <is>
          <t>150202 רוני אורטופדיה בע"מ</t>
        </is>
      </c>
      <c r="C667" s="94" t="inlineStr">
        <is>
          <t>INV43726</t>
        </is>
      </c>
      <c r="D667" s="94" t="inlineStr">
        <is>
          <t>INV</t>
        </is>
      </c>
      <c r="E667" s="102" t="n">
        <v>2017.57</v>
      </c>
      <c r="F667" s="94" t="n">
        <v>39</v>
      </c>
      <c r="G667" s="102" t="n">
        <v>0</v>
      </c>
      <c r="H667" s="94" t="n">
        <v>0</v>
      </c>
    </row>
    <row r="668" ht="15" customHeight="1" s="82">
      <c r="A668" s="94" t="inlineStr">
        <is>
          <t>102 - Orthopedic institutes</t>
        </is>
      </c>
      <c r="B668" s="94" t="inlineStr">
        <is>
          <t>150202 רוני אורטופדיה בע"מ</t>
        </is>
      </c>
      <c r="C668" s="94" t="inlineStr">
        <is>
          <t>INV47382</t>
        </is>
      </c>
      <c r="D668" s="94" t="inlineStr">
        <is>
          <t>INV</t>
        </is>
      </c>
      <c r="E668" s="102" t="n">
        <v>1914.7</v>
      </c>
      <c r="F668" s="94" t="n">
        <v>33</v>
      </c>
      <c r="G668" s="102" t="n">
        <v>0</v>
      </c>
      <c r="H668" s="94" t="n">
        <v>0</v>
      </c>
    </row>
    <row r="669" ht="15" customHeight="1" s="82">
      <c r="A669" s="94" t="inlineStr">
        <is>
          <t>102 - Orthopedic institutes</t>
        </is>
      </c>
      <c r="B669" s="94" t="inlineStr">
        <is>
          <t>150202 רוני אורטופדיה בע"מ</t>
        </is>
      </c>
      <c r="C669" s="94" t="inlineStr">
        <is>
          <t>INV66038</t>
        </is>
      </c>
      <c r="D669" s="94" t="inlineStr">
        <is>
          <t>INV</t>
        </is>
      </c>
      <c r="E669" s="102" t="n">
        <v>1889.72</v>
      </c>
      <c r="F669" s="94" t="n">
        <v>19</v>
      </c>
      <c r="G669" s="102" t="n">
        <v>0</v>
      </c>
      <c r="H669" s="94" t="n">
        <v>0</v>
      </c>
    </row>
    <row r="670" ht="15" customHeight="1" s="82">
      <c r="A670" s="94" t="inlineStr">
        <is>
          <t>102 - Orthopedic institutes</t>
        </is>
      </c>
      <c r="B670" s="94" t="inlineStr">
        <is>
          <t>150202 רוני אורטופדיה בע"מ</t>
        </is>
      </c>
      <c r="C670" s="94" t="inlineStr">
        <is>
          <t>INV67275</t>
        </is>
      </c>
      <c r="D670" s="94" t="inlineStr">
        <is>
          <t>INV</t>
        </is>
      </c>
      <c r="E670" s="102" t="n">
        <v>0</v>
      </c>
      <c r="F670" s="94" t="n">
        <v>0</v>
      </c>
      <c r="G670" s="102" t="n">
        <v>1846.81</v>
      </c>
      <c r="H670" s="94" t="n">
        <v>12</v>
      </c>
    </row>
    <row r="671" ht="15" customHeight="1" s="82">
      <c r="A671" s="94" t="inlineStr">
        <is>
          <t>102 - Orthopedic institutes</t>
        </is>
      </c>
      <c r="B671" s="94" t="inlineStr">
        <is>
          <t>150202 רוני אורטופדיה בע"מ</t>
        </is>
      </c>
      <c r="C671" s="94" t="inlineStr">
        <is>
          <t>INV65689</t>
        </is>
      </c>
      <c r="D671" s="94" t="inlineStr">
        <is>
          <t>INV</t>
        </is>
      </c>
      <c r="E671" s="102" t="n">
        <v>1753.39</v>
      </c>
      <c r="F671" s="94" t="n">
        <v>22</v>
      </c>
      <c r="G671" s="102" t="n">
        <v>0</v>
      </c>
      <c r="H671" s="94" t="n">
        <v>0</v>
      </c>
    </row>
    <row r="672" ht="15" customHeight="1" s="82">
      <c r="A672" s="94" t="inlineStr">
        <is>
          <t>102 - Orthopedic institutes</t>
        </is>
      </c>
      <c r="B672" s="94" t="inlineStr">
        <is>
          <t>150202 רוני אורטופדיה בע"מ</t>
        </is>
      </c>
      <c r="C672" s="94" t="inlineStr">
        <is>
          <t>INV47045</t>
        </is>
      </c>
      <c r="D672" s="94" t="inlineStr">
        <is>
          <t>INV</t>
        </is>
      </c>
      <c r="E672" s="102" t="n">
        <v>1720.5</v>
      </c>
      <c r="F672" s="94" t="n">
        <v>16</v>
      </c>
      <c r="G672" s="102" t="n">
        <v>0</v>
      </c>
      <c r="H672" s="94" t="n">
        <v>0</v>
      </c>
    </row>
    <row r="673" ht="15" customHeight="1" s="82">
      <c r="A673" s="94" t="inlineStr">
        <is>
          <t>102 - Orthopedic institutes</t>
        </is>
      </c>
      <c r="B673" s="94" t="inlineStr">
        <is>
          <t>150202 רוני אורטופדיה בע"מ</t>
        </is>
      </c>
      <c r="C673" s="94" t="inlineStr">
        <is>
          <t>INV68781</t>
        </is>
      </c>
      <c r="D673" s="94" t="inlineStr">
        <is>
          <t>INV</t>
        </is>
      </c>
      <c r="E673" s="102" t="n">
        <v>0</v>
      </c>
      <c r="F673" s="94" t="n">
        <v>0</v>
      </c>
      <c r="G673" s="102" t="n">
        <v>1714.99</v>
      </c>
      <c r="H673" s="94" t="n">
        <v>14</v>
      </c>
    </row>
    <row r="674" ht="15" customHeight="1" s="82">
      <c r="A674" s="94" t="inlineStr">
        <is>
          <t>102 - Orthopedic institutes</t>
        </is>
      </c>
      <c r="B674" s="94" t="inlineStr">
        <is>
          <t>150202 רוני אורטופדיה בע"מ</t>
        </is>
      </c>
      <c r="C674" s="94" t="inlineStr">
        <is>
          <t>INV68012</t>
        </is>
      </c>
      <c r="D674" s="94" t="inlineStr">
        <is>
          <t>INV</t>
        </is>
      </c>
      <c r="E674" s="102" t="n">
        <v>0</v>
      </c>
      <c r="F674" s="94" t="n">
        <v>0</v>
      </c>
      <c r="G674" s="102" t="n">
        <v>1657.9</v>
      </c>
      <c r="H674" s="94" t="n">
        <v>13</v>
      </c>
    </row>
    <row r="675" ht="15" customHeight="1" s="82">
      <c r="A675" s="94" t="inlineStr">
        <is>
          <t>102 - Orthopedic institutes</t>
        </is>
      </c>
      <c r="B675" s="94" t="inlineStr">
        <is>
          <t>150202 רוני אורטופדיה בע"מ</t>
        </is>
      </c>
      <c r="C675" s="94" t="inlineStr">
        <is>
          <t>INV66438</t>
        </is>
      </c>
      <c r="D675" s="94" t="inlineStr">
        <is>
          <t>INV</t>
        </is>
      </c>
      <c r="E675" s="102" t="n">
        <v>1612.56</v>
      </c>
      <c r="F675" s="94" t="n">
        <v>18</v>
      </c>
      <c r="G675" s="102" t="n">
        <v>0</v>
      </c>
      <c r="H675" s="94" t="n">
        <v>0</v>
      </c>
    </row>
    <row r="676" ht="15" customHeight="1" s="82">
      <c r="A676" s="94" t="inlineStr">
        <is>
          <t>102 - Orthopedic institutes</t>
        </is>
      </c>
      <c r="B676" s="94" t="inlineStr">
        <is>
          <t>150202 רוני אורטופדיה בע"מ</t>
        </is>
      </c>
      <c r="C676" s="94" t="inlineStr">
        <is>
          <t>INV68595</t>
        </is>
      </c>
      <c r="D676" s="94" t="inlineStr">
        <is>
          <t>INV</t>
        </is>
      </c>
      <c r="E676" s="102" t="n">
        <v>0</v>
      </c>
      <c r="F676" s="94" t="n">
        <v>0</v>
      </c>
      <c r="G676" s="102" t="n">
        <v>1499.99</v>
      </c>
      <c r="H676" s="94" t="n">
        <v>16</v>
      </c>
    </row>
    <row r="677" ht="15" customHeight="1" s="82">
      <c r="A677" s="94" t="inlineStr">
        <is>
          <t>102 - Orthopedic institutes</t>
        </is>
      </c>
      <c r="B677" s="94" t="inlineStr">
        <is>
          <t>150202 רוני אורטופדיה בע"מ</t>
        </is>
      </c>
      <c r="C677" s="94" t="inlineStr">
        <is>
          <t>INV66638</t>
        </is>
      </c>
      <c r="D677" s="94" t="inlineStr">
        <is>
          <t>INV</t>
        </is>
      </c>
      <c r="E677" s="102" t="n">
        <v>1484.19</v>
      </c>
      <c r="F677" s="94" t="n">
        <v>23</v>
      </c>
      <c r="G677" s="102" t="n">
        <v>0</v>
      </c>
      <c r="H677" s="94" t="n">
        <v>0</v>
      </c>
    </row>
    <row r="678" ht="15" customHeight="1" s="82">
      <c r="A678" s="94" t="inlineStr">
        <is>
          <t>102 - Orthopedic institutes</t>
        </is>
      </c>
      <c r="B678" s="94" t="inlineStr">
        <is>
          <t>150202 רוני אורטופדיה בע"מ</t>
        </is>
      </c>
      <c r="C678" s="94" t="inlineStr">
        <is>
          <t>INV62008</t>
        </is>
      </c>
      <c r="D678" s="94" t="inlineStr">
        <is>
          <t>INV</t>
        </is>
      </c>
      <c r="E678" s="102" t="n">
        <v>1464.8</v>
      </c>
      <c r="F678" s="94" t="n">
        <v>15</v>
      </c>
      <c r="G678" s="102" t="n">
        <v>0</v>
      </c>
      <c r="H678" s="94" t="n">
        <v>0</v>
      </c>
    </row>
    <row r="679" ht="15" customHeight="1" s="82">
      <c r="A679" s="94" t="inlineStr">
        <is>
          <t>102 - Orthopedic institutes</t>
        </is>
      </c>
      <c r="B679" s="94" t="inlineStr">
        <is>
          <t>150202 רוני אורטופדיה בע"מ</t>
        </is>
      </c>
      <c r="C679" s="94" t="inlineStr">
        <is>
          <t>INV55050</t>
        </is>
      </c>
      <c r="D679" s="94" t="inlineStr">
        <is>
          <t>INV</t>
        </is>
      </c>
      <c r="E679" s="102" t="n">
        <v>1405.8</v>
      </c>
      <c r="F679" s="94" t="n">
        <v>26</v>
      </c>
      <c r="G679" s="102" t="n">
        <v>0</v>
      </c>
      <c r="H679" s="94" t="n">
        <v>0</v>
      </c>
    </row>
    <row r="680" ht="15" customHeight="1" s="82">
      <c r="A680" s="94" t="inlineStr">
        <is>
          <t>102 - Orthopedic institutes</t>
        </is>
      </c>
      <c r="B680" s="94" t="inlineStr">
        <is>
          <t>150202 רוני אורטופדיה בע"מ</t>
        </is>
      </c>
      <c r="C680" s="94" t="inlineStr">
        <is>
          <t>INV66812</t>
        </is>
      </c>
      <c r="D680" s="94" t="inlineStr">
        <is>
          <t>INV</t>
        </is>
      </c>
      <c r="E680" s="102" t="n">
        <v>1378</v>
      </c>
      <c r="F680" s="94" t="n">
        <v>41</v>
      </c>
      <c r="G680" s="102" t="n">
        <v>0</v>
      </c>
      <c r="H680" s="94" t="n">
        <v>0</v>
      </c>
    </row>
    <row r="681" ht="15" customHeight="1" s="82">
      <c r="A681" s="94" t="inlineStr">
        <is>
          <t>102 - Orthopedic institutes</t>
        </is>
      </c>
      <c r="B681" s="94" t="inlineStr">
        <is>
          <t>150202 רוני אורטופדיה בע"מ</t>
        </is>
      </c>
      <c r="C681" s="94" t="inlineStr">
        <is>
          <t>INV69068</t>
        </is>
      </c>
      <c r="D681" s="94" t="inlineStr">
        <is>
          <t>INV</t>
        </is>
      </c>
      <c r="E681" s="102" t="n">
        <v>0</v>
      </c>
      <c r="F681" s="94" t="n">
        <v>0</v>
      </c>
      <c r="G681" s="102" t="n">
        <v>1344.45</v>
      </c>
      <c r="H681" s="94" t="n">
        <v>16</v>
      </c>
    </row>
    <row r="682" ht="15" customHeight="1" s="82">
      <c r="A682" s="94" t="inlineStr">
        <is>
          <t>102 - Orthopedic institutes</t>
        </is>
      </c>
      <c r="B682" s="94" t="inlineStr">
        <is>
          <t>150202 רוני אורטופדיה בע"מ</t>
        </is>
      </c>
      <c r="C682" s="94" t="inlineStr">
        <is>
          <t>INV67003</t>
        </is>
      </c>
      <c r="D682" s="94" t="inlineStr">
        <is>
          <t>INV</t>
        </is>
      </c>
      <c r="E682" s="102" t="n">
        <v>1338</v>
      </c>
      <c r="F682" s="94" t="n">
        <v>25</v>
      </c>
      <c r="G682" s="102" t="n">
        <v>0</v>
      </c>
      <c r="H682" s="94" t="n">
        <v>0</v>
      </c>
    </row>
    <row r="683" ht="15" customHeight="1" s="82">
      <c r="A683" s="94" t="inlineStr">
        <is>
          <t>102 - Orthopedic institutes</t>
        </is>
      </c>
      <c r="B683" s="94" t="inlineStr">
        <is>
          <t>150202 רוני אורטופדיה בע"מ</t>
        </is>
      </c>
      <c r="C683" s="94" t="inlineStr">
        <is>
          <t>INV66671</t>
        </is>
      </c>
      <c r="D683" s="94" t="inlineStr">
        <is>
          <t>INV</t>
        </is>
      </c>
      <c r="E683" s="102" t="n">
        <v>1336.81</v>
      </c>
      <c r="F683" s="94" t="n">
        <v>27</v>
      </c>
      <c r="G683" s="102" t="n">
        <v>0</v>
      </c>
      <c r="H683" s="94" t="n">
        <v>0</v>
      </c>
    </row>
    <row r="684" ht="15" customHeight="1" s="82">
      <c r="A684" s="94" t="inlineStr">
        <is>
          <t>102 - Orthopedic institutes</t>
        </is>
      </c>
      <c r="B684" s="94" t="inlineStr">
        <is>
          <t>150202 רוני אורטופדיה בע"מ</t>
        </is>
      </c>
      <c r="C684" s="94" t="inlineStr">
        <is>
          <t>INV41399</t>
        </is>
      </c>
      <c r="D684" s="94" t="inlineStr">
        <is>
          <t>INV</t>
        </is>
      </c>
      <c r="E684" s="102" t="n">
        <v>1332</v>
      </c>
      <c r="F684" s="94" t="n">
        <v>6</v>
      </c>
      <c r="G684" s="102" t="n">
        <v>0</v>
      </c>
      <c r="H684" s="94" t="n">
        <v>0</v>
      </c>
    </row>
    <row r="685" ht="15" customHeight="1" s="82">
      <c r="A685" s="94" t="inlineStr">
        <is>
          <t>102 - Orthopedic institutes</t>
        </is>
      </c>
      <c r="B685" s="94" t="inlineStr">
        <is>
          <t>150202 רוני אורטופדיה בע"מ</t>
        </is>
      </c>
      <c r="C685" s="94" t="inlineStr">
        <is>
          <t>INV66257</t>
        </is>
      </c>
      <c r="D685" s="94" t="inlineStr">
        <is>
          <t>INV</t>
        </is>
      </c>
      <c r="E685" s="102" t="n">
        <v>1290.61</v>
      </c>
      <c r="F685" s="94" t="n">
        <v>12</v>
      </c>
      <c r="G685" s="102" t="n">
        <v>0</v>
      </c>
      <c r="H685" s="94" t="n">
        <v>0</v>
      </c>
    </row>
    <row r="686" ht="15" customHeight="1" s="82">
      <c r="A686" s="94" t="inlineStr">
        <is>
          <t>102 - Orthopedic institutes</t>
        </is>
      </c>
      <c r="B686" s="94" t="inlineStr">
        <is>
          <t>150202 רוני אורטופדיה בע"מ</t>
        </is>
      </c>
      <c r="C686" s="94" t="inlineStr">
        <is>
          <t>INV53619</t>
        </is>
      </c>
      <c r="D686" s="94" t="inlineStr">
        <is>
          <t>INV</t>
        </is>
      </c>
      <c r="E686" s="102" t="n">
        <v>1264.65</v>
      </c>
      <c r="F686" s="94" t="n">
        <v>20</v>
      </c>
      <c r="G686" s="102" t="n">
        <v>0</v>
      </c>
      <c r="H686" s="94" t="n">
        <v>0</v>
      </c>
    </row>
    <row r="687" ht="15" customHeight="1" s="82">
      <c r="A687" s="94" t="inlineStr">
        <is>
          <t>102 - Orthopedic institutes</t>
        </is>
      </c>
      <c r="B687" s="94" t="inlineStr">
        <is>
          <t>150202 רוני אורטופדיה בע"מ</t>
        </is>
      </c>
      <c r="C687" s="94" t="inlineStr">
        <is>
          <t>INV58393</t>
        </is>
      </c>
      <c r="D687" s="94" t="inlineStr">
        <is>
          <t>INV</t>
        </is>
      </c>
      <c r="E687" s="102" t="n">
        <v>1230.31</v>
      </c>
      <c r="F687" s="94" t="n">
        <v>38</v>
      </c>
      <c r="G687" s="102" t="n">
        <v>0</v>
      </c>
      <c r="H687" s="94" t="n">
        <v>0</v>
      </c>
    </row>
    <row r="688" ht="15" customHeight="1" s="82">
      <c r="A688" s="94" t="inlineStr">
        <is>
          <t>102 - Orthopedic institutes</t>
        </is>
      </c>
      <c r="B688" s="94" t="inlineStr">
        <is>
          <t>150202 רוני אורטופדיה בע"מ</t>
        </is>
      </c>
      <c r="C688" s="94" t="inlineStr">
        <is>
          <t>INV67316</t>
        </is>
      </c>
      <c r="D688" s="94" t="inlineStr">
        <is>
          <t>INV</t>
        </is>
      </c>
      <c r="E688" s="102" t="n">
        <v>0</v>
      </c>
      <c r="F688" s="94" t="n">
        <v>0</v>
      </c>
      <c r="G688" s="102" t="n">
        <v>1224.57</v>
      </c>
      <c r="H688" s="94" t="n">
        <v>20</v>
      </c>
    </row>
    <row r="689" ht="15" customHeight="1" s="82">
      <c r="A689" s="94" t="inlineStr">
        <is>
          <t>102 - Orthopedic institutes</t>
        </is>
      </c>
      <c r="B689" s="94" t="inlineStr">
        <is>
          <t>150202 רוני אורטופדיה בע"מ</t>
        </is>
      </c>
      <c r="C689" s="94" t="inlineStr">
        <is>
          <t>INV68977</t>
        </is>
      </c>
      <c r="D689" s="94" t="inlineStr">
        <is>
          <t>INV</t>
        </is>
      </c>
      <c r="E689" s="102" t="n">
        <v>0</v>
      </c>
      <c r="F689" s="94" t="n">
        <v>0</v>
      </c>
      <c r="G689" s="102" t="n">
        <v>1208.26</v>
      </c>
      <c r="H689" s="94" t="n">
        <v>26</v>
      </c>
    </row>
    <row r="690" ht="15" customHeight="1" s="82">
      <c r="A690" s="94" t="inlineStr">
        <is>
          <t>102 - Orthopedic institutes</t>
        </is>
      </c>
      <c r="B690" s="94" t="inlineStr">
        <is>
          <t>150202 רוני אורטופדיה בע"מ</t>
        </is>
      </c>
      <c r="C690" s="94" t="inlineStr">
        <is>
          <t>INV60764</t>
        </is>
      </c>
      <c r="D690" s="94" t="inlineStr">
        <is>
          <t>INV</t>
        </is>
      </c>
      <c r="E690" s="102" t="n">
        <v>1203.97</v>
      </c>
      <c r="F690" s="94" t="n">
        <v>13</v>
      </c>
      <c r="G690" s="102" t="n">
        <v>0</v>
      </c>
      <c r="H690" s="94" t="n">
        <v>0</v>
      </c>
    </row>
    <row r="691" ht="15" customHeight="1" s="82">
      <c r="A691" s="94" t="inlineStr">
        <is>
          <t>102 - Orthopedic institutes</t>
        </is>
      </c>
      <c r="B691" s="94" t="inlineStr">
        <is>
          <t>150202 רוני אורטופדיה בע"מ</t>
        </is>
      </c>
      <c r="C691" s="94" t="inlineStr">
        <is>
          <t>INV67907</t>
        </is>
      </c>
      <c r="D691" s="94" t="inlineStr">
        <is>
          <t>INV</t>
        </is>
      </c>
      <c r="E691" s="102" t="n">
        <v>0</v>
      </c>
      <c r="F691" s="94" t="n">
        <v>0</v>
      </c>
      <c r="G691" s="102" t="n">
        <v>1146.49</v>
      </c>
      <c r="H691" s="94" t="n">
        <v>15</v>
      </c>
    </row>
    <row r="692" ht="15" customHeight="1" s="82">
      <c r="A692" s="94" t="inlineStr">
        <is>
          <t>102 - Orthopedic institutes</t>
        </is>
      </c>
      <c r="B692" s="94" t="inlineStr">
        <is>
          <t>150202 רוני אורטופדיה בע"מ</t>
        </is>
      </c>
      <c r="C692" s="94" t="inlineStr">
        <is>
          <t>INV65678</t>
        </is>
      </c>
      <c r="D692" s="94" t="inlineStr">
        <is>
          <t>INV</t>
        </is>
      </c>
      <c r="E692" s="102" t="n">
        <v>1075.12</v>
      </c>
      <c r="F692" s="94" t="n">
        <v>5</v>
      </c>
      <c r="G692" s="102" t="n">
        <v>0</v>
      </c>
      <c r="H692" s="94" t="n">
        <v>0</v>
      </c>
    </row>
    <row r="693" ht="15" customHeight="1" s="82">
      <c r="A693" s="94" t="inlineStr">
        <is>
          <t>102 - Orthopedic institutes</t>
        </is>
      </c>
      <c r="B693" s="94" t="inlineStr">
        <is>
          <t>150202 רוני אורטופדיה בע"מ</t>
        </is>
      </c>
      <c r="C693" s="94" t="inlineStr">
        <is>
          <t>INV68467</t>
        </is>
      </c>
      <c r="D693" s="94" t="inlineStr">
        <is>
          <t>INV</t>
        </is>
      </c>
      <c r="E693" s="102" t="n">
        <v>0</v>
      </c>
      <c r="F693" s="94" t="n">
        <v>0</v>
      </c>
      <c r="G693" s="102" t="n">
        <v>1049.86</v>
      </c>
      <c r="H693" s="94" t="n">
        <v>2</v>
      </c>
    </row>
    <row r="694" ht="15" customHeight="1" s="82">
      <c r="A694" s="94" t="inlineStr">
        <is>
          <t>102 - Orthopedic institutes</t>
        </is>
      </c>
      <c r="B694" s="94" t="inlineStr">
        <is>
          <t>150202 רוני אורטופדיה בע"מ</t>
        </is>
      </c>
      <c r="C694" s="94" t="inlineStr">
        <is>
          <t>INV42836</t>
        </is>
      </c>
      <c r="D694" s="94" t="inlineStr">
        <is>
          <t>INV</t>
        </is>
      </c>
      <c r="E694" s="102" t="n">
        <v>979.09</v>
      </c>
      <c r="F694" s="94" t="n">
        <v>8</v>
      </c>
      <c r="G694" s="102" t="n">
        <v>0</v>
      </c>
      <c r="H694" s="94" t="n">
        <v>0</v>
      </c>
    </row>
    <row r="695" ht="15" customHeight="1" s="82">
      <c r="A695" s="94" t="inlineStr">
        <is>
          <t>102 - Orthopedic institutes</t>
        </is>
      </c>
      <c r="B695" s="94" t="inlineStr">
        <is>
          <t>150202 רוני אורטופדיה בע"מ</t>
        </is>
      </c>
      <c r="C695" s="94" t="inlineStr">
        <is>
          <t>INV57070</t>
        </is>
      </c>
      <c r="D695" s="94" t="inlineStr">
        <is>
          <t>INV</t>
        </is>
      </c>
      <c r="E695" s="102" t="n">
        <v>979.03</v>
      </c>
      <c r="F695" s="94" t="n">
        <v>10</v>
      </c>
      <c r="G695" s="102" t="n">
        <v>0</v>
      </c>
      <c r="H695" s="94" t="n">
        <v>0</v>
      </c>
    </row>
    <row r="696" ht="15" customHeight="1" s="82">
      <c r="A696" s="94" t="inlineStr">
        <is>
          <t>102 - Orthopedic institutes</t>
        </is>
      </c>
      <c r="B696" s="94" t="inlineStr">
        <is>
          <t>150202 רוני אורטופדיה בע"מ</t>
        </is>
      </c>
      <c r="C696" s="94" t="inlineStr">
        <is>
          <t>INV68999</t>
        </is>
      </c>
      <c r="D696" s="94" t="inlineStr">
        <is>
          <t>INV</t>
        </is>
      </c>
      <c r="E696" s="102" t="n">
        <v>0</v>
      </c>
      <c r="F696" s="94" t="n">
        <v>0</v>
      </c>
      <c r="G696" s="102" t="n">
        <v>896.3099999999999</v>
      </c>
      <c r="H696" s="94" t="n">
        <v>16</v>
      </c>
    </row>
    <row r="697" ht="15" customHeight="1" s="82">
      <c r="A697" s="94" t="inlineStr">
        <is>
          <t>102 - Orthopedic institutes</t>
        </is>
      </c>
      <c r="B697" s="94" t="inlineStr">
        <is>
          <t>150202 רוני אורטופדיה בע"מ</t>
        </is>
      </c>
      <c r="C697" s="94" t="inlineStr">
        <is>
          <t>INV56474</t>
        </is>
      </c>
      <c r="D697" s="94" t="inlineStr">
        <is>
          <t>INV</t>
        </is>
      </c>
      <c r="E697" s="102" t="n">
        <v>835.83</v>
      </c>
      <c r="F697" s="94" t="n">
        <v>8</v>
      </c>
      <c r="G697" s="102" t="n">
        <v>0</v>
      </c>
      <c r="H697" s="94" t="n">
        <v>0</v>
      </c>
    </row>
    <row r="698" ht="15" customHeight="1" s="82">
      <c r="A698" s="94" t="inlineStr">
        <is>
          <t>102 - Orthopedic institutes</t>
        </is>
      </c>
      <c r="B698" s="94" t="inlineStr">
        <is>
          <t>150202 רוני אורטופדיה בע"מ</t>
        </is>
      </c>
      <c r="C698" s="94" t="inlineStr">
        <is>
          <t>INV65387</t>
        </is>
      </c>
      <c r="D698" s="94" t="inlineStr">
        <is>
          <t>INV</t>
        </is>
      </c>
      <c r="E698" s="102" t="n">
        <v>783.13</v>
      </c>
      <c r="F698" s="94" t="n">
        <v>12</v>
      </c>
      <c r="G698" s="102" t="n">
        <v>0</v>
      </c>
      <c r="H698" s="94" t="n">
        <v>0</v>
      </c>
    </row>
    <row r="699" ht="15" customHeight="1" s="82">
      <c r="A699" s="94" t="inlineStr">
        <is>
          <t>102 - Orthopedic institutes</t>
        </is>
      </c>
      <c r="B699" s="94" t="inlineStr">
        <is>
          <t>150202 רוני אורטופדיה בע"מ</t>
        </is>
      </c>
      <c r="C699" s="94" t="inlineStr">
        <is>
          <t>INV66683</t>
        </is>
      </c>
      <c r="D699" s="94" t="inlineStr">
        <is>
          <t>INV</t>
        </is>
      </c>
      <c r="E699" s="102" t="n">
        <v>747.08</v>
      </c>
      <c r="F699" s="94" t="n">
        <v>9</v>
      </c>
      <c r="G699" s="102" t="n">
        <v>0</v>
      </c>
      <c r="H699" s="94" t="n">
        <v>0</v>
      </c>
    </row>
    <row r="700" ht="15" customHeight="1" s="82">
      <c r="A700" s="94" t="inlineStr">
        <is>
          <t>102 - Orthopedic institutes</t>
        </is>
      </c>
      <c r="B700" s="94" t="inlineStr">
        <is>
          <t>150202 רוני אורטופדיה בע"מ</t>
        </is>
      </c>
      <c r="C700" s="94" t="inlineStr">
        <is>
          <t>INV69047</t>
        </is>
      </c>
      <c r="D700" s="94" t="inlineStr">
        <is>
          <t>INV</t>
        </is>
      </c>
      <c r="E700" s="102" t="n">
        <v>0</v>
      </c>
      <c r="F700" s="94" t="n">
        <v>0</v>
      </c>
      <c r="G700" s="102" t="n">
        <v>706.89</v>
      </c>
      <c r="H700" s="94" t="n">
        <v>14</v>
      </c>
    </row>
    <row r="701" ht="15" customHeight="1" s="82">
      <c r="A701" s="94" t="inlineStr">
        <is>
          <t>102 - Orthopedic institutes</t>
        </is>
      </c>
      <c r="B701" s="94" t="inlineStr">
        <is>
          <t>150202 רוני אורטופדיה בע"מ</t>
        </is>
      </c>
      <c r="C701" s="94" t="inlineStr">
        <is>
          <t>INV63507</t>
        </is>
      </c>
      <c r="D701" s="94" t="inlineStr">
        <is>
          <t>INV</t>
        </is>
      </c>
      <c r="E701" s="102" t="n">
        <v>693.11</v>
      </c>
      <c r="F701" s="94" t="n">
        <v>5</v>
      </c>
      <c r="G701" s="102" t="n">
        <v>0</v>
      </c>
      <c r="H701" s="94" t="n">
        <v>0</v>
      </c>
    </row>
    <row r="702" ht="15" customHeight="1" s="82">
      <c r="A702" s="94" t="inlineStr">
        <is>
          <t>102 - Orthopedic institutes</t>
        </is>
      </c>
      <c r="B702" s="94" t="inlineStr">
        <is>
          <t>150202 רוני אורטופדיה בע"מ</t>
        </is>
      </c>
      <c r="C702" s="94" t="inlineStr">
        <is>
          <t>INV65984</t>
        </is>
      </c>
      <c r="D702" s="94" t="inlineStr">
        <is>
          <t>INV</t>
        </is>
      </c>
      <c r="E702" s="102" t="n">
        <v>687.34</v>
      </c>
      <c r="F702" s="94" t="n">
        <v>8</v>
      </c>
      <c r="G702" s="102" t="n">
        <v>0</v>
      </c>
      <c r="H702" s="94" t="n">
        <v>0</v>
      </c>
    </row>
    <row r="703" ht="15" customHeight="1" s="82">
      <c r="A703" s="94" t="inlineStr">
        <is>
          <t>102 - Orthopedic institutes</t>
        </is>
      </c>
      <c r="B703" s="94" t="inlineStr">
        <is>
          <t>150202 רוני אורטופדיה בע"מ</t>
        </is>
      </c>
      <c r="C703" s="94" t="inlineStr">
        <is>
          <t>INV42197</t>
        </is>
      </c>
      <c r="D703" s="94" t="inlineStr">
        <is>
          <t>INV</t>
        </is>
      </c>
      <c r="E703" s="102" t="n">
        <v>664</v>
      </c>
      <c r="F703" s="94" t="n">
        <v>6</v>
      </c>
      <c r="G703" s="102" t="n">
        <v>0</v>
      </c>
      <c r="H703" s="94" t="n">
        <v>0</v>
      </c>
    </row>
    <row r="704" ht="15" customHeight="1" s="82">
      <c r="A704" s="94" t="inlineStr">
        <is>
          <t>102 - Orthopedic institutes</t>
        </is>
      </c>
      <c r="B704" s="94" t="inlineStr">
        <is>
          <t>150202 רוני אורטופדיה בע"מ</t>
        </is>
      </c>
      <c r="C704" s="94" t="inlineStr">
        <is>
          <t>INV57105</t>
        </is>
      </c>
      <c r="D704" s="94" t="inlineStr">
        <is>
          <t>INV</t>
        </is>
      </c>
      <c r="E704" s="102" t="n">
        <v>626.8099999999999</v>
      </c>
      <c r="F704" s="94" t="n">
        <v>15</v>
      </c>
      <c r="G704" s="102" t="n">
        <v>0</v>
      </c>
      <c r="H704" s="94" t="n">
        <v>0</v>
      </c>
    </row>
    <row r="705" ht="15" customHeight="1" s="82">
      <c r="A705" s="94" t="inlineStr">
        <is>
          <t>102 - Orthopedic institutes</t>
        </is>
      </c>
      <c r="B705" s="94" t="inlineStr">
        <is>
          <t>150202 רוני אורטופדיה בע"מ</t>
        </is>
      </c>
      <c r="C705" s="94" t="inlineStr">
        <is>
          <t>INV68746</t>
        </is>
      </c>
      <c r="D705" s="94" t="inlineStr">
        <is>
          <t>INV</t>
        </is>
      </c>
      <c r="E705" s="102" t="n">
        <v>0</v>
      </c>
      <c r="F705" s="94" t="n">
        <v>0</v>
      </c>
      <c r="G705" s="102" t="n">
        <v>585.02</v>
      </c>
      <c r="H705" s="94" t="n">
        <v>9</v>
      </c>
    </row>
    <row r="706" ht="15" customHeight="1" s="82">
      <c r="A706" s="94" t="inlineStr">
        <is>
          <t>102 - Orthopedic institutes</t>
        </is>
      </c>
      <c r="B706" s="94" t="inlineStr">
        <is>
          <t>150202 רוני אורטופדיה בע"מ</t>
        </is>
      </c>
      <c r="C706" s="94" t="inlineStr">
        <is>
          <t>INV66747</t>
        </is>
      </c>
      <c r="D706" s="94" t="inlineStr">
        <is>
          <t>INV</t>
        </is>
      </c>
      <c r="E706" s="102" t="n">
        <v>568.54</v>
      </c>
      <c r="F706" s="94" t="n">
        <v>10</v>
      </c>
      <c r="G706" s="102" t="n">
        <v>0</v>
      </c>
      <c r="H706" s="94" t="n">
        <v>0</v>
      </c>
    </row>
    <row r="707" ht="15" customHeight="1" s="82">
      <c r="A707" s="94" t="inlineStr">
        <is>
          <t>102 - Orthopedic institutes</t>
        </is>
      </c>
      <c r="B707" s="94" t="inlineStr">
        <is>
          <t>150202 רוני אורטופדיה בע"מ</t>
        </is>
      </c>
      <c r="C707" s="94" t="inlineStr">
        <is>
          <t>INV54543</t>
        </is>
      </c>
      <c r="D707" s="94" t="inlineStr">
        <is>
          <t>INV</t>
        </is>
      </c>
      <c r="E707" s="102" t="n">
        <v>560.01</v>
      </c>
      <c r="F707" s="94" t="n">
        <v>4</v>
      </c>
      <c r="G707" s="102" t="n">
        <v>0</v>
      </c>
      <c r="H707" s="94" t="n">
        <v>0</v>
      </c>
    </row>
    <row r="708" ht="15" customHeight="1" s="82">
      <c r="A708" s="94" t="inlineStr">
        <is>
          <t>102 - Orthopedic institutes</t>
        </is>
      </c>
      <c r="B708" s="94" t="inlineStr">
        <is>
          <t>150202 רוני אורטופדיה בע"מ</t>
        </is>
      </c>
      <c r="C708" s="94" t="inlineStr">
        <is>
          <t>INV55503</t>
        </is>
      </c>
      <c r="D708" s="94" t="inlineStr">
        <is>
          <t>INV</t>
        </is>
      </c>
      <c r="E708" s="102" t="n">
        <v>444</v>
      </c>
      <c r="F708" s="94" t="n">
        <v>2</v>
      </c>
      <c r="G708" s="102" t="n">
        <v>0</v>
      </c>
      <c r="H708" s="94" t="n">
        <v>0</v>
      </c>
    </row>
    <row r="709" ht="15" customHeight="1" s="82">
      <c r="A709" s="94" t="inlineStr">
        <is>
          <t>102 - Orthopedic institutes</t>
        </is>
      </c>
      <c r="B709" s="94" t="inlineStr">
        <is>
          <t>150202 רוני אורטופדיה בע"מ</t>
        </is>
      </c>
      <c r="C709" s="94" t="inlineStr">
        <is>
          <t>INV66304</t>
        </is>
      </c>
      <c r="D709" s="94" t="inlineStr">
        <is>
          <t>INV</t>
        </is>
      </c>
      <c r="E709" s="102" t="n">
        <v>363.04</v>
      </c>
      <c r="F709" s="94" t="n">
        <v>5</v>
      </c>
      <c r="G709" s="102" t="n">
        <v>0</v>
      </c>
      <c r="H709" s="94" t="n">
        <v>0</v>
      </c>
    </row>
    <row r="710" ht="15" customHeight="1" s="82">
      <c r="A710" s="94" t="inlineStr">
        <is>
          <t>102 - Orthopedic institutes</t>
        </is>
      </c>
      <c r="B710" s="94" t="inlineStr">
        <is>
          <t>150202 רוני אורטופדיה בע"מ</t>
        </is>
      </c>
      <c r="C710" s="94" t="inlineStr">
        <is>
          <t>INV67037</t>
        </is>
      </c>
      <c r="D710" s="94" t="inlineStr">
        <is>
          <t>INV</t>
        </is>
      </c>
      <c r="E710" s="102" t="n">
        <v>363.04</v>
      </c>
      <c r="F710" s="94" t="n">
        <v>5</v>
      </c>
      <c r="G710" s="102" t="n">
        <v>0</v>
      </c>
      <c r="H710" s="94" t="n">
        <v>0</v>
      </c>
    </row>
    <row r="711" ht="15" customHeight="1" s="82">
      <c r="A711" s="94" t="inlineStr">
        <is>
          <t>102 - Orthopedic institutes</t>
        </is>
      </c>
      <c r="B711" s="94" t="inlineStr">
        <is>
          <t>150202 רוני אורטופדיה בע"מ</t>
        </is>
      </c>
      <c r="C711" s="94" t="inlineStr">
        <is>
          <t>INV59395</t>
        </is>
      </c>
      <c r="D711" s="94" t="inlineStr">
        <is>
          <t>INV</t>
        </is>
      </c>
      <c r="E711" s="102" t="n">
        <v>360</v>
      </c>
      <c r="F711" s="94" t="n">
        <v>2</v>
      </c>
      <c r="G711" s="102" t="n">
        <v>0</v>
      </c>
      <c r="H711" s="94" t="n">
        <v>0</v>
      </c>
    </row>
    <row r="712" ht="15" customHeight="1" s="82">
      <c r="A712" s="94" t="inlineStr">
        <is>
          <t>102 - Orthopedic institutes</t>
        </is>
      </c>
      <c r="B712" s="94" t="inlineStr">
        <is>
          <t>150202 רוני אורטופדיה בע"מ</t>
        </is>
      </c>
      <c r="C712" s="94" t="inlineStr">
        <is>
          <t>INV59197</t>
        </is>
      </c>
      <c r="D712" s="94" t="inlineStr">
        <is>
          <t>INV</t>
        </is>
      </c>
      <c r="E712" s="102" t="n">
        <v>360</v>
      </c>
      <c r="F712" s="94" t="n">
        <v>2</v>
      </c>
      <c r="G712" s="102" t="n">
        <v>0</v>
      </c>
      <c r="H712" s="94" t="n">
        <v>0</v>
      </c>
    </row>
    <row r="713" ht="15" customHeight="1" s="82">
      <c r="A713" s="94" t="inlineStr">
        <is>
          <t>102 - Orthopedic institutes</t>
        </is>
      </c>
      <c r="B713" s="94" t="inlineStr">
        <is>
          <t>150202 רוני אורטופדיה בע"מ</t>
        </is>
      </c>
      <c r="C713" s="94" t="inlineStr">
        <is>
          <t>INV65986</t>
        </is>
      </c>
      <c r="D713" s="94" t="inlineStr">
        <is>
          <t>INV</t>
        </is>
      </c>
      <c r="E713" s="102" t="n">
        <v>90</v>
      </c>
      <c r="F713" s="94" t="n">
        <v>1</v>
      </c>
      <c r="G713" s="102" t="n">
        <v>0</v>
      </c>
      <c r="H713" s="94" t="n">
        <v>0</v>
      </c>
    </row>
    <row r="714" ht="15" customHeight="1" s="82">
      <c r="A714" s="94" t="inlineStr">
        <is>
          <t>102 - Orthopedic institutes</t>
        </is>
      </c>
      <c r="B714" s="94" t="inlineStr">
        <is>
          <t>150202 רוני אורטופדיה בע"מ</t>
        </is>
      </c>
      <c r="C714" s="94" t="inlineStr">
        <is>
          <t>INV65747</t>
        </is>
      </c>
      <c r="D714" s="94" t="inlineStr">
        <is>
          <t>INV</t>
        </is>
      </c>
      <c r="E714" s="102" t="n">
        <v>0.01</v>
      </c>
      <c r="F714" s="94" t="n">
        <v>2</v>
      </c>
      <c r="G714" s="102" t="n">
        <v>0</v>
      </c>
      <c r="H714" s="94" t="n">
        <v>0</v>
      </c>
    </row>
    <row r="715" ht="15" customHeight="1" s="82">
      <c r="A715" s="94" t="inlineStr">
        <is>
          <t>102 - Orthopedic institutes</t>
        </is>
      </c>
      <c r="B715" s="94" t="inlineStr">
        <is>
          <t>150202 רוני אורטופדיה בע"מ</t>
        </is>
      </c>
      <c r="C715" s="94" t="inlineStr">
        <is>
          <t>CM43898</t>
        </is>
      </c>
      <c r="D715" s="94" t="inlineStr">
        <is>
          <t>CM</t>
        </is>
      </c>
      <c r="E715" s="102" t="n">
        <v>-106.72</v>
      </c>
      <c r="F715" s="94" t="n">
        <v>-3</v>
      </c>
      <c r="G715" s="102" t="n">
        <v>0</v>
      </c>
      <c r="H715" s="94" t="n">
        <v>0</v>
      </c>
    </row>
    <row r="716" ht="15" customHeight="1" s="82">
      <c r="A716" s="94" t="inlineStr">
        <is>
          <t>102 - Orthopedic institutes</t>
        </is>
      </c>
      <c r="B716" s="94" t="inlineStr">
        <is>
          <t>150202 רוני אורטופדיה בע"מ</t>
        </is>
      </c>
      <c r="C716" s="94" t="inlineStr">
        <is>
          <t>CM43537</t>
        </is>
      </c>
      <c r="D716" s="94" t="inlineStr">
        <is>
          <t>CM</t>
        </is>
      </c>
      <c r="E716" s="102" t="n">
        <v>-179</v>
      </c>
      <c r="F716" s="94" t="n">
        <v>-1</v>
      </c>
      <c r="G716" s="102" t="n">
        <v>0</v>
      </c>
      <c r="H716" s="94" t="n">
        <v>0</v>
      </c>
    </row>
    <row r="717" ht="15" customHeight="1" s="82">
      <c r="A717" s="94" t="inlineStr">
        <is>
          <t>102 - Orthopedic institutes</t>
        </is>
      </c>
      <c r="B717" s="94" t="inlineStr">
        <is>
          <t>150202 רוני אורטופדיה בע"מ</t>
        </is>
      </c>
      <c r="C717" s="94" t="inlineStr">
        <is>
          <t>CM44027</t>
        </is>
      </c>
      <c r="D717" s="94" t="inlineStr">
        <is>
          <t>CM</t>
        </is>
      </c>
      <c r="E717" s="102" t="n">
        <v>-280</v>
      </c>
      <c r="F717" s="94" t="n">
        <v>-2</v>
      </c>
      <c r="G717" s="102" t="n">
        <v>0</v>
      </c>
      <c r="H717" s="94" t="n">
        <v>0</v>
      </c>
    </row>
    <row r="718" ht="15" customHeight="1" s="82">
      <c r="A718" s="94" t="inlineStr">
        <is>
          <t>102 - Orthopedic institutes</t>
        </is>
      </c>
      <c r="B718" s="94" t="inlineStr">
        <is>
          <t>150202 רוני אורטופדיה בע"מ</t>
        </is>
      </c>
      <c r="C718" s="94" t="inlineStr">
        <is>
          <t>CM44675</t>
        </is>
      </c>
      <c r="D718" s="94" t="inlineStr">
        <is>
          <t>CM</t>
        </is>
      </c>
      <c r="E718" s="102" t="n">
        <v>0</v>
      </c>
      <c r="F718" s="94" t="n">
        <v>0</v>
      </c>
      <c r="G718" s="102" t="n">
        <v>-321.5</v>
      </c>
      <c r="H718" s="94" t="n">
        <v>-1</v>
      </c>
    </row>
    <row r="719" ht="15" customHeight="1" s="82">
      <c r="A719" s="94" t="inlineStr">
        <is>
          <t>102 - Orthopedic institutes</t>
        </is>
      </c>
      <c r="B719" s="94" t="inlineStr">
        <is>
          <t>150202 רוני אורטופדיה בע"מ</t>
        </is>
      </c>
      <c r="C719" s="94" t="inlineStr">
        <is>
          <t>CM43784</t>
        </is>
      </c>
      <c r="D719" s="94" t="inlineStr">
        <is>
          <t>CM</t>
        </is>
      </c>
      <c r="E719" s="102" t="n">
        <v>-520</v>
      </c>
      <c r="F719" s="94" t="n">
        <v>-2</v>
      </c>
      <c r="G719" s="102" t="n">
        <v>0</v>
      </c>
      <c r="H719" s="94" t="n">
        <v>0</v>
      </c>
    </row>
    <row r="720" ht="15" customHeight="1" s="82">
      <c r="A720" s="94" t="inlineStr">
        <is>
          <t>102 - Orthopedic institutes</t>
        </is>
      </c>
      <c r="B720" s="94" t="inlineStr">
        <is>
          <t>150202 רוני אורטופדיה בע"מ</t>
        </is>
      </c>
      <c r="C720" s="94" t="inlineStr">
        <is>
          <t>CM44600</t>
        </is>
      </c>
      <c r="D720" s="94" t="inlineStr">
        <is>
          <t>CM</t>
        </is>
      </c>
      <c r="E720" s="102" t="n">
        <v>0</v>
      </c>
      <c r="F720" s="94" t="n">
        <v>0</v>
      </c>
      <c r="G720" s="102" t="n">
        <v>-1714.99</v>
      </c>
      <c r="H720" s="94" t="n">
        <v>-14</v>
      </c>
    </row>
    <row r="721" ht="15" customHeight="1" s="82">
      <c r="A721" s="94" t="inlineStr">
        <is>
          <t>102 - Orthopedic institutes</t>
        </is>
      </c>
      <c r="B721" s="94" t="inlineStr">
        <is>
          <t>150202 רוני אורטופדיה בע"מ</t>
        </is>
      </c>
      <c r="C721" s="94" t="inlineStr">
        <is>
          <t>CM43507</t>
        </is>
      </c>
      <c r="D721" s="94" t="inlineStr">
        <is>
          <t>CM</t>
        </is>
      </c>
      <c r="E721" s="102" t="n">
        <v>-2066.89</v>
      </c>
      <c r="F721" s="94" t="n">
        <v>-19</v>
      </c>
      <c r="G721" s="102" t="n">
        <v>0</v>
      </c>
      <c r="H721" s="94" t="n">
        <v>0</v>
      </c>
    </row>
    <row r="722" ht="15" customHeight="1" s="82">
      <c r="A722" s="94" t="inlineStr">
        <is>
          <t>102 - Orthopedic institutes</t>
        </is>
      </c>
      <c r="B722" s="94" t="inlineStr">
        <is>
          <t>150208 בני אורטפדיה קרית שמונ</t>
        </is>
      </c>
      <c r="C722" s="94" t="inlineStr">
        <is>
          <t>INV69088</t>
        </is>
      </c>
      <c r="D722" s="94" t="inlineStr">
        <is>
          <t>INV</t>
        </is>
      </c>
      <c r="E722" s="102" t="n">
        <v>0</v>
      </c>
      <c r="F722" s="94" t="n">
        <v>0</v>
      </c>
      <c r="G722" s="102" t="n">
        <v>336.16</v>
      </c>
      <c r="H722" s="94" t="n">
        <v>4</v>
      </c>
    </row>
    <row r="723" ht="15" customHeight="1" s="82">
      <c r="A723" s="94" t="inlineStr">
        <is>
          <t>102 - Orthopedic institutes</t>
        </is>
      </c>
      <c r="B723" s="94" t="inlineStr">
        <is>
          <t>150208 בני אורטפדיה קרית שמונ</t>
        </is>
      </c>
      <c r="C723" s="94" t="inlineStr">
        <is>
          <t>INV68721</t>
        </is>
      </c>
      <c r="D723" s="94" t="inlineStr">
        <is>
          <t>INV</t>
        </is>
      </c>
      <c r="E723" s="102" t="n">
        <v>0</v>
      </c>
      <c r="F723" s="94" t="n">
        <v>0</v>
      </c>
      <c r="G723" s="102" t="n">
        <v>326.51</v>
      </c>
      <c r="H723" s="94" t="n">
        <v>2</v>
      </c>
    </row>
    <row r="724" ht="15" customHeight="1" s="82">
      <c r="A724" s="94" t="inlineStr">
        <is>
          <t>102 - Orthopedic institutes</t>
        </is>
      </c>
      <c r="B724" s="94" t="inlineStr">
        <is>
          <t>150208 בני אורטפדיה קרית שמונ</t>
        </is>
      </c>
      <c r="C724" s="94" t="inlineStr">
        <is>
          <t>INV69240</t>
        </is>
      </c>
      <c r="D724" s="94" t="inlineStr">
        <is>
          <t>INV</t>
        </is>
      </c>
      <c r="E724" s="102" t="n">
        <v>0</v>
      </c>
      <c r="F724" s="94" t="n">
        <v>0</v>
      </c>
      <c r="G724" s="102" t="n">
        <v>326.51</v>
      </c>
      <c r="H724" s="94" t="n">
        <v>2</v>
      </c>
    </row>
    <row r="725" ht="15" customHeight="1" s="82">
      <c r="A725" s="94" t="inlineStr">
        <is>
          <t>102 - Orthopedic institutes</t>
        </is>
      </c>
      <c r="B725" s="94" t="inlineStr">
        <is>
          <t>150208 בני אורטפדיה קרית שמונ</t>
        </is>
      </c>
      <c r="C725" s="94" t="inlineStr">
        <is>
          <t>INV66981</t>
        </is>
      </c>
      <c r="D725" s="94" t="inlineStr">
        <is>
          <t>INV</t>
        </is>
      </c>
      <c r="E725" s="102" t="n">
        <v>320</v>
      </c>
      <c r="F725" s="94" t="n">
        <v>2</v>
      </c>
      <c r="G725" s="102" t="n">
        <v>0</v>
      </c>
      <c r="H725" s="94" t="n">
        <v>0</v>
      </c>
    </row>
    <row r="726" ht="15" customHeight="1" s="82">
      <c r="A726" s="94" t="inlineStr">
        <is>
          <t>102 - Orthopedic institutes</t>
        </is>
      </c>
      <c r="B726" s="94" t="inlineStr">
        <is>
          <t>150208 בני אורטפדיה קרית שמונ</t>
        </is>
      </c>
      <c r="C726" s="94" t="inlineStr">
        <is>
          <t>INV66410</t>
        </is>
      </c>
      <c r="D726" s="94" t="inlineStr">
        <is>
          <t>INV</t>
        </is>
      </c>
      <c r="E726" s="102" t="n">
        <v>266.04</v>
      </c>
      <c r="F726" s="94" t="n">
        <v>4</v>
      </c>
      <c r="G726" s="102" t="n">
        <v>0</v>
      </c>
      <c r="H726" s="94" t="n">
        <v>0</v>
      </c>
    </row>
    <row r="727" ht="15" customHeight="1" s="82">
      <c r="A727" s="94" t="inlineStr">
        <is>
          <t>102 - Orthopedic institutes</t>
        </is>
      </c>
      <c r="B727" s="94" t="inlineStr">
        <is>
          <t>150208 בני אורטפדיה קרית שמונ</t>
        </is>
      </c>
      <c r="C727" s="94" t="inlineStr">
        <is>
          <t>INV42777</t>
        </is>
      </c>
      <c r="D727" s="94" t="inlineStr">
        <is>
          <t>INV</t>
        </is>
      </c>
      <c r="E727" s="102" t="n">
        <v>222</v>
      </c>
      <c r="F727" s="94" t="n">
        <v>1</v>
      </c>
      <c r="G727" s="102" t="n">
        <v>0</v>
      </c>
      <c r="H727" s="94" t="n">
        <v>0</v>
      </c>
    </row>
    <row r="728" ht="15" customHeight="1" s="82">
      <c r="A728" s="94" t="inlineStr">
        <is>
          <t>102 - Orthopedic institutes</t>
        </is>
      </c>
      <c r="B728" s="94" t="inlineStr">
        <is>
          <t>150208 בני אורטפדיה קרית שמונ</t>
        </is>
      </c>
      <c r="C728" s="94" t="inlineStr">
        <is>
          <t>INV66771</t>
        </is>
      </c>
      <c r="D728" s="94" t="inlineStr">
        <is>
          <t>INV</t>
        </is>
      </c>
      <c r="E728" s="102" t="n">
        <v>210</v>
      </c>
      <c r="F728" s="94" t="n">
        <v>2</v>
      </c>
      <c r="G728" s="102" t="n">
        <v>0</v>
      </c>
      <c r="H728" s="94" t="n">
        <v>0</v>
      </c>
    </row>
    <row r="729" ht="15" customHeight="1" s="82">
      <c r="A729" s="94" t="inlineStr">
        <is>
          <t>102 - Orthopedic institutes</t>
        </is>
      </c>
      <c r="B729" s="94" t="inlineStr">
        <is>
          <t>150208 בני אורטפדיה קרית שמונ</t>
        </is>
      </c>
      <c r="C729" s="94" t="inlineStr">
        <is>
          <t>INV68572</t>
        </is>
      </c>
      <c r="D729" s="94" t="inlineStr">
        <is>
          <t>INV</t>
        </is>
      </c>
      <c r="E729" s="102" t="n">
        <v>0</v>
      </c>
      <c r="F729" s="94" t="n">
        <v>0</v>
      </c>
      <c r="G729" s="102" t="n">
        <v>170</v>
      </c>
      <c r="H729" s="94" t="n">
        <v>2</v>
      </c>
    </row>
    <row r="730" ht="15" customHeight="1" s="82">
      <c r="A730" s="94" t="inlineStr">
        <is>
          <t>102 - Orthopedic institutes</t>
        </is>
      </c>
      <c r="B730" s="94" t="inlineStr">
        <is>
          <t>150208 בני אורטפדיה קרית שמונ</t>
        </is>
      </c>
      <c r="C730" s="94" t="inlineStr">
        <is>
          <t>INV69302</t>
        </is>
      </c>
      <c r="D730" s="94" t="inlineStr">
        <is>
          <t>INV</t>
        </is>
      </c>
      <c r="E730" s="102" t="n">
        <v>0</v>
      </c>
      <c r="F730" s="94" t="n">
        <v>0</v>
      </c>
      <c r="G730" s="102" t="n">
        <v>170</v>
      </c>
      <c r="H730" s="94" t="n">
        <v>2</v>
      </c>
    </row>
    <row r="731" ht="15" customHeight="1" s="82">
      <c r="A731" s="94" t="inlineStr">
        <is>
          <t>102 - Orthopedic institutes</t>
        </is>
      </c>
      <c r="B731" s="94" t="inlineStr">
        <is>
          <t>150208 בני אורטפדיה קרית שמונ</t>
        </is>
      </c>
      <c r="C731" s="94" t="inlineStr">
        <is>
          <t>INV40855</t>
        </is>
      </c>
      <c r="D731" s="94" t="inlineStr">
        <is>
          <t>INV</t>
        </is>
      </c>
      <c r="E731" s="102" t="n">
        <v>125.23</v>
      </c>
      <c r="F731" s="94" t="n">
        <v>3</v>
      </c>
      <c r="G731" s="102" t="n">
        <v>0</v>
      </c>
      <c r="H731" s="94" t="n">
        <v>0</v>
      </c>
    </row>
    <row r="732" ht="15" customHeight="1" s="82">
      <c r="A732" s="94" t="inlineStr">
        <is>
          <t>102 - Orthopedic institutes</t>
        </is>
      </c>
      <c r="B732" s="94" t="inlineStr">
        <is>
          <t>150208 בני אורטפדיה קרית שמונ</t>
        </is>
      </c>
      <c r="C732" s="94" t="inlineStr">
        <is>
          <t>CM44268</t>
        </is>
      </c>
      <c r="D732" s="94" t="inlineStr">
        <is>
          <t>CM</t>
        </is>
      </c>
      <c r="E732" s="102" t="n">
        <v>0</v>
      </c>
      <c r="F732" s="94" t="n">
        <v>0</v>
      </c>
      <c r="G732" s="102" t="n">
        <v>-180</v>
      </c>
      <c r="H732" s="94" t="n">
        <v>-1</v>
      </c>
    </row>
    <row r="733" ht="15" customHeight="1" s="82">
      <c r="A733" s="94" t="inlineStr">
        <is>
          <t>102 - Orthopedic institutes</t>
        </is>
      </c>
      <c r="B733" s="94" t="inlineStr">
        <is>
          <t>150221 רגליים כ"ס אורטופדיה</t>
        </is>
      </c>
      <c r="C733" s="94" t="inlineStr">
        <is>
          <t>INV64601</t>
        </is>
      </c>
      <c r="D733" s="94" t="inlineStr">
        <is>
          <t>INV</t>
        </is>
      </c>
      <c r="E733" s="102" t="n">
        <v>350</v>
      </c>
      <c r="F733" s="94" t="n">
        <v>1</v>
      </c>
      <c r="G733" s="102" t="n">
        <v>0</v>
      </c>
      <c r="H733" s="94" t="n">
        <v>0</v>
      </c>
    </row>
    <row r="734" ht="15" customHeight="1" s="82">
      <c r="A734" s="94" t="inlineStr">
        <is>
          <t>102 - Orthopedic institutes</t>
        </is>
      </c>
      <c r="B734" s="94" t="inlineStr">
        <is>
          <t>150221 רגליים כ"ס אורטופדיה</t>
        </is>
      </c>
      <c r="C734" s="94" t="inlineStr">
        <is>
          <t>INV66758</t>
        </is>
      </c>
      <c r="D734" s="94" t="inlineStr">
        <is>
          <t>INV</t>
        </is>
      </c>
      <c r="E734" s="102" t="n">
        <v>111.04</v>
      </c>
      <c r="F734" s="94" t="n">
        <v>1</v>
      </c>
      <c r="G734" s="102" t="n">
        <v>0</v>
      </c>
      <c r="H734" s="94" t="n">
        <v>0</v>
      </c>
    </row>
    <row r="735" ht="15" customHeight="1" s="82">
      <c r="A735" s="94" t="inlineStr">
        <is>
          <t>102 - Orthopedic institutes</t>
        </is>
      </c>
      <c r="B735" s="94" t="inlineStr">
        <is>
          <t>150230 המומחים - בית של יעל</t>
        </is>
      </c>
      <c r="C735" s="94" t="inlineStr">
        <is>
          <t>INV68621</t>
        </is>
      </c>
      <c r="D735" s="94" t="inlineStr">
        <is>
          <t>INV</t>
        </is>
      </c>
      <c r="E735" s="102" t="n">
        <v>0</v>
      </c>
      <c r="F735" s="94" t="n">
        <v>0</v>
      </c>
      <c r="G735" s="102" t="n">
        <v>1040.01</v>
      </c>
      <c r="H735" s="94" t="n">
        <v>4</v>
      </c>
    </row>
    <row r="736" ht="15" customHeight="1" s="82">
      <c r="A736" s="94" t="inlineStr">
        <is>
          <t>102 - Orthopedic institutes</t>
        </is>
      </c>
      <c r="B736" s="94" t="inlineStr">
        <is>
          <t>150230 המומחים - בית של יעל</t>
        </is>
      </c>
      <c r="C736" s="94" t="inlineStr">
        <is>
          <t>INV67004</t>
        </is>
      </c>
      <c r="D736" s="94" t="inlineStr">
        <is>
          <t>INV</t>
        </is>
      </c>
      <c r="E736" s="102" t="n">
        <v>310</v>
      </c>
      <c r="F736" s="94" t="n">
        <v>3</v>
      </c>
      <c r="G736" s="102" t="n">
        <v>0</v>
      </c>
      <c r="H736" s="94" t="n">
        <v>0</v>
      </c>
    </row>
    <row r="737" ht="15" customHeight="1" s="82">
      <c r="A737" s="94" t="inlineStr">
        <is>
          <t>102 - Orthopedic institutes</t>
        </is>
      </c>
      <c r="B737" s="94" t="inlineStr">
        <is>
          <t>150230 המומחים - בית של יעל</t>
        </is>
      </c>
      <c r="C737" s="94" t="inlineStr">
        <is>
          <t>CM44474</t>
        </is>
      </c>
      <c r="D737" s="94" t="inlineStr">
        <is>
          <t>CM</t>
        </is>
      </c>
      <c r="E737" s="102" t="n">
        <v>0</v>
      </c>
      <c r="F737" s="94" t="n">
        <v>0</v>
      </c>
      <c r="G737" s="102" t="n">
        <v>-510.01</v>
      </c>
      <c r="H737" s="94" t="n">
        <v>-3</v>
      </c>
    </row>
    <row r="738" ht="15" customHeight="1" s="82">
      <c r="A738" s="94" t="inlineStr">
        <is>
          <t>102 - Orthopedic institutes</t>
        </is>
      </c>
      <c r="B738" s="94" t="inlineStr">
        <is>
          <t>150230 המומחים - בית של יעל</t>
        </is>
      </c>
      <c r="C738" s="94" t="inlineStr">
        <is>
          <t>CM44553</t>
        </is>
      </c>
      <c r="D738" s="94" t="inlineStr">
        <is>
          <t>CM</t>
        </is>
      </c>
      <c r="E738" s="102" t="n">
        <v>0</v>
      </c>
      <c r="F738" s="94" t="n">
        <v>0</v>
      </c>
      <c r="G738" s="102" t="n">
        <v>-1040.01</v>
      </c>
      <c r="H738" s="94" t="n">
        <v>-4</v>
      </c>
    </row>
    <row r="739" ht="15" customHeight="1" s="82">
      <c r="A739" s="94" t="inlineStr">
        <is>
          <t>102 - Orthopedic institutes</t>
        </is>
      </c>
      <c r="B739" s="94" t="inlineStr">
        <is>
          <t>150248 FOOT COMFORT</t>
        </is>
      </c>
      <c r="C739" s="94" t="inlineStr">
        <is>
          <t>INV48007</t>
        </is>
      </c>
      <c r="D739" s="94" t="inlineStr">
        <is>
          <t>INV</t>
        </is>
      </c>
      <c r="E739" s="102" t="n">
        <v>1415.51</v>
      </c>
      <c r="F739" s="94" t="n">
        <v>19</v>
      </c>
      <c r="G739" s="102" t="n">
        <v>0</v>
      </c>
      <c r="H739" s="94" t="n">
        <v>0</v>
      </c>
    </row>
    <row r="740" ht="15" customHeight="1" s="82">
      <c r="A740" s="94" t="inlineStr">
        <is>
          <t>102 - Orthopedic institutes</t>
        </is>
      </c>
      <c r="B740" s="94" t="inlineStr">
        <is>
          <t>150248 FOOT COMFORT</t>
        </is>
      </c>
      <c r="C740" s="94" t="inlineStr">
        <is>
          <t>INV60427</t>
        </is>
      </c>
      <c r="D740" s="94" t="inlineStr">
        <is>
          <t>INV</t>
        </is>
      </c>
      <c r="E740" s="102" t="n">
        <v>1207.15</v>
      </c>
      <c r="F740" s="94" t="n">
        <v>24</v>
      </c>
      <c r="G740" s="102" t="n">
        <v>0</v>
      </c>
      <c r="H740" s="94" t="n">
        <v>0</v>
      </c>
    </row>
    <row r="741" ht="15" customHeight="1" s="82">
      <c r="A741" s="94" t="inlineStr">
        <is>
          <t>102 - Orthopedic institutes</t>
        </is>
      </c>
      <c r="B741" s="94" t="inlineStr">
        <is>
          <t>150248 FOOT COMFORT</t>
        </is>
      </c>
      <c r="C741" s="94" t="inlineStr">
        <is>
          <t>INV42954</t>
        </is>
      </c>
      <c r="D741" s="94" t="inlineStr">
        <is>
          <t>INV</t>
        </is>
      </c>
      <c r="E741" s="102" t="n">
        <v>1133.18</v>
      </c>
      <c r="F741" s="94" t="n">
        <v>12</v>
      </c>
      <c r="G741" s="102" t="n">
        <v>0</v>
      </c>
      <c r="H741" s="94" t="n">
        <v>0</v>
      </c>
    </row>
    <row r="742" ht="15" customHeight="1" s="82">
      <c r="A742" s="94" t="inlineStr">
        <is>
          <t>102 - Orthopedic institutes</t>
        </is>
      </c>
      <c r="B742" s="94" t="inlineStr">
        <is>
          <t>150248 FOOT COMFORT</t>
        </is>
      </c>
      <c r="C742" s="94" t="inlineStr">
        <is>
          <t>INV67745</t>
        </is>
      </c>
      <c r="D742" s="94" t="inlineStr">
        <is>
          <t>INV</t>
        </is>
      </c>
      <c r="E742" s="102" t="n">
        <v>0</v>
      </c>
      <c r="F742" s="94" t="n">
        <v>0</v>
      </c>
      <c r="G742" s="102" t="n">
        <v>700.01</v>
      </c>
      <c r="H742" s="94" t="n">
        <v>5</v>
      </c>
    </row>
    <row r="743" ht="15" customHeight="1" s="82">
      <c r="A743" s="94" t="inlineStr">
        <is>
          <t>102 - Orthopedic institutes</t>
        </is>
      </c>
      <c r="B743" s="94" t="inlineStr">
        <is>
          <t>150248 FOOT COMFORT</t>
        </is>
      </c>
      <c r="C743" s="94" t="inlineStr">
        <is>
          <t>INV40685</t>
        </is>
      </c>
      <c r="D743" s="94" t="inlineStr">
        <is>
          <t>INV</t>
        </is>
      </c>
      <c r="E743" s="102" t="n">
        <v>661</v>
      </c>
      <c r="F743" s="94" t="n">
        <v>31</v>
      </c>
      <c r="G743" s="102" t="n">
        <v>0</v>
      </c>
      <c r="H743" s="94" t="n">
        <v>0</v>
      </c>
    </row>
    <row r="744" ht="15" customHeight="1" s="82">
      <c r="A744" s="94" t="inlineStr">
        <is>
          <t>102 - Orthopedic institutes</t>
        </is>
      </c>
      <c r="B744" s="94" t="inlineStr">
        <is>
          <t>150248 FOOT COMFORT</t>
        </is>
      </c>
      <c r="C744" s="94" t="inlineStr">
        <is>
          <t>INV67175</t>
        </is>
      </c>
      <c r="D744" s="94" t="inlineStr">
        <is>
          <t>INV</t>
        </is>
      </c>
      <c r="E744" s="102" t="n">
        <v>0</v>
      </c>
      <c r="F744" s="94" t="n">
        <v>0</v>
      </c>
      <c r="G744" s="102" t="n">
        <v>467.05</v>
      </c>
      <c r="H744" s="94" t="n">
        <v>12</v>
      </c>
    </row>
    <row r="745" ht="15" customHeight="1" s="82">
      <c r="A745" s="94" t="inlineStr">
        <is>
          <t>102 - Orthopedic institutes</t>
        </is>
      </c>
      <c r="B745" s="94" t="inlineStr">
        <is>
          <t>150276 שפע של אורטופדיה בע"מ-עין</t>
        </is>
      </c>
      <c r="C745" s="94" t="inlineStr">
        <is>
          <t>INV66431</t>
        </is>
      </c>
      <c r="D745" s="94" t="inlineStr">
        <is>
          <t>INV</t>
        </is>
      </c>
      <c r="E745" s="102" t="n">
        <v>3500</v>
      </c>
      <c r="F745" s="94" t="n">
        <v>25</v>
      </c>
      <c r="G745" s="102" t="n">
        <v>0</v>
      </c>
      <c r="H745" s="94" t="n">
        <v>0</v>
      </c>
    </row>
    <row r="746" ht="15" customHeight="1" s="82">
      <c r="A746" s="94" t="inlineStr">
        <is>
          <t>102 - Orthopedic institutes</t>
        </is>
      </c>
      <c r="B746" s="94" t="inlineStr">
        <is>
          <t>150276 שפע של אורטופדיה בע"מ-עין</t>
        </is>
      </c>
      <c r="C746" s="94" t="inlineStr">
        <is>
          <t>INV52565</t>
        </is>
      </c>
      <c r="D746" s="94" t="inlineStr">
        <is>
          <t>INV</t>
        </is>
      </c>
      <c r="E746" s="102" t="n">
        <v>2100</v>
      </c>
      <c r="F746" s="94" t="n">
        <v>15</v>
      </c>
      <c r="G746" s="102" t="n">
        <v>0</v>
      </c>
      <c r="H746" s="94" t="n">
        <v>0</v>
      </c>
    </row>
    <row r="747" ht="15" customHeight="1" s="82">
      <c r="A747" s="94" t="inlineStr">
        <is>
          <t>102 - Orthopedic institutes</t>
        </is>
      </c>
      <c r="B747" s="94" t="inlineStr">
        <is>
          <t>150276 שפע של אורטופדיה בע"מ-עין</t>
        </is>
      </c>
      <c r="C747" s="94" t="inlineStr">
        <is>
          <t>INV63504</t>
        </is>
      </c>
      <c r="D747" s="94" t="inlineStr">
        <is>
          <t>INV</t>
        </is>
      </c>
      <c r="E747" s="102" t="n">
        <v>1960</v>
      </c>
      <c r="F747" s="94" t="n">
        <v>14</v>
      </c>
      <c r="G747" s="102" t="n">
        <v>0</v>
      </c>
      <c r="H747" s="94" t="n">
        <v>0</v>
      </c>
    </row>
    <row r="748" ht="15" customHeight="1" s="82">
      <c r="A748" s="94" t="inlineStr">
        <is>
          <t>102 - Orthopedic institutes</t>
        </is>
      </c>
      <c r="B748" s="94" t="inlineStr">
        <is>
          <t>150276 שפע של אורטופדיה בע"מ-עין</t>
        </is>
      </c>
      <c r="C748" s="94" t="inlineStr">
        <is>
          <t>INV46048</t>
        </is>
      </c>
      <c r="D748" s="94" t="inlineStr">
        <is>
          <t>INV</t>
        </is>
      </c>
      <c r="E748" s="102" t="n">
        <v>1904.99</v>
      </c>
      <c r="F748" s="94" t="n">
        <v>15</v>
      </c>
      <c r="G748" s="102" t="n">
        <v>0</v>
      </c>
      <c r="H748" s="94" t="n">
        <v>0</v>
      </c>
    </row>
    <row r="749" ht="15" customHeight="1" s="82">
      <c r="A749" s="94" t="inlineStr">
        <is>
          <t>102 - Orthopedic institutes</t>
        </is>
      </c>
      <c r="B749" s="94" t="inlineStr">
        <is>
          <t>150276 שפע של אורטופדיה בע"מ-עין</t>
        </is>
      </c>
      <c r="C749" s="94" t="inlineStr">
        <is>
          <t>INV60201</t>
        </is>
      </c>
      <c r="D749" s="94" t="inlineStr">
        <is>
          <t>INV</t>
        </is>
      </c>
      <c r="E749" s="102" t="n">
        <v>1680</v>
      </c>
      <c r="F749" s="94" t="n">
        <v>12</v>
      </c>
      <c r="G749" s="102" t="n">
        <v>0</v>
      </c>
      <c r="H749" s="94" t="n">
        <v>0</v>
      </c>
    </row>
    <row r="750" ht="15" customHeight="1" s="82">
      <c r="A750" s="94" t="inlineStr">
        <is>
          <t>102 - Orthopedic institutes</t>
        </is>
      </c>
      <c r="B750" s="94" t="inlineStr">
        <is>
          <t>150276 שפע של אורטופדיה בע"מ-עין</t>
        </is>
      </c>
      <c r="C750" s="94" t="inlineStr">
        <is>
          <t>INV66827</t>
        </is>
      </c>
      <c r="D750" s="94" t="inlineStr">
        <is>
          <t>INV</t>
        </is>
      </c>
      <c r="E750" s="102" t="n">
        <v>1680</v>
      </c>
      <c r="F750" s="94" t="n">
        <v>12</v>
      </c>
      <c r="G750" s="102" t="n">
        <v>0</v>
      </c>
      <c r="H750" s="94" t="n">
        <v>0</v>
      </c>
    </row>
    <row r="751" ht="15" customHeight="1" s="82">
      <c r="A751" s="94" t="inlineStr">
        <is>
          <t>102 - Orthopedic institutes</t>
        </is>
      </c>
      <c r="B751" s="94" t="inlineStr">
        <is>
          <t>150276 שפע של אורטופדיה בע"מ-עין</t>
        </is>
      </c>
      <c r="C751" s="94" t="inlineStr">
        <is>
          <t>INV65525</t>
        </is>
      </c>
      <c r="D751" s="94" t="inlineStr">
        <is>
          <t>INV</t>
        </is>
      </c>
      <c r="E751" s="102" t="n">
        <v>1050</v>
      </c>
      <c r="F751" s="94" t="n">
        <v>8</v>
      </c>
      <c r="G751" s="102" t="n">
        <v>0</v>
      </c>
      <c r="H751" s="94" t="n">
        <v>0</v>
      </c>
    </row>
    <row r="752" ht="15" customHeight="1" s="82">
      <c r="A752" s="94" t="inlineStr">
        <is>
          <t>102 - Orthopedic institutes</t>
        </is>
      </c>
      <c r="B752" s="94" t="inlineStr">
        <is>
          <t>150336 מרכז לאביזרים אורט' אסותא</t>
        </is>
      </c>
      <c r="C752" s="94" t="inlineStr">
        <is>
          <t>INV69056</t>
        </is>
      </c>
      <c r="D752" s="94" t="inlineStr">
        <is>
          <t>INV</t>
        </is>
      </c>
      <c r="E752" s="102" t="n">
        <v>0</v>
      </c>
      <c r="F752" s="94" t="n">
        <v>0</v>
      </c>
      <c r="G752" s="102" t="n">
        <v>1481.01</v>
      </c>
      <c r="H752" s="94" t="n">
        <v>19</v>
      </c>
    </row>
    <row r="753" ht="15" customHeight="1" s="82">
      <c r="A753" s="94" t="inlineStr">
        <is>
          <t>102 - Orthopedic institutes</t>
        </is>
      </c>
      <c r="B753" s="94" t="inlineStr">
        <is>
          <t>150336 מרכז לאביזרים אורט' אסותא</t>
        </is>
      </c>
      <c r="C753" s="94" t="inlineStr">
        <is>
          <t>INV45987</t>
        </is>
      </c>
      <c r="D753" s="94" t="inlineStr">
        <is>
          <t>INV</t>
        </is>
      </c>
      <c r="E753" s="102" t="n">
        <v>1473</v>
      </c>
      <c r="F753" s="94" t="n">
        <v>8</v>
      </c>
      <c r="G753" s="102" t="n">
        <v>0</v>
      </c>
      <c r="H753" s="94" t="n">
        <v>0</v>
      </c>
    </row>
    <row r="754" ht="15" customHeight="1" s="82">
      <c r="A754" s="94" t="inlineStr">
        <is>
          <t>102 - Orthopedic institutes</t>
        </is>
      </c>
      <c r="B754" s="94" t="inlineStr">
        <is>
          <t>150336 מרכז לאביזרים אורט' אסותא</t>
        </is>
      </c>
      <c r="C754" s="94" t="inlineStr">
        <is>
          <t>INV68441</t>
        </is>
      </c>
      <c r="D754" s="94" t="inlineStr">
        <is>
          <t>INV</t>
        </is>
      </c>
      <c r="E754" s="102" t="n">
        <v>0</v>
      </c>
      <c r="F754" s="94" t="n">
        <v>0</v>
      </c>
      <c r="G754" s="102" t="n">
        <v>1191</v>
      </c>
      <c r="H754" s="94" t="n">
        <v>8</v>
      </c>
    </row>
    <row r="755" ht="15" customHeight="1" s="82">
      <c r="A755" s="94" t="inlineStr">
        <is>
          <t>102 - Orthopedic institutes</t>
        </is>
      </c>
      <c r="B755" s="94" t="inlineStr">
        <is>
          <t>150336 מרכז לאביזרים אורט' אסותא</t>
        </is>
      </c>
      <c r="C755" s="94" t="inlineStr">
        <is>
          <t>INV67380</t>
        </is>
      </c>
      <c r="D755" s="94" t="inlineStr">
        <is>
          <t>INV</t>
        </is>
      </c>
      <c r="E755" s="102" t="n">
        <v>0</v>
      </c>
      <c r="F755" s="94" t="n">
        <v>0</v>
      </c>
      <c r="G755" s="102" t="n">
        <v>1141.5</v>
      </c>
      <c r="H755" s="94" t="n">
        <v>8</v>
      </c>
    </row>
    <row r="756" ht="15" customHeight="1" s="82">
      <c r="A756" s="94" t="inlineStr">
        <is>
          <t>102 - Orthopedic institutes</t>
        </is>
      </c>
      <c r="B756" s="94" t="inlineStr">
        <is>
          <t>150336 מרכז לאביזרים אורט' אסותא</t>
        </is>
      </c>
      <c r="C756" s="94" t="inlineStr">
        <is>
          <t>INV68866</t>
        </is>
      </c>
      <c r="D756" s="94" t="inlineStr">
        <is>
          <t>INV</t>
        </is>
      </c>
      <c r="E756" s="102" t="n">
        <v>0</v>
      </c>
      <c r="F756" s="94" t="n">
        <v>0</v>
      </c>
      <c r="G756" s="102" t="n">
        <v>1110</v>
      </c>
      <c r="H756" s="94" t="n">
        <v>5</v>
      </c>
    </row>
    <row r="757" ht="15" customHeight="1" s="82">
      <c r="A757" s="94" t="inlineStr">
        <is>
          <t>102 - Orthopedic institutes</t>
        </is>
      </c>
      <c r="B757" s="94" t="inlineStr">
        <is>
          <t>150336 מרכז לאביזרים אורט' אסותא</t>
        </is>
      </c>
      <c r="C757" s="94" t="inlineStr">
        <is>
          <t>INV66893</t>
        </is>
      </c>
      <c r="D757" s="94" t="inlineStr">
        <is>
          <t>INV</t>
        </is>
      </c>
      <c r="E757" s="102" t="n">
        <v>1062.08</v>
      </c>
      <c r="F757" s="94" t="n">
        <v>11</v>
      </c>
      <c r="G757" s="102" t="n">
        <v>0</v>
      </c>
      <c r="H757" s="94" t="n">
        <v>0</v>
      </c>
    </row>
    <row r="758" ht="15" customHeight="1" s="82">
      <c r="A758" s="94" t="inlineStr">
        <is>
          <t>102 - Orthopedic institutes</t>
        </is>
      </c>
      <c r="B758" s="94" t="inlineStr">
        <is>
          <t>150336 מרכז לאביזרים אורט' אסותא</t>
        </is>
      </c>
      <c r="C758" s="94" t="inlineStr">
        <is>
          <t>INV56257</t>
        </is>
      </c>
      <c r="D758" s="94" t="inlineStr">
        <is>
          <t>INV</t>
        </is>
      </c>
      <c r="E758" s="102" t="n">
        <v>780.01</v>
      </c>
      <c r="F758" s="94" t="n">
        <v>3</v>
      </c>
      <c r="G758" s="102" t="n">
        <v>0</v>
      </c>
      <c r="H758" s="94" t="n">
        <v>0</v>
      </c>
    </row>
    <row r="759" ht="15" customHeight="1" s="82">
      <c r="A759" s="94" t="inlineStr">
        <is>
          <t>102 - Orthopedic institutes</t>
        </is>
      </c>
      <c r="B759" s="94" t="inlineStr">
        <is>
          <t>150336 מרכז לאביזרים אורט' אסותא</t>
        </is>
      </c>
      <c r="C759" s="94" t="inlineStr">
        <is>
          <t>INV65418</t>
        </is>
      </c>
      <c r="D759" s="94" t="inlineStr">
        <is>
          <t>INV</t>
        </is>
      </c>
      <c r="E759" s="102" t="n">
        <v>759.15</v>
      </c>
      <c r="F759" s="94" t="n">
        <v>7</v>
      </c>
      <c r="G759" s="102" t="n">
        <v>0</v>
      </c>
      <c r="H759" s="94" t="n">
        <v>0</v>
      </c>
    </row>
    <row r="760" ht="15" customHeight="1" s="82">
      <c r="A760" s="94" t="inlineStr">
        <is>
          <t>102 - Orthopedic institutes</t>
        </is>
      </c>
      <c r="B760" s="94" t="inlineStr">
        <is>
          <t>150336 מרכז לאביזרים אורט' אסותא</t>
        </is>
      </c>
      <c r="C760" s="94" t="inlineStr">
        <is>
          <t>INV69312</t>
        </is>
      </c>
      <c r="D760" s="94" t="inlineStr">
        <is>
          <t>INV</t>
        </is>
      </c>
      <c r="E760" s="102" t="n">
        <v>0</v>
      </c>
      <c r="F760" s="94" t="n">
        <v>0</v>
      </c>
      <c r="G760" s="102" t="n">
        <v>666.22</v>
      </c>
      <c r="H760" s="94" t="n">
        <v>6</v>
      </c>
    </row>
    <row r="761" ht="15" customHeight="1" s="82">
      <c r="A761" s="94" t="inlineStr">
        <is>
          <t>102 - Orthopedic institutes</t>
        </is>
      </c>
      <c r="B761" s="94" t="inlineStr">
        <is>
          <t>150336 מרכז לאביזרים אורט' אסותא</t>
        </is>
      </c>
      <c r="C761" s="94" t="inlineStr">
        <is>
          <t>INV67438</t>
        </is>
      </c>
      <c r="D761" s="94" t="inlineStr">
        <is>
          <t>INV</t>
        </is>
      </c>
      <c r="E761" s="102" t="n">
        <v>0</v>
      </c>
      <c r="F761" s="94" t="n">
        <v>0</v>
      </c>
      <c r="G761" s="102" t="n">
        <v>666</v>
      </c>
      <c r="H761" s="94" t="n">
        <v>3</v>
      </c>
    </row>
    <row r="762" ht="15" customHeight="1" s="82">
      <c r="A762" s="94" t="inlineStr">
        <is>
          <t>102 - Orthopedic institutes</t>
        </is>
      </c>
      <c r="B762" s="94" t="inlineStr">
        <is>
          <t>150336 מרכז לאביזרים אורט' אסותא</t>
        </is>
      </c>
      <c r="C762" s="94" t="inlineStr">
        <is>
          <t>INV64719</t>
        </is>
      </c>
      <c r="D762" s="94" t="inlineStr">
        <is>
          <t>INV</t>
        </is>
      </c>
      <c r="E762" s="102" t="n">
        <v>525</v>
      </c>
      <c r="F762" s="94" t="n">
        <v>5</v>
      </c>
      <c r="G762" s="102" t="n">
        <v>0</v>
      </c>
      <c r="H762" s="94" t="n">
        <v>0</v>
      </c>
    </row>
    <row r="763" ht="15" customHeight="1" s="82">
      <c r="A763" s="94" t="inlineStr">
        <is>
          <t>102 - Orthopedic institutes</t>
        </is>
      </c>
      <c r="B763" s="94" t="inlineStr">
        <is>
          <t>150336 מרכז לאביזרים אורט' אסותא</t>
        </is>
      </c>
      <c r="C763" s="94" t="inlineStr">
        <is>
          <t>INV53198</t>
        </is>
      </c>
      <c r="D763" s="94" t="inlineStr">
        <is>
          <t>INV</t>
        </is>
      </c>
      <c r="E763" s="102" t="n">
        <v>525</v>
      </c>
      <c r="F763" s="94" t="n">
        <v>5</v>
      </c>
      <c r="G763" s="102" t="n">
        <v>0</v>
      </c>
      <c r="H763" s="94" t="n">
        <v>0</v>
      </c>
    </row>
    <row r="764" ht="15" customHeight="1" s="82">
      <c r="A764" s="94" t="inlineStr">
        <is>
          <t>102 - Orthopedic institutes</t>
        </is>
      </c>
      <c r="B764" s="94" t="inlineStr">
        <is>
          <t>150336 מרכז לאביזרים אורט' אסותא</t>
        </is>
      </c>
      <c r="C764" s="94" t="inlineStr">
        <is>
          <t>INV69069</t>
        </is>
      </c>
      <c r="D764" s="94" t="inlineStr">
        <is>
          <t>INV</t>
        </is>
      </c>
      <c r="E764" s="102" t="n">
        <v>0</v>
      </c>
      <c r="F764" s="94" t="n">
        <v>0</v>
      </c>
      <c r="G764" s="102" t="n">
        <v>444</v>
      </c>
      <c r="H764" s="94" t="n">
        <v>2</v>
      </c>
    </row>
    <row r="765" ht="15" customHeight="1" s="82">
      <c r="A765" s="94" t="inlineStr">
        <is>
          <t>102 - Orthopedic institutes</t>
        </is>
      </c>
      <c r="B765" s="94" t="inlineStr">
        <is>
          <t>150336 מרכז לאביזרים אורט' אסותא</t>
        </is>
      </c>
      <c r="C765" s="94" t="inlineStr">
        <is>
          <t>INV41403</t>
        </is>
      </c>
      <c r="D765" s="94" t="inlineStr">
        <is>
          <t>INV</t>
        </is>
      </c>
      <c r="E765" s="102" t="n">
        <v>420</v>
      </c>
      <c r="F765" s="94" t="n">
        <v>4</v>
      </c>
      <c r="G765" s="102" t="n">
        <v>0</v>
      </c>
      <c r="H765" s="94" t="n">
        <v>0</v>
      </c>
    </row>
    <row r="766" ht="15" customHeight="1" s="82">
      <c r="A766" s="94" t="inlineStr">
        <is>
          <t>102 - Orthopedic institutes</t>
        </is>
      </c>
      <c r="B766" s="94" t="inlineStr">
        <is>
          <t>150336 מרכז לאביזרים אורט' אסותא</t>
        </is>
      </c>
      <c r="C766" s="94" t="inlineStr">
        <is>
          <t>INV67557</t>
        </is>
      </c>
      <c r="D766" s="94" t="inlineStr">
        <is>
          <t>INV</t>
        </is>
      </c>
      <c r="E766" s="102" t="n">
        <v>0</v>
      </c>
      <c r="F766" s="94" t="n">
        <v>0</v>
      </c>
      <c r="G766" s="102" t="n">
        <v>210</v>
      </c>
      <c r="H766" s="94" t="n">
        <v>2</v>
      </c>
    </row>
    <row r="767" ht="15" customHeight="1" s="82">
      <c r="A767" s="94" t="inlineStr">
        <is>
          <t>102 - Orthopedic institutes</t>
        </is>
      </c>
      <c r="B767" s="94" t="inlineStr">
        <is>
          <t>150336 מרכז לאביזרים אורט' אסותא</t>
        </is>
      </c>
      <c r="C767" s="94" t="inlineStr">
        <is>
          <t>INV43594</t>
        </is>
      </c>
      <c r="D767" s="94" t="inlineStr">
        <is>
          <t>INV</t>
        </is>
      </c>
      <c r="E767" s="102" t="n">
        <v>210</v>
      </c>
      <c r="F767" s="94" t="n">
        <v>2</v>
      </c>
      <c r="G767" s="102" t="n">
        <v>0</v>
      </c>
      <c r="H767" s="94" t="n">
        <v>0</v>
      </c>
    </row>
    <row r="768" ht="15" customHeight="1" s="82">
      <c r="A768" s="94" t="inlineStr">
        <is>
          <t>102 - Orthopedic institutes</t>
        </is>
      </c>
      <c r="B768" s="94" t="inlineStr">
        <is>
          <t>150336 מרכז לאביזרים אורט' אסותא</t>
        </is>
      </c>
      <c r="C768" s="94" t="inlineStr">
        <is>
          <t>CM43505</t>
        </is>
      </c>
      <c r="D768" s="94" t="inlineStr">
        <is>
          <t>CM</t>
        </is>
      </c>
      <c r="E768" s="102" t="n">
        <v>-105</v>
      </c>
      <c r="F768" s="94" t="n">
        <v>-1</v>
      </c>
      <c r="G768" s="102" t="n">
        <v>0</v>
      </c>
      <c r="H768" s="94" t="n">
        <v>0</v>
      </c>
    </row>
    <row r="769" ht="15" customHeight="1" s="82">
      <c r="A769" s="94" t="inlineStr">
        <is>
          <t>102 - Orthopedic institutes</t>
        </is>
      </c>
      <c r="B769" s="94" t="inlineStr">
        <is>
          <t>150336 מרכז לאביזרים אורט' אסותא</t>
        </is>
      </c>
      <c r="C769" s="94" t="inlineStr">
        <is>
          <t>CM44290</t>
        </is>
      </c>
      <c r="D769" s="94" t="inlineStr">
        <is>
          <t>CM</t>
        </is>
      </c>
      <c r="E769" s="102" t="n">
        <v>0</v>
      </c>
      <c r="F769" s="94" t="n">
        <v>0</v>
      </c>
      <c r="G769" s="102" t="n">
        <v>-666</v>
      </c>
      <c r="H769" s="94" t="n">
        <v>-3</v>
      </c>
    </row>
    <row r="770" ht="15" customHeight="1" s="82">
      <c r="A770" s="94" t="inlineStr">
        <is>
          <t>102 - Orthopedic institutes</t>
        </is>
      </c>
      <c r="B770" s="94" t="inlineStr">
        <is>
          <t>150337 עמיאל באלאנס ב"ש בע"מ</t>
        </is>
      </c>
      <c r="C770" s="94" t="inlineStr">
        <is>
          <t>INV68839</t>
        </is>
      </c>
      <c r="D770" s="94" t="inlineStr">
        <is>
          <t>INV</t>
        </is>
      </c>
      <c r="E770" s="102" t="n">
        <v>0</v>
      </c>
      <c r="F770" s="94" t="n">
        <v>0</v>
      </c>
      <c r="G770" s="102" t="n">
        <v>1049.86</v>
      </c>
      <c r="H770" s="94" t="n">
        <v>2</v>
      </c>
    </row>
    <row r="771" ht="15" customHeight="1" s="82">
      <c r="A771" s="94" t="inlineStr">
        <is>
          <t>102 - Orthopedic institutes</t>
        </is>
      </c>
      <c r="B771" s="94" t="inlineStr">
        <is>
          <t>150337 עמיאל באלאנס ב"ש בע"מ</t>
        </is>
      </c>
      <c r="C771" s="94" t="inlineStr">
        <is>
          <t>INV66582</t>
        </is>
      </c>
      <c r="D771" s="94" t="inlineStr">
        <is>
          <t>INV</t>
        </is>
      </c>
      <c r="E771" s="102" t="n">
        <v>899.95</v>
      </c>
      <c r="F771" s="94" t="n">
        <v>42</v>
      </c>
      <c r="G771" s="102" t="n">
        <v>0</v>
      </c>
      <c r="H771" s="94" t="n">
        <v>0</v>
      </c>
    </row>
    <row r="772" ht="15" customHeight="1" s="82">
      <c r="A772" s="94" t="inlineStr">
        <is>
          <t>102 - Orthopedic institutes</t>
        </is>
      </c>
      <c r="B772" s="94" t="inlineStr">
        <is>
          <t>150337 עמיאל באלאנס ב"ש בע"מ</t>
        </is>
      </c>
      <c r="C772" s="94" t="inlineStr">
        <is>
          <t>INV44999</t>
        </is>
      </c>
      <c r="D772" s="94" t="inlineStr">
        <is>
          <t>INV</t>
        </is>
      </c>
      <c r="E772" s="102" t="n">
        <v>573</v>
      </c>
      <c r="F772" s="94" t="n">
        <v>3</v>
      </c>
      <c r="G772" s="102" t="n">
        <v>0</v>
      </c>
      <c r="H772" s="94" t="n">
        <v>0</v>
      </c>
    </row>
    <row r="773" ht="15" customHeight="1" s="82">
      <c r="A773" s="94" t="inlineStr">
        <is>
          <t>102 - Orthopedic institutes</t>
        </is>
      </c>
      <c r="B773" s="94" t="inlineStr">
        <is>
          <t>150337 עמיאל באלאנס ב"ש בע"מ</t>
        </is>
      </c>
      <c r="C773" s="94" t="inlineStr">
        <is>
          <t>CM44309</t>
        </is>
      </c>
      <c r="D773" s="94" t="inlineStr">
        <is>
          <t>CM</t>
        </is>
      </c>
      <c r="E773" s="102" t="n">
        <v>0</v>
      </c>
      <c r="F773" s="94" t="n">
        <v>0</v>
      </c>
      <c r="G773" s="102" t="n">
        <v>-624.98</v>
      </c>
      <c r="H773" s="94" t="n">
        <v>-31</v>
      </c>
    </row>
    <row r="774" ht="15" customHeight="1" s="82">
      <c r="A774" s="94" t="inlineStr">
        <is>
          <t>102 - Orthopedic institutes</t>
        </is>
      </c>
      <c r="B774" s="94" t="inlineStr">
        <is>
          <t>150340 חגי אורטופדיה בע"מ</t>
        </is>
      </c>
      <c r="C774" s="94" t="inlineStr">
        <is>
          <t>INV68264</t>
        </is>
      </c>
      <c r="D774" s="94" t="inlineStr">
        <is>
          <t>INV</t>
        </is>
      </c>
      <c r="E774" s="102" t="n">
        <v>0</v>
      </c>
      <c r="F774" s="94" t="n">
        <v>0</v>
      </c>
      <c r="G774" s="102" t="n">
        <v>4966.44</v>
      </c>
      <c r="H774" s="94" t="n">
        <v>58</v>
      </c>
    </row>
    <row r="775" ht="15" customHeight="1" s="82">
      <c r="A775" s="94" t="inlineStr">
        <is>
          <t>102 - Orthopedic institutes</t>
        </is>
      </c>
      <c r="B775" s="94" t="inlineStr">
        <is>
          <t>150340 חגי אורטופדיה בע"מ</t>
        </is>
      </c>
      <c r="C775" s="94" t="inlineStr">
        <is>
          <t>INV57511</t>
        </is>
      </c>
      <c r="D775" s="94" t="inlineStr">
        <is>
          <t>INV</t>
        </is>
      </c>
      <c r="E775" s="102" t="n">
        <v>3732.94</v>
      </c>
      <c r="F775" s="94" t="n">
        <v>106</v>
      </c>
      <c r="G775" s="102" t="n">
        <v>0</v>
      </c>
      <c r="H775" s="94" t="n">
        <v>0</v>
      </c>
    </row>
    <row r="776" ht="15" customHeight="1" s="82">
      <c r="A776" s="94" t="inlineStr">
        <is>
          <t>102 - Orthopedic institutes</t>
        </is>
      </c>
      <c r="B776" s="94" t="inlineStr">
        <is>
          <t>150340 חגי אורטופדיה בע"מ</t>
        </is>
      </c>
      <c r="C776" s="94" t="inlineStr">
        <is>
          <t>INV49812</t>
        </is>
      </c>
      <c r="D776" s="94" t="inlineStr">
        <is>
          <t>INV</t>
        </is>
      </c>
      <c r="E776" s="102" t="n">
        <v>2137.95</v>
      </c>
      <c r="F776" s="94" t="n">
        <v>27</v>
      </c>
      <c r="G776" s="102" t="n">
        <v>0</v>
      </c>
      <c r="H776" s="94" t="n">
        <v>0</v>
      </c>
    </row>
    <row r="777" ht="15" customHeight="1" s="82">
      <c r="A777" s="94" t="inlineStr">
        <is>
          <t>102 - Orthopedic institutes</t>
        </is>
      </c>
      <c r="B777" s="94" t="inlineStr">
        <is>
          <t>150340 חגי אורטופדיה בע"מ</t>
        </is>
      </c>
      <c r="C777" s="94" t="inlineStr">
        <is>
          <t>INV67788</t>
        </is>
      </c>
      <c r="D777" s="94" t="inlineStr">
        <is>
          <t>INV</t>
        </is>
      </c>
      <c r="E777" s="102" t="n">
        <v>0</v>
      </c>
      <c r="F777" s="94" t="n">
        <v>0</v>
      </c>
      <c r="G777" s="102" t="n">
        <v>2089.24</v>
      </c>
      <c r="H777" s="94" t="n">
        <v>15</v>
      </c>
    </row>
    <row r="778" ht="15" customHeight="1" s="82">
      <c r="A778" s="94" t="inlineStr">
        <is>
          <t>102 - Orthopedic institutes</t>
        </is>
      </c>
      <c r="B778" s="94" t="inlineStr">
        <is>
          <t>150340 חגי אורטופדיה בע"מ</t>
        </is>
      </c>
      <c r="C778" s="94" t="inlineStr">
        <is>
          <t>INV66543</t>
        </is>
      </c>
      <c r="D778" s="94" t="inlineStr">
        <is>
          <t>INV</t>
        </is>
      </c>
      <c r="E778" s="102" t="n">
        <v>2011.95</v>
      </c>
      <c r="F778" s="94" t="n">
        <v>26</v>
      </c>
      <c r="G778" s="102" t="n">
        <v>0</v>
      </c>
      <c r="H778" s="94" t="n">
        <v>0</v>
      </c>
    </row>
    <row r="779" ht="15" customHeight="1" s="82">
      <c r="A779" s="94" t="inlineStr">
        <is>
          <t>102 - Orthopedic institutes</t>
        </is>
      </c>
      <c r="B779" s="94" t="inlineStr">
        <is>
          <t>150340 חגי אורטופדיה בע"מ</t>
        </is>
      </c>
      <c r="C779" s="94" t="inlineStr">
        <is>
          <t>INV60211</t>
        </is>
      </c>
      <c r="D779" s="94" t="inlineStr">
        <is>
          <t>INV</t>
        </is>
      </c>
      <c r="E779" s="102" t="n">
        <v>2001.44</v>
      </c>
      <c r="F779" s="94" t="n">
        <v>24</v>
      </c>
      <c r="G779" s="102" t="n">
        <v>0</v>
      </c>
      <c r="H779" s="94" t="n">
        <v>0</v>
      </c>
    </row>
    <row r="780" ht="15" customHeight="1" s="82">
      <c r="A780" s="94" t="inlineStr">
        <is>
          <t>102 - Orthopedic institutes</t>
        </is>
      </c>
      <c r="B780" s="94" t="inlineStr">
        <is>
          <t>150340 חגי אורטופדיה בע"מ</t>
        </is>
      </c>
      <c r="C780" s="94" t="inlineStr">
        <is>
          <t>INV69017</t>
        </is>
      </c>
      <c r="D780" s="94" t="inlineStr">
        <is>
          <t>INV</t>
        </is>
      </c>
      <c r="E780" s="102" t="n">
        <v>0</v>
      </c>
      <c r="F780" s="94" t="n">
        <v>0</v>
      </c>
      <c r="G780" s="102" t="n">
        <v>1758.23</v>
      </c>
      <c r="H780" s="94" t="n">
        <v>36</v>
      </c>
    </row>
    <row r="781" ht="15" customHeight="1" s="82">
      <c r="A781" s="94" t="inlineStr">
        <is>
          <t>102 - Orthopedic institutes</t>
        </is>
      </c>
      <c r="B781" s="94" t="inlineStr">
        <is>
          <t>150340 חגי אורטופדיה בע"מ</t>
        </is>
      </c>
      <c r="C781" s="94" t="inlineStr">
        <is>
          <t>INV65814</t>
        </is>
      </c>
      <c r="D781" s="94" t="inlineStr">
        <is>
          <t>INV</t>
        </is>
      </c>
      <c r="E781" s="102" t="n">
        <v>1424.86</v>
      </c>
      <c r="F781" s="94" t="n">
        <v>57</v>
      </c>
      <c r="G781" s="102" t="n">
        <v>0</v>
      </c>
      <c r="H781" s="94" t="n">
        <v>0</v>
      </c>
    </row>
    <row r="782" ht="15" customHeight="1" s="82">
      <c r="A782" s="94" t="inlineStr">
        <is>
          <t>102 - Orthopedic institutes</t>
        </is>
      </c>
      <c r="B782" s="94" t="inlineStr">
        <is>
          <t>150340 חגי אורטופדיה בע"מ</t>
        </is>
      </c>
      <c r="C782" s="94" t="inlineStr">
        <is>
          <t>INV40377</t>
        </is>
      </c>
      <c r="D782" s="94" t="inlineStr">
        <is>
          <t>INV</t>
        </is>
      </c>
      <c r="E782" s="102" t="n">
        <v>1410.28</v>
      </c>
      <c r="F782" s="94" t="n">
        <v>42</v>
      </c>
      <c r="G782" s="102" t="n">
        <v>0</v>
      </c>
      <c r="H782" s="94" t="n">
        <v>0</v>
      </c>
    </row>
    <row r="783" ht="15" customHeight="1" s="82">
      <c r="A783" s="94" t="inlineStr">
        <is>
          <t>102 - Orthopedic institutes</t>
        </is>
      </c>
      <c r="B783" s="94" t="inlineStr">
        <is>
          <t>150340 חגי אורטופדיה בע"מ</t>
        </is>
      </c>
      <c r="C783" s="94" t="inlineStr">
        <is>
          <t>INV67908</t>
        </is>
      </c>
      <c r="D783" s="94" t="inlineStr">
        <is>
          <t>INV</t>
        </is>
      </c>
      <c r="E783" s="102" t="n">
        <v>0</v>
      </c>
      <c r="F783" s="94" t="n">
        <v>0</v>
      </c>
      <c r="G783" s="102" t="n">
        <v>1201.3</v>
      </c>
      <c r="H783" s="94" t="n">
        <v>28</v>
      </c>
    </row>
    <row r="784" ht="15" customHeight="1" s="82">
      <c r="A784" s="94" t="inlineStr">
        <is>
          <t>102 - Orthopedic institutes</t>
        </is>
      </c>
      <c r="B784" s="94" t="inlineStr">
        <is>
          <t>150340 חגי אורטופדיה בע"מ</t>
        </is>
      </c>
      <c r="C784" s="94" t="inlineStr">
        <is>
          <t>INV68760</t>
        </is>
      </c>
      <c r="D784" s="94" t="inlineStr">
        <is>
          <t>INV</t>
        </is>
      </c>
      <c r="E784" s="102" t="n">
        <v>0</v>
      </c>
      <c r="F784" s="94" t="n">
        <v>0</v>
      </c>
      <c r="G784" s="102" t="n">
        <v>1068.94</v>
      </c>
      <c r="H784" s="94" t="n">
        <v>29</v>
      </c>
    </row>
    <row r="785" ht="15" customHeight="1" s="82">
      <c r="A785" s="94" t="inlineStr">
        <is>
          <t>102 - Orthopedic institutes</t>
        </is>
      </c>
      <c r="B785" s="94" t="inlineStr">
        <is>
          <t>150340 חגי אורטופדיה בע"מ</t>
        </is>
      </c>
      <c r="C785" s="94" t="inlineStr">
        <is>
          <t>INV68038</t>
        </is>
      </c>
      <c r="D785" s="94" t="inlineStr">
        <is>
          <t>INV</t>
        </is>
      </c>
      <c r="E785" s="102" t="n">
        <v>0</v>
      </c>
      <c r="F785" s="94" t="n">
        <v>0</v>
      </c>
      <c r="G785" s="102" t="n">
        <v>961.87</v>
      </c>
      <c r="H785" s="94" t="n">
        <v>45</v>
      </c>
    </row>
    <row r="786" ht="15" customHeight="1" s="82">
      <c r="A786" s="94" t="inlineStr">
        <is>
          <t>102 - Orthopedic institutes</t>
        </is>
      </c>
      <c r="B786" s="94" t="inlineStr">
        <is>
          <t>150340 חגי אורטופדיה בע"מ</t>
        </is>
      </c>
      <c r="C786" s="94" t="inlineStr">
        <is>
          <t>INV54138</t>
        </is>
      </c>
      <c r="D786" s="94" t="inlineStr">
        <is>
          <t>INV</t>
        </is>
      </c>
      <c r="E786" s="102" t="n">
        <v>925.39</v>
      </c>
      <c r="F786" s="94" t="n">
        <v>9</v>
      </c>
      <c r="G786" s="102" t="n">
        <v>0</v>
      </c>
      <c r="H786" s="94" t="n">
        <v>0</v>
      </c>
    </row>
    <row r="787" ht="15" customHeight="1" s="82">
      <c r="A787" s="94" t="inlineStr">
        <is>
          <t>102 - Orthopedic institutes</t>
        </is>
      </c>
      <c r="B787" s="94" t="inlineStr">
        <is>
          <t>150340 חגי אורטופדיה בע"מ</t>
        </is>
      </c>
      <c r="C787" s="94" t="inlineStr">
        <is>
          <t>INV53185</t>
        </is>
      </c>
      <c r="D787" s="94" t="inlineStr">
        <is>
          <t>INV</t>
        </is>
      </c>
      <c r="E787" s="102" t="n">
        <v>920.78</v>
      </c>
      <c r="F787" s="94" t="n">
        <v>24</v>
      </c>
      <c r="G787" s="102" t="n">
        <v>0</v>
      </c>
      <c r="H787" s="94" t="n">
        <v>0</v>
      </c>
    </row>
    <row r="788" ht="15" customHeight="1" s="82">
      <c r="A788" s="94" t="inlineStr">
        <is>
          <t>102 - Orthopedic institutes</t>
        </is>
      </c>
      <c r="B788" s="94" t="inlineStr">
        <is>
          <t>150340 חגי אורטופדיה בע"מ</t>
        </is>
      </c>
      <c r="C788" s="94" t="inlineStr">
        <is>
          <t>INV69288</t>
        </is>
      </c>
      <c r="D788" s="94" t="inlineStr">
        <is>
          <t>INV</t>
        </is>
      </c>
      <c r="E788" s="102" t="n">
        <v>0</v>
      </c>
      <c r="F788" s="94" t="n">
        <v>0</v>
      </c>
      <c r="G788" s="102" t="n">
        <v>910.78</v>
      </c>
      <c r="H788" s="94" t="n">
        <v>24</v>
      </c>
    </row>
    <row r="789" ht="15" customHeight="1" s="82">
      <c r="A789" s="94" t="inlineStr">
        <is>
          <t>102 - Orthopedic institutes</t>
        </is>
      </c>
      <c r="B789" s="94" t="inlineStr">
        <is>
          <t>150340 חגי אורטופדיה בע"מ</t>
        </is>
      </c>
      <c r="C789" s="94" t="inlineStr">
        <is>
          <t>INV67631</t>
        </is>
      </c>
      <c r="D789" s="94" t="inlineStr">
        <is>
          <t>INV</t>
        </is>
      </c>
      <c r="E789" s="102" t="n">
        <v>0</v>
      </c>
      <c r="F789" s="94" t="n">
        <v>0</v>
      </c>
      <c r="G789" s="102" t="n">
        <v>897.17</v>
      </c>
      <c r="H789" s="94" t="n">
        <v>13</v>
      </c>
    </row>
    <row r="790" ht="15" customHeight="1" s="82">
      <c r="A790" s="94" t="inlineStr">
        <is>
          <t>102 - Orthopedic institutes</t>
        </is>
      </c>
      <c r="B790" s="94" t="inlineStr">
        <is>
          <t>150340 חגי אורטופדיה בע"מ</t>
        </is>
      </c>
      <c r="C790" s="94" t="inlineStr">
        <is>
          <t>INV68877</t>
        </is>
      </c>
      <c r="D790" s="94" t="inlineStr">
        <is>
          <t>INV</t>
        </is>
      </c>
      <c r="E790" s="102" t="n">
        <v>0</v>
      </c>
      <c r="F790" s="94" t="n">
        <v>0</v>
      </c>
      <c r="G790" s="102" t="n">
        <v>885.85</v>
      </c>
      <c r="H790" s="94" t="n">
        <v>25</v>
      </c>
    </row>
    <row r="791" ht="15" customHeight="1" s="82">
      <c r="A791" s="94" t="inlineStr">
        <is>
          <t>102 - Orthopedic institutes</t>
        </is>
      </c>
      <c r="B791" s="94" t="inlineStr">
        <is>
          <t>150340 חגי אורטופדיה בע"מ</t>
        </is>
      </c>
      <c r="C791" s="94" t="inlineStr">
        <is>
          <t>INV61180</t>
        </is>
      </c>
      <c r="D791" s="94" t="inlineStr">
        <is>
          <t>INV</t>
        </is>
      </c>
      <c r="E791" s="102" t="n">
        <v>876.4299999999999</v>
      </c>
      <c r="F791" s="94" t="n">
        <v>38</v>
      </c>
      <c r="G791" s="102" t="n">
        <v>0</v>
      </c>
      <c r="H791" s="94" t="n">
        <v>0</v>
      </c>
    </row>
    <row r="792" ht="15" customHeight="1" s="82">
      <c r="A792" s="94" t="inlineStr">
        <is>
          <t>102 - Orthopedic institutes</t>
        </is>
      </c>
      <c r="B792" s="94" t="inlineStr">
        <is>
          <t>150340 חגי אורטופדיה בע"מ</t>
        </is>
      </c>
      <c r="C792" s="94" t="inlineStr">
        <is>
          <t>INV68542</t>
        </is>
      </c>
      <c r="D792" s="94" t="inlineStr">
        <is>
          <t>INV</t>
        </is>
      </c>
      <c r="E792" s="102" t="n">
        <v>0</v>
      </c>
      <c r="F792" s="94" t="n">
        <v>0</v>
      </c>
      <c r="G792" s="102" t="n">
        <v>845.75</v>
      </c>
      <c r="H792" s="94" t="n">
        <v>27</v>
      </c>
    </row>
    <row r="793" ht="15" customHeight="1" s="82">
      <c r="A793" s="94" t="inlineStr">
        <is>
          <t>102 - Orthopedic institutes</t>
        </is>
      </c>
      <c r="B793" s="94" t="inlineStr">
        <is>
          <t>150340 חגי אורטופדיה בע"מ</t>
        </is>
      </c>
      <c r="C793" s="94" t="inlineStr">
        <is>
          <t>INV66341</t>
        </is>
      </c>
      <c r="D793" s="94" t="inlineStr">
        <is>
          <t>INV</t>
        </is>
      </c>
      <c r="E793" s="102" t="n">
        <v>844.65</v>
      </c>
      <c r="F793" s="94" t="n">
        <v>23</v>
      </c>
      <c r="G793" s="102" t="n">
        <v>0</v>
      </c>
      <c r="H793" s="94" t="n">
        <v>0</v>
      </c>
    </row>
    <row r="794" ht="15" customHeight="1" s="82">
      <c r="A794" s="94" t="inlineStr">
        <is>
          <t>102 - Orthopedic institutes</t>
        </is>
      </c>
      <c r="B794" s="94" t="inlineStr">
        <is>
          <t>150340 חגי אורטופדיה בע"מ</t>
        </is>
      </c>
      <c r="C794" s="94" t="inlineStr">
        <is>
          <t>INV42275</t>
        </is>
      </c>
      <c r="D794" s="94" t="inlineStr">
        <is>
          <t>INV</t>
        </is>
      </c>
      <c r="E794" s="102" t="n">
        <v>823.27</v>
      </c>
      <c r="F794" s="94" t="n">
        <v>20</v>
      </c>
      <c r="G794" s="102" t="n">
        <v>0</v>
      </c>
      <c r="H794" s="94" t="n">
        <v>0</v>
      </c>
    </row>
    <row r="795" ht="15" customHeight="1" s="82">
      <c r="A795" s="94" t="inlineStr">
        <is>
          <t>102 - Orthopedic institutes</t>
        </is>
      </c>
      <c r="B795" s="94" t="inlineStr">
        <is>
          <t>150340 חגי אורטופדיה בע"מ</t>
        </is>
      </c>
      <c r="C795" s="94" t="inlineStr">
        <is>
          <t>INV45180</t>
        </is>
      </c>
      <c r="D795" s="94" t="inlineStr">
        <is>
          <t>INV</t>
        </is>
      </c>
      <c r="E795" s="102" t="n">
        <v>794.92</v>
      </c>
      <c r="F795" s="94" t="n">
        <v>26</v>
      </c>
      <c r="G795" s="102" t="n">
        <v>0</v>
      </c>
      <c r="H795" s="94" t="n">
        <v>0</v>
      </c>
    </row>
    <row r="796" ht="15" customHeight="1" s="82">
      <c r="A796" s="94" t="inlineStr">
        <is>
          <t>102 - Orthopedic institutes</t>
        </is>
      </c>
      <c r="B796" s="94" t="inlineStr">
        <is>
          <t>150340 חגי אורטופדיה בע"מ</t>
        </is>
      </c>
      <c r="C796" s="94" t="inlineStr">
        <is>
          <t>INV50510</t>
        </is>
      </c>
      <c r="D796" s="94" t="inlineStr">
        <is>
          <t>INV</t>
        </is>
      </c>
      <c r="E796" s="102" t="n">
        <v>737.1900000000001</v>
      </c>
      <c r="F796" s="94" t="n">
        <v>19</v>
      </c>
      <c r="G796" s="102" t="n">
        <v>0</v>
      </c>
      <c r="H796" s="94" t="n">
        <v>0</v>
      </c>
    </row>
    <row r="797" ht="15" customHeight="1" s="82">
      <c r="A797" s="94" t="inlineStr">
        <is>
          <t>102 - Orthopedic institutes</t>
        </is>
      </c>
      <c r="B797" s="94" t="inlineStr">
        <is>
          <t>150340 חגי אורטופדיה בע"מ</t>
        </is>
      </c>
      <c r="C797" s="94" t="inlineStr">
        <is>
          <t>INV69211</t>
        </is>
      </c>
      <c r="D797" s="94" t="inlineStr">
        <is>
          <t>INV</t>
        </is>
      </c>
      <c r="E797" s="102" t="n">
        <v>0</v>
      </c>
      <c r="F797" s="94" t="n">
        <v>0</v>
      </c>
      <c r="G797" s="102" t="n">
        <v>697.72</v>
      </c>
      <c r="H797" s="94" t="n">
        <v>20</v>
      </c>
    </row>
    <row r="798" ht="15" customHeight="1" s="82">
      <c r="A798" s="94" t="inlineStr">
        <is>
          <t>102 - Orthopedic institutes</t>
        </is>
      </c>
      <c r="B798" s="94" t="inlineStr">
        <is>
          <t>150340 חגי אורטופדיה בע"מ</t>
        </is>
      </c>
      <c r="C798" s="94" t="inlineStr">
        <is>
          <t>INV47479</t>
        </is>
      </c>
      <c r="D798" s="94" t="inlineStr">
        <is>
          <t>INV</t>
        </is>
      </c>
      <c r="E798" s="102" t="n">
        <v>683.48</v>
      </c>
      <c r="F798" s="94" t="n">
        <v>8</v>
      </c>
      <c r="G798" s="102" t="n">
        <v>0</v>
      </c>
      <c r="H798" s="94" t="n">
        <v>0</v>
      </c>
    </row>
    <row r="799" ht="15" customHeight="1" s="82">
      <c r="A799" s="94" t="inlineStr">
        <is>
          <t>102 - Orthopedic institutes</t>
        </is>
      </c>
      <c r="B799" s="94" t="inlineStr">
        <is>
          <t>150340 חגי אורטופדיה בע"מ</t>
        </is>
      </c>
      <c r="C799" s="94" t="inlineStr">
        <is>
          <t>INV68155</t>
        </is>
      </c>
      <c r="D799" s="94" t="inlineStr">
        <is>
          <t>INV</t>
        </is>
      </c>
      <c r="E799" s="102" t="n">
        <v>0</v>
      </c>
      <c r="F799" s="94" t="n">
        <v>0</v>
      </c>
      <c r="G799" s="102" t="n">
        <v>664.6900000000001</v>
      </c>
      <c r="H799" s="94" t="n">
        <v>11</v>
      </c>
    </row>
    <row r="800" ht="15" customHeight="1" s="82">
      <c r="A800" s="94" t="inlineStr">
        <is>
          <t>102 - Orthopedic institutes</t>
        </is>
      </c>
      <c r="B800" s="94" t="inlineStr">
        <is>
          <t>150340 חגי אורטופדיה בע"מ</t>
        </is>
      </c>
      <c r="C800" s="94" t="inlineStr">
        <is>
          <t>INV67121</t>
        </is>
      </c>
      <c r="D800" s="94" t="inlineStr">
        <is>
          <t>INV</t>
        </is>
      </c>
      <c r="E800" s="102" t="n">
        <v>650.4400000000001</v>
      </c>
      <c r="F800" s="94" t="n">
        <v>12</v>
      </c>
      <c r="G800" s="102" t="n">
        <v>0</v>
      </c>
      <c r="H800" s="94" t="n">
        <v>0</v>
      </c>
    </row>
    <row r="801" ht="15" customHeight="1" s="82">
      <c r="A801" s="94" t="inlineStr">
        <is>
          <t>102 - Orthopedic institutes</t>
        </is>
      </c>
      <c r="B801" s="94" t="inlineStr">
        <is>
          <t>150340 חגי אורטופדיה בע"מ</t>
        </is>
      </c>
      <c r="C801" s="94" t="inlineStr">
        <is>
          <t>INV67223</t>
        </is>
      </c>
      <c r="D801" s="94" t="inlineStr">
        <is>
          <t>INV</t>
        </is>
      </c>
      <c r="E801" s="102" t="n">
        <v>0</v>
      </c>
      <c r="F801" s="94" t="n">
        <v>0</v>
      </c>
      <c r="G801" s="102" t="n">
        <v>627.75</v>
      </c>
      <c r="H801" s="94" t="n">
        <v>18</v>
      </c>
    </row>
    <row r="802" ht="15" customHeight="1" s="82">
      <c r="A802" s="94" t="inlineStr">
        <is>
          <t>102 - Orthopedic institutes</t>
        </is>
      </c>
      <c r="B802" s="94" t="inlineStr">
        <is>
          <t>150340 חגי אורטופדיה בע"מ</t>
        </is>
      </c>
      <c r="C802" s="94" t="inlineStr">
        <is>
          <t>INV66900</t>
        </is>
      </c>
      <c r="D802" s="94" t="inlineStr">
        <is>
          <t>INV</t>
        </is>
      </c>
      <c r="E802" s="102" t="n">
        <v>579.38</v>
      </c>
      <c r="F802" s="94" t="n">
        <v>21</v>
      </c>
      <c r="G802" s="102" t="n">
        <v>0</v>
      </c>
      <c r="H802" s="94" t="n">
        <v>0</v>
      </c>
    </row>
    <row r="803" ht="15" customHeight="1" s="82">
      <c r="A803" s="94" t="inlineStr">
        <is>
          <t>102 - Orthopedic institutes</t>
        </is>
      </c>
      <c r="B803" s="94" t="inlineStr">
        <is>
          <t>150340 חגי אורטופדיה בע"מ</t>
        </is>
      </c>
      <c r="C803" s="94" t="inlineStr">
        <is>
          <t>INV51959</t>
        </is>
      </c>
      <c r="D803" s="94" t="inlineStr">
        <is>
          <t>INV</t>
        </is>
      </c>
      <c r="E803" s="102" t="n">
        <v>518.02</v>
      </c>
      <c r="F803" s="94" t="n">
        <v>13</v>
      </c>
      <c r="G803" s="102" t="n">
        <v>0</v>
      </c>
      <c r="H803" s="94" t="n">
        <v>0</v>
      </c>
    </row>
    <row r="804" ht="15" customHeight="1" s="82">
      <c r="A804" s="94" t="inlineStr">
        <is>
          <t>102 - Orthopedic institutes</t>
        </is>
      </c>
      <c r="B804" s="94" t="inlineStr">
        <is>
          <t>150340 חגי אורטופדיה בע"מ</t>
        </is>
      </c>
      <c r="C804" s="94" t="inlineStr">
        <is>
          <t>INV69042</t>
        </is>
      </c>
      <c r="D804" s="94" t="inlineStr">
        <is>
          <t>INV</t>
        </is>
      </c>
      <c r="E804" s="102" t="n">
        <v>0</v>
      </c>
      <c r="F804" s="94" t="n">
        <v>0</v>
      </c>
      <c r="G804" s="102" t="n">
        <v>505.86</v>
      </c>
      <c r="H804" s="94" t="n">
        <v>8</v>
      </c>
    </row>
    <row r="805" ht="15" customHeight="1" s="82">
      <c r="A805" s="94" t="inlineStr">
        <is>
          <t>102 - Orthopedic institutes</t>
        </is>
      </c>
      <c r="B805" s="94" t="inlineStr">
        <is>
          <t>150340 חגי אורטופדיה בע"מ</t>
        </is>
      </c>
      <c r="C805" s="94" t="inlineStr">
        <is>
          <t>INV67377</t>
        </is>
      </c>
      <c r="D805" s="94" t="inlineStr">
        <is>
          <t>INV</t>
        </is>
      </c>
      <c r="E805" s="102" t="n">
        <v>0</v>
      </c>
      <c r="F805" s="94" t="n">
        <v>0</v>
      </c>
      <c r="G805" s="102" t="n">
        <v>484.27</v>
      </c>
      <c r="H805" s="94" t="n">
        <v>13</v>
      </c>
    </row>
    <row r="806" ht="15" customHeight="1" s="82">
      <c r="A806" s="94" t="inlineStr">
        <is>
          <t>102 - Orthopedic institutes</t>
        </is>
      </c>
      <c r="B806" s="94" t="inlineStr">
        <is>
          <t>150340 חגי אורטופדיה בע"מ</t>
        </is>
      </c>
      <c r="C806" s="94" t="inlineStr">
        <is>
          <t>INV65873</t>
        </is>
      </c>
      <c r="D806" s="94" t="inlineStr">
        <is>
          <t>INV</t>
        </is>
      </c>
      <c r="E806" s="102" t="n">
        <v>480.27</v>
      </c>
      <c r="F806" s="94" t="n">
        <v>14</v>
      </c>
      <c r="G806" s="102" t="n">
        <v>0</v>
      </c>
      <c r="H806" s="94" t="n">
        <v>0</v>
      </c>
    </row>
    <row r="807" ht="15" customHeight="1" s="82">
      <c r="A807" s="94" t="inlineStr">
        <is>
          <t>102 - Orthopedic institutes</t>
        </is>
      </c>
      <c r="B807" s="94" t="inlineStr">
        <is>
          <t>150340 חגי אורטופדיה בע"מ</t>
        </is>
      </c>
      <c r="C807" s="94" t="inlineStr">
        <is>
          <t>INV68224</t>
        </is>
      </c>
      <c r="D807" s="94" t="inlineStr">
        <is>
          <t>INV</t>
        </is>
      </c>
      <c r="E807" s="102" t="n">
        <v>0</v>
      </c>
      <c r="F807" s="94" t="n">
        <v>0</v>
      </c>
      <c r="G807" s="102" t="n">
        <v>476.61</v>
      </c>
      <c r="H807" s="94" t="n">
        <v>8</v>
      </c>
    </row>
    <row r="808" ht="15" customHeight="1" s="82">
      <c r="A808" s="94" t="inlineStr">
        <is>
          <t>102 - Orthopedic institutes</t>
        </is>
      </c>
      <c r="B808" s="94" t="inlineStr">
        <is>
          <t>150340 חגי אורטופדיה בע"מ</t>
        </is>
      </c>
      <c r="C808" s="94" t="inlineStr">
        <is>
          <t>INV45992</t>
        </is>
      </c>
      <c r="D808" s="94" t="inlineStr">
        <is>
          <t>INV</t>
        </is>
      </c>
      <c r="E808" s="102" t="n">
        <v>475</v>
      </c>
      <c r="F808" s="94" t="n">
        <v>11</v>
      </c>
      <c r="G808" s="102" t="n">
        <v>0</v>
      </c>
      <c r="H808" s="94" t="n">
        <v>0</v>
      </c>
    </row>
    <row r="809" ht="15" customHeight="1" s="82">
      <c r="A809" s="94" t="inlineStr">
        <is>
          <t>102 - Orthopedic institutes</t>
        </is>
      </c>
      <c r="B809" s="94" t="inlineStr">
        <is>
          <t>150340 חגי אורטופדיה בע"מ</t>
        </is>
      </c>
      <c r="C809" s="94" t="inlineStr">
        <is>
          <t>INV51746</t>
        </is>
      </c>
      <c r="D809" s="94" t="inlineStr">
        <is>
          <t>INV</t>
        </is>
      </c>
      <c r="E809" s="102" t="n">
        <v>474.15</v>
      </c>
      <c r="F809" s="94" t="n">
        <v>18</v>
      </c>
      <c r="G809" s="102" t="n">
        <v>0</v>
      </c>
      <c r="H809" s="94" t="n">
        <v>0</v>
      </c>
    </row>
    <row r="810" ht="15" customHeight="1" s="82">
      <c r="A810" s="94" t="inlineStr">
        <is>
          <t>102 - Orthopedic institutes</t>
        </is>
      </c>
      <c r="B810" s="94" t="inlineStr">
        <is>
          <t>150340 חגי אורטופדיה בע"מ</t>
        </is>
      </c>
      <c r="C810" s="94" t="inlineStr">
        <is>
          <t>INV58795</t>
        </is>
      </c>
      <c r="D810" s="94" t="inlineStr">
        <is>
          <t>INV</t>
        </is>
      </c>
      <c r="E810" s="102" t="n">
        <v>442.76</v>
      </c>
      <c r="F810" s="94" t="n">
        <v>14</v>
      </c>
      <c r="G810" s="102" t="n">
        <v>0</v>
      </c>
      <c r="H810" s="94" t="n">
        <v>0</v>
      </c>
    </row>
    <row r="811" ht="15" customHeight="1" s="82">
      <c r="A811" s="94" t="inlineStr">
        <is>
          <t>102 - Orthopedic institutes</t>
        </is>
      </c>
      <c r="B811" s="94" t="inlineStr">
        <is>
          <t>150340 חגי אורטופדיה בע"מ</t>
        </is>
      </c>
      <c r="C811" s="94" t="inlineStr">
        <is>
          <t>INV64637</t>
        </is>
      </c>
      <c r="D811" s="94" t="inlineStr">
        <is>
          <t>INV</t>
        </is>
      </c>
      <c r="E811" s="102" t="n">
        <v>430.78</v>
      </c>
      <c r="F811" s="94" t="n">
        <v>14</v>
      </c>
      <c r="G811" s="102" t="n">
        <v>0</v>
      </c>
      <c r="H811" s="94" t="n">
        <v>0</v>
      </c>
    </row>
    <row r="812" ht="15" customHeight="1" s="82">
      <c r="A812" s="94" t="inlineStr">
        <is>
          <t>102 - Orthopedic institutes</t>
        </is>
      </c>
      <c r="B812" s="94" t="inlineStr">
        <is>
          <t>150340 חגי אורטופדיה בע"מ</t>
        </is>
      </c>
      <c r="C812" s="94" t="inlineStr">
        <is>
          <t>INV62695</t>
        </is>
      </c>
      <c r="D812" s="94" t="inlineStr">
        <is>
          <t>INV</t>
        </is>
      </c>
      <c r="E812" s="102" t="n">
        <v>407.38</v>
      </c>
      <c r="F812" s="94" t="n">
        <v>11</v>
      </c>
      <c r="G812" s="102" t="n">
        <v>0</v>
      </c>
      <c r="H812" s="94" t="n">
        <v>0</v>
      </c>
    </row>
    <row r="813" ht="15" customHeight="1" s="82">
      <c r="A813" s="94" t="inlineStr">
        <is>
          <t>102 - Orthopedic institutes</t>
        </is>
      </c>
      <c r="B813" s="94" t="inlineStr">
        <is>
          <t>150340 חגי אורטופדיה בע"מ</t>
        </is>
      </c>
      <c r="C813" s="94" t="inlineStr">
        <is>
          <t>INV55294</t>
        </is>
      </c>
      <c r="D813" s="94" t="inlineStr">
        <is>
          <t>INV</t>
        </is>
      </c>
      <c r="E813" s="102" t="n">
        <v>405.4</v>
      </c>
      <c r="F813" s="94" t="n">
        <v>14</v>
      </c>
      <c r="G813" s="102" t="n">
        <v>0</v>
      </c>
      <c r="H813" s="94" t="n">
        <v>0</v>
      </c>
    </row>
    <row r="814" ht="15" customHeight="1" s="82">
      <c r="A814" s="94" t="inlineStr">
        <is>
          <t>102 - Orthopedic institutes</t>
        </is>
      </c>
      <c r="B814" s="94" t="inlineStr">
        <is>
          <t>150340 חגי אורטופדיה בע"מ</t>
        </is>
      </c>
      <c r="C814" s="94" t="inlineStr">
        <is>
          <t>INV44212</t>
        </is>
      </c>
      <c r="D814" s="94" t="inlineStr">
        <is>
          <t>INV</t>
        </is>
      </c>
      <c r="E814" s="102" t="n">
        <v>392.86</v>
      </c>
      <c r="F814" s="94" t="n">
        <v>11</v>
      </c>
      <c r="G814" s="102" t="n">
        <v>0</v>
      </c>
      <c r="H814" s="94" t="n">
        <v>0</v>
      </c>
    </row>
    <row r="815" ht="15" customHeight="1" s="82">
      <c r="A815" s="94" t="inlineStr">
        <is>
          <t>102 - Orthopedic institutes</t>
        </is>
      </c>
      <c r="B815" s="94" t="inlineStr">
        <is>
          <t>150340 חגי אורטופדיה בע"מ</t>
        </is>
      </c>
      <c r="C815" s="94" t="inlineStr">
        <is>
          <t>INV65486</t>
        </is>
      </c>
      <c r="D815" s="94" t="inlineStr">
        <is>
          <t>INV</t>
        </is>
      </c>
      <c r="E815" s="102" t="n">
        <v>357.06</v>
      </c>
      <c r="F815" s="94" t="n">
        <v>11</v>
      </c>
      <c r="G815" s="102" t="n">
        <v>0</v>
      </c>
      <c r="H815" s="94" t="n">
        <v>0</v>
      </c>
    </row>
    <row r="816" ht="15" customHeight="1" s="82">
      <c r="A816" s="94" t="inlineStr">
        <is>
          <t>102 - Orthopedic institutes</t>
        </is>
      </c>
      <c r="B816" s="94" t="inlineStr">
        <is>
          <t>150340 חגי אורטופדיה בע"מ</t>
        </is>
      </c>
      <c r="C816" s="94" t="inlineStr">
        <is>
          <t>INV60765</t>
        </is>
      </c>
      <c r="D816" s="94" t="inlineStr">
        <is>
          <t>INV</t>
        </is>
      </c>
      <c r="E816" s="102" t="n">
        <v>222.25</v>
      </c>
      <c r="F816" s="94" t="n">
        <v>3</v>
      </c>
      <c r="G816" s="102" t="n">
        <v>0</v>
      </c>
      <c r="H816" s="94" t="n">
        <v>0</v>
      </c>
    </row>
    <row r="817" ht="15" customHeight="1" s="82">
      <c r="A817" s="94" t="inlineStr">
        <is>
          <t>102 - Orthopedic institutes</t>
        </is>
      </c>
      <c r="B817" s="94" t="inlineStr">
        <is>
          <t>150340 חגי אורטופדיה בע"מ</t>
        </is>
      </c>
      <c r="C817" s="94" t="inlineStr">
        <is>
          <t>INV67424</t>
        </is>
      </c>
      <c r="D817" s="94" t="inlineStr">
        <is>
          <t>INV</t>
        </is>
      </c>
      <c r="E817" s="102" t="n">
        <v>0</v>
      </c>
      <c r="F817" s="94" t="n">
        <v>0</v>
      </c>
      <c r="G817" s="102" t="n">
        <v>215.93</v>
      </c>
      <c r="H817" s="94" t="n">
        <v>9</v>
      </c>
    </row>
    <row r="818" ht="15" customHeight="1" s="82">
      <c r="A818" s="94" t="inlineStr">
        <is>
          <t>102 - Orthopedic institutes</t>
        </is>
      </c>
      <c r="B818" s="94" t="inlineStr">
        <is>
          <t>150340 חגי אורטופדיה בע"מ</t>
        </is>
      </c>
      <c r="C818" s="94" t="inlineStr">
        <is>
          <t>INV43010</t>
        </is>
      </c>
      <c r="D818" s="94" t="inlineStr">
        <is>
          <t>INV</t>
        </is>
      </c>
      <c r="E818" s="102" t="n">
        <v>209</v>
      </c>
      <c r="F818" s="94" t="n">
        <v>2</v>
      </c>
      <c r="G818" s="102" t="n">
        <v>0</v>
      </c>
      <c r="H818" s="94" t="n">
        <v>0</v>
      </c>
    </row>
    <row r="819" ht="15" customHeight="1" s="82">
      <c r="A819" s="94" t="inlineStr">
        <is>
          <t>102 - Orthopedic institutes</t>
        </is>
      </c>
      <c r="B819" s="94" t="inlineStr">
        <is>
          <t>150340 חגי אורטופדיה בע"מ</t>
        </is>
      </c>
      <c r="C819" s="94" t="inlineStr">
        <is>
          <t>INV42817</t>
        </is>
      </c>
      <c r="D819" s="94" t="inlineStr">
        <is>
          <t>INV</t>
        </is>
      </c>
      <c r="E819" s="102" t="n">
        <v>195.5</v>
      </c>
      <c r="F819" s="94" t="n">
        <v>2</v>
      </c>
      <c r="G819" s="102" t="n">
        <v>0</v>
      </c>
      <c r="H819" s="94" t="n">
        <v>0</v>
      </c>
    </row>
    <row r="820" ht="15" customHeight="1" s="82">
      <c r="A820" s="94" t="inlineStr">
        <is>
          <t>102 - Orthopedic institutes</t>
        </is>
      </c>
      <c r="B820" s="94" t="inlineStr">
        <is>
          <t>150340 חגי אורטופדיה בע"מ</t>
        </is>
      </c>
      <c r="C820" s="94" t="inlineStr">
        <is>
          <t>INV67634</t>
        </is>
      </c>
      <c r="D820" s="94" t="inlineStr">
        <is>
          <t>INV</t>
        </is>
      </c>
      <c r="E820" s="102" t="n">
        <v>0</v>
      </c>
      <c r="F820" s="94" t="n">
        <v>0</v>
      </c>
      <c r="G820" s="102" t="n">
        <v>173.7</v>
      </c>
      <c r="H820" s="94" t="n">
        <v>4</v>
      </c>
    </row>
    <row r="821" ht="15" customHeight="1" s="82">
      <c r="A821" s="94" t="inlineStr">
        <is>
          <t>102 - Orthopedic institutes</t>
        </is>
      </c>
      <c r="B821" s="94" t="inlineStr">
        <is>
          <t>150340 חגי אורטופדיה בע"מ</t>
        </is>
      </c>
      <c r="C821" s="94" t="inlineStr">
        <is>
          <t>INV53188</t>
        </is>
      </c>
      <c r="D821" s="94" t="inlineStr">
        <is>
          <t>INV</t>
        </is>
      </c>
      <c r="E821" s="102" t="n">
        <v>164.01</v>
      </c>
      <c r="F821" s="94" t="n">
        <v>1</v>
      </c>
      <c r="G821" s="102" t="n">
        <v>0</v>
      </c>
      <c r="H821" s="94" t="n">
        <v>0</v>
      </c>
    </row>
    <row r="822" ht="15" customHeight="1" s="82">
      <c r="A822" s="94" t="inlineStr">
        <is>
          <t>102 - Orthopedic institutes</t>
        </is>
      </c>
      <c r="B822" s="94" t="inlineStr">
        <is>
          <t>150340 חגי אורטופדיה בע"מ</t>
        </is>
      </c>
      <c r="C822" s="94" t="inlineStr">
        <is>
          <t>INV57731</t>
        </is>
      </c>
      <c r="D822" s="94" t="inlineStr">
        <is>
          <t>INV</t>
        </is>
      </c>
      <c r="E822" s="102" t="n">
        <v>162.25</v>
      </c>
      <c r="F822" s="94" t="n">
        <v>3</v>
      </c>
      <c r="G822" s="102" t="n">
        <v>0</v>
      </c>
      <c r="H822" s="94" t="n">
        <v>0</v>
      </c>
    </row>
    <row r="823" ht="15" customHeight="1" s="82">
      <c r="A823" s="94" t="inlineStr">
        <is>
          <t>102 - Orthopedic institutes</t>
        </is>
      </c>
      <c r="B823" s="94" t="inlineStr">
        <is>
          <t>150340 חגי אורטופדיה בע"מ</t>
        </is>
      </c>
      <c r="C823" s="94" t="inlineStr">
        <is>
          <t>INV67430</t>
        </is>
      </c>
      <c r="D823" s="94" t="inlineStr">
        <is>
          <t>INV</t>
        </is>
      </c>
      <c r="E823" s="102" t="n">
        <v>0</v>
      </c>
      <c r="F823" s="94" t="n">
        <v>0</v>
      </c>
      <c r="G823" s="102" t="n">
        <v>155.34</v>
      </c>
      <c r="H823" s="94" t="n">
        <v>6</v>
      </c>
    </row>
    <row r="824" ht="15" customHeight="1" s="82">
      <c r="A824" s="94" t="inlineStr">
        <is>
          <t>102 - Orthopedic institutes</t>
        </is>
      </c>
      <c r="B824" s="94" t="inlineStr">
        <is>
          <t>150340 חגי אורטופדיה בע"מ</t>
        </is>
      </c>
      <c r="C824" s="94" t="inlineStr">
        <is>
          <t>INV69313</t>
        </is>
      </c>
      <c r="D824" s="94" t="inlineStr">
        <is>
          <t>INV</t>
        </is>
      </c>
      <c r="E824" s="102" t="n">
        <v>0</v>
      </c>
      <c r="F824" s="94" t="n">
        <v>0</v>
      </c>
      <c r="G824" s="102" t="n">
        <v>140</v>
      </c>
      <c r="H824" s="94" t="n">
        <v>1</v>
      </c>
    </row>
    <row r="825" ht="15" customHeight="1" s="82">
      <c r="A825" s="94" t="inlineStr">
        <is>
          <t>102 - Orthopedic institutes</t>
        </is>
      </c>
      <c r="B825" s="94" t="inlineStr">
        <is>
          <t>150340 חגי אורטופדיה בע"מ</t>
        </is>
      </c>
      <c r="C825" s="94" t="inlineStr">
        <is>
          <t>INV41391</t>
        </is>
      </c>
      <c r="D825" s="94" t="inlineStr">
        <is>
          <t>INV</t>
        </is>
      </c>
      <c r="E825" s="102" t="n">
        <v>129</v>
      </c>
      <c r="F825" s="94" t="n">
        <v>1</v>
      </c>
      <c r="G825" s="102" t="n">
        <v>0</v>
      </c>
      <c r="H825" s="94" t="n">
        <v>0</v>
      </c>
    </row>
    <row r="826" ht="15" customHeight="1" s="82">
      <c r="A826" s="94" t="inlineStr">
        <is>
          <t>102 - Orthopedic institutes</t>
        </is>
      </c>
      <c r="B826" s="94" t="inlineStr">
        <is>
          <t>150340 חגי אורטופדיה בע"מ</t>
        </is>
      </c>
      <c r="C826" s="94" t="inlineStr">
        <is>
          <t>INV49819</t>
        </is>
      </c>
      <c r="D826" s="94" t="inlineStr">
        <is>
          <t>INV</t>
        </is>
      </c>
      <c r="E826" s="102" t="n">
        <v>50</v>
      </c>
      <c r="F826" s="94" t="n">
        <v>2</v>
      </c>
      <c r="G826" s="102" t="n">
        <v>0</v>
      </c>
      <c r="H826" s="94" t="n">
        <v>0</v>
      </c>
    </row>
    <row r="827" ht="15" customHeight="1" s="82">
      <c r="A827" s="94" t="inlineStr">
        <is>
          <t>102 - Orthopedic institutes</t>
        </is>
      </c>
      <c r="B827" s="94" t="inlineStr">
        <is>
          <t>150340 חגי אורטופדיה בע"מ</t>
        </is>
      </c>
      <c r="C827" s="94" t="inlineStr">
        <is>
          <t>INV51769</t>
        </is>
      </c>
      <c r="D827" s="94" t="inlineStr">
        <is>
          <t>INV</t>
        </is>
      </c>
      <c r="E827" s="102" t="n">
        <v>14.02</v>
      </c>
      <c r="F827" s="94" t="n">
        <v>1</v>
      </c>
      <c r="G827" s="102" t="n">
        <v>0</v>
      </c>
      <c r="H827" s="94" t="n">
        <v>0</v>
      </c>
    </row>
    <row r="828" ht="15" customHeight="1" s="82">
      <c r="A828" s="94" t="inlineStr">
        <is>
          <t>102 - Orthopedic institutes</t>
        </is>
      </c>
      <c r="B828" s="94" t="inlineStr">
        <is>
          <t>150340 חגי אורטופדיה בע"מ</t>
        </is>
      </c>
      <c r="C828" s="94" t="inlineStr">
        <is>
          <t>CM43838</t>
        </is>
      </c>
      <c r="D828" s="94" t="inlineStr">
        <is>
          <t>CM</t>
        </is>
      </c>
      <c r="E828" s="102" t="n">
        <v>-25</v>
      </c>
      <c r="F828" s="94" t="n">
        <v>-1</v>
      </c>
      <c r="G828" s="102" t="n">
        <v>0</v>
      </c>
      <c r="H828" s="94" t="n">
        <v>0</v>
      </c>
    </row>
    <row r="829" ht="15" customHeight="1" s="82">
      <c r="A829" s="94" t="inlineStr">
        <is>
          <t>102 - Orthopedic institutes</t>
        </is>
      </c>
      <c r="B829" s="94" t="inlineStr">
        <is>
          <t>150340 חגי אורטופדיה בע"מ</t>
        </is>
      </c>
      <c r="C829" s="94" t="inlineStr">
        <is>
          <t>CM44029</t>
        </is>
      </c>
      <c r="D829" s="94" t="inlineStr">
        <is>
          <t>CM</t>
        </is>
      </c>
      <c r="E829" s="102" t="n">
        <v>-60</v>
      </c>
      <c r="F829" s="94" t="n">
        <v>-1</v>
      </c>
      <c r="G829" s="102" t="n">
        <v>0</v>
      </c>
      <c r="H829" s="94" t="n">
        <v>0</v>
      </c>
    </row>
    <row r="830" ht="15" customHeight="1" s="82">
      <c r="A830" s="94" t="inlineStr">
        <is>
          <t>102 - Orthopedic institutes</t>
        </is>
      </c>
      <c r="B830" s="94" t="inlineStr">
        <is>
          <t>150340 חגי אורטופדיה בע"מ</t>
        </is>
      </c>
      <c r="C830" s="94" t="inlineStr">
        <is>
          <t>CM44394</t>
        </is>
      </c>
      <c r="D830" s="94" t="inlineStr">
        <is>
          <t>CM</t>
        </is>
      </c>
      <c r="E830" s="102" t="n">
        <v>0</v>
      </c>
      <c r="F830" s="94" t="n">
        <v>0</v>
      </c>
      <c r="G830" s="102" t="n">
        <v>-70</v>
      </c>
      <c r="H830" s="94" t="n">
        <v>-1</v>
      </c>
    </row>
    <row r="831" ht="15" customHeight="1" s="82">
      <c r="A831" s="94" t="inlineStr">
        <is>
          <t>102 - Orthopedic institutes</t>
        </is>
      </c>
      <c r="B831" s="94" t="inlineStr">
        <is>
          <t>150340 חגי אורטופדיה בע"מ</t>
        </is>
      </c>
      <c r="C831" s="94" t="inlineStr">
        <is>
          <t>CM43506</t>
        </is>
      </c>
      <c r="D831" s="94" t="inlineStr">
        <is>
          <t>CM</t>
        </is>
      </c>
      <c r="E831" s="102" t="n">
        <v>-90</v>
      </c>
      <c r="F831" s="94" t="n">
        <v>-12</v>
      </c>
      <c r="G831" s="102" t="n">
        <v>0</v>
      </c>
      <c r="H831" s="94" t="n">
        <v>0</v>
      </c>
    </row>
    <row r="832" ht="15" customHeight="1" s="82">
      <c r="A832" s="94" t="inlineStr">
        <is>
          <t>102 - Orthopedic institutes</t>
        </is>
      </c>
      <c r="B832" s="94" t="inlineStr">
        <is>
          <t>150340 חגי אורטופדיה בע"מ</t>
        </is>
      </c>
      <c r="C832" s="94" t="inlineStr">
        <is>
          <t>CM43759</t>
        </is>
      </c>
      <c r="D832" s="94" t="inlineStr">
        <is>
          <t>CM</t>
        </is>
      </c>
      <c r="E832" s="102" t="n">
        <v>-147.29</v>
      </c>
      <c r="F832" s="94" t="n">
        <v>-2</v>
      </c>
      <c r="G832" s="102" t="n">
        <v>0</v>
      </c>
      <c r="H832" s="94" t="n">
        <v>0</v>
      </c>
    </row>
    <row r="833" ht="15" customHeight="1" s="82">
      <c r="A833" s="94" t="inlineStr">
        <is>
          <t>102 - Orthopedic institutes</t>
        </is>
      </c>
      <c r="B833" s="94" t="inlineStr">
        <is>
          <t>150340 חגי אורטופדיה בע"מ</t>
        </is>
      </c>
      <c r="C833" s="94" t="inlineStr">
        <is>
          <t>CM43760</t>
        </is>
      </c>
      <c r="D833" s="94" t="inlineStr">
        <is>
          <t>CM</t>
        </is>
      </c>
      <c r="E833" s="102" t="n">
        <v>-239.99</v>
      </c>
      <c r="F833" s="94" t="n">
        <v>-5</v>
      </c>
      <c r="G833" s="102" t="n">
        <v>0</v>
      </c>
      <c r="H833" s="94" t="n">
        <v>0</v>
      </c>
    </row>
    <row r="834" ht="15" customHeight="1" s="82">
      <c r="A834" s="94" t="inlineStr">
        <is>
          <t>102 - Orthopedic institutes</t>
        </is>
      </c>
      <c r="B834" s="94" t="inlineStr">
        <is>
          <t>150340 חגי אורטופדיה בע"מ</t>
        </is>
      </c>
      <c r="C834" s="94" t="inlineStr">
        <is>
          <t>CM44393</t>
        </is>
      </c>
      <c r="D834" s="94" t="inlineStr">
        <is>
          <t>CM</t>
        </is>
      </c>
      <c r="E834" s="102" t="n">
        <v>0</v>
      </c>
      <c r="F834" s="94" t="n">
        <v>0</v>
      </c>
      <c r="G834" s="102" t="n">
        <v>-280</v>
      </c>
      <c r="H834" s="94" t="n">
        <v>-2</v>
      </c>
    </row>
    <row r="835" ht="15" customHeight="1" s="82">
      <c r="A835" s="94" t="inlineStr">
        <is>
          <t>102 - Orthopedic institutes</t>
        </is>
      </c>
      <c r="B835" s="94" t="inlineStr">
        <is>
          <t>150340 חגי אורטופדיה בע"מ</t>
        </is>
      </c>
      <c r="C835" s="94" t="inlineStr">
        <is>
          <t>CM44395</t>
        </is>
      </c>
      <c r="D835" s="94" t="inlineStr">
        <is>
          <t>CM</t>
        </is>
      </c>
      <c r="E835" s="102" t="n">
        <v>0</v>
      </c>
      <c r="F835" s="94" t="n">
        <v>0</v>
      </c>
      <c r="G835" s="102" t="n">
        <v>-853.6</v>
      </c>
      <c r="H835" s="94" t="n">
        <v>-8</v>
      </c>
    </row>
    <row r="836" ht="15" customHeight="1" s="82">
      <c r="A836" s="94" t="inlineStr">
        <is>
          <t>102 - Orthopedic institutes</t>
        </is>
      </c>
      <c r="B836" s="94" t="inlineStr">
        <is>
          <t>150340 חגי אורטופדיה בע"מ</t>
        </is>
      </c>
      <c r="C836" s="94" t="inlineStr">
        <is>
          <t>CM43837</t>
        </is>
      </c>
      <c r="D836" s="94" t="inlineStr">
        <is>
          <t>CM</t>
        </is>
      </c>
      <c r="E836" s="102" t="n">
        <v>-1020.07</v>
      </c>
      <c r="F836" s="94" t="n">
        <v>-11</v>
      </c>
      <c r="G836" s="102" t="n">
        <v>0</v>
      </c>
      <c r="H836" s="94" t="n">
        <v>0</v>
      </c>
    </row>
    <row r="837" ht="15" customHeight="1" s="82">
      <c r="A837" s="94" t="inlineStr">
        <is>
          <t>102 - Orthopedic institutes</t>
        </is>
      </c>
      <c r="B837" s="94" t="inlineStr">
        <is>
          <t>150366 א.א.אורטופדיה איתי-יהוד</t>
        </is>
      </c>
      <c r="C837" s="94" t="inlineStr">
        <is>
          <t>INV69002</t>
        </is>
      </c>
      <c r="D837" s="94" t="inlineStr">
        <is>
          <t>INV</t>
        </is>
      </c>
      <c r="E837" s="102" t="n">
        <v>0</v>
      </c>
      <c r="F837" s="94" t="n">
        <v>0</v>
      </c>
      <c r="G837" s="102" t="n">
        <v>4899.83</v>
      </c>
      <c r="H837" s="94" t="n">
        <v>34</v>
      </c>
    </row>
    <row r="838" ht="15" customHeight="1" s="82">
      <c r="A838" s="94" t="inlineStr">
        <is>
          <t>102 - Orthopedic institutes</t>
        </is>
      </c>
      <c r="B838" s="94" t="inlineStr">
        <is>
          <t>150366 א.א.אורטופדיה איתי-יהוד</t>
        </is>
      </c>
      <c r="C838" s="94" t="inlineStr">
        <is>
          <t>INV68623</t>
        </is>
      </c>
      <c r="D838" s="94" t="inlineStr">
        <is>
          <t>INV</t>
        </is>
      </c>
      <c r="E838" s="102" t="n">
        <v>0</v>
      </c>
      <c r="F838" s="94" t="n">
        <v>0</v>
      </c>
      <c r="G838" s="102" t="n">
        <v>4110.84</v>
      </c>
      <c r="H838" s="94" t="n">
        <v>28</v>
      </c>
    </row>
    <row r="839" ht="15" customHeight="1" s="82">
      <c r="A839" s="94" t="inlineStr">
        <is>
          <t>102 - Orthopedic institutes</t>
        </is>
      </c>
      <c r="B839" s="94" t="inlineStr">
        <is>
          <t>150366 א.א.אורטופדיה איתי-יהוד</t>
        </is>
      </c>
      <c r="C839" s="94" t="inlineStr">
        <is>
          <t>INV66767</t>
        </is>
      </c>
      <c r="D839" s="94" t="inlineStr">
        <is>
          <t>INV</t>
        </is>
      </c>
      <c r="E839" s="102" t="n">
        <v>3962.62</v>
      </c>
      <c r="F839" s="94" t="n">
        <v>27</v>
      </c>
      <c r="G839" s="102" t="n">
        <v>0</v>
      </c>
      <c r="H839" s="94" t="n">
        <v>0</v>
      </c>
    </row>
    <row r="840" ht="15" customHeight="1" s="82">
      <c r="A840" s="94" t="inlineStr">
        <is>
          <t>102 - Orthopedic institutes</t>
        </is>
      </c>
      <c r="B840" s="94" t="inlineStr">
        <is>
          <t>150366 א.א.אורטופדיה איתי-יהוד</t>
        </is>
      </c>
      <c r="C840" s="94" t="inlineStr">
        <is>
          <t>INV52618</t>
        </is>
      </c>
      <c r="D840" s="94" t="inlineStr">
        <is>
          <t>INV</t>
        </is>
      </c>
      <c r="E840" s="102" t="n">
        <v>3879.43</v>
      </c>
      <c r="F840" s="94" t="n">
        <v>20</v>
      </c>
      <c r="G840" s="102" t="n">
        <v>0</v>
      </c>
      <c r="H840" s="94" t="n">
        <v>0</v>
      </c>
    </row>
    <row r="841" ht="15" customHeight="1" s="82">
      <c r="A841" s="94" t="inlineStr">
        <is>
          <t>102 - Orthopedic institutes</t>
        </is>
      </c>
      <c r="B841" s="94" t="inlineStr">
        <is>
          <t>150366 א.א.אורטופדיה איתי-יהוד</t>
        </is>
      </c>
      <c r="C841" s="94" t="inlineStr">
        <is>
          <t>INV66670</t>
        </is>
      </c>
      <c r="D841" s="94" t="inlineStr">
        <is>
          <t>INV</t>
        </is>
      </c>
      <c r="E841" s="102" t="n">
        <v>3796.12</v>
      </c>
      <c r="F841" s="94" t="n">
        <v>35</v>
      </c>
      <c r="G841" s="102" t="n">
        <v>0</v>
      </c>
      <c r="H841" s="94" t="n">
        <v>0</v>
      </c>
    </row>
    <row r="842" ht="15" customHeight="1" s="82">
      <c r="A842" s="94" t="inlineStr">
        <is>
          <t>102 - Orthopedic institutes</t>
        </is>
      </c>
      <c r="B842" s="94" t="inlineStr">
        <is>
          <t>150366 א.א.אורטופדיה איתי-יהוד</t>
        </is>
      </c>
      <c r="C842" s="94" t="inlineStr">
        <is>
          <t>INV66569</t>
        </is>
      </c>
      <c r="D842" s="94" t="inlineStr">
        <is>
          <t>INV</t>
        </is>
      </c>
      <c r="E842" s="102" t="n">
        <v>3735.45</v>
      </c>
      <c r="F842" s="94" t="n">
        <v>48</v>
      </c>
      <c r="G842" s="102" t="n">
        <v>0</v>
      </c>
      <c r="H842" s="94" t="n">
        <v>0</v>
      </c>
    </row>
    <row r="843" ht="15" customHeight="1" s="82">
      <c r="A843" s="94" t="inlineStr">
        <is>
          <t>102 - Orthopedic institutes</t>
        </is>
      </c>
      <c r="B843" s="94" t="inlineStr">
        <is>
          <t>150366 א.א.אורטופדיה איתי-יהוד</t>
        </is>
      </c>
      <c r="C843" s="94" t="inlineStr">
        <is>
          <t>INV67713</t>
        </is>
      </c>
      <c r="D843" s="94" t="inlineStr">
        <is>
          <t>INV</t>
        </is>
      </c>
      <c r="E843" s="102" t="n">
        <v>0</v>
      </c>
      <c r="F843" s="94" t="n">
        <v>0</v>
      </c>
      <c r="G843" s="102" t="n">
        <v>3445.35</v>
      </c>
      <c r="H843" s="94" t="n">
        <v>24</v>
      </c>
    </row>
    <row r="844" ht="15" customHeight="1" s="82">
      <c r="A844" s="94" t="inlineStr">
        <is>
          <t>102 - Orthopedic institutes</t>
        </is>
      </c>
      <c r="B844" s="94" t="inlineStr">
        <is>
          <t>150366 א.א.אורטופדיה איתי-יהוד</t>
        </is>
      </c>
      <c r="C844" s="94" t="inlineStr">
        <is>
          <t>INV55486</t>
        </is>
      </c>
      <c r="D844" s="94" t="inlineStr">
        <is>
          <t>INV</t>
        </is>
      </c>
      <c r="E844" s="102" t="n">
        <v>3148.12</v>
      </c>
      <c r="F844" s="94" t="n">
        <v>27</v>
      </c>
      <c r="G844" s="102" t="n">
        <v>0</v>
      </c>
      <c r="H844" s="94" t="n">
        <v>0</v>
      </c>
    </row>
    <row r="845" ht="15" customHeight="1" s="82">
      <c r="A845" s="94" t="inlineStr">
        <is>
          <t>102 - Orthopedic institutes</t>
        </is>
      </c>
      <c r="B845" s="94" t="inlineStr">
        <is>
          <t>150366 א.א.אורטופדיה איתי-יהוד</t>
        </is>
      </c>
      <c r="C845" s="94" t="inlineStr">
        <is>
          <t>INV69328</t>
        </is>
      </c>
      <c r="D845" s="94" t="inlineStr">
        <is>
          <t>INV</t>
        </is>
      </c>
      <c r="E845" s="102" t="n">
        <v>0</v>
      </c>
      <c r="F845" s="94" t="n">
        <v>0</v>
      </c>
      <c r="G845" s="102" t="n">
        <v>3037.19</v>
      </c>
      <c r="H845" s="94" t="n">
        <v>36</v>
      </c>
    </row>
    <row r="846" ht="15" customHeight="1" s="82">
      <c r="A846" s="94" t="inlineStr">
        <is>
          <t>102 - Orthopedic institutes</t>
        </is>
      </c>
      <c r="B846" s="94" t="inlineStr">
        <is>
          <t>150366 א.א.אורטופדיה איתי-יהוד</t>
        </is>
      </c>
      <c r="C846" s="94" t="inlineStr">
        <is>
          <t>INV48983</t>
        </is>
      </c>
      <c r="D846" s="94" t="inlineStr">
        <is>
          <t>INV</t>
        </is>
      </c>
      <c r="E846" s="102" t="n">
        <v>2892</v>
      </c>
      <c r="F846" s="94" t="n">
        <v>60</v>
      </c>
      <c r="G846" s="102" t="n">
        <v>0</v>
      </c>
      <c r="H846" s="94" t="n">
        <v>0</v>
      </c>
    </row>
    <row r="847" ht="15" customHeight="1" s="82">
      <c r="A847" s="94" t="inlineStr">
        <is>
          <t>102 - Orthopedic institutes</t>
        </is>
      </c>
      <c r="B847" s="94" t="inlineStr">
        <is>
          <t>150366 א.א.אורטופדיה איתי-יהוד</t>
        </is>
      </c>
      <c r="C847" s="94" t="inlineStr">
        <is>
          <t>INV68591</t>
        </is>
      </c>
      <c r="D847" s="94" t="inlineStr">
        <is>
          <t>INV</t>
        </is>
      </c>
      <c r="E847" s="102" t="n">
        <v>0</v>
      </c>
      <c r="F847" s="94" t="n">
        <v>0</v>
      </c>
      <c r="G847" s="102" t="n">
        <v>2806.52</v>
      </c>
      <c r="H847" s="94" t="n">
        <v>27</v>
      </c>
    </row>
    <row r="848" ht="15" customHeight="1" s="82">
      <c r="A848" s="94" t="inlineStr">
        <is>
          <t>102 - Orthopedic institutes</t>
        </is>
      </c>
      <c r="B848" s="94" t="inlineStr">
        <is>
          <t>150366 א.א.אורטופדיה איתי-יהוד</t>
        </is>
      </c>
      <c r="C848" s="94" t="inlineStr">
        <is>
          <t>INV40857</t>
        </is>
      </c>
      <c r="D848" s="94" t="inlineStr">
        <is>
          <t>INV</t>
        </is>
      </c>
      <c r="E848" s="102" t="n">
        <v>2616.57</v>
      </c>
      <c r="F848" s="94" t="n">
        <v>99</v>
      </c>
      <c r="G848" s="102" t="n">
        <v>0</v>
      </c>
      <c r="H848" s="94" t="n">
        <v>0</v>
      </c>
    </row>
    <row r="849" ht="15" customHeight="1" s="82">
      <c r="A849" s="94" t="inlineStr">
        <is>
          <t>102 - Orthopedic institutes</t>
        </is>
      </c>
      <c r="B849" s="94" t="inlineStr">
        <is>
          <t>150366 א.א.אורטופדיה איתי-יהוד</t>
        </is>
      </c>
      <c r="C849" s="94" t="inlineStr">
        <is>
          <t>INV68465</t>
        </is>
      </c>
      <c r="D849" s="94" t="inlineStr">
        <is>
          <t>INV</t>
        </is>
      </c>
      <c r="E849" s="102" t="n">
        <v>0</v>
      </c>
      <c r="F849" s="94" t="n">
        <v>0</v>
      </c>
      <c r="G849" s="102" t="n">
        <v>2547.55</v>
      </c>
      <c r="H849" s="94" t="n">
        <v>24</v>
      </c>
    </row>
    <row r="850" ht="15" customHeight="1" s="82">
      <c r="A850" s="94" t="inlineStr">
        <is>
          <t>102 - Orthopedic institutes</t>
        </is>
      </c>
      <c r="B850" s="94" t="inlineStr">
        <is>
          <t>150366 א.א.אורטופדיה איתי-יהוד</t>
        </is>
      </c>
      <c r="C850" s="94" t="inlineStr">
        <is>
          <t>INV68740</t>
        </is>
      </c>
      <c r="D850" s="94" t="inlineStr">
        <is>
          <t>INV</t>
        </is>
      </c>
      <c r="E850" s="102" t="n">
        <v>0</v>
      </c>
      <c r="F850" s="94" t="n">
        <v>0</v>
      </c>
      <c r="G850" s="102" t="n">
        <v>2223.24</v>
      </c>
      <c r="H850" s="94" t="n">
        <v>12</v>
      </c>
    </row>
    <row r="851" ht="15" customHeight="1" s="82">
      <c r="A851" s="94" t="inlineStr">
        <is>
          <t>102 - Orthopedic institutes</t>
        </is>
      </c>
      <c r="B851" s="94" t="inlineStr">
        <is>
          <t>150366 א.א.אורטופדיה איתי-יהוד</t>
        </is>
      </c>
      <c r="C851" s="94" t="inlineStr">
        <is>
          <t>INV66331</t>
        </is>
      </c>
      <c r="D851" s="94" t="inlineStr">
        <is>
          <t>INV</t>
        </is>
      </c>
      <c r="E851" s="102" t="n">
        <v>2012.95</v>
      </c>
      <c r="F851" s="94" t="n">
        <v>14</v>
      </c>
      <c r="G851" s="102" t="n">
        <v>0</v>
      </c>
      <c r="H851" s="94" t="n">
        <v>0</v>
      </c>
    </row>
    <row r="852" ht="15" customHeight="1" s="82">
      <c r="A852" s="94" t="inlineStr">
        <is>
          <t>102 - Orthopedic institutes</t>
        </is>
      </c>
      <c r="B852" s="94" t="inlineStr">
        <is>
          <t>150366 א.א.אורטופדיה איתי-יהוד</t>
        </is>
      </c>
      <c r="C852" s="94" t="inlineStr">
        <is>
          <t>INV43597</t>
        </is>
      </c>
      <c r="D852" s="94" t="inlineStr">
        <is>
          <t>INV</t>
        </is>
      </c>
      <c r="E852" s="102" t="n">
        <v>1963.38</v>
      </c>
      <c r="F852" s="94" t="n">
        <v>55</v>
      </c>
      <c r="G852" s="102" t="n">
        <v>0</v>
      </c>
      <c r="H852" s="94" t="n">
        <v>0</v>
      </c>
    </row>
    <row r="853" ht="15" customHeight="1" s="82">
      <c r="A853" s="94" t="inlineStr">
        <is>
          <t>102 - Orthopedic institutes</t>
        </is>
      </c>
      <c r="B853" s="94" t="inlineStr">
        <is>
          <t>150366 א.א.אורטופדיה איתי-יהוד</t>
        </is>
      </c>
      <c r="C853" s="94" t="inlineStr">
        <is>
          <t>INV69255</t>
        </is>
      </c>
      <c r="D853" s="94" t="inlineStr">
        <is>
          <t>INV</t>
        </is>
      </c>
      <c r="E853" s="102" t="n">
        <v>0</v>
      </c>
      <c r="F853" s="94" t="n">
        <v>0</v>
      </c>
      <c r="G853" s="102" t="n">
        <v>1933.96</v>
      </c>
      <c r="H853" s="94" t="n">
        <v>33</v>
      </c>
    </row>
    <row r="854" ht="15" customHeight="1" s="82">
      <c r="A854" s="94" t="inlineStr">
        <is>
          <t>102 - Orthopedic institutes</t>
        </is>
      </c>
      <c r="B854" s="94" t="inlineStr">
        <is>
          <t>150366 א.א.אורטופדיה איתי-יהוד</t>
        </is>
      </c>
      <c r="C854" s="94" t="inlineStr">
        <is>
          <t>INV67349</t>
        </is>
      </c>
      <c r="D854" s="94" t="inlineStr">
        <is>
          <t>INV</t>
        </is>
      </c>
      <c r="E854" s="102" t="n">
        <v>0</v>
      </c>
      <c r="F854" s="94" t="n">
        <v>0</v>
      </c>
      <c r="G854" s="102" t="n">
        <v>1875.01</v>
      </c>
      <c r="H854" s="94" t="n">
        <v>9</v>
      </c>
    </row>
    <row r="855" ht="15" customHeight="1" s="82">
      <c r="A855" s="94" t="inlineStr">
        <is>
          <t>102 - Orthopedic institutes</t>
        </is>
      </c>
      <c r="B855" s="94" t="inlineStr">
        <is>
          <t>150366 א.א.אורטופדיה איתי-יהוד</t>
        </is>
      </c>
      <c r="C855" s="94" t="inlineStr">
        <is>
          <t>INV61142</t>
        </is>
      </c>
      <c r="D855" s="94" t="inlineStr">
        <is>
          <t>INV</t>
        </is>
      </c>
      <c r="E855" s="102" t="n">
        <v>1863.13</v>
      </c>
      <c r="F855" s="94" t="n">
        <v>14</v>
      </c>
      <c r="G855" s="102" t="n">
        <v>0</v>
      </c>
      <c r="H855" s="94" t="n">
        <v>0</v>
      </c>
    </row>
    <row r="856" ht="15" customHeight="1" s="82">
      <c r="A856" s="94" t="inlineStr">
        <is>
          <t>102 - Orthopedic institutes</t>
        </is>
      </c>
      <c r="B856" s="94" t="inlineStr">
        <is>
          <t>150366 א.א.אורטופדיה איתי-יהוד</t>
        </is>
      </c>
      <c r="C856" s="94" t="inlineStr">
        <is>
          <t>INV65750</t>
        </is>
      </c>
      <c r="D856" s="94" t="inlineStr">
        <is>
          <t>INV</t>
        </is>
      </c>
      <c r="E856" s="102" t="n">
        <v>1840.98</v>
      </c>
      <c r="F856" s="94" t="n">
        <v>21</v>
      </c>
      <c r="G856" s="102" t="n">
        <v>0</v>
      </c>
      <c r="H856" s="94" t="n">
        <v>0</v>
      </c>
    </row>
    <row r="857" ht="15" customHeight="1" s="82">
      <c r="A857" s="94" t="inlineStr">
        <is>
          <t>102 - Orthopedic institutes</t>
        </is>
      </c>
      <c r="B857" s="94" t="inlineStr">
        <is>
          <t>150366 א.א.אורטופדיה איתי-יהוד</t>
        </is>
      </c>
      <c r="C857" s="94" t="inlineStr">
        <is>
          <t>INV68676</t>
        </is>
      </c>
      <c r="D857" s="94" t="inlineStr">
        <is>
          <t>INV</t>
        </is>
      </c>
      <c r="E857" s="102" t="n">
        <v>0</v>
      </c>
      <c r="F857" s="94" t="n">
        <v>0</v>
      </c>
      <c r="G857" s="102" t="n">
        <v>1835</v>
      </c>
      <c r="H857" s="94" t="n">
        <v>16</v>
      </c>
    </row>
    <row r="858" ht="15" customHeight="1" s="82">
      <c r="A858" s="94" t="inlineStr">
        <is>
          <t>102 - Orthopedic institutes</t>
        </is>
      </c>
      <c r="B858" s="94" t="inlineStr">
        <is>
          <t>150366 א.א.אורטופדיה איתי-יהוד</t>
        </is>
      </c>
      <c r="C858" s="94" t="inlineStr">
        <is>
          <t>INV68368</t>
        </is>
      </c>
      <c r="D858" s="94" t="inlineStr">
        <is>
          <t>INV</t>
        </is>
      </c>
      <c r="E858" s="102" t="n">
        <v>0</v>
      </c>
      <c r="F858" s="94" t="n">
        <v>0</v>
      </c>
      <c r="G858" s="102" t="n">
        <v>1827.42</v>
      </c>
      <c r="H858" s="94" t="n">
        <v>16</v>
      </c>
    </row>
    <row r="859" ht="15" customHeight="1" s="82">
      <c r="A859" s="94" t="inlineStr">
        <is>
          <t>102 - Orthopedic institutes</t>
        </is>
      </c>
      <c r="B859" s="94" t="inlineStr">
        <is>
          <t>150366 א.א.אורטופדיה איתי-יהוד</t>
        </is>
      </c>
      <c r="C859" s="94" t="inlineStr">
        <is>
          <t>INV68538</t>
        </is>
      </c>
      <c r="D859" s="94" t="inlineStr">
        <is>
          <t>INV</t>
        </is>
      </c>
      <c r="E859" s="102" t="n">
        <v>0</v>
      </c>
      <c r="F859" s="94" t="n">
        <v>0</v>
      </c>
      <c r="G859" s="102" t="n">
        <v>1825.48</v>
      </c>
      <c r="H859" s="94" t="n">
        <v>21</v>
      </c>
    </row>
    <row r="860" ht="15" customHeight="1" s="82">
      <c r="A860" s="94" t="inlineStr">
        <is>
          <t>102 - Orthopedic institutes</t>
        </is>
      </c>
      <c r="B860" s="94" t="inlineStr">
        <is>
          <t>150366 א.א.אורטופדיה איתי-יהוד</t>
        </is>
      </c>
      <c r="C860" s="94" t="inlineStr">
        <is>
          <t>INV59978</t>
        </is>
      </c>
      <c r="D860" s="94" t="inlineStr">
        <is>
          <t>INV</t>
        </is>
      </c>
      <c r="E860" s="102" t="n">
        <v>1738.98</v>
      </c>
      <c r="F860" s="94" t="n">
        <v>19</v>
      </c>
      <c r="G860" s="102" t="n">
        <v>0</v>
      </c>
      <c r="H860" s="94" t="n">
        <v>0</v>
      </c>
    </row>
    <row r="861" ht="15" customHeight="1" s="82">
      <c r="A861" s="94" t="inlineStr">
        <is>
          <t>102 - Orthopedic institutes</t>
        </is>
      </c>
      <c r="B861" s="94" t="inlineStr">
        <is>
          <t>150366 א.א.אורטופדיה איתי-יהוד</t>
        </is>
      </c>
      <c r="C861" s="94" t="inlineStr">
        <is>
          <t>INV61658</t>
        </is>
      </c>
      <c r="D861" s="94" t="inlineStr">
        <is>
          <t>INV</t>
        </is>
      </c>
      <c r="E861" s="102" t="n">
        <v>1675</v>
      </c>
      <c r="F861" s="94" t="n">
        <v>54</v>
      </c>
      <c r="G861" s="102" t="n">
        <v>0</v>
      </c>
      <c r="H861" s="94" t="n">
        <v>0</v>
      </c>
    </row>
    <row r="862" ht="15" customHeight="1" s="82">
      <c r="A862" s="94" t="inlineStr">
        <is>
          <t>102 - Orthopedic institutes</t>
        </is>
      </c>
      <c r="B862" s="94" t="inlineStr">
        <is>
          <t>150366 א.א.אורטופדיה איתי-יהוד</t>
        </is>
      </c>
      <c r="C862" s="94" t="inlineStr">
        <is>
          <t>INV67440</t>
        </is>
      </c>
      <c r="D862" s="94" t="inlineStr">
        <is>
          <t>INV</t>
        </is>
      </c>
      <c r="E862" s="102" t="n">
        <v>0</v>
      </c>
      <c r="F862" s="94" t="n">
        <v>0</v>
      </c>
      <c r="G862" s="102" t="n">
        <v>1637.41</v>
      </c>
      <c r="H862" s="94" t="n">
        <v>16</v>
      </c>
    </row>
    <row r="863" ht="15" customHeight="1" s="82">
      <c r="A863" s="94" t="inlineStr">
        <is>
          <t>102 - Orthopedic institutes</t>
        </is>
      </c>
      <c r="B863" s="94" t="inlineStr">
        <is>
          <t>150366 א.א.אורטופדיה איתי-יהוד</t>
        </is>
      </c>
      <c r="C863" s="94" t="inlineStr">
        <is>
          <t>INV57104</t>
        </is>
      </c>
      <c r="D863" s="94" t="inlineStr">
        <is>
          <t>INV</t>
        </is>
      </c>
      <c r="E863" s="102" t="n">
        <v>1620.85</v>
      </c>
      <c r="F863" s="94" t="n">
        <v>23</v>
      </c>
      <c r="G863" s="102" t="n">
        <v>0</v>
      </c>
      <c r="H863" s="94" t="n">
        <v>0</v>
      </c>
    </row>
    <row r="864" ht="15" customHeight="1" s="82">
      <c r="A864" s="94" t="inlineStr">
        <is>
          <t>102 - Orthopedic institutes</t>
        </is>
      </c>
      <c r="B864" s="94" t="inlineStr">
        <is>
          <t>150366 א.א.אורטופדיה איתי-יהוד</t>
        </is>
      </c>
      <c r="C864" s="94" t="inlineStr">
        <is>
          <t>INV68907</t>
        </is>
      </c>
      <c r="D864" s="94" t="inlineStr">
        <is>
          <t>INV</t>
        </is>
      </c>
      <c r="E864" s="102" t="n">
        <v>0</v>
      </c>
      <c r="F864" s="94" t="n">
        <v>0</v>
      </c>
      <c r="G864" s="102" t="n">
        <v>1552.09</v>
      </c>
      <c r="H864" s="94" t="n">
        <v>10</v>
      </c>
    </row>
    <row r="865" ht="15" customHeight="1" s="82">
      <c r="A865" s="94" t="inlineStr">
        <is>
          <t>102 - Orthopedic institutes</t>
        </is>
      </c>
      <c r="B865" s="94" t="inlineStr">
        <is>
          <t>150366 א.א.אורטופדיה איתי-יהוד</t>
        </is>
      </c>
      <c r="C865" s="94" t="inlineStr">
        <is>
          <t>INV69106</t>
        </is>
      </c>
      <c r="D865" s="94" t="inlineStr">
        <is>
          <t>INV</t>
        </is>
      </c>
      <c r="E865" s="102" t="n">
        <v>0</v>
      </c>
      <c r="F865" s="94" t="n">
        <v>0</v>
      </c>
      <c r="G865" s="102" t="n">
        <v>1540.57</v>
      </c>
      <c r="H865" s="94" t="n">
        <v>5</v>
      </c>
    </row>
    <row r="866" ht="15" customHeight="1" s="82">
      <c r="A866" s="94" t="inlineStr">
        <is>
          <t>102 - Orthopedic institutes</t>
        </is>
      </c>
      <c r="B866" s="94" t="inlineStr">
        <is>
          <t>150366 א.א.אורטופדיה איתי-יהוד</t>
        </is>
      </c>
      <c r="C866" s="94" t="inlineStr">
        <is>
          <t>INV40680</t>
        </is>
      </c>
      <c r="D866" s="94" t="inlineStr">
        <is>
          <t>INV</t>
        </is>
      </c>
      <c r="E866" s="102" t="n">
        <v>1517.45</v>
      </c>
      <c r="F866" s="94" t="n">
        <v>19</v>
      </c>
      <c r="G866" s="102" t="n">
        <v>0</v>
      </c>
      <c r="H866" s="94" t="n">
        <v>0</v>
      </c>
    </row>
    <row r="867" ht="15" customHeight="1" s="82">
      <c r="A867" s="94" t="inlineStr">
        <is>
          <t>102 - Orthopedic institutes</t>
        </is>
      </c>
      <c r="B867" s="94" t="inlineStr">
        <is>
          <t>150366 א.א.אורטופדיה איתי-יהוד</t>
        </is>
      </c>
      <c r="C867" s="94" t="inlineStr">
        <is>
          <t>INV66977</t>
        </is>
      </c>
      <c r="D867" s="94" t="inlineStr">
        <is>
          <t>INV</t>
        </is>
      </c>
      <c r="E867" s="102" t="n">
        <v>1462.89</v>
      </c>
      <c r="F867" s="94" t="n">
        <v>19</v>
      </c>
      <c r="G867" s="102" t="n">
        <v>0</v>
      </c>
      <c r="H867" s="94" t="n">
        <v>0</v>
      </c>
    </row>
    <row r="868" ht="15" customHeight="1" s="82">
      <c r="A868" s="94" t="inlineStr">
        <is>
          <t>102 - Orthopedic institutes</t>
        </is>
      </c>
      <c r="B868" s="94" t="inlineStr">
        <is>
          <t>150366 א.א.אורטופדיה איתי-יהוד</t>
        </is>
      </c>
      <c r="C868" s="94" t="inlineStr">
        <is>
          <t>INV65535</t>
        </is>
      </c>
      <c r="D868" s="94" t="inlineStr">
        <is>
          <t>INV</t>
        </is>
      </c>
      <c r="E868" s="102" t="n">
        <v>1438.29</v>
      </c>
      <c r="F868" s="94" t="n">
        <v>12</v>
      </c>
      <c r="G868" s="102" t="n">
        <v>0</v>
      </c>
      <c r="H868" s="94" t="n">
        <v>0</v>
      </c>
    </row>
    <row r="869" ht="15" customHeight="1" s="82">
      <c r="A869" s="94" t="inlineStr">
        <is>
          <t>102 - Orthopedic institutes</t>
        </is>
      </c>
      <c r="B869" s="94" t="inlineStr">
        <is>
          <t>150366 א.א.אורטופדיה איתי-יהוד</t>
        </is>
      </c>
      <c r="C869" s="94" t="inlineStr">
        <is>
          <t>INV53371</t>
        </is>
      </c>
      <c r="D869" s="94" t="inlineStr">
        <is>
          <t>INV</t>
        </is>
      </c>
      <c r="E869" s="102" t="n">
        <v>1413.7</v>
      </c>
      <c r="F869" s="94" t="n">
        <v>56</v>
      </c>
      <c r="G869" s="102" t="n">
        <v>0</v>
      </c>
      <c r="H869" s="94" t="n">
        <v>0</v>
      </c>
    </row>
    <row r="870" ht="15" customHeight="1" s="82">
      <c r="A870" s="94" t="inlineStr">
        <is>
          <t>102 - Orthopedic institutes</t>
        </is>
      </c>
      <c r="B870" s="94" t="inlineStr">
        <is>
          <t>150366 א.א.אורטופדיה איתי-יהוד</t>
        </is>
      </c>
      <c r="C870" s="94" t="inlineStr">
        <is>
          <t>INV45209</t>
        </is>
      </c>
      <c r="D870" s="94" t="inlineStr">
        <is>
          <t>INV</t>
        </is>
      </c>
      <c r="E870" s="102" t="n">
        <v>1412.58</v>
      </c>
      <c r="F870" s="94" t="n">
        <v>9</v>
      </c>
      <c r="G870" s="102" t="n">
        <v>0</v>
      </c>
      <c r="H870" s="94" t="n">
        <v>0</v>
      </c>
    </row>
    <row r="871" ht="15" customHeight="1" s="82">
      <c r="A871" s="94" t="inlineStr">
        <is>
          <t>102 - Orthopedic institutes</t>
        </is>
      </c>
      <c r="B871" s="94" t="inlineStr">
        <is>
          <t>150366 א.א.אורטופדיה איתי-יהוד</t>
        </is>
      </c>
      <c r="C871" s="94" t="inlineStr">
        <is>
          <t>INV68941</t>
        </is>
      </c>
      <c r="D871" s="94" t="inlineStr">
        <is>
          <t>INV</t>
        </is>
      </c>
      <c r="E871" s="102" t="n">
        <v>0</v>
      </c>
      <c r="F871" s="94" t="n">
        <v>0</v>
      </c>
      <c r="G871" s="102" t="n">
        <v>1379.6</v>
      </c>
      <c r="H871" s="94" t="n">
        <v>7</v>
      </c>
    </row>
    <row r="872" ht="15" customHeight="1" s="82">
      <c r="A872" s="94" t="inlineStr">
        <is>
          <t>102 - Orthopedic institutes</t>
        </is>
      </c>
      <c r="B872" s="94" t="inlineStr">
        <is>
          <t>150366 א.א.אורטופדיה איתי-יהוד</t>
        </is>
      </c>
      <c r="C872" s="94" t="inlineStr">
        <is>
          <t>INV67808</t>
        </is>
      </c>
      <c r="D872" s="94" t="inlineStr">
        <is>
          <t>INV</t>
        </is>
      </c>
      <c r="E872" s="102" t="n">
        <v>0</v>
      </c>
      <c r="F872" s="94" t="n">
        <v>0</v>
      </c>
      <c r="G872" s="102" t="n">
        <v>1345</v>
      </c>
      <c r="H872" s="94" t="n">
        <v>53</v>
      </c>
    </row>
    <row r="873" ht="15" customHeight="1" s="82">
      <c r="A873" s="94" t="inlineStr">
        <is>
          <t>102 - Orthopedic institutes</t>
        </is>
      </c>
      <c r="B873" s="94" t="inlineStr">
        <is>
          <t>150366 א.א.אורטופדיה איתי-יהוד</t>
        </is>
      </c>
      <c r="C873" s="94" t="inlineStr">
        <is>
          <t>INV64619</t>
        </is>
      </c>
      <c r="D873" s="94" t="inlineStr">
        <is>
          <t>INV</t>
        </is>
      </c>
      <c r="E873" s="102" t="n">
        <v>1330.45</v>
      </c>
      <c r="F873" s="94" t="n">
        <v>18</v>
      </c>
      <c r="G873" s="102" t="n">
        <v>0</v>
      </c>
      <c r="H873" s="94" t="n">
        <v>0</v>
      </c>
    </row>
    <row r="874" ht="15" customHeight="1" s="82">
      <c r="A874" s="94" t="inlineStr">
        <is>
          <t>102 - Orthopedic institutes</t>
        </is>
      </c>
      <c r="B874" s="94" t="inlineStr">
        <is>
          <t>150366 א.א.אורטופדיה איתי-יהוד</t>
        </is>
      </c>
      <c r="C874" s="94" t="inlineStr">
        <is>
          <t>INV65916</t>
        </is>
      </c>
      <c r="D874" s="94" t="inlineStr">
        <is>
          <t>INV</t>
        </is>
      </c>
      <c r="E874" s="102" t="n">
        <v>1306.84</v>
      </c>
      <c r="F874" s="94" t="n">
        <v>9</v>
      </c>
      <c r="G874" s="102" t="n">
        <v>0</v>
      </c>
      <c r="H874" s="94" t="n">
        <v>0</v>
      </c>
    </row>
    <row r="875" ht="15" customHeight="1" s="82">
      <c r="A875" s="94" t="inlineStr">
        <is>
          <t>102 - Orthopedic institutes</t>
        </is>
      </c>
      <c r="B875" s="94" t="inlineStr">
        <is>
          <t>150366 א.א.אורטופדיה איתי-יהוד</t>
        </is>
      </c>
      <c r="C875" s="94" t="inlineStr">
        <is>
          <t>INV45981</t>
        </is>
      </c>
      <c r="D875" s="94" t="inlineStr">
        <is>
          <t>INV</t>
        </is>
      </c>
      <c r="E875" s="102" t="n">
        <v>1260.24</v>
      </c>
      <c r="F875" s="94" t="n">
        <v>26</v>
      </c>
      <c r="G875" s="102" t="n">
        <v>0</v>
      </c>
      <c r="H875" s="94" t="n">
        <v>0</v>
      </c>
    </row>
    <row r="876" ht="15" customHeight="1" s="82">
      <c r="A876" s="94" t="inlineStr">
        <is>
          <t>102 - Orthopedic institutes</t>
        </is>
      </c>
      <c r="B876" s="94" t="inlineStr">
        <is>
          <t>150366 א.א.אורטופדיה איתי-יהוד</t>
        </is>
      </c>
      <c r="C876" s="94" t="inlineStr">
        <is>
          <t>INV63538</t>
        </is>
      </c>
      <c r="D876" s="94" t="inlineStr">
        <is>
          <t>INV</t>
        </is>
      </c>
      <c r="E876" s="102" t="n">
        <v>1190</v>
      </c>
      <c r="F876" s="94" t="n">
        <v>7</v>
      </c>
      <c r="G876" s="102" t="n">
        <v>0</v>
      </c>
      <c r="H876" s="94" t="n">
        <v>0</v>
      </c>
    </row>
    <row r="877" ht="15" customHeight="1" s="82">
      <c r="A877" s="94" t="inlineStr">
        <is>
          <t>102 - Orthopedic institutes</t>
        </is>
      </c>
      <c r="B877" s="94" t="inlineStr">
        <is>
          <t>150366 א.א.אורטופדיה איתי-יהוד</t>
        </is>
      </c>
      <c r="C877" s="94" t="inlineStr">
        <is>
          <t>INV68807</t>
        </is>
      </c>
      <c r="D877" s="94" t="inlineStr">
        <is>
          <t>INV</t>
        </is>
      </c>
      <c r="E877" s="102" t="n">
        <v>0</v>
      </c>
      <c r="F877" s="94" t="n">
        <v>0</v>
      </c>
      <c r="G877" s="102" t="n">
        <v>1154.5</v>
      </c>
      <c r="H877" s="94" t="n">
        <v>16</v>
      </c>
    </row>
    <row r="878" ht="15" customHeight="1" s="82">
      <c r="A878" s="94" t="inlineStr">
        <is>
          <t>102 - Orthopedic institutes</t>
        </is>
      </c>
      <c r="B878" s="94" t="inlineStr">
        <is>
          <t>150366 א.א.אורטופדיה איתי-יהוד</t>
        </is>
      </c>
      <c r="C878" s="94" t="inlineStr">
        <is>
          <t>INV54547</t>
        </is>
      </c>
      <c r="D878" s="94" t="inlineStr">
        <is>
          <t>INV</t>
        </is>
      </c>
      <c r="E878" s="102" t="n">
        <v>1128.37</v>
      </c>
      <c r="F878" s="94" t="n">
        <v>19</v>
      </c>
      <c r="G878" s="102" t="n">
        <v>0</v>
      </c>
      <c r="H878" s="94" t="n">
        <v>0</v>
      </c>
    </row>
    <row r="879" ht="15" customHeight="1" s="82">
      <c r="A879" s="94" t="inlineStr">
        <is>
          <t>102 - Orthopedic institutes</t>
        </is>
      </c>
      <c r="B879" s="94" t="inlineStr">
        <is>
          <t>150366 א.א.אורטופדיה איתי-יהוד</t>
        </is>
      </c>
      <c r="C879" s="94" t="inlineStr">
        <is>
          <t>INV48389</t>
        </is>
      </c>
      <c r="D879" s="94" t="inlineStr">
        <is>
          <t>INV</t>
        </is>
      </c>
      <c r="E879" s="102" t="n">
        <v>1068.85</v>
      </c>
      <c r="F879" s="94" t="n">
        <v>7</v>
      </c>
      <c r="G879" s="102" t="n">
        <v>0</v>
      </c>
      <c r="H879" s="94" t="n">
        <v>0</v>
      </c>
    </row>
    <row r="880" ht="15" customHeight="1" s="82">
      <c r="A880" s="94" t="inlineStr">
        <is>
          <t>102 - Orthopedic institutes</t>
        </is>
      </c>
      <c r="B880" s="94" t="inlineStr">
        <is>
          <t>150366 א.א.אורטופדיה איתי-יהוד</t>
        </is>
      </c>
      <c r="C880" s="94" t="inlineStr">
        <is>
          <t>INV66892</t>
        </is>
      </c>
      <c r="D880" s="94" t="inlineStr">
        <is>
          <t>INV</t>
        </is>
      </c>
      <c r="E880" s="102" t="n">
        <v>1062.07</v>
      </c>
      <c r="F880" s="94" t="n">
        <v>10</v>
      </c>
      <c r="G880" s="102" t="n">
        <v>0</v>
      </c>
      <c r="H880" s="94" t="n">
        <v>0</v>
      </c>
    </row>
    <row r="881" ht="15" customHeight="1" s="82">
      <c r="A881" s="94" t="inlineStr">
        <is>
          <t>102 - Orthopedic institutes</t>
        </is>
      </c>
      <c r="B881" s="94" t="inlineStr">
        <is>
          <t>150366 א.א.אורטופדיה איתי-יהוד</t>
        </is>
      </c>
      <c r="C881" s="94" t="inlineStr">
        <is>
          <t>INV67856</t>
        </is>
      </c>
      <c r="D881" s="94" t="inlineStr">
        <is>
          <t>INV</t>
        </is>
      </c>
      <c r="E881" s="102" t="n">
        <v>0</v>
      </c>
      <c r="F881" s="94" t="n">
        <v>0</v>
      </c>
      <c r="G881" s="102" t="n">
        <v>1050.01</v>
      </c>
      <c r="H881" s="94" t="n">
        <v>8</v>
      </c>
    </row>
    <row r="882" ht="15" customHeight="1" s="82">
      <c r="A882" s="94" t="inlineStr">
        <is>
          <t>102 - Orthopedic institutes</t>
        </is>
      </c>
      <c r="B882" s="94" t="inlineStr">
        <is>
          <t>150366 א.א.אורטופדיה איתי-יהוד</t>
        </is>
      </c>
      <c r="C882" s="94" t="inlineStr">
        <is>
          <t>INV65443</t>
        </is>
      </c>
      <c r="D882" s="94" t="inlineStr">
        <is>
          <t>INV</t>
        </is>
      </c>
      <c r="E882" s="102" t="n">
        <v>1034.29</v>
      </c>
      <c r="F882" s="94" t="n">
        <v>15</v>
      </c>
      <c r="G882" s="102" t="n">
        <v>0</v>
      </c>
      <c r="H882" s="94" t="n">
        <v>0</v>
      </c>
    </row>
    <row r="883" ht="15" customHeight="1" s="82">
      <c r="A883" s="94" t="inlineStr">
        <is>
          <t>102 - Orthopedic institutes</t>
        </is>
      </c>
      <c r="B883" s="94" t="inlineStr">
        <is>
          <t>150366 א.א.אורטופדיה איתי-יהוד</t>
        </is>
      </c>
      <c r="C883" s="94" t="inlineStr">
        <is>
          <t>INV68604</t>
        </is>
      </c>
      <c r="D883" s="94" t="inlineStr">
        <is>
          <t>INV</t>
        </is>
      </c>
      <c r="E883" s="102" t="n">
        <v>0</v>
      </c>
      <c r="F883" s="94" t="n">
        <v>0</v>
      </c>
      <c r="G883" s="102" t="n">
        <v>1033.42</v>
      </c>
      <c r="H883" s="94" t="n">
        <v>20</v>
      </c>
    </row>
    <row r="884" ht="15" customHeight="1" s="82">
      <c r="A884" s="94" t="inlineStr">
        <is>
          <t>102 - Orthopedic institutes</t>
        </is>
      </c>
      <c r="B884" s="94" t="inlineStr">
        <is>
          <t>150366 א.א.אורטופדיה איתי-יהוד</t>
        </is>
      </c>
      <c r="C884" s="94" t="inlineStr">
        <is>
          <t>INV67556</t>
        </is>
      </c>
      <c r="D884" s="94" t="inlineStr">
        <is>
          <t>INV</t>
        </is>
      </c>
      <c r="E884" s="102" t="n">
        <v>0</v>
      </c>
      <c r="F884" s="94" t="n">
        <v>0</v>
      </c>
      <c r="G884" s="102" t="n">
        <v>980</v>
      </c>
      <c r="H884" s="94" t="n">
        <v>51</v>
      </c>
    </row>
    <row r="885" ht="15" customHeight="1" s="82">
      <c r="A885" s="94" t="inlineStr">
        <is>
          <t>102 - Orthopedic institutes</t>
        </is>
      </c>
      <c r="B885" s="94" t="inlineStr">
        <is>
          <t>150366 א.א.אורטופדיה איתי-יהוד</t>
        </is>
      </c>
      <c r="C885" s="94" t="inlineStr">
        <is>
          <t>INV68539</t>
        </is>
      </c>
      <c r="D885" s="94" t="inlineStr">
        <is>
          <t>INV</t>
        </is>
      </c>
      <c r="E885" s="102" t="n">
        <v>0</v>
      </c>
      <c r="F885" s="94" t="n">
        <v>0</v>
      </c>
      <c r="G885" s="102" t="n">
        <v>960</v>
      </c>
      <c r="H885" s="94" t="n">
        <v>50</v>
      </c>
    </row>
    <row r="886" ht="15" customHeight="1" s="82">
      <c r="A886" s="94" t="inlineStr">
        <is>
          <t>102 - Orthopedic institutes</t>
        </is>
      </c>
      <c r="B886" s="94" t="inlineStr">
        <is>
          <t>150366 א.א.אורטופדיה איתי-יהוד</t>
        </is>
      </c>
      <c r="C886" s="94" t="inlineStr">
        <is>
          <t>INV68369</t>
        </is>
      </c>
      <c r="D886" s="94" t="inlineStr">
        <is>
          <t>INV</t>
        </is>
      </c>
      <c r="E886" s="102" t="n">
        <v>0</v>
      </c>
      <c r="F886" s="94" t="n">
        <v>0</v>
      </c>
      <c r="G886" s="102" t="n">
        <v>960</v>
      </c>
      <c r="H886" s="94" t="n">
        <v>50</v>
      </c>
    </row>
    <row r="887" ht="15" customHeight="1" s="82">
      <c r="A887" s="94" t="inlineStr">
        <is>
          <t>102 - Orthopedic institutes</t>
        </is>
      </c>
      <c r="B887" s="94" t="inlineStr">
        <is>
          <t>150366 א.א.אורטופדיה איתי-יהוד</t>
        </is>
      </c>
      <c r="C887" s="94" t="inlineStr">
        <is>
          <t>INV65917</t>
        </is>
      </c>
      <c r="D887" s="94" t="inlineStr">
        <is>
          <t>INV</t>
        </is>
      </c>
      <c r="E887" s="102" t="n">
        <v>960</v>
      </c>
      <c r="F887" s="94" t="n">
        <v>50</v>
      </c>
      <c r="G887" s="102" t="n">
        <v>0</v>
      </c>
      <c r="H887" s="94" t="n">
        <v>0</v>
      </c>
    </row>
    <row r="888" ht="15" customHeight="1" s="82">
      <c r="A888" s="94" t="inlineStr">
        <is>
          <t>102 - Orthopedic institutes</t>
        </is>
      </c>
      <c r="B888" s="94" t="inlineStr">
        <is>
          <t>150366 א.א.אורטופדיה איתי-יהוד</t>
        </is>
      </c>
      <c r="C888" s="94" t="inlineStr">
        <is>
          <t>INV66570</t>
        </is>
      </c>
      <c r="D888" s="94" t="inlineStr">
        <is>
          <t>INV</t>
        </is>
      </c>
      <c r="E888" s="102" t="n">
        <v>960</v>
      </c>
      <c r="F888" s="94" t="n">
        <v>50</v>
      </c>
      <c r="G888" s="102" t="n">
        <v>0</v>
      </c>
      <c r="H888" s="94" t="n">
        <v>0</v>
      </c>
    </row>
    <row r="889" ht="15" customHeight="1" s="82">
      <c r="A889" s="94" t="inlineStr">
        <is>
          <t>102 - Orthopedic institutes</t>
        </is>
      </c>
      <c r="B889" s="94" t="inlineStr">
        <is>
          <t>150366 א.א.אורטופדיה איתי-יהוד</t>
        </is>
      </c>
      <c r="C889" s="94" t="inlineStr">
        <is>
          <t>INV65677</t>
        </is>
      </c>
      <c r="D889" s="94" t="inlineStr">
        <is>
          <t>INV</t>
        </is>
      </c>
      <c r="E889" s="102" t="n">
        <v>880.2</v>
      </c>
      <c r="F889" s="94" t="n">
        <v>4</v>
      </c>
      <c r="G889" s="102" t="n">
        <v>0</v>
      </c>
      <c r="H889" s="94" t="n">
        <v>0</v>
      </c>
    </row>
    <row r="890" ht="15" customHeight="1" s="82">
      <c r="A890" s="94" t="inlineStr">
        <is>
          <t>102 - Orthopedic institutes</t>
        </is>
      </c>
      <c r="B890" s="94" t="inlineStr">
        <is>
          <t>150366 א.א.אורטופדיה איתי-יהוד</t>
        </is>
      </c>
      <c r="C890" s="94" t="inlineStr">
        <is>
          <t>INV66145</t>
        </is>
      </c>
      <c r="D890" s="94" t="inlineStr">
        <is>
          <t>INV</t>
        </is>
      </c>
      <c r="E890" s="102" t="n">
        <v>869.6900000000001</v>
      </c>
      <c r="F890" s="94" t="n">
        <v>9</v>
      </c>
      <c r="G890" s="102" t="n">
        <v>0</v>
      </c>
      <c r="H890" s="94" t="n">
        <v>0</v>
      </c>
    </row>
    <row r="891" ht="15" customHeight="1" s="82">
      <c r="A891" s="94" t="inlineStr">
        <is>
          <t>102 - Orthopedic institutes</t>
        </is>
      </c>
      <c r="B891" s="94" t="inlineStr">
        <is>
          <t>150366 א.א.אורטופדיה איתי-יהוד</t>
        </is>
      </c>
      <c r="C891" s="94" t="inlineStr">
        <is>
          <t>INV67582</t>
        </is>
      </c>
      <c r="D891" s="94" t="inlineStr">
        <is>
          <t>INV</t>
        </is>
      </c>
      <c r="E891" s="102" t="n">
        <v>0</v>
      </c>
      <c r="F891" s="94" t="n">
        <v>0</v>
      </c>
      <c r="G891" s="102" t="n">
        <v>834.85</v>
      </c>
      <c r="H891" s="94" t="n">
        <v>9</v>
      </c>
    </row>
    <row r="892" ht="15" customHeight="1" s="82">
      <c r="A892" s="94" t="inlineStr">
        <is>
          <t>102 - Orthopedic institutes</t>
        </is>
      </c>
      <c r="B892" s="94" t="inlineStr">
        <is>
          <t>150366 א.א.אורטופדיה איתי-יהוד</t>
        </is>
      </c>
      <c r="C892" s="94" t="inlineStr">
        <is>
          <t>INV67104</t>
        </is>
      </c>
      <c r="D892" s="94" t="inlineStr">
        <is>
          <t>INV</t>
        </is>
      </c>
      <c r="E892" s="102" t="n">
        <v>816.52</v>
      </c>
      <c r="F892" s="94" t="n">
        <v>4</v>
      </c>
      <c r="G892" s="102" t="n">
        <v>0</v>
      </c>
      <c r="H892" s="94" t="n">
        <v>0</v>
      </c>
    </row>
    <row r="893" ht="15" customHeight="1" s="82">
      <c r="A893" s="94" t="inlineStr">
        <is>
          <t>102 - Orthopedic institutes</t>
        </is>
      </c>
      <c r="B893" s="94" t="inlineStr">
        <is>
          <t>150366 א.א.אורטופדיה איתי-יהוד</t>
        </is>
      </c>
      <c r="C893" s="94" t="inlineStr">
        <is>
          <t>INV68729</t>
        </is>
      </c>
      <c r="D893" s="94" t="inlineStr">
        <is>
          <t>INV</t>
        </is>
      </c>
      <c r="E893" s="102" t="n">
        <v>0</v>
      </c>
      <c r="F893" s="94" t="n">
        <v>0</v>
      </c>
      <c r="G893" s="102" t="n">
        <v>767.41</v>
      </c>
      <c r="H893" s="94" t="n">
        <v>11</v>
      </c>
    </row>
    <row r="894" ht="15" customHeight="1" s="82">
      <c r="A894" s="94" t="inlineStr">
        <is>
          <t>102 - Orthopedic institutes</t>
        </is>
      </c>
      <c r="B894" s="94" t="inlineStr">
        <is>
          <t>150366 א.א.אורטופדיה איתי-יהוד</t>
        </is>
      </c>
      <c r="C894" s="94" t="inlineStr">
        <is>
          <t>INV68834</t>
        </is>
      </c>
      <c r="D894" s="94" t="inlineStr">
        <is>
          <t>INV</t>
        </is>
      </c>
      <c r="E894" s="102" t="n">
        <v>0</v>
      </c>
      <c r="F894" s="94" t="n">
        <v>0</v>
      </c>
      <c r="G894" s="102" t="n">
        <v>729.6</v>
      </c>
      <c r="H894" s="94" t="n">
        <v>38</v>
      </c>
    </row>
    <row r="895" ht="15" customHeight="1" s="82">
      <c r="A895" s="94" t="inlineStr">
        <is>
          <t>102 - Orthopedic institutes</t>
        </is>
      </c>
      <c r="B895" s="94" t="inlineStr">
        <is>
          <t>150366 א.א.אורטופדיה איתי-יהוד</t>
        </is>
      </c>
      <c r="C895" s="94" t="inlineStr">
        <is>
          <t>INV67730</t>
        </is>
      </c>
      <c r="D895" s="94" t="inlineStr">
        <is>
          <t>INV</t>
        </is>
      </c>
      <c r="E895" s="102" t="n">
        <v>0</v>
      </c>
      <c r="F895" s="94" t="n">
        <v>0</v>
      </c>
      <c r="G895" s="102" t="n">
        <v>700</v>
      </c>
      <c r="H895" s="94" t="n">
        <v>6</v>
      </c>
    </row>
    <row r="896" ht="15" customHeight="1" s="82">
      <c r="A896" s="94" t="inlineStr">
        <is>
          <t>102 - Orthopedic institutes</t>
        </is>
      </c>
      <c r="B896" s="94" t="inlineStr">
        <is>
          <t>150366 א.א.אורטופדיה איתי-יהוד</t>
        </is>
      </c>
      <c r="C896" s="94" t="inlineStr">
        <is>
          <t>INV68067</t>
        </is>
      </c>
      <c r="D896" s="94" t="inlineStr">
        <is>
          <t>INV</t>
        </is>
      </c>
      <c r="E896" s="102" t="n">
        <v>0</v>
      </c>
      <c r="F896" s="94" t="n">
        <v>0</v>
      </c>
      <c r="G896" s="102" t="n">
        <v>680.58</v>
      </c>
      <c r="H896" s="94" t="n">
        <v>4</v>
      </c>
    </row>
    <row r="897" ht="15" customHeight="1" s="82">
      <c r="A897" s="94" t="inlineStr">
        <is>
          <t>102 - Orthopedic institutes</t>
        </is>
      </c>
      <c r="B897" s="94" t="inlineStr">
        <is>
          <t>150366 א.א.אורטופדיה איתי-יהוד</t>
        </is>
      </c>
      <c r="C897" s="94" t="inlineStr">
        <is>
          <t>INV48000</t>
        </is>
      </c>
      <c r="D897" s="94" t="inlineStr">
        <is>
          <t>INV</t>
        </is>
      </c>
      <c r="E897" s="102" t="n">
        <v>666</v>
      </c>
      <c r="F897" s="94" t="n">
        <v>3</v>
      </c>
      <c r="G897" s="102" t="n">
        <v>0</v>
      </c>
      <c r="H897" s="94" t="n">
        <v>0</v>
      </c>
    </row>
    <row r="898" ht="15" customHeight="1" s="82">
      <c r="A898" s="94" t="inlineStr">
        <is>
          <t>102 - Orthopedic institutes</t>
        </is>
      </c>
      <c r="B898" s="94" t="inlineStr">
        <is>
          <t>150366 א.א.אורטופדיה איתי-יהוד</t>
        </is>
      </c>
      <c r="C898" s="94" t="inlineStr">
        <is>
          <t>INV67171</t>
        </is>
      </c>
      <c r="D898" s="94" t="inlineStr">
        <is>
          <t>INV</t>
        </is>
      </c>
      <c r="E898" s="102" t="n">
        <v>0</v>
      </c>
      <c r="F898" s="94" t="n">
        <v>0</v>
      </c>
      <c r="G898" s="102" t="n">
        <v>635.6799999999999</v>
      </c>
      <c r="H898" s="94" t="n">
        <v>7</v>
      </c>
    </row>
    <row r="899" ht="15" customHeight="1" s="82">
      <c r="A899" s="94" t="inlineStr">
        <is>
          <t>102 - Orthopedic institutes</t>
        </is>
      </c>
      <c r="B899" s="94" t="inlineStr">
        <is>
          <t>150366 א.א.אורטופדיה איתי-יהוד</t>
        </is>
      </c>
      <c r="C899" s="94" t="inlineStr">
        <is>
          <t>INV69168</t>
        </is>
      </c>
      <c r="D899" s="94" t="inlineStr">
        <is>
          <t>INV</t>
        </is>
      </c>
      <c r="E899" s="102" t="n">
        <v>0</v>
      </c>
      <c r="F899" s="94" t="n">
        <v>0</v>
      </c>
      <c r="G899" s="102" t="n">
        <v>620</v>
      </c>
      <c r="H899" s="94" t="n">
        <v>5</v>
      </c>
    </row>
    <row r="900" ht="15" customHeight="1" s="82">
      <c r="A900" s="94" t="inlineStr">
        <is>
          <t>102 - Orthopedic institutes</t>
        </is>
      </c>
      <c r="B900" s="94" t="inlineStr">
        <is>
          <t>150366 א.א.אורטופדיה איתי-יהוד</t>
        </is>
      </c>
      <c r="C900" s="94" t="inlineStr">
        <is>
          <t>INV68833</t>
        </is>
      </c>
      <c r="D900" s="94" t="inlineStr">
        <is>
          <t>INV</t>
        </is>
      </c>
      <c r="E900" s="102" t="n">
        <v>0</v>
      </c>
      <c r="F900" s="94" t="n">
        <v>0</v>
      </c>
      <c r="G900" s="102" t="n">
        <v>618.5599999999999</v>
      </c>
      <c r="H900" s="94" t="n">
        <v>13</v>
      </c>
    </row>
    <row r="901" ht="15" customHeight="1" s="82">
      <c r="A901" s="94" t="inlineStr">
        <is>
          <t>102 - Orthopedic institutes</t>
        </is>
      </c>
      <c r="B901" s="94" t="inlineStr">
        <is>
          <t>150366 א.א.אורטופדיה איתי-יהוד</t>
        </is>
      </c>
      <c r="C901" s="94" t="inlineStr">
        <is>
          <t>INV69177</t>
        </is>
      </c>
      <c r="D901" s="94" t="inlineStr">
        <is>
          <t>INV</t>
        </is>
      </c>
      <c r="E901" s="102" t="n">
        <v>0</v>
      </c>
      <c r="F901" s="94" t="n">
        <v>0</v>
      </c>
      <c r="G901" s="102" t="n">
        <v>568.65</v>
      </c>
      <c r="H901" s="94" t="n">
        <v>6</v>
      </c>
    </row>
    <row r="902" ht="15" customHeight="1" s="82">
      <c r="A902" s="94" t="inlineStr">
        <is>
          <t>102 - Orthopedic institutes</t>
        </is>
      </c>
      <c r="B902" s="94" t="inlineStr">
        <is>
          <t>150366 א.א.אורטופדיה איתי-יהוד</t>
        </is>
      </c>
      <c r="C902" s="94" t="inlineStr">
        <is>
          <t>INV67344</t>
        </is>
      </c>
      <c r="D902" s="94" t="inlineStr">
        <is>
          <t>INV</t>
        </is>
      </c>
      <c r="E902" s="102" t="n">
        <v>0</v>
      </c>
      <c r="F902" s="94" t="n">
        <v>0</v>
      </c>
      <c r="G902" s="102" t="n">
        <v>540.01</v>
      </c>
      <c r="H902" s="94" t="n">
        <v>3</v>
      </c>
    </row>
    <row r="903" ht="15" customHeight="1" s="82">
      <c r="A903" s="94" t="inlineStr">
        <is>
          <t>102 - Orthopedic institutes</t>
        </is>
      </c>
      <c r="B903" s="94" t="inlineStr">
        <is>
          <t>150366 א.א.אורטופדיה איתי-יהוד</t>
        </is>
      </c>
      <c r="C903" s="94" t="inlineStr">
        <is>
          <t>INV67032</t>
        </is>
      </c>
      <c r="D903" s="94" t="inlineStr">
        <is>
          <t>INV</t>
        </is>
      </c>
      <c r="E903" s="102" t="n">
        <v>538.05</v>
      </c>
      <c r="F903" s="94" t="n">
        <v>4</v>
      </c>
      <c r="G903" s="102" t="n">
        <v>0</v>
      </c>
      <c r="H903" s="94" t="n">
        <v>0</v>
      </c>
    </row>
    <row r="904" ht="15" customHeight="1" s="82">
      <c r="A904" s="94" t="inlineStr">
        <is>
          <t>102 - Orthopedic institutes</t>
        </is>
      </c>
      <c r="B904" s="94" t="inlineStr">
        <is>
          <t>150366 א.א.אורטופדיה איתי-יהוד</t>
        </is>
      </c>
      <c r="C904" s="94" t="inlineStr">
        <is>
          <t>INV50503</t>
        </is>
      </c>
      <c r="D904" s="94" t="inlineStr">
        <is>
          <t>INV</t>
        </is>
      </c>
      <c r="E904" s="102" t="n">
        <v>517.42</v>
      </c>
      <c r="F904" s="94" t="n">
        <v>8</v>
      </c>
      <c r="G904" s="102" t="n">
        <v>0</v>
      </c>
      <c r="H904" s="94" t="n">
        <v>0</v>
      </c>
    </row>
    <row r="905" ht="15" customHeight="1" s="82">
      <c r="A905" s="94" t="inlineStr">
        <is>
          <t>102 - Orthopedic institutes</t>
        </is>
      </c>
      <c r="B905" s="94" t="inlineStr">
        <is>
          <t>150366 א.א.אורטופדיה איתי-יהוד</t>
        </is>
      </c>
      <c r="C905" s="94" t="inlineStr">
        <is>
          <t>INV69057</t>
        </is>
      </c>
      <c r="D905" s="94" t="inlineStr">
        <is>
          <t>INV</t>
        </is>
      </c>
      <c r="E905" s="102" t="n">
        <v>0</v>
      </c>
      <c r="F905" s="94" t="n">
        <v>0</v>
      </c>
      <c r="G905" s="102" t="n">
        <v>383.7</v>
      </c>
      <c r="H905" s="94" t="n">
        <v>6</v>
      </c>
    </row>
    <row r="906" ht="15" customHeight="1" s="82">
      <c r="A906" s="94" t="inlineStr">
        <is>
          <t>102 - Orthopedic institutes</t>
        </is>
      </c>
      <c r="B906" s="94" t="inlineStr">
        <is>
          <t>150366 א.א.אורטופדיה איתי-יהוד</t>
        </is>
      </c>
      <c r="C906" s="94" t="inlineStr">
        <is>
          <t>CM44200</t>
        </is>
      </c>
      <c r="D906" s="94" t="inlineStr">
        <is>
          <t>CM</t>
        </is>
      </c>
      <c r="E906" s="102" t="n">
        <v>-1062.07</v>
      </c>
      <c r="F906" s="94" t="n">
        <v>-10</v>
      </c>
      <c r="G906" s="102" t="n">
        <v>0</v>
      </c>
      <c r="H906" s="94" t="n">
        <v>0</v>
      </c>
    </row>
    <row r="907" ht="15" customHeight="1" s="82">
      <c r="A907" s="94" t="inlineStr">
        <is>
          <t>102 - Orthopedic institutes</t>
        </is>
      </c>
      <c r="B907" s="94" t="inlineStr">
        <is>
          <t>150366 א.א.אורטופדיה איתי-יהוד</t>
        </is>
      </c>
      <c r="C907" s="94" t="inlineStr">
        <is>
          <t>CM44330</t>
        </is>
      </c>
      <c r="D907" s="94" t="inlineStr">
        <is>
          <t>CM</t>
        </is>
      </c>
      <c r="E907" s="102" t="n">
        <v>0</v>
      </c>
      <c r="F907" s="94" t="n">
        <v>0</v>
      </c>
      <c r="G907" s="102" t="n">
        <v>-3981.91</v>
      </c>
      <c r="H907" s="94" t="n">
        <v>-50</v>
      </c>
    </row>
    <row r="908" ht="15" customHeight="1" s="82">
      <c r="A908" s="94" t="inlineStr">
        <is>
          <t>102 - Orthopedic institutes</t>
        </is>
      </c>
      <c r="B908" s="94" t="inlineStr">
        <is>
          <t>150373 פיזיו קליניק בע"מ</t>
        </is>
      </c>
      <c r="C908" s="94" t="inlineStr">
        <is>
          <t>INV49706</t>
        </is>
      </c>
      <c r="D908" s="94" t="inlineStr">
        <is>
          <t>INV</t>
        </is>
      </c>
      <c r="E908" s="102" t="n">
        <v>223.64</v>
      </c>
      <c r="F908" s="94" t="n">
        <v>4</v>
      </c>
      <c r="G908" s="102" t="n">
        <v>0</v>
      </c>
      <c r="H908" s="94" t="n">
        <v>0</v>
      </c>
    </row>
    <row r="909" ht="15" customHeight="1" s="82">
      <c r="A909" s="94" t="inlineStr">
        <is>
          <t>102 - Orthopedic institutes</t>
        </is>
      </c>
      <c r="B909" s="94" t="inlineStr">
        <is>
          <t>150388 בית אורטופדיה אלפא מעבדות</t>
        </is>
      </c>
      <c r="C909" s="94" t="inlineStr">
        <is>
          <t>INV54554</t>
        </is>
      </c>
      <c r="D909" s="94" t="inlineStr">
        <is>
          <t>INV</t>
        </is>
      </c>
      <c r="E909" s="102" t="n">
        <v>1540.03</v>
      </c>
      <c r="F909" s="94" t="n">
        <v>11</v>
      </c>
      <c r="G909" s="102" t="n">
        <v>0</v>
      </c>
      <c r="H909" s="94" t="n">
        <v>0</v>
      </c>
    </row>
    <row r="910" ht="15" customHeight="1" s="82">
      <c r="A910" s="94" t="inlineStr">
        <is>
          <t>102 - Orthopedic institutes</t>
        </is>
      </c>
      <c r="B910" s="94" t="inlineStr">
        <is>
          <t>150388 בית אורטופדיה אלפא מעבדות</t>
        </is>
      </c>
      <c r="C910" s="94" t="inlineStr">
        <is>
          <t>INV69084</t>
        </is>
      </c>
      <c r="D910" s="94" t="inlineStr">
        <is>
          <t>INV</t>
        </is>
      </c>
      <c r="E910" s="102" t="n">
        <v>0</v>
      </c>
      <c r="F910" s="94" t="n">
        <v>0</v>
      </c>
      <c r="G910" s="102" t="n">
        <v>1260.02</v>
      </c>
      <c r="H910" s="94" t="n">
        <v>9</v>
      </c>
    </row>
    <row r="911" ht="15" customHeight="1" s="82">
      <c r="A911" s="94" t="inlineStr">
        <is>
          <t>102 - Orthopedic institutes</t>
        </is>
      </c>
      <c r="B911" s="94" t="inlineStr">
        <is>
          <t>150391 סלון בלומה</t>
        </is>
      </c>
      <c r="C911" s="94" t="inlineStr">
        <is>
          <t>INV67419</t>
        </is>
      </c>
      <c r="D911" s="94" t="inlineStr">
        <is>
          <t>INV</t>
        </is>
      </c>
      <c r="E911" s="102" t="n">
        <v>0</v>
      </c>
      <c r="F911" s="94" t="n">
        <v>0</v>
      </c>
      <c r="G911" s="102" t="n">
        <v>1071.99</v>
      </c>
      <c r="H911" s="94" t="n">
        <v>4</v>
      </c>
    </row>
    <row r="912" ht="15" customHeight="1" s="82">
      <c r="A912" s="94" t="inlineStr">
        <is>
          <t>102 - Orthopedic institutes</t>
        </is>
      </c>
      <c r="B912" s="94" t="inlineStr">
        <is>
          <t>150391 סלון בלומה</t>
        </is>
      </c>
      <c r="C912" s="94" t="inlineStr">
        <is>
          <t>INV67968</t>
        </is>
      </c>
      <c r="D912" s="94" t="inlineStr">
        <is>
          <t>INV</t>
        </is>
      </c>
      <c r="E912" s="102" t="n">
        <v>0</v>
      </c>
      <c r="F912" s="94" t="n">
        <v>0</v>
      </c>
      <c r="G912" s="102" t="n">
        <v>268</v>
      </c>
      <c r="H912" s="94" t="n">
        <v>1</v>
      </c>
    </row>
    <row r="913" ht="15" customHeight="1" s="82">
      <c r="A913" s="94" t="inlineStr">
        <is>
          <t>102 - Orthopedic institutes</t>
        </is>
      </c>
      <c r="B913" s="94" t="inlineStr">
        <is>
          <t>151005 עקב אכילס -מכון אורטופדי</t>
        </is>
      </c>
      <c r="C913" s="94" t="inlineStr">
        <is>
          <t>CS16752</t>
        </is>
      </c>
      <c r="D913" s="94" t="inlineStr">
        <is>
          <t>CS</t>
        </is>
      </c>
      <c r="E913" s="102" t="n">
        <v>0</v>
      </c>
      <c r="F913" s="94" t="n">
        <v>0</v>
      </c>
      <c r="G913" s="102" t="n">
        <v>2498.02</v>
      </c>
      <c r="H913" s="94" t="n">
        <v>14</v>
      </c>
    </row>
    <row r="914" ht="15" customHeight="1" s="82">
      <c r="A914" s="94" t="inlineStr">
        <is>
          <t>102 - Orthopedic institutes</t>
        </is>
      </c>
      <c r="B914" s="94" t="inlineStr">
        <is>
          <t>151005 עקב אכילס -מכון אורטופדי</t>
        </is>
      </c>
      <c r="C914" s="94" t="inlineStr">
        <is>
          <t>INV66950</t>
        </is>
      </c>
      <c r="D914" s="94" t="inlineStr">
        <is>
          <t>INV</t>
        </is>
      </c>
      <c r="E914" s="102" t="n">
        <v>2255.03</v>
      </c>
      <c r="F914" s="94" t="n">
        <v>16</v>
      </c>
      <c r="G914" s="102" t="n">
        <v>0</v>
      </c>
      <c r="H914" s="94" t="n">
        <v>0</v>
      </c>
    </row>
    <row r="915" ht="15" customHeight="1" s="82">
      <c r="A915" s="94" t="inlineStr">
        <is>
          <t>102 - Orthopedic institutes</t>
        </is>
      </c>
      <c r="B915" s="94" t="inlineStr">
        <is>
          <t>151005 עקב אכילס -מכון אורטופדי</t>
        </is>
      </c>
      <c r="C915" s="94" t="inlineStr">
        <is>
          <t>INV65722</t>
        </is>
      </c>
      <c r="D915" s="94" t="inlineStr">
        <is>
          <t>INV</t>
        </is>
      </c>
      <c r="E915" s="102" t="n">
        <v>2040.03</v>
      </c>
      <c r="F915" s="94" t="n">
        <v>12</v>
      </c>
      <c r="G915" s="102" t="n">
        <v>0</v>
      </c>
      <c r="H915" s="94" t="n">
        <v>0</v>
      </c>
    </row>
    <row r="916" ht="15" customHeight="1" s="82">
      <c r="A916" s="94" t="inlineStr">
        <is>
          <t>102 - Orthopedic institutes</t>
        </is>
      </c>
      <c r="B916" s="94" t="inlineStr">
        <is>
          <t>151005 עקב אכילס -מכון אורטופדי</t>
        </is>
      </c>
      <c r="C916" s="94" t="inlineStr">
        <is>
          <t>INV67524</t>
        </is>
      </c>
      <c r="D916" s="94" t="inlineStr">
        <is>
          <t>INV</t>
        </is>
      </c>
      <c r="E916" s="102" t="n">
        <v>0</v>
      </c>
      <c r="F916" s="94" t="n">
        <v>0</v>
      </c>
      <c r="G916" s="102" t="n">
        <v>1580.02</v>
      </c>
      <c r="H916" s="94" t="n">
        <v>7</v>
      </c>
    </row>
    <row r="917" ht="15" customHeight="1" s="82">
      <c r="A917" s="94" t="inlineStr">
        <is>
          <t>102 - Orthopedic institutes</t>
        </is>
      </c>
      <c r="B917" s="94" t="inlineStr">
        <is>
          <t>151005 עקב אכילס -מכון אורטופדי</t>
        </is>
      </c>
      <c r="C917" s="94" t="inlineStr">
        <is>
          <t>INV49818</t>
        </is>
      </c>
      <c r="D917" s="94" t="inlineStr">
        <is>
          <t>INV</t>
        </is>
      </c>
      <c r="E917" s="102" t="n">
        <v>1459</v>
      </c>
      <c r="F917" s="94" t="n">
        <v>7</v>
      </c>
      <c r="G917" s="102" t="n">
        <v>0</v>
      </c>
      <c r="H917" s="94" t="n">
        <v>0</v>
      </c>
    </row>
    <row r="918" ht="15" customHeight="1" s="82">
      <c r="A918" s="94" t="inlineStr">
        <is>
          <t>102 - Orthopedic institutes</t>
        </is>
      </c>
      <c r="B918" s="94" t="inlineStr">
        <is>
          <t>151005 עקב אכילס -מכון אורטופדי</t>
        </is>
      </c>
      <c r="C918" s="94" t="inlineStr">
        <is>
          <t>INV55488</t>
        </is>
      </c>
      <c r="D918" s="94" t="inlineStr">
        <is>
          <t>INV</t>
        </is>
      </c>
      <c r="E918" s="102" t="n">
        <v>1345.02</v>
      </c>
      <c r="F918" s="94" t="n">
        <v>9</v>
      </c>
      <c r="G918" s="102" t="n">
        <v>0</v>
      </c>
      <c r="H918" s="94" t="n">
        <v>0</v>
      </c>
    </row>
    <row r="919" ht="15" customHeight="1" s="82">
      <c r="A919" s="94" t="inlineStr">
        <is>
          <t>102 - Orthopedic institutes</t>
        </is>
      </c>
      <c r="B919" s="94" t="inlineStr">
        <is>
          <t>151005 עקב אכילס -מכון אורטופדי</t>
        </is>
      </c>
      <c r="C919" s="94" t="inlineStr">
        <is>
          <t>INV54074</t>
        </is>
      </c>
      <c r="D919" s="94" t="inlineStr">
        <is>
          <t>INV</t>
        </is>
      </c>
      <c r="E919" s="102" t="n">
        <v>1121.73</v>
      </c>
      <c r="F919" s="94" t="n">
        <v>8</v>
      </c>
      <c r="G919" s="102" t="n">
        <v>0</v>
      </c>
      <c r="H919" s="94" t="n">
        <v>0</v>
      </c>
    </row>
    <row r="920" ht="15" customHeight="1" s="82">
      <c r="A920" s="94" t="inlineStr">
        <is>
          <t>102 - Orthopedic institutes</t>
        </is>
      </c>
      <c r="B920" s="94" t="inlineStr">
        <is>
          <t>151005 עקב אכילס -מכון אורטופדי</t>
        </is>
      </c>
      <c r="C920" s="94" t="inlineStr">
        <is>
          <t>INV44217</t>
        </is>
      </c>
      <c r="D920" s="94" t="inlineStr">
        <is>
          <t>INV</t>
        </is>
      </c>
      <c r="E920" s="102" t="n">
        <v>1099</v>
      </c>
      <c r="F920" s="94" t="n">
        <v>9</v>
      </c>
      <c r="G920" s="102" t="n">
        <v>0</v>
      </c>
      <c r="H920" s="94" t="n">
        <v>0</v>
      </c>
    </row>
    <row r="921" ht="15" customHeight="1" s="82">
      <c r="A921" s="94" t="inlineStr">
        <is>
          <t>102 - Orthopedic institutes</t>
        </is>
      </c>
      <c r="B921" s="94" t="inlineStr">
        <is>
          <t>151005 עקב אכילס -מכון אורטופדי</t>
        </is>
      </c>
      <c r="C921" s="94" t="inlineStr">
        <is>
          <t>INV66284</t>
        </is>
      </c>
      <c r="D921" s="94" t="inlineStr">
        <is>
          <t>INV</t>
        </is>
      </c>
      <c r="E921" s="102" t="n">
        <v>980.02</v>
      </c>
      <c r="F921" s="94" t="n">
        <v>7</v>
      </c>
      <c r="G921" s="102" t="n">
        <v>0</v>
      </c>
      <c r="H921" s="94" t="n">
        <v>0</v>
      </c>
    </row>
    <row r="922" ht="15" customHeight="1" s="82">
      <c r="A922" s="94" t="inlineStr">
        <is>
          <t>102 - Orthopedic institutes</t>
        </is>
      </c>
      <c r="B922" s="94" t="inlineStr">
        <is>
          <t>151005 עקב אכילס -מכון אורטופדי</t>
        </is>
      </c>
      <c r="C922" s="94" t="inlineStr">
        <is>
          <t>INV57066</t>
        </is>
      </c>
      <c r="D922" s="94" t="inlineStr">
        <is>
          <t>INV</t>
        </is>
      </c>
      <c r="E922" s="102" t="n">
        <v>876.15</v>
      </c>
      <c r="F922" s="94" t="n">
        <v>7</v>
      </c>
      <c r="G922" s="102" t="n">
        <v>0</v>
      </c>
      <c r="H922" s="94" t="n">
        <v>0</v>
      </c>
    </row>
    <row r="923" ht="15" customHeight="1" s="82">
      <c r="A923" s="94" t="inlineStr">
        <is>
          <t>102 - Orthopedic institutes</t>
        </is>
      </c>
      <c r="B923" s="94" t="inlineStr">
        <is>
          <t>151005 עקב אכילס -מכון אורטופדי</t>
        </is>
      </c>
      <c r="C923" s="94" t="inlineStr">
        <is>
          <t>INV64474</t>
        </is>
      </c>
      <c r="D923" s="94" t="inlineStr">
        <is>
          <t>INV</t>
        </is>
      </c>
      <c r="E923" s="102" t="n">
        <v>840.01</v>
      </c>
      <c r="F923" s="94" t="n">
        <v>6</v>
      </c>
      <c r="G923" s="102" t="n">
        <v>0</v>
      </c>
      <c r="H923" s="94" t="n">
        <v>0</v>
      </c>
    </row>
    <row r="924" ht="15" customHeight="1" s="82">
      <c r="A924" s="94" t="inlineStr">
        <is>
          <t>102 - Orthopedic institutes</t>
        </is>
      </c>
      <c r="B924" s="94" t="inlineStr">
        <is>
          <t>151005 עקב אכילס -מכון אורטופדי</t>
        </is>
      </c>
      <c r="C924" s="94" t="inlineStr">
        <is>
          <t>INV51257</t>
        </is>
      </c>
      <c r="D924" s="94" t="inlineStr">
        <is>
          <t>INV</t>
        </is>
      </c>
      <c r="E924" s="102" t="n">
        <v>840</v>
      </c>
      <c r="F924" s="94" t="n">
        <v>8</v>
      </c>
      <c r="G924" s="102" t="n">
        <v>0</v>
      </c>
      <c r="H924" s="94" t="n">
        <v>0</v>
      </c>
    </row>
    <row r="925" ht="15" customHeight="1" s="82">
      <c r="A925" s="94" t="inlineStr">
        <is>
          <t>102 - Orthopedic institutes</t>
        </is>
      </c>
      <c r="B925" s="94" t="inlineStr">
        <is>
          <t>151005 עקב אכילס -מכון אורטופדי</t>
        </is>
      </c>
      <c r="C925" s="94" t="inlineStr">
        <is>
          <t>INV40496</t>
        </is>
      </c>
      <c r="D925" s="94" t="inlineStr">
        <is>
          <t>INV</t>
        </is>
      </c>
      <c r="E925" s="102" t="n">
        <v>763</v>
      </c>
      <c r="F925" s="94" t="n">
        <v>7</v>
      </c>
      <c r="G925" s="102" t="n">
        <v>0</v>
      </c>
      <c r="H925" s="94" t="n">
        <v>0</v>
      </c>
    </row>
    <row r="926" ht="15" customHeight="1" s="82">
      <c r="A926" s="94" t="inlineStr">
        <is>
          <t>102 - Orthopedic institutes</t>
        </is>
      </c>
      <c r="B926" s="94" t="inlineStr">
        <is>
          <t>151005 עקב אכילס -מכון אורטופדי</t>
        </is>
      </c>
      <c r="C926" s="94" t="inlineStr">
        <is>
          <t>INV68843</t>
        </is>
      </c>
      <c r="D926" s="94" t="inlineStr">
        <is>
          <t>INV</t>
        </is>
      </c>
      <c r="E926" s="102" t="n">
        <v>0</v>
      </c>
      <c r="F926" s="94" t="n">
        <v>0</v>
      </c>
      <c r="G926" s="102" t="n">
        <v>730</v>
      </c>
      <c r="H926" s="94" t="n">
        <v>4</v>
      </c>
    </row>
    <row r="927" ht="15" customHeight="1" s="82">
      <c r="A927" s="94" t="inlineStr">
        <is>
          <t>102 - Orthopedic institutes</t>
        </is>
      </c>
      <c r="B927" s="94" t="inlineStr">
        <is>
          <t>151005 עקב אכילס -מכון אורטופדי</t>
        </is>
      </c>
      <c r="C927" s="94" t="inlineStr">
        <is>
          <t>INV68737</t>
        </is>
      </c>
      <c r="D927" s="94" t="inlineStr">
        <is>
          <t>INV</t>
        </is>
      </c>
      <c r="E927" s="102" t="n">
        <v>0</v>
      </c>
      <c r="F927" s="94" t="n">
        <v>0</v>
      </c>
      <c r="G927" s="102" t="n">
        <v>595</v>
      </c>
      <c r="H927" s="94" t="n">
        <v>5</v>
      </c>
    </row>
    <row r="928" ht="15" customHeight="1" s="82">
      <c r="A928" s="94" t="inlineStr">
        <is>
          <t>102 - Orthopedic institutes</t>
        </is>
      </c>
      <c r="B928" s="94" t="inlineStr">
        <is>
          <t>151005 עקב אכילס -מכון אורטופדי</t>
        </is>
      </c>
      <c r="C928" s="94" t="inlineStr">
        <is>
          <t>INV68958</t>
        </is>
      </c>
      <c r="D928" s="94" t="inlineStr">
        <is>
          <t>INV</t>
        </is>
      </c>
      <c r="E928" s="102" t="n">
        <v>0</v>
      </c>
      <c r="F928" s="94" t="n">
        <v>0</v>
      </c>
      <c r="G928" s="102" t="n">
        <v>593.77</v>
      </c>
      <c r="H928" s="94" t="n">
        <v>8</v>
      </c>
    </row>
    <row r="929" ht="15" customHeight="1" s="82">
      <c r="A929" s="94" t="inlineStr">
        <is>
          <t>102 - Orthopedic institutes</t>
        </is>
      </c>
      <c r="B929" s="94" t="inlineStr">
        <is>
          <t>151005 עקב אכילס -מכון אורטופדי</t>
        </is>
      </c>
      <c r="C929" s="94" t="inlineStr">
        <is>
          <t>INV68660</t>
        </is>
      </c>
      <c r="D929" s="94" t="inlineStr">
        <is>
          <t>INV</t>
        </is>
      </c>
      <c r="E929" s="102" t="n">
        <v>0</v>
      </c>
      <c r="F929" s="94" t="n">
        <v>0</v>
      </c>
      <c r="G929" s="102" t="n">
        <v>560.01</v>
      </c>
      <c r="H929" s="94" t="n">
        <v>4</v>
      </c>
    </row>
    <row r="930" ht="15" customHeight="1" s="82">
      <c r="A930" s="94" t="inlineStr">
        <is>
          <t>102 - Orthopedic institutes</t>
        </is>
      </c>
      <c r="B930" s="94" t="inlineStr">
        <is>
          <t>151005 עקב אכילס -מכון אורטופדי</t>
        </is>
      </c>
      <c r="C930" s="94" t="inlineStr">
        <is>
          <t>INV48034</t>
        </is>
      </c>
      <c r="D930" s="94" t="inlineStr">
        <is>
          <t>INV</t>
        </is>
      </c>
      <c r="E930" s="102" t="n">
        <v>549.99</v>
      </c>
      <c r="F930" s="94" t="n">
        <v>6</v>
      </c>
      <c r="G930" s="102" t="n">
        <v>0</v>
      </c>
      <c r="H930" s="94" t="n">
        <v>0</v>
      </c>
    </row>
    <row r="931" ht="15" customHeight="1" s="82">
      <c r="A931" s="94" t="inlineStr">
        <is>
          <t>102 - Orthopedic institutes</t>
        </is>
      </c>
      <c r="B931" s="94" t="inlineStr">
        <is>
          <t>151005 עקב אכילס -מכון אורטופדי</t>
        </is>
      </c>
      <c r="C931" s="94" t="inlineStr">
        <is>
          <t>INV68535</t>
        </is>
      </c>
      <c r="D931" s="94" t="inlineStr">
        <is>
          <t>INV</t>
        </is>
      </c>
      <c r="E931" s="102" t="n">
        <v>0</v>
      </c>
      <c r="F931" s="94" t="n">
        <v>0</v>
      </c>
      <c r="G931" s="102" t="n">
        <v>490</v>
      </c>
      <c r="H931" s="94" t="n">
        <v>4</v>
      </c>
    </row>
    <row r="932" ht="15" customHeight="1" s="82">
      <c r="A932" s="94" t="inlineStr">
        <is>
          <t>102 - Orthopedic institutes</t>
        </is>
      </c>
      <c r="B932" s="94" t="inlineStr">
        <is>
          <t>151005 עקב אכילס -מכון אורטופדי</t>
        </is>
      </c>
      <c r="C932" s="94" t="inlineStr">
        <is>
          <t>INV67687</t>
        </is>
      </c>
      <c r="D932" s="94" t="inlineStr">
        <is>
          <t>INV</t>
        </is>
      </c>
      <c r="E932" s="102" t="n">
        <v>0</v>
      </c>
      <c r="F932" s="94" t="n">
        <v>0</v>
      </c>
      <c r="G932" s="102" t="n">
        <v>264.07</v>
      </c>
      <c r="H932" s="94" t="n">
        <v>3</v>
      </c>
    </row>
    <row r="933" ht="15" customHeight="1" s="82">
      <c r="A933" s="94" t="inlineStr">
        <is>
          <t>102 - Orthopedic institutes</t>
        </is>
      </c>
      <c r="B933" s="94" t="inlineStr">
        <is>
          <t>151005 עקב אכילס -מכון אורטופדי</t>
        </is>
      </c>
      <c r="C933" s="94" t="inlineStr">
        <is>
          <t>INV69085</t>
        </is>
      </c>
      <c r="D933" s="94" t="inlineStr">
        <is>
          <t>INV</t>
        </is>
      </c>
      <c r="E933" s="102" t="n">
        <v>0</v>
      </c>
      <c r="F933" s="94" t="n">
        <v>0</v>
      </c>
      <c r="G933" s="102" t="n">
        <v>198.64</v>
      </c>
      <c r="H933" s="94" t="n">
        <v>3</v>
      </c>
    </row>
    <row r="934" ht="15" customHeight="1" s="82">
      <c r="A934" s="94" t="inlineStr">
        <is>
          <t>102 - Orthopedic institutes</t>
        </is>
      </c>
      <c r="B934" s="94" t="inlineStr">
        <is>
          <t>151005 עקב אכילס -מכון אורטופדי</t>
        </is>
      </c>
      <c r="C934" s="94" t="inlineStr">
        <is>
          <t>INV65362</t>
        </is>
      </c>
      <c r="D934" s="94" t="inlineStr">
        <is>
          <t>INV</t>
        </is>
      </c>
      <c r="E934" s="102" t="n">
        <v>116.57</v>
      </c>
      <c r="F934" s="94" t="n">
        <v>2</v>
      </c>
      <c r="G934" s="102" t="n">
        <v>0</v>
      </c>
      <c r="H934" s="94" t="n">
        <v>0</v>
      </c>
    </row>
    <row r="935" ht="15" customHeight="1" s="82">
      <c r="A935" s="94" t="inlineStr">
        <is>
          <t>102 - Orthopedic institutes</t>
        </is>
      </c>
      <c r="B935" s="94" t="inlineStr">
        <is>
          <t>151005 עקב אכילס -מכון אורטופדי</t>
        </is>
      </c>
      <c r="C935" s="94" t="inlineStr">
        <is>
          <t>CM44689</t>
        </is>
      </c>
      <c r="D935" s="94" t="inlineStr">
        <is>
          <t>CM</t>
        </is>
      </c>
      <c r="E935" s="102" t="n">
        <v>0</v>
      </c>
      <c r="F935" s="94" t="n">
        <v>0</v>
      </c>
      <c r="G935" s="102" t="n">
        <v>-79.65000000000001</v>
      </c>
      <c r="H935" s="94" t="n">
        <v>-1</v>
      </c>
    </row>
    <row r="936" ht="15" customHeight="1" s="82">
      <c r="A936" s="94" t="inlineStr">
        <is>
          <t>102 - Orthopedic institutes</t>
        </is>
      </c>
      <c r="B936" s="94" t="inlineStr">
        <is>
          <t>151005 עקב אכילס -מכון אורטופדי</t>
        </is>
      </c>
      <c r="C936" s="94" t="inlineStr">
        <is>
          <t>CM44471</t>
        </is>
      </c>
      <c r="D936" s="94" t="inlineStr">
        <is>
          <t>CM</t>
        </is>
      </c>
      <c r="E936" s="102" t="n">
        <v>0</v>
      </c>
      <c r="F936" s="94" t="n">
        <v>0</v>
      </c>
      <c r="G936" s="102" t="n">
        <v>-140</v>
      </c>
      <c r="H936" s="94" t="n">
        <v>-1</v>
      </c>
    </row>
    <row r="937" ht="15" customHeight="1" s="82">
      <c r="A937" s="94" t="inlineStr">
        <is>
          <t>102 - Orthopedic institutes</t>
        </is>
      </c>
      <c r="B937" s="94" t="inlineStr">
        <is>
          <t>151005 עקב אכילס -מכון אורטופדי</t>
        </is>
      </c>
      <c r="C937" s="94" t="inlineStr">
        <is>
          <t>CM43782</t>
        </is>
      </c>
      <c r="D937" s="94" t="inlineStr">
        <is>
          <t>CM</t>
        </is>
      </c>
      <c r="E937" s="102" t="n">
        <v>-666</v>
      </c>
      <c r="F937" s="94" t="n">
        <v>-3</v>
      </c>
      <c r="G937" s="102" t="n">
        <v>0</v>
      </c>
      <c r="H937" s="94" t="n">
        <v>0</v>
      </c>
    </row>
    <row r="938" ht="15" customHeight="1" s="82">
      <c r="A938" s="94" t="inlineStr">
        <is>
          <t>102 - Orthopedic institutes</t>
        </is>
      </c>
      <c r="B938" s="94" t="inlineStr">
        <is>
          <t>151010 אסף מדיקל</t>
        </is>
      </c>
      <c r="C938" s="94" t="inlineStr">
        <is>
          <t>INV67454</t>
        </is>
      </c>
      <c r="D938" s="94" t="inlineStr">
        <is>
          <t>INV</t>
        </is>
      </c>
      <c r="E938" s="102" t="n">
        <v>0</v>
      </c>
      <c r="F938" s="94" t="n">
        <v>0</v>
      </c>
      <c r="G938" s="102" t="n">
        <v>1463.5</v>
      </c>
      <c r="H938" s="94" t="n">
        <v>10</v>
      </c>
    </row>
    <row r="939" ht="15" customHeight="1" s="82">
      <c r="A939" s="94" t="inlineStr">
        <is>
          <t>102 - Orthopedic institutes</t>
        </is>
      </c>
      <c r="B939" s="94" t="inlineStr">
        <is>
          <t>151010 אסף מדיקל</t>
        </is>
      </c>
      <c r="C939" s="94" t="inlineStr">
        <is>
          <t>INV69065</t>
        </is>
      </c>
      <c r="D939" s="94" t="inlineStr">
        <is>
          <t>INV</t>
        </is>
      </c>
      <c r="E939" s="102" t="n">
        <v>0</v>
      </c>
      <c r="F939" s="94" t="n">
        <v>0</v>
      </c>
      <c r="G939" s="102" t="n">
        <v>1300.01</v>
      </c>
      <c r="H939" s="94" t="n">
        <v>5</v>
      </c>
    </row>
    <row r="940" ht="15" customHeight="1" s="82">
      <c r="A940" s="94" t="inlineStr">
        <is>
          <t>102 - Orthopedic institutes</t>
        </is>
      </c>
      <c r="B940" s="94" t="inlineStr">
        <is>
          <t>151010 אסף מדיקל</t>
        </is>
      </c>
      <c r="C940" s="94" t="inlineStr">
        <is>
          <t>INV68159</t>
        </is>
      </c>
      <c r="D940" s="94" t="inlineStr">
        <is>
          <t>INV</t>
        </is>
      </c>
      <c r="E940" s="102" t="n">
        <v>0</v>
      </c>
      <c r="F940" s="94" t="n">
        <v>0</v>
      </c>
      <c r="G940" s="102" t="n">
        <v>1300.01</v>
      </c>
      <c r="H940" s="94" t="n">
        <v>5</v>
      </c>
    </row>
    <row r="941" ht="15" customHeight="1" s="82">
      <c r="A941" s="94" t="inlineStr">
        <is>
          <t>102 - Orthopedic institutes</t>
        </is>
      </c>
      <c r="B941" s="94" t="inlineStr">
        <is>
          <t>151010 אסף מדיקל</t>
        </is>
      </c>
      <c r="C941" s="94" t="inlineStr">
        <is>
          <t>INV65902</t>
        </is>
      </c>
      <c r="D941" s="94" t="inlineStr">
        <is>
          <t>INV</t>
        </is>
      </c>
      <c r="E941" s="102" t="n">
        <v>1095.01</v>
      </c>
      <c r="F941" s="94" t="n">
        <v>6</v>
      </c>
      <c r="G941" s="102" t="n">
        <v>0</v>
      </c>
      <c r="H941" s="94" t="n">
        <v>0</v>
      </c>
    </row>
    <row r="942" ht="15" customHeight="1" s="82">
      <c r="A942" s="94" t="inlineStr">
        <is>
          <t>102 - Orthopedic institutes</t>
        </is>
      </c>
      <c r="B942" s="94" t="inlineStr">
        <is>
          <t>151010 אסף מדיקל</t>
        </is>
      </c>
      <c r="C942" s="94" t="inlineStr">
        <is>
          <t>INV65555</t>
        </is>
      </c>
      <c r="D942" s="94" t="inlineStr">
        <is>
          <t>INV</t>
        </is>
      </c>
      <c r="E942" s="102" t="n">
        <v>1040.01</v>
      </c>
      <c r="F942" s="94" t="n">
        <v>4</v>
      </c>
      <c r="G942" s="102" t="n">
        <v>0</v>
      </c>
      <c r="H942" s="94" t="n">
        <v>0</v>
      </c>
    </row>
    <row r="943" ht="15" customHeight="1" s="82">
      <c r="A943" s="94" t="inlineStr">
        <is>
          <t>102 - Orthopedic institutes</t>
        </is>
      </c>
      <c r="B943" s="94" t="inlineStr">
        <is>
          <t>151010 אסף מדיקל</t>
        </is>
      </c>
      <c r="C943" s="94" t="inlineStr">
        <is>
          <t>INV68533</t>
        </is>
      </c>
      <c r="D943" s="94" t="inlineStr">
        <is>
          <t>INV</t>
        </is>
      </c>
      <c r="E943" s="102" t="n">
        <v>0</v>
      </c>
      <c r="F943" s="94" t="n">
        <v>0</v>
      </c>
      <c r="G943" s="102" t="n">
        <v>1003.24</v>
      </c>
      <c r="H943" s="94" t="n">
        <v>6</v>
      </c>
    </row>
    <row r="944" ht="15" customHeight="1" s="82">
      <c r="A944" s="94" t="inlineStr">
        <is>
          <t>102 - Orthopedic institutes</t>
        </is>
      </c>
      <c r="B944" s="94" t="inlineStr">
        <is>
          <t>151010 אסף מדיקל</t>
        </is>
      </c>
      <c r="C944" s="94" t="inlineStr">
        <is>
          <t>INV58390</t>
        </is>
      </c>
      <c r="D944" s="94" t="inlineStr">
        <is>
          <t>INV</t>
        </is>
      </c>
      <c r="E944" s="102" t="n">
        <v>642</v>
      </c>
      <c r="F944" s="94" t="n">
        <v>4</v>
      </c>
      <c r="G944" s="102" t="n">
        <v>0</v>
      </c>
      <c r="H944" s="94" t="n">
        <v>0</v>
      </c>
    </row>
    <row r="945" ht="15" customHeight="1" s="82">
      <c r="A945" s="94" t="inlineStr">
        <is>
          <t>102 - Orthopedic institutes</t>
        </is>
      </c>
      <c r="B945" s="94" t="inlineStr">
        <is>
          <t>151010 אסף מדיקל</t>
        </is>
      </c>
      <c r="C945" s="94" t="inlineStr">
        <is>
          <t>INV66617</t>
        </is>
      </c>
      <c r="D945" s="94" t="inlineStr">
        <is>
          <t>INV</t>
        </is>
      </c>
      <c r="E945" s="102" t="n">
        <v>540</v>
      </c>
      <c r="F945" s="94" t="n">
        <v>6</v>
      </c>
      <c r="G945" s="102" t="n">
        <v>0</v>
      </c>
      <c r="H945" s="94" t="n">
        <v>0</v>
      </c>
    </row>
    <row r="946" ht="15" customHeight="1" s="82">
      <c r="A946" s="94" t="inlineStr">
        <is>
          <t>102 - Orthopedic institutes</t>
        </is>
      </c>
      <c r="B946" s="94" t="inlineStr">
        <is>
          <t>151010 אסף מדיקל</t>
        </is>
      </c>
      <c r="C946" s="94" t="inlineStr">
        <is>
          <t>INV68582</t>
        </is>
      </c>
      <c r="D946" s="94" t="inlineStr">
        <is>
          <t>INV</t>
        </is>
      </c>
      <c r="E946" s="102" t="n">
        <v>0</v>
      </c>
      <c r="F946" s="94" t="n">
        <v>0</v>
      </c>
      <c r="G946" s="102" t="n">
        <v>524.9299999999999</v>
      </c>
      <c r="H946" s="94" t="n">
        <v>1</v>
      </c>
    </row>
    <row r="947" ht="15" customHeight="1" s="82">
      <c r="A947" s="94" t="inlineStr">
        <is>
          <t>102 - Orthopedic institutes</t>
        </is>
      </c>
      <c r="B947" s="94" t="inlineStr">
        <is>
          <t>151010 אסף מדיקל</t>
        </is>
      </c>
      <c r="C947" s="94" t="inlineStr">
        <is>
          <t>INV68815</t>
        </is>
      </c>
      <c r="D947" s="94" t="inlineStr">
        <is>
          <t>INV</t>
        </is>
      </c>
      <c r="E947" s="102" t="n">
        <v>0</v>
      </c>
      <c r="F947" s="94" t="n">
        <v>0</v>
      </c>
      <c r="G947" s="102" t="n">
        <v>520</v>
      </c>
      <c r="H947" s="94" t="n">
        <v>2</v>
      </c>
    </row>
    <row r="948" ht="15" customHeight="1" s="82">
      <c r="A948" s="94" t="inlineStr">
        <is>
          <t>102 - Orthopedic institutes</t>
        </is>
      </c>
      <c r="B948" s="94" t="inlineStr">
        <is>
          <t>151010 אסף מדיקל</t>
        </is>
      </c>
      <c r="C948" s="94" t="inlineStr">
        <is>
          <t>INV53243</t>
        </is>
      </c>
      <c r="D948" s="94" t="inlineStr">
        <is>
          <t>INV</t>
        </is>
      </c>
      <c r="E948" s="102" t="n">
        <v>470</v>
      </c>
      <c r="F948" s="94" t="n">
        <v>3</v>
      </c>
      <c r="G948" s="102" t="n">
        <v>0</v>
      </c>
      <c r="H948" s="94" t="n">
        <v>0</v>
      </c>
    </row>
    <row r="949" ht="15" customHeight="1" s="82">
      <c r="A949" s="94" t="inlineStr">
        <is>
          <t>102 - Orthopedic institutes</t>
        </is>
      </c>
      <c r="B949" s="94" t="inlineStr">
        <is>
          <t>151010 אסף מדיקל</t>
        </is>
      </c>
      <c r="C949" s="94" t="inlineStr">
        <is>
          <t>INV64473</t>
        </is>
      </c>
      <c r="D949" s="94" t="inlineStr">
        <is>
          <t>INV</t>
        </is>
      </c>
      <c r="E949" s="102" t="n">
        <v>444</v>
      </c>
      <c r="F949" s="94" t="n">
        <v>2</v>
      </c>
      <c r="G949" s="102" t="n">
        <v>0</v>
      </c>
      <c r="H949" s="94" t="n">
        <v>0</v>
      </c>
    </row>
    <row r="950" ht="15" customHeight="1" s="82">
      <c r="A950" s="94" t="inlineStr">
        <is>
          <t>102 - Orthopedic institutes</t>
        </is>
      </c>
      <c r="B950" s="94" t="inlineStr">
        <is>
          <t>151010 אסף מדיקל</t>
        </is>
      </c>
      <c r="C950" s="94" t="inlineStr">
        <is>
          <t>CM44210</t>
        </is>
      </c>
      <c r="D950" s="94" t="inlineStr">
        <is>
          <t>CM</t>
        </is>
      </c>
      <c r="E950" s="102" t="n">
        <v>-540</v>
      </c>
      <c r="F950" s="94" t="n">
        <v>-6</v>
      </c>
      <c r="G950" s="102" t="n">
        <v>0</v>
      </c>
      <c r="H950" s="94" t="n">
        <v>0</v>
      </c>
    </row>
    <row r="951" ht="15" customHeight="1" s="82">
      <c r="A951" s="94" t="inlineStr">
        <is>
          <t>102 - Orthopedic institutes</t>
        </is>
      </c>
      <c r="B951" s="94" t="inlineStr">
        <is>
          <t>151010 אסף מדיקל</t>
        </is>
      </c>
      <c r="C951" s="94" t="inlineStr">
        <is>
          <t>CM44635</t>
        </is>
      </c>
      <c r="D951" s="94" t="inlineStr">
        <is>
          <t>CM</t>
        </is>
      </c>
      <c r="E951" s="102" t="n">
        <v>0</v>
      </c>
      <c r="F951" s="94" t="n">
        <v>0</v>
      </c>
      <c r="G951" s="102" t="n">
        <v>-665.5</v>
      </c>
      <c r="H951" s="94" t="n">
        <v>-2</v>
      </c>
    </row>
    <row r="952" ht="15" customHeight="1" s="82">
      <c r="A952" s="94" t="inlineStr">
        <is>
          <t>102 - Orthopedic institutes</t>
        </is>
      </c>
      <c r="B952" s="94" t="inlineStr">
        <is>
          <t>151048 כיאל מדיקל בע"מ</t>
        </is>
      </c>
      <c r="C952" s="94" t="inlineStr">
        <is>
          <t>INV56256</t>
        </is>
      </c>
      <c r="D952" s="94" t="inlineStr">
        <is>
          <t>INV</t>
        </is>
      </c>
      <c r="E952" s="102" t="n">
        <v>1228.69</v>
      </c>
      <c r="F952" s="94" t="n">
        <v>10</v>
      </c>
      <c r="G952" s="102" t="n">
        <v>0</v>
      </c>
      <c r="H952" s="94" t="n">
        <v>0</v>
      </c>
    </row>
    <row r="953" ht="15" customHeight="1" s="82">
      <c r="A953" s="94" t="inlineStr">
        <is>
          <t>102 - Orthopedic institutes</t>
        </is>
      </c>
      <c r="B953" s="94" t="inlineStr">
        <is>
          <t>151048 כיאל מדיקל בע"מ</t>
        </is>
      </c>
      <c r="C953" s="94" t="inlineStr">
        <is>
          <t>INV50598</t>
        </is>
      </c>
      <c r="D953" s="94" t="inlineStr">
        <is>
          <t>INV</t>
        </is>
      </c>
      <c r="E953" s="102" t="n">
        <v>1092.13</v>
      </c>
      <c r="F953" s="94" t="n">
        <v>15</v>
      </c>
      <c r="G953" s="102" t="n">
        <v>0</v>
      </c>
      <c r="H953" s="94" t="n">
        <v>0</v>
      </c>
    </row>
    <row r="954" ht="15" customHeight="1" s="82">
      <c r="A954" s="94" t="inlineStr">
        <is>
          <t>102 - Orthopedic institutes</t>
        </is>
      </c>
      <c r="B954" s="94" t="inlineStr">
        <is>
          <t>151048 כיאל מדיקל בע"מ</t>
        </is>
      </c>
      <c r="C954" s="94" t="inlineStr">
        <is>
          <t>INV40374</t>
        </is>
      </c>
      <c r="D954" s="94" t="inlineStr">
        <is>
          <t>INV</t>
        </is>
      </c>
      <c r="E954" s="102" t="n">
        <v>791.16</v>
      </c>
      <c r="F954" s="94" t="n">
        <v>8</v>
      </c>
      <c r="G954" s="102" t="n">
        <v>0</v>
      </c>
      <c r="H954" s="94" t="n">
        <v>0</v>
      </c>
    </row>
    <row r="955" ht="15" customHeight="1" s="82">
      <c r="A955" s="94" t="inlineStr">
        <is>
          <t>102 - Orthopedic institutes</t>
        </is>
      </c>
      <c r="B955" s="94" t="inlineStr">
        <is>
          <t>151048 כיאל מדיקל בע"מ</t>
        </is>
      </c>
      <c r="C955" s="94" t="inlineStr">
        <is>
          <t>INV51107</t>
        </is>
      </c>
      <c r="D955" s="94" t="inlineStr">
        <is>
          <t>INV</t>
        </is>
      </c>
      <c r="E955" s="102" t="n">
        <v>631.47</v>
      </c>
      <c r="F955" s="94" t="n">
        <v>19</v>
      </c>
      <c r="G955" s="102" t="n">
        <v>0</v>
      </c>
      <c r="H955" s="94" t="n">
        <v>0</v>
      </c>
    </row>
    <row r="956" ht="15" customHeight="1" s="82">
      <c r="A956" s="94" t="inlineStr">
        <is>
          <t>102 - Orthopedic institutes</t>
        </is>
      </c>
      <c r="B956" s="94" t="inlineStr">
        <is>
          <t>151054 אורטופדיה סנטר</t>
        </is>
      </c>
      <c r="C956" s="94" t="inlineStr">
        <is>
          <t>INV66962</t>
        </is>
      </c>
      <c r="D956" s="94" t="inlineStr">
        <is>
          <t>INV</t>
        </is>
      </c>
      <c r="E956" s="102" t="n">
        <v>210</v>
      </c>
      <c r="F956" s="94" t="n">
        <v>2</v>
      </c>
      <c r="G956" s="102" t="n">
        <v>0</v>
      </c>
      <c r="H956" s="94" t="n">
        <v>0</v>
      </c>
    </row>
    <row r="957" ht="15" customHeight="1" s="82">
      <c r="A957" s="94" t="inlineStr">
        <is>
          <t>102 - Orthopedic institutes</t>
        </is>
      </c>
      <c r="B957" s="94" t="inlineStr">
        <is>
          <t>151057 מזלטק בע"מ</t>
        </is>
      </c>
      <c r="C957" s="94" t="inlineStr">
        <is>
          <t>INV56252</t>
        </is>
      </c>
      <c r="D957" s="94" t="inlineStr">
        <is>
          <t>INV</t>
        </is>
      </c>
      <c r="E957" s="102" t="n">
        <v>350</v>
      </c>
      <c r="F957" s="94" t="n">
        <v>1</v>
      </c>
      <c r="G957" s="102" t="n">
        <v>0</v>
      </c>
      <c r="H957" s="94" t="n">
        <v>0</v>
      </c>
    </row>
    <row r="958" ht="15" customHeight="1" s="82">
      <c r="A958" s="94" t="inlineStr">
        <is>
          <t>102 - Orthopedic institutes</t>
        </is>
      </c>
      <c r="B958" s="94" t="inlineStr">
        <is>
          <t>151057 מזלטק בע"מ</t>
        </is>
      </c>
      <c r="C958" s="94" t="inlineStr">
        <is>
          <t>INV64431</t>
        </is>
      </c>
      <c r="D958" s="94" t="inlineStr">
        <is>
          <t>INV</t>
        </is>
      </c>
      <c r="E958" s="102" t="n">
        <v>350</v>
      </c>
      <c r="F958" s="94" t="n">
        <v>1</v>
      </c>
      <c r="G958" s="102" t="n">
        <v>0</v>
      </c>
      <c r="H958" s="94" t="n">
        <v>0</v>
      </c>
    </row>
    <row r="959" ht="15" customHeight="1" s="82">
      <c r="A959" s="94" t="inlineStr">
        <is>
          <t>102 - Orthopedic institutes</t>
        </is>
      </c>
      <c r="B959" s="94" t="inlineStr">
        <is>
          <t>151057 מזלטק בע"מ</t>
        </is>
      </c>
      <c r="C959" s="94" t="inlineStr">
        <is>
          <t>INV53242</t>
        </is>
      </c>
      <c r="D959" s="94" t="inlineStr">
        <is>
          <t>INV</t>
        </is>
      </c>
      <c r="E959" s="102" t="n">
        <v>350</v>
      </c>
      <c r="F959" s="94" t="n">
        <v>1</v>
      </c>
      <c r="G959" s="102" t="n">
        <v>0</v>
      </c>
      <c r="H959" s="94" t="n">
        <v>0</v>
      </c>
    </row>
    <row r="960" ht="15" customHeight="1" s="82">
      <c r="A960" s="94" t="inlineStr">
        <is>
          <t>102 - Orthopedic institutes</t>
        </is>
      </c>
      <c r="B960" s="94" t="inlineStr">
        <is>
          <t>151057 מזלטק בע"מ</t>
        </is>
      </c>
      <c r="C960" s="94" t="inlineStr">
        <is>
          <t>INV68883</t>
        </is>
      </c>
      <c r="D960" s="94" t="inlineStr">
        <is>
          <t>INV</t>
        </is>
      </c>
      <c r="E960" s="102" t="n">
        <v>0</v>
      </c>
      <c r="F960" s="94" t="n">
        <v>0</v>
      </c>
      <c r="G960" s="102" t="n">
        <v>315.45</v>
      </c>
      <c r="H960" s="94" t="n">
        <v>11</v>
      </c>
    </row>
    <row r="961" ht="15" customHeight="1" s="82">
      <c r="A961" s="94" t="inlineStr">
        <is>
          <t>102 - Orthopedic institutes</t>
        </is>
      </c>
      <c r="B961" s="94" t="inlineStr">
        <is>
          <t>151057 מזלטק בע"מ</t>
        </is>
      </c>
      <c r="C961" s="94" t="inlineStr">
        <is>
          <t>INV67370</t>
        </is>
      </c>
      <c r="D961" s="94" t="inlineStr">
        <is>
          <t>INV</t>
        </is>
      </c>
      <c r="E961" s="102" t="n">
        <v>0</v>
      </c>
      <c r="F961" s="94" t="n">
        <v>0</v>
      </c>
      <c r="G961" s="102" t="n">
        <v>170</v>
      </c>
      <c r="H961" s="94" t="n">
        <v>2</v>
      </c>
    </row>
    <row r="962" ht="15" customHeight="1" s="82">
      <c r="A962" s="94" t="inlineStr">
        <is>
          <t>102 - Orthopedic institutes</t>
        </is>
      </c>
      <c r="B962" s="94" t="inlineStr">
        <is>
          <t>151057 מזלטק בע"מ</t>
        </is>
      </c>
      <c r="C962" s="94" t="inlineStr">
        <is>
          <t>INV40856</t>
        </is>
      </c>
      <c r="D962" s="94" t="inlineStr">
        <is>
          <t>INV</t>
        </is>
      </c>
      <c r="E962" s="102" t="n">
        <v>155</v>
      </c>
      <c r="F962" s="94" t="n">
        <v>2</v>
      </c>
      <c r="G962" s="102" t="n">
        <v>0</v>
      </c>
      <c r="H962" s="94" t="n">
        <v>0</v>
      </c>
    </row>
    <row r="963" ht="15" customHeight="1" s="82">
      <c r="A963" s="94" t="inlineStr">
        <is>
          <t>102 - Orthopedic institutes</t>
        </is>
      </c>
      <c r="B963" s="94" t="inlineStr">
        <is>
          <t>151057 מזלטק בע"מ</t>
        </is>
      </c>
      <c r="C963" s="94" t="inlineStr">
        <is>
          <t>INV61651</t>
        </is>
      </c>
      <c r="D963" s="94" t="inlineStr">
        <is>
          <t>INV</t>
        </is>
      </c>
      <c r="E963" s="102" t="n">
        <v>126.88</v>
      </c>
      <c r="F963" s="94" t="n">
        <v>2</v>
      </c>
      <c r="G963" s="102" t="n">
        <v>0</v>
      </c>
      <c r="H963" s="94" t="n">
        <v>0</v>
      </c>
    </row>
    <row r="964" ht="15" customHeight="1" s="82">
      <c r="A964" s="94" t="inlineStr">
        <is>
          <t>102 - Orthopedic institutes</t>
        </is>
      </c>
      <c r="B964" s="94" t="inlineStr">
        <is>
          <t>151057 מזלטק בע"מ</t>
        </is>
      </c>
      <c r="C964" s="94" t="inlineStr">
        <is>
          <t>CM43814</t>
        </is>
      </c>
      <c r="D964" s="94" t="inlineStr">
        <is>
          <t>CM</t>
        </is>
      </c>
      <c r="E964" s="102" t="n">
        <v>-350</v>
      </c>
      <c r="F964" s="94" t="n">
        <v>-1</v>
      </c>
      <c r="G964" s="102" t="n">
        <v>0</v>
      </c>
      <c r="H964" s="94" t="n">
        <v>0</v>
      </c>
    </row>
    <row r="965" ht="15" customHeight="1" s="82">
      <c r="A965" s="94" t="inlineStr">
        <is>
          <t>102 - Orthopedic institutes</t>
        </is>
      </c>
      <c r="B965" s="94" t="inlineStr">
        <is>
          <t>151059 מדי אפיקים בע"מ</t>
        </is>
      </c>
      <c r="C965" s="94" t="inlineStr">
        <is>
          <t>INV68370</t>
        </is>
      </c>
      <c r="D965" s="94" t="inlineStr">
        <is>
          <t>INV</t>
        </is>
      </c>
      <c r="E965" s="102" t="n">
        <v>0</v>
      </c>
      <c r="F965" s="94" t="n">
        <v>0</v>
      </c>
      <c r="G965" s="102" t="n">
        <v>3207.07</v>
      </c>
      <c r="H965" s="94" t="n">
        <v>57</v>
      </c>
    </row>
    <row r="966" ht="15" customHeight="1" s="82">
      <c r="A966" s="94" t="inlineStr">
        <is>
          <t>102 - Orthopedic institutes</t>
        </is>
      </c>
      <c r="B966" s="94" t="inlineStr">
        <is>
          <t>151059 מדי אפיקים בע"מ</t>
        </is>
      </c>
      <c r="C966" s="94" t="inlineStr">
        <is>
          <t>INV50327</t>
        </is>
      </c>
      <c r="D966" s="94" t="inlineStr">
        <is>
          <t>INV</t>
        </is>
      </c>
      <c r="E966" s="102" t="n">
        <v>2896.26</v>
      </c>
      <c r="F966" s="94" t="n">
        <v>55</v>
      </c>
      <c r="G966" s="102" t="n">
        <v>0</v>
      </c>
      <c r="H966" s="94" t="n">
        <v>0</v>
      </c>
    </row>
    <row r="967" ht="15" customHeight="1" s="82">
      <c r="A967" s="94" t="inlineStr">
        <is>
          <t>102 - Orthopedic institutes</t>
        </is>
      </c>
      <c r="B967" s="94" t="inlineStr">
        <is>
          <t>151059 מדי אפיקים בע"מ</t>
        </is>
      </c>
      <c r="C967" s="94" t="inlineStr">
        <is>
          <t>INV67779</t>
        </is>
      </c>
      <c r="D967" s="94" t="inlineStr">
        <is>
          <t>INV</t>
        </is>
      </c>
      <c r="E967" s="102" t="n">
        <v>0</v>
      </c>
      <c r="F967" s="94" t="n">
        <v>0</v>
      </c>
      <c r="G967" s="102" t="n">
        <v>2615.19</v>
      </c>
      <c r="H967" s="94" t="n">
        <v>22</v>
      </c>
    </row>
    <row r="968" ht="15" customHeight="1" s="82">
      <c r="A968" s="94" t="inlineStr">
        <is>
          <t>102 - Orthopedic institutes</t>
        </is>
      </c>
      <c r="B968" s="94" t="inlineStr">
        <is>
          <t>151059 מדי אפיקים בע"מ</t>
        </is>
      </c>
      <c r="C968" s="94" t="inlineStr">
        <is>
          <t>INV66585</t>
        </is>
      </c>
      <c r="D968" s="94" t="inlineStr">
        <is>
          <t>INV</t>
        </is>
      </c>
      <c r="E968" s="102" t="n">
        <v>2504.18</v>
      </c>
      <c r="F968" s="94" t="n">
        <v>40</v>
      </c>
      <c r="G968" s="102" t="n">
        <v>0</v>
      </c>
      <c r="H968" s="94" t="n">
        <v>0</v>
      </c>
    </row>
    <row r="969" ht="15" customHeight="1" s="82">
      <c r="A969" s="94" t="inlineStr">
        <is>
          <t>102 - Orthopedic institutes</t>
        </is>
      </c>
      <c r="B969" s="94" t="inlineStr">
        <is>
          <t>151059 מדי אפיקים בע"מ</t>
        </is>
      </c>
      <c r="C969" s="94" t="inlineStr">
        <is>
          <t>INV68608</t>
        </is>
      </c>
      <c r="D969" s="94" t="inlineStr">
        <is>
          <t>INV</t>
        </is>
      </c>
      <c r="E969" s="102" t="n">
        <v>0</v>
      </c>
      <c r="F969" s="94" t="n">
        <v>0</v>
      </c>
      <c r="G969" s="102" t="n">
        <v>1803.87</v>
      </c>
      <c r="H969" s="94" t="n">
        <v>31</v>
      </c>
    </row>
    <row r="970" ht="15" customHeight="1" s="82">
      <c r="A970" s="94" t="inlineStr">
        <is>
          <t>102 - Orthopedic institutes</t>
        </is>
      </c>
      <c r="B970" s="94" t="inlineStr">
        <is>
          <t>151059 מדי אפיקים בע"מ</t>
        </is>
      </c>
      <c r="C970" s="94" t="inlineStr">
        <is>
          <t>INV60994</t>
        </is>
      </c>
      <c r="D970" s="94" t="inlineStr">
        <is>
          <t>INV</t>
        </is>
      </c>
      <c r="E970" s="102" t="n">
        <v>1439.32</v>
      </c>
      <c r="F970" s="94" t="n">
        <v>62</v>
      </c>
      <c r="G970" s="102" t="n">
        <v>0</v>
      </c>
      <c r="H970" s="94" t="n">
        <v>0</v>
      </c>
    </row>
    <row r="971" ht="15" customHeight="1" s="82">
      <c r="A971" s="94" t="inlineStr">
        <is>
          <t>102 - Orthopedic institutes</t>
        </is>
      </c>
      <c r="B971" s="94" t="inlineStr">
        <is>
          <t>151059 מדי אפיקים בע"מ</t>
        </is>
      </c>
      <c r="C971" s="94" t="inlineStr">
        <is>
          <t>INV66049</t>
        </is>
      </c>
      <c r="D971" s="94" t="inlineStr">
        <is>
          <t>INV</t>
        </is>
      </c>
      <c r="E971" s="102" t="n">
        <v>1271.68</v>
      </c>
      <c r="F971" s="94" t="n">
        <v>14</v>
      </c>
      <c r="G971" s="102" t="n">
        <v>0</v>
      </c>
      <c r="H971" s="94" t="n">
        <v>0</v>
      </c>
    </row>
    <row r="972" ht="15" customHeight="1" s="82">
      <c r="A972" s="94" t="inlineStr">
        <is>
          <t>102 - Orthopedic institutes</t>
        </is>
      </c>
      <c r="B972" s="94" t="inlineStr">
        <is>
          <t>151059 מדי אפיקים בע"מ</t>
        </is>
      </c>
      <c r="C972" s="94" t="inlineStr">
        <is>
          <t>INV45807</t>
        </is>
      </c>
      <c r="D972" s="94" t="inlineStr">
        <is>
          <t>INV</t>
        </is>
      </c>
      <c r="E972" s="102" t="n">
        <v>1088.74</v>
      </c>
      <c r="F972" s="94" t="n">
        <v>14</v>
      </c>
      <c r="G972" s="102" t="n">
        <v>0</v>
      </c>
      <c r="H972" s="94" t="n">
        <v>0</v>
      </c>
    </row>
    <row r="973" ht="15" customHeight="1" s="82">
      <c r="A973" s="94" t="inlineStr">
        <is>
          <t>102 - Orthopedic institutes</t>
        </is>
      </c>
      <c r="B973" s="94" t="inlineStr">
        <is>
          <t>151059 מדי אפיקים בע"מ</t>
        </is>
      </c>
      <c r="C973" s="94" t="inlineStr">
        <is>
          <t>INV68373</t>
        </is>
      </c>
      <c r="D973" s="94" t="inlineStr">
        <is>
          <t>INV</t>
        </is>
      </c>
      <c r="E973" s="102" t="n">
        <v>0</v>
      </c>
      <c r="F973" s="94" t="n">
        <v>0</v>
      </c>
      <c r="G973" s="102" t="n">
        <v>1084.82</v>
      </c>
      <c r="H973" s="94" t="n">
        <v>3</v>
      </c>
    </row>
    <row r="974" ht="15" customHeight="1" s="82">
      <c r="A974" s="94" t="inlineStr">
        <is>
          <t>102 - Orthopedic institutes</t>
        </is>
      </c>
      <c r="B974" s="94" t="inlineStr">
        <is>
          <t>151059 מדי אפיקים בע"מ</t>
        </is>
      </c>
      <c r="C974" s="94" t="inlineStr">
        <is>
          <t>INV68714</t>
        </is>
      </c>
      <c r="D974" s="94" t="inlineStr">
        <is>
          <t>INV</t>
        </is>
      </c>
      <c r="E974" s="102" t="n">
        <v>0</v>
      </c>
      <c r="F974" s="94" t="n">
        <v>0</v>
      </c>
      <c r="G974" s="102" t="n">
        <v>1049.86</v>
      </c>
      <c r="H974" s="94" t="n">
        <v>2</v>
      </c>
    </row>
    <row r="975" ht="15" customHeight="1" s="82">
      <c r="A975" s="94" t="inlineStr">
        <is>
          <t>102 - Orthopedic institutes</t>
        </is>
      </c>
      <c r="B975" s="94" t="inlineStr">
        <is>
          <t>151059 מדי אפיקים בע"מ</t>
        </is>
      </c>
      <c r="C975" s="94" t="inlineStr">
        <is>
          <t>INV56254</t>
        </is>
      </c>
      <c r="D975" s="94" t="inlineStr">
        <is>
          <t>INV</t>
        </is>
      </c>
      <c r="E975" s="102" t="n">
        <v>819.12</v>
      </c>
      <c r="F975" s="94" t="n">
        <v>25</v>
      </c>
      <c r="G975" s="102" t="n">
        <v>0</v>
      </c>
      <c r="H975" s="94" t="n">
        <v>0</v>
      </c>
    </row>
    <row r="976" ht="15" customHeight="1" s="82">
      <c r="A976" s="94" t="inlineStr">
        <is>
          <t>102 - Orthopedic institutes</t>
        </is>
      </c>
      <c r="B976" s="94" t="inlineStr">
        <is>
          <t>151059 מדי אפיקים בע"מ</t>
        </is>
      </c>
      <c r="C976" s="94" t="inlineStr">
        <is>
          <t>INV67202</t>
        </is>
      </c>
      <c r="D976" s="94" t="inlineStr">
        <is>
          <t>INV</t>
        </is>
      </c>
      <c r="E976" s="102" t="n">
        <v>0</v>
      </c>
      <c r="F976" s="94" t="n">
        <v>0</v>
      </c>
      <c r="G976" s="102" t="n">
        <v>770.36</v>
      </c>
      <c r="H976" s="94" t="n">
        <v>15</v>
      </c>
    </row>
    <row r="977" ht="15" customHeight="1" s="82">
      <c r="A977" s="94" t="inlineStr">
        <is>
          <t>102 - Orthopedic institutes</t>
        </is>
      </c>
      <c r="B977" s="94" t="inlineStr">
        <is>
          <t>151059 מדי אפיקים בע"מ</t>
        </is>
      </c>
      <c r="C977" s="94" t="inlineStr">
        <is>
          <t>INV40720</t>
        </is>
      </c>
      <c r="D977" s="94" t="inlineStr">
        <is>
          <t>INV</t>
        </is>
      </c>
      <c r="E977" s="102" t="n">
        <v>655.66</v>
      </c>
      <c r="F977" s="94" t="n">
        <v>15</v>
      </c>
      <c r="G977" s="102" t="n">
        <v>0</v>
      </c>
      <c r="H977" s="94" t="n">
        <v>0</v>
      </c>
    </row>
    <row r="978" ht="15" customHeight="1" s="82">
      <c r="A978" s="94" t="inlineStr">
        <is>
          <t>102 - Orthopedic institutes</t>
        </is>
      </c>
      <c r="B978" s="94" t="inlineStr">
        <is>
          <t>151059 מדי אפיקים בע"מ</t>
        </is>
      </c>
      <c r="C978" s="94" t="inlineStr">
        <is>
          <t>INV40881</t>
        </is>
      </c>
      <c r="D978" s="94" t="inlineStr">
        <is>
          <t>INV</t>
        </is>
      </c>
      <c r="E978" s="102" t="n">
        <v>642</v>
      </c>
      <c r="F978" s="94" t="n">
        <v>2</v>
      </c>
      <c r="G978" s="102" t="n">
        <v>0</v>
      </c>
      <c r="H978" s="94" t="n">
        <v>0</v>
      </c>
    </row>
    <row r="979" ht="15" customHeight="1" s="82">
      <c r="A979" s="94" t="inlineStr">
        <is>
          <t>102 - Orthopedic institutes</t>
        </is>
      </c>
      <c r="B979" s="94" t="inlineStr">
        <is>
          <t>151059 מדי אפיקים בע"מ</t>
        </is>
      </c>
      <c r="C979" s="94" t="inlineStr">
        <is>
          <t>INV69148</t>
        </is>
      </c>
      <c r="D979" s="94" t="inlineStr">
        <is>
          <t>INV</t>
        </is>
      </c>
      <c r="E979" s="102" t="n">
        <v>0</v>
      </c>
      <c r="F979" s="94" t="n">
        <v>0</v>
      </c>
      <c r="G979" s="102" t="n">
        <v>557.49</v>
      </c>
      <c r="H979" s="94" t="n">
        <v>8</v>
      </c>
    </row>
    <row r="980" ht="15" customHeight="1" s="82">
      <c r="A980" s="94" t="inlineStr">
        <is>
          <t>102 - Orthopedic institutes</t>
        </is>
      </c>
      <c r="B980" s="94" t="inlineStr">
        <is>
          <t>151059 מדי אפיקים בע"מ</t>
        </is>
      </c>
      <c r="C980" s="94" t="inlineStr">
        <is>
          <t>INV57932</t>
        </is>
      </c>
      <c r="D980" s="94" t="inlineStr">
        <is>
          <t>INV</t>
        </is>
      </c>
      <c r="E980" s="102" t="n">
        <v>540</v>
      </c>
      <c r="F980" s="94" t="n">
        <v>20</v>
      </c>
      <c r="G980" s="102" t="n">
        <v>0</v>
      </c>
      <c r="H980" s="94" t="n">
        <v>0</v>
      </c>
    </row>
    <row r="981" ht="15" customHeight="1" s="82">
      <c r="A981" s="94" t="inlineStr">
        <is>
          <t>102 - Orthopedic institutes</t>
        </is>
      </c>
      <c r="B981" s="94" t="inlineStr">
        <is>
          <t>151059 מדי אפיקים בע"מ</t>
        </is>
      </c>
      <c r="C981" s="94" t="inlineStr">
        <is>
          <t>INV68713</t>
        </is>
      </c>
      <c r="D981" s="94" t="inlineStr">
        <is>
          <t>INV</t>
        </is>
      </c>
      <c r="E981" s="102" t="n">
        <v>0</v>
      </c>
      <c r="F981" s="94" t="n">
        <v>0</v>
      </c>
      <c r="G981" s="102" t="n">
        <v>540</v>
      </c>
      <c r="H981" s="94" t="n">
        <v>20</v>
      </c>
    </row>
    <row r="982" ht="15" customHeight="1" s="82">
      <c r="A982" s="94" t="inlineStr">
        <is>
          <t>102 - Orthopedic institutes</t>
        </is>
      </c>
      <c r="B982" s="94" t="inlineStr">
        <is>
          <t>151059 מדי אפיקים בע"מ</t>
        </is>
      </c>
      <c r="C982" s="94" t="inlineStr">
        <is>
          <t>INV68609</t>
        </is>
      </c>
      <c r="D982" s="94" t="inlineStr">
        <is>
          <t>INV</t>
        </is>
      </c>
      <c r="E982" s="102" t="n">
        <v>0</v>
      </c>
      <c r="F982" s="94" t="n">
        <v>0</v>
      </c>
      <c r="G982" s="102" t="n">
        <v>524.9299999999999</v>
      </c>
      <c r="H982" s="94" t="n">
        <v>1</v>
      </c>
    </row>
    <row r="983" ht="15" customHeight="1" s="82">
      <c r="A983" s="94" t="inlineStr">
        <is>
          <t>102 - Orthopedic institutes</t>
        </is>
      </c>
      <c r="B983" s="94" t="inlineStr">
        <is>
          <t>151059 מדי אפיקים בע"מ</t>
        </is>
      </c>
      <c r="C983" s="94" t="inlineStr">
        <is>
          <t>INV68792</t>
        </is>
      </c>
      <c r="D983" s="94" t="inlineStr">
        <is>
          <t>INV</t>
        </is>
      </c>
      <c r="E983" s="102" t="n">
        <v>0</v>
      </c>
      <c r="F983" s="94" t="n">
        <v>0</v>
      </c>
      <c r="G983" s="102" t="n">
        <v>424.84</v>
      </c>
      <c r="H983" s="94" t="n">
        <v>16</v>
      </c>
    </row>
    <row r="984" ht="15" customHeight="1" s="82">
      <c r="A984" s="94" t="inlineStr">
        <is>
          <t>102 - Orthopedic institutes</t>
        </is>
      </c>
      <c r="B984" s="94" t="inlineStr">
        <is>
          <t>151059 מדי אפיקים בע"מ</t>
        </is>
      </c>
      <c r="C984" s="94" t="inlineStr">
        <is>
          <t>CM44472</t>
        </is>
      </c>
      <c r="D984" s="94" t="inlineStr">
        <is>
          <t>CM</t>
        </is>
      </c>
      <c r="E984" s="102" t="n">
        <v>0</v>
      </c>
      <c r="F984" s="94" t="n">
        <v>0</v>
      </c>
      <c r="G984" s="102" t="n">
        <v>-140.75</v>
      </c>
      <c r="H984" s="94" t="n">
        <v>-7</v>
      </c>
    </row>
    <row r="985" ht="15" customHeight="1" s="82">
      <c r="A985" s="94" t="inlineStr">
        <is>
          <t>102 - Orthopedic institutes</t>
        </is>
      </c>
      <c r="B985" s="94" t="inlineStr">
        <is>
          <t>151059 מדי אפיקים בע"מ</t>
        </is>
      </c>
      <c r="C985" s="94" t="inlineStr">
        <is>
          <t>CM43503</t>
        </is>
      </c>
      <c r="D985" s="94" t="inlineStr">
        <is>
          <t>CM</t>
        </is>
      </c>
      <c r="E985" s="102" t="n">
        <v>-321</v>
      </c>
      <c r="F985" s="94" t="n">
        <v>-1</v>
      </c>
      <c r="G985" s="102" t="n">
        <v>0</v>
      </c>
      <c r="H985" s="94" t="n">
        <v>0</v>
      </c>
    </row>
    <row r="986" ht="15" customHeight="1" s="82">
      <c r="A986" s="94" t="inlineStr">
        <is>
          <t>102 - Orthopedic institutes</t>
        </is>
      </c>
      <c r="B986" s="94" t="inlineStr">
        <is>
          <t>151059 מדי אפיקים בע"מ</t>
        </is>
      </c>
      <c r="C986" s="94" t="inlineStr">
        <is>
          <t>CM43367</t>
        </is>
      </c>
      <c r="D986" s="94" t="inlineStr">
        <is>
          <t>CM</t>
        </is>
      </c>
      <c r="E986" s="102" t="n">
        <v>-321</v>
      </c>
      <c r="F986" s="94" t="n">
        <v>-1</v>
      </c>
      <c r="G986" s="102" t="n">
        <v>0</v>
      </c>
      <c r="H986" s="94" t="n">
        <v>0</v>
      </c>
    </row>
    <row r="987" ht="15" customHeight="1" s="82">
      <c r="A987" s="94" t="inlineStr">
        <is>
          <t>102 - Orthopedic institutes</t>
        </is>
      </c>
      <c r="B987" s="94" t="inlineStr">
        <is>
          <t>151059 מדי אפיקים בע"מ</t>
        </is>
      </c>
      <c r="C987" s="94" t="inlineStr">
        <is>
          <t>CM44551</t>
        </is>
      </c>
      <c r="D987" s="94" t="inlineStr">
        <is>
          <t>CM</t>
        </is>
      </c>
      <c r="E987" s="102" t="n">
        <v>0</v>
      </c>
      <c r="F987" s="94" t="n">
        <v>0</v>
      </c>
      <c r="G987" s="102" t="n">
        <v>-524.9299999999999</v>
      </c>
      <c r="H987" s="94" t="n">
        <v>-1</v>
      </c>
    </row>
    <row r="988" ht="15" customHeight="1" s="82">
      <c r="A988" s="94" t="inlineStr">
        <is>
          <t>102 - Orthopedic institutes</t>
        </is>
      </c>
      <c r="B988" s="94" t="inlineStr">
        <is>
          <t>151083 גל און קליניק</t>
        </is>
      </c>
      <c r="C988" s="94" t="inlineStr">
        <is>
          <t>INV49990</t>
        </is>
      </c>
      <c r="D988" s="94" t="inlineStr">
        <is>
          <t>INV</t>
        </is>
      </c>
      <c r="E988" s="102" t="n">
        <v>252</v>
      </c>
      <c r="F988" s="94" t="n">
        <v>2</v>
      </c>
      <c r="G988" s="102" t="n">
        <v>0</v>
      </c>
      <c r="H988" s="94" t="n">
        <v>0</v>
      </c>
    </row>
    <row r="989" ht="15" customHeight="1" s="82">
      <c r="A989" s="94" t="inlineStr">
        <is>
          <t>102 - Orthopedic institutes</t>
        </is>
      </c>
      <c r="B989" s="94" t="inlineStr">
        <is>
          <t>151083 גל און קליניק</t>
        </is>
      </c>
      <c r="C989" s="94" t="inlineStr">
        <is>
          <t>INV42828</t>
        </is>
      </c>
      <c r="D989" s="94" t="inlineStr">
        <is>
          <t>INV</t>
        </is>
      </c>
      <c r="E989" s="102" t="n">
        <v>100.87</v>
      </c>
      <c r="F989" s="94" t="n">
        <v>2</v>
      </c>
      <c r="G989" s="102" t="n">
        <v>0</v>
      </c>
      <c r="H989" s="94" t="n">
        <v>0</v>
      </c>
    </row>
    <row r="990" ht="15" customHeight="1" s="82">
      <c r="A990" s="94" t="inlineStr">
        <is>
          <t>102 - Orthopedic institutes</t>
        </is>
      </c>
      <c r="B990" s="94" t="inlineStr">
        <is>
          <t>151092 נקודת הריפוי</t>
        </is>
      </c>
      <c r="C990" s="94" t="inlineStr">
        <is>
          <t>INV61141</t>
        </is>
      </c>
      <c r="D990" s="94" t="inlineStr">
        <is>
          <t>INV</t>
        </is>
      </c>
      <c r="E990" s="102" t="n">
        <v>2538</v>
      </c>
      <c r="F990" s="94" t="n">
        <v>25</v>
      </c>
      <c r="G990" s="102" t="n">
        <v>0</v>
      </c>
      <c r="H990" s="94" t="n">
        <v>0</v>
      </c>
    </row>
    <row r="991" ht="15" customHeight="1" s="82">
      <c r="A991" s="94" t="inlineStr">
        <is>
          <t>102 - Orthopedic institutes</t>
        </is>
      </c>
      <c r="B991" s="94" t="inlineStr">
        <is>
          <t>151092 נקודת הריפוי</t>
        </is>
      </c>
      <c r="C991" s="94" t="inlineStr">
        <is>
          <t>INV53241</t>
        </is>
      </c>
      <c r="D991" s="94" t="inlineStr">
        <is>
          <t>INV</t>
        </is>
      </c>
      <c r="E991" s="102" t="n">
        <v>1956.58</v>
      </c>
      <c r="F991" s="94" t="n">
        <v>25</v>
      </c>
      <c r="G991" s="102" t="n">
        <v>0</v>
      </c>
      <c r="H991" s="94" t="n">
        <v>0</v>
      </c>
    </row>
    <row r="992" ht="15" customHeight="1" s="82">
      <c r="A992" s="94" t="inlineStr">
        <is>
          <t>102 - Orthopedic institutes</t>
        </is>
      </c>
      <c r="B992" s="94" t="inlineStr">
        <is>
          <t>151093 איזי סטיפס</t>
        </is>
      </c>
      <c r="C992" s="94" t="inlineStr">
        <is>
          <t>INV65683</t>
        </is>
      </c>
      <c r="D992" s="94" t="inlineStr">
        <is>
          <t>INV</t>
        </is>
      </c>
      <c r="E992" s="102" t="n">
        <v>1856.14</v>
      </c>
      <c r="F992" s="94" t="n">
        <v>17</v>
      </c>
      <c r="G992" s="102" t="n">
        <v>0</v>
      </c>
      <c r="H992" s="94" t="n">
        <v>0</v>
      </c>
    </row>
    <row r="993" ht="15" customHeight="1" s="82">
      <c r="A993" s="94" t="inlineStr">
        <is>
          <t>102 - Orthopedic institutes</t>
        </is>
      </c>
      <c r="B993" s="94" t="inlineStr">
        <is>
          <t>151093 איזי סטיפס</t>
        </is>
      </c>
      <c r="C993" s="94" t="inlineStr">
        <is>
          <t>INV66896</t>
        </is>
      </c>
      <c r="D993" s="94" t="inlineStr">
        <is>
          <t>INV</t>
        </is>
      </c>
      <c r="E993" s="102" t="n">
        <v>1644.98</v>
      </c>
      <c r="F993" s="94" t="n">
        <v>15</v>
      </c>
      <c r="G993" s="102" t="n">
        <v>0</v>
      </c>
      <c r="H993" s="94" t="n">
        <v>0</v>
      </c>
    </row>
    <row r="994" ht="15" customHeight="1" s="82">
      <c r="A994" s="94" t="inlineStr">
        <is>
          <t>102 - Orthopedic institutes</t>
        </is>
      </c>
      <c r="B994" s="94" t="inlineStr">
        <is>
          <t>151093 איזי סטיפס</t>
        </is>
      </c>
      <c r="C994" s="94" t="inlineStr">
        <is>
          <t>INV68529</t>
        </is>
      </c>
      <c r="D994" s="94" t="inlineStr">
        <is>
          <t>INV</t>
        </is>
      </c>
      <c r="E994" s="102" t="n">
        <v>0</v>
      </c>
      <c r="F994" s="94" t="n">
        <v>0</v>
      </c>
      <c r="G994" s="102" t="n">
        <v>584.99</v>
      </c>
      <c r="H994" s="94" t="n">
        <v>4</v>
      </c>
    </row>
    <row r="995" ht="15" customHeight="1" s="82">
      <c r="A995" s="94" t="inlineStr">
        <is>
          <t>102 - Orthopedic institutes</t>
        </is>
      </c>
      <c r="B995" s="94" t="inlineStr">
        <is>
          <t>151122 א.ב.רגליים</t>
        </is>
      </c>
      <c r="C995" s="94" t="inlineStr">
        <is>
          <t>INV55989</t>
        </is>
      </c>
      <c r="D995" s="94" t="inlineStr">
        <is>
          <t>INV</t>
        </is>
      </c>
      <c r="E995" s="102" t="n">
        <v>450</v>
      </c>
      <c r="F995" s="94" t="n">
        <v>5</v>
      </c>
      <c r="G995" s="102" t="n">
        <v>0</v>
      </c>
      <c r="H995" s="94" t="n">
        <v>0</v>
      </c>
    </row>
    <row r="996" ht="15" customHeight="1" s="82">
      <c r="A996" s="94" t="inlineStr">
        <is>
          <t>102 - Orthopedic institutes</t>
        </is>
      </c>
      <c r="B996" s="94" t="inlineStr">
        <is>
          <t>151122 א.ב.רגליים</t>
        </is>
      </c>
      <c r="C996" s="94" t="inlineStr">
        <is>
          <t>INV44989</t>
        </is>
      </c>
      <c r="D996" s="94" t="inlineStr">
        <is>
          <t>INV</t>
        </is>
      </c>
      <c r="E996" s="102" t="n">
        <v>413.79</v>
      </c>
      <c r="F996" s="94" t="n">
        <v>7</v>
      </c>
      <c r="G996" s="102" t="n">
        <v>0</v>
      </c>
      <c r="H996" s="94" t="n">
        <v>0</v>
      </c>
    </row>
    <row r="997" ht="15" customHeight="1" s="82">
      <c r="A997" s="94" t="inlineStr">
        <is>
          <t>102 - Orthopedic institutes</t>
        </is>
      </c>
      <c r="B997" s="94" t="inlineStr">
        <is>
          <t>151122 א.ב.רגליים</t>
        </is>
      </c>
      <c r="C997" s="94" t="inlineStr">
        <is>
          <t>CM43815</t>
        </is>
      </c>
      <c r="D997" s="94" t="inlineStr">
        <is>
          <t>CM</t>
        </is>
      </c>
      <c r="E997" s="102" t="n">
        <v>-315</v>
      </c>
      <c r="F997" s="94" t="n">
        <v>-3</v>
      </c>
      <c r="G997" s="102" t="n">
        <v>0</v>
      </c>
      <c r="H997" s="94" t="n">
        <v>0</v>
      </c>
    </row>
    <row r="998" ht="15" customHeight="1" s="82">
      <c r="A998" s="94" t="inlineStr">
        <is>
          <t>102 - Orthopedic institutes</t>
        </is>
      </c>
      <c r="B998" s="94" t="inlineStr">
        <is>
          <t>151123 אורטופדיה ספורט וכלי דם</t>
        </is>
      </c>
      <c r="C998" s="94" t="inlineStr">
        <is>
          <t>INV60202</t>
        </is>
      </c>
      <c r="D998" s="94" t="inlineStr">
        <is>
          <t>INV</t>
        </is>
      </c>
      <c r="E998" s="102" t="n">
        <v>627</v>
      </c>
      <c r="F998" s="94" t="n">
        <v>6</v>
      </c>
      <c r="G998" s="102" t="n">
        <v>0</v>
      </c>
      <c r="H998" s="94" t="n">
        <v>0</v>
      </c>
    </row>
    <row r="999" ht="15" customHeight="1" s="82">
      <c r="A999" s="94" t="inlineStr">
        <is>
          <t>102 - Orthopedic institutes</t>
        </is>
      </c>
      <c r="B999" s="94" t="inlineStr">
        <is>
          <t>151123 אורטופדיה ספורט וכלי דם</t>
        </is>
      </c>
      <c r="C999" s="94" t="inlineStr">
        <is>
          <t>INV68650</t>
        </is>
      </c>
      <c r="D999" s="94" t="inlineStr">
        <is>
          <t>INV</t>
        </is>
      </c>
      <c r="E999" s="102" t="n">
        <v>0</v>
      </c>
      <c r="F999" s="94" t="n">
        <v>0</v>
      </c>
      <c r="G999" s="102" t="n">
        <v>624</v>
      </c>
      <c r="H999" s="94" t="n">
        <v>4</v>
      </c>
    </row>
    <row r="1000" ht="15" customHeight="1" s="82">
      <c r="A1000" s="94" t="inlineStr">
        <is>
          <t>102 - Orthopedic institutes</t>
        </is>
      </c>
      <c r="B1000" s="94" t="inlineStr">
        <is>
          <t>151136 אמיר מדיקל פארם בע"מ</t>
        </is>
      </c>
      <c r="C1000" s="94" t="inlineStr">
        <is>
          <t>INV66743</t>
        </is>
      </c>
      <c r="D1000" s="94" t="inlineStr">
        <is>
          <t>INV</t>
        </is>
      </c>
      <c r="E1000" s="102" t="n">
        <v>4105.57</v>
      </c>
      <c r="F1000" s="94" t="n">
        <v>57</v>
      </c>
      <c r="G1000" s="102" t="n">
        <v>0</v>
      </c>
      <c r="H1000" s="94" t="n">
        <v>0</v>
      </c>
    </row>
    <row r="1001" ht="15" customHeight="1" s="82">
      <c r="A1001" s="94" t="inlineStr">
        <is>
          <t>102 - Orthopedic institutes</t>
        </is>
      </c>
      <c r="B1001" s="94" t="inlineStr">
        <is>
          <t>151136 אמיר מדיקל פארם בע"מ</t>
        </is>
      </c>
      <c r="C1001" s="94" t="inlineStr">
        <is>
          <t>INV67620</t>
        </is>
      </c>
      <c r="D1001" s="94" t="inlineStr">
        <is>
          <t>INV</t>
        </is>
      </c>
      <c r="E1001" s="102" t="n">
        <v>0</v>
      </c>
      <c r="F1001" s="94" t="n">
        <v>0</v>
      </c>
      <c r="G1001" s="102" t="n">
        <v>4010.47</v>
      </c>
      <c r="H1001" s="94" t="n">
        <v>89</v>
      </c>
    </row>
    <row r="1002" ht="15" customHeight="1" s="82">
      <c r="A1002" s="94" t="inlineStr">
        <is>
          <t>102 - Orthopedic institutes</t>
        </is>
      </c>
      <c r="B1002" s="94" t="inlineStr">
        <is>
          <t>151136 אמיר מדיקל פארם בע"מ</t>
        </is>
      </c>
      <c r="C1002" s="94" t="inlineStr">
        <is>
          <t>INV63508</t>
        </is>
      </c>
      <c r="D1002" s="94" t="inlineStr">
        <is>
          <t>INV</t>
        </is>
      </c>
      <c r="E1002" s="102" t="n">
        <v>3650.92</v>
      </c>
      <c r="F1002" s="94" t="n">
        <v>70</v>
      </c>
      <c r="G1002" s="102" t="n">
        <v>0</v>
      </c>
      <c r="H1002" s="94" t="n">
        <v>0</v>
      </c>
    </row>
    <row r="1003" ht="15" customHeight="1" s="82">
      <c r="A1003" s="94" t="inlineStr">
        <is>
          <t>102 - Orthopedic institutes</t>
        </is>
      </c>
      <c r="B1003" s="94" t="inlineStr">
        <is>
          <t>151136 אמיר מדיקל פארם בע"מ</t>
        </is>
      </c>
      <c r="C1003" s="94" t="inlineStr">
        <is>
          <t>INV68463</t>
        </is>
      </c>
      <c r="D1003" s="94" t="inlineStr">
        <is>
          <t>INV</t>
        </is>
      </c>
      <c r="E1003" s="102" t="n">
        <v>0</v>
      </c>
      <c r="F1003" s="94" t="n">
        <v>0</v>
      </c>
      <c r="G1003" s="102" t="n">
        <v>3473.52</v>
      </c>
      <c r="H1003" s="94" t="n">
        <v>36</v>
      </c>
    </row>
    <row r="1004" ht="15" customHeight="1" s="82">
      <c r="A1004" s="94" t="inlineStr">
        <is>
          <t>102 - Orthopedic institutes</t>
        </is>
      </c>
      <c r="B1004" s="94" t="inlineStr">
        <is>
          <t>151136 אמיר מדיקל פארם בע"מ</t>
        </is>
      </c>
      <c r="C1004" s="94" t="inlineStr">
        <is>
          <t>INV57516</t>
        </is>
      </c>
      <c r="D1004" s="94" t="inlineStr">
        <is>
          <t>INV</t>
        </is>
      </c>
      <c r="E1004" s="102" t="n">
        <v>2715.34</v>
      </c>
      <c r="F1004" s="94" t="n">
        <v>38</v>
      </c>
      <c r="G1004" s="102" t="n">
        <v>0</v>
      </c>
      <c r="H1004" s="94" t="n">
        <v>0</v>
      </c>
    </row>
    <row r="1005" ht="15" customHeight="1" s="82">
      <c r="A1005" s="94" t="inlineStr">
        <is>
          <t>102 - Orthopedic institutes</t>
        </is>
      </c>
      <c r="B1005" s="94" t="inlineStr">
        <is>
          <t>151136 אמיר מדיקל פארם בע"מ</t>
        </is>
      </c>
      <c r="C1005" s="94" t="inlineStr">
        <is>
          <t>INV69052</t>
        </is>
      </c>
      <c r="D1005" s="94" t="inlineStr">
        <is>
          <t>INV</t>
        </is>
      </c>
      <c r="E1005" s="102" t="n">
        <v>0</v>
      </c>
      <c r="F1005" s="94" t="n">
        <v>0</v>
      </c>
      <c r="G1005" s="102" t="n">
        <v>2588.44</v>
      </c>
      <c r="H1005" s="94" t="n">
        <v>58</v>
      </c>
    </row>
    <row r="1006" ht="15" customHeight="1" s="82">
      <c r="A1006" s="94" t="inlineStr">
        <is>
          <t>102 - Orthopedic institutes</t>
        </is>
      </c>
      <c r="B1006" s="94" t="inlineStr">
        <is>
          <t>151136 אמיר מדיקל פארם בע"מ</t>
        </is>
      </c>
      <c r="C1006" s="94" t="inlineStr">
        <is>
          <t>INV46584</t>
        </is>
      </c>
      <c r="D1006" s="94" t="inlineStr">
        <is>
          <t>INV</t>
        </is>
      </c>
      <c r="E1006" s="102" t="n">
        <v>2579.56</v>
      </c>
      <c r="F1006" s="94" t="n">
        <v>50</v>
      </c>
      <c r="G1006" s="102" t="n">
        <v>0</v>
      </c>
      <c r="H1006" s="94" t="n">
        <v>0</v>
      </c>
    </row>
    <row r="1007" ht="15" customHeight="1" s="82">
      <c r="A1007" s="94" t="inlineStr">
        <is>
          <t>102 - Orthopedic institutes</t>
        </is>
      </c>
      <c r="B1007" s="94" t="inlineStr">
        <is>
          <t>151136 אמיר מדיקל פארם בע"מ</t>
        </is>
      </c>
      <c r="C1007" s="94" t="inlineStr">
        <is>
          <t>INV40884</t>
        </is>
      </c>
      <c r="D1007" s="94" t="inlineStr">
        <is>
          <t>INV</t>
        </is>
      </c>
      <c r="E1007" s="102" t="n">
        <v>2558.06</v>
      </c>
      <c r="F1007" s="94" t="n">
        <v>47</v>
      </c>
      <c r="G1007" s="102" t="n">
        <v>0</v>
      </c>
      <c r="H1007" s="94" t="n">
        <v>0</v>
      </c>
    </row>
    <row r="1008" ht="15" customHeight="1" s="82">
      <c r="A1008" s="94" t="inlineStr">
        <is>
          <t>102 - Orthopedic institutes</t>
        </is>
      </c>
      <c r="B1008" s="94" t="inlineStr">
        <is>
          <t>151136 אמיר מדיקל פארם בע"מ</t>
        </is>
      </c>
      <c r="C1008" s="94" t="inlineStr">
        <is>
          <t>INV65806</t>
        </is>
      </c>
      <c r="D1008" s="94" t="inlineStr">
        <is>
          <t>INV</t>
        </is>
      </c>
      <c r="E1008" s="102" t="n">
        <v>2457.79</v>
      </c>
      <c r="F1008" s="94" t="n">
        <v>35</v>
      </c>
      <c r="G1008" s="102" t="n">
        <v>0</v>
      </c>
      <c r="H1008" s="94" t="n">
        <v>0</v>
      </c>
    </row>
    <row r="1009" ht="15" customHeight="1" s="82">
      <c r="A1009" s="94" t="inlineStr">
        <is>
          <t>102 - Orthopedic institutes</t>
        </is>
      </c>
      <c r="B1009" s="94" t="inlineStr">
        <is>
          <t>151136 אמיר מדיקל פארם בע"מ</t>
        </is>
      </c>
      <c r="C1009" s="94" t="inlineStr">
        <is>
          <t>INV50513</t>
        </is>
      </c>
      <c r="D1009" s="94" t="inlineStr">
        <is>
          <t>INV</t>
        </is>
      </c>
      <c r="E1009" s="102" t="n">
        <v>2421.42</v>
      </c>
      <c r="F1009" s="94" t="n">
        <v>46</v>
      </c>
      <c r="G1009" s="102" t="n">
        <v>0</v>
      </c>
      <c r="H1009" s="94" t="n">
        <v>0</v>
      </c>
    </row>
    <row r="1010" ht="15" customHeight="1" s="82">
      <c r="A1010" s="94" t="inlineStr">
        <is>
          <t>102 - Orthopedic institutes</t>
        </is>
      </c>
      <c r="B1010" s="94" t="inlineStr">
        <is>
          <t>151136 אמיר מדיקל פארם בע"מ</t>
        </is>
      </c>
      <c r="C1010" s="94" t="inlineStr">
        <is>
          <t>INV66541</t>
        </is>
      </c>
      <c r="D1010" s="94" t="inlineStr">
        <is>
          <t>INV</t>
        </is>
      </c>
      <c r="E1010" s="102" t="n">
        <v>2400.28</v>
      </c>
      <c r="F1010" s="94" t="n">
        <v>39</v>
      </c>
      <c r="G1010" s="102" t="n">
        <v>0</v>
      </c>
      <c r="H1010" s="94" t="n">
        <v>0</v>
      </c>
    </row>
    <row r="1011" ht="15" customHeight="1" s="82">
      <c r="A1011" s="94" t="inlineStr">
        <is>
          <t>102 - Orthopedic institutes</t>
        </is>
      </c>
      <c r="B1011" s="94" t="inlineStr">
        <is>
          <t>151136 אמיר מדיקל פארם בע"מ</t>
        </is>
      </c>
      <c r="C1011" s="94" t="inlineStr">
        <is>
          <t>INV66846</t>
        </is>
      </c>
      <c r="D1011" s="94" t="inlineStr">
        <is>
          <t>INV</t>
        </is>
      </c>
      <c r="E1011" s="102" t="n">
        <v>2298.87</v>
      </c>
      <c r="F1011" s="94" t="n">
        <v>45</v>
      </c>
      <c r="G1011" s="102" t="n">
        <v>0</v>
      </c>
      <c r="H1011" s="94" t="n">
        <v>0</v>
      </c>
    </row>
    <row r="1012" ht="15" customHeight="1" s="82">
      <c r="A1012" s="94" t="inlineStr">
        <is>
          <t>102 - Orthopedic institutes</t>
        </is>
      </c>
      <c r="B1012" s="94" t="inlineStr">
        <is>
          <t>151136 אמיר מדיקל פארם בע"מ</t>
        </is>
      </c>
      <c r="C1012" s="94" t="inlineStr">
        <is>
          <t>INV66253</t>
        </is>
      </c>
      <c r="D1012" s="94" t="inlineStr">
        <is>
          <t>INV</t>
        </is>
      </c>
      <c r="E1012" s="102" t="n">
        <v>2232.94</v>
      </c>
      <c r="F1012" s="94" t="n">
        <v>27</v>
      </c>
      <c r="G1012" s="102" t="n">
        <v>0</v>
      </c>
      <c r="H1012" s="94" t="n">
        <v>0</v>
      </c>
    </row>
    <row r="1013" ht="15" customHeight="1" s="82">
      <c r="A1013" s="94" t="inlineStr">
        <is>
          <t>102 - Orthopedic institutes</t>
        </is>
      </c>
      <c r="B1013" s="94" t="inlineStr">
        <is>
          <t>151136 אמיר מדיקל פארם בע"מ</t>
        </is>
      </c>
      <c r="C1013" s="94" t="inlineStr">
        <is>
          <t>INV67146</t>
        </is>
      </c>
      <c r="D1013" s="94" t="inlineStr">
        <is>
          <t>INV</t>
        </is>
      </c>
      <c r="E1013" s="102" t="n">
        <v>1999.96</v>
      </c>
      <c r="F1013" s="94" t="n">
        <v>21</v>
      </c>
      <c r="G1013" s="102" t="n">
        <v>0</v>
      </c>
      <c r="H1013" s="94" t="n">
        <v>0</v>
      </c>
    </row>
    <row r="1014" ht="15" customHeight="1" s="82">
      <c r="A1014" s="94" t="inlineStr">
        <is>
          <t>102 - Orthopedic institutes</t>
        </is>
      </c>
      <c r="B1014" s="94" t="inlineStr">
        <is>
          <t>151136 אמיר מדיקל פארם בע"מ</t>
        </is>
      </c>
      <c r="C1014" s="94" t="inlineStr">
        <is>
          <t>INV68702</t>
        </is>
      </c>
      <c r="D1014" s="94" t="inlineStr">
        <is>
          <t>INV</t>
        </is>
      </c>
      <c r="E1014" s="102" t="n">
        <v>0</v>
      </c>
      <c r="F1014" s="94" t="n">
        <v>0</v>
      </c>
      <c r="G1014" s="102" t="n">
        <v>1858.09</v>
      </c>
      <c r="H1014" s="94" t="n">
        <v>29</v>
      </c>
    </row>
    <row r="1015" ht="15" customHeight="1" s="82">
      <c r="A1015" s="94" t="inlineStr">
        <is>
          <t>102 - Orthopedic institutes</t>
        </is>
      </c>
      <c r="B1015" s="94" t="inlineStr">
        <is>
          <t>151136 אמיר מדיקל פארם בע"מ</t>
        </is>
      </c>
      <c r="C1015" s="94" t="inlineStr">
        <is>
          <t>INV68934</t>
        </is>
      </c>
      <c r="D1015" s="94" t="inlineStr">
        <is>
          <t>INV</t>
        </is>
      </c>
      <c r="E1015" s="102" t="n">
        <v>0</v>
      </c>
      <c r="F1015" s="94" t="n">
        <v>0</v>
      </c>
      <c r="G1015" s="102" t="n">
        <v>1749.62</v>
      </c>
      <c r="H1015" s="94" t="n">
        <v>24</v>
      </c>
    </row>
    <row r="1016" ht="15" customHeight="1" s="82">
      <c r="A1016" s="94" t="inlineStr">
        <is>
          <t>102 - Orthopedic institutes</t>
        </is>
      </c>
      <c r="B1016" s="94" t="inlineStr">
        <is>
          <t>151136 אמיר מדיקל פארם בע"מ</t>
        </is>
      </c>
      <c r="C1016" s="94" t="inlineStr">
        <is>
          <t>INV69283</t>
        </is>
      </c>
      <c r="D1016" s="94" t="inlineStr">
        <is>
          <t>INV</t>
        </is>
      </c>
      <c r="E1016" s="102" t="n">
        <v>0</v>
      </c>
      <c r="F1016" s="94" t="n">
        <v>0</v>
      </c>
      <c r="G1016" s="102" t="n">
        <v>1719.97</v>
      </c>
      <c r="H1016" s="94" t="n">
        <v>18</v>
      </c>
    </row>
    <row r="1017" ht="15" customHeight="1" s="82">
      <c r="A1017" s="94" t="inlineStr">
        <is>
          <t>102 - Orthopedic institutes</t>
        </is>
      </c>
      <c r="B1017" s="94" t="inlineStr">
        <is>
          <t>151136 אמיר מדיקל פארם בע"מ</t>
        </is>
      </c>
      <c r="C1017" s="94" t="inlineStr">
        <is>
          <t>INV67296</t>
        </is>
      </c>
      <c r="D1017" s="94" t="inlineStr">
        <is>
          <t>INV</t>
        </is>
      </c>
      <c r="E1017" s="102" t="n">
        <v>0</v>
      </c>
      <c r="F1017" s="94" t="n">
        <v>0</v>
      </c>
      <c r="G1017" s="102" t="n">
        <v>1359.98</v>
      </c>
      <c r="H1017" s="94" t="n">
        <v>9</v>
      </c>
    </row>
    <row r="1018" ht="15" customHeight="1" s="82">
      <c r="A1018" s="94" t="inlineStr">
        <is>
          <t>102 - Orthopedic institutes</t>
        </is>
      </c>
      <c r="B1018" s="94" t="inlineStr">
        <is>
          <t>151136 אמיר מדיקל פארם בע"מ</t>
        </is>
      </c>
      <c r="C1018" s="94" t="inlineStr">
        <is>
          <t>INV42809</t>
        </is>
      </c>
      <c r="D1018" s="94" t="inlineStr">
        <is>
          <t>INV</t>
        </is>
      </c>
      <c r="E1018" s="102" t="n">
        <v>1283.05</v>
      </c>
      <c r="F1018" s="94" t="n">
        <v>17</v>
      </c>
      <c r="G1018" s="102" t="n">
        <v>0</v>
      </c>
      <c r="H1018" s="94" t="n">
        <v>0</v>
      </c>
    </row>
    <row r="1019" ht="15" customHeight="1" s="82">
      <c r="A1019" s="94" t="inlineStr">
        <is>
          <t>102 - Orthopedic institutes</t>
        </is>
      </c>
      <c r="B1019" s="94" t="inlineStr">
        <is>
          <t>151136 אמיר מדיקל פארם בע"מ</t>
        </is>
      </c>
      <c r="C1019" s="94" t="inlineStr">
        <is>
          <t>INV50602</t>
        </is>
      </c>
      <c r="D1019" s="94" t="inlineStr">
        <is>
          <t>INV</t>
        </is>
      </c>
      <c r="E1019" s="102" t="n">
        <v>1265.65</v>
      </c>
      <c r="F1019" s="94" t="n">
        <v>20</v>
      </c>
      <c r="G1019" s="102" t="n">
        <v>0</v>
      </c>
      <c r="H1019" s="94" t="n">
        <v>0</v>
      </c>
    </row>
    <row r="1020" ht="15" customHeight="1" s="82">
      <c r="A1020" s="94" t="inlineStr">
        <is>
          <t>102 - Orthopedic institutes</t>
        </is>
      </c>
      <c r="B1020" s="94" t="inlineStr">
        <is>
          <t>151136 אמיר מדיקל פארם בע"מ</t>
        </is>
      </c>
      <c r="C1020" s="94" t="inlineStr">
        <is>
          <t>INV67898</t>
        </is>
      </c>
      <c r="D1020" s="94" t="inlineStr">
        <is>
          <t>INV</t>
        </is>
      </c>
      <c r="E1020" s="102" t="n">
        <v>0</v>
      </c>
      <c r="F1020" s="94" t="n">
        <v>0</v>
      </c>
      <c r="G1020" s="102" t="n">
        <v>1140.97</v>
      </c>
      <c r="H1020" s="94" t="n">
        <v>13</v>
      </c>
    </row>
    <row r="1021" ht="15" customHeight="1" s="82">
      <c r="A1021" s="94" t="inlineStr">
        <is>
          <t>102 - Orthopedic institutes</t>
        </is>
      </c>
      <c r="B1021" s="94" t="inlineStr">
        <is>
          <t>151136 אמיר מדיקל פארם בע"מ</t>
        </is>
      </c>
      <c r="C1021" s="94" t="inlineStr">
        <is>
          <t>INV54142</t>
        </is>
      </c>
      <c r="D1021" s="94" t="inlineStr">
        <is>
          <t>INV</t>
        </is>
      </c>
      <c r="E1021" s="102" t="n">
        <v>1136.98</v>
      </c>
      <c r="F1021" s="94" t="n">
        <v>44</v>
      </c>
      <c r="G1021" s="102" t="n">
        <v>0</v>
      </c>
      <c r="H1021" s="94" t="n">
        <v>0</v>
      </c>
    </row>
    <row r="1022" ht="15" customHeight="1" s="82">
      <c r="A1022" s="94" t="inlineStr">
        <is>
          <t>102 - Orthopedic institutes</t>
        </is>
      </c>
      <c r="B1022" s="94" t="inlineStr">
        <is>
          <t>151136 אמיר מדיקל פארם בע"מ</t>
        </is>
      </c>
      <c r="C1022" s="94" t="inlineStr">
        <is>
          <t>INV69251</t>
        </is>
      </c>
      <c r="D1022" s="94" t="inlineStr">
        <is>
          <t>INV</t>
        </is>
      </c>
      <c r="E1022" s="102" t="n">
        <v>0</v>
      </c>
      <c r="F1022" s="94" t="n">
        <v>0</v>
      </c>
      <c r="G1022" s="102" t="n">
        <v>1113.8</v>
      </c>
      <c r="H1022" s="94" t="n">
        <v>23</v>
      </c>
    </row>
    <row r="1023" ht="15" customHeight="1" s="82">
      <c r="A1023" s="94" t="inlineStr">
        <is>
          <t>102 - Orthopedic institutes</t>
        </is>
      </c>
      <c r="B1023" s="94" t="inlineStr">
        <is>
          <t>151136 אמיר מדיקל פארם בע"מ</t>
        </is>
      </c>
      <c r="C1023" s="94" t="inlineStr">
        <is>
          <t>INV43729</t>
        </is>
      </c>
      <c r="D1023" s="94" t="inlineStr">
        <is>
          <t>INV</t>
        </is>
      </c>
      <c r="E1023" s="102" t="n">
        <v>948</v>
      </c>
      <c r="F1023" s="94" t="n">
        <v>11</v>
      </c>
      <c r="G1023" s="102" t="n">
        <v>0</v>
      </c>
      <c r="H1023" s="94" t="n">
        <v>0</v>
      </c>
    </row>
    <row r="1024" ht="15" customHeight="1" s="82">
      <c r="A1024" s="94" t="inlineStr">
        <is>
          <t>102 - Orthopedic institutes</t>
        </is>
      </c>
      <c r="B1024" s="94" t="inlineStr">
        <is>
          <t>151136 אמיר מדיקל פארם בע"מ</t>
        </is>
      </c>
      <c r="C1024" s="94" t="inlineStr">
        <is>
          <t>INV67295</t>
        </is>
      </c>
      <c r="D1024" s="94" t="inlineStr">
        <is>
          <t>INV</t>
        </is>
      </c>
      <c r="E1024" s="102" t="n">
        <v>0</v>
      </c>
      <c r="F1024" s="94" t="n">
        <v>0</v>
      </c>
      <c r="G1024" s="102" t="n">
        <v>859.99</v>
      </c>
      <c r="H1024" s="94" t="n">
        <v>7</v>
      </c>
    </row>
    <row r="1025" ht="15" customHeight="1" s="82">
      <c r="A1025" s="94" t="inlineStr">
        <is>
          <t>102 - Orthopedic institutes</t>
        </is>
      </c>
      <c r="B1025" s="94" t="inlineStr">
        <is>
          <t>151136 אמיר מדיקל פארם בע"מ</t>
        </is>
      </c>
      <c r="C1025" s="94" t="inlineStr">
        <is>
          <t>INV60835</t>
        </is>
      </c>
      <c r="D1025" s="94" t="inlineStr">
        <is>
          <t>INV</t>
        </is>
      </c>
      <c r="E1025" s="102" t="n">
        <v>830.77</v>
      </c>
      <c r="F1025" s="94" t="n">
        <v>12</v>
      </c>
      <c r="G1025" s="102" t="n">
        <v>0</v>
      </c>
      <c r="H1025" s="94" t="n">
        <v>0</v>
      </c>
    </row>
    <row r="1026" ht="15" customHeight="1" s="82">
      <c r="A1026" s="94" t="inlineStr">
        <is>
          <t>102 - Orthopedic institutes</t>
        </is>
      </c>
      <c r="B1026" s="94" t="inlineStr">
        <is>
          <t>151136 אמיר מדיקל פארם בע"מ</t>
        </is>
      </c>
      <c r="C1026" s="94" t="inlineStr">
        <is>
          <t>INV65365</t>
        </is>
      </c>
      <c r="D1026" s="94" t="inlineStr">
        <is>
          <t>INV</t>
        </is>
      </c>
      <c r="E1026" s="102" t="n">
        <v>699.54</v>
      </c>
      <c r="F1026" s="94" t="n">
        <v>16</v>
      </c>
      <c r="G1026" s="102" t="n">
        <v>0</v>
      </c>
      <c r="H1026" s="94" t="n">
        <v>0</v>
      </c>
    </row>
    <row r="1027" ht="15" customHeight="1" s="82">
      <c r="A1027" s="94" t="inlineStr">
        <is>
          <t>102 - Orthopedic institutes</t>
        </is>
      </c>
      <c r="B1027" s="94" t="inlineStr">
        <is>
          <t>151136 אמיר מדיקל פארם בע"מ</t>
        </is>
      </c>
      <c r="C1027" s="94" t="inlineStr">
        <is>
          <t>INV69091</t>
        </is>
      </c>
      <c r="D1027" s="94" t="inlineStr">
        <is>
          <t>INV</t>
        </is>
      </c>
      <c r="E1027" s="102" t="n">
        <v>0</v>
      </c>
      <c r="F1027" s="94" t="n">
        <v>0</v>
      </c>
      <c r="G1027" s="102" t="n">
        <v>693.28</v>
      </c>
      <c r="H1027" s="94" t="n">
        <v>15</v>
      </c>
    </row>
    <row r="1028" ht="15" customHeight="1" s="82">
      <c r="A1028" s="94" t="inlineStr">
        <is>
          <t>102 - Orthopedic institutes</t>
        </is>
      </c>
      <c r="B1028" s="94" t="inlineStr">
        <is>
          <t>151136 אמיר מדיקל פארם בע"מ</t>
        </is>
      </c>
      <c r="C1028" s="94" t="inlineStr">
        <is>
          <t>INV48861</t>
        </is>
      </c>
      <c r="D1028" s="94" t="inlineStr">
        <is>
          <t>INV</t>
        </is>
      </c>
      <c r="E1028" s="102" t="n">
        <v>664</v>
      </c>
      <c r="F1028" s="94" t="n">
        <v>8</v>
      </c>
      <c r="G1028" s="102" t="n">
        <v>0</v>
      </c>
      <c r="H1028" s="94" t="n">
        <v>0</v>
      </c>
    </row>
    <row r="1029" ht="15" customHeight="1" s="82">
      <c r="A1029" s="94" t="inlineStr">
        <is>
          <t>102 - Orthopedic institutes</t>
        </is>
      </c>
      <c r="B1029" s="94" t="inlineStr">
        <is>
          <t>151136 אמיר מדיקל פארם בע"מ</t>
        </is>
      </c>
      <c r="C1029" s="94" t="inlineStr">
        <is>
          <t>INV53569</t>
        </is>
      </c>
      <c r="D1029" s="94" t="inlineStr">
        <is>
          <t>INV</t>
        </is>
      </c>
      <c r="E1029" s="102" t="n">
        <v>604.62</v>
      </c>
      <c r="F1029" s="94" t="n">
        <v>7</v>
      </c>
      <c r="G1029" s="102" t="n">
        <v>0</v>
      </c>
      <c r="H1029" s="94" t="n">
        <v>0</v>
      </c>
    </row>
    <row r="1030" ht="15" customHeight="1" s="82">
      <c r="A1030" s="94" t="inlineStr">
        <is>
          <t>102 - Orthopedic institutes</t>
        </is>
      </c>
      <c r="B1030" s="94" t="inlineStr">
        <is>
          <t>151136 אמיר מדיקל פארם בע"מ</t>
        </is>
      </c>
      <c r="C1030" s="94" t="inlineStr">
        <is>
          <t>INV68568</t>
        </is>
      </c>
      <c r="D1030" s="94" t="inlineStr">
        <is>
          <t>INV</t>
        </is>
      </c>
      <c r="E1030" s="102" t="n">
        <v>0</v>
      </c>
      <c r="F1030" s="94" t="n">
        <v>0</v>
      </c>
      <c r="G1030" s="102" t="n">
        <v>515.5</v>
      </c>
      <c r="H1030" s="94" t="n">
        <v>12</v>
      </c>
    </row>
    <row r="1031" ht="15" customHeight="1" s="82">
      <c r="A1031" s="94" t="inlineStr">
        <is>
          <t>102 - Orthopedic institutes</t>
        </is>
      </c>
      <c r="B1031" s="94" t="inlineStr">
        <is>
          <t>151136 אמיר מדיקל פארם בע"מ</t>
        </is>
      </c>
      <c r="C1031" s="94" t="inlineStr">
        <is>
          <t>CM43668</t>
        </is>
      </c>
      <c r="D1031" s="94" t="inlineStr">
        <is>
          <t>CM</t>
        </is>
      </c>
      <c r="E1031" s="102" t="n">
        <v>-2421.42</v>
      </c>
      <c r="F1031" s="94" t="n">
        <v>-46</v>
      </c>
      <c r="G1031" s="102" t="n">
        <v>0</v>
      </c>
      <c r="H1031" s="94" t="n">
        <v>0</v>
      </c>
    </row>
    <row r="1032" ht="15" customHeight="1" s="82">
      <c r="A1032" s="94" t="inlineStr">
        <is>
          <t>102 - Orthopedic institutes</t>
        </is>
      </c>
      <c r="B1032" s="94" t="inlineStr">
        <is>
          <t>151144 רפואית כל</t>
        </is>
      </c>
      <c r="C1032" s="94" t="inlineStr">
        <is>
          <t>INV66412</t>
        </is>
      </c>
      <c r="D1032" s="94" t="inlineStr">
        <is>
          <t>INV</t>
        </is>
      </c>
      <c r="E1032" s="102" t="n">
        <v>1158.1</v>
      </c>
      <c r="F1032" s="94" t="n">
        <v>24</v>
      </c>
      <c r="G1032" s="102" t="n">
        <v>0</v>
      </c>
      <c r="H1032" s="94" t="n">
        <v>0</v>
      </c>
    </row>
    <row r="1033" ht="15" customHeight="1" s="82">
      <c r="A1033" s="94" t="inlineStr">
        <is>
          <t>102 - Orthopedic institutes</t>
        </is>
      </c>
      <c r="B1033" s="94" t="inlineStr">
        <is>
          <t>151144 רפואית כל</t>
        </is>
      </c>
      <c r="C1033" s="94" t="inlineStr">
        <is>
          <t>INV51958</t>
        </is>
      </c>
      <c r="D1033" s="94" t="inlineStr">
        <is>
          <t>INV</t>
        </is>
      </c>
      <c r="E1033" s="102" t="n">
        <v>1069.96</v>
      </c>
      <c r="F1033" s="94" t="n">
        <v>17</v>
      </c>
      <c r="G1033" s="102" t="n">
        <v>0</v>
      </c>
      <c r="H1033" s="94" t="n">
        <v>0</v>
      </c>
    </row>
    <row r="1034" ht="15" customHeight="1" s="82">
      <c r="A1034" s="94" t="inlineStr">
        <is>
          <t>102 - Orthopedic institutes</t>
        </is>
      </c>
      <c r="B1034" s="94" t="inlineStr">
        <is>
          <t>151144 רפואית כל</t>
        </is>
      </c>
      <c r="C1034" s="94" t="inlineStr">
        <is>
          <t>INV61653</t>
        </is>
      </c>
      <c r="D1034" s="94" t="inlineStr">
        <is>
          <t>INV</t>
        </is>
      </c>
      <c r="E1034" s="102" t="n">
        <v>1061.02</v>
      </c>
      <c r="F1034" s="94" t="n">
        <v>27</v>
      </c>
      <c r="G1034" s="102" t="n">
        <v>0</v>
      </c>
      <c r="H1034" s="94" t="n">
        <v>0</v>
      </c>
    </row>
    <row r="1035" ht="15" customHeight="1" s="82">
      <c r="A1035" s="94" t="inlineStr">
        <is>
          <t>102 - Orthopedic institutes</t>
        </is>
      </c>
      <c r="B1035" s="94" t="inlineStr">
        <is>
          <t>151144 רפואית כל</t>
        </is>
      </c>
      <c r="C1035" s="94" t="inlineStr">
        <is>
          <t>INV69130</t>
        </is>
      </c>
      <c r="D1035" s="94" t="inlineStr">
        <is>
          <t>INV</t>
        </is>
      </c>
      <c r="E1035" s="102" t="n">
        <v>0</v>
      </c>
      <c r="F1035" s="94" t="n">
        <v>0</v>
      </c>
      <c r="G1035" s="102" t="n">
        <v>1057.07</v>
      </c>
      <c r="H1035" s="94" t="n">
        <v>14</v>
      </c>
    </row>
    <row r="1036" ht="15" customHeight="1" s="82">
      <c r="A1036" s="94" t="inlineStr">
        <is>
          <t>102 - Orthopedic institutes</t>
        </is>
      </c>
      <c r="B1036" s="94" t="inlineStr">
        <is>
          <t>151144 רפואית כל</t>
        </is>
      </c>
      <c r="C1036" s="94" t="inlineStr">
        <is>
          <t>INV67353</t>
        </is>
      </c>
      <c r="D1036" s="94" t="inlineStr">
        <is>
          <t>INV</t>
        </is>
      </c>
      <c r="E1036" s="102" t="n">
        <v>0</v>
      </c>
      <c r="F1036" s="94" t="n">
        <v>0</v>
      </c>
      <c r="G1036" s="102" t="n">
        <v>1027.73</v>
      </c>
      <c r="H1036" s="94" t="n">
        <v>17</v>
      </c>
    </row>
    <row r="1037" ht="15" customHeight="1" s="82">
      <c r="A1037" s="94" t="inlineStr">
        <is>
          <t>102 - Orthopedic institutes</t>
        </is>
      </c>
      <c r="B1037" s="94" t="inlineStr">
        <is>
          <t>151144 רפואית כל</t>
        </is>
      </c>
      <c r="C1037" s="94" t="inlineStr">
        <is>
          <t>INV67765</t>
        </is>
      </c>
      <c r="D1037" s="94" t="inlineStr">
        <is>
          <t>INV</t>
        </is>
      </c>
      <c r="E1037" s="102" t="n">
        <v>0</v>
      </c>
      <c r="F1037" s="94" t="n">
        <v>0</v>
      </c>
      <c r="G1037" s="102" t="n">
        <v>970.99</v>
      </c>
      <c r="H1037" s="94" t="n">
        <v>11</v>
      </c>
    </row>
    <row r="1038" ht="15" customHeight="1" s="82">
      <c r="A1038" s="94" t="inlineStr">
        <is>
          <t>102 - Orthopedic institutes</t>
        </is>
      </c>
      <c r="B1038" s="94" t="inlineStr">
        <is>
          <t>151144 רפואית כל</t>
        </is>
      </c>
      <c r="C1038" s="94" t="inlineStr">
        <is>
          <t>INV68751</t>
        </is>
      </c>
      <c r="D1038" s="94" t="inlineStr">
        <is>
          <t>INV</t>
        </is>
      </c>
      <c r="E1038" s="102" t="n">
        <v>0</v>
      </c>
      <c r="F1038" s="94" t="n">
        <v>0</v>
      </c>
      <c r="G1038" s="102" t="n">
        <v>938.04</v>
      </c>
      <c r="H1038" s="94" t="n">
        <v>20</v>
      </c>
    </row>
    <row r="1039" ht="15" customHeight="1" s="82">
      <c r="A1039" s="94" t="inlineStr">
        <is>
          <t>102 - Orthopedic institutes</t>
        </is>
      </c>
      <c r="B1039" s="94" t="inlineStr">
        <is>
          <t>151144 רפואית כל</t>
        </is>
      </c>
      <c r="C1039" s="94" t="inlineStr">
        <is>
          <t>INV66666</t>
        </is>
      </c>
      <c r="D1039" s="94" t="inlineStr">
        <is>
          <t>INV</t>
        </is>
      </c>
      <c r="E1039" s="102" t="n">
        <v>897.91</v>
      </c>
      <c r="F1039" s="94" t="n">
        <v>11</v>
      </c>
      <c r="G1039" s="102" t="n">
        <v>0</v>
      </c>
      <c r="H1039" s="94" t="n">
        <v>0</v>
      </c>
    </row>
    <row r="1040" ht="15" customHeight="1" s="82">
      <c r="A1040" s="94" t="inlineStr">
        <is>
          <t>102 - Orthopedic institutes</t>
        </is>
      </c>
      <c r="B1040" s="94" t="inlineStr">
        <is>
          <t>151144 רפואית כל</t>
        </is>
      </c>
      <c r="C1040" s="94" t="inlineStr">
        <is>
          <t>INV47223</t>
        </is>
      </c>
      <c r="D1040" s="94" t="inlineStr">
        <is>
          <t>INV</t>
        </is>
      </c>
      <c r="E1040" s="102" t="n">
        <v>893.29</v>
      </c>
      <c r="F1040" s="94" t="n">
        <v>16</v>
      </c>
      <c r="G1040" s="102" t="n">
        <v>0</v>
      </c>
      <c r="H1040" s="94" t="n">
        <v>0</v>
      </c>
    </row>
    <row r="1041" ht="15" customHeight="1" s="82">
      <c r="A1041" s="94" t="inlineStr">
        <is>
          <t>102 - Orthopedic institutes</t>
        </is>
      </c>
      <c r="B1041" s="94" t="inlineStr">
        <is>
          <t>151144 רפואית כל</t>
        </is>
      </c>
      <c r="C1041" s="94" t="inlineStr">
        <is>
          <t>INV68420</t>
        </is>
      </c>
      <c r="D1041" s="94" t="inlineStr">
        <is>
          <t>INV</t>
        </is>
      </c>
      <c r="E1041" s="102" t="n">
        <v>0</v>
      </c>
      <c r="F1041" s="94" t="n">
        <v>0</v>
      </c>
      <c r="G1041" s="102" t="n">
        <v>860.59</v>
      </c>
      <c r="H1041" s="94" t="n">
        <v>7</v>
      </c>
    </row>
    <row r="1042" ht="15" customHeight="1" s="82">
      <c r="A1042" s="94" t="inlineStr">
        <is>
          <t>102 - Orthopedic institutes</t>
        </is>
      </c>
      <c r="B1042" s="94" t="inlineStr">
        <is>
          <t>151144 רפואית כל</t>
        </is>
      </c>
      <c r="C1042" s="94" t="inlineStr">
        <is>
          <t>INV53553</t>
        </is>
      </c>
      <c r="D1042" s="94" t="inlineStr">
        <is>
          <t>INV</t>
        </is>
      </c>
      <c r="E1042" s="102" t="n">
        <v>753.23</v>
      </c>
      <c r="F1042" s="94" t="n">
        <v>12</v>
      </c>
      <c r="G1042" s="102" t="n">
        <v>0</v>
      </c>
      <c r="H1042" s="94" t="n">
        <v>0</v>
      </c>
    </row>
    <row r="1043" ht="15" customHeight="1" s="82">
      <c r="A1043" s="94" t="inlineStr">
        <is>
          <t>102 - Orthopedic institutes</t>
        </is>
      </c>
      <c r="B1043" s="94" t="inlineStr">
        <is>
          <t>151144 רפואית כל</t>
        </is>
      </c>
      <c r="C1043" s="94" t="inlineStr">
        <is>
          <t>INV66951</t>
        </is>
      </c>
      <c r="D1043" s="94" t="inlineStr">
        <is>
          <t>INV</t>
        </is>
      </c>
      <c r="E1043" s="102" t="n">
        <v>629.99</v>
      </c>
      <c r="F1043" s="94" t="n">
        <v>10</v>
      </c>
      <c r="G1043" s="102" t="n">
        <v>0</v>
      </c>
      <c r="H1043" s="94" t="n">
        <v>0</v>
      </c>
    </row>
    <row r="1044" ht="15" customHeight="1" s="82">
      <c r="A1044" s="94" t="inlineStr">
        <is>
          <t>102 - Orthopedic institutes</t>
        </is>
      </c>
      <c r="B1044" s="94" t="inlineStr">
        <is>
          <t>151144 רפואית כל</t>
        </is>
      </c>
      <c r="C1044" s="94" t="inlineStr">
        <is>
          <t>INV65559</t>
        </is>
      </c>
      <c r="D1044" s="94" t="inlineStr">
        <is>
          <t>INV</t>
        </is>
      </c>
      <c r="E1044" s="102" t="n">
        <v>553.51</v>
      </c>
      <c r="F1044" s="94" t="n">
        <v>13</v>
      </c>
      <c r="G1044" s="102" t="n">
        <v>0</v>
      </c>
      <c r="H1044" s="94" t="n">
        <v>0</v>
      </c>
    </row>
    <row r="1045" ht="15" customHeight="1" s="82">
      <c r="A1045" s="94" t="inlineStr">
        <is>
          <t>102 - Orthopedic institutes</t>
        </is>
      </c>
      <c r="B1045" s="94" t="inlineStr">
        <is>
          <t>151144 רפואית כל</t>
        </is>
      </c>
      <c r="C1045" s="94" t="inlineStr">
        <is>
          <t>INV68821</t>
        </is>
      </c>
      <c r="D1045" s="94" t="inlineStr">
        <is>
          <t>INV</t>
        </is>
      </c>
      <c r="E1045" s="102" t="n">
        <v>0</v>
      </c>
      <c r="F1045" s="94" t="n">
        <v>0</v>
      </c>
      <c r="G1045" s="102" t="n">
        <v>534.84</v>
      </c>
      <c r="H1045" s="94" t="n">
        <v>9</v>
      </c>
    </row>
    <row r="1046" ht="15" customHeight="1" s="82">
      <c r="A1046" s="94" t="inlineStr">
        <is>
          <t>102 - Orthopedic institutes</t>
        </is>
      </c>
      <c r="B1046" s="94" t="inlineStr">
        <is>
          <t>151144 רפואית כל</t>
        </is>
      </c>
      <c r="C1046" s="94" t="inlineStr">
        <is>
          <t>INV69176</t>
        </is>
      </c>
      <c r="D1046" s="94" t="inlineStr">
        <is>
          <t>INV</t>
        </is>
      </c>
      <c r="E1046" s="102" t="n">
        <v>0</v>
      </c>
      <c r="F1046" s="94" t="n">
        <v>0</v>
      </c>
      <c r="G1046" s="102" t="n">
        <v>454.4</v>
      </c>
      <c r="H1046" s="94" t="n">
        <v>8</v>
      </c>
    </row>
    <row r="1047" ht="15" customHeight="1" s="82">
      <c r="A1047" s="94" t="inlineStr">
        <is>
          <t>102 - Orthopedic institutes</t>
        </is>
      </c>
      <c r="B1047" s="94" t="inlineStr">
        <is>
          <t>151144 רפואית כל</t>
        </is>
      </c>
      <c r="C1047" s="94" t="inlineStr">
        <is>
          <t>INV68975</t>
        </is>
      </c>
      <c r="D1047" s="94" t="inlineStr">
        <is>
          <t>INV</t>
        </is>
      </c>
      <c r="E1047" s="102" t="n">
        <v>0</v>
      </c>
      <c r="F1047" s="94" t="n">
        <v>0</v>
      </c>
      <c r="G1047" s="102" t="n">
        <v>433.29</v>
      </c>
      <c r="H1047" s="94" t="n">
        <v>6</v>
      </c>
    </row>
    <row r="1048" ht="15" customHeight="1" s="82">
      <c r="A1048" s="94" t="inlineStr">
        <is>
          <t>102 - Orthopedic institutes</t>
        </is>
      </c>
      <c r="B1048" s="94" t="inlineStr">
        <is>
          <t>151144 רפואית כל</t>
        </is>
      </c>
      <c r="C1048" s="94" t="inlineStr">
        <is>
          <t>INV47410</t>
        </is>
      </c>
      <c r="D1048" s="94" t="inlineStr">
        <is>
          <t>INV</t>
        </is>
      </c>
      <c r="E1048" s="102" t="n">
        <v>28.54</v>
      </c>
      <c r="F1048" s="94" t="n">
        <v>1</v>
      </c>
      <c r="G1048" s="102" t="n">
        <v>0</v>
      </c>
      <c r="H1048" s="94" t="n">
        <v>0</v>
      </c>
    </row>
    <row r="1049" ht="15" customHeight="1" s="82">
      <c r="A1049" s="94" t="inlineStr">
        <is>
          <t>102 - Orthopedic institutes</t>
        </is>
      </c>
      <c r="B1049" s="94" t="inlineStr">
        <is>
          <t>151144 רפואית כל</t>
        </is>
      </c>
      <c r="C1049" s="94" t="inlineStr">
        <is>
          <t>CM43504</t>
        </is>
      </c>
      <c r="D1049" s="94" t="inlineStr">
        <is>
          <t>CM</t>
        </is>
      </c>
      <c r="E1049" s="102" t="n">
        <v>-349.66</v>
      </c>
      <c r="F1049" s="94" t="n">
        <v>-3</v>
      </c>
      <c r="G1049" s="102" t="n">
        <v>0</v>
      </c>
      <c r="H1049" s="94" t="n">
        <v>0</v>
      </c>
    </row>
    <row r="1050" ht="15" customHeight="1" s="82">
      <c r="A1050" s="94" t="inlineStr">
        <is>
          <t>102 - Orthopedic institutes</t>
        </is>
      </c>
      <c r="B1050" s="94" t="inlineStr">
        <is>
          <t>151145 גל און קליניק אורתופדיה</t>
        </is>
      </c>
      <c r="C1050" s="94" t="inlineStr">
        <is>
          <t>INV67670</t>
        </is>
      </c>
      <c r="D1050" s="94" t="inlineStr">
        <is>
          <t>INV</t>
        </is>
      </c>
      <c r="E1050" s="102" t="n">
        <v>0</v>
      </c>
      <c r="F1050" s="94" t="n">
        <v>0</v>
      </c>
      <c r="G1050" s="102" t="n">
        <v>444</v>
      </c>
      <c r="H1050" s="94" t="n">
        <v>2</v>
      </c>
    </row>
    <row r="1051" ht="15" customHeight="1" s="82">
      <c r="A1051" s="94" t="inlineStr">
        <is>
          <t>102 - Orthopedic institutes</t>
        </is>
      </c>
      <c r="B1051" s="94" t="inlineStr">
        <is>
          <t>151145 גל און קליניק אורתופדיה</t>
        </is>
      </c>
      <c r="C1051" s="94" t="inlineStr">
        <is>
          <t>INV69144</t>
        </is>
      </c>
      <c r="D1051" s="94" t="inlineStr">
        <is>
          <t>INV</t>
        </is>
      </c>
      <c r="E1051" s="102" t="n">
        <v>0</v>
      </c>
      <c r="F1051" s="94" t="n">
        <v>0</v>
      </c>
      <c r="G1051" s="102" t="n">
        <v>401.24</v>
      </c>
      <c r="H1051" s="94" t="n">
        <v>5</v>
      </c>
    </row>
    <row r="1052" ht="15" customHeight="1" s="82">
      <c r="A1052" s="94" t="inlineStr">
        <is>
          <t>102 - Orthopedic institutes</t>
        </is>
      </c>
      <c r="B1052" s="94" t="inlineStr">
        <is>
          <t>151145 גל און קליניק אורתופדיה</t>
        </is>
      </c>
      <c r="C1052" s="94" t="inlineStr">
        <is>
          <t>INV66152</t>
        </is>
      </c>
      <c r="D1052" s="94" t="inlineStr">
        <is>
          <t>INV</t>
        </is>
      </c>
      <c r="E1052" s="102" t="n">
        <v>363.04</v>
      </c>
      <c r="F1052" s="94" t="n">
        <v>5</v>
      </c>
      <c r="G1052" s="102" t="n">
        <v>0</v>
      </c>
      <c r="H1052" s="94" t="n">
        <v>0</v>
      </c>
    </row>
    <row r="1053" ht="15" customHeight="1" s="82">
      <c r="A1053" s="94" t="inlineStr">
        <is>
          <t>102 - Orthopedic institutes</t>
        </is>
      </c>
      <c r="B1053" s="94" t="inlineStr">
        <is>
          <t>151145 גל און קליניק אורתופדיה</t>
        </is>
      </c>
      <c r="C1053" s="94" t="inlineStr">
        <is>
          <t>INV68980</t>
        </is>
      </c>
      <c r="D1053" s="94" t="inlineStr">
        <is>
          <t>INV</t>
        </is>
      </c>
      <c r="E1053" s="102" t="n">
        <v>0</v>
      </c>
      <c r="F1053" s="94" t="n">
        <v>0</v>
      </c>
      <c r="G1053" s="102" t="n">
        <v>290</v>
      </c>
      <c r="H1053" s="94" t="n">
        <v>2</v>
      </c>
    </row>
    <row r="1054" ht="15" customHeight="1" s="82">
      <c r="A1054" s="94" t="inlineStr">
        <is>
          <t>102 - Orthopedic institutes</t>
        </is>
      </c>
      <c r="B1054" s="94" t="inlineStr">
        <is>
          <t>151145 גל און קליניק אורתופדיה</t>
        </is>
      </c>
      <c r="C1054" s="94" t="inlineStr">
        <is>
          <t>INV68850</t>
        </is>
      </c>
      <c r="D1054" s="94" t="inlineStr">
        <is>
          <t>INV</t>
        </is>
      </c>
      <c r="E1054" s="102" t="n">
        <v>0</v>
      </c>
      <c r="F1054" s="94" t="n">
        <v>0</v>
      </c>
      <c r="G1054" s="102" t="n">
        <v>240</v>
      </c>
      <c r="H1054" s="94" t="n">
        <v>2</v>
      </c>
    </row>
    <row r="1055" ht="15" customHeight="1" s="82">
      <c r="A1055" s="94" t="inlineStr">
        <is>
          <t>102 - Orthopedic institutes</t>
        </is>
      </c>
      <c r="B1055" s="94" t="inlineStr">
        <is>
          <t>151145 גל און קליניק אורתופדיה</t>
        </is>
      </c>
      <c r="C1055" s="94" t="inlineStr">
        <is>
          <t>INV61183</t>
        </is>
      </c>
      <c r="D1055" s="94" t="inlineStr">
        <is>
          <t>INV</t>
        </is>
      </c>
      <c r="E1055" s="102" t="n">
        <v>177.46</v>
      </c>
      <c r="F1055" s="94" t="n">
        <v>3</v>
      </c>
      <c r="G1055" s="102" t="n">
        <v>0</v>
      </c>
      <c r="H1055" s="94" t="n">
        <v>0</v>
      </c>
    </row>
    <row r="1056" ht="15" customHeight="1" s="82">
      <c r="A1056" s="94" t="inlineStr">
        <is>
          <t>102 - Orthopedic institutes</t>
        </is>
      </c>
      <c r="B1056" s="94" t="inlineStr">
        <is>
          <t>151145 גל און קליניק אורתופדיה</t>
        </is>
      </c>
      <c r="C1056" s="94" t="inlineStr">
        <is>
          <t>INV68928</t>
        </is>
      </c>
      <c r="D1056" s="94" t="inlineStr">
        <is>
          <t>INV</t>
        </is>
      </c>
      <c r="E1056" s="102" t="n">
        <v>0</v>
      </c>
      <c r="F1056" s="94" t="n">
        <v>0</v>
      </c>
      <c r="G1056" s="102" t="n">
        <v>159.28</v>
      </c>
      <c r="H1056" s="94" t="n">
        <v>3</v>
      </c>
    </row>
    <row r="1057" ht="15" customHeight="1" s="82">
      <c r="A1057" s="94" t="inlineStr">
        <is>
          <t>102 - Orthopedic institutes</t>
        </is>
      </c>
      <c r="B1057" s="94" t="inlineStr">
        <is>
          <t>151145 גל און קליניק אורתופדיה</t>
        </is>
      </c>
      <c r="C1057" s="94" t="inlineStr">
        <is>
          <t>INV40882</t>
        </is>
      </c>
      <c r="D1057" s="94" t="inlineStr">
        <is>
          <t>INV</t>
        </is>
      </c>
      <c r="E1057" s="102" t="n">
        <v>155</v>
      </c>
      <c r="F1057" s="94" t="n">
        <v>2</v>
      </c>
      <c r="G1057" s="102" t="n">
        <v>0</v>
      </c>
      <c r="H1057" s="94" t="n">
        <v>0</v>
      </c>
    </row>
    <row r="1058" ht="15" customHeight="1" s="82">
      <c r="A1058" s="94" t="inlineStr">
        <is>
          <t>102 - Orthopedic institutes</t>
        </is>
      </c>
      <c r="B1058" s="94" t="inlineStr">
        <is>
          <t>151145 גל און קליניק אורתופדיה</t>
        </is>
      </c>
      <c r="C1058" s="94" t="inlineStr">
        <is>
          <t>INV66820</t>
        </is>
      </c>
      <c r="D1058" s="94" t="inlineStr">
        <is>
          <t>INV</t>
        </is>
      </c>
      <c r="E1058" s="102" t="n">
        <v>102.61</v>
      </c>
      <c r="F1058" s="94" t="n">
        <v>2</v>
      </c>
      <c r="G1058" s="102" t="n">
        <v>0</v>
      </c>
      <c r="H1058" s="94" t="n">
        <v>0</v>
      </c>
    </row>
    <row r="1059" ht="15" customHeight="1" s="82">
      <c r="A1059" s="94" t="inlineStr">
        <is>
          <t>102 - Orthopedic institutes</t>
        </is>
      </c>
      <c r="B1059" s="94" t="inlineStr">
        <is>
          <t>151145 גל און קליניק אורתופדיה</t>
        </is>
      </c>
      <c r="C1059" s="94" t="inlineStr">
        <is>
          <t>CM44151</t>
        </is>
      </c>
      <c r="D1059" s="94" t="inlineStr">
        <is>
          <t>CM</t>
        </is>
      </c>
      <c r="E1059" s="102" t="n">
        <v>-363.04</v>
      </c>
      <c r="F1059" s="94" t="n">
        <v>-5</v>
      </c>
      <c r="G1059" s="102" t="n">
        <v>0</v>
      </c>
      <c r="H1059" s="94" t="n">
        <v>0</v>
      </c>
    </row>
    <row r="1060" ht="15" customHeight="1" s="82">
      <c r="A1060" s="94" t="inlineStr">
        <is>
          <t>102 - Orthopedic institutes</t>
        </is>
      </c>
      <c r="B1060" s="94" t="inlineStr">
        <is>
          <t>151162 מרכזים לניתוחים</t>
        </is>
      </c>
      <c r="C1060" s="94" t="inlineStr">
        <is>
          <t>INV62046</t>
        </is>
      </c>
      <c r="D1060" s="94" t="inlineStr">
        <is>
          <t>INV</t>
        </is>
      </c>
      <c r="E1060" s="102" t="n">
        <v>2220.75</v>
      </c>
      <c r="F1060" s="94" t="n">
        <v>20</v>
      </c>
      <c r="G1060" s="102" t="n">
        <v>0</v>
      </c>
      <c r="H1060" s="94" t="n">
        <v>0</v>
      </c>
    </row>
    <row r="1061" ht="15" customHeight="1" s="82">
      <c r="A1061" s="94" t="inlineStr">
        <is>
          <t>102 - Orthopedic institutes</t>
        </is>
      </c>
      <c r="B1061" s="94" t="inlineStr">
        <is>
          <t>151162 מרכזים לניתוחים</t>
        </is>
      </c>
      <c r="C1061" s="94" t="inlineStr">
        <is>
          <t>INV48395</t>
        </is>
      </c>
      <c r="D1061" s="94" t="inlineStr">
        <is>
          <t>INV</t>
        </is>
      </c>
      <c r="E1061" s="102" t="n">
        <v>1518</v>
      </c>
      <c r="F1061" s="94" t="n">
        <v>22</v>
      </c>
      <c r="G1061" s="102" t="n">
        <v>0</v>
      </c>
      <c r="H1061" s="94" t="n">
        <v>0</v>
      </c>
    </row>
    <row r="1062" ht="15" customHeight="1" s="82">
      <c r="A1062" s="94" t="inlineStr">
        <is>
          <t>102 - Orthopedic institutes</t>
        </is>
      </c>
      <c r="B1062" s="94" t="inlineStr">
        <is>
          <t>151170 נ.ר פתרונות אורתופדים</t>
        </is>
      </c>
      <c r="C1062" s="94" t="inlineStr">
        <is>
          <t>INV68698</t>
        </is>
      </c>
      <c r="D1062" s="94" t="inlineStr">
        <is>
          <t>INV</t>
        </is>
      </c>
      <c r="E1062" s="102" t="n">
        <v>0</v>
      </c>
      <c r="F1062" s="94" t="n">
        <v>0</v>
      </c>
      <c r="G1062" s="102" t="n">
        <v>469.99</v>
      </c>
      <c r="H1062" s="94" t="n">
        <v>5</v>
      </c>
    </row>
    <row r="1063" ht="15" customHeight="1" s="82">
      <c r="A1063" s="94" t="inlineStr">
        <is>
          <t>102 - Orthopedic institutes</t>
        </is>
      </c>
      <c r="B1063" s="94" t="inlineStr">
        <is>
          <t>151170 נ.ר פתרונות אורתופדים</t>
        </is>
      </c>
      <c r="C1063" s="94" t="inlineStr">
        <is>
          <t>INV48803</t>
        </is>
      </c>
      <c r="D1063" s="94" t="inlineStr">
        <is>
          <t>INV</t>
        </is>
      </c>
      <c r="E1063" s="102" t="n">
        <v>374.74</v>
      </c>
      <c r="F1063" s="94" t="n">
        <v>5</v>
      </c>
      <c r="G1063" s="102" t="n">
        <v>0</v>
      </c>
      <c r="H1063" s="94" t="n">
        <v>0</v>
      </c>
    </row>
    <row r="1064" ht="15" customHeight="1" s="82">
      <c r="A1064" s="94" t="inlineStr">
        <is>
          <t>102 - Orthopedic institutes</t>
        </is>
      </c>
      <c r="B1064" s="94" t="inlineStr">
        <is>
          <t>151170 נ.ר פתרונות אורתופדים</t>
        </is>
      </c>
      <c r="C1064" s="94" t="inlineStr">
        <is>
          <t>INV42077</t>
        </is>
      </c>
      <c r="D1064" s="94" t="inlineStr">
        <is>
          <t>INV</t>
        </is>
      </c>
      <c r="E1064" s="102" t="n">
        <v>302.5</v>
      </c>
      <c r="F1064" s="94" t="n">
        <v>1</v>
      </c>
      <c r="G1064" s="102" t="n">
        <v>0</v>
      </c>
      <c r="H1064" s="94" t="n">
        <v>0</v>
      </c>
    </row>
    <row r="1065" ht="15" customHeight="1" s="82">
      <c r="A1065" s="94" t="inlineStr">
        <is>
          <t>102 - Orthopedic institutes</t>
        </is>
      </c>
      <c r="B1065" s="94" t="inlineStr">
        <is>
          <t>151174 פרימייר</t>
        </is>
      </c>
      <c r="C1065" s="94" t="inlineStr">
        <is>
          <t>INV45202</t>
        </is>
      </c>
      <c r="D1065" s="94" t="inlineStr">
        <is>
          <t>INV</t>
        </is>
      </c>
      <c r="E1065" s="102" t="n">
        <v>989.73</v>
      </c>
      <c r="F1065" s="94" t="n">
        <v>14</v>
      </c>
      <c r="G1065" s="102" t="n">
        <v>0</v>
      </c>
      <c r="H1065" s="94" t="n">
        <v>0</v>
      </c>
    </row>
    <row r="1066" ht="15" customHeight="1" s="82">
      <c r="A1066" s="94" t="inlineStr">
        <is>
          <t>102 - Orthopedic institutes</t>
        </is>
      </c>
      <c r="B1066" s="94" t="inlineStr">
        <is>
          <t>151174 פרימייר</t>
        </is>
      </c>
      <c r="C1066" s="94" t="inlineStr">
        <is>
          <t>INV65726</t>
        </is>
      </c>
      <c r="D1066" s="94" t="inlineStr">
        <is>
          <t>INV</t>
        </is>
      </c>
      <c r="E1066" s="102" t="n">
        <v>497.43</v>
      </c>
      <c r="F1066" s="94" t="n">
        <v>8</v>
      </c>
      <c r="G1066" s="102" t="n">
        <v>0</v>
      </c>
      <c r="H1066" s="94" t="n">
        <v>0</v>
      </c>
    </row>
    <row r="1067" ht="15" customHeight="1" s="82">
      <c r="A1067" s="94" t="inlineStr">
        <is>
          <t>102 - Orthopedic institutes</t>
        </is>
      </c>
      <c r="B1067" s="94" t="inlineStr">
        <is>
          <t>151174 פרימייר</t>
        </is>
      </c>
      <c r="C1067" s="94" t="inlineStr">
        <is>
          <t>INV65914</t>
        </is>
      </c>
      <c r="D1067" s="94" t="inlineStr">
        <is>
          <t>INV</t>
        </is>
      </c>
      <c r="E1067" s="102" t="n">
        <v>341.75</v>
      </c>
      <c r="F1067" s="94" t="n">
        <v>9</v>
      </c>
      <c r="G1067" s="102" t="n">
        <v>0</v>
      </c>
      <c r="H1067" s="94" t="n">
        <v>0</v>
      </c>
    </row>
    <row r="1068" ht="15" customHeight="1" s="82">
      <c r="A1068" s="94" t="inlineStr">
        <is>
          <t>102 - Orthopedic institutes</t>
        </is>
      </c>
      <c r="B1068" s="94" t="inlineStr">
        <is>
          <t>151183 א.מ אורטופדיה</t>
        </is>
      </c>
      <c r="C1068" s="94" t="inlineStr">
        <is>
          <t>INV65487</t>
        </is>
      </c>
      <c r="D1068" s="94" t="inlineStr">
        <is>
          <t>INV</t>
        </is>
      </c>
      <c r="E1068" s="102" t="n">
        <v>563.37</v>
      </c>
      <c r="F1068" s="94" t="n">
        <v>9</v>
      </c>
      <c r="G1068" s="102" t="n">
        <v>0</v>
      </c>
      <c r="H1068" s="94" t="n">
        <v>0</v>
      </c>
    </row>
    <row r="1069" ht="15" customHeight="1" s="82">
      <c r="A1069" s="94" t="inlineStr">
        <is>
          <t>102 - Orthopedic institutes</t>
        </is>
      </c>
      <c r="B1069" s="94" t="inlineStr">
        <is>
          <t>151183 א.מ אורטופדיה</t>
        </is>
      </c>
      <c r="C1069" s="94" t="inlineStr">
        <is>
          <t>INV62974</t>
        </is>
      </c>
      <c r="D1069" s="94" t="inlineStr">
        <is>
          <t>INV</t>
        </is>
      </c>
      <c r="E1069" s="102" t="n">
        <v>524.27</v>
      </c>
      <c r="F1069" s="94" t="n">
        <v>5</v>
      </c>
      <c r="G1069" s="102" t="n">
        <v>0</v>
      </c>
      <c r="H1069" s="94" t="n">
        <v>0</v>
      </c>
    </row>
    <row r="1070" ht="15" customHeight="1" s="82">
      <c r="A1070" s="94" t="inlineStr">
        <is>
          <t>102 - Orthopedic institutes</t>
        </is>
      </c>
      <c r="B1070" s="94" t="inlineStr">
        <is>
          <t>151183 א.מ אורטופדיה</t>
        </is>
      </c>
      <c r="C1070" s="94" t="inlineStr">
        <is>
          <t>INV49825</t>
        </is>
      </c>
      <c r="D1070" s="94" t="inlineStr">
        <is>
          <t>INV</t>
        </is>
      </c>
      <c r="E1070" s="102" t="n">
        <v>444</v>
      </c>
      <c r="F1070" s="94" t="n">
        <v>2</v>
      </c>
      <c r="G1070" s="102" t="n">
        <v>0</v>
      </c>
      <c r="H1070" s="94" t="n">
        <v>0</v>
      </c>
    </row>
    <row r="1071" ht="15" customHeight="1" s="82">
      <c r="A1071" s="94" t="inlineStr">
        <is>
          <t>102 - Orthopedic institutes</t>
        </is>
      </c>
      <c r="B1071" s="94" t="inlineStr">
        <is>
          <t>151183 א.מ אורטופדיה</t>
        </is>
      </c>
      <c r="C1071" s="94" t="inlineStr">
        <is>
          <t>INV53249</t>
        </is>
      </c>
      <c r="D1071" s="94" t="inlineStr">
        <is>
          <t>INV</t>
        </is>
      </c>
      <c r="E1071" s="102" t="n">
        <v>444</v>
      </c>
      <c r="F1071" s="94" t="n">
        <v>2</v>
      </c>
      <c r="G1071" s="102" t="n">
        <v>0</v>
      </c>
      <c r="H1071" s="94" t="n">
        <v>0</v>
      </c>
    </row>
    <row r="1072" ht="15" customHeight="1" s="82">
      <c r="A1072" s="94" t="inlineStr">
        <is>
          <t>102 - Orthopedic institutes</t>
        </is>
      </c>
      <c r="B1072" s="94" t="inlineStr">
        <is>
          <t>151183 א.מ אורטופדיה</t>
        </is>
      </c>
      <c r="C1072" s="94" t="inlineStr">
        <is>
          <t>INV65721</t>
        </is>
      </c>
      <c r="D1072" s="94" t="inlineStr">
        <is>
          <t>INV</t>
        </is>
      </c>
      <c r="E1072" s="102" t="n">
        <v>374.55</v>
      </c>
      <c r="F1072" s="94" t="n">
        <v>10</v>
      </c>
      <c r="G1072" s="102" t="n">
        <v>0</v>
      </c>
      <c r="H1072" s="94" t="n">
        <v>0</v>
      </c>
    </row>
    <row r="1073" ht="15" customHeight="1" s="82">
      <c r="A1073" s="94" t="inlineStr">
        <is>
          <t>102 - Orthopedic institutes</t>
        </is>
      </c>
      <c r="B1073" s="94" t="inlineStr">
        <is>
          <t>151183 א.מ אורטופדיה</t>
        </is>
      </c>
      <c r="C1073" s="94" t="inlineStr">
        <is>
          <t>INV47217</t>
        </is>
      </c>
      <c r="D1073" s="94" t="inlineStr">
        <is>
          <t>INV</t>
        </is>
      </c>
      <c r="E1073" s="102" t="n">
        <v>296.04</v>
      </c>
      <c r="F1073" s="94" t="n">
        <v>3</v>
      </c>
      <c r="G1073" s="102" t="n">
        <v>0</v>
      </c>
      <c r="H1073" s="94" t="n">
        <v>0</v>
      </c>
    </row>
    <row r="1074" ht="15" customHeight="1" s="82">
      <c r="A1074" s="94" t="inlineStr">
        <is>
          <t>102 - Orthopedic institutes</t>
        </is>
      </c>
      <c r="B1074" s="94" t="inlineStr">
        <is>
          <t>151183 א.מ אורטופדיה</t>
        </is>
      </c>
      <c r="C1074" s="94" t="inlineStr">
        <is>
          <t>INV43717</t>
        </is>
      </c>
      <c r="D1074" s="94" t="inlineStr">
        <is>
          <t>INV</t>
        </is>
      </c>
      <c r="E1074" s="102" t="n">
        <v>244.5</v>
      </c>
      <c r="F1074" s="94" t="n">
        <v>2</v>
      </c>
      <c r="G1074" s="102" t="n">
        <v>0</v>
      </c>
      <c r="H1074" s="94" t="n">
        <v>0</v>
      </c>
    </row>
    <row r="1075" ht="15" customHeight="1" s="82">
      <c r="A1075" s="94" t="inlineStr">
        <is>
          <t>102 - Orthopedic institutes</t>
        </is>
      </c>
      <c r="B1075" s="94" t="inlineStr">
        <is>
          <t>151183 א.מ אורטופדיה</t>
        </is>
      </c>
      <c r="C1075" s="94" t="inlineStr">
        <is>
          <t>INV41394</t>
        </is>
      </c>
      <c r="D1075" s="94" t="inlineStr">
        <is>
          <t>INV</t>
        </is>
      </c>
      <c r="E1075" s="102" t="n">
        <v>185</v>
      </c>
      <c r="F1075" s="94" t="n">
        <v>2</v>
      </c>
      <c r="G1075" s="102" t="n">
        <v>0</v>
      </c>
      <c r="H1075" s="94" t="n">
        <v>0</v>
      </c>
    </row>
    <row r="1076" ht="15" customHeight="1" s="82">
      <c r="A1076" s="94" t="inlineStr">
        <is>
          <t>102 - Orthopedic institutes</t>
        </is>
      </c>
      <c r="B1076" s="94" t="inlineStr">
        <is>
          <t>151187 משי אורלגין בע"מ</t>
        </is>
      </c>
      <c r="C1076" s="94" t="inlineStr">
        <is>
          <t>INV66232</t>
        </is>
      </c>
      <c r="D1076" s="94" t="inlineStr">
        <is>
          <t>INV</t>
        </is>
      </c>
      <c r="E1076" s="102" t="n">
        <v>2195.67</v>
      </c>
      <c r="F1076" s="94" t="n">
        <v>18</v>
      </c>
      <c r="G1076" s="102" t="n">
        <v>0</v>
      </c>
      <c r="H1076" s="94" t="n">
        <v>0</v>
      </c>
    </row>
    <row r="1077" ht="15" customHeight="1" s="82">
      <c r="A1077" s="94" t="inlineStr">
        <is>
          <t>102 - Orthopedic institutes</t>
        </is>
      </c>
      <c r="B1077" s="94" t="inlineStr">
        <is>
          <t>151187 משי אורלגין בע"מ</t>
        </is>
      </c>
      <c r="C1077" s="94" t="inlineStr">
        <is>
          <t>INV68886</t>
        </is>
      </c>
      <c r="D1077" s="94" t="inlineStr">
        <is>
          <t>INV</t>
        </is>
      </c>
      <c r="E1077" s="102" t="n">
        <v>0</v>
      </c>
      <c r="F1077" s="94" t="n">
        <v>0</v>
      </c>
      <c r="G1077" s="102" t="n">
        <v>2091</v>
      </c>
      <c r="H1077" s="94" t="n">
        <v>11</v>
      </c>
    </row>
    <row r="1078" ht="15" customHeight="1" s="82">
      <c r="A1078" s="94" t="inlineStr">
        <is>
          <t>102 - Orthopedic institutes</t>
        </is>
      </c>
      <c r="B1078" s="94" t="inlineStr">
        <is>
          <t>151187 משי אורלגין בע"מ</t>
        </is>
      </c>
      <c r="C1078" s="94" t="inlineStr">
        <is>
          <t>INV68273</t>
        </is>
      </c>
      <c r="D1078" s="94" t="inlineStr">
        <is>
          <t>INV</t>
        </is>
      </c>
      <c r="E1078" s="102" t="n">
        <v>0</v>
      </c>
      <c r="F1078" s="94" t="n">
        <v>0</v>
      </c>
      <c r="G1078" s="102" t="n">
        <v>1868.56</v>
      </c>
      <c r="H1078" s="94" t="n">
        <v>27</v>
      </c>
    </row>
    <row r="1079" ht="15" customHeight="1" s="82">
      <c r="A1079" s="94" t="inlineStr">
        <is>
          <t>102 - Orthopedic institutes</t>
        </is>
      </c>
      <c r="B1079" s="94" t="inlineStr">
        <is>
          <t>151187 משי אורלגין בע"מ</t>
        </is>
      </c>
      <c r="C1079" s="94" t="inlineStr">
        <is>
          <t>INV48804</t>
        </is>
      </c>
      <c r="D1079" s="94" t="inlineStr">
        <is>
          <t>INV</t>
        </is>
      </c>
      <c r="E1079" s="102" t="n">
        <v>1554</v>
      </c>
      <c r="F1079" s="94" t="n">
        <v>7</v>
      </c>
      <c r="G1079" s="102" t="n">
        <v>0</v>
      </c>
      <c r="H1079" s="94" t="n">
        <v>0</v>
      </c>
    </row>
    <row r="1080" ht="15" customHeight="1" s="82">
      <c r="A1080" s="94" t="inlineStr">
        <is>
          <t>102 - Orthopedic institutes</t>
        </is>
      </c>
      <c r="B1080" s="94" t="inlineStr">
        <is>
          <t>151187 משי אורלגין בע"מ</t>
        </is>
      </c>
      <c r="C1080" s="94" t="inlineStr">
        <is>
          <t>INV58573</t>
        </is>
      </c>
      <c r="D1080" s="94" t="inlineStr">
        <is>
          <t>INV</t>
        </is>
      </c>
      <c r="E1080" s="102" t="n">
        <v>1329.78</v>
      </c>
      <c r="F1080" s="94" t="n">
        <v>16</v>
      </c>
      <c r="G1080" s="102" t="n">
        <v>0</v>
      </c>
      <c r="H1080" s="94" t="n">
        <v>0</v>
      </c>
    </row>
    <row r="1081" ht="15" customHeight="1" s="82">
      <c r="A1081" s="94" t="inlineStr">
        <is>
          <t>102 - Orthopedic institutes</t>
        </is>
      </c>
      <c r="B1081" s="94" t="inlineStr">
        <is>
          <t>151187 משי אורלגין בע"מ</t>
        </is>
      </c>
      <c r="C1081" s="94" t="inlineStr">
        <is>
          <t>INV40880</t>
        </is>
      </c>
      <c r="D1081" s="94" t="inlineStr">
        <is>
          <t>INV</t>
        </is>
      </c>
      <c r="E1081" s="102" t="n">
        <v>1289.25</v>
      </c>
      <c r="F1081" s="94" t="n">
        <v>15</v>
      </c>
      <c r="G1081" s="102" t="n">
        <v>0</v>
      </c>
      <c r="H1081" s="94" t="n">
        <v>0</v>
      </c>
    </row>
    <row r="1082" ht="15" customHeight="1" s="82">
      <c r="A1082" s="94" t="inlineStr">
        <is>
          <t>102 - Orthopedic institutes</t>
        </is>
      </c>
      <c r="B1082" s="94" t="inlineStr">
        <is>
          <t>151187 משי אורלגין בע"מ</t>
        </is>
      </c>
      <c r="C1082" s="94" t="inlineStr">
        <is>
          <t>INV66828</t>
        </is>
      </c>
      <c r="D1082" s="94" t="inlineStr">
        <is>
          <t>INV</t>
        </is>
      </c>
      <c r="E1082" s="102" t="n">
        <v>1283.97</v>
      </c>
      <c r="F1082" s="94" t="n">
        <v>14</v>
      </c>
      <c r="G1082" s="102" t="n">
        <v>0</v>
      </c>
      <c r="H1082" s="94" t="n">
        <v>0</v>
      </c>
    </row>
    <row r="1083" ht="15" customHeight="1" s="82">
      <c r="A1083" s="94" t="inlineStr">
        <is>
          <t>102 - Orthopedic institutes</t>
        </is>
      </c>
      <c r="B1083" s="94" t="inlineStr">
        <is>
          <t>151187 משי אורלגין בע"מ</t>
        </is>
      </c>
      <c r="C1083" s="94" t="inlineStr">
        <is>
          <t>INV53620</t>
        </is>
      </c>
      <c r="D1083" s="94" t="inlineStr">
        <is>
          <t>INV</t>
        </is>
      </c>
      <c r="E1083" s="102" t="n">
        <v>1195.21</v>
      </c>
      <c r="F1083" s="94" t="n">
        <v>13</v>
      </c>
      <c r="G1083" s="102" t="n">
        <v>0</v>
      </c>
      <c r="H1083" s="94" t="n">
        <v>0</v>
      </c>
    </row>
    <row r="1084" ht="15" customHeight="1" s="82">
      <c r="A1084" s="94" t="inlineStr">
        <is>
          <t>102 - Orthopedic institutes</t>
        </is>
      </c>
      <c r="B1084" s="94" t="inlineStr">
        <is>
          <t>151187 משי אורלגין בע"מ</t>
        </is>
      </c>
      <c r="C1084" s="94" t="inlineStr">
        <is>
          <t>INV67378</t>
        </is>
      </c>
      <c r="D1084" s="94" t="inlineStr">
        <is>
          <t>INV</t>
        </is>
      </c>
      <c r="E1084" s="102" t="n">
        <v>0</v>
      </c>
      <c r="F1084" s="94" t="n">
        <v>0</v>
      </c>
      <c r="G1084" s="102" t="n">
        <v>998.6</v>
      </c>
      <c r="H1084" s="94" t="n">
        <v>11</v>
      </c>
    </row>
    <row r="1085" ht="15" customHeight="1" s="82">
      <c r="A1085" s="94" t="inlineStr">
        <is>
          <t>102 - Orthopedic institutes</t>
        </is>
      </c>
      <c r="B1085" s="94" t="inlineStr">
        <is>
          <t>151187 משי אורלגין בע"מ</t>
        </is>
      </c>
      <c r="C1085" s="94" t="inlineStr">
        <is>
          <t>INV63510</t>
        </is>
      </c>
      <c r="D1085" s="94" t="inlineStr">
        <is>
          <t>INV</t>
        </is>
      </c>
      <c r="E1085" s="102" t="n">
        <v>990.01</v>
      </c>
      <c r="F1085" s="94" t="n">
        <v>5</v>
      </c>
      <c r="G1085" s="102" t="n">
        <v>0</v>
      </c>
      <c r="H1085" s="94" t="n">
        <v>0</v>
      </c>
    </row>
    <row r="1086" ht="15" customHeight="1" s="82">
      <c r="A1086" s="94" t="inlineStr">
        <is>
          <t>102 - Orthopedic institutes</t>
        </is>
      </c>
      <c r="B1086" s="94" t="inlineStr">
        <is>
          <t>151187 משי אורלגין בע"מ</t>
        </is>
      </c>
      <c r="C1086" s="94" t="inlineStr">
        <is>
          <t>INV68521</t>
        </is>
      </c>
      <c r="D1086" s="94" t="inlineStr">
        <is>
          <t>INV</t>
        </is>
      </c>
      <c r="E1086" s="102" t="n">
        <v>0</v>
      </c>
      <c r="F1086" s="94" t="n">
        <v>0</v>
      </c>
      <c r="G1086" s="102" t="n">
        <v>882</v>
      </c>
      <c r="H1086" s="94" t="n">
        <v>9</v>
      </c>
    </row>
    <row r="1087" ht="15" customHeight="1" s="82">
      <c r="A1087" s="94" t="inlineStr">
        <is>
          <t>102 - Orthopedic institutes</t>
        </is>
      </c>
      <c r="B1087" s="94" t="inlineStr">
        <is>
          <t>151187 משי אורלגין בע"מ</t>
        </is>
      </c>
      <c r="C1087" s="94" t="inlineStr">
        <is>
          <t>INV45341</t>
        </is>
      </c>
      <c r="D1087" s="94" t="inlineStr">
        <is>
          <t>INV</t>
        </is>
      </c>
      <c r="E1087" s="102" t="n">
        <v>852</v>
      </c>
      <c r="F1087" s="94" t="n">
        <v>10</v>
      </c>
      <c r="G1087" s="102" t="n">
        <v>0</v>
      </c>
      <c r="H1087" s="94" t="n">
        <v>0</v>
      </c>
    </row>
    <row r="1088" ht="15" customHeight="1" s="82">
      <c r="A1088" s="94" t="inlineStr">
        <is>
          <t>102 - Orthopedic institutes</t>
        </is>
      </c>
      <c r="B1088" s="94" t="inlineStr">
        <is>
          <t>151187 משי אורלגין בע"מ</t>
        </is>
      </c>
      <c r="C1088" s="94" t="inlineStr">
        <is>
          <t>INV66311</t>
        </is>
      </c>
      <c r="D1088" s="94" t="inlineStr">
        <is>
          <t>INV</t>
        </is>
      </c>
      <c r="E1088" s="102" t="n">
        <v>814.8</v>
      </c>
      <c r="F1088" s="94" t="n">
        <v>13</v>
      </c>
      <c r="G1088" s="102" t="n">
        <v>0</v>
      </c>
      <c r="H1088" s="94" t="n">
        <v>0</v>
      </c>
    </row>
    <row r="1089" ht="15" customHeight="1" s="82">
      <c r="A1089" s="94" t="inlineStr">
        <is>
          <t>102 - Orthopedic institutes</t>
        </is>
      </c>
      <c r="B1089" s="94" t="inlineStr">
        <is>
          <t>151187 משי אורלגין בע"מ</t>
        </is>
      </c>
      <c r="C1089" s="94" t="inlineStr">
        <is>
          <t>INV69041</t>
        </is>
      </c>
      <c r="D1089" s="94" t="inlineStr">
        <is>
          <t>INV</t>
        </is>
      </c>
      <c r="E1089" s="102" t="n">
        <v>0</v>
      </c>
      <c r="F1089" s="94" t="n">
        <v>0</v>
      </c>
      <c r="G1089" s="102" t="n">
        <v>810</v>
      </c>
      <c r="H1089" s="94" t="n">
        <v>9</v>
      </c>
    </row>
    <row r="1090" ht="15" customHeight="1" s="82">
      <c r="A1090" s="94" t="inlineStr">
        <is>
          <t>102 - Orthopedic institutes</t>
        </is>
      </c>
      <c r="B1090" s="94" t="inlineStr">
        <is>
          <t>151187 משי אורלגין בע"מ</t>
        </is>
      </c>
      <c r="C1090" s="94" t="inlineStr">
        <is>
          <t>INV49217</t>
        </is>
      </c>
      <c r="D1090" s="94" t="inlineStr">
        <is>
          <t>INV</t>
        </is>
      </c>
      <c r="E1090" s="102" t="n">
        <v>677.41</v>
      </c>
      <c r="F1090" s="94" t="n">
        <v>5</v>
      </c>
      <c r="G1090" s="102" t="n">
        <v>0</v>
      </c>
      <c r="H1090" s="94" t="n">
        <v>0</v>
      </c>
    </row>
    <row r="1091" ht="15" customHeight="1" s="82">
      <c r="A1091" s="94" t="inlineStr">
        <is>
          <t>102 - Orthopedic institutes</t>
        </is>
      </c>
      <c r="B1091" s="94" t="inlineStr">
        <is>
          <t>151187 משי אורלגין בע"מ</t>
        </is>
      </c>
      <c r="C1091" s="94" t="inlineStr">
        <is>
          <t>INV67619</t>
        </is>
      </c>
      <c r="D1091" s="94" t="inlineStr">
        <is>
          <t>INV</t>
        </is>
      </c>
      <c r="E1091" s="102" t="n">
        <v>0</v>
      </c>
      <c r="F1091" s="94" t="n">
        <v>0</v>
      </c>
      <c r="G1091" s="102" t="n">
        <v>668.73</v>
      </c>
      <c r="H1091" s="94" t="n">
        <v>8</v>
      </c>
    </row>
    <row r="1092" ht="15" customHeight="1" s="82">
      <c r="A1092" s="94" t="inlineStr">
        <is>
          <t>102 - Orthopedic institutes</t>
        </is>
      </c>
      <c r="B1092" s="94" t="inlineStr">
        <is>
          <t>151187 משי אורלגין בע"מ</t>
        </is>
      </c>
      <c r="C1092" s="94" t="inlineStr">
        <is>
          <t>INV69274</t>
        </is>
      </c>
      <c r="D1092" s="94" t="inlineStr">
        <is>
          <t>INV</t>
        </is>
      </c>
      <c r="E1092" s="102" t="n">
        <v>0</v>
      </c>
      <c r="F1092" s="94" t="n">
        <v>0</v>
      </c>
      <c r="G1092" s="102" t="n">
        <v>637.2</v>
      </c>
      <c r="H1092" s="94" t="n">
        <v>8</v>
      </c>
    </row>
    <row r="1093" ht="15" customHeight="1" s="82">
      <c r="A1093" s="94" t="inlineStr">
        <is>
          <t>102 - Orthopedic institutes</t>
        </is>
      </c>
      <c r="B1093" s="94" t="inlineStr">
        <is>
          <t>151187 משי אורלגין בע"מ</t>
        </is>
      </c>
      <c r="C1093" s="94" t="inlineStr">
        <is>
          <t>INV68993</t>
        </is>
      </c>
      <c r="D1093" s="94" t="inlineStr">
        <is>
          <t>INV</t>
        </is>
      </c>
      <c r="E1093" s="102" t="n">
        <v>0</v>
      </c>
      <c r="F1093" s="94" t="n">
        <v>0</v>
      </c>
      <c r="G1093" s="102" t="n">
        <v>539.73</v>
      </c>
      <c r="H1093" s="94" t="n">
        <v>9</v>
      </c>
    </row>
    <row r="1094" ht="15" customHeight="1" s="82">
      <c r="A1094" s="94" t="inlineStr">
        <is>
          <t>102 - Orthopedic institutes</t>
        </is>
      </c>
      <c r="B1094" s="94" t="inlineStr">
        <is>
          <t>151187 משי אורלגין בע"מ</t>
        </is>
      </c>
      <c r="C1094" s="94" t="inlineStr">
        <is>
          <t>INV49243</t>
        </is>
      </c>
      <c r="D1094" s="94" t="inlineStr">
        <is>
          <t>INV</t>
        </is>
      </c>
      <c r="E1094" s="102" t="n">
        <v>500.99</v>
      </c>
      <c r="F1094" s="94" t="n">
        <v>5</v>
      </c>
      <c r="G1094" s="102" t="n">
        <v>0</v>
      </c>
      <c r="H1094" s="94" t="n">
        <v>0</v>
      </c>
    </row>
    <row r="1095" ht="15" customHeight="1" s="82">
      <c r="A1095" s="94" t="inlineStr">
        <is>
          <t>102 - Orthopedic institutes</t>
        </is>
      </c>
      <c r="B1095" s="94" t="inlineStr">
        <is>
          <t>151187 משי אורלגין בע"מ</t>
        </is>
      </c>
      <c r="C1095" s="94" t="inlineStr">
        <is>
          <t>INV65451</t>
        </is>
      </c>
      <c r="D1095" s="94" t="inlineStr">
        <is>
          <t>INV</t>
        </is>
      </c>
      <c r="E1095" s="102" t="n">
        <v>469.99</v>
      </c>
      <c r="F1095" s="94" t="n">
        <v>4</v>
      </c>
      <c r="G1095" s="102" t="n">
        <v>0</v>
      </c>
      <c r="H1095" s="94" t="n">
        <v>0</v>
      </c>
    </row>
    <row r="1096" ht="15" customHeight="1" s="82">
      <c r="A1096" s="94" t="inlineStr">
        <is>
          <t>102 - Orthopedic institutes</t>
        </is>
      </c>
      <c r="B1096" s="94" t="inlineStr">
        <is>
          <t>151187 משי אורלגין בע"מ</t>
        </is>
      </c>
      <c r="C1096" s="94" t="inlineStr">
        <is>
          <t>INV47415</t>
        </is>
      </c>
      <c r="D1096" s="94" t="inlineStr">
        <is>
          <t>INV</t>
        </is>
      </c>
      <c r="E1096" s="102" t="n">
        <v>442</v>
      </c>
      <c r="F1096" s="94" t="n">
        <v>4</v>
      </c>
      <c r="G1096" s="102" t="n">
        <v>0</v>
      </c>
      <c r="H1096" s="94" t="n">
        <v>0</v>
      </c>
    </row>
    <row r="1097" ht="15" customHeight="1" s="82">
      <c r="A1097" s="94" t="inlineStr">
        <is>
          <t>102 - Orthopedic institutes</t>
        </is>
      </c>
      <c r="B1097" s="94" t="inlineStr">
        <is>
          <t>151187 משי אורלגין בע"מ</t>
        </is>
      </c>
      <c r="C1097" s="94" t="inlineStr">
        <is>
          <t>INV47186</t>
        </is>
      </c>
      <c r="D1097" s="94" t="inlineStr">
        <is>
          <t>INV</t>
        </is>
      </c>
      <c r="E1097" s="102" t="n">
        <v>342</v>
      </c>
      <c r="F1097" s="94" t="n">
        <v>3</v>
      </c>
      <c r="G1097" s="102" t="n">
        <v>0</v>
      </c>
      <c r="H1097" s="94" t="n">
        <v>0</v>
      </c>
    </row>
    <row r="1098" ht="15" customHeight="1" s="82">
      <c r="A1098" s="94" t="inlineStr">
        <is>
          <t>102 - Orthopedic institutes</t>
        </is>
      </c>
      <c r="B1098" s="94" t="inlineStr">
        <is>
          <t>151187 משי אורלגין בע"מ</t>
        </is>
      </c>
      <c r="C1098" s="94" t="inlineStr">
        <is>
          <t>INV48858</t>
        </is>
      </c>
      <c r="D1098" s="94" t="inlineStr">
        <is>
          <t>INV</t>
        </is>
      </c>
      <c r="E1098" s="102" t="n">
        <v>128</v>
      </c>
      <c r="F1098" s="94" t="n">
        <v>1</v>
      </c>
      <c r="G1098" s="102" t="n">
        <v>0</v>
      </c>
      <c r="H1098" s="94" t="n">
        <v>0</v>
      </c>
    </row>
    <row r="1099" ht="15" customHeight="1" s="82">
      <c r="A1099" s="94" t="inlineStr">
        <is>
          <t>102 - Orthopedic institutes</t>
        </is>
      </c>
      <c r="B1099" s="94" t="inlineStr">
        <is>
          <t>151187 משי אורלגין בע"מ</t>
        </is>
      </c>
      <c r="C1099" s="94" t="inlineStr">
        <is>
          <t>CM43781</t>
        </is>
      </c>
      <c r="D1099" s="94" t="inlineStr">
        <is>
          <t>CM</t>
        </is>
      </c>
      <c r="E1099" s="102" t="n">
        <v>-444</v>
      </c>
      <c r="F1099" s="94" t="n">
        <v>-2</v>
      </c>
      <c r="G1099" s="102" t="n">
        <v>0</v>
      </c>
      <c r="H1099" s="94" t="n">
        <v>0</v>
      </c>
    </row>
    <row r="1100" ht="15" customHeight="1" s="82">
      <c r="A1100" s="94" t="inlineStr">
        <is>
          <t>102 - Orthopedic institutes</t>
        </is>
      </c>
      <c r="B1100" s="94" t="inlineStr">
        <is>
          <t>151187 משי אורלגין בע"מ</t>
        </is>
      </c>
      <c r="C1100" s="94" t="inlineStr">
        <is>
          <t>CM44205</t>
        </is>
      </c>
      <c r="D1100" s="94" t="inlineStr">
        <is>
          <t>CM</t>
        </is>
      </c>
      <c r="E1100" s="102" t="n">
        <v>-1043.39</v>
      </c>
      <c r="F1100" s="94" t="n">
        <v>-7</v>
      </c>
      <c r="G1100" s="102" t="n">
        <v>0</v>
      </c>
      <c r="H1100" s="94" t="n">
        <v>0</v>
      </c>
    </row>
    <row r="1101" ht="15" customHeight="1" s="82">
      <c r="A1101" s="94" t="inlineStr">
        <is>
          <t>102 - Orthopedic institutes</t>
        </is>
      </c>
      <c r="B1101" s="94" t="inlineStr">
        <is>
          <t>151187 משי אורלגין בע"מ</t>
        </is>
      </c>
      <c r="C1101" s="94" t="inlineStr">
        <is>
          <t>CM44683</t>
        </is>
      </c>
      <c r="D1101" s="94" t="inlineStr">
        <is>
          <t>CM</t>
        </is>
      </c>
      <c r="E1101" s="102" t="n">
        <v>0</v>
      </c>
      <c r="F1101" s="94" t="n">
        <v>0</v>
      </c>
      <c r="G1101" s="102" t="n">
        <v>-1069.97</v>
      </c>
      <c r="H1101" s="94" t="n">
        <v>-15</v>
      </c>
    </row>
    <row r="1102" ht="15" customHeight="1" s="82">
      <c r="A1102" s="94" t="inlineStr">
        <is>
          <t>102 - Orthopedic institutes</t>
        </is>
      </c>
      <c r="B1102" s="94" t="inlineStr">
        <is>
          <t>151198 טובא פארם</t>
        </is>
      </c>
      <c r="C1102" s="94" t="inlineStr">
        <is>
          <t>INV66902</t>
        </is>
      </c>
      <c r="D1102" s="94" t="inlineStr">
        <is>
          <t>INV</t>
        </is>
      </c>
      <c r="E1102" s="102" t="n">
        <v>2388.4</v>
      </c>
      <c r="F1102" s="94" t="n">
        <v>28</v>
      </c>
      <c r="G1102" s="102" t="n">
        <v>0</v>
      </c>
      <c r="H1102" s="94" t="n">
        <v>0</v>
      </c>
    </row>
    <row r="1103" ht="15" customHeight="1" s="82">
      <c r="A1103" s="94" t="inlineStr">
        <is>
          <t>102 - Orthopedic institutes</t>
        </is>
      </c>
      <c r="B1103" s="94" t="inlineStr">
        <is>
          <t>151198 טובא פארם</t>
        </is>
      </c>
      <c r="C1103" s="94" t="inlineStr">
        <is>
          <t>INV66047</t>
        </is>
      </c>
      <c r="D1103" s="94" t="inlineStr">
        <is>
          <t>INV</t>
        </is>
      </c>
      <c r="E1103" s="102" t="n">
        <v>1793.06</v>
      </c>
      <c r="F1103" s="94" t="n">
        <v>24</v>
      </c>
      <c r="G1103" s="102" t="n">
        <v>0</v>
      </c>
      <c r="H1103" s="94" t="n">
        <v>0</v>
      </c>
    </row>
    <row r="1104" ht="15" customHeight="1" s="82">
      <c r="A1104" s="94" t="inlineStr">
        <is>
          <t>102 - Orthopedic institutes</t>
        </is>
      </c>
      <c r="B1104" s="94" t="inlineStr">
        <is>
          <t>151198 טובא פארם</t>
        </is>
      </c>
      <c r="C1104" s="94" t="inlineStr">
        <is>
          <t>INV69330</t>
        </is>
      </c>
      <c r="D1104" s="94" t="inlineStr">
        <is>
          <t>INV</t>
        </is>
      </c>
      <c r="E1104" s="102" t="n">
        <v>0</v>
      </c>
      <c r="F1104" s="94" t="n">
        <v>0</v>
      </c>
      <c r="G1104" s="102" t="n">
        <v>1755.64</v>
      </c>
      <c r="H1104" s="94" t="n">
        <v>28</v>
      </c>
    </row>
    <row r="1105" ht="15" customHeight="1" s="82">
      <c r="A1105" s="94" t="inlineStr">
        <is>
          <t>102 - Orthopedic institutes</t>
        </is>
      </c>
      <c r="B1105" s="94" t="inlineStr">
        <is>
          <t>151198 טובא פארם</t>
        </is>
      </c>
      <c r="C1105" s="94" t="inlineStr">
        <is>
          <t>INV66586</t>
        </is>
      </c>
      <c r="D1105" s="94" t="inlineStr">
        <is>
          <t>INV</t>
        </is>
      </c>
      <c r="E1105" s="102" t="n">
        <v>759.99</v>
      </c>
      <c r="F1105" s="94" t="n">
        <v>8</v>
      </c>
      <c r="G1105" s="102" t="n">
        <v>0</v>
      </c>
      <c r="H1105" s="94" t="n">
        <v>0</v>
      </c>
    </row>
    <row r="1106" ht="15" customHeight="1" s="82">
      <c r="A1106" s="94" t="inlineStr">
        <is>
          <t>102 - Orthopedic institutes</t>
        </is>
      </c>
      <c r="B1106" s="94" t="inlineStr">
        <is>
          <t>151198 טובא פארם</t>
        </is>
      </c>
      <c r="C1106" s="94" t="inlineStr">
        <is>
          <t>INV67638</t>
        </is>
      </c>
      <c r="D1106" s="94" t="inlineStr">
        <is>
          <t>INV</t>
        </is>
      </c>
      <c r="E1106" s="102" t="n">
        <v>0</v>
      </c>
      <c r="F1106" s="94" t="n">
        <v>0</v>
      </c>
      <c r="G1106" s="102" t="n">
        <v>429.82</v>
      </c>
      <c r="H1106" s="94" t="n">
        <v>11</v>
      </c>
    </row>
    <row r="1107" ht="15" customHeight="1" s="82">
      <c r="A1107" s="94" t="inlineStr">
        <is>
          <t>102 - Orthopedic institutes</t>
        </is>
      </c>
      <c r="B1107" s="94" t="inlineStr">
        <is>
          <t>151198 טובא פארם</t>
        </is>
      </c>
      <c r="C1107" s="94" t="inlineStr">
        <is>
          <t>INV48868</t>
        </is>
      </c>
      <c r="D1107" s="94" t="inlineStr">
        <is>
          <t>INV</t>
        </is>
      </c>
      <c r="E1107" s="102" t="n">
        <v>315</v>
      </c>
      <c r="F1107" s="94" t="n">
        <v>3</v>
      </c>
      <c r="G1107" s="102" t="n">
        <v>0</v>
      </c>
      <c r="H1107" s="94" t="n">
        <v>0</v>
      </c>
    </row>
    <row r="1108" ht="15" customHeight="1" s="82">
      <c r="A1108" s="94" t="inlineStr">
        <is>
          <t>102 - Orthopedic institutes</t>
        </is>
      </c>
      <c r="B1108" s="94" t="inlineStr">
        <is>
          <t>151209 רוני אורטופדיה  בע"מ - רמבם</t>
        </is>
      </c>
      <c r="C1108" s="94" t="inlineStr">
        <is>
          <t>INV68062</t>
        </is>
      </c>
      <c r="D1108" s="94" t="inlineStr">
        <is>
          <t>INV</t>
        </is>
      </c>
      <c r="E1108" s="102" t="n">
        <v>0</v>
      </c>
      <c r="F1108" s="94" t="n">
        <v>0</v>
      </c>
      <c r="G1108" s="102" t="n">
        <v>3930.01</v>
      </c>
      <c r="H1108" s="94" t="n">
        <v>22</v>
      </c>
    </row>
    <row r="1109" ht="15" customHeight="1" s="82">
      <c r="A1109" s="94" t="inlineStr">
        <is>
          <t>102 - Orthopedic institutes</t>
        </is>
      </c>
      <c r="B1109" s="94" t="inlineStr">
        <is>
          <t>151209 רוני אורטופדיה  בע"מ - רמבם</t>
        </is>
      </c>
      <c r="C1109" s="94" t="inlineStr">
        <is>
          <t>INV68838</t>
        </is>
      </c>
      <c r="D1109" s="94" t="inlineStr">
        <is>
          <t>INV</t>
        </is>
      </c>
      <c r="E1109" s="102" t="n">
        <v>0</v>
      </c>
      <c r="F1109" s="94" t="n">
        <v>0</v>
      </c>
      <c r="G1109" s="102" t="n">
        <v>3327.29</v>
      </c>
      <c r="H1109" s="94" t="n">
        <v>20</v>
      </c>
    </row>
    <row r="1110" ht="15" customHeight="1" s="82">
      <c r="A1110" s="94" t="inlineStr">
        <is>
          <t>102 - Orthopedic institutes</t>
        </is>
      </c>
      <c r="B1110" s="94" t="inlineStr">
        <is>
          <t>151209 רוני אורטופדיה  בע"מ - רמבם</t>
        </is>
      </c>
      <c r="C1110" s="94" t="inlineStr">
        <is>
          <t>INV48852</t>
        </is>
      </c>
      <c r="D1110" s="94" t="inlineStr">
        <is>
          <t>INV</t>
        </is>
      </c>
      <c r="E1110" s="102" t="n">
        <v>3244</v>
      </c>
      <c r="F1110" s="94" t="n">
        <v>21</v>
      </c>
      <c r="G1110" s="102" t="n">
        <v>0</v>
      </c>
      <c r="H1110" s="94" t="n">
        <v>0</v>
      </c>
    </row>
    <row r="1111" ht="15" customHeight="1" s="82">
      <c r="A1111" s="94" t="inlineStr">
        <is>
          <t>102 - Orthopedic institutes</t>
        </is>
      </c>
      <c r="B1111" s="94" t="inlineStr">
        <is>
          <t>151209 רוני אורטופדיה  בע"מ - רמבם</t>
        </is>
      </c>
      <c r="C1111" s="94" t="inlineStr">
        <is>
          <t>INV52574</t>
        </is>
      </c>
      <c r="D1111" s="94" t="inlineStr">
        <is>
          <t>INV</t>
        </is>
      </c>
      <c r="E1111" s="102" t="n">
        <v>3201.88</v>
      </c>
      <c r="F1111" s="94" t="n">
        <v>94</v>
      </c>
      <c r="G1111" s="102" t="n">
        <v>0</v>
      </c>
      <c r="H1111" s="94" t="n">
        <v>0</v>
      </c>
    </row>
    <row r="1112" ht="15" customHeight="1" s="82">
      <c r="A1112" s="94" t="inlineStr">
        <is>
          <t>102 - Orthopedic institutes</t>
        </is>
      </c>
      <c r="B1112" s="94" t="inlineStr">
        <is>
          <t>151209 רוני אורטופדיה  בע"מ - רמבם</t>
        </is>
      </c>
      <c r="C1112" s="94" t="inlineStr">
        <is>
          <t>INV68652</t>
        </is>
      </c>
      <c r="D1112" s="94" t="inlineStr">
        <is>
          <t>INV</t>
        </is>
      </c>
      <c r="E1112" s="102" t="n">
        <v>0</v>
      </c>
      <c r="F1112" s="94" t="n">
        <v>0</v>
      </c>
      <c r="G1112" s="102" t="n">
        <v>3120.82</v>
      </c>
      <c r="H1112" s="94" t="n">
        <v>25</v>
      </c>
    </row>
    <row r="1113" ht="15" customHeight="1" s="82">
      <c r="A1113" s="94" t="inlineStr">
        <is>
          <t>102 - Orthopedic institutes</t>
        </is>
      </c>
      <c r="B1113" s="94" t="inlineStr">
        <is>
          <t>151209 רוני אורטופדיה  בע"מ - רמבם</t>
        </is>
      </c>
      <c r="C1113" s="94" t="inlineStr">
        <is>
          <t>INV54545</t>
        </is>
      </c>
      <c r="D1113" s="94" t="inlineStr">
        <is>
          <t>INV</t>
        </is>
      </c>
      <c r="E1113" s="102" t="n">
        <v>3104.89</v>
      </c>
      <c r="F1113" s="94" t="n">
        <v>33</v>
      </c>
      <c r="G1113" s="102" t="n">
        <v>0</v>
      </c>
      <c r="H1113" s="94" t="n">
        <v>0</v>
      </c>
    </row>
    <row r="1114" ht="15" customHeight="1" s="82">
      <c r="A1114" s="94" t="inlineStr">
        <is>
          <t>102 - Orthopedic institutes</t>
        </is>
      </c>
      <c r="B1114" s="94" t="inlineStr">
        <is>
          <t>151209 רוני אורטופדיה  בע"מ - רמבם</t>
        </is>
      </c>
      <c r="C1114" s="94" t="inlineStr">
        <is>
          <t>INV45332</t>
        </is>
      </c>
      <c r="D1114" s="94" t="inlineStr">
        <is>
          <t>INV</t>
        </is>
      </c>
      <c r="E1114" s="102" t="n">
        <v>3102.42</v>
      </c>
      <c r="F1114" s="94" t="n">
        <v>26</v>
      </c>
      <c r="G1114" s="102" t="n">
        <v>0</v>
      </c>
      <c r="H1114" s="94" t="n">
        <v>0</v>
      </c>
    </row>
    <row r="1115" ht="15" customHeight="1" s="82">
      <c r="A1115" s="94" t="inlineStr">
        <is>
          <t>102 - Orthopedic institutes</t>
        </is>
      </c>
      <c r="B1115" s="94" t="inlineStr">
        <is>
          <t>151209 רוני אורטופדיה  בע"מ - רמבם</t>
        </is>
      </c>
      <c r="C1115" s="94" t="inlineStr">
        <is>
          <t>INV69089</t>
        </is>
      </c>
      <c r="D1115" s="94" t="inlineStr">
        <is>
          <t>INV</t>
        </is>
      </c>
      <c r="E1115" s="102" t="n">
        <v>0</v>
      </c>
      <c r="F1115" s="94" t="n">
        <v>0</v>
      </c>
      <c r="G1115" s="102" t="n">
        <v>2976.21</v>
      </c>
      <c r="H1115" s="94" t="n">
        <v>29</v>
      </c>
    </row>
    <row r="1116" ht="15" customHeight="1" s="82">
      <c r="A1116" s="94" t="inlineStr">
        <is>
          <t>102 - Orthopedic institutes</t>
        </is>
      </c>
      <c r="B1116" s="94" t="inlineStr">
        <is>
          <t>151209 רוני אורטופדיה  בע"מ - רמבם</t>
        </is>
      </c>
      <c r="C1116" s="94" t="inlineStr">
        <is>
          <t>INV67002</t>
        </is>
      </c>
      <c r="D1116" s="94" t="inlineStr">
        <is>
          <t>INV</t>
        </is>
      </c>
      <c r="E1116" s="102" t="n">
        <v>2959.27</v>
      </c>
      <c r="F1116" s="94" t="n">
        <v>17</v>
      </c>
      <c r="G1116" s="102" t="n">
        <v>0</v>
      </c>
      <c r="H1116" s="94" t="n">
        <v>0</v>
      </c>
    </row>
    <row r="1117" ht="15" customHeight="1" s="82">
      <c r="A1117" s="94" t="inlineStr">
        <is>
          <t>102 - Orthopedic institutes</t>
        </is>
      </c>
      <c r="B1117" s="94" t="inlineStr">
        <is>
          <t>151209 רוני אורטופדיה  בע"מ - רמבם</t>
        </is>
      </c>
      <c r="C1117" s="94" t="inlineStr">
        <is>
          <t>INV69094</t>
        </is>
      </c>
      <c r="D1117" s="94" t="inlineStr">
        <is>
          <t>INV</t>
        </is>
      </c>
      <c r="E1117" s="102" t="n">
        <v>0</v>
      </c>
      <c r="F1117" s="94" t="n">
        <v>0</v>
      </c>
      <c r="G1117" s="102" t="n">
        <v>2886</v>
      </c>
      <c r="H1117" s="94" t="n">
        <v>13</v>
      </c>
    </row>
    <row r="1118" ht="15" customHeight="1" s="82">
      <c r="A1118" s="94" t="inlineStr">
        <is>
          <t>102 - Orthopedic institutes</t>
        </is>
      </c>
      <c r="B1118" s="94" t="inlineStr">
        <is>
          <t>151209 רוני אורטופדיה  בע"מ - רמבם</t>
        </is>
      </c>
      <c r="C1118" s="94" t="inlineStr">
        <is>
          <t>INV67173</t>
        </is>
      </c>
      <c r="D1118" s="94" t="inlineStr">
        <is>
          <t>INV</t>
        </is>
      </c>
      <c r="E1118" s="102" t="n">
        <v>0</v>
      </c>
      <c r="F1118" s="94" t="n">
        <v>0</v>
      </c>
      <c r="G1118" s="102" t="n">
        <v>2885.24</v>
      </c>
      <c r="H1118" s="94" t="n">
        <v>13</v>
      </c>
    </row>
    <row r="1119" ht="15" customHeight="1" s="82">
      <c r="A1119" s="94" t="inlineStr">
        <is>
          <t>102 - Orthopedic institutes</t>
        </is>
      </c>
      <c r="B1119" s="94" t="inlineStr">
        <is>
          <t>151209 רוני אורטופדיה  בע"מ - רמבם</t>
        </is>
      </c>
      <c r="C1119" s="94" t="inlineStr">
        <is>
          <t>INV66241</t>
        </is>
      </c>
      <c r="D1119" s="94" t="inlineStr">
        <is>
          <t>INV</t>
        </is>
      </c>
      <c r="E1119" s="102" t="n">
        <v>2748.7</v>
      </c>
      <c r="F1119" s="94" t="n">
        <v>13</v>
      </c>
      <c r="G1119" s="102" t="n">
        <v>0</v>
      </c>
      <c r="H1119" s="94" t="n">
        <v>0</v>
      </c>
    </row>
    <row r="1120" ht="15" customHeight="1" s="82">
      <c r="A1120" s="94" t="inlineStr">
        <is>
          <t>102 - Orthopedic institutes</t>
        </is>
      </c>
      <c r="B1120" s="94" t="inlineStr">
        <is>
          <t>151209 רוני אורטופדיה  בע"מ - רמבם</t>
        </is>
      </c>
      <c r="C1120" s="94" t="inlineStr">
        <is>
          <t>INV68506</t>
        </is>
      </c>
      <c r="D1120" s="94" t="inlineStr">
        <is>
          <t>INV</t>
        </is>
      </c>
      <c r="E1120" s="102" t="n">
        <v>0</v>
      </c>
      <c r="F1120" s="94" t="n">
        <v>0</v>
      </c>
      <c r="G1120" s="102" t="n">
        <v>2662.71</v>
      </c>
      <c r="H1120" s="94" t="n">
        <v>16</v>
      </c>
    </row>
    <row r="1121" ht="15" customHeight="1" s="82">
      <c r="A1121" s="94" t="inlineStr">
        <is>
          <t>102 - Orthopedic institutes</t>
        </is>
      </c>
      <c r="B1121" s="94" t="inlineStr">
        <is>
          <t>151209 רוני אורטופדיה  בע"מ - רמבם</t>
        </is>
      </c>
      <c r="C1121" s="94" t="inlineStr">
        <is>
          <t>INV68597</t>
        </is>
      </c>
      <c r="D1121" s="94" t="inlineStr">
        <is>
          <t>INV</t>
        </is>
      </c>
      <c r="E1121" s="102" t="n">
        <v>0</v>
      </c>
      <c r="F1121" s="94" t="n">
        <v>0</v>
      </c>
      <c r="G1121" s="102" t="n">
        <v>2650.63</v>
      </c>
      <c r="H1121" s="94" t="n">
        <v>22</v>
      </c>
    </row>
    <row r="1122" ht="15" customHeight="1" s="82">
      <c r="A1122" s="94" t="inlineStr">
        <is>
          <t>102 - Orthopedic institutes</t>
        </is>
      </c>
      <c r="B1122" s="94" t="inlineStr">
        <is>
          <t>151209 רוני אורטופדיה  בע"מ - רמבם</t>
        </is>
      </c>
      <c r="C1122" s="94" t="inlineStr">
        <is>
          <t>INV67592</t>
        </is>
      </c>
      <c r="D1122" s="94" t="inlineStr">
        <is>
          <t>INV</t>
        </is>
      </c>
      <c r="E1122" s="102" t="n">
        <v>0</v>
      </c>
      <c r="F1122" s="94" t="n">
        <v>0</v>
      </c>
      <c r="G1122" s="102" t="n">
        <v>2600.02</v>
      </c>
      <c r="H1122" s="94" t="n">
        <v>10</v>
      </c>
    </row>
    <row r="1123" ht="15" customHeight="1" s="82">
      <c r="A1123" s="94" t="inlineStr">
        <is>
          <t>102 - Orthopedic institutes</t>
        </is>
      </c>
      <c r="B1123" s="94" t="inlineStr">
        <is>
          <t>151209 רוני אורטופדיה  בע"מ - רמבם</t>
        </is>
      </c>
      <c r="C1123" s="94" t="inlineStr">
        <is>
          <t>INV67366</t>
        </is>
      </c>
      <c r="D1123" s="94" t="inlineStr">
        <is>
          <t>INV</t>
        </is>
      </c>
      <c r="E1123" s="102" t="n">
        <v>0</v>
      </c>
      <c r="F1123" s="94" t="n">
        <v>0</v>
      </c>
      <c r="G1123" s="102" t="n">
        <v>2600.02</v>
      </c>
      <c r="H1123" s="94" t="n">
        <v>10</v>
      </c>
    </row>
    <row r="1124" ht="15" customHeight="1" s="82">
      <c r="A1124" s="94" t="inlineStr">
        <is>
          <t>102 - Orthopedic institutes</t>
        </is>
      </c>
      <c r="B1124" s="94" t="inlineStr">
        <is>
          <t>151209 רוני אורטופדיה  בע"מ - רמבם</t>
        </is>
      </c>
      <c r="C1124" s="94" t="inlineStr">
        <is>
          <t>INV58796</t>
        </is>
      </c>
      <c r="D1124" s="94" t="inlineStr">
        <is>
          <t>INV</t>
        </is>
      </c>
      <c r="E1124" s="102" t="n">
        <v>2538.55</v>
      </c>
      <c r="F1124" s="94" t="n">
        <v>26</v>
      </c>
      <c r="G1124" s="102" t="n">
        <v>0</v>
      </c>
      <c r="H1124" s="94" t="n">
        <v>0</v>
      </c>
    </row>
    <row r="1125" ht="15" customHeight="1" s="82">
      <c r="A1125" s="94" t="inlineStr">
        <is>
          <t>102 - Orthopedic institutes</t>
        </is>
      </c>
      <c r="B1125" s="94" t="inlineStr">
        <is>
          <t>151209 רוני אורטופדיה  בע"מ - רמבם</t>
        </is>
      </c>
      <c r="C1125" s="94" t="inlineStr">
        <is>
          <t>INV56436</t>
        </is>
      </c>
      <c r="D1125" s="94" t="inlineStr">
        <is>
          <t>INV</t>
        </is>
      </c>
      <c r="E1125" s="102" t="n">
        <v>2440.45</v>
      </c>
      <c r="F1125" s="94" t="n">
        <v>24</v>
      </c>
      <c r="G1125" s="102" t="n">
        <v>0</v>
      </c>
      <c r="H1125" s="94" t="n">
        <v>0</v>
      </c>
    </row>
    <row r="1126" ht="15" customHeight="1" s="82">
      <c r="A1126" s="94" t="inlineStr">
        <is>
          <t>102 - Orthopedic institutes</t>
        </is>
      </c>
      <c r="B1126" s="94" t="inlineStr">
        <is>
          <t>151209 רוני אורטופדיה  בע"מ - רמבם</t>
        </is>
      </c>
      <c r="C1126" s="94" t="inlineStr">
        <is>
          <t>INV68279</t>
        </is>
      </c>
      <c r="D1126" s="94" t="inlineStr">
        <is>
          <t>INV</t>
        </is>
      </c>
      <c r="E1126" s="102" t="n">
        <v>0</v>
      </c>
      <c r="F1126" s="94" t="n">
        <v>0</v>
      </c>
      <c r="G1126" s="102" t="n">
        <v>2409.4</v>
      </c>
      <c r="H1126" s="94" t="n">
        <v>21</v>
      </c>
    </row>
    <row r="1127" ht="15" customHeight="1" s="82">
      <c r="A1127" s="94" t="inlineStr">
        <is>
          <t>102 - Orthopedic institutes</t>
        </is>
      </c>
      <c r="B1127" s="94" t="inlineStr">
        <is>
          <t>151209 רוני אורטופדיה  בע"מ - רמבם</t>
        </is>
      </c>
      <c r="C1127" s="94" t="inlineStr">
        <is>
          <t>INV67330</t>
        </is>
      </c>
      <c r="D1127" s="94" t="inlineStr">
        <is>
          <t>INV</t>
        </is>
      </c>
      <c r="E1127" s="102" t="n">
        <v>0</v>
      </c>
      <c r="F1127" s="94" t="n">
        <v>0</v>
      </c>
      <c r="G1127" s="102" t="n">
        <v>2241.91</v>
      </c>
      <c r="H1127" s="94" t="n">
        <v>19</v>
      </c>
    </row>
    <row r="1128" ht="15" customHeight="1" s="82">
      <c r="A1128" s="94" t="inlineStr">
        <is>
          <t>102 - Orthopedic institutes</t>
        </is>
      </c>
      <c r="B1128" s="94" t="inlineStr">
        <is>
          <t>151209 רוני אורטופדיה  בע"מ - רמבם</t>
        </is>
      </c>
      <c r="C1128" s="94" t="inlineStr">
        <is>
          <t>INV67459</t>
        </is>
      </c>
      <c r="D1128" s="94" t="inlineStr">
        <is>
          <t>INV</t>
        </is>
      </c>
      <c r="E1128" s="102" t="n">
        <v>0</v>
      </c>
      <c r="F1128" s="94" t="n">
        <v>0</v>
      </c>
      <c r="G1128" s="102" t="n">
        <v>2211.8</v>
      </c>
      <c r="H1128" s="94" t="n">
        <v>34</v>
      </c>
    </row>
    <row r="1129" ht="15" customHeight="1" s="82">
      <c r="A1129" s="94" t="inlineStr">
        <is>
          <t>102 - Orthopedic institutes</t>
        </is>
      </c>
      <c r="B1129" s="94" t="inlineStr">
        <is>
          <t>151209 רוני אורטופדיה  בע"מ - רמבם</t>
        </is>
      </c>
      <c r="C1129" s="94" t="inlineStr">
        <is>
          <t>INV68528</t>
        </is>
      </c>
      <c r="D1129" s="94" t="inlineStr">
        <is>
          <t>INV</t>
        </is>
      </c>
      <c r="E1129" s="102" t="n">
        <v>0</v>
      </c>
      <c r="F1129" s="94" t="n">
        <v>0</v>
      </c>
      <c r="G1129" s="102" t="n">
        <v>2164.05</v>
      </c>
      <c r="H1129" s="94" t="n">
        <v>11</v>
      </c>
    </row>
    <row r="1130" ht="15" customHeight="1" s="82">
      <c r="A1130" s="94" t="inlineStr">
        <is>
          <t>102 - Orthopedic institutes</t>
        </is>
      </c>
      <c r="B1130" s="94" t="inlineStr">
        <is>
          <t>151209 רוני אורטופדיה  בע"מ - רמבם</t>
        </is>
      </c>
      <c r="C1130" s="94" t="inlineStr">
        <is>
          <t>INV67658</t>
        </is>
      </c>
      <c r="D1130" s="94" t="inlineStr">
        <is>
          <t>INV</t>
        </is>
      </c>
      <c r="E1130" s="102" t="n">
        <v>0</v>
      </c>
      <c r="F1130" s="94" t="n">
        <v>0</v>
      </c>
      <c r="G1130" s="102" t="n">
        <v>2088.72</v>
      </c>
      <c r="H1130" s="94" t="n">
        <v>32</v>
      </c>
    </row>
    <row r="1131" ht="15" customHeight="1" s="82">
      <c r="A1131" s="94" t="inlineStr">
        <is>
          <t>102 - Orthopedic institutes</t>
        </is>
      </c>
      <c r="B1131" s="94" t="inlineStr">
        <is>
          <t>151209 רוני אורטופדיה  בע"מ - רמבם</t>
        </is>
      </c>
      <c r="C1131" s="94" t="inlineStr">
        <is>
          <t>INV40692</t>
        </is>
      </c>
      <c r="D1131" s="94" t="inlineStr">
        <is>
          <t>INV</t>
        </is>
      </c>
      <c r="E1131" s="102" t="n">
        <v>1981.89</v>
      </c>
      <c r="F1131" s="94" t="n">
        <v>17</v>
      </c>
      <c r="G1131" s="102" t="n">
        <v>0</v>
      </c>
      <c r="H1131" s="94" t="n">
        <v>0</v>
      </c>
    </row>
    <row r="1132" ht="15" customHeight="1" s="82">
      <c r="A1132" s="94" t="inlineStr">
        <is>
          <t>102 - Orthopedic institutes</t>
        </is>
      </c>
      <c r="B1132" s="94" t="inlineStr">
        <is>
          <t>151209 רוני אורטופדיה  בע"מ - רמבם</t>
        </is>
      </c>
      <c r="C1132" s="94" t="inlineStr">
        <is>
          <t>INV68413</t>
        </is>
      </c>
      <c r="D1132" s="94" t="inlineStr">
        <is>
          <t>INV</t>
        </is>
      </c>
      <c r="E1132" s="102" t="n">
        <v>0</v>
      </c>
      <c r="F1132" s="94" t="n">
        <v>0</v>
      </c>
      <c r="G1132" s="102" t="n">
        <v>1950.02</v>
      </c>
      <c r="H1132" s="94" t="n">
        <v>9</v>
      </c>
    </row>
    <row r="1133" ht="15" customHeight="1" s="82">
      <c r="A1133" s="94" t="inlineStr">
        <is>
          <t>102 - Orthopedic institutes</t>
        </is>
      </c>
      <c r="B1133" s="94" t="inlineStr">
        <is>
          <t>151209 רוני אורטופדיה  בע"מ - רמבם</t>
        </is>
      </c>
      <c r="C1133" s="94" t="inlineStr">
        <is>
          <t>INV68997</t>
        </is>
      </c>
      <c r="D1133" s="94" t="inlineStr">
        <is>
          <t>INV</t>
        </is>
      </c>
      <c r="E1133" s="102" t="n">
        <v>0</v>
      </c>
      <c r="F1133" s="94" t="n">
        <v>0</v>
      </c>
      <c r="G1133" s="102" t="n">
        <v>1870</v>
      </c>
      <c r="H1133" s="94" t="n">
        <v>12</v>
      </c>
    </row>
    <row r="1134" ht="15" customHeight="1" s="82">
      <c r="A1134" s="94" t="inlineStr">
        <is>
          <t>102 - Orthopedic institutes</t>
        </is>
      </c>
      <c r="B1134" s="94" t="inlineStr">
        <is>
          <t>151209 רוני אורטופדיה  בע"מ - רמבם</t>
        </is>
      </c>
      <c r="C1134" s="94" t="inlineStr">
        <is>
          <t>INV64430</t>
        </is>
      </c>
      <c r="D1134" s="94" t="inlineStr">
        <is>
          <t>INV</t>
        </is>
      </c>
      <c r="E1134" s="102" t="n">
        <v>1857.98</v>
      </c>
      <c r="F1134" s="94" t="n">
        <v>12</v>
      </c>
      <c r="G1134" s="102" t="n">
        <v>0</v>
      </c>
      <c r="H1134" s="94" t="n">
        <v>0</v>
      </c>
    </row>
    <row r="1135" ht="15" customHeight="1" s="82">
      <c r="A1135" s="94" t="inlineStr">
        <is>
          <t>102 - Orthopedic institutes</t>
        </is>
      </c>
      <c r="B1135" s="94" t="inlineStr">
        <is>
          <t>151209 רוני אורטופדיה  בע"מ - רמבם</t>
        </is>
      </c>
      <c r="C1135" s="94" t="inlineStr">
        <is>
          <t>INV61933</t>
        </is>
      </c>
      <c r="D1135" s="94" t="inlineStr">
        <is>
          <t>INV</t>
        </is>
      </c>
      <c r="E1135" s="102" t="n">
        <v>1813</v>
      </c>
      <c r="F1135" s="94" t="n">
        <v>15</v>
      </c>
      <c r="G1135" s="102" t="n">
        <v>0</v>
      </c>
      <c r="H1135" s="94" t="n">
        <v>0</v>
      </c>
    </row>
    <row r="1136" ht="15" customHeight="1" s="82">
      <c r="A1136" s="94" t="inlineStr">
        <is>
          <t>102 - Orthopedic institutes</t>
        </is>
      </c>
      <c r="B1136" s="94" t="inlineStr">
        <is>
          <t>151209 רוני אורטופדיה  בע"מ - רמבם</t>
        </is>
      </c>
      <c r="C1136" s="94" t="inlineStr">
        <is>
          <t>INV68725</t>
        </is>
      </c>
      <c r="D1136" s="94" t="inlineStr">
        <is>
          <t>INV</t>
        </is>
      </c>
      <c r="E1136" s="102" t="n">
        <v>0</v>
      </c>
      <c r="F1136" s="94" t="n">
        <v>0</v>
      </c>
      <c r="G1136" s="102" t="n">
        <v>1760.02</v>
      </c>
      <c r="H1136" s="94" t="n">
        <v>10</v>
      </c>
    </row>
    <row r="1137" ht="15" customHeight="1" s="82">
      <c r="A1137" s="94" t="inlineStr">
        <is>
          <t>102 - Orthopedic institutes</t>
        </is>
      </c>
      <c r="B1137" s="94" t="inlineStr">
        <is>
          <t>151209 רוני אורטופדיה  בע"מ - רמבם</t>
        </is>
      </c>
      <c r="C1137" s="94" t="inlineStr">
        <is>
          <t>INV66716</t>
        </is>
      </c>
      <c r="D1137" s="94" t="inlineStr">
        <is>
          <t>INV</t>
        </is>
      </c>
      <c r="E1137" s="102" t="n">
        <v>1747.6</v>
      </c>
      <c r="F1137" s="94" t="n">
        <v>15</v>
      </c>
      <c r="G1137" s="102" t="n">
        <v>0</v>
      </c>
      <c r="H1137" s="94" t="n">
        <v>0</v>
      </c>
    </row>
    <row r="1138" ht="15" customHeight="1" s="82">
      <c r="A1138" s="94" t="inlineStr">
        <is>
          <t>102 - Orthopedic institutes</t>
        </is>
      </c>
      <c r="B1138" s="94" t="inlineStr">
        <is>
          <t>151209 רוני אורטופדיה  בע"מ - רמבם</t>
        </is>
      </c>
      <c r="C1138" s="94" t="inlineStr">
        <is>
          <t>INV65484</t>
        </is>
      </c>
      <c r="D1138" s="94" t="inlineStr">
        <is>
          <t>INV</t>
        </is>
      </c>
      <c r="E1138" s="102" t="n">
        <v>1746.01</v>
      </c>
      <c r="F1138" s="94" t="n">
        <v>10</v>
      </c>
      <c r="G1138" s="102" t="n">
        <v>0</v>
      </c>
      <c r="H1138" s="94" t="n">
        <v>0</v>
      </c>
    </row>
    <row r="1139" ht="15" customHeight="1" s="82">
      <c r="A1139" s="94" t="inlineStr">
        <is>
          <t>102 - Orthopedic institutes</t>
        </is>
      </c>
      <c r="B1139" s="94" t="inlineStr">
        <is>
          <t>151209 רוני אורטופדיה  בע"מ - רמבם</t>
        </is>
      </c>
      <c r="C1139" s="94" t="inlineStr">
        <is>
          <t>INV66338</t>
        </is>
      </c>
      <c r="D1139" s="94" t="inlineStr">
        <is>
          <t>INV</t>
        </is>
      </c>
      <c r="E1139" s="102" t="n">
        <v>1740.01</v>
      </c>
      <c r="F1139" s="94" t="n">
        <v>18</v>
      </c>
      <c r="G1139" s="102" t="n">
        <v>0</v>
      </c>
      <c r="H1139" s="94" t="n">
        <v>0</v>
      </c>
    </row>
    <row r="1140" ht="15" customHeight="1" s="82">
      <c r="A1140" s="94" t="inlineStr">
        <is>
          <t>102 - Orthopedic institutes</t>
        </is>
      </c>
      <c r="B1140" s="94" t="inlineStr">
        <is>
          <t>151209 רוני אורטופדיה  בע"מ - רמבם</t>
        </is>
      </c>
      <c r="C1140" s="94" t="inlineStr">
        <is>
          <t>INV68790</t>
        </is>
      </c>
      <c r="D1140" s="94" t="inlineStr">
        <is>
          <t>INV</t>
        </is>
      </c>
      <c r="E1140" s="102" t="n">
        <v>0</v>
      </c>
      <c r="F1140" s="94" t="n">
        <v>0</v>
      </c>
      <c r="G1140" s="102" t="n">
        <v>1714.99</v>
      </c>
      <c r="H1140" s="94" t="n">
        <v>14</v>
      </c>
    </row>
    <row r="1141" ht="15" customHeight="1" s="82">
      <c r="A1141" s="94" t="inlineStr">
        <is>
          <t>102 - Orthopedic institutes</t>
        </is>
      </c>
      <c r="B1141" s="94" t="inlineStr">
        <is>
          <t>151209 רוני אורטופדיה  בע"מ - רמבם</t>
        </is>
      </c>
      <c r="C1141" s="94" t="inlineStr">
        <is>
          <t>INV66093</t>
        </is>
      </c>
      <c r="D1141" s="94" t="inlineStr">
        <is>
          <t>INV</t>
        </is>
      </c>
      <c r="E1141" s="102" t="n">
        <v>1660.77</v>
      </c>
      <c r="F1141" s="94" t="n">
        <v>16</v>
      </c>
      <c r="G1141" s="102" t="n">
        <v>0</v>
      </c>
      <c r="H1141" s="94" t="n">
        <v>0</v>
      </c>
    </row>
    <row r="1142" ht="15" customHeight="1" s="82">
      <c r="A1142" s="94" t="inlineStr">
        <is>
          <t>102 - Orthopedic institutes</t>
        </is>
      </c>
      <c r="B1142" s="94" t="inlineStr">
        <is>
          <t>151209 רוני אורטופדיה  בע"מ - רמבם</t>
        </is>
      </c>
      <c r="C1142" s="94" t="inlineStr">
        <is>
          <t>INV69185</t>
        </is>
      </c>
      <c r="D1142" s="94" t="inlineStr">
        <is>
          <t>INV</t>
        </is>
      </c>
      <c r="E1142" s="102" t="n">
        <v>0</v>
      </c>
      <c r="F1142" s="94" t="n">
        <v>0</v>
      </c>
      <c r="G1142" s="102" t="n">
        <v>1643.99</v>
      </c>
      <c r="H1142" s="94" t="n">
        <v>16</v>
      </c>
    </row>
    <row r="1143" ht="15" customHeight="1" s="82">
      <c r="A1143" s="94" t="inlineStr">
        <is>
          <t>102 - Orthopedic institutes</t>
        </is>
      </c>
      <c r="B1143" s="94" t="inlineStr">
        <is>
          <t>151209 רוני אורטופדיה  בע"מ - רמבם</t>
        </is>
      </c>
      <c r="C1143" s="94" t="inlineStr">
        <is>
          <t>INV66434</t>
        </is>
      </c>
      <c r="D1143" s="94" t="inlineStr">
        <is>
          <t>INV</t>
        </is>
      </c>
      <c r="E1143" s="102" t="n">
        <v>1609.97</v>
      </c>
      <c r="F1143" s="94" t="n">
        <v>17</v>
      </c>
      <c r="G1143" s="102" t="n">
        <v>0</v>
      </c>
      <c r="H1143" s="94" t="n">
        <v>0</v>
      </c>
    </row>
    <row r="1144" ht="15" customHeight="1" s="82">
      <c r="A1144" s="94" t="inlineStr">
        <is>
          <t>102 - Orthopedic institutes</t>
        </is>
      </c>
      <c r="B1144" s="94" t="inlineStr">
        <is>
          <t>151209 רוני אורטופדיה  בע"מ - רמבם</t>
        </is>
      </c>
      <c r="C1144" s="94" t="inlineStr">
        <is>
          <t>INV44442</t>
        </is>
      </c>
      <c r="D1144" s="94" t="inlineStr">
        <is>
          <t>INV</t>
        </is>
      </c>
      <c r="E1144" s="102" t="n">
        <v>1519.79</v>
      </c>
      <c r="F1144" s="94" t="n">
        <v>17</v>
      </c>
      <c r="G1144" s="102" t="n">
        <v>0</v>
      </c>
      <c r="H1144" s="94" t="n">
        <v>0</v>
      </c>
    </row>
    <row r="1145" ht="15" customHeight="1" s="82">
      <c r="A1145" s="94" t="inlineStr">
        <is>
          <t>102 - Orthopedic institutes</t>
        </is>
      </c>
      <c r="B1145" s="94" t="inlineStr">
        <is>
          <t>151209 רוני אורטופדיה  בע"מ - רמבם</t>
        </is>
      </c>
      <c r="C1145" s="94" t="inlineStr">
        <is>
          <t>INV68587</t>
        </is>
      </c>
      <c r="D1145" s="94" t="inlineStr">
        <is>
          <t>INV</t>
        </is>
      </c>
      <c r="E1145" s="102" t="n">
        <v>0</v>
      </c>
      <c r="F1145" s="94" t="n">
        <v>0</v>
      </c>
      <c r="G1145" s="102" t="n">
        <v>1499.99</v>
      </c>
      <c r="H1145" s="94" t="n">
        <v>16</v>
      </c>
    </row>
    <row r="1146" ht="15" customHeight="1" s="82">
      <c r="A1146" s="94" t="inlineStr">
        <is>
          <t>102 - Orthopedic institutes</t>
        </is>
      </c>
      <c r="B1146" s="94" t="inlineStr">
        <is>
          <t>151209 רוני אורטופדיה  בע"מ - רמבם</t>
        </is>
      </c>
      <c r="C1146" s="94" t="inlineStr">
        <is>
          <t>INV67780</t>
        </is>
      </c>
      <c r="D1146" s="94" t="inlineStr">
        <is>
          <t>INV</t>
        </is>
      </c>
      <c r="E1146" s="102" t="n">
        <v>0</v>
      </c>
      <c r="F1146" s="94" t="n">
        <v>0</v>
      </c>
      <c r="G1146" s="102" t="n">
        <v>1423.29</v>
      </c>
      <c r="H1146" s="94" t="n">
        <v>11</v>
      </c>
    </row>
    <row r="1147" ht="15" customHeight="1" s="82">
      <c r="A1147" s="94" t="inlineStr">
        <is>
          <t>102 - Orthopedic institutes</t>
        </is>
      </c>
      <c r="B1147" s="94" t="inlineStr">
        <is>
          <t>151209 רוני אורטופדיה  בע"מ - רמבם</t>
        </is>
      </c>
      <c r="C1147" s="94" t="inlineStr">
        <is>
          <t>INV46845</t>
        </is>
      </c>
      <c r="D1147" s="94" t="inlineStr">
        <is>
          <t>INV</t>
        </is>
      </c>
      <c r="E1147" s="102" t="n">
        <v>1332</v>
      </c>
      <c r="F1147" s="94" t="n">
        <v>6</v>
      </c>
      <c r="G1147" s="102" t="n">
        <v>0</v>
      </c>
      <c r="H1147" s="94" t="n">
        <v>0</v>
      </c>
    </row>
    <row r="1148" ht="15" customHeight="1" s="82">
      <c r="A1148" s="94" t="inlineStr">
        <is>
          <t>102 - Orthopedic institutes</t>
        </is>
      </c>
      <c r="B1148" s="94" t="inlineStr">
        <is>
          <t>151209 רוני אורטופדיה  בע"מ - רמבם</t>
        </is>
      </c>
      <c r="C1148" s="94" t="inlineStr">
        <is>
          <t>INV66545</t>
        </is>
      </c>
      <c r="D1148" s="94" t="inlineStr">
        <is>
          <t>INV</t>
        </is>
      </c>
      <c r="E1148" s="102" t="n">
        <v>1284.97</v>
      </c>
      <c r="F1148" s="94" t="n">
        <v>13</v>
      </c>
      <c r="G1148" s="102" t="n">
        <v>0</v>
      </c>
      <c r="H1148" s="94" t="n">
        <v>0</v>
      </c>
    </row>
    <row r="1149" ht="15" customHeight="1" s="82">
      <c r="A1149" s="94" t="inlineStr">
        <is>
          <t>102 - Orthopedic institutes</t>
        </is>
      </c>
      <c r="B1149" s="94" t="inlineStr">
        <is>
          <t>151209 רוני אורטופדיה  בע"מ - רמבם</t>
        </is>
      </c>
      <c r="C1149" s="94" t="inlineStr">
        <is>
          <t>INV67867</t>
        </is>
      </c>
      <c r="D1149" s="94" t="inlineStr">
        <is>
          <t>INV</t>
        </is>
      </c>
      <c r="E1149" s="102" t="n">
        <v>0</v>
      </c>
      <c r="F1149" s="94" t="n">
        <v>0</v>
      </c>
      <c r="G1149" s="102" t="n">
        <v>1262.07</v>
      </c>
      <c r="H1149" s="94" t="n">
        <v>13</v>
      </c>
    </row>
    <row r="1150" ht="15" customHeight="1" s="82">
      <c r="A1150" s="94" t="inlineStr">
        <is>
          <t>102 - Orthopedic institutes</t>
        </is>
      </c>
      <c r="B1150" s="94" t="inlineStr">
        <is>
          <t>151209 רוני אורטופדיה  בע"מ - רמבם</t>
        </is>
      </c>
      <c r="C1150" s="94" t="inlineStr">
        <is>
          <t>INV68937</t>
        </is>
      </c>
      <c r="D1150" s="94" t="inlineStr">
        <is>
          <t>INV</t>
        </is>
      </c>
      <c r="E1150" s="102" t="n">
        <v>0</v>
      </c>
      <c r="F1150" s="94" t="n">
        <v>0</v>
      </c>
      <c r="G1150" s="102" t="n">
        <v>1226.14</v>
      </c>
      <c r="H1150" s="94" t="n">
        <v>12</v>
      </c>
    </row>
    <row r="1151" ht="15" customHeight="1" s="82">
      <c r="A1151" s="94" t="inlineStr">
        <is>
          <t>102 - Orthopedic institutes</t>
        </is>
      </c>
      <c r="B1151" s="94" t="inlineStr">
        <is>
          <t>151209 רוני אורטופדיה  בע"מ - רמבם</t>
        </is>
      </c>
      <c r="C1151" s="94" t="inlineStr">
        <is>
          <t>INV41400</t>
        </is>
      </c>
      <c r="D1151" s="94" t="inlineStr">
        <is>
          <t>INV</t>
        </is>
      </c>
      <c r="E1151" s="102" t="n">
        <v>1171.42</v>
      </c>
      <c r="F1151" s="94" t="n">
        <v>18</v>
      </c>
      <c r="G1151" s="102" t="n">
        <v>0</v>
      </c>
      <c r="H1151" s="94" t="n">
        <v>0</v>
      </c>
    </row>
    <row r="1152" ht="15" customHeight="1" s="82">
      <c r="A1152" s="94" t="inlineStr">
        <is>
          <t>102 - Orthopedic institutes</t>
        </is>
      </c>
      <c r="B1152" s="94" t="inlineStr">
        <is>
          <t>151209 רוני אורטופדיה  בע"מ - רמבם</t>
        </is>
      </c>
      <c r="C1152" s="94" t="inlineStr">
        <is>
          <t>INV65911</t>
        </is>
      </c>
      <c r="D1152" s="94" t="inlineStr">
        <is>
          <t>INV</t>
        </is>
      </c>
      <c r="E1152" s="102" t="n">
        <v>1170.69</v>
      </c>
      <c r="F1152" s="94" t="n">
        <v>12</v>
      </c>
      <c r="G1152" s="102" t="n">
        <v>0</v>
      </c>
      <c r="H1152" s="94" t="n">
        <v>0</v>
      </c>
    </row>
    <row r="1153" ht="15" customHeight="1" s="82">
      <c r="A1153" s="94" t="inlineStr">
        <is>
          <t>102 - Orthopedic institutes</t>
        </is>
      </c>
      <c r="B1153" s="94" t="inlineStr">
        <is>
          <t>151209 רוני אורטופדיה  בע"מ - רמבם</t>
        </is>
      </c>
      <c r="C1153" s="94" t="inlineStr">
        <is>
          <t>INV55504</t>
        </is>
      </c>
      <c r="D1153" s="94" t="inlineStr">
        <is>
          <t>INV</t>
        </is>
      </c>
      <c r="E1153" s="102" t="n">
        <v>1110</v>
      </c>
      <c r="F1153" s="94" t="n">
        <v>5</v>
      </c>
      <c r="G1153" s="102" t="n">
        <v>0</v>
      </c>
      <c r="H1153" s="94" t="n">
        <v>0</v>
      </c>
    </row>
    <row r="1154" ht="15" customHeight="1" s="82">
      <c r="A1154" s="94" t="inlineStr">
        <is>
          <t>102 - Orthopedic institutes</t>
        </is>
      </c>
      <c r="B1154" s="94" t="inlineStr">
        <is>
          <t>151209 רוני אורטופדיה  בע"מ - רמבם</t>
        </is>
      </c>
      <c r="C1154" s="94" t="inlineStr">
        <is>
          <t>INV66847</t>
        </is>
      </c>
      <c r="D1154" s="94" t="inlineStr">
        <is>
          <t>INV</t>
        </is>
      </c>
      <c r="E1154" s="102" t="n">
        <v>1089.38</v>
      </c>
      <c r="F1154" s="94" t="n">
        <v>24</v>
      </c>
      <c r="G1154" s="102" t="n">
        <v>0</v>
      </c>
      <c r="H1154" s="94" t="n">
        <v>0</v>
      </c>
    </row>
    <row r="1155" ht="15" customHeight="1" s="82">
      <c r="A1155" s="94" t="inlineStr">
        <is>
          <t>102 - Orthopedic institutes</t>
        </is>
      </c>
      <c r="B1155" s="94" t="inlineStr">
        <is>
          <t>151209 רוני אורטופדיה  בע"מ - רמבם</t>
        </is>
      </c>
      <c r="C1155" s="94" t="inlineStr">
        <is>
          <t>INV49817</t>
        </is>
      </c>
      <c r="D1155" s="94" t="inlineStr">
        <is>
          <t>INV</t>
        </is>
      </c>
      <c r="E1155" s="102" t="n">
        <v>1088</v>
      </c>
      <c r="F1155" s="94" t="n">
        <v>12</v>
      </c>
      <c r="G1155" s="102" t="n">
        <v>0</v>
      </c>
      <c r="H1155" s="94" t="n">
        <v>0</v>
      </c>
    </row>
    <row r="1156" ht="15" customHeight="1" s="82">
      <c r="A1156" s="94" t="inlineStr">
        <is>
          <t>102 - Orthopedic institutes</t>
        </is>
      </c>
      <c r="B1156" s="94" t="inlineStr">
        <is>
          <t>151209 רוני אורטופדיה  בע"מ - רמבם</t>
        </is>
      </c>
      <c r="C1156" s="94" t="inlineStr">
        <is>
          <t>INV67345</t>
        </is>
      </c>
      <c r="D1156" s="94" t="inlineStr">
        <is>
          <t>INV</t>
        </is>
      </c>
      <c r="E1156" s="102" t="n">
        <v>0</v>
      </c>
      <c r="F1156" s="94" t="n">
        <v>0</v>
      </c>
      <c r="G1156" s="102" t="n">
        <v>1040.01</v>
      </c>
      <c r="H1156" s="94" t="n">
        <v>4</v>
      </c>
    </row>
    <row r="1157" ht="15" customHeight="1" s="82">
      <c r="A1157" s="94" t="inlineStr">
        <is>
          <t>102 - Orthopedic institutes</t>
        </is>
      </c>
      <c r="B1157" s="94" t="inlineStr">
        <is>
          <t>151209 רוני אורטופדיה  בע"מ - רמבם</t>
        </is>
      </c>
      <c r="C1157" s="94" t="inlineStr">
        <is>
          <t>INV67054</t>
        </is>
      </c>
      <c r="D1157" s="94" t="inlineStr">
        <is>
          <t>INV</t>
        </is>
      </c>
      <c r="E1157" s="102" t="n">
        <v>1039.98</v>
      </c>
      <c r="F1157" s="94" t="n">
        <v>8</v>
      </c>
      <c r="G1157" s="102" t="n">
        <v>0</v>
      </c>
      <c r="H1157" s="94" t="n">
        <v>0</v>
      </c>
    </row>
    <row r="1158" ht="15" customHeight="1" s="82">
      <c r="A1158" s="94" t="inlineStr">
        <is>
          <t>102 - Orthopedic institutes</t>
        </is>
      </c>
      <c r="B1158" s="94" t="inlineStr">
        <is>
          <t>151209 רוני אורטופדיה  בע"מ - רמבם</t>
        </is>
      </c>
      <c r="C1158" s="94" t="inlineStr">
        <is>
          <t>INV67563</t>
        </is>
      </c>
      <c r="D1158" s="94" t="inlineStr">
        <is>
          <t>INV</t>
        </is>
      </c>
      <c r="E1158" s="102" t="n">
        <v>0</v>
      </c>
      <c r="F1158" s="94" t="n">
        <v>0</v>
      </c>
      <c r="G1158" s="102" t="n">
        <v>1000.02</v>
      </c>
      <c r="H1158" s="94" t="n">
        <v>8</v>
      </c>
    </row>
    <row r="1159" ht="15" customHeight="1" s="82">
      <c r="A1159" s="94" t="inlineStr">
        <is>
          <t>102 - Orthopedic institutes</t>
        </is>
      </c>
      <c r="B1159" s="94" t="inlineStr">
        <is>
          <t>151209 רוני אורטופדיה  בע"מ - רמבם</t>
        </is>
      </c>
      <c r="C1159" s="94" t="inlineStr">
        <is>
          <t>INV69222</t>
        </is>
      </c>
      <c r="D1159" s="94" t="inlineStr">
        <is>
          <t>INV</t>
        </is>
      </c>
      <c r="E1159" s="102" t="n">
        <v>0</v>
      </c>
      <c r="F1159" s="94" t="n">
        <v>0</v>
      </c>
      <c r="G1159" s="102" t="n">
        <v>988.95</v>
      </c>
      <c r="H1159" s="94" t="n">
        <v>10</v>
      </c>
    </row>
    <row r="1160" ht="15" customHeight="1" s="82">
      <c r="A1160" s="94" t="inlineStr">
        <is>
          <t>102 - Orthopedic institutes</t>
        </is>
      </c>
      <c r="B1160" s="94" t="inlineStr">
        <is>
          <t>151209 רוני אורטופדיה  בע"מ - רמבם</t>
        </is>
      </c>
      <c r="C1160" s="94" t="inlineStr">
        <is>
          <t>INV68683</t>
        </is>
      </c>
      <c r="D1160" s="94" t="inlineStr">
        <is>
          <t>INV</t>
        </is>
      </c>
      <c r="E1160" s="102" t="n">
        <v>0</v>
      </c>
      <c r="F1160" s="94" t="n">
        <v>0</v>
      </c>
      <c r="G1160" s="102" t="n">
        <v>965.83</v>
      </c>
      <c r="H1160" s="94" t="n">
        <v>19</v>
      </c>
    </row>
    <row r="1161" ht="15" customHeight="1" s="82">
      <c r="A1161" s="94" t="inlineStr">
        <is>
          <t>102 - Orthopedic institutes</t>
        </is>
      </c>
      <c r="B1161" s="94" t="inlineStr">
        <is>
          <t>151209 רוני אורטופדיה  בע"מ - רמבם</t>
        </is>
      </c>
      <c r="C1161" s="94" t="inlineStr">
        <is>
          <t>INV69245</t>
        </is>
      </c>
      <c r="D1161" s="94" t="inlineStr">
        <is>
          <t>INV</t>
        </is>
      </c>
      <c r="E1161" s="102" t="n">
        <v>0</v>
      </c>
      <c r="F1161" s="94" t="n">
        <v>0</v>
      </c>
      <c r="G1161" s="102" t="n">
        <v>960.01</v>
      </c>
      <c r="H1161" s="94" t="n">
        <v>7</v>
      </c>
    </row>
    <row r="1162" ht="15" customHeight="1" s="82">
      <c r="A1162" s="94" t="inlineStr">
        <is>
          <t>102 - Orthopedic institutes</t>
        </is>
      </c>
      <c r="B1162" s="94" t="inlineStr">
        <is>
          <t>151209 רוני אורטופדיה  בע"מ - רמבם</t>
        </is>
      </c>
      <c r="C1162" s="94" t="inlineStr">
        <is>
          <t>INV68131</t>
        </is>
      </c>
      <c r="D1162" s="94" t="inlineStr">
        <is>
          <t>INV</t>
        </is>
      </c>
      <c r="E1162" s="102" t="n">
        <v>0</v>
      </c>
      <c r="F1162" s="94" t="n">
        <v>0</v>
      </c>
      <c r="G1162" s="102" t="n">
        <v>927.9</v>
      </c>
      <c r="H1162" s="94" t="n">
        <v>9</v>
      </c>
    </row>
    <row r="1163" ht="15" customHeight="1" s="82">
      <c r="A1163" s="94" t="inlineStr">
        <is>
          <t>102 - Orthopedic institutes</t>
        </is>
      </c>
      <c r="B1163" s="94" t="inlineStr">
        <is>
          <t>151209 רוני אורטופדיה  בע"מ - רמבם</t>
        </is>
      </c>
      <c r="C1163" s="94" t="inlineStr">
        <is>
          <t>INV57920</t>
        </is>
      </c>
      <c r="D1163" s="94" t="inlineStr">
        <is>
          <t>INV</t>
        </is>
      </c>
      <c r="E1163" s="102" t="n">
        <v>924.84</v>
      </c>
      <c r="F1163" s="94" t="n">
        <v>17</v>
      </c>
      <c r="G1163" s="102" t="n">
        <v>0</v>
      </c>
      <c r="H1163" s="94" t="n">
        <v>0</v>
      </c>
    </row>
    <row r="1164" ht="15" customHeight="1" s="82">
      <c r="A1164" s="94" t="inlineStr">
        <is>
          <t>102 - Orthopedic institutes</t>
        </is>
      </c>
      <c r="B1164" s="94" t="inlineStr">
        <is>
          <t>151209 רוני אורטופדיה  בע"מ - רמבם</t>
        </is>
      </c>
      <c r="C1164" s="94" t="inlineStr">
        <is>
          <t>INV47224</t>
        </is>
      </c>
      <c r="D1164" s="94" t="inlineStr">
        <is>
          <t>INV</t>
        </is>
      </c>
      <c r="E1164" s="102" t="n">
        <v>921.6799999999999</v>
      </c>
      <c r="F1164" s="94" t="n">
        <v>9</v>
      </c>
      <c r="G1164" s="102" t="n">
        <v>0</v>
      </c>
      <c r="H1164" s="94" t="n">
        <v>0</v>
      </c>
    </row>
    <row r="1165" ht="15" customHeight="1" s="82">
      <c r="A1165" s="94" t="inlineStr">
        <is>
          <t>102 - Orthopedic institutes</t>
        </is>
      </c>
      <c r="B1165" s="94" t="inlineStr">
        <is>
          <t>151209 רוני אורטופדיה  בע"מ - רמבם</t>
        </is>
      </c>
      <c r="C1165" s="94" t="inlineStr">
        <is>
          <t>INV57107</t>
        </is>
      </c>
      <c r="D1165" s="94" t="inlineStr">
        <is>
          <t>INV</t>
        </is>
      </c>
      <c r="E1165" s="102" t="n">
        <v>890</v>
      </c>
      <c r="F1165" s="94" t="n">
        <v>7</v>
      </c>
      <c r="G1165" s="102" t="n">
        <v>0</v>
      </c>
      <c r="H1165" s="94" t="n">
        <v>0</v>
      </c>
    </row>
    <row r="1166" ht="15" customHeight="1" s="82">
      <c r="A1166" s="94" t="inlineStr">
        <is>
          <t>102 - Orthopedic institutes</t>
        </is>
      </c>
      <c r="B1166" s="94" t="inlineStr">
        <is>
          <t>151209 רוני אורטופדיה  בע"מ - רמבם</t>
        </is>
      </c>
      <c r="C1166" s="94" t="inlineStr">
        <is>
          <t>INV68154</t>
        </is>
      </c>
      <c r="D1166" s="94" t="inlineStr">
        <is>
          <t>INV</t>
        </is>
      </c>
      <c r="E1166" s="102" t="n">
        <v>0</v>
      </c>
      <c r="F1166" s="94" t="n">
        <v>0</v>
      </c>
      <c r="G1166" s="102" t="n">
        <v>860.01</v>
      </c>
      <c r="H1166" s="94" t="n">
        <v>6</v>
      </c>
    </row>
    <row r="1167" ht="15" customHeight="1" s="82">
      <c r="A1167" s="94" t="inlineStr">
        <is>
          <t>102 - Orthopedic institutes</t>
        </is>
      </c>
      <c r="B1167" s="94" t="inlineStr">
        <is>
          <t>151209 רוני אורטופדיה  בע"מ - רמבם</t>
        </is>
      </c>
      <c r="C1167" s="94" t="inlineStr">
        <is>
          <t>INV66760</t>
        </is>
      </c>
      <c r="D1167" s="94" t="inlineStr">
        <is>
          <t>INV</t>
        </is>
      </c>
      <c r="E1167" s="102" t="n">
        <v>853.01</v>
      </c>
      <c r="F1167" s="94" t="n">
        <v>9</v>
      </c>
      <c r="G1167" s="102" t="n">
        <v>0</v>
      </c>
      <c r="H1167" s="94" t="n">
        <v>0</v>
      </c>
    </row>
    <row r="1168" ht="15" customHeight="1" s="82">
      <c r="A1168" s="94" t="inlineStr">
        <is>
          <t>102 - Orthopedic institutes</t>
        </is>
      </c>
      <c r="B1168" s="94" t="inlineStr">
        <is>
          <t>151209 רוני אורטופדיה  בע"מ - רמבם</t>
        </is>
      </c>
      <c r="C1168" s="94" t="inlineStr">
        <is>
          <t>INV58797</t>
        </is>
      </c>
      <c r="D1168" s="94" t="inlineStr">
        <is>
          <t>INV</t>
        </is>
      </c>
      <c r="E1168" s="102" t="n">
        <v>829.5599999999999</v>
      </c>
      <c r="F1168" s="94" t="n">
        <v>30</v>
      </c>
      <c r="G1168" s="102" t="n">
        <v>0</v>
      </c>
      <c r="H1168" s="94" t="n">
        <v>0</v>
      </c>
    </row>
    <row r="1169" ht="15" customHeight="1" s="82">
      <c r="A1169" s="94" t="inlineStr">
        <is>
          <t>102 - Orthopedic institutes</t>
        </is>
      </c>
      <c r="B1169" s="94" t="inlineStr">
        <is>
          <t>151209 רוני אורטופדיה  בע"מ - רמבם</t>
        </is>
      </c>
      <c r="C1169" s="94" t="inlineStr">
        <is>
          <t>INV66616</t>
        </is>
      </c>
      <c r="D1169" s="94" t="inlineStr">
        <is>
          <t>INV</t>
        </is>
      </c>
      <c r="E1169" s="102" t="n">
        <v>779.39</v>
      </c>
      <c r="F1169" s="94" t="n">
        <v>12</v>
      </c>
      <c r="G1169" s="102" t="n">
        <v>0</v>
      </c>
      <c r="H1169" s="94" t="n">
        <v>0</v>
      </c>
    </row>
    <row r="1170" ht="15" customHeight="1" s="82">
      <c r="A1170" s="94" t="inlineStr">
        <is>
          <t>102 - Orthopedic institutes</t>
        </is>
      </c>
      <c r="B1170" s="94" t="inlineStr">
        <is>
          <t>151209 רוני אורטופדיה  בע"מ - רמבם</t>
        </is>
      </c>
      <c r="C1170" s="94" t="inlineStr">
        <is>
          <t>INV54546</t>
        </is>
      </c>
      <c r="D1170" s="94" t="inlineStr">
        <is>
          <t>INV</t>
        </is>
      </c>
      <c r="E1170" s="102" t="n">
        <v>770.71</v>
      </c>
      <c r="F1170" s="94" t="n">
        <v>17</v>
      </c>
      <c r="G1170" s="102" t="n">
        <v>0</v>
      </c>
      <c r="H1170" s="94" t="n">
        <v>0</v>
      </c>
    </row>
    <row r="1171" ht="15" customHeight="1" s="82">
      <c r="A1171" s="94" t="inlineStr">
        <is>
          <t>102 - Orthopedic institutes</t>
        </is>
      </c>
      <c r="B1171" s="94" t="inlineStr">
        <is>
          <t>151209 רוני אורטופדיה  בע"מ - רמבם</t>
        </is>
      </c>
      <c r="C1171" s="94" t="inlineStr">
        <is>
          <t>INV47218</t>
        </is>
      </c>
      <c r="D1171" s="94" t="inlineStr">
        <is>
          <t>INV</t>
        </is>
      </c>
      <c r="E1171" s="102" t="n">
        <v>770.01</v>
      </c>
      <c r="F1171" s="94" t="n">
        <v>7</v>
      </c>
      <c r="G1171" s="102" t="n">
        <v>0</v>
      </c>
      <c r="H1171" s="94" t="n">
        <v>0</v>
      </c>
    </row>
    <row r="1172" ht="15" customHeight="1" s="82">
      <c r="A1172" s="94" t="inlineStr">
        <is>
          <t>102 - Orthopedic institutes</t>
        </is>
      </c>
      <c r="B1172" s="94" t="inlineStr">
        <is>
          <t>151209 רוני אורטופדיה  בע"מ - רמבם</t>
        </is>
      </c>
      <c r="C1172" s="94" t="inlineStr">
        <is>
          <t>INV68878</t>
        </is>
      </c>
      <c r="D1172" s="94" t="inlineStr">
        <is>
          <t>INV</t>
        </is>
      </c>
      <c r="E1172" s="102" t="n">
        <v>0</v>
      </c>
      <c r="F1172" s="94" t="n">
        <v>0</v>
      </c>
      <c r="G1172" s="102" t="n">
        <v>682.65</v>
      </c>
      <c r="H1172" s="94" t="n">
        <v>7</v>
      </c>
    </row>
    <row r="1173" ht="15" customHeight="1" s="82">
      <c r="A1173" s="94" t="inlineStr">
        <is>
          <t>102 - Orthopedic institutes</t>
        </is>
      </c>
      <c r="B1173" s="94" t="inlineStr">
        <is>
          <t>151209 רוני אורטופדיה  בע"מ - רמבם</t>
        </is>
      </c>
      <c r="C1173" s="94" t="inlineStr">
        <is>
          <t>INV67956</t>
        </is>
      </c>
      <c r="D1173" s="94" t="inlineStr">
        <is>
          <t>INV</t>
        </is>
      </c>
      <c r="E1173" s="102" t="n">
        <v>0</v>
      </c>
      <c r="F1173" s="94" t="n">
        <v>0</v>
      </c>
      <c r="G1173" s="102" t="n">
        <v>668.95</v>
      </c>
      <c r="H1173" s="94" t="n">
        <v>7</v>
      </c>
    </row>
    <row r="1174" ht="15" customHeight="1" s="82">
      <c r="A1174" s="94" t="inlineStr">
        <is>
          <t>102 - Orthopedic institutes</t>
        </is>
      </c>
      <c r="B1174" s="94" t="inlineStr">
        <is>
          <t>151209 רוני אורטופדיה  בע"מ - רמבם</t>
        </is>
      </c>
      <c r="C1174" s="94" t="inlineStr">
        <is>
          <t>INV69256</t>
        </is>
      </c>
      <c r="D1174" s="94" t="inlineStr">
        <is>
          <t>INV</t>
        </is>
      </c>
      <c r="E1174" s="102" t="n">
        <v>0</v>
      </c>
      <c r="F1174" s="94" t="n">
        <v>0</v>
      </c>
      <c r="G1174" s="102" t="n">
        <v>656.64</v>
      </c>
      <c r="H1174" s="94" t="n">
        <v>7</v>
      </c>
    </row>
    <row r="1175" ht="15" customHeight="1" s="82">
      <c r="A1175" s="94" t="inlineStr">
        <is>
          <t>102 - Orthopedic institutes</t>
        </is>
      </c>
      <c r="B1175" s="94" t="inlineStr">
        <is>
          <t>151209 רוני אורטופדיה  בע"מ - רמבם</t>
        </is>
      </c>
      <c r="C1175" s="94" t="inlineStr">
        <is>
          <t>INV67508</t>
        </is>
      </c>
      <c r="D1175" s="94" t="inlineStr">
        <is>
          <t>INV</t>
        </is>
      </c>
      <c r="E1175" s="102" t="n">
        <v>0</v>
      </c>
      <c r="F1175" s="94" t="n">
        <v>0</v>
      </c>
      <c r="G1175" s="102" t="n">
        <v>611.95</v>
      </c>
      <c r="H1175" s="94" t="n">
        <v>7</v>
      </c>
    </row>
    <row r="1176" ht="15" customHeight="1" s="82">
      <c r="A1176" s="94" t="inlineStr">
        <is>
          <t>102 - Orthopedic institutes</t>
        </is>
      </c>
      <c r="B1176" s="94" t="inlineStr">
        <is>
          <t>151209 רוני אורטופדיה  בע"מ - רמבם</t>
        </is>
      </c>
      <c r="C1176" s="94" t="inlineStr">
        <is>
          <t>INV69125</t>
        </is>
      </c>
      <c r="D1176" s="94" t="inlineStr">
        <is>
          <t>INV</t>
        </is>
      </c>
      <c r="E1176" s="102" t="n">
        <v>0</v>
      </c>
      <c r="F1176" s="94" t="n">
        <v>0</v>
      </c>
      <c r="G1176" s="102" t="n">
        <v>568.39</v>
      </c>
      <c r="H1176" s="94" t="n">
        <v>13</v>
      </c>
    </row>
    <row r="1177" ht="15" customHeight="1" s="82">
      <c r="A1177" s="94" t="inlineStr">
        <is>
          <t>102 - Orthopedic institutes</t>
        </is>
      </c>
      <c r="B1177" s="94" t="inlineStr">
        <is>
          <t>151209 רוני אורטופדיה  בע"מ - רמבם</t>
        </is>
      </c>
      <c r="C1177" s="94" t="inlineStr">
        <is>
          <t>INV65523</t>
        </is>
      </c>
      <c r="D1177" s="94" t="inlineStr">
        <is>
          <t>INV</t>
        </is>
      </c>
      <c r="E1177" s="102" t="n">
        <v>551.4400000000001</v>
      </c>
      <c r="F1177" s="94" t="n">
        <v>5</v>
      </c>
      <c r="G1177" s="102" t="n">
        <v>0</v>
      </c>
      <c r="H1177" s="94" t="n">
        <v>0</v>
      </c>
    </row>
    <row r="1178" ht="15" customHeight="1" s="82">
      <c r="A1178" s="94" t="inlineStr">
        <is>
          <t>102 - Orthopedic institutes</t>
        </is>
      </c>
      <c r="B1178" s="94" t="inlineStr">
        <is>
          <t>151209 רוני אורטופדיה  בע"מ - רמבם</t>
        </is>
      </c>
      <c r="C1178" s="94" t="inlineStr">
        <is>
          <t>INV68019</t>
        </is>
      </c>
      <c r="D1178" s="94" t="inlineStr">
        <is>
          <t>INV</t>
        </is>
      </c>
      <c r="E1178" s="102" t="n">
        <v>0</v>
      </c>
      <c r="F1178" s="94" t="n">
        <v>0</v>
      </c>
      <c r="G1178" s="102" t="n">
        <v>519.99</v>
      </c>
      <c r="H1178" s="94" t="n">
        <v>4</v>
      </c>
    </row>
    <row r="1179" ht="15" customHeight="1" s="82">
      <c r="A1179" s="94" t="inlineStr">
        <is>
          <t>102 - Orthopedic institutes</t>
        </is>
      </c>
      <c r="B1179" s="94" t="inlineStr">
        <is>
          <t>151209 רוני אורטופדיה  בע"מ - רמבם</t>
        </is>
      </c>
      <c r="C1179" s="94" t="inlineStr">
        <is>
          <t>INV68598</t>
        </is>
      </c>
      <c r="D1179" s="94" t="inlineStr">
        <is>
          <t>INV</t>
        </is>
      </c>
      <c r="E1179" s="102" t="n">
        <v>0</v>
      </c>
      <c r="F1179" s="94" t="n">
        <v>0</v>
      </c>
      <c r="G1179" s="102" t="n">
        <v>519.99</v>
      </c>
      <c r="H1179" s="94" t="n">
        <v>4</v>
      </c>
    </row>
    <row r="1180" ht="15" customHeight="1" s="82">
      <c r="A1180" s="94" t="inlineStr">
        <is>
          <t>102 - Orthopedic institutes</t>
        </is>
      </c>
      <c r="B1180" s="94" t="inlineStr">
        <is>
          <t>151209 רוני אורטופדיה  בע"מ - רמבם</t>
        </is>
      </c>
      <c r="C1180" s="94" t="inlineStr">
        <is>
          <t>INV68874</t>
        </is>
      </c>
      <c r="D1180" s="94" t="inlineStr">
        <is>
          <t>INV</t>
        </is>
      </c>
      <c r="E1180" s="102" t="n">
        <v>0</v>
      </c>
      <c r="F1180" s="94" t="n">
        <v>0</v>
      </c>
      <c r="G1180" s="102" t="n">
        <v>328.02</v>
      </c>
      <c r="H1180" s="94" t="n">
        <v>2</v>
      </c>
    </row>
    <row r="1181" ht="15" customHeight="1" s="82">
      <c r="A1181" s="94" t="inlineStr">
        <is>
          <t>102 - Orthopedic institutes</t>
        </is>
      </c>
      <c r="B1181" s="94" t="inlineStr">
        <is>
          <t>151209 רוני אורטופדיה  בע"מ - רמבם</t>
        </is>
      </c>
      <c r="C1181" s="94" t="inlineStr">
        <is>
          <t>INV57014</t>
        </is>
      </c>
      <c r="D1181" s="94" t="inlineStr">
        <is>
          <t>INV</t>
        </is>
      </c>
      <c r="E1181" s="102" t="n">
        <v>231.88</v>
      </c>
      <c r="F1181" s="94" t="n">
        <v>3</v>
      </c>
      <c r="G1181" s="102" t="n">
        <v>0</v>
      </c>
      <c r="H1181" s="94" t="n">
        <v>0</v>
      </c>
    </row>
    <row r="1182" ht="15" customHeight="1" s="82">
      <c r="A1182" s="94" t="inlineStr">
        <is>
          <t>102 - Orthopedic institutes</t>
        </is>
      </c>
      <c r="B1182" s="94" t="inlineStr">
        <is>
          <t>151209 רוני אורטופדיה  בע"מ - רמבם</t>
        </is>
      </c>
      <c r="C1182" s="94" t="inlineStr">
        <is>
          <t>CM44518</t>
        </is>
      </c>
      <c r="D1182" s="94" t="inlineStr">
        <is>
          <t>CM</t>
        </is>
      </c>
      <c r="E1182" s="102" t="n">
        <v>0</v>
      </c>
      <c r="F1182" s="94" t="n">
        <v>0</v>
      </c>
      <c r="G1182" s="102" t="n">
        <v>-160</v>
      </c>
      <c r="H1182" s="94" t="n">
        <v>-1</v>
      </c>
    </row>
    <row r="1183" ht="15" customHeight="1" s="82">
      <c r="A1183" s="94" t="inlineStr">
        <is>
          <t>102 - Orthopedic institutes</t>
        </is>
      </c>
      <c r="B1183" s="94" t="inlineStr">
        <is>
          <t>151209 רוני אורטופדיה  בע"מ - רמבם</t>
        </is>
      </c>
      <c r="C1183" s="94" t="inlineStr">
        <is>
          <t>CM44663</t>
        </is>
      </c>
      <c r="D1183" s="94" t="inlineStr">
        <is>
          <t>CM</t>
        </is>
      </c>
      <c r="E1183" s="102" t="n">
        <v>0</v>
      </c>
      <c r="F1183" s="94" t="n">
        <v>0</v>
      </c>
      <c r="G1183" s="102" t="n">
        <v>-164.01</v>
      </c>
      <c r="H1183" s="94" t="n">
        <v>-1</v>
      </c>
    </row>
    <row r="1184" ht="15" customHeight="1" s="82">
      <c r="A1184" s="94" t="inlineStr">
        <is>
          <t>102 - Orthopedic institutes</t>
        </is>
      </c>
      <c r="B1184" s="94" t="inlineStr">
        <is>
          <t>151209 רוני אורטופדיה  בע"מ - רמבם</t>
        </is>
      </c>
      <c r="C1184" s="94" t="inlineStr">
        <is>
          <t>CM44291</t>
        </is>
      </c>
      <c r="D1184" s="94" t="inlineStr">
        <is>
          <t>CM</t>
        </is>
      </c>
      <c r="E1184" s="102" t="n">
        <v>0</v>
      </c>
      <c r="F1184" s="94" t="n">
        <v>0</v>
      </c>
      <c r="G1184" s="102" t="n">
        <v>-1040.01</v>
      </c>
      <c r="H1184" s="94" t="n">
        <v>-4</v>
      </c>
    </row>
    <row r="1185" ht="15" customHeight="1" s="82">
      <c r="A1185" s="94" t="inlineStr">
        <is>
          <t>102 - Orthopedic institutes</t>
        </is>
      </c>
      <c r="B1185" s="94" t="inlineStr">
        <is>
          <t>151209 רוני אורטופדיה  בע"מ - רמבם</t>
        </is>
      </c>
      <c r="C1185" s="94" t="inlineStr">
        <is>
          <t>CM43785</t>
        </is>
      </c>
      <c r="D1185" s="94" t="inlineStr">
        <is>
          <t>CM</t>
        </is>
      </c>
      <c r="E1185" s="102" t="n">
        <v>-1300.01</v>
      </c>
      <c r="F1185" s="94" t="n">
        <v>-5</v>
      </c>
      <c r="G1185" s="102" t="n">
        <v>0</v>
      </c>
      <c r="H1185" s="94" t="n">
        <v>0</v>
      </c>
    </row>
    <row r="1186" ht="15" customHeight="1" s="82">
      <c r="A1186" s="94" t="inlineStr">
        <is>
          <t>102 - Orthopedic institutes</t>
        </is>
      </c>
      <c r="B1186" s="94" t="inlineStr">
        <is>
          <t>151209 רוני אורטופדיה  בע"מ - רמבם</t>
        </is>
      </c>
      <c r="C1186" s="94" t="inlineStr">
        <is>
          <t>CM44495</t>
        </is>
      </c>
      <c r="D1186" s="94" t="inlineStr">
        <is>
          <t>CM</t>
        </is>
      </c>
      <c r="E1186" s="102" t="n">
        <v>0</v>
      </c>
      <c r="F1186" s="94" t="n">
        <v>0</v>
      </c>
      <c r="G1186" s="102" t="n">
        <v>-1499.99</v>
      </c>
      <c r="H1186" s="94" t="n">
        <v>-16</v>
      </c>
    </row>
    <row r="1187" ht="15" customHeight="1" s="82">
      <c r="A1187" s="94" t="inlineStr">
        <is>
          <t>102 - Orthopedic institutes</t>
        </is>
      </c>
      <c r="B1187" s="94" t="inlineStr">
        <is>
          <t>151226 ענת אורטופדיה אשדוד</t>
        </is>
      </c>
      <c r="C1187" s="94" t="inlineStr">
        <is>
          <t>INV69103</t>
        </is>
      </c>
      <c r="D1187" s="94" t="inlineStr">
        <is>
          <t>INV</t>
        </is>
      </c>
      <c r="E1187" s="102" t="n">
        <v>0</v>
      </c>
      <c r="F1187" s="94" t="n">
        <v>0</v>
      </c>
      <c r="G1187" s="102" t="n">
        <v>367.04</v>
      </c>
      <c r="H1187" s="94" t="n">
        <v>9</v>
      </c>
    </row>
    <row r="1188" ht="15" customHeight="1" s="82">
      <c r="A1188" s="94" t="inlineStr">
        <is>
          <t>102 - Orthopedic institutes</t>
        </is>
      </c>
      <c r="B1188" s="94" t="inlineStr">
        <is>
          <t>151231 הום פלסט בע"מ</t>
        </is>
      </c>
      <c r="C1188" s="94" t="inlineStr">
        <is>
          <t>INV43596</t>
        </is>
      </c>
      <c r="D1188" s="94" t="inlineStr">
        <is>
          <t>INV</t>
        </is>
      </c>
      <c r="E1188" s="102" t="n">
        <v>1383.71</v>
      </c>
      <c r="F1188" s="94" t="n">
        <v>12</v>
      </c>
      <c r="G1188" s="102" t="n">
        <v>0</v>
      </c>
      <c r="H1188" s="94" t="n">
        <v>0</v>
      </c>
    </row>
    <row r="1189" ht="15" customHeight="1" s="82">
      <c r="A1189" s="94" t="inlineStr">
        <is>
          <t>102 - Orthopedic institutes</t>
        </is>
      </c>
      <c r="B1189" s="94" t="inlineStr">
        <is>
          <t>151231 הום פלסט בע"מ</t>
        </is>
      </c>
      <c r="C1189" s="94" t="inlineStr">
        <is>
          <t>INV56473</t>
        </is>
      </c>
      <c r="D1189" s="94" t="inlineStr">
        <is>
          <t>INV</t>
        </is>
      </c>
      <c r="E1189" s="102" t="n">
        <v>1080.71</v>
      </c>
      <c r="F1189" s="94" t="n">
        <v>17</v>
      </c>
      <c r="G1189" s="102" t="n">
        <v>0</v>
      </c>
      <c r="H1189" s="94" t="n">
        <v>0</v>
      </c>
    </row>
    <row r="1190" ht="15" customHeight="1" s="82">
      <c r="A1190" s="94" t="inlineStr">
        <is>
          <t>102 - Orthopedic institutes</t>
        </is>
      </c>
      <c r="B1190" s="94" t="inlineStr">
        <is>
          <t>151231 הום פלסט בע"מ</t>
        </is>
      </c>
      <c r="C1190" s="94" t="inlineStr">
        <is>
          <t>INV53186</t>
        </is>
      </c>
      <c r="D1190" s="94" t="inlineStr">
        <is>
          <t>INV</t>
        </is>
      </c>
      <c r="E1190" s="102" t="n">
        <v>955.51</v>
      </c>
      <c r="F1190" s="94" t="n">
        <v>10</v>
      </c>
      <c r="G1190" s="102" t="n">
        <v>0</v>
      </c>
      <c r="H1190" s="94" t="n">
        <v>0</v>
      </c>
    </row>
    <row r="1191" ht="15" customHeight="1" s="82">
      <c r="A1191" s="94" t="inlineStr">
        <is>
          <t>102 - Orthopedic institutes</t>
        </is>
      </c>
      <c r="B1191" s="94" t="inlineStr">
        <is>
          <t>151231 הום פלסט בע"מ</t>
        </is>
      </c>
      <c r="C1191" s="94" t="inlineStr">
        <is>
          <t>INV50595</t>
        </is>
      </c>
      <c r="D1191" s="94" t="inlineStr">
        <is>
          <t>INV</t>
        </is>
      </c>
      <c r="E1191" s="102" t="n">
        <v>932.05</v>
      </c>
      <c r="F1191" s="94" t="n">
        <v>11</v>
      </c>
      <c r="G1191" s="102" t="n">
        <v>0</v>
      </c>
      <c r="H1191" s="94" t="n">
        <v>0</v>
      </c>
    </row>
    <row r="1192" ht="15" customHeight="1" s="82">
      <c r="A1192" s="94" t="inlineStr">
        <is>
          <t>102 - Orthopedic institutes</t>
        </is>
      </c>
      <c r="B1192" s="94" t="inlineStr">
        <is>
          <t>151231 הום פלסט בע"מ</t>
        </is>
      </c>
      <c r="C1192" s="94" t="inlineStr">
        <is>
          <t>INV60057</t>
        </is>
      </c>
      <c r="D1192" s="94" t="inlineStr">
        <is>
          <t>INV</t>
        </is>
      </c>
      <c r="E1192" s="102" t="n">
        <v>764.65</v>
      </c>
      <c r="F1192" s="94" t="n">
        <v>11</v>
      </c>
      <c r="G1192" s="102" t="n">
        <v>0</v>
      </c>
      <c r="H1192" s="94" t="n">
        <v>0</v>
      </c>
    </row>
    <row r="1193" ht="15" customHeight="1" s="82">
      <c r="A1193" s="94" t="inlineStr">
        <is>
          <t>102 - Orthopedic institutes</t>
        </is>
      </c>
      <c r="B1193" s="94" t="inlineStr">
        <is>
          <t>151231 הום פלסט בע"מ</t>
        </is>
      </c>
      <c r="C1193" s="94" t="inlineStr">
        <is>
          <t>INV65363</t>
        </is>
      </c>
      <c r="D1193" s="94" t="inlineStr">
        <is>
          <t>INV</t>
        </is>
      </c>
      <c r="E1193" s="102" t="n">
        <v>747.4299999999999</v>
      </c>
      <c r="F1193" s="94" t="n">
        <v>8</v>
      </c>
      <c r="G1193" s="102" t="n">
        <v>0</v>
      </c>
      <c r="H1193" s="94" t="n">
        <v>0</v>
      </c>
    </row>
    <row r="1194" ht="15" customHeight="1" s="82">
      <c r="A1194" s="94" t="inlineStr">
        <is>
          <t>102 - Orthopedic institutes</t>
        </is>
      </c>
      <c r="B1194" s="94" t="inlineStr">
        <is>
          <t>151231 הום פלסט בע"מ</t>
        </is>
      </c>
      <c r="C1194" s="94" t="inlineStr">
        <is>
          <t>INV62655</t>
        </is>
      </c>
      <c r="D1194" s="94" t="inlineStr">
        <is>
          <t>INV</t>
        </is>
      </c>
      <c r="E1194" s="102" t="n">
        <v>595.6900000000001</v>
      </c>
      <c r="F1194" s="94" t="n">
        <v>9</v>
      </c>
      <c r="G1194" s="102" t="n">
        <v>0</v>
      </c>
      <c r="H1194" s="94" t="n">
        <v>0</v>
      </c>
    </row>
    <row r="1195" ht="15" customHeight="1" s="82">
      <c r="A1195" s="94" t="inlineStr">
        <is>
          <t>102 - Orthopedic institutes</t>
        </is>
      </c>
      <c r="B1195" s="94" t="inlineStr">
        <is>
          <t>151231 הום פלסט בע"מ</t>
        </is>
      </c>
      <c r="C1195" s="94" t="inlineStr">
        <is>
          <t>INV45207</t>
        </is>
      </c>
      <c r="D1195" s="94" t="inlineStr">
        <is>
          <t>INV</t>
        </is>
      </c>
      <c r="E1195" s="102" t="n">
        <v>499.41</v>
      </c>
      <c r="F1195" s="94" t="n">
        <v>7</v>
      </c>
      <c r="G1195" s="102" t="n">
        <v>0</v>
      </c>
      <c r="H1195" s="94" t="n">
        <v>0</v>
      </c>
    </row>
    <row r="1196" ht="15" customHeight="1" s="82">
      <c r="A1196" s="94" t="inlineStr">
        <is>
          <t>102 - Orthopedic institutes</t>
        </is>
      </c>
      <c r="B1196" s="94" t="inlineStr">
        <is>
          <t>151231 הום פלסט בע"מ</t>
        </is>
      </c>
      <c r="C1196" s="94" t="inlineStr">
        <is>
          <t>INV66497</t>
        </is>
      </c>
      <c r="D1196" s="94" t="inlineStr">
        <is>
          <t>INV</t>
        </is>
      </c>
      <c r="E1196" s="102" t="n">
        <v>482.5</v>
      </c>
      <c r="F1196" s="94" t="n">
        <v>6</v>
      </c>
      <c r="G1196" s="102" t="n">
        <v>0</v>
      </c>
      <c r="H1196" s="94" t="n">
        <v>0</v>
      </c>
    </row>
    <row r="1197" ht="15" customHeight="1" s="82">
      <c r="A1197" s="94" t="inlineStr">
        <is>
          <t>102 - Orthopedic institutes</t>
        </is>
      </c>
      <c r="B1197" s="94" t="inlineStr">
        <is>
          <t>151231 הום פלסט בע"מ</t>
        </is>
      </c>
      <c r="C1197" s="94" t="inlineStr">
        <is>
          <t>INV62975</t>
        </is>
      </c>
      <c r="D1197" s="94" t="inlineStr">
        <is>
          <t>INV</t>
        </is>
      </c>
      <c r="E1197" s="102" t="n">
        <v>315.54</v>
      </c>
      <c r="F1197" s="94" t="n">
        <v>4</v>
      </c>
      <c r="G1197" s="102" t="n">
        <v>0</v>
      </c>
      <c r="H1197" s="94" t="n">
        <v>0</v>
      </c>
    </row>
    <row r="1198" ht="15" customHeight="1" s="82">
      <c r="A1198" s="94" t="inlineStr">
        <is>
          <t>102 - Orthopedic institutes</t>
        </is>
      </c>
      <c r="B1198" s="94" t="inlineStr">
        <is>
          <t>151231 הום פלסט בע"מ</t>
        </is>
      </c>
      <c r="C1198" s="94" t="inlineStr">
        <is>
          <t>INV66173</t>
        </is>
      </c>
      <c r="D1198" s="94" t="inlineStr">
        <is>
          <t>INV</t>
        </is>
      </c>
      <c r="E1198" s="102" t="n">
        <v>125</v>
      </c>
      <c r="F1198" s="94" t="n">
        <v>2</v>
      </c>
      <c r="G1198" s="102" t="n">
        <v>0</v>
      </c>
      <c r="H1198" s="94" t="n">
        <v>0</v>
      </c>
    </row>
    <row r="1199" ht="15" customHeight="1" s="82">
      <c r="A1199" s="94" t="inlineStr">
        <is>
          <t>102 - Orthopedic institutes</t>
        </is>
      </c>
      <c r="B1199" s="94" t="inlineStr">
        <is>
          <t>151231 הום פלסט בע"מ</t>
        </is>
      </c>
      <c r="C1199" s="94" t="inlineStr">
        <is>
          <t>INV67190</t>
        </is>
      </c>
      <c r="D1199" s="94" t="inlineStr">
        <is>
          <t>INV</t>
        </is>
      </c>
      <c r="E1199" s="102" t="n">
        <v>0</v>
      </c>
      <c r="F1199" s="94" t="n">
        <v>0</v>
      </c>
      <c r="G1199" s="102" t="n">
        <v>100</v>
      </c>
      <c r="H1199" s="94" t="n">
        <v>1</v>
      </c>
    </row>
    <row r="1200" ht="15" customHeight="1" s="82">
      <c r="A1200" s="94" t="inlineStr">
        <is>
          <t>102 - Orthopedic institutes</t>
        </is>
      </c>
      <c r="B1200" s="94" t="inlineStr">
        <is>
          <t>151231 הום פלסט בע"מ</t>
        </is>
      </c>
      <c r="C1200" s="94" t="inlineStr">
        <is>
          <t>INV53191</t>
        </is>
      </c>
      <c r="D1200" s="94" t="inlineStr">
        <is>
          <t>INV</t>
        </is>
      </c>
      <c r="E1200" s="102" t="n">
        <v>70</v>
      </c>
      <c r="F1200" s="94" t="n">
        <v>1</v>
      </c>
      <c r="G1200" s="102" t="n">
        <v>0</v>
      </c>
      <c r="H1200" s="94" t="n">
        <v>0</v>
      </c>
    </row>
    <row r="1201" ht="15" customHeight="1" s="82">
      <c r="A1201" s="94" t="inlineStr">
        <is>
          <t>102 - Orthopedic institutes</t>
        </is>
      </c>
      <c r="B1201" s="94" t="inlineStr">
        <is>
          <t>152031 גפיים חיפה</t>
        </is>
      </c>
      <c r="C1201" s="94" t="inlineStr">
        <is>
          <t>INV68864</t>
        </is>
      </c>
      <c r="D1201" s="94" t="inlineStr">
        <is>
          <t>INV</t>
        </is>
      </c>
      <c r="E1201" s="102" t="n">
        <v>0</v>
      </c>
      <c r="F1201" s="94" t="n">
        <v>0</v>
      </c>
      <c r="G1201" s="102" t="n">
        <v>1349.57</v>
      </c>
      <c r="H1201" s="94" t="n">
        <v>13</v>
      </c>
    </row>
    <row r="1202" ht="15" customHeight="1" s="82">
      <c r="A1202" s="94" t="inlineStr">
        <is>
          <t>102 - Orthopedic institutes</t>
        </is>
      </c>
      <c r="B1202" s="94" t="inlineStr">
        <is>
          <t>152031 גפיים חיפה</t>
        </is>
      </c>
      <c r="C1202" s="94" t="inlineStr">
        <is>
          <t>INV59162</t>
        </is>
      </c>
      <c r="D1202" s="94" t="inlineStr">
        <is>
          <t>INV</t>
        </is>
      </c>
      <c r="E1202" s="102" t="n">
        <v>1167.32</v>
      </c>
      <c r="F1202" s="94" t="n">
        <v>28</v>
      </c>
      <c r="G1202" s="102" t="n">
        <v>0</v>
      </c>
      <c r="H1202" s="94" t="n">
        <v>0</v>
      </c>
    </row>
    <row r="1203" ht="15" customHeight="1" s="82">
      <c r="A1203" s="94" t="inlineStr">
        <is>
          <t>102 - Orthopedic institutes</t>
        </is>
      </c>
      <c r="B1203" s="94" t="inlineStr">
        <is>
          <t>152031 גפיים חיפה</t>
        </is>
      </c>
      <c r="C1203" s="94" t="inlineStr">
        <is>
          <t>INV45991</t>
        </is>
      </c>
      <c r="D1203" s="94" t="inlineStr">
        <is>
          <t>INV</t>
        </is>
      </c>
      <c r="E1203" s="102" t="n">
        <v>1032</v>
      </c>
      <c r="F1203" s="94" t="n">
        <v>8</v>
      </c>
      <c r="G1203" s="102" t="n">
        <v>0</v>
      </c>
      <c r="H1203" s="94" t="n">
        <v>0</v>
      </c>
    </row>
    <row r="1204" ht="15" customHeight="1" s="82">
      <c r="A1204" s="94" t="inlineStr">
        <is>
          <t>102 - Orthopedic institutes</t>
        </is>
      </c>
      <c r="B1204" s="94" t="inlineStr">
        <is>
          <t>152031 גפיים חיפה</t>
        </is>
      </c>
      <c r="C1204" s="94" t="inlineStr">
        <is>
          <t>INV65725</t>
        </is>
      </c>
      <c r="D1204" s="94" t="inlineStr">
        <is>
          <t>INV</t>
        </is>
      </c>
      <c r="E1204" s="102" t="n">
        <v>970.45</v>
      </c>
      <c r="F1204" s="94" t="n">
        <v>6</v>
      </c>
      <c r="G1204" s="102" t="n">
        <v>0</v>
      </c>
      <c r="H1204" s="94" t="n">
        <v>0</v>
      </c>
    </row>
    <row r="1205" ht="15" customHeight="1" s="82">
      <c r="A1205" s="94" t="inlineStr">
        <is>
          <t>102 - Orthopedic institutes</t>
        </is>
      </c>
      <c r="B1205" s="94" t="inlineStr">
        <is>
          <t>152031 גפיים חיפה</t>
        </is>
      </c>
      <c r="C1205" s="94" t="inlineStr">
        <is>
          <t>INV69075</t>
        </is>
      </c>
      <c r="D1205" s="94" t="inlineStr">
        <is>
          <t>INV</t>
        </is>
      </c>
      <c r="E1205" s="102" t="n">
        <v>0</v>
      </c>
      <c r="F1205" s="94" t="n">
        <v>0</v>
      </c>
      <c r="G1205" s="102" t="n">
        <v>806.11</v>
      </c>
      <c r="H1205" s="94" t="n">
        <v>2</v>
      </c>
    </row>
    <row r="1206" ht="15" customHeight="1" s="82">
      <c r="A1206" s="94" t="inlineStr">
        <is>
          <t>102 - Orthopedic institutes</t>
        </is>
      </c>
      <c r="B1206" s="94" t="inlineStr">
        <is>
          <t>152031 גפיים חיפה</t>
        </is>
      </c>
      <c r="C1206" s="94" t="inlineStr">
        <is>
          <t>INV66948</t>
        </is>
      </c>
      <c r="D1206" s="94" t="inlineStr">
        <is>
          <t>INV</t>
        </is>
      </c>
      <c r="E1206" s="102" t="n">
        <v>706.47</v>
      </c>
      <c r="F1206" s="94" t="n">
        <v>11</v>
      </c>
      <c r="G1206" s="102" t="n">
        <v>0</v>
      </c>
      <c r="H1206" s="94" t="n">
        <v>0</v>
      </c>
    </row>
    <row r="1207" ht="15" customHeight="1" s="82">
      <c r="A1207" s="94" t="inlineStr">
        <is>
          <t>102 - Orthopedic institutes</t>
        </is>
      </c>
      <c r="B1207" s="94" t="inlineStr">
        <is>
          <t>152031 גפיים חיפה</t>
        </is>
      </c>
      <c r="C1207" s="94" t="inlineStr">
        <is>
          <t>INV67035</t>
        </is>
      </c>
      <c r="D1207" s="94" t="inlineStr">
        <is>
          <t>INV</t>
        </is>
      </c>
      <c r="E1207" s="102" t="n">
        <v>702.8099999999999</v>
      </c>
      <c r="F1207" s="94" t="n">
        <v>6</v>
      </c>
      <c r="G1207" s="102" t="n">
        <v>0</v>
      </c>
      <c r="H1207" s="94" t="n">
        <v>0</v>
      </c>
    </row>
    <row r="1208" ht="15" customHeight="1" s="82">
      <c r="A1208" s="94" t="inlineStr">
        <is>
          <t>102 - Orthopedic institutes</t>
        </is>
      </c>
      <c r="B1208" s="94" t="inlineStr">
        <is>
          <t>152031 גפיים חיפה</t>
        </is>
      </c>
      <c r="C1208" s="94" t="inlineStr">
        <is>
          <t>INV43716</t>
        </is>
      </c>
      <c r="D1208" s="94" t="inlineStr">
        <is>
          <t>INV</t>
        </is>
      </c>
      <c r="E1208" s="102" t="n">
        <v>645</v>
      </c>
      <c r="F1208" s="94" t="n">
        <v>5</v>
      </c>
      <c r="G1208" s="102" t="n">
        <v>0</v>
      </c>
      <c r="H1208" s="94" t="n">
        <v>0</v>
      </c>
    </row>
    <row r="1209" ht="15" customHeight="1" s="82">
      <c r="A1209" s="94" t="inlineStr">
        <is>
          <t>102 - Orthopedic institutes</t>
        </is>
      </c>
      <c r="B1209" s="94" t="inlineStr">
        <is>
          <t>152031 גפיים חיפה</t>
        </is>
      </c>
      <c r="C1209" s="94" t="inlineStr">
        <is>
          <t>INV66225</t>
        </is>
      </c>
      <c r="D1209" s="94" t="inlineStr">
        <is>
          <t>INV</t>
        </is>
      </c>
      <c r="E1209" s="102" t="n">
        <v>610.1</v>
      </c>
      <c r="F1209" s="94" t="n">
        <v>7</v>
      </c>
      <c r="G1209" s="102" t="n">
        <v>0</v>
      </c>
      <c r="H1209" s="94" t="n">
        <v>0</v>
      </c>
    </row>
    <row r="1210" ht="15" customHeight="1" s="82">
      <c r="A1210" s="94" t="inlineStr">
        <is>
          <t>102 - Orthopedic institutes</t>
        </is>
      </c>
      <c r="B1210" s="94" t="inlineStr">
        <is>
          <t>152031 גפיים חיפה</t>
        </is>
      </c>
      <c r="C1210" s="94" t="inlineStr">
        <is>
          <t>INV68654</t>
        </is>
      </c>
      <c r="D1210" s="94" t="inlineStr">
        <is>
          <t>INV</t>
        </is>
      </c>
      <c r="E1210" s="102" t="n">
        <v>0</v>
      </c>
      <c r="F1210" s="94" t="n">
        <v>0</v>
      </c>
      <c r="G1210" s="102" t="n">
        <v>607.66</v>
      </c>
      <c r="H1210" s="94" t="n">
        <v>16</v>
      </c>
    </row>
    <row r="1211" ht="15" customHeight="1" s="82">
      <c r="A1211" s="94" t="inlineStr">
        <is>
          <t>102 - Orthopedic institutes</t>
        </is>
      </c>
      <c r="B1211" s="94" t="inlineStr">
        <is>
          <t>152031 גפיים חיפה</t>
        </is>
      </c>
      <c r="C1211" s="94" t="inlineStr">
        <is>
          <t>INV67091</t>
        </is>
      </c>
      <c r="D1211" s="94" t="inlineStr">
        <is>
          <t>INV</t>
        </is>
      </c>
      <c r="E1211" s="102" t="n">
        <v>540</v>
      </c>
      <c r="F1211" s="94" t="n">
        <v>6</v>
      </c>
      <c r="G1211" s="102" t="n">
        <v>0</v>
      </c>
      <c r="H1211" s="94" t="n">
        <v>0</v>
      </c>
    </row>
    <row r="1212" ht="15" customHeight="1" s="82">
      <c r="A1212" s="94" t="inlineStr">
        <is>
          <t>102 - Orthopedic institutes</t>
        </is>
      </c>
      <c r="B1212" s="94" t="inlineStr">
        <is>
          <t>152031 גפיים חיפה</t>
        </is>
      </c>
      <c r="C1212" s="94" t="inlineStr">
        <is>
          <t>INV69001</t>
        </is>
      </c>
      <c r="D1212" s="94" t="inlineStr">
        <is>
          <t>INV</t>
        </is>
      </c>
      <c r="E1212" s="102" t="n">
        <v>0</v>
      </c>
      <c r="F1212" s="94" t="n">
        <v>0</v>
      </c>
      <c r="G1212" s="102" t="n">
        <v>483.41</v>
      </c>
      <c r="H1212" s="94" t="n">
        <v>8</v>
      </c>
    </row>
    <row r="1213" ht="15" customHeight="1" s="82">
      <c r="A1213" s="94" t="inlineStr">
        <is>
          <t>102 - Orthopedic institutes</t>
        </is>
      </c>
      <c r="B1213" s="94" t="inlineStr">
        <is>
          <t>152031 גפיים חיפה</t>
        </is>
      </c>
      <c r="C1213" s="94" t="inlineStr">
        <is>
          <t>INV40878</t>
        </is>
      </c>
      <c r="D1213" s="94" t="inlineStr">
        <is>
          <t>INV</t>
        </is>
      </c>
      <c r="E1213" s="102" t="n">
        <v>434.97</v>
      </c>
      <c r="F1213" s="94" t="n">
        <v>10</v>
      </c>
      <c r="G1213" s="102" t="n">
        <v>0</v>
      </c>
      <c r="H1213" s="94" t="n">
        <v>0</v>
      </c>
    </row>
    <row r="1214" ht="15" customHeight="1" s="82">
      <c r="A1214" s="94" t="inlineStr">
        <is>
          <t>102 - Orthopedic institutes</t>
        </is>
      </c>
      <c r="B1214" s="94" t="inlineStr">
        <is>
          <t>152031 גפיים חיפה</t>
        </is>
      </c>
      <c r="C1214" s="94" t="inlineStr">
        <is>
          <t>INV68712</t>
        </is>
      </c>
      <c r="D1214" s="94" t="inlineStr">
        <is>
          <t>INV</t>
        </is>
      </c>
      <c r="E1214" s="102" t="n">
        <v>0</v>
      </c>
      <c r="F1214" s="94" t="n">
        <v>0</v>
      </c>
      <c r="G1214" s="102" t="n">
        <v>391.05</v>
      </c>
      <c r="H1214" s="94" t="n">
        <v>8</v>
      </c>
    </row>
    <row r="1215" ht="15" customHeight="1" s="82">
      <c r="A1215" s="94" t="inlineStr">
        <is>
          <t>102 - Orthopedic institutes</t>
        </is>
      </c>
      <c r="B1215" s="94" t="inlineStr">
        <is>
          <t>152031 גפיים חיפה</t>
        </is>
      </c>
      <c r="C1215" s="94" t="inlineStr">
        <is>
          <t>INV44996</t>
        </is>
      </c>
      <c r="D1215" s="94" t="inlineStr">
        <is>
          <t>INV</t>
        </is>
      </c>
      <c r="E1215" s="102" t="n">
        <v>387</v>
      </c>
      <c r="F1215" s="94" t="n">
        <v>3</v>
      </c>
      <c r="G1215" s="102" t="n">
        <v>0</v>
      </c>
      <c r="H1215" s="94" t="n">
        <v>0</v>
      </c>
    </row>
    <row r="1216" ht="15" customHeight="1" s="82">
      <c r="A1216" s="94" t="inlineStr">
        <is>
          <t>102 - Orthopedic institutes</t>
        </is>
      </c>
      <c r="B1216" s="94" t="inlineStr">
        <is>
          <t>152031 גפיים חיפה</t>
        </is>
      </c>
      <c r="C1216" s="94" t="inlineStr">
        <is>
          <t>INV67507</t>
        </is>
      </c>
      <c r="D1216" s="94" t="inlineStr">
        <is>
          <t>INV</t>
        </is>
      </c>
      <c r="E1216" s="102" t="n">
        <v>0</v>
      </c>
      <c r="F1216" s="94" t="n">
        <v>0</v>
      </c>
      <c r="G1216" s="102" t="n">
        <v>296.75</v>
      </c>
      <c r="H1216" s="94" t="n">
        <v>7</v>
      </c>
    </row>
    <row r="1217" ht="15" customHeight="1" s="82">
      <c r="A1217" s="94" t="inlineStr">
        <is>
          <t>102 - Orthopedic institutes</t>
        </is>
      </c>
      <c r="B1217" s="94" t="inlineStr">
        <is>
          <t>152031 גפיים חיפה</t>
        </is>
      </c>
      <c r="C1217" s="94" t="inlineStr">
        <is>
          <t>CM44306</t>
        </is>
      </c>
      <c r="D1217" s="94" t="inlineStr">
        <is>
          <t>CM</t>
        </is>
      </c>
      <c r="E1217" s="102" t="n">
        <v>0</v>
      </c>
      <c r="F1217" s="94" t="n">
        <v>0</v>
      </c>
      <c r="G1217" s="102" t="n">
        <v>-702.8099999999999</v>
      </c>
      <c r="H1217" s="94" t="n">
        <v>-6</v>
      </c>
    </row>
    <row r="1218" ht="15" customHeight="1" s="82">
      <c r="A1218" s="94" t="inlineStr">
        <is>
          <t>102 - Orthopedic institutes</t>
        </is>
      </c>
      <c r="B1218" s="94" t="inlineStr">
        <is>
          <t>152101 יונתן קפלן-פיזיוטרפיסט</t>
        </is>
      </c>
      <c r="C1218" s="94" t="inlineStr">
        <is>
          <t>INV49707</t>
        </is>
      </c>
      <c r="D1218" s="94" t="inlineStr">
        <is>
          <t>INV</t>
        </is>
      </c>
      <c r="E1218" s="102" t="n">
        <v>3819.21</v>
      </c>
      <c r="F1218" s="94" t="n">
        <v>35</v>
      </c>
      <c r="G1218" s="102" t="n">
        <v>0</v>
      </c>
      <c r="H1218" s="94" t="n">
        <v>0</v>
      </c>
    </row>
    <row r="1219" ht="15" customHeight="1" s="82">
      <c r="A1219" s="94" t="inlineStr">
        <is>
          <t>102 - Orthopedic institutes</t>
        </is>
      </c>
      <c r="B1219" s="94" t="inlineStr">
        <is>
          <t>152101 יונתן קפלן-פיזיוטרפיסט</t>
        </is>
      </c>
      <c r="C1219" s="94" t="inlineStr">
        <is>
          <t>INV68275</t>
        </is>
      </c>
      <c r="D1219" s="94" t="inlineStr">
        <is>
          <t>INV</t>
        </is>
      </c>
      <c r="E1219" s="102" t="n">
        <v>0</v>
      </c>
      <c r="F1219" s="94" t="n">
        <v>0</v>
      </c>
      <c r="G1219" s="102" t="n">
        <v>2304.24</v>
      </c>
      <c r="H1219" s="94" t="n">
        <v>15</v>
      </c>
    </row>
    <row r="1220" ht="15" customHeight="1" s="82">
      <c r="A1220" s="94" t="inlineStr">
        <is>
          <t>102 - Orthopedic institutes</t>
        </is>
      </c>
      <c r="B1220" s="94" t="inlineStr">
        <is>
          <t>152101 יונתן קפלן-פיזיוטרפיסט</t>
        </is>
      </c>
      <c r="C1220" s="94" t="inlineStr">
        <is>
          <t>INV69118</t>
        </is>
      </c>
      <c r="D1220" s="94" t="inlineStr">
        <is>
          <t>INV</t>
        </is>
      </c>
      <c r="E1220" s="102" t="n">
        <v>0</v>
      </c>
      <c r="F1220" s="94" t="n">
        <v>0</v>
      </c>
      <c r="G1220" s="102" t="n">
        <v>1389.61</v>
      </c>
      <c r="H1220" s="94" t="n">
        <v>18</v>
      </c>
    </row>
    <row r="1221" ht="15" customHeight="1" s="82">
      <c r="A1221" s="94" t="inlineStr">
        <is>
          <t>102 - Orthopedic institutes</t>
        </is>
      </c>
      <c r="B1221" s="94" t="inlineStr">
        <is>
          <t>152101 יונתן קפלן-פיזיוטרפיסט</t>
        </is>
      </c>
      <c r="C1221" s="94" t="inlineStr">
        <is>
          <t>INV66579</t>
        </is>
      </c>
      <c r="D1221" s="94" t="inlineStr">
        <is>
          <t>INV</t>
        </is>
      </c>
      <c r="E1221" s="102" t="n">
        <v>971.8200000000001</v>
      </c>
      <c r="F1221" s="94" t="n">
        <v>11</v>
      </c>
      <c r="G1221" s="102" t="n">
        <v>0</v>
      </c>
      <c r="H1221" s="94" t="n">
        <v>0</v>
      </c>
    </row>
    <row r="1222" ht="15" customHeight="1" s="82">
      <c r="A1222" s="94" t="inlineStr">
        <is>
          <t>102 - Orthopedic institutes</t>
        </is>
      </c>
      <c r="B1222" s="94" t="inlineStr">
        <is>
          <t>152101 יונתן קפלן-פיזיוטרפיסט</t>
        </is>
      </c>
      <c r="C1222" s="94" t="inlineStr">
        <is>
          <t>INV67559</t>
        </is>
      </c>
      <c r="D1222" s="94" t="inlineStr">
        <is>
          <t>INV</t>
        </is>
      </c>
      <c r="E1222" s="102" t="n">
        <v>0</v>
      </c>
      <c r="F1222" s="94" t="n">
        <v>0</v>
      </c>
      <c r="G1222" s="102" t="n">
        <v>850.78</v>
      </c>
      <c r="H1222" s="94" t="n">
        <v>10</v>
      </c>
    </row>
    <row r="1223" ht="15" customHeight="1" s="82">
      <c r="A1223" s="94" t="inlineStr">
        <is>
          <t>102 - Orthopedic institutes</t>
        </is>
      </c>
      <c r="B1223" s="94" t="inlineStr">
        <is>
          <t>152101 יונתן קפלן-פיזיוטרפיסט</t>
        </is>
      </c>
      <c r="C1223" s="94" t="inlineStr">
        <is>
          <t>INV66090</t>
        </is>
      </c>
      <c r="D1223" s="94" t="inlineStr">
        <is>
          <t>INV</t>
        </is>
      </c>
      <c r="E1223" s="102" t="n">
        <v>837.47</v>
      </c>
      <c r="F1223" s="94" t="n">
        <v>16</v>
      </c>
      <c r="G1223" s="102" t="n">
        <v>0</v>
      </c>
      <c r="H1223" s="94" t="n">
        <v>0</v>
      </c>
    </row>
    <row r="1224" ht="15" customHeight="1" s="82">
      <c r="A1224" s="94" t="inlineStr">
        <is>
          <t>102 - Orthopedic institutes</t>
        </is>
      </c>
      <c r="B1224" s="94" t="inlineStr">
        <is>
          <t>152101 יונתן קפלן-פיזיוטרפיסט</t>
        </is>
      </c>
      <c r="C1224" s="94" t="inlineStr">
        <is>
          <t>INV55051</t>
        </is>
      </c>
      <c r="D1224" s="94" t="inlineStr">
        <is>
          <t>INV</t>
        </is>
      </c>
      <c r="E1224" s="102" t="n">
        <v>780.61</v>
      </c>
      <c r="F1224" s="94" t="n">
        <v>6</v>
      </c>
      <c r="G1224" s="102" t="n">
        <v>0</v>
      </c>
      <c r="H1224" s="94" t="n">
        <v>0</v>
      </c>
    </row>
    <row r="1225" ht="15" customHeight="1" s="82">
      <c r="A1225" s="94" t="inlineStr">
        <is>
          <t>102 - Orthopedic institutes</t>
        </is>
      </c>
      <c r="B1225" s="94" t="inlineStr">
        <is>
          <t>152101 יונתן קפלן-פיזיוטרפיסט</t>
        </is>
      </c>
      <c r="C1225" s="94" t="inlineStr">
        <is>
          <t>INV68814</t>
        </is>
      </c>
      <c r="D1225" s="94" t="inlineStr">
        <is>
          <t>INV</t>
        </is>
      </c>
      <c r="E1225" s="102" t="n">
        <v>0</v>
      </c>
      <c r="F1225" s="94" t="n">
        <v>0</v>
      </c>
      <c r="G1225" s="102" t="n">
        <v>764.63</v>
      </c>
      <c r="H1225" s="94" t="n">
        <v>9</v>
      </c>
    </row>
    <row r="1226" ht="15" customHeight="1" s="82">
      <c r="A1226" s="94" t="inlineStr">
        <is>
          <t>102 - Orthopedic institutes</t>
        </is>
      </c>
      <c r="B1226" s="94" t="inlineStr">
        <is>
          <t>152101 יונתן קפלן-פיזיוטרפיסט</t>
        </is>
      </c>
      <c r="C1226" s="94" t="inlineStr">
        <is>
          <t>INV67868</t>
        </is>
      </c>
      <c r="D1226" s="94" t="inlineStr">
        <is>
          <t>INV</t>
        </is>
      </c>
      <c r="E1226" s="102" t="n">
        <v>0</v>
      </c>
      <c r="F1226" s="94" t="n">
        <v>0</v>
      </c>
      <c r="G1226" s="102" t="n">
        <v>557.92</v>
      </c>
      <c r="H1226" s="94" t="n">
        <v>7</v>
      </c>
    </row>
    <row r="1227" ht="15" customHeight="1" s="82">
      <c r="A1227" s="94" t="inlineStr">
        <is>
          <t>102 - Orthopedic institutes</t>
        </is>
      </c>
      <c r="B1227" s="94" t="inlineStr">
        <is>
          <t>152101 יונתן קפלן-פיזיוטרפיסט</t>
        </is>
      </c>
      <c r="C1227" s="94" t="inlineStr">
        <is>
          <t>INV68611</t>
        </is>
      </c>
      <c r="D1227" s="94" t="inlineStr">
        <is>
          <t>INV</t>
        </is>
      </c>
      <c r="E1227" s="102" t="n">
        <v>0</v>
      </c>
      <c r="F1227" s="94" t="n">
        <v>0</v>
      </c>
      <c r="G1227" s="102" t="n">
        <v>517.45</v>
      </c>
      <c r="H1227" s="94" t="n">
        <v>5</v>
      </c>
    </row>
    <row r="1228" ht="15" customHeight="1" s="82">
      <c r="A1228" s="94" t="inlineStr">
        <is>
          <t>102 - Orthopedic institutes</t>
        </is>
      </c>
      <c r="B1228" s="94" t="inlineStr">
        <is>
          <t>152101 יונתן קפלן-פיזיוטרפיסט</t>
        </is>
      </c>
      <c r="C1228" s="94" t="inlineStr">
        <is>
          <t>INV65529</t>
        </is>
      </c>
      <c r="D1228" s="94" t="inlineStr">
        <is>
          <t>INV</t>
        </is>
      </c>
      <c r="E1228" s="102" t="n">
        <v>502.83</v>
      </c>
      <c r="F1228" s="94" t="n">
        <v>12</v>
      </c>
      <c r="G1228" s="102" t="n">
        <v>0</v>
      </c>
      <c r="H1228" s="94" t="n">
        <v>0</v>
      </c>
    </row>
    <row r="1229" ht="15" customHeight="1" s="82">
      <c r="A1229" s="94" t="inlineStr">
        <is>
          <t>102 - Orthopedic institutes</t>
        </is>
      </c>
      <c r="B1229" s="94" t="inlineStr">
        <is>
          <t>152101 יונתן קפלן-פיזיוטרפיסט</t>
        </is>
      </c>
      <c r="C1229" s="94" t="inlineStr">
        <is>
          <t>INV68677</t>
        </is>
      </c>
      <c r="D1229" s="94" t="inlineStr">
        <is>
          <t>INV</t>
        </is>
      </c>
      <c r="E1229" s="102" t="n">
        <v>0</v>
      </c>
      <c r="F1229" s="94" t="n">
        <v>0</v>
      </c>
      <c r="G1229" s="102" t="n">
        <v>42.13</v>
      </c>
      <c r="H1229" s="94" t="n">
        <v>1</v>
      </c>
    </row>
    <row r="1230" ht="15" customHeight="1" s="82">
      <c r="A1230" s="94" t="inlineStr">
        <is>
          <t>102 - Orthopedic institutes</t>
        </is>
      </c>
      <c r="B1230" s="94" t="inlineStr">
        <is>
          <t>152101 יונתן קפלן-פיזיוטרפיסט</t>
        </is>
      </c>
      <c r="C1230" s="94" t="inlineStr">
        <is>
          <t>CM44550</t>
        </is>
      </c>
      <c r="D1230" s="94" t="inlineStr">
        <is>
          <t>CM</t>
        </is>
      </c>
      <c r="E1230" s="102" t="n">
        <v>0</v>
      </c>
      <c r="F1230" s="94" t="n">
        <v>0</v>
      </c>
      <c r="G1230" s="102" t="n">
        <v>-37.45</v>
      </c>
      <c r="H1230" s="94" t="n">
        <v>-1</v>
      </c>
    </row>
    <row r="1231" ht="15" customHeight="1" s="82">
      <c r="A1231" s="94" t="inlineStr">
        <is>
          <t>102 - Orthopedic institutes</t>
        </is>
      </c>
      <c r="B1231" s="94" t="inlineStr">
        <is>
          <t>152101 יונתן קפלן-פיזיוטרפיסט</t>
        </is>
      </c>
      <c r="C1231" s="94" t="inlineStr">
        <is>
          <t>CM44162</t>
        </is>
      </c>
      <c r="D1231" s="94" t="inlineStr">
        <is>
          <t>CM</t>
        </is>
      </c>
      <c r="E1231" s="102" t="n">
        <v>-837.47</v>
      </c>
      <c r="F1231" s="94" t="n">
        <v>-16</v>
      </c>
      <c r="G1231" s="102" t="n">
        <v>0</v>
      </c>
      <c r="H1231" s="94" t="n">
        <v>0</v>
      </c>
    </row>
    <row r="1232" ht="15" customHeight="1" s="82">
      <c r="A1232" s="94" t="inlineStr">
        <is>
          <t>102 - Orthopedic institutes</t>
        </is>
      </c>
      <c r="B1232" s="94" t="inlineStr">
        <is>
          <t>153010 המרחב הפנימי</t>
        </is>
      </c>
      <c r="C1232" s="94" t="inlineStr">
        <is>
          <t>INV55484</t>
        </is>
      </c>
      <c r="D1232" s="94" t="inlineStr">
        <is>
          <t>INV</t>
        </is>
      </c>
      <c r="E1232" s="102" t="n">
        <v>310</v>
      </c>
      <c r="F1232" s="94" t="n">
        <v>3</v>
      </c>
      <c r="G1232" s="102" t="n">
        <v>0</v>
      </c>
      <c r="H1232" s="94" t="n">
        <v>0</v>
      </c>
    </row>
    <row r="1233" ht="15" customHeight="1" s="82">
      <c r="A1233" s="94" t="inlineStr">
        <is>
          <t>102 - Orthopedic institutes</t>
        </is>
      </c>
      <c r="B1233" s="94" t="inlineStr">
        <is>
          <t>153010 המרחב הפנימי</t>
        </is>
      </c>
      <c r="C1233" s="94" t="inlineStr">
        <is>
          <t>INV55059</t>
        </is>
      </c>
      <c r="D1233" s="94" t="inlineStr">
        <is>
          <t>INV</t>
        </is>
      </c>
      <c r="E1233" s="102" t="n">
        <v>170</v>
      </c>
      <c r="F1233" s="94" t="n">
        <v>2</v>
      </c>
      <c r="G1233" s="102" t="n">
        <v>0</v>
      </c>
      <c r="H1233" s="94" t="n">
        <v>0</v>
      </c>
    </row>
    <row r="1234" ht="15" customHeight="1" s="82">
      <c r="A1234" s="94" t="inlineStr">
        <is>
          <t>102 - Orthopedic institutes</t>
        </is>
      </c>
      <c r="B1234" s="94" t="inlineStr">
        <is>
          <t>153031 גרינברג ר.ע.י.ה מדיקל בעמ</t>
        </is>
      </c>
      <c r="C1234" s="94" t="inlineStr">
        <is>
          <t>INV67962</t>
        </is>
      </c>
      <c r="D1234" s="94" t="inlineStr">
        <is>
          <t>INV</t>
        </is>
      </c>
      <c r="E1234" s="102" t="n">
        <v>0</v>
      </c>
      <c r="F1234" s="94" t="n">
        <v>0</v>
      </c>
      <c r="G1234" s="102" t="n">
        <v>4440</v>
      </c>
      <c r="H1234" s="94" t="n">
        <v>20</v>
      </c>
    </row>
    <row r="1235" ht="15" customHeight="1" s="82">
      <c r="A1235" s="94" t="inlineStr">
        <is>
          <t>102 - Orthopedic institutes</t>
        </is>
      </c>
      <c r="B1235" s="94" t="inlineStr">
        <is>
          <t>153031 גרינברג ר.ע.י.ה מדיקל בעמ</t>
        </is>
      </c>
      <c r="C1235" s="94" t="inlineStr">
        <is>
          <t>INV40501</t>
        </is>
      </c>
      <c r="D1235" s="94" t="inlineStr">
        <is>
          <t>INV</t>
        </is>
      </c>
      <c r="E1235" s="102" t="n">
        <v>3240</v>
      </c>
      <c r="F1235" s="94" t="n">
        <v>12</v>
      </c>
      <c r="G1235" s="102" t="n">
        <v>0</v>
      </c>
      <c r="H1235" s="94" t="n">
        <v>0</v>
      </c>
    </row>
    <row r="1236" ht="15" customHeight="1" s="82">
      <c r="A1236" s="94" t="inlineStr">
        <is>
          <t>102 - Orthopedic institutes</t>
        </is>
      </c>
      <c r="B1236" s="94" t="inlineStr">
        <is>
          <t>153031 גרינברג ר.ע.י.ה מדיקל בעמ</t>
        </is>
      </c>
      <c r="C1236" s="94" t="inlineStr">
        <is>
          <t>INV42297</t>
        </is>
      </c>
      <c r="D1236" s="94" t="inlineStr">
        <is>
          <t>INV</t>
        </is>
      </c>
      <c r="E1236" s="102" t="n">
        <v>1620</v>
      </c>
      <c r="F1236" s="94" t="n">
        <v>6</v>
      </c>
      <c r="G1236" s="102" t="n">
        <v>0</v>
      </c>
      <c r="H1236" s="94" t="n">
        <v>0</v>
      </c>
    </row>
    <row r="1237" ht="15" customHeight="1" s="82">
      <c r="A1237" s="94" t="inlineStr">
        <is>
          <t>102 - Orthopedic institutes</t>
        </is>
      </c>
      <c r="B1237" s="94" t="inlineStr">
        <is>
          <t>153196 קלפון וילפריד</t>
        </is>
      </c>
      <c r="C1237" s="94" t="inlineStr">
        <is>
          <t>INV68924</t>
        </is>
      </c>
      <c r="D1237" s="94" t="inlineStr">
        <is>
          <t>INV</t>
        </is>
      </c>
      <c r="E1237" s="102" t="n">
        <v>0</v>
      </c>
      <c r="F1237" s="94" t="n">
        <v>0</v>
      </c>
      <c r="G1237" s="102" t="n">
        <v>912.99</v>
      </c>
      <c r="H1237" s="94" t="n">
        <v>11</v>
      </c>
    </row>
    <row r="1238" ht="15" customHeight="1" s="82">
      <c r="A1238" s="94" t="inlineStr">
        <is>
          <t>102 - Orthopedic institutes</t>
        </is>
      </c>
      <c r="B1238" s="94" t="inlineStr">
        <is>
          <t>153207 אגודת נר דויד אבי</t>
        </is>
      </c>
      <c r="C1238" s="94" t="inlineStr">
        <is>
          <t>INV68560</t>
        </is>
      </c>
      <c r="D1238" s="94" t="inlineStr">
        <is>
          <t>INV</t>
        </is>
      </c>
      <c r="E1238" s="102" t="n">
        <v>0</v>
      </c>
      <c r="F1238" s="94" t="n">
        <v>0</v>
      </c>
      <c r="G1238" s="102" t="n">
        <v>3750</v>
      </c>
      <c r="H1238" s="94" t="n">
        <v>19</v>
      </c>
    </row>
    <row r="1239" ht="15" customHeight="1" s="82">
      <c r="A1239" s="94" t="inlineStr">
        <is>
          <t>102 - Orthopedic institutes</t>
        </is>
      </c>
      <c r="B1239" s="94" t="inlineStr">
        <is>
          <t>153207 אגודת נר דויד אבי</t>
        </is>
      </c>
      <c r="C1239" s="94" t="inlineStr">
        <is>
          <t>INV66252</t>
        </is>
      </c>
      <c r="D1239" s="94" t="inlineStr">
        <is>
          <t>INV</t>
        </is>
      </c>
      <c r="E1239" s="102" t="n">
        <v>2013.66</v>
      </c>
      <c r="F1239" s="94" t="n">
        <v>22</v>
      </c>
      <c r="G1239" s="102" t="n">
        <v>0</v>
      </c>
      <c r="H1239" s="94" t="n">
        <v>0</v>
      </c>
    </row>
    <row r="1240" ht="15" customHeight="1" s="82">
      <c r="A1240" s="94" t="inlineStr">
        <is>
          <t>102 - Orthopedic institutes</t>
        </is>
      </c>
      <c r="B1240" s="94" t="inlineStr">
        <is>
          <t>153207 אגודת נר דויד אבי</t>
        </is>
      </c>
      <c r="C1240" s="94" t="inlineStr">
        <is>
          <t>INV45805</t>
        </is>
      </c>
      <c r="D1240" s="94" t="inlineStr">
        <is>
          <t>INV</t>
        </is>
      </c>
      <c r="E1240" s="102" t="n">
        <v>1624.75</v>
      </c>
      <c r="F1240" s="94" t="n">
        <v>33</v>
      </c>
      <c r="G1240" s="102" t="n">
        <v>0</v>
      </c>
      <c r="H1240" s="94" t="n">
        <v>0</v>
      </c>
    </row>
    <row r="1241" ht="15" customHeight="1" s="82">
      <c r="A1241" s="94" t="inlineStr">
        <is>
          <t>102 - Orthopedic institutes</t>
        </is>
      </c>
      <c r="B1241" s="94" t="inlineStr">
        <is>
          <t>153207 אגודת נר דויד אבי</t>
        </is>
      </c>
      <c r="C1241" s="94" t="inlineStr">
        <is>
          <t>INV68235</t>
        </is>
      </c>
      <c r="D1241" s="94" t="inlineStr">
        <is>
          <t>INV</t>
        </is>
      </c>
      <c r="E1241" s="102" t="n">
        <v>0</v>
      </c>
      <c r="F1241" s="94" t="n">
        <v>0</v>
      </c>
      <c r="G1241" s="102" t="n">
        <v>548.23</v>
      </c>
      <c r="H1241" s="94" t="n">
        <v>7</v>
      </c>
    </row>
    <row r="1242" ht="15" customHeight="1" s="82">
      <c r="A1242" s="94" t="inlineStr">
        <is>
          <t>102 - Orthopedic institutes</t>
        </is>
      </c>
      <c r="B1242" s="94" t="inlineStr">
        <is>
          <t>153207 אגודת נר דויד אבי</t>
        </is>
      </c>
      <c r="C1242" s="94" t="inlineStr">
        <is>
          <t>INV40718</t>
        </is>
      </c>
      <c r="D1242" s="94" t="inlineStr">
        <is>
          <t>INV</t>
        </is>
      </c>
      <c r="E1242" s="102" t="n">
        <v>495</v>
      </c>
      <c r="F1242" s="94" t="n">
        <v>3</v>
      </c>
      <c r="G1242" s="102" t="n">
        <v>0</v>
      </c>
      <c r="H1242" s="94" t="n">
        <v>0</v>
      </c>
    </row>
    <row r="1243" ht="15" customHeight="1" s="82">
      <c r="A1243" s="94" t="inlineStr">
        <is>
          <t>102 - Orthopedic institutes</t>
        </is>
      </c>
      <c r="B1243" s="94" t="inlineStr">
        <is>
          <t>153207 אגודת נר דויד אבי</t>
        </is>
      </c>
      <c r="C1243" s="94" t="inlineStr">
        <is>
          <t>INV50309</t>
        </is>
      </c>
      <c r="D1243" s="94" t="inlineStr">
        <is>
          <t>INV</t>
        </is>
      </c>
      <c r="E1243" s="102" t="n">
        <v>416.56</v>
      </c>
      <c r="F1243" s="94" t="n">
        <v>5</v>
      </c>
      <c r="G1243" s="102" t="n">
        <v>0</v>
      </c>
      <c r="H1243" s="94" t="n">
        <v>0</v>
      </c>
    </row>
    <row r="1244" ht="15" customHeight="1" s="82">
      <c r="A1244" s="94" t="inlineStr">
        <is>
          <t>102 - Orthopedic institutes</t>
        </is>
      </c>
      <c r="B1244" s="94" t="inlineStr">
        <is>
          <t>153207 אגודת נר דויד אבי</t>
        </is>
      </c>
      <c r="C1244" s="94" t="inlineStr">
        <is>
          <t>INV45812</t>
        </is>
      </c>
      <c r="D1244" s="94" t="inlineStr">
        <is>
          <t>INV</t>
        </is>
      </c>
      <c r="E1244" s="102" t="n">
        <v>198.36</v>
      </c>
      <c r="F1244" s="94" t="n">
        <v>4</v>
      </c>
      <c r="G1244" s="102" t="n">
        <v>0</v>
      </c>
      <c r="H1244" s="94" t="n">
        <v>0</v>
      </c>
    </row>
    <row r="1245" ht="15" customHeight="1" s="82">
      <c r="A1245" s="94" t="inlineStr">
        <is>
          <t>102 - Orthopedic institutes</t>
        </is>
      </c>
      <c r="B1245" s="94" t="inlineStr">
        <is>
          <t>153207 אגודת נר דויד אבי</t>
        </is>
      </c>
      <c r="C1245" s="94" t="inlineStr">
        <is>
          <t>INV46029</t>
        </is>
      </c>
      <c r="D1245" s="94" t="inlineStr">
        <is>
          <t>INV</t>
        </is>
      </c>
      <c r="E1245" s="102" t="n">
        <v>0.01</v>
      </c>
      <c r="F1245" s="94" t="n">
        <v>1</v>
      </c>
      <c r="G1245" s="102" t="n">
        <v>0</v>
      </c>
      <c r="H1245" s="94" t="n">
        <v>0</v>
      </c>
    </row>
    <row r="1246" ht="15" customHeight="1" s="82">
      <c r="A1246" s="94" t="inlineStr">
        <is>
          <t>102 - Orthopedic institutes</t>
        </is>
      </c>
      <c r="B1246" s="94" t="inlineStr">
        <is>
          <t>153248 א.ק אורטופדיה מתקדמת</t>
        </is>
      </c>
      <c r="C1246" s="94" t="inlineStr">
        <is>
          <t>INV43598</t>
        </is>
      </c>
      <c r="D1246" s="94" t="inlineStr">
        <is>
          <t>INV</t>
        </is>
      </c>
      <c r="E1246" s="102" t="n">
        <v>933.5599999999999</v>
      </c>
      <c r="F1246" s="94" t="n">
        <v>28</v>
      </c>
      <c r="G1246" s="102" t="n">
        <v>0</v>
      </c>
      <c r="H1246" s="94" t="n">
        <v>0</v>
      </c>
    </row>
    <row r="1247" ht="15" customHeight="1" s="82">
      <c r="A1247" s="94" t="inlineStr">
        <is>
          <t>102 - Orthopedic institutes</t>
        </is>
      </c>
      <c r="B1247" s="94" t="inlineStr">
        <is>
          <t>153248 א.ק אורטופדיה מתקדמת</t>
        </is>
      </c>
      <c r="C1247" s="94" t="inlineStr">
        <is>
          <t>INV66625</t>
        </is>
      </c>
      <c r="D1247" s="94" t="inlineStr">
        <is>
          <t>INV</t>
        </is>
      </c>
      <c r="E1247" s="102" t="n">
        <v>840</v>
      </c>
      <c r="F1247" s="94" t="n">
        <v>8</v>
      </c>
      <c r="G1247" s="102" t="n">
        <v>0</v>
      </c>
      <c r="H1247" s="94" t="n">
        <v>0</v>
      </c>
    </row>
    <row r="1248" ht="15" customHeight="1" s="82">
      <c r="A1248" s="94" t="inlineStr">
        <is>
          <t>102 - Orthopedic institutes</t>
        </is>
      </c>
      <c r="B1248" s="94" t="inlineStr">
        <is>
          <t>153248 א.ק אורטופדיה מתקדמת</t>
        </is>
      </c>
      <c r="C1248" s="94" t="inlineStr">
        <is>
          <t>INV67835</t>
        </is>
      </c>
      <c r="D1248" s="94" t="inlineStr">
        <is>
          <t>INV</t>
        </is>
      </c>
      <c r="E1248" s="102" t="n">
        <v>0</v>
      </c>
      <c r="F1248" s="94" t="n">
        <v>0</v>
      </c>
      <c r="G1248" s="102" t="n">
        <v>417.58</v>
      </c>
      <c r="H1248" s="94" t="n">
        <v>11</v>
      </c>
    </row>
    <row r="1249" ht="15" customHeight="1" s="82">
      <c r="A1249" s="94" t="inlineStr">
        <is>
          <t>102 - Orthopedic institutes</t>
        </is>
      </c>
      <c r="B1249" s="94" t="inlineStr">
        <is>
          <t>153248 א.ק אורטופדיה מתקדמת</t>
        </is>
      </c>
      <c r="C1249" s="94" t="inlineStr">
        <is>
          <t>INV54535</t>
        </is>
      </c>
      <c r="D1249" s="94" t="inlineStr">
        <is>
          <t>INV</t>
        </is>
      </c>
      <c r="E1249" s="102" t="n">
        <v>170</v>
      </c>
      <c r="F1249" s="94" t="n">
        <v>2</v>
      </c>
      <c r="G1249" s="102" t="n">
        <v>0</v>
      </c>
      <c r="H1249" s="94" t="n">
        <v>0</v>
      </c>
    </row>
    <row r="1250" ht="15" customHeight="1" s="82">
      <c r="A1250" s="94" t="inlineStr">
        <is>
          <t>102 - Orthopedic institutes</t>
        </is>
      </c>
      <c r="B1250" s="94" t="inlineStr">
        <is>
          <t>153248 א.ק אורטופדיה מתקדמת</t>
        </is>
      </c>
      <c r="C1250" s="94" t="inlineStr">
        <is>
          <t>CM44333</t>
        </is>
      </c>
      <c r="D1250" s="94" t="inlineStr">
        <is>
          <t>CM</t>
        </is>
      </c>
      <c r="E1250" s="102" t="n">
        <v>0</v>
      </c>
      <c r="F1250" s="94" t="n">
        <v>0</v>
      </c>
      <c r="G1250" s="102" t="n">
        <v>-954.28</v>
      </c>
      <c r="H1250" s="94" t="n">
        <v>-35</v>
      </c>
    </row>
    <row r="1251" ht="15" customHeight="1" s="82">
      <c r="A1251" s="94" t="inlineStr">
        <is>
          <t>102 - Orthopedic institutes</t>
        </is>
      </c>
      <c r="B1251" s="94" t="inlineStr">
        <is>
          <t>154142 מרכז הספורט חצור הגלילית</t>
        </is>
      </c>
      <c r="C1251" s="94" t="inlineStr">
        <is>
          <t>INV47418</t>
        </is>
      </c>
      <c r="D1251" s="94" t="inlineStr">
        <is>
          <t>INV</t>
        </is>
      </c>
      <c r="E1251" s="102" t="n">
        <v>631.9</v>
      </c>
      <c r="F1251" s="94" t="n">
        <v>20</v>
      </c>
      <c r="G1251" s="102" t="n">
        <v>0</v>
      </c>
      <c r="H1251" s="94" t="n">
        <v>0</v>
      </c>
    </row>
    <row r="1252" ht="15" customHeight="1" s="82">
      <c r="A1252" s="94" t="inlineStr">
        <is>
          <t>102 - Orthopedic institutes</t>
        </is>
      </c>
      <c r="B1252" s="94" t="inlineStr">
        <is>
          <t>154142 מרכז הספורט חצור הגלילית</t>
        </is>
      </c>
      <c r="C1252" s="94" t="inlineStr">
        <is>
          <t>INV57093</t>
        </is>
      </c>
      <c r="D1252" s="94" t="inlineStr">
        <is>
          <t>INV</t>
        </is>
      </c>
      <c r="E1252" s="102" t="n">
        <v>470.57</v>
      </c>
      <c r="F1252" s="94" t="n">
        <v>33</v>
      </c>
      <c r="G1252" s="102" t="n">
        <v>0</v>
      </c>
      <c r="H1252" s="94" t="n">
        <v>0</v>
      </c>
    </row>
    <row r="1253" ht="15" customHeight="1" s="82">
      <c r="A1253" s="94" t="inlineStr">
        <is>
          <t>102 - Orthopedic institutes</t>
        </is>
      </c>
      <c r="B1253" s="94" t="inlineStr">
        <is>
          <t>154142 מרכז הספורט חצור הגלילית</t>
        </is>
      </c>
      <c r="C1253" s="94" t="inlineStr">
        <is>
          <t>INV66437</t>
        </is>
      </c>
      <c r="D1253" s="94" t="inlineStr">
        <is>
          <t>INV</t>
        </is>
      </c>
      <c r="E1253" s="102" t="n">
        <v>387.62</v>
      </c>
      <c r="F1253" s="94" t="n">
        <v>6</v>
      </c>
      <c r="G1253" s="102" t="n">
        <v>0</v>
      </c>
      <c r="H1253" s="94" t="n">
        <v>0</v>
      </c>
    </row>
    <row r="1254" ht="15" customHeight="1" s="82">
      <c r="A1254" s="94" t="inlineStr">
        <is>
          <t>102 - Orthopedic institutes</t>
        </is>
      </c>
      <c r="B1254" s="94" t="inlineStr">
        <is>
          <t>157464 מדיקל הצפון ב.מ-חורי</t>
        </is>
      </c>
      <c r="C1254" s="94" t="inlineStr">
        <is>
          <t>INV69133</t>
        </is>
      </c>
      <c r="D1254" s="94" t="inlineStr">
        <is>
          <t>INV</t>
        </is>
      </c>
      <c r="E1254" s="102" t="n">
        <v>0</v>
      </c>
      <c r="F1254" s="94" t="n">
        <v>0</v>
      </c>
      <c r="G1254" s="102" t="n">
        <v>11917.72</v>
      </c>
      <c r="H1254" s="94" t="n">
        <v>156</v>
      </c>
    </row>
    <row r="1255" ht="15" customHeight="1" s="82">
      <c r="A1255" s="94" t="inlineStr">
        <is>
          <t>102 - Orthopedic institutes</t>
        </is>
      </c>
      <c r="B1255" s="94" t="inlineStr">
        <is>
          <t>157464 מדיקל הצפון ב.מ-חורי</t>
        </is>
      </c>
      <c r="C1255" s="94" t="inlineStr">
        <is>
          <t>INV54141</t>
        </is>
      </c>
      <c r="D1255" s="94" t="inlineStr">
        <is>
          <t>INV</t>
        </is>
      </c>
      <c r="E1255" s="102" t="n">
        <v>9596.32</v>
      </c>
      <c r="F1255" s="94" t="n">
        <v>129</v>
      </c>
      <c r="G1255" s="102" t="n">
        <v>0</v>
      </c>
      <c r="H1255" s="94" t="n">
        <v>0</v>
      </c>
    </row>
    <row r="1256" ht="15" customHeight="1" s="82">
      <c r="A1256" s="94" t="inlineStr">
        <is>
          <t>102 - Orthopedic institutes</t>
        </is>
      </c>
      <c r="B1256" s="94" t="inlineStr">
        <is>
          <t>157464 מדיקל הצפון ב.מ-חורי</t>
        </is>
      </c>
      <c r="C1256" s="94" t="inlineStr">
        <is>
          <t>INV68620</t>
        </is>
      </c>
      <c r="D1256" s="94" t="inlineStr">
        <is>
          <t>INV</t>
        </is>
      </c>
      <c r="E1256" s="102" t="n">
        <v>0</v>
      </c>
      <c r="F1256" s="94" t="n">
        <v>0</v>
      </c>
      <c r="G1256" s="102" t="n">
        <v>9113.290000000001</v>
      </c>
      <c r="H1256" s="94" t="n">
        <v>109</v>
      </c>
    </row>
    <row r="1257" ht="15" customHeight="1" s="82">
      <c r="A1257" s="94" t="inlineStr">
        <is>
          <t>102 - Orthopedic institutes</t>
        </is>
      </c>
      <c r="B1257" s="94" t="inlineStr">
        <is>
          <t>157464 מדיקל הצפון ב.מ-חורי</t>
        </is>
      </c>
      <c r="C1257" s="94" t="inlineStr">
        <is>
          <t>INV67335</t>
        </is>
      </c>
      <c r="D1257" s="94" t="inlineStr">
        <is>
          <t>INV</t>
        </is>
      </c>
      <c r="E1257" s="102" t="n">
        <v>0</v>
      </c>
      <c r="F1257" s="94" t="n">
        <v>0</v>
      </c>
      <c r="G1257" s="102" t="n">
        <v>8409.209999999999</v>
      </c>
      <c r="H1257" s="94" t="n">
        <v>116</v>
      </c>
    </row>
    <row r="1258" ht="15" customHeight="1" s="82">
      <c r="A1258" s="94" t="inlineStr">
        <is>
          <t>102 - Orthopedic institutes</t>
        </is>
      </c>
      <c r="B1258" s="94" t="inlineStr">
        <is>
          <t>157464 מדיקל הצפון ב.מ-חורי</t>
        </is>
      </c>
      <c r="C1258" s="94" t="inlineStr">
        <is>
          <t>INV65384</t>
        </is>
      </c>
      <c r="D1258" s="94" t="inlineStr">
        <is>
          <t>INV</t>
        </is>
      </c>
      <c r="E1258" s="102" t="n">
        <v>5813.42</v>
      </c>
      <c r="F1258" s="94" t="n">
        <v>44</v>
      </c>
      <c r="G1258" s="102" t="n">
        <v>0</v>
      </c>
      <c r="H1258" s="94" t="n">
        <v>0</v>
      </c>
    </row>
    <row r="1259" ht="15" customHeight="1" s="82">
      <c r="A1259" s="94" t="inlineStr">
        <is>
          <t>102 - Orthopedic institutes</t>
        </is>
      </c>
      <c r="B1259" s="94" t="inlineStr">
        <is>
          <t>157464 מדיקל הצפון ב.מ-חורי</t>
        </is>
      </c>
      <c r="C1259" s="94" t="inlineStr">
        <is>
          <t>INV67966</t>
        </is>
      </c>
      <c r="D1259" s="94" t="inlineStr">
        <is>
          <t>INV</t>
        </is>
      </c>
      <c r="E1259" s="102" t="n">
        <v>0</v>
      </c>
      <c r="F1259" s="94" t="n">
        <v>0</v>
      </c>
      <c r="G1259" s="102" t="n">
        <v>5590.1</v>
      </c>
      <c r="H1259" s="94" t="n">
        <v>67</v>
      </c>
    </row>
    <row r="1260" ht="15" customHeight="1" s="82">
      <c r="A1260" s="94" t="inlineStr">
        <is>
          <t>102 - Orthopedic institutes</t>
        </is>
      </c>
      <c r="B1260" s="94" t="inlineStr">
        <is>
          <t>157464 מדיקל הצפון ב.מ-חורי</t>
        </is>
      </c>
      <c r="C1260" s="94" t="inlineStr">
        <is>
          <t>INV61924</t>
        </is>
      </c>
      <c r="D1260" s="94" t="inlineStr">
        <is>
          <t>INV</t>
        </is>
      </c>
      <c r="E1260" s="102" t="n">
        <v>4623.82</v>
      </c>
      <c r="F1260" s="94" t="n">
        <v>91</v>
      </c>
      <c r="G1260" s="102" t="n">
        <v>0</v>
      </c>
      <c r="H1260" s="94" t="n">
        <v>0</v>
      </c>
    </row>
    <row r="1261" ht="15" customHeight="1" s="82">
      <c r="A1261" s="94" t="inlineStr">
        <is>
          <t>102 - Orthopedic institutes</t>
        </is>
      </c>
      <c r="B1261" s="94" t="inlineStr">
        <is>
          <t>157464 מדיקל הצפון ב.מ-חורי</t>
        </is>
      </c>
      <c r="C1261" s="94" t="inlineStr">
        <is>
          <t>INV68471</t>
        </is>
      </c>
      <c r="D1261" s="94" t="inlineStr">
        <is>
          <t>INV</t>
        </is>
      </c>
      <c r="E1261" s="102" t="n">
        <v>0</v>
      </c>
      <c r="F1261" s="94" t="n">
        <v>0</v>
      </c>
      <c r="G1261" s="102" t="n">
        <v>4142.51</v>
      </c>
      <c r="H1261" s="94" t="n">
        <v>51</v>
      </c>
    </row>
    <row r="1262" ht="15" customHeight="1" s="82">
      <c r="A1262" s="94" t="inlineStr">
        <is>
          <t>102 - Orthopedic institutes</t>
        </is>
      </c>
      <c r="B1262" s="94" t="inlineStr">
        <is>
          <t>157464 מדיקל הצפון ב.מ-חורי</t>
        </is>
      </c>
      <c r="C1262" s="94" t="inlineStr">
        <is>
          <t>INV66383</t>
        </is>
      </c>
      <c r="D1262" s="94" t="inlineStr">
        <is>
          <t>INV</t>
        </is>
      </c>
      <c r="E1262" s="102" t="n">
        <v>3818.87</v>
      </c>
      <c r="F1262" s="94" t="n">
        <v>38</v>
      </c>
      <c r="G1262" s="102" t="n">
        <v>0</v>
      </c>
      <c r="H1262" s="94" t="n">
        <v>0</v>
      </c>
    </row>
    <row r="1263" ht="15" customHeight="1" s="82">
      <c r="A1263" s="94" t="inlineStr">
        <is>
          <t>102 - Orthopedic institutes</t>
        </is>
      </c>
      <c r="B1263" s="94" t="inlineStr">
        <is>
          <t>157464 מדיקל הצפון ב.מ-חורי</t>
        </is>
      </c>
      <c r="C1263" s="94" t="inlineStr">
        <is>
          <t>INV40837</t>
        </is>
      </c>
      <c r="D1263" s="94" t="inlineStr">
        <is>
          <t>INV</t>
        </is>
      </c>
      <c r="E1263" s="102" t="n">
        <v>3710.09</v>
      </c>
      <c r="F1263" s="94" t="n">
        <v>34</v>
      </c>
      <c r="G1263" s="102" t="n">
        <v>0</v>
      </c>
      <c r="H1263" s="94" t="n">
        <v>0</v>
      </c>
    </row>
    <row r="1264" ht="15" customHeight="1" s="82">
      <c r="A1264" s="94" t="inlineStr">
        <is>
          <t>102 - Orthopedic institutes</t>
        </is>
      </c>
      <c r="B1264" s="94" t="inlineStr">
        <is>
          <t>157464 מדיקל הצפון ב.מ-חורי</t>
        </is>
      </c>
      <c r="C1264" s="94" t="inlineStr">
        <is>
          <t>INV50501</t>
        </is>
      </c>
      <c r="D1264" s="94" t="inlineStr">
        <is>
          <t>INV</t>
        </is>
      </c>
      <c r="E1264" s="102" t="n">
        <v>3255.76</v>
      </c>
      <c r="F1264" s="94" t="n">
        <v>63</v>
      </c>
      <c r="G1264" s="102" t="n">
        <v>0</v>
      </c>
      <c r="H1264" s="94" t="n">
        <v>0</v>
      </c>
    </row>
    <row r="1265" ht="15" customHeight="1" s="82">
      <c r="A1265" s="94" t="inlineStr">
        <is>
          <t>102 - Orthopedic institutes</t>
        </is>
      </c>
      <c r="B1265" s="94" t="inlineStr">
        <is>
          <t>157464 מדיקל הצפון ב.מ-חורי</t>
        </is>
      </c>
      <c r="C1265" s="94" t="inlineStr">
        <is>
          <t>INV46582</t>
        </is>
      </c>
      <c r="D1265" s="94" t="inlineStr">
        <is>
          <t>INV</t>
        </is>
      </c>
      <c r="E1265" s="102" t="n">
        <v>3098.14</v>
      </c>
      <c r="F1265" s="94" t="n">
        <v>36</v>
      </c>
      <c r="G1265" s="102" t="n">
        <v>0</v>
      </c>
      <c r="H1265" s="94" t="n">
        <v>0</v>
      </c>
    </row>
    <row r="1266" ht="15" customHeight="1" s="82">
      <c r="A1266" s="94" t="inlineStr">
        <is>
          <t>102 - Orthopedic institutes</t>
        </is>
      </c>
      <c r="B1266" s="94" t="inlineStr">
        <is>
          <t>157464 מדיקל הצפון ב.מ-חורי</t>
        </is>
      </c>
      <c r="C1266" s="94" t="inlineStr">
        <is>
          <t>INV66745</t>
        </is>
      </c>
      <c r="D1266" s="94" t="inlineStr">
        <is>
          <t>INV</t>
        </is>
      </c>
      <c r="E1266" s="102" t="n">
        <v>2959.63</v>
      </c>
      <c r="F1266" s="94" t="n">
        <v>41</v>
      </c>
      <c r="G1266" s="102" t="n">
        <v>0</v>
      </c>
      <c r="H1266" s="94" t="n">
        <v>0</v>
      </c>
    </row>
    <row r="1267" ht="15" customHeight="1" s="82">
      <c r="A1267" s="94" t="inlineStr">
        <is>
          <t>102 - Orthopedic institutes</t>
        </is>
      </c>
      <c r="B1267" s="94" t="inlineStr">
        <is>
          <t>157464 מדיקל הצפון ב.מ-חורי</t>
        </is>
      </c>
      <c r="C1267" s="94" t="inlineStr">
        <is>
          <t>INV69234</t>
        </is>
      </c>
      <c r="D1267" s="94" t="inlineStr">
        <is>
          <t>INV</t>
        </is>
      </c>
      <c r="E1267" s="102" t="n">
        <v>0</v>
      </c>
      <c r="F1267" s="94" t="n">
        <v>0</v>
      </c>
      <c r="G1267" s="102" t="n">
        <v>2639.45</v>
      </c>
      <c r="H1267" s="94" t="n">
        <v>29</v>
      </c>
    </row>
    <row r="1268" ht="15" customHeight="1" s="82">
      <c r="A1268" s="94" t="inlineStr">
        <is>
          <t>102 - Orthopedic institutes</t>
        </is>
      </c>
      <c r="B1268" s="94" t="inlineStr">
        <is>
          <t>157464 מדיקל הצפון ב.מ-חורי</t>
        </is>
      </c>
      <c r="C1268" s="94" t="inlineStr">
        <is>
          <t>INV68700</t>
        </is>
      </c>
      <c r="D1268" s="94" t="inlineStr">
        <is>
          <t>INV</t>
        </is>
      </c>
      <c r="E1268" s="102" t="n">
        <v>0</v>
      </c>
      <c r="F1268" s="94" t="n">
        <v>0</v>
      </c>
      <c r="G1268" s="102" t="n">
        <v>2479.54</v>
      </c>
      <c r="H1268" s="94" t="n">
        <v>27</v>
      </c>
    </row>
    <row r="1269" ht="15" customHeight="1" s="82">
      <c r="A1269" s="94" t="inlineStr">
        <is>
          <t>102 - Orthopedic institutes</t>
        </is>
      </c>
      <c r="B1269" s="94" t="inlineStr">
        <is>
          <t>157464 מדיקל הצפון ב.מ-חורי</t>
        </is>
      </c>
      <c r="C1269" s="94" t="inlineStr">
        <is>
          <t>INV68857</t>
        </is>
      </c>
      <c r="D1269" s="94" t="inlineStr">
        <is>
          <t>INV</t>
        </is>
      </c>
      <c r="E1269" s="102" t="n">
        <v>0</v>
      </c>
      <c r="F1269" s="94" t="n">
        <v>0</v>
      </c>
      <c r="G1269" s="102" t="n">
        <v>2441.13</v>
      </c>
      <c r="H1269" s="94" t="n">
        <v>18</v>
      </c>
    </row>
    <row r="1270" ht="15" customHeight="1" s="82">
      <c r="A1270" s="94" t="inlineStr">
        <is>
          <t>102 - Orthopedic institutes</t>
        </is>
      </c>
      <c r="B1270" s="94" t="inlineStr">
        <is>
          <t>157464 מדיקל הצפון ב.מ-חורי</t>
        </is>
      </c>
      <c r="C1270" s="94" t="inlineStr">
        <is>
          <t>INV57100</t>
        </is>
      </c>
      <c r="D1270" s="94" t="inlineStr">
        <is>
          <t>INV</t>
        </is>
      </c>
      <c r="E1270" s="102" t="n">
        <v>2142.28</v>
      </c>
      <c r="F1270" s="94" t="n">
        <v>23</v>
      </c>
      <c r="G1270" s="102" t="n">
        <v>0</v>
      </c>
      <c r="H1270" s="94" t="n">
        <v>0</v>
      </c>
    </row>
    <row r="1271" ht="15" customHeight="1" s="82">
      <c r="A1271" s="94" t="inlineStr">
        <is>
          <t>102 - Orthopedic institutes</t>
        </is>
      </c>
      <c r="B1271" s="94" t="inlineStr">
        <is>
          <t>157464 מדיקל הצפון ב.מ-חורי</t>
        </is>
      </c>
      <c r="C1271" s="94" t="inlineStr">
        <is>
          <t>INV68871</t>
        </is>
      </c>
      <c r="D1271" s="94" t="inlineStr">
        <is>
          <t>INV</t>
        </is>
      </c>
      <c r="E1271" s="102" t="n">
        <v>0</v>
      </c>
      <c r="F1271" s="94" t="n">
        <v>0</v>
      </c>
      <c r="G1271" s="102" t="n">
        <v>2112.66</v>
      </c>
      <c r="H1271" s="94" t="n">
        <v>28</v>
      </c>
    </row>
    <row r="1272" ht="15" customHeight="1" s="82">
      <c r="A1272" s="94" t="inlineStr">
        <is>
          <t>102 - Orthopedic institutes</t>
        </is>
      </c>
      <c r="B1272" s="94" t="inlineStr">
        <is>
          <t>157464 מדיקל הצפון ב.מ-חורי</t>
        </is>
      </c>
      <c r="C1272" s="94" t="inlineStr">
        <is>
          <t>INV67010</t>
        </is>
      </c>
      <c r="D1272" s="94" t="inlineStr">
        <is>
          <t>INV</t>
        </is>
      </c>
      <c r="E1272" s="102" t="n">
        <v>1926.11</v>
      </c>
      <c r="F1272" s="94" t="n">
        <v>17</v>
      </c>
      <c r="G1272" s="102" t="n">
        <v>0</v>
      </c>
      <c r="H1272" s="94" t="n">
        <v>0</v>
      </c>
    </row>
    <row r="1273" ht="15" customHeight="1" s="82">
      <c r="A1273" s="94" t="inlineStr">
        <is>
          <t>102 - Orthopedic institutes</t>
        </is>
      </c>
      <c r="B1273" s="94" t="inlineStr">
        <is>
          <t>157464 מדיקל הצפון ב.מ-חורי</t>
        </is>
      </c>
      <c r="C1273" s="94" t="inlineStr">
        <is>
          <t>INV54556</t>
        </is>
      </c>
      <c r="D1273" s="94" t="inlineStr">
        <is>
          <t>INV</t>
        </is>
      </c>
      <c r="E1273" s="102" t="n">
        <v>1330.58</v>
      </c>
      <c r="F1273" s="94" t="n">
        <v>27</v>
      </c>
      <c r="G1273" s="102" t="n">
        <v>0</v>
      </c>
      <c r="H1273" s="94" t="n">
        <v>0</v>
      </c>
    </row>
    <row r="1274" ht="15" customHeight="1" s="82">
      <c r="A1274" s="94" t="inlineStr">
        <is>
          <t>102 - Orthopedic institutes</t>
        </is>
      </c>
      <c r="B1274" s="94" t="inlineStr">
        <is>
          <t>157464 מדיקל הצפון ב.מ-חורי</t>
        </is>
      </c>
      <c r="C1274" s="94" t="inlineStr">
        <is>
          <t>INV66998</t>
        </is>
      </c>
      <c r="D1274" s="94" t="inlineStr">
        <is>
          <t>INV</t>
        </is>
      </c>
      <c r="E1274" s="102" t="n">
        <v>1200.01</v>
      </c>
      <c r="F1274" s="94" t="n">
        <v>12</v>
      </c>
      <c r="G1274" s="102" t="n">
        <v>0</v>
      </c>
      <c r="H1274" s="94" t="n">
        <v>0</v>
      </c>
    </row>
    <row r="1275" ht="15" customHeight="1" s="82">
      <c r="A1275" s="94" t="inlineStr">
        <is>
          <t>102 - Orthopedic institutes</t>
        </is>
      </c>
      <c r="B1275" s="94" t="inlineStr">
        <is>
          <t>157464 מדיקל הצפון ב.מ-חורי</t>
        </is>
      </c>
      <c r="C1275" s="94" t="inlineStr">
        <is>
          <t>INV65862</t>
        </is>
      </c>
      <c r="D1275" s="94" t="inlineStr">
        <is>
          <t>INV</t>
        </is>
      </c>
      <c r="E1275" s="102" t="n">
        <v>1111.98</v>
      </c>
      <c r="F1275" s="94" t="n">
        <v>10</v>
      </c>
      <c r="G1275" s="102" t="n">
        <v>0</v>
      </c>
      <c r="H1275" s="94" t="n">
        <v>0</v>
      </c>
    </row>
    <row r="1276" ht="15" customHeight="1" s="82">
      <c r="A1276" s="94" t="inlineStr">
        <is>
          <t>102 - Orthopedic institutes</t>
        </is>
      </c>
      <c r="B1276" s="94" t="inlineStr">
        <is>
          <t>157464 מדיקל הצפון ב.מ-חורי</t>
        </is>
      </c>
      <c r="C1276" s="94" t="inlineStr">
        <is>
          <t>INV67632</t>
        </is>
      </c>
      <c r="D1276" s="94" t="inlineStr">
        <is>
          <t>INV</t>
        </is>
      </c>
      <c r="E1276" s="102" t="n">
        <v>0</v>
      </c>
      <c r="F1276" s="94" t="n">
        <v>0</v>
      </c>
      <c r="G1276" s="102" t="n">
        <v>1062.86</v>
      </c>
      <c r="H1276" s="94" t="n">
        <v>8</v>
      </c>
    </row>
    <row r="1277" ht="15" customHeight="1" s="82">
      <c r="A1277" s="94" t="inlineStr">
        <is>
          <t>102 - Orthopedic institutes</t>
        </is>
      </c>
      <c r="B1277" s="94" t="inlineStr">
        <is>
          <t>157464 מדיקל הצפון ב.מ-חורי</t>
        </is>
      </c>
      <c r="C1277" s="94" t="inlineStr">
        <is>
          <t>INV66332</t>
        </is>
      </c>
      <c r="D1277" s="94" t="inlineStr">
        <is>
          <t>INV</t>
        </is>
      </c>
      <c r="E1277" s="102" t="n">
        <v>740</v>
      </c>
      <c r="F1277" s="94" t="n">
        <v>5</v>
      </c>
      <c r="G1277" s="102" t="n">
        <v>0</v>
      </c>
      <c r="H1277" s="94" t="n">
        <v>0</v>
      </c>
    </row>
    <row r="1278" ht="15" customHeight="1" s="82">
      <c r="A1278" s="94" t="inlineStr">
        <is>
          <t>102 - Orthopedic institutes</t>
        </is>
      </c>
      <c r="B1278" s="94" t="inlineStr">
        <is>
          <t>157464 מדיקל הצפון ב.מ-חורי</t>
        </is>
      </c>
      <c r="C1278" s="94" t="inlineStr">
        <is>
          <t>INV55481</t>
        </is>
      </c>
      <c r="D1278" s="94" t="inlineStr">
        <is>
          <t>INV</t>
        </is>
      </c>
      <c r="E1278" s="102" t="n">
        <v>666.13</v>
      </c>
      <c r="F1278" s="94" t="n">
        <v>9</v>
      </c>
      <c r="G1278" s="102" t="n">
        <v>0</v>
      </c>
      <c r="H1278" s="94" t="n">
        <v>0</v>
      </c>
    </row>
    <row r="1279" ht="15" customHeight="1" s="82">
      <c r="A1279" s="94" t="inlineStr">
        <is>
          <t>102 - Orthopedic institutes</t>
        </is>
      </c>
      <c r="B1279" s="94" t="inlineStr">
        <is>
          <t>157464 מדיקל הצפון ב.מ-חורי</t>
        </is>
      </c>
      <c r="C1279" s="94" t="inlineStr">
        <is>
          <t>INV68020</t>
        </is>
      </c>
      <c r="D1279" s="94" t="inlineStr">
        <is>
          <t>INV</t>
        </is>
      </c>
      <c r="E1279" s="102" t="n">
        <v>0</v>
      </c>
      <c r="F1279" s="94" t="n">
        <v>0</v>
      </c>
      <c r="G1279" s="102" t="n">
        <v>519.99</v>
      </c>
      <c r="H1279" s="94" t="n">
        <v>4</v>
      </c>
    </row>
    <row r="1280" ht="15" customHeight="1" s="82">
      <c r="A1280" s="94" t="inlineStr">
        <is>
          <t>102 - Orthopedic institutes</t>
        </is>
      </c>
      <c r="B1280" s="94" t="inlineStr">
        <is>
          <t>157464 מדיקל הצפון ב.מ-חורי</t>
        </is>
      </c>
      <c r="C1280" s="94" t="inlineStr">
        <is>
          <t>INV66415</t>
        </is>
      </c>
      <c r="D1280" s="94" t="inlineStr">
        <is>
          <t>INV</t>
        </is>
      </c>
      <c r="E1280" s="102" t="n">
        <v>473.17</v>
      </c>
      <c r="F1280" s="94" t="n">
        <v>5</v>
      </c>
      <c r="G1280" s="102" t="n">
        <v>0</v>
      </c>
      <c r="H1280" s="94" t="n">
        <v>0</v>
      </c>
    </row>
    <row r="1281" ht="15" customHeight="1" s="82">
      <c r="A1281" s="94" t="inlineStr">
        <is>
          <t>102 - Orthopedic institutes</t>
        </is>
      </c>
      <c r="B1281" s="94" t="inlineStr">
        <is>
          <t>157464 מדיקל הצפון ב.מ-חורי</t>
        </is>
      </c>
      <c r="C1281" s="94" t="inlineStr">
        <is>
          <t>INV66753</t>
        </is>
      </c>
      <c r="D1281" s="94" t="inlineStr">
        <is>
          <t>INV</t>
        </is>
      </c>
      <c r="E1281" s="102" t="n">
        <v>399.06</v>
      </c>
      <c r="F1281" s="94" t="n">
        <v>6</v>
      </c>
      <c r="G1281" s="102" t="n">
        <v>0</v>
      </c>
      <c r="H1281" s="94" t="n">
        <v>0</v>
      </c>
    </row>
    <row r="1282" ht="15" customHeight="1" s="82">
      <c r="A1282" s="94" t="inlineStr">
        <is>
          <t>102 - Orthopedic institutes</t>
        </is>
      </c>
      <c r="B1282" s="94" t="inlineStr">
        <is>
          <t>157464 מדיקל הצפון ב.מ-חורי</t>
        </is>
      </c>
      <c r="C1282" s="94" t="inlineStr">
        <is>
          <t>INV68735</t>
        </is>
      </c>
      <c r="D1282" s="94" t="inlineStr">
        <is>
          <t>INV</t>
        </is>
      </c>
      <c r="E1282" s="102" t="n">
        <v>0</v>
      </c>
      <c r="F1282" s="94" t="n">
        <v>0</v>
      </c>
      <c r="G1282" s="102" t="n">
        <v>385</v>
      </c>
      <c r="H1282" s="94" t="n">
        <v>4</v>
      </c>
    </row>
    <row r="1283" ht="15" customHeight="1" s="82">
      <c r="A1283" s="94" t="inlineStr">
        <is>
          <t>102 - Orthopedic institutes</t>
        </is>
      </c>
      <c r="B1283" s="94" t="inlineStr">
        <is>
          <t>157464 מדיקל הצפון ב.מ-חורי</t>
        </is>
      </c>
      <c r="C1283" s="94" t="inlineStr">
        <is>
          <t>INV66417</t>
        </is>
      </c>
      <c r="D1283" s="94" t="inlineStr">
        <is>
          <t>INV</t>
        </is>
      </c>
      <c r="E1283" s="102" t="n">
        <v>0.01</v>
      </c>
      <c r="F1283" s="94" t="n">
        <v>1</v>
      </c>
      <c r="G1283" s="102" t="n">
        <v>0</v>
      </c>
      <c r="H1283" s="94" t="n">
        <v>0</v>
      </c>
    </row>
    <row r="1284" ht="15" customHeight="1" s="82">
      <c r="A1284" s="94" t="inlineStr">
        <is>
          <t>102 - Orthopedic institutes</t>
        </is>
      </c>
      <c r="B1284" s="94" t="inlineStr">
        <is>
          <t>157464 מדיקל הצפון ב.מ-חורי</t>
        </is>
      </c>
      <c r="C1284" s="94" t="inlineStr">
        <is>
          <t>CM43840</t>
        </is>
      </c>
      <c r="D1284" s="94" t="inlineStr">
        <is>
          <t>CM</t>
        </is>
      </c>
      <c r="E1284" s="102" t="n">
        <v>-70</v>
      </c>
      <c r="F1284" s="94" t="n">
        <v>-1</v>
      </c>
      <c r="G1284" s="102" t="n">
        <v>0</v>
      </c>
      <c r="H1284" s="94" t="n">
        <v>0</v>
      </c>
    </row>
    <row r="1285" ht="15" customHeight="1" s="82">
      <c r="A1285" s="94" t="inlineStr">
        <is>
          <t>102 - Orthopedic institutes</t>
        </is>
      </c>
      <c r="B1285" s="94" t="inlineStr">
        <is>
          <t>157464 מדיקל הצפון ב.מ-חורי</t>
        </is>
      </c>
      <c r="C1285" s="94" t="inlineStr">
        <is>
          <t>CM43839</t>
        </is>
      </c>
      <c r="D1285" s="94" t="inlineStr">
        <is>
          <t>CM</t>
        </is>
      </c>
      <c r="E1285" s="102" t="n">
        <v>-70</v>
      </c>
      <c r="F1285" s="94" t="n">
        <v>-1</v>
      </c>
      <c r="G1285" s="102" t="n">
        <v>0</v>
      </c>
      <c r="H1285" s="94" t="n">
        <v>0</v>
      </c>
    </row>
    <row r="1286" ht="15" customHeight="1" s="82">
      <c r="A1286" s="94" t="inlineStr">
        <is>
          <t>102 - Orthopedic institutes</t>
        </is>
      </c>
      <c r="B1286" s="94" t="inlineStr">
        <is>
          <t>157521 נזרין פארם-ראוי אורתופדיה</t>
        </is>
      </c>
      <c r="C1286" s="94" t="inlineStr">
        <is>
          <t>INV57091</t>
        </is>
      </c>
      <c r="D1286" s="94" t="inlineStr">
        <is>
          <t>INV</t>
        </is>
      </c>
      <c r="E1286" s="102" t="n">
        <v>1265.86</v>
      </c>
      <c r="F1286" s="94" t="n">
        <v>22</v>
      </c>
      <c r="G1286" s="102" t="n">
        <v>0</v>
      </c>
      <c r="H1286" s="94" t="n">
        <v>0</v>
      </c>
    </row>
    <row r="1287" ht="15" customHeight="1" s="82">
      <c r="A1287" s="94" t="inlineStr">
        <is>
          <t>102 - Orthopedic institutes</t>
        </is>
      </c>
      <c r="B1287" s="94" t="inlineStr">
        <is>
          <t>157521 נזרין פארם-ראוי אורתופדיה</t>
        </is>
      </c>
      <c r="C1287" s="94" t="inlineStr">
        <is>
          <t>INV68929</t>
        </is>
      </c>
      <c r="D1287" s="94" t="inlineStr">
        <is>
          <t>INV</t>
        </is>
      </c>
      <c r="E1287" s="102" t="n">
        <v>0</v>
      </c>
      <c r="F1287" s="94" t="n">
        <v>0</v>
      </c>
      <c r="G1287" s="102" t="n">
        <v>1114</v>
      </c>
      <c r="H1287" s="94" t="n">
        <v>23</v>
      </c>
    </row>
    <row r="1288" ht="15" customHeight="1" s="82">
      <c r="A1288" s="94" t="inlineStr">
        <is>
          <t>102 - Orthopedic institutes</t>
        </is>
      </c>
      <c r="B1288" s="94" t="inlineStr">
        <is>
          <t>157521 נזרין פארם-ראוי אורתופדיה</t>
        </is>
      </c>
      <c r="C1288" s="94" t="inlineStr">
        <is>
          <t>INV67759</t>
        </is>
      </c>
      <c r="D1288" s="94" t="inlineStr">
        <is>
          <t>INV</t>
        </is>
      </c>
      <c r="E1288" s="102" t="n">
        <v>0</v>
      </c>
      <c r="F1288" s="94" t="n">
        <v>0</v>
      </c>
      <c r="G1288" s="102" t="n">
        <v>1069.65</v>
      </c>
      <c r="H1288" s="94" t="n">
        <v>7</v>
      </c>
    </row>
    <row r="1289" ht="15" customHeight="1" s="82">
      <c r="A1289" s="94" t="inlineStr">
        <is>
          <t>102 - Orthopedic institutes</t>
        </is>
      </c>
      <c r="B1289" s="94" t="inlineStr">
        <is>
          <t>157521 נזרין פארם-ראוי אורתופדיה</t>
        </is>
      </c>
      <c r="C1289" s="94" t="inlineStr">
        <is>
          <t>INV57729</t>
        </is>
      </c>
      <c r="D1289" s="94" t="inlineStr">
        <is>
          <t>INV</t>
        </is>
      </c>
      <c r="E1289" s="102" t="n">
        <v>943.97</v>
      </c>
      <c r="F1289" s="94" t="n">
        <v>17</v>
      </c>
      <c r="G1289" s="102" t="n">
        <v>0</v>
      </c>
      <c r="H1289" s="94" t="n">
        <v>0</v>
      </c>
    </row>
    <row r="1290" ht="15" customHeight="1" s="82">
      <c r="A1290" s="94" t="inlineStr">
        <is>
          <t>102 - Orthopedic institutes</t>
        </is>
      </c>
      <c r="B1290" s="94" t="inlineStr">
        <is>
          <t>157521 נזרין פארם-ראוי אורתופדיה</t>
        </is>
      </c>
      <c r="C1290" s="94" t="inlineStr">
        <is>
          <t>INV59549</t>
        </is>
      </c>
      <c r="D1290" s="94" t="inlineStr">
        <is>
          <t>INV</t>
        </is>
      </c>
      <c r="E1290" s="102" t="n">
        <v>943.58</v>
      </c>
      <c r="F1290" s="94" t="n">
        <v>25</v>
      </c>
      <c r="G1290" s="102" t="n">
        <v>0</v>
      </c>
      <c r="H1290" s="94" t="n">
        <v>0</v>
      </c>
    </row>
    <row r="1291" ht="15" customHeight="1" s="82">
      <c r="A1291" s="94" t="inlineStr">
        <is>
          <t>102 - Orthopedic institutes</t>
        </is>
      </c>
      <c r="B1291" s="94" t="inlineStr">
        <is>
          <t>157521 נזרין פארם-ראוי אורתופדיה</t>
        </is>
      </c>
      <c r="C1291" s="94" t="inlineStr">
        <is>
          <t>INV68299</t>
        </is>
      </c>
      <c r="D1291" s="94" t="inlineStr">
        <is>
          <t>INV</t>
        </is>
      </c>
      <c r="E1291" s="102" t="n">
        <v>0</v>
      </c>
      <c r="F1291" s="94" t="n">
        <v>0</v>
      </c>
      <c r="G1291" s="102" t="n">
        <v>877.73</v>
      </c>
      <c r="H1291" s="94" t="n">
        <v>17</v>
      </c>
    </row>
    <row r="1292" ht="15" customHeight="1" s="82">
      <c r="A1292" s="94" t="inlineStr">
        <is>
          <t>102 - Orthopedic institutes</t>
        </is>
      </c>
      <c r="B1292" s="94" t="inlineStr">
        <is>
          <t>157521 נזרין פארם-ראוי אורתופדיה</t>
        </is>
      </c>
      <c r="C1292" s="94" t="inlineStr">
        <is>
          <t>INV63539</t>
        </is>
      </c>
      <c r="D1292" s="94" t="inlineStr">
        <is>
          <t>INV</t>
        </is>
      </c>
      <c r="E1292" s="102" t="n">
        <v>842.65</v>
      </c>
      <c r="F1292" s="94" t="n">
        <v>39</v>
      </c>
      <c r="G1292" s="102" t="n">
        <v>0</v>
      </c>
      <c r="H1292" s="94" t="n">
        <v>0</v>
      </c>
    </row>
    <row r="1293" ht="15" customHeight="1" s="82">
      <c r="A1293" s="94" t="inlineStr">
        <is>
          <t>102 - Orthopedic institutes</t>
        </is>
      </c>
      <c r="B1293" s="94" t="inlineStr">
        <is>
          <t>157521 נזרין פארם-ראוי אורתופדיה</t>
        </is>
      </c>
      <c r="C1293" s="94" t="inlineStr">
        <is>
          <t>INV68806</t>
        </is>
      </c>
      <c r="D1293" s="94" t="inlineStr">
        <is>
          <t>INV</t>
        </is>
      </c>
      <c r="E1293" s="102" t="n">
        <v>0</v>
      </c>
      <c r="F1293" s="94" t="n">
        <v>0</v>
      </c>
      <c r="G1293" s="102" t="n">
        <v>819.65</v>
      </c>
      <c r="H1293" s="94" t="n">
        <v>7</v>
      </c>
    </row>
    <row r="1294" ht="15" customHeight="1" s="82">
      <c r="A1294" s="94" t="inlineStr">
        <is>
          <t>102 - Orthopedic institutes</t>
        </is>
      </c>
      <c r="B1294" s="94" t="inlineStr">
        <is>
          <t>157521 נזרין פארם-ראוי אורתופדיה</t>
        </is>
      </c>
      <c r="C1294" s="94" t="inlineStr">
        <is>
          <t>INV46580</t>
        </is>
      </c>
      <c r="D1294" s="94" t="inlineStr">
        <is>
          <t>INV</t>
        </is>
      </c>
      <c r="E1294" s="102" t="n">
        <v>814.64</v>
      </c>
      <c r="F1294" s="94" t="n">
        <v>10</v>
      </c>
      <c r="G1294" s="102" t="n">
        <v>0</v>
      </c>
      <c r="H1294" s="94" t="n">
        <v>0</v>
      </c>
    </row>
    <row r="1295" ht="15" customHeight="1" s="82">
      <c r="A1295" s="94" t="inlineStr">
        <is>
          <t>102 - Orthopedic institutes</t>
        </is>
      </c>
      <c r="B1295" s="94" t="inlineStr">
        <is>
          <t>157521 נזרין פארם-ראוי אורתופדיה</t>
        </is>
      </c>
      <c r="C1295" s="94" t="inlineStr">
        <is>
          <t>INV52142</t>
        </is>
      </c>
      <c r="D1295" s="94" t="inlineStr">
        <is>
          <t>INV</t>
        </is>
      </c>
      <c r="E1295" s="102" t="n">
        <v>791.03</v>
      </c>
      <c r="F1295" s="94" t="n">
        <v>15</v>
      </c>
      <c r="G1295" s="102" t="n">
        <v>0</v>
      </c>
      <c r="H1295" s="94" t="n">
        <v>0</v>
      </c>
    </row>
    <row r="1296" ht="15" customHeight="1" s="82">
      <c r="A1296" s="94" t="inlineStr">
        <is>
          <t>102 - Orthopedic institutes</t>
        </is>
      </c>
      <c r="B1296" s="94" t="inlineStr">
        <is>
          <t>157521 נזרין פארם-ראוי אורתופדיה</t>
        </is>
      </c>
      <c r="C1296" s="94" t="inlineStr">
        <is>
          <t>INV66588</t>
        </is>
      </c>
      <c r="D1296" s="94" t="inlineStr">
        <is>
          <t>INV</t>
        </is>
      </c>
      <c r="E1296" s="102" t="n">
        <v>783.3099999999999</v>
      </c>
      <c r="F1296" s="94" t="n">
        <v>11</v>
      </c>
      <c r="G1296" s="102" t="n">
        <v>0</v>
      </c>
      <c r="H1296" s="94" t="n">
        <v>0</v>
      </c>
    </row>
    <row r="1297" ht="15" customHeight="1" s="82">
      <c r="A1297" s="94" t="inlineStr">
        <is>
          <t>102 - Orthopedic institutes</t>
        </is>
      </c>
      <c r="B1297" s="94" t="inlineStr">
        <is>
          <t>157521 נזרין פארם-ראוי אורתופדיה</t>
        </is>
      </c>
      <c r="C1297" s="94" t="inlineStr">
        <is>
          <t>INV65729</t>
        </is>
      </c>
      <c r="D1297" s="94" t="inlineStr">
        <is>
          <t>INV</t>
        </is>
      </c>
      <c r="E1297" s="102" t="n">
        <v>762.3099999999999</v>
      </c>
      <c r="F1297" s="94" t="n">
        <v>13</v>
      </c>
      <c r="G1297" s="102" t="n">
        <v>0</v>
      </c>
      <c r="H1297" s="94" t="n">
        <v>0</v>
      </c>
    </row>
    <row r="1298" ht="15" customHeight="1" s="82">
      <c r="A1298" s="94" t="inlineStr">
        <is>
          <t>102 - Orthopedic institutes</t>
        </is>
      </c>
      <c r="B1298" s="94" t="inlineStr">
        <is>
          <t>157521 נזרין פארם-ראוי אורתופדיה</t>
        </is>
      </c>
      <c r="C1298" s="94" t="inlineStr">
        <is>
          <t>INV65656</t>
        </is>
      </c>
      <c r="D1298" s="94" t="inlineStr">
        <is>
          <t>INV</t>
        </is>
      </c>
      <c r="E1298" s="102" t="n">
        <v>762.3099999999999</v>
      </c>
      <c r="F1298" s="94" t="n">
        <v>13</v>
      </c>
      <c r="G1298" s="102" t="n">
        <v>0</v>
      </c>
      <c r="H1298" s="94" t="n">
        <v>0</v>
      </c>
    </row>
    <row r="1299" ht="15" customHeight="1" s="82">
      <c r="A1299" s="94" t="inlineStr">
        <is>
          <t>102 - Orthopedic institutes</t>
        </is>
      </c>
      <c r="B1299" s="94" t="inlineStr">
        <is>
          <t>157521 נזרין פארם-ראוי אורתופדיה</t>
        </is>
      </c>
      <c r="C1299" s="94" t="inlineStr">
        <is>
          <t>INV67337</t>
        </is>
      </c>
      <c r="D1299" s="94" t="inlineStr">
        <is>
          <t>INV</t>
        </is>
      </c>
      <c r="E1299" s="102" t="n">
        <v>0</v>
      </c>
      <c r="F1299" s="94" t="n">
        <v>0</v>
      </c>
      <c r="G1299" s="102" t="n">
        <v>742.36</v>
      </c>
      <c r="H1299" s="94" t="n">
        <v>6</v>
      </c>
    </row>
    <row r="1300" ht="15" customHeight="1" s="82">
      <c r="A1300" s="94" t="inlineStr">
        <is>
          <t>102 - Orthopedic institutes</t>
        </is>
      </c>
      <c r="B1300" s="94" t="inlineStr">
        <is>
          <t>157521 נזרין פארם-ראוי אורתופדיה</t>
        </is>
      </c>
      <c r="C1300" s="94" t="inlineStr">
        <is>
          <t>INV67061</t>
        </is>
      </c>
      <c r="D1300" s="94" t="inlineStr">
        <is>
          <t>INV</t>
        </is>
      </c>
      <c r="E1300" s="102" t="n">
        <v>709.99</v>
      </c>
      <c r="F1300" s="94" t="n">
        <v>13</v>
      </c>
      <c r="G1300" s="102" t="n">
        <v>0</v>
      </c>
      <c r="H1300" s="94" t="n">
        <v>0</v>
      </c>
    </row>
    <row r="1301" ht="15" customHeight="1" s="82">
      <c r="A1301" s="94" t="inlineStr">
        <is>
          <t>102 - Orthopedic institutes</t>
        </is>
      </c>
      <c r="B1301" s="94" t="inlineStr">
        <is>
          <t>157521 נזרין פארם-ראוי אורתופדיה</t>
        </is>
      </c>
      <c r="C1301" s="94" t="inlineStr">
        <is>
          <t>INV69205</t>
        </is>
      </c>
      <c r="D1301" s="94" t="inlineStr">
        <is>
          <t>INV</t>
        </is>
      </c>
      <c r="E1301" s="102" t="n">
        <v>0</v>
      </c>
      <c r="F1301" s="94" t="n">
        <v>0</v>
      </c>
      <c r="G1301" s="102" t="n">
        <v>609.36</v>
      </c>
      <c r="H1301" s="94" t="n">
        <v>7</v>
      </c>
    </row>
    <row r="1302" ht="15" customHeight="1" s="82">
      <c r="A1302" s="94" t="inlineStr">
        <is>
          <t>102 - Orthopedic institutes</t>
        </is>
      </c>
      <c r="B1302" s="94" t="inlineStr">
        <is>
          <t>157521 נזרין פארם-ראוי אורתופדיה</t>
        </is>
      </c>
      <c r="C1302" s="94" t="inlineStr">
        <is>
          <t>INV40690</t>
        </is>
      </c>
      <c r="D1302" s="94" t="inlineStr">
        <is>
          <t>INV</t>
        </is>
      </c>
      <c r="E1302" s="102" t="n">
        <v>589.87</v>
      </c>
      <c r="F1302" s="94" t="n">
        <v>5</v>
      </c>
      <c r="G1302" s="102" t="n">
        <v>0</v>
      </c>
      <c r="H1302" s="94" t="n">
        <v>0</v>
      </c>
    </row>
    <row r="1303" ht="15" customHeight="1" s="82">
      <c r="A1303" s="94" t="inlineStr">
        <is>
          <t>102 - Orthopedic institutes</t>
        </is>
      </c>
      <c r="B1303" s="94" t="inlineStr">
        <is>
          <t>157521 נזרין פארם-ראוי אורתופדיה</t>
        </is>
      </c>
      <c r="C1303" s="94" t="inlineStr">
        <is>
          <t>INV53253</t>
        </is>
      </c>
      <c r="D1303" s="94" t="inlineStr">
        <is>
          <t>INV</t>
        </is>
      </c>
      <c r="E1303" s="102" t="n">
        <v>544.6</v>
      </c>
      <c r="F1303" s="94" t="n">
        <v>10</v>
      </c>
      <c r="G1303" s="102" t="n">
        <v>0</v>
      </c>
      <c r="H1303" s="94" t="n">
        <v>0</v>
      </c>
    </row>
    <row r="1304" ht="15" customHeight="1" s="82">
      <c r="A1304" s="94" t="inlineStr">
        <is>
          <t>102 - Orthopedic institutes</t>
        </is>
      </c>
      <c r="B1304" s="94" t="inlineStr">
        <is>
          <t>157521 נזרין פארם-ראוי אורתופדיה</t>
        </is>
      </c>
      <c r="C1304" s="94" t="inlineStr">
        <is>
          <t>INV68810</t>
        </is>
      </c>
      <c r="D1304" s="94" t="inlineStr">
        <is>
          <t>INV</t>
        </is>
      </c>
      <c r="E1304" s="102" t="n">
        <v>0</v>
      </c>
      <c r="F1304" s="94" t="n">
        <v>0</v>
      </c>
      <c r="G1304" s="102" t="n">
        <v>540.01</v>
      </c>
      <c r="H1304" s="94" t="n">
        <v>10</v>
      </c>
    </row>
    <row r="1305" ht="15" customHeight="1" s="82">
      <c r="A1305" s="94" t="inlineStr">
        <is>
          <t>102 - Orthopedic institutes</t>
        </is>
      </c>
      <c r="B1305" s="94" t="inlineStr">
        <is>
          <t>157521 נזרין פארם-ראוי אורתופדיה</t>
        </is>
      </c>
      <c r="C1305" s="94" t="inlineStr">
        <is>
          <t>INV62969</t>
        </is>
      </c>
      <c r="D1305" s="94" t="inlineStr">
        <is>
          <t>INV</t>
        </is>
      </c>
      <c r="E1305" s="102" t="n">
        <v>537.16</v>
      </c>
      <c r="F1305" s="94" t="n">
        <v>10</v>
      </c>
      <c r="G1305" s="102" t="n">
        <v>0</v>
      </c>
      <c r="H1305" s="94" t="n">
        <v>0</v>
      </c>
    </row>
    <row r="1306" ht="15" customHeight="1" s="82">
      <c r="A1306" s="94" t="inlineStr">
        <is>
          <t>102 - Orthopedic institutes</t>
        </is>
      </c>
      <c r="B1306" s="94" t="inlineStr">
        <is>
          <t>157521 נזרין פארם-ראוי אורתופדיה</t>
        </is>
      </c>
      <c r="C1306" s="94" t="inlineStr">
        <is>
          <t>INV55292</t>
        </is>
      </c>
      <c r="D1306" s="94" t="inlineStr">
        <is>
          <t>INV</t>
        </is>
      </c>
      <c r="E1306" s="102" t="n">
        <v>524.89</v>
      </c>
      <c r="F1306" s="94" t="n">
        <v>15</v>
      </c>
      <c r="G1306" s="102" t="n">
        <v>0</v>
      </c>
      <c r="H1306" s="94" t="n">
        <v>0</v>
      </c>
    </row>
    <row r="1307" ht="15" customHeight="1" s="82">
      <c r="A1307" s="94" t="inlineStr">
        <is>
          <t>102 - Orthopedic institutes</t>
        </is>
      </c>
      <c r="B1307" s="94" t="inlineStr">
        <is>
          <t>157521 נזרין פארם-ראוי אורתופדיה</t>
        </is>
      </c>
      <c r="C1307" s="94" t="inlineStr">
        <is>
          <t>INV68881</t>
        </is>
      </c>
      <c r="D1307" s="94" t="inlineStr">
        <is>
          <t>INV</t>
        </is>
      </c>
      <c r="E1307" s="102" t="n">
        <v>0</v>
      </c>
      <c r="F1307" s="94" t="n">
        <v>0</v>
      </c>
      <c r="G1307" s="102" t="n">
        <v>520</v>
      </c>
      <c r="H1307" s="94" t="n">
        <v>2</v>
      </c>
    </row>
    <row r="1308" ht="15" customHeight="1" s="82">
      <c r="A1308" s="94" t="inlineStr">
        <is>
          <t>102 - Orthopedic institutes</t>
        </is>
      </c>
      <c r="B1308" s="94" t="inlineStr">
        <is>
          <t>157521 נזרין פארם-ראוי אורתופדיה</t>
        </is>
      </c>
      <c r="C1308" s="94" t="inlineStr">
        <is>
          <t>INV65416</t>
        </is>
      </c>
      <c r="D1308" s="94" t="inlineStr">
        <is>
          <t>INV</t>
        </is>
      </c>
      <c r="E1308" s="102" t="n">
        <v>509.98</v>
      </c>
      <c r="F1308" s="94" t="n">
        <v>6</v>
      </c>
      <c r="G1308" s="102" t="n">
        <v>0</v>
      </c>
      <c r="H1308" s="94" t="n">
        <v>0</v>
      </c>
    </row>
    <row r="1309" ht="15" customHeight="1" s="82">
      <c r="A1309" s="94" t="inlineStr">
        <is>
          <t>102 - Orthopedic institutes</t>
        </is>
      </c>
      <c r="B1309" s="94" t="inlineStr">
        <is>
          <t>157521 נזרין פארם-ראוי אורתופדיה</t>
        </is>
      </c>
      <c r="C1309" s="94" t="inlineStr">
        <is>
          <t>INV68955</t>
        </is>
      </c>
      <c r="D1309" s="94" t="inlineStr">
        <is>
          <t>INV</t>
        </is>
      </c>
      <c r="E1309" s="102" t="n">
        <v>0</v>
      </c>
      <c r="F1309" s="94" t="n">
        <v>0</v>
      </c>
      <c r="G1309" s="102" t="n">
        <v>479.99</v>
      </c>
      <c r="H1309" s="94" t="n">
        <v>3</v>
      </c>
    </row>
    <row r="1310" ht="15" customHeight="1" s="82">
      <c r="A1310" s="94" t="inlineStr">
        <is>
          <t>102 - Orthopedic institutes</t>
        </is>
      </c>
      <c r="B1310" s="94" t="inlineStr">
        <is>
          <t>157521 נזרין פארם-ראוי אורתופדיה</t>
        </is>
      </c>
      <c r="C1310" s="94" t="inlineStr">
        <is>
          <t>INV68947</t>
        </is>
      </c>
      <c r="D1310" s="94" t="inlineStr">
        <is>
          <t>INV</t>
        </is>
      </c>
      <c r="E1310" s="102" t="n">
        <v>0</v>
      </c>
      <c r="F1310" s="94" t="n">
        <v>0</v>
      </c>
      <c r="G1310" s="102" t="n">
        <v>479.99</v>
      </c>
      <c r="H1310" s="94" t="n">
        <v>3</v>
      </c>
    </row>
    <row r="1311" ht="15" customHeight="1" s="82">
      <c r="A1311" s="94" t="inlineStr">
        <is>
          <t>102 - Orthopedic institutes</t>
        </is>
      </c>
      <c r="B1311" s="94" t="inlineStr">
        <is>
          <t>157521 נזרין פארם-ראוי אורתופדיה</t>
        </is>
      </c>
      <c r="C1311" s="94" t="inlineStr">
        <is>
          <t>INV68663</t>
        </is>
      </c>
      <c r="D1311" s="94" t="inlineStr">
        <is>
          <t>INV</t>
        </is>
      </c>
      <c r="E1311" s="102" t="n">
        <v>0</v>
      </c>
      <c r="F1311" s="94" t="n">
        <v>0</v>
      </c>
      <c r="G1311" s="102" t="n">
        <v>454.89</v>
      </c>
      <c r="H1311" s="94" t="n">
        <v>10</v>
      </c>
    </row>
    <row r="1312" ht="15" customHeight="1" s="82">
      <c r="A1312" s="94" t="inlineStr">
        <is>
          <t>102 - Orthopedic institutes</t>
        </is>
      </c>
      <c r="B1312" s="94" t="inlineStr">
        <is>
          <t>157521 נזרין פארם-ראוי אורתופדיה</t>
        </is>
      </c>
      <c r="C1312" s="94" t="inlineStr">
        <is>
          <t>INV50512</t>
        </is>
      </c>
      <c r="D1312" s="94" t="inlineStr">
        <is>
          <t>INV</t>
        </is>
      </c>
      <c r="E1312" s="102" t="n">
        <v>443.1</v>
      </c>
      <c r="F1312" s="94" t="n">
        <v>13</v>
      </c>
      <c r="G1312" s="102" t="n">
        <v>0</v>
      </c>
      <c r="H1312" s="94" t="n">
        <v>0</v>
      </c>
    </row>
    <row r="1313" ht="15" customHeight="1" s="82">
      <c r="A1313" s="94" t="inlineStr">
        <is>
          <t>102 - Orthopedic institutes</t>
        </is>
      </c>
      <c r="B1313" s="94" t="inlineStr">
        <is>
          <t>157521 נזרין פארם-ראוי אורתופדיה</t>
        </is>
      </c>
      <c r="C1313" s="94" t="inlineStr">
        <is>
          <t>INV43580</t>
        </is>
      </c>
      <c r="D1313" s="94" t="inlineStr">
        <is>
          <t>INV</t>
        </is>
      </c>
      <c r="E1313" s="102" t="n">
        <v>419.65</v>
      </c>
      <c r="F1313" s="94" t="n">
        <v>13</v>
      </c>
      <c r="G1313" s="102" t="n">
        <v>0</v>
      </c>
      <c r="H1313" s="94" t="n">
        <v>0</v>
      </c>
    </row>
    <row r="1314" ht="15" customHeight="1" s="82">
      <c r="A1314" s="94" t="inlineStr">
        <is>
          <t>102 - Orthopedic institutes</t>
        </is>
      </c>
      <c r="B1314" s="94" t="inlineStr">
        <is>
          <t>157521 נזרין פארם-ראוי אורתופדיה</t>
        </is>
      </c>
      <c r="C1314" s="94" t="inlineStr">
        <is>
          <t>INV41392</t>
        </is>
      </c>
      <c r="D1314" s="94" t="inlineStr">
        <is>
          <t>INV</t>
        </is>
      </c>
      <c r="E1314" s="102" t="n">
        <v>410.38</v>
      </c>
      <c r="F1314" s="94" t="n">
        <v>7</v>
      </c>
      <c r="G1314" s="102" t="n">
        <v>0</v>
      </c>
      <c r="H1314" s="94" t="n">
        <v>0</v>
      </c>
    </row>
    <row r="1315" ht="15" customHeight="1" s="82">
      <c r="A1315" s="94" t="inlineStr">
        <is>
          <t>102 - Orthopedic institutes</t>
        </is>
      </c>
      <c r="B1315" s="94" t="inlineStr">
        <is>
          <t>157521 נזרין פארם-ראוי אורתופדיה</t>
        </is>
      </c>
      <c r="C1315" s="94" t="inlineStr">
        <is>
          <t>INV69028</t>
        </is>
      </c>
      <c r="D1315" s="94" t="inlineStr">
        <is>
          <t>INV</t>
        </is>
      </c>
      <c r="E1315" s="102" t="n">
        <v>0</v>
      </c>
      <c r="F1315" s="94" t="n">
        <v>0</v>
      </c>
      <c r="G1315" s="102" t="n">
        <v>360.99</v>
      </c>
      <c r="H1315" s="94" t="n">
        <v>5</v>
      </c>
    </row>
    <row r="1316" ht="15" customHeight="1" s="82">
      <c r="A1316" s="94" t="inlineStr">
        <is>
          <t>102 - Orthopedic institutes</t>
        </is>
      </c>
      <c r="B1316" s="94" t="inlineStr">
        <is>
          <t>157521 נזרין פארם-ראוי אורתופדיה</t>
        </is>
      </c>
      <c r="C1316" s="94" t="inlineStr">
        <is>
          <t>INV42274</t>
        </is>
      </c>
      <c r="D1316" s="94" t="inlineStr">
        <is>
          <t>INV</t>
        </is>
      </c>
      <c r="E1316" s="102" t="n">
        <v>337.77</v>
      </c>
      <c r="F1316" s="94" t="n">
        <v>7</v>
      </c>
      <c r="G1316" s="102" t="n">
        <v>0</v>
      </c>
      <c r="H1316" s="94" t="n">
        <v>0</v>
      </c>
    </row>
    <row r="1317" ht="15" customHeight="1" s="82">
      <c r="A1317" s="94" t="inlineStr">
        <is>
          <t>102 - Orthopedic institutes</t>
        </is>
      </c>
      <c r="B1317" s="94" t="inlineStr">
        <is>
          <t>157521 נזרין פארם-ראוי אורתופדיה</t>
        </is>
      </c>
      <c r="C1317" s="94" t="inlineStr">
        <is>
          <t>CM43613</t>
        </is>
      </c>
      <c r="D1317" s="94" t="inlineStr">
        <is>
          <t>CM</t>
        </is>
      </c>
      <c r="E1317" s="102" t="n">
        <v>-258</v>
      </c>
      <c r="F1317" s="94" t="n">
        <v>-2</v>
      </c>
      <c r="G1317" s="102" t="n">
        <v>0</v>
      </c>
      <c r="H1317" s="94" t="n">
        <v>0</v>
      </c>
    </row>
    <row r="1318" ht="15" customHeight="1" s="82">
      <c r="A1318" s="94" t="inlineStr">
        <is>
          <t>102 - Orthopedic institutes</t>
        </is>
      </c>
      <c r="B1318" s="94" t="inlineStr">
        <is>
          <t>157521 נזרין פארם-ראוי אורתופדיה</t>
        </is>
      </c>
      <c r="C1318" s="94" t="inlineStr">
        <is>
          <t>CM43816</t>
        </is>
      </c>
      <c r="D1318" s="94" t="inlineStr">
        <is>
          <t>CM</t>
        </is>
      </c>
      <c r="E1318" s="102" t="n">
        <v>-319.99</v>
      </c>
      <c r="F1318" s="94" t="n">
        <v>-2</v>
      </c>
      <c r="G1318" s="102" t="n">
        <v>0</v>
      </c>
      <c r="H1318" s="94" t="n">
        <v>0</v>
      </c>
    </row>
    <row r="1319" ht="15" customHeight="1" s="82">
      <c r="A1319" s="94" t="inlineStr">
        <is>
          <t>102 - Orthopedic institutes</t>
        </is>
      </c>
      <c r="B1319" s="94" t="inlineStr">
        <is>
          <t>157521 נזרין פארם-ראוי אורתופדיה</t>
        </is>
      </c>
      <c r="C1319" s="94" t="inlineStr">
        <is>
          <t>CM44671</t>
        </is>
      </c>
      <c r="D1319" s="94" t="inlineStr">
        <is>
          <t>CM</t>
        </is>
      </c>
      <c r="E1319" s="102" t="n">
        <v>0</v>
      </c>
      <c r="F1319" s="94" t="n">
        <v>0</v>
      </c>
      <c r="G1319" s="102" t="n">
        <v>-479.99</v>
      </c>
      <c r="H1319" s="94" t="n">
        <v>-3</v>
      </c>
    </row>
    <row r="1320" ht="15" customHeight="1" s="82">
      <c r="A1320" s="94" t="inlineStr">
        <is>
          <t>102 - Orthopedic institutes</t>
        </is>
      </c>
      <c r="B1320" s="94" t="inlineStr">
        <is>
          <t>157521 נזרין פארם-ראוי אורתופדיה</t>
        </is>
      </c>
      <c r="C1320" s="94" t="inlineStr">
        <is>
          <t>CM44230</t>
        </is>
      </c>
      <c r="D1320" s="94" t="inlineStr">
        <is>
          <t>CM</t>
        </is>
      </c>
      <c r="E1320" s="102" t="n">
        <v>-1733.95</v>
      </c>
      <c r="F1320" s="94" t="n">
        <v>-29</v>
      </c>
      <c r="G1320" s="102" t="n">
        <v>0</v>
      </c>
      <c r="H1320" s="94" t="n">
        <v>0</v>
      </c>
    </row>
    <row r="1321" ht="15" customHeight="1" s="82">
      <c r="A1321" s="94" t="inlineStr">
        <is>
          <t>102 - Orthopedic institutes</t>
        </is>
      </c>
      <c r="B1321" s="94" t="inlineStr">
        <is>
          <t>157955 ווי שוז בוטיק</t>
        </is>
      </c>
      <c r="C1321" s="94" t="inlineStr">
        <is>
          <t>INV67196</t>
        </is>
      </c>
      <c r="D1321" s="94" t="inlineStr">
        <is>
          <t>INV</t>
        </is>
      </c>
      <c r="E1321" s="102" t="n">
        <v>0</v>
      </c>
      <c r="F1321" s="94" t="n">
        <v>0</v>
      </c>
      <c r="G1321" s="102" t="n">
        <v>2420.44</v>
      </c>
      <c r="H1321" s="94" t="n">
        <v>28</v>
      </c>
    </row>
    <row r="1322" ht="15" customHeight="1" s="82">
      <c r="A1322" s="94" t="inlineStr">
        <is>
          <t>102 - Orthopedic institutes</t>
        </is>
      </c>
      <c r="B1322" s="94" t="inlineStr">
        <is>
          <t>C02177 עולם האורטופדיה והספורט</t>
        </is>
      </c>
      <c r="C1322" s="94" t="inlineStr">
        <is>
          <t>INV67453</t>
        </is>
      </c>
      <c r="D1322" s="94" t="inlineStr">
        <is>
          <t>INV</t>
        </is>
      </c>
      <c r="E1322" s="102" t="n">
        <v>0</v>
      </c>
      <c r="F1322" s="94" t="n">
        <v>0</v>
      </c>
      <c r="G1322" s="102" t="n">
        <v>1004.01</v>
      </c>
      <c r="H1322" s="94" t="n">
        <v>13</v>
      </c>
    </row>
    <row r="1323" ht="15" customHeight="1" s="82">
      <c r="A1323" s="94" t="inlineStr">
        <is>
          <t>102 - Orthopedic institutes</t>
        </is>
      </c>
      <c r="B1323" s="94" t="inlineStr">
        <is>
          <t>C02177 עולם האורטופדיה והספורט</t>
        </is>
      </c>
      <c r="C1323" s="94" t="inlineStr">
        <is>
          <t>INV68716</t>
        </is>
      </c>
      <c r="D1323" s="94" t="inlineStr">
        <is>
          <t>INV</t>
        </is>
      </c>
      <c r="E1323" s="102" t="n">
        <v>0</v>
      </c>
      <c r="F1323" s="94" t="n">
        <v>0</v>
      </c>
      <c r="G1323" s="102" t="n">
        <v>890.53</v>
      </c>
      <c r="H1323" s="94" t="n">
        <v>9</v>
      </c>
    </row>
    <row r="1324" ht="15" customHeight="1" s="82">
      <c r="A1324" s="94" t="inlineStr">
        <is>
          <t>102 - Orthopedic institutes</t>
        </is>
      </c>
      <c r="B1324" s="94" t="inlineStr">
        <is>
          <t>C02177 עולם האורטופדיה והספורט</t>
        </is>
      </c>
      <c r="C1324" s="94" t="inlineStr">
        <is>
          <t>INV53568</t>
        </is>
      </c>
      <c r="D1324" s="94" t="inlineStr">
        <is>
          <t>INV</t>
        </is>
      </c>
      <c r="E1324" s="102" t="n">
        <v>789.01</v>
      </c>
      <c r="F1324" s="94" t="n">
        <v>10</v>
      </c>
      <c r="G1324" s="102" t="n">
        <v>0</v>
      </c>
      <c r="H1324" s="94" t="n">
        <v>0</v>
      </c>
    </row>
    <row r="1325" ht="15" customHeight="1" s="82">
      <c r="A1325" s="94" t="inlineStr">
        <is>
          <t>102 - Orthopedic institutes</t>
        </is>
      </c>
      <c r="B1325" s="94" t="inlineStr">
        <is>
          <t>C02177 עולם האורטופדיה והספורט</t>
        </is>
      </c>
      <c r="C1325" s="94" t="inlineStr">
        <is>
          <t>INV67305</t>
        </is>
      </c>
      <c r="D1325" s="94" t="inlineStr">
        <is>
          <t>INV</t>
        </is>
      </c>
      <c r="E1325" s="102" t="n">
        <v>0</v>
      </c>
      <c r="F1325" s="94" t="n">
        <v>0</v>
      </c>
      <c r="G1325" s="102" t="n">
        <v>723.4299999999999</v>
      </c>
      <c r="H1325" s="94" t="n">
        <v>11</v>
      </c>
    </row>
    <row r="1326" ht="15" customHeight="1" s="82">
      <c r="A1326" s="94" t="inlineStr">
        <is>
          <t>102 - Orthopedic institutes</t>
        </is>
      </c>
      <c r="B1326" s="94" t="inlineStr">
        <is>
          <t>C02177 עולם האורטופדיה והספורט</t>
        </is>
      </c>
      <c r="C1326" s="94" t="inlineStr">
        <is>
          <t>INV55063</t>
        </is>
      </c>
      <c r="D1326" s="94" t="inlineStr">
        <is>
          <t>INV</t>
        </is>
      </c>
      <c r="E1326" s="102" t="n">
        <v>614.02</v>
      </c>
      <c r="F1326" s="94" t="n">
        <v>10</v>
      </c>
      <c r="G1326" s="102" t="n">
        <v>0</v>
      </c>
      <c r="H1326" s="94" t="n">
        <v>0</v>
      </c>
    </row>
    <row r="1327" ht="15" customHeight="1" s="82">
      <c r="A1327" s="94" t="inlineStr">
        <is>
          <t>102 - Orthopedic institutes</t>
        </is>
      </c>
      <c r="B1327" s="94" t="inlineStr">
        <is>
          <t>C02177 עולם האורטופדיה והספורט</t>
        </is>
      </c>
      <c r="C1327" s="94" t="inlineStr">
        <is>
          <t>INV44408</t>
        </is>
      </c>
      <c r="D1327" s="94" t="inlineStr">
        <is>
          <t>INV</t>
        </is>
      </c>
      <c r="E1327" s="102" t="n">
        <v>586.35</v>
      </c>
      <c r="F1327" s="94" t="n">
        <v>9</v>
      </c>
      <c r="G1327" s="102" t="n">
        <v>0</v>
      </c>
      <c r="H1327" s="94" t="n">
        <v>0</v>
      </c>
    </row>
    <row r="1328" ht="15" customHeight="1" s="82">
      <c r="A1328" s="94" t="inlineStr">
        <is>
          <t>102 - Orthopedic institutes</t>
        </is>
      </c>
      <c r="B1328" s="94" t="inlineStr">
        <is>
          <t>C02177 עולם האורטופדיה והספורט</t>
        </is>
      </c>
      <c r="C1328" s="94" t="inlineStr">
        <is>
          <t>INV61187</t>
        </is>
      </c>
      <c r="D1328" s="94" t="inlineStr">
        <is>
          <t>INV</t>
        </is>
      </c>
      <c r="E1328" s="102" t="n">
        <v>574.48</v>
      </c>
      <c r="F1328" s="94" t="n">
        <v>7</v>
      </c>
      <c r="G1328" s="102" t="n">
        <v>0</v>
      </c>
      <c r="H1328" s="94" t="n">
        <v>0</v>
      </c>
    </row>
    <row r="1329" ht="15" customHeight="1" s="82">
      <c r="A1329" s="94" t="inlineStr">
        <is>
          <t>102 - Orthopedic institutes</t>
        </is>
      </c>
      <c r="B1329" s="94" t="inlineStr">
        <is>
          <t>C02177 עולם האורטופדיה והספורט</t>
        </is>
      </c>
      <c r="C1329" s="94" t="inlineStr">
        <is>
          <t>INV65527</t>
        </is>
      </c>
      <c r="D1329" s="94" t="inlineStr">
        <is>
          <t>INV</t>
        </is>
      </c>
      <c r="E1329" s="102" t="n">
        <v>565.21</v>
      </c>
      <c r="F1329" s="94" t="n">
        <v>7</v>
      </c>
      <c r="G1329" s="102" t="n">
        <v>0</v>
      </c>
      <c r="H1329" s="94" t="n">
        <v>0</v>
      </c>
    </row>
    <row r="1330" ht="15" customHeight="1" s="82">
      <c r="A1330" s="94" t="inlineStr">
        <is>
          <t>102 - Orthopedic institutes</t>
        </is>
      </c>
      <c r="B1330" s="94" t="inlineStr">
        <is>
          <t>C02177 עולם האורטופדיה והספורט</t>
        </is>
      </c>
      <c r="C1330" s="94" t="inlineStr">
        <is>
          <t>INV65983</t>
        </is>
      </c>
      <c r="D1330" s="94" t="inlineStr">
        <is>
          <t>INV</t>
        </is>
      </c>
      <c r="E1330" s="102" t="n">
        <v>525.67</v>
      </c>
      <c r="F1330" s="94" t="n">
        <v>5</v>
      </c>
      <c r="G1330" s="102" t="n">
        <v>0</v>
      </c>
      <c r="H1330" s="94" t="n">
        <v>0</v>
      </c>
    </row>
    <row r="1331" ht="15" customHeight="1" s="82">
      <c r="A1331" s="94" t="inlineStr">
        <is>
          <t>102 - Orthopedic institutes</t>
        </is>
      </c>
      <c r="B1331" s="94" t="inlineStr">
        <is>
          <t>C02177 עולם האורטופדיה והספורט</t>
        </is>
      </c>
      <c r="C1331" s="94" t="inlineStr">
        <is>
          <t>INV68579</t>
        </is>
      </c>
      <c r="D1331" s="94" t="inlineStr">
        <is>
          <t>INV</t>
        </is>
      </c>
      <c r="E1331" s="102" t="n">
        <v>0</v>
      </c>
      <c r="F1331" s="94" t="n">
        <v>0</v>
      </c>
      <c r="G1331" s="102" t="n">
        <v>513.91</v>
      </c>
      <c r="H1331" s="94" t="n">
        <v>7</v>
      </c>
    </row>
    <row r="1332" ht="15" customHeight="1" s="82">
      <c r="A1332" s="94" t="inlineStr">
        <is>
          <t>102 - Orthopedic institutes</t>
        </is>
      </c>
      <c r="B1332" s="94" t="inlineStr">
        <is>
          <t>C02177 עולם האורטופדיה והספורט</t>
        </is>
      </c>
      <c r="C1332" s="94" t="inlineStr">
        <is>
          <t>INV66761</t>
        </is>
      </c>
      <c r="D1332" s="94" t="inlineStr">
        <is>
          <t>INV</t>
        </is>
      </c>
      <c r="E1332" s="102" t="n">
        <v>506.14</v>
      </c>
      <c r="F1332" s="94" t="n">
        <v>5</v>
      </c>
      <c r="G1332" s="102" t="n">
        <v>0</v>
      </c>
      <c r="H1332" s="94" t="n">
        <v>0</v>
      </c>
    </row>
    <row r="1333" ht="15" customHeight="1" s="82">
      <c r="A1333" s="94" t="inlineStr">
        <is>
          <t>102 - Orthopedic institutes</t>
        </is>
      </c>
      <c r="B1333" s="94" t="inlineStr">
        <is>
          <t>C02177 עולם האורטופדיה והספורט</t>
        </is>
      </c>
      <c r="C1333" s="94" t="inlineStr">
        <is>
          <t>INV57935</t>
        </is>
      </c>
      <c r="D1333" s="94" t="inlineStr">
        <is>
          <t>INV</t>
        </is>
      </c>
      <c r="E1333" s="102" t="n">
        <v>495.57</v>
      </c>
      <c r="F1333" s="94" t="n">
        <v>5</v>
      </c>
      <c r="G1333" s="102" t="n">
        <v>0</v>
      </c>
      <c r="H1333" s="94" t="n">
        <v>0</v>
      </c>
    </row>
    <row r="1334" ht="15" customHeight="1" s="82">
      <c r="A1334" s="94" t="inlineStr">
        <is>
          <t>102 - Orthopedic institutes</t>
        </is>
      </c>
      <c r="B1334" s="94" t="inlineStr">
        <is>
          <t>C02177 עולם האורטופדיה והספורט</t>
        </is>
      </c>
      <c r="C1334" s="94" t="inlineStr">
        <is>
          <t>INV68858</t>
        </is>
      </c>
      <c r="D1334" s="94" t="inlineStr">
        <is>
          <t>INV</t>
        </is>
      </c>
      <c r="E1334" s="102" t="n">
        <v>0</v>
      </c>
      <c r="F1334" s="94" t="n">
        <v>0</v>
      </c>
      <c r="G1334" s="102" t="n">
        <v>454.65</v>
      </c>
      <c r="H1334" s="94" t="n">
        <v>6</v>
      </c>
    </row>
    <row r="1335" ht="15" customHeight="1" s="82">
      <c r="A1335" s="94" t="inlineStr">
        <is>
          <t>102 - Orthopedic institutes</t>
        </is>
      </c>
      <c r="B1335" s="94" t="inlineStr">
        <is>
          <t>C02177 עולם האורטופדיה והספורט</t>
        </is>
      </c>
      <c r="C1335" s="94" t="inlineStr">
        <is>
          <t>INV68917</t>
        </is>
      </c>
      <c r="D1335" s="94" t="inlineStr">
        <is>
          <t>INV</t>
        </is>
      </c>
      <c r="E1335" s="102" t="n">
        <v>0</v>
      </c>
      <c r="F1335" s="94" t="n">
        <v>0</v>
      </c>
      <c r="G1335" s="102" t="n">
        <v>445.26</v>
      </c>
      <c r="H1335" s="94" t="n">
        <v>6</v>
      </c>
    </row>
    <row r="1336" ht="15" customHeight="1" s="82">
      <c r="A1336" s="94" t="inlineStr">
        <is>
          <t>102 - Orthopedic institutes</t>
        </is>
      </c>
      <c r="B1336" s="94" t="inlineStr">
        <is>
          <t>C02177 עולם האורטופדיה והספורט</t>
        </is>
      </c>
      <c r="C1336" s="94" t="inlineStr">
        <is>
          <t>INV46645</t>
        </is>
      </c>
      <c r="D1336" s="94" t="inlineStr">
        <is>
          <t>INV</t>
        </is>
      </c>
      <c r="E1336" s="102" t="n">
        <v>437.93</v>
      </c>
      <c r="F1336" s="94" t="n">
        <v>7</v>
      </c>
      <c r="G1336" s="102" t="n">
        <v>0</v>
      </c>
      <c r="H1336" s="94" t="n">
        <v>0</v>
      </c>
    </row>
    <row r="1337" ht="15" customHeight="1" s="82">
      <c r="A1337" s="94" t="inlineStr">
        <is>
          <t>102 - Orthopedic institutes</t>
        </is>
      </c>
      <c r="B1337" s="94" t="inlineStr">
        <is>
          <t>C02177 עולם האורטופדיה והספורט</t>
        </is>
      </c>
      <c r="C1337" s="94" t="inlineStr">
        <is>
          <t>INV64631</t>
        </is>
      </c>
      <c r="D1337" s="94" t="inlineStr">
        <is>
          <t>INV</t>
        </is>
      </c>
      <c r="E1337" s="102" t="n">
        <v>435.68</v>
      </c>
      <c r="F1337" s="94" t="n">
        <v>5</v>
      </c>
      <c r="G1337" s="102" t="n">
        <v>0</v>
      </c>
      <c r="H1337" s="94" t="n">
        <v>0</v>
      </c>
    </row>
    <row r="1338" ht="15" customHeight="1" s="82">
      <c r="A1338" s="94" t="inlineStr">
        <is>
          <t>102 - Orthopedic institutes</t>
        </is>
      </c>
      <c r="B1338" s="94" t="inlineStr">
        <is>
          <t>C02177 עולם האורטופדיה והספורט</t>
        </is>
      </c>
      <c r="C1338" s="94" t="inlineStr">
        <is>
          <t>INV62002</t>
        </is>
      </c>
      <c r="D1338" s="94" t="inlineStr">
        <is>
          <t>INV</t>
        </is>
      </c>
      <c r="E1338" s="102" t="n">
        <v>431.14</v>
      </c>
      <c r="F1338" s="94" t="n">
        <v>4</v>
      </c>
      <c r="G1338" s="102" t="n">
        <v>0</v>
      </c>
      <c r="H1338" s="94" t="n">
        <v>0</v>
      </c>
    </row>
    <row r="1339" ht="15" customHeight="1" s="82">
      <c r="A1339" s="94" t="inlineStr">
        <is>
          <t>102 - Orthopedic institutes</t>
        </is>
      </c>
      <c r="B1339" s="94" t="inlineStr">
        <is>
          <t>C02177 עולם האורטופדיה והספורט</t>
        </is>
      </c>
      <c r="C1339" s="94" t="inlineStr">
        <is>
          <t>INV67976</t>
        </is>
      </c>
      <c r="D1339" s="94" t="inlineStr">
        <is>
          <t>INV</t>
        </is>
      </c>
      <c r="E1339" s="102" t="n">
        <v>0</v>
      </c>
      <c r="F1339" s="94" t="n">
        <v>0</v>
      </c>
      <c r="G1339" s="102" t="n">
        <v>375</v>
      </c>
      <c r="H1339" s="94" t="n">
        <v>5</v>
      </c>
    </row>
    <row r="1340" ht="15" customHeight="1" s="82">
      <c r="A1340" s="94" t="inlineStr">
        <is>
          <t>102 - Orthopedic institutes</t>
        </is>
      </c>
      <c r="B1340" s="94" t="inlineStr">
        <is>
          <t>C02177 עולם האורטופדיה והספורט</t>
        </is>
      </c>
      <c r="C1340" s="94" t="inlineStr">
        <is>
          <t>INV42194</t>
        </is>
      </c>
      <c r="D1340" s="94" t="inlineStr">
        <is>
          <t>INV</t>
        </is>
      </c>
      <c r="E1340" s="102" t="n">
        <v>375</v>
      </c>
      <c r="F1340" s="94" t="n">
        <v>5</v>
      </c>
      <c r="G1340" s="102" t="n">
        <v>0</v>
      </c>
      <c r="H1340" s="94" t="n">
        <v>0</v>
      </c>
    </row>
    <row r="1341" ht="15" customHeight="1" s="82">
      <c r="A1341" s="94" t="inlineStr">
        <is>
          <t>102 - Orthopedic institutes</t>
        </is>
      </c>
      <c r="B1341" s="94" t="inlineStr">
        <is>
          <t>C02177 עולם האורטופדיה והספורט</t>
        </is>
      </c>
      <c r="C1341" s="94" t="inlineStr">
        <is>
          <t>INV68210</t>
        </is>
      </c>
      <c r="D1341" s="94" t="inlineStr">
        <is>
          <t>INV</t>
        </is>
      </c>
      <c r="E1341" s="102" t="n">
        <v>0</v>
      </c>
      <c r="F1341" s="94" t="n">
        <v>0</v>
      </c>
      <c r="G1341" s="102" t="n">
        <v>375</v>
      </c>
      <c r="H1341" s="94" t="n">
        <v>5</v>
      </c>
    </row>
    <row r="1342" ht="15" customHeight="1" s="82">
      <c r="A1342" s="94" t="inlineStr">
        <is>
          <t>102 - Orthopedic institutes</t>
        </is>
      </c>
      <c r="B1342" s="94" t="inlineStr">
        <is>
          <t>C02177 עולם האורטופדיה והספורט</t>
        </is>
      </c>
      <c r="C1342" s="94" t="inlineStr">
        <is>
          <t>INV40378</t>
        </is>
      </c>
      <c r="D1342" s="94" t="inlineStr">
        <is>
          <t>INV</t>
        </is>
      </c>
      <c r="E1342" s="102" t="n">
        <v>362.58</v>
      </c>
      <c r="F1342" s="94" t="n">
        <v>5</v>
      </c>
      <c r="G1342" s="102" t="n">
        <v>0</v>
      </c>
      <c r="H1342" s="94" t="n">
        <v>0</v>
      </c>
    </row>
    <row r="1343" ht="15" customHeight="1" s="82">
      <c r="A1343" s="94" t="inlineStr">
        <is>
          <t>102 - Orthopedic institutes</t>
        </is>
      </c>
      <c r="B1343" s="94" t="inlineStr">
        <is>
          <t>C02177 עולם האורטופדיה והספורט</t>
        </is>
      </c>
      <c r="C1343" s="94" t="inlineStr">
        <is>
          <t>INV40891</t>
        </is>
      </c>
      <c r="D1343" s="94" t="inlineStr">
        <is>
          <t>INV</t>
        </is>
      </c>
      <c r="E1343" s="102" t="n">
        <v>354.3</v>
      </c>
      <c r="F1343" s="94" t="n">
        <v>5</v>
      </c>
      <c r="G1343" s="102" t="n">
        <v>0</v>
      </c>
      <c r="H1343" s="94" t="n">
        <v>0</v>
      </c>
    </row>
    <row r="1344" ht="15" customHeight="1" s="82">
      <c r="A1344" s="94" t="inlineStr">
        <is>
          <t>102 - Orthopedic institutes</t>
        </is>
      </c>
      <c r="B1344" s="94" t="inlineStr">
        <is>
          <t>C02177 עולם האורטופדיה והספורט</t>
        </is>
      </c>
      <c r="C1344" s="94" t="inlineStr">
        <is>
          <t>INV68750</t>
        </is>
      </c>
      <c r="D1344" s="94" t="inlineStr">
        <is>
          <t>INV</t>
        </is>
      </c>
      <c r="E1344" s="102" t="n">
        <v>0</v>
      </c>
      <c r="F1344" s="94" t="n">
        <v>0</v>
      </c>
      <c r="G1344" s="102" t="n">
        <v>310</v>
      </c>
      <c r="H1344" s="94" t="n">
        <v>3</v>
      </c>
    </row>
    <row r="1345" ht="15" customHeight="1" s="82">
      <c r="A1345" s="94" t="inlineStr">
        <is>
          <t>102 - Orthopedic institutes</t>
        </is>
      </c>
      <c r="B1345" s="94" t="inlineStr">
        <is>
          <t>C02177 עולם האורטופדיה והספורט</t>
        </is>
      </c>
      <c r="C1345" s="94" t="inlineStr">
        <is>
          <t>INV47414</t>
        </is>
      </c>
      <c r="D1345" s="94" t="inlineStr">
        <is>
          <t>INV</t>
        </is>
      </c>
      <c r="E1345" s="102" t="n">
        <v>164.01</v>
      </c>
      <c r="F1345" s="94" t="n">
        <v>1</v>
      </c>
      <c r="G1345" s="102" t="n">
        <v>0</v>
      </c>
      <c r="H1345" s="94" t="n">
        <v>0</v>
      </c>
    </row>
    <row r="1346" ht="15" customHeight="1" s="82">
      <c r="A1346" s="94" t="inlineStr">
        <is>
          <t>102 - Orthopedic institutes</t>
        </is>
      </c>
      <c r="B1346" s="94" t="inlineStr">
        <is>
          <t>C02177 עולם האורטופדיה והספורט</t>
        </is>
      </c>
      <c r="C1346" s="94" t="inlineStr">
        <is>
          <t>INV67689</t>
        </is>
      </c>
      <c r="D1346" s="94" t="inlineStr">
        <is>
          <t>INV</t>
        </is>
      </c>
      <c r="E1346" s="102" t="n">
        <v>0</v>
      </c>
      <c r="F1346" s="94" t="n">
        <v>0</v>
      </c>
      <c r="G1346" s="102" t="n">
        <v>130</v>
      </c>
      <c r="H1346" s="94" t="n">
        <v>1</v>
      </c>
    </row>
    <row r="1347" ht="15" customHeight="1" s="82">
      <c r="A1347" s="94" t="inlineStr">
        <is>
          <t>102 - Orthopedic institutes</t>
        </is>
      </c>
      <c r="B1347" s="94" t="inlineStr">
        <is>
          <t>C02177 עולם האורטופדיה והספורט</t>
        </is>
      </c>
      <c r="C1347" s="94" t="inlineStr">
        <is>
          <t>INV48871</t>
        </is>
      </c>
      <c r="D1347" s="94" t="inlineStr">
        <is>
          <t>INV</t>
        </is>
      </c>
      <c r="E1347" s="102" t="n">
        <v>77.29000000000001</v>
      </c>
      <c r="F1347" s="94" t="n">
        <v>1</v>
      </c>
      <c r="G1347" s="102" t="n">
        <v>0</v>
      </c>
      <c r="H1347" s="94" t="n">
        <v>0</v>
      </c>
    </row>
    <row r="1348" ht="15" customHeight="1" s="82">
      <c r="A1348" s="94" t="inlineStr">
        <is>
          <t>102 - Orthopedic institutes</t>
        </is>
      </c>
      <c r="B1348" s="94" t="inlineStr">
        <is>
          <t>C02177 עולם האורטופדיה והספורט</t>
        </is>
      </c>
      <c r="C1348" s="94" t="inlineStr">
        <is>
          <t>CM44228</t>
        </is>
      </c>
      <c r="D1348" s="94" t="inlineStr">
        <is>
          <t>CM</t>
        </is>
      </c>
      <c r="E1348" s="102" t="n">
        <v>-190.84</v>
      </c>
      <c r="F1348" s="94" t="n">
        <v>-4</v>
      </c>
      <c r="G1348" s="102" t="n">
        <v>0</v>
      </c>
      <c r="H1348" s="94" t="n">
        <v>0</v>
      </c>
    </row>
    <row r="1349" ht="15" customHeight="1" s="82">
      <c r="A1349" s="94" t="inlineStr">
        <is>
          <t>102 - Orthopedic institutes</t>
        </is>
      </c>
      <c r="B1349" s="94" t="inlineStr">
        <is>
          <t>C02177 עולם האורטופדיה והספורט</t>
        </is>
      </c>
      <c r="C1349" s="94" t="inlineStr">
        <is>
          <t>CM43614</t>
        </is>
      </c>
      <c r="D1349" s="94" t="inlineStr">
        <is>
          <t>CM</t>
        </is>
      </c>
      <c r="E1349" s="102" t="n">
        <v>-338.11</v>
      </c>
      <c r="F1349" s="94" t="n">
        <v>-6</v>
      </c>
      <c r="G1349" s="102" t="n">
        <v>0</v>
      </c>
      <c r="H1349" s="94" t="n">
        <v>0</v>
      </c>
    </row>
    <row r="1350" ht="15" customHeight="1" s="82">
      <c r="A1350" s="94" t="inlineStr">
        <is>
          <t>102 - Orthopedic institutes</t>
        </is>
      </c>
      <c r="B1350" s="94" t="inlineStr">
        <is>
          <t>C02177 עולם האורטופדיה והספורט</t>
        </is>
      </c>
      <c r="C1350" s="94" t="inlineStr">
        <is>
          <t>CM44466</t>
        </is>
      </c>
      <c r="D1350" s="94" t="inlineStr">
        <is>
          <t>CM</t>
        </is>
      </c>
      <c r="E1350" s="102" t="n">
        <v>0</v>
      </c>
      <c r="F1350" s="94" t="n">
        <v>0</v>
      </c>
      <c r="G1350" s="102" t="n">
        <v>-380</v>
      </c>
      <c r="H1350" s="94" t="n">
        <v>-2</v>
      </c>
    </row>
    <row r="1351" ht="15" customHeight="1" s="82">
      <c r="A1351" s="94" t="inlineStr">
        <is>
          <t>102 - Orthopedic institutes</t>
        </is>
      </c>
      <c r="B1351" s="94" t="inlineStr">
        <is>
          <t>C02177 עולם האורטופדיה והספורט</t>
        </is>
      </c>
      <c r="C1351" s="94" t="inlineStr">
        <is>
          <t>CM44287</t>
        </is>
      </c>
      <c r="D1351" s="94" t="inlineStr">
        <is>
          <t>CM</t>
        </is>
      </c>
      <c r="E1351" s="102" t="n">
        <v>0</v>
      </c>
      <c r="F1351" s="94" t="n">
        <v>0</v>
      </c>
      <c r="G1351" s="102" t="n">
        <v>-723.4299999999999</v>
      </c>
      <c r="H1351" s="94" t="n">
        <v>-11</v>
      </c>
    </row>
    <row r="1352" ht="15" customHeight="1" s="82">
      <c r="A1352" s="94" t="inlineStr">
        <is>
          <t>102 - Orthopedic institutes</t>
        </is>
      </c>
      <c r="B1352" s="94" t="inlineStr">
        <is>
          <t>C02178 עולם האורטופדיה</t>
        </is>
      </c>
      <c r="C1352" s="94" t="inlineStr">
        <is>
          <t>INV66237</t>
        </is>
      </c>
      <c r="D1352" s="94" t="inlineStr">
        <is>
          <t>INV</t>
        </is>
      </c>
      <c r="E1352" s="102" t="n">
        <v>1312.94</v>
      </c>
      <c r="F1352" s="94" t="n">
        <v>9</v>
      </c>
      <c r="G1352" s="102" t="n">
        <v>0</v>
      </c>
      <c r="H1352" s="94" t="n">
        <v>0</v>
      </c>
    </row>
    <row r="1353" ht="15" customHeight="1" s="82">
      <c r="A1353" s="94" t="inlineStr">
        <is>
          <t>102 - Orthopedic institutes</t>
        </is>
      </c>
      <c r="B1353" s="94" t="inlineStr">
        <is>
          <t>C02178 עולם האורטופדיה</t>
        </is>
      </c>
      <c r="C1353" s="94" t="inlineStr">
        <is>
          <t>INV69164</t>
        </is>
      </c>
      <c r="D1353" s="94" t="inlineStr">
        <is>
          <t>INV</t>
        </is>
      </c>
      <c r="E1353" s="102" t="n">
        <v>0</v>
      </c>
      <c r="F1353" s="94" t="n">
        <v>0</v>
      </c>
      <c r="G1353" s="102" t="n">
        <v>1311.05</v>
      </c>
      <c r="H1353" s="94" t="n">
        <v>7</v>
      </c>
    </row>
    <row r="1354" ht="15" customHeight="1" s="82">
      <c r="A1354" s="94" t="inlineStr">
        <is>
          <t>102 - Orthopedic institutes</t>
        </is>
      </c>
      <c r="B1354" s="94" t="inlineStr">
        <is>
          <t>C02178 עולם האורטופדיה</t>
        </is>
      </c>
      <c r="C1354" s="94" t="inlineStr">
        <is>
          <t>INV69287</t>
        </is>
      </c>
      <c r="D1354" s="94" t="inlineStr">
        <is>
          <t>INV</t>
        </is>
      </c>
      <c r="E1354" s="102" t="n">
        <v>0</v>
      </c>
      <c r="F1354" s="94" t="n">
        <v>0</v>
      </c>
      <c r="G1354" s="102" t="n">
        <v>1092.94</v>
      </c>
      <c r="H1354" s="94" t="n">
        <v>10</v>
      </c>
    </row>
    <row r="1355" ht="15" customHeight="1" s="82">
      <c r="A1355" s="94" t="inlineStr">
        <is>
          <t>102 - Orthopedic institutes</t>
        </is>
      </c>
      <c r="B1355" s="94" t="inlineStr">
        <is>
          <t>C02178 עולם האורטופדיה</t>
        </is>
      </c>
      <c r="C1355" s="94" t="inlineStr">
        <is>
          <t>INV67894</t>
        </is>
      </c>
      <c r="D1355" s="94" t="inlineStr">
        <is>
          <t>INV</t>
        </is>
      </c>
      <c r="E1355" s="102" t="n">
        <v>0</v>
      </c>
      <c r="F1355" s="94" t="n">
        <v>0</v>
      </c>
      <c r="G1355" s="102" t="n">
        <v>920.5700000000001</v>
      </c>
      <c r="H1355" s="94" t="n">
        <v>5</v>
      </c>
    </row>
    <row r="1356" ht="15" customHeight="1" s="82">
      <c r="A1356" s="94" t="inlineStr">
        <is>
          <t>102 - Orthopedic institutes</t>
        </is>
      </c>
      <c r="B1356" s="94" t="inlineStr">
        <is>
          <t>C02178 עולם האורטופדיה</t>
        </is>
      </c>
      <c r="C1356" s="94" t="inlineStr">
        <is>
          <t>INV66825</t>
        </is>
      </c>
      <c r="D1356" s="94" t="inlineStr">
        <is>
          <t>INV</t>
        </is>
      </c>
      <c r="E1356" s="102" t="n">
        <v>812.9400000000001</v>
      </c>
      <c r="F1356" s="94" t="n">
        <v>8</v>
      </c>
      <c r="G1356" s="102" t="n">
        <v>0</v>
      </c>
      <c r="H1356" s="94" t="n">
        <v>0</v>
      </c>
    </row>
    <row r="1357" ht="15" customHeight="1" s="82">
      <c r="A1357" s="94" t="inlineStr">
        <is>
          <t>102 - Orthopedic institutes</t>
        </is>
      </c>
      <c r="B1357" s="94" t="inlineStr">
        <is>
          <t>C02178 עולם האורטופדיה</t>
        </is>
      </c>
      <c r="C1357" s="94" t="inlineStr">
        <is>
          <t>INV66344</t>
        </is>
      </c>
      <c r="D1357" s="94" t="inlineStr">
        <is>
          <t>INV</t>
        </is>
      </c>
      <c r="E1357" s="102" t="n">
        <v>800.01</v>
      </c>
      <c r="F1357" s="94" t="n">
        <v>4</v>
      </c>
      <c r="G1357" s="102" t="n">
        <v>0</v>
      </c>
      <c r="H1357" s="94" t="n">
        <v>0</v>
      </c>
    </row>
    <row r="1358" ht="15" customHeight="1" s="82">
      <c r="A1358" s="94" t="inlineStr">
        <is>
          <t>102 - Orthopedic institutes</t>
        </is>
      </c>
      <c r="B1358" s="94" t="inlineStr">
        <is>
          <t>C02178 עולם האורטופדיה</t>
        </is>
      </c>
      <c r="C1358" s="94" t="inlineStr">
        <is>
          <t>INV67667</t>
        </is>
      </c>
      <c r="D1358" s="94" t="inlineStr">
        <is>
          <t>INV</t>
        </is>
      </c>
      <c r="E1358" s="102" t="n">
        <v>0</v>
      </c>
      <c r="F1358" s="94" t="n">
        <v>0</v>
      </c>
      <c r="G1358" s="102" t="n">
        <v>712.9299999999999</v>
      </c>
      <c r="H1358" s="94" t="n">
        <v>7</v>
      </c>
    </row>
    <row r="1359" ht="15" customHeight="1" s="82">
      <c r="A1359" s="94" t="inlineStr">
        <is>
          <t>102 - Orthopedic institutes</t>
        </is>
      </c>
      <c r="B1359" s="94" t="inlineStr">
        <is>
          <t>C02178 עולם האורטופדיה</t>
        </is>
      </c>
      <c r="C1359" s="94" t="inlineStr">
        <is>
          <t>INV68255</t>
        </is>
      </c>
      <c r="D1359" s="94" t="inlineStr">
        <is>
          <t>INV</t>
        </is>
      </c>
      <c r="E1359" s="102" t="n">
        <v>0</v>
      </c>
      <c r="F1359" s="94" t="n">
        <v>0</v>
      </c>
      <c r="G1359" s="102" t="n">
        <v>613.6799999999999</v>
      </c>
      <c r="H1359" s="94" t="n">
        <v>3</v>
      </c>
    </row>
    <row r="1360" ht="15" customHeight="1" s="82">
      <c r="A1360" s="94" t="inlineStr">
        <is>
          <t>102 - Orthopedic institutes</t>
        </is>
      </c>
      <c r="B1360" s="94" t="inlineStr">
        <is>
          <t>C02178 עולם האורטופדיה</t>
        </is>
      </c>
      <c r="C1360" s="94" t="inlineStr">
        <is>
          <t>INV68438</t>
        </is>
      </c>
      <c r="D1360" s="94" t="inlineStr">
        <is>
          <t>INV</t>
        </is>
      </c>
      <c r="E1360" s="102" t="n">
        <v>0</v>
      </c>
      <c r="F1360" s="94" t="n">
        <v>0</v>
      </c>
      <c r="G1360" s="102" t="n">
        <v>520</v>
      </c>
      <c r="H1360" s="94" t="n">
        <v>2</v>
      </c>
    </row>
    <row r="1361" ht="15" customHeight="1" s="82">
      <c r="A1361" s="94" t="inlineStr">
        <is>
          <t>102 - Orthopedic institutes</t>
        </is>
      </c>
      <c r="B1361" s="94" t="inlineStr">
        <is>
          <t>C02178 עולם האורטופדיה</t>
        </is>
      </c>
      <c r="C1361" s="94" t="inlineStr">
        <is>
          <t>INV46636</t>
        </is>
      </c>
      <c r="D1361" s="94" t="inlineStr">
        <is>
          <t>INV</t>
        </is>
      </c>
      <c r="E1361" s="102" t="n">
        <v>508</v>
      </c>
      <c r="F1361" s="94" t="n">
        <v>4</v>
      </c>
      <c r="G1361" s="102" t="n">
        <v>0</v>
      </c>
      <c r="H1361" s="94" t="n">
        <v>0</v>
      </c>
    </row>
    <row r="1362" ht="15" customHeight="1" s="82">
      <c r="A1362" s="94" t="inlineStr">
        <is>
          <t>102 - Orthopedic institutes</t>
        </is>
      </c>
      <c r="B1362" s="94" t="inlineStr">
        <is>
          <t>C02178 עולם האורטופדיה</t>
        </is>
      </c>
      <c r="C1362" s="94" t="inlineStr">
        <is>
          <t>INV63420</t>
        </is>
      </c>
      <c r="D1362" s="94" t="inlineStr">
        <is>
          <t>INV</t>
        </is>
      </c>
      <c r="E1362" s="102" t="n">
        <v>444</v>
      </c>
      <c r="F1362" s="94" t="n">
        <v>2</v>
      </c>
      <c r="G1362" s="102" t="n">
        <v>0</v>
      </c>
      <c r="H1362" s="94" t="n">
        <v>0</v>
      </c>
    </row>
    <row r="1363" ht="15" customHeight="1" s="82">
      <c r="A1363" s="94" t="inlineStr">
        <is>
          <t>102 - Orthopedic institutes</t>
        </is>
      </c>
      <c r="B1363" s="94" t="inlineStr">
        <is>
          <t>C02178 עולם האורטופדיה</t>
        </is>
      </c>
      <c r="C1363" s="94" t="inlineStr">
        <is>
          <t>INV59989</t>
        </is>
      </c>
      <c r="D1363" s="94" t="inlineStr">
        <is>
          <t>INV</t>
        </is>
      </c>
      <c r="E1363" s="102" t="n">
        <v>420.01</v>
      </c>
      <c r="F1363" s="94" t="n">
        <v>3</v>
      </c>
      <c r="G1363" s="102" t="n">
        <v>0</v>
      </c>
      <c r="H1363" s="94" t="n">
        <v>0</v>
      </c>
    </row>
    <row r="1364" ht="15" customHeight="1" s="82">
      <c r="A1364" s="94" t="inlineStr">
        <is>
          <t>102 - Orthopedic institutes</t>
        </is>
      </c>
      <c r="B1364" s="94" t="inlineStr">
        <is>
          <t>C02178 עולם האורטופדיה</t>
        </is>
      </c>
      <c r="C1364" s="94" t="inlineStr">
        <is>
          <t>INV54336</t>
        </is>
      </c>
      <c r="D1364" s="94" t="inlineStr">
        <is>
          <t>INV</t>
        </is>
      </c>
      <c r="E1364" s="102" t="n">
        <v>418.16</v>
      </c>
      <c r="F1364" s="94" t="n">
        <v>7</v>
      </c>
      <c r="G1364" s="102" t="n">
        <v>0</v>
      </c>
      <c r="H1364" s="94" t="n">
        <v>0</v>
      </c>
    </row>
    <row r="1365" ht="15" customHeight="1" s="82">
      <c r="A1365" s="94" t="inlineStr">
        <is>
          <t>102 - Orthopedic institutes</t>
        </is>
      </c>
      <c r="B1365" s="94" t="inlineStr">
        <is>
          <t>C02178 עולם האורטופדיה</t>
        </is>
      </c>
      <c r="C1365" s="94" t="inlineStr">
        <is>
          <t>INV57922</t>
        </is>
      </c>
      <c r="D1365" s="94" t="inlineStr">
        <is>
          <t>INV</t>
        </is>
      </c>
      <c r="E1365" s="102" t="n">
        <v>340</v>
      </c>
      <c r="F1365" s="94" t="n">
        <v>2</v>
      </c>
      <c r="G1365" s="102" t="n">
        <v>0</v>
      </c>
      <c r="H1365" s="94" t="n">
        <v>0</v>
      </c>
    </row>
    <row r="1366" ht="15" customHeight="1" s="82">
      <c r="A1366" s="94" t="inlineStr">
        <is>
          <t>102 - Orthopedic institutes</t>
        </is>
      </c>
      <c r="B1366" s="94" t="inlineStr">
        <is>
          <t>C02178 עולם האורטופדיה</t>
        </is>
      </c>
      <c r="C1366" s="94" t="inlineStr">
        <is>
          <t>INV50600</t>
        </is>
      </c>
      <c r="D1366" s="94" t="inlineStr">
        <is>
          <t>INV</t>
        </is>
      </c>
      <c r="E1366" s="102" t="n">
        <v>327.3</v>
      </c>
      <c r="F1366" s="94" t="n">
        <v>3</v>
      </c>
      <c r="G1366" s="102" t="n">
        <v>0</v>
      </c>
      <c r="H1366" s="94" t="n">
        <v>0</v>
      </c>
    </row>
    <row r="1367" ht="15" customHeight="1" s="82">
      <c r="A1367" s="94" t="inlineStr">
        <is>
          <t>102 - Orthopedic institutes</t>
        </is>
      </c>
      <c r="B1367" s="94" t="inlineStr">
        <is>
          <t>C02213 מרכז רפואי אפיקס בע"מ</t>
        </is>
      </c>
      <c r="C1367" s="94" t="inlineStr">
        <is>
          <t>INV67740</t>
        </is>
      </c>
      <c r="D1367" s="94" t="inlineStr">
        <is>
          <t>INV</t>
        </is>
      </c>
      <c r="E1367" s="102" t="n">
        <v>0</v>
      </c>
      <c r="F1367" s="94" t="n">
        <v>0</v>
      </c>
      <c r="G1367" s="102" t="n">
        <v>8014.7</v>
      </c>
      <c r="H1367" s="94" t="n">
        <v>47</v>
      </c>
    </row>
    <row r="1368" ht="15" customHeight="1" s="82">
      <c r="A1368" s="94" t="inlineStr">
        <is>
          <t>102 - Orthopedic institutes</t>
        </is>
      </c>
      <c r="B1368" s="94" t="inlineStr">
        <is>
          <t>C02213 מרכז רפואי אפיקס בע"מ</t>
        </is>
      </c>
      <c r="C1368" s="94" t="inlineStr">
        <is>
          <t>INV68276</t>
        </is>
      </c>
      <c r="D1368" s="94" t="inlineStr">
        <is>
          <t>INV</t>
        </is>
      </c>
      <c r="E1368" s="102" t="n">
        <v>0</v>
      </c>
      <c r="F1368" s="94" t="n">
        <v>0</v>
      </c>
      <c r="G1368" s="102" t="n">
        <v>6513.94</v>
      </c>
      <c r="H1368" s="94" t="n">
        <v>49</v>
      </c>
    </row>
    <row r="1369" ht="15" customHeight="1" s="82">
      <c r="A1369" s="94" t="inlineStr">
        <is>
          <t>102 - Orthopedic institutes</t>
        </is>
      </c>
      <c r="B1369" s="94" t="inlineStr">
        <is>
          <t>C02213 מרכז רפואי אפיקס בע"מ</t>
        </is>
      </c>
      <c r="C1369" s="94" t="inlineStr">
        <is>
          <t>INV69228</t>
        </is>
      </c>
      <c r="D1369" s="94" t="inlineStr">
        <is>
          <t>INV</t>
        </is>
      </c>
      <c r="E1369" s="102" t="n">
        <v>0</v>
      </c>
      <c r="F1369" s="94" t="n">
        <v>0</v>
      </c>
      <c r="G1369" s="102" t="n">
        <v>5142.12</v>
      </c>
      <c r="H1369" s="94" t="n">
        <v>36</v>
      </c>
    </row>
    <row r="1370" ht="15" customHeight="1" s="82">
      <c r="A1370" s="94" t="inlineStr">
        <is>
          <t>102 - Orthopedic institutes</t>
        </is>
      </c>
      <c r="B1370" s="94" t="inlineStr">
        <is>
          <t>C02213 מרכז רפואי אפיקס בע"מ</t>
        </is>
      </c>
      <c r="C1370" s="94" t="inlineStr">
        <is>
          <t>INV52566</t>
        </is>
      </c>
      <c r="D1370" s="94" t="inlineStr">
        <is>
          <t>INV</t>
        </is>
      </c>
      <c r="E1370" s="102" t="n">
        <v>4553.93</v>
      </c>
      <c r="F1370" s="94" t="n">
        <v>32</v>
      </c>
      <c r="G1370" s="102" t="n">
        <v>0</v>
      </c>
      <c r="H1370" s="94" t="n">
        <v>0</v>
      </c>
    </row>
    <row r="1371" ht="15" customHeight="1" s="82">
      <c r="A1371" s="94" t="inlineStr">
        <is>
          <t>102 - Orthopedic institutes</t>
        </is>
      </c>
      <c r="B1371" s="94" t="inlineStr">
        <is>
          <t>C02213 מרכז רפואי אפיקס בע"מ</t>
        </is>
      </c>
      <c r="C1371" s="94" t="inlineStr">
        <is>
          <t>CM44388</t>
        </is>
      </c>
      <c r="D1371" s="94" t="inlineStr">
        <is>
          <t>CM</t>
        </is>
      </c>
      <c r="E1371" s="102" t="n">
        <v>0</v>
      </c>
      <c r="F1371" s="94" t="n">
        <v>0</v>
      </c>
      <c r="G1371" s="102" t="n">
        <v>-8014.7</v>
      </c>
      <c r="H1371" s="94" t="n">
        <v>-47</v>
      </c>
    </row>
    <row r="1372" ht="15" customHeight="1" s="82">
      <c r="A1372" s="94" t="inlineStr">
        <is>
          <t>102 - Orthopedic institutes</t>
        </is>
      </c>
      <c r="B1372" s="94" t="inlineStr">
        <is>
          <t>C02233 זבוטובסקי ולרי</t>
        </is>
      </c>
      <c r="C1372" s="94" t="inlineStr">
        <is>
          <t>INV65389</t>
        </is>
      </c>
      <c r="D1372" s="94" t="inlineStr">
        <is>
          <t>INV</t>
        </is>
      </c>
      <c r="E1372" s="102" t="n">
        <v>3750</v>
      </c>
      <c r="F1372" s="94" t="n">
        <v>15</v>
      </c>
      <c r="G1372" s="102" t="n">
        <v>0</v>
      </c>
      <c r="H1372" s="94" t="n">
        <v>0</v>
      </c>
    </row>
    <row r="1373" ht="15" customHeight="1" s="82">
      <c r="A1373" s="94" t="inlineStr">
        <is>
          <t>102 - Orthopedic institutes</t>
        </is>
      </c>
      <c r="B1373" s="94" t="inlineStr">
        <is>
          <t>C02233 זבוטובסקי ולרי</t>
        </is>
      </c>
      <c r="C1373" s="94" t="inlineStr">
        <is>
          <t>INV65989</t>
        </is>
      </c>
      <c r="D1373" s="94" t="inlineStr">
        <is>
          <t>INV</t>
        </is>
      </c>
      <c r="E1373" s="102" t="n">
        <v>3250</v>
      </c>
      <c r="F1373" s="94" t="n">
        <v>13</v>
      </c>
      <c r="G1373" s="102" t="n">
        <v>0</v>
      </c>
      <c r="H1373" s="94" t="n">
        <v>0</v>
      </c>
    </row>
    <row r="1374" ht="15" customHeight="1" s="82">
      <c r="A1374" s="94" t="inlineStr">
        <is>
          <t>102 - Orthopedic institutes</t>
        </is>
      </c>
      <c r="B1374" s="94" t="inlineStr">
        <is>
          <t>C02233 זבוטובסקי ולרי</t>
        </is>
      </c>
      <c r="C1374" s="94" t="inlineStr">
        <is>
          <t>INV68221</t>
        </is>
      </c>
      <c r="D1374" s="94" t="inlineStr">
        <is>
          <t>INV</t>
        </is>
      </c>
      <c r="E1374" s="102" t="n">
        <v>0</v>
      </c>
      <c r="F1374" s="94" t="n">
        <v>0</v>
      </c>
      <c r="G1374" s="102" t="n">
        <v>3120.03</v>
      </c>
      <c r="H1374" s="94" t="n">
        <v>12</v>
      </c>
    </row>
    <row r="1375" ht="15" customHeight="1" s="82">
      <c r="A1375" s="94" t="inlineStr">
        <is>
          <t>102 - Orthopedic institutes</t>
        </is>
      </c>
      <c r="B1375" s="94" t="inlineStr">
        <is>
          <t>C02233 זבוטובסקי ולרי</t>
        </is>
      </c>
      <c r="C1375" s="94" t="inlineStr">
        <is>
          <t>INV50033</t>
        </is>
      </c>
      <c r="D1375" s="94" t="inlineStr">
        <is>
          <t>INV</t>
        </is>
      </c>
      <c r="E1375" s="102" t="n">
        <v>2220</v>
      </c>
      <c r="F1375" s="94" t="n">
        <v>10</v>
      </c>
      <c r="G1375" s="102" t="n">
        <v>0</v>
      </c>
      <c r="H1375" s="94" t="n">
        <v>0</v>
      </c>
    </row>
    <row r="1376" ht="15" customHeight="1" s="82">
      <c r="A1376" s="94" t="inlineStr">
        <is>
          <t>102 - Orthopedic institutes</t>
        </is>
      </c>
      <c r="B1376" s="94" t="inlineStr">
        <is>
          <t>C02233 זבוטובסקי ולרי</t>
        </is>
      </c>
      <c r="C1376" s="94" t="inlineStr">
        <is>
          <t>INV68646</t>
        </is>
      </c>
      <c r="D1376" s="94" t="inlineStr">
        <is>
          <t>INV</t>
        </is>
      </c>
      <c r="E1376" s="102" t="n">
        <v>0</v>
      </c>
      <c r="F1376" s="94" t="n">
        <v>0</v>
      </c>
      <c r="G1376" s="102" t="n">
        <v>2126.06</v>
      </c>
      <c r="H1376" s="94" t="n">
        <v>19</v>
      </c>
    </row>
    <row r="1377" ht="15" customHeight="1" s="82">
      <c r="A1377" s="94" t="inlineStr">
        <is>
          <t>102 - Orthopedic institutes</t>
        </is>
      </c>
      <c r="B1377" s="94" t="inlineStr">
        <is>
          <t>C02233 זבוטובסקי ולרי</t>
        </is>
      </c>
      <c r="C1377" s="94" t="inlineStr">
        <is>
          <t>INV67428</t>
        </is>
      </c>
      <c r="D1377" s="94" t="inlineStr">
        <is>
          <t>INV</t>
        </is>
      </c>
      <c r="E1377" s="102" t="n">
        <v>0</v>
      </c>
      <c r="F1377" s="94" t="n">
        <v>0</v>
      </c>
      <c r="G1377" s="102" t="n">
        <v>2080.02</v>
      </c>
      <c r="H1377" s="94" t="n">
        <v>8</v>
      </c>
    </row>
    <row r="1378" ht="15" customHeight="1" s="82">
      <c r="A1378" s="94" t="inlineStr">
        <is>
          <t>102 - Orthopedic institutes</t>
        </is>
      </c>
      <c r="B1378" s="94" t="inlineStr">
        <is>
          <t>C02233 זבוטובסקי ולרי</t>
        </is>
      </c>
      <c r="C1378" s="94" t="inlineStr">
        <is>
          <t>INV64620</t>
        </is>
      </c>
      <c r="D1378" s="94" t="inlineStr">
        <is>
          <t>INV</t>
        </is>
      </c>
      <c r="E1378" s="102" t="n">
        <v>1820.02</v>
      </c>
      <c r="F1378" s="94" t="n">
        <v>7</v>
      </c>
      <c r="G1378" s="102" t="n">
        <v>0</v>
      </c>
      <c r="H1378" s="94" t="n">
        <v>0</v>
      </c>
    </row>
    <row r="1379" ht="15" customHeight="1" s="82">
      <c r="A1379" s="94" t="inlineStr">
        <is>
          <t>102 - Orthopedic institutes</t>
        </is>
      </c>
      <c r="B1379" s="94" t="inlineStr">
        <is>
          <t>C02233 זבוטובסקי ולרי</t>
        </is>
      </c>
      <c r="C1379" s="94" t="inlineStr">
        <is>
          <t>INV68545</t>
        </is>
      </c>
      <c r="D1379" s="94" t="inlineStr">
        <is>
          <t>INV</t>
        </is>
      </c>
      <c r="E1379" s="102" t="n">
        <v>0</v>
      </c>
      <c r="F1379" s="94" t="n">
        <v>0</v>
      </c>
      <c r="G1379" s="102" t="n">
        <v>1820.02</v>
      </c>
      <c r="H1379" s="94" t="n">
        <v>7</v>
      </c>
    </row>
    <row r="1380" ht="15" customHeight="1" s="82">
      <c r="A1380" s="94" t="inlineStr">
        <is>
          <t>102 - Orthopedic institutes</t>
        </is>
      </c>
      <c r="B1380" s="94" t="inlineStr">
        <is>
          <t>C02233 זבוטובסקי ולרי</t>
        </is>
      </c>
      <c r="C1380" s="94" t="inlineStr">
        <is>
          <t>INV68966</t>
        </is>
      </c>
      <c r="D1380" s="94" t="inlineStr">
        <is>
          <t>INV</t>
        </is>
      </c>
      <c r="E1380" s="102" t="n">
        <v>0</v>
      </c>
      <c r="F1380" s="94" t="n">
        <v>0</v>
      </c>
      <c r="G1380" s="102" t="n">
        <v>1609.02</v>
      </c>
      <c r="H1380" s="94" t="n">
        <v>12</v>
      </c>
    </row>
    <row r="1381" ht="15" customHeight="1" s="82">
      <c r="A1381" s="94" t="inlineStr">
        <is>
          <t>102 - Orthopedic institutes</t>
        </is>
      </c>
      <c r="B1381" s="94" t="inlineStr">
        <is>
          <t>C02233 זבוטובסקי ולרי</t>
        </is>
      </c>
      <c r="C1381" s="94" t="inlineStr">
        <is>
          <t>INV60767</t>
        </is>
      </c>
      <c r="D1381" s="94" t="inlineStr">
        <is>
          <t>INV</t>
        </is>
      </c>
      <c r="E1381" s="102" t="n">
        <v>1560.01</v>
      </c>
      <c r="F1381" s="94" t="n">
        <v>6</v>
      </c>
      <c r="G1381" s="102" t="n">
        <v>0</v>
      </c>
      <c r="H1381" s="94" t="n">
        <v>0</v>
      </c>
    </row>
    <row r="1382" ht="15" customHeight="1" s="82">
      <c r="A1382" s="94" t="inlineStr">
        <is>
          <t>102 - Orthopedic institutes</t>
        </is>
      </c>
      <c r="B1382" s="94" t="inlineStr">
        <is>
          <t>C02233 זבוטובסקי ולרי</t>
        </is>
      </c>
      <c r="C1382" s="94" t="inlineStr">
        <is>
          <t>INV63581</t>
        </is>
      </c>
      <c r="D1382" s="94" t="inlineStr">
        <is>
          <t>INV</t>
        </is>
      </c>
      <c r="E1382" s="102" t="n">
        <v>1560.01</v>
      </c>
      <c r="F1382" s="94" t="n">
        <v>6</v>
      </c>
      <c r="G1382" s="102" t="n">
        <v>0</v>
      </c>
      <c r="H1382" s="94" t="n">
        <v>0</v>
      </c>
    </row>
    <row r="1383" ht="15" customHeight="1" s="82">
      <c r="A1383" s="94" t="inlineStr">
        <is>
          <t>102 - Orthopedic institutes</t>
        </is>
      </c>
      <c r="B1383" s="94" t="inlineStr">
        <is>
          <t>C02233 זבוטובסקי ולרי</t>
        </is>
      </c>
      <c r="C1383" s="94" t="inlineStr">
        <is>
          <t>INV56430</t>
        </is>
      </c>
      <c r="D1383" s="94" t="inlineStr">
        <is>
          <t>INV</t>
        </is>
      </c>
      <c r="E1383" s="102" t="n">
        <v>1560.01</v>
      </c>
      <c r="F1383" s="94" t="n">
        <v>6</v>
      </c>
      <c r="G1383" s="102" t="n">
        <v>0</v>
      </c>
      <c r="H1383" s="94" t="n">
        <v>0</v>
      </c>
    </row>
    <row r="1384" ht="15" customHeight="1" s="82">
      <c r="A1384" s="94" t="inlineStr">
        <is>
          <t>102 - Orthopedic institutes</t>
        </is>
      </c>
      <c r="B1384" s="94" t="inlineStr">
        <is>
          <t>C02233 זבוטובסקי ולרי</t>
        </is>
      </c>
      <c r="C1384" s="94" t="inlineStr">
        <is>
          <t>INV69178</t>
        </is>
      </c>
      <c r="D1384" s="94" t="inlineStr">
        <is>
          <t>INV</t>
        </is>
      </c>
      <c r="E1384" s="102" t="n">
        <v>0</v>
      </c>
      <c r="F1384" s="94" t="n">
        <v>0</v>
      </c>
      <c r="G1384" s="102" t="n">
        <v>1560.01</v>
      </c>
      <c r="H1384" s="94" t="n">
        <v>6</v>
      </c>
    </row>
    <row r="1385" ht="15" customHeight="1" s="82">
      <c r="A1385" s="94" t="inlineStr">
        <is>
          <t>102 - Orthopedic institutes</t>
        </is>
      </c>
      <c r="B1385" s="94" t="inlineStr">
        <is>
          <t>C02233 זבוטובסקי ולרי</t>
        </is>
      </c>
      <c r="C1385" s="94" t="inlineStr">
        <is>
          <t>INV68763</t>
        </is>
      </c>
      <c r="D1385" s="94" t="inlineStr">
        <is>
          <t>INV</t>
        </is>
      </c>
      <c r="E1385" s="102" t="n">
        <v>0</v>
      </c>
      <c r="F1385" s="94" t="n">
        <v>0</v>
      </c>
      <c r="G1385" s="102" t="n">
        <v>1560.01</v>
      </c>
      <c r="H1385" s="94" t="n">
        <v>6</v>
      </c>
    </row>
    <row r="1386" ht="15" customHeight="1" s="82">
      <c r="A1386" s="94" t="inlineStr">
        <is>
          <t>102 - Orthopedic institutes</t>
        </is>
      </c>
      <c r="B1386" s="94" t="inlineStr">
        <is>
          <t>C02233 זבוטובסקי ולרי</t>
        </is>
      </c>
      <c r="C1386" s="94" t="inlineStr">
        <is>
          <t>INV68687</t>
        </is>
      </c>
      <c r="D1386" s="94" t="inlineStr">
        <is>
          <t>INV</t>
        </is>
      </c>
      <c r="E1386" s="102" t="n">
        <v>0</v>
      </c>
      <c r="F1386" s="94" t="n">
        <v>0</v>
      </c>
      <c r="G1386" s="102" t="n">
        <v>1498.99</v>
      </c>
      <c r="H1386" s="94" t="n">
        <v>10</v>
      </c>
    </row>
    <row r="1387" ht="15" customHeight="1" s="82">
      <c r="A1387" s="94" t="inlineStr">
        <is>
          <t>102 - Orthopedic institutes</t>
        </is>
      </c>
      <c r="B1387" s="94" t="inlineStr">
        <is>
          <t>C02233 זבוטובסקי ולרי</t>
        </is>
      </c>
      <c r="C1387" s="94" t="inlineStr">
        <is>
          <t>INV42283</t>
        </is>
      </c>
      <c r="D1387" s="94" t="inlineStr">
        <is>
          <t>INV</t>
        </is>
      </c>
      <c r="E1387" s="102" t="n">
        <v>1332</v>
      </c>
      <c r="F1387" s="94" t="n">
        <v>6</v>
      </c>
      <c r="G1387" s="102" t="n">
        <v>0</v>
      </c>
      <c r="H1387" s="94" t="n">
        <v>0</v>
      </c>
    </row>
    <row r="1388" ht="15" customHeight="1" s="82">
      <c r="A1388" s="94" t="inlineStr">
        <is>
          <t>102 - Orthopedic institutes</t>
        </is>
      </c>
      <c r="B1388" s="94" t="inlineStr">
        <is>
          <t>C02233 זבוטובסקי ולרי</t>
        </is>
      </c>
      <c r="C1388" s="94" t="inlineStr">
        <is>
          <t>INV67905</t>
        </is>
      </c>
      <c r="D1388" s="94" t="inlineStr">
        <is>
          <t>INV</t>
        </is>
      </c>
      <c r="E1388" s="102" t="n">
        <v>0</v>
      </c>
      <c r="F1388" s="94" t="n">
        <v>0</v>
      </c>
      <c r="G1388" s="102" t="n">
        <v>1300.01</v>
      </c>
      <c r="H1388" s="94" t="n">
        <v>5</v>
      </c>
    </row>
    <row r="1389" ht="15" customHeight="1" s="82">
      <c r="A1389" s="94" t="inlineStr">
        <is>
          <t>102 - Orthopedic institutes</t>
        </is>
      </c>
      <c r="B1389" s="94" t="inlineStr">
        <is>
          <t>C02233 זבוטובסקי ולרי</t>
        </is>
      </c>
      <c r="C1389" s="94" t="inlineStr">
        <is>
          <t>INV55309</t>
        </is>
      </c>
      <c r="D1389" s="94" t="inlineStr">
        <is>
          <t>INV</t>
        </is>
      </c>
      <c r="E1389" s="102" t="n">
        <v>1300.01</v>
      </c>
      <c r="F1389" s="94" t="n">
        <v>5</v>
      </c>
      <c r="G1389" s="102" t="n">
        <v>0</v>
      </c>
      <c r="H1389" s="94" t="n">
        <v>0</v>
      </c>
    </row>
    <row r="1390" ht="15" customHeight="1" s="82">
      <c r="A1390" s="94" t="inlineStr">
        <is>
          <t>102 - Orthopedic institutes</t>
        </is>
      </c>
      <c r="B1390" s="94" t="inlineStr">
        <is>
          <t>C02233 זבוטובסקי ולרי</t>
        </is>
      </c>
      <c r="C1390" s="94" t="inlineStr">
        <is>
          <t>INV66773</t>
        </is>
      </c>
      <c r="D1390" s="94" t="inlineStr">
        <is>
          <t>INV</t>
        </is>
      </c>
      <c r="E1390" s="102" t="n">
        <v>1300.01</v>
      </c>
      <c r="F1390" s="94" t="n">
        <v>5</v>
      </c>
      <c r="G1390" s="102" t="n">
        <v>0</v>
      </c>
      <c r="H1390" s="94" t="n">
        <v>0</v>
      </c>
    </row>
    <row r="1391" ht="15" customHeight="1" s="82">
      <c r="A1391" s="94" t="inlineStr">
        <is>
          <t>102 - Orthopedic institutes</t>
        </is>
      </c>
      <c r="B1391" s="94" t="inlineStr">
        <is>
          <t>C02233 זבוטובסקי ולרי</t>
        </is>
      </c>
      <c r="C1391" s="94" t="inlineStr">
        <is>
          <t>INV58794</t>
        </is>
      </c>
      <c r="D1391" s="94" t="inlineStr">
        <is>
          <t>INV</t>
        </is>
      </c>
      <c r="E1391" s="102" t="n">
        <v>1300.01</v>
      </c>
      <c r="F1391" s="94" t="n">
        <v>5</v>
      </c>
      <c r="G1391" s="102" t="n">
        <v>0</v>
      </c>
      <c r="H1391" s="94" t="n">
        <v>0</v>
      </c>
    </row>
    <row r="1392" ht="15" customHeight="1" s="82">
      <c r="A1392" s="94" t="inlineStr">
        <is>
          <t>102 - Orthopedic institutes</t>
        </is>
      </c>
      <c r="B1392" s="94" t="inlineStr">
        <is>
          <t>C02233 זבוטובסקי ולרי</t>
        </is>
      </c>
      <c r="C1392" s="94" t="inlineStr">
        <is>
          <t>INV67671</t>
        </is>
      </c>
      <c r="D1392" s="94" t="inlineStr">
        <is>
          <t>INV</t>
        </is>
      </c>
      <c r="E1392" s="102" t="n">
        <v>0</v>
      </c>
      <c r="F1392" s="94" t="n">
        <v>0</v>
      </c>
      <c r="G1392" s="102" t="n">
        <v>1300.01</v>
      </c>
      <c r="H1392" s="94" t="n">
        <v>5</v>
      </c>
    </row>
    <row r="1393" ht="15" customHeight="1" s="82">
      <c r="A1393" s="94" t="inlineStr">
        <is>
          <t>102 - Orthopedic institutes</t>
        </is>
      </c>
      <c r="B1393" s="94" t="inlineStr">
        <is>
          <t>C02233 זבוטובסקי ולרי</t>
        </is>
      </c>
      <c r="C1393" s="94" t="inlineStr">
        <is>
          <t>INV53344</t>
        </is>
      </c>
      <c r="D1393" s="94" t="inlineStr">
        <is>
          <t>INV</t>
        </is>
      </c>
      <c r="E1393" s="102" t="n">
        <v>1300.01</v>
      </c>
      <c r="F1393" s="94" t="n">
        <v>5</v>
      </c>
      <c r="G1393" s="102" t="n">
        <v>0</v>
      </c>
      <c r="H1393" s="94" t="n">
        <v>0</v>
      </c>
    </row>
    <row r="1394" ht="15" customHeight="1" s="82">
      <c r="A1394" s="94" t="inlineStr">
        <is>
          <t>102 - Orthopedic institutes</t>
        </is>
      </c>
      <c r="B1394" s="94" t="inlineStr">
        <is>
          <t>C02233 זבוטובסקי ולרי</t>
        </is>
      </c>
      <c r="C1394" s="94" t="inlineStr">
        <is>
          <t>INV69311</t>
        </is>
      </c>
      <c r="D1394" s="94" t="inlineStr">
        <is>
          <t>INV</t>
        </is>
      </c>
      <c r="E1394" s="102" t="n">
        <v>0</v>
      </c>
      <c r="F1394" s="94" t="n">
        <v>0</v>
      </c>
      <c r="G1394" s="102" t="n">
        <v>1159.39</v>
      </c>
      <c r="H1394" s="94" t="n">
        <v>7</v>
      </c>
    </row>
    <row r="1395" ht="15" customHeight="1" s="82">
      <c r="A1395" s="94" t="inlineStr">
        <is>
          <t>102 - Orthopedic institutes</t>
        </is>
      </c>
      <c r="B1395" s="94" t="inlineStr">
        <is>
          <t>C02233 זבוטובסקי ולרי</t>
        </is>
      </c>
      <c r="C1395" s="94" t="inlineStr">
        <is>
          <t>INV47220</t>
        </is>
      </c>
      <c r="D1395" s="94" t="inlineStr">
        <is>
          <t>INV</t>
        </is>
      </c>
      <c r="E1395" s="102" t="n">
        <v>1110</v>
      </c>
      <c r="F1395" s="94" t="n">
        <v>5</v>
      </c>
      <c r="G1395" s="102" t="n">
        <v>0</v>
      </c>
      <c r="H1395" s="94" t="n">
        <v>0</v>
      </c>
    </row>
    <row r="1396" ht="15" customHeight="1" s="82">
      <c r="A1396" s="94" t="inlineStr">
        <is>
          <t>102 - Orthopedic institutes</t>
        </is>
      </c>
      <c r="B1396" s="94" t="inlineStr">
        <is>
          <t>C02233 זבוטובסקי ולרי</t>
        </is>
      </c>
      <c r="C1396" s="94" t="inlineStr">
        <is>
          <t>INV66844</t>
        </is>
      </c>
      <c r="D1396" s="94" t="inlineStr">
        <is>
          <t>INV</t>
        </is>
      </c>
      <c r="E1396" s="102" t="n">
        <v>1040.01</v>
      </c>
      <c r="F1396" s="94" t="n">
        <v>4</v>
      </c>
      <c r="G1396" s="102" t="n">
        <v>0</v>
      </c>
      <c r="H1396" s="94" t="n">
        <v>0</v>
      </c>
    </row>
    <row r="1397" ht="15" customHeight="1" s="82">
      <c r="A1397" s="94" t="inlineStr">
        <is>
          <t>102 - Orthopedic institutes</t>
        </is>
      </c>
      <c r="B1397" s="94" t="inlineStr">
        <is>
          <t>C02233 זבוטובסקי ולרי</t>
        </is>
      </c>
      <c r="C1397" s="94" t="inlineStr">
        <is>
          <t>INV68586</t>
        </is>
      </c>
      <c r="D1397" s="94" t="inlineStr">
        <is>
          <t>INV</t>
        </is>
      </c>
      <c r="E1397" s="102" t="n">
        <v>0</v>
      </c>
      <c r="F1397" s="94" t="n">
        <v>0</v>
      </c>
      <c r="G1397" s="102" t="n">
        <v>699.01</v>
      </c>
      <c r="H1397" s="94" t="n">
        <v>16</v>
      </c>
    </row>
    <row r="1398" ht="15" customHeight="1" s="82">
      <c r="A1398" s="94" t="inlineStr">
        <is>
          <t>102 - Orthopedic institutes</t>
        </is>
      </c>
      <c r="B1398" s="94" t="inlineStr">
        <is>
          <t>C02233 זבוטובסקי ולרי</t>
        </is>
      </c>
      <c r="C1398" s="94" t="inlineStr">
        <is>
          <t>INV55483</t>
        </is>
      </c>
      <c r="D1398" s="94" t="inlineStr">
        <is>
          <t>INV</t>
        </is>
      </c>
      <c r="E1398" s="102" t="n">
        <v>520</v>
      </c>
      <c r="F1398" s="94" t="n">
        <v>2</v>
      </c>
      <c r="G1398" s="102" t="n">
        <v>0</v>
      </c>
      <c r="H1398" s="94" t="n">
        <v>0</v>
      </c>
    </row>
    <row r="1399" ht="15" customHeight="1" s="82">
      <c r="A1399" s="94" t="inlineStr">
        <is>
          <t>102 - Orthopedic institutes</t>
        </is>
      </c>
      <c r="B1399" s="94" t="inlineStr">
        <is>
          <t>C02233 זבוטובסקי ולרי</t>
        </is>
      </c>
      <c r="C1399" s="94" t="inlineStr">
        <is>
          <t>CM44092</t>
        </is>
      </c>
      <c r="D1399" s="94" t="inlineStr">
        <is>
          <t>CM</t>
        </is>
      </c>
      <c r="E1399" s="102" t="n">
        <v>-880.2</v>
      </c>
      <c r="F1399" s="94" t="n">
        <v>-4</v>
      </c>
      <c r="G1399" s="102" t="n">
        <v>0</v>
      </c>
      <c r="H1399" s="94" t="n">
        <v>0</v>
      </c>
    </row>
    <row r="1400" ht="15" customHeight="1" s="82">
      <c r="A1400" s="94" t="inlineStr">
        <is>
          <t>102 - Orthopedic institutes</t>
        </is>
      </c>
      <c r="B1400" s="94" t="inlineStr">
        <is>
          <t>C02241 טיטלבוים אורטופדיה</t>
        </is>
      </c>
      <c r="C1400" s="94" t="inlineStr">
        <is>
          <t>INV58389</t>
        </is>
      </c>
      <c r="D1400" s="94" t="inlineStr">
        <is>
          <t>INV</t>
        </is>
      </c>
      <c r="E1400" s="102" t="n">
        <v>2080.02</v>
      </c>
      <c r="F1400" s="94" t="n">
        <v>6</v>
      </c>
      <c r="G1400" s="102" t="n">
        <v>0</v>
      </c>
      <c r="H1400" s="94" t="n">
        <v>0</v>
      </c>
    </row>
    <row r="1401" ht="15" customHeight="1" s="82">
      <c r="A1401" s="94" t="inlineStr">
        <is>
          <t>102 - Orthopedic institutes</t>
        </is>
      </c>
      <c r="B1401" s="94" t="inlineStr">
        <is>
          <t>C02262 בני בלאנס ב בלאנס</t>
        </is>
      </c>
      <c r="C1401" s="94" t="inlineStr">
        <is>
          <t>INV68550</t>
        </is>
      </c>
      <c r="D1401" s="94" t="inlineStr">
        <is>
          <t>INV</t>
        </is>
      </c>
      <c r="E1401" s="102" t="n">
        <v>0</v>
      </c>
      <c r="F1401" s="94" t="n">
        <v>0</v>
      </c>
      <c r="G1401" s="102" t="n">
        <v>252</v>
      </c>
      <c r="H1401" s="94" t="n">
        <v>2</v>
      </c>
    </row>
    <row r="1402" ht="15" customHeight="1" s="82">
      <c r="A1402" s="94" t="inlineStr">
        <is>
          <t>102 - Orthopedic institutes</t>
        </is>
      </c>
      <c r="B1402" s="94" t="inlineStr">
        <is>
          <t>C02262 בני בלאנס ב בלאנס</t>
        </is>
      </c>
      <c r="C1402" s="94" t="inlineStr">
        <is>
          <t>INV50511</t>
        </is>
      </c>
      <c r="D1402" s="94" t="inlineStr">
        <is>
          <t>INV</t>
        </is>
      </c>
      <c r="E1402" s="102" t="n">
        <v>252</v>
      </c>
      <c r="F1402" s="94" t="n">
        <v>2</v>
      </c>
      <c r="G1402" s="102" t="n">
        <v>0</v>
      </c>
      <c r="H1402" s="94" t="n">
        <v>0</v>
      </c>
    </row>
    <row r="1403" ht="15" customHeight="1" s="82">
      <c r="A1403" s="94" t="inlineStr">
        <is>
          <t>102 - Orthopedic institutes</t>
        </is>
      </c>
      <c r="B1403" s="94" t="inlineStr">
        <is>
          <t>C02263 ע.ר. שיקום</t>
        </is>
      </c>
      <c r="C1403" s="94" t="inlineStr">
        <is>
          <t>INV52158</t>
        </is>
      </c>
      <c r="D1403" s="94" t="inlineStr">
        <is>
          <t>INV</t>
        </is>
      </c>
      <c r="E1403" s="102" t="n">
        <v>2689.83</v>
      </c>
      <c r="F1403" s="94" t="n">
        <v>26</v>
      </c>
      <c r="G1403" s="102" t="n">
        <v>0</v>
      </c>
      <c r="H1403" s="94" t="n">
        <v>0</v>
      </c>
    </row>
    <row r="1404" ht="15" customHeight="1" s="82">
      <c r="A1404" s="94" t="inlineStr">
        <is>
          <t>102 - Orthopedic institutes</t>
        </is>
      </c>
      <c r="B1404" s="94" t="inlineStr">
        <is>
          <t>C02263 ע.ר. שיקום</t>
        </is>
      </c>
      <c r="C1404" s="94" t="inlineStr">
        <is>
          <t>INV68272</t>
        </is>
      </c>
      <c r="D1404" s="94" t="inlineStr">
        <is>
          <t>INV</t>
        </is>
      </c>
      <c r="E1404" s="102" t="n">
        <v>0</v>
      </c>
      <c r="F1404" s="94" t="n">
        <v>0</v>
      </c>
      <c r="G1404" s="102" t="n">
        <v>2419.24</v>
      </c>
      <c r="H1404" s="94" t="n">
        <v>15</v>
      </c>
    </row>
    <row r="1405" ht="15" customHeight="1" s="82">
      <c r="A1405" s="94" t="inlineStr">
        <is>
          <t>102 - Orthopedic institutes</t>
        </is>
      </c>
      <c r="B1405" s="94" t="inlineStr">
        <is>
          <t>C02263 ע.ר. שיקום</t>
        </is>
      </c>
      <c r="C1405" s="94" t="inlineStr">
        <is>
          <t>INV47478</t>
        </is>
      </c>
      <c r="D1405" s="94" t="inlineStr">
        <is>
          <t>INV</t>
        </is>
      </c>
      <c r="E1405" s="102" t="n">
        <v>2362.3</v>
      </c>
      <c r="F1405" s="94" t="n">
        <v>30</v>
      </c>
      <c r="G1405" s="102" t="n">
        <v>0</v>
      </c>
      <c r="H1405" s="94" t="n">
        <v>0</v>
      </c>
    </row>
    <row r="1406" ht="15" customHeight="1" s="82">
      <c r="A1406" s="94" t="inlineStr">
        <is>
          <t>102 - Orthopedic institutes</t>
        </is>
      </c>
      <c r="B1406" s="94" t="inlineStr">
        <is>
          <t>C02263 ע.ר. שיקום</t>
        </is>
      </c>
      <c r="C1406" s="94" t="inlineStr">
        <is>
          <t>INV59979</t>
        </is>
      </c>
      <c r="D1406" s="94" t="inlineStr">
        <is>
          <t>INV</t>
        </is>
      </c>
      <c r="E1406" s="102" t="n">
        <v>1405.18</v>
      </c>
      <c r="F1406" s="94" t="n">
        <v>16</v>
      </c>
      <c r="G1406" s="102" t="n">
        <v>0</v>
      </c>
      <c r="H1406" s="94" t="n">
        <v>0</v>
      </c>
    </row>
    <row r="1407" ht="15" customHeight="1" s="82">
      <c r="A1407" s="94" t="inlineStr">
        <is>
          <t>102 - Orthopedic institutes</t>
        </is>
      </c>
      <c r="B1407" s="94" t="inlineStr">
        <is>
          <t>C02263 ע.ר. שיקום</t>
        </is>
      </c>
      <c r="C1407" s="94" t="inlineStr">
        <is>
          <t>INV62004</t>
        </is>
      </c>
      <c r="D1407" s="94" t="inlineStr">
        <is>
          <t>INV</t>
        </is>
      </c>
      <c r="E1407" s="102" t="n">
        <v>1397.11</v>
      </c>
      <c r="F1407" s="94" t="n">
        <v>14</v>
      </c>
      <c r="G1407" s="102" t="n">
        <v>0</v>
      </c>
      <c r="H1407" s="94" t="n">
        <v>0</v>
      </c>
    </row>
    <row r="1408" ht="15" customHeight="1" s="82">
      <c r="A1408" s="94" t="inlineStr">
        <is>
          <t>102 - Orthopedic institutes</t>
        </is>
      </c>
      <c r="B1408" s="94" t="inlineStr">
        <is>
          <t>C02263 ע.ר. שיקום</t>
        </is>
      </c>
      <c r="C1408" s="94" t="inlineStr">
        <is>
          <t>INV53352</t>
        </is>
      </c>
      <c r="D1408" s="94" t="inlineStr">
        <is>
          <t>INV</t>
        </is>
      </c>
      <c r="E1408" s="102" t="n">
        <v>1155</v>
      </c>
      <c r="F1408" s="94" t="n">
        <v>7</v>
      </c>
      <c r="G1408" s="102" t="n">
        <v>0</v>
      </c>
      <c r="H1408" s="94" t="n">
        <v>0</v>
      </c>
    </row>
    <row r="1409" ht="15" customHeight="1" s="82">
      <c r="A1409" s="94" t="inlineStr">
        <is>
          <t>102 - Orthopedic institutes</t>
        </is>
      </c>
      <c r="B1409" s="94" t="inlineStr">
        <is>
          <t>C02263 ע.ר. שיקום</t>
        </is>
      </c>
      <c r="C1409" s="94" t="inlineStr">
        <is>
          <t>INV65978</t>
        </is>
      </c>
      <c r="D1409" s="94" t="inlineStr">
        <is>
          <t>INV</t>
        </is>
      </c>
      <c r="E1409" s="102" t="n">
        <v>1004.72</v>
      </c>
      <c r="F1409" s="94" t="n">
        <v>11</v>
      </c>
      <c r="G1409" s="102" t="n">
        <v>0</v>
      </c>
      <c r="H1409" s="94" t="n">
        <v>0</v>
      </c>
    </row>
    <row r="1410" ht="15" customHeight="1" s="82">
      <c r="A1410" s="94" t="inlineStr">
        <is>
          <t>102 - Orthopedic institutes</t>
        </is>
      </c>
      <c r="B1410" s="94" t="inlineStr">
        <is>
          <t>C02263 ע.ר. שיקום</t>
        </is>
      </c>
      <c r="C1410" s="94" t="inlineStr">
        <is>
          <t>INV63545</t>
        </is>
      </c>
      <c r="D1410" s="94" t="inlineStr">
        <is>
          <t>INV</t>
        </is>
      </c>
      <c r="E1410" s="102" t="n">
        <v>993.04</v>
      </c>
      <c r="F1410" s="94" t="n">
        <v>12</v>
      </c>
      <c r="G1410" s="102" t="n">
        <v>0</v>
      </c>
      <c r="H1410" s="94" t="n">
        <v>0</v>
      </c>
    </row>
    <row r="1411" ht="15" customHeight="1" s="82">
      <c r="A1411" s="94" t="inlineStr">
        <is>
          <t>102 - Orthopedic institutes</t>
        </is>
      </c>
      <c r="B1411" s="94" t="inlineStr">
        <is>
          <t>C02263 ע.ר. שיקום</t>
        </is>
      </c>
      <c r="C1411" s="94" t="inlineStr">
        <is>
          <t>INV67457</t>
        </is>
      </c>
      <c r="D1411" s="94" t="inlineStr">
        <is>
          <t>INV</t>
        </is>
      </c>
      <c r="E1411" s="102" t="n">
        <v>0</v>
      </c>
      <c r="F1411" s="94" t="n">
        <v>0</v>
      </c>
      <c r="G1411" s="102" t="n">
        <v>850.01</v>
      </c>
      <c r="H1411" s="94" t="n">
        <v>5</v>
      </c>
    </row>
    <row r="1412" ht="15" customHeight="1" s="82">
      <c r="A1412" s="94" t="inlineStr">
        <is>
          <t>102 - Orthopedic institutes</t>
        </is>
      </c>
      <c r="B1412" s="94" t="inlineStr">
        <is>
          <t>C02263 ע.ר. שיקום</t>
        </is>
      </c>
      <c r="C1412" s="94" t="inlineStr">
        <is>
          <t>INV67375</t>
        </is>
      </c>
      <c r="D1412" s="94" t="inlineStr">
        <is>
          <t>INV</t>
        </is>
      </c>
      <c r="E1412" s="102" t="n">
        <v>0</v>
      </c>
      <c r="F1412" s="94" t="n">
        <v>0</v>
      </c>
      <c r="G1412" s="102" t="n">
        <v>720</v>
      </c>
      <c r="H1412" s="94" t="n">
        <v>8</v>
      </c>
    </row>
    <row r="1413" ht="15" customHeight="1" s="82">
      <c r="A1413" s="94" t="inlineStr">
        <is>
          <t>102 - Orthopedic institutes</t>
        </is>
      </c>
      <c r="B1413" s="94" t="inlineStr">
        <is>
          <t>C02263 ע.ר. שיקום</t>
        </is>
      </c>
      <c r="C1413" s="94" t="inlineStr">
        <is>
          <t>INV68518</t>
        </is>
      </c>
      <c r="D1413" s="94" t="inlineStr">
        <is>
          <t>INV</t>
        </is>
      </c>
      <c r="E1413" s="102" t="n">
        <v>0</v>
      </c>
      <c r="F1413" s="94" t="n">
        <v>0</v>
      </c>
      <c r="G1413" s="102" t="n">
        <v>702.86</v>
      </c>
      <c r="H1413" s="94" t="n">
        <v>5</v>
      </c>
    </row>
    <row r="1414" ht="15" customHeight="1" s="82">
      <c r="A1414" s="94" t="inlineStr">
        <is>
          <t>102 - Orthopedic institutes</t>
        </is>
      </c>
      <c r="B1414" s="94" t="inlineStr">
        <is>
          <t>C02263 ע.ר. שיקום</t>
        </is>
      </c>
      <c r="C1414" s="94" t="inlineStr">
        <is>
          <t>INV49251</t>
        </is>
      </c>
      <c r="D1414" s="94" t="inlineStr">
        <is>
          <t>INV</t>
        </is>
      </c>
      <c r="E1414" s="102" t="n">
        <v>690</v>
      </c>
      <c r="F1414" s="94" t="n">
        <v>10</v>
      </c>
      <c r="G1414" s="102" t="n">
        <v>0</v>
      </c>
      <c r="H1414" s="94" t="n">
        <v>0</v>
      </c>
    </row>
    <row r="1415" ht="15" customHeight="1" s="82">
      <c r="A1415" s="94" t="inlineStr">
        <is>
          <t>102 - Orthopedic institutes</t>
        </is>
      </c>
      <c r="B1415" s="94" t="inlineStr">
        <is>
          <t>C02263 ע.ר. שיקום</t>
        </is>
      </c>
      <c r="C1415" s="94" t="inlineStr">
        <is>
          <t>INV67901</t>
        </is>
      </c>
      <c r="D1415" s="94" t="inlineStr">
        <is>
          <t>INV</t>
        </is>
      </c>
      <c r="E1415" s="102" t="n">
        <v>0</v>
      </c>
      <c r="F1415" s="94" t="n">
        <v>0</v>
      </c>
      <c r="G1415" s="102" t="n">
        <v>491.36</v>
      </c>
      <c r="H1415" s="94" t="n">
        <v>11</v>
      </c>
    </row>
    <row r="1416" ht="15" customHeight="1" s="82">
      <c r="A1416" s="94" t="inlineStr">
        <is>
          <t>102 - Orthopedic institutes</t>
        </is>
      </c>
      <c r="B1416" s="94" t="inlineStr">
        <is>
          <t>C02263 ע.ר. שיקום</t>
        </is>
      </c>
      <c r="C1416" s="94" t="inlineStr">
        <is>
          <t>INV67814</t>
        </is>
      </c>
      <c r="D1416" s="94" t="inlineStr">
        <is>
          <t>INV</t>
        </is>
      </c>
      <c r="E1416" s="102" t="n">
        <v>0</v>
      </c>
      <c r="F1416" s="94" t="n">
        <v>0</v>
      </c>
      <c r="G1416" s="102" t="n">
        <v>449.47</v>
      </c>
      <c r="H1416" s="94" t="n">
        <v>10</v>
      </c>
    </row>
    <row r="1417" ht="15" customHeight="1" s="82">
      <c r="A1417" s="94" t="inlineStr">
        <is>
          <t>102 - Orthopedic institutes</t>
        </is>
      </c>
      <c r="B1417" s="94" t="inlineStr">
        <is>
          <t>C02263 ע.ר. שיקום</t>
        </is>
      </c>
      <c r="C1417" s="94" t="inlineStr">
        <is>
          <t>INV68724</t>
        </is>
      </c>
      <c r="D1417" s="94" t="inlineStr">
        <is>
          <t>INV</t>
        </is>
      </c>
      <c r="E1417" s="102" t="n">
        <v>0</v>
      </c>
      <c r="F1417" s="94" t="n">
        <v>0</v>
      </c>
      <c r="G1417" s="102" t="n">
        <v>449.47</v>
      </c>
      <c r="H1417" s="94" t="n">
        <v>10</v>
      </c>
    </row>
    <row r="1418" ht="15" customHeight="1" s="82">
      <c r="A1418" s="94" t="inlineStr">
        <is>
          <t>102 - Orthopedic institutes</t>
        </is>
      </c>
      <c r="B1418" s="94" t="inlineStr">
        <is>
          <t>C02263 ע.ר. שיקום</t>
        </is>
      </c>
      <c r="C1418" s="94" t="inlineStr">
        <is>
          <t>INV67919</t>
        </is>
      </c>
      <c r="D1418" s="94" t="inlineStr">
        <is>
          <t>INV</t>
        </is>
      </c>
      <c r="E1418" s="102" t="n">
        <v>0</v>
      </c>
      <c r="F1418" s="94" t="n">
        <v>0</v>
      </c>
      <c r="G1418" s="102" t="n">
        <v>433.09</v>
      </c>
      <c r="H1418" s="94" t="n">
        <v>10</v>
      </c>
    </row>
    <row r="1419" ht="15" customHeight="1" s="82">
      <c r="A1419" s="94" t="inlineStr">
        <is>
          <t>102 - Orthopedic institutes</t>
        </is>
      </c>
      <c r="B1419" s="94" t="inlineStr">
        <is>
          <t>C02263 ע.ר. שיקום</t>
        </is>
      </c>
      <c r="C1419" s="94" t="inlineStr">
        <is>
          <t>INV66669</t>
        </is>
      </c>
      <c r="D1419" s="94" t="inlineStr">
        <is>
          <t>INV</t>
        </is>
      </c>
      <c r="E1419" s="102" t="n">
        <v>385.03</v>
      </c>
      <c r="F1419" s="94" t="n">
        <v>2</v>
      </c>
      <c r="G1419" s="102" t="n">
        <v>0</v>
      </c>
      <c r="H1419" s="94" t="n">
        <v>0</v>
      </c>
    </row>
    <row r="1420" ht="15" customHeight="1" s="82">
      <c r="A1420" s="94" t="inlineStr">
        <is>
          <t>102 - Orthopedic institutes</t>
        </is>
      </c>
      <c r="B1420" s="94" t="inlineStr">
        <is>
          <t>C02263 ע.ר. שיקום</t>
        </is>
      </c>
      <c r="C1420" s="94" t="inlineStr">
        <is>
          <t>INV52562</t>
        </is>
      </c>
      <c r="D1420" s="94" t="inlineStr">
        <is>
          <t>INV</t>
        </is>
      </c>
      <c r="E1420" s="102" t="n">
        <v>270</v>
      </c>
      <c r="F1420" s="94" t="n">
        <v>3</v>
      </c>
      <c r="G1420" s="102" t="n">
        <v>0</v>
      </c>
      <c r="H1420" s="94" t="n">
        <v>0</v>
      </c>
    </row>
    <row r="1421" ht="15" customHeight="1" s="82">
      <c r="A1421" s="94" t="inlineStr">
        <is>
          <t>102 - Orthopedic institutes</t>
        </is>
      </c>
      <c r="B1421" s="94" t="inlineStr">
        <is>
          <t>C02263 ע.ר. שיקום</t>
        </is>
      </c>
      <c r="C1421" s="94" t="inlineStr">
        <is>
          <t>INV66003</t>
        </is>
      </c>
      <c r="D1421" s="94" t="inlineStr">
        <is>
          <t>INV</t>
        </is>
      </c>
      <c r="E1421" s="102" t="n">
        <v>234.11</v>
      </c>
      <c r="F1421" s="94" t="n">
        <v>5</v>
      </c>
      <c r="G1421" s="102" t="n">
        <v>0</v>
      </c>
      <c r="H1421" s="94" t="n">
        <v>0</v>
      </c>
    </row>
    <row r="1422" ht="15" customHeight="1" s="82">
      <c r="A1422" s="94" t="inlineStr">
        <is>
          <t>102 - Orthopedic institutes</t>
        </is>
      </c>
      <c r="B1422" s="94" t="inlineStr">
        <is>
          <t>C02263 ע.ר. שיקום</t>
        </is>
      </c>
      <c r="C1422" s="94" t="inlineStr">
        <is>
          <t>INV49704</t>
        </is>
      </c>
      <c r="D1422" s="94" t="inlineStr">
        <is>
          <t>INV</t>
        </is>
      </c>
      <c r="E1422" s="102" t="n">
        <v>183.54</v>
      </c>
      <c r="F1422" s="94" t="n">
        <v>4</v>
      </c>
      <c r="G1422" s="102" t="n">
        <v>0</v>
      </c>
      <c r="H1422" s="94" t="n">
        <v>0</v>
      </c>
    </row>
    <row r="1423" ht="15" customHeight="1" s="82">
      <c r="A1423" s="94" t="inlineStr">
        <is>
          <t>102 - Orthopedic institutes</t>
        </is>
      </c>
      <c r="B1423" s="94" t="inlineStr">
        <is>
          <t>C02263 ע.ר. שיקום</t>
        </is>
      </c>
      <c r="C1423" s="94" t="inlineStr">
        <is>
          <t>CM44387</t>
        </is>
      </c>
      <c r="D1423" s="94" t="inlineStr">
        <is>
          <t>CM</t>
        </is>
      </c>
      <c r="E1423" s="102" t="n">
        <v>0</v>
      </c>
      <c r="F1423" s="94" t="n">
        <v>0</v>
      </c>
      <c r="G1423" s="102" t="n">
        <v>-385.03</v>
      </c>
      <c r="H1423" s="94" t="n">
        <v>-2</v>
      </c>
    </row>
    <row r="1424" ht="15" customHeight="1" s="82">
      <c r="A1424" s="94" t="inlineStr">
        <is>
          <t>102 - Orthopedic institutes</t>
        </is>
      </c>
      <c r="B1424" s="94" t="inlineStr">
        <is>
          <t>C02263 ע.ר. שיקום</t>
        </is>
      </c>
      <c r="C1424" s="94" t="inlineStr">
        <is>
          <t>CM43609</t>
        </is>
      </c>
      <c r="D1424" s="94" t="inlineStr">
        <is>
          <t>CM</t>
        </is>
      </c>
      <c r="E1424" s="102" t="n">
        <v>-570</v>
      </c>
      <c r="F1424" s="94" t="n">
        <v>-6</v>
      </c>
      <c r="G1424" s="102" t="n">
        <v>0</v>
      </c>
      <c r="H1424" s="94" t="n">
        <v>0</v>
      </c>
    </row>
    <row r="1425" ht="15" customHeight="1" s="82">
      <c r="A1425" s="94" t="inlineStr">
        <is>
          <t>102 - Orthopedic institutes</t>
        </is>
      </c>
      <c r="B1425" s="94" t="inlineStr">
        <is>
          <t>C02279 אורטופדיק מדיקל דניאלציק אברהם</t>
        </is>
      </c>
      <c r="C1425" s="94" t="inlineStr">
        <is>
          <t>INV42080</t>
        </is>
      </c>
      <c r="D1425" s="94" t="inlineStr">
        <is>
          <t>INV</t>
        </is>
      </c>
      <c r="E1425" s="102" t="n">
        <v>1795.19</v>
      </c>
      <c r="F1425" s="94" t="n">
        <v>14</v>
      </c>
      <c r="G1425" s="102" t="n">
        <v>0</v>
      </c>
      <c r="H1425" s="94" t="n">
        <v>0</v>
      </c>
    </row>
    <row r="1426" ht="15" customHeight="1" s="82">
      <c r="A1426" s="94" t="inlineStr">
        <is>
          <t>102 - Orthopedic institutes</t>
        </is>
      </c>
      <c r="B1426" s="94" t="inlineStr">
        <is>
          <t>C02279 אורטופדיק מדיקל דניאלציק אברהם</t>
        </is>
      </c>
      <c r="C1426" s="94" t="inlineStr">
        <is>
          <t>INV42195</t>
        </is>
      </c>
      <c r="D1426" s="94" t="inlineStr">
        <is>
          <t>INV</t>
        </is>
      </c>
      <c r="E1426" s="102" t="n">
        <v>1284.68</v>
      </c>
      <c r="F1426" s="94" t="n">
        <v>14</v>
      </c>
      <c r="G1426" s="102" t="n">
        <v>0</v>
      </c>
      <c r="H1426" s="94" t="n">
        <v>0</v>
      </c>
    </row>
    <row r="1427" ht="15" customHeight="1" s="82">
      <c r="A1427" s="94" t="inlineStr">
        <is>
          <t>102 - Orthopedic institutes</t>
        </is>
      </c>
      <c r="B1427" s="94" t="inlineStr">
        <is>
          <t>C02279 אורטופדיק מדיקל דניאלציק אברהם</t>
        </is>
      </c>
      <c r="C1427" s="94" t="inlineStr">
        <is>
          <t>INV42196</t>
        </is>
      </c>
      <c r="D1427" s="94" t="inlineStr">
        <is>
          <t>INV</t>
        </is>
      </c>
      <c r="E1427" s="102" t="n">
        <v>1191.13</v>
      </c>
      <c r="F1427" s="94" t="n">
        <v>13</v>
      </c>
      <c r="G1427" s="102" t="n">
        <v>0</v>
      </c>
      <c r="H1427" s="94" t="n">
        <v>0</v>
      </c>
    </row>
    <row r="1428" ht="15" customHeight="1" s="82">
      <c r="A1428" s="94" t="inlineStr">
        <is>
          <t>102 - Orthopedic institutes</t>
        </is>
      </c>
      <c r="B1428" s="94" t="inlineStr">
        <is>
          <t>C02279 אורטופדיק מדיקל דניאלציק אברהם</t>
        </is>
      </c>
      <c r="C1428" s="94" t="inlineStr">
        <is>
          <t>INV45244</t>
        </is>
      </c>
      <c r="D1428" s="94" t="inlineStr">
        <is>
          <t>INV</t>
        </is>
      </c>
      <c r="E1428" s="102" t="n">
        <v>992.38</v>
      </c>
      <c r="F1428" s="94" t="n">
        <v>6</v>
      </c>
      <c r="G1428" s="102" t="n">
        <v>0</v>
      </c>
      <c r="H1428" s="94" t="n">
        <v>0</v>
      </c>
    </row>
    <row r="1429" ht="15" customHeight="1" s="82">
      <c r="A1429" s="94" t="inlineStr">
        <is>
          <t>102 - Orthopedic institutes</t>
        </is>
      </c>
      <c r="B1429" s="94" t="inlineStr">
        <is>
          <t>C02279 אורטופדיק מדיקל דניאלציק אברהם</t>
        </is>
      </c>
      <c r="C1429" s="94" t="inlineStr">
        <is>
          <t>INV44219</t>
        </is>
      </c>
      <c r="D1429" s="94" t="inlineStr">
        <is>
          <t>INV</t>
        </is>
      </c>
      <c r="E1429" s="102" t="n">
        <v>547</v>
      </c>
      <c r="F1429" s="94" t="n">
        <v>4</v>
      </c>
      <c r="G1429" s="102" t="n">
        <v>0</v>
      </c>
      <c r="H1429" s="94" t="n">
        <v>0</v>
      </c>
    </row>
    <row r="1430" ht="15" customHeight="1" s="82">
      <c r="A1430" s="94" t="inlineStr">
        <is>
          <t>102 - Orthopedic institutes</t>
        </is>
      </c>
      <c r="B1430" s="94" t="inlineStr">
        <is>
          <t>C02279 אורטופדיק מדיקל דניאלציק אברהם</t>
        </is>
      </c>
      <c r="C1430" s="94" t="inlineStr">
        <is>
          <t>INV60770</t>
        </is>
      </c>
      <c r="D1430" s="94" t="inlineStr">
        <is>
          <t>INV</t>
        </is>
      </c>
      <c r="E1430" s="102" t="n">
        <v>360</v>
      </c>
      <c r="F1430" s="94" t="n">
        <v>2</v>
      </c>
      <c r="G1430" s="102" t="n">
        <v>0</v>
      </c>
      <c r="H1430" s="94" t="n">
        <v>0</v>
      </c>
    </row>
    <row r="1431" ht="15" customHeight="1" s="82">
      <c r="A1431" s="94" t="inlineStr">
        <is>
          <t>102 - Orthopedic institutes</t>
        </is>
      </c>
      <c r="B1431" s="94" t="inlineStr">
        <is>
          <t>C02279 אורטופדיק מדיקל דניאלציק אברהם</t>
        </is>
      </c>
      <c r="C1431" s="94" t="inlineStr">
        <is>
          <t>CM43338</t>
        </is>
      </c>
      <c r="D1431" s="94" t="inlineStr">
        <is>
          <t>CM</t>
        </is>
      </c>
      <c r="E1431" s="102" t="n">
        <v>-1284.68</v>
      </c>
      <c r="F1431" s="94" t="n">
        <v>-14</v>
      </c>
      <c r="G1431" s="102" t="n">
        <v>0</v>
      </c>
      <c r="H1431" s="94" t="n">
        <v>0</v>
      </c>
    </row>
    <row r="1432" ht="15" customHeight="1" s="82">
      <c r="A1432" s="94" t="inlineStr">
        <is>
          <t>102 - Orthopedic institutes</t>
        </is>
      </c>
      <c r="B1432" s="94" t="inlineStr">
        <is>
          <t>C02279 אורטופדיק מדיקל דניאלציק אברהם</t>
        </is>
      </c>
      <c r="C1432" s="94" t="inlineStr">
        <is>
          <t>CM43337</t>
        </is>
      </c>
      <c r="D1432" s="94" t="inlineStr">
        <is>
          <t>CM</t>
        </is>
      </c>
      <c r="E1432" s="102" t="n">
        <v>-1795.19</v>
      </c>
      <c r="F1432" s="94" t="n">
        <v>-14</v>
      </c>
      <c r="G1432" s="102" t="n">
        <v>0</v>
      </c>
      <c r="H1432" s="94" t="n">
        <v>0</v>
      </c>
    </row>
    <row r="1433" ht="15" customHeight="1" s="82">
      <c r="A1433" s="94" t="inlineStr">
        <is>
          <t>102 - Orthopedic institutes</t>
        </is>
      </c>
      <c r="B1433" s="94" t="inlineStr">
        <is>
          <t>C02280 הלוי אומן האורטופדיה</t>
        </is>
      </c>
      <c r="C1433" s="94" t="inlineStr">
        <is>
          <t>INV68694</t>
        </is>
      </c>
      <c r="D1433" s="94" t="inlineStr">
        <is>
          <t>INV</t>
        </is>
      </c>
      <c r="E1433" s="102" t="n">
        <v>0</v>
      </c>
      <c r="F1433" s="94" t="n">
        <v>0</v>
      </c>
      <c r="G1433" s="102" t="n">
        <v>535.99</v>
      </c>
      <c r="H1433" s="94" t="n">
        <v>2</v>
      </c>
    </row>
    <row r="1434" ht="15" customHeight="1" s="82">
      <c r="A1434" s="94" t="inlineStr">
        <is>
          <t>102 - Orthopedic institutes</t>
        </is>
      </c>
      <c r="B1434" s="94" t="inlineStr">
        <is>
          <t>C02280 הלוי אומן האורטופדיה</t>
        </is>
      </c>
      <c r="C1434" s="94" t="inlineStr">
        <is>
          <t>INV43727</t>
        </is>
      </c>
      <c r="D1434" s="94" t="inlineStr">
        <is>
          <t>INV</t>
        </is>
      </c>
      <c r="E1434" s="102" t="n">
        <v>462.75</v>
      </c>
      <c r="F1434" s="94" t="n">
        <v>3</v>
      </c>
      <c r="G1434" s="102" t="n">
        <v>0</v>
      </c>
      <c r="H1434" s="94" t="n">
        <v>0</v>
      </c>
    </row>
    <row r="1435" ht="15" customHeight="1" s="82">
      <c r="A1435" s="94" t="inlineStr">
        <is>
          <t>102 - Orthopedic institutes</t>
        </is>
      </c>
      <c r="B1435" s="94" t="inlineStr">
        <is>
          <t>C02286 ראם אורטופדיה בע"מ</t>
        </is>
      </c>
      <c r="C1435" s="94" t="inlineStr">
        <is>
          <t>INV50500</t>
        </is>
      </c>
      <c r="D1435" s="94" t="inlineStr">
        <is>
          <t>INV</t>
        </is>
      </c>
      <c r="E1435" s="102" t="n">
        <v>1348.96</v>
      </c>
      <c r="F1435" s="94" t="n">
        <v>32</v>
      </c>
      <c r="G1435" s="102" t="n">
        <v>0</v>
      </c>
      <c r="H1435" s="94" t="n">
        <v>0</v>
      </c>
    </row>
    <row r="1436" ht="15" customHeight="1" s="82">
      <c r="A1436" s="94" t="inlineStr">
        <is>
          <t>102 - Orthopedic institutes</t>
        </is>
      </c>
      <c r="B1436" s="94" t="inlineStr">
        <is>
          <t>C02286 ראם אורטופדיה בע"מ</t>
        </is>
      </c>
      <c r="C1436" s="94" t="inlineStr">
        <is>
          <t>INV67247</t>
        </is>
      </c>
      <c r="D1436" s="94" t="inlineStr">
        <is>
          <t>INV</t>
        </is>
      </c>
      <c r="E1436" s="102" t="n">
        <v>0</v>
      </c>
      <c r="F1436" s="94" t="n">
        <v>0</v>
      </c>
      <c r="G1436" s="102" t="n">
        <v>1168.44</v>
      </c>
      <c r="H1436" s="94" t="n">
        <v>44</v>
      </c>
    </row>
    <row r="1437" ht="15" customHeight="1" s="82">
      <c r="A1437" s="94" t="inlineStr">
        <is>
          <t>102 - Orthopedic institutes</t>
        </is>
      </c>
      <c r="B1437" s="94" t="inlineStr">
        <is>
          <t>C02286 ראם אורטופדיה בע"מ</t>
        </is>
      </c>
      <c r="C1437" s="94" t="inlineStr">
        <is>
          <t>INV63546</t>
        </is>
      </c>
      <c r="D1437" s="94" t="inlineStr">
        <is>
          <t>INV</t>
        </is>
      </c>
      <c r="E1437" s="102" t="n">
        <v>884.61</v>
      </c>
      <c r="F1437" s="94" t="n">
        <v>42</v>
      </c>
      <c r="G1437" s="102" t="n">
        <v>0</v>
      </c>
      <c r="H1437" s="94" t="n">
        <v>0</v>
      </c>
    </row>
    <row r="1438" ht="15" customHeight="1" s="82">
      <c r="A1438" s="94" t="inlineStr">
        <is>
          <t>102 - Orthopedic institutes</t>
        </is>
      </c>
      <c r="B1438" s="94" t="inlineStr">
        <is>
          <t>C02289 רן כהן</t>
        </is>
      </c>
      <c r="C1438" s="94" t="inlineStr">
        <is>
          <t>INV69154</t>
        </is>
      </c>
      <c r="D1438" s="94" t="inlineStr">
        <is>
          <t>INV</t>
        </is>
      </c>
      <c r="E1438" s="102" t="n">
        <v>0</v>
      </c>
      <c r="F1438" s="94" t="n">
        <v>0</v>
      </c>
      <c r="G1438" s="102" t="n">
        <v>1600.02</v>
      </c>
      <c r="H1438" s="94" t="n">
        <v>8</v>
      </c>
    </row>
    <row r="1439" ht="15" customHeight="1" s="82">
      <c r="A1439" s="94" t="inlineStr">
        <is>
          <t>102 - Orthopedic institutes</t>
        </is>
      </c>
      <c r="B1439" s="94" t="inlineStr">
        <is>
          <t>C02289 רן כהן</t>
        </is>
      </c>
      <c r="C1439" s="94" t="inlineStr">
        <is>
          <t>INV65893</t>
        </is>
      </c>
      <c r="D1439" s="94" t="inlineStr">
        <is>
          <t>INV</t>
        </is>
      </c>
      <c r="E1439" s="102" t="n">
        <v>888</v>
      </c>
      <c r="F1439" s="94" t="n">
        <v>4</v>
      </c>
      <c r="G1439" s="102" t="n">
        <v>0</v>
      </c>
      <c r="H1439" s="94" t="n">
        <v>0</v>
      </c>
    </row>
    <row r="1440" ht="15" customHeight="1" s="82">
      <c r="A1440" s="94" t="inlineStr">
        <is>
          <t>102 - Orthopedic institutes</t>
        </is>
      </c>
      <c r="B1440" s="94" t="inlineStr">
        <is>
          <t>C02289 רן כהן</t>
        </is>
      </c>
      <c r="C1440" s="94" t="inlineStr">
        <is>
          <t>INV61996</t>
        </is>
      </c>
      <c r="D1440" s="94" t="inlineStr">
        <is>
          <t>INV</t>
        </is>
      </c>
      <c r="E1440" s="102" t="n">
        <v>749.97</v>
      </c>
      <c r="F1440" s="94" t="n">
        <v>36</v>
      </c>
      <c r="G1440" s="102" t="n">
        <v>0</v>
      </c>
      <c r="H1440" s="94" t="n">
        <v>0</v>
      </c>
    </row>
    <row r="1441" ht="15" customHeight="1" s="82">
      <c r="A1441" s="94" t="inlineStr">
        <is>
          <t>102 - Orthopedic institutes</t>
        </is>
      </c>
      <c r="B1441" s="94" t="inlineStr">
        <is>
          <t>C02289 רן כהן</t>
        </is>
      </c>
      <c r="C1441" s="94" t="inlineStr">
        <is>
          <t>INV59565</t>
        </is>
      </c>
      <c r="D1441" s="94" t="inlineStr">
        <is>
          <t>INV</t>
        </is>
      </c>
      <c r="E1441" s="102" t="n">
        <v>666</v>
      </c>
      <c r="F1441" s="94" t="n">
        <v>3</v>
      </c>
      <c r="G1441" s="102" t="n">
        <v>0</v>
      </c>
      <c r="H1441" s="94" t="n">
        <v>0</v>
      </c>
    </row>
    <row r="1442" ht="15" customHeight="1" s="82">
      <c r="A1442" s="94" t="inlineStr">
        <is>
          <t>102 - Orthopedic institutes</t>
        </is>
      </c>
      <c r="B1442" s="94" t="inlineStr">
        <is>
          <t>C02289 רן כהן</t>
        </is>
      </c>
      <c r="C1442" s="94" t="inlineStr">
        <is>
          <t>INV63505</t>
        </is>
      </c>
      <c r="D1442" s="94" t="inlineStr">
        <is>
          <t>INV</t>
        </is>
      </c>
      <c r="E1442" s="102" t="n">
        <v>420.01</v>
      </c>
      <c r="F1442" s="94" t="n">
        <v>3</v>
      </c>
      <c r="G1442" s="102" t="n">
        <v>0</v>
      </c>
      <c r="H1442" s="94" t="n">
        <v>0</v>
      </c>
    </row>
    <row r="1443" ht="15" customHeight="1" s="82">
      <c r="A1443" s="94" t="inlineStr">
        <is>
          <t>102 - Orthopedic institutes</t>
        </is>
      </c>
      <c r="B1443" s="94" t="inlineStr">
        <is>
          <t>C02289 רן כהן</t>
        </is>
      </c>
      <c r="C1443" s="94" t="inlineStr">
        <is>
          <t>INV61654</t>
        </is>
      </c>
      <c r="D1443" s="94" t="inlineStr">
        <is>
          <t>INV</t>
        </is>
      </c>
      <c r="E1443" s="102" t="n">
        <v>389.99</v>
      </c>
      <c r="F1443" s="94" t="n">
        <v>3</v>
      </c>
      <c r="G1443" s="102" t="n">
        <v>0</v>
      </c>
      <c r="H1443" s="94" t="n">
        <v>0</v>
      </c>
    </row>
    <row r="1444" ht="15" customHeight="1" s="82">
      <c r="A1444" s="94" t="inlineStr">
        <is>
          <t>102 - Orthopedic institutes</t>
        </is>
      </c>
      <c r="B1444" s="94" t="inlineStr">
        <is>
          <t>C02289 רן כהן</t>
        </is>
      </c>
      <c r="C1444" s="94" t="inlineStr">
        <is>
          <t>CM44687</t>
        </is>
      </c>
      <c r="D1444" s="94" t="inlineStr">
        <is>
          <t>CM</t>
        </is>
      </c>
      <c r="E1444" s="102" t="n">
        <v>0</v>
      </c>
      <c r="F1444" s="94" t="n">
        <v>0</v>
      </c>
      <c r="G1444" s="102" t="n">
        <v>-389.99</v>
      </c>
      <c r="H1444" s="94" t="n">
        <v>-3</v>
      </c>
    </row>
    <row r="1445" ht="15" customHeight="1" s="82">
      <c r="A1445" s="94" t="inlineStr">
        <is>
          <t>102 - Orthopedic institutes</t>
        </is>
      </c>
      <c r="B1445" s="94" t="inlineStr">
        <is>
          <t>C02289 רן כהן</t>
        </is>
      </c>
      <c r="C1445" s="94" t="inlineStr">
        <is>
          <t>CM44060</t>
        </is>
      </c>
      <c r="D1445" s="94" t="inlineStr">
        <is>
          <t>CM</t>
        </is>
      </c>
      <c r="E1445" s="102" t="n">
        <v>-749.97</v>
      </c>
      <c r="F1445" s="94" t="n">
        <v>-36</v>
      </c>
      <c r="G1445" s="102" t="n">
        <v>0</v>
      </c>
      <c r="H1445" s="94" t="n">
        <v>0</v>
      </c>
    </row>
    <row r="1446" ht="15" customHeight="1" s="82">
      <c r="A1446" s="94" t="inlineStr">
        <is>
          <t>102 - Orthopedic institutes</t>
        </is>
      </c>
      <c r="B1446" s="94" t="inlineStr">
        <is>
          <t>C02293 מבס איתי אורטופדיה קלינית</t>
        </is>
      </c>
      <c r="C1446" s="94" t="inlineStr">
        <is>
          <t>INV61645</t>
        </is>
      </c>
      <c r="D1446" s="94" t="inlineStr">
        <is>
          <t>INV</t>
        </is>
      </c>
      <c r="E1446" s="102" t="n">
        <v>254.25</v>
      </c>
      <c r="F1446" s="94" t="n">
        <v>2</v>
      </c>
      <c r="G1446" s="102" t="n">
        <v>0</v>
      </c>
      <c r="H1446" s="94" t="n">
        <v>0</v>
      </c>
    </row>
    <row r="1447" ht="15" customHeight="1" s="82">
      <c r="A1447" s="94" t="inlineStr">
        <is>
          <t>102 - Orthopedic institutes</t>
        </is>
      </c>
      <c r="B1447" s="94" t="inlineStr">
        <is>
          <t>C02294 מיקי אורטופדיה בע"מ</t>
        </is>
      </c>
      <c r="C1447" s="94" t="inlineStr">
        <is>
          <t>INV61657</t>
        </is>
      </c>
      <c r="D1447" s="94" t="inlineStr">
        <is>
          <t>INV</t>
        </is>
      </c>
      <c r="E1447" s="102" t="n">
        <v>1300.01</v>
      </c>
      <c r="F1447" s="94" t="n">
        <v>5</v>
      </c>
      <c r="G1447" s="102" t="n">
        <v>0</v>
      </c>
      <c r="H1447" s="94" t="n">
        <v>0</v>
      </c>
    </row>
    <row r="1448" ht="15" customHeight="1" s="82">
      <c r="A1448" s="94" t="inlineStr">
        <is>
          <t>102 - Orthopedic institutes</t>
        </is>
      </c>
      <c r="B1448" s="94" t="inlineStr">
        <is>
          <t>C02296 אורטופדיק פלוס יוסף דדי</t>
        </is>
      </c>
      <c r="C1448" s="94" t="inlineStr">
        <is>
          <t>INV65489</t>
        </is>
      </c>
      <c r="D1448" s="94" t="inlineStr">
        <is>
          <t>INV</t>
        </is>
      </c>
      <c r="E1448" s="102" t="n">
        <v>2116.81</v>
      </c>
      <c r="F1448" s="94" t="n">
        <v>23</v>
      </c>
      <c r="G1448" s="102" t="n">
        <v>0</v>
      </c>
      <c r="H1448" s="94" t="n">
        <v>0</v>
      </c>
    </row>
    <row r="1449" ht="15" customHeight="1" s="82">
      <c r="A1449" s="94" t="inlineStr">
        <is>
          <t>102 - Orthopedic institutes</t>
        </is>
      </c>
      <c r="B1449" s="94" t="inlineStr">
        <is>
          <t>C02299 גנאים מוחמד</t>
        </is>
      </c>
      <c r="C1449" s="94" t="inlineStr">
        <is>
          <t>INV67336</t>
        </is>
      </c>
      <c r="D1449" s="94" t="inlineStr">
        <is>
          <t>INV</t>
        </is>
      </c>
      <c r="E1449" s="102" t="n">
        <v>0</v>
      </c>
      <c r="F1449" s="94" t="n">
        <v>0</v>
      </c>
      <c r="G1449" s="102" t="n">
        <v>878.75</v>
      </c>
      <c r="H1449" s="94" t="n">
        <v>7</v>
      </c>
    </row>
    <row r="1450" ht="15" customHeight="1" s="82">
      <c r="A1450" s="94" t="inlineStr">
        <is>
          <t>102 - Orthopedic institutes</t>
        </is>
      </c>
      <c r="B1450" s="94" t="inlineStr">
        <is>
          <t>C02299 גנאים מוחמד</t>
        </is>
      </c>
      <c r="C1450" s="94" t="inlineStr">
        <is>
          <t>INV66254</t>
        </is>
      </c>
      <c r="D1450" s="94" t="inlineStr">
        <is>
          <t>INV</t>
        </is>
      </c>
      <c r="E1450" s="102" t="n">
        <v>646.9299999999999</v>
      </c>
      <c r="F1450" s="94" t="n">
        <v>11</v>
      </c>
      <c r="G1450" s="102" t="n">
        <v>0</v>
      </c>
      <c r="H1450" s="94" t="n">
        <v>0</v>
      </c>
    </row>
    <row r="1451" ht="15" customHeight="1" s="82">
      <c r="A1451" s="94" t="inlineStr">
        <is>
          <t>102 - Orthopedic institutes</t>
        </is>
      </c>
      <c r="B1451" s="94" t="inlineStr">
        <is>
          <t>C02299 גנאים מוחמד</t>
        </is>
      </c>
      <c r="C1451" s="94" t="inlineStr">
        <is>
          <t>INV69195</t>
        </is>
      </c>
      <c r="D1451" s="94" t="inlineStr">
        <is>
          <t>INV</t>
        </is>
      </c>
      <c r="E1451" s="102" t="n">
        <v>0</v>
      </c>
      <c r="F1451" s="94" t="n">
        <v>0</v>
      </c>
      <c r="G1451" s="102" t="n">
        <v>643.5700000000001</v>
      </c>
      <c r="H1451" s="94" t="n">
        <v>6</v>
      </c>
    </row>
    <row r="1452" ht="15" customHeight="1" s="82">
      <c r="A1452" s="94" t="inlineStr">
        <is>
          <t>102 - Orthopedic institutes</t>
        </is>
      </c>
      <c r="B1452" s="94" t="inlineStr">
        <is>
          <t>C02299 גנאים מוחמד</t>
        </is>
      </c>
      <c r="C1452" s="94" t="inlineStr">
        <is>
          <t>INV68761</t>
        </is>
      </c>
      <c r="D1452" s="94" t="inlineStr">
        <is>
          <t>INV</t>
        </is>
      </c>
      <c r="E1452" s="102" t="n">
        <v>0</v>
      </c>
      <c r="F1452" s="94" t="n">
        <v>0</v>
      </c>
      <c r="G1452" s="102" t="n">
        <v>520</v>
      </c>
      <c r="H1452" s="94" t="n">
        <v>2</v>
      </c>
    </row>
    <row r="1453" ht="15" customHeight="1" s="82">
      <c r="A1453" s="94" t="inlineStr">
        <is>
          <t>102 - Orthopedic institutes</t>
        </is>
      </c>
      <c r="B1453" s="94" t="inlineStr">
        <is>
          <t>C02299 גנאים מוחמד</t>
        </is>
      </c>
      <c r="C1453" s="94" t="inlineStr">
        <is>
          <t>INV68747</t>
        </is>
      </c>
      <c r="D1453" s="94" t="inlineStr">
        <is>
          <t>INV</t>
        </is>
      </c>
      <c r="E1453" s="102" t="n">
        <v>0</v>
      </c>
      <c r="F1453" s="94" t="n">
        <v>0</v>
      </c>
      <c r="G1453" s="102" t="n">
        <v>520</v>
      </c>
      <c r="H1453" s="94" t="n">
        <v>2</v>
      </c>
    </row>
    <row r="1454" ht="15" customHeight="1" s="82">
      <c r="A1454" s="94" t="inlineStr">
        <is>
          <t>102 - Orthopedic institutes</t>
        </is>
      </c>
      <c r="B1454" s="94" t="inlineStr">
        <is>
          <t>C02299 גנאים מוחמד</t>
        </is>
      </c>
      <c r="C1454" s="94" t="inlineStr">
        <is>
          <t>INV67487</t>
        </is>
      </c>
      <c r="D1454" s="94" t="inlineStr">
        <is>
          <t>INV</t>
        </is>
      </c>
      <c r="E1454" s="102" t="n">
        <v>0</v>
      </c>
      <c r="F1454" s="94" t="n">
        <v>0</v>
      </c>
      <c r="G1454" s="102" t="n">
        <v>520</v>
      </c>
      <c r="H1454" s="94" t="n">
        <v>2</v>
      </c>
    </row>
    <row r="1455" ht="15" customHeight="1" s="82">
      <c r="A1455" s="94" t="inlineStr">
        <is>
          <t>102 - Orthopedic institutes</t>
        </is>
      </c>
      <c r="B1455" s="94" t="inlineStr">
        <is>
          <t>C02299 גנאים מוחמד</t>
        </is>
      </c>
      <c r="C1455" s="94" t="inlineStr">
        <is>
          <t>INV67429</t>
        </is>
      </c>
      <c r="D1455" s="94" t="inlineStr">
        <is>
          <t>INV</t>
        </is>
      </c>
      <c r="E1455" s="102" t="n">
        <v>0</v>
      </c>
      <c r="F1455" s="94" t="n">
        <v>0</v>
      </c>
      <c r="G1455" s="102" t="n">
        <v>519.5</v>
      </c>
      <c r="H1455" s="94" t="n">
        <v>2</v>
      </c>
    </row>
    <row r="1456" ht="15" customHeight="1" s="82">
      <c r="A1456" s="94" t="inlineStr">
        <is>
          <t>102 - Orthopedic institutes</t>
        </is>
      </c>
      <c r="B1456" s="94" t="inlineStr">
        <is>
          <t>C02299 גנאים מוחמד</t>
        </is>
      </c>
      <c r="C1456" s="94" t="inlineStr">
        <is>
          <t>INV67967</t>
        </is>
      </c>
      <c r="D1456" s="94" t="inlineStr">
        <is>
          <t>INV</t>
        </is>
      </c>
      <c r="E1456" s="102" t="n">
        <v>0</v>
      </c>
      <c r="F1456" s="94" t="n">
        <v>0</v>
      </c>
      <c r="G1456" s="102" t="n">
        <v>270</v>
      </c>
      <c r="H1456" s="94" t="n">
        <v>3</v>
      </c>
    </row>
    <row r="1457" ht="15" customHeight="1" s="82">
      <c r="A1457" s="94" t="inlineStr">
        <is>
          <t>102 - Orthopedic institutes</t>
        </is>
      </c>
      <c r="B1457" s="94" t="inlineStr">
        <is>
          <t>C02299 גנאים מוחמד</t>
        </is>
      </c>
      <c r="C1457" s="94" t="inlineStr">
        <is>
          <t>INV66688</t>
        </is>
      </c>
      <c r="D1457" s="94" t="inlineStr">
        <is>
          <t>INV</t>
        </is>
      </c>
      <c r="E1457" s="102" t="n">
        <v>270</v>
      </c>
      <c r="F1457" s="94" t="n">
        <v>3</v>
      </c>
      <c r="G1457" s="102" t="n">
        <v>0</v>
      </c>
      <c r="H1457" s="94" t="n">
        <v>0</v>
      </c>
    </row>
    <row r="1458" ht="15" customHeight="1" s="82">
      <c r="A1458" s="94" t="inlineStr">
        <is>
          <t>102 - Orthopedic institutes</t>
        </is>
      </c>
      <c r="B1458" s="94" t="inlineStr">
        <is>
          <t>C02299 גנאים מוחמד</t>
        </is>
      </c>
      <c r="C1458" s="94" t="inlineStr">
        <is>
          <t>INV67194</t>
        </is>
      </c>
      <c r="D1458" s="94" t="inlineStr">
        <is>
          <t>INV</t>
        </is>
      </c>
      <c r="E1458" s="102" t="n">
        <v>0</v>
      </c>
      <c r="F1458" s="94" t="n">
        <v>0</v>
      </c>
      <c r="G1458" s="102" t="n">
        <v>150</v>
      </c>
      <c r="H1458" s="94" t="n">
        <v>2</v>
      </c>
    </row>
    <row r="1459" ht="15" customHeight="1" s="82">
      <c r="A1459" s="94" t="inlineStr">
        <is>
          <t>102 - Orthopedic institutes</t>
        </is>
      </c>
      <c r="B1459" s="94" t="inlineStr">
        <is>
          <t>C02299 גנאים מוחמד</t>
        </is>
      </c>
      <c r="C1459" s="94" t="inlineStr">
        <is>
          <t>INV66757</t>
        </is>
      </c>
      <c r="D1459" s="94" t="inlineStr">
        <is>
          <t>INV</t>
        </is>
      </c>
      <c r="E1459" s="102" t="n">
        <v>133.54</v>
      </c>
      <c r="F1459" s="94" t="n">
        <v>1</v>
      </c>
      <c r="G1459" s="102" t="n">
        <v>0</v>
      </c>
      <c r="H1459" s="94" t="n">
        <v>0</v>
      </c>
    </row>
    <row r="1460" ht="15" customHeight="1" s="82">
      <c r="A1460" s="94" t="inlineStr">
        <is>
          <t>102 - Orthopedic institutes</t>
        </is>
      </c>
      <c r="B1460" s="94" t="inlineStr">
        <is>
          <t>C02299 גנאים מוחמד</t>
        </is>
      </c>
      <c r="C1460" s="94" t="inlineStr">
        <is>
          <t>CM44693</t>
        </is>
      </c>
      <c r="D1460" s="94" t="inlineStr">
        <is>
          <t>CM</t>
        </is>
      </c>
      <c r="E1460" s="102" t="n">
        <v>0</v>
      </c>
      <c r="F1460" s="94" t="n">
        <v>0</v>
      </c>
      <c r="G1460" s="102" t="n">
        <v>-643.5700000000001</v>
      </c>
      <c r="H1460" s="94" t="n">
        <v>-6</v>
      </c>
    </row>
    <row r="1461" ht="15" customHeight="1" s="82">
      <c r="A1461" s="94" t="inlineStr">
        <is>
          <t>102 - Orthopedic institutes</t>
        </is>
      </c>
      <c r="B1461" s="94" t="inlineStr">
        <is>
          <t>C02301 צעד בטבע בע"מ</t>
        </is>
      </c>
      <c r="C1461" s="94" t="inlineStr">
        <is>
          <t>INV66607</t>
        </is>
      </c>
      <c r="D1461" s="94" t="inlineStr">
        <is>
          <t>INV</t>
        </is>
      </c>
      <c r="E1461" s="102" t="n">
        <v>6231.88</v>
      </c>
      <c r="F1461" s="94" t="n">
        <v>90</v>
      </c>
      <c r="G1461" s="102" t="n">
        <v>0</v>
      </c>
      <c r="H1461" s="94" t="n">
        <v>0</v>
      </c>
    </row>
    <row r="1462" ht="15" customHeight="1" s="82">
      <c r="A1462" s="94" t="inlineStr">
        <is>
          <t>102 - Orthopedic institutes</t>
        </is>
      </c>
      <c r="B1462" s="94" t="inlineStr">
        <is>
          <t>C02301 צעד בטבע בע"מ</t>
        </is>
      </c>
      <c r="C1462" s="94" t="inlineStr">
        <is>
          <t>INV69026</t>
        </is>
      </c>
      <c r="D1462" s="94" t="inlineStr">
        <is>
          <t>INV</t>
        </is>
      </c>
      <c r="E1462" s="102" t="n">
        <v>0</v>
      </c>
      <c r="F1462" s="94" t="n">
        <v>0</v>
      </c>
      <c r="G1462" s="102" t="n">
        <v>2439.76</v>
      </c>
      <c r="H1462" s="94" t="n">
        <v>39</v>
      </c>
    </row>
    <row r="1463" ht="15" customHeight="1" s="82">
      <c r="A1463" s="94" t="inlineStr">
        <is>
          <t>102 - Orthopedic institutes</t>
        </is>
      </c>
      <c r="B1463" s="94" t="inlineStr">
        <is>
          <t>C02301 צעד בטבע בע"מ</t>
        </is>
      </c>
      <c r="C1463" s="94" t="inlineStr">
        <is>
          <t>INV66751</t>
        </is>
      </c>
      <c r="D1463" s="94" t="inlineStr">
        <is>
          <t>INV</t>
        </is>
      </c>
      <c r="E1463" s="102" t="n">
        <v>1790.3</v>
      </c>
      <c r="F1463" s="94" t="n">
        <v>21</v>
      </c>
      <c r="G1463" s="102" t="n">
        <v>0</v>
      </c>
      <c r="H1463" s="94" t="n">
        <v>0</v>
      </c>
    </row>
    <row r="1464" ht="15" customHeight="1" s="82">
      <c r="A1464" s="94" t="inlineStr">
        <is>
          <t>102 - Orthopedic institutes</t>
        </is>
      </c>
      <c r="B1464" s="94" t="inlineStr">
        <is>
          <t>C02301 צעד בטבע בע"מ</t>
        </is>
      </c>
      <c r="C1464" s="94" t="inlineStr">
        <is>
          <t>INV69146</t>
        </is>
      </c>
      <c r="D1464" s="94" t="inlineStr">
        <is>
          <t>INV</t>
        </is>
      </c>
      <c r="E1464" s="102" t="n">
        <v>0</v>
      </c>
      <c r="F1464" s="94" t="n">
        <v>0</v>
      </c>
      <c r="G1464" s="102" t="n">
        <v>1034.43</v>
      </c>
      <c r="H1464" s="94" t="n">
        <v>29</v>
      </c>
    </row>
    <row r="1465" ht="15" customHeight="1" s="82">
      <c r="A1465" s="94" t="inlineStr">
        <is>
          <t>102 - Orthopedic institutes</t>
        </is>
      </c>
      <c r="B1465" s="94" t="inlineStr">
        <is>
          <t>C02301 צעד בטבע בע"מ</t>
        </is>
      </c>
      <c r="C1465" s="94" t="inlineStr">
        <is>
          <t>INV67483</t>
        </is>
      </c>
      <c r="D1465" s="94" t="inlineStr">
        <is>
          <t>INV</t>
        </is>
      </c>
      <c r="E1465" s="102" t="n">
        <v>0</v>
      </c>
      <c r="F1465" s="94" t="n">
        <v>0</v>
      </c>
      <c r="G1465" s="102" t="n">
        <v>1026.91</v>
      </c>
      <c r="H1465" s="94" t="n">
        <v>9</v>
      </c>
    </row>
    <row r="1466" ht="15" customHeight="1" s="82">
      <c r="A1466" s="94" t="inlineStr">
        <is>
          <t>102 - Orthopedic institutes</t>
        </is>
      </c>
      <c r="B1466" s="94" t="inlineStr">
        <is>
          <t>C02301 צעד בטבע בע"מ</t>
        </is>
      </c>
      <c r="C1466" s="94" t="inlineStr">
        <is>
          <t>INV68411</t>
        </is>
      </c>
      <c r="D1466" s="94" t="inlineStr">
        <is>
          <t>INV</t>
        </is>
      </c>
      <c r="E1466" s="102" t="n">
        <v>0</v>
      </c>
      <c r="F1466" s="94" t="n">
        <v>0</v>
      </c>
      <c r="G1466" s="102" t="n">
        <v>861.04</v>
      </c>
      <c r="H1466" s="94" t="n">
        <v>23</v>
      </c>
    </row>
    <row r="1467" ht="15" customHeight="1" s="82">
      <c r="A1467" s="94" t="inlineStr">
        <is>
          <t>102 - Orthopedic institutes</t>
        </is>
      </c>
      <c r="B1467" s="94" t="inlineStr">
        <is>
          <t>C02301 צעד בטבע בע"מ</t>
        </is>
      </c>
      <c r="C1467" s="94" t="inlineStr">
        <is>
          <t>INV67399</t>
        </is>
      </c>
      <c r="D1467" s="94" t="inlineStr">
        <is>
          <t>INV</t>
        </is>
      </c>
      <c r="E1467" s="102" t="n">
        <v>0</v>
      </c>
      <c r="F1467" s="94" t="n">
        <v>0</v>
      </c>
      <c r="G1467" s="102" t="n">
        <v>808.97</v>
      </c>
      <c r="H1467" s="94" t="n">
        <v>13</v>
      </c>
    </row>
    <row r="1468" ht="15" customHeight="1" s="82">
      <c r="A1468" s="94" t="inlineStr">
        <is>
          <t>102 - Orthopedic institutes</t>
        </is>
      </c>
      <c r="B1468" s="94" t="inlineStr">
        <is>
          <t>C02301 צעד בטבע בע"מ</t>
        </is>
      </c>
      <c r="C1468" s="94" t="inlineStr">
        <is>
          <t>INV67005</t>
        </is>
      </c>
      <c r="D1468" s="94" t="inlineStr">
        <is>
          <t>INV</t>
        </is>
      </c>
      <c r="E1468" s="102" t="n">
        <v>806.3</v>
      </c>
      <c r="F1468" s="94" t="n">
        <v>13</v>
      </c>
      <c r="G1468" s="102" t="n">
        <v>0</v>
      </c>
      <c r="H1468" s="94" t="n">
        <v>0</v>
      </c>
    </row>
    <row r="1469" ht="15" customHeight="1" s="82">
      <c r="A1469" s="94" t="inlineStr">
        <is>
          <t>102 - Orthopedic institutes</t>
        </is>
      </c>
      <c r="B1469" s="94" t="inlineStr">
        <is>
          <t>C02301 צעד בטבע בע"מ</t>
        </is>
      </c>
      <c r="C1469" s="94" t="inlineStr">
        <is>
          <t>INV66649</t>
        </is>
      </c>
      <c r="D1469" s="94" t="inlineStr">
        <is>
          <t>INV</t>
        </is>
      </c>
      <c r="E1469" s="102" t="n">
        <v>569.09</v>
      </c>
      <c r="F1469" s="94" t="n">
        <v>9</v>
      </c>
      <c r="G1469" s="102" t="n">
        <v>0</v>
      </c>
      <c r="H1469" s="94" t="n">
        <v>0</v>
      </c>
    </row>
    <row r="1470" ht="15" customHeight="1" s="82">
      <c r="A1470" s="94" t="inlineStr">
        <is>
          <t>102 - Orthopedic institutes</t>
        </is>
      </c>
      <c r="B1470" s="94" t="inlineStr">
        <is>
          <t>C02301 צעד בטבע בע"מ</t>
        </is>
      </c>
      <c r="C1470" s="94" t="inlineStr">
        <is>
          <t>INV67659</t>
        </is>
      </c>
      <c r="D1470" s="94" t="inlineStr">
        <is>
          <t>INV</t>
        </is>
      </c>
      <c r="E1470" s="102" t="n">
        <v>0</v>
      </c>
      <c r="F1470" s="94" t="n">
        <v>0</v>
      </c>
      <c r="G1470" s="102" t="n">
        <v>519.65</v>
      </c>
      <c r="H1470" s="94" t="n">
        <v>3</v>
      </c>
    </row>
    <row r="1471" ht="15" customHeight="1" s="82">
      <c r="A1471" s="94" t="inlineStr">
        <is>
          <t>102 - Orthopedic institutes</t>
        </is>
      </c>
      <c r="B1471" s="94" t="inlineStr">
        <is>
          <t>C02301 צעד בטבע בע"מ</t>
        </is>
      </c>
      <c r="C1471" s="94" t="inlineStr">
        <is>
          <t>INV67183</t>
        </is>
      </c>
      <c r="D1471" s="94" t="inlineStr">
        <is>
          <t>INV</t>
        </is>
      </c>
      <c r="E1471" s="102" t="n">
        <v>0</v>
      </c>
      <c r="F1471" s="94" t="n">
        <v>0</v>
      </c>
      <c r="G1471" s="102" t="n">
        <v>318.42</v>
      </c>
      <c r="H1471" s="94" t="n">
        <v>6</v>
      </c>
    </row>
    <row r="1472" ht="15" customHeight="1" s="82">
      <c r="A1472" s="94" t="inlineStr">
        <is>
          <t>102 - Orthopedic institutes</t>
        </is>
      </c>
      <c r="B1472" s="94" t="inlineStr">
        <is>
          <t>C02301 צעד בטבע בע"מ</t>
        </is>
      </c>
      <c r="C1472" s="94" t="inlineStr">
        <is>
          <t>INV67732</t>
        </is>
      </c>
      <c r="D1472" s="94" t="inlineStr">
        <is>
          <t>INV</t>
        </is>
      </c>
      <c r="E1472" s="102" t="n">
        <v>0</v>
      </c>
      <c r="F1472" s="94" t="n">
        <v>0</v>
      </c>
      <c r="G1472" s="102" t="n">
        <v>307.84</v>
      </c>
      <c r="H1472" s="94" t="n">
        <v>4</v>
      </c>
    </row>
    <row r="1473" ht="15" customHeight="1" s="82">
      <c r="A1473" s="94" t="inlineStr">
        <is>
          <t>102 - Orthopedic institutes</t>
        </is>
      </c>
      <c r="B1473" s="94" t="inlineStr">
        <is>
          <t>C02301 צעד בטבע בע"מ</t>
        </is>
      </c>
      <c r="C1473" s="94" t="inlineStr">
        <is>
          <t>INV66777</t>
        </is>
      </c>
      <c r="D1473" s="94" t="inlineStr">
        <is>
          <t>INV</t>
        </is>
      </c>
      <c r="E1473" s="102" t="n">
        <v>240</v>
      </c>
      <c r="F1473" s="94" t="n">
        <v>2</v>
      </c>
      <c r="G1473" s="102" t="n">
        <v>0</v>
      </c>
      <c r="H1473" s="94" t="n">
        <v>0</v>
      </c>
    </row>
    <row r="1474" ht="15" customHeight="1" s="82">
      <c r="A1474" s="94" t="inlineStr">
        <is>
          <t>102 - Orthopedic institutes</t>
        </is>
      </c>
      <c r="B1474" s="94" t="inlineStr">
        <is>
          <t>C02301 צעד בטבע בע"מ</t>
        </is>
      </c>
      <c r="C1474" s="94" t="inlineStr">
        <is>
          <t>INV67486</t>
        </is>
      </c>
      <c r="D1474" s="94" t="inlineStr">
        <is>
          <t>INV</t>
        </is>
      </c>
      <c r="E1474" s="102" t="n">
        <v>0</v>
      </c>
      <c r="F1474" s="94" t="n">
        <v>0</v>
      </c>
      <c r="G1474" s="102" t="n">
        <v>42.13</v>
      </c>
      <c r="H1474" s="94" t="n">
        <v>1</v>
      </c>
    </row>
    <row r="1475" ht="15" customHeight="1" s="82">
      <c r="A1475" s="94" t="inlineStr">
        <is>
          <t>102 - Orthopedic institutes</t>
        </is>
      </c>
      <c r="B1475" s="94" t="inlineStr">
        <is>
          <t>C02301 צעד בטבע בע"מ</t>
        </is>
      </c>
      <c r="C1475" s="94" t="inlineStr">
        <is>
          <t>INV66676</t>
        </is>
      </c>
      <c r="D1475" s="94" t="inlineStr">
        <is>
          <t>INV</t>
        </is>
      </c>
      <c r="E1475" s="102" t="n">
        <v>0.01</v>
      </c>
      <c r="F1475" s="94" t="n">
        <v>1</v>
      </c>
      <c r="G1475" s="102" t="n">
        <v>0</v>
      </c>
      <c r="H1475" s="94" t="n">
        <v>0</v>
      </c>
    </row>
    <row r="1476" ht="15" customHeight="1" s="82">
      <c r="A1476" s="94" t="inlineStr">
        <is>
          <t>102 - Orthopedic institutes</t>
        </is>
      </c>
      <c r="B1476" s="94" t="inlineStr">
        <is>
          <t>C02301 צעד בטבע בע"מ</t>
        </is>
      </c>
      <c r="C1476" s="94" t="inlineStr">
        <is>
          <t>INV66641</t>
        </is>
      </c>
      <c r="D1476" s="94" t="inlineStr">
        <is>
          <t>INV</t>
        </is>
      </c>
      <c r="E1476" s="102" t="n">
        <v>0</v>
      </c>
      <c r="F1476" s="94" t="n">
        <v>1</v>
      </c>
      <c r="G1476" s="102" t="n">
        <v>0</v>
      </c>
      <c r="H1476" s="94" t="n">
        <v>0</v>
      </c>
    </row>
    <row r="1477" ht="15" customHeight="1" s="82">
      <c r="A1477" s="94" t="inlineStr">
        <is>
          <t>102 - Orthopedic institutes</t>
        </is>
      </c>
      <c r="B1477" s="94" t="inlineStr">
        <is>
          <t>C02301 צעד בטבע בע"מ</t>
        </is>
      </c>
      <c r="C1477" s="94" t="inlineStr">
        <is>
          <t>CM44289</t>
        </is>
      </c>
      <c r="D1477" s="94" t="inlineStr">
        <is>
          <t>CM</t>
        </is>
      </c>
      <c r="E1477" s="102" t="n">
        <v>0</v>
      </c>
      <c r="F1477" s="94" t="n">
        <v>0</v>
      </c>
      <c r="G1477" s="102" t="n">
        <v>-139.99</v>
      </c>
      <c r="H1477" s="94" t="n">
        <v>-2</v>
      </c>
    </row>
    <row r="1478" ht="15" customHeight="1" s="82">
      <c r="A1478" s="94" t="inlineStr">
        <is>
          <t>102 - Orthopedic institutes</t>
        </is>
      </c>
      <c r="B1478" s="94" t="inlineStr">
        <is>
          <t>C02301 צעד בטבע בע"מ</t>
        </is>
      </c>
      <c r="C1478" s="94" t="inlineStr">
        <is>
          <t>CM44455</t>
        </is>
      </c>
      <c r="D1478" s="94" t="inlineStr">
        <is>
          <t>CM</t>
        </is>
      </c>
      <c r="E1478" s="102" t="n">
        <v>0</v>
      </c>
      <c r="F1478" s="94" t="n">
        <v>0</v>
      </c>
      <c r="G1478" s="102" t="n">
        <v>-861.04</v>
      </c>
      <c r="H1478" s="94" t="n">
        <v>-23</v>
      </c>
    </row>
    <row r="1479" ht="15" customHeight="1" s="82">
      <c r="A1479" s="94" t="inlineStr">
        <is>
          <t>102 - Orthopedic institutes</t>
        </is>
      </c>
      <c r="B1479" s="94" t="inlineStr">
        <is>
          <t>C02302 רושיטה בע"מ</t>
        </is>
      </c>
      <c r="C1479" s="94" t="inlineStr">
        <is>
          <t>INV67195</t>
        </is>
      </c>
      <c r="D1479" s="94" t="inlineStr">
        <is>
          <t>INV</t>
        </is>
      </c>
      <c r="E1479" s="102" t="n">
        <v>0</v>
      </c>
      <c r="F1479" s="94" t="n">
        <v>0</v>
      </c>
      <c r="G1479" s="102" t="n">
        <v>997.6900000000001</v>
      </c>
      <c r="H1479" s="94" t="n">
        <v>15</v>
      </c>
    </row>
    <row r="1480" ht="15" customHeight="1" s="82">
      <c r="A1480" s="94" t="inlineStr">
        <is>
          <t>102 - Orthopedic institutes</t>
        </is>
      </c>
      <c r="B1480" s="94" t="inlineStr">
        <is>
          <t>C02306 לאדימו בעמ</t>
        </is>
      </c>
      <c r="C1480" s="94" t="inlineStr">
        <is>
          <t>INV66817</t>
        </is>
      </c>
      <c r="D1480" s="94" t="inlineStr">
        <is>
          <t>INV</t>
        </is>
      </c>
      <c r="E1480" s="102" t="n">
        <v>8872.719999999999</v>
      </c>
      <c r="F1480" s="94" t="n">
        <v>102</v>
      </c>
      <c r="G1480" s="102" t="n">
        <v>0</v>
      </c>
      <c r="H1480" s="94" t="n">
        <v>0</v>
      </c>
    </row>
    <row r="1481" ht="15" customHeight="1" s="82">
      <c r="A1481" s="94" t="inlineStr">
        <is>
          <t>102 - Orthopedic institutes</t>
        </is>
      </c>
      <c r="B1481" s="94" t="inlineStr">
        <is>
          <t>C02306 לאדימו בעמ</t>
        </is>
      </c>
      <c r="C1481" s="94" t="inlineStr">
        <is>
          <t>INV66818</t>
        </is>
      </c>
      <c r="D1481" s="94" t="inlineStr">
        <is>
          <t>INV</t>
        </is>
      </c>
      <c r="E1481" s="102" t="n">
        <v>3036.01</v>
      </c>
      <c r="F1481" s="94" t="n">
        <v>71</v>
      </c>
      <c r="G1481" s="102" t="n">
        <v>0</v>
      </c>
      <c r="H1481" s="94" t="n">
        <v>0</v>
      </c>
    </row>
    <row r="1482" ht="15" customHeight="1" s="82">
      <c r="A1482" s="94" t="inlineStr">
        <is>
          <t>102 - Orthopedic institutes</t>
        </is>
      </c>
      <c r="B1482" s="94" t="inlineStr">
        <is>
          <t>C02308 לב האורטופדיה ספורטה חניה אילנה</t>
        </is>
      </c>
      <c r="C1482" s="94" t="inlineStr">
        <is>
          <t>INV68440</t>
        </is>
      </c>
      <c r="D1482" s="94" t="inlineStr">
        <is>
          <t>INV</t>
        </is>
      </c>
      <c r="E1482" s="102" t="n">
        <v>0</v>
      </c>
      <c r="F1482" s="94" t="n">
        <v>0</v>
      </c>
      <c r="G1482" s="102" t="n">
        <v>405</v>
      </c>
      <c r="H1482" s="94" t="n">
        <v>6</v>
      </c>
    </row>
    <row r="1483" ht="15" customHeight="1" s="82">
      <c r="A1483" s="94" t="inlineStr">
        <is>
          <t>102 - Orthopedic institutes</t>
        </is>
      </c>
      <c r="B1483" s="94" t="inlineStr">
        <is>
          <t>C02308 לב האורטופדיה ספורטה חניה אילנה</t>
        </is>
      </c>
      <c r="C1483" s="94" t="inlineStr">
        <is>
          <t>INV68485</t>
        </is>
      </c>
      <c r="D1483" s="94" t="inlineStr">
        <is>
          <t>INV</t>
        </is>
      </c>
      <c r="E1483" s="102" t="n">
        <v>0</v>
      </c>
      <c r="F1483" s="94" t="n">
        <v>0</v>
      </c>
      <c r="G1483" s="102" t="n">
        <v>365</v>
      </c>
      <c r="H1483" s="94" t="n">
        <v>3</v>
      </c>
    </row>
    <row r="1484" ht="15" customHeight="1" s="82">
      <c r="A1484" s="94" t="inlineStr">
        <is>
          <t>102 - Orthopedic institutes</t>
        </is>
      </c>
      <c r="B1484" s="94" t="inlineStr">
        <is>
          <t>C02308 לב האורטופדיה ספורטה חניה אילנה</t>
        </is>
      </c>
      <c r="C1484" s="94" t="inlineStr">
        <is>
          <t>INV67147</t>
        </is>
      </c>
      <c r="D1484" s="94" t="inlineStr">
        <is>
          <t>INV</t>
        </is>
      </c>
      <c r="E1484" s="102" t="n">
        <v>300</v>
      </c>
      <c r="F1484" s="94" t="n">
        <v>4</v>
      </c>
      <c r="G1484" s="102" t="n">
        <v>0</v>
      </c>
      <c r="H1484" s="94" t="n">
        <v>0</v>
      </c>
    </row>
    <row r="1485" ht="15" customHeight="1" s="82">
      <c r="A1485" s="94" t="inlineStr">
        <is>
          <t>102 - Orthopedic institutes</t>
        </is>
      </c>
      <c r="B1485" s="94" t="inlineStr">
        <is>
          <t>C02310 הראל צבי</t>
        </is>
      </c>
      <c r="C1485" s="94" t="inlineStr">
        <is>
          <t>INV67356</t>
        </is>
      </c>
      <c r="D1485" s="94" t="inlineStr">
        <is>
          <t>INV</t>
        </is>
      </c>
      <c r="E1485" s="102" t="n">
        <v>0</v>
      </c>
      <c r="F1485" s="94" t="n">
        <v>0</v>
      </c>
      <c r="G1485" s="102" t="n">
        <v>2388.11</v>
      </c>
      <c r="H1485" s="94" t="n">
        <v>75</v>
      </c>
    </row>
    <row r="1486" ht="15" customHeight="1" s="82">
      <c r="A1486" s="94" t="inlineStr">
        <is>
          <t>102 - Orthopedic institutes</t>
        </is>
      </c>
      <c r="B1486" s="94" t="inlineStr">
        <is>
          <t>C02311 אייזלר אורטופדיה בעמ</t>
        </is>
      </c>
      <c r="C1486" s="94" t="inlineStr">
        <is>
          <t>INV68410</t>
        </is>
      </c>
      <c r="D1486" s="94" t="inlineStr">
        <is>
          <t>INV</t>
        </is>
      </c>
      <c r="E1486" s="102" t="n">
        <v>0</v>
      </c>
      <c r="F1486" s="94" t="n">
        <v>0</v>
      </c>
      <c r="G1486" s="102" t="n">
        <v>2695.55</v>
      </c>
      <c r="H1486" s="94" t="n">
        <v>54</v>
      </c>
    </row>
    <row r="1487" ht="15" customHeight="1" s="82">
      <c r="A1487" s="94" t="inlineStr">
        <is>
          <t>102 - Orthopedic institutes</t>
        </is>
      </c>
      <c r="B1487" s="94" t="inlineStr">
        <is>
          <t>C02311 אייזלר אורטופדיה בעמ</t>
        </is>
      </c>
      <c r="C1487" s="94" t="inlineStr">
        <is>
          <t>INV67970</t>
        </is>
      </c>
      <c r="D1487" s="94" t="inlineStr">
        <is>
          <t>INV</t>
        </is>
      </c>
      <c r="E1487" s="102" t="n">
        <v>0</v>
      </c>
      <c r="F1487" s="94" t="n">
        <v>0</v>
      </c>
      <c r="G1487" s="102" t="n">
        <v>1762.82</v>
      </c>
      <c r="H1487" s="94" t="n">
        <v>16</v>
      </c>
    </row>
    <row r="1488" ht="15" customHeight="1" s="82">
      <c r="A1488" s="94" t="inlineStr">
        <is>
          <t>102 - Orthopedic institutes</t>
        </is>
      </c>
      <c r="B1488" s="94" t="inlineStr">
        <is>
          <t>C02311 אייזלר אורטופדיה בעמ</t>
        </is>
      </c>
      <c r="C1488" s="94" t="inlineStr">
        <is>
          <t>INV68531</t>
        </is>
      </c>
      <c r="D1488" s="94" t="inlineStr">
        <is>
          <t>INV</t>
        </is>
      </c>
      <c r="E1488" s="102" t="n">
        <v>0</v>
      </c>
      <c r="F1488" s="94" t="n">
        <v>0</v>
      </c>
      <c r="G1488" s="102" t="n">
        <v>1452.6</v>
      </c>
      <c r="H1488" s="94" t="n">
        <v>17</v>
      </c>
    </row>
    <row r="1489" ht="15" customHeight="1" s="82">
      <c r="A1489" s="94" t="inlineStr">
        <is>
          <t>102 - Orthopedic institutes</t>
        </is>
      </c>
      <c r="B1489" s="94" t="inlineStr">
        <is>
          <t>C02311 אייזלר אורטופדיה בעמ</t>
        </is>
      </c>
      <c r="C1489" s="94" t="inlineStr">
        <is>
          <t>INV69244</t>
        </is>
      </c>
      <c r="D1489" s="94" t="inlineStr">
        <is>
          <t>INV</t>
        </is>
      </c>
      <c r="E1489" s="102" t="n">
        <v>0</v>
      </c>
      <c r="F1489" s="94" t="n">
        <v>0</v>
      </c>
      <c r="G1489" s="102" t="n">
        <v>1360.24</v>
      </c>
      <c r="H1489" s="94" t="n">
        <v>14</v>
      </c>
    </row>
    <row r="1490" ht="15" customHeight="1" s="82">
      <c r="A1490" s="94" t="inlineStr">
        <is>
          <t>102 - Orthopedic institutes</t>
        </is>
      </c>
      <c r="B1490" s="94" t="inlineStr">
        <is>
          <t>C02311 אייזלר אורטופדיה בעמ</t>
        </is>
      </c>
      <c r="C1490" s="94" t="inlineStr">
        <is>
          <t>INV69165</t>
        </is>
      </c>
      <c r="D1490" s="94" t="inlineStr">
        <is>
          <t>INV</t>
        </is>
      </c>
      <c r="E1490" s="102" t="n">
        <v>0</v>
      </c>
      <c r="F1490" s="94" t="n">
        <v>0</v>
      </c>
      <c r="G1490" s="102" t="n">
        <v>1270.77</v>
      </c>
      <c r="H1490" s="94" t="n">
        <v>14</v>
      </c>
    </row>
    <row r="1491" ht="15" customHeight="1" s="82">
      <c r="A1491" s="94" t="inlineStr">
        <is>
          <t>102 - Orthopedic institutes</t>
        </is>
      </c>
      <c r="B1491" s="94" t="inlineStr">
        <is>
          <t>C02311 אייזלר אורטופדיה בעמ</t>
        </is>
      </c>
      <c r="C1491" s="94" t="inlineStr">
        <is>
          <t>INV68945</t>
        </is>
      </c>
      <c r="D1491" s="94" t="inlineStr">
        <is>
          <t>INV</t>
        </is>
      </c>
      <c r="E1491" s="102" t="n">
        <v>0</v>
      </c>
      <c r="F1491" s="94" t="n">
        <v>0</v>
      </c>
      <c r="G1491" s="102" t="n">
        <v>1099.03</v>
      </c>
      <c r="H1491" s="94" t="n">
        <v>11</v>
      </c>
    </row>
    <row r="1492" ht="15" customHeight="1" s="82">
      <c r="A1492" s="94" t="inlineStr">
        <is>
          <t>102 - Orthopedic institutes</t>
        </is>
      </c>
      <c r="B1492" s="94" t="inlineStr">
        <is>
          <t>C02311 אייזלר אורטופדיה בעמ</t>
        </is>
      </c>
      <c r="C1492" s="94" t="inlineStr">
        <is>
          <t>INV69012</t>
        </is>
      </c>
      <c r="D1492" s="94" t="inlineStr">
        <is>
          <t>INV</t>
        </is>
      </c>
      <c r="E1492" s="102" t="n">
        <v>0</v>
      </c>
      <c r="F1492" s="94" t="n">
        <v>0</v>
      </c>
      <c r="G1492" s="102" t="n">
        <v>1082.38</v>
      </c>
      <c r="H1492" s="94" t="n">
        <v>8</v>
      </c>
    </row>
    <row r="1493" ht="15" customHeight="1" s="82">
      <c r="A1493" s="94" t="inlineStr">
        <is>
          <t>102 - Orthopedic institutes</t>
        </is>
      </c>
      <c r="B1493" s="94" t="inlineStr">
        <is>
          <t>C02311 אייזלר אורטופדיה בעמ</t>
        </is>
      </c>
      <c r="C1493" s="94" t="inlineStr">
        <is>
          <t>INV69173</t>
        </is>
      </c>
      <c r="D1493" s="94" t="inlineStr">
        <is>
          <t>INV</t>
        </is>
      </c>
      <c r="E1493" s="102" t="n">
        <v>0</v>
      </c>
      <c r="F1493" s="94" t="n">
        <v>0</v>
      </c>
      <c r="G1493" s="102" t="n">
        <v>1077.62</v>
      </c>
      <c r="H1493" s="94" t="n">
        <v>38</v>
      </c>
    </row>
    <row r="1494" ht="15" customHeight="1" s="82">
      <c r="A1494" s="94" t="inlineStr">
        <is>
          <t>102 - Orthopedic institutes</t>
        </is>
      </c>
      <c r="B1494" s="94" t="inlineStr">
        <is>
          <t>C02311 אייזלר אורטופדיה בעמ</t>
        </is>
      </c>
      <c r="C1494" s="94" t="inlineStr">
        <is>
          <t>INV68696</t>
        </is>
      </c>
      <c r="D1494" s="94" t="inlineStr">
        <is>
          <t>INV</t>
        </is>
      </c>
      <c r="E1494" s="102" t="n">
        <v>0</v>
      </c>
      <c r="F1494" s="94" t="n">
        <v>0</v>
      </c>
      <c r="G1494" s="102" t="n">
        <v>956.9</v>
      </c>
      <c r="H1494" s="94" t="n">
        <v>17</v>
      </c>
    </row>
    <row r="1495" ht="15" customHeight="1" s="82">
      <c r="A1495" s="94" t="inlineStr">
        <is>
          <t>102 - Orthopedic institutes</t>
        </is>
      </c>
      <c r="B1495" s="94" t="inlineStr">
        <is>
          <t>C02311 אייזלר אורטופדיה בעמ</t>
        </is>
      </c>
      <c r="C1495" s="94" t="inlineStr">
        <is>
          <t>INV67622</t>
        </is>
      </c>
      <c r="D1495" s="94" t="inlineStr">
        <is>
          <t>INV</t>
        </is>
      </c>
      <c r="E1495" s="102" t="n">
        <v>0</v>
      </c>
      <c r="F1495" s="94" t="n">
        <v>0</v>
      </c>
      <c r="G1495" s="102" t="n">
        <v>926.97</v>
      </c>
      <c r="H1495" s="94" t="n">
        <v>13</v>
      </c>
    </row>
    <row r="1496" ht="15" customHeight="1" s="82">
      <c r="A1496" s="94" t="inlineStr">
        <is>
          <t>102 - Orthopedic institutes</t>
        </is>
      </c>
      <c r="B1496" s="94" t="inlineStr">
        <is>
          <t>C02311 אייזלר אורטופדיה בעמ</t>
        </is>
      </c>
      <c r="C1496" s="94" t="inlineStr">
        <is>
          <t>INV68469</t>
        </is>
      </c>
      <c r="D1496" s="94" t="inlineStr">
        <is>
          <t>INV</t>
        </is>
      </c>
      <c r="E1496" s="102" t="n">
        <v>0</v>
      </c>
      <c r="F1496" s="94" t="n">
        <v>0</v>
      </c>
      <c r="G1496" s="102" t="n">
        <v>732.16</v>
      </c>
      <c r="H1496" s="94" t="n">
        <v>23</v>
      </c>
    </row>
    <row r="1497" ht="15" customHeight="1" s="82">
      <c r="A1497" s="94" t="inlineStr">
        <is>
          <t>102 - Orthopedic institutes</t>
        </is>
      </c>
      <c r="B1497" s="94" t="inlineStr">
        <is>
          <t>C02311 אייזלר אורטופדיה בעמ</t>
        </is>
      </c>
      <c r="C1497" s="94" t="inlineStr">
        <is>
          <t>INV67736</t>
        </is>
      </c>
      <c r="D1497" s="94" t="inlineStr">
        <is>
          <t>INV</t>
        </is>
      </c>
      <c r="E1497" s="102" t="n">
        <v>0</v>
      </c>
      <c r="F1497" s="94" t="n">
        <v>0</v>
      </c>
      <c r="G1497" s="102" t="n">
        <v>725.13</v>
      </c>
      <c r="H1497" s="94" t="n">
        <v>25</v>
      </c>
    </row>
    <row r="1498" ht="15" customHeight="1" s="82">
      <c r="A1498" s="94" t="inlineStr">
        <is>
          <t>102 - Orthopedic institutes</t>
        </is>
      </c>
      <c r="B1498" s="94" t="inlineStr">
        <is>
          <t>C02311 אייזלר אורטופדיה בעמ</t>
        </is>
      </c>
      <c r="C1498" s="94" t="inlineStr">
        <is>
          <t>INV67980</t>
        </is>
      </c>
      <c r="D1498" s="94" t="inlineStr">
        <is>
          <t>INV</t>
        </is>
      </c>
      <c r="E1498" s="102" t="n">
        <v>0</v>
      </c>
      <c r="F1498" s="94" t="n">
        <v>0</v>
      </c>
      <c r="G1498" s="102" t="n">
        <v>724.58</v>
      </c>
      <c r="H1498" s="94" t="n">
        <v>26</v>
      </c>
    </row>
    <row r="1499" ht="15" customHeight="1" s="82">
      <c r="A1499" s="94" t="inlineStr">
        <is>
          <t>102 - Orthopedic institutes</t>
        </is>
      </c>
      <c r="B1499" s="94" t="inlineStr">
        <is>
          <t>C02311 אייזלר אורטופדיה בעמ</t>
        </is>
      </c>
      <c r="C1499" s="94" t="inlineStr">
        <is>
          <t>INV68863</t>
        </is>
      </c>
      <c r="D1499" s="94" t="inlineStr">
        <is>
          <t>INV</t>
        </is>
      </c>
      <c r="E1499" s="102" t="n">
        <v>0</v>
      </c>
      <c r="F1499" s="94" t="n">
        <v>0</v>
      </c>
      <c r="G1499" s="102" t="n">
        <v>722.34</v>
      </c>
      <c r="H1499" s="94" t="n">
        <v>8</v>
      </c>
    </row>
    <row r="1500" ht="15" customHeight="1" s="82">
      <c r="A1500" s="94" t="inlineStr">
        <is>
          <t>102 - Orthopedic institutes</t>
        </is>
      </c>
      <c r="B1500" s="94" t="inlineStr">
        <is>
          <t>C02311 אייזלר אורטופדיה בעמ</t>
        </is>
      </c>
      <c r="C1500" s="94" t="inlineStr">
        <is>
          <t>INV68749</t>
        </is>
      </c>
      <c r="D1500" s="94" t="inlineStr">
        <is>
          <t>INV</t>
        </is>
      </c>
      <c r="E1500" s="102" t="n">
        <v>0</v>
      </c>
      <c r="F1500" s="94" t="n">
        <v>0</v>
      </c>
      <c r="G1500" s="102" t="n">
        <v>716.77</v>
      </c>
      <c r="H1500" s="94" t="n">
        <v>18</v>
      </c>
    </row>
    <row r="1501" ht="15" customHeight="1" s="82">
      <c r="A1501" s="94" t="inlineStr">
        <is>
          <t>102 - Orthopedic institutes</t>
        </is>
      </c>
      <c r="B1501" s="94" t="inlineStr">
        <is>
          <t>C02311 אייזלר אורטופדיה בעמ</t>
        </is>
      </c>
      <c r="C1501" s="94" t="inlineStr">
        <is>
          <t>INV68831</t>
        </is>
      </c>
      <c r="D1501" s="94" t="inlineStr">
        <is>
          <t>INV</t>
        </is>
      </c>
      <c r="E1501" s="102" t="n">
        <v>0</v>
      </c>
      <c r="F1501" s="94" t="n">
        <v>0</v>
      </c>
      <c r="G1501" s="102" t="n">
        <v>655.76</v>
      </c>
      <c r="H1501" s="94" t="n">
        <v>10</v>
      </c>
    </row>
    <row r="1502" ht="15" customHeight="1" s="82">
      <c r="A1502" s="94" t="inlineStr">
        <is>
          <t>102 - Orthopedic institutes</t>
        </is>
      </c>
      <c r="B1502" s="94" t="inlineStr">
        <is>
          <t>C02311 אייזלר אורטופדיה בעמ</t>
        </is>
      </c>
      <c r="C1502" s="94" t="inlineStr">
        <is>
          <t>INV68662</t>
        </is>
      </c>
      <c r="D1502" s="94" t="inlineStr">
        <is>
          <t>INV</t>
        </is>
      </c>
      <c r="E1502" s="102" t="n">
        <v>0</v>
      </c>
      <c r="F1502" s="94" t="n">
        <v>0</v>
      </c>
      <c r="G1502" s="102" t="n">
        <v>655.76</v>
      </c>
      <c r="H1502" s="94" t="n">
        <v>10</v>
      </c>
    </row>
    <row r="1503" ht="15" customHeight="1" s="82">
      <c r="A1503" s="94" t="inlineStr">
        <is>
          <t>102 - Orthopedic institutes</t>
        </is>
      </c>
      <c r="B1503" s="94" t="inlineStr">
        <is>
          <t>C02311 אייזלר אורטופדיה בעמ</t>
        </is>
      </c>
      <c r="C1503" s="94" t="inlineStr">
        <is>
          <t>INV68610</t>
        </is>
      </c>
      <c r="D1503" s="94" t="inlineStr">
        <is>
          <t>INV</t>
        </is>
      </c>
      <c r="E1503" s="102" t="n">
        <v>0</v>
      </c>
      <c r="F1503" s="94" t="n">
        <v>0</v>
      </c>
      <c r="G1503" s="102" t="n">
        <v>596.65</v>
      </c>
      <c r="H1503" s="94" t="n">
        <v>5</v>
      </c>
    </row>
    <row r="1504" ht="15" customHeight="1" s="82">
      <c r="A1504" s="94" t="inlineStr">
        <is>
          <t>102 - Orthopedic institutes</t>
        </is>
      </c>
      <c r="B1504" s="94" t="inlineStr">
        <is>
          <t>C02311 אייזלר אורטופדיה בעמ</t>
        </is>
      </c>
      <c r="C1504" s="94" t="inlineStr">
        <is>
          <t>INV69109</t>
        </is>
      </c>
      <c r="D1504" s="94" t="inlineStr">
        <is>
          <t>INV</t>
        </is>
      </c>
      <c r="E1504" s="102" t="n">
        <v>0</v>
      </c>
      <c r="F1504" s="94" t="n">
        <v>0</v>
      </c>
      <c r="G1504" s="102" t="n">
        <v>564.1</v>
      </c>
      <c r="H1504" s="94" t="n">
        <v>8</v>
      </c>
    </row>
    <row r="1505" ht="15" customHeight="1" s="82">
      <c r="A1505" s="94" t="inlineStr">
        <is>
          <t>102 - Orthopedic institutes</t>
        </is>
      </c>
      <c r="B1505" s="94" t="inlineStr">
        <is>
          <t>C02311 אייזלר אורטופדיה בעמ</t>
        </is>
      </c>
      <c r="C1505" s="94" t="inlineStr">
        <is>
          <t>INV68171</t>
        </is>
      </c>
      <c r="D1505" s="94" t="inlineStr">
        <is>
          <t>INV</t>
        </is>
      </c>
      <c r="E1505" s="102" t="n">
        <v>0</v>
      </c>
      <c r="F1505" s="94" t="n">
        <v>0</v>
      </c>
      <c r="G1505" s="102" t="n">
        <v>561.96</v>
      </c>
      <c r="H1505" s="94" t="n">
        <v>8</v>
      </c>
    </row>
    <row r="1506" ht="15" customHeight="1" s="82">
      <c r="A1506" s="94" t="inlineStr">
        <is>
          <t>102 - Orthopedic institutes</t>
        </is>
      </c>
      <c r="B1506" s="94" t="inlineStr">
        <is>
          <t>C02311 אייזלר אורטופדיה בעמ</t>
        </is>
      </c>
      <c r="C1506" s="94" t="inlineStr">
        <is>
          <t>INV68876</t>
        </is>
      </c>
      <c r="D1506" s="94" t="inlineStr">
        <is>
          <t>INV</t>
        </is>
      </c>
      <c r="E1506" s="102" t="n">
        <v>0</v>
      </c>
      <c r="F1506" s="94" t="n">
        <v>0</v>
      </c>
      <c r="G1506" s="102" t="n">
        <v>555.38</v>
      </c>
      <c r="H1506" s="94" t="n">
        <v>6</v>
      </c>
    </row>
    <row r="1507" ht="15" customHeight="1" s="82">
      <c r="A1507" s="94" t="inlineStr">
        <is>
          <t>102 - Orthopedic institutes</t>
        </is>
      </c>
      <c r="B1507" s="94" t="inlineStr">
        <is>
          <t>C02311 אייזלר אורטופדיה בעמ</t>
        </is>
      </c>
      <c r="C1507" s="94" t="inlineStr">
        <is>
          <t>INV67465</t>
        </is>
      </c>
      <c r="D1507" s="94" t="inlineStr">
        <is>
          <t>INV</t>
        </is>
      </c>
      <c r="E1507" s="102" t="n">
        <v>0</v>
      </c>
      <c r="F1507" s="94" t="n">
        <v>0</v>
      </c>
      <c r="G1507" s="102" t="n">
        <v>498.46</v>
      </c>
      <c r="H1507" s="94" t="n">
        <v>6</v>
      </c>
    </row>
    <row r="1508" ht="15" customHeight="1" s="82">
      <c r="A1508" s="94" t="inlineStr">
        <is>
          <t>102 - Orthopedic institutes</t>
        </is>
      </c>
      <c r="B1508" s="94" t="inlineStr">
        <is>
          <t>C02311 אייזלר אורטופדיה בעמ</t>
        </is>
      </c>
      <c r="C1508" s="94" t="inlineStr">
        <is>
          <t>INV68259</t>
        </is>
      </c>
      <c r="D1508" s="94" t="inlineStr">
        <is>
          <t>INV</t>
        </is>
      </c>
      <c r="E1508" s="102" t="n">
        <v>0</v>
      </c>
      <c r="F1508" s="94" t="n">
        <v>0</v>
      </c>
      <c r="G1508" s="102" t="n">
        <v>459.23</v>
      </c>
      <c r="H1508" s="94" t="n">
        <v>3</v>
      </c>
    </row>
    <row r="1509" ht="15" customHeight="1" s="82">
      <c r="A1509" s="94" t="inlineStr">
        <is>
          <t>102 - Orthopedic institutes</t>
        </is>
      </c>
      <c r="B1509" s="94" t="inlineStr">
        <is>
          <t>C02311 אייזלר אורטופדיה בעמ</t>
        </is>
      </c>
      <c r="C1509" s="94" t="inlineStr">
        <is>
          <t>INV68900</t>
        </is>
      </c>
      <c r="D1509" s="94" t="inlineStr">
        <is>
          <t>INV</t>
        </is>
      </c>
      <c r="E1509" s="102" t="n">
        <v>0</v>
      </c>
      <c r="F1509" s="94" t="n">
        <v>0</v>
      </c>
      <c r="G1509" s="102" t="n">
        <v>376.07</v>
      </c>
      <c r="H1509" s="94" t="n">
        <v>5</v>
      </c>
    </row>
    <row r="1510" ht="15" customHeight="1" s="82">
      <c r="A1510" s="94" t="inlineStr">
        <is>
          <t>102 - Orthopedic institutes</t>
        </is>
      </c>
      <c r="B1510" s="94" t="inlineStr">
        <is>
          <t>C02316 המדיקל שלי אלי שלומי</t>
        </is>
      </c>
      <c r="C1510" s="94" t="inlineStr">
        <is>
          <t>INV67910</t>
        </is>
      </c>
      <c r="D1510" s="94" t="inlineStr">
        <is>
          <t>INV</t>
        </is>
      </c>
      <c r="E1510" s="102" t="n">
        <v>0</v>
      </c>
      <c r="F1510" s="94" t="n">
        <v>0</v>
      </c>
      <c r="G1510" s="102" t="n">
        <v>666</v>
      </c>
      <c r="H1510" s="94" t="n">
        <v>3</v>
      </c>
    </row>
    <row r="1511" ht="15" customHeight="1" s="82">
      <c r="A1511" s="94" t="inlineStr">
        <is>
          <t>102 - Orthopedic institutes</t>
        </is>
      </c>
      <c r="B1511" s="94" t="inlineStr">
        <is>
          <t>C02316 המדיקל שלי אלי שלומי</t>
        </is>
      </c>
      <c r="C1511" s="94" t="inlineStr">
        <is>
          <t>INV68007</t>
        </is>
      </c>
      <c r="D1511" s="94" t="inlineStr">
        <is>
          <t>INV</t>
        </is>
      </c>
      <c r="E1511" s="102" t="n">
        <v>0</v>
      </c>
      <c r="F1511" s="94" t="n">
        <v>0</v>
      </c>
      <c r="G1511" s="102" t="n">
        <v>666</v>
      </c>
      <c r="H1511" s="94" t="n">
        <v>3</v>
      </c>
    </row>
    <row r="1512" ht="15" customHeight="1" s="82">
      <c r="A1512" s="94" t="inlineStr">
        <is>
          <t>102 - Orthopedic institutes</t>
        </is>
      </c>
      <c r="B1512" s="94" t="inlineStr">
        <is>
          <t>C02317 אלוש יעקב - תפנית</t>
        </is>
      </c>
      <c r="C1512" s="94" t="inlineStr">
        <is>
          <t>INV68196</t>
        </is>
      </c>
      <c r="D1512" s="94" t="inlineStr">
        <is>
          <t>INV</t>
        </is>
      </c>
      <c r="E1512" s="102" t="n">
        <v>0</v>
      </c>
      <c r="F1512" s="94" t="n">
        <v>0</v>
      </c>
      <c r="G1512" s="102" t="n">
        <v>2600</v>
      </c>
      <c r="H1512" s="94" t="n">
        <v>10</v>
      </c>
    </row>
    <row r="1513" ht="15" customHeight="1" s="82">
      <c r="A1513" s="94" t="inlineStr">
        <is>
          <t>102 - Orthopedic institutes</t>
        </is>
      </c>
      <c r="B1513" s="94" t="inlineStr">
        <is>
          <t>C02318 סופר ספיר בעמ</t>
        </is>
      </c>
      <c r="C1513" s="94" t="inlineStr">
        <is>
          <t>INV68315</t>
        </is>
      </c>
      <c r="D1513" s="94" t="inlineStr">
        <is>
          <t>INV</t>
        </is>
      </c>
      <c r="E1513" s="102" t="n">
        <v>0</v>
      </c>
      <c r="F1513" s="94" t="n">
        <v>0</v>
      </c>
      <c r="G1513" s="102" t="n">
        <v>2066.65</v>
      </c>
      <c r="H1513" s="94" t="n">
        <v>53</v>
      </c>
    </row>
    <row r="1514" ht="15" customHeight="1" s="82">
      <c r="A1514" s="94" t="inlineStr">
        <is>
          <t>102 - Orthopedic institutes</t>
        </is>
      </c>
      <c r="B1514" s="94" t="inlineStr">
        <is>
          <t>C02318 סופר ספיר בעמ</t>
        </is>
      </c>
      <c r="C1514" s="94" t="inlineStr">
        <is>
          <t>INV68314</t>
        </is>
      </c>
      <c r="D1514" s="94" t="inlineStr">
        <is>
          <t>INV</t>
        </is>
      </c>
      <c r="E1514" s="102" t="n">
        <v>0</v>
      </c>
      <c r="F1514" s="94" t="n">
        <v>0</v>
      </c>
      <c r="G1514" s="102" t="n">
        <v>726</v>
      </c>
      <c r="H1514" s="94" t="n">
        <v>28</v>
      </c>
    </row>
    <row r="1515" ht="15" customHeight="1" s="82">
      <c r="A1515" s="94" t="inlineStr">
        <is>
          <t>102 - Orthopedic institutes</t>
        </is>
      </c>
      <c r="B1515" s="94" t="inlineStr">
        <is>
          <t>C02318 סופר ספיר בעמ</t>
        </is>
      </c>
      <c r="C1515" s="94" t="inlineStr">
        <is>
          <t>INV68634</t>
        </is>
      </c>
      <c r="D1515" s="94" t="inlineStr">
        <is>
          <t>INV</t>
        </is>
      </c>
      <c r="E1515" s="102" t="n">
        <v>0</v>
      </c>
      <c r="F1515" s="94" t="n">
        <v>0</v>
      </c>
      <c r="G1515" s="102" t="n">
        <v>390.35</v>
      </c>
      <c r="H1515" s="94" t="n">
        <v>15</v>
      </c>
    </row>
    <row r="1516" ht="15" customHeight="1" s="82">
      <c r="A1516" s="94" t="inlineStr">
        <is>
          <t>102 - Orthopedic institutes</t>
        </is>
      </c>
      <c r="B1516" s="94" t="inlineStr">
        <is>
          <t>C02318 סופר ספיר בעמ</t>
        </is>
      </c>
      <c r="C1516" s="94" t="inlineStr">
        <is>
          <t>INV68836</t>
        </is>
      </c>
      <c r="D1516" s="94" t="inlineStr">
        <is>
          <t>INV</t>
        </is>
      </c>
      <c r="E1516" s="102" t="n">
        <v>0</v>
      </c>
      <c r="F1516" s="94" t="n">
        <v>0</v>
      </c>
      <c r="G1516" s="102" t="n">
        <v>369.35</v>
      </c>
      <c r="H1516" s="94" t="n">
        <v>15</v>
      </c>
    </row>
    <row r="1517" ht="15" customHeight="1" s="82">
      <c r="A1517" s="94" t="inlineStr">
        <is>
          <t>102 - Orthopedic institutes</t>
        </is>
      </c>
      <c r="B1517" s="94" t="inlineStr">
        <is>
          <t>C02318 סופר ספיר בעמ</t>
        </is>
      </c>
      <c r="C1517" s="94" t="inlineStr">
        <is>
          <t>CM44677</t>
        </is>
      </c>
      <c r="D1517" s="94" t="inlineStr">
        <is>
          <t>CM</t>
        </is>
      </c>
      <c r="E1517" s="102" t="n">
        <v>0</v>
      </c>
      <c r="F1517" s="94" t="n">
        <v>0</v>
      </c>
      <c r="G1517" s="102" t="n">
        <v>-369.35</v>
      </c>
      <c r="H1517" s="94" t="n">
        <v>-15</v>
      </c>
    </row>
    <row r="1518" ht="15" customHeight="1" s="82">
      <c r="A1518" s="94" t="inlineStr">
        <is>
          <t>102 - Orthopedic institutes</t>
        </is>
      </c>
      <c r="B1518" s="94" t="inlineStr">
        <is>
          <t>C02318 סופר ספיר בעמ</t>
        </is>
      </c>
      <c r="C1518" s="94" t="inlineStr">
        <is>
          <t>CM44554</t>
        </is>
      </c>
      <c r="D1518" s="94" t="inlineStr">
        <is>
          <t>CM</t>
        </is>
      </c>
      <c r="E1518" s="102" t="n">
        <v>0</v>
      </c>
      <c r="F1518" s="94" t="n">
        <v>0</v>
      </c>
      <c r="G1518" s="102" t="n">
        <v>-390.35</v>
      </c>
      <c r="H1518" s="94" t="n">
        <v>-15</v>
      </c>
    </row>
    <row r="1519" ht="15" customHeight="1" s="82">
      <c r="A1519" s="94" t="inlineStr">
        <is>
          <t>102 - Orthopedic institutes</t>
        </is>
      </c>
      <c r="B1519" s="94" t="inlineStr">
        <is>
          <t>C02323 ח'טיב ראיד</t>
        </is>
      </c>
      <c r="C1519" s="94" t="inlineStr">
        <is>
          <t>INV68664</t>
        </is>
      </c>
      <c r="D1519" s="94" t="inlineStr">
        <is>
          <t>INV</t>
        </is>
      </c>
      <c r="E1519" s="102" t="n">
        <v>0</v>
      </c>
      <c r="F1519" s="94" t="n">
        <v>0</v>
      </c>
      <c r="G1519" s="102" t="n">
        <v>1120.02</v>
      </c>
      <c r="H1519" s="94" t="n">
        <v>8</v>
      </c>
    </row>
    <row r="1520" ht="15" customHeight="1" s="82">
      <c r="A1520" s="94" t="inlineStr">
        <is>
          <t>102 - Orthopedic institutes</t>
        </is>
      </c>
      <c r="B1520" s="94" t="inlineStr">
        <is>
          <t>C02323 ח'טיב ראיד</t>
        </is>
      </c>
      <c r="C1520" s="94" t="inlineStr">
        <is>
          <t>INV68770</t>
        </is>
      </c>
      <c r="D1520" s="94" t="inlineStr">
        <is>
          <t>INV</t>
        </is>
      </c>
      <c r="E1520" s="102" t="n">
        <v>0</v>
      </c>
      <c r="F1520" s="94" t="n">
        <v>0</v>
      </c>
      <c r="G1520" s="102" t="n">
        <v>980.02</v>
      </c>
      <c r="H1520" s="94" t="n">
        <v>7</v>
      </c>
    </row>
    <row r="1521" ht="15" customHeight="1" s="82">
      <c r="A1521" s="94" t="inlineStr">
        <is>
          <t>102 - Orthopedic institutes</t>
        </is>
      </c>
      <c r="B1521" s="94" t="inlineStr">
        <is>
          <t>C02325 גראגאוי יוסף</t>
        </is>
      </c>
      <c r="C1521" s="94" t="inlineStr">
        <is>
          <t>INV68741</t>
        </is>
      </c>
      <c r="D1521" s="94" t="inlineStr">
        <is>
          <t>INV</t>
        </is>
      </c>
      <c r="E1521" s="102" t="n">
        <v>0</v>
      </c>
      <c r="F1521" s="94" t="n">
        <v>0</v>
      </c>
      <c r="G1521" s="102" t="n">
        <v>1958.26</v>
      </c>
      <c r="H1521" s="94" t="n">
        <v>20</v>
      </c>
    </row>
    <row r="1522" ht="15" customHeight="1" s="82">
      <c r="A1522" s="94" t="inlineStr">
        <is>
          <t>102 - Orthopedic institutes</t>
        </is>
      </c>
      <c r="B1522" s="94" t="inlineStr">
        <is>
          <t>C02325 גראגאוי יוסף</t>
        </is>
      </c>
      <c r="C1522" s="94" t="inlineStr">
        <is>
          <t>INV68742</t>
        </is>
      </c>
      <c r="D1522" s="94" t="inlineStr">
        <is>
          <t>INV</t>
        </is>
      </c>
      <c r="E1522" s="102" t="n">
        <v>0</v>
      </c>
      <c r="F1522" s="94" t="n">
        <v>0</v>
      </c>
      <c r="G1522" s="102" t="n">
        <v>524.9299999999999</v>
      </c>
      <c r="H1522" s="94" t="n">
        <v>1</v>
      </c>
    </row>
    <row r="1523" ht="15" customHeight="1" s="82">
      <c r="A1523" s="94" t="inlineStr">
        <is>
          <t>102 - Orthopedic institutes</t>
        </is>
      </c>
      <c r="B1523" s="94" t="inlineStr">
        <is>
          <t>C02333 רוזלינה 24 בעמ</t>
        </is>
      </c>
      <c r="C1523" s="94" t="inlineStr">
        <is>
          <t>INV69290</t>
        </is>
      </c>
      <c r="D1523" s="94" t="inlineStr">
        <is>
          <t>INV</t>
        </is>
      </c>
      <c r="E1523" s="102" t="n">
        <v>0</v>
      </c>
      <c r="F1523" s="94" t="n">
        <v>0</v>
      </c>
      <c r="G1523" s="102" t="n">
        <v>2719.24</v>
      </c>
      <c r="H1523" s="94" t="n">
        <v>36</v>
      </c>
    </row>
    <row r="1524" ht="15" customHeight="1" s="82">
      <c r="A1524" s="94" t="inlineStr">
        <is>
          <t>104 - Sports Shop</t>
        </is>
      </c>
      <c r="B1524" s="94" t="inlineStr">
        <is>
          <t>150064 מיקס שופ</t>
        </is>
      </c>
      <c r="C1524" s="94" t="inlineStr">
        <is>
          <t>INV66238</t>
        </is>
      </c>
      <c r="D1524" s="94" t="inlineStr">
        <is>
          <t>INV</t>
        </is>
      </c>
      <c r="E1524" s="102" t="n">
        <v>514.2</v>
      </c>
      <c r="F1524" s="94" t="n">
        <v>16</v>
      </c>
      <c r="G1524" s="102" t="n">
        <v>0</v>
      </c>
      <c r="H1524" s="94" t="n">
        <v>0</v>
      </c>
    </row>
    <row r="1525" ht="15" customHeight="1" s="82">
      <c r="A1525" s="94" t="inlineStr">
        <is>
          <t>104 - Sports Shop</t>
        </is>
      </c>
      <c r="B1525" s="94" t="inlineStr">
        <is>
          <t>C02324 דרור ספורט</t>
        </is>
      </c>
      <c r="C1525" s="94" t="inlineStr">
        <is>
          <t>INV68588</t>
        </is>
      </c>
      <c r="D1525" s="94" t="inlineStr">
        <is>
          <t>INV</t>
        </is>
      </c>
      <c r="E1525" s="102" t="n">
        <v>0</v>
      </c>
      <c r="F1525" s="94" t="n">
        <v>0</v>
      </c>
      <c r="G1525" s="102" t="n">
        <v>1896.82</v>
      </c>
      <c r="H1525" s="94" t="n">
        <v>59</v>
      </c>
    </row>
    <row r="1526" ht="15" customHeight="1" s="82">
      <c r="A1526" s="94" t="inlineStr">
        <is>
          <t>103 - Physiotherapy institutes</t>
        </is>
      </c>
      <c r="B1526" s="94" t="inlineStr">
        <is>
          <t>150070 זריק סקר - מכון פיזיותרפי</t>
        </is>
      </c>
      <c r="C1526" s="94" t="inlineStr">
        <is>
          <t>INV66553</t>
        </is>
      </c>
      <c r="D1526" s="94" t="inlineStr">
        <is>
          <t>INV</t>
        </is>
      </c>
      <c r="E1526" s="102" t="n">
        <v>2445.3</v>
      </c>
      <c r="F1526" s="94" t="n">
        <v>28</v>
      </c>
      <c r="G1526" s="102" t="n">
        <v>0</v>
      </c>
      <c r="H1526" s="94" t="n">
        <v>0</v>
      </c>
    </row>
    <row r="1527" ht="15" customHeight="1" s="82">
      <c r="A1527" s="94" t="inlineStr">
        <is>
          <t>103 - Physiotherapy institutes</t>
        </is>
      </c>
      <c r="B1527" s="94" t="inlineStr">
        <is>
          <t>150070 זריק סקר - מכון פיזיותרפי</t>
        </is>
      </c>
      <c r="C1527" s="94" t="inlineStr">
        <is>
          <t>INV61656</t>
        </is>
      </c>
      <c r="D1527" s="94" t="inlineStr">
        <is>
          <t>INV</t>
        </is>
      </c>
      <c r="E1527" s="102" t="n">
        <v>2409.49</v>
      </c>
      <c r="F1527" s="94" t="n">
        <v>32</v>
      </c>
      <c r="G1527" s="102" t="n">
        <v>0</v>
      </c>
      <c r="H1527" s="94" t="n">
        <v>0</v>
      </c>
    </row>
    <row r="1528" ht="15" customHeight="1" s="82">
      <c r="A1528" s="94" t="inlineStr">
        <is>
          <t>103 - Physiotherapy institutes</t>
        </is>
      </c>
      <c r="B1528" s="94" t="inlineStr">
        <is>
          <t>150070 זריק סקר - מכון פיזיותרפי</t>
        </is>
      </c>
      <c r="C1528" s="94" t="inlineStr">
        <is>
          <t>INV67890</t>
        </is>
      </c>
      <c r="D1528" s="94" t="inlineStr">
        <is>
          <t>INV</t>
        </is>
      </c>
      <c r="E1528" s="102" t="n">
        <v>0</v>
      </c>
      <c r="F1528" s="94" t="n">
        <v>0</v>
      </c>
      <c r="G1528" s="102" t="n">
        <v>2211.91</v>
      </c>
      <c r="H1528" s="94" t="n">
        <v>17</v>
      </c>
    </row>
    <row r="1529" ht="15" customHeight="1" s="82">
      <c r="A1529" s="94" t="inlineStr">
        <is>
          <t>103 - Physiotherapy institutes</t>
        </is>
      </c>
      <c r="B1529" s="94" t="inlineStr">
        <is>
          <t>150070 זריק סקר - מכון פיזיותרפי</t>
        </is>
      </c>
      <c r="C1529" s="94" t="inlineStr">
        <is>
          <t>INV44210</t>
        </is>
      </c>
      <c r="D1529" s="94" t="inlineStr">
        <is>
          <t>INV</t>
        </is>
      </c>
      <c r="E1529" s="102" t="n">
        <v>1989.98</v>
      </c>
      <c r="F1529" s="94" t="n">
        <v>15</v>
      </c>
      <c r="G1529" s="102" t="n">
        <v>0</v>
      </c>
      <c r="H1529" s="94" t="n">
        <v>0</v>
      </c>
    </row>
    <row r="1530" ht="15" customHeight="1" s="82">
      <c r="A1530" s="94" t="inlineStr">
        <is>
          <t>103 - Physiotherapy institutes</t>
        </is>
      </c>
      <c r="B1530" s="94" t="inlineStr">
        <is>
          <t>150070 זריק סקר - מכון פיזיותרפי</t>
        </is>
      </c>
      <c r="C1530" s="94" t="inlineStr">
        <is>
          <t>INV69207</t>
        </is>
      </c>
      <c r="D1530" s="94" t="inlineStr">
        <is>
          <t>INV</t>
        </is>
      </c>
      <c r="E1530" s="102" t="n">
        <v>0</v>
      </c>
      <c r="F1530" s="94" t="n">
        <v>0</v>
      </c>
      <c r="G1530" s="102" t="n">
        <v>1679.26</v>
      </c>
      <c r="H1530" s="94" t="n">
        <v>24</v>
      </c>
    </row>
    <row r="1531" ht="15" customHeight="1" s="82">
      <c r="A1531" s="94" t="inlineStr">
        <is>
          <t>103 - Physiotherapy institutes</t>
        </is>
      </c>
      <c r="B1531" s="94" t="inlineStr">
        <is>
          <t>150070 זריק סקר - מכון פיזיותרפי</t>
        </is>
      </c>
      <c r="C1531" s="94" t="inlineStr">
        <is>
          <t>INV67178</t>
        </is>
      </c>
      <c r="D1531" s="94" t="inlineStr">
        <is>
          <t>INV</t>
        </is>
      </c>
      <c r="E1531" s="102" t="n">
        <v>0</v>
      </c>
      <c r="F1531" s="94" t="n">
        <v>0</v>
      </c>
      <c r="G1531" s="102" t="n">
        <v>1249.98</v>
      </c>
      <c r="H1531" s="94" t="n">
        <v>13</v>
      </c>
    </row>
    <row r="1532" ht="15" customHeight="1" s="82">
      <c r="A1532" s="94" t="inlineStr">
        <is>
          <t>103 - Physiotherapy institutes</t>
        </is>
      </c>
      <c r="B1532" s="94" t="inlineStr">
        <is>
          <t>150070 זריק סקר - מכון פיזיותרפי</t>
        </is>
      </c>
      <c r="C1532" s="94" t="inlineStr">
        <is>
          <t>INV65558</t>
        </is>
      </c>
      <c r="D1532" s="94" t="inlineStr">
        <is>
          <t>INV</t>
        </is>
      </c>
      <c r="E1532" s="102" t="n">
        <v>1240</v>
      </c>
      <c r="F1532" s="94" t="n">
        <v>10</v>
      </c>
      <c r="G1532" s="102" t="n">
        <v>0</v>
      </c>
      <c r="H1532" s="94" t="n">
        <v>0</v>
      </c>
    </row>
    <row r="1533" ht="15" customHeight="1" s="82">
      <c r="A1533" s="94" t="inlineStr">
        <is>
          <t>103 - Physiotherapy institutes</t>
        </is>
      </c>
      <c r="B1533" s="94" t="inlineStr">
        <is>
          <t>150070 זריק סקר - מכון פיזיותרפי</t>
        </is>
      </c>
      <c r="C1533" s="94" t="inlineStr">
        <is>
          <t>INV66039</t>
        </is>
      </c>
      <c r="D1533" s="94" t="inlineStr">
        <is>
          <t>INV</t>
        </is>
      </c>
      <c r="E1533" s="102" t="n">
        <v>1000</v>
      </c>
      <c r="F1533" s="94" t="n">
        <v>40</v>
      </c>
      <c r="G1533" s="102" t="n">
        <v>0</v>
      </c>
      <c r="H1533" s="94" t="n">
        <v>0</v>
      </c>
    </row>
    <row r="1534" ht="15" customHeight="1" s="82">
      <c r="A1534" s="94" t="inlineStr">
        <is>
          <t>103 - Physiotherapy institutes</t>
        </is>
      </c>
      <c r="B1534" s="94" t="inlineStr">
        <is>
          <t>150070 זריק סקר - מכון פיזיותרפי</t>
        </is>
      </c>
      <c r="C1534" s="94" t="inlineStr">
        <is>
          <t>INV68574</t>
        </is>
      </c>
      <c r="D1534" s="94" t="inlineStr">
        <is>
          <t>INV</t>
        </is>
      </c>
      <c r="E1534" s="102" t="n">
        <v>0</v>
      </c>
      <c r="F1534" s="94" t="n">
        <v>0</v>
      </c>
      <c r="G1534" s="102" t="n">
        <v>880.87</v>
      </c>
      <c r="H1534" s="94" t="n">
        <v>16</v>
      </c>
    </row>
    <row r="1535" ht="15" customHeight="1" s="82">
      <c r="A1535" s="94" t="inlineStr">
        <is>
          <t>103 - Physiotherapy institutes</t>
        </is>
      </c>
      <c r="B1535" s="94" t="inlineStr">
        <is>
          <t>150070 זריק סקר - מכון פיזיותרפי</t>
        </is>
      </c>
      <c r="C1535" s="94" t="inlineStr">
        <is>
          <t>INV68803</t>
        </is>
      </c>
      <c r="D1535" s="94" t="inlineStr">
        <is>
          <t>INV</t>
        </is>
      </c>
      <c r="E1535" s="102" t="n">
        <v>0</v>
      </c>
      <c r="F1535" s="94" t="n">
        <v>0</v>
      </c>
      <c r="G1535" s="102" t="n">
        <v>824.58</v>
      </c>
      <c r="H1535" s="94" t="n">
        <v>8</v>
      </c>
    </row>
    <row r="1536" ht="15" customHeight="1" s="82">
      <c r="A1536" s="94" t="inlineStr">
        <is>
          <t>103 - Physiotherapy institutes</t>
        </is>
      </c>
      <c r="B1536" s="94" t="inlineStr">
        <is>
          <t>150070 זריק סקר - מכון פיזיותרפי</t>
        </is>
      </c>
      <c r="C1536" s="94" t="inlineStr">
        <is>
          <t>INV56251</t>
        </is>
      </c>
      <c r="D1536" s="94" t="inlineStr">
        <is>
          <t>INV</t>
        </is>
      </c>
      <c r="E1536" s="102" t="n">
        <v>773.29</v>
      </c>
      <c r="F1536" s="94" t="n">
        <v>18</v>
      </c>
      <c r="G1536" s="102" t="n">
        <v>0</v>
      </c>
      <c r="H1536" s="94" t="n">
        <v>0</v>
      </c>
    </row>
    <row r="1537" ht="15" customHeight="1" s="82">
      <c r="A1537" s="94" t="inlineStr">
        <is>
          <t>103 - Physiotherapy institutes</t>
        </is>
      </c>
      <c r="B1537" s="94" t="inlineStr">
        <is>
          <t>150070 זריק סקר - מכון פיזיותרפי</t>
        </is>
      </c>
      <c r="C1537" s="94" t="inlineStr">
        <is>
          <t>INV42203</t>
        </is>
      </c>
      <c r="D1537" s="94" t="inlineStr">
        <is>
          <t>INV</t>
        </is>
      </c>
      <c r="E1537" s="102" t="n">
        <v>593.08</v>
      </c>
      <c r="F1537" s="94" t="n">
        <v>17</v>
      </c>
      <c r="G1537" s="102" t="n">
        <v>0</v>
      </c>
      <c r="H1537" s="94" t="n">
        <v>0</v>
      </c>
    </row>
    <row r="1538" ht="15" customHeight="1" s="82">
      <c r="A1538" s="94" t="inlineStr">
        <is>
          <t>103 - Physiotherapy institutes</t>
        </is>
      </c>
      <c r="B1538" s="94" t="inlineStr">
        <is>
          <t>150070 זריק סקר - מכון פיזיותרפי</t>
        </is>
      </c>
      <c r="C1538" s="94" t="inlineStr">
        <is>
          <t>INV69260</t>
        </is>
      </c>
      <c r="D1538" s="94" t="inlineStr">
        <is>
          <t>INV</t>
        </is>
      </c>
      <c r="E1538" s="102" t="n">
        <v>0</v>
      </c>
      <c r="F1538" s="94" t="n">
        <v>0</v>
      </c>
      <c r="G1538" s="102" t="n">
        <v>586.3</v>
      </c>
      <c r="H1538" s="94" t="n">
        <v>16</v>
      </c>
    </row>
    <row r="1539" ht="15" customHeight="1" s="82">
      <c r="A1539" s="94" t="inlineStr">
        <is>
          <t>103 - Physiotherapy institutes</t>
        </is>
      </c>
      <c r="B1539" s="94" t="inlineStr">
        <is>
          <t>150070 זריק סקר - מכון פיזיותרפי</t>
        </is>
      </c>
      <c r="C1539" s="94" t="inlineStr">
        <is>
          <t>INV68575</t>
        </is>
      </c>
      <c r="D1539" s="94" t="inlineStr">
        <is>
          <t>INV</t>
        </is>
      </c>
      <c r="E1539" s="102" t="n">
        <v>0</v>
      </c>
      <c r="F1539" s="94" t="n">
        <v>0</v>
      </c>
      <c r="G1539" s="102" t="n">
        <v>584.9299999999999</v>
      </c>
      <c r="H1539" s="94" t="n">
        <v>2</v>
      </c>
    </row>
    <row r="1540" ht="15" customHeight="1" s="82">
      <c r="A1540" s="94" t="inlineStr">
        <is>
          <t>103 - Physiotherapy institutes</t>
        </is>
      </c>
      <c r="B1540" s="94" t="inlineStr">
        <is>
          <t>150070 זריק סקר - מכון פיזיותרפי</t>
        </is>
      </c>
      <c r="C1540" s="94" t="inlineStr">
        <is>
          <t>INV68079</t>
        </is>
      </c>
      <c r="D1540" s="94" t="inlineStr">
        <is>
          <t>INV</t>
        </is>
      </c>
      <c r="E1540" s="102" t="n">
        <v>0</v>
      </c>
      <c r="F1540" s="94" t="n">
        <v>0</v>
      </c>
      <c r="G1540" s="102" t="n">
        <v>554.1799999999999</v>
      </c>
      <c r="H1540" s="94" t="n">
        <v>5</v>
      </c>
    </row>
    <row r="1541" ht="15" customHeight="1" s="82">
      <c r="A1541" s="94" t="inlineStr">
        <is>
          <t>103 - Physiotherapy institutes</t>
        </is>
      </c>
      <c r="B1541" s="94" t="inlineStr">
        <is>
          <t>150070 זריק סקר - מכון פיזיותרפי</t>
        </is>
      </c>
      <c r="C1541" s="94" t="inlineStr">
        <is>
          <t>INV49127</t>
        </is>
      </c>
      <c r="D1541" s="94" t="inlineStr">
        <is>
          <t>INV</t>
        </is>
      </c>
      <c r="E1541" s="102" t="n">
        <v>420</v>
      </c>
      <c r="F1541" s="94" t="n">
        <v>4</v>
      </c>
      <c r="G1541" s="102" t="n">
        <v>0</v>
      </c>
      <c r="H1541" s="94" t="n">
        <v>0</v>
      </c>
    </row>
    <row r="1542" ht="15" customHeight="1" s="82">
      <c r="A1542" s="94" t="inlineStr">
        <is>
          <t>103 - Physiotherapy institutes</t>
        </is>
      </c>
      <c r="B1542" s="94" t="inlineStr">
        <is>
          <t>150070 זריק סקר - מכון פיזיותרפי</t>
        </is>
      </c>
      <c r="C1542" s="94" t="inlineStr">
        <is>
          <t>INV68049</t>
        </is>
      </c>
      <c r="D1542" s="94" t="inlineStr">
        <is>
          <t>INV</t>
        </is>
      </c>
      <c r="E1542" s="102" t="n">
        <v>0</v>
      </c>
      <c r="F1542" s="94" t="n">
        <v>0</v>
      </c>
      <c r="G1542" s="102" t="n">
        <v>374.79</v>
      </c>
      <c r="H1542" s="94" t="n">
        <v>4</v>
      </c>
    </row>
    <row r="1543" ht="15" customHeight="1" s="82">
      <c r="A1543" s="94" t="inlineStr">
        <is>
          <t>103 - Physiotherapy institutes</t>
        </is>
      </c>
      <c r="B1543" s="94" t="inlineStr">
        <is>
          <t>150070 זריק סקר - מכון פיזיותרפי</t>
        </is>
      </c>
      <c r="C1543" s="94" t="inlineStr">
        <is>
          <t>INV65609</t>
        </is>
      </c>
      <c r="D1543" s="94" t="inlineStr">
        <is>
          <t>INV</t>
        </is>
      </c>
      <c r="E1543" s="102" t="n">
        <v>259.99</v>
      </c>
      <c r="F1543" s="94" t="n">
        <v>2</v>
      </c>
      <c r="G1543" s="102" t="n">
        <v>0</v>
      </c>
      <c r="H1543" s="94" t="n">
        <v>0</v>
      </c>
    </row>
    <row r="1544" ht="15" customHeight="1" s="82">
      <c r="A1544" s="94" t="inlineStr">
        <is>
          <t>103 - Physiotherapy institutes</t>
        </is>
      </c>
      <c r="B1544" s="94" t="inlineStr">
        <is>
          <t>150371 ספורטרפיה</t>
        </is>
      </c>
      <c r="C1544" s="94" t="inlineStr">
        <is>
          <t>INV68771</t>
        </is>
      </c>
      <c r="D1544" s="94" t="inlineStr">
        <is>
          <t>INV</t>
        </is>
      </c>
      <c r="E1544" s="102" t="n">
        <v>0</v>
      </c>
      <c r="F1544" s="94" t="n">
        <v>0</v>
      </c>
      <c r="G1544" s="102" t="n">
        <v>1350</v>
      </c>
      <c r="H1544" s="94" t="n">
        <v>45</v>
      </c>
    </row>
    <row r="1545" ht="15" customHeight="1" s="82">
      <c r="A1545" s="94" t="inlineStr">
        <is>
          <t>103 - Physiotherapy institutes</t>
        </is>
      </c>
      <c r="B1545" s="94" t="inlineStr">
        <is>
          <t>150371 ספורטרפיה</t>
        </is>
      </c>
      <c r="C1545" s="94" t="inlineStr">
        <is>
          <t>INV66501</t>
        </is>
      </c>
      <c r="D1545" s="94" t="inlineStr">
        <is>
          <t>INV</t>
        </is>
      </c>
      <c r="E1545" s="102" t="n">
        <v>900</v>
      </c>
      <c r="F1545" s="94" t="n">
        <v>30</v>
      </c>
      <c r="G1545" s="102" t="n">
        <v>0</v>
      </c>
      <c r="H1545" s="94" t="n">
        <v>0</v>
      </c>
    </row>
    <row r="1546" ht="15" customHeight="1" s="82">
      <c r="A1546" s="94" t="inlineStr">
        <is>
          <t>103 - Physiotherapy institutes</t>
        </is>
      </c>
      <c r="B1546" s="94" t="inlineStr">
        <is>
          <t>150371 ספורטרפיה</t>
        </is>
      </c>
      <c r="C1546" s="94" t="inlineStr">
        <is>
          <t>INV50499</t>
        </is>
      </c>
      <c r="D1546" s="94" t="inlineStr">
        <is>
          <t>INV</t>
        </is>
      </c>
      <c r="E1546" s="102" t="n">
        <v>720</v>
      </c>
      <c r="F1546" s="94" t="n">
        <v>24</v>
      </c>
      <c r="G1546" s="102" t="n">
        <v>0</v>
      </c>
      <c r="H1546" s="94" t="n">
        <v>0</v>
      </c>
    </row>
    <row r="1547" ht="15" customHeight="1" s="82">
      <c r="A1547" s="94" t="inlineStr">
        <is>
          <t>103 - Physiotherapy institutes</t>
        </is>
      </c>
      <c r="B1547" s="94" t="inlineStr">
        <is>
          <t>150392 פיזיו קליניק בע"מ</t>
        </is>
      </c>
      <c r="C1547" s="94" t="inlineStr">
        <is>
          <t>INV68534</t>
        </is>
      </c>
      <c r="D1547" s="94" t="inlineStr">
        <is>
          <t>INV</t>
        </is>
      </c>
      <c r="E1547" s="102" t="n">
        <v>0</v>
      </c>
      <c r="F1547" s="94" t="n">
        <v>0</v>
      </c>
      <c r="G1547" s="102" t="n">
        <v>428.65</v>
      </c>
      <c r="H1547" s="94" t="n">
        <v>6</v>
      </c>
    </row>
    <row r="1548" ht="15" customHeight="1" s="82">
      <c r="A1548" s="94" t="inlineStr">
        <is>
          <t>103 - Physiotherapy institutes</t>
        </is>
      </c>
      <c r="B1548" s="94" t="inlineStr">
        <is>
          <t>150392 פיזיו קליניק בע"מ</t>
        </is>
      </c>
      <c r="C1548" s="94" t="inlineStr">
        <is>
          <t>INV62971</t>
        </is>
      </c>
      <c r="D1548" s="94" t="inlineStr">
        <is>
          <t>INV</t>
        </is>
      </c>
      <c r="E1548" s="102" t="n">
        <v>144.57</v>
      </c>
      <c r="F1548" s="94" t="n">
        <v>5</v>
      </c>
      <c r="G1548" s="102" t="n">
        <v>0</v>
      </c>
      <c r="H1548" s="94" t="n">
        <v>0</v>
      </c>
    </row>
    <row r="1549" ht="15" customHeight="1" s="82">
      <c r="A1549" s="94" t="inlineStr">
        <is>
          <t>103 - Physiotherapy institutes</t>
        </is>
      </c>
      <c r="B1549" s="94" t="inlineStr">
        <is>
          <t>150394 לור שרותי בריאות</t>
        </is>
      </c>
      <c r="C1549" s="94" t="inlineStr">
        <is>
          <t>INV53570</t>
        </is>
      </c>
      <c r="D1549" s="94" t="inlineStr">
        <is>
          <t>INV</t>
        </is>
      </c>
      <c r="E1549" s="102" t="n">
        <v>3200.51</v>
      </c>
      <c r="F1549" s="94" t="n">
        <v>27</v>
      </c>
      <c r="G1549" s="102" t="n">
        <v>0</v>
      </c>
      <c r="H1549" s="94" t="n">
        <v>0</v>
      </c>
    </row>
    <row r="1550" ht="15" customHeight="1" s="82">
      <c r="A1550" s="94" t="inlineStr">
        <is>
          <t>103 - Physiotherapy institutes</t>
        </is>
      </c>
      <c r="B1550" s="94" t="inlineStr">
        <is>
          <t>150394 לור שרותי בריאות</t>
        </is>
      </c>
      <c r="C1550" s="94" t="inlineStr">
        <is>
          <t>INV50036</t>
        </is>
      </c>
      <c r="D1550" s="94" t="inlineStr">
        <is>
          <t>INV</t>
        </is>
      </c>
      <c r="E1550" s="102" t="n">
        <v>2971.66</v>
      </c>
      <c r="F1550" s="94" t="n">
        <v>38</v>
      </c>
      <c r="G1550" s="102" t="n">
        <v>0</v>
      </c>
      <c r="H1550" s="94" t="n">
        <v>0</v>
      </c>
    </row>
    <row r="1551" ht="15" customHeight="1" s="82">
      <c r="A1551" s="94" t="inlineStr">
        <is>
          <t>103 - Physiotherapy institutes</t>
        </is>
      </c>
      <c r="B1551" s="94" t="inlineStr">
        <is>
          <t>150394 לור שרותי בריאות</t>
        </is>
      </c>
      <c r="C1551" s="94" t="inlineStr">
        <is>
          <t>INV50308</t>
        </is>
      </c>
      <c r="D1551" s="94" t="inlineStr">
        <is>
          <t>INV</t>
        </is>
      </c>
      <c r="E1551" s="102" t="n">
        <v>1521.69</v>
      </c>
      <c r="F1551" s="94" t="n">
        <v>108</v>
      </c>
      <c r="G1551" s="102" t="n">
        <v>0</v>
      </c>
      <c r="H1551" s="94" t="n">
        <v>0</v>
      </c>
    </row>
    <row r="1552" ht="15" customHeight="1" s="82">
      <c r="A1552" s="94" t="inlineStr">
        <is>
          <t>103 - Physiotherapy institutes</t>
        </is>
      </c>
      <c r="B1552" s="94" t="inlineStr">
        <is>
          <t>150394 לור שרותי בריאות</t>
        </is>
      </c>
      <c r="C1552" s="94" t="inlineStr">
        <is>
          <t>INV53571</t>
        </is>
      </c>
      <c r="D1552" s="94" t="inlineStr">
        <is>
          <t>INV</t>
        </is>
      </c>
      <c r="E1552" s="102" t="n">
        <v>0</v>
      </c>
      <c r="F1552" s="94" t="n">
        <v>1</v>
      </c>
      <c r="G1552" s="102" t="n">
        <v>0</v>
      </c>
      <c r="H1552" s="94" t="n">
        <v>0</v>
      </c>
    </row>
    <row r="1553" ht="15" customHeight="1" s="82">
      <c r="A1553" s="94" t="inlineStr">
        <is>
          <t>103 - Physiotherapy institutes</t>
        </is>
      </c>
      <c r="B1553" s="94" t="inlineStr">
        <is>
          <t>150394 לור שרותי בריאות</t>
        </is>
      </c>
      <c r="C1553" s="94" t="inlineStr">
        <is>
          <t>CM44179</t>
        </is>
      </c>
      <c r="D1553" s="94" t="inlineStr">
        <is>
          <t>CM</t>
        </is>
      </c>
      <c r="E1553" s="102" t="n">
        <v>-398.55</v>
      </c>
      <c r="F1553" s="94" t="n">
        <v>-7</v>
      </c>
      <c r="G1553" s="102" t="n">
        <v>0</v>
      </c>
      <c r="H1553" s="94" t="n">
        <v>0</v>
      </c>
    </row>
    <row r="1554" ht="15" customHeight="1" s="82">
      <c r="A1554" s="94" t="inlineStr">
        <is>
          <t>103 - Physiotherapy institutes</t>
        </is>
      </c>
      <c r="B1554" s="94" t="inlineStr">
        <is>
          <t>150394SC1 לור שירותי בריאות</t>
        </is>
      </c>
      <c r="C1554" s="94" t="inlineStr">
        <is>
          <t>INV68212</t>
        </is>
      </c>
      <c r="D1554" s="94" t="inlineStr">
        <is>
          <t>INV</t>
        </is>
      </c>
      <c r="E1554" s="102" t="n">
        <v>0</v>
      </c>
      <c r="F1554" s="94" t="n">
        <v>0</v>
      </c>
      <c r="G1554" s="102" t="n">
        <v>7650</v>
      </c>
      <c r="H1554" s="94" t="n">
        <v>85</v>
      </c>
    </row>
    <row r="1555" ht="15" customHeight="1" s="82">
      <c r="A1555" s="94" t="inlineStr">
        <is>
          <t>103 - Physiotherapy institutes</t>
        </is>
      </c>
      <c r="B1555" s="94" t="inlineStr">
        <is>
          <t>150394SC1 לור שירותי בריאות</t>
        </is>
      </c>
      <c r="C1555" s="94" t="inlineStr">
        <is>
          <t>INV67434</t>
        </is>
      </c>
      <c r="D1555" s="94" t="inlineStr">
        <is>
          <t>INV</t>
        </is>
      </c>
      <c r="E1555" s="102" t="n">
        <v>0</v>
      </c>
      <c r="F1555" s="94" t="n">
        <v>0</v>
      </c>
      <c r="G1555" s="102" t="n">
        <v>5460</v>
      </c>
      <c r="H1555" s="94" t="n">
        <v>70</v>
      </c>
    </row>
    <row r="1556" ht="15" customHeight="1" s="82">
      <c r="A1556" s="94" t="inlineStr">
        <is>
          <t>103 - Physiotherapy institutes</t>
        </is>
      </c>
      <c r="B1556" s="94" t="inlineStr">
        <is>
          <t>150394SC1 לור שירותי בריאות</t>
        </is>
      </c>
      <c r="C1556" s="94" t="inlineStr">
        <is>
          <t>INV60062</t>
        </is>
      </c>
      <c r="D1556" s="94" t="inlineStr">
        <is>
          <t>INV</t>
        </is>
      </c>
      <c r="E1556" s="102" t="n">
        <v>4475.12</v>
      </c>
      <c r="F1556" s="94" t="n">
        <v>152</v>
      </c>
      <c r="G1556" s="102" t="n">
        <v>0</v>
      </c>
      <c r="H1556" s="94" t="n">
        <v>0</v>
      </c>
    </row>
    <row r="1557" ht="15" customHeight="1" s="82">
      <c r="A1557" s="94" t="inlineStr">
        <is>
          <t>103 - Physiotherapy institutes</t>
        </is>
      </c>
      <c r="B1557" s="94" t="inlineStr">
        <is>
          <t>150394SC1 לור שירותי בריאות</t>
        </is>
      </c>
      <c r="C1557" s="94" t="inlineStr">
        <is>
          <t>INV68042</t>
        </is>
      </c>
      <c r="D1557" s="94" t="inlineStr">
        <is>
          <t>INV</t>
        </is>
      </c>
      <c r="E1557" s="102" t="n">
        <v>0</v>
      </c>
      <c r="F1557" s="94" t="n">
        <v>0</v>
      </c>
      <c r="G1557" s="102" t="n">
        <v>4120.17</v>
      </c>
      <c r="H1557" s="94" t="n">
        <v>55</v>
      </c>
    </row>
    <row r="1558" ht="15" customHeight="1" s="82">
      <c r="A1558" s="94" t="inlineStr">
        <is>
          <t>103 - Physiotherapy institutes</t>
        </is>
      </c>
      <c r="B1558" s="94" t="inlineStr">
        <is>
          <t>150394SC1 לור שירותי בריאות</t>
        </is>
      </c>
      <c r="C1558" s="94" t="inlineStr">
        <is>
          <t>INV68910</t>
        </is>
      </c>
      <c r="D1558" s="94" t="inlineStr">
        <is>
          <t>INV</t>
        </is>
      </c>
      <c r="E1558" s="102" t="n">
        <v>0</v>
      </c>
      <c r="F1558" s="94" t="n">
        <v>0</v>
      </c>
      <c r="G1558" s="102" t="n">
        <v>3600.05</v>
      </c>
      <c r="H1558" s="94" t="n">
        <v>45</v>
      </c>
    </row>
    <row r="1559" ht="15" customHeight="1" s="82">
      <c r="A1559" s="94" t="inlineStr">
        <is>
          <t>103 - Physiotherapy institutes</t>
        </is>
      </c>
      <c r="B1559" s="94" t="inlineStr">
        <is>
          <t>150394SC1 לור שירותי בריאות</t>
        </is>
      </c>
      <c r="C1559" s="94" t="inlineStr">
        <is>
          <t>INV68784</t>
        </is>
      </c>
      <c r="D1559" s="94" t="inlineStr">
        <is>
          <t>INV</t>
        </is>
      </c>
      <c r="E1559" s="102" t="n">
        <v>0</v>
      </c>
      <c r="F1559" s="94" t="n">
        <v>0</v>
      </c>
      <c r="G1559" s="102" t="n">
        <v>3150</v>
      </c>
      <c r="H1559" s="94" t="n">
        <v>35</v>
      </c>
    </row>
    <row r="1560" ht="15" customHeight="1" s="82">
      <c r="A1560" s="94" t="inlineStr">
        <is>
          <t>103 - Physiotherapy institutes</t>
        </is>
      </c>
      <c r="B1560" s="94" t="inlineStr">
        <is>
          <t>150394SC1 לור שירותי בריאות</t>
        </is>
      </c>
      <c r="C1560" s="94" t="inlineStr">
        <is>
          <t>INV68424</t>
        </is>
      </c>
      <c r="D1560" s="94" t="inlineStr">
        <is>
          <t>INV</t>
        </is>
      </c>
      <c r="E1560" s="102" t="n">
        <v>0</v>
      </c>
      <c r="F1560" s="94" t="n">
        <v>0</v>
      </c>
      <c r="G1560" s="102" t="n">
        <v>2947.74</v>
      </c>
      <c r="H1560" s="94" t="n">
        <v>29</v>
      </c>
    </row>
    <row r="1561" ht="15" customHeight="1" s="82">
      <c r="A1561" s="94" t="inlineStr">
        <is>
          <t>103 - Physiotherapy institutes</t>
        </is>
      </c>
      <c r="B1561" s="94" t="inlineStr">
        <is>
          <t>150394SC1 לור שירותי בריאות</t>
        </is>
      </c>
      <c r="C1561" s="94" t="inlineStr">
        <is>
          <t>INV66552</t>
        </is>
      </c>
      <c r="D1561" s="94" t="inlineStr">
        <is>
          <t>INV</t>
        </is>
      </c>
      <c r="E1561" s="102" t="n">
        <v>2820.02</v>
      </c>
      <c r="F1561" s="94" t="n">
        <v>30</v>
      </c>
      <c r="G1561" s="102" t="n">
        <v>0</v>
      </c>
      <c r="H1561" s="94" t="n">
        <v>0</v>
      </c>
    </row>
    <row r="1562" ht="15" customHeight="1" s="82">
      <c r="A1562" s="94" t="inlineStr">
        <is>
          <t>103 - Physiotherapy institutes</t>
        </is>
      </c>
      <c r="B1562" s="94" t="inlineStr">
        <is>
          <t>150394SC1 לור שירותי בריאות</t>
        </is>
      </c>
      <c r="C1562" s="94" t="inlineStr">
        <is>
          <t>INV69022</t>
        </is>
      </c>
      <c r="D1562" s="94" t="inlineStr">
        <is>
          <t>INV</t>
        </is>
      </c>
      <c r="E1562" s="102" t="n">
        <v>0</v>
      </c>
      <c r="F1562" s="94" t="n">
        <v>0</v>
      </c>
      <c r="G1562" s="102" t="n">
        <v>2790.07</v>
      </c>
      <c r="H1562" s="94" t="n">
        <v>38</v>
      </c>
    </row>
    <row r="1563" ht="15" customHeight="1" s="82">
      <c r="A1563" s="94" t="inlineStr">
        <is>
          <t>103 - Physiotherapy institutes</t>
        </is>
      </c>
      <c r="B1563" s="94" t="inlineStr">
        <is>
          <t>150394SC1 לור שירותי בריאות</t>
        </is>
      </c>
      <c r="C1563" s="94" t="inlineStr">
        <is>
          <t>INV68960</t>
        </is>
      </c>
      <c r="D1563" s="94" t="inlineStr">
        <is>
          <t>INV</t>
        </is>
      </c>
      <c r="E1563" s="102" t="n">
        <v>0</v>
      </c>
      <c r="F1563" s="94" t="n">
        <v>0</v>
      </c>
      <c r="G1563" s="102" t="n">
        <v>2768.02</v>
      </c>
      <c r="H1563" s="94" t="n">
        <v>36</v>
      </c>
    </row>
    <row r="1564" ht="15" customHeight="1" s="82">
      <c r="A1564" s="94" t="inlineStr">
        <is>
          <t>103 - Physiotherapy institutes</t>
        </is>
      </c>
      <c r="B1564" s="94" t="inlineStr">
        <is>
          <t>150394SC1 לור שירותי בריאות</t>
        </is>
      </c>
      <c r="C1564" s="94" t="inlineStr">
        <is>
          <t>INV69275</t>
        </is>
      </c>
      <c r="D1564" s="94" t="inlineStr">
        <is>
          <t>INV</t>
        </is>
      </c>
      <c r="E1564" s="102" t="n">
        <v>0</v>
      </c>
      <c r="F1564" s="94" t="n">
        <v>0</v>
      </c>
      <c r="G1564" s="102" t="n">
        <v>2671.59</v>
      </c>
      <c r="H1564" s="94" t="n">
        <v>42</v>
      </c>
    </row>
    <row r="1565" ht="15" customHeight="1" s="82">
      <c r="A1565" s="94" t="inlineStr">
        <is>
          <t>103 - Physiotherapy institutes</t>
        </is>
      </c>
      <c r="B1565" s="94" t="inlineStr">
        <is>
          <t>150394SC1 לור שירותי בריאות</t>
        </is>
      </c>
      <c r="C1565" s="94" t="inlineStr">
        <is>
          <t>INV66550</t>
        </is>
      </c>
      <c r="D1565" s="94" t="inlineStr">
        <is>
          <t>INV</t>
        </is>
      </c>
      <c r="E1565" s="102" t="n">
        <v>2457.15</v>
      </c>
      <c r="F1565" s="94" t="n">
        <v>90</v>
      </c>
      <c r="G1565" s="102" t="n">
        <v>0</v>
      </c>
      <c r="H1565" s="94" t="n">
        <v>0</v>
      </c>
    </row>
    <row r="1566" ht="15" customHeight="1" s="82">
      <c r="A1566" s="94" t="inlineStr">
        <is>
          <t>103 - Physiotherapy institutes</t>
        </is>
      </c>
      <c r="B1566" s="94" t="inlineStr">
        <is>
          <t>150394SC1 לור שירותי בריאות</t>
        </is>
      </c>
      <c r="C1566" s="94" t="inlineStr">
        <is>
          <t>INV66551</t>
        </is>
      </c>
      <c r="D1566" s="94" t="inlineStr">
        <is>
          <t>INV</t>
        </is>
      </c>
      <c r="E1566" s="102" t="n">
        <v>2391.45</v>
      </c>
      <c r="F1566" s="94" t="n">
        <v>87</v>
      </c>
      <c r="G1566" s="102" t="n">
        <v>0</v>
      </c>
      <c r="H1566" s="94" t="n">
        <v>0</v>
      </c>
    </row>
    <row r="1567" ht="15" customHeight="1" s="82">
      <c r="A1567" s="94" t="inlineStr">
        <is>
          <t>103 - Physiotherapy institutes</t>
        </is>
      </c>
      <c r="B1567" s="94" t="inlineStr">
        <is>
          <t>150394SC1 לור שירותי בריאות</t>
        </is>
      </c>
      <c r="C1567" s="94" t="inlineStr">
        <is>
          <t>INV67359</t>
        </is>
      </c>
      <c r="D1567" s="94" t="inlineStr">
        <is>
          <t>INV</t>
        </is>
      </c>
      <c r="E1567" s="102" t="n">
        <v>0</v>
      </c>
      <c r="F1567" s="94" t="n">
        <v>0</v>
      </c>
      <c r="G1567" s="102" t="n">
        <v>2381.31</v>
      </c>
      <c r="H1567" s="94" t="n">
        <v>19</v>
      </c>
    </row>
    <row r="1568" ht="15" customHeight="1" s="82">
      <c r="A1568" s="94" t="inlineStr">
        <is>
          <t>103 - Physiotherapy institutes</t>
        </is>
      </c>
      <c r="B1568" s="94" t="inlineStr">
        <is>
          <t>150394SC1 לור שירותי בריאות</t>
        </is>
      </c>
      <c r="C1568" s="94" t="inlineStr">
        <is>
          <t>INV69074</t>
        </is>
      </c>
      <c r="D1568" s="94" t="inlineStr">
        <is>
          <t>INV</t>
        </is>
      </c>
      <c r="E1568" s="102" t="n">
        <v>0</v>
      </c>
      <c r="F1568" s="94" t="n">
        <v>0</v>
      </c>
      <c r="G1568" s="102" t="n">
        <v>2310.14</v>
      </c>
      <c r="H1568" s="94" t="n">
        <v>60</v>
      </c>
    </row>
    <row r="1569" ht="15" customHeight="1" s="82">
      <c r="A1569" s="94" t="inlineStr">
        <is>
          <t>103 - Physiotherapy institutes</t>
        </is>
      </c>
      <c r="B1569" s="94" t="inlineStr">
        <is>
          <t>150394SC1 לור שירותי בריאות</t>
        </is>
      </c>
      <c r="C1569" s="94" t="inlineStr">
        <is>
          <t>INV68185</t>
        </is>
      </c>
      <c r="D1569" s="94" t="inlineStr">
        <is>
          <t>INV</t>
        </is>
      </c>
      <c r="E1569" s="102" t="n">
        <v>0</v>
      </c>
      <c r="F1569" s="94" t="n">
        <v>0</v>
      </c>
      <c r="G1569" s="102" t="n">
        <v>2160</v>
      </c>
      <c r="H1569" s="94" t="n">
        <v>24</v>
      </c>
    </row>
    <row r="1570" ht="15" customHeight="1" s="82">
      <c r="A1570" s="94" t="inlineStr">
        <is>
          <t>103 - Physiotherapy institutes</t>
        </is>
      </c>
      <c r="B1570" s="94" t="inlineStr">
        <is>
          <t>150394SC1 לור שירותי בריאות</t>
        </is>
      </c>
      <c r="C1570" s="94" t="inlineStr">
        <is>
          <t>INV68942</t>
        </is>
      </c>
      <c r="D1570" s="94" t="inlineStr">
        <is>
          <t>INV</t>
        </is>
      </c>
      <c r="E1570" s="102" t="n">
        <v>0</v>
      </c>
      <c r="F1570" s="94" t="n">
        <v>0</v>
      </c>
      <c r="G1570" s="102" t="n">
        <v>1968.56</v>
      </c>
      <c r="H1570" s="94" t="n">
        <v>24</v>
      </c>
    </row>
    <row r="1571" ht="15" customHeight="1" s="82">
      <c r="A1571" s="94" t="inlineStr">
        <is>
          <t>103 - Physiotherapy institutes</t>
        </is>
      </c>
      <c r="B1571" s="94" t="inlineStr">
        <is>
          <t>150394SC1 לור שירותי בריאות</t>
        </is>
      </c>
      <c r="C1571" s="94" t="inlineStr">
        <is>
          <t>INV67668</t>
        </is>
      </c>
      <c r="D1571" s="94" t="inlineStr">
        <is>
          <t>INV</t>
        </is>
      </c>
      <c r="E1571" s="102" t="n">
        <v>0</v>
      </c>
      <c r="F1571" s="94" t="n">
        <v>0</v>
      </c>
      <c r="G1571" s="102" t="n">
        <v>1800</v>
      </c>
      <c r="H1571" s="94" t="n">
        <v>20</v>
      </c>
    </row>
    <row r="1572" ht="15" customHeight="1" s="82">
      <c r="A1572" s="94" t="inlineStr">
        <is>
          <t>103 - Physiotherapy institutes</t>
        </is>
      </c>
      <c r="B1572" s="94" t="inlineStr">
        <is>
          <t>150394SC1 לור שירותי בריאות</t>
        </is>
      </c>
      <c r="C1572" s="94" t="inlineStr">
        <is>
          <t>INV67963</t>
        </is>
      </c>
      <c r="D1572" s="94" t="inlineStr">
        <is>
          <t>INV</t>
        </is>
      </c>
      <c r="E1572" s="102" t="n">
        <v>0</v>
      </c>
      <c r="F1572" s="94" t="n">
        <v>0</v>
      </c>
      <c r="G1572" s="102" t="n">
        <v>1623.73</v>
      </c>
      <c r="H1572" s="94" t="n">
        <v>32</v>
      </c>
    </row>
    <row r="1573" ht="15" customHeight="1" s="82">
      <c r="A1573" s="94" t="inlineStr">
        <is>
          <t>103 - Physiotherapy institutes</t>
        </is>
      </c>
      <c r="B1573" s="94" t="inlineStr">
        <is>
          <t>150394SC1 לור שירותי בריאות</t>
        </is>
      </c>
      <c r="C1573" s="94" t="inlineStr">
        <is>
          <t>INV68819</t>
        </is>
      </c>
      <c r="D1573" s="94" t="inlineStr">
        <is>
          <t>INV</t>
        </is>
      </c>
      <c r="E1573" s="102" t="n">
        <v>0</v>
      </c>
      <c r="F1573" s="94" t="n">
        <v>0</v>
      </c>
      <c r="G1573" s="102" t="n">
        <v>1457.74</v>
      </c>
      <c r="H1573" s="94" t="n">
        <v>16</v>
      </c>
    </row>
    <row r="1574" ht="15" customHeight="1" s="82">
      <c r="A1574" s="94" t="inlineStr">
        <is>
          <t>103 - Physiotherapy institutes</t>
        </is>
      </c>
      <c r="B1574" s="94" t="inlineStr">
        <is>
          <t>150394SC1 לור שירותי בריאות</t>
        </is>
      </c>
      <c r="C1574" s="94" t="inlineStr">
        <is>
          <t>INV68765</t>
        </is>
      </c>
      <c r="D1574" s="94" t="inlineStr">
        <is>
          <t>INV</t>
        </is>
      </c>
      <c r="E1574" s="102" t="n">
        <v>0</v>
      </c>
      <c r="F1574" s="94" t="n">
        <v>0</v>
      </c>
      <c r="G1574" s="102" t="n">
        <v>1376.26</v>
      </c>
      <c r="H1574" s="94" t="n">
        <v>22</v>
      </c>
    </row>
    <row r="1575" ht="15" customHeight="1" s="82">
      <c r="A1575" s="94" t="inlineStr">
        <is>
          <t>103 - Physiotherapy institutes</t>
        </is>
      </c>
      <c r="B1575" s="94" t="inlineStr">
        <is>
          <t>150394SC1 לור שירותי בריאות</t>
        </is>
      </c>
      <c r="C1575" s="94" t="inlineStr">
        <is>
          <t>INV68616</t>
        </is>
      </c>
      <c r="D1575" s="94" t="inlineStr">
        <is>
          <t>INV</t>
        </is>
      </c>
      <c r="E1575" s="102" t="n">
        <v>0</v>
      </c>
      <c r="F1575" s="94" t="n">
        <v>0</v>
      </c>
      <c r="G1575" s="102" t="n">
        <v>1321.24</v>
      </c>
      <c r="H1575" s="94" t="n">
        <v>18</v>
      </c>
    </row>
    <row r="1576" ht="15" customHeight="1" s="82">
      <c r="A1576" s="94" t="inlineStr">
        <is>
          <t>103 - Physiotherapy institutes</t>
        </is>
      </c>
      <c r="B1576" s="94" t="inlineStr">
        <is>
          <t>150394SC1 לור שירותי בריאות</t>
        </is>
      </c>
      <c r="C1576" s="94" t="inlineStr">
        <is>
          <t>INV67727</t>
        </is>
      </c>
      <c r="D1576" s="94" t="inlineStr">
        <is>
          <t>INV</t>
        </is>
      </c>
      <c r="E1576" s="102" t="n">
        <v>0</v>
      </c>
      <c r="F1576" s="94" t="n">
        <v>0</v>
      </c>
      <c r="G1576" s="102" t="n">
        <v>1298.96</v>
      </c>
      <c r="H1576" s="94" t="n">
        <v>16</v>
      </c>
    </row>
    <row r="1577" ht="15" customHeight="1" s="82">
      <c r="A1577" s="94" t="inlineStr">
        <is>
          <t>103 - Physiotherapy institutes</t>
        </is>
      </c>
      <c r="B1577" s="94" t="inlineStr">
        <is>
          <t>150394SC1 לור שירותי בריאות</t>
        </is>
      </c>
      <c r="C1577" s="94" t="inlineStr">
        <is>
          <t>INV68695</t>
        </is>
      </c>
      <c r="D1577" s="94" t="inlineStr">
        <is>
          <t>INV</t>
        </is>
      </c>
      <c r="E1577" s="102" t="n">
        <v>0</v>
      </c>
      <c r="F1577" s="94" t="n">
        <v>0</v>
      </c>
      <c r="G1577" s="102" t="n">
        <v>1170</v>
      </c>
      <c r="H1577" s="94" t="n">
        <v>13</v>
      </c>
    </row>
    <row r="1578" ht="15" customHeight="1" s="82">
      <c r="A1578" s="94" t="inlineStr">
        <is>
          <t>103 - Physiotherapy institutes</t>
        </is>
      </c>
      <c r="B1578" s="94" t="inlineStr">
        <is>
          <t>150394SC1 לור שירותי בריאות</t>
        </is>
      </c>
      <c r="C1578" s="94" t="inlineStr">
        <is>
          <t>INV68703</t>
        </is>
      </c>
      <c r="D1578" s="94" t="inlineStr">
        <is>
          <t>INV</t>
        </is>
      </c>
      <c r="E1578" s="102" t="n">
        <v>0</v>
      </c>
      <c r="F1578" s="94" t="n">
        <v>0</v>
      </c>
      <c r="G1578" s="102" t="n">
        <v>1167.31</v>
      </c>
      <c r="H1578" s="94" t="n">
        <v>13</v>
      </c>
    </row>
    <row r="1579" ht="15" customHeight="1" s="82">
      <c r="A1579" s="94" t="inlineStr">
        <is>
          <t>103 - Physiotherapy institutes</t>
        </is>
      </c>
      <c r="B1579" s="94" t="inlineStr">
        <is>
          <t>150394SC1 לור שירותי בריאות</t>
        </is>
      </c>
      <c r="C1579" s="94" t="inlineStr">
        <is>
          <t>INV59988</t>
        </is>
      </c>
      <c r="D1579" s="94" t="inlineStr">
        <is>
          <t>INV</t>
        </is>
      </c>
      <c r="E1579" s="102" t="n">
        <v>1151.9</v>
      </c>
      <c r="F1579" s="94" t="n">
        <v>42</v>
      </c>
      <c r="G1579" s="102" t="n">
        <v>0</v>
      </c>
      <c r="H1579" s="94" t="n">
        <v>0</v>
      </c>
    </row>
    <row r="1580" ht="15" customHeight="1" s="82">
      <c r="A1580" s="94" t="inlineStr">
        <is>
          <t>103 - Physiotherapy institutes</t>
        </is>
      </c>
      <c r="B1580" s="94" t="inlineStr">
        <is>
          <t>150394SC1 לור שירותי בריאות</t>
        </is>
      </c>
      <c r="C1580" s="94" t="inlineStr">
        <is>
          <t>INV68425</t>
        </is>
      </c>
      <c r="D1580" s="94" t="inlineStr">
        <is>
          <t>INV</t>
        </is>
      </c>
      <c r="E1580" s="102" t="n">
        <v>0</v>
      </c>
      <c r="F1580" s="94" t="n">
        <v>0</v>
      </c>
      <c r="G1580" s="102" t="n">
        <v>974.87</v>
      </c>
      <c r="H1580" s="94" t="n">
        <v>2</v>
      </c>
    </row>
    <row r="1581" ht="15" customHeight="1" s="82">
      <c r="A1581" s="94" t="inlineStr">
        <is>
          <t>103 - Physiotherapy institutes</t>
        </is>
      </c>
      <c r="B1581" s="94" t="inlineStr">
        <is>
          <t>150394SC1 לור שירותי בריאות</t>
        </is>
      </c>
      <c r="C1581" s="94" t="inlineStr">
        <is>
          <t>INV68818</t>
        </is>
      </c>
      <c r="D1581" s="94" t="inlineStr">
        <is>
          <t>INV</t>
        </is>
      </c>
      <c r="E1581" s="102" t="n">
        <v>0</v>
      </c>
      <c r="F1581" s="94" t="n">
        <v>0</v>
      </c>
      <c r="G1581" s="102" t="n">
        <v>900</v>
      </c>
      <c r="H1581" s="94" t="n">
        <v>10</v>
      </c>
    </row>
    <row r="1582" ht="15" customHeight="1" s="82">
      <c r="A1582" s="94" t="inlineStr">
        <is>
          <t>103 - Physiotherapy institutes</t>
        </is>
      </c>
      <c r="B1582" s="94" t="inlineStr">
        <is>
          <t>150394SC1 לור שירותי בריאות</t>
        </is>
      </c>
      <c r="C1582" s="94" t="inlineStr">
        <is>
          <t>INV66806</t>
        </is>
      </c>
      <c r="D1582" s="94" t="inlineStr">
        <is>
          <t>INV</t>
        </is>
      </c>
      <c r="E1582" s="102" t="n">
        <v>416.1</v>
      </c>
      <c r="F1582" s="94" t="n">
        <v>7</v>
      </c>
      <c r="G1582" s="102" t="n">
        <v>0</v>
      </c>
      <c r="H1582" s="94" t="n">
        <v>0</v>
      </c>
    </row>
    <row r="1583" ht="15" customHeight="1" s="82">
      <c r="A1583" s="94" t="inlineStr">
        <is>
          <t>103 - Physiotherapy institutes</t>
        </is>
      </c>
      <c r="B1583" s="94" t="inlineStr">
        <is>
          <t>150394SC1 לור שירותי בריאות</t>
        </is>
      </c>
      <c r="C1583" s="94" t="inlineStr">
        <is>
          <t>INV60063</t>
        </is>
      </c>
      <c r="D1583" s="94" t="inlineStr">
        <is>
          <t>INV</t>
        </is>
      </c>
      <c r="E1583" s="102" t="n">
        <v>297</v>
      </c>
      <c r="F1583" s="94" t="n">
        <v>6</v>
      </c>
      <c r="G1583" s="102" t="n">
        <v>0</v>
      </c>
      <c r="H1583" s="94" t="n">
        <v>0</v>
      </c>
    </row>
    <row r="1584" ht="15" customHeight="1" s="82">
      <c r="A1584" s="94" t="inlineStr">
        <is>
          <t>103 - Physiotherapy institutes</t>
        </is>
      </c>
      <c r="B1584" s="94" t="inlineStr">
        <is>
          <t>150394SC1 לור שירותי בריאות</t>
        </is>
      </c>
      <c r="C1584" s="94" t="inlineStr">
        <is>
          <t>INV69033</t>
        </is>
      </c>
      <c r="D1584" s="94" t="inlineStr">
        <is>
          <t>INV</t>
        </is>
      </c>
      <c r="E1584" s="102" t="n">
        <v>0</v>
      </c>
      <c r="F1584" s="94" t="n">
        <v>0</v>
      </c>
      <c r="G1584" s="102" t="n">
        <v>252</v>
      </c>
      <c r="H1584" s="94" t="n">
        <v>24</v>
      </c>
    </row>
    <row r="1585" ht="15" customHeight="1" s="82">
      <c r="A1585" s="94" t="inlineStr">
        <is>
          <t>103 - Physiotherapy institutes</t>
        </is>
      </c>
      <c r="B1585" s="94" t="inlineStr">
        <is>
          <t>150394SC1 לור שירותי בריאות</t>
        </is>
      </c>
      <c r="C1585" s="94" t="inlineStr">
        <is>
          <t>INV68785</t>
        </is>
      </c>
      <c r="D1585" s="94" t="inlineStr">
        <is>
          <t>INV</t>
        </is>
      </c>
      <c r="E1585" s="102" t="n">
        <v>0</v>
      </c>
      <c r="F1585" s="94" t="n">
        <v>0</v>
      </c>
      <c r="G1585" s="102" t="n">
        <v>243.61</v>
      </c>
      <c r="H1585" s="94" t="n">
        <v>3</v>
      </c>
    </row>
    <row r="1586" ht="15" customHeight="1" s="82">
      <c r="A1586" s="94" t="inlineStr">
        <is>
          <t>103 - Physiotherapy institutes</t>
        </is>
      </c>
      <c r="B1586" s="94" t="inlineStr">
        <is>
          <t>150394SC1 לור שירותי בריאות</t>
        </is>
      </c>
      <c r="C1586" s="94" t="inlineStr">
        <is>
          <t>INV67396</t>
        </is>
      </c>
      <c r="D1586" s="94" t="inlineStr">
        <is>
          <t>INV</t>
        </is>
      </c>
      <c r="E1586" s="102" t="n">
        <v>0</v>
      </c>
      <c r="F1586" s="94" t="n">
        <v>0</v>
      </c>
      <c r="G1586" s="102" t="n">
        <v>225.34</v>
      </c>
      <c r="H1586" s="94" t="n">
        <v>4</v>
      </c>
    </row>
    <row r="1587" ht="15" customHeight="1" s="82">
      <c r="A1587" s="94" t="inlineStr">
        <is>
          <t>103 - Physiotherapy institutes</t>
        </is>
      </c>
      <c r="B1587" s="94" t="inlineStr">
        <is>
          <t>150394SC1 לור שירותי בריאות</t>
        </is>
      </c>
      <c r="C1587" s="94" t="inlineStr">
        <is>
          <t>INV69298</t>
        </is>
      </c>
      <c r="D1587" s="94" t="inlineStr">
        <is>
          <t>INV</t>
        </is>
      </c>
      <c r="E1587" s="102" t="n">
        <v>0</v>
      </c>
      <c r="F1587" s="94" t="n">
        <v>0</v>
      </c>
      <c r="G1587" s="102" t="n">
        <v>104</v>
      </c>
      <c r="H1587" s="94" t="n">
        <v>1</v>
      </c>
    </row>
    <row r="1588" ht="15" customHeight="1" s="82">
      <c r="A1588" s="94" t="inlineStr">
        <is>
          <t>103 - Physiotherapy institutes</t>
        </is>
      </c>
      <c r="B1588" s="94" t="inlineStr">
        <is>
          <t>150394SC1 לור שירותי בריאות</t>
        </is>
      </c>
      <c r="C1588" s="94" t="inlineStr">
        <is>
          <t>INV69306</t>
        </is>
      </c>
      <c r="D1588" s="94" t="inlineStr">
        <is>
          <t>INV</t>
        </is>
      </c>
      <c r="E1588" s="102" t="n">
        <v>0</v>
      </c>
      <c r="F1588" s="94" t="n">
        <v>0</v>
      </c>
      <c r="G1588" s="102" t="n">
        <v>45.05</v>
      </c>
      <c r="H1588" s="94" t="n">
        <v>1</v>
      </c>
    </row>
    <row r="1589" ht="15" customHeight="1" s="82">
      <c r="A1589" s="94" t="inlineStr">
        <is>
          <t>103 - Physiotherapy institutes</t>
        </is>
      </c>
      <c r="B1589" s="94" t="inlineStr">
        <is>
          <t>150394SC1 לור שירותי בריאות</t>
        </is>
      </c>
      <c r="C1589" s="94" t="inlineStr">
        <is>
          <t>INV68270</t>
        </is>
      </c>
      <c r="D1589" s="94" t="inlineStr">
        <is>
          <t>INV</t>
        </is>
      </c>
      <c r="E1589" s="102" t="n">
        <v>0</v>
      </c>
      <c r="F1589" s="94" t="n">
        <v>0</v>
      </c>
      <c r="G1589" s="102" t="n">
        <v>0.03</v>
      </c>
      <c r="H1589" s="94" t="n">
        <v>5</v>
      </c>
    </row>
    <row r="1590" ht="15" customHeight="1" s="82">
      <c r="A1590" s="94" t="inlineStr">
        <is>
          <t>103 - Physiotherapy institutes</t>
        </is>
      </c>
      <c r="B1590" s="94" t="inlineStr">
        <is>
          <t>150394SC1 לור שירותי בריאות</t>
        </is>
      </c>
      <c r="C1590" s="94" t="inlineStr">
        <is>
          <t>INV69034</t>
        </is>
      </c>
      <c r="D1590" s="94" t="inlineStr">
        <is>
          <t>INV</t>
        </is>
      </c>
      <c r="E1590" s="102" t="n">
        <v>0</v>
      </c>
      <c r="F1590" s="94" t="n">
        <v>0</v>
      </c>
      <c r="G1590" s="102" t="n">
        <v>0.03</v>
      </c>
      <c r="H1590" s="94" t="n">
        <v>3</v>
      </c>
    </row>
    <row r="1591" ht="15" customHeight="1" s="82">
      <c r="A1591" s="94" t="inlineStr">
        <is>
          <t>103 - Physiotherapy institutes</t>
        </is>
      </c>
      <c r="B1591" s="94" t="inlineStr">
        <is>
          <t>150394SC1 לור שירותי בריאות</t>
        </is>
      </c>
      <c r="C1591" s="94" t="inlineStr">
        <is>
          <t>CM44178</t>
        </is>
      </c>
      <c r="D1591" s="94" t="inlineStr">
        <is>
          <t>CM</t>
        </is>
      </c>
      <c r="E1591" s="102" t="n">
        <v>-2457.15</v>
      </c>
      <c r="F1591" s="94" t="n">
        <v>-90</v>
      </c>
      <c r="G1591" s="102" t="n">
        <v>0</v>
      </c>
      <c r="H1591" s="94" t="n">
        <v>0</v>
      </c>
    </row>
    <row r="1592" ht="15" customHeight="1" s="82">
      <c r="A1592" s="94" t="inlineStr">
        <is>
          <t>103 - Physiotherapy institutes</t>
        </is>
      </c>
      <c r="B1592" s="94" t="inlineStr">
        <is>
          <t>151014 אמיר ג'אבר</t>
        </is>
      </c>
      <c r="C1592" s="94" t="inlineStr">
        <is>
          <t>INV68613</t>
        </is>
      </c>
      <c r="D1592" s="94" t="inlineStr">
        <is>
          <t>INV</t>
        </is>
      </c>
      <c r="E1592" s="102" t="n">
        <v>0</v>
      </c>
      <c r="F1592" s="94" t="n">
        <v>0</v>
      </c>
      <c r="G1592" s="102" t="n">
        <v>3199.25</v>
      </c>
      <c r="H1592" s="94" t="n">
        <v>24</v>
      </c>
    </row>
    <row r="1593" ht="15" customHeight="1" s="82">
      <c r="A1593" s="94" t="inlineStr">
        <is>
          <t>103 - Physiotherapy institutes</t>
        </is>
      </c>
      <c r="B1593" s="94" t="inlineStr">
        <is>
          <t>151014 אמיר ג'אבר</t>
        </is>
      </c>
      <c r="C1593" s="94" t="inlineStr">
        <is>
          <t>INV44205</t>
        </is>
      </c>
      <c r="D1593" s="94" t="inlineStr">
        <is>
          <t>INV</t>
        </is>
      </c>
      <c r="E1593" s="102" t="n">
        <v>2094.97</v>
      </c>
      <c r="F1593" s="94" t="n">
        <v>17</v>
      </c>
      <c r="G1593" s="102" t="n">
        <v>0</v>
      </c>
      <c r="H1593" s="94" t="n">
        <v>0</v>
      </c>
    </row>
    <row r="1594" ht="15" customHeight="1" s="82">
      <c r="A1594" s="94" t="inlineStr">
        <is>
          <t>103 - Physiotherapy institutes</t>
        </is>
      </c>
      <c r="B1594" s="94" t="inlineStr">
        <is>
          <t>151014 אמיר ג'אבר</t>
        </is>
      </c>
      <c r="C1594" s="94" t="inlineStr">
        <is>
          <t>INV62945</t>
        </is>
      </c>
      <c r="D1594" s="94" t="inlineStr">
        <is>
          <t>INV</t>
        </is>
      </c>
      <c r="E1594" s="102" t="n">
        <v>1934.99</v>
      </c>
      <c r="F1594" s="94" t="n">
        <v>18</v>
      </c>
      <c r="G1594" s="102" t="n">
        <v>0</v>
      </c>
      <c r="H1594" s="94" t="n">
        <v>0</v>
      </c>
    </row>
    <row r="1595" ht="15" customHeight="1" s="82">
      <c r="A1595" s="94" t="inlineStr">
        <is>
          <t>103 - Physiotherapy institutes</t>
        </is>
      </c>
      <c r="B1595" s="94" t="inlineStr">
        <is>
          <t>151014 אמיר ג'אבר</t>
        </is>
      </c>
      <c r="C1595" s="94" t="inlineStr">
        <is>
          <t>CM44568</t>
        </is>
      </c>
      <c r="D1595" s="94" t="inlineStr">
        <is>
          <t>CM</t>
        </is>
      </c>
      <c r="E1595" s="102" t="n">
        <v>0</v>
      </c>
      <c r="F1595" s="94" t="n">
        <v>0</v>
      </c>
      <c r="G1595" s="102" t="n">
        <v>-3199.25</v>
      </c>
      <c r="H1595" s="94" t="n">
        <v>-24</v>
      </c>
    </row>
    <row r="1596" ht="15" customHeight="1" s="82">
      <c r="A1596" s="94" t="inlineStr">
        <is>
          <t>103 - Physiotherapy institutes</t>
        </is>
      </c>
      <c r="B1596" s="94" t="inlineStr">
        <is>
          <t>151039 פיזיו גב</t>
        </is>
      </c>
      <c r="C1596" s="94" t="inlineStr">
        <is>
          <t>INV42955</t>
        </is>
      </c>
      <c r="D1596" s="94" t="inlineStr">
        <is>
          <t>INV</t>
        </is>
      </c>
      <c r="E1596" s="102" t="n">
        <v>2309.37</v>
      </c>
      <c r="F1596" s="94" t="n">
        <v>31</v>
      </c>
      <c r="G1596" s="102" t="n">
        <v>0</v>
      </c>
      <c r="H1596" s="94" t="n">
        <v>0</v>
      </c>
    </row>
    <row r="1597" ht="15" customHeight="1" s="82">
      <c r="A1597" s="94" t="inlineStr">
        <is>
          <t>103 - Physiotherapy institutes</t>
        </is>
      </c>
      <c r="B1597" s="94" t="inlineStr">
        <is>
          <t>151039 פיזיו גב</t>
        </is>
      </c>
      <c r="C1597" s="94" t="inlineStr">
        <is>
          <t>INV66346</t>
        </is>
      </c>
      <c r="D1597" s="94" t="inlineStr">
        <is>
          <t>INV</t>
        </is>
      </c>
      <c r="E1597" s="102" t="n">
        <v>2140.66</v>
      </c>
      <c r="F1597" s="94" t="n">
        <v>17</v>
      </c>
      <c r="G1597" s="102" t="n">
        <v>0</v>
      </c>
      <c r="H1597" s="94" t="n">
        <v>0</v>
      </c>
    </row>
    <row r="1598" ht="15" customHeight="1" s="82">
      <c r="A1598" s="94" t="inlineStr">
        <is>
          <t>103 - Physiotherapy institutes</t>
        </is>
      </c>
      <c r="B1598" s="94" t="inlineStr">
        <is>
          <t>151039 פיזיו גב</t>
        </is>
      </c>
      <c r="C1598" s="94" t="inlineStr">
        <is>
          <t>INV65821</t>
        </is>
      </c>
      <c r="D1598" s="94" t="inlineStr">
        <is>
          <t>INV</t>
        </is>
      </c>
      <c r="E1598" s="102" t="n">
        <v>410.21</v>
      </c>
      <c r="F1598" s="94" t="n">
        <v>4</v>
      </c>
      <c r="G1598" s="102" t="n">
        <v>0</v>
      </c>
      <c r="H1598" s="94" t="n">
        <v>0</v>
      </c>
    </row>
    <row r="1599" ht="15" customHeight="1" s="82">
      <c r="A1599" s="94" t="inlineStr">
        <is>
          <t>103 - Physiotherapy institutes</t>
        </is>
      </c>
      <c r="B1599" s="94" t="inlineStr">
        <is>
          <t>151039 פיזיו גב</t>
        </is>
      </c>
      <c r="C1599" s="94" t="inlineStr">
        <is>
          <t>INV47419</t>
        </is>
      </c>
      <c r="D1599" s="94" t="inlineStr">
        <is>
          <t>INV</t>
        </is>
      </c>
      <c r="E1599" s="102" t="n">
        <v>342.24</v>
      </c>
      <c r="F1599" s="94" t="n">
        <v>4</v>
      </c>
      <c r="G1599" s="102" t="n">
        <v>0</v>
      </c>
      <c r="H1599" s="94" t="n">
        <v>0</v>
      </c>
    </row>
    <row r="1600" ht="15" customHeight="1" s="82">
      <c r="A1600" s="94" t="inlineStr">
        <is>
          <t>103 - Physiotherapy institutes</t>
        </is>
      </c>
      <c r="B1600" s="94" t="inlineStr">
        <is>
          <t>151039 פיזיו גב</t>
        </is>
      </c>
      <c r="C1600" s="94" t="inlineStr">
        <is>
          <t>INV47463</t>
        </is>
      </c>
      <c r="D1600" s="94" t="inlineStr">
        <is>
          <t>INV</t>
        </is>
      </c>
      <c r="E1600" s="102" t="n">
        <v>145.26</v>
      </c>
      <c r="F1600" s="94" t="n">
        <v>1</v>
      </c>
      <c r="G1600" s="102" t="n">
        <v>0</v>
      </c>
      <c r="H1600" s="94" t="n">
        <v>0</v>
      </c>
    </row>
    <row r="1601" ht="15" customHeight="1" s="82">
      <c r="A1601" s="94" t="inlineStr">
        <is>
          <t>103 - Physiotherapy institutes</t>
        </is>
      </c>
      <c r="B1601" s="94" t="inlineStr">
        <is>
          <t>151060 מכון מילא לפיזיוטרפיה</t>
        </is>
      </c>
      <c r="C1601" s="94" t="inlineStr">
        <is>
          <t>INV67833</t>
        </is>
      </c>
      <c r="D1601" s="94" t="inlineStr">
        <is>
          <t>INV</t>
        </is>
      </c>
      <c r="E1601" s="102" t="n">
        <v>0</v>
      </c>
      <c r="F1601" s="94" t="n">
        <v>0</v>
      </c>
      <c r="G1601" s="102" t="n">
        <v>2133.73</v>
      </c>
      <c r="H1601" s="94" t="n">
        <v>40</v>
      </c>
    </row>
    <row r="1602" ht="15" customHeight="1" s="82">
      <c r="A1602" s="94" t="inlineStr">
        <is>
          <t>103 - Physiotherapy institutes</t>
        </is>
      </c>
      <c r="B1602" s="94" t="inlineStr">
        <is>
          <t>151060 מכון מילא לפיזיוטרפיה</t>
        </is>
      </c>
      <c r="C1602" s="94" t="inlineStr">
        <is>
          <t>INV64626</t>
        </is>
      </c>
      <c r="D1602" s="94" t="inlineStr">
        <is>
          <t>INV</t>
        </is>
      </c>
      <c r="E1602" s="102" t="n">
        <v>1189.17</v>
      </c>
      <c r="F1602" s="94" t="n">
        <v>20</v>
      </c>
      <c r="G1602" s="102" t="n">
        <v>0</v>
      </c>
      <c r="H1602" s="94" t="n">
        <v>0</v>
      </c>
    </row>
    <row r="1603" ht="15" customHeight="1" s="82">
      <c r="A1603" s="94" t="inlineStr">
        <is>
          <t>103 - Physiotherapy institutes</t>
        </is>
      </c>
      <c r="B1603" s="94" t="inlineStr">
        <is>
          <t>151060 מכון מילא לפיזיוטרפיה</t>
        </is>
      </c>
      <c r="C1603" s="94" t="inlineStr">
        <is>
          <t>INV43008</t>
        </is>
      </c>
      <c r="D1603" s="94" t="inlineStr">
        <is>
          <t>INV</t>
        </is>
      </c>
      <c r="E1603" s="102" t="n">
        <v>987.27</v>
      </c>
      <c r="F1603" s="94" t="n">
        <v>17</v>
      </c>
      <c r="G1603" s="102" t="n">
        <v>0</v>
      </c>
      <c r="H1603" s="94" t="n">
        <v>0</v>
      </c>
    </row>
    <row r="1604" ht="15" customHeight="1" s="82">
      <c r="A1604" s="94" t="inlineStr">
        <is>
          <t>103 - Physiotherapy institutes</t>
        </is>
      </c>
      <c r="B1604" s="94" t="inlineStr">
        <is>
          <t>151060 מכון מילא לפיזיוטרפיה</t>
        </is>
      </c>
      <c r="C1604" s="94" t="inlineStr">
        <is>
          <t>INV68895</t>
        </is>
      </c>
      <c r="D1604" s="94" t="inlineStr">
        <is>
          <t>INV</t>
        </is>
      </c>
      <c r="E1604" s="102" t="n">
        <v>0</v>
      </c>
      <c r="F1604" s="94" t="n">
        <v>0</v>
      </c>
      <c r="G1604" s="102" t="n">
        <v>720</v>
      </c>
      <c r="H1604" s="94" t="n">
        <v>24</v>
      </c>
    </row>
    <row r="1605" ht="15" customHeight="1" s="82">
      <c r="A1605" s="94" t="inlineStr">
        <is>
          <t>103 - Physiotherapy institutes</t>
        </is>
      </c>
      <c r="B1605" s="94" t="inlineStr">
        <is>
          <t>151060 מכון מילא לפיזיוטרפיה</t>
        </is>
      </c>
      <c r="C1605" s="94" t="inlineStr">
        <is>
          <t>INV66174</t>
        </is>
      </c>
      <c r="D1605" s="94" t="inlineStr">
        <is>
          <t>INV</t>
        </is>
      </c>
      <c r="E1605" s="102" t="n">
        <v>720</v>
      </c>
      <c r="F1605" s="94" t="n">
        <v>24</v>
      </c>
      <c r="G1605" s="102" t="n">
        <v>0</v>
      </c>
      <c r="H1605" s="94" t="n">
        <v>0</v>
      </c>
    </row>
    <row r="1606" ht="15" customHeight="1" s="82">
      <c r="A1606" s="94" t="inlineStr">
        <is>
          <t>103 - Physiotherapy institutes</t>
        </is>
      </c>
      <c r="B1606" s="94" t="inlineStr">
        <is>
          <t>151060 מכון מילא לפיזיוטרפיה</t>
        </is>
      </c>
      <c r="C1606" s="94" t="inlineStr">
        <is>
          <t>INV46034</t>
        </is>
      </c>
      <c r="D1606" s="94" t="inlineStr">
        <is>
          <t>INV</t>
        </is>
      </c>
      <c r="E1606" s="102" t="n">
        <v>716.85</v>
      </c>
      <c r="F1606" s="94" t="n">
        <v>24</v>
      </c>
      <c r="G1606" s="102" t="n">
        <v>0</v>
      </c>
      <c r="H1606" s="94" t="n">
        <v>0</v>
      </c>
    </row>
    <row r="1607" ht="15" customHeight="1" s="82">
      <c r="A1607" s="94" t="inlineStr">
        <is>
          <t>103 - Physiotherapy institutes</t>
        </is>
      </c>
      <c r="B1607" s="94" t="inlineStr">
        <is>
          <t>151060 מכון מילא לפיזיוטרפיה</t>
        </is>
      </c>
      <c r="C1607" s="94" t="inlineStr">
        <is>
          <t>INV46837</t>
        </is>
      </c>
      <c r="D1607" s="94" t="inlineStr">
        <is>
          <t>INV</t>
        </is>
      </c>
      <c r="E1607" s="102" t="n">
        <v>240.78</v>
      </c>
      <c r="F1607" s="94" t="n">
        <v>4</v>
      </c>
      <c r="G1607" s="102" t="n">
        <v>0</v>
      </c>
      <c r="H1607" s="94" t="n">
        <v>0</v>
      </c>
    </row>
    <row r="1608" ht="15" customHeight="1" s="82">
      <c r="A1608" s="94" t="inlineStr">
        <is>
          <t>103 - Physiotherapy institutes</t>
        </is>
      </c>
      <c r="B1608" s="94" t="inlineStr">
        <is>
          <t>151060 מכון מילא לפיזיוטרפיה</t>
        </is>
      </c>
      <c r="C1608" s="94" t="inlineStr">
        <is>
          <t>INV69219</t>
        </is>
      </c>
      <c r="D1608" s="94" t="inlineStr">
        <is>
          <t>INV</t>
        </is>
      </c>
      <c r="E1608" s="102" t="n">
        <v>0</v>
      </c>
      <c r="F1608" s="94" t="n">
        <v>0</v>
      </c>
      <c r="G1608" s="102" t="n">
        <v>153.57</v>
      </c>
      <c r="H1608" s="94" t="n">
        <v>5</v>
      </c>
    </row>
    <row r="1609" ht="15" customHeight="1" s="82">
      <c r="A1609" s="94" t="inlineStr">
        <is>
          <t>103 - Physiotherapy institutes</t>
        </is>
      </c>
      <c r="B1609" s="94" t="inlineStr">
        <is>
          <t>151060 מכון מילא לפיזיוטרפיה</t>
        </is>
      </c>
      <c r="C1609" s="94" t="inlineStr">
        <is>
          <t>INV48084</t>
        </is>
      </c>
      <c r="D1609" s="94" t="inlineStr">
        <is>
          <t>INV</t>
        </is>
      </c>
      <c r="E1609" s="102" t="n">
        <v>133.07</v>
      </c>
      <c r="F1609" s="94" t="n">
        <v>2</v>
      </c>
      <c r="G1609" s="102" t="n">
        <v>0</v>
      </c>
      <c r="H1609" s="94" t="n">
        <v>0</v>
      </c>
    </row>
    <row r="1610" ht="15" customHeight="1" s="82">
      <c r="A1610" s="94" t="inlineStr">
        <is>
          <t>103 - Physiotherapy institutes</t>
        </is>
      </c>
      <c r="B1610" s="94" t="inlineStr">
        <is>
          <t>151060 מכון מילא לפיזיוטרפיה</t>
        </is>
      </c>
      <c r="C1610" s="94" t="inlineStr">
        <is>
          <t>INV69270</t>
        </is>
      </c>
      <c r="D1610" s="94" t="inlineStr">
        <is>
          <t>INV</t>
        </is>
      </c>
      <c r="E1610" s="102" t="n">
        <v>0</v>
      </c>
      <c r="F1610" s="94" t="n">
        <v>0</v>
      </c>
      <c r="G1610" s="102" t="n">
        <v>91.78</v>
      </c>
      <c r="H1610" s="94" t="n">
        <v>3</v>
      </c>
    </row>
    <row r="1611" ht="15" customHeight="1" s="82">
      <c r="A1611" s="94" t="inlineStr">
        <is>
          <t>103 - Physiotherapy institutes</t>
        </is>
      </c>
      <c r="B1611" s="94" t="inlineStr">
        <is>
          <t>151088 מכון פיזיוטרפיה פיזיו מנד</t>
        </is>
      </c>
      <c r="C1611" s="94" t="inlineStr">
        <is>
          <t>INV68301</t>
        </is>
      </c>
      <c r="D1611" s="94" t="inlineStr">
        <is>
          <t>INV</t>
        </is>
      </c>
      <c r="E1611" s="102" t="n">
        <v>0</v>
      </c>
      <c r="F1611" s="94" t="n">
        <v>0</v>
      </c>
      <c r="G1611" s="102" t="n">
        <v>4935.55</v>
      </c>
      <c r="H1611" s="94" t="n">
        <v>32</v>
      </c>
    </row>
    <row r="1612" ht="15" customHeight="1" s="82">
      <c r="A1612" s="94" t="inlineStr">
        <is>
          <t>103 - Physiotherapy institutes</t>
        </is>
      </c>
      <c r="B1612" s="94" t="inlineStr">
        <is>
          <t>151088 מכון פיזיוטרפיה פיזיו מנד</t>
        </is>
      </c>
      <c r="C1612" s="94" t="inlineStr">
        <is>
          <t>INV40877</t>
        </is>
      </c>
      <c r="D1612" s="94" t="inlineStr">
        <is>
          <t>INV</t>
        </is>
      </c>
      <c r="E1612" s="102" t="n">
        <v>4739.77</v>
      </c>
      <c r="F1612" s="94" t="n">
        <v>47</v>
      </c>
      <c r="G1612" s="102" t="n">
        <v>0</v>
      </c>
      <c r="H1612" s="94" t="n">
        <v>0</v>
      </c>
    </row>
    <row r="1613" ht="15" customHeight="1" s="82">
      <c r="A1613" s="94" t="inlineStr">
        <is>
          <t>103 - Physiotherapy institutes</t>
        </is>
      </c>
      <c r="B1613" s="94" t="inlineStr">
        <is>
          <t>151088 מכון פיזיוטרפיה פיזיו מנד</t>
        </is>
      </c>
      <c r="C1613" s="94" t="inlineStr">
        <is>
          <t>INV65835</t>
        </is>
      </c>
      <c r="D1613" s="94" t="inlineStr">
        <is>
          <t>INV</t>
        </is>
      </c>
      <c r="E1613" s="102" t="n">
        <v>4281.31</v>
      </c>
      <c r="F1613" s="94" t="n">
        <v>34</v>
      </c>
      <c r="G1613" s="102" t="n">
        <v>0</v>
      </c>
      <c r="H1613" s="94" t="n">
        <v>0</v>
      </c>
    </row>
    <row r="1614" ht="15" customHeight="1" s="82">
      <c r="A1614" s="94" t="inlineStr">
        <is>
          <t>103 - Physiotherapy institutes</t>
        </is>
      </c>
      <c r="B1614" s="94" t="inlineStr">
        <is>
          <t>151100 ס.ח מרכז בריאות</t>
        </is>
      </c>
      <c r="C1614" s="94" t="inlineStr">
        <is>
          <t>INV67346</t>
        </is>
      </c>
      <c r="D1614" s="94" t="inlineStr">
        <is>
          <t>INV</t>
        </is>
      </c>
      <c r="E1614" s="102" t="n">
        <v>0</v>
      </c>
      <c r="F1614" s="94" t="n">
        <v>0</v>
      </c>
      <c r="G1614" s="102" t="n">
        <v>1200.01</v>
      </c>
      <c r="H1614" s="94" t="n">
        <v>12</v>
      </c>
    </row>
    <row r="1615" ht="15" customHeight="1" s="82">
      <c r="A1615" s="94" t="inlineStr">
        <is>
          <t>103 - Physiotherapy institutes</t>
        </is>
      </c>
      <c r="B1615" s="94" t="inlineStr">
        <is>
          <t>151100 ס.ח מרכז בריאות</t>
        </is>
      </c>
      <c r="C1615" s="94" t="inlineStr">
        <is>
          <t>INV58590</t>
        </is>
      </c>
      <c r="D1615" s="94" t="inlineStr">
        <is>
          <t>INV</t>
        </is>
      </c>
      <c r="E1615" s="102" t="n">
        <v>1040.01</v>
      </c>
      <c r="F1615" s="94" t="n">
        <v>12</v>
      </c>
      <c r="G1615" s="102" t="n">
        <v>0</v>
      </c>
      <c r="H1615" s="94" t="n">
        <v>0</v>
      </c>
    </row>
    <row r="1616" ht="15" customHeight="1" s="82">
      <c r="A1616" s="94" t="inlineStr">
        <is>
          <t>103 - Physiotherapy institutes</t>
        </is>
      </c>
      <c r="B1616" s="94" t="inlineStr">
        <is>
          <t>151100 ס.ח מרכז בריאות</t>
        </is>
      </c>
      <c r="C1616" s="94" t="inlineStr">
        <is>
          <t>INV66978</t>
        </is>
      </c>
      <c r="D1616" s="94" t="inlineStr">
        <is>
          <t>INV</t>
        </is>
      </c>
      <c r="E1616" s="102" t="n">
        <v>611.95</v>
      </c>
      <c r="F1616" s="94" t="n">
        <v>10</v>
      </c>
      <c r="G1616" s="102" t="n">
        <v>0</v>
      </c>
      <c r="H1616" s="94" t="n">
        <v>0</v>
      </c>
    </row>
    <row r="1617" ht="15" customHeight="1" s="82">
      <c r="A1617" s="94" t="inlineStr">
        <is>
          <t>103 - Physiotherapy institutes</t>
        </is>
      </c>
      <c r="B1617" s="94" t="inlineStr">
        <is>
          <t>151100 ס.ח מרכז בריאות</t>
        </is>
      </c>
      <c r="C1617" s="94" t="inlineStr">
        <is>
          <t>INV68868</t>
        </is>
      </c>
      <c r="D1617" s="94" t="inlineStr">
        <is>
          <t>INV</t>
        </is>
      </c>
      <c r="E1617" s="102" t="n">
        <v>0</v>
      </c>
      <c r="F1617" s="94" t="n">
        <v>0</v>
      </c>
      <c r="G1617" s="102" t="n">
        <v>355.86</v>
      </c>
      <c r="H1617" s="94" t="n">
        <v>8</v>
      </c>
    </row>
    <row r="1618" ht="15" customHeight="1" s="82">
      <c r="A1618" s="94" t="inlineStr">
        <is>
          <t>103 - Physiotherapy institutes</t>
        </is>
      </c>
      <c r="B1618" s="94" t="inlineStr">
        <is>
          <t>151173 גאבל מוסלם פיזיותרפיסט</t>
        </is>
      </c>
      <c r="C1618" s="94" t="inlineStr">
        <is>
          <t>INV68497</t>
        </is>
      </c>
      <c r="D1618" s="94" t="inlineStr">
        <is>
          <t>INV</t>
        </is>
      </c>
      <c r="E1618" s="102" t="n">
        <v>0</v>
      </c>
      <c r="F1618" s="94" t="n">
        <v>0</v>
      </c>
      <c r="G1618" s="102" t="n">
        <v>7283.35</v>
      </c>
      <c r="H1618" s="94" t="n">
        <v>90</v>
      </c>
    </row>
    <row r="1619" ht="15" customHeight="1" s="82">
      <c r="A1619" s="94" t="inlineStr">
        <is>
          <t>103 - Physiotherapy institutes</t>
        </is>
      </c>
      <c r="B1619" s="94" t="inlineStr">
        <is>
          <t>151173 גאבל מוסלם פיזיותרפיסט</t>
        </is>
      </c>
      <c r="C1619" s="94" t="inlineStr">
        <is>
          <t>INV60061</t>
        </is>
      </c>
      <c r="D1619" s="94" t="inlineStr">
        <is>
          <t>INV</t>
        </is>
      </c>
      <c r="E1619" s="102" t="n">
        <v>4193.16</v>
      </c>
      <c r="F1619" s="94" t="n">
        <v>60</v>
      </c>
      <c r="G1619" s="102" t="n">
        <v>0</v>
      </c>
      <c r="H1619" s="94" t="n">
        <v>0</v>
      </c>
    </row>
    <row r="1620" ht="15" customHeight="1" s="82">
      <c r="A1620" s="94" t="inlineStr">
        <is>
          <t>103 - Physiotherapy institutes</t>
        </is>
      </c>
      <c r="B1620" s="94" t="inlineStr">
        <is>
          <t>151173 גאבל מוסלם פיזיותרפיסט</t>
        </is>
      </c>
      <c r="C1620" s="94" t="inlineStr">
        <is>
          <t>INV42825</t>
        </is>
      </c>
      <c r="D1620" s="94" t="inlineStr">
        <is>
          <t>INV</t>
        </is>
      </c>
      <c r="E1620" s="102" t="n">
        <v>3932.24</v>
      </c>
      <c r="F1620" s="94" t="n">
        <v>58</v>
      </c>
      <c r="G1620" s="102" t="n">
        <v>0</v>
      </c>
      <c r="H1620" s="94" t="n">
        <v>0</v>
      </c>
    </row>
    <row r="1621" ht="15" customHeight="1" s="82">
      <c r="A1621" s="94" t="inlineStr">
        <is>
          <t>103 - Physiotherapy institutes</t>
        </is>
      </c>
      <c r="B1621" s="94" t="inlineStr">
        <is>
          <t>151173 גאבל מוסלם פיזיותרפיסט</t>
        </is>
      </c>
      <c r="C1621" s="94" t="inlineStr">
        <is>
          <t>INV42824</t>
        </is>
      </c>
      <c r="D1621" s="94" t="inlineStr">
        <is>
          <t>INV</t>
        </is>
      </c>
      <c r="E1621" s="102" t="n">
        <v>1040</v>
      </c>
      <c r="F1621" s="94" t="n">
        <v>16</v>
      </c>
      <c r="G1621" s="102" t="n">
        <v>0</v>
      </c>
      <c r="H1621" s="94" t="n">
        <v>0</v>
      </c>
    </row>
    <row r="1622" ht="15" customHeight="1" s="82">
      <c r="A1622" s="94" t="inlineStr">
        <is>
          <t>103 - Physiotherapy institutes</t>
        </is>
      </c>
      <c r="B1622" s="94" t="inlineStr">
        <is>
          <t>151173 גאבל מוסלם פיזיותרפיסט</t>
        </is>
      </c>
      <c r="C1622" s="94" t="inlineStr">
        <is>
          <t>INV65608</t>
        </is>
      </c>
      <c r="D1622" s="94" t="inlineStr">
        <is>
          <t>INV</t>
        </is>
      </c>
      <c r="E1622" s="102" t="n">
        <v>938.1</v>
      </c>
      <c r="F1622" s="94" t="n">
        <v>27</v>
      </c>
      <c r="G1622" s="102" t="n">
        <v>0</v>
      </c>
      <c r="H1622" s="94" t="n">
        <v>0</v>
      </c>
    </row>
    <row r="1623" ht="15" customHeight="1" s="82">
      <c r="A1623" s="94" t="inlineStr">
        <is>
          <t>103 - Physiotherapy institutes</t>
        </is>
      </c>
      <c r="B1623" s="94" t="inlineStr">
        <is>
          <t>151173 גאבל מוסלם פיזיותרפיסט</t>
        </is>
      </c>
      <c r="C1623" s="94" t="inlineStr">
        <is>
          <t>INV49204</t>
        </is>
      </c>
      <c r="D1623" s="94" t="inlineStr">
        <is>
          <t>INV</t>
        </is>
      </c>
      <c r="E1623" s="102" t="n">
        <v>857.08</v>
      </c>
      <c r="F1623" s="94" t="n">
        <v>16</v>
      </c>
      <c r="G1623" s="102" t="n">
        <v>0</v>
      </c>
      <c r="H1623" s="94" t="n">
        <v>0</v>
      </c>
    </row>
    <row r="1624" ht="15" customHeight="1" s="82">
      <c r="A1624" s="94" t="inlineStr">
        <is>
          <t>103 - Physiotherapy institutes</t>
        </is>
      </c>
      <c r="B1624" s="94" t="inlineStr">
        <is>
          <t>151173 גאבל מוסלם פיזיותרפיסט</t>
        </is>
      </c>
      <c r="C1624" s="94" t="inlineStr">
        <is>
          <t>INV65817</t>
        </is>
      </c>
      <c r="D1624" s="94" t="inlineStr">
        <is>
          <t>INV</t>
        </is>
      </c>
      <c r="E1624" s="102" t="n">
        <v>488.73</v>
      </c>
      <c r="F1624" s="94" t="n">
        <v>12</v>
      </c>
      <c r="G1624" s="102" t="n">
        <v>0</v>
      </c>
      <c r="H1624" s="94" t="n">
        <v>0</v>
      </c>
    </row>
    <row r="1625" ht="15" customHeight="1" s="82">
      <c r="A1625" s="94" t="inlineStr">
        <is>
          <t>103 - Physiotherapy institutes</t>
        </is>
      </c>
      <c r="B1625" s="94" t="inlineStr">
        <is>
          <t>151173 גאבל מוסלם פיזיותרפיסט</t>
        </is>
      </c>
      <c r="C1625" s="94" t="inlineStr">
        <is>
          <t>INV65641</t>
        </is>
      </c>
      <c r="D1625" s="94" t="inlineStr">
        <is>
          <t>INV</t>
        </is>
      </c>
      <c r="E1625" s="102" t="n">
        <v>94.63</v>
      </c>
      <c r="F1625" s="94" t="n">
        <v>1</v>
      </c>
      <c r="G1625" s="102" t="n">
        <v>0</v>
      </c>
      <c r="H1625" s="94" t="n">
        <v>0</v>
      </c>
    </row>
    <row r="1626" ht="15" customHeight="1" s="82">
      <c r="A1626" s="94" t="inlineStr">
        <is>
          <t>103 - Physiotherapy institutes</t>
        </is>
      </c>
      <c r="B1626" s="94" t="inlineStr">
        <is>
          <t>151180 פיזיו אורטופדיק</t>
        </is>
      </c>
      <c r="C1626" s="94" t="inlineStr">
        <is>
          <t>INV45816</t>
        </is>
      </c>
      <c r="D1626" s="94" t="inlineStr">
        <is>
          <t>INV</t>
        </is>
      </c>
      <c r="E1626" s="102" t="n">
        <v>1144.78</v>
      </c>
      <c r="F1626" s="94" t="n">
        <v>16</v>
      </c>
      <c r="G1626" s="102" t="n">
        <v>0</v>
      </c>
      <c r="H1626" s="94" t="n">
        <v>0</v>
      </c>
    </row>
    <row r="1627" ht="15" customHeight="1" s="82">
      <c r="A1627" s="94" t="inlineStr">
        <is>
          <t>103 - Physiotherapy institutes</t>
        </is>
      </c>
      <c r="B1627" s="94" t="inlineStr">
        <is>
          <t>151180 פיזיו אורטופדיק</t>
        </is>
      </c>
      <c r="C1627" s="94" t="inlineStr">
        <is>
          <t>INV68184</t>
        </is>
      </c>
      <c r="D1627" s="94" t="inlineStr">
        <is>
          <t>INV</t>
        </is>
      </c>
      <c r="E1627" s="102" t="n">
        <v>0</v>
      </c>
      <c r="F1627" s="94" t="n">
        <v>0</v>
      </c>
      <c r="G1627" s="102" t="n">
        <v>1085.59</v>
      </c>
      <c r="H1627" s="94" t="n">
        <v>17</v>
      </c>
    </row>
    <row r="1628" ht="15" customHeight="1" s="82">
      <c r="A1628" s="94" t="inlineStr">
        <is>
          <t>103 - Physiotherapy institutes</t>
        </is>
      </c>
      <c r="B1628" s="94" t="inlineStr">
        <is>
          <t>151180 פיזיו אורטופדיק</t>
        </is>
      </c>
      <c r="C1628" s="94" t="inlineStr">
        <is>
          <t>INV66926</t>
        </is>
      </c>
      <c r="D1628" s="94" t="inlineStr">
        <is>
          <t>INV</t>
        </is>
      </c>
      <c r="E1628" s="102" t="n">
        <v>978.4299999999999</v>
      </c>
      <c r="F1628" s="94" t="n">
        <v>11</v>
      </c>
      <c r="G1628" s="102" t="n">
        <v>0</v>
      </c>
      <c r="H1628" s="94" t="n">
        <v>0</v>
      </c>
    </row>
    <row r="1629" ht="15" customHeight="1" s="82">
      <c r="A1629" s="94" t="inlineStr">
        <is>
          <t>103 - Physiotherapy institutes</t>
        </is>
      </c>
      <c r="B1629" s="94" t="inlineStr">
        <is>
          <t>151180 פיזיו אורטופדיק</t>
        </is>
      </c>
      <c r="C1629" s="94" t="inlineStr">
        <is>
          <t>INV69141</t>
        </is>
      </c>
      <c r="D1629" s="94" t="inlineStr">
        <is>
          <t>INV</t>
        </is>
      </c>
      <c r="E1629" s="102" t="n">
        <v>0</v>
      </c>
      <c r="F1629" s="94" t="n">
        <v>0</v>
      </c>
      <c r="G1629" s="102" t="n">
        <v>840</v>
      </c>
      <c r="H1629" s="94" t="n">
        <v>8</v>
      </c>
    </row>
    <row r="1630" ht="15" customHeight="1" s="82">
      <c r="A1630" s="94" t="inlineStr">
        <is>
          <t>103 - Physiotherapy institutes</t>
        </is>
      </c>
      <c r="B1630" s="94" t="inlineStr">
        <is>
          <t>151180 פיזיו אורטופדיק</t>
        </is>
      </c>
      <c r="C1630" s="94" t="inlineStr">
        <is>
          <t>INV65898</t>
        </is>
      </c>
      <c r="D1630" s="94" t="inlineStr">
        <is>
          <t>INV</t>
        </is>
      </c>
      <c r="E1630" s="102" t="n">
        <v>728.47</v>
      </c>
      <c r="F1630" s="94" t="n">
        <v>12</v>
      </c>
      <c r="G1630" s="102" t="n">
        <v>0</v>
      </c>
      <c r="H1630" s="94" t="n">
        <v>0</v>
      </c>
    </row>
    <row r="1631" ht="15" customHeight="1" s="82">
      <c r="A1631" s="94" t="inlineStr">
        <is>
          <t>103 - Physiotherapy institutes</t>
        </is>
      </c>
      <c r="B1631" s="94" t="inlineStr">
        <is>
          <t>151180 פיזיו אורטופדיק</t>
        </is>
      </c>
      <c r="C1631" s="94" t="inlineStr">
        <is>
          <t>INV50597</t>
        </is>
      </c>
      <c r="D1631" s="94" t="inlineStr">
        <is>
          <t>INV</t>
        </is>
      </c>
      <c r="E1631" s="102" t="n">
        <v>685.02</v>
      </c>
      <c r="F1631" s="94" t="n">
        <v>21</v>
      </c>
      <c r="G1631" s="102" t="n">
        <v>0</v>
      </c>
      <c r="H1631" s="94" t="n">
        <v>0</v>
      </c>
    </row>
    <row r="1632" ht="15" customHeight="1" s="82">
      <c r="A1632" s="94" t="inlineStr">
        <is>
          <t>103 - Physiotherapy institutes</t>
        </is>
      </c>
      <c r="B1632" s="94" t="inlineStr">
        <is>
          <t>151239 פרולי קיור בע"מ</t>
        </is>
      </c>
      <c r="C1632" s="94" t="inlineStr">
        <is>
          <t>INV67729</t>
        </is>
      </c>
      <c r="D1632" s="94" t="inlineStr">
        <is>
          <t>INV</t>
        </is>
      </c>
      <c r="E1632" s="102" t="n">
        <v>0</v>
      </c>
      <c r="F1632" s="94" t="n">
        <v>0</v>
      </c>
      <c r="G1632" s="102" t="n">
        <v>3903.41</v>
      </c>
      <c r="H1632" s="94" t="n">
        <v>81</v>
      </c>
    </row>
    <row r="1633" ht="15" customHeight="1" s="82">
      <c r="A1633" s="94" t="inlineStr">
        <is>
          <t>103 - Physiotherapy institutes</t>
        </is>
      </c>
      <c r="B1633" s="94" t="inlineStr">
        <is>
          <t>151239 פרולי קיור בע"מ</t>
        </is>
      </c>
      <c r="C1633" s="94" t="inlineStr">
        <is>
          <t>INV61661</t>
        </is>
      </c>
      <c r="D1633" s="94" t="inlineStr">
        <is>
          <t>INV</t>
        </is>
      </c>
      <c r="E1633" s="102" t="n">
        <v>3339.67</v>
      </c>
      <c r="F1633" s="94" t="n">
        <v>67</v>
      </c>
      <c r="G1633" s="102" t="n">
        <v>0</v>
      </c>
      <c r="H1633" s="94" t="n">
        <v>0</v>
      </c>
    </row>
    <row r="1634" ht="15" customHeight="1" s="82">
      <c r="A1634" s="94" t="inlineStr">
        <is>
          <t>103 - Physiotherapy institutes</t>
        </is>
      </c>
      <c r="B1634" s="94" t="inlineStr">
        <is>
          <t>151239 פרולי קיור בע"מ</t>
        </is>
      </c>
      <c r="C1634" s="94" t="inlineStr">
        <is>
          <t>INV69191</t>
        </is>
      </c>
      <c r="D1634" s="94" t="inlineStr">
        <is>
          <t>INV</t>
        </is>
      </c>
      <c r="E1634" s="102" t="n">
        <v>0</v>
      </c>
      <c r="F1634" s="94" t="n">
        <v>0</v>
      </c>
      <c r="G1634" s="102" t="n">
        <v>2725.87</v>
      </c>
      <c r="H1634" s="94" t="n">
        <v>43</v>
      </c>
    </row>
    <row r="1635" ht="15" customHeight="1" s="82">
      <c r="A1635" s="94" t="inlineStr">
        <is>
          <t>103 - Physiotherapy institutes</t>
        </is>
      </c>
      <c r="B1635" s="94" t="inlineStr">
        <is>
          <t>151239 פרולי קיור בע"מ</t>
        </is>
      </c>
      <c r="C1635" s="94" t="inlineStr">
        <is>
          <t>INV69095</t>
        </is>
      </c>
      <c r="D1635" s="94" t="inlineStr">
        <is>
          <t>INV</t>
        </is>
      </c>
      <c r="E1635" s="102" t="n">
        <v>0</v>
      </c>
      <c r="F1635" s="94" t="n">
        <v>0</v>
      </c>
      <c r="G1635" s="102" t="n">
        <v>899.16</v>
      </c>
      <c r="H1635" s="94" t="n">
        <v>16</v>
      </c>
    </row>
    <row r="1636" ht="15" customHeight="1" s="82">
      <c r="A1636" s="94" t="inlineStr">
        <is>
          <t>103 - Physiotherapy institutes</t>
        </is>
      </c>
      <c r="B1636" s="94" t="inlineStr">
        <is>
          <t>151239 פרולי קיור בע"מ</t>
        </is>
      </c>
      <c r="C1636" s="94" t="inlineStr">
        <is>
          <t>INV69241</t>
        </is>
      </c>
      <c r="D1636" s="94" t="inlineStr">
        <is>
          <t>INV</t>
        </is>
      </c>
      <c r="E1636" s="102" t="n">
        <v>0</v>
      </c>
      <c r="F1636" s="94" t="n">
        <v>0</v>
      </c>
      <c r="G1636" s="102" t="n">
        <v>655.72</v>
      </c>
      <c r="H1636" s="94" t="n">
        <v>10</v>
      </c>
    </row>
    <row r="1637" ht="15" customHeight="1" s="82">
      <c r="A1637" s="94" t="inlineStr">
        <is>
          <t>103 - Physiotherapy institutes</t>
        </is>
      </c>
      <c r="B1637" s="94" t="inlineStr">
        <is>
          <t>151239 פרולי קיור בע"מ</t>
        </is>
      </c>
      <c r="C1637" s="94" t="inlineStr">
        <is>
          <t>CM44473</t>
        </is>
      </c>
      <c r="D1637" s="94" t="inlineStr">
        <is>
          <t>CM</t>
        </is>
      </c>
      <c r="E1637" s="102" t="n">
        <v>0</v>
      </c>
      <c r="F1637" s="94" t="n">
        <v>0</v>
      </c>
      <c r="G1637" s="102" t="n">
        <v>-264.72</v>
      </c>
      <c r="H1637" s="94" t="n">
        <v>-4</v>
      </c>
    </row>
    <row r="1638" ht="15" customHeight="1" s="82">
      <c r="A1638" s="94" t="inlineStr">
        <is>
          <t>103 - Physiotherapy institutes</t>
        </is>
      </c>
      <c r="B1638" s="94" t="inlineStr">
        <is>
          <t>153209 מכון פיזיותרפיה בועיינה</t>
        </is>
      </c>
      <c r="C1638" s="94" t="inlineStr">
        <is>
          <t>INV69097</t>
        </is>
      </c>
      <c r="D1638" s="94" t="inlineStr">
        <is>
          <t>INV</t>
        </is>
      </c>
      <c r="E1638" s="102" t="n">
        <v>0</v>
      </c>
      <c r="F1638" s="94" t="n">
        <v>0</v>
      </c>
      <c r="G1638" s="102" t="n">
        <v>700</v>
      </c>
      <c r="H1638" s="94" t="n">
        <v>2</v>
      </c>
    </row>
    <row r="1639" ht="15" customHeight="1" s="82">
      <c r="A1639" s="94" t="inlineStr">
        <is>
          <t>103 - Physiotherapy institutes</t>
        </is>
      </c>
      <c r="B1639" s="94" t="inlineStr">
        <is>
          <t>C02272 איי.אם. ריהאפיליתאשן</t>
        </is>
      </c>
      <c r="C1639" s="94" t="inlineStr">
        <is>
          <t>INV58394</t>
        </is>
      </c>
      <c r="D1639" s="94" t="inlineStr">
        <is>
          <t>INV</t>
        </is>
      </c>
      <c r="E1639" s="102" t="n">
        <v>1651.73</v>
      </c>
      <c r="F1639" s="94" t="n">
        <v>15</v>
      </c>
      <c r="G1639" s="102" t="n">
        <v>0</v>
      </c>
      <c r="H1639" s="94" t="n">
        <v>0</v>
      </c>
    </row>
    <row r="1640" ht="15" customHeight="1" s="82">
      <c r="A1640" s="94" t="inlineStr">
        <is>
          <t>103 - Physiotherapy institutes</t>
        </is>
      </c>
      <c r="B1640" s="94" t="inlineStr">
        <is>
          <t>C02278 נאסר מוחסן</t>
        </is>
      </c>
      <c r="C1640" s="94" t="inlineStr">
        <is>
          <t>INV40890</t>
        </is>
      </c>
      <c r="D1640" s="94" t="inlineStr">
        <is>
          <t>INV</t>
        </is>
      </c>
      <c r="E1640" s="102" t="n">
        <v>1612.18</v>
      </c>
      <c r="F1640" s="94" t="n">
        <v>15</v>
      </c>
      <c r="G1640" s="102" t="n">
        <v>0</v>
      </c>
      <c r="H1640" s="94" t="n">
        <v>0</v>
      </c>
    </row>
    <row r="1641" ht="15" customHeight="1" s="82">
      <c r="A1641" s="94" t="inlineStr">
        <is>
          <t>103 - Physiotherapy institutes</t>
        </is>
      </c>
      <c r="B1641" s="94" t="inlineStr">
        <is>
          <t>C02285 אמירפיה בע"מ</t>
        </is>
      </c>
      <c r="C1641" s="94" t="inlineStr">
        <is>
          <t>INV45989</t>
        </is>
      </c>
      <c r="D1641" s="94" t="inlineStr">
        <is>
          <t>INV</t>
        </is>
      </c>
      <c r="E1641" s="102" t="n">
        <v>6554.98</v>
      </c>
      <c r="F1641" s="94" t="n">
        <v>128</v>
      </c>
      <c r="G1641" s="102" t="n">
        <v>0</v>
      </c>
      <c r="H1641" s="94" t="n">
        <v>0</v>
      </c>
    </row>
    <row r="1642" ht="15" customHeight="1" s="82">
      <c r="A1642" s="94" t="inlineStr">
        <is>
          <t>103 - Physiotherapy institutes</t>
        </is>
      </c>
      <c r="B1642" s="94" t="inlineStr">
        <is>
          <t>C02285 אמירפיה בע"מ</t>
        </is>
      </c>
      <c r="C1642" s="94" t="inlineStr">
        <is>
          <t>INV55990</t>
        </is>
      </c>
      <c r="D1642" s="94" t="inlineStr">
        <is>
          <t>INV</t>
        </is>
      </c>
      <c r="E1642" s="102" t="n">
        <v>2968.84</v>
      </c>
      <c r="F1642" s="94" t="n">
        <v>45</v>
      </c>
      <c r="G1642" s="102" t="n">
        <v>0</v>
      </c>
      <c r="H1642" s="94" t="n">
        <v>0</v>
      </c>
    </row>
    <row r="1643" ht="15" customHeight="1" s="82">
      <c r="A1643" s="94" t="inlineStr">
        <is>
          <t>103 - Physiotherapy institutes</t>
        </is>
      </c>
      <c r="B1643" s="94" t="inlineStr">
        <is>
          <t>C02285 אמירפיה בע"מ</t>
        </is>
      </c>
      <c r="C1643" s="94" t="inlineStr">
        <is>
          <t>INV68344</t>
        </is>
      </c>
      <c r="D1643" s="94" t="inlineStr">
        <is>
          <t>INV</t>
        </is>
      </c>
      <c r="E1643" s="102" t="n">
        <v>0</v>
      </c>
      <c r="F1643" s="94" t="n">
        <v>0</v>
      </c>
      <c r="G1643" s="102" t="n">
        <v>2089.24</v>
      </c>
      <c r="H1643" s="94" t="n">
        <v>15</v>
      </c>
    </row>
    <row r="1644" ht="15" customHeight="1" s="82">
      <c r="A1644" s="94" t="inlineStr">
        <is>
          <t>103 - Physiotherapy institutes</t>
        </is>
      </c>
      <c r="B1644" s="94" t="inlineStr">
        <is>
          <t>C02285 אמירפיה בע"מ</t>
        </is>
      </c>
      <c r="C1644" s="94" t="inlineStr">
        <is>
          <t>INV66606</t>
        </is>
      </c>
      <c r="D1644" s="94" t="inlineStr">
        <is>
          <t>INV</t>
        </is>
      </c>
      <c r="E1644" s="102" t="n">
        <v>1644.98</v>
      </c>
      <c r="F1644" s="94" t="n">
        <v>15</v>
      </c>
      <c r="G1644" s="102" t="n">
        <v>0</v>
      </c>
      <c r="H1644" s="94" t="n">
        <v>0</v>
      </c>
    </row>
    <row r="1645" ht="15" customHeight="1" s="82">
      <c r="A1645" s="94" t="inlineStr">
        <is>
          <t>103 - Physiotherapy institutes</t>
        </is>
      </c>
      <c r="B1645" s="94" t="inlineStr">
        <is>
          <t>C02285 אמירפיה בע"מ</t>
        </is>
      </c>
      <c r="C1645" s="94" t="inlineStr">
        <is>
          <t>INV64618</t>
        </is>
      </c>
      <c r="D1645" s="94" t="inlineStr">
        <is>
          <t>INV</t>
        </is>
      </c>
      <c r="E1645" s="102" t="n">
        <v>580.86</v>
      </c>
      <c r="F1645" s="94" t="n">
        <v>8</v>
      </c>
      <c r="G1645" s="102" t="n">
        <v>0</v>
      </c>
      <c r="H1645" s="94" t="n">
        <v>0</v>
      </c>
    </row>
    <row r="1646" ht="15" customHeight="1" s="82">
      <c r="A1646" s="94" t="inlineStr">
        <is>
          <t>103 - Physiotherapy institutes</t>
        </is>
      </c>
      <c r="B1646" s="94" t="inlineStr">
        <is>
          <t>C02285 אמירפיה בע"מ</t>
        </is>
      </c>
      <c r="C1646" s="94" t="inlineStr">
        <is>
          <t>INV55061</t>
        </is>
      </c>
      <c r="D1646" s="94" t="inlineStr">
        <is>
          <t>INV</t>
        </is>
      </c>
      <c r="E1646" s="102" t="n">
        <v>421.75</v>
      </c>
      <c r="F1646" s="94" t="n">
        <v>2</v>
      </c>
      <c r="G1646" s="102" t="n">
        <v>0</v>
      </c>
      <c r="H1646" s="94" t="n">
        <v>0</v>
      </c>
    </row>
    <row r="1647" ht="15" customHeight="1" s="82">
      <c r="A1647" s="94" t="inlineStr">
        <is>
          <t>103 - Physiotherapy institutes</t>
        </is>
      </c>
      <c r="B1647" s="94" t="inlineStr">
        <is>
          <t>C02285 אמירפיה בע"מ</t>
        </is>
      </c>
      <c r="C1647" s="94" t="inlineStr">
        <is>
          <t>INV55505</t>
        </is>
      </c>
      <c r="D1647" s="94" t="inlineStr">
        <is>
          <t>INV</t>
        </is>
      </c>
      <c r="E1647" s="102" t="n">
        <v>320</v>
      </c>
      <c r="F1647" s="94" t="n">
        <v>2</v>
      </c>
      <c r="G1647" s="102" t="n">
        <v>0</v>
      </c>
      <c r="H1647" s="94" t="n">
        <v>0</v>
      </c>
    </row>
    <row r="1648" ht="15" customHeight="1" s="82">
      <c r="A1648" s="94" t="inlineStr">
        <is>
          <t>103 - Physiotherapy institutes</t>
        </is>
      </c>
      <c r="B1648" s="94" t="inlineStr">
        <is>
          <t>C02285 אמירפיה בע"מ</t>
        </is>
      </c>
      <c r="C1648" s="94" t="inlineStr">
        <is>
          <t>CM43786</t>
        </is>
      </c>
      <c r="D1648" s="94" t="inlineStr">
        <is>
          <t>CM</t>
        </is>
      </c>
      <c r="E1648" s="102" t="n">
        <v>-421.75</v>
      </c>
      <c r="F1648" s="94" t="n">
        <v>-2</v>
      </c>
      <c r="G1648" s="102" t="n">
        <v>0</v>
      </c>
      <c r="H1648" s="94" t="n">
        <v>0</v>
      </c>
    </row>
    <row r="1649" ht="15" customHeight="1" s="82">
      <c r="A1649" s="94" t="inlineStr">
        <is>
          <t>103 - Physiotherapy institutes</t>
        </is>
      </c>
      <c r="B1649" s="94" t="inlineStr">
        <is>
          <t>C02285 אמירפיה בע"מ</t>
        </is>
      </c>
      <c r="C1649" s="94" t="inlineStr">
        <is>
          <t>CM44203</t>
        </is>
      </c>
      <c r="D1649" s="94" t="inlineStr">
        <is>
          <t>CM</t>
        </is>
      </c>
      <c r="E1649" s="102" t="n">
        <v>-1644.98</v>
      </c>
      <c r="F1649" s="94" t="n">
        <v>-15</v>
      </c>
      <c r="G1649" s="102" t="n">
        <v>0</v>
      </c>
      <c r="H1649" s="94" t="n">
        <v>0</v>
      </c>
    </row>
    <row r="1650" ht="15" customHeight="1" s="82">
      <c r="A1650" s="94" t="inlineStr">
        <is>
          <t>103 - Physiotherapy institutes</t>
        </is>
      </c>
      <c r="B1650" s="94" t="inlineStr">
        <is>
          <t>C02285 אמירפיה בע"מ</t>
        </is>
      </c>
      <c r="C1650" s="94" t="inlineStr">
        <is>
          <t>CM43787</t>
        </is>
      </c>
      <c r="D1650" s="94" t="inlineStr">
        <is>
          <t>CM</t>
        </is>
      </c>
      <c r="E1650" s="102" t="n">
        <v>-6554.98</v>
      </c>
      <c r="F1650" s="94" t="n">
        <v>-128</v>
      </c>
      <c r="G1650" s="102" t="n">
        <v>0</v>
      </c>
      <c r="H1650" s="94" t="n">
        <v>0</v>
      </c>
    </row>
    <row r="1651" ht="15" customHeight="1" s="82">
      <c r="A1651" s="94" t="inlineStr">
        <is>
          <t>103 - Physiotherapy institutes</t>
        </is>
      </c>
      <c r="B1651" s="94" t="inlineStr">
        <is>
          <t>C02288 פאעור עלי</t>
        </is>
      </c>
      <c r="C1651" s="94" t="inlineStr">
        <is>
          <t>INV57733</t>
        </is>
      </c>
      <c r="D1651" s="94" t="inlineStr">
        <is>
          <t>INV</t>
        </is>
      </c>
      <c r="E1651" s="102" t="n">
        <v>4888.66</v>
      </c>
      <c r="F1651" s="94" t="n">
        <v>51</v>
      </c>
      <c r="G1651" s="102" t="n">
        <v>0</v>
      </c>
      <c r="H1651" s="94" t="n">
        <v>0</v>
      </c>
    </row>
    <row r="1652" ht="15" customHeight="1" s="82">
      <c r="A1652" s="94" t="inlineStr">
        <is>
          <t>103 - Physiotherapy institutes</t>
        </is>
      </c>
      <c r="B1652" s="94" t="inlineStr">
        <is>
          <t>C02288 פאעור עלי</t>
        </is>
      </c>
      <c r="C1652" s="94" t="inlineStr">
        <is>
          <t>INV66719</t>
        </is>
      </c>
      <c r="D1652" s="94" t="inlineStr">
        <is>
          <t>INV</t>
        </is>
      </c>
      <c r="E1652" s="102" t="n">
        <v>1581.49</v>
      </c>
      <c r="F1652" s="94" t="n">
        <v>13</v>
      </c>
      <c r="G1652" s="102" t="n">
        <v>0</v>
      </c>
      <c r="H1652" s="94" t="n">
        <v>0</v>
      </c>
    </row>
    <row r="1653" ht="15" customHeight="1" s="82">
      <c r="A1653" s="94" t="inlineStr">
        <is>
          <t>103 - Physiotherapy institutes</t>
        </is>
      </c>
      <c r="B1653" s="94" t="inlineStr">
        <is>
          <t>C02288 פאעור עלי</t>
        </is>
      </c>
      <c r="C1653" s="94" t="inlineStr">
        <is>
          <t>INV65684</t>
        </is>
      </c>
      <c r="D1653" s="94" t="inlineStr">
        <is>
          <t>INV</t>
        </is>
      </c>
      <c r="E1653" s="102" t="n">
        <v>1461.97</v>
      </c>
      <c r="F1653" s="94" t="n">
        <v>25</v>
      </c>
      <c r="G1653" s="102" t="n">
        <v>0</v>
      </c>
      <c r="H1653" s="94" t="n">
        <v>0</v>
      </c>
    </row>
    <row r="1654" ht="15" customHeight="1" s="82">
      <c r="A1654" s="94" t="inlineStr">
        <is>
          <t>103 - Physiotherapy institutes</t>
        </is>
      </c>
      <c r="B1654" s="94" t="inlineStr">
        <is>
          <t>C02288 פאעור עלי</t>
        </is>
      </c>
      <c r="C1654" s="94" t="inlineStr">
        <is>
          <t>INV66171</t>
        </is>
      </c>
      <c r="D1654" s="94" t="inlineStr">
        <is>
          <t>INV</t>
        </is>
      </c>
      <c r="E1654" s="102" t="n">
        <v>1178.15</v>
      </c>
      <c r="F1654" s="94" t="n">
        <v>19</v>
      </c>
      <c r="G1654" s="102" t="n">
        <v>0</v>
      </c>
      <c r="H1654" s="94" t="n">
        <v>0</v>
      </c>
    </row>
    <row r="1655" ht="15" customHeight="1" s="82">
      <c r="A1655" s="94" t="inlineStr">
        <is>
          <t>103 - Physiotherapy institutes</t>
        </is>
      </c>
      <c r="B1655" s="94" t="inlineStr">
        <is>
          <t>C02288 פאעור עלי</t>
        </is>
      </c>
      <c r="C1655" s="94" t="inlineStr">
        <is>
          <t>INV65528</t>
        </is>
      </c>
      <c r="D1655" s="94" t="inlineStr">
        <is>
          <t>INV</t>
        </is>
      </c>
      <c r="E1655" s="102" t="n">
        <v>950.3200000000001</v>
      </c>
      <c r="F1655" s="94" t="n">
        <v>18</v>
      </c>
      <c r="G1655" s="102" t="n">
        <v>0</v>
      </c>
      <c r="H1655" s="94" t="n">
        <v>0</v>
      </c>
    </row>
    <row r="1656" ht="15" customHeight="1" s="82">
      <c r="A1656" s="94" t="inlineStr">
        <is>
          <t>103 - Physiotherapy institutes</t>
        </is>
      </c>
      <c r="B1656" s="94" t="inlineStr">
        <is>
          <t>C02288 פאעור עלי</t>
        </is>
      </c>
      <c r="C1656" s="94" t="inlineStr">
        <is>
          <t>INV66504</t>
        </is>
      </c>
      <c r="D1656" s="94" t="inlineStr">
        <is>
          <t>INV</t>
        </is>
      </c>
      <c r="E1656" s="102" t="n">
        <v>844.77</v>
      </c>
      <c r="F1656" s="94" t="n">
        <v>12</v>
      </c>
      <c r="G1656" s="102" t="n">
        <v>0</v>
      </c>
      <c r="H1656" s="94" t="n">
        <v>0</v>
      </c>
    </row>
    <row r="1657" ht="15" customHeight="1" s="82">
      <c r="A1657" s="94" t="inlineStr">
        <is>
          <t>103 - Physiotherapy institutes</t>
        </is>
      </c>
      <c r="B1657" s="94" t="inlineStr">
        <is>
          <t>C02288 פאעור עלי</t>
        </is>
      </c>
      <c r="C1657" s="94" t="inlineStr">
        <is>
          <t>INV67522</t>
        </is>
      </c>
      <c r="D1657" s="94" t="inlineStr">
        <is>
          <t>INV</t>
        </is>
      </c>
      <c r="E1657" s="102" t="n">
        <v>0</v>
      </c>
      <c r="F1657" s="94" t="n">
        <v>0</v>
      </c>
      <c r="G1657" s="102" t="n">
        <v>476.98</v>
      </c>
      <c r="H1657" s="94" t="n">
        <v>5</v>
      </c>
    </row>
    <row r="1658" ht="15" customHeight="1" s="82">
      <c r="A1658" s="94" t="inlineStr">
        <is>
          <t>103 - Physiotherapy institutes</t>
        </is>
      </c>
      <c r="B1658" s="94" t="inlineStr">
        <is>
          <t>C02288 פאעור עלי</t>
        </is>
      </c>
      <c r="C1658" s="94" t="inlineStr">
        <is>
          <t>INV65395</t>
        </is>
      </c>
      <c r="D1658" s="94" t="inlineStr">
        <is>
          <t>INV</t>
        </is>
      </c>
      <c r="E1658" s="102" t="n">
        <v>451.9</v>
      </c>
      <c r="F1658" s="94" t="n">
        <v>9</v>
      </c>
      <c r="G1658" s="102" t="n">
        <v>0</v>
      </c>
      <c r="H1658" s="94" t="n">
        <v>0</v>
      </c>
    </row>
    <row r="1659" ht="15" customHeight="1" s="82">
      <c r="A1659" s="94" t="inlineStr">
        <is>
          <t>103 - Physiotherapy institutes</t>
        </is>
      </c>
      <c r="B1659" s="94" t="inlineStr">
        <is>
          <t>C02288 פאעור עלי</t>
        </is>
      </c>
      <c r="C1659" s="94" t="inlineStr">
        <is>
          <t>INV65746</t>
        </is>
      </c>
      <c r="D1659" s="94" t="inlineStr">
        <is>
          <t>INV</t>
        </is>
      </c>
      <c r="E1659" s="102" t="n">
        <v>0.01</v>
      </c>
      <c r="F1659" s="94" t="n">
        <v>1</v>
      </c>
      <c r="G1659" s="102" t="n">
        <v>0</v>
      </c>
      <c r="H1659" s="94" t="n">
        <v>0</v>
      </c>
    </row>
    <row r="1660" ht="15" customHeight="1" s="82">
      <c r="A1660" s="94" t="inlineStr">
        <is>
          <t>103 - Physiotherapy institutes</t>
        </is>
      </c>
      <c r="B1660" s="94" t="inlineStr">
        <is>
          <t>C02292 כיאל ויסאם</t>
        </is>
      </c>
      <c r="C1660" s="94" t="inlineStr">
        <is>
          <t>INV68718</t>
        </is>
      </c>
      <c r="D1660" s="94" t="inlineStr">
        <is>
          <t>INV</t>
        </is>
      </c>
      <c r="E1660" s="102" t="n">
        <v>0</v>
      </c>
      <c r="F1660" s="94" t="n">
        <v>0</v>
      </c>
      <c r="G1660" s="102" t="n">
        <v>4003.91</v>
      </c>
      <c r="H1660" s="94" t="n">
        <v>59</v>
      </c>
    </row>
    <row r="1661" ht="15" customHeight="1" s="82">
      <c r="A1661" s="94" t="inlineStr">
        <is>
          <t>103 - Physiotherapy institutes</t>
        </is>
      </c>
      <c r="B1661" s="94" t="inlineStr">
        <is>
          <t>C02292 כיאל ויסאם</t>
        </is>
      </c>
      <c r="C1661" s="94" t="inlineStr">
        <is>
          <t>INV61934</t>
        </is>
      </c>
      <c r="D1661" s="94" t="inlineStr">
        <is>
          <t>INV</t>
        </is>
      </c>
      <c r="E1661" s="102" t="n">
        <v>2573.63</v>
      </c>
      <c r="F1661" s="94" t="n">
        <v>48</v>
      </c>
      <c r="G1661" s="102" t="n">
        <v>0</v>
      </c>
      <c r="H1661" s="94" t="n">
        <v>0</v>
      </c>
    </row>
    <row r="1662" ht="15" customHeight="1" s="82">
      <c r="A1662" s="94" t="inlineStr">
        <is>
          <t>103 - Physiotherapy institutes</t>
        </is>
      </c>
      <c r="B1662" s="94" t="inlineStr">
        <is>
          <t>C02292 כיאל ויסאם</t>
        </is>
      </c>
      <c r="C1662" s="94" t="inlineStr">
        <is>
          <t>INV65940</t>
        </is>
      </c>
      <c r="D1662" s="94" t="inlineStr">
        <is>
          <t>INV</t>
        </is>
      </c>
      <c r="E1662" s="102" t="n">
        <v>1308.77</v>
      </c>
      <c r="F1662" s="94" t="n">
        <v>17</v>
      </c>
      <c r="G1662" s="102" t="n">
        <v>0</v>
      </c>
      <c r="H1662" s="94" t="n">
        <v>0</v>
      </c>
    </row>
    <row r="1663" ht="15" customHeight="1" s="82">
      <c r="A1663" s="94" t="inlineStr">
        <is>
          <t>103 - Physiotherapy institutes</t>
        </is>
      </c>
      <c r="B1663" s="94" t="inlineStr">
        <is>
          <t>C02292 כיאל ויסאם</t>
        </is>
      </c>
      <c r="C1663" s="94" t="inlineStr">
        <is>
          <t>INV60995</t>
        </is>
      </c>
      <c r="D1663" s="94" t="inlineStr">
        <is>
          <t>INV</t>
        </is>
      </c>
      <c r="E1663" s="102" t="n">
        <v>1253</v>
      </c>
      <c r="F1663" s="94" t="n">
        <v>48</v>
      </c>
      <c r="G1663" s="102" t="n">
        <v>0</v>
      </c>
      <c r="H1663" s="94" t="n">
        <v>0</v>
      </c>
    </row>
    <row r="1664" ht="15" customHeight="1" s="82">
      <c r="A1664" s="94" t="inlineStr">
        <is>
          <t>103 - Physiotherapy institutes</t>
        </is>
      </c>
      <c r="B1664" s="94" t="inlineStr">
        <is>
          <t>C02303 אוריה מורן אטלס רפואה שלמה</t>
        </is>
      </c>
      <c r="C1664" s="94" t="inlineStr">
        <is>
          <t>INV66691</t>
        </is>
      </c>
      <c r="D1664" s="94" t="inlineStr">
        <is>
          <t>INV</t>
        </is>
      </c>
      <c r="E1664" s="102" t="n">
        <v>600.01</v>
      </c>
      <c r="F1664" s="94" t="n">
        <v>6</v>
      </c>
      <c r="G1664" s="102" t="n">
        <v>0</v>
      </c>
      <c r="H1664" s="94" t="n">
        <v>0</v>
      </c>
    </row>
    <row r="1665" ht="15" customHeight="1" s="82">
      <c r="A1665" s="94" t="inlineStr">
        <is>
          <t>103 - Physiotherapy institutes</t>
        </is>
      </c>
      <c r="B1665" s="94" t="inlineStr">
        <is>
          <t>C02303 אוריה מורן אטלס רפואה שלמה</t>
        </is>
      </c>
      <c r="C1665" s="94" t="inlineStr">
        <is>
          <t>INV67433</t>
        </is>
      </c>
      <c r="D1665" s="94" t="inlineStr">
        <is>
          <t>INV</t>
        </is>
      </c>
      <c r="E1665" s="102" t="n">
        <v>0</v>
      </c>
      <c r="F1665" s="94" t="n">
        <v>0</v>
      </c>
      <c r="G1665" s="102" t="n">
        <v>474.3</v>
      </c>
      <c r="H1665" s="94" t="n">
        <v>9</v>
      </c>
    </row>
    <row r="1666" ht="15" customHeight="1" s="82">
      <c r="A1666" s="94" t="inlineStr">
        <is>
          <t>103 - Physiotherapy institutes</t>
        </is>
      </c>
      <c r="B1666" s="94" t="inlineStr">
        <is>
          <t>C02303 אוריה מורן אטלס רפואה שלמה</t>
        </is>
      </c>
      <c r="C1666" s="94" t="inlineStr">
        <is>
          <t>INV69124</t>
        </is>
      </c>
      <c r="D1666" s="94" t="inlineStr">
        <is>
          <t>INV</t>
        </is>
      </c>
      <c r="E1666" s="102" t="n">
        <v>0</v>
      </c>
      <c r="F1666" s="94" t="n">
        <v>0</v>
      </c>
      <c r="G1666" s="102" t="n">
        <v>328.05</v>
      </c>
      <c r="H1666" s="94" t="n">
        <v>2</v>
      </c>
    </row>
    <row r="1667" ht="15" customHeight="1" s="82">
      <c r="A1667" s="94" t="inlineStr">
        <is>
          <t>103 - Physiotherapy institutes</t>
        </is>
      </c>
      <c r="B1667" s="94" t="inlineStr">
        <is>
          <t>C02303 אוריה מורן אטלס רפואה שלמה</t>
        </is>
      </c>
      <c r="C1667" s="94" t="inlineStr">
        <is>
          <t>INV67591</t>
        </is>
      </c>
      <c r="D1667" s="94" t="inlineStr">
        <is>
          <t>INV</t>
        </is>
      </c>
      <c r="E1667" s="102" t="n">
        <v>0</v>
      </c>
      <c r="F1667" s="94" t="n">
        <v>0</v>
      </c>
      <c r="G1667" s="102" t="n">
        <v>240</v>
      </c>
      <c r="H1667" s="94" t="n">
        <v>2</v>
      </c>
    </row>
    <row r="1668" ht="15" customHeight="1" s="82">
      <c r="A1668" s="94" t="inlineStr">
        <is>
          <t>103 - Physiotherapy institutes</t>
        </is>
      </c>
      <c r="B1668" s="94" t="inlineStr">
        <is>
          <t>C02303 אוריה מורן אטלס רפואה שלמה</t>
        </is>
      </c>
      <c r="C1668" s="94" t="inlineStr">
        <is>
          <t>INV68348</t>
        </is>
      </c>
      <c r="D1668" s="94" t="inlineStr">
        <is>
          <t>INV</t>
        </is>
      </c>
      <c r="E1668" s="102" t="n">
        <v>0</v>
      </c>
      <c r="F1668" s="94" t="n">
        <v>0</v>
      </c>
      <c r="G1668" s="102" t="n">
        <v>187.35</v>
      </c>
      <c r="H1668" s="94" t="n">
        <v>2</v>
      </c>
    </row>
    <row r="1669" ht="15" customHeight="1" s="82">
      <c r="A1669" s="94" t="inlineStr">
        <is>
          <t>103 - Physiotherapy institutes</t>
        </is>
      </c>
      <c r="B1669" s="94" t="inlineStr">
        <is>
          <t>C02303 אוריה מורן אטלס רפואה שלמה</t>
        </is>
      </c>
      <c r="C1669" s="94" t="inlineStr">
        <is>
          <t>INV66756</t>
        </is>
      </c>
      <c r="D1669" s="94" t="inlineStr">
        <is>
          <t>INV</t>
        </is>
      </c>
      <c r="E1669" s="102" t="n">
        <v>101.15</v>
      </c>
      <c r="F1669" s="94" t="n">
        <v>2</v>
      </c>
      <c r="G1669" s="102" t="n">
        <v>0</v>
      </c>
      <c r="H1669" s="94" t="n">
        <v>0</v>
      </c>
    </row>
    <row r="1670" ht="15" customHeight="1" s="82">
      <c r="A1670" s="94" t="inlineStr">
        <is>
          <t>103 - Physiotherapy institutes</t>
        </is>
      </c>
      <c r="B1670" s="94" t="inlineStr">
        <is>
          <t>C02303 אוריה מורן אטלס רפואה שלמה</t>
        </is>
      </c>
      <c r="C1670" s="94" t="inlineStr">
        <is>
          <t>CS15267</t>
        </is>
      </c>
      <c r="D1670" s="94" t="inlineStr">
        <is>
          <t>CS</t>
        </is>
      </c>
      <c r="E1670" s="102" t="n">
        <v>0</v>
      </c>
      <c r="F1670" s="94" t="n">
        <v>0</v>
      </c>
      <c r="G1670" s="102" t="n">
        <v>79.65000000000001</v>
      </c>
      <c r="H1670" s="94" t="n">
        <v>1</v>
      </c>
    </row>
    <row r="1671" ht="15" customHeight="1" s="82">
      <c r="A1671" s="94" t="inlineStr">
        <is>
          <t>103 - Physiotherapy institutes</t>
        </is>
      </c>
      <c r="B1671" s="94" t="inlineStr">
        <is>
          <t>C02312 עאסי האדי</t>
        </is>
      </c>
      <c r="C1671" s="94" t="inlineStr">
        <is>
          <t>INV67789</t>
        </is>
      </c>
      <c r="D1671" s="94" t="inlineStr">
        <is>
          <t>INV</t>
        </is>
      </c>
      <c r="E1671" s="102" t="n">
        <v>0</v>
      </c>
      <c r="F1671" s="94" t="n">
        <v>0</v>
      </c>
      <c r="G1671" s="102" t="n">
        <v>2565.43</v>
      </c>
      <c r="H1671" s="94" t="n">
        <v>46</v>
      </c>
    </row>
    <row r="1672" ht="15" customHeight="1" s="82">
      <c r="A1672" s="94" t="inlineStr">
        <is>
          <t>103 - Physiotherapy institutes</t>
        </is>
      </c>
      <c r="B1672" s="94" t="inlineStr">
        <is>
          <t>C02312 עאסי האדי</t>
        </is>
      </c>
      <c r="C1672" s="94" t="inlineStr">
        <is>
          <t>INV67790</t>
        </is>
      </c>
      <c r="D1672" s="94" t="inlineStr">
        <is>
          <t>INV</t>
        </is>
      </c>
      <c r="E1672" s="102" t="n">
        <v>0</v>
      </c>
      <c r="F1672" s="94" t="n">
        <v>0</v>
      </c>
      <c r="G1672" s="102" t="n">
        <v>1036.63</v>
      </c>
      <c r="H1672" s="94" t="n">
        <v>5</v>
      </c>
    </row>
    <row r="1673" ht="15" customHeight="1" s="82">
      <c r="A1673" s="94" t="inlineStr">
        <is>
          <t>103 - Physiotherapy institutes</t>
        </is>
      </c>
      <c r="B1673" s="94" t="inlineStr">
        <is>
          <t>C02319 אייביתרפיה</t>
        </is>
      </c>
      <c r="C1673" s="94" t="inlineStr">
        <is>
          <t>INV68378</t>
        </is>
      </c>
      <c r="D1673" s="94" t="inlineStr">
        <is>
          <t>INV</t>
        </is>
      </c>
      <c r="E1673" s="102" t="n">
        <v>0</v>
      </c>
      <c r="F1673" s="94" t="n">
        <v>0</v>
      </c>
      <c r="G1673" s="102" t="n">
        <v>3497.26</v>
      </c>
      <c r="H1673" s="94" t="n">
        <v>59</v>
      </c>
    </row>
    <row r="1674" ht="15" customHeight="1" s="82">
      <c r="A1674" s="94" t="inlineStr">
        <is>
          <t>103 - Physiotherapy institutes</t>
        </is>
      </c>
      <c r="B1674" s="94" t="inlineStr">
        <is>
          <t>C02319 אייביתרפיה</t>
        </is>
      </c>
      <c r="C1674" s="94" t="inlineStr">
        <is>
          <t>INV68377</t>
        </is>
      </c>
      <c r="D1674" s="94" t="inlineStr">
        <is>
          <t>INV</t>
        </is>
      </c>
      <c r="E1674" s="102" t="n">
        <v>0</v>
      </c>
      <c r="F1674" s="94" t="n">
        <v>0</v>
      </c>
      <c r="G1674" s="102" t="n">
        <v>1260</v>
      </c>
      <c r="H1674" s="94" t="n">
        <v>8</v>
      </c>
    </row>
    <row r="1675" ht="15" customHeight="1" s="82">
      <c r="A1675" s="94" t="inlineStr">
        <is>
          <t>103 - Physiotherapy institutes</t>
        </is>
      </c>
      <c r="B1675" s="94" t="inlineStr">
        <is>
          <t>C02319 אייביתרפיה</t>
        </is>
      </c>
      <c r="C1675" s="94" t="inlineStr">
        <is>
          <t>CM44416</t>
        </is>
      </c>
      <c r="D1675" s="94" t="inlineStr">
        <is>
          <t>CM</t>
        </is>
      </c>
      <c r="E1675" s="102" t="n">
        <v>0</v>
      </c>
      <c r="F1675" s="94" t="n">
        <v>0</v>
      </c>
      <c r="G1675" s="102" t="n">
        <v>-164.02</v>
      </c>
      <c r="H1675" s="94" t="n">
        <v>-1</v>
      </c>
    </row>
    <row r="1676" ht="15" customHeight="1" s="82">
      <c r="A1676" s="94" t="inlineStr">
        <is>
          <t>103 - Physiotherapy institutes</t>
        </is>
      </c>
      <c r="B1676" s="94" t="inlineStr">
        <is>
          <t>C02320 יער מדיקס חיפה בעמ</t>
        </is>
      </c>
      <c r="C1676" s="94" t="inlineStr">
        <is>
          <t>INV69043</t>
        </is>
      </c>
      <c r="D1676" s="94" t="inlineStr">
        <is>
          <t>INV</t>
        </is>
      </c>
      <c r="E1676" s="102" t="n">
        <v>0</v>
      </c>
      <c r="F1676" s="94" t="n">
        <v>0</v>
      </c>
      <c r="G1676" s="102" t="n">
        <v>1086.43</v>
      </c>
      <c r="H1676" s="94" t="n">
        <v>10</v>
      </c>
    </row>
    <row r="1677" ht="15" customHeight="1" s="82">
      <c r="A1677" s="94" t="inlineStr">
        <is>
          <t>103 - Physiotherapy institutes</t>
        </is>
      </c>
      <c r="B1677" s="94" t="inlineStr">
        <is>
          <t>C02320 יער מדיקס חיפה בעמ</t>
        </is>
      </c>
      <c r="C1677" s="94" t="inlineStr">
        <is>
          <t>INV69218</t>
        </is>
      </c>
      <c r="D1677" s="94" t="inlineStr">
        <is>
          <t>INV</t>
        </is>
      </c>
      <c r="E1677" s="102" t="n">
        <v>0</v>
      </c>
      <c r="F1677" s="94" t="n">
        <v>0</v>
      </c>
      <c r="G1677" s="102" t="n">
        <v>281.4</v>
      </c>
      <c r="H1677" s="94" t="n">
        <v>4</v>
      </c>
    </row>
    <row r="1678" ht="15" customHeight="1" s="82">
      <c r="A1678" s="94" t="inlineStr">
        <is>
          <t>103 - Physiotherapy institutes</t>
        </is>
      </c>
      <c r="B1678" s="94" t="inlineStr">
        <is>
          <t>C02326 וגנר שירה</t>
        </is>
      </c>
      <c r="C1678" s="94" t="inlineStr">
        <is>
          <t>INV68902</t>
        </is>
      </c>
      <c r="D1678" s="94" t="inlineStr">
        <is>
          <t>INV</t>
        </is>
      </c>
      <c r="E1678" s="102" t="n">
        <v>0</v>
      </c>
      <c r="F1678" s="94" t="n">
        <v>0</v>
      </c>
      <c r="G1678" s="102" t="n">
        <v>613.24</v>
      </c>
      <c r="H1678" s="94" t="n">
        <v>18</v>
      </c>
    </row>
    <row r="1679" ht="15" customHeight="1" s="82">
      <c r="A1679" s="94" t="inlineStr">
        <is>
          <t>103 - Physiotherapy institutes</t>
        </is>
      </c>
      <c r="B1679" s="94" t="inlineStr">
        <is>
          <t>C02326 וגנר שירה</t>
        </is>
      </c>
      <c r="C1679" s="94" t="inlineStr">
        <is>
          <t>INV69213</t>
        </is>
      </c>
      <c r="D1679" s="94" t="inlineStr">
        <is>
          <t>INV</t>
        </is>
      </c>
      <c r="E1679" s="102" t="n">
        <v>0</v>
      </c>
      <c r="F1679" s="94" t="n">
        <v>0</v>
      </c>
      <c r="G1679" s="102" t="n">
        <v>348.6</v>
      </c>
      <c r="H1679" s="94" t="n">
        <v>5</v>
      </c>
    </row>
    <row r="1680" ht="15" customHeight="1" s="82">
      <c r="A1680" s="94" t="inlineStr">
        <is>
          <t>103 - Physiotherapy institutes</t>
        </is>
      </c>
      <c r="B1680" s="94" t="inlineStr">
        <is>
          <t>C02329 אביטל עציון</t>
        </is>
      </c>
      <c r="C1680" s="94" t="inlineStr">
        <is>
          <t>INV69115</t>
        </is>
      </c>
      <c r="D1680" s="94" t="inlineStr">
        <is>
          <t>INV</t>
        </is>
      </c>
      <c r="E1680" s="102" t="n">
        <v>0</v>
      </c>
      <c r="F1680" s="94" t="n">
        <v>0</v>
      </c>
      <c r="G1680" s="102" t="n">
        <v>1999.24</v>
      </c>
      <c r="H1680" s="94" t="n">
        <v>12</v>
      </c>
    </row>
    <row r="1681" ht="15" customHeight="1" s="82">
      <c r="A1681" s="94" t="inlineStr">
        <is>
          <t>103 - Physiotherapy institutes</t>
        </is>
      </c>
      <c r="B1681" s="94" t="inlineStr">
        <is>
          <t>C02332 גרניט טל</t>
        </is>
      </c>
      <c r="C1681" s="94" t="inlineStr">
        <is>
          <t>INV69224</t>
        </is>
      </c>
      <c r="D1681" s="94" t="inlineStr">
        <is>
          <t>INV</t>
        </is>
      </c>
      <c r="E1681" s="102" t="n">
        <v>0</v>
      </c>
      <c r="F1681" s="94" t="n">
        <v>0</v>
      </c>
      <c r="G1681" s="102" t="n">
        <v>360</v>
      </c>
      <c r="H1681" s="94" t="n">
        <v>12</v>
      </c>
    </row>
    <row r="1682" ht="15" customHeight="1" s="82">
      <c r="A1682" s="94" t="inlineStr">
        <is>
          <t>109 - Private Shops</t>
        </is>
      </c>
      <c r="B1682" s="94" t="inlineStr">
        <is>
          <t>150151 סלון בלומה-בני ברק</t>
        </is>
      </c>
      <c r="C1682" s="94" t="inlineStr">
        <is>
          <t>INV69194</t>
        </is>
      </c>
      <c r="D1682" s="94" t="inlineStr">
        <is>
          <t>INV</t>
        </is>
      </c>
      <c r="E1682" s="102" t="n">
        <v>0</v>
      </c>
      <c r="F1682" s="94" t="n">
        <v>0</v>
      </c>
      <c r="G1682" s="102" t="n">
        <v>2143.98</v>
      </c>
      <c r="H1682" s="94" t="n">
        <v>8</v>
      </c>
    </row>
    <row r="1683" ht="15" customHeight="1" s="82">
      <c r="A1683" s="94" t="inlineStr">
        <is>
          <t>109 - Private Shops</t>
        </is>
      </c>
      <c r="B1683" s="94" t="inlineStr">
        <is>
          <t>150151 סלון בלומה-בני ברק</t>
        </is>
      </c>
      <c r="C1683" s="94" t="inlineStr">
        <is>
          <t>INV68844</t>
        </is>
      </c>
      <c r="D1683" s="94" t="inlineStr">
        <is>
          <t>INV</t>
        </is>
      </c>
      <c r="E1683" s="102" t="n">
        <v>0</v>
      </c>
      <c r="F1683" s="94" t="n">
        <v>0</v>
      </c>
      <c r="G1683" s="102" t="n">
        <v>1607.98</v>
      </c>
      <c r="H1683" s="94" t="n">
        <v>6</v>
      </c>
    </row>
    <row r="1684" ht="15" customHeight="1" s="82">
      <c r="A1684" s="94" t="inlineStr">
        <is>
          <t>109 - Private Shops</t>
        </is>
      </c>
      <c r="B1684" s="94" t="inlineStr">
        <is>
          <t>150151 סלון בלומה-בני ברק</t>
        </is>
      </c>
      <c r="C1684" s="94" t="inlineStr">
        <is>
          <t>INV56429</t>
        </is>
      </c>
      <c r="D1684" s="94" t="inlineStr">
        <is>
          <t>INV</t>
        </is>
      </c>
      <c r="E1684" s="102" t="n">
        <v>1339.99</v>
      </c>
      <c r="F1684" s="94" t="n">
        <v>5</v>
      </c>
      <c r="G1684" s="102" t="n">
        <v>0</v>
      </c>
      <c r="H1684" s="94" t="n">
        <v>0</v>
      </c>
    </row>
    <row r="1685" ht="15" customHeight="1" s="82">
      <c r="A1685" s="94" t="inlineStr">
        <is>
          <t>109 - Private Shops</t>
        </is>
      </c>
      <c r="B1685" s="94" t="inlineStr">
        <is>
          <t>150151 סלון בלומה-בני ברק</t>
        </is>
      </c>
      <c r="C1685" s="94" t="inlineStr">
        <is>
          <t>INV65685</t>
        </is>
      </c>
      <c r="D1685" s="94" t="inlineStr">
        <is>
          <t>INV</t>
        </is>
      </c>
      <c r="E1685" s="102" t="n">
        <v>1071.99</v>
      </c>
      <c r="F1685" s="94" t="n">
        <v>4</v>
      </c>
      <c r="G1685" s="102" t="n">
        <v>0</v>
      </c>
      <c r="H1685" s="94" t="n">
        <v>0</v>
      </c>
    </row>
    <row r="1686" ht="15" customHeight="1" s="82">
      <c r="A1686" s="94" t="inlineStr">
        <is>
          <t>109 - Private Shops</t>
        </is>
      </c>
      <c r="B1686" s="94" t="inlineStr">
        <is>
          <t>150151 סלון בלומה-בני ברק</t>
        </is>
      </c>
      <c r="C1686" s="94" t="inlineStr">
        <is>
          <t>INV44374</t>
        </is>
      </c>
      <c r="D1686" s="94" t="inlineStr">
        <is>
          <t>INV</t>
        </is>
      </c>
      <c r="E1686" s="102" t="n">
        <v>900</v>
      </c>
      <c r="F1686" s="94" t="n">
        <v>5</v>
      </c>
      <c r="G1686" s="102" t="n">
        <v>0</v>
      </c>
      <c r="H1686" s="94" t="n">
        <v>0</v>
      </c>
    </row>
    <row r="1687" ht="15" customHeight="1" s="82">
      <c r="A1687" s="94" t="inlineStr">
        <is>
          <t>109 - Private Shops</t>
        </is>
      </c>
      <c r="B1687" s="94" t="inlineStr">
        <is>
          <t>150151 סלון בלומה-בני ברק</t>
        </is>
      </c>
      <c r="C1687" s="94" t="inlineStr">
        <is>
          <t>INV61659</t>
        </is>
      </c>
      <c r="D1687" s="94" t="inlineStr">
        <is>
          <t>INV</t>
        </is>
      </c>
      <c r="E1687" s="102" t="n">
        <v>803.99</v>
      </c>
      <c r="F1687" s="94" t="n">
        <v>3</v>
      </c>
      <c r="G1687" s="102" t="n">
        <v>0</v>
      </c>
      <c r="H1687" s="94" t="n">
        <v>0</v>
      </c>
    </row>
    <row r="1688" ht="15" customHeight="1" s="82">
      <c r="A1688" s="94" t="inlineStr">
        <is>
          <t>109 - Private Shops</t>
        </is>
      </c>
      <c r="B1688" s="94" t="inlineStr">
        <is>
          <t>150151 סלון בלומה-בני ברק</t>
        </is>
      </c>
      <c r="C1688" s="94" t="inlineStr">
        <is>
          <t>INV46648</t>
        </is>
      </c>
      <c r="D1688" s="94" t="inlineStr">
        <is>
          <t>INV</t>
        </is>
      </c>
      <c r="E1688" s="102" t="n">
        <v>540</v>
      </c>
      <c r="F1688" s="94" t="n">
        <v>3</v>
      </c>
      <c r="G1688" s="102" t="n">
        <v>0</v>
      </c>
      <c r="H1688" s="94" t="n">
        <v>0</v>
      </c>
    </row>
    <row r="1689" ht="15" customHeight="1" s="82">
      <c r="A1689" s="94" t="inlineStr">
        <is>
          <t>109 - Private Shops</t>
        </is>
      </c>
      <c r="B1689" s="94" t="inlineStr">
        <is>
          <t>151045 סנדלריית רוממה</t>
        </is>
      </c>
      <c r="C1689" s="94" t="inlineStr">
        <is>
          <t>INV65822</t>
        </is>
      </c>
      <c r="D1689" s="94" t="inlineStr">
        <is>
          <t>INV</t>
        </is>
      </c>
      <c r="E1689" s="102" t="n">
        <v>621.22</v>
      </c>
      <c r="F1689" s="94" t="n">
        <v>22</v>
      </c>
      <c r="G1689" s="102" t="n">
        <v>0</v>
      </c>
      <c r="H1689" s="94" t="n">
        <v>0</v>
      </c>
    </row>
    <row r="1690" ht="15" customHeight="1" s="82">
      <c r="A1690" s="94" t="inlineStr">
        <is>
          <t>109 - Private Shops</t>
        </is>
      </c>
      <c r="B1690" s="94" t="inlineStr">
        <is>
          <t>151045 סנדלריית רוממה</t>
        </is>
      </c>
      <c r="C1690" s="94" t="inlineStr">
        <is>
          <t>INV68963</t>
        </is>
      </c>
      <c r="D1690" s="94" t="inlineStr">
        <is>
          <t>INV</t>
        </is>
      </c>
      <c r="E1690" s="102" t="n">
        <v>0</v>
      </c>
      <c r="F1690" s="94" t="n">
        <v>0</v>
      </c>
      <c r="G1690" s="102" t="n">
        <v>476.77</v>
      </c>
      <c r="H1690" s="94" t="n">
        <v>10</v>
      </c>
    </row>
    <row r="1691" ht="15" customHeight="1" s="82">
      <c r="A1691" s="94" t="inlineStr">
        <is>
          <t>109 - Private Shops</t>
        </is>
      </c>
      <c r="B1691" s="94" t="inlineStr">
        <is>
          <t>151045 סנדלריית רוממה</t>
        </is>
      </c>
      <c r="C1691" s="94" t="inlineStr">
        <is>
          <t>INV65894</t>
        </is>
      </c>
      <c r="D1691" s="94" t="inlineStr">
        <is>
          <t>INV</t>
        </is>
      </c>
      <c r="E1691" s="102" t="n">
        <v>465.91</v>
      </c>
      <c r="F1691" s="94" t="n">
        <v>22</v>
      </c>
      <c r="G1691" s="102" t="n">
        <v>0</v>
      </c>
      <c r="H1691" s="94" t="n">
        <v>0</v>
      </c>
    </row>
    <row r="1692" ht="15" customHeight="1" s="82">
      <c r="A1692" s="94" t="inlineStr">
        <is>
          <t>109 - Private Shops</t>
        </is>
      </c>
      <c r="B1692" s="94" t="inlineStr">
        <is>
          <t>151045 סנדלריית רוממה</t>
        </is>
      </c>
      <c r="C1692" s="94" t="inlineStr">
        <is>
          <t>CM44108</t>
        </is>
      </c>
      <c r="D1692" s="94" t="inlineStr">
        <is>
          <t>CM</t>
        </is>
      </c>
      <c r="E1692" s="102" t="n">
        <v>-621.22</v>
      </c>
      <c r="F1692" s="94" t="n">
        <v>-22</v>
      </c>
      <c r="G1692" s="102" t="n">
        <v>0</v>
      </c>
      <c r="H1692" s="94" t="n">
        <v>0</v>
      </c>
    </row>
    <row r="1693" ht="15" customHeight="1" s="82">
      <c r="A1693" s="94" t="inlineStr">
        <is>
          <t>109 - Private Shops</t>
        </is>
      </c>
      <c r="B1693" s="94" t="inlineStr">
        <is>
          <t>151138 בורג המפרץ בע"מ</t>
        </is>
      </c>
      <c r="C1693" s="94" t="inlineStr">
        <is>
          <t>INV68619</t>
        </is>
      </c>
      <c r="D1693" s="94" t="inlineStr">
        <is>
          <t>INV</t>
        </is>
      </c>
      <c r="E1693" s="102" t="n">
        <v>0</v>
      </c>
      <c r="F1693" s="94" t="n">
        <v>0</v>
      </c>
      <c r="G1693" s="102" t="n">
        <v>4322.51</v>
      </c>
      <c r="H1693" s="94" t="n">
        <v>82</v>
      </c>
    </row>
    <row r="1694" ht="15" customHeight="1" s="82">
      <c r="A1694" s="94" t="inlineStr">
        <is>
          <t>109 - Private Shops</t>
        </is>
      </c>
      <c r="B1694" s="94" t="inlineStr">
        <is>
          <t>151138 בורג המפרץ בע"מ</t>
        </is>
      </c>
      <c r="C1694" s="94" t="inlineStr">
        <is>
          <t>INV67191</t>
        </is>
      </c>
      <c r="D1694" s="94" t="inlineStr">
        <is>
          <t>INV</t>
        </is>
      </c>
      <c r="E1694" s="102" t="n">
        <v>0</v>
      </c>
      <c r="F1694" s="94" t="n">
        <v>0</v>
      </c>
      <c r="G1694" s="102" t="n">
        <v>2998.55</v>
      </c>
      <c r="H1694" s="94" t="n">
        <v>52</v>
      </c>
    </row>
    <row r="1695" ht="15" customHeight="1" s="82">
      <c r="A1695" s="94" t="inlineStr">
        <is>
          <t>109 - Private Shops</t>
        </is>
      </c>
      <c r="B1695" s="94" t="inlineStr">
        <is>
          <t>151138 בורג המפרץ בע"מ</t>
        </is>
      </c>
      <c r="C1695" s="94" t="inlineStr">
        <is>
          <t>INV60771</t>
        </is>
      </c>
      <c r="D1695" s="94" t="inlineStr">
        <is>
          <t>INV</t>
        </is>
      </c>
      <c r="E1695" s="102" t="n">
        <v>2036.36</v>
      </c>
      <c r="F1695" s="94" t="n">
        <v>55</v>
      </c>
      <c r="G1695" s="102" t="n">
        <v>0</v>
      </c>
      <c r="H1695" s="94" t="n">
        <v>0</v>
      </c>
    </row>
    <row r="1696" ht="15" customHeight="1" s="82">
      <c r="A1696" s="94" t="inlineStr">
        <is>
          <t>109 - Private Shops</t>
        </is>
      </c>
      <c r="B1696" s="94" t="inlineStr">
        <is>
          <t>151138 בורג המפרץ בע"מ</t>
        </is>
      </c>
      <c r="C1696" s="94" t="inlineStr">
        <is>
          <t>INV68824</t>
        </is>
      </c>
      <c r="D1696" s="94" t="inlineStr">
        <is>
          <t>INV</t>
        </is>
      </c>
      <c r="E1696" s="102" t="n">
        <v>0</v>
      </c>
      <c r="F1696" s="94" t="n">
        <v>0</v>
      </c>
      <c r="G1696" s="102" t="n">
        <v>1278.78</v>
      </c>
      <c r="H1696" s="94" t="n">
        <v>18</v>
      </c>
    </row>
    <row r="1697" ht="15" customHeight="1" s="82">
      <c r="A1697" s="94" t="inlineStr">
        <is>
          <t>109 - Private Shops</t>
        </is>
      </c>
      <c r="B1697" s="94" t="inlineStr">
        <is>
          <t>151138 בורג המפרץ בע"מ</t>
        </is>
      </c>
      <c r="C1697" s="94" t="inlineStr">
        <is>
          <t>INV69233</t>
        </is>
      </c>
      <c r="D1697" s="94" t="inlineStr">
        <is>
          <t>INV</t>
        </is>
      </c>
      <c r="E1697" s="102" t="n">
        <v>0</v>
      </c>
      <c r="F1697" s="94" t="n">
        <v>0</v>
      </c>
      <c r="G1697" s="102" t="n">
        <v>1176.58</v>
      </c>
      <c r="H1697" s="94" t="n">
        <v>29</v>
      </c>
    </row>
    <row r="1698" ht="15" customHeight="1" s="82">
      <c r="A1698" s="94" t="inlineStr">
        <is>
          <t>109 - Private Shops</t>
        </is>
      </c>
      <c r="B1698" s="94" t="inlineStr">
        <is>
          <t>151138 בורג המפרץ בע"מ</t>
        </is>
      </c>
      <c r="C1698" s="94" t="inlineStr">
        <is>
          <t>CM44676</t>
        </is>
      </c>
      <c r="D1698" s="94" t="inlineStr">
        <is>
          <t>CM</t>
        </is>
      </c>
      <c r="E1698" s="102" t="n">
        <v>0</v>
      </c>
      <c r="F1698" s="94" t="n">
        <v>0</v>
      </c>
      <c r="G1698" s="102" t="n">
        <v>-843.0700000000001</v>
      </c>
      <c r="H1698" s="94" t="n">
        <v>-9</v>
      </c>
    </row>
    <row r="1699" ht="15" customHeight="1" s="82">
      <c r="A1699" s="94" t="inlineStr">
        <is>
          <t>109 - Private Shops</t>
        </is>
      </c>
      <c r="B1699" s="94" t="inlineStr">
        <is>
          <t>151163 חידוש נעל</t>
        </is>
      </c>
      <c r="C1699" s="94" t="inlineStr">
        <is>
          <t>INV68562</t>
        </is>
      </c>
      <c r="D1699" s="94" t="inlineStr">
        <is>
          <t>INV</t>
        </is>
      </c>
      <c r="E1699" s="102" t="n">
        <v>0</v>
      </c>
      <c r="F1699" s="94" t="n">
        <v>0</v>
      </c>
      <c r="G1699" s="102" t="n">
        <v>1621.34</v>
      </c>
      <c r="H1699" s="94" t="n">
        <v>39</v>
      </c>
    </row>
    <row r="1700" ht="15" customHeight="1" s="82">
      <c r="A1700" s="94" t="inlineStr">
        <is>
          <t>109 - Private Shops</t>
        </is>
      </c>
      <c r="B1700" s="94" t="inlineStr">
        <is>
          <t>151163 חידוש נעל</t>
        </is>
      </c>
      <c r="C1700" s="94" t="inlineStr">
        <is>
          <t>INV65444</t>
        </is>
      </c>
      <c r="D1700" s="94" t="inlineStr">
        <is>
          <t>INV</t>
        </is>
      </c>
      <c r="E1700" s="102" t="n">
        <v>691.45</v>
      </c>
      <c r="F1700" s="94" t="n">
        <v>8</v>
      </c>
      <c r="G1700" s="102" t="n">
        <v>0</v>
      </c>
      <c r="H1700" s="94" t="n">
        <v>0</v>
      </c>
    </row>
    <row r="1701" ht="15" customHeight="1" s="82">
      <c r="A1701" s="94" t="inlineStr">
        <is>
          <t>109 - Private Shops</t>
        </is>
      </c>
      <c r="B1701" s="94" t="inlineStr">
        <is>
          <t>151163 חידוש נעל</t>
        </is>
      </c>
      <c r="C1701" s="94" t="inlineStr">
        <is>
          <t>INV67062</t>
        </is>
      </c>
      <c r="D1701" s="94" t="inlineStr">
        <is>
          <t>INV</t>
        </is>
      </c>
      <c r="E1701" s="102" t="n">
        <v>508.23</v>
      </c>
      <c r="F1701" s="94" t="n">
        <v>18</v>
      </c>
      <c r="G1701" s="102" t="n">
        <v>0</v>
      </c>
      <c r="H1701" s="94" t="n">
        <v>0</v>
      </c>
    </row>
    <row r="1702" ht="15" customHeight="1" s="82">
      <c r="A1702" s="94" t="inlineStr">
        <is>
          <t>109 - Private Shops</t>
        </is>
      </c>
      <c r="B1702" s="94" t="inlineStr">
        <is>
          <t>151163 חידוש נעל</t>
        </is>
      </c>
      <c r="C1702" s="94" t="inlineStr">
        <is>
          <t>INV41362</t>
        </is>
      </c>
      <c r="D1702" s="94" t="inlineStr">
        <is>
          <t>INV</t>
        </is>
      </c>
      <c r="E1702" s="102" t="n">
        <v>473.54</v>
      </c>
      <c r="F1702" s="94" t="n">
        <v>4</v>
      </c>
      <c r="G1702" s="102" t="n">
        <v>0</v>
      </c>
      <c r="H1702" s="94" t="n">
        <v>0</v>
      </c>
    </row>
    <row r="1703" ht="15" customHeight="1" s="82">
      <c r="A1703" s="94" t="inlineStr">
        <is>
          <t>109 - Private Shops</t>
        </is>
      </c>
      <c r="B1703" s="94" t="inlineStr">
        <is>
          <t>151163 חידוש נעל</t>
        </is>
      </c>
      <c r="C1703" s="94" t="inlineStr">
        <is>
          <t>INV42781</t>
        </is>
      </c>
      <c r="D1703" s="94" t="inlineStr">
        <is>
          <t>INV</t>
        </is>
      </c>
      <c r="E1703" s="102" t="n">
        <v>473.53</v>
      </c>
      <c r="F1703" s="94" t="n">
        <v>4</v>
      </c>
      <c r="G1703" s="102" t="n">
        <v>0</v>
      </c>
      <c r="H1703" s="94" t="n">
        <v>0</v>
      </c>
    </row>
    <row r="1704" ht="15" customHeight="1" s="82">
      <c r="A1704" s="94" t="inlineStr">
        <is>
          <t>109 - Private Shops</t>
        </is>
      </c>
      <c r="B1704" s="94" t="inlineStr">
        <is>
          <t>151240 קומפורט זון</t>
        </is>
      </c>
      <c r="C1704" s="94" t="inlineStr">
        <is>
          <t>INV46050</t>
        </is>
      </c>
      <c r="D1704" s="94" t="inlineStr">
        <is>
          <t>INV</t>
        </is>
      </c>
      <c r="E1704" s="102" t="n">
        <v>380.99</v>
      </c>
      <c r="F1704" s="94" t="n">
        <v>3</v>
      </c>
      <c r="G1704" s="102" t="n">
        <v>0</v>
      </c>
      <c r="H1704" s="94" t="n">
        <v>0</v>
      </c>
    </row>
    <row r="1705" ht="15" customHeight="1" s="82">
      <c r="A1705" s="94" t="inlineStr">
        <is>
          <t>109 - Private Shops</t>
        </is>
      </c>
      <c r="B1705" s="94" t="inlineStr">
        <is>
          <t>151240 קומפורט זון</t>
        </is>
      </c>
      <c r="C1705" s="94" t="inlineStr">
        <is>
          <t>INV45988</t>
        </is>
      </c>
      <c r="D1705" s="94" t="inlineStr">
        <is>
          <t>INV</t>
        </is>
      </c>
      <c r="E1705" s="102" t="n">
        <v>380.99</v>
      </c>
      <c r="F1705" s="94" t="n">
        <v>3</v>
      </c>
      <c r="G1705" s="102" t="n">
        <v>0</v>
      </c>
      <c r="H1705" s="94" t="n">
        <v>0</v>
      </c>
    </row>
    <row r="1706" ht="15" customHeight="1" s="82">
      <c r="A1706" s="94" t="inlineStr">
        <is>
          <t>109 - Private Shops</t>
        </is>
      </c>
      <c r="B1706" s="94" t="inlineStr">
        <is>
          <t>153193 סלון בלומה</t>
        </is>
      </c>
      <c r="C1706" s="94" t="inlineStr">
        <is>
          <t>INV47456</t>
        </is>
      </c>
      <c r="D1706" s="94" t="inlineStr">
        <is>
          <t>INV</t>
        </is>
      </c>
      <c r="E1706" s="102" t="n">
        <v>1980</v>
      </c>
      <c r="F1706" s="94" t="n">
        <v>11</v>
      </c>
      <c r="G1706" s="102" t="n">
        <v>0</v>
      </c>
      <c r="H1706" s="94" t="n">
        <v>0</v>
      </c>
    </row>
    <row r="1707" ht="15" customHeight="1" s="82">
      <c r="A1707" s="94" t="inlineStr">
        <is>
          <t>109 - Private Shops</t>
        </is>
      </c>
      <c r="B1707" s="94" t="inlineStr">
        <is>
          <t>153193 סלון בלומה</t>
        </is>
      </c>
      <c r="C1707" s="94" t="inlineStr">
        <is>
          <t>INV53618</t>
        </is>
      </c>
      <c r="D1707" s="94" t="inlineStr">
        <is>
          <t>INV</t>
        </is>
      </c>
      <c r="E1707" s="102" t="n">
        <v>1875.98</v>
      </c>
      <c r="F1707" s="94" t="n">
        <v>7</v>
      </c>
      <c r="G1707" s="102" t="n">
        <v>0</v>
      </c>
      <c r="H1707" s="94" t="n">
        <v>0</v>
      </c>
    </row>
    <row r="1708" ht="15" customHeight="1" s="82">
      <c r="A1708" s="94" t="inlineStr">
        <is>
          <t>109 - Private Shops</t>
        </is>
      </c>
      <c r="B1708" s="94" t="inlineStr">
        <is>
          <t>153193 סלון בלומה</t>
        </is>
      </c>
      <c r="C1708" s="94" t="inlineStr">
        <is>
          <t>INV68840</t>
        </is>
      </c>
      <c r="D1708" s="94" t="inlineStr">
        <is>
          <t>INV</t>
        </is>
      </c>
      <c r="E1708" s="102" t="n">
        <v>0</v>
      </c>
      <c r="F1708" s="94" t="n">
        <v>0</v>
      </c>
      <c r="G1708" s="102" t="n">
        <v>535.99</v>
      </c>
      <c r="H1708" s="94" t="n">
        <v>2</v>
      </c>
    </row>
    <row r="1709" ht="15" customHeight="1" s="82">
      <c r="A1709" s="94" t="inlineStr">
        <is>
          <t>109 - Private Shops</t>
        </is>
      </c>
      <c r="B1709" s="94" t="inlineStr">
        <is>
          <t>155012 אמי בע"מ-ביגוד מגן</t>
        </is>
      </c>
      <c r="C1709" s="94" t="inlineStr">
        <is>
          <t>INV48864</t>
        </is>
      </c>
      <c r="D1709" s="94" t="inlineStr">
        <is>
          <t>INV</t>
        </is>
      </c>
      <c r="E1709" s="102" t="n">
        <v>426.06</v>
      </c>
      <c r="F1709" s="94" t="n">
        <v>11</v>
      </c>
      <c r="G1709" s="102" t="n">
        <v>0</v>
      </c>
      <c r="H1709" s="94" t="n">
        <v>0</v>
      </c>
    </row>
    <row r="1710" ht="15" customHeight="1" s="82">
      <c r="A1710" s="94" t="inlineStr">
        <is>
          <t>109 - Private Shops</t>
        </is>
      </c>
      <c r="B1710" s="94" t="inlineStr">
        <is>
          <t>155012 אמי בע"מ-ביגוד מגן</t>
        </is>
      </c>
      <c r="C1710" s="94" t="inlineStr">
        <is>
          <t>INV48862</t>
        </is>
      </c>
      <c r="D1710" s="94" t="inlineStr">
        <is>
          <t>INV</t>
        </is>
      </c>
      <c r="E1710" s="102" t="n">
        <v>426.06</v>
      </c>
      <c r="F1710" s="94" t="n">
        <v>11</v>
      </c>
      <c r="G1710" s="102" t="n">
        <v>0</v>
      </c>
      <c r="H1710" s="94" t="n">
        <v>0</v>
      </c>
    </row>
    <row r="1711" ht="15" customHeight="1" s="82">
      <c r="A1711" s="94" t="inlineStr">
        <is>
          <t>109 - Private Shops</t>
        </is>
      </c>
      <c r="B1711" s="94" t="inlineStr">
        <is>
          <t>155012 אמי בע"מ-ביגוד מגן</t>
        </is>
      </c>
      <c r="C1711" s="94" t="inlineStr">
        <is>
          <t>INV66604</t>
        </is>
      </c>
      <c r="D1711" s="94" t="inlineStr">
        <is>
          <t>INV</t>
        </is>
      </c>
      <c r="E1711" s="102" t="n">
        <v>355.72</v>
      </c>
      <c r="F1711" s="94" t="n">
        <v>10</v>
      </c>
      <c r="G1711" s="102" t="n">
        <v>0</v>
      </c>
      <c r="H1711" s="94" t="n">
        <v>0</v>
      </c>
    </row>
    <row r="1712" ht="15" customHeight="1" s="82">
      <c r="A1712" s="94" t="inlineStr">
        <is>
          <t>109 - Private Shops</t>
        </is>
      </c>
      <c r="B1712" s="94" t="inlineStr">
        <is>
          <t>155012 אמי בע"מ-ביגוד מגן</t>
        </is>
      </c>
      <c r="C1712" s="94" t="inlineStr">
        <is>
          <t>INV49130</t>
        </is>
      </c>
      <c r="D1712" s="94" t="inlineStr">
        <is>
          <t>INV</t>
        </is>
      </c>
      <c r="E1712" s="102" t="n">
        <v>140.57</v>
      </c>
      <c r="F1712" s="94" t="n">
        <v>1</v>
      </c>
      <c r="G1712" s="102" t="n">
        <v>0</v>
      </c>
      <c r="H1712" s="94" t="n">
        <v>0</v>
      </c>
    </row>
    <row r="1713" ht="15" customHeight="1" s="82">
      <c r="A1713" s="94" t="inlineStr">
        <is>
          <t>109 - Private Shops</t>
        </is>
      </c>
      <c r="B1713" s="94" t="inlineStr">
        <is>
          <t>155012 אמי בע"מ-ביגוד מגן</t>
        </is>
      </c>
      <c r="C1713" s="94" t="inlineStr">
        <is>
          <t>CM43599</t>
        </is>
      </c>
      <c r="D1713" s="94" t="inlineStr">
        <is>
          <t>CM</t>
        </is>
      </c>
      <c r="E1713" s="102" t="n">
        <v>-426.06</v>
      </c>
      <c r="F1713" s="94" t="n">
        <v>-11</v>
      </c>
      <c r="G1713" s="102" t="n">
        <v>0</v>
      </c>
      <c r="H1713" s="94" t="n">
        <v>0</v>
      </c>
    </row>
    <row r="1714" ht="15" customHeight="1" s="82">
      <c r="A1714" s="94" t="inlineStr">
        <is>
          <t>109 - Private Shops</t>
        </is>
      </c>
      <c r="B1714" s="94" t="inlineStr">
        <is>
          <t>155504 בית טבע פנצאיה</t>
        </is>
      </c>
      <c r="C1714" s="94" t="inlineStr">
        <is>
          <t>INV47423</t>
        </is>
      </c>
      <c r="D1714" s="94" t="inlineStr">
        <is>
          <t>INV</t>
        </is>
      </c>
      <c r="E1714" s="102" t="n">
        <v>2331.15</v>
      </c>
      <c r="F1714" s="94" t="n">
        <v>65</v>
      </c>
      <c r="G1714" s="102" t="n">
        <v>0</v>
      </c>
      <c r="H1714" s="94" t="n">
        <v>0</v>
      </c>
    </row>
    <row r="1715" ht="15" customHeight="1" s="82">
      <c r="A1715" s="94" t="inlineStr">
        <is>
          <t>109 - Private Shops</t>
        </is>
      </c>
      <c r="B1715" s="94" t="inlineStr">
        <is>
          <t>155504 בית טבע פנצאיה</t>
        </is>
      </c>
      <c r="C1715" s="94" t="inlineStr">
        <is>
          <t>INV57102</t>
        </is>
      </c>
      <c r="D1715" s="94" t="inlineStr">
        <is>
          <t>INV</t>
        </is>
      </c>
      <c r="E1715" s="102" t="n">
        <v>1591.9</v>
      </c>
      <c r="F1715" s="94" t="n">
        <v>31</v>
      </c>
      <c r="G1715" s="102" t="n">
        <v>0</v>
      </c>
      <c r="H1715" s="94" t="n">
        <v>0</v>
      </c>
    </row>
    <row r="1716" ht="15" customHeight="1" s="82">
      <c r="A1716" s="94" t="inlineStr">
        <is>
          <t>109 - Private Shops</t>
        </is>
      </c>
      <c r="B1716" s="94" t="inlineStr">
        <is>
          <t>155504 בית טבע פנצאיה</t>
        </is>
      </c>
      <c r="C1716" s="94" t="inlineStr">
        <is>
          <t>INV66925</t>
        </is>
      </c>
      <c r="D1716" s="94" t="inlineStr">
        <is>
          <t>INV</t>
        </is>
      </c>
      <c r="E1716" s="102" t="n">
        <v>670.1</v>
      </c>
      <c r="F1716" s="94" t="n">
        <v>24</v>
      </c>
      <c r="G1716" s="102" t="n">
        <v>0</v>
      </c>
      <c r="H1716" s="94" t="n">
        <v>0</v>
      </c>
    </row>
    <row r="1717" ht="15" customHeight="1" s="82">
      <c r="A1717" s="94" t="inlineStr">
        <is>
          <t>109 - Private Shops</t>
        </is>
      </c>
      <c r="B1717" s="94" t="inlineStr">
        <is>
          <t>155504 בית טבע פנצאיה</t>
        </is>
      </c>
      <c r="C1717" s="94" t="inlineStr">
        <is>
          <t>INV68935</t>
        </is>
      </c>
      <c r="D1717" s="94" t="inlineStr">
        <is>
          <t>INV</t>
        </is>
      </c>
      <c r="E1717" s="102" t="n">
        <v>0</v>
      </c>
      <c r="F1717" s="94" t="n">
        <v>0</v>
      </c>
      <c r="G1717" s="102" t="n">
        <v>571.6799999999999</v>
      </c>
      <c r="H1717" s="94" t="n">
        <v>4</v>
      </c>
    </row>
    <row r="1718" ht="15" customHeight="1" s="82">
      <c r="A1718" s="94" t="inlineStr">
        <is>
          <t>109 - Private Shops</t>
        </is>
      </c>
      <c r="B1718" s="94" t="inlineStr">
        <is>
          <t>155504 בית טבע פנצאיה</t>
        </is>
      </c>
      <c r="C1718" s="94" t="inlineStr">
        <is>
          <t>INV65801</t>
        </is>
      </c>
      <c r="D1718" s="94" t="inlineStr">
        <is>
          <t>INV</t>
        </is>
      </c>
      <c r="E1718" s="102" t="n">
        <v>490.66</v>
      </c>
      <c r="F1718" s="94" t="n">
        <v>12</v>
      </c>
      <c r="G1718" s="102" t="n">
        <v>0</v>
      </c>
      <c r="H1718" s="94" t="n">
        <v>0</v>
      </c>
    </row>
    <row r="1719" ht="15" customHeight="1" s="82">
      <c r="A1719" s="94" t="inlineStr">
        <is>
          <t>109 - Private Shops</t>
        </is>
      </c>
      <c r="B1719" s="94" t="inlineStr">
        <is>
          <t>155504 בית טבע פנצאיה</t>
        </is>
      </c>
      <c r="C1719" s="94" t="inlineStr">
        <is>
          <t>CM43841</t>
        </is>
      </c>
      <c r="D1719" s="94" t="inlineStr">
        <is>
          <t>CM</t>
        </is>
      </c>
      <c r="E1719" s="102" t="n">
        <v>-448.73</v>
      </c>
      <c r="F1719" s="94" t="n">
        <v>-26</v>
      </c>
      <c r="G1719" s="102" t="n">
        <v>0</v>
      </c>
      <c r="H1719" s="94" t="n">
        <v>0</v>
      </c>
    </row>
    <row r="1720" ht="15" customHeight="1" s="82">
      <c r="A1720" s="94" t="inlineStr">
        <is>
          <t>109 - Private Shops</t>
        </is>
      </c>
      <c r="B1720" s="94" t="inlineStr">
        <is>
          <t>C02173 מגוון (א.ה.) מוצרי פרסום בע"מ</t>
        </is>
      </c>
      <c r="C1720" s="94" t="inlineStr">
        <is>
          <t>INV68066</t>
        </is>
      </c>
      <c r="D1720" s="94" t="inlineStr">
        <is>
          <t>INV</t>
        </is>
      </c>
      <c r="E1720" s="102" t="n">
        <v>0</v>
      </c>
      <c r="F1720" s="94" t="n">
        <v>0</v>
      </c>
      <c r="G1720" s="102" t="n">
        <v>1984.21</v>
      </c>
      <c r="H1720" s="94" t="n">
        <v>19</v>
      </c>
    </row>
    <row r="1721" ht="15" customHeight="1" s="82">
      <c r="A1721" s="94" t="inlineStr">
        <is>
          <t>109 - Private Shops</t>
        </is>
      </c>
      <c r="B1721" s="94" t="inlineStr">
        <is>
          <t>C02173 מגוון (א.ה.) מוצרי פרסום בע"מ</t>
        </is>
      </c>
      <c r="C1721" s="94" t="inlineStr">
        <is>
          <t>INV47420</t>
        </is>
      </c>
      <c r="D1721" s="94" t="inlineStr">
        <is>
          <t>INV</t>
        </is>
      </c>
      <c r="E1721" s="102" t="n">
        <v>1865.13</v>
      </c>
      <c r="F1721" s="94" t="n">
        <v>30</v>
      </c>
      <c r="G1721" s="102" t="n">
        <v>0</v>
      </c>
      <c r="H1721" s="94" t="n">
        <v>0</v>
      </c>
    </row>
    <row r="1722" ht="15" customHeight="1" s="82">
      <c r="A1722" s="94" t="inlineStr">
        <is>
          <t>109 - Private Shops</t>
        </is>
      </c>
      <c r="B1722" s="94" t="inlineStr">
        <is>
          <t>C02173 מגוון (א.ה.) מוצרי פרסום בע"מ</t>
        </is>
      </c>
      <c r="C1722" s="94" t="inlineStr">
        <is>
          <t>INV67588</t>
        </is>
      </c>
      <c r="D1722" s="94" t="inlineStr">
        <is>
          <t>INV</t>
        </is>
      </c>
      <c r="E1722" s="102" t="n">
        <v>0</v>
      </c>
      <c r="F1722" s="94" t="n">
        <v>0</v>
      </c>
      <c r="G1722" s="102" t="n">
        <v>1677.69</v>
      </c>
      <c r="H1722" s="94" t="n">
        <v>18</v>
      </c>
    </row>
    <row r="1723" ht="15" customHeight="1" s="82">
      <c r="A1723" s="94" t="inlineStr">
        <is>
          <t>109 - Private Shops</t>
        </is>
      </c>
      <c r="B1723" s="94" t="inlineStr">
        <is>
          <t>C02173 מגוון (א.ה.) מוצרי פרסום בע"מ</t>
        </is>
      </c>
      <c r="C1723" s="94" t="inlineStr">
        <is>
          <t>INV40691</t>
        </is>
      </c>
      <c r="D1723" s="94" t="inlineStr">
        <is>
          <t>INV</t>
        </is>
      </c>
      <c r="E1723" s="102" t="n">
        <v>1573.75</v>
      </c>
      <c r="F1723" s="94" t="n">
        <v>8</v>
      </c>
      <c r="G1723" s="102" t="n">
        <v>0</v>
      </c>
      <c r="H1723" s="94" t="n">
        <v>0</v>
      </c>
    </row>
    <row r="1724" ht="15" customHeight="1" s="82">
      <c r="A1724" s="94" t="inlineStr">
        <is>
          <t>109 - Private Shops</t>
        </is>
      </c>
      <c r="B1724" s="94" t="inlineStr">
        <is>
          <t>C02173 מגוון (א.ה.) מוצרי פרסום בע"מ</t>
        </is>
      </c>
      <c r="C1724" s="94" t="inlineStr">
        <is>
          <t>INV66436</t>
        </is>
      </c>
      <c r="D1724" s="94" t="inlineStr">
        <is>
          <t>INV</t>
        </is>
      </c>
      <c r="E1724" s="102" t="n">
        <v>1546.35</v>
      </c>
      <c r="F1724" s="94" t="n">
        <v>10</v>
      </c>
      <c r="G1724" s="102" t="n">
        <v>0</v>
      </c>
      <c r="H1724" s="94" t="n">
        <v>0</v>
      </c>
    </row>
    <row r="1725" ht="15" customHeight="1" s="82">
      <c r="A1725" s="94" t="inlineStr">
        <is>
          <t>109 - Private Shops</t>
        </is>
      </c>
      <c r="B1725" s="94" t="inlineStr">
        <is>
          <t>C02173 מגוון (א.ה.) מוצרי פרסום בע"מ</t>
        </is>
      </c>
      <c r="C1725" s="94" t="inlineStr">
        <is>
          <t>INV57099</t>
        </is>
      </c>
      <c r="D1725" s="94" t="inlineStr">
        <is>
          <t>INV</t>
        </is>
      </c>
      <c r="E1725" s="102" t="n">
        <v>1223.1</v>
      </c>
      <c r="F1725" s="94" t="n">
        <v>6</v>
      </c>
      <c r="G1725" s="102" t="n">
        <v>0</v>
      </c>
      <c r="H1725" s="94" t="n">
        <v>0</v>
      </c>
    </row>
    <row r="1726" ht="15" customHeight="1" s="82">
      <c r="A1726" s="94" t="inlineStr">
        <is>
          <t>109 - Private Shops</t>
        </is>
      </c>
      <c r="B1726" s="94" t="inlineStr">
        <is>
          <t>C02173 מגוון (א.ה.) מוצרי פרסום בע"מ</t>
        </is>
      </c>
      <c r="C1726" s="94" t="inlineStr">
        <is>
          <t>INV65910</t>
        </is>
      </c>
      <c r="D1726" s="94" t="inlineStr">
        <is>
          <t>INV</t>
        </is>
      </c>
      <c r="E1726" s="102" t="n">
        <v>1135.04</v>
      </c>
      <c r="F1726" s="94" t="n">
        <v>15</v>
      </c>
      <c r="G1726" s="102" t="n">
        <v>0</v>
      </c>
      <c r="H1726" s="94" t="n">
        <v>0</v>
      </c>
    </row>
    <row r="1727" ht="15" customHeight="1" s="82">
      <c r="A1727" s="94" t="inlineStr">
        <is>
          <t>109 - Private Shops</t>
        </is>
      </c>
      <c r="B1727" s="94" t="inlineStr">
        <is>
          <t>C02173 מגוון (א.ה.) מוצרי פרסום בע"מ</t>
        </is>
      </c>
      <c r="C1727" s="94" t="inlineStr">
        <is>
          <t>INV56260</t>
        </is>
      </c>
      <c r="D1727" s="94" t="inlineStr">
        <is>
          <t>INV</t>
        </is>
      </c>
      <c r="E1727" s="102" t="n">
        <v>1025.03</v>
      </c>
      <c r="F1727" s="94" t="n">
        <v>12</v>
      </c>
      <c r="G1727" s="102" t="n">
        <v>0</v>
      </c>
      <c r="H1727" s="94" t="n">
        <v>0</v>
      </c>
    </row>
    <row r="1728" ht="15" customHeight="1" s="82">
      <c r="A1728" s="94" t="inlineStr">
        <is>
          <t>109 - Private Shops</t>
        </is>
      </c>
      <c r="B1728" s="94" t="inlineStr">
        <is>
          <t>C02173 מגוון (א.ה.) מוצרי פרסום בע"מ</t>
        </is>
      </c>
      <c r="C1728" s="94" t="inlineStr">
        <is>
          <t>INV68996</t>
        </is>
      </c>
      <c r="D1728" s="94" t="inlineStr">
        <is>
          <t>INV</t>
        </is>
      </c>
      <c r="E1728" s="102" t="n">
        <v>0</v>
      </c>
      <c r="F1728" s="94" t="n">
        <v>0</v>
      </c>
      <c r="G1728" s="102" t="n">
        <v>906.33</v>
      </c>
      <c r="H1728" s="94" t="n">
        <v>14</v>
      </c>
    </row>
    <row r="1729" ht="15" customHeight="1" s="82">
      <c r="A1729" s="94" t="inlineStr">
        <is>
          <t>109 - Private Shops</t>
        </is>
      </c>
      <c r="B1729" s="94" t="inlineStr">
        <is>
          <t>C02173 מגוון (א.ה.) מוצרי פרסום בע"מ</t>
        </is>
      </c>
      <c r="C1729" s="94" t="inlineStr">
        <is>
          <t>INV68418</t>
        </is>
      </c>
      <c r="D1729" s="94" t="inlineStr">
        <is>
          <t>INV</t>
        </is>
      </c>
      <c r="E1729" s="102" t="n">
        <v>0</v>
      </c>
      <c r="F1729" s="94" t="n">
        <v>0</v>
      </c>
      <c r="G1729" s="102" t="n">
        <v>890.04</v>
      </c>
      <c r="H1729" s="94" t="n">
        <v>13</v>
      </c>
    </row>
    <row r="1730" ht="15" customHeight="1" s="82">
      <c r="A1730" s="94" t="inlineStr">
        <is>
          <t>109 - Private Shops</t>
        </is>
      </c>
      <c r="B1730" s="94" t="inlineStr">
        <is>
          <t>C02173 מגוון (א.ה.) מוצרי פרסום בע"מ</t>
        </is>
      </c>
      <c r="C1730" s="94" t="inlineStr">
        <is>
          <t>INV66233</t>
        </is>
      </c>
      <c r="D1730" s="94" t="inlineStr">
        <is>
          <t>INV</t>
        </is>
      </c>
      <c r="E1730" s="102" t="n">
        <v>861.79</v>
      </c>
      <c r="F1730" s="94" t="n">
        <v>14</v>
      </c>
      <c r="G1730" s="102" t="n">
        <v>0</v>
      </c>
      <c r="H1730" s="94" t="n">
        <v>0</v>
      </c>
    </row>
    <row r="1731" ht="15" customHeight="1" s="82">
      <c r="A1731" s="94" t="inlineStr">
        <is>
          <t>109 - Private Shops</t>
        </is>
      </c>
      <c r="B1731" s="94" t="inlineStr">
        <is>
          <t>C02173 מגוון (א.ה.) מוצרי פרסום בע"מ</t>
        </is>
      </c>
      <c r="C1731" s="94" t="inlineStr">
        <is>
          <t>INV69143</t>
        </is>
      </c>
      <c r="D1731" s="94" t="inlineStr">
        <is>
          <t>INV</t>
        </is>
      </c>
      <c r="E1731" s="102" t="n">
        <v>0</v>
      </c>
      <c r="F1731" s="94" t="n">
        <v>0</v>
      </c>
      <c r="G1731" s="102" t="n">
        <v>674.73</v>
      </c>
      <c r="H1731" s="94" t="n">
        <v>6</v>
      </c>
    </row>
    <row r="1732" ht="15" customHeight="1" s="82">
      <c r="A1732" s="94" t="inlineStr">
        <is>
          <t>109 - Private Shops</t>
        </is>
      </c>
      <c r="B1732" s="94" t="inlineStr">
        <is>
          <t>C02173 מגוון (א.ה.) מוצרי פרסום בע"מ</t>
        </is>
      </c>
      <c r="C1732" s="94" t="inlineStr">
        <is>
          <t>INV69197</t>
        </is>
      </c>
      <c r="D1732" s="94" t="inlineStr">
        <is>
          <t>INV</t>
        </is>
      </c>
      <c r="E1732" s="102" t="n">
        <v>0</v>
      </c>
      <c r="F1732" s="94" t="n">
        <v>0</v>
      </c>
      <c r="G1732" s="102" t="n">
        <v>656.1</v>
      </c>
      <c r="H1732" s="94" t="n">
        <v>4</v>
      </c>
    </row>
    <row r="1733" ht="15" customHeight="1" s="82">
      <c r="A1733" s="94" t="inlineStr">
        <is>
          <t>109 - Private Shops</t>
        </is>
      </c>
      <c r="B1733" s="94" t="inlineStr">
        <is>
          <t>C02173 מגוון (א.ה.) מוצרי פרסום בע"מ</t>
        </is>
      </c>
      <c r="C1733" s="94" t="inlineStr">
        <is>
          <t>INV66982</t>
        </is>
      </c>
      <c r="D1733" s="94" t="inlineStr">
        <is>
          <t>INV</t>
        </is>
      </c>
      <c r="E1733" s="102" t="n">
        <v>654.58</v>
      </c>
      <c r="F1733" s="94" t="n">
        <v>5</v>
      </c>
      <c r="G1733" s="102" t="n">
        <v>0</v>
      </c>
      <c r="H1733" s="94" t="n">
        <v>0</v>
      </c>
    </row>
    <row r="1734" ht="15" customHeight="1" s="82">
      <c r="A1734" s="94" t="inlineStr">
        <is>
          <t>109 - Private Shops</t>
        </is>
      </c>
      <c r="B1734" s="94" t="inlineStr">
        <is>
          <t>C02173 מגוון (א.ה.) מוצרי פרסום בע"מ</t>
        </is>
      </c>
      <c r="C1734" s="94" t="inlineStr">
        <is>
          <t>INV44990</t>
        </is>
      </c>
      <c r="D1734" s="94" t="inlineStr">
        <is>
          <t>INV</t>
        </is>
      </c>
      <c r="E1734" s="102" t="n">
        <v>605</v>
      </c>
      <c r="F1734" s="94" t="n">
        <v>5</v>
      </c>
      <c r="G1734" s="102" t="n">
        <v>0</v>
      </c>
      <c r="H1734" s="94" t="n">
        <v>0</v>
      </c>
    </row>
    <row r="1735" ht="15" customHeight="1" s="82">
      <c r="A1735" s="94" t="inlineStr">
        <is>
          <t>109 - Private Shops</t>
        </is>
      </c>
      <c r="B1735" s="94" t="inlineStr">
        <is>
          <t>C02173 מגוון (א.ה.) מוצרי פרסום בע"מ</t>
        </is>
      </c>
      <c r="C1735" s="94" t="inlineStr">
        <is>
          <t>INV65424</t>
        </is>
      </c>
      <c r="D1735" s="94" t="inlineStr">
        <is>
          <t>INV</t>
        </is>
      </c>
      <c r="E1735" s="102" t="n">
        <v>580.9299999999999</v>
      </c>
      <c r="F1735" s="94" t="n">
        <v>6</v>
      </c>
      <c r="G1735" s="102" t="n">
        <v>0</v>
      </c>
      <c r="H1735" s="94" t="n">
        <v>0</v>
      </c>
    </row>
    <row r="1736" ht="15" customHeight="1" s="82">
      <c r="A1736" s="94" t="inlineStr">
        <is>
          <t>109 - Private Shops</t>
        </is>
      </c>
      <c r="B1736" s="94" t="inlineStr">
        <is>
          <t>C02173 מגוון (א.ה.) מוצרי פרסום בע"מ</t>
        </is>
      </c>
      <c r="C1736" s="94" t="inlineStr">
        <is>
          <t>INV43712</t>
        </is>
      </c>
      <c r="D1736" s="94" t="inlineStr">
        <is>
          <t>INV</t>
        </is>
      </c>
      <c r="E1736" s="102" t="n">
        <v>567.04</v>
      </c>
      <c r="F1736" s="94" t="n">
        <v>5</v>
      </c>
      <c r="G1736" s="102" t="n">
        <v>0</v>
      </c>
      <c r="H1736" s="94" t="n">
        <v>0</v>
      </c>
    </row>
    <row r="1737" ht="15" customHeight="1" s="82">
      <c r="A1737" s="94" t="inlineStr">
        <is>
          <t>109 - Private Shops</t>
        </is>
      </c>
      <c r="B1737" s="94" t="inlineStr">
        <is>
          <t>C02173 מגוון (א.ה.) מוצרי פרסום בע"מ</t>
        </is>
      </c>
      <c r="C1737" s="94" t="inlineStr">
        <is>
          <t>INV67624</t>
        </is>
      </c>
      <c r="D1737" s="94" t="inlineStr">
        <is>
          <t>INV</t>
        </is>
      </c>
      <c r="E1737" s="102" t="n">
        <v>0</v>
      </c>
      <c r="F1737" s="94" t="n">
        <v>0</v>
      </c>
      <c r="G1737" s="102" t="n">
        <v>562.34</v>
      </c>
      <c r="H1737" s="94" t="n">
        <v>3</v>
      </c>
    </row>
    <row r="1738" ht="15" customHeight="1" s="82">
      <c r="A1738" s="94" t="inlineStr">
        <is>
          <t>109 - Private Shops</t>
        </is>
      </c>
      <c r="B1738" s="94" t="inlineStr">
        <is>
          <t>C02173 מגוון (א.ה.) מוצרי פרסום בע"מ</t>
        </is>
      </c>
      <c r="C1738" s="94" t="inlineStr">
        <is>
          <t>INV53245</t>
        </is>
      </c>
      <c r="D1738" s="94" t="inlineStr">
        <is>
          <t>INV</t>
        </is>
      </c>
      <c r="E1738" s="102" t="n">
        <v>514.39</v>
      </c>
      <c r="F1738" s="94" t="n">
        <v>6</v>
      </c>
      <c r="G1738" s="102" t="n">
        <v>0</v>
      </c>
      <c r="H1738" s="94" t="n">
        <v>0</v>
      </c>
    </row>
    <row r="1739" ht="15" customHeight="1" s="82">
      <c r="A1739" s="94" t="inlineStr">
        <is>
          <t>109 - Private Shops</t>
        </is>
      </c>
      <c r="B1739" s="94" t="inlineStr">
        <is>
          <t>C02173 מגוון (א.ה.) מוצרי פרסום בע"מ</t>
        </is>
      </c>
      <c r="C1739" s="94" t="inlineStr">
        <is>
          <t>INV49215</t>
        </is>
      </c>
      <c r="D1739" s="94" t="inlineStr">
        <is>
          <t>INV</t>
        </is>
      </c>
      <c r="E1739" s="102" t="n">
        <v>505.86</v>
      </c>
      <c r="F1739" s="94" t="n">
        <v>8</v>
      </c>
      <c r="G1739" s="102" t="n">
        <v>0</v>
      </c>
      <c r="H1739" s="94" t="n">
        <v>0</v>
      </c>
    </row>
    <row r="1740" ht="15" customHeight="1" s="82">
      <c r="A1740" s="94" t="inlineStr">
        <is>
          <t>109 - Private Shops</t>
        </is>
      </c>
      <c r="B1740" s="94" t="inlineStr">
        <is>
          <t>C02173 מגוון (א.ה.) מוצרי פרסום בע"מ</t>
        </is>
      </c>
      <c r="C1740" s="94" t="inlineStr">
        <is>
          <t>INV69217</t>
        </is>
      </c>
      <c r="D1740" s="94" t="inlineStr">
        <is>
          <t>INV</t>
        </is>
      </c>
      <c r="E1740" s="102" t="n">
        <v>0</v>
      </c>
      <c r="F1740" s="94" t="n">
        <v>0</v>
      </c>
      <c r="G1740" s="102" t="n">
        <v>470.92</v>
      </c>
      <c r="H1740" s="94" t="n">
        <v>3</v>
      </c>
    </row>
    <row r="1741" ht="15" customHeight="1" s="82">
      <c r="A1741" s="94" t="inlineStr">
        <is>
          <t>109 - Private Shops</t>
        </is>
      </c>
      <c r="B1741" s="94" t="inlineStr">
        <is>
          <t>C02173 מגוון (א.ה.) מוצרי פרסום בע"מ</t>
        </is>
      </c>
      <c r="C1741" s="94" t="inlineStr">
        <is>
          <t>INV68494</t>
        </is>
      </c>
      <c r="D1741" s="94" t="inlineStr">
        <is>
          <t>INV</t>
        </is>
      </c>
      <c r="E1741" s="102" t="n">
        <v>0</v>
      </c>
      <c r="F1741" s="94" t="n">
        <v>0</v>
      </c>
      <c r="G1741" s="102" t="n">
        <v>459.03</v>
      </c>
      <c r="H1741" s="94" t="n">
        <v>8</v>
      </c>
    </row>
    <row r="1742" ht="15" customHeight="1" s="82">
      <c r="A1742" s="94" t="inlineStr">
        <is>
          <t>109 - Private Shops</t>
        </is>
      </c>
      <c r="B1742" s="94" t="inlineStr">
        <is>
          <t>C02173 מגוון (א.ה.) מוצרי פרסום בע"מ</t>
        </is>
      </c>
      <c r="C1742" s="94" t="inlineStr">
        <is>
          <t>INV59184</t>
        </is>
      </c>
      <c r="D1742" s="94" t="inlineStr">
        <is>
          <t>INV</t>
        </is>
      </c>
      <c r="E1742" s="102" t="n">
        <v>421.72</v>
      </c>
      <c r="F1742" s="94" t="n">
        <v>3</v>
      </c>
      <c r="G1742" s="102" t="n">
        <v>0</v>
      </c>
      <c r="H1742" s="94" t="n">
        <v>0</v>
      </c>
    </row>
    <row r="1743" ht="15" customHeight="1" s="82">
      <c r="A1743" s="94" t="inlineStr">
        <is>
          <t>109 - Private Shops</t>
        </is>
      </c>
      <c r="B1743" s="94" t="inlineStr">
        <is>
          <t>C02173 מגוון (א.ה.) מוצרי פרסום בע"מ</t>
        </is>
      </c>
      <c r="C1743" s="94" t="inlineStr">
        <is>
          <t>INV69050</t>
        </is>
      </c>
      <c r="D1743" s="94" t="inlineStr">
        <is>
          <t>INV</t>
        </is>
      </c>
      <c r="E1743" s="102" t="n">
        <v>0</v>
      </c>
      <c r="F1743" s="94" t="n">
        <v>0</v>
      </c>
      <c r="G1743" s="102" t="n">
        <v>156.97</v>
      </c>
      <c r="H1743" s="94" t="n">
        <v>1</v>
      </c>
    </row>
    <row r="1744" ht="15" customHeight="1" s="82">
      <c r="A1744" s="94" t="inlineStr">
        <is>
          <t>109 - Private Shops</t>
        </is>
      </c>
      <c r="B1744" s="94" t="inlineStr">
        <is>
          <t>C02173 מגוון (א.ה.) מוצרי פרסום בע"מ</t>
        </is>
      </c>
      <c r="C1744" s="94" t="inlineStr">
        <is>
          <t>INV44992</t>
        </is>
      </c>
      <c r="D1744" s="94" t="inlineStr">
        <is>
          <t>INV</t>
        </is>
      </c>
      <c r="E1744" s="102" t="n">
        <v>122.82</v>
      </c>
      <c r="F1744" s="94" t="n">
        <v>2</v>
      </c>
      <c r="G1744" s="102" t="n">
        <v>0</v>
      </c>
      <c r="H1744" s="94" t="n">
        <v>0</v>
      </c>
    </row>
    <row r="1745" ht="15" customHeight="1" s="82">
      <c r="A1745" s="94" t="inlineStr">
        <is>
          <t>109 - Private Shops</t>
        </is>
      </c>
      <c r="B1745" s="94" t="inlineStr">
        <is>
          <t>C02173 מגוון (א.ה.) מוצרי פרסום בע"מ</t>
        </is>
      </c>
      <c r="C1745" s="94" t="inlineStr">
        <is>
          <t>INV53622</t>
        </is>
      </c>
      <c r="D1745" s="94" t="inlineStr">
        <is>
          <t>INV</t>
        </is>
      </c>
      <c r="E1745" s="102" t="n">
        <v>30.89</v>
      </c>
      <c r="F1745" s="94" t="n">
        <v>1</v>
      </c>
      <c r="G1745" s="102" t="n">
        <v>0</v>
      </c>
      <c r="H1745" s="94" t="n">
        <v>0</v>
      </c>
    </row>
    <row r="1746" ht="15" customHeight="1" s="82">
      <c r="A1746" s="94" t="inlineStr">
        <is>
          <t>109 - Private Shops</t>
        </is>
      </c>
      <c r="B1746" s="94" t="inlineStr">
        <is>
          <t>C02175 סלון בלומה</t>
        </is>
      </c>
      <c r="C1746" s="94" t="inlineStr">
        <is>
          <t>INV68651</t>
        </is>
      </c>
      <c r="D1746" s="94" t="inlineStr">
        <is>
          <t>INV</t>
        </is>
      </c>
      <c r="E1746" s="102" t="n">
        <v>0</v>
      </c>
      <c r="F1746" s="94" t="n">
        <v>0</v>
      </c>
      <c r="G1746" s="102" t="n">
        <v>1071.99</v>
      </c>
      <c r="H1746" s="94" t="n">
        <v>4</v>
      </c>
    </row>
    <row r="1747" ht="15" customHeight="1" s="82">
      <c r="A1747" s="94" t="inlineStr">
        <is>
          <t>109 - Private Shops</t>
        </is>
      </c>
      <c r="B1747" s="94" t="inlineStr">
        <is>
          <t>C02231 ש.ל.י. סיירת ציוד בעמ</t>
        </is>
      </c>
      <c r="C1747" s="94" t="inlineStr">
        <is>
          <t>INV68756</t>
        </is>
      </c>
      <c r="D1747" s="94" t="inlineStr">
        <is>
          <t>INV</t>
        </is>
      </c>
      <c r="E1747" s="102" t="n">
        <v>0</v>
      </c>
      <c r="F1747" s="94" t="n">
        <v>0</v>
      </c>
      <c r="G1747" s="102" t="n">
        <v>3163.95</v>
      </c>
      <c r="H1747" s="94" t="n">
        <v>62</v>
      </c>
    </row>
    <row r="1748" ht="15" customHeight="1" s="82">
      <c r="A1748" s="94" t="inlineStr">
        <is>
          <t>109 - Private Shops</t>
        </is>
      </c>
      <c r="B1748" s="94" t="inlineStr">
        <is>
          <t>C02231 ש.ל.י. סיירת ציוד בעמ</t>
        </is>
      </c>
      <c r="C1748" s="94" t="inlineStr">
        <is>
          <t>INV68490</t>
        </is>
      </c>
      <c r="D1748" s="94" t="inlineStr">
        <is>
          <t>INV</t>
        </is>
      </c>
      <c r="E1748" s="102" t="n">
        <v>0</v>
      </c>
      <c r="F1748" s="94" t="n">
        <v>0</v>
      </c>
      <c r="G1748" s="102" t="n">
        <v>2170.3</v>
      </c>
      <c r="H1748" s="94" t="n">
        <v>43</v>
      </c>
    </row>
    <row r="1749" ht="15" customHeight="1" s="82">
      <c r="A1749" s="94" t="inlineStr">
        <is>
          <t>109 - Private Shops</t>
        </is>
      </c>
      <c r="B1749" s="94" t="inlineStr">
        <is>
          <t>C02231 ש.ל.י. סיירת ציוד בעמ</t>
        </is>
      </c>
      <c r="C1749" s="94" t="inlineStr">
        <is>
          <t>INV69000</t>
        </is>
      </c>
      <c r="D1749" s="94" t="inlineStr">
        <is>
          <t>INV</t>
        </is>
      </c>
      <c r="E1749" s="102" t="n">
        <v>0</v>
      </c>
      <c r="F1749" s="94" t="n">
        <v>0</v>
      </c>
      <c r="G1749" s="102" t="n">
        <v>1947.05</v>
      </c>
      <c r="H1749" s="94" t="n">
        <v>62</v>
      </c>
    </row>
    <row r="1750" ht="15" customHeight="1" s="82">
      <c r="A1750" s="94" t="inlineStr">
        <is>
          <t>109 - Private Shops</t>
        </is>
      </c>
      <c r="B1750" s="94" t="inlineStr">
        <is>
          <t>C02231 ש.ל.י. סיירת ציוד בעמ</t>
        </is>
      </c>
      <c r="C1750" s="94" t="inlineStr">
        <is>
          <t>INV42033</t>
        </is>
      </c>
      <c r="D1750" s="94" t="inlineStr">
        <is>
          <t>INV</t>
        </is>
      </c>
      <c r="E1750" s="102" t="n">
        <v>1514.04</v>
      </c>
      <c r="F1750" s="94" t="n">
        <v>68</v>
      </c>
      <c r="G1750" s="102" t="n">
        <v>0</v>
      </c>
      <c r="H1750" s="94" t="n">
        <v>0</v>
      </c>
    </row>
    <row r="1751" ht="15" customHeight="1" s="82">
      <c r="A1751" s="94" t="inlineStr">
        <is>
          <t>109 - Private Shops</t>
        </is>
      </c>
      <c r="B1751" s="94" t="inlineStr">
        <is>
          <t>C02231 ש.ל.י. סיירת ציוד בעמ</t>
        </is>
      </c>
      <c r="C1751" s="94" t="inlineStr">
        <is>
          <t>INV42198</t>
        </is>
      </c>
      <c r="D1751" s="94" t="inlineStr">
        <is>
          <t>INV</t>
        </is>
      </c>
      <c r="E1751" s="102" t="n">
        <v>1514.04</v>
      </c>
      <c r="F1751" s="94" t="n">
        <v>68</v>
      </c>
      <c r="G1751" s="102" t="n">
        <v>0</v>
      </c>
      <c r="H1751" s="94" t="n">
        <v>0</v>
      </c>
    </row>
    <row r="1752" ht="15" customHeight="1" s="82">
      <c r="A1752" s="94" t="inlineStr">
        <is>
          <t>109 - Private Shops</t>
        </is>
      </c>
      <c r="B1752" s="94" t="inlineStr">
        <is>
          <t>C02231 ש.ל.י. סיירת ציוד בעמ</t>
        </is>
      </c>
      <c r="C1752" s="94" t="inlineStr">
        <is>
          <t>INV67458</t>
        </is>
      </c>
      <c r="D1752" s="94" t="inlineStr">
        <is>
          <t>INV</t>
        </is>
      </c>
      <c r="E1752" s="102" t="n">
        <v>0</v>
      </c>
      <c r="F1752" s="94" t="n">
        <v>0</v>
      </c>
      <c r="G1752" s="102" t="n">
        <v>1356.13</v>
      </c>
      <c r="H1752" s="94" t="n">
        <v>16</v>
      </c>
    </row>
    <row r="1753" ht="15" customHeight="1" s="82">
      <c r="A1753" s="94" t="inlineStr">
        <is>
          <t>109 - Private Shops</t>
        </is>
      </c>
      <c r="B1753" s="94" t="inlineStr">
        <is>
          <t>C02231 ש.ל.י. סיירת ציוד בעמ</t>
        </is>
      </c>
      <c r="C1753" s="94" t="inlineStr">
        <is>
          <t>INV67059</t>
        </is>
      </c>
      <c r="D1753" s="94" t="inlineStr">
        <is>
          <t>INV</t>
        </is>
      </c>
      <c r="E1753" s="102" t="n">
        <v>1318.1</v>
      </c>
      <c r="F1753" s="94" t="n">
        <v>32</v>
      </c>
      <c r="G1753" s="102" t="n">
        <v>0</v>
      </c>
      <c r="H1753" s="94" t="n">
        <v>0</v>
      </c>
    </row>
    <row r="1754" ht="15" customHeight="1" s="82">
      <c r="A1754" s="94" t="inlineStr">
        <is>
          <t>109 - Private Shops</t>
        </is>
      </c>
      <c r="B1754" s="94" t="inlineStr">
        <is>
          <t>C02231 ש.ל.י. סיירת ציוד בעמ</t>
        </is>
      </c>
      <c r="C1754" s="94" t="inlineStr">
        <is>
          <t>INV62944</t>
        </is>
      </c>
      <c r="D1754" s="94" t="inlineStr">
        <is>
          <t>INV</t>
        </is>
      </c>
      <c r="E1754" s="102" t="n">
        <v>1269.86</v>
      </c>
      <c r="F1754" s="94" t="n">
        <v>41</v>
      </c>
      <c r="G1754" s="102" t="n">
        <v>0</v>
      </c>
      <c r="H1754" s="94" t="n">
        <v>0</v>
      </c>
    </row>
    <row r="1755" ht="15" customHeight="1" s="82">
      <c r="A1755" s="94" t="inlineStr">
        <is>
          <t>109 - Private Shops</t>
        </is>
      </c>
      <c r="B1755" s="94" t="inlineStr">
        <is>
          <t>C02231 ש.ל.י. סיירת ציוד בעמ</t>
        </is>
      </c>
      <c r="C1755" s="94" t="inlineStr">
        <is>
          <t>INV69193</t>
        </is>
      </c>
      <c r="D1755" s="94" t="inlineStr">
        <is>
          <t>INV</t>
        </is>
      </c>
      <c r="E1755" s="102" t="n">
        <v>0</v>
      </c>
      <c r="F1755" s="94" t="n">
        <v>0</v>
      </c>
      <c r="G1755" s="102" t="n">
        <v>1104.27</v>
      </c>
      <c r="H1755" s="94" t="n">
        <v>16</v>
      </c>
    </row>
    <row r="1756" ht="15" customHeight="1" s="82">
      <c r="A1756" s="94" t="inlineStr">
        <is>
          <t>109 - Private Shops</t>
        </is>
      </c>
      <c r="B1756" s="94" t="inlineStr">
        <is>
          <t>C02231 ש.ל.י. סיירת ציוד בעמ</t>
        </is>
      </c>
      <c r="C1756" s="94" t="inlineStr">
        <is>
          <t>INV65731</t>
        </is>
      </c>
      <c r="D1756" s="94" t="inlineStr">
        <is>
          <t>INV</t>
        </is>
      </c>
      <c r="E1756" s="102" t="n">
        <v>1065.27</v>
      </c>
      <c r="F1756" s="94" t="n">
        <v>16</v>
      </c>
      <c r="G1756" s="102" t="n">
        <v>0</v>
      </c>
      <c r="H1756" s="94" t="n">
        <v>0</v>
      </c>
    </row>
    <row r="1757" ht="15" customHeight="1" s="82">
      <c r="A1757" s="94" t="inlineStr">
        <is>
          <t>109 - Private Shops</t>
        </is>
      </c>
      <c r="B1757" s="94" t="inlineStr">
        <is>
          <t>C02231 ש.ל.י. סיירת ציוד בעמ</t>
        </is>
      </c>
      <c r="C1757" s="94" t="inlineStr">
        <is>
          <t>INV52162</t>
        </is>
      </c>
      <c r="D1757" s="94" t="inlineStr">
        <is>
          <t>INV</t>
        </is>
      </c>
      <c r="E1757" s="102" t="n">
        <v>1023.85</v>
      </c>
      <c r="F1757" s="94" t="n">
        <v>16</v>
      </c>
      <c r="G1757" s="102" t="n">
        <v>0</v>
      </c>
      <c r="H1757" s="94" t="n">
        <v>0</v>
      </c>
    </row>
    <row r="1758" ht="15" customHeight="1" s="82">
      <c r="A1758" s="94" t="inlineStr">
        <is>
          <t>109 - Private Shops</t>
        </is>
      </c>
      <c r="B1758" s="94" t="inlineStr">
        <is>
          <t>C02231 ש.ל.י. סיירת ציוד בעמ</t>
        </is>
      </c>
      <c r="C1758" s="94" t="inlineStr">
        <is>
          <t>INV45580</t>
        </is>
      </c>
      <c r="D1758" s="94" t="inlineStr">
        <is>
          <t>INV</t>
        </is>
      </c>
      <c r="E1758" s="102" t="n">
        <v>990.85</v>
      </c>
      <c r="F1758" s="94" t="n">
        <v>47</v>
      </c>
      <c r="G1758" s="102" t="n">
        <v>0</v>
      </c>
      <c r="H1758" s="94" t="n">
        <v>0</v>
      </c>
    </row>
    <row r="1759" ht="15" customHeight="1" s="82">
      <c r="A1759" s="94" t="inlineStr">
        <is>
          <t>109 - Private Shops</t>
        </is>
      </c>
      <c r="B1759" s="94" t="inlineStr">
        <is>
          <t>C02231 ש.ל.י. סיירת ציוד בעמ</t>
        </is>
      </c>
      <c r="C1759" s="94" t="inlineStr">
        <is>
          <t>INV51101</t>
        </is>
      </c>
      <c r="D1759" s="94" t="inlineStr">
        <is>
          <t>INV</t>
        </is>
      </c>
      <c r="E1759" s="102" t="n">
        <v>971.58</v>
      </c>
      <c r="F1759" s="94" t="n">
        <v>46</v>
      </c>
      <c r="G1759" s="102" t="n">
        <v>0</v>
      </c>
      <c r="H1759" s="94" t="n">
        <v>0</v>
      </c>
    </row>
    <row r="1760" ht="15" customHeight="1" s="82">
      <c r="A1760" s="94" t="inlineStr">
        <is>
          <t>109 - Private Shops</t>
        </is>
      </c>
      <c r="B1760" s="94" t="inlineStr">
        <is>
          <t>C02231 ש.ל.י. סיירת ציוד בעמ</t>
        </is>
      </c>
      <c r="C1760" s="94" t="inlineStr">
        <is>
          <t>INV68013</t>
        </is>
      </c>
      <c r="D1760" s="94" t="inlineStr">
        <is>
          <t>INV</t>
        </is>
      </c>
      <c r="E1760" s="102" t="n">
        <v>0</v>
      </c>
      <c r="F1760" s="94" t="n">
        <v>0</v>
      </c>
      <c r="G1760" s="102" t="n">
        <v>941.21</v>
      </c>
      <c r="H1760" s="94" t="n">
        <v>10</v>
      </c>
    </row>
    <row r="1761" ht="15" customHeight="1" s="82">
      <c r="A1761" s="94" t="inlineStr">
        <is>
          <t>109 - Private Shops</t>
        </is>
      </c>
      <c r="B1761" s="94" t="inlineStr">
        <is>
          <t>C02231 ש.ל.י. סיירת ציוד בעמ</t>
        </is>
      </c>
      <c r="C1761" s="94" t="inlineStr">
        <is>
          <t>INV69027</t>
        </is>
      </c>
      <c r="D1761" s="94" t="inlineStr">
        <is>
          <t>INV</t>
        </is>
      </c>
      <c r="E1761" s="102" t="n">
        <v>0</v>
      </c>
      <c r="F1761" s="94" t="n">
        <v>0</v>
      </c>
      <c r="G1761" s="102" t="n">
        <v>816.95</v>
      </c>
      <c r="H1761" s="94" t="n">
        <v>9</v>
      </c>
    </row>
    <row r="1762" ht="15" customHeight="1" s="82">
      <c r="A1762" s="94" t="inlineStr">
        <is>
          <t>109 - Private Shops</t>
        </is>
      </c>
      <c r="B1762" s="94" t="inlineStr">
        <is>
          <t>C02231 ש.ל.י. סיירת ציוד בעמ</t>
        </is>
      </c>
      <c r="C1762" s="94" t="inlineStr">
        <is>
          <t>INV54079</t>
        </is>
      </c>
      <c r="D1762" s="94" t="inlineStr">
        <is>
          <t>INV</t>
        </is>
      </c>
      <c r="E1762" s="102" t="n">
        <v>734.14</v>
      </c>
      <c r="F1762" s="94" t="n">
        <v>48</v>
      </c>
      <c r="G1762" s="102" t="n">
        <v>0</v>
      </c>
      <c r="H1762" s="94" t="n">
        <v>0</v>
      </c>
    </row>
    <row r="1763" ht="15" customHeight="1" s="82">
      <c r="A1763" s="94" t="inlineStr">
        <is>
          <t>109 - Private Shops</t>
        </is>
      </c>
      <c r="B1763" s="94" t="inlineStr">
        <is>
          <t>C02231 ש.ל.י. סיירת ציוד בעמ</t>
        </is>
      </c>
      <c r="C1763" s="94" t="inlineStr">
        <is>
          <t>INV66384</t>
        </is>
      </c>
      <c r="D1763" s="94" t="inlineStr">
        <is>
          <t>INV</t>
        </is>
      </c>
      <c r="E1763" s="102" t="n">
        <v>702.0700000000001</v>
      </c>
      <c r="F1763" s="94" t="n">
        <v>17</v>
      </c>
      <c r="G1763" s="102" t="n">
        <v>0</v>
      </c>
      <c r="H1763" s="94" t="n">
        <v>0</v>
      </c>
    </row>
    <row r="1764" ht="15" customHeight="1" s="82">
      <c r="A1764" s="94" t="inlineStr">
        <is>
          <t>109 - Private Shops</t>
        </is>
      </c>
      <c r="B1764" s="94" t="inlineStr">
        <is>
          <t>C02231 ש.ל.י. סיירת ציוד בעמ</t>
        </is>
      </c>
      <c r="C1764" s="94" t="inlineStr">
        <is>
          <t>INV48382</t>
        </is>
      </c>
      <c r="D1764" s="94" t="inlineStr">
        <is>
          <t>INV</t>
        </is>
      </c>
      <c r="E1764" s="102" t="n">
        <v>532.64</v>
      </c>
      <c r="F1764" s="94" t="n">
        <v>8</v>
      </c>
      <c r="G1764" s="102" t="n">
        <v>0</v>
      </c>
      <c r="H1764" s="94" t="n">
        <v>0</v>
      </c>
    </row>
    <row r="1765" ht="15" customHeight="1" s="82">
      <c r="A1765" s="94" t="inlineStr">
        <is>
          <t>109 - Private Shops</t>
        </is>
      </c>
      <c r="B1765" s="94" t="inlineStr">
        <is>
          <t>C02231 ש.ל.י. סיירת ציוד בעמ</t>
        </is>
      </c>
      <c r="C1765" s="94" t="inlineStr">
        <is>
          <t>INV52567</t>
        </is>
      </c>
      <c r="D1765" s="94" t="inlineStr">
        <is>
          <t>INV</t>
        </is>
      </c>
      <c r="E1765" s="102" t="n">
        <v>54.8</v>
      </c>
      <c r="F1765" s="94" t="n">
        <v>1</v>
      </c>
      <c r="G1765" s="102" t="n">
        <v>0</v>
      </c>
      <c r="H1765" s="94" t="n">
        <v>0</v>
      </c>
    </row>
    <row r="1766" ht="15" customHeight="1" s="82">
      <c r="A1766" s="94" t="inlineStr">
        <is>
          <t>109 - Private Shops</t>
        </is>
      </c>
      <c r="B1766" s="94" t="inlineStr">
        <is>
          <t>C02231 ש.ל.י. סיירת ציוד בעמ</t>
        </is>
      </c>
      <c r="C1766" s="94" t="inlineStr">
        <is>
          <t>CM44691</t>
        </is>
      </c>
      <c r="D1766" s="94" t="inlineStr">
        <is>
          <t>CM</t>
        </is>
      </c>
      <c r="E1766" s="102" t="n">
        <v>0</v>
      </c>
      <c r="F1766" s="94" t="n">
        <v>0</v>
      </c>
      <c r="G1766" s="102" t="n">
        <v>-1397.79</v>
      </c>
      <c r="H1766" s="94" t="n">
        <v>-53</v>
      </c>
    </row>
    <row r="1767" ht="15" customHeight="1" s="82">
      <c r="A1767" s="94" t="inlineStr">
        <is>
          <t>109 - Private Shops</t>
        </is>
      </c>
      <c r="B1767" s="94" t="inlineStr">
        <is>
          <t>C02231SC1 ש.ל.י סיירת ציוד חיפה</t>
        </is>
      </c>
      <c r="C1767" s="94" t="inlineStr">
        <is>
          <t>INV66299</t>
        </is>
      </c>
      <c r="D1767" s="94" t="inlineStr">
        <is>
          <t>INV</t>
        </is>
      </c>
      <c r="E1767" s="102" t="n">
        <v>1710.83</v>
      </c>
      <c r="F1767" s="94" t="n">
        <v>44</v>
      </c>
      <c r="G1767" s="102" t="n">
        <v>0</v>
      </c>
      <c r="H1767" s="94" t="n">
        <v>0</v>
      </c>
    </row>
    <row r="1768" ht="15" customHeight="1" s="82">
      <c r="A1768" s="94" t="inlineStr">
        <is>
          <t>109 - Private Shops</t>
        </is>
      </c>
      <c r="B1768" s="94" t="inlineStr">
        <is>
          <t>C02231SC2 ש.ל.י סיירת ציוד ראשון לציון</t>
        </is>
      </c>
      <c r="C1768" s="94" t="inlineStr">
        <is>
          <t>INV42202</t>
        </is>
      </c>
      <c r="D1768" s="94" t="inlineStr">
        <is>
          <t>INV</t>
        </is>
      </c>
      <c r="E1768" s="102" t="n">
        <v>996.26</v>
      </c>
      <c r="F1768" s="94" t="n">
        <v>55</v>
      </c>
      <c r="G1768" s="102" t="n">
        <v>0</v>
      </c>
      <c r="H1768" s="94" t="n">
        <v>0</v>
      </c>
    </row>
    <row r="1769" ht="15" customHeight="1" s="82">
      <c r="A1769" s="94" t="inlineStr">
        <is>
          <t>109 - Private Shops</t>
        </is>
      </c>
      <c r="B1769" s="94" t="inlineStr">
        <is>
          <t>C02231SC2 ש.ל.י סיירת ציוד ראשון לציון</t>
        </is>
      </c>
      <c r="C1769" s="94" t="inlineStr">
        <is>
          <t>INV63573</t>
        </is>
      </c>
      <c r="D1769" s="94" t="inlineStr">
        <is>
          <t>INV</t>
        </is>
      </c>
      <c r="E1769" s="102" t="n">
        <v>503.87</v>
      </c>
      <c r="F1769" s="94" t="n">
        <v>16</v>
      </c>
      <c r="G1769" s="102" t="n">
        <v>0</v>
      </c>
      <c r="H1769" s="94" t="n">
        <v>0</v>
      </c>
    </row>
    <row r="1770" ht="15" customHeight="1" s="82">
      <c r="A1770" s="94" t="inlineStr">
        <is>
          <t>109 - Private Shops</t>
        </is>
      </c>
      <c r="B1770" s="94" t="inlineStr">
        <is>
          <t>C02231SC2 ש.ל.י סיירת ציוד ראשון לציון</t>
        </is>
      </c>
      <c r="C1770" s="94" t="inlineStr">
        <is>
          <t>INV45210</t>
        </is>
      </c>
      <c r="D1770" s="94" t="inlineStr">
        <is>
          <t>INV</t>
        </is>
      </c>
      <c r="E1770" s="102" t="n">
        <v>479.11</v>
      </c>
      <c r="F1770" s="94" t="n">
        <v>6</v>
      </c>
      <c r="G1770" s="102" t="n">
        <v>0</v>
      </c>
      <c r="H1770" s="94" t="n">
        <v>0</v>
      </c>
    </row>
    <row r="1771" ht="15" customHeight="1" s="82">
      <c r="A1771" s="94" t="inlineStr">
        <is>
          <t>109 - Private Shops</t>
        </is>
      </c>
      <c r="B1771" s="94" t="inlineStr">
        <is>
          <t>C02231SC4 ש.ל.י סיירת ציוד בעמ באר שבע</t>
        </is>
      </c>
      <c r="C1771" s="94" t="inlineStr">
        <is>
          <t>INV46839</t>
        </is>
      </c>
      <c r="D1771" s="94" t="inlineStr">
        <is>
          <t>INV</t>
        </is>
      </c>
      <c r="E1771" s="102" t="n">
        <v>1708.41</v>
      </c>
      <c r="F1771" s="94" t="n">
        <v>66</v>
      </c>
      <c r="G1771" s="102" t="n">
        <v>0</v>
      </c>
      <c r="H1771" s="94" t="n">
        <v>0</v>
      </c>
    </row>
    <row r="1772" ht="15" customHeight="1" s="82">
      <c r="A1772" s="94" t="inlineStr">
        <is>
          <t>109 - Private Shops</t>
        </is>
      </c>
      <c r="B1772" s="94" t="inlineStr">
        <is>
          <t>C02231SC4 ש.ל.י סיירת ציוד בעמ באר שבע</t>
        </is>
      </c>
      <c r="C1772" s="94" t="inlineStr">
        <is>
          <t>INV57101</t>
        </is>
      </c>
      <c r="D1772" s="94" t="inlineStr">
        <is>
          <t>INV</t>
        </is>
      </c>
      <c r="E1772" s="102" t="n">
        <v>1500.27</v>
      </c>
      <c r="F1772" s="94" t="n">
        <v>71</v>
      </c>
      <c r="G1772" s="102" t="n">
        <v>0</v>
      </c>
      <c r="H1772" s="94" t="n">
        <v>0</v>
      </c>
    </row>
    <row r="1773" ht="15" customHeight="1" s="82">
      <c r="A1773" s="94" t="inlineStr">
        <is>
          <t>109 - Private Shops</t>
        </is>
      </c>
      <c r="B1773" s="94" t="inlineStr">
        <is>
          <t>C02231SC4 ש.ל.י סיירת ציוד בעמ באר שבע</t>
        </is>
      </c>
      <c r="C1773" s="94" t="inlineStr">
        <is>
          <t>INV48857</t>
        </is>
      </c>
      <c r="D1773" s="94" t="inlineStr">
        <is>
          <t>INV</t>
        </is>
      </c>
      <c r="E1773" s="102" t="n">
        <v>509.56</v>
      </c>
      <c r="F1773" s="94" t="n">
        <v>16</v>
      </c>
      <c r="G1773" s="102" t="n">
        <v>0</v>
      </c>
      <c r="H1773" s="94" t="n">
        <v>0</v>
      </c>
    </row>
    <row r="1774" ht="15" customHeight="1" s="82">
      <c r="A1774" s="94" t="inlineStr">
        <is>
          <t>109 - Private Shops</t>
        </is>
      </c>
      <c r="B1774" s="94" t="inlineStr">
        <is>
          <t>C02231SC4 ש.ל.י סיירת ציוד בעמ באר שבע</t>
        </is>
      </c>
      <c r="C1774" s="94" t="inlineStr">
        <is>
          <t>INV48860</t>
        </is>
      </c>
      <c r="D1774" s="94" t="inlineStr">
        <is>
          <t>INV</t>
        </is>
      </c>
      <c r="E1774" s="102" t="n">
        <v>102.14</v>
      </c>
      <c r="F1774" s="94" t="n">
        <v>6</v>
      </c>
      <c r="G1774" s="102" t="n">
        <v>0</v>
      </c>
      <c r="H1774" s="94" t="n">
        <v>0</v>
      </c>
    </row>
    <row r="1775" ht="15" customHeight="1" s="82">
      <c r="A1775" s="94" t="inlineStr">
        <is>
          <t>109 - Private Shops</t>
        </is>
      </c>
      <c r="B1775" s="94" t="inlineStr">
        <is>
          <t>C02261 מקדונלדס</t>
        </is>
      </c>
      <c r="C1775" s="94" t="inlineStr">
        <is>
          <t>INV66804</t>
        </is>
      </c>
      <c r="D1775" s="94" t="inlineStr">
        <is>
          <t>INV</t>
        </is>
      </c>
      <c r="E1775" s="102" t="n">
        <v>2342.7</v>
      </c>
      <c r="F1775" s="94" t="n">
        <v>20</v>
      </c>
      <c r="G1775" s="102" t="n">
        <v>0</v>
      </c>
      <c r="H1775" s="94" t="n">
        <v>0</v>
      </c>
    </row>
    <row r="1776" ht="15" customHeight="1" s="82">
      <c r="A1776" s="94" t="inlineStr">
        <is>
          <t>109 - Private Shops</t>
        </is>
      </c>
      <c r="B1776" s="94" t="inlineStr">
        <is>
          <t>C02261 מקדונלדס</t>
        </is>
      </c>
      <c r="C1776" s="94" t="inlineStr">
        <is>
          <t>INV68832</t>
        </is>
      </c>
      <c r="D1776" s="94" t="inlineStr">
        <is>
          <t>INV</t>
        </is>
      </c>
      <c r="E1776" s="102" t="n">
        <v>0</v>
      </c>
      <c r="F1776" s="94" t="n">
        <v>0</v>
      </c>
      <c r="G1776" s="102" t="n">
        <v>2342.7</v>
      </c>
      <c r="H1776" s="94" t="n">
        <v>15</v>
      </c>
    </row>
    <row r="1777" ht="15" customHeight="1" s="82">
      <c r="A1777" s="94" t="inlineStr">
        <is>
          <t>109 - Private Shops</t>
        </is>
      </c>
      <c r="B1777" s="94" t="inlineStr">
        <is>
          <t>C02267 משה בידנר</t>
        </is>
      </c>
      <c r="C1777" s="94" t="inlineStr">
        <is>
          <t>INV67306</t>
        </is>
      </c>
      <c r="D1777" s="94" t="inlineStr">
        <is>
          <t>INV</t>
        </is>
      </c>
      <c r="E1777" s="102" t="n">
        <v>0</v>
      </c>
      <c r="F1777" s="94" t="n">
        <v>0</v>
      </c>
      <c r="G1777" s="102" t="n">
        <v>540</v>
      </c>
      <c r="H1777" s="94" t="n">
        <v>6</v>
      </c>
    </row>
    <row r="1778" ht="15" customHeight="1" s="82">
      <c r="A1778" s="94" t="inlineStr">
        <is>
          <t>109 - Private Shops</t>
        </is>
      </c>
      <c r="B1778" s="94" t="inlineStr">
        <is>
          <t>C02267 משה בידנר</t>
        </is>
      </c>
      <c r="C1778" s="94" t="inlineStr">
        <is>
          <t>INV47473</t>
        </is>
      </c>
      <c r="D1778" s="94" t="inlineStr">
        <is>
          <t>INV</t>
        </is>
      </c>
      <c r="E1778" s="102" t="n">
        <v>330</v>
      </c>
      <c r="F1778" s="94" t="n">
        <v>5</v>
      </c>
      <c r="G1778" s="102" t="n">
        <v>0</v>
      </c>
      <c r="H1778" s="94" t="n">
        <v>0</v>
      </c>
    </row>
    <row r="1779" ht="15" customHeight="1" s="82">
      <c r="A1779" s="94" t="inlineStr">
        <is>
          <t>109 - Private Shops</t>
        </is>
      </c>
      <c r="B1779" s="94" t="inlineStr">
        <is>
          <t>C02267 משה בידנר</t>
        </is>
      </c>
      <c r="C1779" s="94" t="inlineStr">
        <is>
          <t>INV67685</t>
        </is>
      </c>
      <c r="D1779" s="94" t="inlineStr">
        <is>
          <t>INV</t>
        </is>
      </c>
      <c r="E1779" s="102" t="n">
        <v>0</v>
      </c>
      <c r="F1779" s="94" t="n">
        <v>0</v>
      </c>
      <c r="G1779" s="102" t="n">
        <v>94.01000000000001</v>
      </c>
      <c r="H1779" s="94" t="n">
        <v>2</v>
      </c>
    </row>
    <row r="1780" ht="15" customHeight="1" s="82">
      <c r="A1780" s="94" t="inlineStr">
        <is>
          <t>109 - Private Shops</t>
        </is>
      </c>
      <c r="B1780" s="94" t="inlineStr">
        <is>
          <t>C02268 ר.ת מדיקל גרופ</t>
        </is>
      </c>
      <c r="C1780" s="94" t="inlineStr">
        <is>
          <t>INV68396</t>
        </is>
      </c>
      <c r="D1780" s="94" t="inlineStr">
        <is>
          <t>INV</t>
        </is>
      </c>
      <c r="E1780" s="102" t="n">
        <v>0</v>
      </c>
      <c r="F1780" s="94" t="n">
        <v>0</v>
      </c>
      <c r="G1780" s="102" t="n">
        <v>260</v>
      </c>
      <c r="H1780" s="94" t="n">
        <v>1</v>
      </c>
    </row>
    <row r="1781" ht="15" customHeight="1" s="82">
      <c r="A1781" s="94" t="inlineStr">
        <is>
          <t>109 - Private Shops</t>
        </is>
      </c>
      <c r="B1781" s="94" t="inlineStr">
        <is>
          <t>C02268 ר.ת מדיקל גרופ</t>
        </is>
      </c>
      <c r="C1781" s="94" t="inlineStr">
        <is>
          <t>INV68948</t>
        </is>
      </c>
      <c r="D1781" s="94" t="inlineStr">
        <is>
          <t>INV</t>
        </is>
      </c>
      <c r="E1781" s="102" t="n">
        <v>0</v>
      </c>
      <c r="F1781" s="94" t="n">
        <v>0</v>
      </c>
      <c r="G1781" s="102" t="n">
        <v>170</v>
      </c>
      <c r="H1781" s="94" t="n">
        <v>1</v>
      </c>
    </row>
    <row r="1782" ht="15" customHeight="1" s="82">
      <c r="A1782" s="94" t="inlineStr">
        <is>
          <t>109 - Private Shops</t>
        </is>
      </c>
      <c r="B1782" s="94" t="inlineStr">
        <is>
          <t>C02268 ר.ת מדיקל גרופ</t>
        </is>
      </c>
      <c r="C1782" s="94" t="inlineStr">
        <is>
          <t>INV68644</t>
        </is>
      </c>
      <c r="D1782" s="94" t="inlineStr">
        <is>
          <t>INV</t>
        </is>
      </c>
      <c r="E1782" s="102" t="n">
        <v>0</v>
      </c>
      <c r="F1782" s="94" t="n">
        <v>0</v>
      </c>
      <c r="G1782" s="102" t="n">
        <v>79.59</v>
      </c>
      <c r="H1782" s="94" t="n">
        <v>2</v>
      </c>
    </row>
    <row r="1783" ht="15" customHeight="1" s="82">
      <c r="A1783" s="94" t="inlineStr">
        <is>
          <t>109 - Private Shops</t>
        </is>
      </c>
      <c r="B1783" s="94" t="inlineStr">
        <is>
          <t>C02270 טעם טבע של גיל</t>
        </is>
      </c>
      <c r="C1783" s="94" t="inlineStr">
        <is>
          <t>INV68345</t>
        </is>
      </c>
      <c r="D1783" s="94" t="inlineStr">
        <is>
          <t>INV</t>
        </is>
      </c>
      <c r="E1783" s="102" t="n">
        <v>0</v>
      </c>
      <c r="F1783" s="94" t="n">
        <v>0</v>
      </c>
      <c r="G1783" s="102" t="n">
        <v>1222.13</v>
      </c>
      <c r="H1783" s="94" t="n">
        <v>11</v>
      </c>
    </row>
    <row r="1784" ht="15" customHeight="1" s="82">
      <c r="A1784" s="94" t="inlineStr">
        <is>
          <t>109 - Private Shops</t>
        </is>
      </c>
      <c r="B1784" s="94" t="inlineStr">
        <is>
          <t>C02270 טעם טבע של גיל</t>
        </is>
      </c>
      <c r="C1784" s="94" t="inlineStr">
        <is>
          <t>INV67355</t>
        </is>
      </c>
      <c r="D1784" s="94" t="inlineStr">
        <is>
          <t>INV</t>
        </is>
      </c>
      <c r="E1784" s="102" t="n">
        <v>0</v>
      </c>
      <c r="F1784" s="94" t="n">
        <v>0</v>
      </c>
      <c r="G1784" s="102" t="n">
        <v>1000</v>
      </c>
      <c r="H1784" s="94" t="n">
        <v>10</v>
      </c>
    </row>
    <row r="1785" ht="15" customHeight="1" s="82">
      <c r="A1785" s="94" t="inlineStr">
        <is>
          <t>109 - Private Shops</t>
        </is>
      </c>
      <c r="B1785" s="94" t="inlineStr">
        <is>
          <t>C02270 טעם טבע של גיל</t>
        </is>
      </c>
      <c r="C1785" s="94" t="inlineStr">
        <is>
          <t>INV67521</t>
        </is>
      </c>
      <c r="D1785" s="94" t="inlineStr">
        <is>
          <t>INV</t>
        </is>
      </c>
      <c r="E1785" s="102" t="n">
        <v>0</v>
      </c>
      <c r="F1785" s="94" t="n">
        <v>0</v>
      </c>
      <c r="G1785" s="102" t="n">
        <v>1000</v>
      </c>
      <c r="H1785" s="94" t="n">
        <v>10</v>
      </c>
    </row>
    <row r="1786" ht="15" customHeight="1" s="82">
      <c r="A1786" s="94" t="inlineStr">
        <is>
          <t>109 - Private Shops</t>
        </is>
      </c>
      <c r="B1786" s="94" t="inlineStr">
        <is>
          <t>C02270 טעם טבע של גיל</t>
        </is>
      </c>
      <c r="C1786" s="94" t="inlineStr">
        <is>
          <t>INV67809</t>
        </is>
      </c>
      <c r="D1786" s="94" t="inlineStr">
        <is>
          <t>INV</t>
        </is>
      </c>
      <c r="E1786" s="102" t="n">
        <v>0</v>
      </c>
      <c r="F1786" s="94" t="n">
        <v>0</v>
      </c>
      <c r="G1786" s="102" t="n">
        <v>985</v>
      </c>
      <c r="H1786" s="94" t="n">
        <v>10</v>
      </c>
    </row>
    <row r="1787" ht="15" customHeight="1" s="82">
      <c r="A1787" s="94" t="inlineStr">
        <is>
          <t>109 - Private Shops</t>
        </is>
      </c>
      <c r="B1787" s="94" t="inlineStr">
        <is>
          <t>C02270 טעם טבע של גיל</t>
        </is>
      </c>
      <c r="C1787" s="94" t="inlineStr">
        <is>
          <t>INV68916</t>
        </is>
      </c>
      <c r="D1787" s="94" t="inlineStr">
        <is>
          <t>INV</t>
        </is>
      </c>
      <c r="E1787" s="102" t="n">
        <v>0</v>
      </c>
      <c r="F1787" s="94" t="n">
        <v>0</v>
      </c>
      <c r="G1787" s="102" t="n">
        <v>398.25</v>
      </c>
      <c r="H1787" s="94" t="n">
        <v>5</v>
      </c>
    </row>
    <row r="1788" ht="15" customHeight="1" s="82">
      <c r="A1788" s="94" t="inlineStr">
        <is>
          <t>109 - Private Shops</t>
        </is>
      </c>
      <c r="B1788" s="94" t="inlineStr">
        <is>
          <t>C02270 טעם טבע של גיל</t>
        </is>
      </c>
      <c r="C1788" s="94" t="inlineStr">
        <is>
          <t>INV69187</t>
        </is>
      </c>
      <c r="D1788" s="94" t="inlineStr">
        <is>
          <t>INV</t>
        </is>
      </c>
      <c r="E1788" s="102" t="n">
        <v>0</v>
      </c>
      <c r="F1788" s="94" t="n">
        <v>0</v>
      </c>
      <c r="G1788" s="102" t="n">
        <v>388.35</v>
      </c>
      <c r="H1788" s="94" t="n">
        <v>4</v>
      </c>
    </row>
    <row r="1789" ht="15" customHeight="1" s="82">
      <c r="A1789" s="94" t="inlineStr">
        <is>
          <t>109 - Private Shops</t>
        </is>
      </c>
      <c r="B1789" s="94" t="inlineStr">
        <is>
          <t>C02270 טעם טבע של גיל</t>
        </is>
      </c>
      <c r="C1789" s="94" t="inlineStr">
        <is>
          <t>INV68800</t>
        </is>
      </c>
      <c r="D1789" s="94" t="inlineStr">
        <is>
          <t>INV</t>
        </is>
      </c>
      <c r="E1789" s="102" t="n">
        <v>0</v>
      </c>
      <c r="F1789" s="94" t="n">
        <v>0</v>
      </c>
      <c r="G1789" s="102" t="n">
        <v>376.51</v>
      </c>
      <c r="H1789" s="94" t="n">
        <v>7</v>
      </c>
    </row>
    <row r="1790" ht="15" customHeight="1" s="82">
      <c r="A1790" s="94" t="inlineStr">
        <is>
          <t>109 - Private Shops</t>
        </is>
      </c>
      <c r="B1790" s="94" t="inlineStr">
        <is>
          <t>C02270 טעם טבע של גיל</t>
        </is>
      </c>
      <c r="C1790" s="94" t="inlineStr">
        <is>
          <t>INV69018</t>
        </is>
      </c>
      <c r="D1790" s="94" t="inlineStr">
        <is>
          <t>INV</t>
        </is>
      </c>
      <c r="E1790" s="102" t="n">
        <v>0</v>
      </c>
      <c r="F1790" s="94" t="n">
        <v>0</v>
      </c>
      <c r="G1790" s="102" t="n">
        <v>346.09</v>
      </c>
      <c r="H1790" s="94" t="n">
        <v>5</v>
      </c>
    </row>
    <row r="1791" ht="15" customHeight="1" s="82">
      <c r="A1791" s="94" t="inlineStr">
        <is>
          <t>109 - Private Shops</t>
        </is>
      </c>
      <c r="B1791" s="94" t="inlineStr">
        <is>
          <t>C02270 טעם טבע של גיל</t>
        </is>
      </c>
      <c r="C1791" s="94" t="inlineStr">
        <is>
          <t>INV69066</t>
        </is>
      </c>
      <c r="D1791" s="94" t="inlineStr">
        <is>
          <t>INV</t>
        </is>
      </c>
      <c r="E1791" s="102" t="n">
        <v>0</v>
      </c>
      <c r="F1791" s="94" t="n">
        <v>0</v>
      </c>
      <c r="G1791" s="102" t="n">
        <v>318.94</v>
      </c>
      <c r="H1791" s="94" t="n">
        <v>4</v>
      </c>
    </row>
    <row r="1792" ht="15" customHeight="1" s="82">
      <c r="A1792" s="94" t="inlineStr">
        <is>
          <t>109 - Private Shops</t>
        </is>
      </c>
      <c r="B1792" s="94" t="inlineStr">
        <is>
          <t>C02270 טעם טבע של גיל</t>
        </is>
      </c>
      <c r="C1792" s="94" t="inlineStr">
        <is>
          <t>INV68861</t>
        </is>
      </c>
      <c r="D1792" s="94" t="inlineStr">
        <is>
          <t>INV</t>
        </is>
      </c>
      <c r="E1792" s="102" t="n">
        <v>0</v>
      </c>
      <c r="F1792" s="94" t="n">
        <v>0</v>
      </c>
      <c r="G1792" s="102" t="n">
        <v>316.11</v>
      </c>
      <c r="H1792" s="94" t="n">
        <v>5</v>
      </c>
    </row>
    <row r="1793" ht="15" customHeight="1" s="82">
      <c r="A1793" s="94" t="inlineStr">
        <is>
          <t>109 - Private Shops</t>
        </is>
      </c>
      <c r="B1793" s="94" t="inlineStr">
        <is>
          <t>C02270 טעם טבע של גיל</t>
        </is>
      </c>
      <c r="C1793" s="94" t="inlineStr">
        <is>
          <t>INV68505</t>
        </is>
      </c>
      <c r="D1793" s="94" t="inlineStr">
        <is>
          <t>INV</t>
        </is>
      </c>
      <c r="E1793" s="102" t="n">
        <v>0</v>
      </c>
      <c r="F1793" s="94" t="n">
        <v>0</v>
      </c>
      <c r="G1793" s="102" t="n">
        <v>275.94</v>
      </c>
      <c r="H1793" s="94" t="n">
        <v>4</v>
      </c>
    </row>
    <row r="1794" ht="15" customHeight="1" s="82">
      <c r="A1794" s="94" t="inlineStr">
        <is>
          <t>109 - Private Shops</t>
        </is>
      </c>
      <c r="B1794" s="94" t="inlineStr">
        <is>
          <t>C02270 טעם טבע של גיל</t>
        </is>
      </c>
      <c r="C1794" s="94" t="inlineStr">
        <is>
          <t>INV54076</t>
        </is>
      </c>
      <c r="D1794" s="94" t="inlineStr">
        <is>
          <t>INV</t>
        </is>
      </c>
      <c r="E1794" s="102" t="n">
        <v>255.7</v>
      </c>
      <c r="F1794" s="94" t="n">
        <v>6</v>
      </c>
      <c r="G1794" s="102" t="n">
        <v>0</v>
      </c>
      <c r="H1794" s="94" t="n">
        <v>0</v>
      </c>
    </row>
    <row r="1795" ht="15" customHeight="1" s="82">
      <c r="A1795" s="94" t="inlineStr">
        <is>
          <t>109 - Private Shops</t>
        </is>
      </c>
      <c r="B1795" s="94" t="inlineStr">
        <is>
          <t>C02270 טעם טבע של גיל</t>
        </is>
      </c>
      <c r="C1795" s="94" t="inlineStr">
        <is>
          <t>INV66923</t>
        </is>
      </c>
      <c r="D1795" s="94" t="inlineStr">
        <is>
          <t>INV</t>
        </is>
      </c>
      <c r="E1795" s="102" t="n">
        <v>250.58</v>
      </c>
      <c r="F1795" s="94" t="n">
        <v>5</v>
      </c>
      <c r="G1795" s="102" t="n">
        <v>0</v>
      </c>
      <c r="H1795" s="94" t="n">
        <v>0</v>
      </c>
    </row>
    <row r="1796" ht="15" customHeight="1" s="82">
      <c r="A1796" s="94" t="inlineStr">
        <is>
          <t>109 - Private Shops</t>
        </is>
      </c>
      <c r="B1796" s="94" t="inlineStr">
        <is>
          <t>C02270 טעם טבע של גיל</t>
        </is>
      </c>
      <c r="C1796" s="94" t="inlineStr">
        <is>
          <t>INV61650</t>
        </is>
      </c>
      <c r="D1796" s="94" t="inlineStr">
        <is>
          <t>INV</t>
        </is>
      </c>
      <c r="E1796" s="102" t="n">
        <v>249.51</v>
      </c>
      <c r="F1796" s="94" t="n">
        <v>6</v>
      </c>
      <c r="G1796" s="102" t="n">
        <v>0</v>
      </c>
      <c r="H1796" s="94" t="n">
        <v>0</v>
      </c>
    </row>
    <row r="1797" ht="15" customHeight="1" s="82">
      <c r="A1797" s="94" t="inlineStr">
        <is>
          <t>109 - Private Shops</t>
        </is>
      </c>
      <c r="B1797" s="94" t="inlineStr">
        <is>
          <t>C02270 טעם טבע של גיל</t>
        </is>
      </c>
      <c r="C1797" s="94" t="inlineStr">
        <is>
          <t>INV68311</t>
        </is>
      </c>
      <c r="D1797" s="94" t="inlineStr">
        <is>
          <t>INV</t>
        </is>
      </c>
      <c r="E1797" s="102" t="n">
        <v>0</v>
      </c>
      <c r="F1797" s="94" t="n">
        <v>0</v>
      </c>
      <c r="G1797" s="102" t="n">
        <v>244.7</v>
      </c>
      <c r="H1797" s="94" t="n">
        <v>5</v>
      </c>
    </row>
    <row r="1798" ht="15" customHeight="1" s="82">
      <c r="A1798" s="94" t="inlineStr">
        <is>
          <t>109 - Private Shops</t>
        </is>
      </c>
      <c r="B1798" s="94" t="inlineStr">
        <is>
          <t>C02270 טעם טבע של גיל</t>
        </is>
      </c>
      <c r="C1798" s="94" t="inlineStr">
        <is>
          <t>INV68901</t>
        </is>
      </c>
      <c r="D1798" s="94" t="inlineStr">
        <is>
          <t>INV</t>
        </is>
      </c>
      <c r="E1798" s="102" t="n">
        <v>0</v>
      </c>
      <c r="F1798" s="94" t="n">
        <v>0</v>
      </c>
      <c r="G1798" s="102" t="n">
        <v>236.16</v>
      </c>
      <c r="H1798" s="94" t="n">
        <v>3</v>
      </c>
    </row>
    <row r="1799" ht="15" customHeight="1" s="82">
      <c r="A1799" s="94" t="inlineStr">
        <is>
          <t>109 - Private Shops</t>
        </is>
      </c>
      <c r="B1799" s="94" t="inlineStr">
        <is>
          <t>C02270 טעם טבע של גיל</t>
        </is>
      </c>
      <c r="C1799" s="94" t="inlineStr">
        <is>
          <t>INV68728</t>
        </is>
      </c>
      <c r="D1799" s="94" t="inlineStr">
        <is>
          <t>INV</t>
        </is>
      </c>
      <c r="E1799" s="102" t="n">
        <v>0</v>
      </c>
      <c r="F1799" s="94" t="n">
        <v>0</v>
      </c>
      <c r="G1799" s="102" t="n">
        <v>226.75</v>
      </c>
      <c r="H1799" s="94" t="n">
        <v>4</v>
      </c>
    </row>
    <row r="1800" ht="15" customHeight="1" s="82">
      <c r="A1800" s="94" t="inlineStr">
        <is>
          <t>109 - Private Shops</t>
        </is>
      </c>
      <c r="B1800" s="94" t="inlineStr">
        <is>
          <t>C02270 טעם טבע של גיל</t>
        </is>
      </c>
      <c r="C1800" s="94" t="inlineStr">
        <is>
          <t>INV68271</t>
        </is>
      </c>
      <c r="D1800" s="94" t="inlineStr">
        <is>
          <t>INV</t>
        </is>
      </c>
      <c r="E1800" s="102" t="n">
        <v>0</v>
      </c>
      <c r="F1800" s="94" t="n">
        <v>0</v>
      </c>
      <c r="G1800" s="102" t="n">
        <v>223.07</v>
      </c>
      <c r="H1800" s="94" t="n">
        <v>3</v>
      </c>
    </row>
    <row r="1801" ht="15" customHeight="1" s="82">
      <c r="A1801" s="94" t="inlineStr">
        <is>
          <t>109 - Private Shops</t>
        </is>
      </c>
      <c r="B1801" s="94" t="inlineStr">
        <is>
          <t>C02270 טעם טבע של גיל</t>
        </is>
      </c>
      <c r="C1801" s="94" t="inlineStr">
        <is>
          <t>INV69230</t>
        </is>
      </c>
      <c r="D1801" s="94" t="inlineStr">
        <is>
          <t>INV</t>
        </is>
      </c>
      <c r="E1801" s="102" t="n">
        <v>0</v>
      </c>
      <c r="F1801" s="94" t="n">
        <v>0</v>
      </c>
      <c r="G1801" s="102" t="n">
        <v>222.88</v>
      </c>
      <c r="H1801" s="94" t="n">
        <v>3</v>
      </c>
    </row>
    <row r="1802" ht="15" customHeight="1" s="82">
      <c r="A1802" s="94" t="inlineStr">
        <is>
          <t>109 - Private Shops</t>
        </is>
      </c>
      <c r="B1802" s="94" t="inlineStr">
        <is>
          <t>C02270 טעם טבע של גיל</t>
        </is>
      </c>
      <c r="C1802" s="94" t="inlineStr">
        <is>
          <t>INV68536</t>
        </is>
      </c>
      <c r="D1802" s="94" t="inlineStr">
        <is>
          <t>INV</t>
        </is>
      </c>
      <c r="E1802" s="102" t="n">
        <v>0</v>
      </c>
      <c r="F1802" s="94" t="n">
        <v>0</v>
      </c>
      <c r="G1802" s="102" t="n">
        <v>183.67</v>
      </c>
      <c r="H1802" s="94" t="n">
        <v>2</v>
      </c>
    </row>
    <row r="1803" ht="15" customHeight="1" s="82">
      <c r="A1803" s="94" t="inlineStr">
        <is>
          <t>109 - Private Shops</t>
        </is>
      </c>
      <c r="B1803" s="94" t="inlineStr">
        <is>
          <t>C02270 טעם טבע של גיל</t>
        </is>
      </c>
      <c r="C1803" s="94" t="inlineStr">
        <is>
          <t>INV68738</t>
        </is>
      </c>
      <c r="D1803" s="94" t="inlineStr">
        <is>
          <t>INV</t>
        </is>
      </c>
      <c r="E1803" s="102" t="n">
        <v>0</v>
      </c>
      <c r="F1803" s="94" t="n">
        <v>0</v>
      </c>
      <c r="G1803" s="102" t="n">
        <v>174.65</v>
      </c>
      <c r="H1803" s="94" t="n">
        <v>3</v>
      </c>
    </row>
    <row r="1804" ht="15" customHeight="1" s="82">
      <c r="A1804" s="94" t="inlineStr">
        <is>
          <t>109 - Private Shops</t>
        </is>
      </c>
      <c r="B1804" s="94" t="inlineStr">
        <is>
          <t>C02270 טעם טבע של גיל</t>
        </is>
      </c>
      <c r="C1804" s="94" t="inlineStr">
        <is>
          <t>INV68222</t>
        </is>
      </c>
      <c r="D1804" s="94" t="inlineStr">
        <is>
          <t>INV</t>
        </is>
      </c>
      <c r="E1804" s="102" t="n">
        <v>0</v>
      </c>
      <c r="F1804" s="94" t="n">
        <v>0</v>
      </c>
      <c r="G1804" s="102" t="n">
        <v>174.65</v>
      </c>
      <c r="H1804" s="94" t="n">
        <v>3</v>
      </c>
    </row>
    <row r="1805" ht="15" customHeight="1" s="82">
      <c r="A1805" s="94" t="inlineStr">
        <is>
          <t>109 - Private Shops</t>
        </is>
      </c>
      <c r="B1805" s="94" t="inlineStr">
        <is>
          <t>C02270 טעם טבע של גיל</t>
        </is>
      </c>
      <c r="C1805" s="94" t="inlineStr">
        <is>
          <t>INV69261</t>
        </is>
      </c>
      <c r="D1805" s="94" t="inlineStr">
        <is>
          <t>INV</t>
        </is>
      </c>
      <c r="E1805" s="102" t="n">
        <v>0</v>
      </c>
      <c r="F1805" s="94" t="n">
        <v>0</v>
      </c>
      <c r="G1805" s="102" t="n">
        <v>169.95</v>
      </c>
      <c r="H1805" s="94" t="n">
        <v>3</v>
      </c>
    </row>
    <row r="1806" ht="15" customHeight="1" s="82">
      <c r="A1806" s="94" t="inlineStr">
        <is>
          <t>109 - Private Shops</t>
        </is>
      </c>
      <c r="B1806" s="94" t="inlineStr">
        <is>
          <t>C02270 טעם טבע של גיל</t>
        </is>
      </c>
      <c r="C1806" s="94" t="inlineStr">
        <is>
          <t>INV68070</t>
        </is>
      </c>
      <c r="D1806" s="94" t="inlineStr">
        <is>
          <t>INV</t>
        </is>
      </c>
      <c r="E1806" s="102" t="n">
        <v>0</v>
      </c>
      <c r="F1806" s="94" t="n">
        <v>0</v>
      </c>
      <c r="G1806" s="102" t="n">
        <v>161.13</v>
      </c>
      <c r="H1806" s="94" t="n">
        <v>3</v>
      </c>
    </row>
    <row r="1807" ht="15" customHeight="1" s="82">
      <c r="A1807" s="94" t="inlineStr">
        <is>
          <t>109 - Private Shops</t>
        </is>
      </c>
      <c r="B1807" s="94" t="inlineStr">
        <is>
          <t>C02270 טעם טבע של גיל</t>
        </is>
      </c>
      <c r="C1807" s="94" t="inlineStr">
        <is>
          <t>INV69314</t>
        </is>
      </c>
      <c r="D1807" s="94" t="inlineStr">
        <is>
          <t>INV</t>
        </is>
      </c>
      <c r="E1807" s="102" t="n">
        <v>0</v>
      </c>
      <c r="F1807" s="94" t="n">
        <v>0</v>
      </c>
      <c r="G1807" s="102" t="n">
        <v>156.46</v>
      </c>
      <c r="H1807" s="94" t="n">
        <v>3</v>
      </c>
    </row>
    <row r="1808" ht="15" customHeight="1" s="82">
      <c r="A1808" s="94" t="inlineStr">
        <is>
          <t>109 - Private Shops</t>
        </is>
      </c>
      <c r="B1808" s="94" t="inlineStr">
        <is>
          <t>C02270 טעם טבע של גיל</t>
        </is>
      </c>
      <c r="C1808" s="94" t="inlineStr">
        <is>
          <t>INV64509</t>
        </is>
      </c>
      <c r="D1808" s="94" t="inlineStr">
        <is>
          <t>INV</t>
        </is>
      </c>
      <c r="E1808" s="102" t="n">
        <v>147.25</v>
      </c>
      <c r="F1808" s="94" t="n">
        <v>2</v>
      </c>
      <c r="G1808" s="102" t="n">
        <v>0</v>
      </c>
      <c r="H1808" s="94" t="n">
        <v>0</v>
      </c>
    </row>
    <row r="1809" ht="15" customHeight="1" s="82">
      <c r="A1809" s="94" t="inlineStr">
        <is>
          <t>109 - Private Shops</t>
        </is>
      </c>
      <c r="B1809" s="94" t="inlineStr">
        <is>
          <t>C02270 טעם טבע של גיל</t>
        </is>
      </c>
      <c r="C1809" s="94" t="inlineStr">
        <is>
          <t>INV60408</t>
        </is>
      </c>
      <c r="D1809" s="94" t="inlineStr">
        <is>
          <t>INV</t>
        </is>
      </c>
      <c r="E1809" s="102" t="n">
        <v>126.88</v>
      </c>
      <c r="F1809" s="94" t="n">
        <v>2</v>
      </c>
      <c r="G1809" s="102" t="n">
        <v>0</v>
      </c>
      <c r="H1809" s="94" t="n">
        <v>0</v>
      </c>
    </row>
    <row r="1810" ht="15" customHeight="1" s="82">
      <c r="A1810" s="94" t="inlineStr">
        <is>
          <t>109 - Private Shops</t>
        </is>
      </c>
      <c r="B1810" s="94" t="inlineStr">
        <is>
          <t>C02270 טעם טבע של גיל</t>
        </is>
      </c>
      <c r="C1810" s="94" t="inlineStr">
        <is>
          <t>INV67097</t>
        </is>
      </c>
      <c r="D1810" s="94" t="inlineStr">
        <is>
          <t>INV</t>
        </is>
      </c>
      <c r="E1810" s="102" t="n">
        <v>122.29</v>
      </c>
      <c r="F1810" s="94" t="n">
        <v>2</v>
      </c>
      <c r="G1810" s="102" t="n">
        <v>0</v>
      </c>
      <c r="H1810" s="94" t="n">
        <v>0</v>
      </c>
    </row>
    <row r="1811" ht="15" customHeight="1" s="82">
      <c r="A1811" s="94" t="inlineStr">
        <is>
          <t>109 - Private Shops</t>
        </is>
      </c>
      <c r="B1811" s="94" t="inlineStr">
        <is>
          <t>C02270 טעם טבע של גיל</t>
        </is>
      </c>
      <c r="C1811" s="94" t="inlineStr">
        <is>
          <t>INV68401</t>
        </is>
      </c>
      <c r="D1811" s="94" t="inlineStr">
        <is>
          <t>INV</t>
        </is>
      </c>
      <c r="E1811" s="102" t="n">
        <v>0</v>
      </c>
      <c r="F1811" s="94" t="n">
        <v>0</v>
      </c>
      <c r="G1811" s="102" t="n">
        <v>112.3</v>
      </c>
      <c r="H1811" s="94" t="n">
        <v>3</v>
      </c>
    </row>
    <row r="1812" ht="15" customHeight="1" s="82">
      <c r="A1812" s="94" t="inlineStr">
        <is>
          <t>109 - Private Shops</t>
        </is>
      </c>
      <c r="B1812" s="94" t="inlineStr">
        <is>
          <t>C02270 טעם טבע של גיל</t>
        </is>
      </c>
      <c r="C1812" s="94" t="inlineStr">
        <is>
          <t>INV68551</t>
        </is>
      </c>
      <c r="D1812" s="94" t="inlineStr">
        <is>
          <t>INV</t>
        </is>
      </c>
      <c r="E1812" s="102" t="n">
        <v>0</v>
      </c>
      <c r="F1812" s="94" t="n">
        <v>0</v>
      </c>
      <c r="G1812" s="102" t="n">
        <v>109.65</v>
      </c>
      <c r="H1812" s="94" t="n">
        <v>2</v>
      </c>
    </row>
    <row r="1813" ht="15" customHeight="1" s="82">
      <c r="A1813" s="94" t="inlineStr">
        <is>
          <t>109 - Private Shops</t>
        </is>
      </c>
      <c r="B1813" s="94" t="inlineStr">
        <is>
          <t>C02270 טעם טבע של גיל</t>
        </is>
      </c>
      <c r="C1813" s="94" t="inlineStr">
        <is>
          <t>INV68759</t>
        </is>
      </c>
      <c r="D1813" s="94" t="inlineStr">
        <is>
          <t>INV</t>
        </is>
      </c>
      <c r="E1813" s="102" t="n">
        <v>0</v>
      </c>
      <c r="F1813" s="94" t="n">
        <v>0</v>
      </c>
      <c r="G1813" s="102" t="n">
        <v>109.65</v>
      </c>
      <c r="H1813" s="94" t="n">
        <v>2</v>
      </c>
    </row>
    <row r="1814" ht="15" customHeight="1" s="82">
      <c r="A1814" s="94" t="inlineStr">
        <is>
          <t>109 - Private Shops</t>
        </is>
      </c>
      <c r="B1814" s="94" t="inlineStr">
        <is>
          <t>C02270 טעם טבע של גיל</t>
        </is>
      </c>
      <c r="C1814" s="94" t="inlineStr">
        <is>
          <t>INV68130</t>
        </is>
      </c>
      <c r="D1814" s="94" t="inlineStr">
        <is>
          <t>INV</t>
        </is>
      </c>
      <c r="E1814" s="102" t="n">
        <v>0</v>
      </c>
      <c r="F1814" s="94" t="n">
        <v>0</v>
      </c>
      <c r="G1814" s="102" t="n">
        <v>109.65</v>
      </c>
      <c r="H1814" s="94" t="n">
        <v>2</v>
      </c>
    </row>
    <row r="1815" ht="15" customHeight="1" s="82">
      <c r="A1815" s="94" t="inlineStr">
        <is>
          <t>109 - Private Shops</t>
        </is>
      </c>
      <c r="B1815" s="94" t="inlineStr">
        <is>
          <t>C02270 טעם טבע של גיל</t>
        </is>
      </c>
      <c r="C1815" s="94" t="inlineStr">
        <is>
          <t>INV68312</t>
        </is>
      </c>
      <c r="D1815" s="94" t="inlineStr">
        <is>
          <t>INV</t>
        </is>
      </c>
      <c r="E1815" s="102" t="n">
        <v>0</v>
      </c>
      <c r="F1815" s="94" t="n">
        <v>0</v>
      </c>
      <c r="G1815" s="102" t="n">
        <v>100</v>
      </c>
      <c r="H1815" s="94" t="n">
        <v>1</v>
      </c>
    </row>
    <row r="1816" ht="15" customHeight="1" s="82">
      <c r="A1816" s="94" t="inlineStr">
        <is>
          <t>109 - Private Shops</t>
        </is>
      </c>
      <c r="B1816" s="94" t="inlineStr">
        <is>
          <t>C02270 טעם טבע של גיל</t>
        </is>
      </c>
      <c r="C1816" s="94" t="inlineStr">
        <is>
          <t>INV55482</t>
        </is>
      </c>
      <c r="D1816" s="94" t="inlineStr">
        <is>
          <t>INV</t>
        </is>
      </c>
      <c r="E1816" s="102" t="n">
        <v>95</v>
      </c>
      <c r="F1816" s="94" t="n">
        <v>2</v>
      </c>
      <c r="G1816" s="102" t="n">
        <v>0</v>
      </c>
      <c r="H1816" s="94" t="n">
        <v>0</v>
      </c>
    </row>
    <row r="1817" ht="15" customHeight="1" s="82">
      <c r="A1817" s="94" t="inlineStr">
        <is>
          <t>109 - Private Shops</t>
        </is>
      </c>
      <c r="B1817" s="94" t="inlineStr">
        <is>
          <t>C02270 טעם טבע של גיל</t>
        </is>
      </c>
      <c r="C1817" s="94" t="inlineStr">
        <is>
          <t>INV64624</t>
        </is>
      </c>
      <c r="D1817" s="94" t="inlineStr">
        <is>
          <t>INV</t>
        </is>
      </c>
      <c r="E1817" s="102" t="n">
        <v>39.79</v>
      </c>
      <c r="F1817" s="94" t="n">
        <v>1</v>
      </c>
      <c r="G1817" s="102" t="n">
        <v>0</v>
      </c>
      <c r="H1817" s="94" t="n">
        <v>0</v>
      </c>
    </row>
    <row r="1818" ht="15" customHeight="1" s="82">
      <c r="A1818" s="94" t="inlineStr">
        <is>
          <t>109 - Private Shops</t>
        </is>
      </c>
      <c r="B1818" s="94" t="inlineStr">
        <is>
          <t>C02270 טעם טבע של גיל</t>
        </is>
      </c>
      <c r="C1818" s="94" t="inlineStr">
        <is>
          <t>CM44560</t>
        </is>
      </c>
      <c r="D1818" s="94" t="inlineStr">
        <is>
          <t>CM</t>
        </is>
      </c>
      <c r="E1818" s="102" t="n">
        <v>0</v>
      </c>
      <c r="F1818" s="94" t="n">
        <v>0</v>
      </c>
      <c r="G1818" s="102" t="n">
        <v>-248.49</v>
      </c>
      <c r="H1818" s="94" t="n">
        <v>-3</v>
      </c>
    </row>
    <row r="1819" ht="15" customHeight="1" s="82">
      <c r="A1819" s="94" t="inlineStr">
        <is>
          <t>109 - Private Shops</t>
        </is>
      </c>
      <c r="B1819" s="94" t="inlineStr">
        <is>
          <t>C02270 טעם טבע של גיל</t>
        </is>
      </c>
      <c r="C1819" s="94" t="inlineStr">
        <is>
          <t>CM44679</t>
        </is>
      </c>
      <c r="D1819" s="94" t="inlineStr">
        <is>
          <t>CM</t>
        </is>
      </c>
      <c r="E1819" s="102" t="n">
        <v>0</v>
      </c>
      <c r="F1819" s="94" t="n">
        <v>0</v>
      </c>
      <c r="G1819" s="102" t="n">
        <v>-270</v>
      </c>
      <c r="H1819" s="94" t="n">
        <v>-3</v>
      </c>
    </row>
    <row r="1820" ht="15" customHeight="1" s="82">
      <c r="A1820" s="94" t="inlineStr">
        <is>
          <t>109 - Private Shops</t>
        </is>
      </c>
      <c r="B1820" s="94" t="inlineStr">
        <is>
          <t>C02270 טעם טבע של גיל</t>
        </is>
      </c>
      <c r="C1820" s="94" t="inlineStr">
        <is>
          <t>CM44561</t>
        </is>
      </c>
      <c r="D1820" s="94" t="inlineStr">
        <is>
          <t>CM</t>
        </is>
      </c>
      <c r="E1820" s="102" t="n">
        <v>0</v>
      </c>
      <c r="F1820" s="94" t="n">
        <v>0</v>
      </c>
      <c r="G1820" s="102" t="n">
        <v>-900</v>
      </c>
      <c r="H1820" s="94" t="n">
        <v>-9</v>
      </c>
    </row>
    <row r="1821" ht="15" customHeight="1" s="82">
      <c r="A1821" s="94" t="inlineStr">
        <is>
          <t>109 - Private Shops</t>
        </is>
      </c>
      <c r="B1821" s="94" t="inlineStr">
        <is>
          <t>C02270 טעם טבע של גיל</t>
        </is>
      </c>
      <c r="C1821" s="94" t="inlineStr">
        <is>
          <t>CM44382</t>
        </is>
      </c>
      <c r="D1821" s="94" t="inlineStr">
        <is>
          <t>CM</t>
        </is>
      </c>
      <c r="E1821" s="102" t="n">
        <v>0</v>
      </c>
      <c r="F1821" s="94" t="n">
        <v>0</v>
      </c>
      <c r="G1821" s="102" t="n">
        <v>-900</v>
      </c>
      <c r="H1821" s="94" t="n">
        <v>-9</v>
      </c>
    </row>
    <row r="1822" ht="15" customHeight="1" s="82">
      <c r="A1822" s="94" t="inlineStr">
        <is>
          <t>109 - Private Shops</t>
        </is>
      </c>
      <c r="B1822" s="94" t="inlineStr">
        <is>
          <t>C02270 טעם טבע של גיל</t>
        </is>
      </c>
      <c r="C1822" s="94" t="inlineStr">
        <is>
          <t>CM44288</t>
        </is>
      </c>
      <c r="D1822" s="94" t="inlineStr">
        <is>
          <t>CM</t>
        </is>
      </c>
      <c r="E1822" s="102" t="n">
        <v>0</v>
      </c>
      <c r="F1822" s="94" t="n">
        <v>0</v>
      </c>
      <c r="G1822" s="102" t="n">
        <v>-1000</v>
      </c>
      <c r="H1822" s="94" t="n">
        <v>-10</v>
      </c>
    </row>
    <row r="1823" ht="15" customHeight="1" s="82">
      <c r="A1823" s="94" t="inlineStr">
        <is>
          <t>109 - Private Shops</t>
        </is>
      </c>
      <c r="B1823" s="94" t="inlineStr">
        <is>
          <t>C02276 ריאן עלא סלימאן</t>
        </is>
      </c>
      <c r="C1823" s="94" t="inlineStr">
        <is>
          <t>INV40372</t>
        </is>
      </c>
      <c r="D1823" s="94" t="inlineStr">
        <is>
          <t>INV</t>
        </is>
      </c>
      <c r="E1823" s="102" t="n">
        <v>427.41</v>
      </c>
      <c r="F1823" s="94" t="n">
        <v>18</v>
      </c>
      <c r="G1823" s="102" t="n">
        <v>0</v>
      </c>
      <c r="H1823" s="94" t="n">
        <v>0</v>
      </c>
    </row>
    <row r="1824" ht="15" customHeight="1" s="82">
      <c r="A1824" s="94" t="inlineStr">
        <is>
          <t>109 - Private Shops</t>
        </is>
      </c>
      <c r="B1824" s="94" t="inlineStr">
        <is>
          <t>C02287 זינתי מעבוכ ניווין</t>
        </is>
      </c>
      <c r="C1824" s="94" t="inlineStr">
        <is>
          <t>INV52568</t>
        </is>
      </c>
      <c r="D1824" s="94" t="inlineStr">
        <is>
          <t>INV</t>
        </is>
      </c>
      <c r="E1824" s="102" t="n">
        <v>2004.19</v>
      </c>
      <c r="F1824" s="94" t="n">
        <v>32</v>
      </c>
      <c r="G1824" s="102" t="n">
        <v>0</v>
      </c>
      <c r="H1824" s="94" t="n">
        <v>0</v>
      </c>
    </row>
    <row r="1825" ht="15" customHeight="1" s="82">
      <c r="A1825" s="94" t="inlineStr">
        <is>
          <t>105 - Pedicure Salons</t>
        </is>
      </c>
      <c r="B1825" s="94" t="inlineStr">
        <is>
          <t>150159 LES PIEDS DOUX</t>
        </is>
      </c>
      <c r="C1825" s="94" t="inlineStr">
        <is>
          <t>INV42285</t>
        </is>
      </c>
      <c r="D1825" s="94" t="inlineStr">
        <is>
          <t>INV</t>
        </is>
      </c>
      <c r="E1825" s="102" t="n">
        <v>1162.85</v>
      </c>
      <c r="F1825" s="94" t="n">
        <v>14</v>
      </c>
      <c r="G1825" s="102" t="n">
        <v>0</v>
      </c>
      <c r="H1825" s="94" t="n">
        <v>0</v>
      </c>
    </row>
    <row r="1826" ht="15" customHeight="1" s="82">
      <c r="A1826" s="94" t="inlineStr">
        <is>
          <t>105 - Pedicure Salons</t>
        </is>
      </c>
      <c r="B1826" s="94" t="inlineStr">
        <is>
          <t>150159 LES PIEDS DOUX</t>
        </is>
      </c>
      <c r="C1826" s="94" t="inlineStr">
        <is>
          <t>INV68046</t>
        </is>
      </c>
      <c r="D1826" s="94" t="inlineStr">
        <is>
          <t>INV</t>
        </is>
      </c>
      <c r="E1826" s="102" t="n">
        <v>0</v>
      </c>
      <c r="F1826" s="94" t="n">
        <v>0</v>
      </c>
      <c r="G1826" s="102" t="n">
        <v>1106.56</v>
      </c>
      <c r="H1826" s="94" t="n">
        <v>13</v>
      </c>
    </row>
    <row r="1827" ht="15" customHeight="1" s="82">
      <c r="A1827" s="94" t="inlineStr">
        <is>
          <t>105 - Pedicure Salons</t>
        </is>
      </c>
      <c r="B1827" s="94" t="inlineStr">
        <is>
          <t>150159 LES PIEDS DOUX</t>
        </is>
      </c>
      <c r="C1827" s="94" t="inlineStr">
        <is>
          <t>INV68795</t>
        </is>
      </c>
      <c r="D1827" s="94" t="inlineStr">
        <is>
          <t>INV</t>
        </is>
      </c>
      <c r="E1827" s="102" t="n">
        <v>0</v>
      </c>
      <c r="F1827" s="94" t="n">
        <v>0</v>
      </c>
      <c r="G1827" s="102" t="n">
        <v>1099.89</v>
      </c>
      <c r="H1827" s="94" t="n">
        <v>13</v>
      </c>
    </row>
    <row r="1828" ht="15" customHeight="1" s="82">
      <c r="A1828" s="94" t="inlineStr">
        <is>
          <t>105 - Pedicure Salons</t>
        </is>
      </c>
      <c r="B1828" s="94" t="inlineStr">
        <is>
          <t>150159 LES PIEDS DOUX</t>
        </is>
      </c>
      <c r="C1828" s="94" t="inlineStr">
        <is>
          <t>INV59568</t>
        </is>
      </c>
      <c r="D1828" s="94" t="inlineStr">
        <is>
          <t>INV</t>
        </is>
      </c>
      <c r="E1828" s="102" t="n">
        <v>850.4</v>
      </c>
      <c r="F1828" s="94" t="n">
        <v>10</v>
      </c>
      <c r="G1828" s="102" t="n">
        <v>0</v>
      </c>
      <c r="H1828" s="94" t="n">
        <v>0</v>
      </c>
    </row>
    <row r="1829" ht="15" customHeight="1" s="82">
      <c r="A1829" s="94" t="inlineStr">
        <is>
          <t>105 - Pedicure Salons</t>
        </is>
      </c>
      <c r="B1829" s="94" t="inlineStr">
        <is>
          <t>150289 רות אסתטיק</t>
        </is>
      </c>
      <c r="C1829" s="94" t="inlineStr">
        <is>
          <t>INV67301</t>
        </is>
      </c>
      <c r="D1829" s="94" t="inlineStr">
        <is>
          <t>INV</t>
        </is>
      </c>
      <c r="E1829" s="102" t="n">
        <v>0</v>
      </c>
      <c r="F1829" s="94" t="n">
        <v>0</v>
      </c>
      <c r="G1829" s="102" t="n">
        <v>810.6</v>
      </c>
      <c r="H1829" s="94" t="n">
        <v>21</v>
      </c>
    </row>
    <row r="1830" ht="15" customHeight="1" s="82">
      <c r="A1830" s="94" t="inlineStr">
        <is>
          <t>105 - Pedicure Salons</t>
        </is>
      </c>
      <c r="B1830" s="94" t="inlineStr">
        <is>
          <t>150289 רות אסתטיק</t>
        </is>
      </c>
      <c r="C1830" s="94" t="inlineStr">
        <is>
          <t>INV69131</t>
        </is>
      </c>
      <c r="D1830" s="94" t="inlineStr">
        <is>
          <t>INV</t>
        </is>
      </c>
      <c r="E1830" s="102" t="n">
        <v>0</v>
      </c>
      <c r="F1830" s="94" t="n">
        <v>0</v>
      </c>
      <c r="G1830" s="102" t="n">
        <v>728.87</v>
      </c>
      <c r="H1830" s="94" t="n">
        <v>23</v>
      </c>
    </row>
    <row r="1831" ht="15" customHeight="1" s="82">
      <c r="A1831" s="94" t="inlineStr">
        <is>
          <t>105 - Pedicure Salons</t>
        </is>
      </c>
      <c r="B1831" s="94" t="inlineStr">
        <is>
          <t>150289 רות אסתטיק</t>
        </is>
      </c>
      <c r="C1831" s="94" t="inlineStr">
        <is>
          <t>INV66234</t>
        </is>
      </c>
      <c r="D1831" s="94" t="inlineStr">
        <is>
          <t>INV</t>
        </is>
      </c>
      <c r="E1831" s="102" t="n">
        <v>669.74</v>
      </c>
      <c r="F1831" s="94" t="n">
        <v>26</v>
      </c>
      <c r="G1831" s="102" t="n">
        <v>0</v>
      </c>
      <c r="H1831" s="94" t="n">
        <v>0</v>
      </c>
    </row>
    <row r="1832" ht="15" customHeight="1" s="82">
      <c r="A1832" s="94" t="inlineStr">
        <is>
          <t>105 - Pedicure Salons</t>
        </is>
      </c>
      <c r="B1832" s="94" t="inlineStr">
        <is>
          <t>150289 רות אסתטיק</t>
        </is>
      </c>
      <c r="C1832" s="94" t="inlineStr">
        <is>
          <t>INV46031</t>
        </is>
      </c>
      <c r="D1832" s="94" t="inlineStr">
        <is>
          <t>INV</t>
        </is>
      </c>
      <c r="E1832" s="102" t="n">
        <v>569.45</v>
      </c>
      <c r="F1832" s="94" t="n">
        <v>26</v>
      </c>
      <c r="G1832" s="102" t="n">
        <v>0</v>
      </c>
      <c r="H1832" s="94" t="n">
        <v>0</v>
      </c>
    </row>
    <row r="1833" ht="15" customHeight="1" s="82">
      <c r="A1833" s="94" t="inlineStr">
        <is>
          <t>105 - Pedicure Salons</t>
        </is>
      </c>
      <c r="B1833" s="94" t="inlineStr">
        <is>
          <t>150289 רות אסתטיק</t>
        </is>
      </c>
      <c r="C1833" s="94" t="inlineStr">
        <is>
          <t>INV68697</t>
        </is>
      </c>
      <c r="D1833" s="94" t="inlineStr">
        <is>
          <t>INV</t>
        </is>
      </c>
      <c r="E1833" s="102" t="n">
        <v>0</v>
      </c>
      <c r="F1833" s="94" t="n">
        <v>0</v>
      </c>
      <c r="G1833" s="102" t="n">
        <v>559.1</v>
      </c>
      <c r="H1833" s="94" t="n">
        <v>27</v>
      </c>
    </row>
    <row r="1834" ht="15" customHeight="1" s="82">
      <c r="A1834" s="94" t="inlineStr">
        <is>
          <t>105 - Pedicure Salons</t>
        </is>
      </c>
      <c r="B1834" s="94" t="inlineStr">
        <is>
          <t>150289 רות אסתטיק</t>
        </is>
      </c>
      <c r="C1834" s="94" t="inlineStr">
        <is>
          <t>INV57489</t>
        </is>
      </c>
      <c r="D1834" s="94" t="inlineStr">
        <is>
          <t>INV</t>
        </is>
      </c>
      <c r="E1834" s="102" t="n">
        <v>394.44</v>
      </c>
      <c r="F1834" s="94" t="n">
        <v>18</v>
      </c>
      <c r="G1834" s="102" t="n">
        <v>0</v>
      </c>
      <c r="H1834" s="94" t="n">
        <v>0</v>
      </c>
    </row>
    <row r="1835" ht="15" customHeight="1" s="82">
      <c r="A1835" s="94" t="inlineStr">
        <is>
          <t>105 - Pedicure Salons</t>
        </is>
      </c>
      <c r="B1835" s="94" t="inlineStr">
        <is>
          <t>151082 טובול מיכל</t>
        </is>
      </c>
      <c r="C1835" s="94" t="inlineStr">
        <is>
          <t>INV66674</t>
        </is>
      </c>
      <c r="D1835" s="94" t="inlineStr">
        <is>
          <t>INV</t>
        </is>
      </c>
      <c r="E1835" s="102" t="n">
        <v>498.8</v>
      </c>
      <c r="F1835" s="94" t="n">
        <v>20</v>
      </c>
      <c r="G1835" s="102" t="n">
        <v>0</v>
      </c>
      <c r="H1835" s="94" t="n">
        <v>0</v>
      </c>
    </row>
    <row r="1836" ht="15" customHeight="1" s="82">
      <c r="A1836" s="94" t="inlineStr">
        <is>
          <t>107 - Pharmacies</t>
        </is>
      </c>
      <c r="B1836" s="94" t="inlineStr">
        <is>
          <t>151178 ב.מ טוטאל פארם להבות חביב</t>
        </is>
      </c>
      <c r="C1836" s="94" t="inlineStr">
        <is>
          <t>INV69090</t>
        </is>
      </c>
      <c r="D1836" s="94" t="inlineStr">
        <is>
          <t>INV</t>
        </is>
      </c>
      <c r="E1836" s="102" t="n">
        <v>0</v>
      </c>
      <c r="F1836" s="94" t="n">
        <v>0</v>
      </c>
      <c r="G1836" s="102" t="n">
        <v>1275.65</v>
      </c>
      <c r="H1836" s="94" t="n">
        <v>16</v>
      </c>
    </row>
    <row r="1837" ht="15" customHeight="1" s="82">
      <c r="A1837" s="94" t="inlineStr">
        <is>
          <t>107 - Pharmacies</t>
        </is>
      </c>
      <c r="B1837" s="94" t="inlineStr">
        <is>
          <t>151178 ב.מ טוטאל פארם להבות חביב</t>
        </is>
      </c>
      <c r="C1837" s="94" t="inlineStr">
        <is>
          <t>INV68690</t>
        </is>
      </c>
      <c r="D1837" s="94" t="inlineStr">
        <is>
          <t>INV</t>
        </is>
      </c>
      <c r="E1837" s="102" t="n">
        <v>0</v>
      </c>
      <c r="F1837" s="94" t="n">
        <v>0</v>
      </c>
      <c r="G1837" s="102" t="n">
        <v>1196.88</v>
      </c>
      <c r="H1837" s="94" t="n">
        <v>17</v>
      </c>
    </row>
    <row r="1838" ht="15" customHeight="1" s="82">
      <c r="A1838" s="94" t="inlineStr">
        <is>
          <t>107 - Pharmacies</t>
        </is>
      </c>
      <c r="B1838" s="94" t="inlineStr">
        <is>
          <t>151178 ב.מ טוטאל פארם להבות חביב</t>
        </is>
      </c>
      <c r="C1838" s="94" t="inlineStr">
        <is>
          <t>INV67174</t>
        </is>
      </c>
      <c r="D1838" s="94" t="inlineStr">
        <is>
          <t>INV</t>
        </is>
      </c>
      <c r="E1838" s="102" t="n">
        <v>0</v>
      </c>
      <c r="F1838" s="94" t="n">
        <v>0</v>
      </c>
      <c r="G1838" s="102" t="n">
        <v>1188.86</v>
      </c>
      <c r="H1838" s="94" t="n">
        <v>27</v>
      </c>
    </row>
    <row r="1839" ht="15" customHeight="1" s="82">
      <c r="A1839" s="94" t="inlineStr">
        <is>
          <t>107 - Pharmacies</t>
        </is>
      </c>
      <c r="B1839" s="94" t="inlineStr">
        <is>
          <t>151178 ב.מ טוטאל פארם להבות חביב</t>
        </is>
      </c>
      <c r="C1839" s="94" t="inlineStr">
        <is>
          <t>INV68629</t>
        </is>
      </c>
      <c r="D1839" s="94" t="inlineStr">
        <is>
          <t>INV</t>
        </is>
      </c>
      <c r="E1839" s="102" t="n">
        <v>0</v>
      </c>
      <c r="F1839" s="94" t="n">
        <v>0</v>
      </c>
      <c r="G1839" s="102" t="n">
        <v>1130.65</v>
      </c>
      <c r="H1839" s="94" t="n">
        <v>25</v>
      </c>
    </row>
    <row r="1840" ht="15" customHeight="1" s="82">
      <c r="A1840" s="94" t="inlineStr">
        <is>
          <t>107 - Pharmacies</t>
        </is>
      </c>
      <c r="B1840" s="94" t="inlineStr">
        <is>
          <t>151178 ב.מ טוטאל פארם להבות חביב</t>
        </is>
      </c>
      <c r="C1840" s="94" t="inlineStr">
        <is>
          <t>INV43590</t>
        </is>
      </c>
      <c r="D1840" s="94" t="inlineStr">
        <is>
          <t>INV</t>
        </is>
      </c>
      <c r="E1840" s="102" t="n">
        <v>1076.26</v>
      </c>
      <c r="F1840" s="94" t="n">
        <v>67</v>
      </c>
      <c r="G1840" s="102" t="n">
        <v>0</v>
      </c>
      <c r="H1840" s="94" t="n">
        <v>0</v>
      </c>
    </row>
    <row r="1841" ht="15" customHeight="1" s="82">
      <c r="A1841" s="94" t="inlineStr">
        <is>
          <t>107 - Pharmacies</t>
        </is>
      </c>
      <c r="B1841" s="94" t="inlineStr">
        <is>
          <t>151178 ב.מ טוטאל פארם להבות חביב</t>
        </is>
      </c>
      <c r="C1841" s="94" t="inlineStr">
        <is>
          <t>INV68519</t>
        </is>
      </c>
      <c r="D1841" s="94" t="inlineStr">
        <is>
          <t>INV</t>
        </is>
      </c>
      <c r="E1841" s="102" t="n">
        <v>0</v>
      </c>
      <c r="F1841" s="94" t="n">
        <v>0</v>
      </c>
      <c r="G1841" s="102" t="n">
        <v>1066.72</v>
      </c>
      <c r="H1841" s="94" t="n">
        <v>12</v>
      </c>
    </row>
    <row r="1842" ht="15" customHeight="1" s="82">
      <c r="A1842" s="94" t="inlineStr">
        <is>
          <t>107 - Pharmacies</t>
        </is>
      </c>
      <c r="B1842" s="94" t="inlineStr">
        <is>
          <t>151178 ב.מ טוטאל פארם להבות חביב</t>
        </is>
      </c>
      <c r="C1842" s="94" t="inlineStr">
        <is>
          <t>INV57735</t>
        </is>
      </c>
      <c r="D1842" s="94" t="inlineStr">
        <is>
          <t>INV</t>
        </is>
      </c>
      <c r="E1842" s="102" t="n">
        <v>1035.78</v>
      </c>
      <c r="F1842" s="94" t="n">
        <v>24</v>
      </c>
      <c r="G1842" s="102" t="n">
        <v>0</v>
      </c>
      <c r="H1842" s="94" t="n">
        <v>0</v>
      </c>
    </row>
    <row r="1843" ht="15" customHeight="1" s="82">
      <c r="A1843" s="94" t="inlineStr">
        <is>
          <t>107 - Pharmacies</t>
        </is>
      </c>
      <c r="B1843" s="94" t="inlineStr">
        <is>
          <t>151178 ב.מ טוטאל פארם להבות חביב</t>
        </is>
      </c>
      <c r="C1843" s="94" t="inlineStr">
        <is>
          <t>INV66549</t>
        </is>
      </c>
      <c r="D1843" s="94" t="inlineStr">
        <is>
          <t>INV</t>
        </is>
      </c>
      <c r="E1843" s="102" t="n">
        <v>1030.54</v>
      </c>
      <c r="F1843" s="94" t="n">
        <v>26</v>
      </c>
      <c r="G1843" s="102" t="n">
        <v>0</v>
      </c>
      <c r="H1843" s="94" t="n">
        <v>0</v>
      </c>
    </row>
    <row r="1844" ht="15" customHeight="1" s="82">
      <c r="A1844" s="94" t="inlineStr">
        <is>
          <t>107 - Pharmacies</t>
        </is>
      </c>
      <c r="B1844" s="94" t="inlineStr">
        <is>
          <t>151178 ב.מ טוטאל פארם להבות חביב</t>
        </is>
      </c>
      <c r="C1844" s="94" t="inlineStr">
        <is>
          <t>INV67098</t>
        </is>
      </c>
      <c r="D1844" s="94" t="inlineStr">
        <is>
          <t>INV</t>
        </is>
      </c>
      <c r="E1844" s="102" t="n">
        <v>892.42</v>
      </c>
      <c r="F1844" s="94" t="n">
        <v>21</v>
      </c>
      <c r="G1844" s="102" t="n">
        <v>0</v>
      </c>
      <c r="H1844" s="94" t="n">
        <v>0</v>
      </c>
    </row>
    <row r="1845" ht="15" customHeight="1" s="82">
      <c r="A1845" s="94" t="inlineStr">
        <is>
          <t>107 - Pharmacies</t>
        </is>
      </c>
      <c r="B1845" s="94" t="inlineStr">
        <is>
          <t>151178 ב.מ טוטאל פארם להבות חביב</t>
        </is>
      </c>
      <c r="C1845" s="94" t="inlineStr">
        <is>
          <t>INV67041</t>
        </is>
      </c>
      <c r="D1845" s="94" t="inlineStr">
        <is>
          <t>INV</t>
        </is>
      </c>
      <c r="E1845" s="102" t="n">
        <v>892.15</v>
      </c>
      <c r="F1845" s="94" t="n">
        <v>28</v>
      </c>
      <c r="G1845" s="102" t="n">
        <v>0</v>
      </c>
      <c r="H1845" s="94" t="n">
        <v>0</v>
      </c>
    </row>
    <row r="1846" ht="15" customHeight="1" s="82">
      <c r="A1846" s="94" t="inlineStr">
        <is>
          <t>107 - Pharmacies</t>
        </is>
      </c>
      <c r="B1846" s="94" t="inlineStr">
        <is>
          <t>151178 ב.מ טוטאל פארם להבות חביב</t>
        </is>
      </c>
      <c r="C1846" s="94" t="inlineStr">
        <is>
          <t>INV48083</t>
        </is>
      </c>
      <c r="D1846" s="94" t="inlineStr">
        <is>
          <t>INV</t>
        </is>
      </c>
      <c r="E1846" s="102" t="n">
        <v>882.0700000000001</v>
      </c>
      <c r="F1846" s="94" t="n">
        <v>22</v>
      </c>
      <c r="G1846" s="102" t="n">
        <v>0</v>
      </c>
      <c r="H1846" s="94" t="n">
        <v>0</v>
      </c>
    </row>
    <row r="1847" ht="15" customHeight="1" s="82">
      <c r="A1847" s="94" t="inlineStr">
        <is>
          <t>107 - Pharmacies</t>
        </is>
      </c>
      <c r="B1847" s="94" t="inlineStr">
        <is>
          <t>151178 ב.מ טוטאל פארם להבות חביב</t>
        </is>
      </c>
      <c r="C1847" s="94" t="inlineStr">
        <is>
          <t>INV41674</t>
        </is>
      </c>
      <c r="D1847" s="94" t="inlineStr">
        <is>
          <t>INV</t>
        </is>
      </c>
      <c r="E1847" s="102" t="n">
        <v>848.65</v>
      </c>
      <c r="F1847" s="94" t="n">
        <v>25</v>
      </c>
      <c r="G1847" s="102" t="n">
        <v>0</v>
      </c>
      <c r="H1847" s="94" t="n">
        <v>0</v>
      </c>
    </row>
    <row r="1848" ht="15" customHeight="1" s="82">
      <c r="A1848" s="94" t="inlineStr">
        <is>
          <t>107 - Pharmacies</t>
        </is>
      </c>
      <c r="B1848" s="94" t="inlineStr">
        <is>
          <t>151178 ב.מ טוטאל פארם להבות חביב</t>
        </is>
      </c>
      <c r="C1848" s="94" t="inlineStr">
        <is>
          <t>INV68758</t>
        </is>
      </c>
      <c r="D1848" s="94" t="inlineStr">
        <is>
          <t>INV</t>
        </is>
      </c>
      <c r="E1848" s="102" t="n">
        <v>0</v>
      </c>
      <c r="F1848" s="94" t="n">
        <v>0</v>
      </c>
      <c r="G1848" s="102" t="n">
        <v>758.54</v>
      </c>
      <c r="H1848" s="94" t="n">
        <v>17</v>
      </c>
    </row>
    <row r="1849" ht="15" customHeight="1" s="82">
      <c r="A1849" s="94" t="inlineStr">
        <is>
          <t>107 - Pharmacies</t>
        </is>
      </c>
      <c r="B1849" s="94" t="inlineStr">
        <is>
          <t>151178 ב.מ טוטאל פארם להבות חביב</t>
        </is>
      </c>
      <c r="C1849" s="94" t="inlineStr">
        <is>
          <t>INV68923</t>
        </is>
      </c>
      <c r="D1849" s="94" t="inlineStr">
        <is>
          <t>INV</t>
        </is>
      </c>
      <c r="E1849" s="102" t="n">
        <v>0</v>
      </c>
      <c r="F1849" s="94" t="n">
        <v>0</v>
      </c>
      <c r="G1849" s="102" t="n">
        <v>751.9400000000001</v>
      </c>
      <c r="H1849" s="94" t="n">
        <v>18</v>
      </c>
    </row>
    <row r="1850" ht="15" customHeight="1" s="82">
      <c r="A1850" s="94" t="inlineStr">
        <is>
          <t>107 - Pharmacies</t>
        </is>
      </c>
      <c r="B1850" s="94" t="inlineStr">
        <is>
          <t>151178 ב.מ טוטאל פארם להבות חביב</t>
        </is>
      </c>
      <c r="C1850" s="94" t="inlineStr">
        <is>
          <t>INV68862</t>
        </is>
      </c>
      <c r="D1850" s="94" t="inlineStr">
        <is>
          <t>INV</t>
        </is>
      </c>
      <c r="E1850" s="102" t="n">
        <v>0</v>
      </c>
      <c r="F1850" s="94" t="n">
        <v>0</v>
      </c>
      <c r="G1850" s="102" t="n">
        <v>747.36</v>
      </c>
      <c r="H1850" s="94" t="n">
        <v>12</v>
      </c>
    </row>
    <row r="1851" ht="15" customHeight="1" s="82">
      <c r="A1851" s="94" t="inlineStr">
        <is>
          <t>107 - Pharmacies</t>
        </is>
      </c>
      <c r="B1851" s="94" t="inlineStr">
        <is>
          <t>151178 ב.מ טוטאל פארם להבות חביב</t>
        </is>
      </c>
      <c r="C1851" s="94" t="inlineStr">
        <is>
          <t>INV64471</t>
        </is>
      </c>
      <c r="D1851" s="94" t="inlineStr">
        <is>
          <t>INV</t>
        </is>
      </c>
      <c r="E1851" s="102" t="n">
        <v>732.78</v>
      </c>
      <c r="F1851" s="94" t="n">
        <v>17</v>
      </c>
      <c r="G1851" s="102" t="n">
        <v>0</v>
      </c>
      <c r="H1851" s="94" t="n">
        <v>0</v>
      </c>
    </row>
    <row r="1852" ht="15" customHeight="1" s="82">
      <c r="A1852" s="94" t="inlineStr">
        <is>
          <t>107 - Pharmacies</t>
        </is>
      </c>
      <c r="B1852" s="94" t="inlineStr">
        <is>
          <t>151178 ב.מ טוטאל פארם להבות חביב</t>
        </is>
      </c>
      <c r="C1852" s="94" t="inlineStr">
        <is>
          <t>INV57017</t>
        </is>
      </c>
      <c r="D1852" s="94" t="inlineStr">
        <is>
          <t>INV</t>
        </is>
      </c>
      <c r="E1852" s="102" t="n">
        <v>719.79</v>
      </c>
      <c r="F1852" s="94" t="n">
        <v>14</v>
      </c>
      <c r="G1852" s="102" t="n">
        <v>0</v>
      </c>
      <c r="H1852" s="94" t="n">
        <v>0</v>
      </c>
    </row>
    <row r="1853" ht="15" customHeight="1" s="82">
      <c r="A1853" s="94" t="inlineStr">
        <is>
          <t>107 - Pharmacies</t>
        </is>
      </c>
      <c r="B1853" s="94" t="inlineStr">
        <is>
          <t>151178 ב.מ טוטאל פארם להבות חביב</t>
        </is>
      </c>
      <c r="C1853" s="94" t="inlineStr">
        <is>
          <t>INV65657</t>
        </is>
      </c>
      <c r="D1853" s="94" t="inlineStr">
        <is>
          <t>INV</t>
        </is>
      </c>
      <c r="E1853" s="102" t="n">
        <v>679.15</v>
      </c>
      <c r="F1853" s="94" t="n">
        <v>21</v>
      </c>
      <c r="G1853" s="102" t="n">
        <v>0</v>
      </c>
      <c r="H1853" s="94" t="n">
        <v>0</v>
      </c>
    </row>
    <row r="1854" ht="15" customHeight="1" s="82">
      <c r="A1854" s="94" t="inlineStr">
        <is>
          <t>107 - Pharmacies</t>
        </is>
      </c>
      <c r="B1854" s="94" t="inlineStr">
        <is>
          <t>151178 ב.מ טוטאל פארם להבות חביב</t>
        </is>
      </c>
      <c r="C1854" s="94" t="inlineStr">
        <is>
          <t>INV67688</t>
        </is>
      </c>
      <c r="D1854" s="94" t="inlineStr">
        <is>
          <t>INV</t>
        </is>
      </c>
      <c r="E1854" s="102" t="n">
        <v>0</v>
      </c>
      <c r="F1854" s="94" t="n">
        <v>0</v>
      </c>
      <c r="G1854" s="102" t="n">
        <v>670</v>
      </c>
      <c r="H1854" s="94" t="n">
        <v>19</v>
      </c>
    </row>
    <row r="1855" ht="15" customHeight="1" s="82">
      <c r="A1855" s="94" t="inlineStr">
        <is>
          <t>107 - Pharmacies</t>
        </is>
      </c>
      <c r="B1855" s="94" t="inlineStr">
        <is>
          <t>151178 ב.מ טוטאל פארם להבות חביב</t>
        </is>
      </c>
      <c r="C1855" s="94" t="inlineStr">
        <is>
          <t>INV68027</t>
        </is>
      </c>
      <c r="D1855" s="94" t="inlineStr">
        <is>
          <t>INV</t>
        </is>
      </c>
      <c r="E1855" s="102" t="n">
        <v>0</v>
      </c>
      <c r="F1855" s="94" t="n">
        <v>0</v>
      </c>
      <c r="G1855" s="102" t="n">
        <v>640.85</v>
      </c>
      <c r="H1855" s="94" t="n">
        <v>18</v>
      </c>
    </row>
    <row r="1856" ht="15" customHeight="1" s="82">
      <c r="A1856" s="94" t="inlineStr">
        <is>
          <t>107 - Pharmacies</t>
        </is>
      </c>
      <c r="B1856" s="94" t="inlineStr">
        <is>
          <t>151178 ב.מ טוטאל פארם להבות חביב</t>
        </is>
      </c>
      <c r="C1856" s="94" t="inlineStr">
        <is>
          <t>INV65920</t>
        </is>
      </c>
      <c r="D1856" s="94" t="inlineStr">
        <is>
          <t>INV</t>
        </is>
      </c>
      <c r="E1856" s="102" t="n">
        <v>633.41</v>
      </c>
      <c r="F1856" s="94" t="n">
        <v>17</v>
      </c>
      <c r="G1856" s="102" t="n">
        <v>0</v>
      </c>
      <c r="H1856" s="94" t="n">
        <v>0</v>
      </c>
    </row>
    <row r="1857" ht="15" customHeight="1" s="82">
      <c r="A1857" s="94" t="inlineStr">
        <is>
          <t>107 - Pharmacies</t>
        </is>
      </c>
      <c r="B1857" s="94" t="inlineStr">
        <is>
          <t>151178 ב.מ טוטאל פארם להבות חביב</t>
        </is>
      </c>
      <c r="C1857" s="94" t="inlineStr">
        <is>
          <t>INV66980</t>
        </is>
      </c>
      <c r="D1857" s="94" t="inlineStr">
        <is>
          <t>INV</t>
        </is>
      </c>
      <c r="E1857" s="102" t="n">
        <v>616</v>
      </c>
      <c r="F1857" s="94" t="n">
        <v>18</v>
      </c>
      <c r="G1857" s="102" t="n">
        <v>0</v>
      </c>
      <c r="H1857" s="94" t="n">
        <v>0</v>
      </c>
    </row>
    <row r="1858" ht="15" customHeight="1" s="82">
      <c r="A1858" s="94" t="inlineStr">
        <is>
          <t>107 - Pharmacies</t>
        </is>
      </c>
      <c r="B1858" s="94" t="inlineStr">
        <is>
          <t>151178 ב.מ טוטאל פארם להבות חביב</t>
        </is>
      </c>
      <c r="C1858" s="94" t="inlineStr">
        <is>
          <t>INV69136</t>
        </is>
      </c>
      <c r="D1858" s="94" t="inlineStr">
        <is>
          <t>INV</t>
        </is>
      </c>
      <c r="E1858" s="102" t="n">
        <v>0</v>
      </c>
      <c r="F1858" s="94" t="n">
        <v>0</v>
      </c>
      <c r="G1858" s="102" t="n">
        <v>564.64</v>
      </c>
      <c r="H1858" s="94" t="n">
        <v>14</v>
      </c>
    </row>
    <row r="1859" ht="15" customHeight="1" s="82">
      <c r="A1859" s="94" t="inlineStr">
        <is>
          <t>107 - Pharmacies</t>
        </is>
      </c>
      <c r="B1859" s="94" t="inlineStr">
        <is>
          <t>151178 ב.מ טוטאל פארם להבות חביב</t>
        </is>
      </c>
      <c r="C1859" s="94" t="inlineStr">
        <is>
          <t>INV69250</t>
        </is>
      </c>
      <c r="D1859" s="94" t="inlineStr">
        <is>
          <t>INV</t>
        </is>
      </c>
      <c r="E1859" s="102" t="n">
        <v>0</v>
      </c>
      <c r="F1859" s="94" t="n">
        <v>0</v>
      </c>
      <c r="G1859" s="102" t="n">
        <v>564.61</v>
      </c>
      <c r="H1859" s="94" t="n">
        <v>18</v>
      </c>
    </row>
    <row r="1860" ht="15" customHeight="1" s="82">
      <c r="A1860" s="94" t="inlineStr">
        <is>
          <t>107 - Pharmacies</t>
        </is>
      </c>
      <c r="B1860" s="94" t="inlineStr">
        <is>
          <t>151178 ב.מ טוטאל פארם להבות חביב</t>
        </is>
      </c>
      <c r="C1860" s="94" t="inlineStr">
        <is>
          <t>INV59185</t>
        </is>
      </c>
      <c r="D1860" s="94" t="inlineStr">
        <is>
          <t>INV</t>
        </is>
      </c>
      <c r="E1860" s="102" t="n">
        <v>541.86</v>
      </c>
      <c r="F1860" s="94" t="n">
        <v>10</v>
      </c>
      <c r="G1860" s="102" t="n">
        <v>0</v>
      </c>
      <c r="H1860" s="94" t="n">
        <v>0</v>
      </c>
    </row>
    <row r="1861" ht="15" customHeight="1" s="82">
      <c r="A1861" s="94" t="inlineStr">
        <is>
          <t>107 - Pharmacies</t>
        </is>
      </c>
      <c r="B1861" s="94" t="inlineStr">
        <is>
          <t>151178 ב.מ טוטאל פארם להבות חביב</t>
        </is>
      </c>
      <c r="C1861" s="94" t="inlineStr">
        <is>
          <t>INV54071</t>
        </is>
      </c>
      <c r="D1861" s="94" t="inlineStr">
        <is>
          <t>INV</t>
        </is>
      </c>
      <c r="E1861" s="102" t="n">
        <v>532.78</v>
      </c>
      <c r="F1861" s="94" t="n">
        <v>13</v>
      </c>
      <c r="G1861" s="102" t="n">
        <v>0</v>
      </c>
      <c r="H1861" s="94" t="n">
        <v>0</v>
      </c>
    </row>
    <row r="1862" ht="15" customHeight="1" s="82">
      <c r="A1862" s="94" t="inlineStr">
        <is>
          <t>107 - Pharmacies</t>
        </is>
      </c>
      <c r="B1862" s="94" t="inlineStr">
        <is>
          <t>151178 ב.מ טוטאל פארם להבות חביב</t>
        </is>
      </c>
      <c r="C1862" s="94" t="inlineStr">
        <is>
          <t>INV52572</t>
        </is>
      </c>
      <c r="D1862" s="94" t="inlineStr">
        <is>
          <t>INV</t>
        </is>
      </c>
      <c r="E1862" s="102" t="n">
        <v>531.75</v>
      </c>
      <c r="F1862" s="94" t="n">
        <v>16</v>
      </c>
      <c r="G1862" s="102" t="n">
        <v>0</v>
      </c>
      <c r="H1862" s="94" t="n">
        <v>0</v>
      </c>
    </row>
    <row r="1863" ht="15" customHeight="1" s="82">
      <c r="A1863" s="94" t="inlineStr">
        <is>
          <t>107 - Pharmacies</t>
        </is>
      </c>
      <c r="B1863" s="94" t="inlineStr">
        <is>
          <t>151178 ב.מ טוטאל פארם להבות חביב</t>
        </is>
      </c>
      <c r="C1863" s="94" t="inlineStr">
        <is>
          <t>INV68811</t>
        </is>
      </c>
      <c r="D1863" s="94" t="inlineStr">
        <is>
          <t>INV</t>
        </is>
      </c>
      <c r="E1863" s="102" t="n">
        <v>0</v>
      </c>
      <c r="F1863" s="94" t="n">
        <v>0</v>
      </c>
      <c r="G1863" s="102" t="n">
        <v>497.76</v>
      </c>
      <c r="H1863" s="94" t="n">
        <v>12</v>
      </c>
    </row>
    <row r="1864" ht="15" customHeight="1" s="82">
      <c r="A1864" s="94" t="inlineStr">
        <is>
          <t>107 - Pharmacies</t>
        </is>
      </c>
      <c r="B1864" s="94" t="inlineStr">
        <is>
          <t>151178 ב.מ טוטאל פארם להבות חביב</t>
        </is>
      </c>
      <c r="C1864" s="94" t="inlineStr">
        <is>
          <t>INV68957</t>
        </is>
      </c>
      <c r="D1864" s="94" t="inlineStr">
        <is>
          <t>INV</t>
        </is>
      </c>
      <c r="E1864" s="102" t="n">
        <v>0</v>
      </c>
      <c r="F1864" s="94" t="n">
        <v>0</v>
      </c>
      <c r="G1864" s="102" t="n">
        <v>491.83</v>
      </c>
      <c r="H1864" s="94" t="n">
        <v>7</v>
      </c>
    </row>
    <row r="1865" ht="15" customHeight="1" s="82">
      <c r="A1865" s="94" t="inlineStr">
        <is>
          <t>107 - Pharmacies</t>
        </is>
      </c>
      <c r="B1865" s="94" t="inlineStr">
        <is>
          <t>151178 ב.מ טוטאל פארם להבות חביב</t>
        </is>
      </c>
      <c r="C1865" s="94" t="inlineStr">
        <is>
          <t>INV69206</t>
        </is>
      </c>
      <c r="D1865" s="94" t="inlineStr">
        <is>
          <t>INV</t>
        </is>
      </c>
      <c r="E1865" s="102" t="n">
        <v>0</v>
      </c>
      <c r="F1865" s="94" t="n">
        <v>0</v>
      </c>
      <c r="G1865" s="102" t="n">
        <v>463.25</v>
      </c>
      <c r="H1865" s="94" t="n">
        <v>7</v>
      </c>
    </row>
    <row r="1866" ht="15" customHeight="1" s="82">
      <c r="A1866" s="94" t="inlineStr">
        <is>
          <t>107 - Pharmacies</t>
        </is>
      </c>
      <c r="B1866" s="94" t="inlineStr">
        <is>
          <t>151178 ב.מ טוטאל פארם להבות חביב</t>
        </is>
      </c>
      <c r="C1866" s="94" t="inlineStr">
        <is>
          <t>INV69159</t>
        </is>
      </c>
      <c r="D1866" s="94" t="inlineStr">
        <is>
          <t>INV</t>
        </is>
      </c>
      <c r="E1866" s="102" t="n">
        <v>0</v>
      </c>
      <c r="F1866" s="94" t="n">
        <v>0</v>
      </c>
      <c r="G1866" s="102" t="n">
        <v>461.9</v>
      </c>
      <c r="H1866" s="94" t="n">
        <v>7</v>
      </c>
    </row>
    <row r="1867" ht="15" customHeight="1" s="82">
      <c r="A1867" s="94" t="inlineStr">
        <is>
          <t>107 - Pharmacies</t>
        </is>
      </c>
      <c r="B1867" s="94" t="inlineStr">
        <is>
          <t>151178 ב.מ טוטאל פארם להבות חביב</t>
        </is>
      </c>
      <c r="C1867" s="94" t="inlineStr">
        <is>
          <t>INV66759</t>
        </is>
      </c>
      <c r="D1867" s="94" t="inlineStr">
        <is>
          <t>INV</t>
        </is>
      </c>
      <c r="E1867" s="102" t="n">
        <v>457.57</v>
      </c>
      <c r="F1867" s="94" t="n">
        <v>8</v>
      </c>
      <c r="G1867" s="102" t="n">
        <v>0</v>
      </c>
      <c r="H1867" s="94" t="n">
        <v>0</v>
      </c>
    </row>
    <row r="1868" ht="15" customHeight="1" s="82">
      <c r="A1868" s="94" t="inlineStr">
        <is>
          <t>107 - Pharmacies</t>
        </is>
      </c>
      <c r="B1868" s="94" t="inlineStr">
        <is>
          <t>151178 ב.מ טוטאל פארם להבות חביב</t>
        </is>
      </c>
      <c r="C1868" s="94" t="inlineStr">
        <is>
          <t>INV68783</t>
        </is>
      </c>
      <c r="D1868" s="94" t="inlineStr">
        <is>
          <t>INV</t>
        </is>
      </c>
      <c r="E1868" s="102" t="n">
        <v>0</v>
      </c>
      <c r="F1868" s="94" t="n">
        <v>0</v>
      </c>
      <c r="G1868" s="102" t="n">
        <v>445.12</v>
      </c>
      <c r="H1868" s="94" t="n">
        <v>6</v>
      </c>
    </row>
    <row r="1869" ht="15" customHeight="1" s="82">
      <c r="A1869" s="94" t="inlineStr">
        <is>
          <t>107 - Pharmacies</t>
        </is>
      </c>
      <c r="B1869" s="94" t="inlineStr">
        <is>
          <t>151178 ב.מ טוטאל פארם להבות חביב</t>
        </is>
      </c>
      <c r="C1869" s="94" t="inlineStr">
        <is>
          <t>INV51745</t>
        </is>
      </c>
      <c r="D1869" s="94" t="inlineStr">
        <is>
          <t>INV</t>
        </is>
      </c>
      <c r="E1869" s="102" t="n">
        <v>414.69</v>
      </c>
      <c r="F1869" s="94" t="n">
        <v>13</v>
      </c>
      <c r="G1869" s="102" t="n">
        <v>0</v>
      </c>
      <c r="H1869" s="94" t="n">
        <v>0</v>
      </c>
    </row>
    <row r="1870" ht="15" customHeight="1" s="82">
      <c r="A1870" s="94" t="inlineStr">
        <is>
          <t>107 - Pharmacies</t>
        </is>
      </c>
      <c r="B1870" s="94" t="inlineStr">
        <is>
          <t>151178 ב.מ טוטאל פארם להבות חביב</t>
        </is>
      </c>
      <c r="C1870" s="94" t="inlineStr">
        <is>
          <t>INV66150</t>
        </is>
      </c>
      <c r="D1870" s="94" t="inlineStr">
        <is>
          <t>INV</t>
        </is>
      </c>
      <c r="E1870" s="102" t="n">
        <v>410.56</v>
      </c>
      <c r="F1870" s="94" t="n">
        <v>11</v>
      </c>
      <c r="G1870" s="102" t="n">
        <v>0</v>
      </c>
      <c r="H1870" s="94" t="n">
        <v>0</v>
      </c>
    </row>
    <row r="1871" ht="15" customHeight="1" s="82">
      <c r="A1871" s="94" t="inlineStr">
        <is>
          <t>107 - Pharmacies</t>
        </is>
      </c>
      <c r="B1871" s="94" t="inlineStr">
        <is>
          <t>151178 ב.מ טוטאל פארם להבות חביב</t>
        </is>
      </c>
      <c r="C1871" s="94" t="inlineStr">
        <is>
          <t>INV52619</t>
        </is>
      </c>
      <c r="D1871" s="94" t="inlineStr">
        <is>
          <t>INV</t>
        </is>
      </c>
      <c r="E1871" s="102" t="n">
        <v>406.36</v>
      </c>
      <c r="F1871" s="94" t="n">
        <v>11</v>
      </c>
      <c r="G1871" s="102" t="n">
        <v>0</v>
      </c>
      <c r="H1871" s="94" t="n">
        <v>0</v>
      </c>
    </row>
    <row r="1872" ht="15" customHeight="1" s="82">
      <c r="A1872" s="94" t="inlineStr">
        <is>
          <t>107 - Pharmacies</t>
        </is>
      </c>
      <c r="B1872" s="94" t="inlineStr">
        <is>
          <t>151178 ב.מ טוטאל פארם להבות חביב</t>
        </is>
      </c>
      <c r="C1872" s="94" t="inlineStr">
        <is>
          <t>INV66608</t>
        </is>
      </c>
      <c r="D1872" s="94" t="inlineStr">
        <is>
          <t>INV</t>
        </is>
      </c>
      <c r="E1872" s="102" t="n">
        <v>405.16</v>
      </c>
      <c r="F1872" s="94" t="n">
        <v>6</v>
      </c>
      <c r="G1872" s="102" t="n">
        <v>0</v>
      </c>
      <c r="H1872" s="94" t="n">
        <v>0</v>
      </c>
    </row>
    <row r="1873" ht="15" customHeight="1" s="82">
      <c r="A1873" s="94" t="inlineStr">
        <is>
          <t>107 - Pharmacies</t>
        </is>
      </c>
      <c r="B1873" s="94" t="inlineStr">
        <is>
          <t>151178 ב.מ טוטאל פארם להבות חביב</t>
        </is>
      </c>
      <c r="C1873" s="94" t="inlineStr">
        <is>
          <t>INV68347</t>
        </is>
      </c>
      <c r="D1873" s="94" t="inlineStr">
        <is>
          <t>INV</t>
        </is>
      </c>
      <c r="E1873" s="102" t="n">
        <v>0</v>
      </c>
      <c r="F1873" s="94" t="n">
        <v>0</v>
      </c>
      <c r="G1873" s="102" t="n">
        <v>399.33</v>
      </c>
      <c r="H1873" s="94" t="n">
        <v>11</v>
      </c>
    </row>
    <row r="1874" ht="15" customHeight="1" s="82">
      <c r="A1874" s="94" t="inlineStr">
        <is>
          <t>107 - Pharmacies</t>
        </is>
      </c>
      <c r="B1874" s="94" t="inlineStr">
        <is>
          <t>151178 ב.מ טוטאל פארם להבות חביב</t>
        </is>
      </c>
      <c r="C1874" s="94" t="inlineStr">
        <is>
          <t>INV61647</t>
        </is>
      </c>
      <c r="D1874" s="94" t="inlineStr">
        <is>
          <t>INV</t>
        </is>
      </c>
      <c r="E1874" s="102" t="n">
        <v>391.39</v>
      </c>
      <c r="F1874" s="94" t="n">
        <v>10</v>
      </c>
      <c r="G1874" s="102" t="n">
        <v>0</v>
      </c>
      <c r="H1874" s="94" t="n">
        <v>0</v>
      </c>
    </row>
    <row r="1875" ht="15" customHeight="1" s="82">
      <c r="A1875" s="94" t="inlineStr">
        <is>
          <t>107 - Pharmacies</t>
        </is>
      </c>
      <c r="B1875" s="94" t="inlineStr">
        <is>
          <t>151178 ב.מ טוטאל פארם להבות חביב</t>
        </is>
      </c>
      <c r="C1875" s="94" t="inlineStr">
        <is>
          <t>INV63540</t>
        </is>
      </c>
      <c r="D1875" s="94" t="inlineStr">
        <is>
          <t>INV</t>
        </is>
      </c>
      <c r="E1875" s="102" t="n">
        <v>379.03</v>
      </c>
      <c r="F1875" s="94" t="n">
        <v>16</v>
      </c>
      <c r="G1875" s="102" t="n">
        <v>0</v>
      </c>
      <c r="H1875" s="94" t="n">
        <v>0</v>
      </c>
    </row>
    <row r="1876" ht="15" customHeight="1" s="82">
      <c r="A1876" s="94" t="inlineStr">
        <is>
          <t>107 - Pharmacies</t>
        </is>
      </c>
      <c r="B1876" s="94" t="inlineStr">
        <is>
          <t>151178 ב.מ טוטאל פארם להבות חביב</t>
        </is>
      </c>
      <c r="C1876" s="94" t="inlineStr">
        <is>
          <t>INV67533</t>
        </is>
      </c>
      <c r="D1876" s="94" t="inlineStr">
        <is>
          <t>INV</t>
        </is>
      </c>
      <c r="E1876" s="102" t="n">
        <v>0</v>
      </c>
      <c r="F1876" s="94" t="n">
        <v>0</v>
      </c>
      <c r="G1876" s="102" t="n">
        <v>375.4</v>
      </c>
      <c r="H1876" s="94" t="n">
        <v>11</v>
      </c>
    </row>
    <row r="1877" ht="15" customHeight="1" s="82">
      <c r="A1877" s="94" t="inlineStr">
        <is>
          <t>107 - Pharmacies</t>
        </is>
      </c>
      <c r="B1877" s="94" t="inlineStr">
        <is>
          <t>151178 ב.מ טוטאל פארם להבות חביב</t>
        </is>
      </c>
      <c r="C1877" s="94" t="inlineStr">
        <is>
          <t>INV68699</t>
        </is>
      </c>
      <c r="D1877" s="94" t="inlineStr">
        <is>
          <t>INV</t>
        </is>
      </c>
      <c r="E1877" s="102" t="n">
        <v>0</v>
      </c>
      <c r="F1877" s="94" t="n">
        <v>0</v>
      </c>
      <c r="G1877" s="102" t="n">
        <v>375.05</v>
      </c>
      <c r="H1877" s="94" t="n">
        <v>9</v>
      </c>
    </row>
    <row r="1878" ht="15" customHeight="1" s="82">
      <c r="A1878" s="94" t="inlineStr">
        <is>
          <t>107 - Pharmacies</t>
        </is>
      </c>
      <c r="B1878" s="94" t="inlineStr">
        <is>
          <t>151178 ב.מ טוטאל פארם להבות חביב</t>
        </is>
      </c>
      <c r="C1878" s="94" t="inlineStr">
        <is>
          <t>INV67506</t>
        </is>
      </c>
      <c r="D1878" s="94" t="inlineStr">
        <is>
          <t>INV</t>
        </is>
      </c>
      <c r="E1878" s="102" t="n">
        <v>0</v>
      </c>
      <c r="F1878" s="94" t="n">
        <v>0</v>
      </c>
      <c r="G1878" s="102" t="n">
        <v>375</v>
      </c>
      <c r="H1878" s="94" t="n">
        <v>5</v>
      </c>
    </row>
    <row r="1879" ht="15" customHeight="1" s="82">
      <c r="A1879" s="94" t="inlineStr">
        <is>
          <t>107 - Pharmacies</t>
        </is>
      </c>
      <c r="B1879" s="94" t="inlineStr">
        <is>
          <t>151178 ב.מ טוטאל פארם להבות חביב</t>
        </is>
      </c>
      <c r="C1879" s="94" t="inlineStr">
        <is>
          <t>INV61681</t>
        </is>
      </c>
      <c r="D1879" s="94" t="inlineStr">
        <is>
          <t>INV</t>
        </is>
      </c>
      <c r="E1879" s="102" t="n">
        <v>361.54</v>
      </c>
      <c r="F1879" s="94" t="n">
        <v>7</v>
      </c>
      <c r="G1879" s="102" t="n">
        <v>0</v>
      </c>
      <c r="H1879" s="94" t="n">
        <v>0</v>
      </c>
    </row>
    <row r="1880" ht="15" customHeight="1" s="82">
      <c r="A1880" s="94" t="inlineStr">
        <is>
          <t>107 - Pharmacies</t>
        </is>
      </c>
      <c r="B1880" s="94" t="inlineStr">
        <is>
          <t>151178 ב.מ טוטאל פארם להבות חביב</t>
        </is>
      </c>
      <c r="C1880" s="94" t="inlineStr">
        <is>
          <t>INV68346</t>
        </is>
      </c>
      <c r="D1880" s="94" t="inlineStr">
        <is>
          <t>INV</t>
        </is>
      </c>
      <c r="E1880" s="102" t="n">
        <v>0</v>
      </c>
      <c r="F1880" s="94" t="n">
        <v>0</v>
      </c>
      <c r="G1880" s="102" t="n">
        <v>360</v>
      </c>
      <c r="H1880" s="94" t="n">
        <v>3</v>
      </c>
    </row>
    <row r="1881" ht="15" customHeight="1" s="82">
      <c r="A1881" s="94" t="inlineStr">
        <is>
          <t>107 - Pharmacies</t>
        </is>
      </c>
      <c r="B1881" s="94" t="inlineStr">
        <is>
          <t>151178 ב.מ טוטאל פארם להבות חביב</t>
        </is>
      </c>
      <c r="C1881" s="94" t="inlineStr">
        <is>
          <t>INV67741</t>
        </is>
      </c>
      <c r="D1881" s="94" t="inlineStr">
        <is>
          <t>INV</t>
        </is>
      </c>
      <c r="E1881" s="102" t="n">
        <v>0</v>
      </c>
      <c r="F1881" s="94" t="n">
        <v>0</v>
      </c>
      <c r="G1881" s="102" t="n">
        <v>342.2</v>
      </c>
      <c r="H1881" s="94" t="n">
        <v>10</v>
      </c>
    </row>
    <row r="1882" ht="15" customHeight="1" s="82">
      <c r="A1882" s="94" t="inlineStr">
        <is>
          <t>107 - Pharmacies</t>
        </is>
      </c>
      <c r="B1882" s="94" t="inlineStr">
        <is>
          <t>151178 ב.מ טוטאל פארם להבות חביב</t>
        </is>
      </c>
      <c r="C1882" s="94" t="inlineStr">
        <is>
          <t>INV67455</t>
        </is>
      </c>
      <c r="D1882" s="94" t="inlineStr">
        <is>
          <t>INV</t>
        </is>
      </c>
      <c r="E1882" s="102" t="n">
        <v>0</v>
      </c>
      <c r="F1882" s="94" t="n">
        <v>0</v>
      </c>
      <c r="G1882" s="102" t="n">
        <v>333.28</v>
      </c>
      <c r="H1882" s="94" t="n">
        <v>10</v>
      </c>
    </row>
    <row r="1883" ht="15" customHeight="1" s="82">
      <c r="A1883" s="94" t="inlineStr">
        <is>
          <t>107 - Pharmacies</t>
        </is>
      </c>
      <c r="B1883" s="94" t="inlineStr">
        <is>
          <t>151178 ב.מ טוטאל פארם להבות חביב</t>
        </is>
      </c>
      <c r="C1883" s="94" t="inlineStr">
        <is>
          <t>INV40375</t>
        </is>
      </c>
      <c r="D1883" s="94" t="inlineStr">
        <is>
          <t>INV</t>
        </is>
      </c>
      <c r="E1883" s="102" t="n">
        <v>329.57</v>
      </c>
      <c r="F1883" s="94" t="n">
        <v>6</v>
      </c>
      <c r="G1883" s="102" t="n">
        <v>0</v>
      </c>
      <c r="H1883" s="94" t="n">
        <v>0</v>
      </c>
    </row>
    <row r="1884" ht="15" customHeight="1" s="82">
      <c r="A1884" s="94" t="inlineStr">
        <is>
          <t>107 - Pharmacies</t>
        </is>
      </c>
      <c r="B1884" s="94" t="inlineStr">
        <is>
          <t>151178 ב.מ טוטאל פארם להבות חביב</t>
        </is>
      </c>
      <c r="C1884" s="94" t="inlineStr">
        <is>
          <t>INV42299</t>
        </is>
      </c>
      <c r="D1884" s="94" t="inlineStr">
        <is>
          <t>INV</t>
        </is>
      </c>
      <c r="E1884" s="102" t="n">
        <v>317.53</v>
      </c>
      <c r="F1884" s="94" t="n">
        <v>9</v>
      </c>
      <c r="G1884" s="102" t="n">
        <v>0</v>
      </c>
      <c r="H1884" s="94" t="n">
        <v>0</v>
      </c>
    </row>
    <row r="1885" ht="15" customHeight="1" s="82">
      <c r="A1885" s="94" t="inlineStr">
        <is>
          <t>107 - Pharmacies</t>
        </is>
      </c>
      <c r="B1885" s="94" t="inlineStr">
        <is>
          <t>151178 ב.מ טוטאל פארם להבות חביב</t>
        </is>
      </c>
      <c r="C1885" s="94" t="inlineStr">
        <is>
          <t>INV68086</t>
        </is>
      </c>
      <c r="D1885" s="94" t="inlineStr">
        <is>
          <t>INV</t>
        </is>
      </c>
      <c r="E1885" s="102" t="n">
        <v>0</v>
      </c>
      <c r="F1885" s="94" t="n">
        <v>0</v>
      </c>
      <c r="G1885" s="102" t="n">
        <v>281.8</v>
      </c>
      <c r="H1885" s="94" t="n">
        <v>8</v>
      </c>
    </row>
    <row r="1886" ht="15" customHeight="1" s="82">
      <c r="A1886" s="94" t="inlineStr">
        <is>
          <t>107 - Pharmacies</t>
        </is>
      </c>
      <c r="B1886" s="94" t="inlineStr">
        <is>
          <t>151178 ב.מ טוטאל פארם להבות חביב</t>
        </is>
      </c>
      <c r="C1886" s="94" t="inlineStr">
        <is>
          <t>INV44202</t>
        </is>
      </c>
      <c r="D1886" s="94" t="inlineStr">
        <is>
          <t>INV</t>
        </is>
      </c>
      <c r="E1886" s="102" t="n">
        <v>267.9</v>
      </c>
      <c r="F1886" s="94" t="n">
        <v>10</v>
      </c>
      <c r="G1886" s="102" t="n">
        <v>0</v>
      </c>
      <c r="H1886" s="94" t="n">
        <v>0</v>
      </c>
    </row>
    <row r="1887" ht="15" customHeight="1" s="82">
      <c r="A1887" s="94" t="inlineStr">
        <is>
          <t>107 - Pharmacies</t>
        </is>
      </c>
      <c r="B1887" s="94" t="inlineStr">
        <is>
          <t>151178 ב.מ טוטאל פארם להבות חביב</t>
        </is>
      </c>
      <c r="C1887" s="94" t="inlineStr">
        <is>
          <t>INV66151</t>
        </is>
      </c>
      <c r="D1887" s="94" t="inlineStr">
        <is>
          <t>INV</t>
        </is>
      </c>
      <c r="E1887" s="102" t="n">
        <v>252</v>
      </c>
      <c r="F1887" s="94" t="n">
        <v>24</v>
      </c>
      <c r="G1887" s="102" t="n">
        <v>0</v>
      </c>
      <c r="H1887" s="94" t="n">
        <v>0</v>
      </c>
    </row>
    <row r="1888" ht="15" customHeight="1" s="82">
      <c r="A1888" s="94" t="inlineStr">
        <is>
          <t>107 - Pharmacies</t>
        </is>
      </c>
      <c r="B1888" s="94" t="inlineStr">
        <is>
          <t>151178 ב.מ טוטאל פארם להבות חביב</t>
        </is>
      </c>
      <c r="C1888" s="94" t="inlineStr">
        <is>
          <t>INV65658</t>
        </is>
      </c>
      <c r="D1888" s="94" t="inlineStr">
        <is>
          <t>INV</t>
        </is>
      </c>
      <c r="E1888" s="102" t="n">
        <v>45.46</v>
      </c>
      <c r="F1888" s="94" t="n">
        <v>1</v>
      </c>
      <c r="G1888" s="102" t="n">
        <v>0</v>
      </c>
      <c r="H1888" s="94" t="n">
        <v>0</v>
      </c>
    </row>
    <row r="1889" ht="15" customHeight="1" s="82">
      <c r="A1889" s="94" t="inlineStr">
        <is>
          <t>107 - Pharmacies</t>
        </is>
      </c>
      <c r="B1889" s="94" t="inlineStr">
        <is>
          <t>151178 ב.מ טוטאל פארם להבות חביב</t>
        </is>
      </c>
      <c r="C1889" s="94" t="inlineStr">
        <is>
          <t>INV64472</t>
        </is>
      </c>
      <c r="D1889" s="94" t="inlineStr">
        <is>
          <t>INV</t>
        </is>
      </c>
      <c r="E1889" s="102" t="n">
        <v>11.78</v>
      </c>
      <c r="F1889" s="94" t="n">
        <v>1</v>
      </c>
      <c r="G1889" s="102" t="n">
        <v>0</v>
      </c>
      <c r="H1889" s="94" t="n">
        <v>0</v>
      </c>
    </row>
    <row r="1890" ht="15" customHeight="1" s="82">
      <c r="A1890" s="94" t="inlineStr">
        <is>
          <t>107 - Pharmacies</t>
        </is>
      </c>
      <c r="B1890" s="94" t="inlineStr">
        <is>
          <t>151178 ב.מ טוטאל פארם להבות חביב</t>
        </is>
      </c>
      <c r="C1890" s="94" t="inlineStr">
        <is>
          <t>CM43365</t>
        </is>
      </c>
      <c r="D1890" s="94" t="inlineStr">
        <is>
          <t>CM</t>
        </is>
      </c>
      <c r="E1890" s="102" t="n">
        <v>-37.77</v>
      </c>
      <c r="F1890" s="94" t="n">
        <v>-1</v>
      </c>
      <c r="G1890" s="102" t="n">
        <v>0</v>
      </c>
      <c r="H1890" s="94" t="n">
        <v>0</v>
      </c>
    </row>
    <row r="1891" ht="15" customHeight="1" s="82">
      <c r="A1891" s="94" t="inlineStr">
        <is>
          <t>107 - Pharmacies</t>
        </is>
      </c>
      <c r="B1891" s="94" t="inlineStr">
        <is>
          <t>156137 מדי פארם ב.מ.</t>
        </is>
      </c>
      <c r="C1891" s="94" t="inlineStr">
        <is>
          <t>INV66672</t>
        </is>
      </c>
      <c r="D1891" s="94" t="inlineStr">
        <is>
          <t>INV</t>
        </is>
      </c>
      <c r="E1891" s="102" t="n">
        <v>3511.31</v>
      </c>
      <c r="F1891" s="94" t="n">
        <v>64</v>
      </c>
      <c r="G1891" s="102" t="n">
        <v>0</v>
      </c>
      <c r="H1891" s="94" t="n">
        <v>0</v>
      </c>
    </row>
    <row r="1892" ht="15" customHeight="1" s="82">
      <c r="A1892" s="94" t="inlineStr">
        <is>
          <t>107 - Pharmacies</t>
        </is>
      </c>
      <c r="B1892" s="94" t="inlineStr">
        <is>
          <t>156137 מדי פארם ב.מ.</t>
        </is>
      </c>
      <c r="C1892" s="94" t="inlineStr">
        <is>
          <t>INV40379</t>
        </is>
      </c>
      <c r="D1892" s="94" t="inlineStr">
        <is>
          <t>INV</t>
        </is>
      </c>
      <c r="E1892" s="102" t="n">
        <v>2524.22</v>
      </c>
      <c r="F1892" s="94" t="n">
        <v>29</v>
      </c>
      <c r="G1892" s="102" t="n">
        <v>0</v>
      </c>
      <c r="H1892" s="94" t="n">
        <v>0</v>
      </c>
    </row>
    <row r="1893" ht="15" customHeight="1" s="82">
      <c r="A1893" s="94" t="inlineStr">
        <is>
          <t>107 - Pharmacies</t>
        </is>
      </c>
      <c r="B1893" s="94" t="inlineStr">
        <is>
          <t>156137 מדי פארם ב.מ.</t>
        </is>
      </c>
      <c r="C1893" s="94" t="inlineStr">
        <is>
          <t>INV53617</t>
        </is>
      </c>
      <c r="D1893" s="94" t="inlineStr">
        <is>
          <t>INV</t>
        </is>
      </c>
      <c r="E1893" s="102" t="n">
        <v>1956.45</v>
      </c>
      <c r="F1893" s="94" t="n">
        <v>17</v>
      </c>
      <c r="G1893" s="102" t="n">
        <v>0</v>
      </c>
      <c r="H1893" s="94" t="n">
        <v>0</v>
      </c>
    </row>
    <row r="1894" ht="15" customHeight="1" s="82">
      <c r="A1894" s="94" t="inlineStr">
        <is>
          <t>107 - Pharmacies</t>
        </is>
      </c>
      <c r="B1894" s="94" t="inlineStr">
        <is>
          <t>156137 מדי פארם ב.מ.</t>
        </is>
      </c>
      <c r="C1894" s="94" t="inlineStr">
        <is>
          <t>INV66107</t>
        </is>
      </c>
      <c r="D1894" s="94" t="inlineStr">
        <is>
          <t>INV</t>
        </is>
      </c>
      <c r="E1894" s="102" t="n">
        <v>1738.57</v>
      </c>
      <c r="F1894" s="94" t="n">
        <v>15</v>
      </c>
      <c r="G1894" s="102" t="n">
        <v>0</v>
      </c>
      <c r="H1894" s="94" t="n">
        <v>0</v>
      </c>
    </row>
    <row r="1895" ht="15" customHeight="1" s="82">
      <c r="A1895" s="94" t="inlineStr">
        <is>
          <t>107 - Pharmacies</t>
        </is>
      </c>
      <c r="B1895" s="94" t="inlineStr">
        <is>
          <t>156137 מדי פארם ב.מ.</t>
        </is>
      </c>
      <c r="C1895" s="94" t="inlineStr">
        <is>
          <t>INV66176</t>
        </is>
      </c>
      <c r="D1895" s="94" t="inlineStr">
        <is>
          <t>INV</t>
        </is>
      </c>
      <c r="E1895" s="102" t="n">
        <v>1103.83</v>
      </c>
      <c r="F1895" s="94" t="n">
        <v>9</v>
      </c>
      <c r="G1895" s="102" t="n">
        <v>0</v>
      </c>
      <c r="H1895" s="94" t="n">
        <v>0</v>
      </c>
    </row>
    <row r="1896" ht="15" customHeight="1" s="82">
      <c r="A1896" s="94" t="inlineStr">
        <is>
          <t>107 - Pharmacies</t>
        </is>
      </c>
      <c r="B1896" s="94" t="inlineStr">
        <is>
          <t>156137 מדי פארם ב.מ.</t>
        </is>
      </c>
      <c r="C1896" s="94" t="inlineStr">
        <is>
          <t>INV66673</t>
        </is>
      </c>
      <c r="D1896" s="94" t="inlineStr">
        <is>
          <t>INV</t>
        </is>
      </c>
      <c r="E1896" s="102" t="n">
        <v>959.9</v>
      </c>
      <c r="F1896" s="94" t="n">
        <v>48</v>
      </c>
      <c r="G1896" s="102" t="n">
        <v>0</v>
      </c>
      <c r="H1896" s="94" t="n">
        <v>0</v>
      </c>
    </row>
    <row r="1897" ht="15" customHeight="1" s="82">
      <c r="A1897" s="94" t="inlineStr">
        <is>
          <t>107 - Pharmacies</t>
        </is>
      </c>
      <c r="B1897" s="94" t="inlineStr">
        <is>
          <t>156137 מדי פארם ב.מ.</t>
        </is>
      </c>
      <c r="C1897" s="94" t="inlineStr">
        <is>
          <t>INV54127</t>
        </is>
      </c>
      <c r="D1897" s="94" t="inlineStr">
        <is>
          <t>INV</t>
        </is>
      </c>
      <c r="E1897" s="102" t="n">
        <v>924.15</v>
      </c>
      <c r="F1897" s="94" t="n">
        <v>18</v>
      </c>
      <c r="G1897" s="102" t="n">
        <v>0</v>
      </c>
      <c r="H1897" s="94" t="n">
        <v>0</v>
      </c>
    </row>
    <row r="1898" ht="15" customHeight="1" s="82">
      <c r="A1898" s="94" t="inlineStr">
        <is>
          <t>107 - Pharmacies</t>
        </is>
      </c>
      <c r="B1898" s="94" t="inlineStr">
        <is>
          <t>156137 מדי פארם ב.מ.</t>
        </is>
      </c>
      <c r="C1898" s="94" t="inlineStr">
        <is>
          <t>INV66019</t>
        </is>
      </c>
      <c r="D1898" s="94" t="inlineStr">
        <is>
          <t>INV</t>
        </is>
      </c>
      <c r="E1898" s="102" t="n">
        <v>894.89</v>
      </c>
      <c r="F1898" s="94" t="n">
        <v>21</v>
      </c>
      <c r="G1898" s="102" t="n">
        <v>0</v>
      </c>
      <c r="H1898" s="94" t="n">
        <v>0</v>
      </c>
    </row>
    <row r="1899" ht="15" customHeight="1" s="82">
      <c r="A1899" s="94" t="inlineStr">
        <is>
          <t>107 - Pharmacies</t>
        </is>
      </c>
      <c r="B1899" s="94" t="inlineStr">
        <is>
          <t>156137 מדי פארם ב.מ.</t>
        </is>
      </c>
      <c r="C1899" s="94" t="inlineStr">
        <is>
          <t>INV59990</t>
        </is>
      </c>
      <c r="D1899" s="94" t="inlineStr">
        <is>
          <t>INV</t>
        </is>
      </c>
      <c r="E1899" s="102" t="n">
        <v>880.13</v>
      </c>
      <c r="F1899" s="94" t="n">
        <v>24</v>
      </c>
      <c r="G1899" s="102" t="n">
        <v>0</v>
      </c>
      <c r="H1899" s="94" t="n">
        <v>0</v>
      </c>
    </row>
    <row r="1900" ht="15" customHeight="1" s="82">
      <c r="A1900" s="94" t="inlineStr">
        <is>
          <t>107 - Pharmacies</t>
        </is>
      </c>
      <c r="B1900" s="94" t="inlineStr">
        <is>
          <t>156137 מדי פארם ב.מ.</t>
        </is>
      </c>
      <c r="C1900" s="94" t="inlineStr">
        <is>
          <t>INV66433</t>
        </is>
      </c>
      <c r="D1900" s="94" t="inlineStr">
        <is>
          <t>INV</t>
        </is>
      </c>
      <c r="E1900" s="102" t="n">
        <v>874.92</v>
      </c>
      <c r="F1900" s="94" t="n">
        <v>12</v>
      </c>
      <c r="G1900" s="102" t="n">
        <v>0</v>
      </c>
      <c r="H1900" s="94" t="n">
        <v>0</v>
      </c>
    </row>
    <row r="1901" ht="15" customHeight="1" s="82">
      <c r="A1901" s="94" t="inlineStr">
        <is>
          <t>107 - Pharmacies</t>
        </is>
      </c>
      <c r="B1901" s="94" t="inlineStr">
        <is>
          <t>156137 מדי פארם ב.מ.</t>
        </is>
      </c>
      <c r="C1901" s="94" t="inlineStr">
        <is>
          <t>INV66689</t>
        </is>
      </c>
      <c r="D1901" s="94" t="inlineStr">
        <is>
          <t>INV</t>
        </is>
      </c>
      <c r="E1901" s="102" t="n">
        <v>871.02</v>
      </c>
      <c r="F1901" s="94" t="n">
        <v>6</v>
      </c>
      <c r="G1901" s="102" t="n">
        <v>0</v>
      </c>
      <c r="H1901" s="94" t="n">
        <v>0</v>
      </c>
    </row>
    <row r="1902" ht="15" customHeight="1" s="82">
      <c r="A1902" s="94" t="inlineStr">
        <is>
          <t>107 - Pharmacies</t>
        </is>
      </c>
      <c r="B1902" s="94" t="inlineStr">
        <is>
          <t>156137 מדי פארם ב.מ.</t>
        </is>
      </c>
      <c r="C1902" s="94" t="inlineStr">
        <is>
          <t>INV64476</t>
        </is>
      </c>
      <c r="D1902" s="94" t="inlineStr">
        <is>
          <t>INV</t>
        </is>
      </c>
      <c r="E1902" s="102" t="n">
        <v>854.35</v>
      </c>
      <c r="F1902" s="94" t="n">
        <v>16</v>
      </c>
      <c r="G1902" s="102" t="n">
        <v>0</v>
      </c>
      <c r="H1902" s="94" t="n">
        <v>0</v>
      </c>
    </row>
    <row r="1903" ht="15" customHeight="1" s="82">
      <c r="A1903" s="94" t="inlineStr">
        <is>
          <t>107 - Pharmacies</t>
        </is>
      </c>
      <c r="B1903" s="94" t="inlineStr">
        <is>
          <t>156137 מדי פארם ב.מ.</t>
        </is>
      </c>
      <c r="C1903" s="94" t="inlineStr">
        <is>
          <t>INV52140</t>
        </is>
      </c>
      <c r="D1903" s="94" t="inlineStr">
        <is>
          <t>INV</t>
        </is>
      </c>
      <c r="E1903" s="102" t="n">
        <v>838.99</v>
      </c>
      <c r="F1903" s="94" t="n">
        <v>14</v>
      </c>
      <c r="G1903" s="102" t="n">
        <v>0</v>
      </c>
      <c r="H1903" s="94" t="n">
        <v>0</v>
      </c>
    </row>
    <row r="1904" ht="15" customHeight="1" s="82">
      <c r="A1904" s="94" t="inlineStr">
        <is>
          <t>107 - Pharmacies</t>
        </is>
      </c>
      <c r="B1904" s="94" t="inlineStr">
        <is>
          <t>156137 מדי פארם ב.מ.</t>
        </is>
      </c>
      <c r="C1904" s="94" t="inlineStr">
        <is>
          <t>INV67782</t>
        </is>
      </c>
      <c r="D1904" s="94" t="inlineStr">
        <is>
          <t>INV</t>
        </is>
      </c>
      <c r="E1904" s="102" t="n">
        <v>0</v>
      </c>
      <c r="F1904" s="94" t="n">
        <v>0</v>
      </c>
      <c r="G1904" s="102" t="n">
        <v>810.58</v>
      </c>
      <c r="H1904" s="94" t="n">
        <v>9</v>
      </c>
    </row>
    <row r="1905" ht="15" customHeight="1" s="82">
      <c r="A1905" s="94" t="inlineStr">
        <is>
          <t>107 - Pharmacies</t>
        </is>
      </c>
      <c r="B1905" s="94" t="inlineStr">
        <is>
          <t>156137 מדי פארם ב.מ.</t>
        </is>
      </c>
      <c r="C1905" s="94" t="inlineStr">
        <is>
          <t>INV57948</t>
        </is>
      </c>
      <c r="D1905" s="94" t="inlineStr">
        <is>
          <t>INV</t>
        </is>
      </c>
      <c r="E1905" s="102" t="n">
        <v>804.6900000000001</v>
      </c>
      <c r="F1905" s="94" t="n">
        <v>8</v>
      </c>
      <c r="G1905" s="102" t="n">
        <v>0</v>
      </c>
      <c r="H1905" s="94" t="n">
        <v>0</v>
      </c>
    </row>
    <row r="1906" ht="15" customHeight="1" s="82">
      <c r="A1906" s="94" t="inlineStr">
        <is>
          <t>107 - Pharmacies</t>
        </is>
      </c>
      <c r="B1906" s="94" t="inlineStr">
        <is>
          <t>156137 מדי פארם ב.מ.</t>
        </is>
      </c>
      <c r="C1906" s="94" t="inlineStr">
        <is>
          <t>INV66333</t>
        </is>
      </c>
      <c r="D1906" s="94" t="inlineStr">
        <is>
          <t>INV</t>
        </is>
      </c>
      <c r="E1906" s="102" t="n">
        <v>793.6900000000001</v>
      </c>
      <c r="F1906" s="94" t="n">
        <v>6</v>
      </c>
      <c r="G1906" s="102" t="n">
        <v>0</v>
      </c>
      <c r="H1906" s="94" t="n">
        <v>0</v>
      </c>
    </row>
    <row r="1907" ht="15" customHeight="1" s="82">
      <c r="A1907" s="94" t="inlineStr">
        <is>
          <t>107 - Pharmacies</t>
        </is>
      </c>
      <c r="B1907" s="94" t="inlineStr">
        <is>
          <t>156137 מדי פארם ב.מ.</t>
        </is>
      </c>
      <c r="C1907" s="94" t="inlineStr">
        <is>
          <t>INV42027</t>
        </is>
      </c>
      <c r="D1907" s="94" t="inlineStr">
        <is>
          <t>INV</t>
        </is>
      </c>
      <c r="E1907" s="102" t="n">
        <v>763.17</v>
      </c>
      <c r="F1907" s="94" t="n">
        <v>6</v>
      </c>
      <c r="G1907" s="102" t="n">
        <v>0</v>
      </c>
      <c r="H1907" s="94" t="n">
        <v>0</v>
      </c>
    </row>
    <row r="1908" ht="15" customHeight="1" s="82">
      <c r="A1908" s="94" t="inlineStr">
        <is>
          <t>107 - Pharmacies</t>
        </is>
      </c>
      <c r="B1908" s="94" t="inlineStr">
        <is>
          <t>156137 מדי פארם ב.מ.</t>
        </is>
      </c>
      <c r="C1908" s="94" t="inlineStr">
        <is>
          <t>INV44439</t>
        </is>
      </c>
      <c r="D1908" s="94" t="inlineStr">
        <is>
          <t>INV</t>
        </is>
      </c>
      <c r="E1908" s="102" t="n">
        <v>749.15</v>
      </c>
      <c r="F1908" s="94" t="n">
        <v>12</v>
      </c>
      <c r="G1908" s="102" t="n">
        <v>0</v>
      </c>
      <c r="H1908" s="94" t="n">
        <v>0</v>
      </c>
    </row>
    <row r="1909" ht="15" customHeight="1" s="82">
      <c r="A1909" s="94" t="inlineStr">
        <is>
          <t>107 - Pharmacies</t>
        </is>
      </c>
      <c r="B1909" s="94" t="inlineStr">
        <is>
          <t>156137 מדי פארם ב.מ.</t>
        </is>
      </c>
      <c r="C1909" s="94" t="inlineStr">
        <is>
          <t>INV60833</t>
        </is>
      </c>
      <c r="D1909" s="94" t="inlineStr">
        <is>
          <t>INV</t>
        </is>
      </c>
      <c r="E1909" s="102" t="n">
        <v>747.4</v>
      </c>
      <c r="F1909" s="94" t="n">
        <v>9</v>
      </c>
      <c r="G1909" s="102" t="n">
        <v>0</v>
      </c>
      <c r="H1909" s="94" t="n">
        <v>0</v>
      </c>
    </row>
    <row r="1910" ht="15" customHeight="1" s="82">
      <c r="A1910" s="94" t="inlineStr">
        <is>
          <t>107 - Pharmacies</t>
        </is>
      </c>
      <c r="B1910" s="94" t="inlineStr">
        <is>
          <t>156137 מדי פארם ב.מ.</t>
        </is>
      </c>
      <c r="C1910" s="94" t="inlineStr">
        <is>
          <t>INV61648</t>
        </is>
      </c>
      <c r="D1910" s="94" t="inlineStr">
        <is>
          <t>INV</t>
        </is>
      </c>
      <c r="E1910" s="102" t="n">
        <v>732.73</v>
      </c>
      <c r="F1910" s="94" t="n">
        <v>9</v>
      </c>
      <c r="G1910" s="102" t="n">
        <v>0</v>
      </c>
      <c r="H1910" s="94" t="n">
        <v>0</v>
      </c>
    </row>
    <row r="1911" ht="15" customHeight="1" s="82">
      <c r="A1911" s="94" t="inlineStr">
        <is>
          <t>107 - Pharmacies</t>
        </is>
      </c>
      <c r="B1911" s="94" t="inlineStr">
        <is>
          <t>156137 מדי פארם ב.מ.</t>
        </is>
      </c>
      <c r="C1911" s="94" t="inlineStr">
        <is>
          <t>INV54544</t>
        </is>
      </c>
      <c r="D1911" s="94" t="inlineStr">
        <is>
          <t>INV</t>
        </is>
      </c>
      <c r="E1911" s="102" t="n">
        <v>716.61</v>
      </c>
      <c r="F1911" s="94" t="n">
        <v>15</v>
      </c>
      <c r="G1911" s="102" t="n">
        <v>0</v>
      </c>
      <c r="H1911" s="94" t="n">
        <v>0</v>
      </c>
    </row>
    <row r="1912" ht="15" customHeight="1" s="82">
      <c r="A1912" s="94" t="inlineStr">
        <is>
          <t>107 - Pharmacies</t>
        </is>
      </c>
      <c r="B1912" s="94" t="inlineStr">
        <is>
          <t>156137 מדי פארם ב.מ.</t>
        </is>
      </c>
      <c r="C1912" s="94" t="inlineStr">
        <is>
          <t>INV62946</t>
        </is>
      </c>
      <c r="D1912" s="94" t="inlineStr">
        <is>
          <t>INV</t>
        </is>
      </c>
      <c r="E1912" s="102" t="n">
        <v>689.5</v>
      </c>
      <c r="F1912" s="94" t="n">
        <v>12</v>
      </c>
      <c r="G1912" s="102" t="n">
        <v>0</v>
      </c>
      <c r="H1912" s="94" t="n">
        <v>0</v>
      </c>
    </row>
    <row r="1913" ht="15" customHeight="1" s="82">
      <c r="A1913" s="94" t="inlineStr">
        <is>
          <t>107 - Pharmacies</t>
        </is>
      </c>
      <c r="B1913" s="94" t="inlineStr">
        <is>
          <t>156137 מדי פארם ב.מ.</t>
        </is>
      </c>
      <c r="C1913" s="94" t="inlineStr">
        <is>
          <t>INV60426</t>
        </is>
      </c>
      <c r="D1913" s="94" t="inlineStr">
        <is>
          <t>INV</t>
        </is>
      </c>
      <c r="E1913" s="102" t="n">
        <v>688.17</v>
      </c>
      <c r="F1913" s="94" t="n">
        <v>18</v>
      </c>
      <c r="G1913" s="102" t="n">
        <v>0</v>
      </c>
      <c r="H1913" s="94" t="n">
        <v>0</v>
      </c>
    </row>
    <row r="1914" ht="15" customHeight="1" s="82">
      <c r="A1914" s="94" t="inlineStr">
        <is>
          <t>107 - Pharmacies</t>
        </is>
      </c>
      <c r="B1914" s="94" t="inlineStr">
        <is>
          <t>156137 מדי פארם ב.מ.</t>
        </is>
      </c>
      <c r="C1914" s="94" t="inlineStr">
        <is>
          <t>INV57520</t>
        </is>
      </c>
      <c r="D1914" s="94" t="inlineStr">
        <is>
          <t>INV</t>
        </is>
      </c>
      <c r="E1914" s="102" t="n">
        <v>683.89</v>
      </c>
      <c r="F1914" s="94" t="n">
        <v>11</v>
      </c>
      <c r="G1914" s="102" t="n">
        <v>0</v>
      </c>
      <c r="H1914" s="94" t="n">
        <v>0</v>
      </c>
    </row>
    <row r="1915" ht="15" customHeight="1" s="82">
      <c r="A1915" s="94" t="inlineStr">
        <is>
          <t>107 - Pharmacies</t>
        </is>
      </c>
      <c r="B1915" s="94" t="inlineStr">
        <is>
          <t>156137 מדי פארם ב.מ.</t>
        </is>
      </c>
      <c r="C1915" s="94" t="inlineStr">
        <is>
          <t>INV42298</t>
        </is>
      </c>
      <c r="D1915" s="94" t="inlineStr">
        <is>
          <t>INV</t>
        </is>
      </c>
      <c r="E1915" s="102" t="n">
        <v>672.89</v>
      </c>
      <c r="F1915" s="94" t="n">
        <v>13</v>
      </c>
      <c r="G1915" s="102" t="n">
        <v>0</v>
      </c>
      <c r="H1915" s="94" t="n">
        <v>0</v>
      </c>
    </row>
    <row r="1916" ht="15" customHeight="1" s="82">
      <c r="A1916" s="94" t="inlineStr">
        <is>
          <t>107 - Pharmacies</t>
        </is>
      </c>
      <c r="B1916" s="94" t="inlineStr">
        <is>
          <t>156137 מדי פארם ב.מ.</t>
        </is>
      </c>
      <c r="C1916" s="94" t="inlineStr">
        <is>
          <t>INV65682</t>
        </is>
      </c>
      <c r="D1916" s="94" t="inlineStr">
        <is>
          <t>INV</t>
        </is>
      </c>
      <c r="E1916" s="102" t="n">
        <v>655.35</v>
      </c>
      <c r="F1916" s="94" t="n">
        <v>18</v>
      </c>
      <c r="G1916" s="102" t="n">
        <v>0</v>
      </c>
      <c r="H1916" s="94" t="n">
        <v>0</v>
      </c>
    </row>
    <row r="1917" ht="15" customHeight="1" s="82">
      <c r="A1917" s="94" t="inlineStr">
        <is>
          <t>107 - Pharmacies</t>
        </is>
      </c>
      <c r="B1917" s="94" t="inlineStr">
        <is>
          <t>156137 מדי פארם ב.מ.</t>
        </is>
      </c>
      <c r="C1917" s="94" t="inlineStr">
        <is>
          <t>INV53370</t>
        </is>
      </c>
      <c r="D1917" s="94" t="inlineStr">
        <is>
          <t>INV</t>
        </is>
      </c>
      <c r="E1917" s="102" t="n">
        <v>644.83</v>
      </c>
      <c r="F1917" s="94" t="n">
        <v>6</v>
      </c>
      <c r="G1917" s="102" t="n">
        <v>0</v>
      </c>
      <c r="H1917" s="94" t="n">
        <v>0</v>
      </c>
    </row>
    <row r="1918" ht="15" customHeight="1" s="82">
      <c r="A1918" s="94" t="inlineStr">
        <is>
          <t>107 - Pharmacies</t>
        </is>
      </c>
      <c r="B1918" s="94" t="inlineStr">
        <is>
          <t>156137 מדי פארם ב.מ.</t>
        </is>
      </c>
      <c r="C1918" s="94" t="inlineStr">
        <is>
          <t>INV47216</t>
        </is>
      </c>
      <c r="D1918" s="94" t="inlineStr">
        <is>
          <t>INV</t>
        </is>
      </c>
      <c r="E1918" s="102" t="n">
        <v>638.6900000000001</v>
      </c>
      <c r="F1918" s="94" t="n">
        <v>11</v>
      </c>
      <c r="G1918" s="102" t="n">
        <v>0</v>
      </c>
      <c r="H1918" s="94" t="n">
        <v>0</v>
      </c>
    </row>
    <row r="1919" ht="15" customHeight="1" s="82">
      <c r="A1919" s="94" t="inlineStr">
        <is>
          <t>107 - Pharmacies</t>
        </is>
      </c>
      <c r="B1919" s="94" t="inlineStr">
        <is>
          <t>156137 מדי פארם ב.מ.</t>
        </is>
      </c>
      <c r="C1919" s="94" t="inlineStr">
        <is>
          <t>INV42779</t>
        </is>
      </c>
      <c r="D1919" s="94" t="inlineStr">
        <is>
          <t>INV</t>
        </is>
      </c>
      <c r="E1919" s="102" t="n">
        <v>634.45</v>
      </c>
      <c r="F1919" s="94" t="n">
        <v>9</v>
      </c>
      <c r="G1919" s="102" t="n">
        <v>0</v>
      </c>
      <c r="H1919" s="94" t="n">
        <v>0</v>
      </c>
    </row>
    <row r="1920" ht="15" customHeight="1" s="82">
      <c r="A1920" s="94" t="inlineStr">
        <is>
          <t>107 - Pharmacies</t>
        </is>
      </c>
      <c r="B1920" s="94" t="inlineStr">
        <is>
          <t>156137 מדי פארם ב.מ.</t>
        </is>
      </c>
      <c r="C1920" s="94" t="inlineStr">
        <is>
          <t>INV47461</t>
        </is>
      </c>
      <c r="D1920" s="94" t="inlineStr">
        <is>
          <t>INV</t>
        </is>
      </c>
      <c r="E1920" s="102" t="n">
        <v>634.22</v>
      </c>
      <c r="F1920" s="94" t="n">
        <v>21</v>
      </c>
      <c r="G1920" s="102" t="n">
        <v>0</v>
      </c>
      <c r="H1920" s="94" t="n">
        <v>0</v>
      </c>
    </row>
    <row r="1921" ht="15" customHeight="1" s="82">
      <c r="A1921" s="94" t="inlineStr">
        <is>
          <t>107 - Pharmacies</t>
        </is>
      </c>
      <c r="B1921" s="94" t="inlineStr">
        <is>
          <t>156137 מדי פארם ב.מ.</t>
        </is>
      </c>
      <c r="C1921" s="94" t="inlineStr">
        <is>
          <t>INV43725</t>
        </is>
      </c>
      <c r="D1921" s="94" t="inlineStr">
        <is>
          <t>INV</t>
        </is>
      </c>
      <c r="E1921" s="102" t="n">
        <v>631.4</v>
      </c>
      <c r="F1921" s="94" t="n">
        <v>6</v>
      </c>
      <c r="G1921" s="102" t="n">
        <v>0</v>
      </c>
      <c r="H1921" s="94" t="n">
        <v>0</v>
      </c>
    </row>
    <row r="1922" ht="15" customHeight="1" s="82">
      <c r="A1922" s="94" t="inlineStr">
        <is>
          <t>107 - Pharmacies</t>
        </is>
      </c>
      <c r="B1922" s="94" t="inlineStr">
        <is>
          <t>156137 מדי פארם ב.מ.</t>
        </is>
      </c>
      <c r="C1922" s="94" t="inlineStr">
        <is>
          <t>INV46846</t>
        </is>
      </c>
      <c r="D1922" s="94" t="inlineStr">
        <is>
          <t>INV</t>
        </is>
      </c>
      <c r="E1922" s="102" t="n">
        <v>630</v>
      </c>
      <c r="F1922" s="94" t="n">
        <v>9</v>
      </c>
      <c r="G1922" s="102" t="n">
        <v>0</v>
      </c>
      <c r="H1922" s="94" t="n">
        <v>0</v>
      </c>
    </row>
    <row r="1923" ht="15" customHeight="1" s="82">
      <c r="A1923" s="94" t="inlineStr">
        <is>
          <t>107 - Pharmacies</t>
        </is>
      </c>
      <c r="B1923" s="94" t="inlineStr">
        <is>
          <t>156137 מדי פארם ב.מ.</t>
        </is>
      </c>
      <c r="C1923" s="94" t="inlineStr">
        <is>
          <t>INV48851</t>
        </is>
      </c>
      <c r="D1923" s="94" t="inlineStr">
        <is>
          <t>INV</t>
        </is>
      </c>
      <c r="E1923" s="102" t="n">
        <v>623.8099999999999</v>
      </c>
      <c r="F1923" s="94" t="n">
        <v>7</v>
      </c>
      <c r="G1923" s="102" t="n">
        <v>0</v>
      </c>
      <c r="H1923" s="94" t="n">
        <v>0</v>
      </c>
    </row>
    <row r="1924" ht="15" customHeight="1" s="82">
      <c r="A1924" s="94" t="inlineStr">
        <is>
          <t>107 - Pharmacies</t>
        </is>
      </c>
      <c r="B1924" s="94" t="inlineStr">
        <is>
          <t>156137 מדי פארם ב.מ.</t>
        </is>
      </c>
      <c r="C1924" s="94" t="inlineStr">
        <is>
          <t>INV66575</t>
        </is>
      </c>
      <c r="D1924" s="94" t="inlineStr">
        <is>
          <t>INV</t>
        </is>
      </c>
      <c r="E1924" s="102" t="n">
        <v>612.14</v>
      </c>
      <c r="F1924" s="94" t="n">
        <v>11</v>
      </c>
      <c r="G1924" s="102" t="n">
        <v>0</v>
      </c>
      <c r="H1924" s="94" t="n">
        <v>0</v>
      </c>
    </row>
    <row r="1925" ht="15" customHeight="1" s="82">
      <c r="A1925" s="94" t="inlineStr">
        <is>
          <t>107 - Pharmacies</t>
        </is>
      </c>
      <c r="B1925" s="94" t="inlineStr">
        <is>
          <t>156137 מדי פארם ב.מ.</t>
        </is>
      </c>
      <c r="C1925" s="94" t="inlineStr">
        <is>
          <t>INV66307</t>
        </is>
      </c>
      <c r="D1925" s="94" t="inlineStr">
        <is>
          <t>INV</t>
        </is>
      </c>
      <c r="E1925" s="102" t="n">
        <v>607.48</v>
      </c>
      <c r="F1925" s="94" t="n">
        <v>9</v>
      </c>
      <c r="G1925" s="102" t="n">
        <v>0</v>
      </c>
      <c r="H1925" s="94" t="n">
        <v>0</v>
      </c>
    </row>
    <row r="1926" ht="15" customHeight="1" s="82">
      <c r="A1926" s="94" t="inlineStr">
        <is>
          <t>107 - Pharmacies</t>
        </is>
      </c>
      <c r="B1926" s="94" t="inlineStr">
        <is>
          <t>156137 מדי פארם ב.מ.</t>
        </is>
      </c>
      <c r="C1926" s="94" t="inlineStr">
        <is>
          <t>INV42076</t>
        </is>
      </c>
      <c r="D1926" s="94" t="inlineStr">
        <is>
          <t>INV</t>
        </is>
      </c>
      <c r="E1926" s="102" t="n">
        <v>604.96</v>
      </c>
      <c r="F1926" s="94" t="n">
        <v>21</v>
      </c>
      <c r="G1926" s="102" t="n">
        <v>0</v>
      </c>
      <c r="H1926" s="94" t="n">
        <v>0</v>
      </c>
    </row>
    <row r="1927" ht="15" customHeight="1" s="82">
      <c r="A1927" s="94" t="inlineStr">
        <is>
          <t>107 - Pharmacies</t>
        </is>
      </c>
      <c r="B1927" s="94" t="inlineStr">
        <is>
          <t>156137 מדי פארם ב.מ.</t>
        </is>
      </c>
      <c r="C1927" s="94" t="inlineStr">
        <is>
          <t>INV65901</t>
        </is>
      </c>
      <c r="D1927" s="94" t="inlineStr">
        <is>
          <t>INV</t>
        </is>
      </c>
      <c r="E1927" s="102" t="n">
        <v>597.5</v>
      </c>
      <c r="F1927" s="94" t="n">
        <v>14</v>
      </c>
      <c r="G1927" s="102" t="n">
        <v>0</v>
      </c>
      <c r="H1927" s="94" t="n">
        <v>0</v>
      </c>
    </row>
    <row r="1928" ht="15" customHeight="1" s="82">
      <c r="A1928" s="94" t="inlineStr">
        <is>
          <t>107 - Pharmacies</t>
        </is>
      </c>
      <c r="B1928" s="94" t="inlineStr">
        <is>
          <t>156137 מדי פארם ב.מ.</t>
        </is>
      </c>
      <c r="C1928" s="94" t="inlineStr">
        <is>
          <t>INV43014</t>
        </is>
      </c>
      <c r="D1928" s="94" t="inlineStr">
        <is>
          <t>INV</t>
        </is>
      </c>
      <c r="E1928" s="102" t="n">
        <v>583.54</v>
      </c>
      <c r="F1928" s="94" t="n">
        <v>7</v>
      </c>
      <c r="G1928" s="102" t="n">
        <v>0</v>
      </c>
      <c r="H1928" s="94" t="n">
        <v>0</v>
      </c>
    </row>
    <row r="1929" ht="15" customHeight="1" s="82">
      <c r="A1929" s="94" t="inlineStr">
        <is>
          <t>107 - Pharmacies</t>
        </is>
      </c>
      <c r="B1929" s="94" t="inlineStr">
        <is>
          <t>156137 מדי פארם ב.מ.</t>
        </is>
      </c>
      <c r="C1929" s="94" t="inlineStr">
        <is>
          <t>INV53244</t>
        </is>
      </c>
      <c r="D1929" s="94" t="inlineStr">
        <is>
          <t>INV</t>
        </is>
      </c>
      <c r="E1929" s="102" t="n">
        <v>576.63</v>
      </c>
      <c r="F1929" s="94" t="n">
        <v>10</v>
      </c>
      <c r="G1929" s="102" t="n">
        <v>0</v>
      </c>
      <c r="H1929" s="94" t="n">
        <v>0</v>
      </c>
    </row>
    <row r="1930" ht="15" customHeight="1" s="82">
      <c r="A1930" s="94" t="inlineStr">
        <is>
          <t>107 - Pharmacies</t>
        </is>
      </c>
      <c r="B1930" s="94" t="inlineStr">
        <is>
          <t>156137 מדי פארם ב.מ.</t>
        </is>
      </c>
      <c r="C1930" s="94" t="inlineStr">
        <is>
          <t>INV60996</t>
        </is>
      </c>
      <c r="D1930" s="94" t="inlineStr">
        <is>
          <t>INV</t>
        </is>
      </c>
      <c r="E1930" s="102" t="n">
        <v>569.98</v>
      </c>
      <c r="F1930" s="94" t="n">
        <v>10</v>
      </c>
      <c r="G1930" s="102" t="n">
        <v>0</v>
      </c>
      <c r="H1930" s="94" t="n">
        <v>0</v>
      </c>
    </row>
    <row r="1931" ht="15" customHeight="1" s="82">
      <c r="A1931" s="94" t="inlineStr">
        <is>
          <t>107 - Pharmacies</t>
        </is>
      </c>
      <c r="B1931" s="94" t="inlineStr">
        <is>
          <t>156137 מדי פארם ב.מ.</t>
        </is>
      </c>
      <c r="C1931" s="94" t="inlineStr">
        <is>
          <t>INV49245</t>
        </is>
      </c>
      <c r="D1931" s="94" t="inlineStr">
        <is>
          <t>INV</t>
        </is>
      </c>
      <c r="E1931" s="102" t="n">
        <v>553.87</v>
      </c>
      <c r="F1931" s="94" t="n">
        <v>19</v>
      </c>
      <c r="G1931" s="102" t="n">
        <v>0</v>
      </c>
      <c r="H1931" s="94" t="n">
        <v>0</v>
      </c>
    </row>
    <row r="1932" ht="15" customHeight="1" s="82">
      <c r="A1932" s="94" t="inlineStr">
        <is>
          <t>107 - Pharmacies</t>
        </is>
      </c>
      <c r="B1932" s="94" t="inlineStr">
        <is>
          <t>156137 מדי פארם ב.מ.</t>
        </is>
      </c>
      <c r="C1932" s="94" t="inlineStr">
        <is>
          <t>INV66748</t>
        </is>
      </c>
      <c r="D1932" s="94" t="inlineStr">
        <is>
          <t>INV</t>
        </is>
      </c>
      <c r="E1932" s="102" t="n">
        <v>551.14</v>
      </c>
      <c r="F1932" s="94" t="n">
        <v>4</v>
      </c>
      <c r="G1932" s="102" t="n">
        <v>0</v>
      </c>
      <c r="H1932" s="94" t="n">
        <v>0</v>
      </c>
    </row>
    <row r="1933" ht="15" customHeight="1" s="82">
      <c r="A1933" s="94" t="inlineStr">
        <is>
          <t>107 - Pharmacies</t>
        </is>
      </c>
      <c r="B1933" s="94" t="inlineStr">
        <is>
          <t>156137 מדי פארם ב.מ.</t>
        </is>
      </c>
      <c r="C1933" s="94" t="inlineStr">
        <is>
          <t>INV55291</t>
        </is>
      </c>
      <c r="D1933" s="94" t="inlineStr">
        <is>
          <t>INV</t>
        </is>
      </c>
      <c r="E1933" s="102" t="n">
        <v>549.87</v>
      </c>
      <c r="F1933" s="94" t="n">
        <v>9</v>
      </c>
      <c r="G1933" s="102" t="n">
        <v>0</v>
      </c>
      <c r="H1933" s="94" t="n">
        <v>0</v>
      </c>
    </row>
    <row r="1934" ht="15" customHeight="1" s="82">
      <c r="A1934" s="94" t="inlineStr">
        <is>
          <t>107 - Pharmacies</t>
        </is>
      </c>
      <c r="B1934" s="94" t="inlineStr">
        <is>
          <t>156137 מדי פארם ב.מ.</t>
        </is>
      </c>
      <c r="C1934" s="94" t="inlineStr">
        <is>
          <t>INV56427</t>
        </is>
      </c>
      <c r="D1934" s="94" t="inlineStr">
        <is>
          <t>INV</t>
        </is>
      </c>
      <c r="E1934" s="102" t="n">
        <v>545.3</v>
      </c>
      <c r="F1934" s="94" t="n">
        <v>5</v>
      </c>
      <c r="G1934" s="102" t="n">
        <v>0</v>
      </c>
      <c r="H1934" s="94" t="n">
        <v>0</v>
      </c>
    </row>
    <row r="1935" ht="15" customHeight="1" s="82">
      <c r="A1935" s="94" t="inlineStr">
        <is>
          <t>107 - Pharmacies</t>
        </is>
      </c>
      <c r="B1935" s="94" t="inlineStr">
        <is>
          <t>156137 מדי פארם ב.מ.</t>
        </is>
      </c>
      <c r="C1935" s="94" t="inlineStr">
        <is>
          <t>INV50310</t>
        </is>
      </c>
      <c r="D1935" s="94" t="inlineStr">
        <is>
          <t>INV</t>
        </is>
      </c>
      <c r="E1935" s="102" t="n">
        <v>532.3200000000001</v>
      </c>
      <c r="F1935" s="94" t="n">
        <v>9</v>
      </c>
      <c r="G1935" s="102" t="n">
        <v>0</v>
      </c>
      <c r="H1935" s="94" t="n">
        <v>0</v>
      </c>
    </row>
    <row r="1936" ht="15" customHeight="1" s="82">
      <c r="A1936" s="94" t="inlineStr">
        <is>
          <t>107 - Pharmacies</t>
        </is>
      </c>
      <c r="B1936" s="94" t="inlineStr">
        <is>
          <t>156137 מדי פארם ב.מ.</t>
        </is>
      </c>
      <c r="C1936" s="94" t="inlineStr">
        <is>
          <t>INV55988</t>
        </is>
      </c>
      <c r="D1936" s="94" t="inlineStr">
        <is>
          <t>INV</t>
        </is>
      </c>
      <c r="E1936" s="102" t="n">
        <v>531.77</v>
      </c>
      <c r="F1936" s="94" t="n">
        <v>5</v>
      </c>
      <c r="G1936" s="102" t="n">
        <v>0</v>
      </c>
      <c r="H1936" s="94" t="n">
        <v>0</v>
      </c>
    </row>
    <row r="1937" ht="15" customHeight="1" s="82">
      <c r="A1937" s="94" t="inlineStr">
        <is>
          <t>107 - Pharmacies</t>
        </is>
      </c>
      <c r="B1937" s="94" t="inlineStr">
        <is>
          <t>156137 מדי פארם ב.מ.</t>
        </is>
      </c>
      <c r="C1937" s="94" t="inlineStr">
        <is>
          <t>INV51956</t>
        </is>
      </c>
      <c r="D1937" s="94" t="inlineStr">
        <is>
          <t>INV</t>
        </is>
      </c>
      <c r="E1937" s="102" t="n">
        <v>528.13</v>
      </c>
      <c r="F1937" s="94" t="n">
        <v>15</v>
      </c>
      <c r="G1937" s="102" t="n">
        <v>0</v>
      </c>
      <c r="H1937" s="94" t="n">
        <v>0</v>
      </c>
    </row>
    <row r="1938" ht="15" customHeight="1" s="82">
      <c r="A1938" s="94" t="inlineStr">
        <is>
          <t>107 - Pharmacies</t>
        </is>
      </c>
      <c r="B1938" s="94" t="inlineStr">
        <is>
          <t>156137 מדי פארם ב.מ.</t>
        </is>
      </c>
      <c r="C1938" s="94" t="inlineStr">
        <is>
          <t>INV52160</t>
        </is>
      </c>
      <c r="D1938" s="94" t="inlineStr">
        <is>
          <t>INV</t>
        </is>
      </c>
      <c r="E1938" s="102" t="n">
        <v>525.79</v>
      </c>
      <c r="F1938" s="94" t="n">
        <v>6</v>
      </c>
      <c r="G1938" s="102" t="n">
        <v>0</v>
      </c>
      <c r="H1938" s="94" t="n">
        <v>0</v>
      </c>
    </row>
    <row r="1939" ht="15" customHeight="1" s="82">
      <c r="A1939" s="94" t="inlineStr">
        <is>
          <t>107 - Pharmacies</t>
        </is>
      </c>
      <c r="B1939" s="94" t="inlineStr">
        <is>
          <t>156137 מדי פארם ב.מ.</t>
        </is>
      </c>
      <c r="C1939" s="94" t="inlineStr">
        <is>
          <t>INV65417</t>
        </is>
      </c>
      <c r="D1939" s="94" t="inlineStr">
        <is>
          <t>INV</t>
        </is>
      </c>
      <c r="E1939" s="102" t="n">
        <v>517.75</v>
      </c>
      <c r="F1939" s="94" t="n">
        <v>8</v>
      </c>
      <c r="G1939" s="102" t="n">
        <v>0</v>
      </c>
      <c r="H1939" s="94" t="n">
        <v>0</v>
      </c>
    </row>
    <row r="1940" ht="15" customHeight="1" s="82">
      <c r="A1940" s="94" t="inlineStr">
        <is>
          <t>107 - Pharmacies</t>
        </is>
      </c>
      <c r="B1940" s="94" t="inlineStr">
        <is>
          <t>156137 מדי פארם ב.מ.</t>
        </is>
      </c>
      <c r="C1940" s="94" t="inlineStr">
        <is>
          <t>INV57103</t>
        </is>
      </c>
      <c r="D1940" s="94" t="inlineStr">
        <is>
          <t>INV</t>
        </is>
      </c>
      <c r="E1940" s="102" t="n">
        <v>512.61</v>
      </c>
      <c r="F1940" s="94" t="n">
        <v>7</v>
      </c>
      <c r="G1940" s="102" t="n">
        <v>0</v>
      </c>
      <c r="H1940" s="94" t="n">
        <v>0</v>
      </c>
    </row>
    <row r="1941" ht="15" customHeight="1" s="82">
      <c r="A1941" s="94" t="inlineStr">
        <is>
          <t>107 - Pharmacies</t>
        </is>
      </c>
      <c r="B1941" s="94" t="inlineStr">
        <is>
          <t>156137 מדי פארם ב.מ.</t>
        </is>
      </c>
      <c r="C1941" s="94" t="inlineStr">
        <is>
          <t>INV46848</t>
        </is>
      </c>
      <c r="D1941" s="94" t="inlineStr">
        <is>
          <t>INV</t>
        </is>
      </c>
      <c r="E1941" s="102" t="n">
        <v>502.15</v>
      </c>
      <c r="F1941" s="94" t="n">
        <v>10</v>
      </c>
      <c r="G1941" s="102" t="n">
        <v>0</v>
      </c>
      <c r="H1941" s="94" t="n">
        <v>0</v>
      </c>
    </row>
    <row r="1942" ht="15" customHeight="1" s="82">
      <c r="A1942" s="94" t="inlineStr">
        <is>
          <t>107 - Pharmacies</t>
        </is>
      </c>
      <c r="B1942" s="94" t="inlineStr">
        <is>
          <t>156137 מדי פארם ב.מ.</t>
        </is>
      </c>
      <c r="C1942" s="94" t="inlineStr">
        <is>
          <t>INV51264</t>
        </is>
      </c>
      <c r="D1942" s="94" t="inlineStr">
        <is>
          <t>INV</t>
        </is>
      </c>
      <c r="E1942" s="102" t="n">
        <v>500.29</v>
      </c>
      <c r="F1942" s="94" t="n">
        <v>6</v>
      </c>
      <c r="G1942" s="102" t="n">
        <v>0</v>
      </c>
      <c r="H1942" s="94" t="n">
        <v>0</v>
      </c>
    </row>
    <row r="1943" ht="15" customHeight="1" s="82">
      <c r="A1943" s="94" t="inlineStr">
        <is>
          <t>107 - Pharmacies</t>
        </is>
      </c>
      <c r="B1943" s="94" t="inlineStr">
        <is>
          <t>156137 מדי פארם ב.מ.</t>
        </is>
      </c>
      <c r="C1943" s="94" t="inlineStr">
        <is>
          <t>INV65610</t>
        </is>
      </c>
      <c r="D1943" s="94" t="inlineStr">
        <is>
          <t>INV</t>
        </is>
      </c>
      <c r="E1943" s="102" t="n">
        <v>500.08</v>
      </c>
      <c r="F1943" s="94" t="n">
        <v>6</v>
      </c>
      <c r="G1943" s="102" t="n">
        <v>0</v>
      </c>
      <c r="H1943" s="94" t="n">
        <v>0</v>
      </c>
    </row>
    <row r="1944" ht="15" customHeight="1" s="82">
      <c r="A1944" s="94" t="inlineStr">
        <is>
          <t>107 - Pharmacies</t>
        </is>
      </c>
      <c r="B1944" s="94" t="inlineStr">
        <is>
          <t>156137 מדי פארם ב.מ.</t>
        </is>
      </c>
      <c r="C1944" s="94" t="inlineStr">
        <is>
          <t>INV45181</t>
        </is>
      </c>
      <c r="D1944" s="94" t="inlineStr">
        <is>
          <t>INV</t>
        </is>
      </c>
      <c r="E1944" s="102" t="n">
        <v>498.82</v>
      </c>
      <c r="F1944" s="94" t="n">
        <v>9</v>
      </c>
      <c r="G1944" s="102" t="n">
        <v>0</v>
      </c>
      <c r="H1944" s="94" t="n">
        <v>0</v>
      </c>
    </row>
    <row r="1945" ht="15" customHeight="1" s="82">
      <c r="A1945" s="94" t="inlineStr">
        <is>
          <t>107 - Pharmacies</t>
        </is>
      </c>
      <c r="B1945" s="94" t="inlineStr">
        <is>
          <t>156137 מדי פארם ב.מ.</t>
        </is>
      </c>
      <c r="C1945" s="94" t="inlineStr">
        <is>
          <t>INV61930</t>
        </is>
      </c>
      <c r="D1945" s="94" t="inlineStr">
        <is>
          <t>INV</t>
        </is>
      </c>
      <c r="E1945" s="102" t="n">
        <v>497.05</v>
      </c>
      <c r="F1945" s="94" t="n">
        <v>7</v>
      </c>
      <c r="G1945" s="102" t="n">
        <v>0</v>
      </c>
      <c r="H1945" s="94" t="n">
        <v>0</v>
      </c>
    </row>
    <row r="1946" ht="15" customHeight="1" s="82">
      <c r="A1946" s="94" t="inlineStr">
        <is>
          <t>107 - Pharmacies</t>
        </is>
      </c>
      <c r="B1946" s="94" t="inlineStr">
        <is>
          <t>156137 מדי פארם ב.מ.</t>
        </is>
      </c>
      <c r="C1946" s="94" t="inlineStr">
        <is>
          <t>INV61929</t>
        </is>
      </c>
      <c r="D1946" s="94" t="inlineStr">
        <is>
          <t>INV</t>
        </is>
      </c>
      <c r="E1946" s="102" t="n">
        <v>497.05</v>
      </c>
      <c r="F1946" s="94" t="n">
        <v>7</v>
      </c>
      <c r="G1946" s="102" t="n">
        <v>0</v>
      </c>
      <c r="H1946" s="94" t="n">
        <v>0</v>
      </c>
    </row>
    <row r="1947" ht="15" customHeight="1" s="82">
      <c r="A1947" s="94" t="inlineStr">
        <is>
          <t>107 - Pharmacies</t>
        </is>
      </c>
      <c r="B1947" s="94" t="inlineStr">
        <is>
          <t>156137 מדי פארם ב.מ.</t>
        </is>
      </c>
      <c r="C1947" s="94" t="inlineStr">
        <is>
          <t>INV59187</t>
        </is>
      </c>
      <c r="D1947" s="94" t="inlineStr">
        <is>
          <t>INV</t>
        </is>
      </c>
      <c r="E1947" s="102" t="n">
        <v>491.4</v>
      </c>
      <c r="F1947" s="94" t="n">
        <v>6</v>
      </c>
      <c r="G1947" s="102" t="n">
        <v>0</v>
      </c>
      <c r="H1947" s="94" t="n">
        <v>0</v>
      </c>
    </row>
    <row r="1948" ht="15" customHeight="1" s="82">
      <c r="A1948" s="94" t="inlineStr">
        <is>
          <t>107 - Pharmacies</t>
        </is>
      </c>
      <c r="B1948" s="94" t="inlineStr">
        <is>
          <t>156137 מדי פארם ב.מ.</t>
        </is>
      </c>
      <c r="C1948" s="94" t="inlineStr">
        <is>
          <t>INV65485</t>
        </is>
      </c>
      <c r="D1948" s="94" t="inlineStr">
        <is>
          <t>INV</t>
        </is>
      </c>
      <c r="E1948" s="102" t="n">
        <v>486.27</v>
      </c>
      <c r="F1948" s="94" t="n">
        <v>8</v>
      </c>
      <c r="G1948" s="102" t="n">
        <v>0</v>
      </c>
      <c r="H1948" s="94" t="n">
        <v>0</v>
      </c>
    </row>
    <row r="1949" ht="15" customHeight="1" s="82">
      <c r="A1949" s="94" t="inlineStr">
        <is>
          <t>107 - Pharmacies</t>
        </is>
      </c>
      <c r="B1949" s="94" t="inlineStr">
        <is>
          <t>156137 מדי פארם ב.מ.</t>
        </is>
      </c>
      <c r="C1949" s="94" t="inlineStr">
        <is>
          <t>INV66605</t>
        </is>
      </c>
      <c r="D1949" s="94" t="inlineStr">
        <is>
          <t>INV</t>
        </is>
      </c>
      <c r="E1949" s="102" t="n">
        <v>484.72</v>
      </c>
      <c r="F1949" s="94" t="n">
        <v>4</v>
      </c>
      <c r="G1949" s="102" t="n">
        <v>0</v>
      </c>
      <c r="H1949" s="94" t="n">
        <v>0</v>
      </c>
    </row>
    <row r="1950" ht="15" customHeight="1" s="82">
      <c r="A1950" s="94" t="inlineStr">
        <is>
          <t>107 - Pharmacies</t>
        </is>
      </c>
      <c r="B1950" s="94" t="inlineStr">
        <is>
          <t>156137 מדי פארם ב.מ.</t>
        </is>
      </c>
      <c r="C1950" s="94" t="inlineStr">
        <is>
          <t>INV50015</t>
        </is>
      </c>
      <c r="D1950" s="94" t="inlineStr">
        <is>
          <t>INV</t>
        </is>
      </c>
      <c r="E1950" s="102" t="n">
        <v>482.2</v>
      </c>
      <c r="F1950" s="94" t="n">
        <v>7</v>
      </c>
      <c r="G1950" s="102" t="n">
        <v>0</v>
      </c>
      <c r="H1950" s="94" t="n">
        <v>0</v>
      </c>
    </row>
    <row r="1951" ht="15" customHeight="1" s="82">
      <c r="A1951" s="94" t="inlineStr">
        <is>
          <t>107 - Pharmacies</t>
        </is>
      </c>
      <c r="B1951" s="94" t="inlineStr">
        <is>
          <t>156137 מדי פארם ב.מ.</t>
        </is>
      </c>
      <c r="C1951" s="94" t="inlineStr">
        <is>
          <t>INV52998</t>
        </is>
      </c>
      <c r="D1951" s="94" t="inlineStr">
        <is>
          <t>INV</t>
        </is>
      </c>
      <c r="E1951" s="102" t="n">
        <v>479.22</v>
      </c>
      <c r="F1951" s="94" t="n">
        <v>6</v>
      </c>
      <c r="G1951" s="102" t="n">
        <v>0</v>
      </c>
      <c r="H1951" s="94" t="n">
        <v>0</v>
      </c>
    </row>
    <row r="1952" ht="15" customHeight="1" s="82">
      <c r="A1952" s="94" t="inlineStr">
        <is>
          <t>107 - Pharmacies</t>
        </is>
      </c>
      <c r="B1952" s="94" t="inlineStr">
        <is>
          <t>156137 מדי פארם ב.מ.</t>
        </is>
      </c>
      <c r="C1952" s="94" t="inlineStr">
        <is>
          <t>INV48120</t>
        </is>
      </c>
      <c r="D1952" s="94" t="inlineStr">
        <is>
          <t>INV</t>
        </is>
      </c>
      <c r="E1952" s="102" t="n">
        <v>471.68</v>
      </c>
      <c r="F1952" s="94" t="n">
        <v>9</v>
      </c>
      <c r="G1952" s="102" t="n">
        <v>0</v>
      </c>
      <c r="H1952" s="94" t="n">
        <v>0</v>
      </c>
    </row>
    <row r="1953" ht="15" customHeight="1" s="82">
      <c r="A1953" s="94" t="inlineStr">
        <is>
          <t>107 - Pharmacies</t>
        </is>
      </c>
      <c r="B1953" s="94" t="inlineStr">
        <is>
          <t>156137 מדי פארם ב.מ.</t>
        </is>
      </c>
      <c r="C1953" s="94" t="inlineStr">
        <is>
          <t>INV41398</t>
        </is>
      </c>
      <c r="D1953" s="94" t="inlineStr">
        <is>
          <t>INV</t>
        </is>
      </c>
      <c r="E1953" s="102" t="n">
        <v>469.17</v>
      </c>
      <c r="F1953" s="94" t="n">
        <v>8</v>
      </c>
      <c r="G1953" s="102" t="n">
        <v>0</v>
      </c>
      <c r="H1953" s="94" t="n">
        <v>0</v>
      </c>
    </row>
    <row r="1954" ht="15" customHeight="1" s="82">
      <c r="A1954" s="94" t="inlineStr">
        <is>
          <t>107 - Pharmacies</t>
        </is>
      </c>
      <c r="B1954" s="94" t="inlineStr">
        <is>
          <t>156137 מדי פארם ב.מ.</t>
        </is>
      </c>
      <c r="C1954" s="94" t="inlineStr">
        <is>
          <t>CS11813</t>
        </is>
      </c>
      <c r="D1954" s="94" t="inlineStr">
        <is>
          <t>CS</t>
        </is>
      </c>
      <c r="E1954" s="102" t="n">
        <v>462.41</v>
      </c>
      <c r="F1954" s="94" t="n">
        <v>8</v>
      </c>
      <c r="G1954" s="102" t="n">
        <v>0</v>
      </c>
      <c r="H1954" s="94" t="n">
        <v>0</v>
      </c>
    </row>
    <row r="1955" ht="15" customHeight="1" s="82">
      <c r="A1955" s="94" t="inlineStr">
        <is>
          <t>107 - Pharmacies</t>
        </is>
      </c>
      <c r="B1955" s="94" t="inlineStr">
        <is>
          <t>156137 מדי פארם ב.מ.</t>
        </is>
      </c>
      <c r="C1955" s="94" t="inlineStr">
        <is>
          <t>INV66503</t>
        </is>
      </c>
      <c r="D1955" s="94" t="inlineStr">
        <is>
          <t>INV</t>
        </is>
      </c>
      <c r="E1955" s="102" t="n">
        <v>455.75</v>
      </c>
      <c r="F1955" s="94" t="n">
        <v>4</v>
      </c>
      <c r="G1955" s="102" t="n">
        <v>0</v>
      </c>
      <c r="H1955" s="94" t="n">
        <v>0</v>
      </c>
    </row>
    <row r="1956" ht="15" customHeight="1" s="82">
      <c r="A1956" s="94" t="inlineStr">
        <is>
          <t>107 - Pharmacies</t>
        </is>
      </c>
      <c r="B1956" s="94" t="inlineStr">
        <is>
          <t>156137 מדי פארם ב.מ.</t>
        </is>
      </c>
      <c r="C1956" s="94" t="inlineStr">
        <is>
          <t>INV43285</t>
        </is>
      </c>
      <c r="D1956" s="94" t="inlineStr">
        <is>
          <t>INV</t>
        </is>
      </c>
      <c r="E1956" s="102" t="n">
        <v>448.9</v>
      </c>
      <c r="F1956" s="94" t="n">
        <v>4</v>
      </c>
      <c r="G1956" s="102" t="n">
        <v>0</v>
      </c>
      <c r="H1956" s="94" t="n">
        <v>0</v>
      </c>
    </row>
    <row r="1957" ht="15" customHeight="1" s="82">
      <c r="A1957" s="94" t="inlineStr">
        <is>
          <t>107 - Pharmacies</t>
        </is>
      </c>
      <c r="B1957" s="94" t="inlineStr">
        <is>
          <t>156137 מדי פארם ב.מ.</t>
        </is>
      </c>
      <c r="C1957" s="94" t="inlineStr">
        <is>
          <t>INV46579</t>
        </is>
      </c>
      <c r="D1957" s="94" t="inlineStr">
        <is>
          <t>INV</t>
        </is>
      </c>
      <c r="E1957" s="102" t="n">
        <v>441.57</v>
      </c>
      <c r="F1957" s="94" t="n">
        <v>4</v>
      </c>
      <c r="G1957" s="102" t="n">
        <v>0</v>
      </c>
      <c r="H1957" s="94" t="n">
        <v>0</v>
      </c>
    </row>
    <row r="1958" ht="15" customHeight="1" s="82">
      <c r="A1958" s="94" t="inlineStr">
        <is>
          <t>107 - Pharmacies</t>
        </is>
      </c>
      <c r="B1958" s="94" t="inlineStr">
        <is>
          <t>156137 מדי פארם ב.מ.</t>
        </is>
      </c>
      <c r="C1958" s="94" t="inlineStr">
        <is>
          <t>INV52573</t>
        </is>
      </c>
      <c r="D1958" s="94" t="inlineStr">
        <is>
          <t>INV</t>
        </is>
      </c>
      <c r="E1958" s="102" t="n">
        <v>439.27</v>
      </c>
      <c r="F1958" s="94" t="n">
        <v>7</v>
      </c>
      <c r="G1958" s="102" t="n">
        <v>0</v>
      </c>
      <c r="H1958" s="94" t="n">
        <v>0</v>
      </c>
    </row>
    <row r="1959" ht="15" customHeight="1" s="82">
      <c r="A1959" s="94" t="inlineStr">
        <is>
          <t>107 - Pharmacies</t>
        </is>
      </c>
      <c r="B1959" s="94" t="inlineStr">
        <is>
          <t>156137 מדי פארם ב.מ.</t>
        </is>
      </c>
      <c r="C1959" s="94" t="inlineStr">
        <is>
          <t>INV66762</t>
        </is>
      </c>
      <c r="D1959" s="94" t="inlineStr">
        <is>
          <t>INV</t>
        </is>
      </c>
      <c r="E1959" s="102" t="n">
        <v>436.27</v>
      </c>
      <c r="F1959" s="94" t="n">
        <v>8</v>
      </c>
      <c r="G1959" s="102" t="n">
        <v>0</v>
      </c>
      <c r="H1959" s="94" t="n">
        <v>0</v>
      </c>
    </row>
    <row r="1960" ht="15" customHeight="1" s="82">
      <c r="A1960" s="94" t="inlineStr">
        <is>
          <t>107 - Pharmacies</t>
        </is>
      </c>
      <c r="B1960" s="94" t="inlineStr">
        <is>
          <t>156137 מדי פארם ב.מ.</t>
        </is>
      </c>
      <c r="C1960" s="94" t="inlineStr">
        <is>
          <t>INV67019</t>
        </is>
      </c>
      <c r="D1960" s="94" t="inlineStr">
        <is>
          <t>INV</t>
        </is>
      </c>
      <c r="E1960" s="102" t="n">
        <v>432.07</v>
      </c>
      <c r="F1960" s="94" t="n">
        <v>4</v>
      </c>
      <c r="G1960" s="102" t="n">
        <v>0</v>
      </c>
      <c r="H1960" s="94" t="n">
        <v>0</v>
      </c>
    </row>
    <row r="1961" ht="15" customHeight="1" s="82">
      <c r="A1961" s="94" t="inlineStr">
        <is>
          <t>107 - Pharmacies</t>
        </is>
      </c>
      <c r="B1961" s="94" t="inlineStr">
        <is>
          <t>156137 מדי פארם ב.מ.</t>
        </is>
      </c>
      <c r="C1961" s="94" t="inlineStr">
        <is>
          <t>INV65732</t>
        </is>
      </c>
      <c r="D1961" s="94" t="inlineStr">
        <is>
          <t>INV</t>
        </is>
      </c>
      <c r="E1961" s="102" t="n">
        <v>428.97</v>
      </c>
      <c r="F1961" s="94" t="n">
        <v>6</v>
      </c>
      <c r="G1961" s="102" t="n">
        <v>0</v>
      </c>
      <c r="H1961" s="94" t="n">
        <v>0</v>
      </c>
    </row>
    <row r="1962" ht="15" customHeight="1" s="82">
      <c r="A1962" s="94" t="inlineStr">
        <is>
          <t>107 - Pharmacies</t>
        </is>
      </c>
      <c r="B1962" s="94" t="inlineStr">
        <is>
          <t>156137 מדי פארם ב.מ.</t>
        </is>
      </c>
      <c r="C1962" s="94" t="inlineStr">
        <is>
          <t>INV48854</t>
        </is>
      </c>
      <c r="D1962" s="94" t="inlineStr">
        <is>
          <t>INV</t>
        </is>
      </c>
      <c r="E1962" s="102" t="n">
        <v>427.44</v>
      </c>
      <c r="F1962" s="94" t="n">
        <v>7</v>
      </c>
      <c r="G1962" s="102" t="n">
        <v>0</v>
      </c>
      <c r="H1962" s="94" t="n">
        <v>0</v>
      </c>
    </row>
    <row r="1963" ht="15" customHeight="1" s="82">
      <c r="A1963" s="94" t="inlineStr">
        <is>
          <t>107 - Pharmacies</t>
        </is>
      </c>
      <c r="B1963" s="94" t="inlineStr">
        <is>
          <t>156137 מדי פארם ב.מ.</t>
        </is>
      </c>
      <c r="C1963" s="94" t="inlineStr">
        <is>
          <t>INV50508</t>
        </is>
      </c>
      <c r="D1963" s="94" t="inlineStr">
        <is>
          <t>INV</t>
        </is>
      </c>
      <c r="E1963" s="102" t="n">
        <v>426.27</v>
      </c>
      <c r="F1963" s="94" t="n">
        <v>7</v>
      </c>
      <c r="G1963" s="102" t="n">
        <v>0</v>
      </c>
      <c r="H1963" s="94" t="n">
        <v>0</v>
      </c>
    </row>
    <row r="1964" ht="15" customHeight="1" s="82">
      <c r="A1964" s="94" t="inlineStr">
        <is>
          <t>107 - Pharmacies</t>
        </is>
      </c>
      <c r="B1964" s="94" t="inlineStr">
        <is>
          <t>156137 מדי פארם ב.מ.</t>
        </is>
      </c>
      <c r="C1964" s="94" t="inlineStr">
        <is>
          <t>INV48009</t>
        </is>
      </c>
      <c r="D1964" s="94" t="inlineStr">
        <is>
          <t>INV</t>
        </is>
      </c>
      <c r="E1964" s="102" t="n">
        <v>420.88</v>
      </c>
      <c r="F1964" s="94" t="n">
        <v>7</v>
      </c>
      <c r="G1964" s="102" t="n">
        <v>0</v>
      </c>
      <c r="H1964" s="94" t="n">
        <v>0</v>
      </c>
    </row>
    <row r="1965" ht="15" customHeight="1" s="82">
      <c r="A1965" s="94" t="inlineStr">
        <is>
          <t>107 - Pharmacies</t>
        </is>
      </c>
      <c r="B1965" s="94" t="inlineStr">
        <is>
          <t>156137 מדי פארם ב.מ.</t>
        </is>
      </c>
      <c r="C1965" s="94" t="inlineStr">
        <is>
          <t>INV55487</t>
        </is>
      </c>
      <c r="D1965" s="94" t="inlineStr">
        <is>
          <t>INV</t>
        </is>
      </c>
      <c r="E1965" s="102" t="n">
        <v>420</v>
      </c>
      <c r="F1965" s="94" t="n">
        <v>4</v>
      </c>
      <c r="G1965" s="102" t="n">
        <v>0</v>
      </c>
      <c r="H1965" s="94" t="n">
        <v>0</v>
      </c>
    </row>
    <row r="1966" ht="15" customHeight="1" s="82">
      <c r="A1966" s="94" t="inlineStr">
        <is>
          <t>107 - Pharmacies</t>
        </is>
      </c>
      <c r="B1966" s="94" t="inlineStr">
        <is>
          <t>156137 מדי פארם ב.מ.</t>
        </is>
      </c>
      <c r="C1966" s="94" t="inlineStr">
        <is>
          <t>INV44216</t>
        </is>
      </c>
      <c r="D1966" s="94" t="inlineStr">
        <is>
          <t>INV</t>
        </is>
      </c>
      <c r="E1966" s="102" t="n">
        <v>419.61</v>
      </c>
      <c r="F1966" s="94" t="n">
        <v>9</v>
      </c>
      <c r="G1966" s="102" t="n">
        <v>0</v>
      </c>
      <c r="H1966" s="94" t="n">
        <v>0</v>
      </c>
    </row>
    <row r="1967" ht="15" customHeight="1" s="82">
      <c r="A1967" s="94" t="inlineStr">
        <is>
          <t>107 - Pharmacies</t>
        </is>
      </c>
      <c r="B1967" s="94" t="inlineStr">
        <is>
          <t>156137 מדי פארם ב.מ.</t>
        </is>
      </c>
      <c r="C1967" s="94" t="inlineStr">
        <is>
          <t>INV45986</t>
        </is>
      </c>
      <c r="D1967" s="94" t="inlineStr">
        <is>
          <t>INV</t>
        </is>
      </c>
      <c r="E1967" s="102" t="n">
        <v>413.59</v>
      </c>
      <c r="F1967" s="94" t="n">
        <v>5</v>
      </c>
      <c r="G1967" s="102" t="n">
        <v>0</v>
      </c>
      <c r="H1967" s="94" t="n">
        <v>0</v>
      </c>
    </row>
    <row r="1968" ht="15" customHeight="1" s="82">
      <c r="A1968" s="94" t="inlineStr">
        <is>
          <t>107 - Pharmacies</t>
        </is>
      </c>
      <c r="B1968" s="94" t="inlineStr">
        <is>
          <t>156137 מדי פארם ב.מ.</t>
        </is>
      </c>
      <c r="C1968" s="94" t="inlineStr">
        <is>
          <t>INV40858</t>
        </is>
      </c>
      <c r="D1968" s="94" t="inlineStr">
        <is>
          <t>INV</t>
        </is>
      </c>
      <c r="E1968" s="102" t="n">
        <v>406.82</v>
      </c>
      <c r="F1968" s="94" t="n">
        <v>9</v>
      </c>
      <c r="G1968" s="102" t="n">
        <v>0</v>
      </c>
      <c r="H1968" s="94" t="n">
        <v>0</v>
      </c>
    </row>
    <row r="1969" ht="15" customHeight="1" s="82">
      <c r="A1969" s="94" t="inlineStr">
        <is>
          <t>107 - Pharmacies</t>
        </is>
      </c>
      <c r="B1969" s="94" t="inlineStr">
        <is>
          <t>156137 מדי פארם ב.מ.</t>
        </is>
      </c>
      <c r="C1969" s="94" t="inlineStr">
        <is>
          <t>INV40689</t>
        </is>
      </c>
      <c r="D1969" s="94" t="inlineStr">
        <is>
          <t>INV</t>
        </is>
      </c>
      <c r="E1969" s="102" t="n">
        <v>403.47</v>
      </c>
      <c r="F1969" s="94" t="n">
        <v>8</v>
      </c>
      <c r="G1969" s="102" t="n">
        <v>0</v>
      </c>
      <c r="H1969" s="94" t="n">
        <v>0</v>
      </c>
    </row>
    <row r="1970" ht="15" customHeight="1" s="82">
      <c r="A1970" s="94" t="inlineStr">
        <is>
          <t>107 - Pharmacies</t>
        </is>
      </c>
      <c r="B1970" s="94" t="inlineStr">
        <is>
          <t>156137 מדי פארם ב.מ.</t>
        </is>
      </c>
      <c r="C1970" s="94" t="inlineStr">
        <is>
          <t>INV47422</t>
        </is>
      </c>
      <c r="D1970" s="94" t="inlineStr">
        <is>
          <t>INV</t>
        </is>
      </c>
      <c r="E1970" s="102" t="n">
        <v>398.64</v>
      </c>
      <c r="F1970" s="94" t="n">
        <v>11</v>
      </c>
      <c r="G1970" s="102" t="n">
        <v>0</v>
      </c>
      <c r="H1970" s="94" t="n">
        <v>0</v>
      </c>
    </row>
    <row r="1971" ht="15" customHeight="1" s="82">
      <c r="A1971" s="94" t="inlineStr">
        <is>
          <t>107 - Pharmacies</t>
        </is>
      </c>
      <c r="B1971" s="94" t="inlineStr">
        <is>
          <t>156137 מדי פארם ב.מ.</t>
        </is>
      </c>
      <c r="C1971" s="94" t="inlineStr">
        <is>
          <t>INV49710</t>
        </is>
      </c>
      <c r="D1971" s="94" t="inlineStr">
        <is>
          <t>INV</t>
        </is>
      </c>
      <c r="E1971" s="102" t="n">
        <v>393</v>
      </c>
      <c r="F1971" s="94" t="n">
        <v>9</v>
      </c>
      <c r="G1971" s="102" t="n">
        <v>0</v>
      </c>
      <c r="H1971" s="94" t="n">
        <v>0</v>
      </c>
    </row>
    <row r="1972" ht="15" customHeight="1" s="82">
      <c r="A1972" s="94" t="inlineStr">
        <is>
          <t>107 - Pharmacies</t>
        </is>
      </c>
      <c r="B1972" s="94" t="inlineStr">
        <is>
          <t>156137 מדי פארם ב.מ.</t>
        </is>
      </c>
      <c r="C1972" s="94" t="inlineStr">
        <is>
          <t>INV66223</t>
        </is>
      </c>
      <c r="D1972" s="94" t="inlineStr">
        <is>
          <t>INV</t>
        </is>
      </c>
      <c r="E1972" s="102" t="n">
        <v>373.67</v>
      </c>
      <c r="F1972" s="94" t="n">
        <v>4</v>
      </c>
      <c r="G1972" s="102" t="n">
        <v>0</v>
      </c>
      <c r="H1972" s="94" t="n">
        <v>0</v>
      </c>
    </row>
    <row r="1973" ht="15" customHeight="1" s="82">
      <c r="A1973" s="94" t="inlineStr">
        <is>
          <t>107 - Pharmacies</t>
        </is>
      </c>
      <c r="B1973" s="94" t="inlineStr">
        <is>
          <t>156137 מדי פארם ב.מ.</t>
        </is>
      </c>
      <c r="C1973" s="94" t="inlineStr">
        <is>
          <t>INV63592</t>
        </is>
      </c>
      <c r="D1973" s="94" t="inlineStr">
        <is>
          <t>INV</t>
        </is>
      </c>
      <c r="E1973" s="102" t="n">
        <v>368.65</v>
      </c>
      <c r="F1973" s="94" t="n">
        <v>5</v>
      </c>
      <c r="G1973" s="102" t="n">
        <v>0</v>
      </c>
      <c r="H1973" s="94" t="n">
        <v>0</v>
      </c>
    </row>
    <row r="1974" ht="15" customHeight="1" s="82">
      <c r="A1974" s="94" t="inlineStr">
        <is>
          <t>107 - Pharmacies</t>
        </is>
      </c>
      <c r="B1974" s="94" t="inlineStr">
        <is>
          <t>156137 מדי פארם ב.מ.</t>
        </is>
      </c>
      <c r="C1974" s="94" t="inlineStr">
        <is>
          <t>INV66891</t>
        </is>
      </c>
      <c r="D1974" s="94" t="inlineStr">
        <is>
          <t>INV</t>
        </is>
      </c>
      <c r="E1974" s="102" t="n">
        <v>352.26</v>
      </c>
      <c r="F1974" s="94" t="n">
        <v>5</v>
      </c>
      <c r="G1974" s="102" t="n">
        <v>0</v>
      </c>
      <c r="H1974" s="94" t="n">
        <v>0</v>
      </c>
    </row>
    <row r="1975" ht="15" customHeight="1" s="82">
      <c r="A1975" s="94" t="inlineStr">
        <is>
          <t>107 - Pharmacies</t>
        </is>
      </c>
      <c r="B1975" s="94" t="inlineStr">
        <is>
          <t>156137 מדי פארם ב.מ.</t>
        </is>
      </c>
      <c r="C1975" s="94" t="inlineStr">
        <is>
          <t>INV61649</t>
        </is>
      </c>
      <c r="D1975" s="94" t="inlineStr">
        <is>
          <t>INV</t>
        </is>
      </c>
      <c r="E1975" s="102" t="n">
        <v>348.98</v>
      </c>
      <c r="F1975" s="94" t="n">
        <v>10</v>
      </c>
      <c r="G1975" s="102" t="n">
        <v>0</v>
      </c>
      <c r="H1975" s="94" t="n">
        <v>0</v>
      </c>
    </row>
    <row r="1976" ht="15" customHeight="1" s="82">
      <c r="A1976" s="94" t="inlineStr">
        <is>
          <t>107 - Pharmacies</t>
        </is>
      </c>
      <c r="B1976" s="94" t="inlineStr">
        <is>
          <t>156137 מדי פארם ב.מ.</t>
        </is>
      </c>
      <c r="C1976" s="94" t="inlineStr">
        <is>
          <t>INV66813</t>
        </is>
      </c>
      <c r="D1976" s="94" t="inlineStr">
        <is>
          <t>INV</t>
        </is>
      </c>
      <c r="E1976" s="102" t="n">
        <v>300.57</v>
      </c>
      <c r="F1976" s="94" t="n">
        <v>3</v>
      </c>
      <c r="G1976" s="102" t="n">
        <v>0</v>
      </c>
      <c r="H1976" s="94" t="n">
        <v>0</v>
      </c>
    </row>
    <row r="1977" ht="15" customHeight="1" s="82">
      <c r="A1977" s="94" t="inlineStr">
        <is>
          <t>107 - Pharmacies</t>
        </is>
      </c>
      <c r="B1977" s="94" t="inlineStr">
        <is>
          <t>156137 מדי פארם ב.מ.</t>
        </is>
      </c>
      <c r="C1977" s="94" t="inlineStr">
        <is>
          <t>INV65611</t>
        </is>
      </c>
      <c r="D1977" s="94" t="inlineStr">
        <is>
          <t>INV</t>
        </is>
      </c>
      <c r="E1977" s="102" t="n">
        <v>299.28</v>
      </c>
      <c r="F1977" s="94" t="n">
        <v>12</v>
      </c>
      <c r="G1977" s="102" t="n">
        <v>0</v>
      </c>
      <c r="H1977" s="94" t="n">
        <v>0</v>
      </c>
    </row>
    <row r="1978" ht="15" customHeight="1" s="82">
      <c r="A1978" s="94" t="inlineStr">
        <is>
          <t>107 - Pharmacies</t>
        </is>
      </c>
      <c r="B1978" s="94" t="inlineStr">
        <is>
          <t>156137 מדי פארם ב.מ.</t>
        </is>
      </c>
      <c r="C1978" s="94" t="inlineStr">
        <is>
          <t>INV42199</t>
        </is>
      </c>
      <c r="D1978" s="94" t="inlineStr">
        <is>
          <t>INV</t>
        </is>
      </c>
      <c r="E1978" s="102" t="n">
        <v>179</v>
      </c>
      <c r="F1978" s="94" t="n">
        <v>1</v>
      </c>
      <c r="G1978" s="102" t="n">
        <v>0</v>
      </c>
      <c r="H1978" s="94" t="n">
        <v>0</v>
      </c>
    </row>
    <row r="1979" ht="15" customHeight="1" s="82">
      <c r="A1979" s="94" t="inlineStr">
        <is>
          <t>107 - Pharmacies</t>
        </is>
      </c>
      <c r="B1979" s="94" t="inlineStr">
        <is>
          <t>156137 מדי פארם ב.מ.</t>
        </is>
      </c>
      <c r="C1979" s="94" t="inlineStr">
        <is>
          <t>INV42200</t>
        </is>
      </c>
      <c r="D1979" s="94" t="inlineStr">
        <is>
          <t>INV</t>
        </is>
      </c>
      <c r="E1979" s="102" t="n">
        <v>143.34</v>
      </c>
      <c r="F1979" s="94" t="n">
        <v>8</v>
      </c>
      <c r="G1979" s="102" t="n">
        <v>0</v>
      </c>
      <c r="H1979" s="94" t="n">
        <v>0</v>
      </c>
    </row>
    <row r="1980" ht="15" customHeight="1" s="82">
      <c r="A1980" s="94" t="inlineStr">
        <is>
          <t>107 - Pharmacies</t>
        </is>
      </c>
      <c r="B1980" s="94" t="inlineStr">
        <is>
          <t>156137 מדי פארם ב.מ.</t>
        </is>
      </c>
      <c r="C1980" s="94" t="inlineStr">
        <is>
          <t>INV42204</t>
        </is>
      </c>
      <c r="D1980" s="94" t="inlineStr">
        <is>
          <t>INV</t>
        </is>
      </c>
      <c r="E1980" s="102" t="n">
        <v>127.59</v>
      </c>
      <c r="F1980" s="94" t="n">
        <v>1</v>
      </c>
      <c r="G1980" s="102" t="n">
        <v>0</v>
      </c>
      <c r="H1980" s="94" t="n">
        <v>0</v>
      </c>
    </row>
    <row r="1981" ht="15" customHeight="1" s="82">
      <c r="A1981" s="94" t="inlineStr">
        <is>
          <t>107 - Pharmacies</t>
        </is>
      </c>
      <c r="B1981" s="94" t="inlineStr">
        <is>
          <t>156137 מדי פארם ב.מ.</t>
        </is>
      </c>
      <c r="C1981" s="94" t="inlineStr">
        <is>
          <t>INV63593</t>
        </is>
      </c>
      <c r="D1981" s="94" t="inlineStr">
        <is>
          <t>INV</t>
        </is>
      </c>
      <c r="E1981" s="102" t="n">
        <v>58.9</v>
      </c>
      <c r="F1981" s="94" t="n">
        <v>5</v>
      </c>
      <c r="G1981" s="102" t="n">
        <v>0</v>
      </c>
      <c r="H1981" s="94" t="n">
        <v>0</v>
      </c>
    </row>
    <row r="1982" ht="15" customHeight="1" s="82">
      <c r="A1982" s="94" t="inlineStr">
        <is>
          <t>107 - Pharmacies</t>
        </is>
      </c>
      <c r="B1982" s="94" t="inlineStr">
        <is>
          <t>156137 מדי פארם ב.מ.</t>
        </is>
      </c>
      <c r="C1982" s="94" t="inlineStr">
        <is>
          <t>CM43713</t>
        </is>
      </c>
      <c r="D1982" s="94" t="inlineStr">
        <is>
          <t>CM</t>
        </is>
      </c>
      <c r="E1982" s="102" t="n">
        <v>-65</v>
      </c>
      <c r="F1982" s="94" t="n">
        <v>-1</v>
      </c>
      <c r="G1982" s="102" t="n">
        <v>0</v>
      </c>
      <c r="H1982" s="94" t="n">
        <v>0</v>
      </c>
    </row>
    <row r="1983" ht="15" customHeight="1" s="82">
      <c r="A1983" s="94" t="inlineStr">
        <is>
          <t>107 - Pharmacies</t>
        </is>
      </c>
      <c r="B1983" s="94" t="inlineStr">
        <is>
          <t>156137 מדי פארם ב.מ.</t>
        </is>
      </c>
      <c r="C1983" s="94" t="inlineStr">
        <is>
          <t>CM44024</t>
        </is>
      </c>
      <c r="D1983" s="94" t="inlineStr">
        <is>
          <t>CM</t>
        </is>
      </c>
      <c r="E1983" s="102" t="n">
        <v>-379.39</v>
      </c>
      <c r="F1983" s="94" t="n">
        <v>-6</v>
      </c>
      <c r="G1983" s="102" t="n">
        <v>0</v>
      </c>
      <c r="H1983" s="94" t="n">
        <v>0</v>
      </c>
    </row>
    <row r="1984" ht="15" customHeight="1" s="82">
      <c r="A1984" s="94" t="inlineStr">
        <is>
          <t>107 - Pharmacies</t>
        </is>
      </c>
      <c r="B1984" s="94" t="inlineStr">
        <is>
          <t>156137 מדי פארם ב.מ.</t>
        </is>
      </c>
      <c r="C1984" s="94" t="inlineStr">
        <is>
          <t>CM44236</t>
        </is>
      </c>
      <c r="D1984" s="94" t="inlineStr">
        <is>
          <t>CM</t>
        </is>
      </c>
      <c r="E1984" s="102" t="n">
        <v>-432.07</v>
      </c>
      <c r="F1984" s="94" t="n">
        <v>-4</v>
      </c>
      <c r="G1984" s="102" t="n">
        <v>0</v>
      </c>
      <c r="H1984" s="94" t="n">
        <v>0</v>
      </c>
    </row>
    <row r="1985" ht="15" customHeight="1" s="82">
      <c r="A1985" s="94" t="inlineStr">
        <is>
          <t>107 - Pharmacies</t>
        </is>
      </c>
      <c r="B1985" s="94" t="inlineStr">
        <is>
          <t>156137 מדי פארם ב.מ.</t>
        </is>
      </c>
      <c r="C1985" s="94" t="inlineStr">
        <is>
          <t>CM43984</t>
        </is>
      </c>
      <c r="D1985" s="94" t="inlineStr">
        <is>
          <t>CM</t>
        </is>
      </c>
      <c r="E1985" s="102" t="n">
        <v>-497.05</v>
      </c>
      <c r="F1985" s="94" t="n">
        <v>-7</v>
      </c>
      <c r="G1985" s="102" t="n">
        <v>0</v>
      </c>
      <c r="H1985" s="94" t="n">
        <v>0</v>
      </c>
    </row>
    <row r="1986" ht="15" customHeight="1" s="82">
      <c r="A1986" s="94" t="inlineStr">
        <is>
          <t>107 - Pharmacies</t>
        </is>
      </c>
      <c r="B1986" s="94" t="inlineStr">
        <is>
          <t>156137 מדי פארם ב.מ.</t>
        </is>
      </c>
      <c r="C1986" s="94" t="inlineStr">
        <is>
          <t>CM43985</t>
        </is>
      </c>
      <c r="D1986" s="94" t="inlineStr">
        <is>
          <t>CM</t>
        </is>
      </c>
      <c r="E1986" s="102" t="n">
        <v>-528.13</v>
      </c>
      <c r="F1986" s="94" t="n">
        <v>-15</v>
      </c>
      <c r="G1986" s="102" t="n">
        <v>0</v>
      </c>
      <c r="H1986" s="94" t="n">
        <v>0</v>
      </c>
    </row>
    <row r="1987" ht="15" customHeight="1" s="82">
      <c r="A1987" s="94" t="inlineStr">
        <is>
          <t>107 - Pharmacies</t>
        </is>
      </c>
      <c r="B1987" s="94" t="inlineStr">
        <is>
          <t>156137 מדי פארם ב.מ.</t>
        </is>
      </c>
      <c r="C1987" s="94" t="inlineStr">
        <is>
          <t>CM43501</t>
        </is>
      </c>
      <c r="D1987" s="94" t="inlineStr">
        <is>
          <t>CM</t>
        </is>
      </c>
      <c r="E1987" s="102" t="n">
        <v>-630</v>
      </c>
      <c r="F1987" s="94" t="n">
        <v>-9</v>
      </c>
      <c r="G1987" s="102" t="n">
        <v>0</v>
      </c>
      <c r="H1987" s="94" t="n">
        <v>0</v>
      </c>
    </row>
    <row r="1988" ht="15" customHeight="1" s="82">
      <c r="A1988" s="94" t="inlineStr">
        <is>
          <t>107 - Pharmacies</t>
        </is>
      </c>
      <c r="B1988" s="94" t="inlineStr">
        <is>
          <t>156140 רימונים פארם בע"מ</t>
        </is>
      </c>
      <c r="C1988" s="94" t="inlineStr">
        <is>
          <t>INV55295</t>
        </is>
      </c>
      <c r="D1988" s="94" t="inlineStr">
        <is>
          <t>INV</t>
        </is>
      </c>
      <c r="E1988" s="102" t="n">
        <v>2918.63</v>
      </c>
      <c r="F1988" s="94" t="n">
        <v>67</v>
      </c>
      <c r="G1988" s="102" t="n">
        <v>0</v>
      </c>
      <c r="H1988" s="94" t="n">
        <v>0</v>
      </c>
    </row>
    <row r="1989" ht="15" customHeight="1" s="82">
      <c r="A1989" s="94" t="inlineStr">
        <is>
          <t>107 - Pharmacies</t>
        </is>
      </c>
      <c r="B1989" s="94" t="inlineStr">
        <is>
          <t>156140 רימונים פארם בע"מ</t>
        </is>
      </c>
      <c r="C1989" s="94" t="inlineStr">
        <is>
          <t>INV51099</t>
        </is>
      </c>
      <c r="D1989" s="94" t="inlineStr">
        <is>
          <t>INV</t>
        </is>
      </c>
      <c r="E1989" s="102" t="n">
        <v>1492.27</v>
      </c>
      <c r="F1989" s="94" t="n">
        <v>35</v>
      </c>
      <c r="G1989" s="102" t="n">
        <v>0</v>
      </c>
      <c r="H1989" s="94" t="n">
        <v>0</v>
      </c>
    </row>
    <row r="1990" ht="15" customHeight="1" s="82">
      <c r="A1990" s="94" t="inlineStr">
        <is>
          <t>107 - Pharmacies</t>
        </is>
      </c>
      <c r="B1990" s="94" t="inlineStr">
        <is>
          <t>156140 רימונים פארם בע"מ</t>
        </is>
      </c>
      <c r="C1990" s="94" t="inlineStr">
        <is>
          <t>INV45201</t>
        </is>
      </c>
      <c r="D1990" s="94" t="inlineStr">
        <is>
          <t>INV</t>
        </is>
      </c>
      <c r="E1990" s="102" t="n">
        <v>1154.59</v>
      </c>
      <c r="F1990" s="94" t="n">
        <v>43</v>
      </c>
      <c r="G1990" s="102" t="n">
        <v>0</v>
      </c>
      <c r="H1990" s="94" t="n">
        <v>0</v>
      </c>
    </row>
    <row r="1991" ht="15" customHeight="1" s="82">
      <c r="A1991" s="94" t="inlineStr">
        <is>
          <t>107 - Pharmacies</t>
        </is>
      </c>
      <c r="B1991" s="94" t="inlineStr">
        <is>
          <t>156500 הנגב בע"מ ב.מ</t>
        </is>
      </c>
      <c r="C1991" s="94" t="inlineStr">
        <is>
          <t>INV68904</t>
        </is>
      </c>
      <c r="D1991" s="94" t="inlineStr">
        <is>
          <t>INV</t>
        </is>
      </c>
      <c r="E1991" s="102" t="n">
        <v>0</v>
      </c>
      <c r="F1991" s="94" t="n">
        <v>0</v>
      </c>
      <c r="G1991" s="102" t="n">
        <v>1610</v>
      </c>
      <c r="H1991" s="94" t="n">
        <v>9</v>
      </c>
    </row>
    <row r="1992" ht="15" customHeight="1" s="82">
      <c r="A1992" s="94" t="inlineStr">
        <is>
          <t>107 - Pharmacies</t>
        </is>
      </c>
      <c r="B1992" s="94" t="inlineStr">
        <is>
          <t>156500 הנגב בע"מ ב.מ</t>
        </is>
      </c>
      <c r="C1992" s="94" t="inlineStr">
        <is>
          <t>INV69142</t>
        </is>
      </c>
      <c r="D1992" s="94" t="inlineStr">
        <is>
          <t>INV</t>
        </is>
      </c>
      <c r="E1992" s="102" t="n">
        <v>0</v>
      </c>
      <c r="F1992" s="94" t="n">
        <v>0</v>
      </c>
      <c r="G1992" s="102" t="n">
        <v>694.6799999999999</v>
      </c>
      <c r="H1992" s="94" t="n">
        <v>21</v>
      </c>
    </row>
    <row r="1993" ht="15" customHeight="1" s="82">
      <c r="A1993" s="94" t="inlineStr">
        <is>
          <t>107 - Pharmacies</t>
        </is>
      </c>
      <c r="B1993" s="94" t="inlineStr">
        <is>
          <t>156500 הנגב בע"מ ב.מ</t>
        </is>
      </c>
      <c r="C1993" s="94" t="inlineStr">
        <is>
          <t>INV68649</t>
        </is>
      </c>
      <c r="D1993" s="94" t="inlineStr">
        <is>
          <t>INV</t>
        </is>
      </c>
      <c r="E1993" s="102" t="n">
        <v>0</v>
      </c>
      <c r="F1993" s="94" t="n">
        <v>0</v>
      </c>
      <c r="G1993" s="102" t="n">
        <v>559.36</v>
      </c>
      <c r="H1993" s="94" t="n">
        <v>6</v>
      </c>
    </row>
    <row r="1994" ht="15" customHeight="1" s="82">
      <c r="A1994" s="94" t="inlineStr">
        <is>
          <t>107 - Pharmacies</t>
        </is>
      </c>
      <c r="B1994" s="94" t="inlineStr">
        <is>
          <t>156500 הנגב בע"מ ב.מ</t>
        </is>
      </c>
      <c r="C1994" s="94" t="inlineStr">
        <is>
          <t>INV69029</t>
        </is>
      </c>
      <c r="D1994" s="94" t="inlineStr">
        <is>
          <t>INV</t>
        </is>
      </c>
      <c r="E1994" s="102" t="n">
        <v>0</v>
      </c>
      <c r="F1994" s="94" t="n">
        <v>0</v>
      </c>
      <c r="G1994" s="102" t="n">
        <v>456.75</v>
      </c>
      <c r="H1994" s="94" t="n">
        <v>10</v>
      </c>
    </row>
    <row r="1995" ht="15" customHeight="1" s="82">
      <c r="A1995" s="94" t="inlineStr">
        <is>
          <t>107 - Pharmacies</t>
        </is>
      </c>
      <c r="B1995" s="94" t="inlineStr">
        <is>
          <t>156500 הנגב בע"מ ב.מ</t>
        </is>
      </c>
      <c r="C1995" s="94" t="inlineStr">
        <is>
          <t>INV68313</t>
        </is>
      </c>
      <c r="D1995" s="94" t="inlineStr">
        <is>
          <t>INV</t>
        </is>
      </c>
      <c r="E1995" s="102" t="n">
        <v>0</v>
      </c>
      <c r="F1995" s="94" t="n">
        <v>0</v>
      </c>
      <c r="G1995" s="102" t="n">
        <v>339.99</v>
      </c>
      <c r="H1995" s="94" t="n">
        <v>4</v>
      </c>
    </row>
    <row r="1996" ht="15" customHeight="1" s="82">
      <c r="A1996" s="94" t="inlineStr">
        <is>
          <t>107 - Pharmacies</t>
        </is>
      </c>
      <c r="B1996" s="94" t="inlineStr">
        <is>
          <t>156500 הנגב בע"מ ב.מ</t>
        </is>
      </c>
      <c r="C1996" s="94" t="inlineStr">
        <is>
          <t>INV67177</t>
        </is>
      </c>
      <c r="D1996" s="94" t="inlineStr">
        <is>
          <t>INV</t>
        </is>
      </c>
      <c r="E1996" s="102" t="n">
        <v>0</v>
      </c>
      <c r="F1996" s="94" t="n">
        <v>0</v>
      </c>
      <c r="G1996" s="102" t="n">
        <v>320</v>
      </c>
      <c r="H1996" s="94" t="n">
        <v>2</v>
      </c>
    </row>
    <row r="1997" ht="15" customHeight="1" s="82">
      <c r="A1997" s="94" t="inlineStr">
        <is>
          <t>107 - Pharmacies</t>
        </is>
      </c>
      <c r="B1997" s="94" t="inlineStr">
        <is>
          <t>156511 בית מרקחת הקריות בע"מ</t>
        </is>
      </c>
      <c r="C1997" s="94" t="inlineStr">
        <is>
          <t>INV66763</t>
        </is>
      </c>
      <c r="D1997" s="94" t="inlineStr">
        <is>
          <t>INV</t>
        </is>
      </c>
      <c r="E1997" s="102" t="n">
        <v>5200</v>
      </c>
      <c r="F1997" s="94" t="n">
        <v>40</v>
      </c>
      <c r="G1997" s="102" t="n">
        <v>0</v>
      </c>
      <c r="H1997" s="94" t="n">
        <v>0</v>
      </c>
    </row>
    <row r="1998" ht="15" customHeight="1" s="82">
      <c r="A1998" s="94" t="inlineStr">
        <is>
          <t>107 - Pharmacies</t>
        </is>
      </c>
      <c r="B1998" s="94" t="inlineStr">
        <is>
          <t>156511 בית מרקחת הקריות בע"מ</t>
        </is>
      </c>
      <c r="C1998" s="94" t="inlineStr">
        <is>
          <t>INV68812</t>
        </is>
      </c>
      <c r="D1998" s="94" t="inlineStr">
        <is>
          <t>INV</t>
        </is>
      </c>
      <c r="E1998" s="102" t="n">
        <v>0</v>
      </c>
      <c r="F1998" s="94" t="n">
        <v>0</v>
      </c>
      <c r="G1998" s="102" t="n">
        <v>1133.4</v>
      </c>
      <c r="H1998" s="94" t="n">
        <v>20</v>
      </c>
    </row>
    <row r="1999" ht="15" customHeight="1" s="82">
      <c r="A1999" s="94" t="inlineStr">
        <is>
          <t>107 - Pharmacies</t>
        </is>
      </c>
      <c r="B1999" s="94" t="inlineStr">
        <is>
          <t>156511 בית מרקחת הקריות בע"מ</t>
        </is>
      </c>
      <c r="C1999" s="94" t="inlineStr">
        <is>
          <t>INV54283</t>
        </is>
      </c>
      <c r="D1999" s="94" t="inlineStr">
        <is>
          <t>INV</t>
        </is>
      </c>
      <c r="E1999" s="102" t="n">
        <v>793.38</v>
      </c>
      <c r="F1999" s="94" t="n">
        <v>14</v>
      </c>
      <c r="G1999" s="102" t="n">
        <v>0</v>
      </c>
      <c r="H1999" s="94" t="n">
        <v>0</v>
      </c>
    </row>
    <row r="2000" ht="15" customHeight="1" s="82">
      <c r="A2000" s="94" t="inlineStr">
        <is>
          <t>107 - Pharmacies</t>
        </is>
      </c>
      <c r="B2000" s="94" t="inlineStr">
        <is>
          <t>156511 בית מרקחת הקריות בע"מ</t>
        </is>
      </c>
      <c r="C2000" s="94" t="inlineStr">
        <is>
          <t>INV61928</t>
        </is>
      </c>
      <c r="D2000" s="94" t="inlineStr">
        <is>
          <t>INV</t>
        </is>
      </c>
      <c r="E2000" s="102" t="n">
        <v>340.02</v>
      </c>
      <c r="F2000" s="94" t="n">
        <v>6</v>
      </c>
      <c r="G2000" s="102" t="n">
        <v>0</v>
      </c>
      <c r="H2000" s="94" t="n">
        <v>0</v>
      </c>
    </row>
    <row r="2001" ht="15" customHeight="1" s="82">
      <c r="A2001" s="94" t="inlineStr">
        <is>
          <t>107 - Pharmacies</t>
        </is>
      </c>
      <c r="B2001" s="94" t="inlineStr">
        <is>
          <t>156511 בית מרקחת הקריות בע"מ</t>
        </is>
      </c>
      <c r="C2001" s="94" t="inlineStr">
        <is>
          <t>INV68757</t>
        </is>
      </c>
      <c r="D2001" s="94" t="inlineStr">
        <is>
          <t>INV</t>
        </is>
      </c>
      <c r="E2001" s="102" t="n">
        <v>0</v>
      </c>
      <c r="F2001" s="94" t="n">
        <v>0</v>
      </c>
      <c r="G2001" s="102" t="n">
        <v>79.65000000000001</v>
      </c>
      <c r="H2001" s="94" t="n">
        <v>1</v>
      </c>
    </row>
    <row r="2002" ht="15" customHeight="1" s="82">
      <c r="A2002" s="94" t="inlineStr">
        <is>
          <t>107 - Pharmacies</t>
        </is>
      </c>
      <c r="B2002" s="94" t="inlineStr">
        <is>
          <t>156903 טל שחר ב.מ</t>
        </is>
      </c>
      <c r="C2002" s="94" t="inlineStr">
        <is>
          <t>INV42201</t>
        </is>
      </c>
      <c r="D2002" s="94" t="inlineStr">
        <is>
          <t>INV</t>
        </is>
      </c>
      <c r="E2002" s="102" t="n">
        <v>1571.74</v>
      </c>
      <c r="F2002" s="94" t="n">
        <v>15</v>
      </c>
      <c r="G2002" s="102" t="n">
        <v>0</v>
      </c>
      <c r="H2002" s="94" t="n">
        <v>0</v>
      </c>
    </row>
    <row r="2003" ht="15" customHeight="1" s="82">
      <c r="A2003" s="94" t="inlineStr">
        <is>
          <t>107 - Pharmacies</t>
        </is>
      </c>
      <c r="B2003" s="94" t="inlineStr">
        <is>
          <t>156903 טל שחר ב.מ</t>
        </is>
      </c>
      <c r="C2003" s="94" t="inlineStr">
        <is>
          <t>INV67982</t>
        </is>
      </c>
      <c r="D2003" s="94" t="inlineStr">
        <is>
          <t>INV</t>
        </is>
      </c>
      <c r="E2003" s="102" t="n">
        <v>0</v>
      </c>
      <c r="F2003" s="94" t="n">
        <v>0</v>
      </c>
      <c r="G2003" s="102" t="n">
        <v>1417.65</v>
      </c>
      <c r="H2003" s="94" t="n">
        <v>16</v>
      </c>
    </row>
    <row r="2004" ht="15" customHeight="1" s="82">
      <c r="A2004" s="94" t="inlineStr">
        <is>
          <t>107 - Pharmacies</t>
        </is>
      </c>
      <c r="B2004" s="94" t="inlineStr">
        <is>
          <t>156903 טל שחר ב.מ</t>
        </is>
      </c>
      <c r="C2004" s="94" t="inlineStr">
        <is>
          <t>INV68208</t>
        </is>
      </c>
      <c r="D2004" s="94" t="inlineStr">
        <is>
          <t>INV</t>
        </is>
      </c>
      <c r="E2004" s="102" t="n">
        <v>0</v>
      </c>
      <c r="F2004" s="94" t="n">
        <v>0</v>
      </c>
      <c r="G2004" s="102" t="n">
        <v>1357.1</v>
      </c>
      <c r="H2004" s="94" t="n">
        <v>17</v>
      </c>
    </row>
    <row r="2005" ht="15" customHeight="1" s="82">
      <c r="A2005" s="94" t="inlineStr">
        <is>
          <t>107 - Pharmacies</t>
        </is>
      </c>
      <c r="B2005" s="94" t="inlineStr">
        <is>
          <t>156903 טל שחר ב.מ</t>
        </is>
      </c>
      <c r="C2005" s="94" t="inlineStr">
        <is>
          <t>INV57930</t>
        </is>
      </c>
      <c r="D2005" s="94" t="inlineStr">
        <is>
          <t>INV</t>
        </is>
      </c>
      <c r="E2005" s="102" t="n">
        <v>1346.74</v>
      </c>
      <c r="F2005" s="94" t="n">
        <v>18</v>
      </c>
      <c r="G2005" s="102" t="n">
        <v>0</v>
      </c>
      <c r="H2005" s="94" t="n">
        <v>0</v>
      </c>
    </row>
    <row r="2006" ht="15" customHeight="1" s="82">
      <c r="A2006" s="94" t="inlineStr">
        <is>
          <t>107 - Pharmacies</t>
        </is>
      </c>
      <c r="B2006" s="94" t="inlineStr">
        <is>
          <t>156903 טל שחר ב.מ</t>
        </is>
      </c>
      <c r="C2006" s="94" t="inlineStr">
        <is>
          <t>INV49815</t>
        </is>
      </c>
      <c r="D2006" s="94" t="inlineStr">
        <is>
          <t>INV</t>
        </is>
      </c>
      <c r="E2006" s="102" t="n">
        <v>1212.73</v>
      </c>
      <c r="F2006" s="94" t="n">
        <v>17</v>
      </c>
      <c r="G2006" s="102" t="n">
        <v>0</v>
      </c>
      <c r="H2006" s="94" t="n">
        <v>0</v>
      </c>
    </row>
    <row r="2007" ht="15" customHeight="1" s="82">
      <c r="A2007" s="94" t="inlineStr">
        <is>
          <t>107 - Pharmacies</t>
        </is>
      </c>
      <c r="B2007" s="94" t="inlineStr">
        <is>
          <t>156903 טל שחר ב.מ</t>
        </is>
      </c>
      <c r="C2007" s="94" t="inlineStr">
        <is>
          <t>INV41356</t>
        </is>
      </c>
      <c r="D2007" s="94" t="inlineStr">
        <is>
          <t>INV</t>
        </is>
      </c>
      <c r="E2007" s="102" t="n">
        <v>1173.07</v>
      </c>
      <c r="F2007" s="94" t="n">
        <v>11</v>
      </c>
      <c r="G2007" s="102" t="n">
        <v>0</v>
      </c>
      <c r="H2007" s="94" t="n">
        <v>0</v>
      </c>
    </row>
    <row r="2008" ht="15" customHeight="1" s="82">
      <c r="A2008" s="94" t="inlineStr">
        <is>
          <t>107 - Pharmacies</t>
        </is>
      </c>
      <c r="B2008" s="94" t="inlineStr">
        <is>
          <t>156903 טל שחר ב.מ</t>
        </is>
      </c>
      <c r="C2008" s="94" t="inlineStr">
        <is>
          <t>INV68600</t>
        </is>
      </c>
      <c r="D2008" s="94" t="inlineStr">
        <is>
          <t>INV</t>
        </is>
      </c>
      <c r="E2008" s="102" t="n">
        <v>0</v>
      </c>
      <c r="F2008" s="94" t="n">
        <v>0</v>
      </c>
      <c r="G2008" s="102" t="n">
        <v>1126.85</v>
      </c>
      <c r="H2008" s="94" t="n">
        <v>9</v>
      </c>
    </row>
    <row r="2009" ht="15" customHeight="1" s="82">
      <c r="A2009" s="94" t="inlineStr">
        <is>
          <t>107 - Pharmacies</t>
        </is>
      </c>
      <c r="B2009" s="94" t="inlineStr">
        <is>
          <t>156903 טל שחר ב.מ</t>
        </is>
      </c>
      <c r="C2009" s="94" t="inlineStr">
        <is>
          <t>INV69263</t>
        </is>
      </c>
      <c r="D2009" s="94" t="inlineStr">
        <is>
          <t>INV</t>
        </is>
      </c>
      <c r="E2009" s="102" t="n">
        <v>0</v>
      </c>
      <c r="F2009" s="94" t="n">
        <v>0</v>
      </c>
      <c r="G2009" s="102" t="n">
        <v>1110.32</v>
      </c>
      <c r="H2009" s="94" t="n">
        <v>22</v>
      </c>
    </row>
    <row r="2010" ht="15" customHeight="1" s="82">
      <c r="A2010" s="94" t="inlineStr">
        <is>
          <t>107 - Pharmacies</t>
        </is>
      </c>
      <c r="B2010" s="94" t="inlineStr">
        <is>
          <t>156903 טל שחר ב.מ</t>
        </is>
      </c>
      <c r="C2010" s="94" t="inlineStr">
        <is>
          <t>INV68517</t>
        </is>
      </c>
      <c r="D2010" s="94" t="inlineStr">
        <is>
          <t>INV</t>
        </is>
      </c>
      <c r="E2010" s="102" t="n">
        <v>0</v>
      </c>
      <c r="F2010" s="94" t="n">
        <v>0</v>
      </c>
      <c r="G2010" s="102" t="n">
        <v>1011.95</v>
      </c>
      <c r="H2010" s="94" t="n">
        <v>11</v>
      </c>
    </row>
    <row r="2011" ht="15" customHeight="1" s="82">
      <c r="A2011" s="94" t="inlineStr">
        <is>
          <t>107 - Pharmacies</t>
        </is>
      </c>
      <c r="B2011" s="94" t="inlineStr">
        <is>
          <t>156903 טל שחר ב.מ</t>
        </is>
      </c>
      <c r="C2011" s="94" t="inlineStr">
        <is>
          <t>INV65388</t>
        </is>
      </c>
      <c r="D2011" s="94" t="inlineStr">
        <is>
          <t>INV</t>
        </is>
      </c>
      <c r="E2011" s="102" t="n">
        <v>1007.89</v>
      </c>
      <c r="F2011" s="94" t="n">
        <v>17</v>
      </c>
      <c r="G2011" s="102" t="n">
        <v>0</v>
      </c>
      <c r="H2011" s="94" t="n">
        <v>0</v>
      </c>
    </row>
    <row r="2012" ht="15" customHeight="1" s="82">
      <c r="A2012" s="94" t="inlineStr">
        <is>
          <t>107 - Pharmacies</t>
        </is>
      </c>
      <c r="B2012" s="94" t="inlineStr">
        <is>
          <t>156903 טל שחר ב.מ</t>
        </is>
      </c>
      <c r="C2012" s="94" t="inlineStr">
        <is>
          <t>INV50320</t>
        </is>
      </c>
      <c r="D2012" s="94" t="inlineStr">
        <is>
          <t>INV</t>
        </is>
      </c>
      <c r="E2012" s="102" t="n">
        <v>1002.03</v>
      </c>
      <c r="F2012" s="94" t="n">
        <v>12</v>
      </c>
      <c r="G2012" s="102" t="n">
        <v>0</v>
      </c>
      <c r="H2012" s="94" t="n">
        <v>0</v>
      </c>
    </row>
    <row r="2013" ht="15" customHeight="1" s="82">
      <c r="A2013" s="94" t="inlineStr">
        <is>
          <t>107 - Pharmacies</t>
        </is>
      </c>
      <c r="B2013" s="94" t="inlineStr">
        <is>
          <t>156903 טל שחר ב.מ</t>
        </is>
      </c>
      <c r="C2013" s="94" t="inlineStr">
        <is>
          <t>INV68688</t>
        </is>
      </c>
      <c r="D2013" s="94" t="inlineStr">
        <is>
          <t>INV</t>
        </is>
      </c>
      <c r="E2013" s="102" t="n">
        <v>0</v>
      </c>
      <c r="F2013" s="94" t="n">
        <v>0</v>
      </c>
      <c r="G2013" s="102" t="n">
        <v>1000.39</v>
      </c>
      <c r="H2013" s="94" t="n">
        <v>17</v>
      </c>
    </row>
    <row r="2014" ht="15" customHeight="1" s="82">
      <c r="A2014" s="94" t="inlineStr">
        <is>
          <t>107 - Pharmacies</t>
        </is>
      </c>
      <c r="B2014" s="94" t="inlineStr">
        <is>
          <t>156903 טל שחר ב.מ</t>
        </is>
      </c>
      <c r="C2014" s="94" t="inlineStr">
        <is>
          <t>INV47454</t>
        </is>
      </c>
      <c r="D2014" s="94" t="inlineStr">
        <is>
          <t>INV</t>
        </is>
      </c>
      <c r="E2014" s="102" t="n">
        <v>983.71</v>
      </c>
      <c r="F2014" s="94" t="n">
        <v>13</v>
      </c>
      <c r="G2014" s="102" t="n">
        <v>0</v>
      </c>
      <c r="H2014" s="94" t="n">
        <v>0</v>
      </c>
    </row>
    <row r="2015" ht="15" customHeight="1" s="82">
      <c r="A2015" s="94" t="inlineStr">
        <is>
          <t>107 - Pharmacies</t>
        </is>
      </c>
      <c r="B2015" s="94" t="inlineStr">
        <is>
          <t>156903 טל שחר ב.מ</t>
        </is>
      </c>
      <c r="C2015" s="94" t="inlineStr">
        <is>
          <t>INV69138</t>
        </is>
      </c>
      <c r="D2015" s="94" t="inlineStr">
        <is>
          <t>INV</t>
        </is>
      </c>
      <c r="E2015" s="102" t="n">
        <v>0</v>
      </c>
      <c r="F2015" s="94" t="n">
        <v>0</v>
      </c>
      <c r="G2015" s="102" t="n">
        <v>978.7</v>
      </c>
      <c r="H2015" s="94" t="n">
        <v>20</v>
      </c>
    </row>
    <row r="2016" ht="15" customHeight="1" s="82">
      <c r="A2016" s="94" t="inlineStr">
        <is>
          <t>107 - Pharmacies</t>
        </is>
      </c>
      <c r="B2016" s="94" t="inlineStr">
        <is>
          <t>156903 טל שחר ב.מ</t>
        </is>
      </c>
      <c r="C2016" s="94" t="inlineStr">
        <is>
          <t>INV66310</t>
        </is>
      </c>
      <c r="D2016" s="94" t="inlineStr">
        <is>
          <t>INV</t>
        </is>
      </c>
      <c r="E2016" s="102" t="n">
        <v>975.58</v>
      </c>
      <c r="F2016" s="94" t="n">
        <v>17</v>
      </c>
      <c r="G2016" s="102" t="n">
        <v>0</v>
      </c>
      <c r="H2016" s="94" t="n">
        <v>0</v>
      </c>
    </row>
    <row r="2017" ht="15" customHeight="1" s="82">
      <c r="A2017" s="94" t="inlineStr">
        <is>
          <t>107 - Pharmacies</t>
        </is>
      </c>
      <c r="B2017" s="94" t="inlineStr">
        <is>
          <t>156903 טל שחר ב.מ</t>
        </is>
      </c>
      <c r="C2017" s="94" t="inlineStr">
        <is>
          <t>INV66496</t>
        </is>
      </c>
      <c r="D2017" s="94" t="inlineStr">
        <is>
          <t>INV</t>
        </is>
      </c>
      <c r="E2017" s="102" t="n">
        <v>971.9299999999999</v>
      </c>
      <c r="F2017" s="94" t="n">
        <v>14</v>
      </c>
      <c r="G2017" s="102" t="n">
        <v>0</v>
      </c>
      <c r="H2017" s="94" t="n">
        <v>0</v>
      </c>
    </row>
    <row r="2018" ht="15" customHeight="1" s="82">
      <c r="A2018" s="94" t="inlineStr">
        <is>
          <t>107 - Pharmacies</t>
        </is>
      </c>
      <c r="B2018" s="94" t="inlineStr">
        <is>
          <t>156903 טל שחר ב.מ</t>
        </is>
      </c>
      <c r="C2018" s="94" t="inlineStr">
        <is>
          <t>INV68558</t>
        </is>
      </c>
      <c r="D2018" s="94" t="inlineStr">
        <is>
          <t>INV</t>
        </is>
      </c>
      <c r="E2018" s="102" t="n">
        <v>0</v>
      </c>
      <c r="F2018" s="94" t="n">
        <v>0</v>
      </c>
      <c r="G2018" s="102" t="n">
        <v>969.73</v>
      </c>
      <c r="H2018" s="94" t="n">
        <v>12</v>
      </c>
    </row>
    <row r="2019" ht="15" customHeight="1" s="82">
      <c r="A2019" s="94" t="inlineStr">
        <is>
          <t>107 - Pharmacies</t>
        </is>
      </c>
      <c r="B2019" s="94" t="inlineStr">
        <is>
          <t>156903 טל שחר ב.מ</t>
        </is>
      </c>
      <c r="C2019" s="94" t="inlineStr">
        <is>
          <t>INV40376</t>
        </is>
      </c>
      <c r="D2019" s="94" t="inlineStr">
        <is>
          <t>INV</t>
        </is>
      </c>
      <c r="E2019" s="102" t="n">
        <v>938.03</v>
      </c>
      <c r="F2019" s="94" t="n">
        <v>16</v>
      </c>
      <c r="G2019" s="102" t="n">
        <v>0</v>
      </c>
      <c r="H2019" s="94" t="n">
        <v>0</v>
      </c>
    </row>
    <row r="2020" ht="15" customHeight="1" s="82">
      <c r="A2020" s="94" t="inlineStr">
        <is>
          <t>107 - Pharmacies</t>
        </is>
      </c>
      <c r="B2020" s="94" t="inlineStr">
        <is>
          <t>156903 טל שחר ב.מ</t>
        </is>
      </c>
      <c r="C2020" s="94" t="inlineStr">
        <is>
          <t>INV66979</t>
        </is>
      </c>
      <c r="D2020" s="94" t="inlineStr">
        <is>
          <t>INV</t>
        </is>
      </c>
      <c r="E2020" s="102" t="n">
        <v>933.0700000000001</v>
      </c>
      <c r="F2020" s="94" t="n">
        <v>13</v>
      </c>
      <c r="G2020" s="102" t="n">
        <v>0</v>
      </c>
      <c r="H2020" s="94" t="n">
        <v>0</v>
      </c>
    </row>
    <row r="2021" ht="15" customHeight="1" s="82">
      <c r="A2021" s="94" t="inlineStr">
        <is>
          <t>107 - Pharmacies</t>
        </is>
      </c>
      <c r="B2021" s="94" t="inlineStr">
        <is>
          <t>156903 טל שחר ב.מ</t>
        </is>
      </c>
      <c r="C2021" s="94" t="inlineStr">
        <is>
          <t>INV51796</t>
        </is>
      </c>
      <c r="D2021" s="94" t="inlineStr">
        <is>
          <t>INV</t>
        </is>
      </c>
      <c r="E2021" s="102" t="n">
        <v>905.24</v>
      </c>
      <c r="F2021" s="94" t="n">
        <v>7</v>
      </c>
      <c r="G2021" s="102" t="n">
        <v>0</v>
      </c>
      <c r="H2021" s="94" t="n">
        <v>0</v>
      </c>
    </row>
    <row r="2022" ht="15" customHeight="1" s="82">
      <c r="A2022" s="94" t="inlineStr">
        <is>
          <t>107 - Pharmacies</t>
        </is>
      </c>
      <c r="B2022" s="94" t="inlineStr">
        <is>
          <t>156903 טל שחר ב.מ</t>
        </is>
      </c>
      <c r="C2022" s="94" t="inlineStr">
        <is>
          <t>INV68231</t>
        </is>
      </c>
      <c r="D2022" s="94" t="inlineStr">
        <is>
          <t>INV</t>
        </is>
      </c>
      <c r="E2022" s="102" t="n">
        <v>0</v>
      </c>
      <c r="F2022" s="94" t="n">
        <v>0</v>
      </c>
      <c r="G2022" s="102" t="n">
        <v>892.91</v>
      </c>
      <c r="H2022" s="94" t="n">
        <v>10</v>
      </c>
    </row>
    <row r="2023" ht="15" customHeight="1" s="82">
      <c r="A2023" s="94" t="inlineStr">
        <is>
          <t>107 - Pharmacies</t>
        </is>
      </c>
      <c r="B2023" s="94" t="inlineStr">
        <is>
          <t>156903 טל שחר ב.מ</t>
        </is>
      </c>
      <c r="C2023" s="94" t="inlineStr">
        <is>
          <t>INV65727</t>
        </is>
      </c>
      <c r="D2023" s="94" t="inlineStr">
        <is>
          <t>INV</t>
        </is>
      </c>
      <c r="E2023" s="102" t="n">
        <v>890.3</v>
      </c>
      <c r="F2023" s="94" t="n">
        <v>6</v>
      </c>
      <c r="G2023" s="102" t="n">
        <v>0</v>
      </c>
      <c r="H2023" s="94" t="n">
        <v>0</v>
      </c>
    </row>
    <row r="2024" ht="15" customHeight="1" s="82">
      <c r="A2024" s="94" t="inlineStr">
        <is>
          <t>107 - Pharmacies</t>
        </is>
      </c>
      <c r="B2024" s="94" t="inlineStr">
        <is>
          <t>156903 טל שחר ב.מ</t>
        </is>
      </c>
      <c r="C2024" s="94" t="inlineStr">
        <is>
          <t>INV67435</t>
        </is>
      </c>
      <c r="D2024" s="94" t="inlineStr">
        <is>
          <t>INV</t>
        </is>
      </c>
      <c r="E2024" s="102" t="n">
        <v>0</v>
      </c>
      <c r="F2024" s="94" t="n">
        <v>0</v>
      </c>
      <c r="G2024" s="102" t="n">
        <v>888.61</v>
      </c>
      <c r="H2024" s="94" t="n">
        <v>12</v>
      </c>
    </row>
    <row r="2025" ht="15" customHeight="1" s="82">
      <c r="A2025" s="94" t="inlineStr">
        <is>
          <t>107 - Pharmacies</t>
        </is>
      </c>
      <c r="B2025" s="94" t="inlineStr">
        <is>
          <t>156903 טל שחר ב.מ</t>
        </is>
      </c>
      <c r="C2025" s="94" t="inlineStr">
        <is>
          <t>INV69048</t>
        </is>
      </c>
      <c r="D2025" s="94" t="inlineStr">
        <is>
          <t>INV</t>
        </is>
      </c>
      <c r="E2025" s="102" t="n">
        <v>0</v>
      </c>
      <c r="F2025" s="94" t="n">
        <v>0</v>
      </c>
      <c r="G2025" s="102" t="n">
        <v>884.38</v>
      </c>
      <c r="H2025" s="94" t="n">
        <v>11</v>
      </c>
    </row>
    <row r="2026" ht="15" customHeight="1" s="82">
      <c r="A2026" s="94" t="inlineStr">
        <is>
          <t>107 - Pharmacies</t>
        </is>
      </c>
      <c r="B2026" s="94" t="inlineStr">
        <is>
          <t>156903 טל שחר ב.מ</t>
        </is>
      </c>
      <c r="C2026" s="94" t="inlineStr">
        <is>
          <t>INV56053</t>
        </is>
      </c>
      <c r="D2026" s="94" t="inlineStr">
        <is>
          <t>INV</t>
        </is>
      </c>
      <c r="E2026" s="102" t="n">
        <v>882.4400000000001</v>
      </c>
      <c r="F2026" s="94" t="n">
        <v>14</v>
      </c>
      <c r="G2026" s="102" t="n">
        <v>0</v>
      </c>
      <c r="H2026" s="94" t="n">
        <v>0</v>
      </c>
    </row>
    <row r="2027" ht="15" customHeight="1" s="82">
      <c r="A2027" s="94" t="inlineStr">
        <is>
          <t>107 - Pharmacies</t>
        </is>
      </c>
      <c r="B2027" s="94" t="inlineStr">
        <is>
          <t>156903 טל שחר ב.מ</t>
        </is>
      </c>
      <c r="C2027" s="94" t="inlineStr">
        <is>
          <t>INV67201</t>
        </is>
      </c>
      <c r="D2027" s="94" t="inlineStr">
        <is>
          <t>INV</t>
        </is>
      </c>
      <c r="E2027" s="102" t="n">
        <v>0</v>
      </c>
      <c r="F2027" s="94" t="n">
        <v>0</v>
      </c>
      <c r="G2027" s="102" t="n">
        <v>881.03</v>
      </c>
      <c r="H2027" s="94" t="n">
        <v>16</v>
      </c>
    </row>
    <row r="2028" ht="15" customHeight="1" s="82">
      <c r="A2028" s="94" t="inlineStr">
        <is>
          <t>107 - Pharmacies</t>
        </is>
      </c>
      <c r="B2028" s="94" t="inlineStr">
        <is>
          <t>156903 טל שחר ב.מ</t>
        </is>
      </c>
      <c r="C2028" s="94" t="inlineStr">
        <is>
          <t>INV67145</t>
        </is>
      </c>
      <c r="D2028" s="94" t="inlineStr">
        <is>
          <t>INV</t>
        </is>
      </c>
      <c r="E2028" s="102" t="n">
        <v>880.71</v>
      </c>
      <c r="F2028" s="94" t="n">
        <v>11</v>
      </c>
      <c r="G2028" s="102" t="n">
        <v>0</v>
      </c>
      <c r="H2028" s="94" t="n">
        <v>0</v>
      </c>
    </row>
    <row r="2029" ht="15" customHeight="1" s="82">
      <c r="A2029" s="94" t="inlineStr">
        <is>
          <t>107 - Pharmacies</t>
        </is>
      </c>
      <c r="B2029" s="94" t="inlineStr">
        <is>
          <t>156903 טל שחר ב.מ</t>
        </is>
      </c>
      <c r="C2029" s="94" t="inlineStr">
        <is>
          <t>INV61932</t>
        </is>
      </c>
      <c r="D2029" s="94" t="inlineStr">
        <is>
          <t>INV</t>
        </is>
      </c>
      <c r="E2029" s="102" t="n">
        <v>869.63</v>
      </c>
      <c r="F2029" s="94" t="n">
        <v>7</v>
      </c>
      <c r="G2029" s="102" t="n">
        <v>0</v>
      </c>
      <c r="H2029" s="94" t="n">
        <v>0</v>
      </c>
    </row>
    <row r="2030" ht="15" customHeight="1" s="82">
      <c r="A2030" s="94" t="inlineStr">
        <is>
          <t>107 - Pharmacies</t>
        </is>
      </c>
      <c r="B2030" s="94" t="inlineStr">
        <is>
          <t>156903 טל שחר ב.מ</t>
        </is>
      </c>
      <c r="C2030" s="94" t="inlineStr">
        <is>
          <t>INV44213</t>
        </is>
      </c>
      <c r="D2030" s="94" t="inlineStr">
        <is>
          <t>INV</t>
        </is>
      </c>
      <c r="E2030" s="102" t="n">
        <v>840.47</v>
      </c>
      <c r="F2030" s="94" t="n">
        <v>20</v>
      </c>
      <c r="G2030" s="102" t="n">
        <v>0</v>
      </c>
      <c r="H2030" s="94" t="n">
        <v>0</v>
      </c>
    </row>
    <row r="2031" ht="15" customHeight="1" s="82">
      <c r="A2031" s="94" t="inlineStr">
        <is>
          <t>107 - Pharmacies</t>
        </is>
      </c>
      <c r="B2031" s="94" t="inlineStr">
        <is>
          <t>156903 טל שחר ב.מ</t>
        </is>
      </c>
      <c r="C2031" s="94" t="inlineStr">
        <is>
          <t>INV68510</t>
        </is>
      </c>
      <c r="D2031" s="94" t="inlineStr">
        <is>
          <t>INV</t>
        </is>
      </c>
      <c r="E2031" s="102" t="n">
        <v>0</v>
      </c>
      <c r="F2031" s="94" t="n">
        <v>0</v>
      </c>
      <c r="G2031" s="102" t="n">
        <v>831.58</v>
      </c>
      <c r="H2031" s="94" t="n">
        <v>9</v>
      </c>
    </row>
    <row r="2032" ht="15" customHeight="1" s="82">
      <c r="A2032" s="94" t="inlineStr">
        <is>
          <t>107 - Pharmacies</t>
        </is>
      </c>
      <c r="B2032" s="94" t="inlineStr">
        <is>
          <t>156903 טל שחר ב.מ</t>
        </is>
      </c>
      <c r="C2032" s="94" t="inlineStr">
        <is>
          <t>INV69285</t>
        </is>
      </c>
      <c r="D2032" s="94" t="inlineStr">
        <is>
          <t>INV</t>
        </is>
      </c>
      <c r="E2032" s="102" t="n">
        <v>0</v>
      </c>
      <c r="F2032" s="94" t="n">
        <v>0</v>
      </c>
      <c r="G2032" s="102" t="n">
        <v>825.04</v>
      </c>
      <c r="H2032" s="94" t="n">
        <v>8</v>
      </c>
    </row>
    <row r="2033" ht="15" customHeight="1" s="82">
      <c r="A2033" s="94" t="inlineStr">
        <is>
          <t>107 - Pharmacies</t>
        </is>
      </c>
      <c r="B2033" s="94" t="inlineStr">
        <is>
          <t>156903 טל שחר ב.מ</t>
        </is>
      </c>
      <c r="C2033" s="94" t="inlineStr">
        <is>
          <t>INV68423</t>
        </is>
      </c>
      <c r="D2033" s="94" t="inlineStr">
        <is>
          <t>INV</t>
        </is>
      </c>
      <c r="E2033" s="102" t="n">
        <v>0</v>
      </c>
      <c r="F2033" s="94" t="n">
        <v>0</v>
      </c>
      <c r="G2033" s="102" t="n">
        <v>807.8099999999999</v>
      </c>
      <c r="H2033" s="94" t="n">
        <v>6</v>
      </c>
    </row>
    <row r="2034" ht="15" customHeight="1" s="82">
      <c r="A2034" s="94" t="inlineStr">
        <is>
          <t>107 - Pharmacies</t>
        </is>
      </c>
      <c r="B2034" s="94" t="inlineStr">
        <is>
          <t>156903 טל שחר ב.מ</t>
        </is>
      </c>
      <c r="C2034" s="94" t="inlineStr">
        <is>
          <t>INV68470</t>
        </is>
      </c>
      <c r="D2034" s="94" t="inlineStr">
        <is>
          <t>INV</t>
        </is>
      </c>
      <c r="E2034" s="102" t="n">
        <v>0</v>
      </c>
      <c r="F2034" s="94" t="n">
        <v>0</v>
      </c>
      <c r="G2034" s="102" t="n">
        <v>790.04</v>
      </c>
      <c r="H2034" s="94" t="n">
        <v>15</v>
      </c>
    </row>
    <row r="2035" ht="15" customHeight="1" s="82">
      <c r="A2035" s="94" t="inlineStr">
        <is>
          <t>107 - Pharmacies</t>
        </is>
      </c>
      <c r="B2035" s="94" t="inlineStr">
        <is>
          <t>156903 טל שחר ב.מ</t>
        </is>
      </c>
      <c r="C2035" s="94" t="inlineStr">
        <is>
          <t>INV68363</t>
        </is>
      </c>
      <c r="D2035" s="94" t="inlineStr">
        <is>
          <t>INV</t>
        </is>
      </c>
      <c r="E2035" s="102" t="n">
        <v>0</v>
      </c>
      <c r="F2035" s="94" t="n">
        <v>0</v>
      </c>
      <c r="G2035" s="102" t="n">
        <v>776.4400000000001</v>
      </c>
      <c r="H2035" s="94" t="n">
        <v>15</v>
      </c>
    </row>
    <row r="2036" ht="15" customHeight="1" s="82">
      <c r="A2036" s="94" t="inlineStr">
        <is>
          <t>107 - Pharmacies</t>
        </is>
      </c>
      <c r="B2036" s="94" t="inlineStr">
        <is>
          <t>156903 טל שחר ב.מ</t>
        </is>
      </c>
      <c r="C2036" s="94" t="inlineStr">
        <is>
          <t>INV67584</t>
        </is>
      </c>
      <c r="D2036" s="94" t="inlineStr">
        <is>
          <t>INV</t>
        </is>
      </c>
      <c r="E2036" s="102" t="n">
        <v>0</v>
      </c>
      <c r="F2036" s="94" t="n">
        <v>0</v>
      </c>
      <c r="G2036" s="102" t="n">
        <v>774.28</v>
      </c>
      <c r="H2036" s="94" t="n">
        <v>10</v>
      </c>
    </row>
    <row r="2037" ht="15" customHeight="1" s="82">
      <c r="A2037" s="94" t="inlineStr">
        <is>
          <t>107 - Pharmacies</t>
        </is>
      </c>
      <c r="B2037" s="94" t="inlineStr">
        <is>
          <t>156903 טל שחר ב.מ</t>
        </is>
      </c>
      <c r="C2037" s="94" t="inlineStr">
        <is>
          <t>INV65988</t>
        </is>
      </c>
      <c r="D2037" s="94" t="inlineStr">
        <is>
          <t>INV</t>
        </is>
      </c>
      <c r="E2037" s="102" t="n">
        <v>769.0599999999999</v>
      </c>
      <c r="F2037" s="94" t="n">
        <v>11</v>
      </c>
      <c r="G2037" s="102" t="n">
        <v>0</v>
      </c>
      <c r="H2037" s="94" t="n">
        <v>0</v>
      </c>
    </row>
    <row r="2038" ht="15" customHeight="1" s="82">
      <c r="A2038" s="94" t="inlineStr">
        <is>
          <t>107 - Pharmacies</t>
        </is>
      </c>
      <c r="B2038" s="94" t="inlineStr">
        <is>
          <t>156903 טל שחר ב.מ</t>
        </is>
      </c>
      <c r="C2038" s="94" t="inlineStr">
        <is>
          <t>INV68906</t>
        </is>
      </c>
      <c r="D2038" s="94" t="inlineStr">
        <is>
          <t>INV</t>
        </is>
      </c>
      <c r="E2038" s="102" t="n">
        <v>0</v>
      </c>
      <c r="F2038" s="94" t="n">
        <v>0</v>
      </c>
      <c r="G2038" s="102" t="n">
        <v>767.53</v>
      </c>
      <c r="H2038" s="94" t="n">
        <v>15</v>
      </c>
    </row>
    <row r="2039" ht="15" customHeight="1" s="82">
      <c r="A2039" s="94" t="inlineStr">
        <is>
          <t>107 - Pharmacies</t>
        </is>
      </c>
      <c r="B2039" s="94" t="inlineStr">
        <is>
          <t>156903 טל שחר ב.מ</t>
        </is>
      </c>
      <c r="C2039" s="94" t="inlineStr">
        <is>
          <t>INV68069</t>
        </is>
      </c>
      <c r="D2039" s="94" t="inlineStr">
        <is>
          <t>INV</t>
        </is>
      </c>
      <c r="E2039" s="102" t="n">
        <v>0</v>
      </c>
      <c r="F2039" s="94" t="n">
        <v>0</v>
      </c>
      <c r="G2039" s="102" t="n">
        <v>767.11</v>
      </c>
      <c r="H2039" s="94" t="n">
        <v>14</v>
      </c>
    </row>
    <row r="2040" ht="15" customHeight="1" s="82">
      <c r="A2040" s="94" t="inlineStr">
        <is>
          <t>107 - Pharmacies</t>
        </is>
      </c>
      <c r="B2040" s="94" t="inlineStr">
        <is>
          <t>156903 טל שחר ב.מ</t>
        </is>
      </c>
      <c r="C2040" s="94" t="inlineStr">
        <is>
          <t>INV65432</t>
        </is>
      </c>
      <c r="D2040" s="94" t="inlineStr">
        <is>
          <t>INV</t>
        </is>
      </c>
      <c r="E2040" s="102" t="n">
        <v>756.72</v>
      </c>
      <c r="F2040" s="94" t="n">
        <v>6</v>
      </c>
      <c r="G2040" s="102" t="n">
        <v>0</v>
      </c>
      <c r="H2040" s="94" t="n">
        <v>0</v>
      </c>
    </row>
    <row r="2041" ht="15" customHeight="1" s="82">
      <c r="A2041" s="94" t="inlineStr">
        <is>
          <t>107 - Pharmacies</t>
        </is>
      </c>
      <c r="B2041" s="94" t="inlineStr">
        <is>
          <t>156903 טל שחר ב.מ</t>
        </is>
      </c>
      <c r="C2041" s="94" t="inlineStr">
        <is>
          <t>INV47215</t>
        </is>
      </c>
      <c r="D2041" s="94" t="inlineStr">
        <is>
          <t>INV</t>
        </is>
      </c>
      <c r="E2041" s="102" t="n">
        <v>739.49</v>
      </c>
      <c r="F2041" s="94" t="n">
        <v>20</v>
      </c>
      <c r="G2041" s="102" t="n">
        <v>0</v>
      </c>
      <c r="H2041" s="94" t="n">
        <v>0</v>
      </c>
    </row>
    <row r="2042" ht="15" customHeight="1" s="82">
      <c r="A2042" s="94" t="inlineStr">
        <is>
          <t>107 - Pharmacies</t>
        </is>
      </c>
      <c r="B2042" s="94" t="inlineStr">
        <is>
          <t>156903 טל שחר ב.מ</t>
        </is>
      </c>
      <c r="C2042" s="94" t="inlineStr">
        <is>
          <t>INV68939</t>
        </is>
      </c>
      <c r="D2042" s="94" t="inlineStr">
        <is>
          <t>INV</t>
        </is>
      </c>
      <c r="E2042" s="102" t="n">
        <v>0</v>
      </c>
      <c r="F2042" s="94" t="n">
        <v>0</v>
      </c>
      <c r="G2042" s="102" t="n">
        <v>734.42</v>
      </c>
      <c r="H2042" s="94" t="n">
        <v>11</v>
      </c>
    </row>
    <row r="2043" ht="15" customHeight="1" s="82">
      <c r="A2043" s="94" t="inlineStr">
        <is>
          <t>107 - Pharmacies</t>
        </is>
      </c>
      <c r="B2043" s="94" t="inlineStr">
        <is>
          <t>156903 טל שחר ב.מ</t>
        </is>
      </c>
      <c r="C2043" s="94" t="inlineStr">
        <is>
          <t>INV68636</t>
        </is>
      </c>
      <c r="D2043" s="94" t="inlineStr">
        <is>
          <t>INV</t>
        </is>
      </c>
      <c r="E2043" s="102" t="n">
        <v>0</v>
      </c>
      <c r="F2043" s="94" t="n">
        <v>0</v>
      </c>
      <c r="G2043" s="102" t="n">
        <v>730.63</v>
      </c>
      <c r="H2043" s="94" t="n">
        <v>12</v>
      </c>
    </row>
    <row r="2044" ht="15" customHeight="1" s="82">
      <c r="A2044" s="94" t="inlineStr">
        <is>
          <t>107 - Pharmacies</t>
        </is>
      </c>
      <c r="B2044" s="94" t="inlineStr">
        <is>
          <t>156903 טל שחר ב.מ</t>
        </is>
      </c>
      <c r="C2044" s="94" t="inlineStr">
        <is>
          <t>INV65534</t>
        </is>
      </c>
      <c r="D2044" s="94" t="inlineStr">
        <is>
          <t>INV</t>
        </is>
      </c>
      <c r="E2044" s="102" t="n">
        <v>730.03</v>
      </c>
      <c r="F2044" s="94" t="n">
        <v>15</v>
      </c>
      <c r="G2044" s="102" t="n">
        <v>0</v>
      </c>
      <c r="H2044" s="94" t="n">
        <v>0</v>
      </c>
    </row>
    <row r="2045" ht="15" customHeight="1" s="82">
      <c r="A2045" s="94" t="inlineStr">
        <is>
          <t>107 - Pharmacies</t>
        </is>
      </c>
      <c r="B2045" s="94" t="inlineStr">
        <is>
          <t>156903 טל שחר ב.מ</t>
        </is>
      </c>
      <c r="C2045" s="94" t="inlineStr">
        <is>
          <t>INV66805</t>
        </is>
      </c>
      <c r="D2045" s="94" t="inlineStr">
        <is>
          <t>INV</t>
        </is>
      </c>
      <c r="E2045" s="102" t="n">
        <v>727.53</v>
      </c>
      <c r="F2045" s="94" t="n">
        <v>9</v>
      </c>
      <c r="G2045" s="102" t="n">
        <v>0</v>
      </c>
      <c r="H2045" s="94" t="n">
        <v>0</v>
      </c>
    </row>
    <row r="2046" ht="15" customHeight="1" s="82">
      <c r="A2046" s="94" t="inlineStr">
        <is>
          <t>107 - Pharmacies</t>
        </is>
      </c>
      <c r="B2046" s="94" t="inlineStr">
        <is>
          <t>156903 טל שחר ב.מ</t>
        </is>
      </c>
      <c r="C2046" s="94" t="inlineStr">
        <is>
          <t>INV68583</t>
        </is>
      </c>
      <c r="D2046" s="94" t="inlineStr">
        <is>
          <t>INV</t>
        </is>
      </c>
      <c r="E2046" s="102" t="n">
        <v>0</v>
      </c>
      <c r="F2046" s="94" t="n">
        <v>0</v>
      </c>
      <c r="G2046" s="102" t="n">
        <v>720.92</v>
      </c>
      <c r="H2046" s="94" t="n">
        <v>10</v>
      </c>
    </row>
    <row r="2047" ht="15" customHeight="1" s="82">
      <c r="A2047" s="94" t="inlineStr">
        <is>
          <t>107 - Pharmacies</t>
        </is>
      </c>
      <c r="B2047" s="94" t="inlineStr">
        <is>
          <t>156903 טל שחר ב.מ</t>
        </is>
      </c>
      <c r="C2047" s="94" t="inlineStr">
        <is>
          <t>INV68865</t>
        </is>
      </c>
      <c r="D2047" s="94" t="inlineStr">
        <is>
          <t>INV</t>
        </is>
      </c>
      <c r="E2047" s="102" t="n">
        <v>0</v>
      </c>
      <c r="F2047" s="94" t="n">
        <v>0</v>
      </c>
      <c r="G2047" s="102" t="n">
        <v>719.59</v>
      </c>
      <c r="H2047" s="94" t="n">
        <v>8</v>
      </c>
    </row>
    <row r="2048" ht="15" customHeight="1" s="82">
      <c r="A2048" s="94" t="inlineStr">
        <is>
          <t>107 - Pharmacies</t>
        </is>
      </c>
      <c r="B2048" s="94" t="inlineStr">
        <is>
          <t>156903 טל שחר ב.מ</t>
        </is>
      </c>
      <c r="C2048" s="94" t="inlineStr">
        <is>
          <t>INV67831</t>
        </is>
      </c>
      <c r="D2048" s="94" t="inlineStr">
        <is>
          <t>INV</t>
        </is>
      </c>
      <c r="E2048" s="102" t="n">
        <v>0</v>
      </c>
      <c r="F2048" s="94" t="n">
        <v>0</v>
      </c>
      <c r="G2048" s="102" t="n">
        <v>709.84</v>
      </c>
      <c r="H2048" s="94" t="n">
        <v>16</v>
      </c>
    </row>
    <row r="2049" ht="15" customHeight="1" s="82">
      <c r="A2049" s="94" t="inlineStr">
        <is>
          <t>107 - Pharmacies</t>
        </is>
      </c>
      <c r="B2049" s="94" t="inlineStr">
        <is>
          <t>156903 טל שחר ב.מ</t>
        </is>
      </c>
      <c r="C2049" s="94" t="inlineStr">
        <is>
          <t>INV53616</t>
        </is>
      </c>
      <c r="D2049" s="94" t="inlineStr">
        <is>
          <t>INV</t>
        </is>
      </c>
      <c r="E2049" s="102" t="n">
        <v>689.96</v>
      </c>
      <c r="F2049" s="94" t="n">
        <v>10</v>
      </c>
      <c r="G2049" s="102" t="n">
        <v>0</v>
      </c>
      <c r="H2049" s="94" t="n">
        <v>0</v>
      </c>
    </row>
    <row r="2050" ht="15" customHeight="1" s="82">
      <c r="A2050" s="94" t="inlineStr">
        <is>
          <t>107 - Pharmacies</t>
        </is>
      </c>
      <c r="B2050" s="94" t="inlineStr">
        <is>
          <t>156903 טל שחר ב.מ</t>
        </is>
      </c>
      <c r="C2050" s="94" t="inlineStr">
        <is>
          <t>INV67686</t>
        </is>
      </c>
      <c r="D2050" s="94" t="inlineStr">
        <is>
          <t>INV</t>
        </is>
      </c>
      <c r="E2050" s="102" t="n">
        <v>0</v>
      </c>
      <c r="F2050" s="94" t="n">
        <v>0</v>
      </c>
      <c r="G2050" s="102" t="n">
        <v>689.47</v>
      </c>
      <c r="H2050" s="94" t="n">
        <v>17</v>
      </c>
    </row>
    <row r="2051" ht="15" customHeight="1" s="82">
      <c r="A2051" s="94" t="inlineStr">
        <is>
          <t>107 - Pharmacies</t>
        </is>
      </c>
      <c r="B2051" s="94" t="inlineStr">
        <is>
          <t>156903 טל שחר ב.מ</t>
        </is>
      </c>
      <c r="C2051" s="94" t="inlineStr">
        <is>
          <t>INV66644</t>
        </is>
      </c>
      <c r="D2051" s="94" t="inlineStr">
        <is>
          <t>INV</t>
        </is>
      </c>
      <c r="E2051" s="102" t="n">
        <v>681.5</v>
      </c>
      <c r="F2051" s="94" t="n">
        <v>16</v>
      </c>
      <c r="G2051" s="102" t="n">
        <v>0</v>
      </c>
      <c r="H2051" s="94" t="n">
        <v>0</v>
      </c>
    </row>
    <row r="2052" ht="15" customHeight="1" s="82">
      <c r="A2052" s="94" t="inlineStr">
        <is>
          <t>107 - Pharmacies</t>
        </is>
      </c>
      <c r="B2052" s="94" t="inlineStr">
        <is>
          <t>156903 טל שחר ב.מ</t>
        </is>
      </c>
      <c r="C2052" s="94" t="inlineStr">
        <is>
          <t>INV48008</t>
        </is>
      </c>
      <c r="D2052" s="94" t="inlineStr">
        <is>
          <t>INV</t>
        </is>
      </c>
      <c r="E2052" s="102" t="n">
        <v>675.9400000000001</v>
      </c>
      <c r="F2052" s="94" t="n">
        <v>9</v>
      </c>
      <c r="G2052" s="102" t="n">
        <v>0</v>
      </c>
      <c r="H2052" s="94" t="n">
        <v>0</v>
      </c>
    </row>
    <row r="2053" ht="15" customHeight="1" s="82">
      <c r="A2053" s="94" t="inlineStr">
        <is>
          <t>107 - Pharmacies</t>
        </is>
      </c>
      <c r="B2053" s="94" t="inlineStr">
        <is>
          <t>156903 טל שחר ב.מ</t>
        </is>
      </c>
      <c r="C2053" s="94" t="inlineStr">
        <is>
          <t>INV55508</t>
        </is>
      </c>
      <c r="D2053" s="94" t="inlineStr">
        <is>
          <t>INV</t>
        </is>
      </c>
      <c r="E2053" s="102" t="n">
        <v>664.33</v>
      </c>
      <c r="F2053" s="94" t="n">
        <v>7</v>
      </c>
      <c r="G2053" s="102" t="n">
        <v>0</v>
      </c>
      <c r="H2053" s="94" t="n">
        <v>0</v>
      </c>
    </row>
    <row r="2054" ht="15" customHeight="1" s="82">
      <c r="A2054" s="94" t="inlineStr">
        <is>
          <t>107 - Pharmacies</t>
        </is>
      </c>
      <c r="B2054" s="94" t="inlineStr">
        <is>
          <t>156903 טל שחר ב.מ</t>
        </is>
      </c>
      <c r="C2054" s="94" t="inlineStr">
        <is>
          <t>INV65950</t>
        </is>
      </c>
      <c r="D2054" s="94" t="inlineStr">
        <is>
          <t>INV</t>
        </is>
      </c>
      <c r="E2054" s="102" t="n">
        <v>660.37</v>
      </c>
      <c r="F2054" s="94" t="n">
        <v>11</v>
      </c>
      <c r="G2054" s="102" t="n">
        <v>0</v>
      </c>
      <c r="H2054" s="94" t="n">
        <v>0</v>
      </c>
    </row>
    <row r="2055" ht="15" customHeight="1" s="82">
      <c r="A2055" s="94" t="inlineStr">
        <is>
          <t>107 - Pharmacies</t>
        </is>
      </c>
      <c r="B2055" s="94" t="inlineStr">
        <is>
          <t>156903 טל שחר ב.מ</t>
        </is>
      </c>
      <c r="C2055" s="94" t="inlineStr">
        <is>
          <t>INV50498</t>
        </is>
      </c>
      <c r="D2055" s="94" t="inlineStr">
        <is>
          <t>INV</t>
        </is>
      </c>
      <c r="E2055" s="102" t="n">
        <v>650.78</v>
      </c>
      <c r="F2055" s="94" t="n">
        <v>6</v>
      </c>
      <c r="G2055" s="102" t="n">
        <v>0</v>
      </c>
      <c r="H2055" s="94" t="n">
        <v>0</v>
      </c>
    </row>
    <row r="2056" ht="15" customHeight="1" s="82">
      <c r="A2056" s="94" t="inlineStr">
        <is>
          <t>107 - Pharmacies</t>
        </is>
      </c>
      <c r="B2056" s="94" t="inlineStr">
        <is>
          <t>156903 טל שחר ב.מ</t>
        </is>
      </c>
      <c r="C2056" s="94" t="inlineStr">
        <is>
          <t>INV65691</t>
        </is>
      </c>
      <c r="D2056" s="94" t="inlineStr">
        <is>
          <t>INV</t>
        </is>
      </c>
      <c r="E2056" s="102" t="n">
        <v>642.92</v>
      </c>
      <c r="F2056" s="94" t="n">
        <v>14</v>
      </c>
      <c r="G2056" s="102" t="n">
        <v>0</v>
      </c>
      <c r="H2056" s="94" t="n">
        <v>0</v>
      </c>
    </row>
    <row r="2057" ht="15" customHeight="1" s="82">
      <c r="A2057" s="94" t="inlineStr">
        <is>
          <t>107 - Pharmacies</t>
        </is>
      </c>
      <c r="B2057" s="94" t="inlineStr">
        <is>
          <t>156903 טל שחר ב.מ</t>
        </is>
      </c>
      <c r="C2057" s="94" t="inlineStr">
        <is>
          <t>INV48855</t>
        </is>
      </c>
      <c r="D2057" s="94" t="inlineStr">
        <is>
          <t>INV</t>
        </is>
      </c>
      <c r="E2057" s="102" t="n">
        <v>629.84</v>
      </c>
      <c r="F2057" s="94" t="n">
        <v>13</v>
      </c>
      <c r="G2057" s="102" t="n">
        <v>0</v>
      </c>
      <c r="H2057" s="94" t="n">
        <v>0</v>
      </c>
    </row>
    <row r="2058" ht="15" customHeight="1" s="82">
      <c r="A2058" s="94" t="inlineStr">
        <is>
          <t>107 - Pharmacies</t>
        </is>
      </c>
      <c r="B2058" s="94" t="inlineStr">
        <is>
          <t>156903 טל שחר ב.מ</t>
        </is>
      </c>
      <c r="C2058" s="94" t="inlineStr">
        <is>
          <t>INV55058</t>
        </is>
      </c>
      <c r="D2058" s="94" t="inlineStr">
        <is>
          <t>INV</t>
        </is>
      </c>
      <c r="E2058" s="102" t="n">
        <v>624.79</v>
      </c>
      <c r="F2058" s="94" t="n">
        <v>10</v>
      </c>
      <c r="G2058" s="102" t="n">
        <v>0</v>
      </c>
      <c r="H2058" s="94" t="n">
        <v>0</v>
      </c>
    </row>
    <row r="2059" ht="15" customHeight="1" s="82">
      <c r="A2059" s="94" t="inlineStr">
        <is>
          <t>107 - Pharmacies</t>
        </is>
      </c>
      <c r="B2059" s="94" t="inlineStr">
        <is>
          <t>156903 טל שחר ב.מ</t>
        </is>
      </c>
      <c r="C2059" s="94" t="inlineStr">
        <is>
          <t>INV40460</t>
        </is>
      </c>
      <c r="D2059" s="94" t="inlineStr">
        <is>
          <t>INV</t>
        </is>
      </c>
      <c r="E2059" s="102" t="n">
        <v>623.74</v>
      </c>
      <c r="F2059" s="94" t="n">
        <v>6</v>
      </c>
      <c r="G2059" s="102" t="n">
        <v>0</v>
      </c>
      <c r="H2059" s="94" t="n">
        <v>0</v>
      </c>
    </row>
    <row r="2060" ht="15" customHeight="1" s="82">
      <c r="A2060" s="94" t="inlineStr">
        <is>
          <t>107 - Pharmacies</t>
        </is>
      </c>
      <c r="B2060" s="94" t="inlineStr">
        <is>
          <t>156903 טל שחר ב.מ</t>
        </is>
      </c>
      <c r="C2060" s="94" t="inlineStr">
        <is>
          <t>INV67415</t>
        </is>
      </c>
      <c r="D2060" s="94" t="inlineStr">
        <is>
          <t>INV</t>
        </is>
      </c>
      <c r="E2060" s="102" t="n">
        <v>0</v>
      </c>
      <c r="F2060" s="94" t="n">
        <v>0</v>
      </c>
      <c r="G2060" s="102" t="n">
        <v>619.9</v>
      </c>
      <c r="H2060" s="94" t="n">
        <v>15</v>
      </c>
    </row>
    <row r="2061" ht="15" customHeight="1" s="82">
      <c r="A2061" s="94" t="inlineStr">
        <is>
          <t>107 - Pharmacies</t>
        </is>
      </c>
      <c r="B2061" s="94" t="inlineStr">
        <is>
          <t>156903 טל שחר ב.מ</t>
        </is>
      </c>
      <c r="C2061" s="94" t="inlineStr">
        <is>
          <t>INV68789</t>
        </is>
      </c>
      <c r="D2061" s="94" t="inlineStr">
        <is>
          <t>INV</t>
        </is>
      </c>
      <c r="E2061" s="102" t="n">
        <v>0</v>
      </c>
      <c r="F2061" s="94" t="n">
        <v>0</v>
      </c>
      <c r="G2061" s="102" t="n">
        <v>615.27</v>
      </c>
      <c r="H2061" s="94" t="n">
        <v>13</v>
      </c>
    </row>
    <row r="2062" ht="15" customHeight="1" s="82">
      <c r="A2062" s="94" t="inlineStr">
        <is>
          <t>107 - Pharmacies</t>
        </is>
      </c>
      <c r="B2062" s="94" t="inlineStr">
        <is>
          <t>156903 טל שחר ב.מ</t>
        </is>
      </c>
      <c r="C2062" s="94" t="inlineStr">
        <is>
          <t>INV67674</t>
        </is>
      </c>
      <c r="D2062" s="94" t="inlineStr">
        <is>
          <t>INV</t>
        </is>
      </c>
      <c r="E2062" s="102" t="n">
        <v>0</v>
      </c>
      <c r="F2062" s="94" t="n">
        <v>0</v>
      </c>
      <c r="G2062" s="102" t="n">
        <v>605.29</v>
      </c>
      <c r="H2062" s="94" t="n">
        <v>7</v>
      </c>
    </row>
    <row r="2063" ht="15" customHeight="1" s="82">
      <c r="A2063" s="94" t="inlineStr">
        <is>
          <t>107 - Pharmacies</t>
        </is>
      </c>
      <c r="B2063" s="94" t="inlineStr">
        <is>
          <t>156903 טל שחר ב.מ</t>
        </is>
      </c>
      <c r="C2063" s="94" t="inlineStr">
        <is>
          <t>INV68962</t>
        </is>
      </c>
      <c r="D2063" s="94" t="inlineStr">
        <is>
          <t>INV</t>
        </is>
      </c>
      <c r="E2063" s="102" t="n">
        <v>0</v>
      </c>
      <c r="F2063" s="94" t="n">
        <v>0</v>
      </c>
      <c r="G2063" s="102" t="n">
        <v>600.53</v>
      </c>
      <c r="H2063" s="94" t="n">
        <v>8</v>
      </c>
    </row>
    <row r="2064" ht="15" customHeight="1" s="82">
      <c r="A2064" s="94" t="inlineStr">
        <is>
          <t>107 - Pharmacies</t>
        </is>
      </c>
      <c r="B2064" s="94" t="inlineStr">
        <is>
          <t>156903 טל שחר ב.מ</t>
        </is>
      </c>
      <c r="C2064" s="94" t="inlineStr">
        <is>
          <t>INV59564</t>
        </is>
      </c>
      <c r="D2064" s="94" t="inlineStr">
        <is>
          <t>INV</t>
        </is>
      </c>
      <c r="E2064" s="102" t="n">
        <v>593.55</v>
      </c>
      <c r="F2064" s="94" t="n">
        <v>7</v>
      </c>
      <c r="G2064" s="102" t="n">
        <v>0</v>
      </c>
      <c r="H2064" s="94" t="n">
        <v>0</v>
      </c>
    </row>
    <row r="2065" ht="15" customHeight="1" s="82">
      <c r="A2065" s="94" t="inlineStr">
        <is>
          <t>107 - Pharmacies</t>
        </is>
      </c>
      <c r="B2065" s="94" t="inlineStr">
        <is>
          <t>156903 טל שחר ב.מ</t>
        </is>
      </c>
      <c r="C2065" s="94" t="inlineStr">
        <is>
          <t>INV45215</t>
        </is>
      </c>
      <c r="D2065" s="94" t="inlineStr">
        <is>
          <t>INV</t>
        </is>
      </c>
      <c r="E2065" s="102" t="n">
        <v>588.27</v>
      </c>
      <c r="F2065" s="94" t="n">
        <v>6</v>
      </c>
      <c r="G2065" s="102" t="n">
        <v>0</v>
      </c>
      <c r="H2065" s="94" t="n">
        <v>0</v>
      </c>
    </row>
    <row r="2066" ht="15" customHeight="1" s="82">
      <c r="A2066" s="94" t="inlineStr">
        <is>
          <t>107 - Pharmacies</t>
        </is>
      </c>
      <c r="B2066" s="94" t="inlineStr">
        <is>
          <t>156903 טל שחר ב.מ</t>
        </is>
      </c>
      <c r="C2066" s="94" t="inlineStr">
        <is>
          <t>INV53240</t>
        </is>
      </c>
      <c r="D2066" s="94" t="inlineStr">
        <is>
          <t>INV</t>
        </is>
      </c>
      <c r="E2066" s="102" t="n">
        <v>585.52</v>
      </c>
      <c r="F2066" s="94" t="n">
        <v>8</v>
      </c>
      <c r="G2066" s="102" t="n">
        <v>0</v>
      </c>
      <c r="H2066" s="94" t="n">
        <v>0</v>
      </c>
    </row>
    <row r="2067" ht="15" customHeight="1" s="82">
      <c r="A2067" s="94" t="inlineStr">
        <is>
          <t>107 - Pharmacies</t>
        </is>
      </c>
      <c r="B2067" s="94" t="inlineStr">
        <is>
          <t>156903 טל שחר ב.מ</t>
        </is>
      </c>
      <c r="C2067" s="94" t="inlineStr">
        <is>
          <t>INV67987</t>
        </is>
      </c>
      <c r="D2067" s="94" t="inlineStr">
        <is>
          <t>INV</t>
        </is>
      </c>
      <c r="E2067" s="102" t="n">
        <v>0</v>
      </c>
      <c r="F2067" s="94" t="n">
        <v>0</v>
      </c>
      <c r="G2067" s="102" t="n">
        <v>580.3</v>
      </c>
      <c r="H2067" s="94" t="n">
        <v>10</v>
      </c>
    </row>
    <row r="2068" ht="15" customHeight="1" s="82">
      <c r="A2068" s="94" t="inlineStr">
        <is>
          <t>107 - Pharmacies</t>
        </is>
      </c>
      <c r="B2068" s="94" t="inlineStr">
        <is>
          <t>156903 טל שחר ב.מ</t>
        </is>
      </c>
      <c r="C2068" s="94" t="inlineStr">
        <is>
          <t>INV51068</t>
        </is>
      </c>
      <c r="D2068" s="94" t="inlineStr">
        <is>
          <t>INV</t>
        </is>
      </c>
      <c r="E2068" s="102" t="n">
        <v>578.92</v>
      </c>
      <c r="F2068" s="94" t="n">
        <v>9</v>
      </c>
      <c r="G2068" s="102" t="n">
        <v>0</v>
      </c>
      <c r="H2068" s="94" t="n">
        <v>0</v>
      </c>
    </row>
    <row r="2069" ht="15" customHeight="1" s="82">
      <c r="A2069" s="94" t="inlineStr">
        <is>
          <t>107 - Pharmacies</t>
        </is>
      </c>
      <c r="B2069" s="94" t="inlineStr">
        <is>
          <t>156903 טל שחר ב.מ</t>
        </is>
      </c>
      <c r="C2069" s="94" t="inlineStr">
        <is>
          <t>INV59987</t>
        </is>
      </c>
      <c r="D2069" s="94" t="inlineStr">
        <is>
          <t>INV</t>
        </is>
      </c>
      <c r="E2069" s="102" t="n">
        <v>573.88</v>
      </c>
      <c r="F2069" s="94" t="n">
        <v>9</v>
      </c>
      <c r="G2069" s="102" t="n">
        <v>0</v>
      </c>
      <c r="H2069" s="94" t="n">
        <v>0</v>
      </c>
    </row>
    <row r="2070" ht="15" customHeight="1" s="82">
      <c r="A2070" s="94" t="inlineStr">
        <is>
          <t>107 - Pharmacies</t>
        </is>
      </c>
      <c r="B2070" s="94" t="inlineStr">
        <is>
          <t>156903 טל שחר ב.מ</t>
        </is>
      </c>
      <c r="C2070" s="94" t="inlineStr">
        <is>
          <t>INV68274</t>
        </is>
      </c>
      <c r="D2070" s="94" t="inlineStr">
        <is>
          <t>INV</t>
        </is>
      </c>
      <c r="E2070" s="102" t="n">
        <v>0</v>
      </c>
      <c r="F2070" s="94" t="n">
        <v>0</v>
      </c>
      <c r="G2070" s="102" t="n">
        <v>573.79</v>
      </c>
      <c r="H2070" s="94" t="n">
        <v>19</v>
      </c>
    </row>
    <row r="2071" ht="15" customHeight="1" s="82">
      <c r="A2071" s="94" t="inlineStr">
        <is>
          <t>107 - Pharmacies</t>
        </is>
      </c>
      <c r="B2071" s="94" t="inlineStr">
        <is>
          <t>156903 טל שחר ב.מ</t>
        </is>
      </c>
      <c r="C2071" s="94" t="inlineStr">
        <is>
          <t>INV44407</t>
        </is>
      </c>
      <c r="D2071" s="94" t="inlineStr">
        <is>
          <t>INV</t>
        </is>
      </c>
      <c r="E2071" s="102" t="n">
        <v>562.36</v>
      </c>
      <c r="F2071" s="94" t="n">
        <v>4</v>
      </c>
      <c r="G2071" s="102" t="n">
        <v>0</v>
      </c>
      <c r="H2071" s="94" t="n">
        <v>0</v>
      </c>
    </row>
    <row r="2072" ht="15" customHeight="1" s="82">
      <c r="A2072" s="94" t="inlineStr">
        <is>
          <t>107 - Pharmacies</t>
        </is>
      </c>
      <c r="B2072" s="94" t="inlineStr">
        <is>
          <t>156903 טל שחר ב.מ</t>
        </is>
      </c>
      <c r="C2072" s="94" t="inlineStr">
        <is>
          <t>INV60993</t>
        </is>
      </c>
      <c r="D2072" s="94" t="inlineStr">
        <is>
          <t>INV</t>
        </is>
      </c>
      <c r="E2072" s="102" t="n">
        <v>557.46</v>
      </c>
      <c r="F2072" s="94" t="n">
        <v>7</v>
      </c>
      <c r="G2072" s="102" t="n">
        <v>0</v>
      </c>
      <c r="H2072" s="94" t="n">
        <v>0</v>
      </c>
    </row>
    <row r="2073" ht="15" customHeight="1" s="82">
      <c r="A2073" s="94" t="inlineStr">
        <is>
          <t>107 - Pharmacies</t>
        </is>
      </c>
      <c r="B2073" s="94" t="inlineStr">
        <is>
          <t>156903 טל שחר ב.מ</t>
        </is>
      </c>
      <c r="C2073" s="94" t="inlineStr">
        <is>
          <t>INV60428</t>
        </is>
      </c>
      <c r="D2073" s="94" t="inlineStr">
        <is>
          <t>INV</t>
        </is>
      </c>
      <c r="E2073" s="102" t="n">
        <v>545.41</v>
      </c>
      <c r="F2073" s="94" t="n">
        <v>4</v>
      </c>
      <c r="G2073" s="102" t="n">
        <v>0</v>
      </c>
      <c r="H2073" s="94" t="n">
        <v>0</v>
      </c>
    </row>
    <row r="2074" ht="15" customHeight="1" s="82">
      <c r="A2074" s="94" t="inlineStr">
        <is>
          <t>107 - Pharmacies</t>
        </is>
      </c>
      <c r="B2074" s="94" t="inlineStr">
        <is>
          <t>156903 טל שחר ב.מ</t>
        </is>
      </c>
      <c r="C2074" s="94" t="inlineStr">
        <is>
          <t>INV65770</t>
        </is>
      </c>
      <c r="D2074" s="94" t="inlineStr">
        <is>
          <t>INV</t>
        </is>
      </c>
      <c r="E2074" s="102" t="n">
        <v>538.92</v>
      </c>
      <c r="F2074" s="94" t="n">
        <v>3</v>
      </c>
      <c r="G2074" s="102" t="n">
        <v>0</v>
      </c>
      <c r="H2074" s="94" t="n">
        <v>0</v>
      </c>
    </row>
    <row r="2075" ht="15" customHeight="1" s="82">
      <c r="A2075" s="94" t="inlineStr">
        <is>
          <t>107 - Pharmacies</t>
        </is>
      </c>
      <c r="B2075" s="94" t="inlineStr">
        <is>
          <t>156903 טל שחר ב.מ</t>
        </is>
      </c>
      <c r="C2075" s="94" t="inlineStr">
        <is>
          <t>INV42776</t>
        </is>
      </c>
      <c r="D2075" s="94" t="inlineStr">
        <is>
          <t>INV</t>
        </is>
      </c>
      <c r="E2075" s="102" t="n">
        <v>529.24</v>
      </c>
      <c r="F2075" s="94" t="n">
        <v>15</v>
      </c>
      <c r="G2075" s="102" t="n">
        <v>0</v>
      </c>
      <c r="H2075" s="94" t="n">
        <v>0</v>
      </c>
    </row>
    <row r="2076" ht="15" customHeight="1" s="82">
      <c r="A2076" s="94" t="inlineStr">
        <is>
          <t>107 - Pharmacies</t>
        </is>
      </c>
      <c r="B2076" s="94" t="inlineStr">
        <is>
          <t>156903 טל שחר ב.מ</t>
        </is>
      </c>
      <c r="C2076" s="94" t="inlineStr">
        <is>
          <t>INV67040</t>
        </is>
      </c>
      <c r="D2076" s="94" t="inlineStr">
        <is>
          <t>INV</t>
        </is>
      </c>
      <c r="E2076" s="102" t="n">
        <v>527.49</v>
      </c>
      <c r="F2076" s="94" t="n">
        <v>6</v>
      </c>
      <c r="G2076" s="102" t="n">
        <v>0</v>
      </c>
      <c r="H2076" s="94" t="n">
        <v>0</v>
      </c>
    </row>
    <row r="2077" ht="15" customHeight="1" s="82">
      <c r="A2077" s="94" t="inlineStr">
        <is>
          <t>107 - Pharmacies</t>
        </is>
      </c>
      <c r="B2077" s="94" t="inlineStr">
        <is>
          <t>156903 טל שחר ב.מ</t>
        </is>
      </c>
      <c r="C2077" s="94" t="inlineStr">
        <is>
          <t>INV42827</t>
        </is>
      </c>
      <c r="D2077" s="94" t="inlineStr">
        <is>
          <t>INV</t>
        </is>
      </c>
      <c r="E2077" s="102" t="n">
        <v>519.61</v>
      </c>
      <c r="F2077" s="94" t="n">
        <v>9</v>
      </c>
      <c r="G2077" s="102" t="n">
        <v>0</v>
      </c>
      <c r="H2077" s="94" t="n">
        <v>0</v>
      </c>
    </row>
    <row r="2078" ht="15" customHeight="1" s="82">
      <c r="A2078" s="94" t="inlineStr">
        <is>
          <t>107 - Pharmacies</t>
        </is>
      </c>
      <c r="B2078" s="94" t="inlineStr">
        <is>
          <t>156903 טל שחר ב.מ</t>
        </is>
      </c>
      <c r="C2078" s="94" t="inlineStr">
        <is>
          <t>INV68748</t>
        </is>
      </c>
      <c r="D2078" s="94" t="inlineStr">
        <is>
          <t>INV</t>
        </is>
      </c>
      <c r="E2078" s="102" t="n">
        <v>0</v>
      </c>
      <c r="F2078" s="94" t="n">
        <v>0</v>
      </c>
      <c r="G2078" s="102" t="n">
        <v>498.35</v>
      </c>
      <c r="H2078" s="94" t="n">
        <v>8</v>
      </c>
    </row>
    <row r="2079" ht="15" customHeight="1" s="82">
      <c r="A2079" s="94" t="inlineStr">
        <is>
          <t>107 - Pharmacies</t>
        </is>
      </c>
      <c r="B2079" s="94" t="inlineStr">
        <is>
          <t>156903 טל שחר ב.מ</t>
        </is>
      </c>
      <c r="C2079" s="94" t="inlineStr">
        <is>
          <t>INV68968</t>
        </is>
      </c>
      <c r="D2079" s="94" t="inlineStr">
        <is>
          <t>INV</t>
        </is>
      </c>
      <c r="E2079" s="102" t="n">
        <v>0</v>
      </c>
      <c r="F2079" s="94" t="n">
        <v>0</v>
      </c>
      <c r="G2079" s="102" t="n">
        <v>497.14</v>
      </c>
      <c r="H2079" s="94" t="n">
        <v>4</v>
      </c>
    </row>
    <row r="2080" ht="15" customHeight="1" s="82">
      <c r="A2080" s="94" t="inlineStr">
        <is>
          <t>107 - Pharmacies</t>
        </is>
      </c>
      <c r="B2080" s="94" t="inlineStr">
        <is>
          <t>156903 טל שחר ב.מ</t>
        </is>
      </c>
      <c r="C2080" s="94" t="inlineStr">
        <is>
          <t>INV40717</t>
        </is>
      </c>
      <c r="D2080" s="94" t="inlineStr">
        <is>
          <t>INV</t>
        </is>
      </c>
      <c r="E2080" s="102" t="n">
        <v>485.23</v>
      </c>
      <c r="F2080" s="94" t="n">
        <v>6</v>
      </c>
      <c r="G2080" s="102" t="n">
        <v>0</v>
      </c>
      <c r="H2080" s="94" t="n">
        <v>0</v>
      </c>
    </row>
    <row r="2081" ht="15" customHeight="1" s="82">
      <c r="A2081" s="94" t="inlineStr">
        <is>
          <t>107 - Pharmacies</t>
        </is>
      </c>
      <c r="B2081" s="94" t="inlineStr">
        <is>
          <t>156903 טל שחר ב.מ</t>
        </is>
      </c>
      <c r="C2081" s="94" t="inlineStr">
        <is>
          <t>INV69317</t>
        </is>
      </c>
      <c r="D2081" s="94" t="inlineStr">
        <is>
          <t>INV</t>
        </is>
      </c>
      <c r="E2081" s="102" t="n">
        <v>0</v>
      </c>
      <c r="F2081" s="94" t="n">
        <v>0</v>
      </c>
      <c r="G2081" s="102" t="n">
        <v>481.25</v>
      </c>
      <c r="H2081" s="94" t="n">
        <v>14</v>
      </c>
    </row>
    <row r="2082" ht="15" customHeight="1" s="82">
      <c r="A2082" s="94" t="inlineStr">
        <is>
          <t>107 - Pharmacies</t>
        </is>
      </c>
      <c r="B2082" s="94" t="inlineStr">
        <is>
          <t>156903 טל שחר ב.מ</t>
        </is>
      </c>
      <c r="C2082" s="94" t="inlineStr">
        <is>
          <t>INV66085</t>
        </is>
      </c>
      <c r="D2082" s="94" t="inlineStr">
        <is>
          <t>INV</t>
        </is>
      </c>
      <c r="E2082" s="102" t="n">
        <v>461.32</v>
      </c>
      <c r="F2082" s="94" t="n">
        <v>7</v>
      </c>
      <c r="G2082" s="102" t="n">
        <v>0</v>
      </c>
      <c r="H2082" s="94" t="n">
        <v>0</v>
      </c>
    </row>
    <row r="2083" ht="15" customHeight="1" s="82">
      <c r="A2083" s="94" t="inlineStr">
        <is>
          <t>107 - Pharmacies</t>
        </is>
      </c>
      <c r="B2083" s="94" t="inlineStr">
        <is>
          <t>156903 טל שחר ב.מ</t>
        </is>
      </c>
      <c r="C2083" s="94" t="inlineStr">
        <is>
          <t>INV46581</t>
        </is>
      </c>
      <c r="D2083" s="94" t="inlineStr">
        <is>
          <t>INV</t>
        </is>
      </c>
      <c r="E2083" s="102" t="n">
        <v>458.18</v>
      </c>
      <c r="F2083" s="94" t="n">
        <v>5</v>
      </c>
      <c r="G2083" s="102" t="n">
        <v>0</v>
      </c>
      <c r="H2083" s="94" t="n">
        <v>0</v>
      </c>
    </row>
    <row r="2084" ht="15" customHeight="1" s="82">
      <c r="A2084" s="94" t="inlineStr">
        <is>
          <t>107 - Pharmacies</t>
        </is>
      </c>
      <c r="B2084" s="94" t="inlineStr">
        <is>
          <t>156903 טל שחר ב.מ</t>
        </is>
      </c>
      <c r="C2084" s="94" t="inlineStr">
        <is>
          <t>INV68846</t>
        </is>
      </c>
      <c r="D2084" s="94" t="inlineStr">
        <is>
          <t>INV</t>
        </is>
      </c>
      <c r="E2084" s="102" t="n">
        <v>0</v>
      </c>
      <c r="F2084" s="94" t="n">
        <v>0</v>
      </c>
      <c r="G2084" s="102" t="n">
        <v>448.19</v>
      </c>
      <c r="H2084" s="94" t="n">
        <v>8</v>
      </c>
    </row>
    <row r="2085" ht="15" customHeight="1" s="82">
      <c r="A2085" s="94" t="inlineStr">
        <is>
          <t>107 - Pharmacies</t>
        </is>
      </c>
      <c r="B2085" s="94" t="inlineStr">
        <is>
          <t>156903 טל שחר ב.מ</t>
        </is>
      </c>
      <c r="C2085" s="94" t="inlineStr">
        <is>
          <t>INV50034</t>
        </is>
      </c>
      <c r="D2085" s="94" t="inlineStr">
        <is>
          <t>INV</t>
        </is>
      </c>
      <c r="E2085" s="102" t="n">
        <v>446.83</v>
      </c>
      <c r="F2085" s="94" t="n">
        <v>7</v>
      </c>
      <c r="G2085" s="102" t="n">
        <v>0</v>
      </c>
      <c r="H2085" s="94" t="n">
        <v>0</v>
      </c>
    </row>
    <row r="2086" ht="15" customHeight="1" s="82">
      <c r="A2086" s="94" t="inlineStr">
        <is>
          <t>107 - Pharmacies</t>
        </is>
      </c>
      <c r="B2086" s="94" t="inlineStr">
        <is>
          <t>156903 טל שחר ב.מ</t>
        </is>
      </c>
      <c r="C2086" s="94" t="inlineStr">
        <is>
          <t>INV50596</t>
        </is>
      </c>
      <c r="D2086" s="94" t="inlineStr">
        <is>
          <t>INV</t>
        </is>
      </c>
      <c r="E2086" s="102" t="n">
        <v>446.04</v>
      </c>
      <c r="F2086" s="94" t="n">
        <v>4</v>
      </c>
      <c r="G2086" s="102" t="n">
        <v>0</v>
      </c>
      <c r="H2086" s="94" t="n">
        <v>0</v>
      </c>
    </row>
    <row r="2087" ht="15" customHeight="1" s="82">
      <c r="A2087" s="94" t="inlineStr">
        <is>
          <t>107 - Pharmacies</t>
        </is>
      </c>
      <c r="B2087" s="94" t="inlineStr">
        <is>
          <t>156903 טל שחר ב.מ</t>
        </is>
      </c>
      <c r="C2087" s="94" t="inlineStr">
        <is>
          <t>INV45817</t>
        </is>
      </c>
      <c r="D2087" s="94" t="inlineStr">
        <is>
          <t>INV</t>
        </is>
      </c>
      <c r="E2087" s="102" t="n">
        <v>428.88</v>
      </c>
      <c r="F2087" s="94" t="n">
        <v>9</v>
      </c>
      <c r="G2087" s="102" t="n">
        <v>0</v>
      </c>
      <c r="H2087" s="94" t="n">
        <v>0</v>
      </c>
    </row>
    <row r="2088" ht="15" customHeight="1" s="82">
      <c r="A2088" s="94" t="inlineStr">
        <is>
          <t>107 - Pharmacies</t>
        </is>
      </c>
      <c r="B2088" s="94" t="inlineStr">
        <is>
          <t>156903 טל שחר ב.מ</t>
        </is>
      </c>
      <c r="C2088" s="94" t="inlineStr">
        <is>
          <t>INV69053</t>
        </is>
      </c>
      <c r="D2088" s="94" t="inlineStr">
        <is>
          <t>INV</t>
        </is>
      </c>
      <c r="E2088" s="102" t="n">
        <v>0</v>
      </c>
      <c r="F2088" s="94" t="n">
        <v>0</v>
      </c>
      <c r="G2088" s="102" t="n">
        <v>418.24</v>
      </c>
      <c r="H2088" s="94" t="n">
        <v>6</v>
      </c>
    </row>
    <row r="2089" ht="15" customHeight="1" s="82">
      <c r="A2089" s="94" t="inlineStr">
        <is>
          <t>107 - Pharmacies</t>
        </is>
      </c>
      <c r="B2089" s="94" t="inlineStr">
        <is>
          <t>156903 טל שחר ב.מ</t>
        </is>
      </c>
      <c r="C2089" s="94" t="inlineStr">
        <is>
          <t>INV60403</t>
        </is>
      </c>
      <c r="D2089" s="94" t="inlineStr">
        <is>
          <t>INV</t>
        </is>
      </c>
      <c r="E2089" s="102" t="n">
        <v>410.37</v>
      </c>
      <c r="F2089" s="94" t="n">
        <v>5</v>
      </c>
      <c r="G2089" s="102" t="n">
        <v>0</v>
      </c>
      <c r="H2089" s="94" t="n">
        <v>0</v>
      </c>
    </row>
    <row r="2090" ht="15" customHeight="1" s="82">
      <c r="A2090" s="94" t="inlineStr">
        <is>
          <t>107 - Pharmacies</t>
        </is>
      </c>
      <c r="B2090" s="94" t="inlineStr">
        <is>
          <t>156903 טל שחר ב.מ</t>
        </is>
      </c>
      <c r="C2090" s="94" t="inlineStr">
        <is>
          <t>INV68704</t>
        </is>
      </c>
      <c r="D2090" s="94" t="inlineStr">
        <is>
          <t>INV</t>
        </is>
      </c>
      <c r="E2090" s="102" t="n">
        <v>0</v>
      </c>
      <c r="F2090" s="94" t="n">
        <v>0</v>
      </c>
      <c r="G2090" s="102" t="n">
        <v>367.48</v>
      </c>
      <c r="H2090" s="94" t="n">
        <v>10</v>
      </c>
    </row>
    <row r="2091" ht="15" customHeight="1" s="82">
      <c r="A2091" s="94" t="inlineStr">
        <is>
          <t>107 - Pharmacies</t>
        </is>
      </c>
      <c r="B2091" s="94" t="inlineStr">
        <is>
          <t>156903 טל שחר ב.מ</t>
        </is>
      </c>
      <c r="C2091" s="94" t="inlineStr">
        <is>
          <t>INV58388</t>
        </is>
      </c>
      <c r="D2091" s="94" t="inlineStr">
        <is>
          <t>INV</t>
        </is>
      </c>
      <c r="E2091" s="102" t="n">
        <v>362.89</v>
      </c>
      <c r="F2091" s="94" t="n">
        <v>8</v>
      </c>
      <c r="G2091" s="102" t="n">
        <v>0</v>
      </c>
      <c r="H2091" s="94" t="n">
        <v>0</v>
      </c>
    </row>
    <row r="2092" ht="15" customHeight="1" s="82">
      <c r="A2092" s="94" t="inlineStr">
        <is>
          <t>107 - Pharmacies</t>
        </is>
      </c>
      <c r="B2092" s="94" t="inlineStr">
        <is>
          <t>156903 טל שחר ב.מ</t>
        </is>
      </c>
      <c r="C2092" s="94" t="inlineStr">
        <is>
          <t>INV65872</t>
        </is>
      </c>
      <c r="D2092" s="94" t="inlineStr">
        <is>
          <t>INV</t>
        </is>
      </c>
      <c r="E2092" s="102" t="n">
        <v>358.44</v>
      </c>
      <c r="F2092" s="94" t="n">
        <v>3</v>
      </c>
      <c r="G2092" s="102" t="n">
        <v>0</v>
      </c>
      <c r="H2092" s="94" t="n">
        <v>0</v>
      </c>
    </row>
    <row r="2093" ht="15" customHeight="1" s="82">
      <c r="A2093" s="94" t="inlineStr">
        <is>
          <t>107 - Pharmacies</t>
        </is>
      </c>
      <c r="B2093" s="94" t="inlineStr">
        <is>
          <t>156903 טל שחר ב.מ</t>
        </is>
      </c>
      <c r="C2093" s="94" t="inlineStr">
        <is>
          <t>INV67562</t>
        </is>
      </c>
      <c r="D2093" s="94" t="inlineStr">
        <is>
          <t>INV</t>
        </is>
      </c>
      <c r="E2093" s="102" t="n">
        <v>0</v>
      </c>
      <c r="F2093" s="94" t="n">
        <v>0</v>
      </c>
      <c r="G2093" s="102" t="n">
        <v>353.56</v>
      </c>
      <c r="H2093" s="94" t="n">
        <v>7</v>
      </c>
    </row>
    <row r="2094" ht="15" customHeight="1" s="82">
      <c r="A2094" s="94" t="inlineStr">
        <is>
          <t>107 - Pharmacies</t>
        </is>
      </c>
      <c r="B2094" s="94" t="inlineStr">
        <is>
          <t>156903 טל שחר ב.מ</t>
        </is>
      </c>
      <c r="C2094" s="94" t="inlineStr">
        <is>
          <t>INV68133</t>
        </is>
      </c>
      <c r="D2094" s="94" t="inlineStr">
        <is>
          <t>INV</t>
        </is>
      </c>
      <c r="E2094" s="102" t="n">
        <v>0</v>
      </c>
      <c r="F2094" s="94" t="n">
        <v>0</v>
      </c>
      <c r="G2094" s="102" t="n">
        <v>349.69</v>
      </c>
      <c r="H2094" s="94" t="n">
        <v>10</v>
      </c>
    </row>
    <row r="2095" ht="15" customHeight="1" s="82">
      <c r="A2095" s="94" t="inlineStr">
        <is>
          <t>107 - Pharmacies</t>
        </is>
      </c>
      <c r="B2095" s="94" t="inlineStr">
        <is>
          <t>156903 טל שחר ב.מ</t>
        </is>
      </c>
      <c r="C2095" s="94" t="inlineStr">
        <is>
          <t>INV68918</t>
        </is>
      </c>
      <c r="D2095" s="94" t="inlineStr">
        <is>
          <t>INV</t>
        </is>
      </c>
      <c r="E2095" s="102" t="n">
        <v>0</v>
      </c>
      <c r="F2095" s="94" t="n">
        <v>0</v>
      </c>
      <c r="G2095" s="102" t="n">
        <v>285.64</v>
      </c>
      <c r="H2095" s="94" t="n">
        <v>7</v>
      </c>
    </row>
    <row r="2096" ht="15" customHeight="1" s="82">
      <c r="A2096" s="94" t="inlineStr">
        <is>
          <t>107 - Pharmacies</t>
        </is>
      </c>
      <c r="B2096" s="94" t="inlineStr">
        <is>
          <t>156903 טל שחר ב.מ</t>
        </is>
      </c>
      <c r="C2096" s="94" t="inlineStr">
        <is>
          <t>INV67441</t>
        </is>
      </c>
      <c r="D2096" s="94" t="inlineStr">
        <is>
          <t>INV</t>
        </is>
      </c>
      <c r="E2096" s="102" t="n">
        <v>0</v>
      </c>
      <c r="F2096" s="94" t="n">
        <v>0</v>
      </c>
      <c r="G2096" s="102" t="n">
        <v>262.83</v>
      </c>
      <c r="H2096" s="94" t="n">
        <v>3</v>
      </c>
    </row>
    <row r="2097" ht="15" customHeight="1" s="82">
      <c r="A2097" s="94" t="inlineStr">
        <is>
          <t>107 - Pharmacies</t>
        </is>
      </c>
      <c r="B2097" s="94" t="inlineStr">
        <is>
          <t>156903 טל שחר ב.מ</t>
        </is>
      </c>
      <c r="C2097" s="94" t="inlineStr">
        <is>
          <t>INV66571</t>
        </is>
      </c>
      <c r="D2097" s="94" t="inlineStr">
        <is>
          <t>INV</t>
        </is>
      </c>
      <c r="E2097" s="102" t="n">
        <v>215.23</v>
      </c>
      <c r="F2097" s="94" t="n">
        <v>8</v>
      </c>
      <c r="G2097" s="102" t="n">
        <v>0</v>
      </c>
      <c r="H2097" s="94" t="n">
        <v>0</v>
      </c>
    </row>
    <row r="2098" ht="15" customHeight="1" s="82">
      <c r="A2098" s="94" t="inlineStr">
        <is>
          <t>107 - Pharmacies</t>
        </is>
      </c>
      <c r="B2098" s="94" t="inlineStr">
        <is>
          <t>156903 טל שחר ב.מ</t>
        </is>
      </c>
      <c r="C2098" s="94" t="inlineStr">
        <is>
          <t>INV66572</t>
        </is>
      </c>
      <c r="D2098" s="94" t="inlineStr">
        <is>
          <t>INV</t>
        </is>
      </c>
      <c r="E2098" s="102" t="n">
        <v>94.5</v>
      </c>
      <c r="F2098" s="94" t="n">
        <v>9</v>
      </c>
      <c r="G2098" s="102" t="n">
        <v>0</v>
      </c>
      <c r="H2098" s="94" t="n">
        <v>0</v>
      </c>
    </row>
    <row r="2099" ht="15" customHeight="1" s="82">
      <c r="A2099" s="94" t="inlineStr">
        <is>
          <t>107 - Pharmacies</t>
        </is>
      </c>
      <c r="B2099" s="94" t="inlineStr">
        <is>
          <t>156903 טל שחר ב.מ</t>
        </is>
      </c>
      <c r="C2099" s="94" t="inlineStr">
        <is>
          <t>INV66826</t>
        </is>
      </c>
      <c r="D2099" s="94" t="inlineStr">
        <is>
          <t>INV</t>
        </is>
      </c>
      <c r="E2099" s="102" t="n">
        <v>93.7</v>
      </c>
      <c r="F2099" s="94" t="n">
        <v>1</v>
      </c>
      <c r="G2099" s="102" t="n">
        <v>0</v>
      </c>
      <c r="H2099" s="94" t="n">
        <v>0</v>
      </c>
    </row>
    <row r="2100" ht="15" customHeight="1" s="82">
      <c r="A2100" s="94" t="inlineStr">
        <is>
          <t>107 - Pharmacies</t>
        </is>
      </c>
      <c r="B2100" s="94" t="inlineStr">
        <is>
          <t>156903 טל שחר ב.מ</t>
        </is>
      </c>
      <c r="C2100" s="94" t="inlineStr">
        <is>
          <t>INV45325</t>
        </is>
      </c>
      <c r="D2100" s="94" t="inlineStr">
        <is>
          <t>INV</t>
        </is>
      </c>
      <c r="E2100" s="102" t="n">
        <v>92.14</v>
      </c>
      <c r="F2100" s="94" t="n">
        <v>1</v>
      </c>
      <c r="G2100" s="102" t="n">
        <v>0</v>
      </c>
      <c r="H2100" s="94" t="n">
        <v>0</v>
      </c>
    </row>
    <row r="2101" ht="15" customHeight="1" s="82">
      <c r="A2101" s="94" t="inlineStr">
        <is>
          <t>107 - Pharmacies</t>
        </is>
      </c>
      <c r="B2101" s="94" t="inlineStr">
        <is>
          <t>156903 טל שחר ב.מ</t>
        </is>
      </c>
      <c r="C2101" s="94" t="inlineStr">
        <is>
          <t>INV67574</t>
        </is>
      </c>
      <c r="D2101" s="94" t="inlineStr">
        <is>
          <t>INV</t>
        </is>
      </c>
      <c r="E2101" s="102" t="n">
        <v>0</v>
      </c>
      <c r="F2101" s="94" t="n">
        <v>0</v>
      </c>
      <c r="G2101" s="102" t="n">
        <v>86.06999999999999</v>
      </c>
      <c r="H2101" s="94" t="n">
        <v>4</v>
      </c>
    </row>
    <row r="2102" ht="15" customHeight="1" s="82">
      <c r="A2102" s="94" t="inlineStr">
        <is>
          <t>107 - Pharmacies</t>
        </is>
      </c>
      <c r="B2102" s="94" t="inlineStr">
        <is>
          <t>156903 טל שחר ב.מ</t>
        </is>
      </c>
      <c r="C2102" s="94" t="inlineStr">
        <is>
          <t>CM44207</t>
        </is>
      </c>
      <c r="D2102" s="94" t="inlineStr">
        <is>
          <t>CM</t>
        </is>
      </c>
      <c r="E2102" s="102" t="n">
        <v>-93.7</v>
      </c>
      <c r="F2102" s="94" t="n">
        <v>-1</v>
      </c>
      <c r="G2102" s="102" t="n">
        <v>0</v>
      </c>
      <c r="H2102" s="94" t="n">
        <v>0</v>
      </c>
    </row>
    <row r="2103" ht="15" customHeight="1" s="82">
      <c r="A2103" s="94" t="inlineStr">
        <is>
          <t>107 - Pharmacies</t>
        </is>
      </c>
      <c r="B2103" s="94" t="inlineStr">
        <is>
          <t>156903 טל שחר ב.מ</t>
        </is>
      </c>
      <c r="C2103" s="94" t="inlineStr">
        <is>
          <t>CM44353</t>
        </is>
      </c>
      <c r="D2103" s="94" t="inlineStr">
        <is>
          <t>CM</t>
        </is>
      </c>
      <c r="E2103" s="102" t="n">
        <v>0</v>
      </c>
      <c r="F2103" s="94" t="n">
        <v>0</v>
      </c>
      <c r="G2103" s="102" t="n">
        <v>-164.02</v>
      </c>
      <c r="H2103" s="94" t="n">
        <v>-1</v>
      </c>
    </row>
    <row r="2104" ht="15" customHeight="1" s="82">
      <c r="A2104" s="94" t="inlineStr">
        <is>
          <t>107 - Pharmacies</t>
        </is>
      </c>
      <c r="B2104" s="94" t="inlineStr">
        <is>
          <t>156903 טל שחר ב.מ</t>
        </is>
      </c>
      <c r="C2104" s="94" t="inlineStr">
        <is>
          <t>CM44208</t>
        </is>
      </c>
      <c r="D2104" s="94" t="inlineStr">
        <is>
          <t>CM</t>
        </is>
      </c>
      <c r="E2104" s="102" t="n">
        <v>-187.39</v>
      </c>
      <c r="F2104" s="94" t="n">
        <v>-2</v>
      </c>
      <c r="G2104" s="102" t="n">
        <v>0</v>
      </c>
      <c r="H2104" s="94" t="n">
        <v>0</v>
      </c>
    </row>
    <row r="2105" ht="15" customHeight="1" s="82">
      <c r="A2105" s="94" t="inlineStr">
        <is>
          <t>107 - Pharmacies</t>
        </is>
      </c>
      <c r="B2105" s="94" t="inlineStr">
        <is>
          <t>156903 טל שחר ב.מ</t>
        </is>
      </c>
      <c r="C2105" s="94" t="inlineStr">
        <is>
          <t>CM43667</t>
        </is>
      </c>
      <c r="D2105" s="94" t="inlineStr">
        <is>
          <t>CM</t>
        </is>
      </c>
      <c r="E2105" s="102" t="n">
        <v>-246.04</v>
      </c>
      <c r="F2105" s="94" t="n">
        <v>-1</v>
      </c>
      <c r="G2105" s="102" t="n">
        <v>0</v>
      </c>
      <c r="H2105" s="94" t="n">
        <v>0</v>
      </c>
    </row>
    <row r="2106" ht="15" customHeight="1" s="82">
      <c r="A2106" s="94" t="inlineStr">
        <is>
          <t>107 - Pharmacies</t>
        </is>
      </c>
      <c r="B2106" s="94" t="inlineStr">
        <is>
          <t>156908 טלפארמה בע"מ</t>
        </is>
      </c>
      <c r="C2106" s="94" t="inlineStr">
        <is>
          <t>INV68723</t>
        </is>
      </c>
      <c r="D2106" s="94" t="inlineStr">
        <is>
          <t>INV</t>
        </is>
      </c>
      <c r="E2106" s="102" t="n">
        <v>0</v>
      </c>
      <c r="F2106" s="94" t="n">
        <v>0</v>
      </c>
      <c r="G2106" s="102" t="n">
        <v>4101.5</v>
      </c>
      <c r="H2106" s="94" t="n">
        <v>50</v>
      </c>
    </row>
    <row r="2107" ht="15" customHeight="1" s="82">
      <c r="A2107" s="94" t="inlineStr">
        <is>
          <t>107 - Pharmacies</t>
        </is>
      </c>
      <c r="B2107" s="94" t="inlineStr">
        <is>
          <t>156908 טלפארמה בע"מ</t>
        </is>
      </c>
      <c r="C2107" s="94" t="inlineStr">
        <is>
          <t>INV69153</t>
        </is>
      </c>
      <c r="D2107" s="94" t="inlineStr">
        <is>
          <t>INV</t>
        </is>
      </c>
      <c r="E2107" s="102" t="n">
        <v>0</v>
      </c>
      <c r="F2107" s="94" t="n">
        <v>0</v>
      </c>
      <c r="G2107" s="102" t="n">
        <v>3533.6</v>
      </c>
      <c r="H2107" s="94" t="n">
        <v>40</v>
      </c>
    </row>
    <row r="2108" ht="15" customHeight="1" s="82">
      <c r="A2108" s="94" t="inlineStr">
        <is>
          <t>107 - Pharmacies</t>
        </is>
      </c>
      <c r="B2108" s="94" t="inlineStr">
        <is>
          <t>156908 טלפארמה בע"מ</t>
        </is>
      </c>
      <c r="C2108" s="94" t="inlineStr">
        <is>
          <t>INV68969</t>
        </is>
      </c>
      <c r="D2108" s="94" t="inlineStr">
        <is>
          <t>INV</t>
        </is>
      </c>
      <c r="E2108" s="102" t="n">
        <v>0</v>
      </c>
      <c r="F2108" s="94" t="n">
        <v>0</v>
      </c>
      <c r="G2108" s="102" t="n">
        <v>2650.2</v>
      </c>
      <c r="H2108" s="94" t="n">
        <v>30</v>
      </c>
    </row>
    <row r="2109" ht="15" customHeight="1" s="82">
      <c r="A2109" s="94" t="inlineStr">
        <is>
          <t>107 - Pharmacies</t>
        </is>
      </c>
      <c r="B2109" s="94" t="inlineStr">
        <is>
          <t>156908 טלפארמה בע"מ</t>
        </is>
      </c>
      <c r="C2109" s="94" t="inlineStr">
        <is>
          <t>INV69254</t>
        </is>
      </c>
      <c r="D2109" s="94" t="inlineStr">
        <is>
          <t>INV</t>
        </is>
      </c>
      <c r="E2109" s="102" t="n">
        <v>0</v>
      </c>
      <c r="F2109" s="94" t="n">
        <v>0</v>
      </c>
      <c r="G2109" s="102" t="n">
        <v>2650.2</v>
      </c>
      <c r="H2109" s="94" t="n">
        <v>30</v>
      </c>
    </row>
    <row r="2110" ht="15" customHeight="1" s="82">
      <c r="A2110" s="94" t="inlineStr">
        <is>
          <t>107 - Pharmacies</t>
        </is>
      </c>
      <c r="B2110" s="94" t="inlineStr">
        <is>
          <t>156908 טלפארמה בע"מ</t>
        </is>
      </c>
      <c r="C2110" s="94" t="inlineStr">
        <is>
          <t>INV67792</t>
        </is>
      </c>
      <c r="D2110" s="94" t="inlineStr">
        <is>
          <t>INV</t>
        </is>
      </c>
      <c r="E2110" s="102" t="n">
        <v>0</v>
      </c>
      <c r="F2110" s="94" t="n">
        <v>0</v>
      </c>
      <c r="G2110" s="102" t="n">
        <v>2074.26</v>
      </c>
      <c r="H2110" s="94" t="n">
        <v>15</v>
      </c>
    </row>
    <row r="2111" ht="15" customHeight="1" s="82">
      <c r="A2111" s="94" t="inlineStr">
        <is>
          <t>107 - Pharmacies</t>
        </is>
      </c>
      <c r="B2111" s="94" t="inlineStr">
        <is>
          <t>156908 טלפארמה בע"מ</t>
        </is>
      </c>
      <c r="C2111" s="94" t="inlineStr">
        <is>
          <t>INV42284</t>
        </is>
      </c>
      <c r="D2111" s="94" t="inlineStr">
        <is>
          <t>INV</t>
        </is>
      </c>
      <c r="E2111" s="102" t="n">
        <v>1645.3</v>
      </c>
      <c r="F2111" s="94" t="n">
        <v>15</v>
      </c>
      <c r="G2111" s="102" t="n">
        <v>0</v>
      </c>
      <c r="H2111" s="94" t="n">
        <v>0</v>
      </c>
    </row>
    <row r="2112" ht="15" customHeight="1" s="82">
      <c r="A2112" s="94" t="inlineStr">
        <is>
          <t>107 - Pharmacies</t>
        </is>
      </c>
      <c r="B2112" s="94" t="inlineStr">
        <is>
          <t>156908 טלפארמה בע"מ</t>
        </is>
      </c>
      <c r="C2112" s="94" t="inlineStr">
        <is>
          <t>INV49821</t>
        </is>
      </c>
      <c r="D2112" s="94" t="inlineStr">
        <is>
          <t>INV</t>
        </is>
      </c>
      <c r="E2112" s="102" t="n">
        <v>1645.27</v>
      </c>
      <c r="F2112" s="94" t="n">
        <v>15</v>
      </c>
      <c r="G2112" s="102" t="n">
        <v>0</v>
      </c>
      <c r="H2112" s="94" t="n">
        <v>0</v>
      </c>
    </row>
    <row r="2113" ht="15" customHeight="1" s="82">
      <c r="A2113" s="94" t="inlineStr">
        <is>
          <t>107 - Pharmacies</t>
        </is>
      </c>
      <c r="B2113" s="94" t="inlineStr">
        <is>
          <t>156908 טלפארמה בע"מ</t>
        </is>
      </c>
      <c r="C2113" s="94" t="inlineStr">
        <is>
          <t>INV61931</t>
        </is>
      </c>
      <c r="D2113" s="94" t="inlineStr">
        <is>
          <t>INV</t>
        </is>
      </c>
      <c r="E2113" s="102" t="n">
        <v>1541.62</v>
      </c>
      <c r="F2113" s="94" t="n">
        <v>15</v>
      </c>
      <c r="G2113" s="102" t="n">
        <v>0</v>
      </c>
      <c r="H2113" s="94" t="n">
        <v>0</v>
      </c>
    </row>
    <row r="2114" ht="15" customHeight="1" s="82">
      <c r="A2114" s="94" t="inlineStr">
        <is>
          <t>107 - Pharmacies</t>
        </is>
      </c>
      <c r="B2114" s="94" t="inlineStr">
        <is>
          <t>156908 טלפארמה בע"מ</t>
        </is>
      </c>
      <c r="C2114" s="94" t="inlineStr">
        <is>
          <t>INV66609</t>
        </is>
      </c>
      <c r="D2114" s="94" t="inlineStr">
        <is>
          <t>INV</t>
        </is>
      </c>
      <c r="E2114" s="102" t="n">
        <v>1541.62</v>
      </c>
      <c r="F2114" s="94" t="n">
        <v>15</v>
      </c>
      <c r="G2114" s="102" t="n">
        <v>0</v>
      </c>
      <c r="H2114" s="94" t="n">
        <v>0</v>
      </c>
    </row>
    <row r="2115" ht="15" customHeight="1" s="82">
      <c r="A2115" s="94" t="inlineStr">
        <is>
          <t>107 - Pharmacies</t>
        </is>
      </c>
      <c r="B2115" s="94" t="inlineStr">
        <is>
          <t>156908 טלפארמה בע"מ</t>
        </is>
      </c>
      <c r="C2115" s="94" t="inlineStr">
        <is>
          <t>INV65987</t>
        </is>
      </c>
      <c r="D2115" s="94" t="inlineStr">
        <is>
          <t>INV</t>
        </is>
      </c>
      <c r="E2115" s="102" t="n">
        <v>1541.62</v>
      </c>
      <c r="F2115" s="94" t="n">
        <v>15</v>
      </c>
      <c r="G2115" s="102" t="n">
        <v>0</v>
      </c>
      <c r="H2115" s="94" t="n">
        <v>0</v>
      </c>
    </row>
    <row r="2116" ht="15" customHeight="1" s="82">
      <c r="A2116" s="94" t="inlineStr">
        <is>
          <t>107 - Pharmacies</t>
        </is>
      </c>
      <c r="B2116" s="94" t="inlineStr">
        <is>
          <t>156908 טלפארמה בע"מ</t>
        </is>
      </c>
      <c r="C2116" s="94" t="inlineStr">
        <is>
          <t>INV57108</t>
        </is>
      </c>
      <c r="D2116" s="94" t="inlineStr">
        <is>
          <t>INV</t>
        </is>
      </c>
      <c r="E2116" s="102" t="n">
        <v>1481.42</v>
      </c>
      <c r="F2116" s="94" t="n">
        <v>13</v>
      </c>
      <c r="G2116" s="102" t="n">
        <v>0</v>
      </c>
      <c r="H2116" s="94" t="n">
        <v>0</v>
      </c>
    </row>
    <row r="2117" ht="15" customHeight="1" s="82">
      <c r="A2117" s="94" t="inlineStr">
        <is>
          <t>107 - Pharmacies</t>
        </is>
      </c>
      <c r="B2117" s="94" t="inlineStr">
        <is>
          <t>156909 בית מרקחת עלאדין</t>
        </is>
      </c>
      <c r="C2117" s="94" t="inlineStr">
        <is>
          <t>INV66568</t>
        </is>
      </c>
      <c r="D2117" s="94" t="inlineStr">
        <is>
          <t>INV</t>
        </is>
      </c>
      <c r="E2117" s="102" t="n">
        <v>480</v>
      </c>
      <c r="F2117" s="94" t="n">
        <v>4</v>
      </c>
      <c r="G2117" s="102" t="n">
        <v>0</v>
      </c>
      <c r="H2117" s="94" t="n">
        <v>0</v>
      </c>
    </row>
    <row r="2118" ht="15" customHeight="1" s="82">
      <c r="A2118" s="94" t="inlineStr">
        <is>
          <t>107 - Pharmacies</t>
        </is>
      </c>
      <c r="B2118" s="94" t="inlineStr">
        <is>
          <t>157412 סופר מדיקה ב.מ.</t>
        </is>
      </c>
      <c r="C2118" s="94" t="inlineStr">
        <is>
          <t>INV66685</t>
        </is>
      </c>
      <c r="D2118" s="94" t="inlineStr">
        <is>
          <t>INV</t>
        </is>
      </c>
      <c r="E2118" s="102" t="n">
        <v>720</v>
      </c>
      <c r="F2118" s="94" t="n">
        <v>6</v>
      </c>
      <c r="G2118" s="102" t="n">
        <v>0</v>
      </c>
      <c r="H2118" s="94" t="n">
        <v>0</v>
      </c>
    </row>
    <row r="2119" ht="15" customHeight="1" s="82">
      <c r="A2119" s="94" t="inlineStr">
        <is>
          <t>107 - Pharmacies</t>
        </is>
      </c>
      <c r="B2119" s="94" t="inlineStr">
        <is>
          <t>157412 סופר מדיקה ב.מ.</t>
        </is>
      </c>
      <c r="C2119" s="94" t="inlineStr">
        <is>
          <t>INV46835</t>
        </is>
      </c>
      <c r="D2119" s="94" t="inlineStr">
        <is>
          <t>INV</t>
        </is>
      </c>
      <c r="E2119" s="102" t="n">
        <v>634.8200000000001</v>
      </c>
      <c r="F2119" s="94" t="n">
        <v>20</v>
      </c>
      <c r="G2119" s="102" t="n">
        <v>0</v>
      </c>
      <c r="H2119" s="94" t="n">
        <v>0</v>
      </c>
    </row>
    <row r="2120" ht="15" customHeight="1" s="82">
      <c r="A2120" s="94" t="inlineStr">
        <is>
          <t>107 - Pharmacies</t>
        </is>
      </c>
      <c r="B2120" s="94" t="inlineStr">
        <is>
          <t>157412 סופר מדיקה ב.מ.</t>
        </is>
      </c>
      <c r="C2120" s="94" t="inlineStr">
        <is>
          <t>INV44985</t>
        </is>
      </c>
      <c r="D2120" s="94" t="inlineStr">
        <is>
          <t>INV</t>
        </is>
      </c>
      <c r="E2120" s="102" t="n">
        <v>566.24</v>
      </c>
      <c r="F2120" s="94" t="n">
        <v>18</v>
      </c>
      <c r="G2120" s="102" t="n">
        <v>0</v>
      </c>
      <c r="H2120" s="94" t="n">
        <v>0</v>
      </c>
    </row>
    <row r="2121" ht="15" customHeight="1" s="82">
      <c r="A2121" s="94" t="inlineStr">
        <is>
          <t>107 - Pharmacies</t>
        </is>
      </c>
      <c r="B2121" s="94" t="inlineStr">
        <is>
          <t>157412 סופר מדיקה ב.מ.</t>
        </is>
      </c>
      <c r="C2121" s="94" t="inlineStr">
        <is>
          <t>INV66177</t>
        </is>
      </c>
      <c r="D2121" s="94" t="inlineStr">
        <is>
          <t>INV</t>
        </is>
      </c>
      <c r="E2121" s="102" t="n">
        <v>472.9</v>
      </c>
      <c r="F2121" s="94" t="n">
        <v>1</v>
      </c>
      <c r="G2121" s="102" t="n">
        <v>0</v>
      </c>
      <c r="H2121" s="94" t="n">
        <v>0</v>
      </c>
    </row>
    <row r="2122" ht="15" customHeight="1" s="82">
      <c r="A2122" s="94" t="inlineStr">
        <is>
          <t>107 - Pharmacies</t>
        </is>
      </c>
      <c r="B2122" s="94" t="inlineStr">
        <is>
          <t>157412 סופר מדיקה ב.מ.</t>
        </is>
      </c>
      <c r="C2122" s="94" t="inlineStr">
        <is>
          <t>INV44984</t>
        </is>
      </c>
      <c r="D2122" s="94" t="inlineStr">
        <is>
          <t>INV</t>
        </is>
      </c>
      <c r="E2122" s="102" t="n">
        <v>377.5</v>
      </c>
      <c r="F2122" s="94" t="n">
        <v>12</v>
      </c>
      <c r="G2122" s="102" t="n">
        <v>0</v>
      </c>
      <c r="H2122" s="94" t="n">
        <v>0</v>
      </c>
    </row>
    <row r="2123" ht="15" customHeight="1" s="82">
      <c r="A2123" s="94" t="inlineStr">
        <is>
          <t>107 - Pharmacies</t>
        </is>
      </c>
      <c r="B2123" s="94" t="inlineStr">
        <is>
          <t>157412 סופר מדיקה ב.מ.</t>
        </is>
      </c>
      <c r="C2123" s="94" t="inlineStr">
        <is>
          <t>INV68068</t>
        </is>
      </c>
      <c r="D2123" s="94" t="inlineStr">
        <is>
          <t>INV</t>
        </is>
      </c>
      <c r="E2123" s="102" t="n">
        <v>0</v>
      </c>
      <c r="F2123" s="94" t="n">
        <v>0</v>
      </c>
      <c r="G2123" s="102" t="n">
        <v>374.89</v>
      </c>
      <c r="H2123" s="94" t="n">
        <v>2</v>
      </c>
    </row>
    <row r="2124" ht="15" customHeight="1" s="82">
      <c r="A2124" s="94" t="inlineStr">
        <is>
          <t>107 - Pharmacies</t>
        </is>
      </c>
      <c r="B2124" s="94" t="inlineStr">
        <is>
          <t>157412 סופר מדיקה ב.מ.</t>
        </is>
      </c>
      <c r="C2124" s="94" t="inlineStr">
        <is>
          <t>INV68541</t>
        </is>
      </c>
      <c r="D2124" s="94" t="inlineStr">
        <is>
          <t>INV</t>
        </is>
      </c>
      <c r="E2124" s="102" t="n">
        <v>0</v>
      </c>
      <c r="F2124" s="94" t="n">
        <v>0</v>
      </c>
      <c r="G2124" s="102" t="n">
        <v>367.85</v>
      </c>
      <c r="H2124" s="94" t="n">
        <v>2</v>
      </c>
    </row>
    <row r="2125" ht="15" customHeight="1" s="82">
      <c r="A2125" s="94" t="inlineStr">
        <is>
          <t>107 - Pharmacies</t>
        </is>
      </c>
      <c r="B2125" s="94" t="inlineStr">
        <is>
          <t>157412 סופר מדיקה ב.מ.</t>
        </is>
      </c>
      <c r="C2125" s="94" t="inlineStr">
        <is>
          <t>INV50502</t>
        </is>
      </c>
      <c r="D2125" s="94" t="inlineStr">
        <is>
          <t>INV</t>
        </is>
      </c>
      <c r="E2125" s="102" t="n">
        <v>337.21</v>
      </c>
      <c r="F2125" s="94" t="n">
        <v>6</v>
      </c>
      <c r="G2125" s="102" t="n">
        <v>0</v>
      </c>
      <c r="H2125" s="94" t="n">
        <v>0</v>
      </c>
    </row>
    <row r="2126" ht="15" customHeight="1" s="82">
      <c r="A2126" s="94" t="inlineStr">
        <is>
          <t>107 - Pharmacies</t>
        </is>
      </c>
      <c r="B2126" s="94" t="inlineStr">
        <is>
          <t>157412 סופר מדיקה ב.מ.</t>
        </is>
      </c>
      <c r="C2126" s="94" t="inlineStr">
        <is>
          <t>INV67423</t>
        </is>
      </c>
      <c r="D2126" s="94" t="inlineStr">
        <is>
          <t>INV</t>
        </is>
      </c>
      <c r="E2126" s="102" t="n">
        <v>0</v>
      </c>
      <c r="F2126" s="94" t="n">
        <v>0</v>
      </c>
      <c r="G2126" s="102" t="n">
        <v>217.45</v>
      </c>
      <c r="H2126" s="94" t="n">
        <v>2</v>
      </c>
    </row>
    <row r="2127" ht="15" customHeight="1" s="82">
      <c r="A2127" s="94" t="inlineStr">
        <is>
          <t>107 - Pharmacies</t>
        </is>
      </c>
      <c r="B2127" s="94" t="inlineStr">
        <is>
          <t>157412 סופר מדיקה ב.מ.</t>
        </is>
      </c>
      <c r="C2127" s="94" t="inlineStr">
        <is>
          <t>INV56052</t>
        </is>
      </c>
      <c r="D2127" s="94" t="inlineStr">
        <is>
          <t>INV</t>
        </is>
      </c>
      <c r="E2127" s="102" t="n">
        <v>164.01</v>
      </c>
      <c r="F2127" s="94" t="n">
        <v>1</v>
      </c>
      <c r="G2127" s="102" t="n">
        <v>0</v>
      </c>
      <c r="H2127" s="94" t="n">
        <v>0</v>
      </c>
    </row>
    <row r="2128" ht="15" customHeight="1" s="82">
      <c r="A2128" s="94" t="inlineStr">
        <is>
          <t>107 - Pharmacies</t>
        </is>
      </c>
      <c r="B2128" s="94" t="inlineStr">
        <is>
          <t>157412 סופר מדיקה ב.מ.</t>
        </is>
      </c>
      <c r="C2128" s="94" t="inlineStr">
        <is>
          <t>INV46840</t>
        </is>
      </c>
      <c r="D2128" s="94" t="inlineStr">
        <is>
          <t>INV</t>
        </is>
      </c>
      <c r="E2128" s="102" t="n">
        <v>143.28</v>
      </c>
      <c r="F2128" s="94" t="n">
        <v>8</v>
      </c>
      <c r="G2128" s="102" t="n">
        <v>0</v>
      </c>
      <c r="H2128" s="94" t="n">
        <v>0</v>
      </c>
    </row>
    <row r="2129" ht="15" customHeight="1" s="82">
      <c r="A2129" s="94" t="inlineStr">
        <is>
          <t>107 - Pharmacies</t>
        </is>
      </c>
      <c r="B2129" s="94" t="inlineStr">
        <is>
          <t>157412 סופר מדיקה ב.מ.</t>
        </is>
      </c>
      <c r="C2129" s="94" t="inlineStr">
        <is>
          <t>INV59567</t>
        </is>
      </c>
      <c r="D2129" s="94" t="inlineStr">
        <is>
          <t>INV</t>
        </is>
      </c>
      <c r="E2129" s="102" t="n">
        <v>103.07</v>
      </c>
      <c r="F2129" s="94" t="n">
        <v>1</v>
      </c>
      <c r="G2129" s="102" t="n">
        <v>0</v>
      </c>
      <c r="H2129" s="94" t="n">
        <v>0</v>
      </c>
    </row>
    <row r="2130" ht="15" customHeight="1" s="82">
      <c r="A2130" s="94" t="inlineStr">
        <is>
          <t>107 - Pharmacies</t>
        </is>
      </c>
      <c r="B2130" s="94" t="inlineStr">
        <is>
          <t>157412 סופר מדיקה ב.מ.</t>
        </is>
      </c>
      <c r="C2130" s="94" t="inlineStr">
        <is>
          <t>INV46836</t>
        </is>
      </c>
      <c r="D2130" s="94" t="inlineStr">
        <is>
          <t>INV</t>
        </is>
      </c>
      <c r="E2130" s="102" t="n">
        <v>88.44</v>
      </c>
      <c r="F2130" s="94" t="n">
        <v>3</v>
      </c>
      <c r="G2130" s="102" t="n">
        <v>0</v>
      </c>
      <c r="H2130" s="94" t="n">
        <v>0</v>
      </c>
    </row>
    <row r="2131" ht="15" customHeight="1" s="82">
      <c r="A2131" s="94" t="inlineStr">
        <is>
          <t>107 - Pharmacies</t>
        </is>
      </c>
      <c r="B2131" s="94" t="inlineStr">
        <is>
          <t>158211 רמת חן ב.מ</t>
        </is>
      </c>
      <c r="C2131" s="94" t="inlineStr">
        <is>
          <t>INV66235</t>
        </is>
      </c>
      <c r="D2131" s="94" t="inlineStr">
        <is>
          <t>INV</t>
        </is>
      </c>
      <c r="E2131" s="102" t="n">
        <v>10300.05</v>
      </c>
      <c r="F2131" s="94" t="n">
        <v>100</v>
      </c>
      <c r="G2131" s="102" t="n">
        <v>0</v>
      </c>
      <c r="H2131" s="94" t="n">
        <v>0</v>
      </c>
    </row>
    <row r="2132" ht="15" customHeight="1" s="82">
      <c r="A2132" s="94" t="inlineStr">
        <is>
          <t>107 - Pharmacies</t>
        </is>
      </c>
      <c r="B2132" s="94" t="inlineStr">
        <is>
          <t>158211 רמת חן ב.מ</t>
        </is>
      </c>
      <c r="C2132" s="94" t="inlineStr">
        <is>
          <t>INV56435</t>
        </is>
      </c>
      <c r="D2132" s="94" t="inlineStr">
        <is>
          <t>INV</t>
        </is>
      </c>
      <c r="E2132" s="102" t="n">
        <v>3320</v>
      </c>
      <c r="F2132" s="94" t="n">
        <v>33</v>
      </c>
      <c r="G2132" s="102" t="n">
        <v>0</v>
      </c>
      <c r="H2132" s="94" t="n">
        <v>0</v>
      </c>
    </row>
    <row r="2133" ht="15" customHeight="1" s="82">
      <c r="A2133" s="94" t="inlineStr">
        <is>
          <t>107 - Pharmacies</t>
        </is>
      </c>
      <c r="B2133" s="94" t="inlineStr">
        <is>
          <t>C02232 בית מרקחת מוקייבלה</t>
        </is>
      </c>
      <c r="C2133" s="94" t="inlineStr">
        <is>
          <t>INV52571</t>
        </is>
      </c>
      <c r="D2133" s="94" t="inlineStr">
        <is>
          <t>INV</t>
        </is>
      </c>
      <c r="E2133" s="102" t="n">
        <v>2530.21</v>
      </c>
      <c r="F2133" s="94" t="n">
        <v>58</v>
      </c>
      <c r="G2133" s="102" t="n">
        <v>0</v>
      </c>
      <c r="H2133" s="94" t="n">
        <v>0</v>
      </c>
    </row>
    <row r="2134" ht="15" customHeight="1" s="82">
      <c r="A2134" s="94" t="inlineStr">
        <is>
          <t>107 - Pharmacies</t>
        </is>
      </c>
      <c r="B2134" s="94" t="inlineStr">
        <is>
          <t>C02307 מדי פארם בתי מרקחת בעמ</t>
        </is>
      </c>
      <c r="C2134" s="94" t="inlineStr">
        <is>
          <t>INV68502</t>
        </is>
      </c>
      <c r="D2134" s="94" t="inlineStr">
        <is>
          <t>INV</t>
        </is>
      </c>
      <c r="E2134" s="102" t="n">
        <v>0</v>
      </c>
      <c r="F2134" s="94" t="n">
        <v>0</v>
      </c>
      <c r="G2134" s="102" t="n">
        <v>3152.62</v>
      </c>
      <c r="H2134" s="94" t="n">
        <v>28</v>
      </c>
    </row>
    <row r="2135" ht="15" customHeight="1" s="82">
      <c r="A2135" s="94" t="inlineStr">
        <is>
          <t>107 - Pharmacies</t>
        </is>
      </c>
      <c r="B2135" s="94" t="inlineStr">
        <is>
          <t>C02307 מדי פארם בתי מרקחת בעמ</t>
        </is>
      </c>
      <c r="C2135" s="94" t="inlineStr">
        <is>
          <t>INV69100</t>
        </is>
      </c>
      <c r="D2135" s="94" t="inlineStr">
        <is>
          <t>INV</t>
        </is>
      </c>
      <c r="E2135" s="102" t="n">
        <v>0</v>
      </c>
      <c r="F2135" s="94" t="n">
        <v>0</v>
      </c>
      <c r="G2135" s="102" t="n">
        <v>2575.25</v>
      </c>
      <c r="H2135" s="94" t="n">
        <v>23</v>
      </c>
    </row>
    <row r="2136" ht="15" customHeight="1" s="82">
      <c r="A2136" s="94" t="inlineStr">
        <is>
          <t>107 - Pharmacies</t>
        </is>
      </c>
      <c r="B2136" s="94" t="inlineStr">
        <is>
          <t>C02307 מדי פארם בתי מרקחת בעמ</t>
        </is>
      </c>
      <c r="C2136" s="94" t="inlineStr">
        <is>
          <t>INV69231</t>
        </is>
      </c>
      <c r="D2136" s="94" t="inlineStr">
        <is>
          <t>INV</t>
        </is>
      </c>
      <c r="E2136" s="102" t="n">
        <v>0</v>
      </c>
      <c r="F2136" s="94" t="n">
        <v>0</v>
      </c>
      <c r="G2136" s="102" t="n">
        <v>2239.24</v>
      </c>
      <c r="H2136" s="94" t="n">
        <v>14</v>
      </c>
    </row>
    <row r="2137" ht="15" customHeight="1" s="82">
      <c r="A2137" s="94" t="inlineStr">
        <is>
          <t>107 - Pharmacies</t>
        </is>
      </c>
      <c r="B2137" s="94" t="inlineStr">
        <is>
          <t>C02307 מדי פארם בתי מרקחת בעמ</t>
        </is>
      </c>
      <c r="C2137" s="94" t="inlineStr">
        <is>
          <t>INV68561</t>
        </is>
      </c>
      <c r="D2137" s="94" t="inlineStr">
        <is>
          <t>INV</t>
        </is>
      </c>
      <c r="E2137" s="102" t="n">
        <v>0</v>
      </c>
      <c r="F2137" s="94" t="n">
        <v>0</v>
      </c>
      <c r="G2137" s="102" t="n">
        <v>1473.69</v>
      </c>
      <c r="H2137" s="94" t="n">
        <v>17</v>
      </c>
    </row>
    <row r="2138" ht="15" customHeight="1" s="82">
      <c r="A2138" s="94" t="inlineStr">
        <is>
          <t>107 - Pharmacies</t>
        </is>
      </c>
      <c r="B2138" s="94" t="inlineStr">
        <is>
          <t>C02307 מדי פארם בתי מרקחת בעמ</t>
        </is>
      </c>
      <c r="C2138" s="94" t="inlineStr">
        <is>
          <t>INV68872</t>
        </is>
      </c>
      <c r="D2138" s="94" t="inlineStr">
        <is>
          <t>INV</t>
        </is>
      </c>
      <c r="E2138" s="102" t="n">
        <v>0</v>
      </c>
      <c r="F2138" s="94" t="n">
        <v>0</v>
      </c>
      <c r="G2138" s="102" t="n">
        <v>1455.99</v>
      </c>
      <c r="H2138" s="94" t="n">
        <v>18</v>
      </c>
    </row>
    <row r="2139" ht="15" customHeight="1" s="82">
      <c r="A2139" s="94" t="inlineStr">
        <is>
          <t>107 - Pharmacies</t>
        </is>
      </c>
      <c r="B2139" s="94" t="inlineStr">
        <is>
          <t>C02307 מדי פארם בתי מרקחת בעמ</t>
        </is>
      </c>
      <c r="C2139" s="94" t="inlineStr">
        <is>
          <t>INV67172</t>
        </is>
      </c>
      <c r="D2139" s="94" t="inlineStr">
        <is>
          <t>INV</t>
        </is>
      </c>
      <c r="E2139" s="102" t="n">
        <v>0</v>
      </c>
      <c r="F2139" s="94" t="n">
        <v>0</v>
      </c>
      <c r="G2139" s="102" t="n">
        <v>1216.53</v>
      </c>
      <c r="H2139" s="94" t="n">
        <v>25</v>
      </c>
    </row>
    <row r="2140" ht="15" customHeight="1" s="82">
      <c r="A2140" s="94" t="inlineStr">
        <is>
          <t>107 - Pharmacies</t>
        </is>
      </c>
      <c r="B2140" s="94" t="inlineStr">
        <is>
          <t>C02307 מדי פארם בתי מרקחת בעמ</t>
        </is>
      </c>
      <c r="C2140" s="94" t="inlineStr">
        <is>
          <t>INV68719</t>
        </is>
      </c>
      <c r="D2140" s="94" t="inlineStr">
        <is>
          <t>INV</t>
        </is>
      </c>
      <c r="E2140" s="102" t="n">
        <v>0</v>
      </c>
      <c r="F2140" s="94" t="n">
        <v>0</v>
      </c>
      <c r="G2140" s="102" t="n">
        <v>1204.84</v>
      </c>
      <c r="H2140" s="94" t="n">
        <v>19</v>
      </c>
    </row>
    <row r="2141" ht="15" customHeight="1" s="82">
      <c r="A2141" s="94" t="inlineStr">
        <is>
          <t>107 - Pharmacies</t>
        </is>
      </c>
      <c r="B2141" s="94" t="inlineStr">
        <is>
          <t>C02307 מדי פארם בתי מרקחת בעמ</t>
        </is>
      </c>
      <c r="C2141" s="94" t="inlineStr">
        <is>
          <t>INV69076</t>
        </is>
      </c>
      <c r="D2141" s="94" t="inlineStr">
        <is>
          <t>INV</t>
        </is>
      </c>
      <c r="E2141" s="102" t="n">
        <v>0</v>
      </c>
      <c r="F2141" s="94" t="n">
        <v>0</v>
      </c>
      <c r="G2141" s="102" t="n">
        <v>1203.92</v>
      </c>
      <c r="H2141" s="94" t="n">
        <v>13</v>
      </c>
    </row>
    <row r="2142" ht="15" customHeight="1" s="82">
      <c r="A2142" s="94" t="inlineStr">
        <is>
          <t>107 - Pharmacies</t>
        </is>
      </c>
      <c r="B2142" s="94" t="inlineStr">
        <is>
          <t>C02307 מדי פארם בתי מרקחת בעמ</t>
        </is>
      </c>
      <c r="C2142" s="94" t="inlineStr">
        <is>
          <t>INV69212</t>
        </is>
      </c>
      <c r="D2142" s="94" t="inlineStr">
        <is>
          <t>INV</t>
        </is>
      </c>
      <c r="E2142" s="102" t="n">
        <v>0</v>
      </c>
      <c r="F2142" s="94" t="n">
        <v>0</v>
      </c>
      <c r="G2142" s="102" t="n">
        <v>1117.78</v>
      </c>
      <c r="H2142" s="94" t="n">
        <v>21</v>
      </c>
    </row>
    <row r="2143" ht="15" customHeight="1" s="82">
      <c r="A2143" s="94" t="inlineStr">
        <is>
          <t>107 - Pharmacies</t>
        </is>
      </c>
      <c r="B2143" s="94" t="inlineStr">
        <is>
          <t>C02307 מדי פארם בתי מרקחת בעמ</t>
        </is>
      </c>
      <c r="C2143" s="94" t="inlineStr">
        <is>
          <t>INV68594</t>
        </is>
      </c>
      <c r="D2143" s="94" t="inlineStr">
        <is>
          <t>INV</t>
        </is>
      </c>
      <c r="E2143" s="102" t="n">
        <v>0</v>
      </c>
      <c r="F2143" s="94" t="n">
        <v>0</v>
      </c>
      <c r="G2143" s="102" t="n">
        <v>969.91</v>
      </c>
      <c r="H2143" s="94" t="n">
        <v>14</v>
      </c>
    </row>
    <row r="2144" ht="15" customHeight="1" s="82">
      <c r="A2144" s="94" t="inlineStr">
        <is>
          <t>107 - Pharmacies</t>
        </is>
      </c>
      <c r="B2144" s="94" t="inlineStr">
        <is>
          <t>C02307 מדי פארם בתי מרקחת בעמ</t>
        </is>
      </c>
      <c r="C2144" s="94" t="inlineStr">
        <is>
          <t>INV68686</t>
        </is>
      </c>
      <c r="D2144" s="94" t="inlineStr">
        <is>
          <t>INV</t>
        </is>
      </c>
      <c r="E2144" s="102" t="n">
        <v>0</v>
      </c>
      <c r="F2144" s="94" t="n">
        <v>0</v>
      </c>
      <c r="G2144" s="102" t="n">
        <v>967.3</v>
      </c>
      <c r="H2144" s="94" t="n">
        <v>13</v>
      </c>
    </row>
    <row r="2145" ht="15" customHeight="1" s="82">
      <c r="A2145" s="94" t="inlineStr">
        <is>
          <t>107 - Pharmacies</t>
        </is>
      </c>
      <c r="B2145" s="94" t="inlineStr">
        <is>
          <t>C02307 מדי פארם בתי מרקחת בעמ</t>
        </is>
      </c>
      <c r="C2145" s="94" t="inlineStr">
        <is>
          <t>INV68515</t>
        </is>
      </c>
      <c r="D2145" s="94" t="inlineStr">
        <is>
          <t>INV</t>
        </is>
      </c>
      <c r="E2145" s="102" t="n">
        <v>0</v>
      </c>
      <c r="F2145" s="94" t="n">
        <v>0</v>
      </c>
      <c r="G2145" s="102" t="n">
        <v>961.04</v>
      </c>
      <c r="H2145" s="94" t="n">
        <v>17</v>
      </c>
    </row>
    <row r="2146" ht="15" customHeight="1" s="82">
      <c r="A2146" s="94" t="inlineStr">
        <is>
          <t>107 - Pharmacies</t>
        </is>
      </c>
      <c r="B2146" s="94" t="inlineStr">
        <is>
          <t>C02307 מדי פארם בתי מרקחת בעמ</t>
        </is>
      </c>
      <c r="C2146" s="94" t="inlineStr">
        <is>
          <t>INV69179</t>
        </is>
      </c>
      <c r="D2146" s="94" t="inlineStr">
        <is>
          <t>INV</t>
        </is>
      </c>
      <c r="E2146" s="102" t="n">
        <v>0</v>
      </c>
      <c r="F2146" s="94" t="n">
        <v>0</v>
      </c>
      <c r="G2146" s="102" t="n">
        <v>959.8200000000001</v>
      </c>
      <c r="H2146" s="94" t="n">
        <v>15</v>
      </c>
    </row>
    <row r="2147" ht="15" customHeight="1" s="82">
      <c r="A2147" s="94" t="inlineStr">
        <is>
          <t>107 - Pharmacies</t>
        </is>
      </c>
      <c r="B2147" s="94" t="inlineStr">
        <is>
          <t>C02307 מדי פארם בתי מרקחת בעמ</t>
        </is>
      </c>
      <c r="C2147" s="94" t="inlineStr">
        <is>
          <t>INV68817</t>
        </is>
      </c>
      <c r="D2147" s="94" t="inlineStr">
        <is>
          <t>INV</t>
        </is>
      </c>
      <c r="E2147" s="102" t="n">
        <v>0</v>
      </c>
      <c r="F2147" s="94" t="n">
        <v>0</v>
      </c>
      <c r="G2147" s="102" t="n">
        <v>908.33</v>
      </c>
      <c r="H2147" s="94" t="n">
        <v>16</v>
      </c>
    </row>
    <row r="2148" ht="15" customHeight="1" s="82">
      <c r="A2148" s="94" t="inlineStr">
        <is>
          <t>107 - Pharmacies</t>
        </is>
      </c>
      <c r="B2148" s="94" t="inlineStr">
        <is>
          <t>C02307 מדי פארם בתי מרקחת בעמ</t>
        </is>
      </c>
      <c r="C2148" s="94" t="inlineStr">
        <is>
          <t>INV68880</t>
        </is>
      </c>
      <c r="D2148" s="94" t="inlineStr">
        <is>
          <t>INV</t>
        </is>
      </c>
      <c r="E2148" s="102" t="n">
        <v>0</v>
      </c>
      <c r="F2148" s="94" t="n">
        <v>0</v>
      </c>
      <c r="G2148" s="102" t="n">
        <v>895.21</v>
      </c>
      <c r="H2148" s="94" t="n">
        <v>8</v>
      </c>
    </row>
    <row r="2149" ht="15" customHeight="1" s="82">
      <c r="A2149" s="94" t="inlineStr">
        <is>
          <t>107 - Pharmacies</t>
        </is>
      </c>
      <c r="B2149" s="94" t="inlineStr">
        <is>
          <t>C02307 מדי פארם בתי מרקחת בעמ</t>
        </is>
      </c>
      <c r="C2149" s="94" t="inlineStr">
        <is>
          <t>INV68739</t>
        </is>
      </c>
      <c r="D2149" s="94" t="inlineStr">
        <is>
          <t>INV</t>
        </is>
      </c>
      <c r="E2149" s="102" t="n">
        <v>0</v>
      </c>
      <c r="F2149" s="94" t="n">
        <v>0</v>
      </c>
      <c r="G2149" s="102" t="n">
        <v>887.38</v>
      </c>
      <c r="H2149" s="94" t="n">
        <v>14</v>
      </c>
    </row>
    <row r="2150" ht="15" customHeight="1" s="82">
      <c r="A2150" s="94" t="inlineStr">
        <is>
          <t>107 - Pharmacies</t>
        </is>
      </c>
      <c r="B2150" s="94" t="inlineStr">
        <is>
          <t>C02307 מדי פארם בתי מרקחת בעמ</t>
        </is>
      </c>
      <c r="C2150" s="94" t="inlineStr">
        <is>
          <t>INV68365</t>
        </is>
      </c>
      <c r="D2150" s="94" t="inlineStr">
        <is>
          <t>INV</t>
        </is>
      </c>
      <c r="E2150" s="102" t="n">
        <v>0</v>
      </c>
      <c r="F2150" s="94" t="n">
        <v>0</v>
      </c>
      <c r="G2150" s="102" t="n">
        <v>884.92</v>
      </c>
      <c r="H2150" s="94" t="n">
        <v>20</v>
      </c>
    </row>
    <row r="2151" ht="15" customHeight="1" s="82">
      <c r="A2151" s="94" t="inlineStr">
        <is>
          <t>107 - Pharmacies</t>
        </is>
      </c>
      <c r="B2151" s="94" t="inlineStr">
        <is>
          <t>C02307 מדי פארם בתי מרקחת בעמ</t>
        </is>
      </c>
      <c r="C2151" s="94" t="inlineStr">
        <is>
          <t>INV67904</t>
        </is>
      </c>
      <c r="D2151" s="94" t="inlineStr">
        <is>
          <t>INV</t>
        </is>
      </c>
      <c r="E2151" s="102" t="n">
        <v>0</v>
      </c>
      <c r="F2151" s="94" t="n">
        <v>0</v>
      </c>
      <c r="G2151" s="102" t="n">
        <v>869.29</v>
      </c>
      <c r="H2151" s="94" t="n">
        <v>15</v>
      </c>
    </row>
    <row r="2152" ht="15" customHeight="1" s="82">
      <c r="A2152" s="94" t="inlineStr">
        <is>
          <t>107 - Pharmacies</t>
        </is>
      </c>
      <c r="B2152" s="94" t="inlineStr">
        <is>
          <t>C02307 מדי פארם בתי מרקחת בעמ</t>
        </is>
      </c>
      <c r="C2152" s="94" t="inlineStr">
        <is>
          <t>INV68559</t>
        </is>
      </c>
      <c r="D2152" s="94" t="inlineStr">
        <is>
          <t>INV</t>
        </is>
      </c>
      <c r="E2152" s="102" t="n">
        <v>0</v>
      </c>
      <c r="F2152" s="94" t="n">
        <v>0</v>
      </c>
      <c r="G2152" s="102" t="n">
        <v>826.97</v>
      </c>
      <c r="H2152" s="94" t="n">
        <v>11</v>
      </c>
    </row>
    <row r="2153" ht="15" customHeight="1" s="82">
      <c r="A2153" s="94" t="inlineStr">
        <is>
          <t>107 - Pharmacies</t>
        </is>
      </c>
      <c r="B2153" s="94" t="inlineStr">
        <is>
          <t>C02307 מדי פארם בתי מרקחת בעמ</t>
        </is>
      </c>
      <c r="C2153" s="94" t="inlineStr">
        <is>
          <t>INV68439</t>
        </is>
      </c>
      <c r="D2153" s="94" t="inlineStr">
        <is>
          <t>INV</t>
        </is>
      </c>
      <c r="E2153" s="102" t="n">
        <v>0</v>
      </c>
      <c r="F2153" s="94" t="n">
        <v>0</v>
      </c>
      <c r="G2153" s="102" t="n">
        <v>817.6900000000001</v>
      </c>
      <c r="H2153" s="94" t="n">
        <v>10</v>
      </c>
    </row>
    <row r="2154" ht="15" customHeight="1" s="82">
      <c r="A2154" s="94" t="inlineStr">
        <is>
          <t>107 - Pharmacies</t>
        </is>
      </c>
      <c r="B2154" s="94" t="inlineStr">
        <is>
          <t>C02307 מדי פארם בתי מרקחת בעמ</t>
        </is>
      </c>
      <c r="C2154" s="94" t="inlineStr">
        <is>
          <t>INV67583</t>
        </is>
      </c>
      <c r="D2154" s="94" t="inlineStr">
        <is>
          <t>INV</t>
        </is>
      </c>
      <c r="E2154" s="102" t="n">
        <v>0</v>
      </c>
      <c r="F2154" s="94" t="n">
        <v>0</v>
      </c>
      <c r="G2154" s="102" t="n">
        <v>804.89</v>
      </c>
      <c r="H2154" s="94" t="n">
        <v>11</v>
      </c>
    </row>
    <row r="2155" ht="15" customHeight="1" s="82">
      <c r="A2155" s="94" t="inlineStr">
        <is>
          <t>107 - Pharmacies</t>
        </is>
      </c>
      <c r="B2155" s="94" t="inlineStr">
        <is>
          <t>C02307 מדי פארם בתי מרקחת בעמ</t>
        </is>
      </c>
      <c r="C2155" s="94" t="inlineStr">
        <is>
          <t>INV69023</t>
        </is>
      </c>
      <c r="D2155" s="94" t="inlineStr">
        <is>
          <t>INV</t>
        </is>
      </c>
      <c r="E2155" s="102" t="n">
        <v>0</v>
      </c>
      <c r="F2155" s="94" t="n">
        <v>0</v>
      </c>
      <c r="G2155" s="102" t="n">
        <v>775.91</v>
      </c>
      <c r="H2155" s="94" t="n">
        <v>13</v>
      </c>
    </row>
    <row r="2156" ht="15" customHeight="1" s="82">
      <c r="A2156" s="94" t="inlineStr">
        <is>
          <t>107 - Pharmacies</t>
        </is>
      </c>
      <c r="B2156" s="94" t="inlineStr">
        <is>
          <t>C02307 מדי פארם בתי מרקחת בעמ</t>
        </is>
      </c>
      <c r="C2156" s="94" t="inlineStr">
        <is>
          <t>INV67060</t>
        </is>
      </c>
      <c r="D2156" s="94" t="inlineStr">
        <is>
          <t>INV</t>
        </is>
      </c>
      <c r="E2156" s="102" t="n">
        <v>766.36</v>
      </c>
      <c r="F2156" s="94" t="n">
        <v>6</v>
      </c>
      <c r="G2156" s="102" t="n">
        <v>0</v>
      </c>
      <c r="H2156" s="94" t="n">
        <v>0</v>
      </c>
    </row>
    <row r="2157" ht="15" customHeight="1" s="82">
      <c r="A2157" s="94" t="inlineStr">
        <is>
          <t>107 - Pharmacies</t>
        </is>
      </c>
      <c r="B2157" s="94" t="inlineStr">
        <is>
          <t>C02307 מדי פארם בתי מרקחת בעמ</t>
        </is>
      </c>
      <c r="C2157" s="94" t="inlineStr">
        <is>
          <t>INV68186</t>
        </is>
      </c>
      <c r="D2157" s="94" t="inlineStr">
        <is>
          <t>INV</t>
        </is>
      </c>
      <c r="E2157" s="102" t="n">
        <v>0</v>
      </c>
      <c r="F2157" s="94" t="n">
        <v>0</v>
      </c>
      <c r="G2157" s="102" t="n">
        <v>740.74</v>
      </c>
      <c r="H2157" s="94" t="n">
        <v>10</v>
      </c>
    </row>
    <row r="2158" ht="15" customHeight="1" s="82">
      <c r="A2158" s="94" t="inlineStr">
        <is>
          <t>107 - Pharmacies</t>
        </is>
      </c>
      <c r="B2158" s="94" t="inlineStr">
        <is>
          <t>C02307 מדי פארם בתי מרקחת בעמ</t>
        </is>
      </c>
      <c r="C2158" s="94" t="inlineStr">
        <is>
          <t>INV68983</t>
        </is>
      </c>
      <c r="D2158" s="94" t="inlineStr">
        <is>
          <t>INV</t>
        </is>
      </c>
      <c r="E2158" s="102" t="n">
        <v>0</v>
      </c>
      <c r="F2158" s="94" t="n">
        <v>0</v>
      </c>
      <c r="G2158" s="102" t="n">
        <v>739.2</v>
      </c>
      <c r="H2158" s="94" t="n">
        <v>13</v>
      </c>
    </row>
    <row r="2159" ht="15" customHeight="1" s="82">
      <c r="A2159" s="94" t="inlineStr">
        <is>
          <t>107 - Pharmacies</t>
        </is>
      </c>
      <c r="B2159" s="94" t="inlineStr">
        <is>
          <t>C02307 מדי פארם בתי מרקחת בעמ</t>
        </is>
      </c>
      <c r="C2159" s="94" t="inlineStr">
        <is>
          <t>INV69258</t>
        </is>
      </c>
      <c r="D2159" s="94" t="inlineStr">
        <is>
          <t>INV</t>
        </is>
      </c>
      <c r="E2159" s="102" t="n">
        <v>0</v>
      </c>
      <c r="F2159" s="94" t="n">
        <v>0</v>
      </c>
      <c r="G2159" s="102" t="n">
        <v>687.65</v>
      </c>
      <c r="H2159" s="94" t="n">
        <v>7</v>
      </c>
    </row>
    <row r="2160" ht="15" customHeight="1" s="82">
      <c r="A2160" s="94" t="inlineStr">
        <is>
          <t>107 - Pharmacies</t>
        </is>
      </c>
      <c r="B2160" s="94" t="inlineStr">
        <is>
          <t>C02307 מדי פארם בתי מרקחת בעמ</t>
        </is>
      </c>
      <c r="C2160" s="94" t="inlineStr">
        <is>
          <t>INV68911</t>
        </is>
      </c>
      <c r="D2160" s="94" t="inlineStr">
        <is>
          <t>INV</t>
        </is>
      </c>
      <c r="E2160" s="102" t="n">
        <v>0</v>
      </c>
      <c r="F2160" s="94" t="n">
        <v>0</v>
      </c>
      <c r="G2160" s="102" t="n">
        <v>687.14</v>
      </c>
      <c r="H2160" s="94" t="n">
        <v>8</v>
      </c>
    </row>
    <row r="2161" ht="15" customHeight="1" s="82">
      <c r="A2161" s="94" t="inlineStr">
        <is>
          <t>107 - Pharmacies</t>
        </is>
      </c>
      <c r="B2161" s="94" t="inlineStr">
        <is>
          <t>C02307 מדי פארם בתי מרקחת בעמ</t>
        </is>
      </c>
      <c r="C2161" s="94" t="inlineStr">
        <is>
          <t>INV69318</t>
        </is>
      </c>
      <c r="D2161" s="94" t="inlineStr">
        <is>
          <t>INV</t>
        </is>
      </c>
      <c r="E2161" s="102" t="n">
        <v>0</v>
      </c>
      <c r="F2161" s="94" t="n">
        <v>0</v>
      </c>
      <c r="G2161" s="102" t="n">
        <v>646.59</v>
      </c>
      <c r="H2161" s="94" t="n">
        <v>18</v>
      </c>
    </row>
    <row r="2162" ht="15" customHeight="1" s="82">
      <c r="A2162" s="94" t="inlineStr">
        <is>
          <t>107 - Pharmacies</t>
        </is>
      </c>
      <c r="B2162" s="94" t="inlineStr">
        <is>
          <t>C02307 מדי פארם בתי מרקחת בעמ</t>
        </is>
      </c>
      <c r="C2162" s="94" t="inlineStr">
        <is>
          <t>INV67523</t>
        </is>
      </c>
      <c r="D2162" s="94" t="inlineStr">
        <is>
          <t>INV</t>
        </is>
      </c>
      <c r="E2162" s="102" t="n">
        <v>0</v>
      </c>
      <c r="F2162" s="94" t="n">
        <v>0</v>
      </c>
      <c r="G2162" s="102" t="n">
        <v>645.01</v>
      </c>
      <c r="H2162" s="94" t="n">
        <v>5</v>
      </c>
    </row>
    <row r="2163" ht="15" customHeight="1" s="82">
      <c r="A2163" s="94" t="inlineStr">
        <is>
          <t>107 - Pharmacies</t>
        </is>
      </c>
      <c r="B2163" s="94" t="inlineStr">
        <is>
          <t>C02307 מדי פארם בתי מרקחת בעמ</t>
        </is>
      </c>
      <c r="C2163" s="94" t="inlineStr">
        <is>
          <t>INV69060</t>
        </is>
      </c>
      <c r="D2163" s="94" t="inlineStr">
        <is>
          <t>INV</t>
        </is>
      </c>
      <c r="E2163" s="102" t="n">
        <v>0</v>
      </c>
      <c r="F2163" s="94" t="n">
        <v>0</v>
      </c>
      <c r="G2163" s="102" t="n">
        <v>642.08</v>
      </c>
      <c r="H2163" s="94" t="n">
        <v>7</v>
      </c>
    </row>
    <row r="2164" ht="15" customHeight="1" s="82">
      <c r="A2164" s="94" t="inlineStr">
        <is>
          <t>107 - Pharmacies</t>
        </is>
      </c>
      <c r="B2164" s="94" t="inlineStr">
        <is>
          <t>C02307 מדי פארם בתי מרקחת בעמ</t>
        </is>
      </c>
      <c r="C2164" s="94" t="inlineStr">
        <is>
          <t>INV68925</t>
        </is>
      </c>
      <c r="D2164" s="94" t="inlineStr">
        <is>
          <t>INV</t>
        </is>
      </c>
      <c r="E2164" s="102" t="n">
        <v>0</v>
      </c>
      <c r="F2164" s="94" t="n">
        <v>0</v>
      </c>
      <c r="G2164" s="102" t="n">
        <v>620.52</v>
      </c>
      <c r="H2164" s="94" t="n">
        <v>12</v>
      </c>
    </row>
    <row r="2165" ht="15" customHeight="1" s="82">
      <c r="A2165" s="94" t="inlineStr">
        <is>
          <t>107 - Pharmacies</t>
        </is>
      </c>
      <c r="B2165" s="94" t="inlineStr">
        <is>
          <t>C02307 מדי פארם בתי מרקחת בעמ</t>
        </is>
      </c>
      <c r="C2165" s="94" t="inlineStr">
        <is>
          <t>INV68998</t>
        </is>
      </c>
      <c r="D2165" s="94" t="inlineStr">
        <is>
          <t>INV</t>
        </is>
      </c>
      <c r="E2165" s="102" t="n">
        <v>0</v>
      </c>
      <c r="F2165" s="94" t="n">
        <v>0</v>
      </c>
      <c r="G2165" s="102" t="n">
        <v>606.47</v>
      </c>
      <c r="H2165" s="94" t="n">
        <v>10</v>
      </c>
    </row>
    <row r="2166" ht="15" customHeight="1" s="82">
      <c r="A2166" s="94" t="inlineStr">
        <is>
          <t>107 - Pharmacies</t>
        </is>
      </c>
      <c r="B2166" s="94" t="inlineStr">
        <is>
          <t>C02307 מדי פארם בתי מרקחת בעמ</t>
        </is>
      </c>
      <c r="C2166" s="94" t="inlineStr">
        <is>
          <t>INV67379</t>
        </is>
      </c>
      <c r="D2166" s="94" t="inlineStr">
        <is>
          <t>INV</t>
        </is>
      </c>
      <c r="E2166" s="102" t="n">
        <v>0</v>
      </c>
      <c r="F2166" s="94" t="n">
        <v>0</v>
      </c>
      <c r="G2166" s="102" t="n">
        <v>591.9299999999999</v>
      </c>
      <c r="H2166" s="94" t="n">
        <v>7</v>
      </c>
    </row>
    <row r="2167" ht="15" customHeight="1" s="82">
      <c r="A2167" s="94" t="inlineStr">
        <is>
          <t>107 - Pharmacies</t>
        </is>
      </c>
      <c r="B2167" s="94" t="inlineStr">
        <is>
          <t>C02307 מדי פארם בתי מרקחת בעמ</t>
        </is>
      </c>
      <c r="C2167" s="94" t="inlineStr">
        <is>
          <t>INV68657</t>
        </is>
      </c>
      <c r="D2167" s="94" t="inlineStr">
        <is>
          <t>INV</t>
        </is>
      </c>
      <c r="E2167" s="102" t="n">
        <v>0</v>
      </c>
      <c r="F2167" s="94" t="n">
        <v>0</v>
      </c>
      <c r="G2167" s="102" t="n">
        <v>584.85</v>
      </c>
      <c r="H2167" s="94" t="n">
        <v>8</v>
      </c>
    </row>
    <row r="2168" ht="15" customHeight="1" s="82">
      <c r="A2168" s="94" t="inlineStr">
        <is>
          <t>107 - Pharmacies</t>
        </is>
      </c>
      <c r="B2168" s="94" t="inlineStr">
        <is>
          <t>C02307 מדי פארם בתי מרקחת בעמ</t>
        </is>
      </c>
      <c r="C2168" s="94" t="inlineStr">
        <is>
          <t>INV68140</t>
        </is>
      </c>
      <c r="D2168" s="94" t="inlineStr">
        <is>
          <t>INV</t>
        </is>
      </c>
      <c r="E2168" s="102" t="n">
        <v>0</v>
      </c>
      <c r="F2168" s="94" t="n">
        <v>0</v>
      </c>
      <c r="G2168" s="102" t="n">
        <v>573.21</v>
      </c>
      <c r="H2168" s="94" t="n">
        <v>11</v>
      </c>
    </row>
    <row r="2169" ht="15" customHeight="1" s="82">
      <c r="A2169" s="94" t="inlineStr">
        <is>
          <t>107 - Pharmacies</t>
        </is>
      </c>
      <c r="B2169" s="94" t="inlineStr">
        <is>
          <t>C02307 מדי פארם בתי מרקחת בעמ</t>
        </is>
      </c>
      <c r="C2169" s="94" t="inlineStr">
        <is>
          <t>INV67959</t>
        </is>
      </c>
      <c r="D2169" s="94" t="inlineStr">
        <is>
          <t>INV</t>
        </is>
      </c>
      <c r="E2169" s="102" t="n">
        <v>0</v>
      </c>
      <c r="F2169" s="94" t="n">
        <v>0</v>
      </c>
      <c r="G2169" s="102" t="n">
        <v>572.55</v>
      </c>
      <c r="H2169" s="94" t="n">
        <v>8</v>
      </c>
    </row>
    <row r="2170" ht="15" customHeight="1" s="82">
      <c r="A2170" s="94" t="inlineStr">
        <is>
          <t>107 - Pharmacies</t>
        </is>
      </c>
      <c r="B2170" s="94" t="inlineStr">
        <is>
          <t>C02307 מדי פארם בתי מרקחת בעמ</t>
        </is>
      </c>
      <c r="C2170" s="94" t="inlineStr">
        <is>
          <t>INV68300</t>
        </is>
      </c>
      <c r="D2170" s="94" t="inlineStr">
        <is>
          <t>INV</t>
        </is>
      </c>
      <c r="E2170" s="102" t="n">
        <v>0</v>
      </c>
      <c r="F2170" s="94" t="n">
        <v>0</v>
      </c>
      <c r="G2170" s="102" t="n">
        <v>569.11</v>
      </c>
      <c r="H2170" s="94" t="n">
        <v>5</v>
      </c>
    </row>
    <row r="2171" ht="15" customHeight="1" s="82">
      <c r="A2171" s="94" t="inlineStr">
        <is>
          <t>107 - Pharmacies</t>
        </is>
      </c>
      <c r="B2171" s="94" t="inlineStr">
        <is>
          <t>C02307 מדי פארם בתי מרקחת בעמ</t>
        </is>
      </c>
      <c r="C2171" s="94" t="inlineStr">
        <is>
          <t>INV68234</t>
        </is>
      </c>
      <c r="D2171" s="94" t="inlineStr">
        <is>
          <t>INV</t>
        </is>
      </c>
      <c r="E2171" s="102" t="n">
        <v>0</v>
      </c>
      <c r="F2171" s="94" t="n">
        <v>0</v>
      </c>
      <c r="G2171" s="102" t="n">
        <v>559.78</v>
      </c>
      <c r="H2171" s="94" t="n">
        <v>10</v>
      </c>
    </row>
    <row r="2172" ht="15" customHeight="1" s="82">
      <c r="A2172" s="94" t="inlineStr">
        <is>
          <t>107 - Pharmacies</t>
        </is>
      </c>
      <c r="B2172" s="94" t="inlineStr">
        <is>
          <t>C02307 מדי פארם בתי מרקחת בעמ</t>
        </is>
      </c>
      <c r="C2172" s="94" t="inlineStr">
        <is>
          <t>INV68648</t>
        </is>
      </c>
      <c r="D2172" s="94" t="inlineStr">
        <is>
          <t>INV</t>
        </is>
      </c>
      <c r="E2172" s="102" t="n">
        <v>0</v>
      </c>
      <c r="F2172" s="94" t="n">
        <v>0</v>
      </c>
      <c r="G2172" s="102" t="n">
        <v>549.16</v>
      </c>
      <c r="H2172" s="94" t="n">
        <v>14</v>
      </c>
    </row>
    <row r="2173" ht="15" customHeight="1" s="82">
      <c r="A2173" s="94" t="inlineStr">
        <is>
          <t>107 - Pharmacies</t>
        </is>
      </c>
      <c r="B2173" s="94" t="inlineStr">
        <is>
          <t>C02307 מדי פארם בתי מרקחת בעמ</t>
        </is>
      </c>
      <c r="C2173" s="94" t="inlineStr">
        <is>
          <t>INV68083</t>
        </is>
      </c>
      <c r="D2173" s="94" t="inlineStr">
        <is>
          <t>INV</t>
        </is>
      </c>
      <c r="E2173" s="102" t="n">
        <v>0</v>
      </c>
      <c r="F2173" s="94" t="n">
        <v>0</v>
      </c>
      <c r="G2173" s="102" t="n">
        <v>528.48</v>
      </c>
      <c r="H2173" s="94" t="n">
        <v>7</v>
      </c>
    </row>
    <row r="2174" ht="15" customHeight="1" s="82">
      <c r="A2174" s="94" t="inlineStr">
        <is>
          <t>107 - Pharmacies</t>
        </is>
      </c>
      <c r="B2174" s="94" t="inlineStr">
        <is>
          <t>C02307 מדי פארם בתי מרקחת בעמ</t>
        </is>
      </c>
      <c r="C2174" s="94" t="inlineStr">
        <is>
          <t>INV68903</t>
        </is>
      </c>
      <c r="D2174" s="94" t="inlineStr">
        <is>
          <t>INV</t>
        </is>
      </c>
      <c r="E2174" s="102" t="n">
        <v>0</v>
      </c>
      <c r="F2174" s="94" t="n">
        <v>0</v>
      </c>
      <c r="G2174" s="102" t="n">
        <v>527.17</v>
      </c>
      <c r="H2174" s="94" t="n">
        <v>9</v>
      </c>
    </row>
    <row r="2175" ht="15" customHeight="1" s="82">
      <c r="A2175" s="94" t="inlineStr">
        <is>
          <t>107 - Pharmacies</t>
        </is>
      </c>
      <c r="B2175" s="94" t="inlineStr">
        <is>
          <t>C02307 מדי פארם בתי מרקחת בעמ</t>
        </is>
      </c>
      <c r="C2175" s="94" t="inlineStr">
        <is>
          <t>INV69289</t>
        </is>
      </c>
      <c r="D2175" s="94" t="inlineStr">
        <is>
          <t>INV</t>
        </is>
      </c>
      <c r="E2175" s="102" t="n">
        <v>0</v>
      </c>
      <c r="F2175" s="94" t="n">
        <v>0</v>
      </c>
      <c r="G2175" s="102" t="n">
        <v>525.6799999999999</v>
      </c>
      <c r="H2175" s="94" t="n">
        <v>6</v>
      </c>
    </row>
    <row r="2176" ht="15" customHeight="1" s="82">
      <c r="A2176" s="94" t="inlineStr">
        <is>
          <t>107 - Pharmacies</t>
        </is>
      </c>
      <c r="B2176" s="94" t="inlineStr">
        <is>
          <t>C02307 מדי פארם בתי מרקחת בעמ</t>
        </is>
      </c>
      <c r="C2176" s="94" t="inlineStr">
        <is>
          <t>INV67437</t>
        </is>
      </c>
      <c r="D2176" s="94" t="inlineStr">
        <is>
          <t>INV</t>
        </is>
      </c>
      <c r="E2176" s="102" t="n">
        <v>0</v>
      </c>
      <c r="F2176" s="94" t="n">
        <v>0</v>
      </c>
      <c r="G2176" s="102" t="n">
        <v>510.89</v>
      </c>
      <c r="H2176" s="94" t="n">
        <v>10</v>
      </c>
    </row>
    <row r="2177" ht="15" customHeight="1" s="82">
      <c r="A2177" s="94" t="inlineStr">
        <is>
          <t>107 - Pharmacies</t>
        </is>
      </c>
      <c r="B2177" s="94" t="inlineStr">
        <is>
          <t>C02307 מדי פארם בתי מרקחת בעמ</t>
        </is>
      </c>
      <c r="C2177" s="94" t="inlineStr">
        <is>
          <t>INV69305</t>
        </is>
      </c>
      <c r="D2177" s="94" t="inlineStr">
        <is>
          <t>INV</t>
        </is>
      </c>
      <c r="E2177" s="102" t="n">
        <v>0</v>
      </c>
      <c r="F2177" s="94" t="n">
        <v>0</v>
      </c>
      <c r="G2177" s="102" t="n">
        <v>510</v>
      </c>
      <c r="H2177" s="94" t="n">
        <v>6</v>
      </c>
    </row>
    <row r="2178" ht="15" customHeight="1" s="82">
      <c r="A2178" s="94" t="inlineStr">
        <is>
          <t>107 - Pharmacies</t>
        </is>
      </c>
      <c r="B2178" s="94" t="inlineStr">
        <is>
          <t>C02307 מדי פארם בתי מרקחת בעמ</t>
        </is>
      </c>
      <c r="C2178" s="94" t="inlineStr">
        <is>
          <t>INV68693</t>
        </is>
      </c>
      <c r="D2178" s="94" t="inlineStr">
        <is>
          <t>INV</t>
        </is>
      </c>
      <c r="E2178" s="102" t="n">
        <v>0</v>
      </c>
      <c r="F2178" s="94" t="n">
        <v>0</v>
      </c>
      <c r="G2178" s="102" t="n">
        <v>499.8</v>
      </c>
      <c r="H2178" s="94" t="n">
        <v>3</v>
      </c>
    </row>
    <row r="2179" ht="15" customHeight="1" s="82">
      <c r="A2179" s="94" t="inlineStr">
        <is>
          <t>107 - Pharmacies</t>
        </is>
      </c>
      <c r="B2179" s="94" t="inlineStr">
        <is>
          <t>C02307 מדי פארם בתי מרקחת בעמ</t>
        </is>
      </c>
      <c r="C2179" s="94" t="inlineStr">
        <is>
          <t>INV67978</t>
        </is>
      </c>
      <c r="D2179" s="94" t="inlineStr">
        <is>
          <t>INV</t>
        </is>
      </c>
      <c r="E2179" s="102" t="n">
        <v>0</v>
      </c>
      <c r="F2179" s="94" t="n">
        <v>0</v>
      </c>
      <c r="G2179" s="102" t="n">
        <v>499.38</v>
      </c>
      <c r="H2179" s="94" t="n">
        <v>7</v>
      </c>
    </row>
    <row r="2180" ht="15" customHeight="1" s="82">
      <c r="A2180" s="94" t="inlineStr">
        <is>
          <t>107 - Pharmacies</t>
        </is>
      </c>
      <c r="B2180" s="94" t="inlineStr">
        <is>
          <t>C02307 מדי פארם בתי מרקחת בעמ</t>
        </is>
      </c>
      <c r="C2180" s="94" t="inlineStr">
        <is>
          <t>INV67635</t>
        </is>
      </c>
      <c r="D2180" s="94" t="inlineStr">
        <is>
          <t>INV</t>
        </is>
      </c>
      <c r="E2180" s="102" t="n">
        <v>0</v>
      </c>
      <c r="F2180" s="94" t="n">
        <v>0</v>
      </c>
      <c r="G2180" s="102" t="n">
        <v>493.5</v>
      </c>
      <c r="H2180" s="94" t="n">
        <v>6</v>
      </c>
    </row>
    <row r="2181" ht="15" customHeight="1" s="82">
      <c r="A2181" s="94" t="inlineStr">
        <is>
          <t>107 - Pharmacies</t>
        </is>
      </c>
      <c r="B2181" s="94" t="inlineStr">
        <is>
          <t>C02307 מדי פארם בתי מרקחת בעמ</t>
        </is>
      </c>
      <c r="C2181" s="94" t="inlineStr">
        <is>
          <t>INV67726</t>
        </is>
      </c>
      <c r="D2181" s="94" t="inlineStr">
        <is>
          <t>INV</t>
        </is>
      </c>
      <c r="E2181" s="102" t="n">
        <v>0</v>
      </c>
      <c r="F2181" s="94" t="n">
        <v>0</v>
      </c>
      <c r="G2181" s="102" t="n">
        <v>483.37</v>
      </c>
      <c r="H2181" s="94" t="n">
        <v>9</v>
      </c>
    </row>
    <row r="2182" ht="15" customHeight="1" s="82">
      <c r="A2182" s="94" t="inlineStr">
        <is>
          <t>107 - Pharmacies</t>
        </is>
      </c>
      <c r="B2182" s="94" t="inlineStr">
        <is>
          <t>C02307 מדי פארם בתי מרקחת בעמ</t>
        </is>
      </c>
      <c r="C2182" s="94" t="inlineStr">
        <is>
          <t>INV68472</t>
        </is>
      </c>
      <c r="D2182" s="94" t="inlineStr">
        <is>
          <t>INV</t>
        </is>
      </c>
      <c r="E2182" s="102" t="n">
        <v>0</v>
      </c>
      <c r="F2182" s="94" t="n">
        <v>0</v>
      </c>
      <c r="G2182" s="102" t="n">
        <v>479.14</v>
      </c>
      <c r="H2182" s="94" t="n">
        <v>7</v>
      </c>
    </row>
    <row r="2183" ht="15" customHeight="1" s="82">
      <c r="A2183" s="94" t="inlineStr">
        <is>
          <t>107 - Pharmacies</t>
        </is>
      </c>
      <c r="B2183" s="94" t="inlineStr">
        <is>
          <t>C02307 מדי פארם בתי מרקחת בעמ</t>
        </is>
      </c>
      <c r="C2183" s="94" t="inlineStr">
        <is>
          <t>INV69147</t>
        </is>
      </c>
      <c r="D2183" s="94" t="inlineStr">
        <is>
          <t>INV</t>
        </is>
      </c>
      <c r="E2183" s="102" t="n">
        <v>0</v>
      </c>
      <c r="F2183" s="94" t="n">
        <v>0</v>
      </c>
      <c r="G2183" s="102" t="n">
        <v>477.25</v>
      </c>
      <c r="H2183" s="94" t="n">
        <v>6</v>
      </c>
    </row>
    <row r="2184" ht="15" customHeight="1" s="82">
      <c r="A2184" s="94" t="inlineStr">
        <is>
          <t>107 - Pharmacies</t>
        </is>
      </c>
      <c r="B2184" s="94" t="inlineStr">
        <is>
          <t>C02307 מדי פארם בתי מרקחת בעמ</t>
        </is>
      </c>
      <c r="C2184" s="94" t="inlineStr">
        <is>
          <t>INV68537</t>
        </is>
      </c>
      <c r="D2184" s="94" t="inlineStr">
        <is>
          <t>INV</t>
        </is>
      </c>
      <c r="E2184" s="102" t="n">
        <v>0</v>
      </c>
      <c r="F2184" s="94" t="n">
        <v>0</v>
      </c>
      <c r="G2184" s="102" t="n">
        <v>476.82</v>
      </c>
      <c r="H2184" s="94" t="n">
        <v>8</v>
      </c>
    </row>
    <row r="2185" ht="15" customHeight="1" s="82">
      <c r="A2185" s="94" t="inlineStr">
        <is>
          <t>107 - Pharmacies</t>
        </is>
      </c>
      <c r="B2185" s="94" t="inlineStr">
        <is>
          <t>C02307 מדי פארם בתי מרקחת בעמ</t>
        </is>
      </c>
      <c r="C2185" s="94" t="inlineStr">
        <is>
          <t>INV68026</t>
        </is>
      </c>
      <c r="D2185" s="94" t="inlineStr">
        <is>
          <t>INV</t>
        </is>
      </c>
      <c r="E2185" s="102" t="n">
        <v>0</v>
      </c>
      <c r="F2185" s="94" t="n">
        <v>0</v>
      </c>
      <c r="G2185" s="102" t="n">
        <v>474.02</v>
      </c>
      <c r="H2185" s="94" t="n">
        <v>4</v>
      </c>
    </row>
    <row r="2186" ht="15" customHeight="1" s="82">
      <c r="A2186" s="94" t="inlineStr">
        <is>
          <t>107 - Pharmacies</t>
        </is>
      </c>
      <c r="B2186" s="94" t="inlineStr">
        <is>
          <t>C02307 מדי פארם בתי מרקחת בעמ</t>
        </is>
      </c>
      <c r="C2186" s="94" t="inlineStr">
        <is>
          <t>INV68156</t>
        </is>
      </c>
      <c r="D2186" s="94" t="inlineStr">
        <is>
          <t>INV</t>
        </is>
      </c>
      <c r="E2186" s="102" t="n">
        <v>0</v>
      </c>
      <c r="F2186" s="94" t="n">
        <v>0</v>
      </c>
      <c r="G2186" s="102" t="n">
        <v>440</v>
      </c>
      <c r="H2186" s="94" t="n">
        <v>4</v>
      </c>
    </row>
    <row r="2187" ht="15" customHeight="1" s="82">
      <c r="A2187" s="94" t="inlineStr">
        <is>
          <t>107 - Pharmacies</t>
        </is>
      </c>
      <c r="B2187" s="94" t="inlineStr">
        <is>
          <t>C02307 מדי פארם בתי מרקחת בעמ</t>
        </is>
      </c>
      <c r="C2187" s="94" t="inlineStr">
        <is>
          <t>INV68860</t>
        </is>
      </c>
      <c r="D2187" s="94" t="inlineStr">
        <is>
          <t>INV</t>
        </is>
      </c>
      <c r="E2187" s="102" t="n">
        <v>0</v>
      </c>
      <c r="F2187" s="94" t="n">
        <v>0</v>
      </c>
      <c r="G2187" s="102" t="n">
        <v>432.86</v>
      </c>
      <c r="H2187" s="94" t="n">
        <v>5</v>
      </c>
    </row>
    <row r="2188" ht="15" customHeight="1" s="82">
      <c r="A2188" s="94" t="inlineStr">
        <is>
          <t>107 - Pharmacies</t>
        </is>
      </c>
      <c r="B2188" s="94" t="inlineStr">
        <is>
          <t>C02307 מדי פארם בתי מרקחת בעמ</t>
        </is>
      </c>
      <c r="C2188" s="94" t="inlineStr">
        <is>
          <t>INV67038</t>
        </is>
      </c>
      <c r="D2188" s="94" t="inlineStr">
        <is>
          <t>INV</t>
        </is>
      </c>
      <c r="E2188" s="102" t="n">
        <v>432.07</v>
      </c>
      <c r="F2188" s="94" t="n">
        <v>4</v>
      </c>
      <c r="G2188" s="102" t="n">
        <v>0</v>
      </c>
      <c r="H2188" s="94" t="n">
        <v>0</v>
      </c>
    </row>
    <row r="2189" ht="15" customHeight="1" s="82">
      <c r="A2189" s="94" t="inlineStr">
        <is>
          <t>107 - Pharmacies</t>
        </is>
      </c>
      <c r="B2189" s="94" t="inlineStr">
        <is>
          <t>C02307 מדי פארם בתי מרקחת בעמ</t>
        </is>
      </c>
      <c r="C2189" s="94" t="inlineStr">
        <is>
          <t>INV67322</t>
        </is>
      </c>
      <c r="D2189" s="94" t="inlineStr">
        <is>
          <t>INV</t>
        </is>
      </c>
      <c r="E2189" s="102" t="n">
        <v>0</v>
      </c>
      <c r="F2189" s="94" t="n">
        <v>0</v>
      </c>
      <c r="G2189" s="102" t="n">
        <v>425.57</v>
      </c>
      <c r="H2189" s="94" t="n">
        <v>4</v>
      </c>
    </row>
    <row r="2190" ht="15" customHeight="1" s="82">
      <c r="A2190" s="94" t="inlineStr">
        <is>
          <t>107 - Pharmacies</t>
        </is>
      </c>
      <c r="B2190" s="94" t="inlineStr">
        <is>
          <t>C02307 מדי פארם בתי מרקחת בעמ</t>
        </is>
      </c>
      <c r="C2190" s="94" t="inlineStr">
        <is>
          <t>INV68412</t>
        </is>
      </c>
      <c r="D2190" s="94" t="inlineStr">
        <is>
          <t>INV</t>
        </is>
      </c>
      <c r="E2190" s="102" t="n">
        <v>0</v>
      </c>
      <c r="F2190" s="94" t="n">
        <v>0</v>
      </c>
      <c r="G2190" s="102" t="n">
        <v>421.66</v>
      </c>
      <c r="H2190" s="94" t="n">
        <v>5</v>
      </c>
    </row>
    <row r="2191" ht="15" customHeight="1" s="82">
      <c r="A2191" s="94" t="inlineStr">
        <is>
          <t>107 - Pharmacies</t>
        </is>
      </c>
      <c r="B2191" s="94" t="inlineStr">
        <is>
          <t>C02307 מדי פארם בתי מרקחת בעמ</t>
        </is>
      </c>
      <c r="C2191" s="94" t="inlineStr">
        <is>
          <t>INV67675</t>
        </is>
      </c>
      <c r="D2191" s="94" t="inlineStr">
        <is>
          <t>INV</t>
        </is>
      </c>
      <c r="E2191" s="102" t="n">
        <v>0</v>
      </c>
      <c r="F2191" s="94" t="n">
        <v>0</v>
      </c>
      <c r="G2191" s="102" t="n">
        <v>421.33</v>
      </c>
      <c r="H2191" s="94" t="n">
        <v>13</v>
      </c>
    </row>
    <row r="2192" ht="15" customHeight="1" s="82">
      <c r="A2192" s="94" t="inlineStr">
        <is>
          <t>107 - Pharmacies</t>
        </is>
      </c>
      <c r="B2192" s="94" t="inlineStr">
        <is>
          <t>C02307 מדי פארם בתי מרקחת בעמ</t>
        </is>
      </c>
      <c r="C2192" s="94" t="inlineStr">
        <is>
          <t>INV67897</t>
        </is>
      </c>
      <c r="D2192" s="94" t="inlineStr">
        <is>
          <t>INV</t>
        </is>
      </c>
      <c r="E2192" s="102" t="n">
        <v>0</v>
      </c>
      <c r="F2192" s="94" t="n">
        <v>0</v>
      </c>
      <c r="G2192" s="102" t="n">
        <v>421.15</v>
      </c>
      <c r="H2192" s="94" t="n">
        <v>3</v>
      </c>
    </row>
    <row r="2193" ht="15" customHeight="1" s="82">
      <c r="A2193" s="94" t="inlineStr">
        <is>
          <t>107 - Pharmacies</t>
        </is>
      </c>
      <c r="B2193" s="94" t="inlineStr">
        <is>
          <t>C02307 מדי פארם בתי מרקחת בעמ</t>
        </is>
      </c>
      <c r="C2193" s="94" t="inlineStr">
        <is>
          <t>INV66976</t>
        </is>
      </c>
      <c r="D2193" s="94" t="inlineStr">
        <is>
          <t>INV</t>
        </is>
      </c>
      <c r="E2193" s="102" t="n">
        <v>416.95</v>
      </c>
      <c r="F2193" s="94" t="n">
        <v>7</v>
      </c>
      <c r="G2193" s="102" t="n">
        <v>0</v>
      </c>
      <c r="H2193" s="94" t="n">
        <v>0</v>
      </c>
    </row>
    <row r="2194" ht="15" customHeight="1" s="82">
      <c r="A2194" s="94" t="inlineStr">
        <is>
          <t>107 - Pharmacies</t>
        </is>
      </c>
      <c r="B2194" s="94" t="inlineStr">
        <is>
          <t>C02307 מדי פארם בתי מרקחת בעמ</t>
        </is>
      </c>
      <c r="C2194" s="94" t="inlineStr">
        <is>
          <t>INV69139</t>
        </is>
      </c>
      <c r="D2194" s="94" t="inlineStr">
        <is>
          <t>INV</t>
        </is>
      </c>
      <c r="E2194" s="102" t="n">
        <v>0</v>
      </c>
      <c r="F2194" s="94" t="n">
        <v>0</v>
      </c>
      <c r="G2194" s="102" t="n">
        <v>407.55</v>
      </c>
      <c r="H2194" s="94" t="n">
        <v>5</v>
      </c>
    </row>
    <row r="2195" ht="15" customHeight="1" s="82">
      <c r="A2195" s="94" t="inlineStr">
        <is>
          <t>107 - Pharmacies</t>
        </is>
      </c>
      <c r="B2195" s="94" t="inlineStr">
        <is>
          <t>C02307 מדי פארם בתי מרקחת בעמ</t>
        </is>
      </c>
      <c r="C2195" s="94" t="inlineStr">
        <is>
          <t>INV67561</t>
        </is>
      </c>
      <c r="D2195" s="94" t="inlineStr">
        <is>
          <t>INV</t>
        </is>
      </c>
      <c r="E2195" s="102" t="n">
        <v>0</v>
      </c>
      <c r="F2195" s="94" t="n">
        <v>0</v>
      </c>
      <c r="G2195" s="102" t="n">
        <v>371.67</v>
      </c>
      <c r="H2195" s="94" t="n">
        <v>4</v>
      </c>
    </row>
    <row r="2196" ht="15" customHeight="1" s="82">
      <c r="A2196" s="94" t="inlineStr">
        <is>
          <t>107 - Pharmacies</t>
        </is>
      </c>
      <c r="B2196" s="94" t="inlineStr">
        <is>
          <t>C02307 מדי פארם בתי מרקחת בעמ</t>
        </is>
      </c>
      <c r="C2196" s="94" t="inlineStr">
        <is>
          <t>INV67105</t>
        </is>
      </c>
      <c r="D2196" s="94" t="inlineStr">
        <is>
          <t>INV</t>
        </is>
      </c>
      <c r="E2196" s="102" t="n">
        <v>310.01</v>
      </c>
      <c r="F2196" s="94" t="n">
        <v>4</v>
      </c>
      <c r="G2196" s="102" t="n">
        <v>0</v>
      </c>
      <c r="H2196" s="94" t="n">
        <v>0</v>
      </c>
    </row>
    <row r="2197" ht="15" customHeight="1" s="82">
      <c r="A2197" s="94" t="inlineStr">
        <is>
          <t>107 - Pharmacies</t>
        </is>
      </c>
      <c r="B2197" s="94" t="inlineStr">
        <is>
          <t>C02307 מדי פארם בתי מרקחת בעמ</t>
        </is>
      </c>
      <c r="C2197" s="94" t="inlineStr">
        <is>
          <t>INV67637</t>
        </is>
      </c>
      <c r="D2197" s="94" t="inlineStr">
        <is>
          <t>INV</t>
        </is>
      </c>
      <c r="E2197" s="102" t="n">
        <v>0</v>
      </c>
      <c r="F2197" s="94" t="n">
        <v>0</v>
      </c>
      <c r="G2197" s="102" t="n">
        <v>180</v>
      </c>
      <c r="H2197" s="94" t="n">
        <v>1</v>
      </c>
    </row>
    <row r="2198" ht="15" customHeight="1" s="82">
      <c r="A2198" s="94" t="inlineStr">
        <is>
          <t>107 - Pharmacies</t>
        </is>
      </c>
      <c r="B2198" s="94" t="inlineStr">
        <is>
          <t>C02307 מדי פארם בתי מרקחת בעמ</t>
        </is>
      </c>
      <c r="C2198" s="94" t="inlineStr">
        <is>
          <t>INV68596</t>
        </is>
      </c>
      <c r="D2198" s="94" t="inlineStr">
        <is>
          <t>INV</t>
        </is>
      </c>
      <c r="E2198" s="102" t="n">
        <v>0</v>
      </c>
      <c r="F2198" s="94" t="n">
        <v>0</v>
      </c>
      <c r="G2198" s="102" t="n">
        <v>140</v>
      </c>
      <c r="H2198" s="94" t="n">
        <v>1</v>
      </c>
    </row>
    <row r="2199" ht="15" customHeight="1" s="82">
      <c r="A2199" s="94" t="inlineStr">
        <is>
          <t>107 - Pharmacies</t>
        </is>
      </c>
      <c r="B2199" s="94" t="inlineStr">
        <is>
          <t>C02307 מדי פארם בתי מרקחת בעמ</t>
        </is>
      </c>
      <c r="C2199" s="94" t="inlineStr">
        <is>
          <t>INV68835</t>
        </is>
      </c>
      <c r="D2199" s="94" t="inlineStr">
        <is>
          <t>INV</t>
        </is>
      </c>
      <c r="E2199" s="102" t="n">
        <v>0</v>
      </c>
      <c r="F2199" s="94" t="n">
        <v>0</v>
      </c>
      <c r="G2199" s="102" t="n">
        <v>105</v>
      </c>
      <c r="H2199" s="94" t="n">
        <v>1</v>
      </c>
    </row>
    <row r="2200" ht="15" customHeight="1" s="82">
      <c r="A2200" s="94" t="inlineStr">
        <is>
          <t>107 - Pharmacies</t>
        </is>
      </c>
      <c r="B2200" s="94" t="inlineStr">
        <is>
          <t>C02307 מדי פארם בתי מרקחת בעמ</t>
        </is>
      </c>
      <c r="C2200" s="94" t="inlineStr">
        <is>
          <t>INV67089</t>
        </is>
      </c>
      <c r="D2200" s="94" t="inlineStr">
        <is>
          <t>INV</t>
        </is>
      </c>
      <c r="E2200" s="102" t="n">
        <v>105</v>
      </c>
      <c r="F2200" s="94" t="n">
        <v>1</v>
      </c>
      <c r="G2200" s="102" t="n">
        <v>0</v>
      </c>
      <c r="H2200" s="94" t="n">
        <v>0</v>
      </c>
    </row>
    <row r="2201" ht="15" customHeight="1" s="82">
      <c r="A2201" s="94" t="inlineStr">
        <is>
          <t>107 - Pharmacies</t>
        </is>
      </c>
      <c r="B2201" s="94" t="inlineStr">
        <is>
          <t>C02307 מדי פארם בתי מרקחת בעמ</t>
        </is>
      </c>
      <c r="C2201" s="94" t="inlineStr">
        <is>
          <t>CM44496</t>
        </is>
      </c>
      <c r="D2201" s="94" t="inlineStr">
        <is>
          <t>CM</t>
        </is>
      </c>
      <c r="E2201" s="102" t="n">
        <v>0</v>
      </c>
      <c r="F2201" s="94" t="n">
        <v>0</v>
      </c>
      <c r="G2201" s="102" t="n">
        <v>-140</v>
      </c>
      <c r="H2201" s="94" t="n">
        <v>-1</v>
      </c>
    </row>
    <row r="2202" ht="15" customHeight="1" s="82">
      <c r="A2202" s="94" t="inlineStr">
        <is>
          <t>108 - Shoe Stores</t>
        </is>
      </c>
      <c r="B2202" s="94" t="inlineStr">
        <is>
          <t>C02283 אדור למסחר כללי ואופנה בע"מ</t>
        </is>
      </c>
      <c r="C2202" s="94" t="inlineStr">
        <is>
          <t>INV45822</t>
        </is>
      </c>
      <c r="D2202" s="94" t="inlineStr">
        <is>
          <t>INV</t>
        </is>
      </c>
      <c r="E2202" s="102" t="n">
        <v>6270</v>
      </c>
      <c r="F2202" s="94" t="n">
        <v>419</v>
      </c>
      <c r="G2202" s="102" t="n">
        <v>0</v>
      </c>
      <c r="H2202" s="94" t="n">
        <v>0</v>
      </c>
    </row>
    <row r="2203" ht="15" customHeight="1" s="82">
      <c r="A2203" s="94" t="inlineStr">
        <is>
          <t>108 - Shoe Stores</t>
        </is>
      </c>
      <c r="B2203" s="94" t="inlineStr">
        <is>
          <t>C02283 אדור למסחר כללי ואופנה בע"מ</t>
        </is>
      </c>
      <c r="C2203" s="94" t="inlineStr">
        <is>
          <t>INV64630</t>
        </is>
      </c>
      <c r="D2203" s="94" t="inlineStr">
        <is>
          <t>INV</t>
        </is>
      </c>
      <c r="E2203" s="102" t="n">
        <v>3168.54</v>
      </c>
      <c r="F2203" s="94" t="n">
        <v>101</v>
      </c>
      <c r="G2203" s="102" t="n">
        <v>0</v>
      </c>
      <c r="H2203" s="94" t="n">
        <v>0</v>
      </c>
    </row>
    <row r="2204" ht="15" customHeight="1" s="82">
      <c r="A2204" s="94" t="inlineStr">
        <is>
          <t>108 - Shoe Stores</t>
        </is>
      </c>
      <c r="B2204" s="94" t="inlineStr">
        <is>
          <t>C02283 אדור למסחר כללי ואופנה בע"מ</t>
        </is>
      </c>
      <c r="C2204" s="94" t="inlineStr">
        <is>
          <t>INV64629</t>
        </is>
      </c>
      <c r="D2204" s="94" t="inlineStr">
        <is>
          <t>INV</t>
        </is>
      </c>
      <c r="E2204" s="102" t="n">
        <v>3095.86</v>
      </c>
      <c r="F2204" s="94" t="n">
        <v>124</v>
      </c>
      <c r="G2204" s="102" t="n">
        <v>0</v>
      </c>
      <c r="H2204" s="94" t="n">
        <v>0</v>
      </c>
    </row>
    <row r="2205" ht="15" customHeight="1" s="82">
      <c r="A2205" s="94" t="inlineStr">
        <is>
          <t>108 - Shoe Stores</t>
        </is>
      </c>
      <c r="B2205" s="94" t="inlineStr">
        <is>
          <t>C02283 אדור למסחר כללי ואופנה בע"מ</t>
        </is>
      </c>
      <c r="C2205" s="94" t="inlineStr">
        <is>
          <t>INV44994</t>
        </is>
      </c>
      <c r="D2205" s="94" t="inlineStr">
        <is>
          <t>INV</t>
        </is>
      </c>
      <c r="E2205" s="102" t="n">
        <v>2725.49</v>
      </c>
      <c r="F2205" s="94" t="n">
        <v>85</v>
      </c>
      <c r="G2205" s="102" t="n">
        <v>0</v>
      </c>
      <c r="H2205" s="94" t="n">
        <v>0</v>
      </c>
    </row>
    <row r="2206" ht="15" customHeight="1" s="82">
      <c r="A2206" s="94" t="inlineStr">
        <is>
          <t>108 - Shoe Stores</t>
        </is>
      </c>
      <c r="B2206" s="94" t="inlineStr">
        <is>
          <t>C02283 אדור למסחר כללי ואופנה בע"מ</t>
        </is>
      </c>
      <c r="C2206" s="94" t="inlineStr">
        <is>
          <t>INV45821</t>
        </is>
      </c>
      <c r="D2206" s="94" t="inlineStr">
        <is>
          <t>INV</t>
        </is>
      </c>
      <c r="E2206" s="102" t="n">
        <v>2725.48</v>
      </c>
      <c r="F2206" s="94" t="n">
        <v>85</v>
      </c>
      <c r="G2206" s="102" t="n">
        <v>0</v>
      </c>
      <c r="H2206" s="94" t="n">
        <v>0</v>
      </c>
    </row>
    <row r="2207" ht="15" customHeight="1" s="82">
      <c r="A2207" s="94" t="inlineStr">
        <is>
          <t>108 - Shoe Stores</t>
        </is>
      </c>
      <c r="B2207" s="94" t="inlineStr">
        <is>
          <t>C02283 אדור למסחר כללי ואופנה בע"מ</t>
        </is>
      </c>
      <c r="C2207" s="94" t="inlineStr">
        <is>
          <t>INV65361</t>
        </is>
      </c>
      <c r="D2207" s="94" t="inlineStr">
        <is>
          <t>INV</t>
        </is>
      </c>
      <c r="E2207" s="102" t="n">
        <v>1080</v>
      </c>
      <c r="F2207" s="94" t="n">
        <v>18</v>
      </c>
      <c r="G2207" s="102" t="n">
        <v>0</v>
      </c>
      <c r="H2207" s="94" t="n">
        <v>0</v>
      </c>
    </row>
    <row r="2208" ht="15" customHeight="1" s="82">
      <c r="A2208" s="94" t="inlineStr">
        <is>
          <t>108 - Shoe Stores</t>
        </is>
      </c>
      <c r="B2208" s="94" t="inlineStr">
        <is>
          <t>C02283 אדור למסחר כללי ואופנה בע"מ</t>
        </is>
      </c>
      <c r="C2208" s="94" t="inlineStr">
        <is>
          <t>INV45213</t>
        </is>
      </c>
      <c r="D2208" s="94" t="inlineStr">
        <is>
          <t>INV</t>
        </is>
      </c>
      <c r="E2208" s="102" t="n">
        <v>0.01</v>
      </c>
      <c r="F2208" s="94" t="n">
        <v>1</v>
      </c>
      <c r="G2208" s="102" t="n">
        <v>0</v>
      </c>
      <c r="H2208" s="94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25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30" activeCellId="0" sqref="A30"/>
    </sheetView>
  </sheetViews>
  <sheetFormatPr baseColWidth="8" defaultColWidth="8.57421875" defaultRowHeight="15" zeroHeight="0" outlineLevelRow="0"/>
  <cols>
    <col width="95" customWidth="1" style="81" min="1" max="1"/>
    <col width="14" customWidth="1" style="81" min="2" max="8"/>
  </cols>
  <sheetData>
    <row r="1" ht="16.5" customHeight="1" s="82">
      <c r="A1" s="83" t="inlineStr">
        <is>
          <t>הערות שיטה — איך נבנה הניתוח, ואיזו הגדרה נבחרה ל"חשבונית"</t>
        </is>
      </c>
    </row>
    <row r="2" ht="15" customHeight="1" s="82">
      <c r="A2" s="103" t="n"/>
    </row>
    <row r="3" ht="34.5" customHeight="1" s="82">
      <c r="A3" s="103" t="inlineStr">
        <is>
          <t>1. מבנה המקור: הדוח הגולמי (56,263 שורות, גיליון יחיד) בנוי בהיררכיה של 3 רמות: (א) שורת Sale Type (ערוץ, עמודה A, למשל "102 - Orthopedic institutes") שמסתיימת בשורת "Total - &lt;ערוץ&gt;"; (ב) בתוכה שורת לקוח (עמודה A, בלי Document Number) שמסתיימת ב"Total - &lt;לקוח&gt;"; (ג) בתוכה שורות מסמך/חשבונית (עמודה C = Document Number).</t>
        </is>
      </c>
    </row>
    <row r="4" ht="34.5" customHeight="1" s="82">
      <c r="A4" s="103" t="inlineStr">
        <is>
          <t>2. מקרה קצה שזוהה ותוקן: כשללקוח יש מסמך יחיד בלבד בכל הטווח, NetSuite לא פותח שורת-לקוח נפרדת ושורת-Total נפרדת — השם וה-Document Number מופיעים על אותה שורה (למשל "150064 מיקס שופ" ו-"INV66238" יחד). הניתוח מזהה זאת נכון: לקוח נספר כל עוד יש ערך בעמודה A (גם אם יש גם מספר מסמך באותה שורה).</t>
        </is>
      </c>
    </row>
    <row r="5" ht="23.25" customHeight="1" s="82">
      <c r="A5" s="103" t="inlineStr">
        <is>
          <t>3. אימות שלמות: לכל אחד מ-7 הערוצים הושווה סכום כל שורות המסמך (2025 Sales / 2026 Sales) לעומת הערך העצמי של שורת הכותרת של אותו ערוץ (שמכילה את הסכום הכולל) — בכל 7 הערוצים ההתאמה הייתה מדויקת לסנט (ראו קוד האימות). זה מוכיח שלא נשמטו שורות ושלא נכנסו שורות כפולות.</t>
        </is>
      </c>
    </row>
    <row r="6" ht="23.25" customHeight="1" s="82">
      <c r="A6" s="103" t="inlineStr">
        <is>
          <t>4. לא נמצא אף לקוח (מתוך 172 הלקוחות הייחודיים ב-7 הערוצים) בלי אף שורת מסמך — לכן "מספר לקוחות" ו"יש להם לפחות מסמך אחד" חופפים במקרה הזה.</t>
        </is>
      </c>
    </row>
    <row r="7" ht="15" customHeight="1" s="82">
      <c r="A7" s="103" t="n"/>
    </row>
    <row r="8" ht="23.25" customHeight="1" s="82">
      <c r="A8" s="103" t="inlineStr">
        <is>
          <t>5. סוגי מסמך שנמצאו (עמודת Document Number) בתוך 7 הערוצים הרלוונטיים: INV (Invoice), CM (Credit Memo), CS (Cash Sale). לא נמצאו Journal Entry ("JE...") או סוגים אחרים בתוך הערוצים האלה — JE הופיע רק בשורות "- Unassigned -" / "- No Customer/Project -" בתחילת הדוח, מחוץ ל-7 הערוצים.</t>
        </is>
      </c>
    </row>
    <row r="9" ht="23.25" customHeight="1" s="82">
      <c r="A9" s="103" t="inlineStr">
        <is>
          <t>6. ההחלטה הסופית (אושרה במפורש ע"י המשתמש): "חשבונית" = מסמכים שמספרם מתחיל ב-"INV" בלבד. CM (Credit Memo) ו-CS (Cash Sale) לא נספרים כחשבונית, גם אם היו מועמדים סבירים.</t>
        </is>
      </c>
    </row>
    <row r="10" ht="34.5" customHeight="1" s="82">
      <c r="A10" s="103" t="inlineStr">
        <is>
          <t xml:space="preserve">   נימוק רקע (לשקיפות): נבדקו כל 142 שורות ה-CM בתוך 7 הערוצים (וכל 25,119 שורות ה-CM/ה-CS בקובץ כולו) — 100% מערכי ה-CM שליליים (זיכוי/החזר על חשבונית קודמת), ו-100% מערכי ה-CS חיוביים (מכירה במזומן). ההחלטה הסופית של המשתמש הייתה לספור רק prefix "INV" במדויק — ראו טבלת הפירוט למטה לכל שאר ה-prefixes שנמצאו (לשם שקיפות בלבד, לא נספרים).</t>
        </is>
      </c>
    </row>
    <row r="11" ht="23.25" customHeight="1" s="82">
      <c r="A11" s="103" t="inlineStr">
        <is>
          <t>7. "חשבונית נספרה" לשנה מסוימת = יש ערך שונה מאפס ולא ריק בעמודת ה-Sales של אותה שנה (2025 Sales / 2026 Sales) באותה שורת מסמך, בדיוק כנדרש.</t>
        </is>
      </c>
    </row>
    <row r="12" ht="15" customHeight="1" s="82">
      <c r="A12" s="103" t="n"/>
    </row>
    <row r="13" ht="15" customHeight="1" s="82">
      <c r="A13" s="103" t="inlineStr">
        <is>
          <t>8. טבלת שקיפות — פירוט לפי סוג מסמך ושנה, לכל ערוץ (לצורך ביקורת/שינוי הגדרה אם תרצה):</t>
        </is>
      </c>
    </row>
    <row r="15" ht="15" customHeight="1" s="82">
      <c r="A15" s="104" t="inlineStr">
        <is>
          <t>ערוץ</t>
        </is>
      </c>
      <c r="B15" s="104" t="inlineStr">
        <is>
          <t>INV 2025</t>
        </is>
      </c>
      <c r="C15" s="104" t="inlineStr">
        <is>
          <t>CM 2025</t>
        </is>
      </c>
      <c r="D15" s="104" t="inlineStr">
        <is>
          <t>CS 2025</t>
        </is>
      </c>
      <c r="E15" s="104" t="inlineStr">
        <is>
          <t>INV 2026</t>
        </is>
      </c>
      <c r="F15" s="104" t="inlineStr">
        <is>
          <t>CM 2026</t>
        </is>
      </c>
      <c r="G15" s="104" t="inlineStr">
        <is>
          <t>CS 2026</t>
        </is>
      </c>
    </row>
    <row r="16" ht="15" customHeight="1" s="82">
      <c r="A16" s="105" t="inlineStr">
        <is>
          <t>102 - Orthopedic institutes</t>
        </is>
      </c>
      <c r="B16" s="106">
        <f>COUNTIFS(RawData!$A$2:$A$2208,$A16,RawData!$D$2:$D$2208,"INV",RawData!$E$2:$E$2208,"&lt;&gt;0")</f>
        <v/>
      </c>
      <c r="C16" s="106">
        <f>COUNTIFS(RawData!$A$2:$A$2208,$A16,RawData!$D$2:$D$2208,"CM",RawData!$E$2:$E$2208,"&lt;&gt;0")</f>
        <v/>
      </c>
      <c r="D16" s="106">
        <f>COUNTIFS(RawData!$A$2:$A$2208,$A16,RawData!$D$2:$D$2208,"CS",RawData!$E$2:$E$2208,"&lt;&gt;0")</f>
        <v/>
      </c>
      <c r="E16" s="106">
        <f>COUNTIFS(RawData!$A$2:$A$2208,$A16,RawData!$D$2:$D$2208,"INV",RawData!$G$2:$G$2208,"&lt;&gt;0")</f>
        <v/>
      </c>
      <c r="F16" s="106">
        <f>COUNTIFS(RawData!$A$2:$A$2208,$A16,RawData!$D$2:$D$2208,"CM",RawData!$G$2:$G$2208,"&lt;&gt;0")</f>
        <v/>
      </c>
      <c r="G16" s="106">
        <f>COUNTIFS(RawData!$A$2:$A$2208,$A16,RawData!$D$2:$D$2208,"CS",RawData!$G$2:$G$2208,"&lt;&gt;0")</f>
        <v/>
      </c>
    </row>
    <row r="17" ht="15" customHeight="1" s="82">
      <c r="A17" s="105" t="inlineStr">
        <is>
          <t>103 - Physiotherapy institutes</t>
        </is>
      </c>
      <c r="B17" s="106">
        <f>COUNTIFS(RawData!$A$2:$A$2208,$A17,RawData!$D$2:$D$2208,"INV",RawData!$E$2:$E$2208,"&lt;&gt;0")</f>
        <v/>
      </c>
      <c r="C17" s="106">
        <f>COUNTIFS(RawData!$A$2:$A$2208,$A17,RawData!$D$2:$D$2208,"CM",RawData!$E$2:$E$2208,"&lt;&gt;0")</f>
        <v/>
      </c>
      <c r="D17" s="106">
        <f>COUNTIFS(RawData!$A$2:$A$2208,$A17,RawData!$D$2:$D$2208,"CS",RawData!$E$2:$E$2208,"&lt;&gt;0")</f>
        <v/>
      </c>
      <c r="E17" s="106">
        <f>COUNTIFS(RawData!$A$2:$A$2208,$A17,RawData!$D$2:$D$2208,"INV",RawData!$G$2:$G$2208,"&lt;&gt;0")</f>
        <v/>
      </c>
      <c r="F17" s="106">
        <f>COUNTIFS(RawData!$A$2:$A$2208,$A17,RawData!$D$2:$D$2208,"CM",RawData!$G$2:$G$2208,"&lt;&gt;0")</f>
        <v/>
      </c>
      <c r="G17" s="106">
        <f>COUNTIFS(RawData!$A$2:$A$2208,$A17,RawData!$D$2:$D$2208,"CS",RawData!$G$2:$G$2208,"&lt;&gt;0")</f>
        <v/>
      </c>
    </row>
    <row r="18" ht="15" customHeight="1" s="82">
      <c r="A18" s="105" t="inlineStr">
        <is>
          <t>104 - Sports Shop</t>
        </is>
      </c>
      <c r="B18" s="106">
        <f>COUNTIFS(RawData!$A$2:$A$2208,$A18,RawData!$D$2:$D$2208,"INV",RawData!$E$2:$E$2208,"&lt;&gt;0")</f>
        <v/>
      </c>
      <c r="C18" s="106">
        <f>COUNTIFS(RawData!$A$2:$A$2208,$A18,RawData!$D$2:$D$2208,"CM",RawData!$E$2:$E$2208,"&lt;&gt;0")</f>
        <v/>
      </c>
      <c r="D18" s="106">
        <f>COUNTIFS(RawData!$A$2:$A$2208,$A18,RawData!$D$2:$D$2208,"CS",RawData!$E$2:$E$2208,"&lt;&gt;0")</f>
        <v/>
      </c>
      <c r="E18" s="106">
        <f>COUNTIFS(RawData!$A$2:$A$2208,$A18,RawData!$D$2:$D$2208,"INV",RawData!$G$2:$G$2208,"&lt;&gt;0")</f>
        <v/>
      </c>
      <c r="F18" s="106">
        <f>COUNTIFS(RawData!$A$2:$A$2208,$A18,RawData!$D$2:$D$2208,"CM",RawData!$G$2:$G$2208,"&lt;&gt;0")</f>
        <v/>
      </c>
      <c r="G18" s="106">
        <f>COUNTIFS(RawData!$A$2:$A$2208,$A18,RawData!$D$2:$D$2208,"CS",RawData!$G$2:$G$2208,"&lt;&gt;0")</f>
        <v/>
      </c>
    </row>
    <row r="19" ht="15" customHeight="1" s="82">
      <c r="A19" s="105" t="inlineStr">
        <is>
          <t>105 - Pedicure Salons</t>
        </is>
      </c>
      <c r="B19" s="106">
        <f>COUNTIFS(RawData!$A$2:$A$2208,$A19,RawData!$D$2:$D$2208,"INV",RawData!$E$2:$E$2208,"&lt;&gt;0")</f>
        <v/>
      </c>
      <c r="C19" s="106">
        <f>COUNTIFS(RawData!$A$2:$A$2208,$A19,RawData!$D$2:$D$2208,"CM",RawData!$E$2:$E$2208,"&lt;&gt;0")</f>
        <v/>
      </c>
      <c r="D19" s="106">
        <f>COUNTIFS(RawData!$A$2:$A$2208,$A19,RawData!$D$2:$D$2208,"CS",RawData!$E$2:$E$2208,"&lt;&gt;0")</f>
        <v/>
      </c>
      <c r="E19" s="106">
        <f>COUNTIFS(RawData!$A$2:$A$2208,$A19,RawData!$D$2:$D$2208,"INV",RawData!$G$2:$G$2208,"&lt;&gt;0")</f>
        <v/>
      </c>
      <c r="F19" s="106">
        <f>COUNTIFS(RawData!$A$2:$A$2208,$A19,RawData!$D$2:$D$2208,"CM",RawData!$G$2:$G$2208,"&lt;&gt;0")</f>
        <v/>
      </c>
      <c r="G19" s="106">
        <f>COUNTIFS(RawData!$A$2:$A$2208,$A19,RawData!$D$2:$D$2208,"CS",RawData!$G$2:$G$2208,"&lt;&gt;0")</f>
        <v/>
      </c>
    </row>
    <row r="20" ht="15" customHeight="1" s="82">
      <c r="A20" s="105" t="inlineStr">
        <is>
          <t>107 - Pharmacies</t>
        </is>
      </c>
      <c r="B20" s="106">
        <f>COUNTIFS(RawData!$A$2:$A$2208,$A20,RawData!$D$2:$D$2208,"INV",RawData!$E$2:$E$2208,"&lt;&gt;0")</f>
        <v/>
      </c>
      <c r="C20" s="106">
        <f>COUNTIFS(RawData!$A$2:$A$2208,$A20,RawData!$D$2:$D$2208,"CM",RawData!$E$2:$E$2208,"&lt;&gt;0")</f>
        <v/>
      </c>
      <c r="D20" s="106">
        <f>COUNTIFS(RawData!$A$2:$A$2208,$A20,RawData!$D$2:$D$2208,"CS",RawData!$E$2:$E$2208,"&lt;&gt;0")</f>
        <v/>
      </c>
      <c r="E20" s="106">
        <f>COUNTIFS(RawData!$A$2:$A$2208,$A20,RawData!$D$2:$D$2208,"INV",RawData!$G$2:$G$2208,"&lt;&gt;0")</f>
        <v/>
      </c>
      <c r="F20" s="106">
        <f>COUNTIFS(RawData!$A$2:$A$2208,$A20,RawData!$D$2:$D$2208,"CM",RawData!$G$2:$G$2208,"&lt;&gt;0")</f>
        <v/>
      </c>
      <c r="G20" s="106">
        <f>COUNTIFS(RawData!$A$2:$A$2208,$A20,RawData!$D$2:$D$2208,"CS",RawData!$G$2:$G$2208,"&lt;&gt;0")</f>
        <v/>
      </c>
    </row>
    <row r="21" ht="15" customHeight="1" s="82">
      <c r="A21" s="105" t="inlineStr">
        <is>
          <t>108 - Shoe Stores</t>
        </is>
      </c>
      <c r="B21" s="106">
        <f>COUNTIFS(RawData!$A$2:$A$2208,$A21,RawData!$D$2:$D$2208,"INV",RawData!$E$2:$E$2208,"&lt;&gt;0")</f>
        <v/>
      </c>
      <c r="C21" s="106">
        <f>COUNTIFS(RawData!$A$2:$A$2208,$A21,RawData!$D$2:$D$2208,"CM",RawData!$E$2:$E$2208,"&lt;&gt;0")</f>
        <v/>
      </c>
      <c r="D21" s="106">
        <f>COUNTIFS(RawData!$A$2:$A$2208,$A21,RawData!$D$2:$D$2208,"CS",RawData!$E$2:$E$2208,"&lt;&gt;0")</f>
        <v/>
      </c>
      <c r="E21" s="106">
        <f>COUNTIFS(RawData!$A$2:$A$2208,$A21,RawData!$D$2:$D$2208,"INV",RawData!$G$2:$G$2208,"&lt;&gt;0")</f>
        <v/>
      </c>
      <c r="F21" s="106">
        <f>COUNTIFS(RawData!$A$2:$A$2208,$A21,RawData!$D$2:$D$2208,"CM",RawData!$G$2:$G$2208,"&lt;&gt;0")</f>
        <v/>
      </c>
      <c r="G21" s="106">
        <f>COUNTIFS(RawData!$A$2:$A$2208,$A21,RawData!$D$2:$D$2208,"CS",RawData!$G$2:$G$2208,"&lt;&gt;0")</f>
        <v/>
      </c>
    </row>
    <row r="22" ht="15" customHeight="1" s="82">
      <c r="A22" s="105" t="inlineStr">
        <is>
          <t>109 - Private Shops</t>
        </is>
      </c>
      <c r="B22" s="106">
        <f>COUNTIFS(RawData!$A$2:$A$2208,$A22,RawData!$D$2:$D$2208,"INV",RawData!$E$2:$E$2208,"&lt;&gt;0")</f>
        <v/>
      </c>
      <c r="C22" s="106">
        <f>COUNTIFS(RawData!$A$2:$A$2208,$A22,RawData!$D$2:$D$2208,"CM",RawData!$E$2:$E$2208,"&lt;&gt;0")</f>
        <v/>
      </c>
      <c r="D22" s="106">
        <f>COUNTIFS(RawData!$A$2:$A$2208,$A22,RawData!$D$2:$D$2208,"CS",RawData!$E$2:$E$2208,"&lt;&gt;0")</f>
        <v/>
      </c>
      <c r="E22" s="106">
        <f>COUNTIFS(RawData!$A$2:$A$2208,$A22,RawData!$D$2:$D$2208,"INV",RawData!$G$2:$G$2208,"&lt;&gt;0")</f>
        <v/>
      </c>
      <c r="F22" s="106">
        <f>COUNTIFS(RawData!$A$2:$A$2208,$A22,RawData!$D$2:$D$2208,"CM",RawData!$G$2:$G$2208,"&lt;&gt;0")</f>
        <v/>
      </c>
      <c r="G22" s="106">
        <f>COUNTIFS(RawData!$A$2:$A$2208,$A22,RawData!$D$2:$D$2208,"CS",RawData!$G$2:$G$2208,"&lt;&gt;0")</f>
        <v/>
      </c>
    </row>
    <row r="23" ht="15" customHeight="1" s="82">
      <c r="A23" s="107" t="inlineStr">
        <is>
          <t>סה"כ</t>
        </is>
      </c>
      <c r="B23" s="108">
        <f>SUM(B16:B22)</f>
        <v/>
      </c>
      <c r="C23" s="108">
        <f>SUM(C16:C22)</f>
        <v/>
      </c>
      <c r="D23" s="108">
        <f>SUM(D16:D22)</f>
        <v/>
      </c>
      <c r="E23" s="108">
        <f>SUM(E16:E22)</f>
        <v/>
      </c>
      <c r="F23" s="108">
        <f>SUM(F16:F22)</f>
        <v/>
      </c>
      <c r="G23" s="108">
        <f>SUM(G16:G22)</f>
        <v/>
      </c>
    </row>
    <row r="25" ht="12" customHeight="1" s="82">
      <c r="A25" s="109" t="inlineStr">
        <is>
          <t>הטבלה למעלה מציגה את כל 3 סוגי המסמך (INV/CM/CS) לשם שקיפות מלאה. ההגדרה הסופית שנבחרה לטבלת הסיכום (גיליון "סיכום") היא עמודות ה-INV בלבד — CM ו-CS אינם נספרים.</t>
        </is>
      </c>
    </row>
  </sheetData>
  <mergeCells count="2">
    <mergeCell ref="A25:H25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D945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36" activeCellId="0" sqref="E36"/>
    </sheetView>
  </sheetViews>
  <sheetFormatPr baseColWidth="8" defaultColWidth="8.57421875" defaultRowHeight="15" zeroHeight="0" outlineLevelRow="0"/>
  <cols>
    <col width="20" customWidth="1" style="81" min="1" max="1"/>
    <col width="45" customWidth="1" style="81" min="2" max="2"/>
    <col width="14" customWidth="1" style="81" min="3" max="4"/>
  </cols>
  <sheetData>
    <row r="1" ht="15" customHeight="1" s="82">
      <c r="A1" s="110" t="inlineStr">
        <is>
          <t>קבוצה</t>
        </is>
      </c>
      <c r="B1" s="110" t="inlineStr">
        <is>
          <t>שם לקוח/שורה (מהמקור)</t>
        </is>
      </c>
      <c r="C1" s="110" t="inlineStr">
        <is>
          <t>סכום 2025</t>
        </is>
      </c>
      <c r="D1" s="110" t="inlineStr">
        <is>
          <t>סכום 2026</t>
        </is>
      </c>
    </row>
    <row r="2" ht="15" customHeight="1" s="82">
      <c r="A2" s="94" t="inlineStr">
        <is>
          <t>0בתי מרקחת</t>
        </is>
      </c>
      <c r="B2" s="94" t="inlineStr">
        <is>
          <t>בימק מחוז צפון</t>
        </is>
      </c>
      <c r="C2" s="111" t="n">
        <v>87507.8</v>
      </c>
      <c r="D2" s="111" t="n">
        <v>48827.1</v>
      </c>
    </row>
    <row r="3" ht="15" customHeight="1" s="82">
      <c r="A3" s="94" t="inlineStr">
        <is>
          <t>0בתי מרקחת</t>
        </is>
      </c>
      <c r="B3" s="94" t="inlineStr">
        <is>
          <t>המרכז אעבלין ב.מ</t>
        </is>
      </c>
      <c r="C3" s="111" t="n">
        <v>10975.3</v>
      </c>
      <c r="D3" s="111" t="n">
        <v>2875.2</v>
      </c>
    </row>
    <row r="4" ht="15" customHeight="1" s="82">
      <c r="A4" s="94" t="inlineStr">
        <is>
          <t>0בתי מרקחת</t>
        </is>
      </c>
      <c r="B4" s="94" t="inlineStr">
        <is>
          <t>(מדיקל הצפון מעיליה )חורי בע""מ</t>
        </is>
      </c>
      <c r="C4" s="111" t="n">
        <v>5349.7</v>
      </c>
      <c r="D4" s="111" t="n">
        <v>3742.5</v>
      </c>
    </row>
    <row r="5" ht="15" customHeight="1" s="82">
      <c r="A5" s="94" t="inlineStr">
        <is>
          <t>0בתי מרקחת</t>
        </is>
      </c>
      <c r="B5" s="94" t="inlineStr">
        <is>
          <t>נובו פארם דיר אל אסד ב.מ</t>
        </is>
      </c>
      <c r="C5" s="111" t="n">
        <v>21464.5</v>
      </c>
      <c r="D5" s="111" t="n">
        <v>15273.8</v>
      </c>
    </row>
    <row r="6" ht="15" customHeight="1" s="82">
      <c r="A6" s="94" t="inlineStr">
        <is>
          <t>0בתי מרקחת</t>
        </is>
      </c>
      <c r="B6" s="94" t="inlineStr">
        <is>
          <t>עמית נהריה ב.מ</t>
        </is>
      </c>
      <c r="C6" s="111" t="n">
        <v>271.9</v>
      </c>
      <c r="D6" s="111" t="n">
        <v>0</v>
      </c>
    </row>
    <row r="7" ht="15" customHeight="1" s="82">
      <c r="A7" s="94" t="inlineStr">
        <is>
          <t>0בתי מרקחת</t>
        </is>
      </c>
      <c r="B7" s="94" t="inlineStr">
        <is>
          <t>שביט בע""מ ק.אתא ב.מ</t>
        </is>
      </c>
      <c r="C7" s="111" t="n">
        <v>612.5</v>
      </c>
      <c r="D7" s="111" t="n">
        <v>429.8</v>
      </c>
    </row>
    <row r="8" ht="15" customHeight="1" s="82">
      <c r="A8" s="94" t="inlineStr">
        <is>
          <t>0בתי מרקחת</t>
        </is>
      </c>
      <c r="B8" s="94" t="inlineStr">
        <is>
          <t>חידאר פארם ב.מ</t>
        </is>
      </c>
      <c r="C8" s="111" t="n">
        <v>3557.4</v>
      </c>
      <c r="D8" s="111" t="n">
        <v>2601</v>
      </c>
    </row>
    <row r="9" ht="15" customHeight="1" s="82">
      <c r="A9" s="94" t="inlineStr">
        <is>
          <t>0בתי מרקחת</t>
        </is>
      </c>
      <c r="B9" s="94" t="inlineStr">
        <is>
          <t>-סמי בית שאן בע""מ ב.מ</t>
        </is>
      </c>
      <c r="C9" s="111" t="n">
        <v>647.8</v>
      </c>
      <c r="D9" s="111" t="n">
        <v>560.9</v>
      </c>
    </row>
    <row r="10" ht="15" customHeight="1" s="82">
      <c r="A10" s="94" t="inlineStr">
        <is>
          <t>0בתי מרקחת</t>
        </is>
      </c>
      <c r="B10" s="94" t="inlineStr">
        <is>
          <t>רסקו טבריה ב.מ</t>
        </is>
      </c>
      <c r="C10" s="111" t="n">
        <v>5421</v>
      </c>
      <c r="D10" s="111" t="n">
        <v>3837.2</v>
      </c>
    </row>
    <row r="11" ht="15" customHeight="1" s="82">
      <c r="A11" s="94" t="inlineStr">
        <is>
          <t>0בתי מרקחת</t>
        </is>
      </c>
      <c r="B11" s="94" t="inlineStr">
        <is>
          <t>פרמה טבריה ב.מ</t>
        </is>
      </c>
      <c r="C11" s="111" t="n">
        <v>211.6</v>
      </c>
      <c r="D11" s="111" t="n">
        <v>278</v>
      </c>
    </row>
    <row r="12" ht="15" customHeight="1" s="82">
      <c r="A12" s="94" t="inlineStr">
        <is>
          <t>0בתי מרקחת</t>
        </is>
      </c>
      <c r="B12" s="94" t="inlineStr">
        <is>
          <t>צפת דרום ב.מ</t>
        </is>
      </c>
      <c r="C12" s="111" t="n">
        <v>0</v>
      </c>
      <c r="D12" s="111" t="n">
        <v>20.1</v>
      </c>
    </row>
    <row r="13" ht="15" customHeight="1" s="82">
      <c r="A13" s="94" t="inlineStr">
        <is>
          <t>0בתי מרקחת</t>
        </is>
      </c>
      <c r="B13" s="94" t="inlineStr">
        <is>
          <t>בימר""ק אלעין פארם כפר שעב</t>
        </is>
      </c>
      <c r="C13" s="111" t="n">
        <v>0</v>
      </c>
      <c r="D13" s="111" t="n">
        <v>0</v>
      </c>
    </row>
    <row r="14" ht="15" customHeight="1" s="82">
      <c r="A14" s="94" t="inlineStr">
        <is>
          <t>0בתי מרקחת</t>
        </is>
      </c>
      <c r="B14" s="94" t="inlineStr">
        <is>
          <t>.נובו פארם בית שאן ב.מ</t>
        </is>
      </c>
      <c r="C14" s="111" t="n">
        <v>15653.4</v>
      </c>
      <c r="D14" s="111" t="n">
        <v>6926</v>
      </c>
    </row>
    <row r="15" ht="15" customHeight="1" s="82">
      <c r="A15" s="94" t="inlineStr">
        <is>
          <t>0בתי מרקחת</t>
        </is>
      </c>
      <c r="B15" s="94" t="inlineStr">
        <is>
          <t>גרין ב.מ -גבעת עדה</t>
        </is>
      </c>
      <c r="C15" s="111" t="n">
        <v>3161.8</v>
      </c>
      <c r="D15" s="111" t="n">
        <v>2061.6</v>
      </c>
    </row>
    <row r="16" ht="15" customHeight="1" s="82">
      <c r="A16" s="94" t="inlineStr">
        <is>
          <t>0בתי מרקחת</t>
        </is>
      </c>
      <c r="B16" s="94" t="inlineStr">
        <is>
          <t>אלבלד א.ג.בע""מ אעבלין ב.מ. סגו</t>
        </is>
      </c>
      <c r="C16" s="111" t="n">
        <v>0</v>
      </c>
      <c r="D16" s="111" t="n">
        <v>0</v>
      </c>
    </row>
    <row r="17" ht="15" customHeight="1" s="82">
      <c r="A17" s="94" t="inlineStr">
        <is>
          <t>0בתי מרקחת</t>
        </is>
      </c>
      <c r="B17" s="94" t="inlineStr">
        <is>
          <t>מוראד פארם ב.מ אבו סנאן</t>
        </is>
      </c>
      <c r="C17" s="111" t="n">
        <v>6271.6</v>
      </c>
      <c r="D17" s="111" t="n">
        <v>2578</v>
      </c>
    </row>
    <row r="18" ht="15" customHeight="1" s="82">
      <c r="A18" s="94" t="inlineStr">
        <is>
          <t>0בתי מרקחת</t>
        </is>
      </c>
      <c r="B18" s="94" t="inlineStr">
        <is>
          <t>נובו פארם דבאח ב.מ</t>
        </is>
      </c>
      <c r="C18" s="111" t="n">
        <v>10583.1</v>
      </c>
      <c r="D18" s="111" t="n">
        <v>4126.8</v>
      </c>
    </row>
    <row r="19" ht="15" customHeight="1" s="82">
      <c r="A19" s="94" t="inlineStr">
        <is>
          <t>0בתי מרקחת</t>
        </is>
      </c>
      <c r="B19" s="94" t="inlineStr">
        <is>
          <t>.אלבלד אעבלין ב.מ</t>
        </is>
      </c>
      <c r="C19" s="111" t="n">
        <v>465.7</v>
      </c>
      <c r="D19" s="111" t="n">
        <v>422.1</v>
      </c>
    </row>
    <row r="20" ht="15" customHeight="1" s="82">
      <c r="A20" s="94" t="inlineStr">
        <is>
          <t>0בתי מרקחת</t>
        </is>
      </c>
      <c r="B20" s="94" t="inlineStr">
        <is>
          <t>עמית נהריה ב.מ</t>
        </is>
      </c>
      <c r="C20" s="111" t="n">
        <v>2860.6</v>
      </c>
      <c r="D20" s="111" t="n">
        <v>3094.2</v>
      </c>
    </row>
    <row r="21" ht="15" customHeight="1" s="82">
      <c r="A21" s="94" t="inlineStr">
        <is>
          <t>0בתי מרקחת</t>
        </is>
      </c>
      <c r="B21" s="94" t="inlineStr">
        <is>
          <t>בתי מרקחת פרטי</t>
        </is>
      </c>
      <c r="C21" s="111" t="n">
        <v>786865.4</v>
      </c>
      <c r="D21" s="111" t="n">
        <v>599841.9</v>
      </c>
    </row>
    <row r="22" ht="15" customHeight="1" s="82">
      <c r="A22" s="94" t="inlineStr">
        <is>
          <t>0בתי מרקחת</t>
        </is>
      </c>
      <c r="B22" s="94" t="inlineStr">
        <is>
          <t>510502925 מיכלין אילת ב.מ</t>
        </is>
      </c>
      <c r="C22" s="111" t="n">
        <v>4499.5</v>
      </c>
      <c r="D22" s="111" t="n">
        <v>4306.5</v>
      </c>
    </row>
    <row r="23" ht="15" customHeight="1" s="82">
      <c r="A23" s="94" t="inlineStr">
        <is>
          <t>0בתי מרקחת</t>
        </is>
      </c>
      <c r="B23" s="94" t="inlineStr">
        <is>
          <t>אדם אדיב בת ים ב.מ</t>
        </is>
      </c>
      <c r="C23" s="111" t="n">
        <v>2792.7</v>
      </c>
      <c r="D23" s="111" t="n">
        <v>3302.7</v>
      </c>
    </row>
    <row r="24" ht="15" customHeight="1" s="82">
      <c r="A24" s="94" t="inlineStr">
        <is>
          <t>0בתי מרקחת</t>
        </is>
      </c>
      <c r="B24" s="94" t="inlineStr">
        <is>
          <t>ארתור טבעי בע""מ ר.בית שמש ב.מ</t>
        </is>
      </c>
      <c r="C24" s="111" t="n">
        <v>41027.2</v>
      </c>
      <c r="D24" s="111" t="n">
        <v>30864.5</v>
      </c>
    </row>
    <row r="25" ht="15" customHeight="1" s="82">
      <c r="A25" s="94" t="inlineStr">
        <is>
          <t>0בתי מרקחת</t>
        </is>
      </c>
      <c r="B25" s="94" t="inlineStr">
        <is>
          <t>עמודים י-ם ב.מ</t>
        </is>
      </c>
      <c r="C25" s="111" t="n">
        <v>991.8</v>
      </c>
      <c r="D25" s="111" t="n">
        <v>1360.2</v>
      </c>
    </row>
    <row r="26" ht="15" customHeight="1" s="82">
      <c r="A26" s="94" t="inlineStr">
        <is>
          <t>0בתי מרקחת</t>
        </is>
      </c>
      <c r="B26" s="94" t="inlineStr">
        <is>
          <t>4.2013 צרפתי י-ם ב.מ</t>
        </is>
      </c>
      <c r="C26" s="111" t="n">
        <v>0</v>
      </c>
      <c r="D26" s="111" t="n">
        <v>57.1</v>
      </c>
    </row>
    <row r="27" ht="15" customHeight="1" s="82">
      <c r="A27" s="94" t="inlineStr">
        <is>
          <t>0בתי מרקחת</t>
        </is>
      </c>
      <c r="B27" s="94" t="inlineStr">
        <is>
          <t>מטוס אלקנה ב.מ</t>
        </is>
      </c>
      <c r="C27" s="111" t="n">
        <v>8694.9</v>
      </c>
      <c r="D27" s="111" t="n">
        <v>6797.5</v>
      </c>
    </row>
    <row r="28" ht="15" customHeight="1" s="82">
      <c r="A28" s="94" t="inlineStr">
        <is>
          <t>0בתי מרקחת</t>
        </is>
      </c>
      <c r="B28" s="94" t="inlineStr">
        <is>
          <t>אחד העם רחובות ב.מ</t>
        </is>
      </c>
      <c r="C28" s="111" t="n">
        <v>224.3</v>
      </c>
      <c r="D28" s="111" t="n">
        <v>107.5</v>
      </c>
    </row>
    <row r="29" ht="15" customHeight="1" s="82">
      <c r="A29" s="94" t="inlineStr">
        <is>
          <t>0בתי מרקחת</t>
        </is>
      </c>
      <c r="B29" s="94" t="inlineStr">
        <is>
          <t>חאזן כ.יסיף ב.מ</t>
        </is>
      </c>
      <c r="C29" s="111" t="n">
        <v>245.4</v>
      </c>
      <c r="D29" s="111" t="n">
        <v>0</v>
      </c>
    </row>
    <row r="30" ht="15" customHeight="1" s="82">
      <c r="A30" s="94" t="inlineStr">
        <is>
          <t>0בתי מרקחת</t>
        </is>
      </c>
      <c r="B30" s="94" t="inlineStr">
        <is>
          <t>טובא פארם ב.מ</t>
        </is>
      </c>
      <c r="C30" s="111" t="n">
        <v>7440.9</v>
      </c>
      <c r="D30" s="111" t="n">
        <v>0</v>
      </c>
    </row>
    <row r="31" ht="15" customHeight="1" s="82">
      <c r="A31" s="94" t="inlineStr">
        <is>
          <t>0בתי מרקחת</t>
        </is>
      </c>
      <c r="B31" s="94" t="inlineStr">
        <is>
          <t>פלאניט פארם בע""מ כרמיאל</t>
        </is>
      </c>
      <c r="C31" s="111" t="n">
        <v>2201.7</v>
      </c>
      <c r="D31" s="111" t="n">
        <v>2020.9</v>
      </c>
    </row>
    <row r="32" ht="15" customHeight="1" s="82">
      <c r="A32" s="94" t="inlineStr">
        <is>
          <t>0בתי מרקחת</t>
        </is>
      </c>
      <c r="B32" s="94" t="inlineStr">
        <is>
          <t>כרמל פארם ב.מ</t>
        </is>
      </c>
      <c r="C32" s="111" t="n">
        <v>7673.5</v>
      </c>
      <c r="D32" s="111" t="n">
        <v>3959.6</v>
      </c>
    </row>
    <row r="33" ht="15" customHeight="1" s="82">
      <c r="A33" s="94" t="inlineStr">
        <is>
          <t>0בתי מרקחת</t>
        </is>
      </c>
      <c r="B33" s="94" t="inlineStr">
        <is>
          <t>דיימן אשקלון ב.מ</t>
        </is>
      </c>
      <c r="C33" s="111" t="n">
        <v>5377.9</v>
      </c>
      <c r="D33" s="111" t="n">
        <v>5384.9</v>
      </c>
    </row>
    <row r="34" ht="15" customHeight="1" s="82">
      <c r="A34" s="94" t="inlineStr">
        <is>
          <t>0בתי מרקחת</t>
        </is>
      </c>
      <c r="B34" s="94" t="inlineStr">
        <is>
          <t>מדיק פארם אשדוד ב.מ</t>
        </is>
      </c>
      <c r="C34" s="111" t="n">
        <v>0</v>
      </c>
      <c r="D34" s="111" t="n">
        <v>93.7</v>
      </c>
    </row>
    <row r="35" ht="15" customHeight="1" s="82">
      <c r="A35" s="94" t="inlineStr">
        <is>
          <t>0בתי מרקחת</t>
        </is>
      </c>
      <c r="B35" s="94" t="inlineStr">
        <is>
          <t>אילן דימונה ב.מ</t>
        </is>
      </c>
      <c r="C35" s="111" t="n">
        <v>3734.2</v>
      </c>
      <c r="D35" s="111" t="n">
        <v>655.5</v>
      </c>
    </row>
    <row r="36" ht="15" customHeight="1" s="82">
      <c r="A36" s="94" t="inlineStr">
        <is>
          <t>0בתי מרקחת</t>
        </is>
      </c>
      <c r="B36" s="94" t="inlineStr">
        <is>
          <t>(אומגה פארם רהט ב.מ )הלאל פארם</t>
        </is>
      </c>
      <c r="C36" s="111" t="n">
        <v>9231.4</v>
      </c>
      <c r="D36" s="111" t="n">
        <v>4547.1</v>
      </c>
    </row>
    <row r="37" ht="15" customHeight="1" s="82">
      <c r="A37" s="94" t="inlineStr">
        <is>
          <t>0בתי מרקחת</t>
        </is>
      </c>
      <c r="B37" s="94" t="inlineStr">
        <is>
          <t>11.07 פארם חורה ב.מ</t>
        </is>
      </c>
      <c r="C37" s="111" t="n">
        <v>6772.1</v>
      </c>
      <c r="D37" s="111" t="n">
        <v>6818.9</v>
      </c>
    </row>
    <row r="38" ht="15" customHeight="1" s="82">
      <c r="A38" s="94" t="inlineStr">
        <is>
          <t>0בתי מרקחת</t>
        </is>
      </c>
      <c r="B38" s="94" t="inlineStr">
        <is>
          <t>.מרקט פארם שגב שלום ב.מ</t>
        </is>
      </c>
      <c r="C38" s="111" t="n">
        <v>7762.4</v>
      </c>
      <c r="D38" s="111" t="n">
        <v>4150.7</v>
      </c>
    </row>
    <row r="39" ht="15" customHeight="1" s="82">
      <c r="A39" s="94" t="inlineStr">
        <is>
          <t>0בתי מרקחת</t>
        </is>
      </c>
      <c r="B39" s="94" t="inlineStr">
        <is>
          <t>09.10 בימר""ק אל סאהירה</t>
        </is>
      </c>
      <c r="C39" s="111" t="n">
        <v>6989</v>
      </c>
      <c r="D39" s="111" t="n">
        <v>4889.6</v>
      </c>
    </row>
    <row r="40" ht="15" customHeight="1" s="82">
      <c r="A40" s="94" t="inlineStr">
        <is>
          <t>0בתי מרקחת</t>
        </is>
      </c>
      <c r="B40" s="94" t="inlineStr">
        <is>
          <t>אורפארם י-ם ב.מ11.11</t>
        </is>
      </c>
      <c r="C40" s="111" t="n">
        <v>132.9</v>
      </c>
      <c r="D40" s="111" t="n">
        <v>0</v>
      </c>
    </row>
    <row r="41" ht="15" customHeight="1" s="82">
      <c r="A41" s="94" t="inlineStr">
        <is>
          <t>0בתי מרקחת</t>
        </is>
      </c>
      <c r="B41" s="94" t="inlineStr">
        <is>
          <t>ברוך פארם י-ם ב.מ</t>
        </is>
      </c>
      <c r="C41" s="111" t="n">
        <v>0</v>
      </c>
      <c r="D41" s="111" t="n">
        <v>0</v>
      </c>
    </row>
    <row r="42" ht="15" customHeight="1" s="82">
      <c r="A42" s="94" t="inlineStr">
        <is>
          <t>0בתי מרקחת</t>
        </is>
      </c>
      <c r="B42" s="94" t="inlineStr">
        <is>
          <t>אקספרס י-ם ב.מ</t>
        </is>
      </c>
      <c r="C42" s="111" t="n">
        <v>1099.6</v>
      </c>
      <c r="D42" s="111" t="n">
        <v>92.7</v>
      </c>
    </row>
    <row r="43" ht="15" customHeight="1" s="82">
      <c r="A43" s="94" t="inlineStr">
        <is>
          <t>0בתי מרקחת</t>
        </is>
      </c>
      <c r="B43" s="94" t="inlineStr">
        <is>
          <t>סמר )דיספומיד( י-ם ב.מ נסגר</t>
        </is>
      </c>
      <c r="C43" s="111" t="n">
        <v>0</v>
      </c>
      <c r="D43" s="111" t="n">
        <v>0</v>
      </c>
    </row>
    <row r="44" ht="15" customHeight="1" s="82">
      <c r="A44" s="94" t="inlineStr">
        <is>
          <t>0בתי מרקחת</t>
        </is>
      </c>
      <c r="B44" s="94" t="inlineStr">
        <is>
          <t>פת פארם י-ם ב.מ</t>
        </is>
      </c>
      <c r="C44" s="111" t="n">
        <v>22245.7</v>
      </c>
      <c r="D44" s="111" t="n">
        <v>15521</v>
      </c>
    </row>
    <row r="45" ht="15" customHeight="1" s="82">
      <c r="A45" s="94" t="inlineStr">
        <is>
          <t>0בתי מרקחת</t>
        </is>
      </c>
      <c r="B45" s="94" t="inlineStr">
        <is>
          <t>שער יפו י-ם ב.מ</t>
        </is>
      </c>
      <c r="C45" s="111" t="n">
        <v>8957</v>
      </c>
      <c r="D45" s="111" t="n">
        <v>5262.9</v>
      </c>
    </row>
    <row r="46" ht="15" customHeight="1" s="82">
      <c r="A46" s="94" t="inlineStr">
        <is>
          <t>0בתי מרקחת</t>
        </is>
      </c>
      <c r="B46" s="94" t="inlineStr">
        <is>
          <t>רוזן מודיעין ב.מ</t>
        </is>
      </c>
      <c r="C46" s="111" t="n">
        <v>4161.3</v>
      </c>
      <c r="D46" s="111" t="n">
        <v>4323.8</v>
      </c>
    </row>
    <row r="47" ht="15" customHeight="1" s="82">
      <c r="A47" s="94" t="inlineStr">
        <is>
          <t>0בתי מרקחת</t>
        </is>
      </c>
      <c r="B47" s="94" t="inlineStr">
        <is>
          <t>01.11 פנו פארם )חולון( ב.מ</t>
        </is>
      </c>
      <c r="C47" s="111" t="n">
        <v>8686.5</v>
      </c>
      <c r="D47" s="111" t="n">
        <v>5920.3</v>
      </c>
    </row>
    <row r="48" ht="15" customHeight="1" s="82">
      <c r="A48" s="94" t="inlineStr">
        <is>
          <t>0בתי מרקחת</t>
        </is>
      </c>
      <c r="B48" s="94" t="inlineStr">
        <is>
          <t>.פנו פארם בע""מ הוד השרון ב.מ</t>
        </is>
      </c>
      <c r="C48" s="111" t="n">
        <v>6590.5</v>
      </c>
      <c r="D48" s="111" t="n">
        <v>5939.3</v>
      </c>
    </row>
    <row r="49" ht="15" customHeight="1" s="82">
      <c r="A49" s="94" t="inlineStr">
        <is>
          <t>0בתי מרקחת</t>
        </is>
      </c>
      <c r="B49" s="94" t="inlineStr">
        <is>
          <t>אבן חן אבן יהודה ב.מ</t>
        </is>
      </c>
      <c r="C49" s="111" t="n">
        <v>10528.4</v>
      </c>
      <c r="D49" s="111" t="n">
        <v>14186.7</v>
      </c>
    </row>
    <row r="50" ht="15" customHeight="1" s="82">
      <c r="A50" s="94" t="inlineStr">
        <is>
          <t>0בתי מרקחת</t>
        </is>
      </c>
      <c r="B50" s="94" t="inlineStr">
        <is>
          <t>נרקיס פרדסיה ב.מ</t>
        </is>
      </c>
      <c r="C50" s="111" t="n">
        <v>0</v>
      </c>
      <c r="D50" s="111" t="n">
        <v>0</v>
      </c>
    </row>
    <row r="51" ht="15" customHeight="1" s="82">
      <c r="A51" s="94" t="inlineStr">
        <is>
          <t>0בתי מרקחת</t>
        </is>
      </c>
      <c r="B51" s="94" t="inlineStr">
        <is>
          <t>נרקיס ורדיה ב.מ</t>
        </is>
      </c>
      <c r="C51" s="111" t="n">
        <v>6859</v>
      </c>
      <c r="D51" s="111" t="n">
        <v>1610.8</v>
      </c>
    </row>
    <row r="52" ht="15" customHeight="1" s="82">
      <c r="A52" s="94" t="inlineStr">
        <is>
          <t>0בתי מרקחת</t>
        </is>
      </c>
      <c r="B52" s="94" t="inlineStr">
        <is>
          <t>נרקיס  ב.מ כללי</t>
        </is>
      </c>
      <c r="C52" s="111" t="n">
        <v>0</v>
      </c>
      <c r="D52" s="111" t="n">
        <v>0</v>
      </c>
    </row>
    <row r="53" ht="15" customHeight="1" s="82">
      <c r="A53" s="94" t="inlineStr">
        <is>
          <t>0בתי מרקחת</t>
        </is>
      </c>
      <c r="B53" s="94" t="inlineStr">
        <is>
          <t>גמא פ""ת ב.מ</t>
        </is>
      </c>
      <c r="C53" s="111" t="n">
        <v>416.7</v>
      </c>
      <c r="D53" s="111" t="n">
        <v>0</v>
      </c>
    </row>
    <row r="54" ht="15" customHeight="1" s="82">
      <c r="A54" s="94" t="inlineStr">
        <is>
          <t>0בתי מרקחת</t>
        </is>
      </c>
      <c r="B54" s="94" t="inlineStr">
        <is>
          <t>מרכז השרון פ""ת ב.מ</t>
        </is>
      </c>
      <c r="C54" s="111" t="n">
        <v>0</v>
      </c>
      <c r="D54" s="111" t="n">
        <v>0</v>
      </c>
    </row>
    <row r="55" ht="15" customHeight="1" s="82">
      <c r="A55" s="94" t="inlineStr">
        <is>
          <t>0בתי מרקחת</t>
        </is>
      </c>
      <c r="B55" s="94" t="inlineStr">
        <is>
          <t>עין גנים)סביון(פ'ת ב.מ</t>
        </is>
      </c>
      <c r="C55" s="111" t="n">
        <v>1207.4</v>
      </c>
      <c r="D55" s="111" t="n">
        <v>932.8</v>
      </c>
    </row>
    <row r="56" ht="15" customHeight="1" s="82">
      <c r="A56" s="94" t="inlineStr">
        <is>
          <t>0בתי מרקחת</t>
        </is>
      </c>
      <c r="B56" s="94" t="inlineStr">
        <is>
          <t>11.11 פנו פארם ראשל""צ ב.מ</t>
        </is>
      </c>
      <c r="C56" s="111" t="n">
        <v>5208.4</v>
      </c>
      <c r="D56" s="111" t="n">
        <v>4944.2</v>
      </c>
    </row>
    <row r="57" ht="15" customHeight="1" s="82">
      <c r="A57" s="94" t="inlineStr">
        <is>
          <t>0בתי מרקחת</t>
        </is>
      </c>
      <c r="B57" s="94" t="inlineStr">
        <is>
          <t>הירדן ר""ג ב.מ נסגר</t>
        </is>
      </c>
      <c r="C57" s="111" t="n">
        <v>0</v>
      </c>
      <c r="D57" s="111" t="n">
        <v>0</v>
      </c>
    </row>
    <row r="58" ht="15" customHeight="1" s="82">
      <c r="A58" s="94" t="inlineStr">
        <is>
          <t>0בתי מרקחת</t>
        </is>
      </c>
      <c r="B58" s="94" t="inlineStr">
        <is>
          <t>עין גנים חיפה ב.מ</t>
        </is>
      </c>
      <c r="C58" s="111" t="n">
        <v>102.9</v>
      </c>
      <c r="D58" s="111" t="n">
        <v>91.7</v>
      </c>
    </row>
    <row r="59" ht="15" customHeight="1" s="82">
      <c r="A59" s="94" t="inlineStr">
        <is>
          <t>0בתי מרקחת</t>
        </is>
      </c>
      <c r="B59" s="94" t="inlineStr">
        <is>
          <t>פרמקסי ק.בן גוריון ב.מ</t>
        </is>
      </c>
      <c r="C59" s="111" t="n">
        <v>21412.5</v>
      </c>
      <c r="D59" s="111" t="n">
        <v>5737.6</v>
      </c>
    </row>
    <row r="60" ht="15" customHeight="1" s="82">
      <c r="A60" s="94" t="inlineStr">
        <is>
          <t>0בתי מרקחת</t>
        </is>
      </c>
      <c r="B60" s="94" t="inlineStr">
        <is>
          <t>פרינץ ב""ב ב.מ</t>
        </is>
      </c>
      <c r="C60" s="111" t="n">
        <v>0</v>
      </c>
      <c r="D60" s="111" t="n">
        <v>156</v>
      </c>
    </row>
    <row r="61" ht="15" customHeight="1" s="82">
      <c r="A61" s="94" t="inlineStr">
        <is>
          <t>0בתי מרקחת</t>
        </is>
      </c>
      <c r="B61" s="94" t="inlineStr">
        <is>
          <t>מכבי התקוה ת""א ב.מ</t>
        </is>
      </c>
      <c r="C61" s="111" t="n">
        <v>0</v>
      </c>
      <c r="D61" s="111" t="n">
        <v>0</v>
      </c>
    </row>
    <row r="62" ht="15" customHeight="1" s="82">
      <c r="A62" s="94" t="inlineStr">
        <is>
          <t>0בתי מרקחת</t>
        </is>
      </c>
      <c r="B62" s="94" t="inlineStr">
        <is>
          <t>אל ואדי ב.מ  ואדי סלאמה</t>
        </is>
      </c>
      <c r="C62" s="111" t="n">
        <v>0</v>
      </c>
      <c r="D62" s="111" t="n">
        <v>0</v>
      </c>
    </row>
    <row r="63" ht="15" customHeight="1" s="82">
      <c r="A63" s="94" t="inlineStr">
        <is>
          <t>0בתי מרקחת</t>
        </is>
      </c>
      <c r="B63" s="94" t="inlineStr">
        <is>
          <t>גולן צפת ב.מ</t>
        </is>
      </c>
      <c r="C63" s="111" t="n">
        <v>433.8</v>
      </c>
      <c r="D63" s="111" t="n">
        <v>512.9</v>
      </c>
    </row>
    <row r="64" ht="15" customHeight="1" s="82">
      <c r="A64" s="94" t="inlineStr">
        <is>
          <t>0בתי מרקחת</t>
        </is>
      </c>
      <c r="B64" s="94" t="inlineStr">
        <is>
          <t>דרומית נצרת ב.מ</t>
        </is>
      </c>
      <c r="C64" s="111" t="n">
        <v>793.1</v>
      </c>
      <c r="D64" s="111" t="n">
        <v>859.1</v>
      </c>
    </row>
    <row r="65" ht="15" customHeight="1" s="82">
      <c r="A65" s="94" t="inlineStr">
        <is>
          <t>0בתי מרקחת</t>
        </is>
      </c>
      <c r="B65" s="94" t="inlineStr">
        <is>
          <t>הקריות בע""מ ב.מ</t>
        </is>
      </c>
      <c r="C65" s="111" t="n">
        <v>7664.3</v>
      </c>
      <c r="D65" s="111" t="n">
        <v>3861.5</v>
      </c>
    </row>
    <row r="66" ht="15" customHeight="1" s="82">
      <c r="A66" s="94" t="inlineStr">
        <is>
          <t>0בתי מרקחת</t>
        </is>
      </c>
      <c r="B66" s="94" t="inlineStr">
        <is>
          <t>-הטכניון פארם בע""מ ב.מ</t>
        </is>
      </c>
      <c r="C66" s="111" t="n">
        <v>-1440.4</v>
      </c>
      <c r="D66" s="111" t="n">
        <v>0</v>
      </c>
    </row>
    <row r="67" ht="15" customHeight="1" s="82">
      <c r="A67" s="94" t="inlineStr">
        <is>
          <t>0בתי מרקחת</t>
        </is>
      </c>
      <c r="B67" s="94" t="inlineStr">
        <is>
          <t>.היפר פארם י.פ.קרית אתא בע""מ ב</t>
        </is>
      </c>
      <c r="C67" s="111" t="n">
        <v>6900.8</v>
      </c>
      <c r="D67" s="111" t="n">
        <v>4796.4</v>
      </c>
    </row>
    <row r="68" ht="15" customHeight="1" s="82">
      <c r="A68" s="94" t="inlineStr">
        <is>
          <t>0בתי מרקחת</t>
        </is>
      </c>
      <c r="B68" s="94" t="inlineStr">
        <is>
          <t>אלראזי בית מרקחת-שפרעם</t>
        </is>
      </c>
      <c r="C68" s="111" t="n">
        <v>2672.4</v>
      </c>
      <c r="D68" s="111" t="n">
        <v>0</v>
      </c>
    </row>
    <row r="69" ht="15" customHeight="1" s="82">
      <c r="A69" s="94" t="inlineStr">
        <is>
          <t>0בתי מרקחת</t>
        </is>
      </c>
      <c r="B69" s="94" t="inlineStr">
        <is>
          <t>.מילו פארם-ק.ביאליק ב.מ</t>
        </is>
      </c>
      <c r="C69" s="111" t="n">
        <v>0</v>
      </c>
      <c r="D69" s="111" t="n">
        <v>0</v>
      </c>
    </row>
    <row r="70" ht="15" customHeight="1" s="82">
      <c r="A70" s="94" t="inlineStr">
        <is>
          <t>0בתי מרקחת</t>
        </is>
      </c>
      <c r="B70" s="94" t="inlineStr">
        <is>
          <t>מוצקין בע""מ ב.מ. ק.מוצקין</t>
        </is>
      </c>
      <c r="C70" s="111" t="n">
        <v>2959.2</v>
      </c>
      <c r="D70" s="111" t="n">
        <v>606.9</v>
      </c>
    </row>
    <row r="71" ht="15" customHeight="1" s="82">
      <c r="A71" s="94" t="inlineStr">
        <is>
          <t>0בתי מרקחת</t>
        </is>
      </c>
      <c r="B71" s="94" t="inlineStr">
        <is>
          <t>נוה חיים ב.מ</t>
        </is>
      </c>
      <c r="C71" s="111" t="n">
        <v>2329.2</v>
      </c>
      <c r="D71" s="111" t="n">
        <v>602.8</v>
      </c>
    </row>
    <row r="72" ht="15" customHeight="1" s="82">
      <c r="A72" s="94" t="inlineStr">
        <is>
          <t>0בתי מרקחת</t>
        </is>
      </c>
      <c r="B72" s="94" t="inlineStr">
        <is>
          <t>בית מרקחת הירוקה נהריה</t>
        </is>
      </c>
      <c r="C72" s="111" t="n">
        <v>6015.8</v>
      </c>
      <c r="D72" s="111" t="n">
        <v>1555.4</v>
      </c>
    </row>
    <row r="73" ht="15" customHeight="1" s="82">
      <c r="A73" s="94" t="inlineStr">
        <is>
          <t>0בתי מרקחת</t>
        </is>
      </c>
      <c r="B73" s="94" t="inlineStr">
        <is>
          <t>חצור פארם בי""מ חצור הגלילית</t>
        </is>
      </c>
      <c r="C73" s="111" t="n">
        <v>1891.7</v>
      </c>
      <c r="D73" s="111" t="n">
        <v>-32</v>
      </c>
    </row>
    <row r="74" ht="15" customHeight="1" s="82">
      <c r="A74" s="94" t="inlineStr">
        <is>
          <t>0בתי מרקחת</t>
        </is>
      </c>
      <c r="B74" s="94" t="inlineStr">
        <is>
          <t>אלכרמל חורי בע""מ בי""מ עוספיא</t>
        </is>
      </c>
      <c r="C74" s="111" t="n">
        <v>3002.9</v>
      </c>
      <c r="D74" s="111" t="n">
        <v>2435.6</v>
      </c>
    </row>
    <row r="75" ht="15" customHeight="1" s="82">
      <c r="A75" s="94" t="inlineStr">
        <is>
          <t>0בתי מרקחת</t>
        </is>
      </c>
      <c r="B75" s="94" t="inlineStr">
        <is>
          <t>הבנקים ב.מ</t>
        </is>
      </c>
      <c r="C75" s="111" t="n">
        <v>1208.2</v>
      </c>
      <c r="D75" s="111" t="n">
        <v>671</v>
      </c>
    </row>
    <row r="76" ht="15" customHeight="1" s="82">
      <c r="A76" s="94" t="inlineStr">
        <is>
          <t>0בתי מרקחת</t>
        </is>
      </c>
      <c r="B76" s="94" t="inlineStr">
        <is>
          <t>גולומב בע""מ ב.מ</t>
        </is>
      </c>
      <c r="C76" s="111" t="n">
        <v>808</v>
      </c>
      <c r="D76" s="111" t="n">
        <v>804.7</v>
      </c>
    </row>
    <row r="77" ht="15" customHeight="1" s="82">
      <c r="A77" s="94" t="inlineStr">
        <is>
          <t>0בתי מרקחת</t>
        </is>
      </c>
      <c r="B77" s="94" t="inlineStr">
        <is>
          <t>זכרון יעקב בע""מ ב.מ</t>
        </is>
      </c>
      <c r="C77" s="111" t="n">
        <v>696</v>
      </c>
      <c r="D77" s="111" t="n">
        <v>288.3</v>
      </c>
    </row>
    <row r="78" ht="15" customHeight="1" s="82">
      <c r="A78" s="94" t="inlineStr">
        <is>
          <t>0בתי מרקחת</t>
        </is>
      </c>
      <c r="B78" s="94" t="inlineStr">
        <is>
          <t>הדס ב.מ חיפה</t>
        </is>
      </c>
      <c r="C78" s="111" t="n">
        <v>0</v>
      </c>
      <c r="D78" s="111" t="n">
        <v>713.7</v>
      </c>
    </row>
    <row r="79" ht="15" customHeight="1" s="82">
      <c r="A79" s="94" t="inlineStr">
        <is>
          <t>0בתי מרקחת</t>
        </is>
      </c>
      <c r="B79" s="94" t="inlineStr">
        <is>
          <t>הדר חיפה ב.מ</t>
        </is>
      </c>
      <c r="C79" s="111" t="n">
        <v>6232.3</v>
      </c>
      <c r="D79" s="111" t="n">
        <v>3496.2</v>
      </c>
    </row>
    <row r="80" ht="15" customHeight="1" s="82">
      <c r="A80" s="94" t="inlineStr">
        <is>
          <t>0בתי מרקחת</t>
        </is>
      </c>
      <c r="B80" s="94" t="inlineStr">
        <is>
          <t>חורי חיפה ב.מ</t>
        </is>
      </c>
      <c r="C80" s="111" t="n">
        <v>5026.1</v>
      </c>
      <c r="D80" s="111" t="n">
        <v>5127.8</v>
      </c>
    </row>
    <row r="81" ht="15" customHeight="1" s="82">
      <c r="A81" s="94" t="inlineStr">
        <is>
          <t>0בתי מרקחת</t>
        </is>
      </c>
      <c r="B81" s="94" t="inlineStr">
        <is>
          <t>כרמלית ב.מ חיפה</t>
        </is>
      </c>
      <c r="C81" s="111" t="n">
        <v>3592</v>
      </c>
      <c r="D81" s="111" t="n">
        <v>1754.4</v>
      </c>
    </row>
    <row r="82" ht="15" customHeight="1" s="82">
      <c r="A82" s="94" t="inlineStr">
        <is>
          <t>0בתי מרקחת</t>
        </is>
      </c>
      <c r="B82" s="94" t="inlineStr">
        <is>
          <t>אלמרכז-זרזיר ב.מ בית זרזיר</t>
        </is>
      </c>
      <c r="C82" s="111" t="n">
        <v>8809.4</v>
      </c>
      <c r="D82" s="111" t="n">
        <v>5094</v>
      </c>
    </row>
    <row r="83" ht="15" customHeight="1" s="82">
      <c r="A83" s="94" t="inlineStr">
        <is>
          <t>0בתי מרקחת</t>
        </is>
      </c>
      <c r="B83" s="94" t="inlineStr">
        <is>
          <t>אלראזי מעלה עירון ב.מ כפר מוסמ</t>
        </is>
      </c>
      <c r="C83" s="111" t="n">
        <v>0</v>
      </c>
      <c r="D83" s="111" t="n">
        <v>0</v>
      </c>
    </row>
    <row r="84" ht="15" customHeight="1" s="82">
      <c r="A84" s="94" t="inlineStr">
        <is>
          <t>0בתי מרקחת</t>
        </is>
      </c>
      <c r="B84" s="94" t="inlineStr">
        <is>
          <t>אבן סינא א.א.פחם )מסעוד( ב.מ</t>
        </is>
      </c>
      <c r="C84" s="111" t="n">
        <v>765.7</v>
      </c>
      <c r="D84" s="111" t="n">
        <v>1155.9</v>
      </c>
    </row>
    <row r="85" ht="15" customHeight="1" s="82">
      <c r="A85" s="94" t="inlineStr">
        <is>
          <t>0בתי מרקחת</t>
        </is>
      </c>
      <c r="B85" s="94" t="inlineStr">
        <is>
          <t>סופר מדיקה ב.מ קרית ים</t>
        </is>
      </c>
      <c r="C85" s="111" t="n">
        <v>35618.3</v>
      </c>
      <c r="D85" s="111" t="n">
        <v>16643.5</v>
      </c>
    </row>
    <row r="86" ht="15" customHeight="1" s="82">
      <c r="A86" s="94" t="inlineStr">
        <is>
          <t>0בתי מרקחת</t>
        </is>
      </c>
      <c r="B86" s="94" t="inlineStr">
        <is>
          <t>(פרדיס פארם ב.מ)פאוזי</t>
        </is>
      </c>
      <c r="C86" s="111" t="n">
        <v>0</v>
      </c>
      <c r="D86" s="111" t="n">
        <v>0</v>
      </c>
    </row>
    <row r="87" ht="15" customHeight="1" s="82">
      <c r="A87" s="94" t="inlineStr">
        <is>
          <t>0בתי מרקחת</t>
        </is>
      </c>
      <c r="B87" s="94" t="inlineStr">
        <is>
          <t>קרית אליעזר ב.מ חיפה</t>
        </is>
      </c>
      <c r="C87" s="111" t="n">
        <v>14700.3</v>
      </c>
      <c r="D87" s="111" t="n">
        <v>6067.6</v>
      </c>
    </row>
    <row r="88" ht="15" customHeight="1" s="82">
      <c r="A88" s="94" t="inlineStr">
        <is>
          <t>0בתי מרקחת</t>
        </is>
      </c>
      <c r="B88" s="94" t="inlineStr">
        <is>
          <t>קלאב פארם אם הדרך בע""מ ב.מ</t>
        </is>
      </c>
      <c r="C88" s="111" t="n">
        <v>33239.9</v>
      </c>
      <c r="D88" s="111" t="n">
        <v>20748.1</v>
      </c>
    </row>
    <row r="89" ht="15" customHeight="1" s="82">
      <c r="A89" s="94" t="inlineStr">
        <is>
          <t>0בתי מרקחת</t>
        </is>
      </c>
      <c r="B89" s="94" t="inlineStr">
        <is>
          <t>שרה ב.מ נושק לבקה אל גרביה</t>
        </is>
      </c>
      <c r="C89" s="111" t="n">
        <v>0</v>
      </c>
      <c r="D89" s="111" t="n">
        <v>7143.2</v>
      </c>
    </row>
    <row r="90" ht="15" customHeight="1" s="82">
      <c r="A90" s="94" t="inlineStr">
        <is>
          <t>0בתי מרקחת</t>
        </is>
      </c>
      <c r="B90" s="94" t="inlineStr">
        <is>
          <t>דליה פארם מרכז טבעון ב.מ</t>
        </is>
      </c>
      <c r="C90" s="111" t="n">
        <v>949</v>
      </c>
      <c r="D90" s="111" t="n">
        <v>112.2</v>
      </c>
    </row>
    <row r="91" ht="15" customHeight="1" s="82">
      <c r="A91" s="94" t="inlineStr">
        <is>
          <t>0בתי מרקחת</t>
        </is>
      </c>
      <c r="B91" s="94" t="inlineStr">
        <is>
          <t>ב.מ. שגב שלום פארם01.11</t>
        </is>
      </c>
      <c r="C91" s="111" t="n">
        <v>0</v>
      </c>
      <c r="D91" s="111" t="n">
        <v>477.8</v>
      </c>
    </row>
    <row r="92" ht="15" customHeight="1" s="82">
      <c r="A92" s="94" t="inlineStr">
        <is>
          <t>0בתי מרקחת</t>
        </is>
      </c>
      <c r="B92" s="94" t="inlineStr">
        <is>
          <t>בריאות ת""א ב.מ</t>
        </is>
      </c>
      <c r="C92" s="111" t="n">
        <v>0</v>
      </c>
      <c r="D92" s="111" t="n">
        <v>0</v>
      </c>
    </row>
    <row r="93" ht="15" customHeight="1" s="82">
      <c r="A93" s="94" t="inlineStr">
        <is>
          <t>0בתי מרקחת</t>
        </is>
      </c>
      <c r="B93" s="94" t="inlineStr">
        <is>
          <t>הקריה ת""א ב.מ</t>
        </is>
      </c>
      <c r="C93" s="111" t="n">
        <v>192.1</v>
      </c>
      <c r="D93" s="111" t="n">
        <v>1424.3</v>
      </c>
    </row>
    <row r="94" ht="15" customHeight="1" s="82">
      <c r="A94" s="94" t="inlineStr">
        <is>
          <t>0בתי מרקחת</t>
        </is>
      </c>
      <c r="B94" s="94" t="inlineStr">
        <is>
          <t>-סטאר פארמד בע""מ</t>
        </is>
      </c>
      <c r="C94" s="111" t="n">
        <v>1350.3</v>
      </c>
      <c r="D94" s="111" t="n">
        <v>555.6</v>
      </c>
    </row>
    <row r="95" ht="15" customHeight="1" s="82">
      <c r="A95" s="94" t="inlineStr">
        <is>
          <t>0בתי מרקחת</t>
        </is>
      </c>
      <c r="B95" s="94" t="inlineStr">
        <is>
          <t>אלבטוף כפר עוזייר ב.מ</t>
        </is>
      </c>
      <c r="C95" s="111" t="n">
        <v>164</v>
      </c>
      <c r="D95" s="111" t="n">
        <v>0</v>
      </c>
    </row>
    <row r="96" ht="15" customHeight="1" s="82">
      <c r="A96" s="94" t="inlineStr">
        <is>
          <t>0בתי מרקחת</t>
        </is>
      </c>
      <c r="B96" s="94" t="inlineStr">
        <is>
          <t>בלסם פארם טמרה ב.מ</t>
        </is>
      </c>
      <c r="C96" s="111" t="n">
        <v>2073.5</v>
      </c>
      <c r="D96" s="111" t="n">
        <v>1638.8</v>
      </c>
    </row>
    <row r="97" ht="15" customHeight="1" s="82">
      <c r="A97" s="94" t="inlineStr">
        <is>
          <t>0בתי מרקחת</t>
        </is>
      </c>
      <c r="B97" s="94" t="inlineStr">
        <is>
          <t>ג'וליס 2001 ב.מ</t>
        </is>
      </c>
      <c r="C97" s="111" t="n">
        <v>0</v>
      </c>
      <c r="D97" s="111" t="n">
        <v>0</v>
      </c>
    </row>
    <row r="98" ht="15" customHeight="1" s="82">
      <c r="A98" s="94" t="inlineStr">
        <is>
          <t>0בתי מרקחת</t>
        </is>
      </c>
      <c r="B98" s="94" t="inlineStr">
        <is>
          <t>הוואדי ב.מ  חיפה</t>
        </is>
      </c>
      <c r="C98" s="111" t="n">
        <v>267.1</v>
      </c>
      <c r="D98" s="111" t="n">
        <v>0</v>
      </c>
    </row>
    <row r="99" ht="15" customHeight="1" s="82">
      <c r="A99" s="94" t="inlineStr">
        <is>
          <t>0בתי מרקחת</t>
        </is>
      </c>
      <c r="B99" s="94" t="inlineStr">
        <is>
          <t>כאוכב פארם משגב ב.מ</t>
        </is>
      </c>
      <c r="C99" s="111" t="n">
        <v>1533.3</v>
      </c>
      <c r="D99" s="111" t="n">
        <v>1323.6</v>
      </c>
    </row>
    <row r="100" ht="15" customHeight="1" s="82">
      <c r="A100" s="94" t="inlineStr">
        <is>
          <t>0בתי מרקחת</t>
        </is>
      </c>
      <c r="B100" s="94" t="inlineStr">
        <is>
          <t>אריק פארם ב.מ מגדל העמק</t>
        </is>
      </c>
      <c r="C100" s="111" t="n">
        <v>0</v>
      </c>
      <c r="D100" s="111" t="n">
        <v>0</v>
      </c>
    </row>
    <row r="101" ht="15" customHeight="1" s="82">
      <c r="A101" s="94" t="inlineStr">
        <is>
          <t>0בתי מרקחת</t>
        </is>
      </c>
      <c r="B101" s="94" t="inlineStr">
        <is>
          <t>עלאא פארם עילבון ב.מ</t>
        </is>
      </c>
      <c r="C101" s="111" t="n">
        <v>0</v>
      </c>
      <c r="D101" s="111" t="n">
        <v>80.59999999999999</v>
      </c>
    </row>
    <row r="102" ht="15" customHeight="1" s="82">
      <c r="A102" s="94" t="inlineStr">
        <is>
          <t>0בתי מרקחת</t>
        </is>
      </c>
      <c r="B102" s="94" t="inlineStr">
        <is>
          <t>(בית מרקחת הקניון רהט )חדש</t>
        </is>
      </c>
      <c r="C102" s="111" t="n">
        <v>8848.200000000001</v>
      </c>
      <c r="D102" s="111" t="n">
        <v>5679.3</v>
      </c>
    </row>
    <row r="103" ht="15" customHeight="1" s="82">
      <c r="A103" s="94" t="inlineStr">
        <is>
          <t>0בתי מרקחת</t>
        </is>
      </c>
      <c r="B103" s="94" t="inlineStr">
        <is>
          <t>ב.מ צור שלום פארם ק.ביאליק</t>
        </is>
      </c>
      <c r="C103" s="111" t="n">
        <v>198.5</v>
      </c>
      <c r="D103" s="111" t="n">
        <v>0</v>
      </c>
    </row>
    <row r="104" ht="15" customHeight="1" s="82">
      <c r="A104" s="94" t="inlineStr">
        <is>
          <t>0בתי מרקחת</t>
        </is>
      </c>
      <c r="B104" s="94" t="inlineStr">
        <is>
          <t>זבולון פארם בע""מ עתלית חדש</t>
        </is>
      </c>
      <c r="C104" s="111" t="n">
        <v>7453.6</v>
      </c>
      <c r="D104" s="111" t="n">
        <v>5158</v>
      </c>
    </row>
    <row r="105" ht="15" customHeight="1" s="82">
      <c r="A105" s="94" t="inlineStr">
        <is>
          <t>0בתי מרקחת</t>
        </is>
      </c>
      <c r="B105" s="94" t="inlineStr">
        <is>
          <t>זבולון פארם )2005( ט.כרמל</t>
        </is>
      </c>
      <c r="C105" s="111" t="n">
        <v>0</v>
      </c>
      <c r="D105" s="111" t="n">
        <v>0</v>
      </c>
    </row>
    <row r="106" ht="15" customHeight="1" s="82">
      <c r="A106" s="94" t="inlineStr">
        <is>
          <t>0בתי מרקחת</t>
        </is>
      </c>
      <c r="B106" s="94" t="inlineStr">
        <is>
          <t>אבן סינא פארם טייבה ב.מ</t>
        </is>
      </c>
      <c r="C106" s="111" t="n">
        <v>0</v>
      </c>
      <c r="D106" s="111" t="n">
        <v>214.6</v>
      </c>
    </row>
    <row r="107" ht="15" customHeight="1" s="82">
      <c r="A107" s="94" t="inlineStr">
        <is>
          <t>0בתי מרקחת</t>
        </is>
      </c>
      <c r="B107" s="94" t="inlineStr">
        <is>
          <t>ג'י.אר היינמן</t>
        </is>
      </c>
      <c r="C107" s="111" t="n">
        <v>0</v>
      </c>
      <c r="D107" s="111" t="n">
        <v>0</v>
      </c>
    </row>
    <row r="108" ht="15" customHeight="1" s="82">
      <c r="A108" s="94" t="inlineStr">
        <is>
          <t>0בתי מרקחת</t>
        </is>
      </c>
      <c r="B108" s="94" t="inlineStr">
        <is>
          <t>סקייפארם -ג'י.אר היינמן ב.מ</t>
        </is>
      </c>
      <c r="C108" s="111" t="n">
        <v>14162.5</v>
      </c>
      <c r="D108" s="111" t="n">
        <v>11375.2</v>
      </c>
    </row>
    <row r="109" ht="15" customHeight="1" s="82">
      <c r="A109" s="94" t="inlineStr">
        <is>
          <t>0בתי מרקחת</t>
        </is>
      </c>
      <c r="B109" s="94" t="inlineStr">
        <is>
          <t>נרקיס פארם חדרה</t>
        </is>
      </c>
      <c r="C109" s="111" t="n">
        <v>11536</v>
      </c>
      <c r="D109" s="111" t="n">
        <v>10317.9</v>
      </c>
    </row>
    <row r="110" ht="15" customHeight="1" s="82">
      <c r="A110" s="94" t="inlineStr">
        <is>
          <t>0בתי מרקחת</t>
        </is>
      </c>
      <c r="B110" s="94" t="inlineStr">
        <is>
          <t>ארזה רעננה ב.מ חדש</t>
        </is>
      </c>
      <c r="C110" s="111" t="n">
        <v>8171.7</v>
      </c>
      <c r="D110" s="111" t="n">
        <v>8210.700000000001</v>
      </c>
    </row>
    <row r="111" ht="15" customHeight="1" s="82">
      <c r="A111" s="94" t="inlineStr">
        <is>
          <t>0בתי מרקחת</t>
        </is>
      </c>
      <c r="B111" s="94" t="inlineStr">
        <is>
          <t>.גרין פארם עראבה ב.מ</t>
        </is>
      </c>
      <c r="C111" s="111" t="n">
        <v>3186.4</v>
      </c>
      <c r="D111" s="111" t="n">
        <v>2475</v>
      </c>
    </row>
    <row r="112" ht="15" customHeight="1" s="82">
      <c r="A112" s="94" t="inlineStr">
        <is>
          <t>0בתי מרקחת</t>
        </is>
      </c>
      <c r="B112" s="94" t="inlineStr">
        <is>
          <t>יארא פארם ב.מ חדש כפר עראבה</t>
        </is>
      </c>
      <c r="C112" s="111" t="n">
        <v>5506.7</v>
      </c>
      <c r="D112" s="111" t="n">
        <v>5129.2</v>
      </c>
    </row>
    <row r="113" ht="15" customHeight="1" s="82">
      <c r="A113" s="94" t="inlineStr">
        <is>
          <t>0בתי מרקחת</t>
        </is>
      </c>
      <c r="B113" s="94" t="inlineStr">
        <is>
          <t>ב.מ בלסיאנו פארם בע""מ</t>
        </is>
      </c>
      <c r="C113" s="111" t="n">
        <v>461.4</v>
      </c>
      <c r="D113" s="111" t="n">
        <v>408.4</v>
      </c>
    </row>
    <row r="114" ht="15" customHeight="1" s="82">
      <c r="A114" s="94" t="inlineStr">
        <is>
          <t>0בתי מרקחת</t>
        </is>
      </c>
      <c r="B114" s="94" t="inlineStr">
        <is>
          <t>פרמא לייף ב.מ תל שבע</t>
        </is>
      </c>
      <c r="C114" s="111" t="n">
        <v>3161.9</v>
      </c>
      <c r="D114" s="111" t="n">
        <v>1214.6</v>
      </c>
    </row>
    <row r="115" ht="15" customHeight="1" s="82">
      <c r="A115" s="94" t="inlineStr">
        <is>
          <t>0בתי מרקחת</t>
        </is>
      </c>
      <c r="B115" s="94" t="inlineStr">
        <is>
          <t>ב.מ ניבי פארם רמת אילן</t>
        </is>
      </c>
      <c r="C115" s="111" t="n">
        <v>751.3</v>
      </c>
      <c r="D115" s="111" t="n">
        <v>1756.8</v>
      </c>
    </row>
    <row r="116" ht="15" customHeight="1" s="82">
      <c r="A116" s="94" t="inlineStr">
        <is>
          <t>0בתי מרקחת</t>
        </is>
      </c>
      <c r="B116" s="94" t="inlineStr">
        <is>
          <t>אלהיא )פ.ח.ח.מ. בע""מ( ב.מ. בוק</t>
        </is>
      </c>
      <c r="C116" s="111" t="n">
        <v>216.7</v>
      </c>
      <c r="D116" s="111" t="n">
        <v>0</v>
      </c>
    </row>
    <row r="117" ht="15" customHeight="1" s="82">
      <c r="A117" s="94" t="inlineStr">
        <is>
          <t>0בתי מרקחת</t>
        </is>
      </c>
      <c r="B117" s="94" t="inlineStr">
        <is>
          <t>.טופ פארם נצרת ב.מ</t>
        </is>
      </c>
      <c r="C117" s="111" t="n">
        <v>1667.1</v>
      </c>
      <c r="D117" s="111" t="n">
        <v>3471.9</v>
      </c>
    </row>
    <row r="118" ht="15" customHeight="1" s="82">
      <c r="A118" s="94" t="inlineStr">
        <is>
          <t>0בתי מרקחת</t>
        </is>
      </c>
      <c r="B118" s="94" t="inlineStr">
        <is>
          <t>כנען צפת ב.מ</t>
        </is>
      </c>
      <c r="C118" s="111" t="n">
        <v>753.3</v>
      </c>
      <c r="D118" s="111" t="n">
        <v>990.3</v>
      </c>
    </row>
    <row r="119" ht="15" customHeight="1" s="82">
      <c r="A119" s="94" t="inlineStr">
        <is>
          <t>0בתי מרקחת</t>
        </is>
      </c>
      <c r="B119" s="94" t="inlineStr">
        <is>
          <t>מרים פארם ב.מ</t>
        </is>
      </c>
      <c r="C119" s="111" t="n">
        <v>4424.8</v>
      </c>
      <c r="D119" s="111" t="n">
        <v>503.9</v>
      </c>
    </row>
    <row r="120" ht="15" customHeight="1" s="82">
      <c r="A120" s="94" t="inlineStr">
        <is>
          <t>0בתי מרקחת</t>
        </is>
      </c>
      <c r="B120" s="94" t="inlineStr">
        <is>
          <t>מלאק ב.מ. כפר מונדא</t>
        </is>
      </c>
      <c r="C120" s="111" t="n">
        <v>851.3</v>
      </c>
      <c r="D120" s="111" t="n">
        <v>0</v>
      </c>
    </row>
    <row r="121" ht="15" customHeight="1" s="82">
      <c r="A121" s="94" t="inlineStr">
        <is>
          <t>0בתי מרקחת</t>
        </is>
      </c>
      <c r="B121" s="94" t="inlineStr">
        <is>
          <t>מערופארם בע""מ אכסאל ב.מ</t>
        </is>
      </c>
      <c r="C121" s="111" t="n">
        <v>3402.1</v>
      </c>
      <c r="D121" s="111" t="n">
        <v>1904.2</v>
      </c>
    </row>
    <row r="122" ht="15" customHeight="1" s="82">
      <c r="A122" s="94" t="inlineStr">
        <is>
          <t>0בתי מרקחת</t>
        </is>
      </c>
      <c r="B122" s="94" t="inlineStr">
        <is>
          <t>סנטר מולטי פארם ב.מ. חיפה</t>
        </is>
      </c>
      <c r="C122" s="111" t="n">
        <v>19303.4</v>
      </c>
      <c r="D122" s="111" t="n">
        <v>14227.4</v>
      </c>
    </row>
    <row r="123" ht="15" customHeight="1" s="82">
      <c r="A123" s="94" t="inlineStr">
        <is>
          <t>0בתי מרקחת</t>
        </is>
      </c>
      <c r="B123" s="94" t="inlineStr">
        <is>
          <t>שפרעם האני ב.מ</t>
        </is>
      </c>
      <c r="C123" s="111" t="n">
        <v>79.59999999999999</v>
      </c>
      <c r="D123" s="111" t="n">
        <v>474.6</v>
      </c>
    </row>
    <row r="124" ht="15" customHeight="1" s="82">
      <c r="A124" s="94" t="inlineStr">
        <is>
          <t>0בתי מרקחת</t>
        </is>
      </c>
      <c r="B124" s="94" t="inlineStr">
        <is>
          <t>פאמילי פרמאסי בע""מ-הירקון ב.מ</t>
        </is>
      </c>
      <c r="C124" s="111" t="n">
        <v>2588.4</v>
      </c>
      <c r="D124" s="111" t="n">
        <v>902.5</v>
      </c>
    </row>
    <row r="125" ht="15" customHeight="1" s="82">
      <c r="A125" s="94" t="inlineStr">
        <is>
          <t>0בתי מרקחת</t>
        </is>
      </c>
      <c r="B125" s="94" t="inlineStr">
        <is>
          <t>קרית השרון בית מרקחת נתניה</t>
        </is>
      </c>
      <c r="C125" s="111" t="n">
        <v>1721.4</v>
      </c>
      <c r="D125" s="111" t="n">
        <v>0</v>
      </c>
    </row>
    <row r="126" ht="15" customHeight="1" s="82">
      <c r="A126" s="94" t="inlineStr">
        <is>
          <t>0בתי מרקחת</t>
        </is>
      </c>
      <c r="B126" s="94" t="inlineStr">
        <is>
          <t>דוקטור פארם ב.מ  אום אל פאחם</t>
        </is>
      </c>
      <c r="C126" s="111" t="n">
        <v>3568.9</v>
      </c>
      <c r="D126" s="111" t="n">
        <v>1653.6</v>
      </c>
    </row>
    <row r="127" ht="15" customHeight="1" s="82">
      <c r="A127" s="94" t="inlineStr">
        <is>
          <t>0בתי מרקחת</t>
        </is>
      </c>
      <c r="B127" s="94" t="inlineStr">
        <is>
          <t>פארמסי וואן אום אל פחם ב.מ</t>
        </is>
      </c>
      <c r="C127" s="111" t="n">
        <v>142.4</v>
      </c>
      <c r="D127" s="111" t="n">
        <v>0</v>
      </c>
    </row>
    <row r="128" ht="15" customHeight="1" s="82">
      <c r="A128" s="94" t="inlineStr">
        <is>
          <t>0בתי מרקחת</t>
        </is>
      </c>
      <c r="B128" s="94" t="inlineStr">
        <is>
          <t>אל עיסאוויה ב.מ ירושלים</t>
        </is>
      </c>
      <c r="C128" s="111" t="n">
        <v>3605.2</v>
      </c>
      <c r="D128" s="111" t="n">
        <v>5118.5</v>
      </c>
    </row>
    <row r="129" ht="15" customHeight="1" s="82">
      <c r="A129" s="94" t="inlineStr">
        <is>
          <t>0בתי מרקחת</t>
        </is>
      </c>
      <c r="B129" s="94" t="inlineStr">
        <is>
          <t>סופיה כפר קאסם בימר""ק</t>
        </is>
      </c>
      <c r="C129" s="111" t="n">
        <v>2257.1</v>
      </c>
      <c r="D129" s="111" t="n">
        <v>0</v>
      </c>
    </row>
    <row r="130" ht="15" customHeight="1" s="82">
      <c r="A130" s="94" t="inlineStr">
        <is>
          <t>0בתי מרקחת</t>
        </is>
      </c>
      <c r="B130" s="94" t="inlineStr">
        <is>
          <t>ב.מ ביאליק פארם קרית ביאליק</t>
        </is>
      </c>
      <c r="C130" s="111" t="n">
        <v>1398.8</v>
      </c>
      <c r="D130" s="111" t="n">
        <v>593.2</v>
      </c>
    </row>
    <row r="131" ht="15" customHeight="1" s="82">
      <c r="A131" s="94" t="inlineStr">
        <is>
          <t>0בתי מרקחת</t>
        </is>
      </c>
      <c r="B131" s="94" t="inlineStr">
        <is>
          <t>שפרינצק ב.מ חיפה חדש</t>
        </is>
      </c>
      <c r="C131" s="111" t="n">
        <v>1693.6</v>
      </c>
      <c r="D131" s="111" t="n">
        <v>826.7</v>
      </c>
    </row>
    <row r="132" ht="15" customHeight="1" s="82">
      <c r="A132" s="94" t="inlineStr">
        <is>
          <t>0בתי מרקחת</t>
        </is>
      </c>
      <c r="B132" s="94" t="inlineStr">
        <is>
          <t>09.11 פרדס י-ם ב.מ</t>
        </is>
      </c>
      <c r="C132" s="111" t="n">
        <v>0</v>
      </c>
      <c r="D132" s="111" t="n">
        <v>146.1</v>
      </c>
    </row>
    <row r="133" ht="15" customHeight="1" s="82">
      <c r="A133" s="94" t="inlineStr">
        <is>
          <t>0בתי מרקחת</t>
        </is>
      </c>
      <c r="B133" s="94" t="inlineStr">
        <is>
          <t>לאנא פארם ב.מ כפר ג'ת</t>
        </is>
      </c>
      <c r="C133" s="111" t="n">
        <v>0</v>
      </c>
      <c r="D133" s="111" t="n">
        <v>0</v>
      </c>
    </row>
    <row r="134" ht="15" customHeight="1" s="82">
      <c r="A134" s="94" t="inlineStr">
        <is>
          <t>0בתי מרקחת</t>
        </is>
      </c>
      <c r="B134" s="94" t="inlineStr">
        <is>
          <t>אופקים פארם ב.מ</t>
        </is>
      </c>
      <c r="C134" s="111" t="n">
        <v>0</v>
      </c>
      <c r="D134" s="111" t="n">
        <v>0</v>
      </c>
    </row>
    <row r="135" ht="15" customHeight="1" s="82">
      <c r="A135" s="94" t="inlineStr">
        <is>
          <t>0בתי מרקחת</t>
        </is>
      </c>
      <c r="B135" s="94" t="inlineStr">
        <is>
          <t>אלסלאם רהט ב.מ</t>
        </is>
      </c>
      <c r="C135" s="111" t="n">
        <v>5249.6</v>
      </c>
      <c r="D135" s="111" t="n">
        <v>3893.8</v>
      </c>
    </row>
    <row r="136" ht="15" customHeight="1" s="82">
      <c r="A136" s="94" t="inlineStr">
        <is>
          <t>0בתי מרקחת</t>
        </is>
      </c>
      <c r="B136" s="94" t="inlineStr">
        <is>
          <t>.טופ מיד כרים פארם בע""מ לקיה ב</t>
        </is>
      </c>
      <c r="C136" s="111" t="n">
        <v>1179.8</v>
      </c>
      <c r="D136" s="111" t="n">
        <v>0</v>
      </c>
    </row>
    <row r="137" ht="15" customHeight="1" s="82">
      <c r="A137" s="94" t="inlineStr">
        <is>
          <t>0בתי מרקחת</t>
        </is>
      </c>
      <c r="B137" s="94" t="inlineStr">
        <is>
          <t>קריזמה פארם רהט ב.מ</t>
        </is>
      </c>
      <c r="C137" s="111" t="n">
        <v>0</v>
      </c>
      <c r="D137" s="111" t="n">
        <v>0</v>
      </c>
    </row>
    <row r="138" ht="15" customHeight="1" s="82">
      <c r="A138" s="94" t="inlineStr">
        <is>
          <t>0בתי מרקחת</t>
        </is>
      </c>
      <c r="B138" s="94" t="inlineStr">
        <is>
          <t>בימר""ק אל ראיה י-ם</t>
        </is>
      </c>
      <c r="C138" s="111" t="n">
        <v>113</v>
      </c>
      <c r="D138" s="111" t="n">
        <v>79.59999999999999</v>
      </c>
    </row>
    <row r="139" ht="15" customHeight="1" s="82">
      <c r="A139" s="94" t="inlineStr">
        <is>
          <t>0בתי מרקחת</t>
        </is>
      </c>
      <c r="B139" s="94" t="inlineStr">
        <is>
          <t>.הפיסגה בית וגן י-ם ב.מ</t>
        </is>
      </c>
      <c r="C139" s="111" t="n">
        <v>3274.4</v>
      </c>
      <c r="D139" s="111" t="n">
        <v>3002.2</v>
      </c>
    </row>
    <row r="140" ht="15" customHeight="1" s="82">
      <c r="A140" s="94" t="inlineStr">
        <is>
          <t>0בתי מרקחת</t>
        </is>
      </c>
      <c r="B140" s="94" t="inlineStr">
        <is>
          <t>פארמה סי )הפלמ""ח( ב.מ ירושלים</t>
        </is>
      </c>
      <c r="C140" s="111" t="n">
        <v>13765.1</v>
      </c>
      <c r="D140" s="111" t="n">
        <v>11071</v>
      </c>
    </row>
    <row r="141" ht="15" customHeight="1" s="82">
      <c r="A141" s="94" t="inlineStr">
        <is>
          <t>0בתי מרקחת</t>
        </is>
      </c>
      <c r="B141" s="94" t="inlineStr">
        <is>
          <t>הפלמ""ח י-ם ב.מ</t>
        </is>
      </c>
      <c r="C141" s="111" t="n">
        <v>3796.2</v>
      </c>
      <c r="D141" s="111" t="n">
        <v>2769.8</v>
      </c>
    </row>
    <row r="142" ht="15" customHeight="1" s="82">
      <c r="A142" s="94" t="inlineStr">
        <is>
          <t>0בתי מרקחת</t>
        </is>
      </c>
      <c r="B142" s="94" t="inlineStr">
        <is>
          <t>הפלמ""ח ב.מ פסגת זאב י-ם</t>
        </is>
      </c>
      <c r="C142" s="111" t="n">
        <v>79.59999999999999</v>
      </c>
      <c r="D142" s="111" t="n">
        <v>345.8</v>
      </c>
    </row>
    <row r="143" ht="15" customHeight="1" s="82">
      <c r="A143" s="94" t="inlineStr">
        <is>
          <t>0בתי מרקחת</t>
        </is>
      </c>
      <c r="B143" s="94" t="inlineStr">
        <is>
          <t>הפלמ""ח גבעת שאול י-ם ב.מ</t>
        </is>
      </c>
      <c r="C143" s="111" t="n">
        <v>1050.1</v>
      </c>
      <c r="D143" s="111" t="n">
        <v>434.9</v>
      </c>
    </row>
    <row r="144" ht="15" customHeight="1" s="82">
      <c r="A144" s="94" t="inlineStr">
        <is>
          <t>0בתי מרקחת</t>
        </is>
      </c>
      <c r="B144" s="94" t="inlineStr">
        <is>
          <t>ב.ט.ביו-גאיה כ""ס</t>
        </is>
      </c>
      <c r="C144" s="111" t="n">
        <v>0</v>
      </c>
      <c r="D144" s="111" t="n">
        <v>0</v>
      </c>
    </row>
    <row r="145" ht="15" customHeight="1" s="82">
      <c r="A145" s="94" t="inlineStr">
        <is>
          <t>0בתי מרקחת</t>
        </is>
      </c>
      <c r="B145" s="94" t="inlineStr">
        <is>
          <t>אורן הכרמל ב.מ נשר</t>
        </is>
      </c>
      <c r="C145" s="111" t="n">
        <v>8599.700000000001</v>
      </c>
      <c r="D145" s="111" t="n">
        <v>70.3</v>
      </c>
    </row>
    <row r="146" ht="15" customHeight="1" s="82">
      <c r="A146" s="94" t="inlineStr">
        <is>
          <t>0בתי מרקחת</t>
        </is>
      </c>
      <c r="B146" s="94" t="inlineStr">
        <is>
          <t>דוקטור פארם נצרת ב.מ</t>
        </is>
      </c>
      <c r="C146" s="111" t="n">
        <v>0</v>
      </c>
      <c r="D146" s="111" t="n">
        <v>0</v>
      </c>
    </row>
    <row r="147" ht="15" customHeight="1" s="82">
      <c r="A147" s="94" t="inlineStr">
        <is>
          <t>0בתי מרקחת</t>
        </is>
      </c>
      <c r="B147" s="94" t="inlineStr">
        <is>
          <t>יור פארם סכנין ב.מ</t>
        </is>
      </c>
      <c r="C147" s="111" t="n">
        <v>-129.3</v>
      </c>
      <c r="D147" s="111" t="n">
        <v>0</v>
      </c>
    </row>
    <row r="148" ht="15" customHeight="1" s="82">
      <c r="A148" s="94" t="inlineStr">
        <is>
          <t>0בתי מרקחת</t>
        </is>
      </c>
      <c r="B148" s="94" t="inlineStr">
        <is>
          <t>.יור פארם כרמיאל ב.מ</t>
        </is>
      </c>
      <c r="C148" s="111" t="n">
        <v>8097.2</v>
      </c>
      <c r="D148" s="111" t="n">
        <v>3638.7</v>
      </c>
    </row>
    <row r="149" ht="15" customHeight="1" s="82">
      <c r="A149" s="94" t="inlineStr">
        <is>
          <t>0בתי מרקחת</t>
        </is>
      </c>
      <c r="B149" s="94" t="inlineStr">
        <is>
          <t>סנא פארם כרמיאל ב.מ</t>
        </is>
      </c>
      <c r="C149" s="111" t="n">
        <v>602.1</v>
      </c>
      <c r="D149" s="111" t="n">
        <v>0</v>
      </c>
    </row>
    <row r="150" ht="15" customHeight="1" s="82">
      <c r="A150" s="94" t="inlineStr">
        <is>
          <t>0בתי מרקחת</t>
        </is>
      </c>
      <c r="B150" s="94" t="inlineStr">
        <is>
          <t>אמל פארם כפר מסעדה ב.מ</t>
        </is>
      </c>
      <c r="C150" s="111" t="n">
        <v>8600.6</v>
      </c>
      <c r="D150" s="111" t="n">
        <v>2920.9</v>
      </c>
    </row>
    <row r="151" ht="15" customHeight="1" s="82">
      <c r="A151" s="94" t="inlineStr">
        <is>
          <t>0בתי מרקחת</t>
        </is>
      </c>
      <c r="B151" s="94" t="inlineStr">
        <is>
          <t>אמיר מדיקל פארם בע""מ ב.מ נהריה</t>
        </is>
      </c>
      <c r="C151" s="111" t="n">
        <v>151.2</v>
      </c>
      <c r="D151" s="111" t="n">
        <v>0</v>
      </c>
    </row>
    <row r="152" ht="15" customHeight="1" s="82">
      <c r="A152" s="94" t="inlineStr">
        <is>
          <t>0בתי מרקחת</t>
        </is>
      </c>
      <c r="B152" s="94" t="inlineStr">
        <is>
          <t>וידא פארם סחנין ב.מ</t>
        </is>
      </c>
      <c r="C152" s="111" t="n">
        <v>3086.2</v>
      </c>
      <c r="D152" s="111" t="n">
        <v>702.6</v>
      </c>
    </row>
    <row r="153" ht="15" customHeight="1" s="82">
      <c r="A153" s="94" t="inlineStr">
        <is>
          <t>0בתי מרקחת</t>
        </is>
      </c>
      <c r="B153" s="94" t="inlineStr">
        <is>
          <t>מי פארם בית ג'אן ב.מ</t>
        </is>
      </c>
      <c r="C153" s="111" t="n">
        <v>330.6</v>
      </c>
      <c r="D153" s="111" t="n">
        <v>99.3</v>
      </c>
    </row>
    <row r="154" ht="15" customHeight="1" s="82">
      <c r="A154" s="94" t="inlineStr">
        <is>
          <t>0בתי מרקחת</t>
        </is>
      </c>
      <c r="B154" s="94" t="inlineStr">
        <is>
          <t>ניבי פארם ב.מ טבריה</t>
        </is>
      </c>
      <c r="C154" s="111" t="n">
        <v>6327</v>
      </c>
      <c r="D154" s="111" t="n">
        <v>2353.1</v>
      </c>
    </row>
    <row r="155" ht="15" customHeight="1" s="82">
      <c r="A155" s="94" t="inlineStr">
        <is>
          <t>0בתי מרקחת</t>
        </is>
      </c>
      <c r="B155" s="94" t="inlineStr">
        <is>
          <t>ע.ק.סנטר פארם העמקים בע""מ אכסא</t>
        </is>
      </c>
      <c r="C155" s="111" t="n">
        <v>2476.1</v>
      </c>
      <c r="D155" s="111" t="n">
        <v>283</v>
      </c>
    </row>
    <row r="156" ht="15" customHeight="1" s="82">
      <c r="A156" s="94" t="inlineStr">
        <is>
          <t>0בתי מרקחת</t>
        </is>
      </c>
      <c r="B156" s="94" t="inlineStr">
        <is>
          <t>.מרכז פסוטה ב.מ</t>
        </is>
      </c>
      <c r="C156" s="111" t="n">
        <v>8725.5</v>
      </c>
      <c r="D156" s="111" t="n">
        <v>1070.1</v>
      </c>
    </row>
    <row r="157" ht="15" customHeight="1" s="82">
      <c r="A157" s="94" t="inlineStr">
        <is>
          <t>0בתי מרקחת</t>
        </is>
      </c>
      <c r="B157" s="94" t="inlineStr">
        <is>
          <t>.פנו פארם אחוזת ראשונים ב.מ</t>
        </is>
      </c>
      <c r="C157" s="111" t="n">
        <v>7532</v>
      </c>
      <c r="D157" s="111" t="n">
        <v>12789.4</v>
      </c>
    </row>
    <row r="158" ht="15" customHeight="1" s="82">
      <c r="A158" s="94" t="inlineStr">
        <is>
          <t>0בתי מרקחת</t>
        </is>
      </c>
      <c r="B158" s="94" t="inlineStr">
        <is>
          <t>בסמאן פארם-בע""מ אום אל פחם ב.מ</t>
        </is>
      </c>
      <c r="C158" s="111" t="n">
        <v>0</v>
      </c>
      <c r="D158" s="111" t="n">
        <v>0</v>
      </c>
    </row>
    <row r="159" ht="15" customHeight="1" s="82">
      <c r="A159" s="94" t="inlineStr">
        <is>
          <t>0בתי מרקחת</t>
        </is>
      </c>
      <c r="B159" s="94" t="inlineStr">
        <is>
          <t>אום אל פחם בית מ RX רושתה פארם</t>
        </is>
      </c>
      <c r="C159" s="111" t="n">
        <v>0</v>
      </c>
      <c r="D159" s="111" t="n">
        <v>0</v>
      </c>
    </row>
    <row r="160" ht="15" customHeight="1" s="82">
      <c r="A160" s="94" t="inlineStr">
        <is>
          <t>0בתי מרקחת</t>
        </is>
      </c>
      <c r="B160" s="94" t="inlineStr">
        <is>
          <t>שמשון חדש בע""מ אשקלון ב.מ</t>
        </is>
      </c>
      <c r="C160" s="111" t="n">
        <v>805.4</v>
      </c>
      <c r="D160" s="111" t="n">
        <v>1082.1</v>
      </c>
    </row>
    <row r="161" ht="15" customHeight="1" s="82">
      <c r="A161" s="94" t="inlineStr">
        <is>
          <t>0בתי מרקחת</t>
        </is>
      </c>
      <c r="B161" s="94" t="inlineStr">
        <is>
          <t>סמייל פארם רהט ב.מ</t>
        </is>
      </c>
      <c r="C161" s="111" t="n">
        <v>398.2</v>
      </c>
      <c r="D161" s="111" t="n">
        <v>0</v>
      </c>
    </row>
    <row r="162" ht="15" customHeight="1" s="82">
      <c r="A162" s="94" t="inlineStr">
        <is>
          <t>0בתי מרקחת</t>
        </is>
      </c>
      <c r="B162" s="94" t="inlineStr">
        <is>
          <t>אלטור פארם י-ם ב.מ. חדש</t>
        </is>
      </c>
      <c r="C162" s="111" t="n">
        <v>0</v>
      </c>
      <c r="D162" s="111" t="n">
        <v>0</v>
      </c>
    </row>
    <row r="163" ht="15" customHeight="1" s="82">
      <c r="A163" s="94" t="inlineStr">
        <is>
          <t>0בתי מרקחת</t>
        </is>
      </c>
      <c r="B163" s="94" t="inlineStr">
        <is>
          <t>אל משאהד ב.מ ירושלים</t>
        </is>
      </c>
      <c r="C163" s="111" t="n">
        <v>2955.9</v>
      </c>
      <c r="D163" s="111" t="n">
        <v>0</v>
      </c>
    </row>
    <row r="164" ht="15" customHeight="1" s="82">
      <c r="A164" s="94" t="inlineStr">
        <is>
          <t>0בתי מרקחת</t>
        </is>
      </c>
      <c r="B164" s="94" t="inlineStr">
        <is>
          <t>צפון עכו בית מרקחת</t>
        </is>
      </c>
      <c r="C164" s="111" t="n">
        <v>1032.4</v>
      </c>
      <c r="D164" s="111" t="n">
        <v>0</v>
      </c>
    </row>
    <row r="165" ht="15" customHeight="1" s="82">
      <c r="A165" s="94" t="inlineStr">
        <is>
          <t>0בתי מרקחת</t>
        </is>
      </c>
      <c r="B165" s="94" t="inlineStr">
        <is>
          <t>גבעול ב.מ אשדוד</t>
        </is>
      </c>
      <c r="C165" s="111" t="n">
        <v>262.4</v>
      </c>
      <c r="D165" s="111" t="n">
        <v>0</v>
      </c>
    </row>
    <row r="166" ht="15" customHeight="1" s="82">
      <c r="A166" s="94" t="inlineStr">
        <is>
          <t>0בתי מרקחת</t>
        </is>
      </c>
      <c r="B166" s="94" t="inlineStr">
        <is>
          <t>היי פארם אשקלון בע""מ ב.מ</t>
        </is>
      </c>
      <c r="C166" s="111" t="n">
        <v>0</v>
      </c>
      <c r="D166" s="111" t="n">
        <v>4575.6</v>
      </c>
    </row>
    <row r="167" ht="15" customHeight="1" s="82">
      <c r="A167" s="94" t="inlineStr">
        <is>
          <t>0בתי מרקחת</t>
        </is>
      </c>
      <c r="B167" s="94" t="inlineStr">
        <is>
          <t>בימר""ק תל חי אשדוד</t>
        </is>
      </c>
      <c r="C167" s="111" t="n">
        <v>5721.7</v>
      </c>
      <c r="D167" s="111" t="n">
        <v>5259.3</v>
      </c>
    </row>
    <row r="168" ht="15" customHeight="1" s="82">
      <c r="A168" s="94" t="inlineStr">
        <is>
          <t>0בתי מרקחת</t>
        </is>
      </c>
      <c r="B168" s="94" t="inlineStr">
        <is>
          <t>אלפא פארם רהט ב.מ</t>
        </is>
      </c>
      <c r="C168" s="111" t="n">
        <v>6961.6</v>
      </c>
      <c r="D168" s="111" t="n">
        <v>3433.6</v>
      </c>
    </row>
    <row r="169" ht="15" customHeight="1" s="82">
      <c r="A169" s="94" t="inlineStr">
        <is>
          <t>0בתי מרקחת</t>
        </is>
      </c>
      <c r="B169" s="94" t="inlineStr">
        <is>
          <t>אלנור כסיפה ב.מ</t>
        </is>
      </c>
      <c r="C169" s="111" t="n">
        <v>295.4</v>
      </c>
      <c r="D169" s="111" t="n">
        <v>79.59999999999999</v>
      </c>
    </row>
    <row r="170" ht="15" customHeight="1" s="82">
      <c r="A170" s="94" t="inlineStr">
        <is>
          <t>0בתי מרקחת</t>
        </is>
      </c>
      <c r="B170" s="94" t="inlineStr">
        <is>
          <t>אלפא ב.ד.ו פארם ערד בימר""ק</t>
        </is>
      </c>
      <c r="C170" s="111" t="n">
        <v>9420.6</v>
      </c>
      <c r="D170" s="111" t="n">
        <v>12868.5</v>
      </c>
    </row>
    <row r="171" ht="15" customHeight="1" s="82">
      <c r="A171" s="94" t="inlineStr">
        <is>
          <t>0בתי מרקחת</t>
        </is>
      </c>
      <c r="B171" s="94" t="inlineStr">
        <is>
          <t>אדם פארם תל שבע ב.מ</t>
        </is>
      </c>
      <c r="C171" s="111" t="n">
        <v>3969.1</v>
      </c>
      <c r="D171" s="111" t="n">
        <v>1940.2</v>
      </c>
    </row>
    <row r="172" ht="15" customHeight="1" s="82">
      <c r="A172" s="94" t="inlineStr">
        <is>
          <t>0בתי מרקחת</t>
        </is>
      </c>
      <c r="B172" s="94" t="inlineStr">
        <is>
          <t>הסנה מרפא ב.מ באר שבע</t>
        </is>
      </c>
      <c r="C172" s="111" t="n">
        <v>0</v>
      </c>
      <c r="D172" s="111" t="n">
        <v>0</v>
      </c>
    </row>
    <row r="173" ht="15" customHeight="1" s="82">
      <c r="A173" s="94" t="inlineStr">
        <is>
          <t>0בתי מרקחת</t>
        </is>
      </c>
      <c r="B173" s="94" t="inlineStr">
        <is>
          <t>הסנה מרפא ב.מ קרית גת</t>
        </is>
      </c>
      <c r="C173" s="111" t="n">
        <v>0</v>
      </c>
      <c r="D173" s="111" t="n">
        <v>0</v>
      </c>
    </row>
    <row r="174" ht="15" customHeight="1" s="82">
      <c r="A174" s="94" t="inlineStr">
        <is>
          <t>0בתי מרקחת</t>
        </is>
      </c>
      <c r="B174" s="94" t="inlineStr">
        <is>
          <t>פיור פארם חורה בימר""ק</t>
        </is>
      </c>
      <c r="C174" s="111" t="n">
        <v>5934.4</v>
      </c>
      <c r="D174" s="111" t="n">
        <v>4960.8</v>
      </c>
    </row>
    <row r="175" ht="15" customHeight="1" s="82">
      <c r="A175" s="94" t="inlineStr">
        <is>
          <t>0בתי מרקחת</t>
        </is>
      </c>
      <c r="B175" s="94" t="inlineStr">
        <is>
          <t>תל שבע פארם ב.מ</t>
        </is>
      </c>
      <c r="C175" s="111" t="n">
        <v>0</v>
      </c>
      <c r="D175" s="111" t="n">
        <v>0</v>
      </c>
    </row>
    <row r="176" ht="15" customHeight="1" s="82">
      <c r="A176" s="94" t="inlineStr">
        <is>
          <t>0בתי מרקחת</t>
        </is>
      </c>
      <c r="B176" s="94" t="inlineStr">
        <is>
          <t>פארמה 4 יו בע""מ בת ים ב.מ</t>
        </is>
      </c>
      <c r="C176" s="111" t="n">
        <v>217.4</v>
      </c>
      <c r="D176" s="111" t="n">
        <v>84.2</v>
      </c>
    </row>
    <row r="177" ht="15" customHeight="1" s="82">
      <c r="A177" s="94" t="inlineStr">
        <is>
          <t>0בתי מרקחת</t>
        </is>
      </c>
      <c r="B177" s="94" t="inlineStr">
        <is>
          <t>תלתן בת ים ב.מ</t>
        </is>
      </c>
      <c r="C177" s="111" t="n">
        <v>-775.3</v>
      </c>
      <c r="D177" s="111" t="n">
        <v>26.2</v>
      </c>
    </row>
    <row r="178" ht="15" customHeight="1" s="82">
      <c r="A178" s="94" t="inlineStr">
        <is>
          <t>0בתי מרקחת</t>
        </is>
      </c>
      <c r="B178" s="94" t="inlineStr">
        <is>
          <t>הר פארם 2021 בע""מ עין ראפה בימ</t>
        </is>
      </c>
      <c r="C178" s="111" t="n">
        <v>4351.7</v>
      </c>
      <c r="D178" s="111" t="n">
        <v>3716.5</v>
      </c>
    </row>
    <row r="179" ht="15" customHeight="1" s="82">
      <c r="A179" s="94" t="inlineStr">
        <is>
          <t>0בתי מרקחת</t>
        </is>
      </c>
      <c r="B179" s="94" t="inlineStr">
        <is>
          <t>פאי פארם בע""מ ב.מ</t>
        </is>
      </c>
      <c r="C179" s="111" t="n">
        <v>0</v>
      </c>
      <c r="D179" s="111" t="n">
        <v>0</v>
      </c>
    </row>
    <row r="180" ht="15" customHeight="1" s="82">
      <c r="A180" s="94" t="inlineStr">
        <is>
          <t>0בתי מרקחת</t>
        </is>
      </c>
      <c r="B180" s="94" t="inlineStr">
        <is>
          <t>מדיקאנה פארם טייבה ב.מ</t>
        </is>
      </c>
      <c r="C180" s="111" t="n">
        <v>807.4</v>
      </c>
      <c r="D180" s="111" t="n">
        <v>3276.8</v>
      </c>
    </row>
    <row r="181" ht="15" customHeight="1" s="82">
      <c r="A181" s="94" t="inlineStr">
        <is>
          <t>0בתי מרקחת</t>
        </is>
      </c>
      <c r="B181" s="94" t="inlineStr">
        <is>
          <t>ג'יני פארם בע""מ ב.מ מודיעין</t>
        </is>
      </c>
      <c r="C181" s="111" t="n">
        <v>463.2</v>
      </c>
      <c r="D181" s="111" t="n">
        <v>50.4</v>
      </c>
    </row>
    <row r="182" ht="15" customHeight="1" s="82">
      <c r="A182" s="94" t="inlineStr">
        <is>
          <t>0בתי מרקחת</t>
        </is>
      </c>
      <c r="B182" s="94" t="inlineStr">
        <is>
          <t>המכבים ב.מ מודיעין</t>
        </is>
      </c>
      <c r="C182" s="111" t="n">
        <v>0</v>
      </c>
      <c r="D182" s="111" t="n">
        <v>3382</v>
      </c>
    </row>
    <row r="183" ht="15" customHeight="1" s="82">
      <c r="A183" s="94" t="inlineStr">
        <is>
          <t>0בתי מרקחת</t>
        </is>
      </c>
      <c r="B183" s="94" t="inlineStr">
        <is>
          <t>לאון פארם פ""ת ב.מ</t>
        </is>
      </c>
      <c r="C183" s="111" t="n">
        <v>0</v>
      </c>
      <c r="D183" s="111" t="n">
        <v>0</v>
      </c>
    </row>
    <row r="184" ht="15" customHeight="1" s="82">
      <c r="A184" s="94" t="inlineStr">
        <is>
          <t>0בתי מרקחת</t>
        </is>
      </c>
      <c r="B184" s="94" t="inlineStr">
        <is>
          <t>הרצל ראשל""צ ב.מ</t>
        </is>
      </c>
      <c r="C184" s="111" t="n">
        <v>0</v>
      </c>
      <c r="D184" s="111" t="n">
        <v>0</v>
      </c>
    </row>
    <row r="185" ht="15" customHeight="1" s="82">
      <c r="A185" s="94" t="inlineStr">
        <is>
          <t>0בתי מרקחת</t>
        </is>
      </c>
      <c r="B185" s="94" t="inlineStr">
        <is>
          <t>גבעול דהשליט הרצליה ב.מ</t>
        </is>
      </c>
      <c r="C185" s="111" t="n">
        <v>13418.4</v>
      </c>
      <c r="D185" s="111" t="n">
        <v>11997.5</v>
      </c>
    </row>
    <row r="186" ht="15" customHeight="1" s="82">
      <c r="A186" s="94" t="inlineStr">
        <is>
          <t>0בתי מרקחת</t>
        </is>
      </c>
      <c r="B186" s="94" t="inlineStr">
        <is>
          <t>ב.מ נווה עופר פארמה בע""מ</t>
        </is>
      </c>
      <c r="C186" s="111" t="n">
        <v>20.1</v>
      </c>
      <c r="D186" s="111" t="n">
        <v>0</v>
      </c>
    </row>
    <row r="187" ht="15" customHeight="1" s="82">
      <c r="A187" s="94" t="inlineStr">
        <is>
          <t>0בתי מרקחת</t>
        </is>
      </c>
      <c r="B187" s="94" t="inlineStr">
        <is>
          <t>(בימר""ק עץ החיים ת""א )כאן עולם</t>
        </is>
      </c>
      <c r="C187" s="111" t="n">
        <v>2921.8</v>
      </c>
      <c r="D187" s="111" t="n">
        <v>5446.5</v>
      </c>
    </row>
    <row r="188" ht="15" customHeight="1" s="82">
      <c r="A188" s="94" t="inlineStr">
        <is>
          <t>0בתי מרקחת</t>
        </is>
      </c>
      <c r="B188" s="94" t="inlineStr">
        <is>
          <t>א.ש שאוסקר פארם ב.מ חיפה</t>
        </is>
      </c>
      <c r="C188" s="111" t="n">
        <v>1849.6</v>
      </c>
      <c r="D188" s="111" t="n">
        <v>0</v>
      </c>
    </row>
    <row r="189" ht="15" customHeight="1" s="82">
      <c r="A189" s="94" t="inlineStr">
        <is>
          <t>0בתי מרקחת</t>
        </is>
      </c>
      <c r="B189" s="94" t="inlineStr">
        <is>
          <t>גריןפארם בע""מ עפולה ב.מ</t>
        </is>
      </c>
      <c r="C189" s="111" t="n">
        <v>132.3</v>
      </c>
      <c r="D189" s="111" t="n">
        <v>0</v>
      </c>
    </row>
    <row r="190" ht="15" customHeight="1" s="82">
      <c r="A190" s="94" t="inlineStr">
        <is>
          <t>0בתי מרקחת</t>
        </is>
      </c>
      <c r="B190" s="94" t="inlineStr">
        <is>
          <t>גולדה פארם חיפה ב.מ</t>
        </is>
      </c>
      <c r="C190" s="111" t="n">
        <v>3704.9</v>
      </c>
      <c r="D190" s="111" t="n">
        <v>2149.9</v>
      </c>
    </row>
    <row r="191" ht="15" customHeight="1" s="82">
      <c r="A191" s="94" t="inlineStr">
        <is>
          <t>0בתי מרקחת</t>
        </is>
      </c>
      <c r="B191" s="94" t="inlineStr">
        <is>
          <t>היי פארם חיפה ב.מ</t>
        </is>
      </c>
      <c r="C191" s="111" t="n">
        <v>0</v>
      </c>
      <c r="D191" s="111" t="n">
        <v>0</v>
      </c>
    </row>
    <row r="192" ht="15" customHeight="1" s="82">
      <c r="A192" s="94" t="inlineStr">
        <is>
          <t>0בתי מרקחת</t>
        </is>
      </c>
      <c r="B192" s="94" t="inlineStr">
        <is>
          <t>הסנה מרפא ב.מ חיפה</t>
        </is>
      </c>
      <c r="C192" s="111" t="n">
        <v>2932.9</v>
      </c>
      <c r="D192" s="111" t="n">
        <v>2868</v>
      </c>
    </row>
    <row r="193" ht="15" customHeight="1" s="82">
      <c r="A193" s="94" t="inlineStr">
        <is>
          <t>0בתי מרקחת</t>
        </is>
      </c>
      <c r="B193" s="94" t="inlineStr">
        <is>
          <t>חניתה ב.מ חיפה</t>
        </is>
      </c>
      <c r="C193" s="111" t="n">
        <v>19360.2</v>
      </c>
      <c r="D193" s="111" t="n">
        <v>11268</v>
      </c>
    </row>
    <row r="194" ht="15" customHeight="1" s="82">
      <c r="A194" s="94" t="inlineStr">
        <is>
          <t>0בתי מרקחת</t>
        </is>
      </c>
      <c r="B194" s="94" t="inlineStr">
        <is>
          <t>כרמל פארם חריש ב.מ</t>
        </is>
      </c>
      <c r="C194" s="111" t="n">
        <v>7814.6</v>
      </c>
      <c r="D194" s="111" t="n">
        <v>499.3</v>
      </c>
    </row>
    <row r="195" ht="15" customHeight="1" s="82">
      <c r="A195" s="94" t="inlineStr">
        <is>
          <t>0בתי מרקחת</t>
        </is>
      </c>
      <c r="B195" s="94" t="inlineStr">
        <is>
          <t>לאון פארם כרמל בית מרקחת</t>
        </is>
      </c>
      <c r="C195" s="111" t="n">
        <v>453.4</v>
      </c>
      <c r="D195" s="111" t="n">
        <v>401.3</v>
      </c>
    </row>
    <row r="196" ht="15" customHeight="1" s="82">
      <c r="A196" s="94" t="inlineStr">
        <is>
          <t>0בתי מרקחת</t>
        </is>
      </c>
      <c r="B196" s="94" t="inlineStr">
        <is>
          <t>לאנא פארם ב.מ כפר ג'ת חדש</t>
        </is>
      </c>
      <c r="C196" s="111" t="n">
        <v>11325.4</v>
      </c>
      <c r="D196" s="111" t="n">
        <v>17291</v>
      </c>
    </row>
    <row r="197" ht="15" customHeight="1" s="82">
      <c r="A197" s="94" t="inlineStr">
        <is>
          <t>0בתי מרקחת</t>
        </is>
      </c>
      <c r="B197" s="94" t="inlineStr">
        <is>
          <t>מאי פארם חורפיש ב.מ</t>
        </is>
      </c>
      <c r="C197" s="111" t="n">
        <v>2386.9</v>
      </c>
      <c r="D197" s="111" t="n">
        <v>3950.6</v>
      </c>
    </row>
    <row r="198" ht="15" customHeight="1" s="82">
      <c r="A198" s="94" t="inlineStr">
        <is>
          <t>0בתי מרקחת</t>
        </is>
      </c>
      <c r="B198" s="94" t="inlineStr">
        <is>
          <t>משהד פארם ב.מ כפר משהד</t>
        </is>
      </c>
      <c r="C198" s="111" t="n">
        <v>2316.8</v>
      </c>
      <c r="D198" s="111" t="n">
        <v>3680.4</v>
      </c>
    </row>
    <row r="199" ht="15" customHeight="1" s="82">
      <c r="A199" s="94" t="inlineStr">
        <is>
          <t>0בתי מרקחת</t>
        </is>
      </c>
      <c r="B199" s="94" t="inlineStr">
        <is>
          <t>מעוז פארם חיפה ב.מ</t>
        </is>
      </c>
      <c r="C199" s="111" t="n">
        <v>6573.7</v>
      </c>
      <c r="D199" s="111" t="n">
        <v>5765.8</v>
      </c>
    </row>
    <row r="200" ht="15" customHeight="1" s="82">
      <c r="A200" s="94" t="inlineStr">
        <is>
          <t>0בתי מרקחת</t>
        </is>
      </c>
      <c r="B200" s="94" t="inlineStr">
        <is>
          <t>""סיידליתי מאי פארם סח'נין בימר</t>
        </is>
      </c>
      <c r="C200" s="111" t="n">
        <v>7265.6</v>
      </c>
      <c r="D200" s="111" t="n">
        <v>4105</v>
      </c>
    </row>
    <row r="201" ht="15" customHeight="1" s="82">
      <c r="A201" s="94" t="inlineStr">
        <is>
          <t>0בתי מרקחת</t>
        </is>
      </c>
      <c r="B201" s="94" t="inlineStr">
        <is>
          <t>עלאדין ד.אל כרמל ב.מ</t>
        </is>
      </c>
      <c r="C201" s="111" t="n">
        <v>3708.8</v>
      </c>
      <c r="D201" s="111" t="n">
        <v>0</v>
      </c>
    </row>
    <row r="202" ht="15" customHeight="1" s="82">
      <c r="A202" s="94" t="inlineStr">
        <is>
          <t>0בתי מרקחת</t>
        </is>
      </c>
      <c r="B202" s="94" t="inlineStr">
        <is>
          <t>פארמסיה כפר נחף ב.מ</t>
        </is>
      </c>
      <c r="C202" s="111" t="n">
        <v>0</v>
      </c>
      <c r="D202" s="111" t="n">
        <v>0</v>
      </c>
    </row>
    <row r="203" ht="15" customHeight="1" s="82">
      <c r="A203" s="94" t="inlineStr">
        <is>
          <t>0בתי מרקחת</t>
        </is>
      </c>
      <c r="B203" s="94" t="inlineStr">
        <is>
          <t>.קלאב פארם שלי בנימינה ב.מ</t>
        </is>
      </c>
      <c r="C203" s="111" t="n">
        <v>0</v>
      </c>
      <c r="D203" s="111" t="n">
        <v>0</v>
      </c>
    </row>
    <row r="204" ht="15" customHeight="1" s="82">
      <c r="A204" s="94" t="inlineStr">
        <is>
          <t>0בתי מרקחת</t>
        </is>
      </c>
      <c r="B204" s="94" t="inlineStr">
        <is>
          <t>אלחאכמה פארם ב.מ שגב שלום</t>
        </is>
      </c>
      <c r="C204" s="111" t="n">
        <v>2128.5</v>
      </c>
      <c r="D204" s="111" t="n">
        <v>0</v>
      </c>
    </row>
    <row r="205" ht="15" customHeight="1" s="82">
      <c r="A205" s="94" t="inlineStr">
        <is>
          <t>0בתי מרקחת</t>
        </is>
      </c>
      <c r="B205" s="94" t="inlineStr">
        <is>
          <t>בית מרקחת אבן סינא</t>
        </is>
      </c>
      <c r="C205" s="111" t="n">
        <v>0</v>
      </c>
      <c r="D205" s="111" t="n">
        <v>4027.5</v>
      </c>
    </row>
    <row r="206" ht="15" customHeight="1" s="82">
      <c r="A206" s="94" t="inlineStr">
        <is>
          <t>0בתי מרקחת</t>
        </is>
      </c>
      <c r="B206" s="94" t="inlineStr">
        <is>
          <t>.מדיקיור פארם בע""מ ב.מ</t>
        </is>
      </c>
      <c r="C206" s="111" t="n">
        <v>1364.1</v>
      </c>
      <c r="D206" s="111" t="n">
        <v>7684.8</v>
      </c>
    </row>
    <row r="207" ht="15" customHeight="1" s="82">
      <c r="A207" s="94" t="inlineStr">
        <is>
          <t>0בתי מרקחת</t>
        </is>
      </c>
      <c r="B207" s="94" t="inlineStr">
        <is>
          <t>פיור פארם רהט בימר""ק</t>
        </is>
      </c>
      <c r="C207" s="111" t="n">
        <v>0</v>
      </c>
      <c r="D207" s="111" t="n">
        <v>367.7</v>
      </c>
    </row>
    <row r="208" ht="15" customHeight="1" s="82">
      <c r="A208" s="94" t="inlineStr">
        <is>
          <t>0בתי מרקחת</t>
        </is>
      </c>
      <c r="B208" s="94" t="inlineStr">
        <is>
          <t>פנו פארם ק.בן גוריון חולון</t>
        </is>
      </c>
      <c r="C208" s="111" t="n">
        <v>0</v>
      </c>
      <c r="D208" s="111" t="n">
        <v>11290.3</v>
      </c>
    </row>
    <row r="209" ht="15" customHeight="1" s="82">
      <c r="A209" s="94" t="inlineStr">
        <is>
          <t>0בתי מרקחת</t>
        </is>
      </c>
      <c r="B209" s="94" t="inlineStr">
        <is>
          <t>רמת אליהו ראשל""צ-מ.ח.ט בתי מרק</t>
        </is>
      </c>
      <c r="C209" s="111" t="n">
        <v>0</v>
      </c>
      <c r="D209" s="111" t="n">
        <v>0</v>
      </c>
    </row>
    <row r="210" ht="15" customHeight="1" s="82">
      <c r="A210" s="94" t="inlineStr">
        <is>
          <t>0בתי מרקחת</t>
        </is>
      </c>
      <c r="B210" s="94" t="inlineStr">
        <is>
          <t>אל משאהד ב.מ ירושלים</t>
        </is>
      </c>
      <c r="C210" s="111" t="n">
        <v>32349.8</v>
      </c>
      <c r="D210" s="111" t="n">
        <v>28722.5</v>
      </c>
    </row>
    <row r="211" ht="15" customHeight="1" s="82">
      <c r="A211" s="94" t="inlineStr">
        <is>
          <t>0בתי מרקחת</t>
        </is>
      </c>
      <c r="B211" s="94" t="inlineStr">
        <is>
          <t>ברוש מ.אדומים ב.מ</t>
        </is>
      </c>
      <c r="C211" s="111" t="n">
        <v>920.8</v>
      </c>
      <c r="D211" s="111" t="n">
        <v>36.5</v>
      </c>
    </row>
    <row r="212" ht="15" customHeight="1" s="82">
      <c r="A212" s="94" t="inlineStr">
        <is>
          <t>0בתי מרקחת</t>
        </is>
      </c>
      <c r="B212" s="94" t="inlineStr">
        <is>
          <t>הסנא מרפא גוש עציון ב.מ</t>
        </is>
      </c>
      <c r="C212" s="111" t="n">
        <v>14348.7</v>
      </c>
      <c r="D212" s="111" t="n">
        <v>22073.2</v>
      </c>
    </row>
    <row r="213" ht="15" customHeight="1" s="82">
      <c r="A213" s="94" t="inlineStr">
        <is>
          <t>0בתי מרקחת</t>
        </is>
      </c>
      <c r="B213" s="94" t="inlineStr">
        <is>
          <t>וי פארם מ.נ.י.ו שיווק והפצה מב</t>
        </is>
      </c>
      <c r="C213" s="111" t="n">
        <v>1860.9</v>
      </c>
      <c r="D213" s="111" t="n">
        <v>0</v>
      </c>
    </row>
    <row r="214" ht="15" customHeight="1" s="82">
      <c r="A214" s="94" t="inlineStr">
        <is>
          <t>0בתי מרקחת</t>
        </is>
      </c>
      <c r="B214" s="94" t="inlineStr">
        <is>
          <t>חבש ירושלים ב.מ</t>
        </is>
      </c>
      <c r="C214" s="111" t="n">
        <v>9206.200000000001</v>
      </c>
      <c r="D214" s="111" t="n">
        <v>17871.5</v>
      </c>
    </row>
    <row r="215" ht="15" customHeight="1" s="82">
      <c r="A215" s="94" t="inlineStr">
        <is>
          <t>0בתי מרקחת</t>
        </is>
      </c>
      <c r="B215" s="94" t="inlineStr">
        <is>
          <t>טייבה GREEN PHARMACIA ב.מ</t>
        </is>
      </c>
      <c r="C215" s="111" t="n">
        <v>1419.7</v>
      </c>
      <c r="D215" s="111" t="n">
        <v>758.9</v>
      </c>
    </row>
    <row r="216" ht="15" customHeight="1" s="82">
      <c r="A216" s="94" t="inlineStr">
        <is>
          <t>0בתי מרקחת</t>
        </is>
      </c>
      <c r="B216" s="94" t="inlineStr">
        <is>
          <t>גלעד דטי בתי מרקחת  כפר סבא</t>
        </is>
      </c>
      <c r="C216" s="111" t="n">
        <v>0</v>
      </c>
      <c r="D216" s="111" t="n">
        <v>0</v>
      </c>
    </row>
    <row r="217" ht="15" customHeight="1" s="82">
      <c r="A217" s="94" t="inlineStr">
        <is>
          <t>0בתי מרקחת</t>
        </is>
      </c>
      <c r="B217" s="94" t="inlineStr">
        <is>
          <t>בימר""ק השרון הוד השרון )ג.מ פא</t>
        </is>
      </c>
      <c r="C217" s="111" t="n">
        <v>0</v>
      </c>
      <c r="D217" s="111" t="n">
        <v>0</v>
      </c>
    </row>
    <row r="218" ht="15" customHeight="1" s="82">
      <c r="A218" s="94" t="inlineStr">
        <is>
          <t>0בתי מרקחת</t>
        </is>
      </c>
      <c r="B218" s="94" t="inlineStr">
        <is>
          <t>גילי תל מונד )פארם פלוס( ב.מ</t>
        </is>
      </c>
      <c r="C218" s="111" t="n">
        <v>0</v>
      </c>
      <c r="D218" s="111" t="n">
        <v>208.9</v>
      </c>
    </row>
    <row r="219" ht="15" customHeight="1" s="82">
      <c r="A219" s="94" t="inlineStr">
        <is>
          <t>0בתי מרקחת</t>
        </is>
      </c>
      <c r="B219" s="94" t="inlineStr">
        <is>
          <t>אבשלום אשכול פארם בית מרקחת</t>
        </is>
      </c>
      <c r="C219" s="111" t="n">
        <v>10542.1</v>
      </c>
      <c r="D219" s="111" t="n">
        <v>3133</v>
      </c>
    </row>
    <row r="220" ht="15" customHeight="1" s="82">
      <c r="A220" s="94" t="inlineStr">
        <is>
          <t>0בתי מרקחת</t>
        </is>
      </c>
      <c r="B220" s="94" t="inlineStr">
        <is>
          <t>א.קאר פארם כפר יונה ב.מ</t>
        </is>
      </c>
      <c r="C220" s="111" t="n">
        <v>0</v>
      </c>
      <c r="D220" s="111" t="n">
        <v>1179.6</v>
      </c>
    </row>
    <row r="221" ht="15" customHeight="1" s="82">
      <c r="A221" s="94" t="inlineStr">
        <is>
          <t>0בתי מרקחת</t>
        </is>
      </c>
      <c r="B221" s="94" t="inlineStr">
        <is>
          <t>ב.מ א.קאר פארם גאנם פארם בע""מ</t>
        </is>
      </c>
      <c r="C221" s="111" t="n">
        <v>0</v>
      </c>
      <c r="D221" s="111" t="n">
        <v>2549</v>
      </c>
    </row>
    <row r="222" ht="15" customHeight="1" s="82">
      <c r="A222" s="94" t="inlineStr">
        <is>
          <t>0בתי מרקחת</t>
        </is>
      </c>
      <c r="B222" s="94" t="inlineStr">
        <is>
          <t>סינא פרדסיה ב.מ</t>
        </is>
      </c>
      <c r="C222" s="111" t="n">
        <v>2639.1</v>
      </c>
      <c r="D222" s="111" t="n">
        <v>2588.8</v>
      </c>
    </row>
    <row r="223" ht="15" customHeight="1" s="82">
      <c r="A223" s="94" t="inlineStr">
        <is>
          <t>0בתי מרקחת</t>
        </is>
      </c>
      <c r="B223" s="94" t="inlineStr">
        <is>
          <t>ב.מ נווה חוף ראשל""צ</t>
        </is>
      </c>
      <c r="C223" s="111" t="n">
        <v>0</v>
      </c>
      <c r="D223" s="111" t="n">
        <v>0</v>
      </c>
    </row>
    <row r="224" ht="15" customHeight="1" s="82">
      <c r="A224" s="94" t="inlineStr">
        <is>
          <t>0בתי מרקחת</t>
        </is>
      </c>
      <c r="B224" s="94" t="inlineStr">
        <is>
          <t>יקיר הרצליה ב.מ</t>
        </is>
      </c>
      <c r="C224" s="111" t="n">
        <v>0</v>
      </c>
      <c r="D224" s="111" t="n">
        <v>159.3</v>
      </c>
    </row>
    <row r="225" ht="15" customHeight="1" s="82">
      <c r="A225" s="94" t="inlineStr">
        <is>
          <t>0בתי מרקחת</t>
        </is>
      </c>
      <c r="B225" s="94" t="inlineStr">
        <is>
          <t>ש.ש.מונטי רמה""ש בע""מ</t>
        </is>
      </c>
      <c r="C225" s="111" t="n">
        <v>0</v>
      </c>
      <c r="D225" s="111" t="n">
        <v>0</v>
      </c>
    </row>
    <row r="226" ht="15" customHeight="1" s="82">
      <c r="A226" s="94" t="inlineStr">
        <is>
          <t>0בתי מרקחת</t>
        </is>
      </c>
      <c r="B226" s="94" t="inlineStr">
        <is>
          <t>אלול פארם נחף ב.מ</t>
        </is>
      </c>
      <c r="C226" s="111" t="n">
        <v>1908.4</v>
      </c>
      <c r="D226" s="111" t="n">
        <v>5115.1</v>
      </c>
    </row>
    <row r="227" ht="15" customHeight="1" s="82">
      <c r="A227" s="94" t="inlineStr">
        <is>
          <t>0בתי מרקחת</t>
        </is>
      </c>
      <c r="B227" s="94" t="inlineStr">
        <is>
          <t>אולגה פארם בע""מ ב.מ</t>
        </is>
      </c>
      <c r="C227" s="111" t="n">
        <v>0</v>
      </c>
      <c r="D227" s="111" t="n">
        <v>3661.9</v>
      </c>
    </row>
    <row r="228" ht="15" customHeight="1" s="82">
      <c r="A228" s="94" t="inlineStr">
        <is>
          <t>0בתי מרקחת</t>
        </is>
      </c>
      <c r="B228" s="94" t="inlineStr">
        <is>
          <t>אמל פארם בע""מ</t>
        </is>
      </c>
      <c r="C228" s="111" t="n">
        <v>0</v>
      </c>
      <c r="D228" s="111" t="n">
        <v>1718.3</v>
      </c>
    </row>
    <row r="229" ht="15" customHeight="1" s="82">
      <c r="A229" s="94" t="inlineStr">
        <is>
          <t>0בתי מרקחת</t>
        </is>
      </c>
      <c r="B229" s="94" t="inlineStr">
        <is>
          <t>ארמון בע""מ רמת ספיר</t>
        </is>
      </c>
      <c r="C229" s="111" t="n">
        <v>4561.7</v>
      </c>
      <c r="D229" s="111" t="n">
        <v>0</v>
      </c>
    </row>
    <row r="230" ht="15" customHeight="1" s="82">
      <c r="A230" s="94" t="inlineStr">
        <is>
          <t>0בתי מרקחת</t>
        </is>
      </c>
      <c r="B230" s="94" t="inlineStr">
        <is>
          <t>ג'ת פארם ב.מ</t>
        </is>
      </c>
      <c r="C230" s="111" t="n">
        <v>4063.5</v>
      </c>
      <c r="D230" s="111" t="n">
        <v>4606</v>
      </c>
    </row>
    <row r="231" ht="15" customHeight="1" s="82">
      <c r="A231" s="94" t="inlineStr">
        <is>
          <t>0בתי מרקחת</t>
        </is>
      </c>
      <c r="B231" s="94" t="inlineStr">
        <is>
          <t>טוטאל פארם ב.מ ביתן אהרון</t>
        </is>
      </c>
      <c r="C231" s="111" t="n">
        <v>0</v>
      </c>
      <c r="D231" s="111" t="n">
        <v>0</v>
      </c>
    </row>
    <row r="232" ht="15" customHeight="1" s="82">
      <c r="A232" s="94" t="inlineStr">
        <is>
          <t>0בתי מרקחת</t>
        </is>
      </c>
      <c r="B232" s="94" t="inlineStr">
        <is>
          <t>ב.מ רימון פארם היסוד בע""מ )חדש</t>
        </is>
      </c>
      <c r="C232" s="111" t="n">
        <v>232.5</v>
      </c>
      <c r="D232" s="111" t="n">
        <v>395.8</v>
      </c>
    </row>
    <row r="233" ht="15" customHeight="1" s="82">
      <c r="A233" s="94" t="inlineStr">
        <is>
          <t>0בתי מרקחת</t>
        </is>
      </c>
      <c r="B233" s="94" t="inlineStr">
        <is>
          <t>כפר יאסיף ב.מ</t>
        </is>
      </c>
      <c r="C233" s="111" t="n">
        <v>0</v>
      </c>
      <c r="D233" s="111" t="n">
        <v>49.6</v>
      </c>
    </row>
    <row r="234" ht="15" customHeight="1" s="82">
      <c r="A234" s="94" t="inlineStr">
        <is>
          <t>0בתי מרקחת</t>
        </is>
      </c>
      <c r="B234" s="94" t="inlineStr">
        <is>
          <t>מגדים כרמיאל ב.מ  שרמפארם</t>
        </is>
      </c>
      <c r="C234" s="111" t="n">
        <v>2380.2</v>
      </c>
      <c r="D234" s="111" t="n">
        <v>2558.7</v>
      </c>
    </row>
    <row r="235" ht="15" customHeight="1" s="82">
      <c r="A235" s="94" t="inlineStr">
        <is>
          <t>0בתי מרקחת</t>
        </is>
      </c>
      <c r="B235" s="94" t="inlineStr">
        <is>
          <t>מרים פארם</t>
        </is>
      </c>
      <c r="C235" s="111" t="n">
        <v>0</v>
      </c>
      <c r="D235" s="111" t="n">
        <v>149.9</v>
      </c>
    </row>
    <row r="236" ht="15" customHeight="1" s="82">
      <c r="A236" s="94" t="inlineStr">
        <is>
          <t>0בתי מרקחת</t>
        </is>
      </c>
      <c r="B236" s="94" t="inlineStr">
        <is>
          <t>נור פארם כפר קרע ב.מ</t>
        </is>
      </c>
      <c r="C236" s="111" t="n">
        <v>49.1</v>
      </c>
      <c r="D236" s="111" t="n">
        <v>0</v>
      </c>
    </row>
    <row r="237" ht="15" customHeight="1" s="82">
      <c r="A237" s="94" t="inlineStr">
        <is>
          <t>0בתי מרקחת</t>
        </is>
      </c>
      <c r="B237" s="94" t="inlineStr">
        <is>
          <t>.פנטגון ק.מוצקין ב.מ</t>
        </is>
      </c>
      <c r="C237" s="111" t="n">
        <v>2057.3</v>
      </c>
      <c r="D237" s="111" t="n">
        <v>-43.1</v>
      </c>
    </row>
    <row r="238" ht="15" customHeight="1" s="82">
      <c r="A238" s="94" t="inlineStr">
        <is>
          <t>0בתי מרקחת</t>
        </is>
      </c>
      <c r="B238" s="94" t="inlineStr">
        <is>
          <t>פארמה פלוס ריינה ב.מ</t>
        </is>
      </c>
      <c r="C238" s="111" t="n">
        <v>3611.9</v>
      </c>
      <c r="D238" s="111" t="n">
        <v>1587.5</v>
      </c>
    </row>
    <row r="239" ht="15" customHeight="1" s="82">
      <c r="A239" s="94" t="inlineStr">
        <is>
          <t>0בתי מרקחת</t>
        </is>
      </c>
      <c r="B239" s="94" t="inlineStr">
        <is>
          <t>שפא פארם ב.מ סכנין</t>
        </is>
      </c>
      <c r="C239" s="111" t="n">
        <v>4291.3</v>
      </c>
      <c r="D239" s="111" t="n">
        <v>0</v>
      </c>
    </row>
    <row r="240" ht="15" customHeight="1" s="82">
      <c r="A240" s="94" t="inlineStr">
        <is>
          <t>0בתי מרקחת</t>
        </is>
      </c>
      <c r="B240" s="94" t="inlineStr">
        <is>
          <t>אריק פארם ב.מ מגדל העמק</t>
        </is>
      </c>
      <c r="C240" s="111" t="n">
        <v>188.7</v>
      </c>
      <c r="D240" s="111" t="n">
        <v>399</v>
      </c>
    </row>
    <row r="241" ht="15" customHeight="1" s="82">
      <c r="A241" s="94" t="inlineStr">
        <is>
          <t>0בתי מרקחת</t>
        </is>
      </c>
      <c r="B241" s="94" t="inlineStr">
        <is>
          <t>היפרכל היפרפאר</t>
        </is>
      </c>
      <c r="C241" s="111" t="n">
        <v>0</v>
      </c>
      <c r="D241" s="111" t="n">
        <v>0</v>
      </c>
    </row>
    <row r="242" ht="15" customHeight="1" s="82">
      <c r="A242" s="94" t="inlineStr">
        <is>
          <t>0בתי מרקחת</t>
        </is>
      </c>
      <c r="B242" s="94" t="inlineStr">
        <is>
          <t>ללא תרופות</t>
        </is>
      </c>
      <c r="C242" s="111" t="n">
        <v>478.4</v>
      </c>
      <c r="D242" s="111" t="n">
        <v>0</v>
      </c>
    </row>
    <row r="243" ht="15" customHeight="1" s="82">
      <c r="A243" s="94" t="inlineStr">
        <is>
          <t>0בתי מרקחת</t>
        </is>
      </c>
      <c r="B243" s="94" t="inlineStr">
        <is>
          <t>- י.ע.כלבו עידית</t>
        </is>
      </c>
      <c r="C243" s="111" t="n">
        <v>539.3</v>
      </c>
      <c r="D243" s="111" t="n">
        <v>0</v>
      </c>
    </row>
    <row r="244" ht="15" customHeight="1" s="82">
      <c r="A244" s="94" t="inlineStr">
        <is>
          <t>0בתי מרקחת</t>
        </is>
      </c>
      <c r="B244" s="94" t="inlineStr">
        <is>
          <t>י.ע.הדר יוסף</t>
        </is>
      </c>
      <c r="C244" s="111" t="n">
        <v>-60.9</v>
      </c>
      <c r="D244" s="111" t="n">
        <v>0</v>
      </c>
    </row>
    <row r="245" ht="15" customHeight="1" s="82">
      <c r="A245" s="94" t="inlineStr">
        <is>
          <t>מגזר ערבי</t>
        </is>
      </c>
      <c r="B245" s="94" t="inlineStr">
        <is>
          <t>אבו עזמי טירה ב.מ</t>
        </is>
      </c>
      <c r="C245" s="111" t="n">
        <v>8154.7</v>
      </c>
      <c r="D245" s="111" t="n">
        <v>3404.2</v>
      </c>
    </row>
    <row r="246" ht="15" customHeight="1" s="82">
      <c r="A246" s="94" t="inlineStr">
        <is>
          <t>מגזר ערבי</t>
        </is>
      </c>
      <c r="B246" s="94" t="inlineStr">
        <is>
          <t>אל מוכתאר כפר טורעאן ב.מ</t>
        </is>
      </c>
      <c r="C246" s="111" t="n">
        <v>0</v>
      </c>
      <c r="D246" s="111" t="n">
        <v>0</v>
      </c>
    </row>
    <row r="247" ht="15" customHeight="1" s="82">
      <c r="A247" s="94" t="inlineStr">
        <is>
          <t>מגזר ערבי</t>
        </is>
      </c>
      <c r="B247" s="94" t="inlineStr">
        <is>
          <t>אל מוכתאר כפר כנא ב.מ</t>
        </is>
      </c>
      <c r="C247" s="111" t="n">
        <v>2686.8</v>
      </c>
      <c r="D247" s="111" t="n">
        <v>0</v>
      </c>
    </row>
    <row r="248" ht="15" customHeight="1" s="82">
      <c r="A248" s="94" t="inlineStr">
        <is>
          <t>מגזר ערבי</t>
        </is>
      </c>
      <c r="B248" s="94" t="inlineStr">
        <is>
          <t>כרום פארם ב.מ</t>
        </is>
      </c>
      <c r="C248" s="111" t="n">
        <v>4165.8</v>
      </c>
      <c r="D248" s="111" t="n">
        <v>3837.7</v>
      </c>
    </row>
    <row r="249" ht="15" customHeight="1" s="82">
      <c r="A249" s="94" t="inlineStr">
        <is>
          <t>מגזר ערבי</t>
        </is>
      </c>
      <c r="B249" s="94" t="inlineStr">
        <is>
          <t>אבן סינא שפרעם ב.מ</t>
        </is>
      </c>
      <c r="C249" s="111" t="n">
        <v>4115.4</v>
      </c>
      <c r="D249" s="111" t="n">
        <v>0</v>
      </c>
    </row>
    <row r="250" ht="15" customHeight="1" s="82">
      <c r="A250" s="94" t="inlineStr">
        <is>
          <t>מגזר ערבי</t>
        </is>
      </c>
      <c r="B250" s="94" t="inlineStr">
        <is>
          <t>אלבלד פארם ב.מ טמרה</t>
        </is>
      </c>
      <c r="C250" s="111" t="n">
        <v>8219.9</v>
      </c>
      <c r="D250" s="111" t="n">
        <v>3296</v>
      </c>
    </row>
    <row r="251" ht="15" customHeight="1" s="82">
      <c r="A251" s="94" t="inlineStr">
        <is>
          <t>מגזר ערבי</t>
        </is>
      </c>
      <c r="B251" s="94" t="inlineStr">
        <is>
          <t>אל בלאד שפרעם ב.מ</t>
        </is>
      </c>
      <c r="C251" s="111" t="n">
        <v>2146.9</v>
      </c>
      <c r="D251" s="111" t="n">
        <v>2787.8</v>
      </c>
    </row>
    <row r="252" ht="15" customHeight="1" s="82">
      <c r="A252" s="94" t="inlineStr">
        <is>
          <t>מגזר ערבי</t>
        </is>
      </c>
      <c r="B252" s="94" t="inlineStr">
        <is>
          <t>אל שיפא שפרעם ב.מ</t>
        </is>
      </c>
      <c r="C252" s="111" t="n">
        <v>252</v>
      </c>
      <c r="D252" s="111" t="n">
        <v>0</v>
      </c>
    </row>
    <row r="253" ht="15" customHeight="1" s="82">
      <c r="A253" s="94" t="inlineStr">
        <is>
          <t>מגזר ערבי</t>
        </is>
      </c>
      <c r="B253" s="94" t="inlineStr">
        <is>
          <t>אלכאוכב כ.מע'אר ב.מ</t>
        </is>
      </c>
      <c r="C253" s="111" t="n">
        <v>357.7</v>
      </c>
      <c r="D253" s="111" t="n">
        <v>1593.7</v>
      </c>
    </row>
    <row r="254" ht="15" customHeight="1" s="82">
      <c r="A254" s="94" t="inlineStr">
        <is>
          <t>מגזר ערבי</t>
        </is>
      </c>
      <c r="B254" s="94" t="inlineStr">
        <is>
          <t>אלהאם פארם בענה ב.מ</t>
        </is>
      </c>
      <c r="C254" s="111" t="n">
        <v>0</v>
      </c>
      <c r="D254" s="111" t="n">
        <v>-0.9</v>
      </c>
    </row>
    <row r="255" ht="15" customHeight="1" s="82">
      <c r="A255" s="94" t="inlineStr">
        <is>
          <t>מגזר ערבי</t>
        </is>
      </c>
      <c r="B255" s="94" t="inlineStr">
        <is>
          <t>וואן פארם ב.מ מג'ד אל כרום</t>
        </is>
      </c>
      <c r="C255" s="111" t="n">
        <v>8208.299999999999</v>
      </c>
      <c r="D255" s="111" t="n">
        <v>5801.3</v>
      </c>
    </row>
    <row r="256" ht="15" customHeight="1" s="82">
      <c r="A256" s="94" t="inlineStr">
        <is>
          <t>מגזר ערבי</t>
        </is>
      </c>
      <c r="B256" s="94" t="inlineStr">
        <is>
          <t>חדאד פארם ח.הגלילית ב.מ</t>
        </is>
      </c>
      <c r="C256" s="111" t="n">
        <v>7458.5</v>
      </c>
      <c r="D256" s="111" t="n">
        <v>2040.7</v>
      </c>
    </row>
    <row r="257" ht="15" customHeight="1" s="82">
      <c r="A257" s="94" t="inlineStr">
        <is>
          <t>מגזר ערבי</t>
        </is>
      </c>
      <c r="B257" s="94" t="inlineStr">
        <is>
          <t>חמדאן פארם ב.מ</t>
        </is>
      </c>
      <c r="C257" s="111" t="n">
        <v>5068.4</v>
      </c>
      <c r="D257" s="111" t="n">
        <v>826.4</v>
      </c>
    </row>
    <row r="258" ht="15" customHeight="1" s="82">
      <c r="A258" s="94" t="inlineStr">
        <is>
          <t>מגזר ערבי</t>
        </is>
      </c>
      <c r="B258" s="94" t="inlineStr">
        <is>
          <t>הצפון כפר סמיע ב.מ חדש</t>
        </is>
      </c>
      <c r="C258" s="111" t="n">
        <v>9723.799999999999</v>
      </c>
      <c r="D258" s="111" t="n">
        <v>4425.2</v>
      </c>
    </row>
    <row r="259" ht="15" customHeight="1" s="82">
      <c r="A259" s="94" t="inlineStr">
        <is>
          <t>מגזר ערבי</t>
        </is>
      </c>
      <c r="B259" s="94" t="inlineStr">
        <is>
          <t>יולי פארם-ב.מכפר מג'אר</t>
        </is>
      </c>
      <c r="C259" s="111" t="n">
        <v>0</v>
      </c>
      <c r="D259" s="111" t="n">
        <v>0</v>
      </c>
    </row>
    <row r="260" ht="15" customHeight="1" s="82">
      <c r="A260" s="94" t="inlineStr">
        <is>
          <t>מגזר ערבי</t>
        </is>
      </c>
      <c r="B260" s="94" t="inlineStr">
        <is>
          <t>מדיקל פארם-ראמה  ב.מ</t>
        </is>
      </c>
      <c r="C260" s="111" t="n">
        <v>1186.1</v>
      </c>
      <c r="D260" s="111" t="n">
        <v>1738.4</v>
      </c>
    </row>
    <row r="261" ht="15" customHeight="1" s="82">
      <c r="A261" s="94" t="inlineStr">
        <is>
          <t>מגזר ערבי</t>
        </is>
      </c>
      <c r="B261" s="94" t="inlineStr">
        <is>
          <t>סכנין בע""מ ב.מ</t>
        </is>
      </c>
      <c r="C261" s="111" t="n">
        <v>0</v>
      </c>
      <c r="D261" s="111" t="n">
        <v>0</v>
      </c>
    </row>
    <row r="262" ht="15" customHeight="1" s="82">
      <c r="A262" s="94" t="inlineStr">
        <is>
          <t>מגזר ערבי</t>
        </is>
      </c>
      <c r="B262" s="94" t="inlineStr">
        <is>
          <t>ספואן ב.מ שפרעם</t>
        </is>
      </c>
      <c r="C262" s="111" t="n">
        <v>8908.4</v>
      </c>
      <c r="D262" s="111" t="n">
        <v>5267.1</v>
      </c>
    </row>
    <row r="263" ht="15" customHeight="1" s="82">
      <c r="A263" s="94" t="inlineStr">
        <is>
          <t>מגזר ערבי</t>
        </is>
      </c>
      <c r="B263" s="94" t="inlineStr">
        <is>
          <t>עילוט ב.מ</t>
        </is>
      </c>
      <c r="C263" s="111" t="n">
        <v>0</v>
      </c>
      <c r="D263" s="111" t="n">
        <v>0</v>
      </c>
    </row>
    <row r="264" ht="15" customHeight="1" s="82">
      <c r="A264" s="94" t="inlineStr">
        <is>
          <t>מגזר ערבי</t>
        </is>
      </c>
      <c r="B264" s="94" t="inlineStr">
        <is>
          <t>פארמה קואופ יפיע בע""מ ב.מ</t>
        </is>
      </c>
      <c r="C264" s="111" t="n">
        <v>13113.3</v>
      </c>
      <c r="D264" s="111" t="n">
        <v>9334.5</v>
      </c>
    </row>
    <row r="265" ht="15" customHeight="1" s="82">
      <c r="A265" s="94" t="inlineStr">
        <is>
          <t>מגזר ערבי</t>
        </is>
      </c>
      <c r="B265" s="94" t="inlineStr">
        <is>
          <t>פרמהזול עין מאהל ב.מ</t>
        </is>
      </c>
      <c r="C265" s="111" t="n">
        <v>3878.3</v>
      </c>
      <c r="D265" s="111" t="n">
        <v>1362.5</v>
      </c>
    </row>
    <row r="266" ht="15" customHeight="1" s="82">
      <c r="A266" s="94" t="inlineStr">
        <is>
          <t>מגזר ערבי</t>
        </is>
      </c>
      <c r="B266" s="94" t="inlineStr">
        <is>
          <t>נידאא פארם תרשיחא ב.מ</t>
        </is>
      </c>
      <c r="C266" s="111" t="n">
        <v>768.5</v>
      </c>
      <c r="D266" s="111" t="n">
        <v>677.6</v>
      </c>
    </row>
    <row r="267" ht="15" customHeight="1" s="82">
      <c r="A267" s="94" t="inlineStr">
        <is>
          <t>מגזר ערבי</t>
        </is>
      </c>
      <c r="B267" s="94" t="inlineStr">
        <is>
          <t>מואסת מ.שמס מזומן בלבד</t>
        </is>
      </c>
      <c r="C267" s="111" t="n">
        <v>63.7</v>
      </c>
      <c r="D267" s="111" t="n">
        <v>0</v>
      </c>
    </row>
    <row r="268" ht="15" customHeight="1" s="82">
      <c r="A268" s="94" t="inlineStr">
        <is>
          <t>מגזר ערבי</t>
        </is>
      </c>
      <c r="B268" s="94" t="inlineStr">
        <is>
          <t>ג.ג.פארם ב.מ כפר קרע</t>
        </is>
      </c>
      <c r="C268" s="111" t="n">
        <v>4494.1</v>
      </c>
      <c r="D268" s="111" t="n">
        <v>0</v>
      </c>
    </row>
    <row r="269" ht="15" customHeight="1" s="82">
      <c r="A269" s="94" t="inlineStr">
        <is>
          <t>מגזר ערבי</t>
        </is>
      </c>
      <c r="B269" s="94" t="inlineStr">
        <is>
          <t>קמא פארם כפר קמא ב.מ</t>
        </is>
      </c>
      <c r="C269" s="111" t="n">
        <v>10003.4</v>
      </c>
      <c r="D269" s="111" t="n">
        <v>4303.2</v>
      </c>
    </row>
    <row r="270" ht="15" customHeight="1" s="82">
      <c r="A270" s="94" t="inlineStr">
        <is>
          <t>מגזר ערבי</t>
        </is>
      </c>
      <c r="B270" s="94" t="inlineStr">
        <is>
          <t>איווה פארם זמר ב.מ</t>
        </is>
      </c>
      <c r="C270" s="111" t="n">
        <v>14240.3</v>
      </c>
      <c r="D270" s="111" t="n">
        <v>15357.7</v>
      </c>
    </row>
    <row r="271" ht="15" customHeight="1" s="82">
      <c r="A271" s="94" t="inlineStr">
        <is>
          <t>מגזר ערבי</t>
        </is>
      </c>
      <c r="B271" s="94" t="inlineStr">
        <is>
          <t>אל אח'לאס רמת הגולן ב.מ</t>
        </is>
      </c>
      <c r="C271" s="111" t="n">
        <v>3566.8</v>
      </c>
      <c r="D271" s="111" t="n">
        <v>1594.9</v>
      </c>
    </row>
    <row r="272" ht="15" customHeight="1" s="82">
      <c r="A272" s="94" t="inlineStr">
        <is>
          <t>מגזר ערבי</t>
        </is>
      </c>
      <c r="B272" s="94" t="inlineStr">
        <is>
          <t>.עין קנייה רמת הגולן ב.מ</t>
        </is>
      </c>
      <c r="C272" s="111" t="n">
        <v>4757</v>
      </c>
      <c r="D272" s="111" t="n">
        <v>4777.4</v>
      </c>
    </row>
    <row r="273" ht="15" customHeight="1" s="82">
      <c r="A273" s="94" t="inlineStr">
        <is>
          <t>מגזר ערבי</t>
        </is>
      </c>
      <c r="B273" s="94" t="inlineStr">
        <is>
          <t>(אבן סינא ירכא ב.מ)חדש</t>
        </is>
      </c>
      <c r="C273" s="111" t="n">
        <v>3064.6</v>
      </c>
      <c r="D273" s="111" t="n">
        <v>0</v>
      </c>
    </row>
    <row r="274" ht="15" customHeight="1" s="82">
      <c r="A274" s="94" t="inlineStr">
        <is>
          <t>מגזר ערבי</t>
        </is>
      </c>
      <c r="B274" s="94" t="inlineStr">
        <is>
          <t>אל אסדי ב.מ</t>
        </is>
      </c>
      <c r="C274" s="111" t="n">
        <v>-136.8</v>
      </c>
      <c r="D274" s="111" t="n">
        <v>99.7</v>
      </c>
    </row>
    <row r="275" ht="15" customHeight="1" s="82">
      <c r="A275" s="94" t="inlineStr">
        <is>
          <t>מגזר ערבי</t>
        </is>
      </c>
      <c r="B275" s="94" t="inlineStr">
        <is>
          <t>אל מרכז ראמה חדש ב.מ</t>
        </is>
      </c>
      <c r="C275" s="111" t="n">
        <v>453</v>
      </c>
      <c r="D275" s="111" t="n">
        <v>160.7</v>
      </c>
    </row>
    <row r="276" ht="15" customHeight="1" s="82">
      <c r="A276" s="94" t="inlineStr">
        <is>
          <t>מגזר ערבי</t>
        </is>
      </c>
      <c r="B276" s="94" t="inlineStr">
        <is>
          <t>אלעין ב.מ שפרעם</t>
        </is>
      </c>
      <c r="C276" s="111" t="n">
        <v>3516.9</v>
      </c>
      <c r="D276" s="111" t="n">
        <v>995.6</v>
      </c>
    </row>
    <row r="277" ht="15" customHeight="1" s="82">
      <c r="A277" s="94" t="inlineStr">
        <is>
          <t>מגזר ערבי</t>
        </is>
      </c>
      <c r="B277" s="94" t="inlineStr">
        <is>
          <t>אבן סינא פארם טמרה ב.מ</t>
        </is>
      </c>
      <c r="C277" s="111" t="n">
        <v>2693.1</v>
      </c>
      <c r="D277" s="111" t="n">
        <v>2574.1</v>
      </c>
    </row>
    <row r="278" ht="15" customHeight="1" s="82">
      <c r="A278" s="94" t="inlineStr">
        <is>
          <t>מגזר ערבי</t>
        </is>
      </c>
      <c r="B278" s="94" t="inlineStr">
        <is>
          <t>נוגידאת פארם ב.מ</t>
        </is>
      </c>
      <c r="C278" s="111" t="n">
        <v>955.1</v>
      </c>
      <c r="D278" s="111" t="n">
        <v>371.8</v>
      </c>
    </row>
    <row r="279" ht="15" customHeight="1" s="82">
      <c r="A279" s="94" t="inlineStr">
        <is>
          <t>מגזר ערבי</t>
        </is>
      </c>
      <c r="B279" s="94" t="inlineStr">
        <is>
          <t>איווה פארם ב.אל גרבייה ב.מ</t>
        </is>
      </c>
      <c r="C279" s="111" t="n">
        <v>5038.8</v>
      </c>
      <c r="D279" s="111" t="n">
        <v>2568.8</v>
      </c>
    </row>
    <row r="280" ht="15" customHeight="1" s="82">
      <c r="A280" s="94" t="inlineStr">
        <is>
          <t>מגזר ערבי</t>
        </is>
      </c>
      <c r="B280" s="94" t="inlineStr">
        <is>
          <t>מרכז שפרעם ב.מ</t>
        </is>
      </c>
      <c r="C280" s="111" t="n">
        <v>698.9</v>
      </c>
      <c r="D280" s="111" t="n">
        <v>0</v>
      </c>
    </row>
    <row r="281" ht="15" customHeight="1" s="82">
      <c r="A281" s="94" t="inlineStr">
        <is>
          <t>מגזר ערבי</t>
        </is>
      </c>
      <c r="B281" s="94" t="inlineStr">
        <is>
          <t>המרכז טמרה ב.מ</t>
        </is>
      </c>
      <c r="C281" s="111" t="n">
        <v>2736.4</v>
      </c>
      <c r="D281" s="111" t="n">
        <v>117.1</v>
      </c>
    </row>
    <row r="282" ht="15" customHeight="1" s="82">
      <c r="A282" s="94" t="inlineStr">
        <is>
          <t>מגזר ערבי</t>
        </is>
      </c>
      <c r="B282" s="94" t="inlineStr">
        <is>
          <t>סנטרלפארם שפרעם ב.מ</t>
        </is>
      </c>
      <c r="C282" s="111" t="n">
        <v>45.3</v>
      </c>
      <c r="D282" s="111" t="n">
        <v>0</v>
      </c>
    </row>
    <row r="283" ht="15" customHeight="1" s="82">
      <c r="A283" s="94" t="inlineStr">
        <is>
          <t>מגזר ערבי</t>
        </is>
      </c>
      <c r="B283" s="94" t="inlineStr">
        <is>
          <t>ריאד נצרת ב.מ</t>
        </is>
      </c>
      <c r="C283" s="111" t="n">
        <v>71.2</v>
      </c>
      <c r="D283" s="111" t="n">
        <v>0</v>
      </c>
    </row>
    <row r="284" ht="15" customHeight="1" s="82">
      <c r="A284" s="94" t="inlineStr">
        <is>
          <t>מגזר ערבי</t>
        </is>
      </c>
      <c r="B284" s="94" t="inlineStr">
        <is>
          <t>הכרם ב.מ</t>
        </is>
      </c>
      <c r="C284" s="111" t="n">
        <v>613.2</v>
      </c>
      <c r="D284" s="111" t="n">
        <v>0</v>
      </c>
    </row>
    <row r="285" ht="15" customHeight="1" s="82">
      <c r="A285" s="94" t="inlineStr">
        <is>
          <t>מגזר ערבי</t>
        </is>
      </c>
      <c r="B285" s="94" t="inlineStr">
        <is>
          <t>ביג פארם כפר ינוח ב.מ</t>
        </is>
      </c>
      <c r="C285" s="111" t="n">
        <v>3344</v>
      </c>
      <c r="D285" s="111" t="n">
        <v>3197.3</v>
      </c>
    </row>
    <row r="286" ht="15" customHeight="1" s="82">
      <c r="A286" s="94" t="inlineStr">
        <is>
          <t>מגזר ערבי</t>
        </is>
      </c>
      <c r="B286" s="94" t="inlineStr">
        <is>
          <t>אקסטרה פארם בע""מ נצרת ב.מ</t>
        </is>
      </c>
      <c r="C286" s="111" t="n">
        <v>5297.4</v>
      </c>
      <c r="D286" s="111" t="n">
        <v>2489</v>
      </c>
    </row>
    <row r="287" ht="15" customHeight="1" s="82">
      <c r="A287" s="94" t="inlineStr">
        <is>
          <t>מגזר ערבי</t>
        </is>
      </c>
      <c r="B287" s="94" t="inlineStr">
        <is>
          <t>.המרכז כפר ריינה ב.מ</t>
        </is>
      </c>
      <c r="C287" s="111" t="n">
        <v>3810.9</v>
      </c>
      <c r="D287" s="111" t="n">
        <v>0</v>
      </c>
    </row>
    <row r="288" ht="15" customHeight="1" s="82">
      <c r="A288" s="94" t="inlineStr">
        <is>
          <t>מגזר ערבי</t>
        </is>
      </c>
      <c r="B288" s="94" t="inlineStr">
        <is>
          <t>.מקס פארם עין מאהל ב.מ</t>
        </is>
      </c>
      <c r="C288" s="111" t="n">
        <v>0</v>
      </c>
      <c r="D288" s="111" t="n">
        <v>0</v>
      </c>
    </row>
    <row r="289" ht="15" customHeight="1" s="82">
      <c r="A289" s="94" t="inlineStr">
        <is>
          <t>מגזר ערבי</t>
        </is>
      </c>
      <c r="B289" s="94" t="inlineStr">
        <is>
          <t>טופ פארם כפר קרע ב.מ. חדש</t>
        </is>
      </c>
      <c r="C289" s="111" t="n">
        <v>2028.2</v>
      </c>
      <c r="D289" s="111" t="n">
        <v>838.9</v>
      </c>
    </row>
    <row r="290" ht="15" customHeight="1" s="82">
      <c r="A290" s="94" t="inlineStr">
        <is>
          <t>מגזר ערבי</t>
        </is>
      </c>
      <c r="B290" s="94" t="inlineStr">
        <is>
          <t>איווה פארם אלרחמה בע""מ ב.מ</t>
        </is>
      </c>
      <c r="C290" s="111" t="n">
        <v>12383.9</v>
      </c>
      <c r="D290" s="111" t="n">
        <v>7187.7</v>
      </c>
    </row>
    <row r="291" ht="15" customHeight="1" s="82">
      <c r="A291" s="94" t="inlineStr">
        <is>
          <t>מגזר ערבי</t>
        </is>
      </c>
      <c r="B291" s="94" t="inlineStr">
        <is>
          <t>ריאד פארם ב.מ ברטעה חדש</t>
        </is>
      </c>
      <c r="C291" s="111" t="n">
        <v>2068.4</v>
      </c>
      <c r="D291" s="111" t="n">
        <v>1095.8</v>
      </c>
    </row>
    <row r="292" ht="15" customHeight="1" s="82">
      <c r="A292" s="94" t="inlineStr">
        <is>
          <t>מגזר ערבי</t>
        </is>
      </c>
      <c r="B292" s="94" t="inlineStr">
        <is>
          <t>ביסאן חדש כניסה צפונית קלנסואה</t>
        </is>
      </c>
      <c r="C292" s="111" t="n">
        <v>0</v>
      </c>
      <c r="D292" s="111" t="n">
        <v>0</v>
      </c>
    </row>
    <row r="293" ht="15" customHeight="1" s="82">
      <c r="A293" s="94" t="inlineStr">
        <is>
          <t>מגזר ערבי</t>
        </is>
      </c>
      <c r="B293" s="94" t="inlineStr">
        <is>
          <t>.שרה פארם נצרת ב.מ</t>
        </is>
      </c>
      <c r="C293" s="111" t="n">
        <v>29</v>
      </c>
      <c r="D293" s="111" t="n">
        <v>0</v>
      </c>
    </row>
    <row r="294" ht="15" customHeight="1" s="82">
      <c r="A294" s="94" t="inlineStr">
        <is>
          <t>מגזר ערבי</t>
        </is>
      </c>
      <c r="B294" s="94" t="inlineStr">
        <is>
          <t>אדם רוקחות בע""מ טירה ב.מ</t>
        </is>
      </c>
      <c r="C294" s="111" t="n">
        <v>8292.5</v>
      </c>
      <c r="D294" s="111" t="n">
        <v>5798.4</v>
      </c>
    </row>
    <row r="295" ht="15" customHeight="1" s="82">
      <c r="A295" s="94" t="inlineStr">
        <is>
          <t>מגזר ערבי</t>
        </is>
      </c>
      <c r="B295" s="94" t="inlineStr">
        <is>
          <t>ורונה פארם טירה ב.מ</t>
        </is>
      </c>
      <c r="C295" s="111" t="n">
        <v>1143</v>
      </c>
      <c r="D295" s="111" t="n">
        <v>0</v>
      </c>
    </row>
    <row r="296" ht="15" customHeight="1" s="82">
      <c r="A296" s="94" t="inlineStr">
        <is>
          <t>מגזר ערבי</t>
        </is>
      </c>
      <c r="B296" s="94" t="inlineStr">
        <is>
          <t>מורינגה פארם בית הבריאות ב.מ מ</t>
        </is>
      </c>
      <c r="C296" s="111" t="n">
        <v>8109.4</v>
      </c>
      <c r="D296" s="111" t="n">
        <v>477.2</v>
      </c>
    </row>
    <row r="297" ht="15" customHeight="1" s="82">
      <c r="A297" s="94" t="inlineStr">
        <is>
          <t>מגזר ערבי</t>
        </is>
      </c>
      <c r="B297" s="94" t="inlineStr">
        <is>
          <t>סיטי פארם נצרת ב.מ</t>
        </is>
      </c>
      <c r="C297" s="111" t="n">
        <v>216.6</v>
      </c>
      <c r="D297" s="111" t="n">
        <v>163.4</v>
      </c>
    </row>
    <row r="298" ht="15" customHeight="1" s="82">
      <c r="A298" s="94" t="inlineStr">
        <is>
          <t>מגזר ערבי</t>
        </is>
      </c>
      <c r="B298" s="94" t="inlineStr">
        <is>
          <t>פארמר פארם טמרה ב.מ</t>
        </is>
      </c>
      <c r="C298" s="111" t="n">
        <v>5616.2</v>
      </c>
      <c r="D298" s="111" t="n">
        <v>0</v>
      </c>
    </row>
    <row r="299" ht="15" customHeight="1" s="82">
      <c r="A299" s="94" t="inlineStr">
        <is>
          <t>מגזר ערבי</t>
        </is>
      </c>
      <c r="B299" s="94" t="inlineStr">
        <is>
          <t>מדיקל פארם שפרעם ב.מ</t>
        </is>
      </c>
      <c r="C299" s="111" t="n">
        <v>6503.7</v>
      </c>
      <c r="D299" s="111" t="n">
        <v>2868</v>
      </c>
    </row>
    <row r="300" ht="15" customHeight="1" s="82">
      <c r="A300" s="94" t="inlineStr">
        <is>
          <t>מגזר ערבי</t>
        </is>
      </c>
      <c r="B300" s="94" t="inlineStr">
        <is>
          <t>פארמה שיא ביר אל מכסור ב.מ</t>
        </is>
      </c>
      <c r="C300" s="111" t="n">
        <v>4995.7</v>
      </c>
      <c r="D300" s="111" t="n">
        <v>2356.3</v>
      </c>
    </row>
    <row r="301" ht="15" customHeight="1" s="82">
      <c r="A301" s="94" t="inlineStr">
        <is>
          <t>מגזר ערבי</t>
        </is>
      </c>
      <c r="B301" s="94" t="inlineStr">
        <is>
          <t>ורונה פארם קלנסוואה ב.מ</t>
        </is>
      </c>
      <c r="C301" s="111" t="n">
        <v>662.7</v>
      </c>
      <c r="D301" s="111" t="n">
        <v>0</v>
      </c>
    </row>
    <row r="302" ht="15" customHeight="1" s="82">
      <c r="A302" s="94" t="inlineStr">
        <is>
          <t>מגזר ערבי</t>
        </is>
      </c>
      <c r="B302" s="94" t="inlineStr">
        <is>
          <t>בית מרקחת אוור פארם עוספיא</t>
        </is>
      </c>
      <c r="C302" s="111" t="n">
        <v>2550.3</v>
      </c>
      <c r="D302" s="111" t="n">
        <v>369.9</v>
      </c>
    </row>
    <row r="303" ht="15" customHeight="1" s="82">
      <c r="A303" s="94" t="inlineStr">
        <is>
          <t>מגזר ערבי</t>
        </is>
      </c>
      <c r="B303" s="94" t="inlineStr">
        <is>
          <t>אלח'רובה ב.מ באקה אל גרבייה</t>
        </is>
      </c>
      <c r="C303" s="111" t="n">
        <v>4104.7</v>
      </c>
      <c r="D303" s="111" t="n">
        <v>1531</v>
      </c>
    </row>
    <row r="304" ht="15" customHeight="1" s="82">
      <c r="A304" s="94" t="inlineStr">
        <is>
          <t>מגזר ערבי</t>
        </is>
      </c>
      <c r="B304" s="94" t="inlineStr">
        <is>
          <t>אלחייאת ב.מ אל סייד</t>
        </is>
      </c>
      <c r="C304" s="111" t="n">
        <v>9469.200000000001</v>
      </c>
      <c r="D304" s="111" t="n">
        <v>6486.8</v>
      </c>
    </row>
    <row r="305" ht="15" customHeight="1" s="82">
      <c r="A305" s="94" t="inlineStr">
        <is>
          <t>מגזר ערבי</t>
        </is>
      </c>
      <c r="B305" s="94" t="inlineStr">
        <is>
          <t>נוגה פארם כפר כסרא בימר""ק</t>
        </is>
      </c>
      <c r="C305" s="111" t="n">
        <v>73</v>
      </c>
      <c r="D305" s="111" t="n">
        <v>0</v>
      </c>
    </row>
    <row r="306" ht="15" customHeight="1" s="82">
      <c r="A306" s="94" t="inlineStr">
        <is>
          <t>מגזר ערבי</t>
        </is>
      </c>
      <c r="B306" s="94" t="inlineStr">
        <is>
          <t>פארמה האוס בע""מ נוף הגליל ב.מ</t>
        </is>
      </c>
      <c r="C306" s="111" t="n">
        <v>468.5</v>
      </c>
      <c r="D306" s="111" t="n">
        <v>0</v>
      </c>
    </row>
    <row r="307" ht="15" customHeight="1" s="82">
      <c r="A307" s="94" t="inlineStr">
        <is>
          <t>מגזר ערבי</t>
        </is>
      </c>
      <c r="B307" s="94" t="inlineStr">
        <is>
          <t>רימא פארם כפר יאסיף ב.מ</t>
        </is>
      </c>
      <c r="C307" s="111" t="n">
        <v>10150.2</v>
      </c>
      <c r="D307" s="111" t="n">
        <v>7748.9</v>
      </c>
    </row>
    <row r="308" ht="15" customHeight="1" s="82">
      <c r="A308" s="94" t="inlineStr">
        <is>
          <t>מגזר ערבי</t>
        </is>
      </c>
      <c r="B308" s="94" t="inlineStr">
        <is>
          <t>.רימא פארם כפר קרע ב.מ</t>
        </is>
      </c>
      <c r="C308" s="111" t="n">
        <v>0</v>
      </c>
      <c r="D308" s="111" t="n">
        <v>210.9</v>
      </c>
    </row>
    <row r="309" ht="15" customHeight="1" s="82">
      <c r="A309" s="94" t="inlineStr">
        <is>
          <t>מגזר ערבי</t>
        </is>
      </c>
      <c r="B309" s="94" t="inlineStr">
        <is>
          <t>אלפרמשאני סכנין ב.מ</t>
        </is>
      </c>
      <c r="C309" s="111" t="n">
        <v>556.7</v>
      </c>
      <c r="D309" s="111" t="n">
        <v>0</v>
      </c>
    </row>
    <row r="310" ht="15" customHeight="1" s="82">
      <c r="A310" s="94" t="inlineStr">
        <is>
          <t>מגזר ערבי</t>
        </is>
      </c>
      <c r="B310" s="94" t="inlineStr">
        <is>
          <t>רביע פארם כפר כסרא בימר""ק</t>
        </is>
      </c>
      <c r="C310" s="111" t="n">
        <v>0</v>
      </c>
      <c r="D310" s="111" t="n">
        <v>39.8</v>
      </c>
    </row>
    <row r="311" ht="15" customHeight="1" s="82">
      <c r="A311" s="94" t="inlineStr">
        <is>
          <t>מגזר ערבי</t>
        </is>
      </c>
      <c r="B311" s="94" t="inlineStr">
        <is>
          <t>פארמה לייף יקנעם עילית ב.מ</t>
        </is>
      </c>
      <c r="C311" s="111" t="n">
        <v>4105.1</v>
      </c>
      <c r="D311" s="111" t="n">
        <v>1212.9</v>
      </c>
    </row>
    <row r="312" ht="15" customHeight="1" s="82">
      <c r="A312" s="94" t="inlineStr">
        <is>
          <t>מגזר ערבי</t>
        </is>
      </c>
      <c r="B312" s="94" t="inlineStr">
        <is>
          <t>ראפע פארם בע""מ נצרת</t>
        </is>
      </c>
      <c r="C312" s="111" t="n">
        <v>0</v>
      </c>
      <c r="D312" s="111" t="n">
        <v>3176.5</v>
      </c>
    </row>
    <row r="313" ht="15" customHeight="1" s="82">
      <c r="A313" s="94" t="inlineStr">
        <is>
          <t>מגזר ערבי</t>
        </is>
      </c>
      <c r="B313" s="94" t="inlineStr">
        <is>
          <t>רונברא ב.מ נהריה</t>
        </is>
      </c>
      <c r="C313" s="111" t="n">
        <v>3058.7</v>
      </c>
      <c r="D313" s="111" t="n">
        <v>0</v>
      </c>
    </row>
    <row r="314" ht="15" customHeight="1" s="82">
      <c r="A314" s="94" t="inlineStr">
        <is>
          <t>מגזר ערבי</t>
        </is>
      </c>
      <c r="B314" s="94" t="inlineStr">
        <is>
          <t>שקד פארם זכרון יעקב ב.מ</t>
        </is>
      </c>
      <c r="C314" s="111" t="n">
        <v>1587.4</v>
      </c>
      <c r="D314" s="111" t="n">
        <v>523</v>
      </c>
    </row>
    <row r="315" ht="15" customHeight="1" s="82">
      <c r="A315" s="94" t="inlineStr">
        <is>
          <t>רוקחים עתיד</t>
        </is>
      </c>
      <c r="B315" s="94" t="inlineStr">
        <is>
          <t>13.03 ערד פארם ב.מ</t>
        </is>
      </c>
      <c r="C315" s="111" t="n">
        <v>21369.1</v>
      </c>
      <c r="D315" s="111" t="n">
        <v>15090.1</v>
      </c>
    </row>
    <row r="316" ht="15" customHeight="1" s="82">
      <c r="A316" s="94" t="inlineStr">
        <is>
          <t>רוקחים עתיד</t>
        </is>
      </c>
      <c r="B316" s="94" t="inlineStr">
        <is>
          <t>03.13  ב.מ. שבע פארם</t>
        </is>
      </c>
      <c r="C316" s="111" t="n">
        <v>744.3</v>
      </c>
      <c r="D316" s="111" t="n">
        <v>0</v>
      </c>
    </row>
    <row r="317" ht="15" customHeight="1" s="82">
      <c r="A317" s="94" t="inlineStr">
        <is>
          <t>רוקחים עתיד</t>
        </is>
      </c>
      <c r="B317" s="94" t="inlineStr">
        <is>
          <t>) יו פארם ב.מ )הסנה( גוש עציון</t>
        </is>
      </c>
      <c r="C317" s="111" t="n">
        <v>0</v>
      </c>
      <c r="D317" s="111" t="n">
        <v>0</v>
      </c>
    </row>
    <row r="318" ht="15" customHeight="1" s="82">
      <c r="A318" s="94" t="inlineStr">
        <is>
          <t>רוקחים עתיד</t>
        </is>
      </c>
      <c r="B318" s="94" t="inlineStr">
        <is>
          <t>.קאר פארם כפר יונה ב.מ</t>
        </is>
      </c>
      <c r="C318" s="111" t="n">
        <v>12204.3</v>
      </c>
      <c r="D318" s="111" t="n">
        <v>2038.8</v>
      </c>
    </row>
    <row r="319" ht="15" customHeight="1" s="82">
      <c r="A319" s="94" t="inlineStr">
        <is>
          <t>רוקחים עתיד</t>
        </is>
      </c>
      <c r="B319" s="94" t="inlineStr">
        <is>
          <t>ישי עפולה בע""מ ב.מ</t>
        </is>
      </c>
      <c r="C319" s="111" t="n">
        <v>414.7</v>
      </c>
      <c r="D319" s="111" t="n">
        <v>438.2</v>
      </c>
    </row>
    <row r="320" ht="15" customHeight="1" s="82">
      <c r="A320" s="94" t="inlineStr">
        <is>
          <t>רוקחים עתיד</t>
        </is>
      </c>
      <c r="B320" s="94" t="inlineStr">
        <is>
          <t>ב.מ סביניה חדש ק.ביאליק</t>
        </is>
      </c>
      <c r="C320" s="111" t="n">
        <v>2774.7</v>
      </c>
      <c r="D320" s="111" t="n">
        <v>690.1</v>
      </c>
    </row>
    <row r="321" ht="15" customHeight="1" s="82">
      <c r="A321" s="94" t="inlineStr">
        <is>
          <t>רוקחים עתיד</t>
        </is>
      </c>
      <c r="B321" s="94" t="inlineStr">
        <is>
          <t>מעיין חיים בית דגן</t>
        </is>
      </c>
      <c r="C321" s="111" t="n">
        <v>2021.4</v>
      </c>
      <c r="D321" s="111" t="n">
        <v>10841.7</v>
      </c>
    </row>
    <row r="322" ht="15" customHeight="1" s="82">
      <c r="A322" s="94" t="inlineStr">
        <is>
          <t>רוקחים עתיד</t>
        </is>
      </c>
      <c r="B322" s="94" t="inlineStr">
        <is>
          <t>דאבל די לבונה ב.מ</t>
        </is>
      </c>
      <c r="C322" s="111" t="n">
        <v>500.1</v>
      </c>
      <c r="D322" s="111" t="n">
        <v>540.1</v>
      </c>
    </row>
    <row r="323" ht="15" customHeight="1" s="82">
      <c r="A323" s="94" t="inlineStr">
        <is>
          <t>רוקחים עתיד</t>
        </is>
      </c>
      <c r="B323" s="94" t="inlineStr">
        <is>
          <t>11.03 פארמה רד ויטה ב.מ</t>
        </is>
      </c>
      <c r="C323" s="111" t="n">
        <v>302.6</v>
      </c>
      <c r="D323" s="111" t="n">
        <v>0</v>
      </c>
    </row>
    <row r="324" ht="15" customHeight="1" s="82">
      <c r="A324" s="94" t="inlineStr">
        <is>
          <t>רוקחים עתיד</t>
        </is>
      </c>
      <c r="B324" s="94" t="inlineStr">
        <is>
          <t>רמת הנשיא בת ים ב.מ</t>
        </is>
      </c>
      <c r="C324" s="111" t="n">
        <v>951.7</v>
      </c>
      <c r="D324" s="111" t="n">
        <v>0</v>
      </c>
    </row>
    <row r="325" ht="15" customHeight="1" s="82">
      <c r="A325" s="94" t="inlineStr">
        <is>
          <t>רוקחים עתיד</t>
        </is>
      </c>
      <c r="B325" s="94" t="inlineStr">
        <is>
          <t>חי ק.מנחם רמלה ב.מ חדש</t>
        </is>
      </c>
      <c r="C325" s="111" t="n">
        <v>13253.4</v>
      </c>
      <c r="D325" s="111" t="n">
        <v>8827</v>
      </c>
    </row>
    <row r="326" ht="15" customHeight="1" s="82">
      <c r="A326" s="94" t="inlineStr">
        <is>
          <t>רוקחים עתיד</t>
        </is>
      </c>
      <c r="B326" s="94" t="inlineStr">
        <is>
          <t>ישגב ב.מ תל אביב</t>
        </is>
      </c>
      <c r="C326" s="111" t="n">
        <v>0</v>
      </c>
      <c r="D326" s="111" t="n">
        <v>0</v>
      </c>
    </row>
    <row r="327" ht="15" customHeight="1" s="82">
      <c r="A327" s="94" t="inlineStr">
        <is>
          <t>רוקחים עתיד</t>
        </is>
      </c>
      <c r="B327" s="94" t="inlineStr">
        <is>
          <t>ב.מ פארמה גד בני ברק הר סיני</t>
        </is>
      </c>
      <c r="C327" s="111" t="n">
        <v>5764.5</v>
      </c>
      <c r="D327" s="111" t="n">
        <v>6041.4</v>
      </c>
    </row>
    <row r="328" ht="15" customHeight="1" s="82">
      <c r="A328" s="94" t="inlineStr">
        <is>
          <t>רוקחים עתיד</t>
        </is>
      </c>
      <c r="B328" s="94" t="inlineStr">
        <is>
          <t>אזורי חן ת""א ב.מ</t>
        </is>
      </c>
      <c r="C328" s="111" t="n">
        <v>1247.3</v>
      </c>
      <c r="D328" s="111" t="n">
        <v>0</v>
      </c>
    </row>
    <row r="329" ht="15" customHeight="1" s="82">
      <c r="A329" s="94" t="inlineStr">
        <is>
          <t>רוקחים עתיד</t>
        </is>
      </c>
      <c r="B329" s="94" t="inlineStr">
        <is>
          <t>אופיר ת""א ב.מ</t>
        </is>
      </c>
      <c r="C329" s="111" t="n">
        <v>5047.1</v>
      </c>
      <c r="D329" s="111" t="n">
        <v>22602</v>
      </c>
    </row>
    <row r="330" ht="15" customHeight="1" s="82">
      <c r="A330" s="94" t="inlineStr">
        <is>
          <t>רוקחים עתיד</t>
        </is>
      </c>
      <c r="B330" s="94" t="inlineStr">
        <is>
          <t>עבד לוטף בריאות הומופטיה בע""מ</t>
        </is>
      </c>
      <c r="C330" s="111" t="n">
        <v>16129.3</v>
      </c>
      <c r="D330" s="111" t="n">
        <v>7173.1</v>
      </c>
    </row>
    <row r="331" ht="15" customHeight="1" s="82">
      <c r="A331" s="94" t="inlineStr">
        <is>
          <t>רוקחים עתיד</t>
        </is>
      </c>
      <c r="B331" s="94" t="inlineStr">
        <is>
          <t>בריאות מרכז עמידר נהריה ב.מ</t>
        </is>
      </c>
      <c r="C331" s="111" t="n">
        <v>0</v>
      </c>
      <c r="D331" s="111" t="n">
        <v>0</v>
      </c>
    </row>
    <row r="332" ht="15" customHeight="1" s="82">
      <c r="A332" s="94" t="inlineStr">
        <is>
          <t>רוקחים עתיד</t>
        </is>
      </c>
      <c r="B332" s="94" t="inlineStr">
        <is>
          <t>אהרון חולון ב.מ</t>
        </is>
      </c>
      <c r="C332" s="111" t="n">
        <v>1511.1</v>
      </c>
      <c r="D332" s="111" t="n">
        <v>509.7</v>
      </c>
    </row>
    <row r="333" ht="15" customHeight="1" s="82">
      <c r="A333" s="94" t="inlineStr">
        <is>
          <t>רוקחים עתיד</t>
        </is>
      </c>
      <c r="B333" s="94" t="inlineStr">
        <is>
          <t>ביו מקס פארם חולון ב.מ</t>
        </is>
      </c>
      <c r="C333" s="111" t="n">
        <v>0</v>
      </c>
      <c r="D333" s="111" t="n">
        <v>4657.8</v>
      </c>
    </row>
    <row r="334" ht="15" customHeight="1" s="82">
      <c r="A334" s="94" t="inlineStr">
        <is>
          <t>רוקחים עתיד</t>
        </is>
      </c>
      <c r="B334" s="94" t="inlineStr">
        <is>
          <t>2010 ב.מ אחוזה  מאי</t>
        </is>
      </c>
      <c r="C334" s="111" t="n">
        <v>1636.4</v>
      </c>
      <c r="D334" s="111" t="n">
        <v>0</v>
      </c>
    </row>
    <row r="335" ht="15" customHeight="1" s="82">
      <c r="A335" s="94" t="inlineStr">
        <is>
          <t>רוקחים עתיד</t>
        </is>
      </c>
      <c r="B335" s="94" t="inlineStr">
        <is>
          <t>דורון רעננה ב.מ</t>
        </is>
      </c>
      <c r="C335" s="111" t="n">
        <v>449.6</v>
      </c>
      <c r="D335" s="111" t="n">
        <v>0</v>
      </c>
    </row>
    <row r="336" ht="15" customHeight="1" s="82">
      <c r="A336" s="94" t="inlineStr">
        <is>
          <t>רוקחים עתיד</t>
        </is>
      </c>
      <c r="B336" s="94" t="inlineStr">
        <is>
          <t>כנרת בע""מ ב.מ כ""ס</t>
        </is>
      </c>
      <c r="C336" s="111" t="n">
        <v>2002.7</v>
      </c>
      <c r="D336" s="111" t="n">
        <v>2669.9</v>
      </c>
    </row>
    <row r="337" ht="15" customHeight="1" s="82">
      <c r="A337" s="94" t="inlineStr">
        <is>
          <t>רוקחים עתיד</t>
        </is>
      </c>
      <c r="B337" s="94" t="inlineStr">
        <is>
          <t>מגדיאל חדש הוד השרון ב.מ</t>
        </is>
      </c>
      <c r="C337" s="111" t="n">
        <v>6098.9</v>
      </c>
      <c r="D337" s="111" t="n">
        <v>1506.8</v>
      </c>
    </row>
    <row r="338" ht="15" customHeight="1" s="82">
      <c r="A338" s="94" t="inlineStr">
        <is>
          <t>רוקחים עתיד</t>
        </is>
      </c>
      <c r="B338" s="94" t="inlineStr">
        <is>
          <t>ביו מקס פארם ראשון ב.מ</t>
        </is>
      </c>
      <c r="C338" s="111" t="n">
        <v>0</v>
      </c>
      <c r="D338" s="111" t="n">
        <v>5226.4</v>
      </c>
    </row>
    <row r="339" ht="15" customHeight="1" s="82">
      <c r="A339" s="94" t="inlineStr">
        <is>
          <t>רוקחים עתיד</t>
        </is>
      </c>
      <c r="B339" s="94" t="inlineStr">
        <is>
          <t>רימונים פארם ב""ב ב.מ</t>
        </is>
      </c>
      <c r="C339" s="111" t="n">
        <v>2467.9</v>
      </c>
      <c r="D339" s="111" t="n">
        <v>9166.299999999999</v>
      </c>
    </row>
    <row r="340" ht="15" customHeight="1" s="82">
      <c r="A340" s="94" t="inlineStr">
        <is>
          <t>רוקחים עתיד</t>
        </is>
      </c>
      <c r="B340" s="94" t="inlineStr">
        <is>
          <t>רפואה סנטר ב""ב ב.מ</t>
        </is>
      </c>
      <c r="C340" s="111" t="n">
        <v>3336.4</v>
      </c>
      <c r="D340" s="111" t="n">
        <v>4374.5</v>
      </c>
    </row>
    <row r="341" ht="15" customHeight="1" s="82">
      <c r="A341" s="94" t="inlineStr">
        <is>
          <t>רוקחים עתיד</t>
        </is>
      </c>
      <c r="B341" s="94" t="inlineStr">
        <is>
          <t>רמת חן ר""ג ב.מ</t>
        </is>
      </c>
      <c r="C341" s="111" t="n">
        <v>17687.1</v>
      </c>
      <c r="D341" s="111" t="n">
        <v>10364.9</v>
      </c>
    </row>
    <row r="342" ht="15" customHeight="1" s="82">
      <c r="A342" s="94" t="inlineStr">
        <is>
          <t>רוקחים עתיד</t>
        </is>
      </c>
      <c r="B342" s="94" t="inlineStr">
        <is>
          <t>שביט/אסידל פארם ת""א ב.מ</t>
        </is>
      </c>
      <c r="C342" s="111" t="n">
        <v>1747.1</v>
      </c>
      <c r="D342" s="111" t="n">
        <v>2465.2</v>
      </c>
    </row>
    <row r="343" ht="15" customHeight="1" s="82">
      <c r="A343" s="94" t="inlineStr">
        <is>
          <t>רוקחים עתיד</t>
        </is>
      </c>
      <c r="B343" s="94" t="inlineStr">
        <is>
          <t>אסידל פארם בע""מ</t>
        </is>
      </c>
      <c r="C343" s="111" t="n">
        <v>11880.8</v>
      </c>
      <c r="D343" s="111" t="n">
        <v>16682.4</v>
      </c>
    </row>
    <row r="344" ht="15" customHeight="1" s="82">
      <c r="A344" s="94" t="inlineStr">
        <is>
          <t>רוקחים עתיד</t>
        </is>
      </c>
      <c r="B344" s="94" t="inlineStr">
        <is>
          <t>גילי תל מונד ב.מ</t>
        </is>
      </c>
      <c r="C344" s="111" t="n">
        <v>11781.9</v>
      </c>
      <c r="D344" s="111" t="n">
        <v>703.3</v>
      </c>
    </row>
    <row r="345" ht="15" customHeight="1" s="82">
      <c r="A345" s="94" t="inlineStr">
        <is>
          <t>רוקחים עתיד</t>
        </is>
      </c>
      <c r="B345" s="94" t="inlineStr">
        <is>
          <t>ד""ר קיי פארם חדרה</t>
        </is>
      </c>
      <c r="C345" s="111" t="n">
        <v>7408.2</v>
      </c>
      <c r="D345" s="111" t="n">
        <v>1070.4</v>
      </c>
    </row>
    <row r="346" ht="15" customHeight="1" s="82">
      <c r="A346" s="94" t="inlineStr">
        <is>
          <t>רוקחים עתיד</t>
        </is>
      </c>
      <c r="B346" s="94" t="inlineStr">
        <is>
          <t>בריאות הדר פ.חנה בע""מ ב.מ</t>
        </is>
      </c>
      <c r="C346" s="111" t="n">
        <v>3000</v>
      </c>
      <c r="D346" s="111" t="n">
        <v>577.6</v>
      </c>
    </row>
    <row r="347" ht="15" customHeight="1" s="82">
      <c r="A347" s="94" t="inlineStr">
        <is>
          <t>רוקחים עתיד</t>
        </is>
      </c>
      <c r="B347" s="94" t="inlineStr">
        <is>
          <t>הדר כרכור מרכז ב.מ</t>
        </is>
      </c>
      <c r="C347" s="111" t="n">
        <v>7966.5</v>
      </c>
      <c r="D347" s="111" t="n">
        <v>3349.3</v>
      </c>
    </row>
    <row r="348" ht="15" customHeight="1" s="82">
      <c r="A348" s="94" t="inlineStr">
        <is>
          <t>רוקחים עתיד</t>
        </is>
      </c>
      <c r="B348" s="94" t="inlineStr">
        <is>
          <t>.קיסר פארם )ארט פארם( קיסריה ב</t>
        </is>
      </c>
      <c r="C348" s="111" t="n">
        <v>12033.7</v>
      </c>
      <c r="D348" s="111" t="n">
        <v>4741.3</v>
      </c>
    </row>
    <row r="349" ht="15" customHeight="1" s="82">
      <c r="A349" s="94" t="inlineStr">
        <is>
          <t>רוקחים עתיד</t>
        </is>
      </c>
      <c r="B349" s="94" t="inlineStr">
        <is>
          <t>רווא פארם חדרה בע""מ חדרה</t>
        </is>
      </c>
      <c r="C349" s="111" t="n">
        <v>2893.1</v>
      </c>
      <c r="D349" s="111" t="n">
        <v>249.1</v>
      </c>
    </row>
    <row r="350" ht="15" customHeight="1" s="82">
      <c r="A350" s="94" t="inlineStr">
        <is>
          <t>רוקחים עתיד</t>
        </is>
      </c>
      <c r="B350" s="94" t="inlineStr">
        <is>
          <t>2010 פארם קניון כסייפה יוני</t>
        </is>
      </c>
      <c r="C350" s="111" t="n">
        <v>11116.4</v>
      </c>
      <c r="D350" s="111" t="n">
        <v>10794.1</v>
      </c>
    </row>
    <row r="351" ht="15" customHeight="1" s="82">
      <c r="A351" s="94" t="inlineStr">
        <is>
          <t>רוקחים עתיד</t>
        </is>
      </c>
      <c r="B351" s="94" t="inlineStr">
        <is>
          <t>קליניק פארם ב.מ. חורה</t>
        </is>
      </c>
      <c r="C351" s="111" t="n">
        <v>3685.3</v>
      </c>
      <c r="D351" s="111" t="n">
        <v>982.2</v>
      </c>
    </row>
    <row r="352" ht="15" customHeight="1" s="82">
      <c r="A352" s="94" t="inlineStr">
        <is>
          <t>רוקחים עתיד</t>
        </is>
      </c>
      <c r="B352" s="94" t="inlineStr">
        <is>
          <t>אפרת פארם ב.מ</t>
        </is>
      </c>
      <c r="C352" s="111" t="n">
        <v>3450</v>
      </c>
      <c r="D352" s="111" t="n">
        <v>5835.8</v>
      </c>
    </row>
    <row r="353" ht="15" customHeight="1" s="82">
      <c r="A353" s="94" t="inlineStr">
        <is>
          <t>רוקחים עתיד</t>
        </is>
      </c>
      <c r="B353" s="94" t="inlineStr">
        <is>
          <t>.רפאל-שפע פארם י-ם ב.מ</t>
        </is>
      </c>
      <c r="C353" s="111" t="n">
        <v>36417.7</v>
      </c>
      <c r="D353" s="111" t="n">
        <v>28497.2</v>
      </c>
    </row>
    <row r="354" ht="15" customHeight="1" s="82">
      <c r="A354" s="94" t="inlineStr">
        <is>
          <t>רוקחים עתיד</t>
        </is>
      </c>
      <c r="B354" s="94" t="inlineStr">
        <is>
          <t>סניטס לוד ב.מ</t>
        </is>
      </c>
      <c r="C354" s="111" t="n">
        <v>227.6</v>
      </c>
      <c r="D354" s="111" t="n">
        <v>0</v>
      </c>
    </row>
    <row r="355" ht="15" customHeight="1" s="82">
      <c r="A355" s="94" t="inlineStr">
        <is>
          <t>רוקחים עתיד</t>
        </is>
      </c>
      <c r="B355" s="94" t="inlineStr">
        <is>
          <t>פארמה סטייל חדש לוד</t>
        </is>
      </c>
      <c r="C355" s="111" t="n">
        <v>1031.5</v>
      </c>
      <c r="D355" s="111" t="n">
        <v>458</v>
      </c>
    </row>
    <row r="356" ht="15" customHeight="1" s="82">
      <c r="A356" s="94" t="inlineStr">
        <is>
          <t>רוקחים עתיד</t>
        </is>
      </c>
      <c r="B356" s="94" t="inlineStr">
        <is>
          <t>בכפר כפר יונה בית מרקחת</t>
        </is>
      </c>
      <c r="C356" s="111" t="n">
        <v>2922.5</v>
      </c>
      <c r="D356" s="111" t="n">
        <v>2546.8</v>
      </c>
    </row>
    <row r="357" ht="15" customHeight="1" s="82">
      <c r="A357" s="94" t="inlineStr">
        <is>
          <t>רוקחים עתיד</t>
        </is>
      </c>
      <c r="B357" s="94" t="inlineStr">
        <is>
          <t>מדיקה מסארווה ב.מ</t>
        </is>
      </c>
      <c r="C357" s="111" t="n">
        <v>1305.2</v>
      </c>
      <c r="D357" s="111" t="n">
        <v>0</v>
      </c>
    </row>
    <row r="358" ht="15" customHeight="1" s="82">
      <c r="A358" s="94" t="inlineStr">
        <is>
          <t>רוקחים עתיד</t>
        </is>
      </c>
      <c r="B358" s="94" t="inlineStr">
        <is>
          <t>פארמה פירסט ראשל""צ ב.מ</t>
        </is>
      </c>
      <c r="C358" s="111" t="n">
        <v>14638.9</v>
      </c>
      <c r="D358" s="111" t="n">
        <v>10007.3</v>
      </c>
    </row>
    <row r="359" ht="15" customHeight="1" s="82">
      <c r="A359" s="94" t="inlineStr">
        <is>
          <t>רוקחים עתיד</t>
        </is>
      </c>
      <c r="B359" s="94" t="inlineStr">
        <is>
          <t>ישגב ב.מ תל אביב</t>
        </is>
      </c>
      <c r="C359" s="111" t="n">
        <v>9442.5</v>
      </c>
      <c r="D359" s="111" t="n">
        <v>3994.1</v>
      </c>
    </row>
    <row r="360" ht="15" customHeight="1" s="82">
      <c r="A360" s="94" t="inlineStr">
        <is>
          <t>רוקחים עתיד</t>
        </is>
      </c>
      <c r="B360" s="94" t="inlineStr">
        <is>
          <t>גבעול כוכב הצפון ב.מ</t>
        </is>
      </c>
      <c r="C360" s="111" t="n">
        <v>7439.9</v>
      </c>
      <c r="D360" s="111" t="n">
        <v>7703.1</v>
      </c>
    </row>
    <row r="361" ht="15" customHeight="1" s="82">
      <c r="A361" s="94" t="inlineStr">
        <is>
          <t>רוקחים עתיד</t>
        </is>
      </c>
      <c r="B361" s="94" t="inlineStr">
        <is>
          <t>נוה שאנן ב.מ-בלטנר את דויטשמן</t>
        </is>
      </c>
      <c r="C361" s="111" t="n">
        <v>0</v>
      </c>
      <c r="D361" s="111" t="n">
        <v>275.8</v>
      </c>
    </row>
    <row r="362" ht="15" customHeight="1" s="82">
      <c r="A362" s="94" t="inlineStr">
        <is>
          <t>רוקחים עתיד</t>
        </is>
      </c>
      <c r="B362" s="94" t="inlineStr">
        <is>
          <t>היפר גרין פארם)רח' כינרת( אשדו</t>
        </is>
      </c>
      <c r="C362" s="111" t="n">
        <v>120</v>
      </c>
      <c r="D362" s="111" t="n">
        <v>0</v>
      </c>
    </row>
    <row r="363" ht="15" customHeight="1" s="82">
      <c r="A363" s="94" t="inlineStr">
        <is>
          <t>רוקחים עתיד</t>
        </is>
      </c>
      <c r="B363" s="94" t="inlineStr">
        <is>
          <t>היפר גרין פארם )שבט לוי( אשדוד</t>
        </is>
      </c>
      <c r="C363" s="111" t="n">
        <v>120</v>
      </c>
      <c r="D363" s="111" t="n">
        <v>960.8</v>
      </c>
    </row>
    <row r="364" ht="15" customHeight="1" s="82">
      <c r="A364" s="94" t="inlineStr">
        <is>
          <t>רוקחים עתיד</t>
        </is>
      </c>
      <c r="B364" s="94" t="inlineStr">
        <is>
          <t>א.מ.גרין פארמסי ערוער ב.מ</t>
        </is>
      </c>
      <c r="C364" s="111" t="n">
        <v>1200</v>
      </c>
      <c r="D364" s="111" t="n">
        <v>0</v>
      </c>
    </row>
    <row r="365" ht="15" customHeight="1" s="82">
      <c r="A365" s="94" t="inlineStr">
        <is>
          <t>רוקחים עתיד</t>
        </is>
      </c>
      <c r="B365" s="94" t="inlineStr">
        <is>
          <t>פארמה פלוס ב.מ שגב שלום</t>
        </is>
      </c>
      <c r="C365" s="111" t="n">
        <v>915.6</v>
      </c>
      <c r="D365" s="111" t="n">
        <v>796.3</v>
      </c>
    </row>
    <row r="366" ht="15" customHeight="1" s="82">
      <c r="A366" s="94" t="inlineStr">
        <is>
          <t>רוקחים עתיד</t>
        </is>
      </c>
      <c r="B366" s="94" t="inlineStr">
        <is>
          <t>פרמאנייס בע""מ רהט</t>
        </is>
      </c>
      <c r="C366" s="111" t="n">
        <v>9888</v>
      </c>
      <c r="D366" s="111" t="n">
        <v>6040.4</v>
      </c>
    </row>
    <row r="367" ht="15" customHeight="1" s="82">
      <c r="A367" s="94" t="inlineStr">
        <is>
          <t>רוקחים עתיד</t>
        </is>
      </c>
      <c r="B367" s="94" t="inlineStr">
        <is>
          <t>רמת הנשיא בת ים ב.מ</t>
        </is>
      </c>
      <c r="C367" s="111" t="n">
        <v>168.5</v>
      </c>
      <c r="D367" s="111" t="n">
        <v>966.9</v>
      </c>
    </row>
    <row r="368" ht="15" customHeight="1" s="82">
      <c r="A368" s="94" t="inlineStr">
        <is>
          <t>רוקחים עתיד</t>
        </is>
      </c>
      <c r="B368" s="94" t="inlineStr">
        <is>
          <t>בריאות עמידר נהריה ב.מ</t>
        </is>
      </c>
      <c r="C368" s="111" t="n">
        <v>8974.700000000001</v>
      </c>
      <c r="D368" s="111" t="n">
        <v>3378.3</v>
      </c>
    </row>
    <row r="369" ht="15" customHeight="1" s="82">
      <c r="A369" s="94" t="inlineStr">
        <is>
          <t>רוקחים עתיד</t>
        </is>
      </c>
      <c r="B369" s="94" t="inlineStr">
        <is>
          <t>ב.מ I GREEN 12 איי גרין</t>
        </is>
      </c>
      <c r="C369" s="111" t="n">
        <v>24436.5</v>
      </c>
      <c r="D369" s="111" t="n">
        <v>15269.6</v>
      </c>
    </row>
    <row r="370" ht="15" customHeight="1" s="82">
      <c r="A370" s="94" t="inlineStr">
        <is>
          <t>רוקחים עתיד</t>
        </is>
      </c>
      <c r="B370" s="94" t="inlineStr">
        <is>
          <t>ישי פארם ב.מ. רמת ישי</t>
        </is>
      </c>
      <c r="C370" s="111" t="n">
        <v>4488</v>
      </c>
      <c r="D370" s="111" t="n">
        <v>1459.4</v>
      </c>
    </row>
    <row r="371" ht="15" customHeight="1" s="82">
      <c r="A371" s="94" t="inlineStr">
        <is>
          <t>רוקחים עתיד</t>
        </is>
      </c>
      <c r="B371" s="94" t="inlineStr">
        <is>
          <t>קנגרין מדיקל בע""מ ב.מ חיפה</t>
        </is>
      </c>
      <c r="C371" s="111" t="n">
        <v>6236.9</v>
      </c>
      <c r="D371" s="111" t="n">
        <v>753.1</v>
      </c>
    </row>
    <row r="372" ht="15" customHeight="1" s="82">
      <c r="A372" s="94" t="inlineStr">
        <is>
          <t>רוקחים עתיד</t>
        </is>
      </c>
      <c r="B372" s="94" t="inlineStr">
        <is>
          <t>.קלאב פארם שלי בנימינה ב.מ</t>
        </is>
      </c>
      <c r="C372" s="111" t="n">
        <v>8567.4</v>
      </c>
      <c r="D372" s="111" t="n">
        <v>7943.3</v>
      </c>
    </row>
    <row r="373" ht="15" customHeight="1" s="82">
      <c r="A373" s="94" t="inlineStr">
        <is>
          <t>רוקחים עתיד</t>
        </is>
      </c>
      <c r="B373" s="94" t="inlineStr">
        <is>
          <t>בריאות שלומי עבד לוטף ב.מ</t>
        </is>
      </c>
      <c r="C373" s="111" t="n">
        <v>768.9</v>
      </c>
      <c r="D373" s="111" t="n">
        <v>375.7</v>
      </c>
    </row>
    <row r="374" ht="15" customHeight="1" s="82">
      <c r="A374" s="94" t="inlineStr">
        <is>
          <t>רשת י-ם</t>
        </is>
      </c>
      <c r="B374" s="94" t="inlineStr">
        <is>
          <t>גוש 80 י-ם ב.מ )מקסיפארם ברוכי</t>
        </is>
      </c>
      <c r="C374" s="111" t="n">
        <v>0</v>
      </c>
      <c r="D374" s="111" t="n">
        <v>0</v>
      </c>
    </row>
    <row r="375" ht="15" customHeight="1" s="82">
      <c r="A375" s="94" t="inlineStr">
        <is>
          <t>רשת י-ם</t>
        </is>
      </c>
      <c r="B375" s="94" t="inlineStr">
        <is>
          <t>ירושלים ב.מ</t>
        </is>
      </c>
      <c r="C375" s="111" t="n">
        <v>-181.7</v>
      </c>
      <c r="D375" s="111" t="n">
        <v>0</v>
      </c>
    </row>
    <row r="376" ht="15" customHeight="1" s="82">
      <c r="A376" s="94" t="inlineStr">
        <is>
          <t>רשת י-ם</t>
        </is>
      </c>
      <c r="B376" s="94" t="inlineStr">
        <is>
          <t>רמת שלמה פארם בע""מ י-ם ב.מ</t>
        </is>
      </c>
      <c r="C376" s="111" t="n">
        <v>28.1</v>
      </c>
      <c r="D376" s="111" t="n">
        <v>1338.5</v>
      </c>
    </row>
    <row r="377" ht="15" customHeight="1" s="82">
      <c r="A377" s="94" t="inlineStr">
        <is>
          <t>רשת י-ם</t>
        </is>
      </c>
      <c r="B377" s="94" t="inlineStr">
        <is>
          <t>ברודר ב.שמש ב.מ</t>
        </is>
      </c>
      <c r="C377" s="111" t="n">
        <v>495.5</v>
      </c>
      <c r="D377" s="111" t="n">
        <v>75.8</v>
      </c>
    </row>
    <row r="378" ht="15" customHeight="1" s="82">
      <c r="A378" s="94" t="inlineStr">
        <is>
          <t>רשת י-ם</t>
        </is>
      </c>
      <c r="B378" s="94" t="inlineStr">
        <is>
          <t>בקשי מחנה יהודה י-ם ב.מ</t>
        </is>
      </c>
      <c r="C378" s="111" t="n">
        <v>7083.1</v>
      </c>
      <c r="D378" s="111" t="n">
        <v>5722.7</v>
      </c>
    </row>
    <row r="379" ht="15" customHeight="1" s="82">
      <c r="A379" s="94" t="inlineStr">
        <is>
          <t>רשת י-ם</t>
        </is>
      </c>
      <c r="B379" s="94" t="inlineStr">
        <is>
          <t>גאולה י-ם ב.מ</t>
        </is>
      </c>
      <c r="C379" s="111" t="n">
        <v>30059.5</v>
      </c>
      <c r="D379" s="111" t="n">
        <v>23194.1</v>
      </c>
    </row>
    <row r="380" ht="15" customHeight="1" s="82">
      <c r="A380" s="94" t="inlineStr">
        <is>
          <t>רשת י-ם</t>
        </is>
      </c>
      <c r="B380" s="94" t="inlineStr">
        <is>
          <t>גבעת זאב י-ם ב.מ</t>
        </is>
      </c>
      <c r="C380" s="111" t="n">
        <v>9444</v>
      </c>
      <c r="D380" s="111" t="n">
        <v>5895.1</v>
      </c>
    </row>
    <row r="381" ht="15" customHeight="1" s="82">
      <c r="A381" s="94" t="inlineStr">
        <is>
          <t>רשת י-ם</t>
        </is>
      </c>
      <c r="B381" s="94" t="inlineStr">
        <is>
          <t>גבעת שאול ב.מ-מדי פלוס בע""מ</t>
        </is>
      </c>
      <c r="C381" s="111" t="n">
        <v>8944.6</v>
      </c>
      <c r="D381" s="111" t="n">
        <v>6197.8</v>
      </c>
    </row>
    <row r="382" ht="15" customHeight="1" s="82">
      <c r="A382" s="94" t="inlineStr">
        <is>
          <t>רשת י-ם</t>
        </is>
      </c>
      <c r="B382" s="94" t="inlineStr">
        <is>
          <t>אורנים פארם ירושלים ב.מ</t>
        </is>
      </c>
      <c r="C382" s="111" t="n">
        <v>13503.9</v>
      </c>
      <c r="D382" s="111" t="n">
        <v>9183.200000000001</v>
      </c>
    </row>
    <row r="383" ht="15" customHeight="1" s="82">
      <c r="A383" s="94" t="inlineStr">
        <is>
          <t>רשת י-ם</t>
        </is>
      </c>
      <c r="B383" s="94" t="inlineStr">
        <is>
          <t>מוריה י-ם ב.מ</t>
        </is>
      </c>
      <c r="C383" s="111" t="n">
        <v>1066.9</v>
      </c>
      <c r="D383" s="111" t="n">
        <v>0</v>
      </c>
    </row>
    <row r="384" ht="15" customHeight="1" s="82">
      <c r="A384" s="94" t="inlineStr">
        <is>
          <t>רשת י-ם</t>
        </is>
      </c>
      <c r="B384" s="94" t="inlineStr">
        <is>
          <t>מזור י-ם ב.מ</t>
        </is>
      </c>
      <c r="C384" s="111" t="n">
        <v>1323.1</v>
      </c>
      <c r="D384" s="111" t="n">
        <v>805.4</v>
      </c>
    </row>
    <row r="385" ht="15" customHeight="1" s="82">
      <c r="A385" s="94" t="inlineStr">
        <is>
          <t>רשת י-ם</t>
        </is>
      </c>
      <c r="B385" s="94" t="inlineStr">
        <is>
          <t>ב.מ סנהדריה מדי פלוס</t>
        </is>
      </c>
      <c r="C385" s="111" t="n">
        <v>9339</v>
      </c>
      <c r="D385" s="111" t="n">
        <v>5440.6</v>
      </c>
    </row>
    <row r="386" ht="15" customHeight="1" s="82">
      <c r="A386" s="94" t="inlineStr">
        <is>
          <t>רשת י-ם</t>
        </is>
      </c>
      <c r="B386" s="94" t="inlineStr">
        <is>
          <t>עוזיאל י-ם ב.מ</t>
        </is>
      </c>
      <c r="C386" s="111" t="n">
        <v>6565.3</v>
      </c>
      <c r="D386" s="111" t="n">
        <v>5545.8</v>
      </c>
    </row>
    <row r="387" ht="15" customHeight="1" s="82">
      <c r="A387" s="94" t="inlineStr">
        <is>
          <t>רשת י-ם</t>
        </is>
      </c>
      <c r="B387" s="94" t="inlineStr">
        <is>
          <t>01.10 ב.מ.פארמה שאול בע""מ</t>
        </is>
      </c>
      <c r="C387" s="111" t="n">
        <v>3288.4</v>
      </c>
      <c r="D387" s="111" t="n">
        <v>1944.3</v>
      </c>
    </row>
    <row r="388" ht="15" customHeight="1" s="82">
      <c r="A388" s="94" t="inlineStr">
        <is>
          <t>רשת י-ם</t>
        </is>
      </c>
      <c r="B388" s="94" t="inlineStr">
        <is>
          <t>פטרה י-ם ב.מ</t>
        </is>
      </c>
      <c r="C388" s="111" t="n">
        <v>0</v>
      </c>
      <c r="D388" s="111" t="n">
        <v>0</v>
      </c>
    </row>
    <row r="389" ht="15" customHeight="1" s="82">
      <c r="A389" s="94" t="inlineStr">
        <is>
          <t>רשת י-ם</t>
        </is>
      </c>
      <c r="B389" s="94" t="inlineStr">
        <is>
          <t>מני י-ם ב.מ חדש</t>
        </is>
      </c>
      <c r="C389" s="111" t="n">
        <v>29</v>
      </c>
      <c r="D389" s="111" t="n">
        <v>0</v>
      </c>
    </row>
    <row r="390" ht="15" customHeight="1" s="82">
      <c r="A390" s="94" t="inlineStr">
        <is>
          <t>רשת י-ם</t>
        </is>
      </c>
      <c r="B390" s="94" t="inlineStr">
        <is>
          <t>הר הזיתים ב.מ</t>
        </is>
      </c>
      <c r="C390" s="111" t="n">
        <v>4611.2</v>
      </c>
      <c r="D390" s="111" t="n">
        <v>4022.4</v>
      </c>
    </row>
    <row r="391" ht="15" customHeight="1" s="82">
      <c r="A391" s="94" t="inlineStr">
        <is>
          <t>רשת י-ם</t>
        </is>
      </c>
      <c r="B391" s="94" t="inlineStr">
        <is>
          <t>דויטש י-ם ב.מ</t>
        </is>
      </c>
      <c r="C391" s="111" t="n">
        <v>8935.9</v>
      </c>
      <c r="D391" s="111" t="n">
        <v>6734.9</v>
      </c>
    </row>
    <row r="392" ht="15" customHeight="1" s="82">
      <c r="A392" s="94" t="inlineStr">
        <is>
          <t>רשת י-ם</t>
        </is>
      </c>
      <c r="B392" s="94" t="inlineStr">
        <is>
          <t>פארם פלוס ירושלים ב.מ</t>
        </is>
      </c>
      <c r="C392" s="111" t="n">
        <v>2906</v>
      </c>
      <c r="D392" s="111" t="n">
        <v>5199.2</v>
      </c>
    </row>
    <row r="393" ht="15" customHeight="1" s="82">
      <c r="A393" s="94" t="inlineStr">
        <is>
          <t>רשת י-ם</t>
        </is>
      </c>
      <c r="B393" s="94" t="inlineStr">
        <is>
          <t>ב.מ ארמון הנציב י-ם</t>
        </is>
      </c>
      <c r="C393" s="111" t="n">
        <v>0</v>
      </c>
      <c r="D393" s="111" t="n">
        <v>56.1</v>
      </c>
    </row>
    <row r="394" ht="15" customHeight="1" s="82">
      <c r="A394" s="94" t="inlineStr">
        <is>
          <t>רשת י-ם</t>
        </is>
      </c>
      <c r="B394" s="94" t="inlineStr">
        <is>
          <t>ג'נא פארם ב.מ מבשרת ציון</t>
        </is>
      </c>
      <c r="C394" s="111" t="n">
        <v>2437.3</v>
      </c>
      <c r="D394" s="111" t="n">
        <v>2047.8</v>
      </c>
    </row>
    <row r="395" ht="15" customHeight="1" s="82">
      <c r="A395" s="94" t="inlineStr">
        <is>
          <t>רשת י-ם</t>
        </is>
      </c>
      <c r="B395" s="94" t="inlineStr">
        <is>
          <t>מקסיפארם ברוכים י-ם ב.מ</t>
        </is>
      </c>
      <c r="C395" s="111" t="n">
        <v>2817.3</v>
      </c>
      <c r="D395" s="111" t="n">
        <v>1869.6</v>
      </c>
    </row>
    <row r="396" ht="15" customHeight="1" s="82">
      <c r="A396" s="94" t="inlineStr">
        <is>
          <t>רשת י-ם</t>
        </is>
      </c>
      <c r="B396" s="94" t="inlineStr">
        <is>
          <t>מוריה י-ם ב.מ</t>
        </is>
      </c>
      <c r="C396" s="111" t="n">
        <v>7413.7</v>
      </c>
      <c r="D396" s="111" t="n">
        <v>7207.6</v>
      </c>
    </row>
    <row r="397" ht="15" customHeight="1" s="82">
      <c r="A397" s="94" t="inlineStr">
        <is>
          <t>שור טבצניק</t>
        </is>
      </c>
      <c r="B397" s="94" t="inlineStr">
        <is>
          <t>שור טבצ'ניק ת""א ב.מ</t>
        </is>
      </c>
      <c r="C397" s="111" t="n">
        <v>7347.7</v>
      </c>
      <c r="D397" s="111" t="n">
        <v>3760</v>
      </c>
    </row>
    <row r="398" ht="15" customHeight="1" s="82">
      <c r="A398" s="94" t="inlineStr">
        <is>
          <t>שרם</t>
        </is>
      </c>
      <c r="B398" s="94" t="inlineStr">
        <is>
          <t>טללים רמלה ב.מ שרםפארם</t>
        </is>
      </c>
      <c r="C398" s="111" t="n">
        <v>0</v>
      </c>
      <c r="D398" s="111" t="n">
        <v>0</v>
      </c>
    </row>
    <row r="399" ht="15" customHeight="1" s="82">
      <c r="A399" s="94" t="inlineStr">
        <is>
          <t>שרם</t>
        </is>
      </c>
      <c r="B399" s="94" t="inlineStr">
        <is>
          <t>מזור יבנה ב.מ שרמפארם</t>
        </is>
      </c>
      <c r="C399" s="111" t="n">
        <v>535.7</v>
      </c>
      <c r="D399" s="111" t="n">
        <v>94.09999999999999</v>
      </c>
    </row>
    <row r="400" ht="15" customHeight="1" s="82">
      <c r="A400" s="94" t="inlineStr">
        <is>
          <t>שרם</t>
        </is>
      </c>
      <c r="B400" s="94" t="inlineStr">
        <is>
          <t>פארם דרום רהט שרם</t>
        </is>
      </c>
      <c r="C400" s="111" t="n">
        <v>0</v>
      </c>
      <c r="D400" s="111" t="n">
        <v>262.4</v>
      </c>
    </row>
    <row r="401" ht="15" customHeight="1" s="82">
      <c r="A401" s="94" t="inlineStr">
        <is>
          <t>שרם</t>
        </is>
      </c>
      <c r="B401" s="94" t="inlineStr">
        <is>
          <t>גבעת שמואל ב.מ. שרםפארם</t>
        </is>
      </c>
      <c r="C401" s="111" t="n">
        <v>0</v>
      </c>
      <c r="D401" s="111" t="n">
        <v>0</v>
      </c>
    </row>
    <row r="402" ht="15" customHeight="1" s="82">
      <c r="A402" s="94" t="inlineStr">
        <is>
          <t>שרם</t>
        </is>
      </c>
      <c r="B402" s="94" t="inlineStr">
        <is>
          <t>ב.מ הלא - אלפי מנשה שרמפארם</t>
        </is>
      </c>
      <c r="C402" s="111" t="n">
        <v>7491.6</v>
      </c>
      <c r="D402" s="111" t="n">
        <v>5367.9</v>
      </c>
    </row>
    <row r="403" ht="15" customHeight="1" s="82">
      <c r="A403" s="94" t="inlineStr">
        <is>
          <t>שרם</t>
        </is>
      </c>
      <c r="B403" s="94" t="inlineStr">
        <is>
          <t>הלא ג'לג'וליה ב.מ שרםפארם</t>
        </is>
      </c>
      <c r="C403" s="111" t="n">
        <v>10989.9</v>
      </c>
      <c r="D403" s="111" t="n">
        <v>8264.4</v>
      </c>
    </row>
    <row r="404" ht="15" customHeight="1" s="82">
      <c r="A404" s="94" t="inlineStr">
        <is>
          <t>שרם</t>
        </is>
      </c>
      <c r="B404" s="94" t="inlineStr">
        <is>
          <t>המרקחה ב.מ 03.11 שרמפארם</t>
        </is>
      </c>
      <c r="C404" s="111" t="n">
        <v>9903.200000000001</v>
      </c>
      <c r="D404" s="111" t="n">
        <v>9776.6</v>
      </c>
    </row>
    <row r="405" ht="15" customHeight="1" s="82">
      <c r="A405" s="94" t="inlineStr">
        <is>
          <t>שרם</t>
        </is>
      </c>
      <c r="B405" s="94" t="inlineStr">
        <is>
          <t>אבי 2 ר""ג שרםפארם</t>
        </is>
      </c>
      <c r="C405" s="111" t="n">
        <v>2089.8</v>
      </c>
      <c r="D405" s="111" t="n">
        <v>2667.8</v>
      </c>
    </row>
    <row r="406" ht="15" customHeight="1" s="82">
      <c r="A406" s="94" t="inlineStr">
        <is>
          <t>שרם</t>
        </is>
      </c>
      <c r="B406" s="94" t="inlineStr">
        <is>
          <t>תל גנים ב.מ שרםפארם גבעתיים</t>
        </is>
      </c>
      <c r="C406" s="111" t="n">
        <v>2802.5</v>
      </c>
      <c r="D406" s="111" t="n">
        <v>3470.3</v>
      </c>
    </row>
    <row r="407" ht="15" customHeight="1" s="82">
      <c r="A407" s="94" t="inlineStr">
        <is>
          <t>שרם</t>
        </is>
      </c>
      <c r="B407" s="94" t="inlineStr">
        <is>
          <t>ד""ר חורי חולון ב.מ שרםפארם</t>
        </is>
      </c>
      <c r="C407" s="111" t="n">
        <v>0</v>
      </c>
      <c r="D407" s="111" t="n">
        <v>0</v>
      </c>
    </row>
    <row r="408" ht="15" customHeight="1" s="82">
      <c r="A408" s="94" t="inlineStr">
        <is>
          <t>שרם</t>
        </is>
      </c>
      <c r="B408" s="94" t="inlineStr">
        <is>
          <t>הרצליה פארמה פלוס שרמפארם ב.מ</t>
        </is>
      </c>
      <c r="C408" s="111" t="n">
        <v>0</v>
      </c>
      <c r="D408" s="111" t="n">
        <v>0</v>
      </c>
    </row>
    <row r="409" ht="15" customHeight="1" s="82">
      <c r="A409" s="94" t="inlineStr">
        <is>
          <t>שרם</t>
        </is>
      </c>
      <c r="B409" s="94" t="inlineStr">
        <is>
          <t>טל שחר ת""א ב.מ שרםפארם</t>
        </is>
      </c>
      <c r="C409" s="111" t="n">
        <v>841.7</v>
      </c>
      <c r="D409" s="111" t="n">
        <v>2020.2</v>
      </c>
    </row>
    <row r="410" ht="15" customHeight="1" s="82">
      <c r="A410" s="94" t="inlineStr">
        <is>
          <t>שרם</t>
        </is>
      </c>
      <c r="B410" s="94" t="inlineStr">
        <is>
          <t>יהודית נ.שרת ב.מ שרםפארם</t>
        </is>
      </c>
      <c r="C410" s="111" t="n">
        <v>93.59999999999999</v>
      </c>
      <c r="D410" s="111" t="n">
        <v>0</v>
      </c>
    </row>
    <row r="411" ht="15" customHeight="1" s="82">
      <c r="A411" s="94" t="inlineStr">
        <is>
          <t>שרם</t>
        </is>
      </c>
      <c r="B411" s="94" t="inlineStr">
        <is>
          <t>למד ת""א ב.מ שרםפארם</t>
        </is>
      </c>
      <c r="C411" s="111" t="n">
        <v>447.1</v>
      </c>
      <c r="D411" s="111" t="n">
        <v>0</v>
      </c>
    </row>
    <row r="412" ht="15" customHeight="1" s="82">
      <c r="A412" s="94" t="inlineStr">
        <is>
          <t>שרם</t>
        </is>
      </c>
      <c r="B412" s="94" t="inlineStr">
        <is>
          <t>נחמיה ב""ב ב.מ שרםפארם</t>
        </is>
      </c>
      <c r="C412" s="111" t="n">
        <v>471.3</v>
      </c>
      <c r="D412" s="111" t="n">
        <v>240.7</v>
      </c>
    </row>
    <row r="413" ht="15" customHeight="1" s="82">
      <c r="A413" s="94" t="inlineStr">
        <is>
          <t>שרם</t>
        </is>
      </c>
      <c r="B413" s="94" t="inlineStr">
        <is>
          <t>נוגה גבעתיים ב.מ שרםפארם</t>
        </is>
      </c>
      <c r="C413" s="111" t="n">
        <v>0</v>
      </c>
      <c r="D413" s="111" t="n">
        <v>0</v>
      </c>
    </row>
    <row r="414" ht="15" customHeight="1" s="82">
      <c r="A414" s="94" t="inlineStr">
        <is>
          <t>שרם</t>
        </is>
      </c>
      <c r="B414" s="94" t="inlineStr">
        <is>
          <t>רימונה ת""א ב.מ שרםפארם</t>
        </is>
      </c>
      <c r="C414" s="111" t="n">
        <v>0</v>
      </c>
      <c r="D414" s="111" t="n">
        <v>0</v>
      </c>
    </row>
    <row r="415" ht="15" customHeight="1" s="82">
      <c r="A415" s="94" t="inlineStr">
        <is>
          <t>שרם</t>
        </is>
      </c>
      <c r="B415" s="94" t="inlineStr">
        <is>
          <t>שפירא ב""ב ב.מ שרםפארם</t>
        </is>
      </c>
      <c r="C415" s="111" t="n">
        <v>79.59999999999999</v>
      </c>
      <c r="D415" s="111" t="n">
        <v>0</v>
      </c>
    </row>
    <row r="416" ht="15" customHeight="1" s="82">
      <c r="A416" s="94" t="inlineStr">
        <is>
          <t>שרם</t>
        </is>
      </c>
      <c r="B416" s="94" t="inlineStr">
        <is>
          <t>יהודה הלוי ת""א ב.מ שרםפארם</t>
        </is>
      </c>
      <c r="C416" s="111" t="n">
        <v>5573.3</v>
      </c>
      <c r="D416" s="111" t="n">
        <v>452.2</v>
      </c>
    </row>
    <row r="417" ht="15" customHeight="1" s="82">
      <c r="A417" s="94" t="inlineStr">
        <is>
          <t>שרם</t>
        </is>
      </c>
      <c r="B417" s="94" t="inlineStr">
        <is>
          <t>מרכז צפון ת""א ב.מ שרםפארם</t>
        </is>
      </c>
      <c r="C417" s="111" t="n">
        <v>2111.7</v>
      </c>
      <c r="D417" s="111" t="n">
        <v>1404</v>
      </c>
    </row>
    <row r="418" ht="15" customHeight="1" s="82">
      <c r="A418" s="94" t="inlineStr">
        <is>
          <t>שרם</t>
        </is>
      </c>
      <c r="B418" s="94" t="inlineStr">
        <is>
          <t>בית מרקחת גן העיר ת""א שרםפארם</t>
        </is>
      </c>
      <c r="C418" s="111" t="n">
        <v>254.3</v>
      </c>
      <c r="D418" s="111" t="n">
        <v>0</v>
      </c>
    </row>
    <row r="419" ht="15" customHeight="1" s="82">
      <c r="A419" s="94" t="inlineStr">
        <is>
          <t>שרם</t>
        </is>
      </c>
      <c r="B419" s="94" t="inlineStr">
        <is>
          <t>בלסם פארם בית ג'אן ב.מ שרמפארם</t>
        </is>
      </c>
      <c r="C419" s="111" t="n">
        <v>1041.4</v>
      </c>
      <c r="D419" s="111" t="n">
        <v>2841.2</v>
      </c>
    </row>
    <row r="420" ht="15" customHeight="1" s="82">
      <c r="A420" s="94" t="inlineStr">
        <is>
          <t>שרם</t>
        </is>
      </c>
      <c r="B420" s="94" t="inlineStr">
        <is>
          <t>הגליל תרשיחא ב.מ שרמפארם</t>
        </is>
      </c>
      <c r="C420" s="111" t="n">
        <v>34954</v>
      </c>
      <c r="D420" s="111" t="n">
        <v>14262.8</v>
      </c>
    </row>
    <row r="421" ht="15" customHeight="1" s="82">
      <c r="A421" s="94" t="inlineStr">
        <is>
          <t>שרם</t>
        </is>
      </c>
      <c r="B421" s="94" t="inlineStr">
        <is>
          <t>מטר פארם ב.מ עכו</t>
        </is>
      </c>
      <c r="C421" s="111" t="n">
        <v>3479.1</v>
      </c>
      <c r="D421" s="111" t="n">
        <v>1412.2</v>
      </c>
    </row>
    <row r="422" ht="15" customHeight="1" s="82">
      <c r="A422" s="94" t="inlineStr">
        <is>
          <t>שרם</t>
        </is>
      </c>
      <c r="B422" s="94" t="inlineStr">
        <is>
          <t>מעלות בע""מ ב.מ  שרמפארם</t>
        </is>
      </c>
      <c r="C422" s="111" t="n">
        <v>2180.9</v>
      </c>
      <c r="D422" s="111" t="n">
        <v>0</v>
      </c>
    </row>
    <row r="423" ht="15" customHeight="1" s="82">
      <c r="A423" s="94" t="inlineStr">
        <is>
          <t>שרם</t>
        </is>
      </c>
      <c r="B423" s="94" t="inlineStr">
        <is>
          <t>רקפות מעלות ב.מ שרמפארם</t>
        </is>
      </c>
      <c r="C423" s="111" t="n">
        <v>5673.5</v>
      </c>
      <c r="D423" s="111" t="n">
        <v>5638.6</v>
      </c>
    </row>
    <row r="424" ht="15" customHeight="1" s="82">
      <c r="A424" s="94" t="inlineStr">
        <is>
          <t>שרם</t>
        </is>
      </c>
      <c r="B424" s="94" t="inlineStr">
        <is>
          <t>מעלות בעמכ-פר ורדים ב.מ. שרמפא</t>
        </is>
      </c>
      <c r="C424" s="111" t="n">
        <v>4032.4</v>
      </c>
      <c r="D424" s="111" t="n">
        <v>2740.7</v>
      </c>
    </row>
    <row r="425" ht="15" customHeight="1" s="82">
      <c r="A425" s="94" t="inlineStr">
        <is>
          <t>שרם</t>
        </is>
      </c>
      <c r="B425" s="94" t="inlineStr">
        <is>
          <t>נזרין פארם ב.מ  שרמפארם</t>
        </is>
      </c>
      <c r="C425" s="111" t="n">
        <v>0</v>
      </c>
      <c r="D425" s="111" t="n">
        <v>0</v>
      </c>
    </row>
    <row r="426" ht="15" customHeight="1" s="82">
      <c r="A426" s="94" t="inlineStr">
        <is>
          <t>שרם</t>
        </is>
      </c>
      <c r="B426" s="94" t="inlineStr">
        <is>
          <t>נארימאן פארם בע""מ כפר ראמה שרמ</t>
        </is>
      </c>
      <c r="C426" s="111" t="n">
        <v>9047.1</v>
      </c>
      <c r="D426" s="111" t="n">
        <v>6683.7</v>
      </c>
    </row>
    <row r="427" ht="15" customHeight="1" s="82">
      <c r="A427" s="94" t="inlineStr">
        <is>
          <t>שרם</t>
        </is>
      </c>
      <c r="B427" s="94" t="inlineStr">
        <is>
          <t>ספא פארם נצרת עילית ב.מ שרמפאר</t>
        </is>
      </c>
      <c r="C427" s="111" t="n">
        <v>1670</v>
      </c>
      <c r="D427" s="111" t="n">
        <v>1496.4</v>
      </c>
    </row>
    <row r="428" ht="15" customHeight="1" s="82">
      <c r="A428" s="94" t="inlineStr">
        <is>
          <t>שרם</t>
        </is>
      </c>
      <c r="B428" s="94" t="inlineStr">
        <is>
          <t>טמרה פארם בע""מ  ב.מ שרמפארם</t>
        </is>
      </c>
      <c r="C428" s="111" t="n">
        <v>20967</v>
      </c>
      <c r="D428" s="111" t="n">
        <v>8492.9</v>
      </c>
    </row>
    <row r="429" ht="15" customHeight="1" s="82">
      <c r="A429" s="94" t="inlineStr">
        <is>
          <t>שרם</t>
        </is>
      </c>
      <c r="B429" s="94" t="inlineStr">
        <is>
          <t>אורנים טבעון ב.מ שרמפארם</t>
        </is>
      </c>
      <c r="C429" s="111" t="n">
        <v>314.5</v>
      </c>
      <c r="D429" s="111" t="n">
        <v>590</v>
      </c>
    </row>
    <row r="430" ht="15" customHeight="1" s="82">
      <c r="A430" s="94" t="inlineStr">
        <is>
          <t>שרם</t>
        </is>
      </c>
      <c r="B430" s="94" t="inlineStr">
        <is>
          <t>לב כרמל בע""מ ב.מ  שרמפארם</t>
        </is>
      </c>
      <c r="C430" s="111" t="n">
        <v>4847.3</v>
      </c>
      <c r="D430" s="111" t="n">
        <v>3536.1</v>
      </c>
    </row>
    <row r="431" ht="15" customHeight="1" s="82">
      <c r="A431" s="94" t="inlineStr">
        <is>
          <t>שרם</t>
        </is>
      </c>
      <c r="B431" s="94" t="inlineStr">
        <is>
          <t>מירוני חיפה ב.מ שרמפארם</t>
        </is>
      </c>
      <c r="C431" s="111" t="n">
        <v>0</v>
      </c>
      <c r="D431" s="111" t="n">
        <v>0</v>
      </c>
    </row>
    <row r="432" ht="15" customHeight="1" s="82">
      <c r="A432" s="94" t="inlineStr">
        <is>
          <t>שרם</t>
        </is>
      </c>
      <c r="B432" s="94" t="inlineStr">
        <is>
          <t>העליה השניה בע""מ בימ""ק שרמפארם</t>
        </is>
      </c>
      <c r="C432" s="111" t="n">
        <v>8422.5</v>
      </c>
      <c r="D432" s="111" t="n">
        <v>4596</v>
      </c>
    </row>
    <row r="433" ht="15" customHeight="1" s="82">
      <c r="A433" s="94" t="inlineStr">
        <is>
          <t>שרם</t>
        </is>
      </c>
      <c r="B433" s="94" t="inlineStr">
        <is>
          <t>צמח פארם ב.מ שרמפארם</t>
        </is>
      </c>
      <c r="C433" s="111" t="n">
        <v>6314.8</v>
      </c>
      <c r="D433" s="111" t="n">
        <v>3440.7</v>
      </c>
    </row>
    <row r="434" ht="15" customHeight="1" s="82">
      <c r="A434" s="94" t="inlineStr">
        <is>
          <t>שרם</t>
        </is>
      </c>
      <c r="B434" s="94" t="inlineStr">
        <is>
          <t>שבתאי לוי ב.מ  חיפה שרמפארם</t>
        </is>
      </c>
      <c r="C434" s="111" t="n">
        <v>0</v>
      </c>
      <c r="D434" s="111" t="n">
        <v>243.6</v>
      </c>
    </row>
    <row r="435" ht="15" customHeight="1" s="82">
      <c r="A435" s="94" t="inlineStr">
        <is>
          <t>שרם</t>
        </is>
      </c>
      <c r="B435" s="94" t="inlineStr">
        <is>
          <t>גולן פארם קצרין ב.מ שרמפארם</t>
        </is>
      </c>
      <c r="C435" s="111" t="n">
        <v>2565.6</v>
      </c>
      <c r="D435" s="111" t="n">
        <v>969.2</v>
      </c>
    </row>
    <row r="436" ht="15" customHeight="1" s="82">
      <c r="A436" s="94" t="inlineStr">
        <is>
          <t>שרם</t>
        </is>
      </c>
      <c r="B436" s="94" t="inlineStr">
        <is>
          <t>פארם לקיה ב.מ  ש.ר.ם</t>
        </is>
      </c>
      <c r="C436" s="111" t="n">
        <v>4575</v>
      </c>
      <c r="D436" s="111" t="n">
        <v>1355.6</v>
      </c>
    </row>
    <row r="437" ht="15" customHeight="1" s="82">
      <c r="A437" s="94" t="inlineStr">
        <is>
          <t>שרם</t>
        </is>
      </c>
      <c r="B437" s="94" t="inlineStr">
        <is>
          <t>נוה גנים ק מוצקין 3178 ב.מ</t>
        </is>
      </c>
      <c r="C437" s="111" t="n">
        <v>481.7</v>
      </c>
      <c r="D437" s="111" t="n">
        <v>818</v>
      </c>
    </row>
    <row r="438" ht="15" customHeight="1" s="82">
      <c r="A438" s="94" t="inlineStr">
        <is>
          <t>שרם</t>
        </is>
      </c>
      <c r="B438" s="94" t="inlineStr">
        <is>
          <t>ב.מ לנא שוכרי פארם סביון שרמפא</t>
        </is>
      </c>
      <c r="C438" s="111" t="n">
        <v>3998.3</v>
      </c>
      <c r="D438" s="111" t="n">
        <v>2832.9</v>
      </c>
    </row>
    <row r="439" ht="15" customHeight="1" s="82">
      <c r="A439" s="94" t="inlineStr">
        <is>
          <t>שרם</t>
        </is>
      </c>
      <c r="B439" s="94" t="inlineStr">
        <is>
          <t>בר אילן רעננה ב.מ שרמפארם</t>
        </is>
      </c>
      <c r="C439" s="111" t="n">
        <v>2422.6</v>
      </c>
      <c r="D439" s="111" t="n">
        <v>1061.8</v>
      </c>
    </row>
    <row r="440" ht="15" customHeight="1" s="82">
      <c r="A440" s="94" t="inlineStr">
        <is>
          <t>שרם</t>
        </is>
      </c>
      <c r="B440" s="94" t="inlineStr">
        <is>
          <t>מזרח עכו ב.מ שרמפארם</t>
        </is>
      </c>
      <c r="C440" s="111" t="n">
        <v>14835.2</v>
      </c>
      <c r="D440" s="111" t="n">
        <v>9395.1</v>
      </c>
    </row>
    <row r="441" ht="15" customHeight="1" s="82">
      <c r="A441" s="94" t="inlineStr">
        <is>
          <t>שרם</t>
        </is>
      </c>
      <c r="B441" s="94" t="inlineStr">
        <is>
          <t>.ברק )י.מ.שרותי רוקחות(ת""א ב.מ</t>
        </is>
      </c>
      <c r="C441" s="111" t="n">
        <v>6545.1</v>
      </c>
      <c r="D441" s="111" t="n">
        <v>3322.6</v>
      </c>
    </row>
    <row r="442" ht="15" customHeight="1" s="82">
      <c r="A442" s="94" t="inlineStr">
        <is>
          <t>שרם</t>
        </is>
      </c>
      <c r="B442" s="94" t="inlineStr">
        <is>
          <t>פריים פארם-יהודה המכבי ב.מ.שרמ</t>
        </is>
      </c>
      <c r="C442" s="111" t="n">
        <v>14577.2</v>
      </c>
      <c r="D442" s="111" t="n">
        <v>8995.4</v>
      </c>
    </row>
    <row r="443" ht="15" customHeight="1" s="82">
      <c r="A443" s="94" t="inlineStr">
        <is>
          <t>שרם</t>
        </is>
      </c>
      <c r="B443" s="94" t="inlineStr">
        <is>
          <t>דן אשדוד ב.מ שרמפארם</t>
        </is>
      </c>
      <c r="C443" s="111" t="n">
        <v>3309</v>
      </c>
      <c r="D443" s="111" t="n">
        <v>4284.7</v>
      </c>
    </row>
    <row r="444" ht="15" customHeight="1" s="82">
      <c r="A444" s="94" t="inlineStr">
        <is>
          <t>שרם</t>
        </is>
      </c>
      <c r="B444" s="94" t="inlineStr">
        <is>
          <t>מדיקה ק.ים-אלבוסתן פארם בע""מ ב</t>
        </is>
      </c>
      <c r="C444" s="111" t="n">
        <v>2837.7</v>
      </c>
      <c r="D444" s="111" t="n">
        <v>1079.9</v>
      </c>
    </row>
    <row r="445" ht="15" customHeight="1" s="82">
      <c r="A445" s="94" t="inlineStr">
        <is>
          <t>שרם</t>
        </is>
      </c>
      <c r="B445" s="94" t="inlineStr">
        <is>
          <t>א.ג.שפינוזה ר""ג ב.מ. שרמפארם</t>
        </is>
      </c>
      <c r="C445" s="111" t="n">
        <v>7890.5</v>
      </c>
      <c r="D445" s="111" t="n">
        <v>5023.3</v>
      </c>
    </row>
    <row r="446" ht="15" customHeight="1" s="82">
      <c r="A446" s="94" t="inlineStr">
        <is>
          <t>שרם</t>
        </is>
      </c>
      <c r="B446" s="94" t="inlineStr">
        <is>
          <t>רהט פארם ב.מ שרמפארם</t>
        </is>
      </c>
      <c r="C446" s="111" t="n">
        <v>6261.5</v>
      </c>
      <c r="D446" s="111" t="n">
        <v>3309</v>
      </c>
    </row>
    <row r="447" ht="15" customHeight="1" s="82">
      <c r="A447" s="94" t="inlineStr">
        <is>
          <t>שרם</t>
        </is>
      </c>
      <c r="B447" s="94" t="inlineStr">
        <is>
          <t>ב.מ שרה פארם צור יצחק שרמפארם</t>
        </is>
      </c>
      <c r="C447" s="111" t="n">
        <v>3597.2</v>
      </c>
      <c r="D447" s="111" t="n">
        <v>4903.1</v>
      </c>
    </row>
    <row r="448" ht="15" customHeight="1" s="82">
      <c r="A448" s="94" t="inlineStr">
        <is>
          <t>שרם</t>
        </is>
      </c>
      <c r="B448" s="94" t="inlineStr">
        <is>
          <t>ריינה-אומגה פארם בע""מ שרמפארם</t>
        </is>
      </c>
      <c r="C448" s="111" t="n">
        <v>4619.5</v>
      </c>
      <c r="D448" s="111" t="n">
        <v>2051.3</v>
      </c>
    </row>
    <row r="449" ht="15" customHeight="1" s="82">
      <c r="A449" s="94" t="inlineStr">
        <is>
          <t>שרם</t>
        </is>
      </c>
      <c r="B449" s="94" t="inlineStr">
        <is>
          <t>רמת רבין ב.מ כרמיאל שרמפארם</t>
        </is>
      </c>
      <c r="C449" s="111" t="n">
        <v>3701.6</v>
      </c>
      <c r="D449" s="111" t="n">
        <v>110.5</v>
      </c>
    </row>
    <row r="450" ht="15" customHeight="1" s="82">
      <c r="A450" s="94" t="inlineStr">
        <is>
          <t>שרם</t>
        </is>
      </c>
      <c r="B450" s="94" t="inlineStr">
        <is>
          <t>עילית מודיעין ב.מ שרמפארם</t>
        </is>
      </c>
      <c r="C450" s="111" t="n">
        <v>6136.8</v>
      </c>
      <c r="D450" s="111" t="n">
        <v>6076</v>
      </c>
    </row>
    <row r="451" ht="15" customHeight="1" s="82">
      <c r="A451" s="94" t="inlineStr">
        <is>
          <t>שרם</t>
        </is>
      </c>
      <c r="B451" s="94" t="inlineStr">
        <is>
          <t>המרכז נס ציונה ב.מ שרםפארם</t>
        </is>
      </c>
      <c r="C451" s="111" t="n">
        <v>1558.7</v>
      </c>
      <c r="D451" s="111" t="n">
        <v>1844.5</v>
      </c>
    </row>
    <row r="452" ht="15" customHeight="1" s="82">
      <c r="A452" s="94" t="inlineStr">
        <is>
          <t>שרם</t>
        </is>
      </c>
      <c r="B452" s="94" t="inlineStr">
        <is>
          <t>אלסלאם כאבול ב.מ שרמפארם- ישן</t>
        </is>
      </c>
      <c r="C452" s="111" t="n">
        <v>0</v>
      </c>
      <c r="D452" s="111" t="n">
        <v>0</v>
      </c>
    </row>
    <row r="453" ht="15" customHeight="1" s="82">
      <c r="A453" s="94" t="inlineStr">
        <is>
          <t>שרם</t>
        </is>
      </c>
      <c r="B453" s="94" t="inlineStr">
        <is>
          <t>אלאסראא שפרעם ב.מ שרמפארם</t>
        </is>
      </c>
      <c r="C453" s="111" t="n">
        <v>15091.1</v>
      </c>
      <c r="D453" s="111" t="n">
        <v>2161.9</v>
      </c>
    </row>
    <row r="454" ht="15" customHeight="1" s="82">
      <c r="A454" s="94" t="inlineStr">
        <is>
          <t>שרם</t>
        </is>
      </c>
      <c r="B454" s="94" t="inlineStr">
        <is>
          <t>ביר אל מכסור ב.מ שרמפארם</t>
        </is>
      </c>
      <c r="C454" s="111" t="n">
        <v>946.4</v>
      </c>
      <c r="D454" s="111" t="n">
        <v>0</v>
      </c>
    </row>
    <row r="455" ht="15" customHeight="1" s="82">
      <c r="A455" s="94" t="inlineStr">
        <is>
          <t>שרם</t>
        </is>
      </c>
      <c r="B455" s="94" t="inlineStr">
        <is>
          <t>גולן פארם כפר מנדא במ שרם</t>
        </is>
      </c>
      <c r="C455" s="111" t="n">
        <v>0</v>
      </c>
      <c r="D455" s="111" t="n">
        <v>0</v>
      </c>
    </row>
    <row r="456" ht="15" customHeight="1" s="82">
      <c r="A456" s="94" t="inlineStr">
        <is>
          <t>שרם</t>
        </is>
      </c>
      <c r="B456" s="94" t="inlineStr">
        <is>
          <t>מרכז עכו ב.מ שרמפארם</t>
        </is>
      </c>
      <c r="C456" s="111" t="n">
        <v>2431.6</v>
      </c>
      <c r="D456" s="111" t="n">
        <v>43.4</v>
      </c>
    </row>
    <row r="457" ht="15" customHeight="1" s="82">
      <c r="A457" s="94" t="inlineStr">
        <is>
          <t>שרם</t>
        </is>
      </c>
      <c r="B457" s="94" t="inlineStr">
        <is>
          <t>ספא פארם ב.מ סכנין חדש שרמפארם</t>
        </is>
      </c>
      <c r="C457" s="111" t="n">
        <v>2837.3</v>
      </c>
      <c r="D457" s="111" t="n">
        <v>2623.8</v>
      </c>
    </row>
    <row r="458" ht="15" customHeight="1" s="82">
      <c r="A458" s="94" t="inlineStr">
        <is>
          <t>שרם</t>
        </is>
      </c>
      <c r="B458" s="94" t="inlineStr">
        <is>
          <t>פארמה פלוס שפרעם ב.מ שרמפארם</t>
        </is>
      </c>
      <c r="C458" s="111" t="n">
        <v>11549.8</v>
      </c>
      <c r="D458" s="111" t="n">
        <v>8166.8</v>
      </c>
    </row>
    <row r="459" ht="15" customHeight="1" s="82">
      <c r="A459" s="94" t="inlineStr">
        <is>
          <t>שרם</t>
        </is>
      </c>
      <c r="B459" s="94" t="inlineStr">
        <is>
          <t>כפר שמריהו ב.מ )חדש( שרמפארם</t>
        </is>
      </c>
      <c r="C459" s="111" t="n">
        <v>15288.6</v>
      </c>
      <c r="D459" s="111" t="n">
        <v>10405.7</v>
      </c>
    </row>
    <row r="460" ht="15" customHeight="1" s="82">
      <c r="A460" s="94" t="inlineStr">
        <is>
          <t>שרם</t>
        </is>
      </c>
      <c r="B460" s="94" t="inlineStr">
        <is>
          <t>לב הרצליה חדש ב.מ שרמפארם</t>
        </is>
      </c>
      <c r="C460" s="111" t="n">
        <v>965.8</v>
      </c>
      <c r="D460" s="111" t="n">
        <v>344.1</v>
      </c>
    </row>
    <row r="461" ht="15" customHeight="1" s="82">
      <c r="A461" s="94" t="inlineStr">
        <is>
          <t>שרם</t>
        </is>
      </c>
      <c r="B461" s="94" t="inlineStr">
        <is>
          <t>רהט פארם סיטי שרמפארם</t>
        </is>
      </c>
      <c r="C461" s="111" t="n">
        <v>14672.2</v>
      </c>
      <c r="D461" s="111" t="n">
        <v>18019</v>
      </c>
    </row>
    <row r="462" ht="15" customHeight="1" s="82">
      <c r="A462" s="94" t="inlineStr">
        <is>
          <t>שרם</t>
        </is>
      </c>
      <c r="B462" s="94" t="inlineStr">
        <is>
          <t>ב.מ.בריאות נאווה בע""מ חולון</t>
        </is>
      </c>
      <c r="C462" s="111" t="n">
        <v>42.5</v>
      </c>
      <c r="D462" s="111" t="n">
        <v>0</v>
      </c>
    </row>
    <row r="463" ht="15" customHeight="1" s="82">
      <c r="A463" s="94" t="inlineStr">
        <is>
          <t>שרם</t>
        </is>
      </c>
      <c r="B463" s="94" t="inlineStr">
        <is>
          <t>הבירה י-ם ב.מ שרמפארם</t>
        </is>
      </c>
      <c r="C463" s="111" t="n">
        <v>251</v>
      </c>
      <c r="D463" s="111" t="n">
        <v>57.9</v>
      </c>
    </row>
    <row r="464" ht="15" customHeight="1" s="82">
      <c r="A464" s="94" t="inlineStr">
        <is>
          <t>שרם</t>
        </is>
      </c>
      <c r="B464" s="94" t="inlineStr">
        <is>
          <t>הר נוף י-ם ב.מ שרמפארם</t>
        </is>
      </c>
      <c r="C464" s="111" t="n">
        <v>3019</v>
      </c>
      <c r="D464" s="111" t="n">
        <v>2040.9</v>
      </c>
    </row>
    <row r="465" ht="15" customHeight="1" s="82">
      <c r="A465" s="94" t="inlineStr">
        <is>
          <t>שרם</t>
        </is>
      </c>
      <c r="B465" s="94" t="inlineStr">
        <is>
          <t>בימר""ק אלחיאת טייבה שרמפארם</t>
        </is>
      </c>
      <c r="C465" s="111" t="n">
        <v>41.4</v>
      </c>
      <c r="D465" s="111" t="n">
        <v>82.8</v>
      </c>
    </row>
    <row r="466" ht="15" customHeight="1" s="82">
      <c r="A466" s="94" t="inlineStr">
        <is>
          <t>שרם</t>
        </is>
      </c>
      <c r="B466" s="94" t="inlineStr">
        <is>
          <t>הלא פארם ג'לג'וליה ב.מ</t>
        </is>
      </c>
      <c r="C466" s="111" t="n">
        <v>10344.2</v>
      </c>
      <c r="D466" s="111" t="n">
        <v>6480.9</v>
      </c>
    </row>
    <row r="467" ht="15" customHeight="1" s="82">
      <c r="A467" s="94" t="inlineStr">
        <is>
          <t>שרם</t>
        </is>
      </c>
      <c r="B467" s="94" t="inlineStr">
        <is>
          <t>רמי קלנסואה ב.מ</t>
        </is>
      </c>
      <c r="C467" s="111" t="n">
        <v>5585.5</v>
      </c>
      <c r="D467" s="111" t="n">
        <v>2018.5</v>
      </c>
    </row>
    <row r="468" ht="15" customHeight="1" s="82">
      <c r="A468" s="94" t="inlineStr">
        <is>
          <t>שרם</t>
        </is>
      </c>
      <c r="B468" s="94" t="inlineStr">
        <is>
          <t>קלנסואה ב.מ שרמפארם</t>
        </is>
      </c>
      <c r="C468" s="111" t="n">
        <v>0</v>
      </c>
      <c r="D468" s="111" t="n">
        <v>0</v>
      </c>
    </row>
    <row r="469" ht="15" customHeight="1" s="82">
      <c r="A469" s="94" t="inlineStr">
        <is>
          <t>שרם</t>
        </is>
      </c>
      <c r="B469" s="94" t="inlineStr">
        <is>
          <t>מדז בני ברק בימר""ק שרמפארם</t>
        </is>
      </c>
      <c r="C469" s="111" t="n">
        <v>0</v>
      </c>
      <c r="D469" s="111" t="n">
        <v>0</v>
      </c>
    </row>
    <row r="470" ht="15" customHeight="1" s="82">
      <c r="A470" s="94" t="inlineStr">
        <is>
          <t>שרם</t>
        </is>
      </c>
      <c r="B470" s="94" t="inlineStr">
        <is>
          <t>אקספו פארם מכר ב.מ שרמפארם</t>
        </is>
      </c>
      <c r="C470" s="111" t="n">
        <v>10654.4</v>
      </c>
      <c r="D470" s="111" t="n">
        <v>4330.6</v>
      </c>
    </row>
    <row r="471" ht="15" customHeight="1" s="82">
      <c r="A471" s="94" t="inlineStr">
        <is>
          <t>שרם</t>
        </is>
      </c>
      <c r="B471" s="94" t="inlineStr">
        <is>
          <t>אקופארם ב.מ מעלות שרמפארם</t>
        </is>
      </c>
      <c r="C471" s="111" t="n">
        <v>5265</v>
      </c>
      <c r="D471" s="111" t="n">
        <v>4316.5</v>
      </c>
    </row>
    <row r="472" ht="15" customHeight="1" s="82">
      <c r="A472" s="94" t="inlineStr">
        <is>
          <t>שרם</t>
        </is>
      </c>
      <c r="B472" s="94" t="inlineStr">
        <is>
          <t>אלשיפאא ב.מ כפר עראבה שרמפארם</t>
        </is>
      </c>
      <c r="C472" s="111" t="n">
        <v>0</v>
      </c>
      <c r="D472" s="111" t="n">
        <v>164</v>
      </c>
    </row>
    <row r="473" ht="15" customHeight="1" s="82">
      <c r="A473" s="94" t="inlineStr">
        <is>
          <t>שרם</t>
        </is>
      </c>
      <c r="B473" s="94" t="inlineStr">
        <is>
          <t>אסף עפולה ב.מ שרמפארם</t>
        </is>
      </c>
      <c r="C473" s="111" t="n">
        <v>546.2</v>
      </c>
      <c r="D473" s="111" t="n">
        <v>747.2</v>
      </c>
    </row>
    <row r="474" ht="15" customHeight="1" s="82">
      <c r="A474" s="94" t="inlineStr">
        <is>
          <t>שרם</t>
        </is>
      </c>
      <c r="B474" s="94" t="inlineStr">
        <is>
          <t>השלום כפר מוקבלה ב.מ</t>
        </is>
      </c>
      <c r="C474" s="111" t="n">
        <v>852</v>
      </c>
      <c r="D474" s="111" t="n">
        <v>280.9</v>
      </c>
    </row>
    <row r="475" ht="15" customHeight="1" s="82">
      <c r="A475" s="94" t="inlineStr">
        <is>
          <t>שרם</t>
        </is>
      </c>
      <c r="B475" s="94" t="inlineStr">
        <is>
          <t>ב.מ CPHARM טשרניחובסקי</t>
        </is>
      </c>
      <c r="C475" s="111" t="n">
        <v>841.6</v>
      </c>
      <c r="D475" s="111" t="n">
        <v>47.3</v>
      </c>
    </row>
    <row r="476" ht="15" customHeight="1" s="82">
      <c r="A476" s="94" t="inlineStr">
        <is>
          <t>שרם</t>
        </is>
      </c>
      <c r="B476" s="94" t="inlineStr">
        <is>
          <t>הבירה י-ם ב.מ שרמפארם</t>
        </is>
      </c>
      <c r="C476" s="111" t="n">
        <v>0</v>
      </c>
      <c r="D476" s="111" t="n">
        <v>127.3</v>
      </c>
    </row>
    <row r="477" ht="15" customHeight="1" s="82">
      <c r="A477" s="94" t="inlineStr">
        <is>
          <t>שרם</t>
        </is>
      </c>
      <c r="B477" s="94" t="inlineStr">
        <is>
          <t>פארם פור יו ב.מ שרמפארם</t>
        </is>
      </c>
      <c r="C477" s="111" t="n">
        <v>0</v>
      </c>
      <c r="D477" s="111" t="n">
        <v>5806.5</v>
      </c>
    </row>
    <row r="478" ht="15" customHeight="1" s="82">
      <c r="A478" s="94" t="inlineStr">
        <is>
          <t>שרם</t>
        </is>
      </c>
      <c r="B478" s="94" t="inlineStr">
        <is>
          <t>פארמה גנים ראשל""צ ב.מ שרמ</t>
        </is>
      </c>
      <c r="C478" s="111" t="n">
        <v>3358</v>
      </c>
      <c r="D478" s="111" t="n">
        <v>485.9</v>
      </c>
    </row>
    <row r="479" ht="15" customHeight="1" s="82">
      <c r="A479" s="94" t="inlineStr">
        <is>
          <t>שרם</t>
        </is>
      </c>
      <c r="B479" s="94" t="inlineStr">
        <is>
          <t>בית מרקחת הרצליה שרמפארם</t>
        </is>
      </c>
      <c r="C479" s="111" t="n">
        <v>687.3</v>
      </c>
      <c r="D479" s="111" t="n">
        <v>182.6</v>
      </c>
    </row>
    <row r="480" ht="15" customHeight="1" s="82">
      <c r="A480" s="94" t="inlineStr">
        <is>
          <t>שרם</t>
        </is>
      </c>
      <c r="B480" s="94" t="inlineStr">
        <is>
          <t>למד ת""א ב.מ שרםפארם</t>
        </is>
      </c>
      <c r="C480" s="111" t="n">
        <v>463.9</v>
      </c>
      <c r="D480" s="111" t="n">
        <v>228</v>
      </c>
    </row>
    <row r="481" ht="15" customHeight="1" s="82">
      <c r="A481" s="94" t="inlineStr">
        <is>
          <t>שרם</t>
        </is>
      </c>
      <c r="B481" s="94" t="inlineStr">
        <is>
          <t>יהודה הלוי ת""א ב.מ שרםפארם</t>
        </is>
      </c>
      <c r="C481" s="111" t="n">
        <v>0</v>
      </c>
      <c r="D481" s="111" t="n">
        <v>3023.4</v>
      </c>
    </row>
    <row r="482" ht="15" customHeight="1" s="82">
      <c r="A482" s="94" t="inlineStr">
        <is>
          <t>שרם</t>
        </is>
      </c>
      <c r="B482" s="94" t="inlineStr">
        <is>
          <t>אלשפא בע""מ א.א.פחם ב.מ  שרמפאר</t>
        </is>
      </c>
      <c r="C482" s="111" t="n">
        <v>740.5</v>
      </c>
      <c r="D482" s="111" t="n">
        <v>701.9</v>
      </c>
    </row>
    <row r="483" ht="15" customHeight="1" s="82">
      <c r="A483" s="94" t="inlineStr">
        <is>
          <t>שרם</t>
        </is>
      </c>
      <c r="B483" s="94" t="inlineStr">
        <is>
          <t>אלעין פקיעין ב.מ</t>
        </is>
      </c>
      <c r="C483" s="111" t="n">
        <v>2817</v>
      </c>
      <c r="D483" s="111" t="n">
        <v>1697</v>
      </c>
    </row>
    <row r="484" ht="15" customHeight="1" s="82">
      <c r="A484" s="94" t="inlineStr">
        <is>
          <t>שרם</t>
        </is>
      </c>
      <c r="B484" s="94" t="inlineStr">
        <is>
          <t>אלסלאם כאבול ב.מ שרמפארם</t>
        </is>
      </c>
      <c r="C484" s="111" t="n">
        <v>9926</v>
      </c>
      <c r="D484" s="111" t="n">
        <v>0</v>
      </c>
    </row>
    <row r="485" ht="15" customHeight="1" s="82">
      <c r="A485" s="94" t="inlineStr">
        <is>
          <t>שרם</t>
        </is>
      </c>
      <c r="B485" s="94" t="inlineStr">
        <is>
          <t>מירוני חיפה ב.מ שרמפארם</t>
        </is>
      </c>
      <c r="C485" s="111" t="n">
        <v>528</v>
      </c>
      <c r="D485" s="111" t="n">
        <v>126.3</v>
      </c>
    </row>
    <row r="486" ht="15" customHeight="1" s="82">
      <c r="A486" s="94" t="inlineStr">
        <is>
          <t>שרם</t>
        </is>
      </c>
      <c r="B486" s="94" t="inlineStr">
        <is>
          <t>השושנים ב.מ שרמפארם</t>
        </is>
      </c>
      <c r="C486" s="111" t="n">
        <v>2031.2</v>
      </c>
      <c r="D486" s="111" t="n">
        <v>96.3</v>
      </c>
    </row>
    <row r="487" ht="15" customHeight="1" s="82">
      <c r="A487" s="94" t="inlineStr">
        <is>
          <t>0מפיצי משנה</t>
        </is>
      </c>
      <c r="B487" s="94" t="inlineStr">
        <is>
          <t>טלפארמה</t>
        </is>
      </c>
      <c r="C487" s="111" t="n">
        <v>9578.5</v>
      </c>
      <c r="D487" s="111" t="n">
        <v>5127.6</v>
      </c>
    </row>
    <row r="488" ht="15" customHeight="1" s="82">
      <c r="A488" s="94" t="inlineStr">
        <is>
          <t>0מפיצי משנה</t>
        </is>
      </c>
      <c r="B488" s="94" t="inlineStr">
        <is>
          <t>ל.ח. בריאות</t>
        </is>
      </c>
      <c r="C488" s="111" t="n">
        <v>233.8</v>
      </c>
      <c r="D488" s="111" t="n">
        <v>0</v>
      </c>
    </row>
    <row r="489" ht="15" customHeight="1" s="82">
      <c r="A489" s="94" t="inlineStr">
        <is>
          <t>BE</t>
        </is>
      </c>
      <c r="B489" s="94" t="inlineStr">
        <is>
          <t>אילת BE</t>
        </is>
      </c>
      <c r="C489" s="111" t="n">
        <v>65580</v>
      </c>
      <c r="D489" s="111" t="n">
        <v>52991.8</v>
      </c>
    </row>
    <row r="490" ht="15" customHeight="1" s="82">
      <c r="A490" s="94" t="inlineStr">
        <is>
          <t>BE</t>
        </is>
      </c>
      <c r="B490" s="94" t="inlineStr">
        <is>
          <t>אילת זיכויי BE</t>
        </is>
      </c>
      <c r="C490" s="111" t="n">
        <v>-2049.7</v>
      </c>
      <c r="D490" s="111" t="n">
        <v>-517.8</v>
      </c>
    </row>
    <row r="491" ht="15" customHeight="1" s="82">
      <c r="A491" s="94" t="inlineStr">
        <is>
          <t>BE</t>
        </is>
      </c>
      <c r="B491" s="94" t="inlineStr">
        <is>
          <t>גוד פארם</t>
        </is>
      </c>
      <c r="C491" s="111" t="n">
        <v>7329.5</v>
      </c>
      <c r="D491" s="111" t="n">
        <v>4383</v>
      </c>
    </row>
    <row r="492" ht="15" customHeight="1" s="82">
      <c r="A492" s="94" t="inlineStr">
        <is>
          <t>BE</t>
        </is>
      </c>
      <c r="B492" s="94" t="inlineStr">
        <is>
          <t>גוד פארם מרכז</t>
        </is>
      </c>
      <c r="C492" s="111" t="n">
        <v>11836.4</v>
      </c>
      <c r="D492" s="111" t="n">
        <v>8553.299999999999</v>
      </c>
    </row>
    <row r="493" ht="15" customHeight="1" s="82">
      <c r="A493" s="94" t="inlineStr">
        <is>
          <t>BE</t>
        </is>
      </c>
      <c r="B493" s="94" t="inlineStr">
        <is>
          <t>הפרכל הפרפארם</t>
        </is>
      </c>
      <c r="C493" s="111" t="n">
        <v>9221.799999999999</v>
      </c>
      <c r="D493" s="111" t="n">
        <v>7270.7</v>
      </c>
    </row>
    <row r="494" ht="15" customHeight="1" s="82">
      <c r="A494" s="94" t="inlineStr">
        <is>
          <t>BE</t>
        </is>
      </c>
      <c r="B494" s="94" t="inlineStr">
        <is>
          <t>זיכויים BE</t>
        </is>
      </c>
      <c r="C494" s="111" t="n">
        <v>-78357.10000000001</v>
      </c>
      <c r="D494" s="111" t="n">
        <v>-35093.7</v>
      </c>
    </row>
    <row r="495" ht="15" customHeight="1" s="82">
      <c r="A495" s="94" t="inlineStr">
        <is>
          <t>סופרפארם</t>
        </is>
      </c>
      <c r="B495" s="94" t="inlineStr">
        <is>
          <t>ס.פ ארמון חיפה בי""מ</t>
        </is>
      </c>
      <c r="C495" s="111" t="n">
        <v>0</v>
      </c>
      <c r="D495" s="111" t="n">
        <v>-1013.6</v>
      </c>
    </row>
    <row r="496" ht="15" customHeight="1" s="82">
      <c r="A496" s="94" t="inlineStr">
        <is>
          <t>סופרפארם</t>
        </is>
      </c>
      <c r="B496" s="94" t="inlineStr">
        <is>
          <t>ס.פ.קיראון תרופות</t>
        </is>
      </c>
      <c r="C496" s="111" t="n">
        <v>40948.7</v>
      </c>
      <c r="D496" s="111" t="n">
        <v>37326.9</v>
      </c>
    </row>
    <row r="497" ht="15" customHeight="1" s="82">
      <c r="A497" s="94" t="inlineStr">
        <is>
          <t>סופרפארם</t>
        </is>
      </c>
      <c r="B497" s="94" t="inlineStr">
        <is>
          <t>ס.פ.אור יהודה תרופות</t>
        </is>
      </c>
      <c r="C497" s="111" t="n">
        <v>14974.2</v>
      </c>
      <c r="D497" s="111" t="n">
        <v>10122.6</v>
      </c>
    </row>
    <row r="498" ht="15" customHeight="1" s="82">
      <c r="A498" s="94" t="inlineStr">
        <is>
          <t>סופרפארם</t>
        </is>
      </c>
      <c r="B498" s="94" t="inlineStr">
        <is>
          <t>ס.פ ביג אור יהודה תרופות</t>
        </is>
      </c>
      <c r="C498" s="111" t="n">
        <v>9819.200000000001</v>
      </c>
      <c r="D498" s="111" t="n">
        <v>3357.9</v>
      </c>
    </row>
    <row r="499" ht="15" customHeight="1" s="82">
      <c r="A499" s="94" t="inlineStr">
        <is>
          <t>סופרפארם</t>
        </is>
      </c>
      <c r="B499" s="94" t="inlineStr">
        <is>
          <t>ס.פ.תל השומר תרופות</t>
        </is>
      </c>
      <c r="C499" s="111" t="n">
        <v>76823.89999999999</v>
      </c>
      <c r="D499" s="111" t="n">
        <v>76996.5</v>
      </c>
    </row>
    <row r="500" ht="15" customHeight="1" s="82">
      <c r="A500" s="94" t="inlineStr">
        <is>
          <t>סופרפארם</t>
        </is>
      </c>
      <c r="B500" s="94" t="inlineStr">
        <is>
          <t>ס.פ.גבעת סביון תרופות</t>
        </is>
      </c>
      <c r="C500" s="111" t="n">
        <v>21919.4</v>
      </c>
      <c r="D500" s="111" t="n">
        <v>12729.3</v>
      </c>
    </row>
    <row r="501" ht="15" customHeight="1" s="82">
      <c r="A501" s="94" t="inlineStr">
        <is>
          <t>סופרפארם</t>
        </is>
      </c>
      <c r="B501" s="94" t="inlineStr">
        <is>
          <t>ס.פ בת ים תרופות</t>
        </is>
      </c>
      <c r="C501" s="111" t="n">
        <v>31606.4</v>
      </c>
      <c r="D501" s="111" t="n">
        <v>21335.6</v>
      </c>
    </row>
    <row r="502" ht="15" customHeight="1" s="82">
      <c r="A502" s="94" t="inlineStr">
        <is>
          <t>סופרפארם</t>
        </is>
      </c>
      <c r="B502" s="94" t="inlineStr">
        <is>
          <t>ס.פ.יפו תרופות</t>
        </is>
      </c>
      <c r="C502" s="111" t="n">
        <v>25569.4</v>
      </c>
      <c r="D502" s="111" t="n">
        <v>21226.9</v>
      </c>
    </row>
    <row r="503" ht="15" customHeight="1" s="82">
      <c r="A503" s="94" t="inlineStr">
        <is>
          <t>סופרפארם</t>
        </is>
      </c>
      <c r="B503" s="94" t="inlineStr">
        <is>
          <t>ס.פ.חולון תרופות</t>
        </is>
      </c>
      <c r="C503" s="111" t="n">
        <v>44336.6</v>
      </c>
      <c r="D503" s="111" t="n">
        <v>34324.8</v>
      </c>
    </row>
    <row r="504" ht="15" customHeight="1" s="82">
      <c r="A504" s="94" t="inlineStr">
        <is>
          <t>סופרפארם</t>
        </is>
      </c>
      <c r="B504" s="94" t="inlineStr">
        <is>
          <t>ס.פ.וייצמן חולון תרופות</t>
        </is>
      </c>
      <c r="C504" s="111" t="n">
        <v>19530</v>
      </c>
      <c r="D504" s="111" t="n">
        <v>13152.7</v>
      </c>
    </row>
    <row r="505" ht="15" customHeight="1" s="82">
      <c r="A505" s="94" t="inlineStr">
        <is>
          <t>סופרפארם</t>
        </is>
      </c>
      <c r="B505" s="94" t="inlineStr">
        <is>
          <t>ס.פ.העצמאות בת ים תרופות</t>
        </is>
      </c>
      <c r="C505" s="111" t="n">
        <v>19290.1</v>
      </c>
      <c r="D505" s="111" t="n">
        <v>14592.8</v>
      </c>
    </row>
    <row r="506" ht="15" customHeight="1" s="82">
      <c r="A506" s="94" t="inlineStr">
        <is>
          <t>סופרפארם</t>
        </is>
      </c>
      <c r="B506" s="94" t="inlineStr">
        <is>
          <t>ס.פ.אזור התעשיה חולון תרופות</t>
        </is>
      </c>
      <c r="C506" s="111" t="n">
        <v>20001.1</v>
      </c>
      <c r="D506" s="111" t="n">
        <v>13917.6</v>
      </c>
    </row>
    <row r="507" ht="15" customHeight="1" s="82">
      <c r="A507" s="94" t="inlineStr">
        <is>
          <t>סופרפארם</t>
        </is>
      </c>
      <c r="B507" s="94" t="inlineStr">
        <is>
          <t>ס.פ.רמלה תרופות</t>
        </is>
      </c>
      <c r="C507" s="111" t="n">
        <v>14365.7</v>
      </c>
      <c r="D507" s="111" t="n">
        <v>5222.2</v>
      </c>
    </row>
    <row r="508" ht="15" customHeight="1" s="82">
      <c r="A508" s="94" t="inlineStr">
        <is>
          <t>סופרפארם</t>
        </is>
      </c>
      <c r="B508" s="94" t="inlineStr">
        <is>
          <t>ס.פ.איירפורט סיטי תרופות</t>
        </is>
      </c>
      <c r="C508" s="111" t="n">
        <v>8864.9</v>
      </c>
      <c r="D508" s="111" t="n">
        <v>5482.2</v>
      </c>
    </row>
    <row r="509" ht="15" customHeight="1" s="82">
      <c r="A509" s="94" t="inlineStr">
        <is>
          <t>סופרפארם</t>
        </is>
      </c>
      <c r="B509" s="94" t="inlineStr">
        <is>
          <t>סופר פארם מצליח תרופות</t>
        </is>
      </c>
      <c r="C509" s="111" t="n">
        <v>10436.8</v>
      </c>
      <c r="D509" s="111" t="n">
        <v>7515.4</v>
      </c>
    </row>
    <row r="510" ht="15" customHeight="1" s="82">
      <c r="A510" s="94" t="inlineStr">
        <is>
          <t>סופרפארם</t>
        </is>
      </c>
      <c r="B510" s="94" t="inlineStr">
        <is>
          <t>ס.פ.לוד תרופות</t>
        </is>
      </c>
      <c r="C510" s="111" t="n">
        <v>24744.6</v>
      </c>
      <c r="D510" s="111" t="n">
        <v>24376.1</v>
      </c>
    </row>
    <row r="511" ht="15" customHeight="1" s="82">
      <c r="A511" s="94" t="inlineStr">
        <is>
          <t>סופרפארם</t>
        </is>
      </c>
      <c r="B511" s="94" t="inlineStr">
        <is>
          <t>ס.פ.שוהם תרופות</t>
        </is>
      </c>
      <c r="C511" s="111" t="n">
        <v>21063.6</v>
      </c>
      <c r="D511" s="111" t="n">
        <v>17240.6</v>
      </c>
    </row>
    <row r="512" ht="15" customHeight="1" s="82">
      <c r="A512" s="94" t="inlineStr">
        <is>
          <t>סופרפארם</t>
        </is>
      </c>
      <c r="B512" s="94" t="inlineStr">
        <is>
          <t>ס.פ.רמלוד תרופות</t>
        </is>
      </c>
      <c r="C512" s="111" t="n">
        <v>25143.3</v>
      </c>
      <c r="D512" s="111" t="n">
        <v>21047</v>
      </c>
    </row>
    <row r="513" ht="15" customHeight="1" s="82">
      <c r="A513" s="94" t="inlineStr">
        <is>
          <t>סופרפארם</t>
        </is>
      </c>
      <c r="B513" s="94" t="inlineStr">
        <is>
          <t>ס.פ.רמת החייל תרופות</t>
        </is>
      </c>
      <c r="C513" s="111" t="n">
        <v>19922</v>
      </c>
      <c r="D513" s="111" t="n">
        <v>11788.9</v>
      </c>
    </row>
    <row r="514" ht="15" customHeight="1" s="82">
      <c r="A514" s="94" t="inlineStr">
        <is>
          <t>סופרפארם</t>
        </is>
      </c>
      <c r="B514" s="94" t="inlineStr">
        <is>
          <t>ס.פ.קניון רמת אביב תרופות</t>
        </is>
      </c>
      <c r="C514" s="111" t="n">
        <v>59959.7</v>
      </c>
      <c r="D514" s="111" t="n">
        <v>37811.4</v>
      </c>
    </row>
    <row r="515" ht="15" customHeight="1" s="82">
      <c r="A515" s="94" t="inlineStr">
        <is>
          <t>סופרפארם</t>
        </is>
      </c>
      <c r="B515" s="94" t="inlineStr">
        <is>
          <t>ס.פ.מילמן תרופות</t>
        </is>
      </c>
      <c r="C515" s="111" t="n">
        <v>0</v>
      </c>
      <c r="D515" s="111" t="n">
        <v>0</v>
      </c>
    </row>
    <row r="516" ht="15" customHeight="1" s="82">
      <c r="A516" s="94" t="inlineStr">
        <is>
          <t>סופרפארם</t>
        </is>
      </c>
      <c r="B516" s="94" t="inlineStr">
        <is>
          <t>ס.פ.שכון דן תרופות</t>
        </is>
      </c>
      <c r="C516" s="111" t="n">
        <v>41817.9</v>
      </c>
      <c r="D516" s="111" t="n">
        <v>32560.1</v>
      </c>
    </row>
    <row r="517" ht="15" customHeight="1" s="82">
      <c r="A517" s="94" t="inlineStr">
        <is>
          <t>סופרפארם</t>
        </is>
      </c>
      <c r="B517" s="94" t="inlineStr">
        <is>
          <t>ס.פ.אורדע  תרופות</t>
        </is>
      </c>
      <c r="C517" s="111" t="n">
        <v>12140.5</v>
      </c>
      <c r="D517" s="111" t="n">
        <v>7830.8</v>
      </c>
    </row>
    <row r="518" ht="15" customHeight="1" s="82">
      <c r="A518" s="94" t="inlineStr">
        <is>
          <t>סופרפארם</t>
        </is>
      </c>
      <c r="B518" s="94" t="inlineStr">
        <is>
          <t>ס.פ.קניון איילון תרופות</t>
        </is>
      </c>
      <c r="C518" s="111" t="n">
        <v>70042.10000000001</v>
      </c>
      <c r="D518" s="111" t="n">
        <v>36938.5</v>
      </c>
    </row>
    <row r="519" ht="15" customHeight="1" s="82">
      <c r="A519" s="94" t="inlineStr">
        <is>
          <t>סופרפארם</t>
        </is>
      </c>
      <c r="B519" s="94" t="inlineStr">
        <is>
          <t>ס.פ.כופר הישוב תרופות</t>
        </is>
      </c>
      <c r="C519" s="111" t="n">
        <v>23957.6</v>
      </c>
      <c r="D519" s="111" t="n">
        <v>14984.9</v>
      </c>
    </row>
    <row r="520" ht="15" customHeight="1" s="82">
      <c r="A520" s="94" t="inlineStr">
        <is>
          <t>סופרפארם</t>
        </is>
      </c>
      <c r="B520" s="94" t="inlineStr">
        <is>
          <t>ס.פ.מרום נוה תרופות</t>
        </is>
      </c>
      <c r="C520" s="111" t="n">
        <v>22163.2</v>
      </c>
      <c r="D520" s="111" t="n">
        <v>14367.9</v>
      </c>
    </row>
    <row r="521" ht="15" customHeight="1" s="82">
      <c r="A521" s="94" t="inlineStr">
        <is>
          <t>סופרפארם</t>
        </is>
      </c>
      <c r="B521" s="94" t="inlineStr">
        <is>
          <t>ס.פ.בן גוריון תרופות</t>
        </is>
      </c>
      <c r="C521" s="111" t="n">
        <v>14908.2</v>
      </c>
      <c r="D521" s="111" t="n">
        <v>13745.6</v>
      </c>
    </row>
    <row r="522" ht="15" customHeight="1" s="82">
      <c r="A522" s="94" t="inlineStr">
        <is>
          <t>סופרפארם</t>
        </is>
      </c>
      <c r="B522" s="94" t="inlineStr">
        <is>
          <t>ס.פ.מגדל הורד תרופות</t>
        </is>
      </c>
      <c r="C522" s="111" t="n">
        <v>20746.9</v>
      </c>
      <c r="D522" s="111" t="n">
        <v>12703.7</v>
      </c>
    </row>
    <row r="523" ht="15" customHeight="1" s="82">
      <c r="A523" s="94" t="inlineStr">
        <is>
          <t>סופרפארם</t>
        </is>
      </c>
      <c r="B523" s="94" t="inlineStr">
        <is>
          <t>ס.פ.גבעתיים תרופות</t>
        </is>
      </c>
      <c r="C523" s="111" t="n">
        <v>26589</v>
      </c>
      <c r="D523" s="111" t="n">
        <v>12658</v>
      </c>
    </row>
    <row r="524" ht="15" customHeight="1" s="82">
      <c r="A524" s="94" t="inlineStr">
        <is>
          <t>סופרפארם</t>
        </is>
      </c>
      <c r="B524" s="94" t="inlineStr">
        <is>
          <t>ס.פ.מגדל האופרה תרופות</t>
        </is>
      </c>
      <c r="C524" s="111" t="n">
        <v>28386</v>
      </c>
      <c r="D524" s="111" t="n">
        <v>14020.8</v>
      </c>
    </row>
    <row r="525" ht="15" customHeight="1" s="82">
      <c r="A525" s="94" t="inlineStr">
        <is>
          <t>סופרפארם</t>
        </is>
      </c>
      <c r="B525" s="94" t="inlineStr">
        <is>
          <t>ס.פ.אלנבי תרופות</t>
        </is>
      </c>
      <c r="C525" s="111" t="n">
        <v>23531.3</v>
      </c>
      <c r="D525" s="111" t="n">
        <v>13661.8</v>
      </c>
    </row>
    <row r="526" ht="15" customHeight="1" s="82">
      <c r="A526" s="94" t="inlineStr">
        <is>
          <t>סופרפארם</t>
        </is>
      </c>
      <c r="B526" s="94" t="inlineStr">
        <is>
          <t>ס.פ.פלורנטין תרופות</t>
        </is>
      </c>
      <c r="C526" s="111" t="n">
        <v>3502.7</v>
      </c>
      <c r="D526" s="111" t="n">
        <v>1546.3</v>
      </c>
    </row>
    <row r="527" ht="15" customHeight="1" s="82">
      <c r="A527" s="94" t="inlineStr">
        <is>
          <t>סופרפארם</t>
        </is>
      </c>
      <c r="B527" s="94" t="inlineStr">
        <is>
          <t>ס.פ.מגדלי ת""א תרופות</t>
        </is>
      </c>
      <c r="C527" s="111" t="n">
        <v>13990.1</v>
      </c>
      <c r="D527" s="111" t="n">
        <v>5372.3</v>
      </c>
    </row>
    <row r="528" ht="15" customHeight="1" s="82">
      <c r="A528" s="94" t="inlineStr">
        <is>
          <t>סופרפארם</t>
        </is>
      </c>
      <c r="B528" s="94" t="inlineStr">
        <is>
          <t>ס.פ.נמל תל אביב תרופות</t>
        </is>
      </c>
      <c r="C528" s="111" t="n">
        <v>12606.9</v>
      </c>
      <c r="D528" s="111" t="n">
        <v>6993.9</v>
      </c>
    </row>
    <row r="529" ht="15" customHeight="1" s="82">
      <c r="A529" s="94" t="inlineStr">
        <is>
          <t>סופרפארם</t>
        </is>
      </c>
      <c r="B529" s="94" t="inlineStr">
        <is>
          <t>ס.פ.דיזנגוף סנטר תרופות</t>
        </is>
      </c>
      <c r="C529" s="111" t="n">
        <v>23945.1</v>
      </c>
      <c r="D529" s="111" t="n">
        <v>11944.1</v>
      </c>
    </row>
    <row r="530" ht="15" customHeight="1" s="82">
      <c r="A530" s="94" t="inlineStr">
        <is>
          <t>סופרפארם</t>
        </is>
      </c>
      <c r="B530" s="94" t="inlineStr">
        <is>
          <t>ס.פ. איכילוב תרופות</t>
        </is>
      </c>
      <c r="C530" s="111" t="n">
        <v>52869.2</v>
      </c>
      <c r="D530" s="111" t="n">
        <v>36633.4</v>
      </c>
    </row>
    <row r="531" ht="15" customHeight="1" s="82">
      <c r="A531" s="94" t="inlineStr">
        <is>
          <t>סופרפארם</t>
        </is>
      </c>
      <c r="B531" s="94" t="inlineStr">
        <is>
          <t>ס.פ.יד אליהו  תרופות</t>
        </is>
      </c>
      <c r="C531" s="111" t="n">
        <v>16269.8</v>
      </c>
      <c r="D531" s="111" t="n">
        <v>10689.4</v>
      </c>
    </row>
    <row r="532" ht="15" customHeight="1" s="82">
      <c r="A532" s="94" t="inlineStr">
        <is>
          <t>סופרפארם</t>
        </is>
      </c>
      <c r="B532" s="94" t="inlineStr">
        <is>
          <t>ס.פ.ת.מרכזית תא תרופות</t>
        </is>
      </c>
      <c r="C532" s="111" t="n">
        <v>26586.6</v>
      </c>
      <c r="D532" s="111" t="n">
        <v>19531.7</v>
      </c>
    </row>
    <row r="533" ht="15" customHeight="1" s="82">
      <c r="A533" s="94" t="inlineStr">
        <is>
          <t>סופרפארם</t>
        </is>
      </c>
      <c r="B533" s="94" t="inlineStr">
        <is>
          <t>ס.פ.מגדל שלום תרופות</t>
        </is>
      </c>
      <c r="C533" s="111" t="n">
        <v>29337.2</v>
      </c>
      <c r="D533" s="111" t="n">
        <v>17670.5</v>
      </c>
    </row>
    <row r="534" ht="15" customHeight="1" s="82">
      <c r="A534" s="94" t="inlineStr">
        <is>
          <t>סופרפארם</t>
        </is>
      </c>
      <c r="B534" s="94" t="inlineStr">
        <is>
          <t>ס.פ.צמרת ת""א תרופות</t>
        </is>
      </c>
      <c r="C534" s="111" t="n">
        <v>9282.299999999999</v>
      </c>
      <c r="D534" s="111" t="n">
        <v>5586.4</v>
      </c>
    </row>
    <row r="535" ht="15" customHeight="1" s="82">
      <c r="A535" s="94" t="inlineStr">
        <is>
          <t>סופרפארם</t>
        </is>
      </c>
      <c r="B535" s="94" t="inlineStr">
        <is>
          <t>ס.פ.מיניסטור תרופות</t>
        </is>
      </c>
      <c r="C535" s="111" t="n">
        <v>55216.1</v>
      </c>
      <c r="D535" s="111" t="n">
        <v>47848.3</v>
      </c>
    </row>
    <row r="536" ht="15" customHeight="1" s="82">
      <c r="A536" s="94" t="inlineStr">
        <is>
          <t>סופרפארם</t>
        </is>
      </c>
      <c r="B536" s="94" t="inlineStr">
        <is>
          <t>ס.פ מ.השלום )עזריאלי( תרופות</t>
        </is>
      </c>
      <c r="C536" s="111" t="n">
        <v>28237.9</v>
      </c>
      <c r="D536" s="111" t="n">
        <v>20853.9</v>
      </c>
    </row>
    <row r="537" ht="15" customHeight="1" s="82">
      <c r="A537" s="94" t="inlineStr">
        <is>
          <t>סופרפארם</t>
        </is>
      </c>
      <c r="B537" s="94" t="inlineStr">
        <is>
          <t>ס.פ.גורדון תרופות</t>
        </is>
      </c>
      <c r="C537" s="111" t="n">
        <v>23058.1</v>
      </c>
      <c r="D537" s="111" t="n">
        <v>12166.6</v>
      </c>
    </row>
    <row r="538" ht="15" customHeight="1" s="82">
      <c r="A538" s="94" t="inlineStr">
        <is>
          <t>סופרפארם</t>
        </is>
      </c>
      <c r="B538" s="94" t="inlineStr">
        <is>
          <t>ס.פ.אבן גבירול תרופות</t>
        </is>
      </c>
      <c r="C538" s="111" t="n">
        <v>24134.5</v>
      </c>
      <c r="D538" s="111" t="n">
        <v>32784.4</v>
      </c>
    </row>
    <row r="539" ht="15" customHeight="1" s="82">
      <c r="A539" s="94" t="inlineStr">
        <is>
          <t>סופרפארם</t>
        </is>
      </c>
      <c r="B539" s="94" t="inlineStr">
        <is>
          <t>ס.פ.קסטל תל אביב תרופות</t>
        </is>
      </c>
      <c r="C539" s="111" t="n">
        <v>5818.3</v>
      </c>
      <c r="D539" s="111" t="n">
        <v>8935.299999999999</v>
      </c>
    </row>
    <row r="540" ht="15" customHeight="1" s="82">
      <c r="A540" s="94" t="inlineStr">
        <is>
          <t>סופרפארם</t>
        </is>
      </c>
      <c r="B540" s="94" t="inlineStr">
        <is>
          <t>ס.פ.שנקין תרופות</t>
        </is>
      </c>
      <c r="C540" s="111" t="n">
        <v>19827.1</v>
      </c>
      <c r="D540" s="111" t="n">
        <v>16158.5</v>
      </c>
    </row>
    <row r="541" ht="15" customHeight="1" s="82">
      <c r="A541" s="94" t="inlineStr">
        <is>
          <t>סופרפארם</t>
        </is>
      </c>
      <c r="B541" s="94" t="inlineStr">
        <is>
          <t>ס.פ התמרים חברת אופיר סלומון ב</t>
        </is>
      </c>
      <c r="C541" s="111" t="n">
        <v>28337.4</v>
      </c>
      <c r="D541" s="111" t="n">
        <v>26047.6</v>
      </c>
    </row>
    <row r="542" ht="15" customHeight="1" s="82">
      <c r="A542" s="94" t="inlineStr">
        <is>
          <t>סופרפארם</t>
        </is>
      </c>
      <c r="B542" s="94" t="inlineStr">
        <is>
          <t>""ס.פ שחמון חברת שרון בן לסן בע</t>
        </is>
      </c>
      <c r="C542" s="111" t="n">
        <v>27958.3</v>
      </c>
      <c r="D542" s="111" t="n">
        <v>13788</v>
      </c>
    </row>
    <row r="543" ht="15" customHeight="1" s="82">
      <c r="A543" s="94" t="inlineStr">
        <is>
          <t>סופרפארם</t>
        </is>
      </c>
      <c r="B543" s="94" t="inlineStr">
        <is>
          <t>""ס.פ מול הים חברת דוד אהרון בע</t>
        </is>
      </c>
      <c r="C543" s="111" t="n">
        <v>30442.7</v>
      </c>
      <c r="D543" s="111" t="n">
        <v>23769.8</v>
      </c>
    </row>
    <row r="544" ht="15" customHeight="1" s="82">
      <c r="A544" s="94" t="inlineStr">
        <is>
          <t>סופרפארם</t>
        </is>
      </c>
      <c r="B544" s="94" t="inlineStr">
        <is>
          <t>ס.פ ביג אילת חב.שרון בן לסן בע</t>
        </is>
      </c>
      <c r="C544" s="111" t="n">
        <v>29529.4</v>
      </c>
      <c r="D544" s="111" t="n">
        <v>23541.9</v>
      </c>
    </row>
    <row r="545" ht="15" customHeight="1" s="82">
      <c r="A545" s="94" t="inlineStr">
        <is>
          <t>סופרפארם</t>
        </is>
      </c>
      <c r="B545" s="94" t="inlineStr">
        <is>
          <t>ס.פ.רעננה מרכז תרופות</t>
        </is>
      </c>
      <c r="C545" s="111" t="n">
        <v>29524.7</v>
      </c>
      <c r="D545" s="111" t="n">
        <v>23919.9</v>
      </c>
    </row>
    <row r="546" ht="15" customHeight="1" s="82">
      <c r="A546" s="94" t="inlineStr">
        <is>
          <t>סופרפארם</t>
        </is>
      </c>
      <c r="B546" s="94" t="inlineStr">
        <is>
          <t>ס.פ.רננים תרופות</t>
        </is>
      </c>
      <c r="C546" s="111" t="n">
        <v>27258.3</v>
      </c>
      <c r="D546" s="111" t="n">
        <v>20531.7</v>
      </c>
    </row>
    <row r="547" ht="15" customHeight="1" s="82">
      <c r="A547" s="94" t="inlineStr">
        <is>
          <t>סופרפארם</t>
        </is>
      </c>
      <c r="B547" s="94" t="inlineStr">
        <is>
          <t>ס.פ.פקר כפר סבא תרופות</t>
        </is>
      </c>
      <c r="C547" s="111" t="n">
        <v>38331.4</v>
      </c>
      <c r="D547" s="111" t="n">
        <v>27155.7</v>
      </c>
    </row>
    <row r="548" ht="15" customHeight="1" s="82">
      <c r="A548" s="94" t="inlineStr">
        <is>
          <t>סופרפארם</t>
        </is>
      </c>
      <c r="B548" s="94" t="inlineStr">
        <is>
          <t>267  ס.פ.פארק מול תרופות</t>
        </is>
      </c>
      <c r="C548" s="111" t="n">
        <v>36868.9</v>
      </c>
      <c r="D548" s="111" t="n">
        <v>24651.5</v>
      </c>
    </row>
    <row r="549" ht="15" customHeight="1" s="82">
      <c r="A549" s="94" t="inlineStr">
        <is>
          <t>סופרפארם</t>
        </is>
      </c>
      <c r="B549" s="94" t="inlineStr">
        <is>
          <t>ס.פ.הוד השרון תרופות</t>
        </is>
      </c>
      <c r="C549" s="111" t="n">
        <v>36008.2</v>
      </c>
      <c r="D549" s="111" t="n">
        <v>24101.1</v>
      </c>
    </row>
    <row r="550" ht="15" customHeight="1" s="82">
      <c r="A550" s="94" t="inlineStr">
        <is>
          <t>סופרפארם</t>
        </is>
      </c>
      <c r="B550" s="94" t="inlineStr">
        <is>
          <t>ס.פ.כפר סבא תרופות</t>
        </is>
      </c>
      <c r="C550" s="111" t="n">
        <v>12046.9</v>
      </c>
      <c r="D550" s="111" t="n">
        <v>6522.2</v>
      </c>
    </row>
    <row r="551" ht="15" customHeight="1" s="82">
      <c r="A551" s="94" t="inlineStr">
        <is>
          <t>סופרפארם</t>
        </is>
      </c>
      <c r="B551" s="94" t="inlineStr">
        <is>
          <t>ס.פ.קניון ערים כ""ס תרופות</t>
        </is>
      </c>
      <c r="C551" s="111" t="n">
        <v>25241.1</v>
      </c>
      <c r="D551" s="111" t="n">
        <v>16442</v>
      </c>
    </row>
    <row r="552" ht="15" customHeight="1" s="82">
      <c r="A552" s="94" t="inlineStr">
        <is>
          <t>סופרפארם</t>
        </is>
      </c>
      <c r="B552" s="94" t="inlineStr">
        <is>
          <t>ס.פ.קניון השרון נתניה תרופות</t>
        </is>
      </c>
      <c r="C552" s="111" t="n">
        <v>22457</v>
      </c>
      <c r="D552" s="111" t="n">
        <v>21519.2</v>
      </c>
    </row>
    <row r="553" ht="15" customHeight="1" s="82">
      <c r="A553" s="94" t="inlineStr">
        <is>
          <t>סופרפארם</t>
        </is>
      </c>
      <c r="B553" s="94" t="inlineStr">
        <is>
          <t>ס.פ.ויצמן נתניה תרופות</t>
        </is>
      </c>
      <c r="C553" s="111" t="n">
        <v>22009.2</v>
      </c>
      <c r="D553" s="111" t="n">
        <v>14275.7</v>
      </c>
    </row>
    <row r="554" ht="15" customHeight="1" s="82">
      <c r="A554" s="94" t="inlineStr">
        <is>
          <t>סופרפארם</t>
        </is>
      </c>
      <c r="B554" s="94" t="inlineStr">
        <is>
          <t>ס.פ.קדימה תרופות</t>
        </is>
      </c>
      <c r="C554" s="111" t="n">
        <v>19171.2</v>
      </c>
      <c r="D554" s="111" t="n">
        <v>15980.7</v>
      </c>
    </row>
    <row r="555" ht="15" customHeight="1" s="82">
      <c r="A555" s="94" t="inlineStr">
        <is>
          <t>סופרפארם</t>
        </is>
      </c>
      <c r="B555" s="94" t="inlineStr">
        <is>
          <t>ס.פ.תל מונד תרופות</t>
        </is>
      </c>
      <c r="C555" s="111" t="n">
        <v>14916.4</v>
      </c>
      <c r="D555" s="111" t="n">
        <v>13012.4</v>
      </c>
    </row>
    <row r="556" ht="15" customHeight="1" s="82">
      <c r="A556" s="94" t="inlineStr">
        <is>
          <t>סופרפארם</t>
        </is>
      </c>
      <c r="B556" s="94" t="inlineStr">
        <is>
          <t>ס.פ.ביג פולג תרופות</t>
        </is>
      </c>
      <c r="C556" s="111" t="n">
        <v>31310.4</v>
      </c>
      <c r="D556" s="111" t="n">
        <v>20736.3</v>
      </c>
    </row>
    <row r="557" ht="15" customHeight="1" s="82">
      <c r="A557" s="94" t="inlineStr">
        <is>
          <t>סופרפארם</t>
        </is>
      </c>
      <c r="B557" s="94" t="inlineStr">
        <is>
          <t>ס.פ.הארי נתניה תרופות</t>
        </is>
      </c>
      <c r="C557" s="111" t="n">
        <v>38918.4</v>
      </c>
      <c r="D557" s="111" t="n">
        <v>22369.9</v>
      </c>
    </row>
    <row r="558" ht="15" customHeight="1" s="82">
      <c r="A558" s="94" t="inlineStr">
        <is>
          <t>סופרפארם</t>
        </is>
      </c>
      <c r="B558" s="94" t="inlineStr">
        <is>
          <t>ס.פ.עיר ימים נתניה תרופות</t>
        </is>
      </c>
      <c r="C558" s="111" t="n">
        <v>34052.6</v>
      </c>
      <c r="D558" s="111" t="n">
        <v>24534.9</v>
      </c>
    </row>
    <row r="559" ht="15" customHeight="1" s="82">
      <c r="A559" s="94" t="inlineStr">
        <is>
          <t>סופרפארם</t>
        </is>
      </c>
      <c r="B559" s="94" t="inlineStr">
        <is>
          <t>ס.פ.רמז נתניה תרופות</t>
        </is>
      </c>
      <c r="C559" s="111" t="n">
        <v>22927</v>
      </c>
      <c r="D559" s="111" t="n">
        <v>14898.9</v>
      </c>
    </row>
    <row r="560" ht="15" customHeight="1" s="82">
      <c r="A560" s="94" t="inlineStr">
        <is>
          <t>סופרפארם</t>
        </is>
      </c>
      <c r="B560" s="94" t="inlineStr">
        <is>
          <t>ס.פ.גבעת טל תרופות</t>
        </is>
      </c>
      <c r="C560" s="111" t="n">
        <v>18895.5</v>
      </c>
      <c r="D560" s="111" t="n">
        <v>12061.8</v>
      </c>
    </row>
    <row r="561" ht="15" customHeight="1" s="82">
      <c r="A561" s="94" t="inlineStr">
        <is>
          <t>סופרפארם</t>
        </is>
      </c>
      <c r="B561" s="94" t="inlineStr">
        <is>
          <t>ס.פ.היכל תרופות</t>
        </is>
      </c>
      <c r="C561" s="111" t="n">
        <v>34842.5</v>
      </c>
      <c r="D561" s="111" t="n">
        <v>18705.5</v>
      </c>
    </row>
    <row r="562" ht="15" customHeight="1" s="82">
      <c r="A562" s="94" t="inlineStr">
        <is>
          <t>סופרפארם</t>
        </is>
      </c>
      <c r="B562" s="94" t="inlineStr">
        <is>
          <t>ס.פ.כוכב יאיר תרופות</t>
        </is>
      </c>
      <c r="C562" s="111" t="n">
        <v>20377.8</v>
      </c>
      <c r="D562" s="111" t="n">
        <v>9490.5</v>
      </c>
    </row>
    <row r="563" ht="15" customHeight="1" s="82">
      <c r="A563" s="94" t="inlineStr">
        <is>
          <t>סופרפארם</t>
        </is>
      </c>
      <c r="B563" s="94" t="inlineStr">
        <is>
          <t>ס.פ.כפר גנים תרופות</t>
        </is>
      </c>
      <c r="C563" s="111" t="n">
        <v>28653</v>
      </c>
      <c r="D563" s="111" t="n">
        <v>20962.9</v>
      </c>
    </row>
    <row r="564" ht="15" customHeight="1" s="82">
      <c r="A564" s="94" t="inlineStr">
        <is>
          <t>סופרפארם</t>
        </is>
      </c>
      <c r="B564" s="94" t="inlineStr">
        <is>
          <t>ס.פ.בית אמריקה תרופות פ""ת</t>
        </is>
      </c>
      <c r="C564" s="111" t="n">
        <v>13982.7</v>
      </c>
      <c r="D564" s="111" t="n">
        <v>8158.6</v>
      </c>
    </row>
    <row r="565" ht="15" customHeight="1" s="82">
      <c r="A565" s="94" t="inlineStr">
        <is>
          <t>סופרפארם</t>
        </is>
      </c>
      <c r="B565" s="94" t="inlineStr">
        <is>
          <t>ס.פ.אבנת פתח תקווה תרופות</t>
        </is>
      </c>
      <c r="C565" s="111" t="n">
        <v>29993.9</v>
      </c>
      <c r="D565" s="111" t="n">
        <v>23177</v>
      </c>
    </row>
    <row r="566" ht="15" customHeight="1" s="82">
      <c r="A566" s="94" t="inlineStr">
        <is>
          <t>סופרפארם</t>
        </is>
      </c>
      <c r="B566" s="94" t="inlineStr">
        <is>
          <t>ס.פ.יכין סנטר תרופות</t>
        </is>
      </c>
      <c r="C566" s="111" t="n">
        <v>15986</v>
      </c>
      <c r="D566" s="111" t="n">
        <v>9199.5</v>
      </c>
    </row>
    <row r="567" ht="15" customHeight="1" s="82">
      <c r="A567" s="94" t="inlineStr">
        <is>
          <t>סופרפארם</t>
        </is>
      </c>
      <c r="B567" s="94" t="inlineStr">
        <is>
          <t>ס.פ.אם המושבות פ""ת תרופות</t>
        </is>
      </c>
      <c r="C567" s="111" t="n">
        <v>30392</v>
      </c>
      <c r="D567" s="111" t="n">
        <v>17205.2</v>
      </c>
    </row>
    <row r="568" ht="15" customHeight="1" s="82">
      <c r="A568" s="94" t="inlineStr">
        <is>
          <t>סופרפארם</t>
        </is>
      </c>
      <c r="B568" s="94" t="inlineStr">
        <is>
          <t>ס.פ.אורון תרופות</t>
        </is>
      </c>
      <c r="C568" s="111" t="n">
        <v>11659.4</v>
      </c>
      <c r="D568" s="111" t="n">
        <v>6800.6</v>
      </c>
    </row>
    <row r="569" ht="15" customHeight="1" s="82">
      <c r="A569" s="94" t="inlineStr">
        <is>
          <t>סופרפארם</t>
        </is>
      </c>
      <c r="B569" s="94" t="inlineStr">
        <is>
          <t>ס.פ.הרצל ראשל""צ תרופות</t>
        </is>
      </c>
      <c r="C569" s="111" t="n">
        <v>21184.9</v>
      </c>
      <c r="D569" s="111" t="n">
        <v>2781.9</v>
      </c>
    </row>
    <row r="570" ht="15" customHeight="1" s="82">
      <c r="A570" s="94" t="inlineStr">
        <is>
          <t>סופרפארם</t>
        </is>
      </c>
      <c r="B570" s="94" t="inlineStr">
        <is>
          <t>ס.פ.שער רחובות-תרופות</t>
        </is>
      </c>
      <c r="C570" s="111" t="n">
        <v>19456</v>
      </c>
      <c r="D570" s="111" t="n">
        <v>16548.2</v>
      </c>
    </row>
    <row r="571" ht="15" customHeight="1" s="82">
      <c r="A571" s="94" t="inlineStr">
        <is>
          <t>סופרפארם</t>
        </is>
      </c>
      <c r="B571" s="94" t="inlineStr">
        <is>
          <t>ס.פ.סנטרו רחובות תרופות</t>
        </is>
      </c>
      <c r="C571" s="111" t="n">
        <v>20992.4</v>
      </c>
      <c r="D571" s="111" t="n">
        <v>14995.8</v>
      </c>
    </row>
    <row r="572" ht="15" customHeight="1" s="82">
      <c r="A572" s="94" t="inlineStr">
        <is>
          <t>סופרפארם</t>
        </is>
      </c>
      <c r="B572" s="94" t="inlineStr">
        <is>
          <t>ס.פ.קניון רחובות תרופות</t>
        </is>
      </c>
      <c r="C572" s="111" t="n">
        <v>50792.3</v>
      </c>
      <c r="D572" s="111" t="n">
        <v>34255.1</v>
      </c>
    </row>
    <row r="573" ht="15" customHeight="1" s="82">
      <c r="A573" s="94" t="inlineStr">
        <is>
          <t>סופרפארם</t>
        </is>
      </c>
      <c r="B573" s="94" t="inlineStr">
        <is>
          <t>ס.פ.ישפרו נס ציונה תרופות</t>
        </is>
      </c>
      <c r="C573" s="111" t="n">
        <v>28814</v>
      </c>
      <c r="D573" s="111" t="n">
        <v>19364.4</v>
      </c>
    </row>
    <row r="574" ht="15" customHeight="1" s="82">
      <c r="A574" s="94" t="inlineStr">
        <is>
          <t>סופרפארם</t>
        </is>
      </c>
      <c r="B574" s="94" t="inlineStr">
        <is>
          <t>ס.פ.גלרי ראשון לציון</t>
        </is>
      </c>
      <c r="C574" s="111" t="n">
        <v>28639.2</v>
      </c>
      <c r="D574" s="111" t="n">
        <v>21217.3</v>
      </c>
    </row>
    <row r="575" ht="15" customHeight="1" s="82">
      <c r="A575" s="94" t="inlineStr">
        <is>
          <t>סופרפארם</t>
        </is>
      </c>
      <c r="B575" s="94" t="inlineStr">
        <is>
          <t>ס.פ.הזהב תרופות</t>
        </is>
      </c>
      <c r="C575" s="111" t="n">
        <v>27468.7</v>
      </c>
      <c r="D575" s="111" t="n">
        <v>15223.5</v>
      </c>
    </row>
    <row r="576" ht="15" customHeight="1" s="82">
      <c r="A576" s="94" t="inlineStr">
        <is>
          <t>סופרפארם</t>
        </is>
      </c>
      <c r="B576" s="94" t="inlineStr">
        <is>
          <t>ס.פ.שיקמה תרופות ראשון לציון</t>
        </is>
      </c>
      <c r="C576" s="111" t="n">
        <v>10267.8</v>
      </c>
      <c r="D576" s="111" t="n">
        <v>8519.200000000001</v>
      </c>
    </row>
    <row r="577" ht="15" customHeight="1" s="82">
      <c r="A577" s="94" t="inlineStr">
        <is>
          <t>סופרפארם</t>
        </is>
      </c>
      <c r="B577" s="94" t="inlineStr">
        <is>
          <t>ס.פ.רוטישלד תרופות</t>
        </is>
      </c>
      <c r="C577" s="111" t="n">
        <v>19042.4</v>
      </c>
      <c r="D577" s="111" t="n">
        <v>12975.1</v>
      </c>
    </row>
    <row r="578" ht="15" customHeight="1" s="82">
      <c r="A578" s="94" t="inlineStr">
        <is>
          <t>סופרפארם</t>
        </is>
      </c>
      <c r="B578" s="94" t="inlineStr">
        <is>
          <t>ס.פ.לישנסקי תרופות</t>
        </is>
      </c>
      <c r="C578" s="111" t="n">
        <v>16818.6</v>
      </c>
      <c r="D578" s="111" t="n">
        <v>12020.2</v>
      </c>
    </row>
    <row r="579" ht="15" customHeight="1" s="82">
      <c r="A579" s="94" t="inlineStr">
        <is>
          <t>סופרפארם</t>
        </is>
      </c>
      <c r="B579" s="94" t="inlineStr">
        <is>
          <t>ס.פ.הרצל תרופות רחובות</t>
        </is>
      </c>
      <c r="C579" s="111" t="n">
        <v>31858.7</v>
      </c>
      <c r="D579" s="111" t="n">
        <v>16111.3</v>
      </c>
    </row>
    <row r="580" ht="15" customHeight="1" s="82">
      <c r="A580" s="94" t="inlineStr">
        <is>
          <t>סופרפארם</t>
        </is>
      </c>
      <c r="B580" s="94" t="inlineStr">
        <is>
          <t>ס.פ.קניותר תרופות</t>
        </is>
      </c>
      <c r="C580" s="111" t="n">
        <v>35996</v>
      </c>
      <c r="D580" s="111" t="n">
        <v>26211.2</v>
      </c>
    </row>
    <row r="581" ht="15" customHeight="1" s="82">
      <c r="A581" s="94" t="inlineStr">
        <is>
          <t>סופרפארם</t>
        </is>
      </c>
      <c r="B581" s="94" t="inlineStr">
        <is>
          <t>ס.פ.ראשל""צ תרופות</t>
        </is>
      </c>
      <c r="C581" s="111" t="n">
        <v>48087.6</v>
      </c>
      <c r="D581" s="111" t="n">
        <v>29530.3</v>
      </c>
    </row>
    <row r="582" ht="15" customHeight="1" s="82">
      <c r="A582" s="94" t="inlineStr">
        <is>
          <t>סופרפארם</t>
        </is>
      </c>
      <c r="B582" s="94" t="inlineStr">
        <is>
          <t>ס.פ.אוסישקין תרופות רמת השרון</t>
        </is>
      </c>
      <c r="C582" s="111" t="n">
        <v>25328.7</v>
      </c>
      <c r="D582" s="111" t="n">
        <v>19009.4</v>
      </c>
    </row>
    <row r="583" ht="15" customHeight="1" s="82">
      <c r="A583" s="94" t="inlineStr">
        <is>
          <t>סופרפארם</t>
        </is>
      </c>
      <c r="B583" s="94" t="inlineStr">
        <is>
          <t>ס.פ.צמרות תרופות</t>
        </is>
      </c>
      <c r="C583" s="111" t="n">
        <v>54474.6</v>
      </c>
      <c r="D583" s="111" t="n">
        <v>30879.9</v>
      </c>
    </row>
    <row r="584" ht="15" customHeight="1" s="82">
      <c r="A584" s="94" t="inlineStr">
        <is>
          <t>סופרפארם</t>
        </is>
      </c>
      <c r="B584" s="94" t="inlineStr">
        <is>
          <t>ס.פ.הרצליה פיתוח תרופות</t>
        </is>
      </c>
      <c r="C584" s="111" t="n">
        <v>27082.7</v>
      </c>
      <c r="D584" s="111" t="n">
        <v>19731</v>
      </c>
    </row>
    <row r="585" ht="15" customHeight="1" s="82">
      <c r="A585" s="94" t="inlineStr">
        <is>
          <t>סופרפארם</t>
        </is>
      </c>
      <c r="B585" s="94" t="inlineStr">
        <is>
          <t>ס.פ.סוקולוב הרצליה תרופות</t>
        </is>
      </c>
      <c r="C585" s="111" t="n">
        <v>41380.3</v>
      </c>
      <c r="D585" s="111" t="n">
        <v>13579.9</v>
      </c>
    </row>
    <row r="586" ht="15" customHeight="1" s="82">
      <c r="A586" s="94" t="inlineStr">
        <is>
          <t>סופרפארם</t>
        </is>
      </c>
      <c r="B586" s="94" t="inlineStr">
        <is>
          <t>ס.פ.שפיים תרופות</t>
        </is>
      </c>
      <c r="C586" s="111" t="n">
        <v>23625.3</v>
      </c>
      <c r="D586" s="111" t="n">
        <v>14973.4</v>
      </c>
    </row>
    <row r="587" ht="15" customHeight="1" s="82">
      <c r="A587" s="94" t="inlineStr">
        <is>
          <t>סופרפארם</t>
        </is>
      </c>
      <c r="B587" s="94" t="inlineStr">
        <is>
          <t>ס.פ.שבעת הכוכבים תרופות</t>
        </is>
      </c>
      <c r="C587" s="111" t="n">
        <v>35091.5</v>
      </c>
      <c r="D587" s="111" t="n">
        <v>28402.3</v>
      </c>
    </row>
    <row r="588" ht="15" customHeight="1" s="82">
      <c r="A588" s="94" t="inlineStr">
        <is>
          <t>סופרפארם</t>
        </is>
      </c>
      <c r="B588" s="94" t="inlineStr">
        <is>
          <t>ס.פ.ארנה הרצליה תרופות</t>
        </is>
      </c>
      <c r="C588" s="111" t="n">
        <v>16747.8</v>
      </c>
      <c r="D588" s="111" t="n">
        <v>17575.5</v>
      </c>
    </row>
    <row r="589" ht="15" customHeight="1" s="82">
      <c r="A589" s="94" t="inlineStr">
        <is>
          <t>סופרפארם</t>
        </is>
      </c>
      <c r="B589" s="94" t="inlineStr">
        <is>
          <t>ס.פ. חוצות המפרץ תרופות</t>
        </is>
      </c>
      <c r="C589" s="111" t="n">
        <v>13980.6</v>
      </c>
      <c r="D589" s="111" t="n">
        <v>9018.5</v>
      </c>
    </row>
    <row r="590" ht="15" customHeight="1" s="82">
      <c r="A590" s="94" t="inlineStr">
        <is>
          <t>סופרפארם</t>
        </is>
      </c>
      <c r="B590" s="94" t="inlineStr">
        <is>
          <t>ס.פ. לב חדרה תרופות</t>
        </is>
      </c>
      <c r="C590" s="111" t="n">
        <v>16536.7</v>
      </c>
      <c r="D590" s="111" t="n">
        <v>13367.9</v>
      </c>
    </row>
    <row r="591" ht="15" customHeight="1" s="82">
      <c r="A591" s="94" t="inlineStr">
        <is>
          <t>סופרפארם</t>
        </is>
      </c>
      <c r="B591" s="94" t="inlineStr">
        <is>
          <t>ס.פ. קניון נחמיה קרית שמונה</t>
        </is>
      </c>
      <c r="C591" s="111" t="n">
        <v>17178.9</v>
      </c>
      <c r="D591" s="111" t="n">
        <v>11212.1</v>
      </c>
    </row>
    <row r="592" ht="15" customHeight="1" s="82">
      <c r="A592" s="94" t="inlineStr">
        <is>
          <t>סופרפארם</t>
        </is>
      </c>
      <c r="B592" s="94" t="inlineStr">
        <is>
          <t>ס.פ. ביג עפולה תרופות</t>
        </is>
      </c>
      <c r="C592" s="111" t="n">
        <v>12817.1</v>
      </c>
      <c r="D592" s="111" t="n">
        <v>7619.1</v>
      </c>
    </row>
    <row r="593" ht="15" customHeight="1" s="82">
      <c r="A593" s="94" t="inlineStr">
        <is>
          <t>סופרפארם</t>
        </is>
      </c>
      <c r="B593" s="94" t="inlineStr">
        <is>
          <t>ס.פ. קרית מוצקין תרופות</t>
        </is>
      </c>
      <c r="C593" s="111" t="n">
        <v>13102.2</v>
      </c>
      <c r="D593" s="111" t="n">
        <v>3216.4</v>
      </c>
    </row>
    <row r="594" ht="15" customHeight="1" s="82">
      <c r="A594" s="94" t="inlineStr">
        <is>
          <t>סופרפארם</t>
        </is>
      </c>
      <c r="B594" s="94" t="inlineStr">
        <is>
          <t>ס.פ. חורב תרופות</t>
        </is>
      </c>
      <c r="C594" s="111" t="n">
        <v>71520</v>
      </c>
      <c r="D594" s="111" t="n">
        <v>51252.6</v>
      </c>
    </row>
    <row r="595" ht="15" customHeight="1" s="82">
      <c r="A595" s="94" t="inlineStr">
        <is>
          <t>סופרפארם</t>
        </is>
      </c>
      <c r="B595" s="94" t="inlineStr">
        <is>
          <t>ס.פ. פרדס חנה תרופות</t>
        </is>
      </c>
      <c r="C595" s="111" t="n">
        <v>21221</v>
      </c>
      <c r="D595" s="111" t="n">
        <v>13049.1</v>
      </c>
    </row>
    <row r="596" ht="15" customHeight="1" s="82">
      <c r="A596" s="94" t="inlineStr">
        <is>
          <t>סופרפארם</t>
        </is>
      </c>
      <c r="B596" s="94" t="inlineStr">
        <is>
          <t>ס.פ. ארמון תרופות חיפה</t>
        </is>
      </c>
      <c r="C596" s="111" t="n">
        <v>20460.6</v>
      </c>
      <c r="D596" s="111" t="n">
        <v>4279.8</v>
      </c>
    </row>
    <row r="597" ht="15" customHeight="1" s="82">
      <c r="A597" s="94" t="inlineStr">
        <is>
          <t>סופרפארם</t>
        </is>
      </c>
      <c r="B597" s="94" t="inlineStr">
        <is>
          <t>ס.פ. גאלרי קריון</t>
        </is>
      </c>
      <c r="C597" s="111" t="n">
        <v>27590.1</v>
      </c>
      <c r="D597" s="111" t="n">
        <v>21144.2</v>
      </c>
    </row>
    <row r="598" ht="15" customHeight="1" s="82">
      <c r="A598" s="94" t="inlineStr">
        <is>
          <t>סופרפארם</t>
        </is>
      </c>
      <c r="B598" s="94" t="inlineStr">
        <is>
          <t>ס.פ. גן שמואל תרופות</t>
        </is>
      </c>
      <c r="C598" s="111" t="n">
        <v>26074.8</v>
      </c>
      <c r="D598" s="111" t="n">
        <v>19158.8</v>
      </c>
    </row>
    <row r="599" ht="15" customHeight="1" s="82">
      <c r="A599" s="94" t="inlineStr">
        <is>
          <t>סופרפארם</t>
        </is>
      </c>
      <c r="B599" s="94" t="inlineStr">
        <is>
          <t>ס.פ. סכנין תרופות</t>
        </is>
      </c>
      <c r="C599" s="111" t="n">
        <v>7479.6</v>
      </c>
      <c r="D599" s="111" t="n">
        <v>3568.1</v>
      </c>
    </row>
    <row r="600" ht="15" customHeight="1" s="82">
      <c r="A600" s="94" t="inlineStr">
        <is>
          <t>סופרפארם</t>
        </is>
      </c>
      <c r="B600" s="94" t="inlineStr">
        <is>
          <t>ס.פ. מול זכרון תרופות</t>
        </is>
      </c>
      <c r="C600" s="111" t="n">
        <v>14437.7</v>
      </c>
      <c r="D600" s="111" t="n">
        <v>13975.8</v>
      </c>
    </row>
    <row r="601" ht="15" customHeight="1" s="82">
      <c r="A601" s="94" t="inlineStr">
        <is>
          <t>סופרפארם</t>
        </is>
      </c>
      <c r="B601" s="94" t="inlineStr">
        <is>
          <t>ס.פ. עכו תרופות</t>
        </is>
      </c>
      <c r="C601" s="111" t="n">
        <v>11156.2</v>
      </c>
      <c r="D601" s="111" t="n">
        <v>3906.2</v>
      </c>
    </row>
    <row r="602" ht="15" customHeight="1" s="82">
      <c r="A602" s="94" t="inlineStr">
        <is>
          <t>סופרפארם</t>
        </is>
      </c>
      <c r="B602" s="94" t="inlineStr">
        <is>
          <t>ס.פ.סינמול תרופות חיפה</t>
        </is>
      </c>
      <c r="C602" s="111" t="n">
        <v>13132.1</v>
      </c>
      <c r="D602" s="111" t="n">
        <v>-3933.6</v>
      </c>
    </row>
    <row r="603" ht="15" customHeight="1" s="82">
      <c r="A603" s="94" t="inlineStr">
        <is>
          <t>סופרפארם</t>
        </is>
      </c>
      <c r="B603" s="94" t="inlineStr">
        <is>
          <t>ס.פ. קרית ים תרופות</t>
        </is>
      </c>
      <c r="C603" s="111" t="n">
        <v>10869.1</v>
      </c>
      <c r="D603" s="111" t="n">
        <v>6737.5</v>
      </c>
    </row>
    <row r="604" ht="15" customHeight="1" s="82">
      <c r="A604" s="94" t="inlineStr">
        <is>
          <t>סופרפארם</t>
        </is>
      </c>
      <c r="B604" s="94" t="inlineStr">
        <is>
          <t>ס.פ. ביג פוריה תרופות</t>
        </is>
      </c>
      <c r="C604" s="111" t="n">
        <v>11722.6</v>
      </c>
      <c r="D604" s="111" t="n">
        <v>8873</v>
      </c>
    </row>
    <row r="605" ht="15" customHeight="1" s="82">
      <c r="A605" s="94" t="inlineStr">
        <is>
          <t>סופרפארם</t>
        </is>
      </c>
      <c r="B605" s="94" t="inlineStr">
        <is>
          <t>ס.פ. ביג נצרת תרופות</t>
        </is>
      </c>
      <c r="C605" s="111" t="n">
        <v>11638.9</v>
      </c>
      <c r="D605" s="111" t="n">
        <v>8433.5</v>
      </c>
    </row>
    <row r="606" ht="15" customHeight="1" s="82">
      <c r="A606" s="94" t="inlineStr">
        <is>
          <t>סופרפארם</t>
        </is>
      </c>
      <c r="B606" s="94" t="inlineStr">
        <is>
          <t>ס.פ. רמת ישי תרופות</t>
        </is>
      </c>
      <c r="C606" s="111" t="n">
        <v>32051.7</v>
      </c>
      <c r="D606" s="111" t="n">
        <v>18932.9</v>
      </c>
    </row>
    <row r="607" ht="15" customHeight="1" s="82">
      <c r="A607" s="94" t="inlineStr">
        <is>
          <t>סופרפארם</t>
        </is>
      </c>
      <c r="B607" s="94" t="inlineStr">
        <is>
          <t>ס.פ. עפולה תרופות</t>
        </is>
      </c>
      <c r="C607" s="111" t="n">
        <v>17242.2</v>
      </c>
      <c r="D607" s="111" t="n">
        <v>13194.2</v>
      </c>
    </row>
    <row r="608" ht="15" customHeight="1" s="82">
      <c r="A608" s="94" t="inlineStr">
        <is>
          <t>סופרפארם</t>
        </is>
      </c>
      <c r="B608" s="94" t="inlineStr">
        <is>
          <t>ס.פ. כפר יאסיף-תרופות</t>
        </is>
      </c>
      <c r="C608" s="111" t="n">
        <v>5550.9</v>
      </c>
      <c r="D608" s="111" t="n">
        <v>6314.5</v>
      </c>
    </row>
    <row r="609" ht="15" customHeight="1" s="82">
      <c r="A609" s="94" t="inlineStr">
        <is>
          <t>סופרפארם</t>
        </is>
      </c>
      <c r="B609" s="94" t="inlineStr">
        <is>
          <t>ס.פ. נוה שאנן תרופות</t>
        </is>
      </c>
      <c r="C609" s="111" t="n">
        <v>18589.8</v>
      </c>
      <c r="D609" s="111" t="n">
        <v>14491.3</v>
      </c>
    </row>
    <row r="610" ht="15" customHeight="1" s="82">
      <c r="A610" s="94" t="inlineStr">
        <is>
          <t>סופרפארם</t>
        </is>
      </c>
      <c r="B610" s="94" t="inlineStr">
        <is>
          <t>ס.פ. אודיטוריום  תרופות</t>
        </is>
      </c>
      <c r="C610" s="111" t="n">
        <v>18916.7</v>
      </c>
      <c r="D610" s="111" t="n">
        <v>20466.8</v>
      </c>
    </row>
    <row r="611" ht="15" customHeight="1" s="82">
      <c r="A611" s="94" t="inlineStr">
        <is>
          <t>סופרפארם</t>
        </is>
      </c>
      <c r="B611" s="94" t="inlineStr">
        <is>
          <t>ס.פ. עמק סנטר עפולה תרופות</t>
        </is>
      </c>
      <c r="C611" s="111" t="n">
        <v>26666</v>
      </c>
      <c r="D611" s="111" t="n">
        <v>20480.8</v>
      </c>
    </row>
    <row r="612" ht="15" customHeight="1" s="82">
      <c r="A612" s="94" t="inlineStr">
        <is>
          <t>סופרפארם</t>
        </is>
      </c>
      <c r="B612" s="94" t="inlineStr">
        <is>
          <t>ס.פ. אום אל פחם  תרופות</t>
        </is>
      </c>
      <c r="C612" s="111" t="n">
        <v>14488.6</v>
      </c>
      <c r="D612" s="111" t="n">
        <v>13307.7</v>
      </c>
    </row>
    <row r="613" ht="15" customHeight="1" s="82">
      <c r="A613" s="94" t="inlineStr">
        <is>
          <t>סופרפארם</t>
        </is>
      </c>
      <c r="B613" s="94" t="inlineStr">
        <is>
          <t>(ס.פ. נוף הגליל )נצרת עילית</t>
        </is>
      </c>
      <c r="C613" s="111" t="n">
        <v>26552.2</v>
      </c>
      <c r="D613" s="111" t="n">
        <v>19466.3</v>
      </c>
    </row>
    <row r="614" ht="15" customHeight="1" s="82">
      <c r="A614" s="94" t="inlineStr">
        <is>
          <t>סופרפארם</t>
        </is>
      </c>
      <c r="B614" s="94" t="inlineStr">
        <is>
          <t>ס.פ. נצרת תרופות</t>
        </is>
      </c>
      <c r="C614" s="111" t="n">
        <v>12998.8</v>
      </c>
      <c r="D614" s="111" t="n">
        <v>9724.6</v>
      </c>
    </row>
    <row r="615" ht="15" customHeight="1" s="82">
      <c r="A615" s="94" t="inlineStr">
        <is>
          <t>סופרפארם</t>
        </is>
      </c>
      <c r="B615" s="94" t="inlineStr">
        <is>
          <t>ס.פ. ביג ק.שמונה תרופות</t>
        </is>
      </c>
      <c r="C615" s="111" t="n">
        <v>23099.9</v>
      </c>
      <c r="D615" s="111" t="n">
        <v>16689.7</v>
      </c>
    </row>
    <row r="616" ht="15" customHeight="1" s="82">
      <c r="A616" s="94" t="inlineStr">
        <is>
          <t>סופרפארם</t>
        </is>
      </c>
      <c r="B616" s="94" t="inlineStr">
        <is>
          <t>ס.פ. טבעון תרופות</t>
        </is>
      </c>
      <c r="C616" s="111" t="n">
        <v>9384</v>
      </c>
      <c r="D616" s="111" t="n">
        <v>8155.6</v>
      </c>
    </row>
    <row r="617" ht="15" customHeight="1" s="82">
      <c r="A617" s="94" t="inlineStr">
        <is>
          <t>סופרפארם</t>
        </is>
      </c>
      <c r="B617" s="94" t="inlineStr">
        <is>
          <t>ס.פ. ביג פרדס חנה תרופות</t>
        </is>
      </c>
      <c r="C617" s="111" t="n">
        <v>20459.2</v>
      </c>
      <c r="D617" s="111" t="n">
        <v>3527.8</v>
      </c>
    </row>
    <row r="618" ht="15" customHeight="1" s="82">
      <c r="A618" s="94" t="inlineStr">
        <is>
          <t>סופרפארם</t>
        </is>
      </c>
      <c r="B618" s="94" t="inlineStr">
        <is>
          <t>ס.פ. מעלות תרופות</t>
        </is>
      </c>
      <c r="C618" s="111" t="n">
        <v>12592.1</v>
      </c>
      <c r="D618" s="111" t="n">
        <v>10797.7</v>
      </c>
    </row>
    <row r="619" ht="15" customHeight="1" s="82">
      <c r="A619" s="94" t="inlineStr">
        <is>
          <t>סופרפארם</t>
        </is>
      </c>
      <c r="B619" s="94" t="inlineStr">
        <is>
          <t>ס.פ. זכרון יעקב תרופות</t>
        </is>
      </c>
      <c r="C619" s="111" t="n">
        <v>11704.5</v>
      </c>
      <c r="D619" s="111" t="n">
        <v>8671.6</v>
      </c>
    </row>
    <row r="620" ht="15" customHeight="1" s="82">
      <c r="A620" s="94" t="inlineStr">
        <is>
          <t>סופרפארם</t>
        </is>
      </c>
      <c r="B620" s="94" t="inlineStr">
        <is>
          <t>ס.פ. ביג כרמיאל תרופות</t>
        </is>
      </c>
      <c r="C620" s="111" t="n">
        <v>68657.8</v>
      </c>
      <c r="D620" s="111" t="n">
        <v>50356.6</v>
      </c>
    </row>
    <row r="621" ht="15" customHeight="1" s="82">
      <c r="A621" s="94" t="inlineStr">
        <is>
          <t>סופרפארם</t>
        </is>
      </c>
      <c r="B621" s="94" t="inlineStr">
        <is>
          <t>ס.פ. קניון טבריה תרופות</t>
        </is>
      </c>
      <c r="C621" s="111" t="n">
        <v>10428.9</v>
      </c>
      <c r="D621" s="111" t="n">
        <v>8075.4</v>
      </c>
    </row>
    <row r="622" ht="15" customHeight="1" s="82">
      <c r="A622" s="94" t="inlineStr">
        <is>
          <t>סופרפארם</t>
        </is>
      </c>
      <c r="B622" s="94" t="inlineStr">
        <is>
          <t>ס.פ. כוכב הגעתון תרופות</t>
        </is>
      </c>
      <c r="C622" s="111" t="n">
        <v>24785.8</v>
      </c>
      <c r="D622" s="111" t="n">
        <v>13056.4</v>
      </c>
    </row>
    <row r="623" ht="15" customHeight="1" s="82">
      <c r="A623" s="94" t="inlineStr">
        <is>
          <t>סופרפארם</t>
        </is>
      </c>
      <c r="B623" s="94" t="inlineStr">
        <is>
          <t>ס.פ. טבריה תרופות</t>
        </is>
      </c>
      <c r="C623" s="111" t="n">
        <v>9093.799999999999</v>
      </c>
      <c r="D623" s="111" t="n">
        <v>11850.6</v>
      </c>
    </row>
    <row r="624" ht="15" customHeight="1" s="82">
      <c r="A624" s="94" t="inlineStr">
        <is>
          <t>סופרפארם</t>
        </is>
      </c>
      <c r="B624" s="94" t="inlineStr">
        <is>
          <t>ס.פ. טמרה תרופות</t>
        </is>
      </c>
      <c r="C624" s="111" t="n">
        <v>7085.6</v>
      </c>
      <c r="D624" s="111" t="n">
        <v>5188.9</v>
      </c>
    </row>
    <row r="625" ht="15" customHeight="1" s="82">
      <c r="A625" s="94" t="inlineStr">
        <is>
          <t>סופרפארם</t>
        </is>
      </c>
      <c r="B625" s="94" t="inlineStr">
        <is>
          <t>ס.פ. רגבה  תרופות</t>
        </is>
      </c>
      <c r="C625" s="111" t="n">
        <v>22135.3</v>
      </c>
      <c r="D625" s="111" t="n">
        <v>10900.5</v>
      </c>
    </row>
    <row r="626" ht="15" customHeight="1" s="82">
      <c r="A626" s="94" t="inlineStr">
        <is>
          <t>סופרפארם</t>
        </is>
      </c>
      <c r="B626" s="94" t="inlineStr">
        <is>
          <t>ס.פ. קרית אתא  תרופות</t>
        </is>
      </c>
      <c r="C626" s="111" t="n">
        <v>23283.7</v>
      </c>
      <c r="D626" s="111" t="n">
        <v>21128.6</v>
      </c>
    </row>
    <row r="627" ht="15" customHeight="1" s="82">
      <c r="A627" s="94" t="inlineStr">
        <is>
          <t>סופרפארם</t>
        </is>
      </c>
      <c r="B627" s="94" t="inlineStr">
        <is>
          <t>ס.פ. קניון לב כרמיאל</t>
        </is>
      </c>
      <c r="C627" s="111" t="n">
        <v>12492.9</v>
      </c>
      <c r="D627" s="111" t="n">
        <v>17359.8</v>
      </c>
    </row>
    <row r="628" ht="15" customHeight="1" s="82">
      <c r="A628" s="94" t="inlineStr">
        <is>
          <t>סופרפארם</t>
        </is>
      </c>
      <c r="B628" s="94" t="inlineStr">
        <is>
          <t>ס.פ. גרנד קניון  תרופות</t>
        </is>
      </c>
      <c r="C628" s="111" t="n">
        <v>55881.1</v>
      </c>
      <c r="D628" s="111" t="n">
        <v>42414.2</v>
      </c>
    </row>
    <row r="629" ht="15" customHeight="1" s="82">
      <c r="A629" s="94" t="inlineStr">
        <is>
          <t>סופרפארם</t>
        </is>
      </c>
      <c r="B629" s="94" t="inlineStr">
        <is>
          <t>ס.פ. מגדל העמק  תרופות</t>
        </is>
      </c>
      <c r="C629" s="111" t="n">
        <v>12991.9</v>
      </c>
      <c r="D629" s="111" t="n">
        <v>8282.5</v>
      </c>
    </row>
    <row r="630" ht="15" customHeight="1" s="82">
      <c r="A630" s="94" t="inlineStr">
        <is>
          <t>סופרפארם</t>
        </is>
      </c>
      <c r="B630" s="94" t="inlineStr">
        <is>
          <t>ס.פ. העצמאות ק.אתא תרופות</t>
        </is>
      </c>
      <c r="C630" s="111" t="n">
        <v>11197.6</v>
      </c>
      <c r="D630" s="111" t="n">
        <v>6776.3</v>
      </c>
    </row>
    <row r="631" ht="15" customHeight="1" s="82">
      <c r="A631" s="94" t="inlineStr">
        <is>
          <t>סופרפארם</t>
        </is>
      </c>
      <c r="B631" s="94" t="inlineStr">
        <is>
          <t>ס.פ. שפרעם תרופות</t>
        </is>
      </c>
      <c r="C631" s="111" t="n">
        <v>24321.8</v>
      </c>
      <c r="D631" s="111" t="n">
        <v>14403.6</v>
      </c>
    </row>
    <row r="632" ht="15" customHeight="1" s="82">
      <c r="A632" s="94" t="inlineStr">
        <is>
          <t>סופרפארם</t>
        </is>
      </c>
      <c r="B632" s="94" t="inlineStr">
        <is>
          <t>ס.פ. ביג יוקנעם תרופות</t>
        </is>
      </c>
      <c r="C632" s="111" t="n">
        <v>25510.2</v>
      </c>
      <c r="D632" s="111" t="n">
        <v>20693.4</v>
      </c>
    </row>
    <row r="633" ht="15" customHeight="1" s="82">
      <c r="A633" s="94" t="inlineStr">
        <is>
          <t>סופרפארם</t>
        </is>
      </c>
      <c r="B633" s="94" t="inlineStr">
        <is>
          <t>ס.פ. סיטי סנטר חיפה תרופות</t>
        </is>
      </c>
      <c r="C633" s="111" t="n">
        <v>22307.5</v>
      </c>
      <c r="D633" s="111" t="n">
        <v>9688.299999999999</v>
      </c>
    </row>
    <row r="634" ht="15" customHeight="1" s="82">
      <c r="A634" s="94" t="inlineStr">
        <is>
          <t>סופרפארם</t>
        </is>
      </c>
      <c r="B634" s="94" t="inlineStr">
        <is>
          <t>ס.פ. בית שאן תרופות</t>
        </is>
      </c>
      <c r="C634" s="111" t="n">
        <v>10084</v>
      </c>
      <c r="D634" s="111" t="n">
        <v>9631.5</v>
      </c>
    </row>
    <row r="635" ht="15" customHeight="1" s="82">
      <c r="A635" s="94" t="inlineStr">
        <is>
          <t>סופרפארם</t>
        </is>
      </c>
      <c r="B635" s="94" t="inlineStr">
        <is>
          <t>ס.פ. חדרה מזרח תרופות</t>
        </is>
      </c>
      <c r="C635" s="111" t="n">
        <v>16896.6</v>
      </c>
      <c r="D635" s="111" t="n">
        <v>11217.1</v>
      </c>
    </row>
    <row r="636" ht="15" customHeight="1" s="82">
      <c r="A636" s="94" t="inlineStr">
        <is>
          <t>סופרפארם</t>
        </is>
      </c>
      <c r="B636" s="94" t="inlineStr">
        <is>
          <t>ס.פ.גדרה תרופות</t>
        </is>
      </c>
      <c r="C636" s="111" t="n">
        <v>32028.6</v>
      </c>
      <c r="D636" s="111" t="n">
        <v>22435.5</v>
      </c>
    </row>
    <row r="637" ht="15" customHeight="1" s="82">
      <c r="A637" s="94" t="inlineStr">
        <is>
          <t>סופרפארם</t>
        </is>
      </c>
      <c r="B637" s="94" t="inlineStr">
        <is>
          <t>ס.פ.ביג קרית גת תרופות</t>
        </is>
      </c>
      <c r="C637" s="111" t="n">
        <v>36086.4</v>
      </c>
      <c r="D637" s="111" t="n">
        <v>30759.7</v>
      </c>
    </row>
    <row r="638" ht="15" customHeight="1" s="82">
      <c r="A638" s="94" t="inlineStr">
        <is>
          <t>סופרפארם</t>
        </is>
      </c>
      <c r="B638" s="94" t="inlineStr">
        <is>
          <t>ס.פ.צים נתיבות תרופות</t>
        </is>
      </c>
      <c r="C638" s="111" t="n">
        <v>13370.5</v>
      </c>
      <c r="D638" s="111" t="n">
        <v>11324.5</v>
      </c>
    </row>
    <row r="639" ht="15" customHeight="1" s="82">
      <c r="A639" s="94" t="inlineStr">
        <is>
          <t>סופרפארם</t>
        </is>
      </c>
      <c r="B639" s="94" t="inlineStr">
        <is>
          <t>ס.פ.אשקלון תרופות גירון</t>
        </is>
      </c>
      <c r="C639" s="111" t="n">
        <v>56802.8</v>
      </c>
      <c r="D639" s="111" t="n">
        <v>40944.9</v>
      </c>
    </row>
    <row r="640" ht="15" customHeight="1" s="82">
      <c r="A640" s="94" t="inlineStr">
        <is>
          <t>סופרפארם</t>
        </is>
      </c>
      <c r="B640" s="94" t="inlineStr">
        <is>
          <t>ס.פ.מרכז דוד תרופות אשקלון</t>
        </is>
      </c>
      <c r="C640" s="111" t="n">
        <v>24221.5</v>
      </c>
      <c r="D640" s="111" t="n">
        <v>20557.9</v>
      </c>
    </row>
    <row r="641" ht="15" customHeight="1" s="82">
      <c r="A641" s="94" t="inlineStr">
        <is>
          <t>סופרפארם</t>
        </is>
      </c>
      <c r="B641" s="94" t="inlineStr">
        <is>
          <t>ס.פ.יבנה תרופות</t>
        </is>
      </c>
      <c r="C641" s="111" t="n">
        <v>0</v>
      </c>
      <c r="D641" s="111" t="n">
        <v>0</v>
      </c>
    </row>
    <row r="642" ht="15" customHeight="1" s="82">
      <c r="A642" s="94" t="inlineStr">
        <is>
          <t>סופרפארם</t>
        </is>
      </c>
      <c r="B642" s="94" t="inlineStr">
        <is>
          <t>ס.פ.סטאר סנטר תרופות</t>
        </is>
      </c>
      <c r="C642" s="111" t="n">
        <v>63211.5</v>
      </c>
      <c r="D642" s="111" t="n">
        <v>48539.8</v>
      </c>
    </row>
    <row r="643" ht="15" customHeight="1" s="82">
      <c r="A643" s="94" t="inlineStr">
        <is>
          <t>סופרפארם</t>
        </is>
      </c>
      <c r="B643" s="94" t="inlineStr">
        <is>
          <t>ס.פ.נתיבות תרופות</t>
        </is>
      </c>
      <c r="C643" s="111" t="n">
        <v>19476.1</v>
      </c>
      <c r="D643" s="111" t="n">
        <v>15494.1</v>
      </c>
    </row>
    <row r="644" ht="15" customHeight="1" s="82">
      <c r="A644" s="94" t="inlineStr">
        <is>
          <t>סופרפארם</t>
        </is>
      </c>
      <c r="B644" s="94" t="inlineStr">
        <is>
          <t>ס.פ.סיטי אשדוד תרופות</t>
        </is>
      </c>
      <c r="C644" s="111" t="n">
        <v>36774.5</v>
      </c>
      <c r="D644" s="111" t="n">
        <v>26761.3</v>
      </c>
    </row>
    <row r="645" ht="15" customHeight="1" s="82">
      <c r="A645" s="94" t="inlineStr">
        <is>
          <t>סופרפארם</t>
        </is>
      </c>
      <c r="B645" s="94" t="inlineStr">
        <is>
          <t>ס.פ.לב העיר קרית גת תרופות</t>
        </is>
      </c>
      <c r="C645" s="111" t="n">
        <v>18474.4</v>
      </c>
      <c r="D645" s="111" t="n">
        <v>10566.4</v>
      </c>
    </row>
    <row r="646" ht="15" customHeight="1" s="82">
      <c r="A646" s="94" t="inlineStr">
        <is>
          <t>סופרפארם</t>
        </is>
      </c>
      <c r="B646" s="94" t="inlineStr">
        <is>
          <t>ס.פ.סילבר תרופות</t>
        </is>
      </c>
      <c r="C646" s="111" t="n">
        <v>37059</v>
      </c>
      <c r="D646" s="111" t="n">
        <v>27413.7</v>
      </c>
    </row>
    <row r="647" ht="15" customHeight="1" s="82">
      <c r="A647" s="94" t="inlineStr">
        <is>
          <t>סופרפארם</t>
        </is>
      </c>
      <c r="B647" s="94" t="inlineStr">
        <is>
          <t>ס.פ.אופקים תרופות</t>
        </is>
      </c>
      <c r="C647" s="111" t="n">
        <v>13546.6</v>
      </c>
      <c r="D647" s="111" t="n">
        <v>17126.2</v>
      </c>
    </row>
    <row r="648" ht="15" customHeight="1" s="82">
      <c r="A648" s="94" t="inlineStr">
        <is>
          <t>סופרפארם</t>
        </is>
      </c>
      <c r="B648" s="94" t="inlineStr">
        <is>
          <t>ס.פ.דימונה תרופות</t>
        </is>
      </c>
      <c r="C648" s="111" t="n">
        <v>14420.5</v>
      </c>
      <c r="D648" s="111" t="n">
        <v>9645.200000000001</v>
      </c>
    </row>
    <row r="649" ht="15" customHeight="1" s="82">
      <c r="A649" s="94" t="inlineStr">
        <is>
          <t>סופרפארם</t>
        </is>
      </c>
      <c r="B649" s="94" t="inlineStr">
        <is>
          <t>ס.פ.ביג קסטינה</t>
        </is>
      </c>
      <c r="C649" s="111" t="n">
        <v>35954.1</v>
      </c>
      <c r="D649" s="111" t="n">
        <v>23623.2</v>
      </c>
    </row>
    <row r="650" ht="15" customHeight="1" s="82">
      <c r="A650" s="94" t="inlineStr">
        <is>
          <t>סופרפארם</t>
        </is>
      </c>
      <c r="B650" s="94" t="inlineStr">
        <is>
          <t>ס.פ.גרנד ב""ש</t>
        </is>
      </c>
      <c r="C650" s="111" t="n">
        <v>37784.7</v>
      </c>
      <c r="D650" s="111" t="n">
        <v>31329.9</v>
      </c>
    </row>
    <row r="651" ht="15" customHeight="1" s="82">
      <c r="A651" s="94" t="inlineStr">
        <is>
          <t>סופרפארם</t>
        </is>
      </c>
      <c r="B651" s="94" t="inlineStr">
        <is>
          <t>ס.פ.קניון הנגב תרופות</t>
        </is>
      </c>
      <c r="C651" s="111" t="n">
        <v>29054.5</v>
      </c>
      <c r="D651" s="111" t="n">
        <v>22093.6</v>
      </c>
    </row>
    <row r="652" ht="15" customHeight="1" s="82">
      <c r="A652" s="94" t="inlineStr">
        <is>
          <t>סופרפארם</t>
        </is>
      </c>
      <c r="B652" s="94" t="inlineStr">
        <is>
          <t>ס.פ.ערד תרופות</t>
        </is>
      </c>
      <c r="C652" s="111" t="n">
        <v>13276.6</v>
      </c>
      <c r="D652" s="111" t="n">
        <v>8346</v>
      </c>
    </row>
    <row r="653" ht="15" customHeight="1" s="82">
      <c r="A653" s="94" t="inlineStr">
        <is>
          <t>סופרפארם</t>
        </is>
      </c>
      <c r="B653" s="94" t="inlineStr">
        <is>
          <t>ס.פ.שדרות תרופות</t>
        </is>
      </c>
      <c r="C653" s="111" t="n">
        <v>29751.8</v>
      </c>
      <c r="D653" s="111" t="n">
        <v>16670.7</v>
      </c>
    </row>
    <row r="654" ht="15" customHeight="1" s="82">
      <c r="A654" s="94" t="inlineStr">
        <is>
          <t>סופרפארם</t>
        </is>
      </c>
      <c r="B654" s="94" t="inlineStr">
        <is>
          <t>ס.פ.משחררים ב""ש תרופות</t>
        </is>
      </c>
      <c r="C654" s="111" t="n">
        <v>28219.1</v>
      </c>
      <c r="D654" s="111" t="n">
        <v>18904.6</v>
      </c>
    </row>
    <row r="655" ht="15" customHeight="1" s="82">
      <c r="A655" s="94" t="inlineStr">
        <is>
          <t>סופרפארם</t>
        </is>
      </c>
      <c r="B655" s="94" t="inlineStr">
        <is>
          <t>BM ס.פ.קניון שאול המלך</t>
        </is>
      </c>
      <c r="C655" s="111" t="n">
        <v>17090.1</v>
      </c>
      <c r="D655" s="111" t="n">
        <v>9187</v>
      </c>
    </row>
    <row r="656" ht="15" customHeight="1" s="82">
      <c r="A656" s="94" t="inlineStr">
        <is>
          <t>סופרפארם</t>
        </is>
      </c>
      <c r="B656" s="94" t="inlineStr">
        <is>
          <t>ס.פ.נחל עשן תרופות</t>
        </is>
      </c>
      <c r="C656" s="111" t="n">
        <v>18362.9</v>
      </c>
      <c r="D656" s="111" t="n">
        <v>12103.5</v>
      </c>
    </row>
    <row r="657" ht="15" customHeight="1" s="82">
      <c r="A657" s="94" t="inlineStr">
        <is>
          <t>סופרפארם</t>
        </is>
      </c>
      <c r="B657" s="94" t="inlineStr">
        <is>
          <t>ס.פ.ביג ב""ש תרופות</t>
        </is>
      </c>
      <c r="C657" s="111" t="n">
        <v>88438.10000000001</v>
      </c>
      <c r="D657" s="111" t="n">
        <v>72296.10000000001</v>
      </c>
    </row>
    <row r="658" ht="15" customHeight="1" s="82">
      <c r="A658" s="94" t="inlineStr">
        <is>
          <t>סופרפארם</t>
        </is>
      </c>
      <c r="B658" s="94" t="inlineStr">
        <is>
          <t>ס.פ.נווה זאב באר שבע תרופות</t>
        </is>
      </c>
      <c r="C658" s="111" t="n">
        <v>22226.6</v>
      </c>
      <c r="D658" s="111" t="n">
        <v>10190.7</v>
      </c>
    </row>
    <row r="659" ht="15" customHeight="1" s="82">
      <c r="A659" s="94" t="inlineStr">
        <is>
          <t>סופרפארם</t>
        </is>
      </c>
      <c r="B659" s="94" t="inlineStr">
        <is>
          <t>ס.פ.גילה תרופות</t>
        </is>
      </c>
      <c r="C659" s="111" t="n">
        <v>11428.1</v>
      </c>
      <c r="D659" s="111" t="n">
        <v>8407.700000000001</v>
      </c>
    </row>
    <row r="660" ht="15" customHeight="1" s="82">
      <c r="A660" s="94" t="inlineStr">
        <is>
          <t>סופרפארם</t>
        </is>
      </c>
      <c r="B660" s="94" t="inlineStr">
        <is>
          <t>ס.פ.מדרחוב תרופות</t>
        </is>
      </c>
      <c r="C660" s="111" t="n">
        <v>59871.6</v>
      </c>
      <c r="D660" s="111" t="n">
        <v>-11496</v>
      </c>
    </row>
    <row r="661" ht="15" customHeight="1" s="82">
      <c r="A661" s="94" t="inlineStr">
        <is>
          <t>סופרפארם</t>
        </is>
      </c>
      <c r="B661" s="94" t="inlineStr">
        <is>
          <t>ס.פ ממילא ירושלים תרופות</t>
        </is>
      </c>
      <c r="C661" s="111" t="n">
        <v>29037.3</v>
      </c>
      <c r="D661" s="111" t="n">
        <v>25296.3</v>
      </c>
    </row>
    <row r="662" ht="15" customHeight="1" s="82">
      <c r="A662" s="94" t="inlineStr">
        <is>
          <t>סופרפארם</t>
        </is>
      </c>
      <c r="B662" s="94" t="inlineStr">
        <is>
          <t>ס.פ.בית האומות י-ם תרופות</t>
        </is>
      </c>
      <c r="C662" s="111" t="n">
        <v>45291.6</v>
      </c>
      <c r="D662" s="111" t="n">
        <v>30299.7</v>
      </c>
    </row>
    <row r="663" ht="15" customHeight="1" s="82">
      <c r="A663" s="94" t="inlineStr">
        <is>
          <t>סופרפארם</t>
        </is>
      </c>
      <c r="B663" s="94" t="inlineStr">
        <is>
          <t>ס.פ.ניות ירושלים תרופות</t>
        </is>
      </c>
      <c r="C663" s="111" t="n">
        <v>42012.2</v>
      </c>
      <c r="D663" s="111" t="n">
        <v>35435</v>
      </c>
    </row>
    <row r="664" ht="15" customHeight="1" s="82">
      <c r="A664" s="94" t="inlineStr">
        <is>
          <t>סופרפארם</t>
        </is>
      </c>
      <c r="B664" s="94" t="inlineStr">
        <is>
          <t>ס.פ.הדסה ע.כרם י-ם תרופות</t>
        </is>
      </c>
      <c r="C664" s="111" t="n">
        <v>70289.5</v>
      </c>
      <c r="D664" s="111" t="n">
        <v>58889.5</v>
      </c>
    </row>
    <row r="665" ht="15" customHeight="1" s="82">
      <c r="A665" s="94" t="inlineStr">
        <is>
          <t>סופרפארם</t>
        </is>
      </c>
      <c r="B665" s="94" t="inlineStr">
        <is>
          <t>ס.פ.פסגת זאב תרופות</t>
        </is>
      </c>
      <c r="C665" s="111" t="n">
        <v>28096.6</v>
      </c>
      <c r="D665" s="111" t="n">
        <v>22287.7</v>
      </c>
    </row>
    <row r="666" ht="15" customHeight="1" s="82">
      <c r="A666" s="94" t="inlineStr">
        <is>
          <t>סופרפארם</t>
        </is>
      </c>
      <c r="B666" s="94" t="inlineStr">
        <is>
          <t>ס.פ.בית הכרם תרופות</t>
        </is>
      </c>
      <c r="C666" s="111" t="n">
        <v>28961</v>
      </c>
      <c r="D666" s="111" t="n">
        <v>21649</v>
      </c>
    </row>
    <row r="667" ht="15" customHeight="1" s="82">
      <c r="A667" s="94" t="inlineStr">
        <is>
          <t>סופרפארם</t>
        </is>
      </c>
      <c r="B667" s="94" t="inlineStr">
        <is>
          <t>ס.פ.רמות ירושלים תרופות</t>
        </is>
      </c>
      <c r="C667" s="111" t="n">
        <v>58295.4</v>
      </c>
      <c r="D667" s="111" t="n">
        <v>47072.3</v>
      </c>
    </row>
    <row r="668" ht="15" customHeight="1" s="82">
      <c r="A668" s="94" t="inlineStr">
        <is>
          <t>סופרפארם</t>
        </is>
      </c>
      <c r="B668" s="94" t="inlineStr">
        <is>
          <t>ס.פ.מלחה תרופות</t>
        </is>
      </c>
      <c r="C668" s="111" t="n">
        <v>52586.4</v>
      </c>
      <c r="D668" s="111" t="n">
        <v>43995</v>
      </c>
    </row>
    <row r="669" ht="15" customHeight="1" s="82">
      <c r="A669" s="94" t="inlineStr">
        <is>
          <t>סופרפארם</t>
        </is>
      </c>
      <c r="B669" s="94" t="inlineStr">
        <is>
          <t>ס.פ.מעלה אדומים תרופות</t>
        </is>
      </c>
      <c r="C669" s="111" t="n">
        <v>28284.4</v>
      </c>
      <c r="D669" s="111" t="n">
        <v>24983.9</v>
      </c>
    </row>
    <row r="670" ht="15" customHeight="1" s="82">
      <c r="A670" s="94" t="inlineStr">
        <is>
          <t>סופרפארם</t>
        </is>
      </c>
      <c r="B670" s="94" t="inlineStr">
        <is>
          <t>ס.פ ביג בית שמש תרופות</t>
        </is>
      </c>
      <c r="C670" s="111" t="n">
        <v>40253.2</v>
      </c>
      <c r="D670" s="111" t="n">
        <v>35269.8</v>
      </c>
    </row>
    <row r="671" ht="15" customHeight="1" s="82">
      <c r="A671" s="94" t="inlineStr">
        <is>
          <t>סופרפארם</t>
        </is>
      </c>
      <c r="B671" s="94" t="inlineStr">
        <is>
          <t>ס.פ.קניון בית שמש תרופות</t>
        </is>
      </c>
      <c r="C671" s="111" t="n">
        <v>28489.4</v>
      </c>
      <c r="D671" s="111" t="n">
        <v>21004.5</v>
      </c>
    </row>
    <row r="672" ht="15" customHeight="1" s="82">
      <c r="A672" s="94" t="inlineStr">
        <is>
          <t>סופרפארם</t>
        </is>
      </c>
      <c r="B672" s="94" t="inlineStr">
        <is>
          <t>ס.פ.גבעת שאול תרופות</t>
        </is>
      </c>
      <c r="C672" s="111" t="n">
        <v>25344.6</v>
      </c>
      <c r="D672" s="111" t="n">
        <v>17458.8</v>
      </c>
    </row>
    <row r="673" ht="15" customHeight="1" s="82">
      <c r="A673" s="94" t="inlineStr">
        <is>
          <t>סופרפארם</t>
        </is>
      </c>
      <c r="B673" s="94" t="inlineStr">
        <is>
          <t>ס.פ.תחנה י-ם תרופות</t>
        </is>
      </c>
      <c r="C673" s="111" t="n">
        <v>29506.2</v>
      </c>
      <c r="D673" s="111" t="n">
        <v>22825.8</v>
      </c>
    </row>
    <row r="674" ht="15" customHeight="1" s="82">
      <c r="A674" s="94" t="inlineStr">
        <is>
          <t>סופרפארם</t>
        </is>
      </c>
      <c r="B674" s="94" t="inlineStr">
        <is>
          <t>ס.פ.תלפיות תרופות י-ם</t>
        </is>
      </c>
      <c r="C674" s="111" t="n">
        <v>46557.9</v>
      </c>
      <c r="D674" s="111" t="n">
        <v>38500.9</v>
      </c>
    </row>
    <row r="675" ht="15" customHeight="1" s="82">
      <c r="A675" s="94" t="inlineStr">
        <is>
          <t>סופרפארם</t>
        </is>
      </c>
      <c r="B675" s="94" t="inlineStr">
        <is>
          <t>ס.פ.מודיעין שמשוני תרופות</t>
        </is>
      </c>
      <c r="C675" s="111" t="n">
        <v>37677.9</v>
      </c>
      <c r="D675" s="111" t="n">
        <v>30345.6</v>
      </c>
    </row>
    <row r="676" ht="15" customHeight="1" s="82">
      <c r="A676" s="94" t="inlineStr">
        <is>
          <t>סופרפארם</t>
        </is>
      </c>
      <c r="B676" s="94" t="inlineStr">
        <is>
          <t>ס.פ.ישפרו מודיעין תרופות</t>
        </is>
      </c>
      <c r="C676" s="111" t="n">
        <v>51666.7</v>
      </c>
      <c r="D676" s="111" t="n">
        <v>49252.3</v>
      </c>
    </row>
    <row r="677" ht="15" customHeight="1" s="82">
      <c r="A677" s="94" t="inlineStr">
        <is>
          <t>סופרפארם</t>
        </is>
      </c>
      <c r="B677" s="94" t="inlineStr">
        <is>
          <t>ס.פ.קניון מודיעין תרופות</t>
        </is>
      </c>
      <c r="C677" s="111" t="n">
        <v>52742</v>
      </c>
      <c r="D677" s="111" t="n">
        <v>46590.9</v>
      </c>
    </row>
    <row r="678" ht="15" customHeight="1" s="82">
      <c r="A678" s="94" t="inlineStr">
        <is>
          <t>סופרפארם</t>
        </is>
      </c>
      <c r="B678" s="94" t="inlineStr">
        <is>
          <t>ס.פ.מזכרת בתיה תרופות</t>
        </is>
      </c>
      <c r="C678" s="111" t="n">
        <v>22230.3</v>
      </c>
      <c r="D678" s="111" t="n">
        <v>15058.9</v>
      </c>
    </row>
    <row r="679" ht="15" customHeight="1" s="82">
      <c r="A679" s="94" t="inlineStr">
        <is>
          <t>סופרפארם</t>
        </is>
      </c>
      <c r="B679" s="94" t="inlineStr">
        <is>
          <t>ס.פ.בילו סנטר תרופות</t>
        </is>
      </c>
      <c r="C679" s="111" t="n">
        <v>39005.8</v>
      </c>
      <c r="D679" s="111" t="n">
        <v>28259.9</v>
      </c>
    </row>
    <row r="680" ht="15" customHeight="1" s="82">
      <c r="A680" s="94" t="inlineStr">
        <is>
          <t>סופרפארם</t>
        </is>
      </c>
      <c r="B680" s="94" t="inlineStr">
        <is>
          <t>ס.פ.כיכר דיזנגוף תרופות</t>
        </is>
      </c>
      <c r="C680" s="111" t="n">
        <v>28621.5</v>
      </c>
      <c r="D680" s="111" t="n">
        <v>15642.4</v>
      </c>
    </row>
    <row r="681" ht="15" customHeight="1" s="82">
      <c r="A681" s="94" t="inlineStr">
        <is>
          <t>סופרפארם</t>
        </is>
      </c>
      <c r="B681" s="94" t="inlineStr">
        <is>
          <t>ס.פ. באקה אל גרבייה תרופות</t>
        </is>
      </c>
      <c r="C681" s="111" t="n">
        <v>0</v>
      </c>
      <c r="D681" s="111" t="n">
        <v>0</v>
      </c>
    </row>
    <row r="682" ht="15" customHeight="1" s="82">
      <c r="A682" s="94" t="inlineStr">
        <is>
          <t>סופרפארם</t>
        </is>
      </c>
      <c r="B682" s="94" t="inlineStr">
        <is>
          <t>ס.פ.גאלרי כיכר ציון ירושלים</t>
        </is>
      </c>
      <c r="C682" s="111" t="n">
        <v>46442.7</v>
      </c>
      <c r="D682" s="111" t="n">
        <v>50386.8</v>
      </c>
    </row>
    <row r="683" ht="15" customHeight="1" s="82">
      <c r="A683" s="94" t="inlineStr">
        <is>
          <t>סופרפארם</t>
        </is>
      </c>
      <c r="B683" s="94" t="inlineStr">
        <is>
          <t>ס.פ.חולון שנקר תרופות</t>
        </is>
      </c>
      <c r="C683" s="111" t="n">
        <v>15127.1</v>
      </c>
      <c r="D683" s="111" t="n">
        <v>4956.6</v>
      </c>
    </row>
    <row r="684" ht="15" customHeight="1" s="82">
      <c r="A684" s="94" t="inlineStr">
        <is>
          <t>סופרפארם</t>
        </is>
      </c>
      <c r="B684" s="94" t="inlineStr">
        <is>
          <t>ס.פ.ארלוזורוב תרופות</t>
        </is>
      </c>
      <c r="C684" s="111" t="n">
        <v>20297.6</v>
      </c>
      <c r="D684" s="111" t="n">
        <v>10308</v>
      </c>
    </row>
    <row r="685" ht="15" customHeight="1" s="82">
      <c r="A685" s="94" t="inlineStr">
        <is>
          <t>סופרפארם</t>
        </is>
      </c>
      <c r="B685" s="94" t="inlineStr">
        <is>
          <t>ס.פ.כפר סבא הירוקה תרופות</t>
        </is>
      </c>
      <c r="C685" s="111" t="n">
        <v>22163.6</v>
      </c>
      <c r="D685" s="111" t="n">
        <v>14927.9</v>
      </c>
    </row>
    <row r="686" ht="15" customHeight="1" s="82">
      <c r="A686" s="94" t="inlineStr">
        <is>
          <t>סופרפארם</t>
        </is>
      </c>
      <c r="B686" s="94" t="inlineStr">
        <is>
          <t>ס.פ. רמת הנשיא חיפה תרופות</t>
        </is>
      </c>
      <c r="C686" s="111" t="n">
        <v>21866.3</v>
      </c>
      <c r="D686" s="111" t="n">
        <v>11174.6</v>
      </c>
    </row>
    <row r="687" ht="15" customHeight="1" s="82">
      <c r="A687" s="94" t="inlineStr">
        <is>
          <t>סופרפארם</t>
        </is>
      </c>
      <c r="B687" s="94" t="inlineStr">
        <is>
          <t>ס.פ. טירת הכרמל  תרופות</t>
        </is>
      </c>
      <c r="C687" s="111" t="n">
        <v>16298.9</v>
      </c>
      <c r="D687" s="111" t="n">
        <v>8633.700000000001</v>
      </c>
    </row>
    <row r="688" ht="15" customHeight="1" s="82">
      <c r="A688" s="94" t="inlineStr">
        <is>
          <t>סופרפארם</t>
        </is>
      </c>
      <c r="B688" s="94" t="inlineStr">
        <is>
          <t>ס.פ. שער צפון קרית אתא תרופות</t>
        </is>
      </c>
      <c r="C688" s="111" t="n">
        <v>10039.8</v>
      </c>
      <c r="D688" s="111" t="n">
        <v>5607.1</v>
      </c>
    </row>
    <row r="689" ht="15" customHeight="1" s="82">
      <c r="A689" s="94" t="inlineStr">
        <is>
          <t>סופרפארם</t>
        </is>
      </c>
      <c r="B689" s="94" t="inlineStr">
        <is>
          <t>ס.פ.בית הבד תרופות הוד השרון</t>
        </is>
      </c>
      <c r="C689" s="111" t="n">
        <v>16229.1</v>
      </c>
      <c r="D689" s="111" t="n">
        <v>10871.6</v>
      </c>
    </row>
    <row r="690" ht="15" customHeight="1" s="82">
      <c r="A690" s="94" t="inlineStr">
        <is>
          <t>סופרפארם</t>
        </is>
      </c>
      <c r="B690" s="94" t="inlineStr">
        <is>
          <t>ס.פ. שבזי ראש העין תרופות</t>
        </is>
      </c>
      <c r="C690" s="111" t="n">
        <v>16439.4</v>
      </c>
      <c r="D690" s="111" t="n">
        <v>21464.1</v>
      </c>
    </row>
    <row r="691" ht="15" customHeight="1" s="82">
      <c r="A691" s="94" t="inlineStr">
        <is>
          <t>סופרפארם</t>
        </is>
      </c>
      <c r="B691" s="94" t="inlineStr">
        <is>
          <t>ס.פ.אחימאיר תרופות תל אביב</t>
        </is>
      </c>
      <c r="C691" s="111" t="n">
        <v>0</v>
      </c>
      <c r="D691" s="111" t="n">
        <v>0</v>
      </c>
    </row>
    <row r="692" ht="15" customHeight="1" s="82">
      <c r="A692" s="94" t="inlineStr">
        <is>
          <t>סופרפארם</t>
        </is>
      </c>
      <c r="B692" s="94" t="inlineStr">
        <is>
          <t>ס.פ.אגמים נתניה תרופות</t>
        </is>
      </c>
      <c r="C692" s="111" t="n">
        <v>19823.2</v>
      </c>
      <c r="D692" s="111" t="n">
        <v>13338.6</v>
      </c>
    </row>
    <row r="693" ht="15" customHeight="1" s="82">
      <c r="A693" s="94" t="inlineStr">
        <is>
          <t>סופרפארם</t>
        </is>
      </c>
      <c r="B693" s="94" t="inlineStr">
        <is>
          <t>ס.פ. קרית חיים תרופות</t>
        </is>
      </c>
      <c r="C693" s="111" t="n">
        <v>20345.7</v>
      </c>
      <c r="D693" s="111" t="n">
        <v>11554.3</v>
      </c>
    </row>
    <row r="694" ht="15" customHeight="1" s="82">
      <c r="A694" s="94" t="inlineStr">
        <is>
          <t>סופרפארם</t>
        </is>
      </c>
      <c r="B694" s="94" t="inlineStr">
        <is>
          <t>ס.פ.רחובות החדשה תרופות</t>
        </is>
      </c>
      <c r="C694" s="111" t="n">
        <v>19282.8</v>
      </c>
      <c r="D694" s="111" t="n">
        <v>13052.3</v>
      </c>
    </row>
    <row r="695" ht="15" customHeight="1" s="82">
      <c r="A695" s="94" t="inlineStr">
        <is>
          <t>סופרפארם</t>
        </is>
      </c>
      <c r="B695" s="94" t="inlineStr">
        <is>
          <t>ס.פ.צייטלין ת""א תרופות</t>
        </is>
      </c>
      <c r="C695" s="111" t="n">
        <v>7851.2</v>
      </c>
      <c r="D695" s="111" t="n">
        <v>5277.7</v>
      </c>
    </row>
    <row r="696" ht="15" customHeight="1" s="82">
      <c r="A696" s="94" t="inlineStr">
        <is>
          <t>סופרפארם</t>
        </is>
      </c>
      <c r="B696" s="94" t="inlineStr">
        <is>
          <t>ס.פ.שרונה ת""א תרופות</t>
        </is>
      </c>
      <c r="C696" s="111" t="n">
        <v>12310.1</v>
      </c>
      <c r="D696" s="111" t="n">
        <v>9085.700000000001</v>
      </c>
    </row>
    <row r="697" ht="15" customHeight="1" s="82">
      <c r="A697" s="94" t="inlineStr">
        <is>
          <t>סופרפארם</t>
        </is>
      </c>
      <c r="B697" s="94" t="inlineStr">
        <is>
          <t>תרופות ת""א TLV ס.פ.קניון</t>
        </is>
      </c>
      <c r="C697" s="111" t="n">
        <v>18875.9</v>
      </c>
      <c r="D697" s="111" t="n">
        <v>14184.4</v>
      </c>
    </row>
    <row r="698" ht="15" customHeight="1" s="82">
      <c r="A698" s="94" t="inlineStr">
        <is>
          <t>סופרפארם</t>
        </is>
      </c>
      <c r="B698" s="94" t="inlineStr">
        <is>
          <t>ס.פ.נופי ים ת""א תרופות</t>
        </is>
      </c>
      <c r="C698" s="111" t="n">
        <v>19441.4</v>
      </c>
      <c r="D698" s="111" t="n">
        <v>11984.1</v>
      </c>
    </row>
    <row r="699" ht="15" customHeight="1" s="82">
      <c r="A699" s="94" t="inlineStr">
        <is>
          <t>סופרפארם</t>
        </is>
      </c>
      <c r="B699" s="94" t="inlineStr">
        <is>
          <t>ס.פ.ביג פאשן אשדוד תרופות</t>
        </is>
      </c>
      <c r="C699" s="111" t="n">
        <v>33328.1</v>
      </c>
      <c r="D699" s="111" t="n">
        <v>25613.2</v>
      </c>
    </row>
    <row r="700" ht="15" customHeight="1" s="82">
      <c r="A700" s="94" t="inlineStr">
        <is>
          <t>סופרפארם</t>
        </is>
      </c>
      <c r="B700" s="94" t="inlineStr">
        <is>
          <t>ס.פ. גן יבנה תרופות</t>
        </is>
      </c>
      <c r="C700" s="111" t="n">
        <v>20208.2</v>
      </c>
      <c r="D700" s="111" t="n">
        <v>14525.9</v>
      </c>
    </row>
    <row r="701" ht="15" customHeight="1" s="82">
      <c r="A701" s="94" t="inlineStr">
        <is>
          <t>סופרפארם</t>
        </is>
      </c>
      <c r="B701" s="94" t="inlineStr">
        <is>
          <t>ס.פ. הקישון יבנה תרופות</t>
        </is>
      </c>
      <c r="C701" s="111" t="n">
        <v>29382.1</v>
      </c>
      <c r="D701" s="111" t="n">
        <v>16485.4</v>
      </c>
    </row>
    <row r="702" ht="15" customHeight="1" s="82">
      <c r="A702" s="94" t="inlineStr">
        <is>
          <t>סופרפארם</t>
        </is>
      </c>
      <c r="B702" s="94" t="inlineStr">
        <is>
          <t>ס.פ. יבנה הירוקה תרופות</t>
        </is>
      </c>
      <c r="C702" s="111" t="n">
        <v>16293.9</v>
      </c>
      <c r="D702" s="111" t="n">
        <v>13177.5</v>
      </c>
    </row>
    <row r="703" ht="15" customHeight="1" s="82">
      <c r="A703" s="94" t="inlineStr">
        <is>
          <t>סופרפארם</t>
        </is>
      </c>
      <c r="B703" s="94" t="inlineStr">
        <is>
          <t>ס.פ.חוצות אשקלון</t>
        </is>
      </c>
      <c r="C703" s="111" t="n">
        <v>11455.5</v>
      </c>
      <c r="D703" s="111" t="n">
        <v>7482.8</v>
      </c>
    </row>
    <row r="704" ht="15" customHeight="1" s="82">
      <c r="A704" s="94" t="inlineStr">
        <is>
          <t>סופרפארם</t>
        </is>
      </c>
      <c r="B704" s="94" t="inlineStr">
        <is>
          <t>ס.פ.רמות רכס תרופות</t>
        </is>
      </c>
      <c r="C704" s="111" t="n">
        <v>22074.3</v>
      </c>
      <c r="D704" s="111" t="n">
        <v>12729.5</v>
      </c>
    </row>
    <row r="705" ht="15" customHeight="1" s="82">
      <c r="A705" s="94" t="inlineStr">
        <is>
          <t>סופרפארם</t>
        </is>
      </c>
      <c r="B705" s="94" t="inlineStr">
        <is>
          <t>ס.פ. ישפרו פלאנט ב""ש</t>
        </is>
      </c>
      <c r="C705" s="111" t="n">
        <v>3023.6</v>
      </c>
      <c r="D705" s="111" t="n">
        <v>4298</v>
      </c>
    </row>
    <row r="706" ht="15" customHeight="1" s="82">
      <c r="A706" s="94" t="inlineStr">
        <is>
          <t>סופרפארם</t>
        </is>
      </c>
      <c r="B706" s="94" t="inlineStr">
        <is>
          <t>ס.פ. המכללה ראשל""צ תרופות</t>
        </is>
      </c>
      <c r="C706" s="111" t="n">
        <v>12905.5</v>
      </c>
      <c r="D706" s="111" t="n">
        <v>7012.3</v>
      </c>
    </row>
    <row r="707" ht="15" customHeight="1" s="82">
      <c r="A707" s="94" t="inlineStr">
        <is>
          <t>סופרפארם</t>
        </is>
      </c>
      <c r="B707" s="94" t="inlineStr">
        <is>
          <t>ס.פ.קניון ראשונים תרופות</t>
        </is>
      </c>
      <c r="C707" s="111" t="n">
        <v>19859.3</v>
      </c>
      <c r="D707" s="111" t="n">
        <v>14206.4</v>
      </c>
    </row>
    <row r="708" ht="15" customHeight="1" s="82">
      <c r="A708" s="94" t="inlineStr">
        <is>
          <t>סופרפארם</t>
        </is>
      </c>
      <c r="B708" s="94" t="inlineStr">
        <is>
          <t>ס.פ.אסף הרופא תרופות</t>
        </is>
      </c>
      <c r="C708" s="111" t="n">
        <v>10880.1</v>
      </c>
      <c r="D708" s="111" t="n">
        <v>7275.2</v>
      </c>
    </row>
    <row r="709" ht="15" customHeight="1" s="82">
      <c r="A709" s="94" t="inlineStr">
        <is>
          <t>סופרפארם</t>
        </is>
      </c>
      <c r="B709" s="94" t="inlineStr">
        <is>
          <t>ס.פ.צפת תרופות</t>
        </is>
      </c>
      <c r="C709" s="111" t="n">
        <v>13608.5</v>
      </c>
      <c r="D709" s="111" t="n">
        <v>6504.5</v>
      </c>
    </row>
    <row r="710" ht="15" customHeight="1" s="82">
      <c r="A710" s="94" t="inlineStr">
        <is>
          <t>סופרפארם</t>
        </is>
      </c>
      <c r="B710" s="94" t="inlineStr">
        <is>
          <t>ס.פ.ארנה נהריה תרופות</t>
        </is>
      </c>
      <c r="C710" s="111" t="n">
        <v>10569.5</v>
      </c>
      <c r="D710" s="111" t="n">
        <v>6789</v>
      </c>
    </row>
    <row r="711" ht="15" customHeight="1" s="82">
      <c r="A711" s="94" t="inlineStr">
        <is>
          <t>סופרפארם</t>
        </is>
      </c>
      <c r="B711" s="94" t="inlineStr">
        <is>
          <t>ס.פ.יפיע תרופות</t>
        </is>
      </c>
      <c r="C711" s="111" t="n">
        <v>9923.799999999999</v>
      </c>
      <c r="D711" s="111" t="n">
        <v>5757</v>
      </c>
    </row>
    <row r="712" ht="15" customHeight="1" s="82">
      <c r="A712" s="94" t="inlineStr">
        <is>
          <t>סופרפארם</t>
        </is>
      </c>
      <c r="B712" s="94" t="inlineStr">
        <is>
          <t>ס.פ.גבעת שמואל תרופות</t>
        </is>
      </c>
      <c r="C712" s="111" t="n">
        <v>16329.4</v>
      </c>
      <c r="D712" s="111" t="n">
        <v>6026</v>
      </c>
    </row>
    <row r="713" ht="15" customHeight="1" s="82">
      <c r="A713" s="94" t="inlineStr">
        <is>
          <t>סופרפארם</t>
        </is>
      </c>
      <c r="B713" s="94" t="inlineStr">
        <is>
          <t>255  ס.פ.מור בני ברק תרופות</t>
        </is>
      </c>
      <c r="C713" s="111" t="n">
        <v>26963.8</v>
      </c>
      <c r="D713" s="111" t="n">
        <v>16295.5</v>
      </c>
    </row>
    <row r="714" ht="15" customHeight="1" s="82">
      <c r="A714" s="94" t="inlineStr">
        <is>
          <t>סופרפארם</t>
        </is>
      </c>
      <c r="B714" s="94" t="inlineStr">
        <is>
          <t>ס.פ. חיפה תרופות</t>
        </is>
      </c>
      <c r="C714" s="111" t="n">
        <v>21280.9</v>
      </c>
      <c r="D714" s="111" t="n">
        <v>16393.1</v>
      </c>
    </row>
    <row r="715" ht="15" customHeight="1" s="82">
      <c r="A715" s="94" t="inlineStr">
        <is>
          <t>סופרפארם</t>
        </is>
      </c>
      <c r="B715" s="94" t="inlineStr">
        <is>
          <t>ס.פ. ביג צ'ק פוסט תרופות</t>
        </is>
      </c>
      <c r="C715" s="111" t="n">
        <v>13175.1</v>
      </c>
      <c r="D715" s="111" t="n">
        <v>10935.3</v>
      </c>
    </row>
    <row r="716" ht="15" customHeight="1" s="82">
      <c r="A716" s="94" t="inlineStr">
        <is>
          <t>סופרפארם</t>
        </is>
      </c>
      <c r="B716" s="94" t="inlineStr">
        <is>
          <t>ס.פ.ביג אור עקיבא תרופות</t>
        </is>
      </c>
      <c r="C716" s="111" t="n">
        <v>12491.1</v>
      </c>
      <c r="D716" s="111" t="n">
        <v>11607.5</v>
      </c>
    </row>
    <row r="717" ht="15" customHeight="1" s="82">
      <c r="A717" s="94" t="inlineStr">
        <is>
          <t>סופרפארם</t>
        </is>
      </c>
      <c r="B717" s="94" t="inlineStr">
        <is>
          <t>ס.פ.איינשטיין חיפה תרופות</t>
        </is>
      </c>
      <c r="C717" s="111" t="n">
        <v>9894.1</v>
      </c>
      <c r="D717" s="111" t="n">
        <v>10056.6</v>
      </c>
    </row>
    <row r="718" ht="15" customHeight="1" s="82">
      <c r="A718" s="94" t="inlineStr">
        <is>
          <t>סופרפארם</t>
        </is>
      </c>
      <c r="B718" s="94" t="inlineStr">
        <is>
          <t>ס.פ.מבשרת ציון</t>
        </is>
      </c>
      <c r="C718" s="111" t="n">
        <v>16006.4</v>
      </c>
      <c r="D718" s="111" t="n">
        <v>5498.3</v>
      </c>
    </row>
    <row r="719" ht="15" customHeight="1" s="82">
      <c r="A719" s="94" t="inlineStr">
        <is>
          <t>סופרפארם</t>
        </is>
      </c>
      <c r="B719" s="94" t="inlineStr">
        <is>
          <t>ס.פ קניון הראל</t>
        </is>
      </c>
      <c r="C719" s="111" t="n">
        <v>23771</v>
      </c>
      <c r="D719" s="111" t="n">
        <v>16676.9</v>
      </c>
    </row>
    <row r="720" ht="15" customHeight="1" s="82">
      <c r="A720" s="94" t="inlineStr">
        <is>
          <t>סופרפארם</t>
        </is>
      </c>
      <c r="B720" s="94" t="inlineStr">
        <is>
          <t>ס.פ.עמק רפאים תרופות ירושלים</t>
        </is>
      </c>
      <c r="C720" s="111" t="n">
        <v>26317.6</v>
      </c>
      <c r="D720" s="111" t="n">
        <v>18057.2</v>
      </c>
    </row>
    <row r="721" ht="15" customHeight="1" s="82">
      <c r="A721" s="94" t="inlineStr">
        <is>
          <t>סופרפארם</t>
        </is>
      </c>
      <c r="B721" s="94" t="inlineStr">
        <is>
          <t>240 ס.פ.אליהו קורן י-ם תרופות</t>
        </is>
      </c>
      <c r="C721" s="111" t="n">
        <v>17473.5</v>
      </c>
      <c r="D721" s="111" t="n">
        <v>13610.7</v>
      </c>
    </row>
    <row r="722" ht="15" customHeight="1" s="82">
      <c r="A722" s="94" t="inlineStr">
        <is>
          <t>סופרפארם</t>
        </is>
      </c>
      <c r="B722" s="94" t="inlineStr">
        <is>
          <t>ס.פ.קניון באר יעקב תרופות</t>
        </is>
      </c>
      <c r="C722" s="111" t="n">
        <v>20465.2</v>
      </c>
      <c r="D722" s="111" t="n">
        <v>10556.3</v>
      </c>
    </row>
    <row r="723" ht="15" customHeight="1" s="82">
      <c r="A723" s="94" t="inlineStr">
        <is>
          <t>סופרפארם</t>
        </is>
      </c>
      <c r="B723" s="94" t="inlineStr">
        <is>
          <t>סופר פארם טיילת חב' אופיר סולו</t>
        </is>
      </c>
      <c r="C723" s="111" t="n">
        <v>28455.3</v>
      </c>
      <c r="D723" s="111" t="n">
        <v>20965.8</v>
      </c>
    </row>
    <row r="724" ht="15" customHeight="1" s="82">
      <c r="A724" s="94" t="inlineStr">
        <is>
          <t>סופרפארם</t>
        </is>
      </c>
      <c r="B724" s="94" t="inlineStr">
        <is>
          <t>ס.פ.מול החוף חדרה תרופות</t>
        </is>
      </c>
      <c r="C724" s="111" t="n">
        <v>19279.9</v>
      </c>
      <c r="D724" s="111" t="n">
        <v>5365.9</v>
      </c>
    </row>
    <row r="725" ht="15" customHeight="1" s="82">
      <c r="A725" s="94" t="inlineStr">
        <is>
          <t>סופרפארם</t>
        </is>
      </c>
      <c r="B725" s="94" t="inlineStr">
        <is>
          <t>ס.פ קרית שרת חולון תרופות</t>
        </is>
      </c>
      <c r="C725" s="111" t="n">
        <v>13417.3</v>
      </c>
      <c r="D725" s="111" t="n">
        <v>10383.2</v>
      </c>
    </row>
    <row r="726" ht="15" customHeight="1" s="82">
      <c r="A726" s="94" t="inlineStr">
        <is>
          <t>סופרפארם</t>
        </is>
      </c>
      <c r="B726" s="94" t="inlineStr">
        <is>
          <t>BM ס.פ ירכא</t>
        </is>
      </c>
      <c r="C726" s="111" t="n">
        <v>14412.6</v>
      </c>
      <c r="D726" s="111" t="n">
        <v>14103.6</v>
      </c>
    </row>
    <row r="727" ht="15" customHeight="1" s="82">
      <c r="A727" s="94" t="inlineStr">
        <is>
          <t>סופרפארם</t>
        </is>
      </c>
      <c r="B727" s="94" t="inlineStr">
        <is>
          <t>BM ס.פ קניון ביאליק רמת גן</t>
        </is>
      </c>
      <c r="C727" s="111" t="n">
        <v>9368</v>
      </c>
      <c r="D727" s="111" t="n">
        <v>6206.9</v>
      </c>
    </row>
    <row r="728" ht="15" customHeight="1" s="82">
      <c r="A728" s="94" t="inlineStr">
        <is>
          <t>סופרפארם</t>
        </is>
      </c>
      <c r="B728" s="94" t="inlineStr">
        <is>
          <t>BM ס.פ עטרות</t>
        </is>
      </c>
      <c r="C728" s="111" t="n">
        <v>7486.3</v>
      </c>
      <c r="D728" s="111" t="n">
        <v>3132</v>
      </c>
    </row>
    <row r="729" ht="15" customHeight="1" s="82">
      <c r="A729" s="94" t="inlineStr">
        <is>
          <t>סופרפארם</t>
        </is>
      </c>
      <c r="B729" s="94" t="inlineStr">
        <is>
          <t>BM ס.פ חדרה שכונת הפארק</t>
        </is>
      </c>
      <c r="C729" s="111" t="n">
        <v>10033.8</v>
      </c>
      <c r="D729" s="111" t="n">
        <v>8565</v>
      </c>
    </row>
    <row r="730" ht="15" customHeight="1" s="82">
      <c r="A730" s="94" t="inlineStr">
        <is>
          <t>סופרפארם</t>
        </is>
      </c>
      <c r="B730" s="94" t="inlineStr">
        <is>
          <t>BM ס.פ חריש</t>
        </is>
      </c>
      <c r="C730" s="111" t="n">
        <v>12316.3</v>
      </c>
      <c r="D730" s="111" t="n">
        <v>7057.5</v>
      </c>
    </row>
    <row r="731" ht="15" customHeight="1" s="82">
      <c r="A731" s="94" t="inlineStr">
        <is>
          <t>סופרפארם</t>
        </is>
      </c>
      <c r="B731" s="94" t="inlineStr">
        <is>
          <t>BM ס.פ בורכוב גבעתיים</t>
        </is>
      </c>
      <c r="C731" s="111" t="n">
        <v>12498.9</v>
      </c>
      <c r="D731" s="111" t="n">
        <v>7495.4</v>
      </c>
    </row>
    <row r="732" ht="15" customHeight="1" s="82">
      <c r="A732" s="94" t="inlineStr">
        <is>
          <t>סופרפארם</t>
        </is>
      </c>
      <c r="B732" s="94" t="inlineStr">
        <is>
          <t>BM ס.פ הר יונה</t>
        </is>
      </c>
      <c r="C732" s="111" t="n">
        <v>2655</v>
      </c>
      <c r="D732" s="111" t="n">
        <v>3506.3</v>
      </c>
    </row>
    <row r="733" ht="15" customHeight="1" s="82">
      <c r="A733" s="94" t="inlineStr">
        <is>
          <t>סופרפארם</t>
        </is>
      </c>
      <c r="B733" s="94" t="inlineStr">
        <is>
          <t>BM ס.פ ראש פינה</t>
        </is>
      </c>
      <c r="C733" s="111" t="n">
        <v>10616.7</v>
      </c>
      <c r="D733" s="111" t="n">
        <v>4317.2</v>
      </c>
    </row>
    <row r="734" ht="15" customHeight="1" s="82">
      <c r="A734" s="94" t="inlineStr">
        <is>
          <t>סופרפארם</t>
        </is>
      </c>
      <c r="B734" s="94" t="inlineStr">
        <is>
          <t>BM ס.פ גושן קרית מוצקין</t>
        </is>
      </c>
      <c r="C734" s="111" t="n">
        <v>9528.4</v>
      </c>
      <c r="D734" s="111" t="n">
        <v>5605</v>
      </c>
    </row>
    <row r="735" ht="15" customHeight="1" s="82">
      <c r="A735" s="94" t="inlineStr">
        <is>
          <t>סופרפארם</t>
        </is>
      </c>
      <c r="B735" s="94" t="inlineStr">
        <is>
          <t>BM 670 ס.פ עמק חפר</t>
        </is>
      </c>
      <c r="C735" s="111" t="n">
        <v>11692.8</v>
      </c>
      <c r="D735" s="111" t="n">
        <v>16660.4</v>
      </c>
    </row>
    <row r="736" ht="15" customHeight="1" s="82">
      <c r="A736" s="94" t="inlineStr">
        <is>
          <t>סופרפארם</t>
        </is>
      </c>
      <c r="B736" s="94" t="inlineStr">
        <is>
          <t>672 BM ס.פ עמק חפר</t>
        </is>
      </c>
      <c r="C736" s="111" t="n">
        <v>10220.4</v>
      </c>
      <c r="D736" s="111" t="n">
        <v>6164</v>
      </c>
    </row>
    <row r="737" ht="15" customHeight="1" s="82">
      <c r="A737" s="94" t="inlineStr">
        <is>
          <t>סופרפארם</t>
        </is>
      </c>
      <c r="B737" s="94" t="inlineStr">
        <is>
          <t>BM ס.פ קניון אורות</t>
        </is>
      </c>
      <c r="C737" s="111" t="n">
        <v>17801.6</v>
      </c>
      <c r="D737" s="111" t="n">
        <v>9877.299999999999</v>
      </c>
    </row>
    <row r="738" ht="15" customHeight="1" s="82">
      <c r="A738" s="94" t="inlineStr">
        <is>
          <t>סופרפארם</t>
        </is>
      </c>
      <c r="B738" s="94" t="inlineStr">
        <is>
          <t>ס.פ אור יהודה קניון עזריאלי</t>
        </is>
      </c>
      <c r="C738" s="111" t="n">
        <v>12296.8</v>
      </c>
      <c r="D738" s="111" t="n">
        <v>5566.3</v>
      </c>
    </row>
    <row r="739" ht="15" customHeight="1" s="82">
      <c r="A739" s="94" t="inlineStr">
        <is>
          <t>סופרפארם</t>
        </is>
      </c>
      <c r="B739" s="94" t="inlineStr">
        <is>
          <t>ס.פ.אבן יהודה תרופות</t>
        </is>
      </c>
      <c r="C739" s="111" t="n">
        <v>5811.6</v>
      </c>
      <c r="D739" s="111" t="n">
        <v>5591.3</v>
      </c>
    </row>
    <row r="740" ht="15" customHeight="1" s="82">
      <c r="A740" s="94" t="inlineStr">
        <is>
          <t>סופרפארם</t>
        </is>
      </c>
      <c r="B740" s="94" t="inlineStr">
        <is>
          <t>ס.פ נעימי קרית השרון נתניה</t>
        </is>
      </c>
      <c r="C740" s="111" t="n">
        <v>8616.9</v>
      </c>
      <c r="D740" s="111" t="n">
        <v>7596.4</v>
      </c>
    </row>
    <row r="741" ht="15" customHeight="1" s="82">
      <c r="A741" s="94" t="inlineStr">
        <is>
          <t>סופרפארם</t>
        </is>
      </c>
      <c r="B741" s="94" t="inlineStr">
        <is>
          <t>ס.פ קניון ביאליק ר""ג</t>
        </is>
      </c>
      <c r="C741" s="111" t="n">
        <v>0</v>
      </c>
      <c r="D741" s="111" t="n">
        <v>0</v>
      </c>
    </row>
    <row r="742" ht="15" customHeight="1" s="82">
      <c r="A742" s="94" t="inlineStr">
        <is>
          <t>סופרפארם</t>
        </is>
      </c>
      <c r="B742" s="94" t="inlineStr">
        <is>
          <t>BM ס.פ רכבת עפולה</t>
        </is>
      </c>
      <c r="C742" s="111" t="n">
        <v>13814</v>
      </c>
      <c r="D742" s="111" t="n">
        <v>7471.7</v>
      </c>
    </row>
    <row r="743" ht="15" customHeight="1" s="82">
      <c r="A743" s="94" t="inlineStr">
        <is>
          <t>סופרפארם</t>
        </is>
      </c>
      <c r="B743" s="94" t="inlineStr">
        <is>
          <t>BM ס.פ דלית אל כרמל</t>
        </is>
      </c>
      <c r="C743" s="111" t="n">
        <v>9631.1</v>
      </c>
      <c r="D743" s="111" t="n">
        <v>7007.4</v>
      </c>
    </row>
    <row r="744" ht="15" customHeight="1" s="82">
      <c r="A744" s="94" t="inlineStr">
        <is>
          <t>סופרפארם</t>
        </is>
      </c>
      <c r="B744" s="94" t="inlineStr">
        <is>
          <t>סופר פארם ירכא תרופות</t>
        </is>
      </c>
      <c r="C744" s="111" t="n">
        <v>0</v>
      </c>
      <c r="D744" s="111" t="n">
        <v>0</v>
      </c>
    </row>
    <row r="745" ht="15" customHeight="1" s="82">
      <c r="A745" s="94" t="inlineStr">
        <is>
          <t>סופרפארם</t>
        </is>
      </c>
      <c r="B745" s="94" t="inlineStr">
        <is>
          <t>BM ס.פ ערערה</t>
        </is>
      </c>
      <c r="C745" s="111" t="n">
        <v>3222.2</v>
      </c>
      <c r="D745" s="111" t="n">
        <v>2447.8</v>
      </c>
    </row>
    <row r="746" ht="15" customHeight="1" s="82">
      <c r="A746" s="94" t="inlineStr">
        <is>
          <t>סופרפארם</t>
        </is>
      </c>
      <c r="B746" s="94" t="inlineStr">
        <is>
          <t>ס.פ.גלובוס אשקלון</t>
        </is>
      </c>
      <c r="C746" s="111" t="n">
        <v>23706.5</v>
      </c>
      <c r="D746" s="111" t="n">
        <v>21017.8</v>
      </c>
    </row>
    <row r="747" ht="15" customHeight="1" s="82">
      <c r="A747" s="94" t="inlineStr">
        <is>
          <t>סופרפארם</t>
        </is>
      </c>
      <c r="B747" s="94" t="inlineStr">
        <is>
          <t>ס.פ.מגדלי אלון ת""א תרופות</t>
        </is>
      </c>
      <c r="C747" s="111" t="n">
        <v>23282.2</v>
      </c>
      <c r="D747" s="111" t="n">
        <v>13044.7</v>
      </c>
    </row>
    <row r="748" ht="15" customHeight="1" s="82">
      <c r="A748" s="94" t="inlineStr">
        <is>
          <t>סופרפארם</t>
        </is>
      </c>
      <c r="B748" s="94" t="inlineStr">
        <is>
          <t>ס.פ.דרך בר לב ת""א</t>
        </is>
      </c>
      <c r="C748" s="111" t="n">
        <v>14550.1</v>
      </c>
      <c r="D748" s="111" t="n">
        <v>8453.799999999999</v>
      </c>
    </row>
    <row r="749" ht="15" customHeight="1" s="82">
      <c r="A749" s="94" t="inlineStr">
        <is>
          <t>סופרפארם</t>
        </is>
      </c>
      <c r="B749" s="94" t="inlineStr">
        <is>
          <t>ס.פ רובוטיקס 669 חולון )אתר סח</t>
        </is>
      </c>
      <c r="C749" s="111" t="n">
        <v>0</v>
      </c>
      <c r="D749" s="111" t="n">
        <v>0</v>
      </c>
    </row>
    <row r="750" ht="15" customHeight="1" s="82">
      <c r="A750" s="94" t="inlineStr">
        <is>
          <t>סופרפארם</t>
        </is>
      </c>
      <c r="B750" s="94" t="inlineStr">
        <is>
          <t>ס.פ קניון האחים ישראל ירושלים</t>
        </is>
      </c>
      <c r="C750" s="111" t="n">
        <v>11348.6</v>
      </c>
      <c r="D750" s="111" t="n">
        <v>8233.700000000001</v>
      </c>
    </row>
    <row r="751" ht="15" customHeight="1" s="82">
      <c r="A751" s="94" t="inlineStr">
        <is>
          <t>סופרפארם</t>
        </is>
      </c>
      <c r="B751" s="94" t="inlineStr">
        <is>
          <t>BM ס.פ קינג גורג ירושלים</t>
        </is>
      </c>
      <c r="C751" s="111" t="n">
        <v>2534.6</v>
      </c>
      <c r="D751" s="111" t="n">
        <v>4016.1</v>
      </c>
    </row>
    <row r="752" ht="15" customHeight="1" s="82">
      <c r="A752" s="94" t="inlineStr">
        <is>
          <t>סופרפארם</t>
        </is>
      </c>
      <c r="B752" s="94" t="inlineStr">
        <is>
          <t>273 ס.פ.קניון עזריאלי רמלה</t>
        </is>
      </c>
      <c r="C752" s="111" t="n">
        <v>14815.6</v>
      </c>
      <c r="D752" s="111" t="n">
        <v>10835.7</v>
      </c>
    </row>
    <row r="753" ht="15" customHeight="1" s="82">
      <c r="A753" s="94" t="inlineStr">
        <is>
          <t>סופרפארם</t>
        </is>
      </c>
      <c r="B753" s="94" t="inlineStr">
        <is>
          <t>271 ס.פ. נווה הדרים ראשל""צ</t>
        </is>
      </c>
      <c r="C753" s="111" t="n">
        <v>9178.6</v>
      </c>
      <c r="D753" s="111" t="n">
        <v>4409.6</v>
      </c>
    </row>
    <row r="754" ht="15" customHeight="1" s="82">
      <c r="A754" s="94" t="inlineStr">
        <is>
          <t>סופרפארם</t>
        </is>
      </c>
      <c r="B754" s="94" t="inlineStr">
        <is>
          <t>277 סופר פארם שער ראשון</t>
        </is>
      </c>
      <c r="C754" s="111" t="n">
        <v>19367</v>
      </c>
      <c r="D754" s="111" t="n">
        <v>15878.9</v>
      </c>
    </row>
    <row r="755" ht="15" customHeight="1" s="82">
      <c r="A755" s="94" t="inlineStr">
        <is>
          <t>סופרפארם</t>
        </is>
      </c>
      <c r="B755" s="94" t="inlineStr">
        <is>
          <t>BM ס.פ כפר כנא</t>
        </is>
      </c>
      <c r="C755" s="111" t="n">
        <v>7878.1</v>
      </c>
      <c r="D755" s="111" t="n">
        <v>4153</v>
      </c>
    </row>
    <row r="756" ht="15" customHeight="1" s="82">
      <c r="A756" s="94" t="inlineStr">
        <is>
          <t>סופרפארם</t>
        </is>
      </c>
      <c r="B756" s="94" t="inlineStr">
        <is>
          <t>BM ס.פ באקה סנטר</t>
        </is>
      </c>
      <c r="C756" s="111" t="n">
        <v>9221.4</v>
      </c>
      <c r="D756" s="111" t="n">
        <v>4079.3</v>
      </c>
    </row>
    <row r="757" ht="15" customHeight="1" s="82">
      <c r="A757" s="94" t="inlineStr">
        <is>
          <t>סופרפארם</t>
        </is>
      </c>
      <c r="B757" s="94" t="inlineStr">
        <is>
          <t>BM ס.פ מול כנרת צמח</t>
        </is>
      </c>
      <c r="C757" s="111" t="n">
        <v>23768.6</v>
      </c>
      <c r="D757" s="111" t="n">
        <v>20586.2</v>
      </c>
    </row>
    <row r="758" ht="15" customHeight="1" s="82">
      <c r="A758" s="94" t="inlineStr">
        <is>
          <t>סופרפארם</t>
        </is>
      </c>
      <c r="B758" s="94" t="inlineStr">
        <is>
          <t>BM ס.פ דושי סנטר נצרת</t>
        </is>
      </c>
      <c r="C758" s="111" t="n">
        <v>2770.4</v>
      </c>
      <c r="D758" s="111" t="n">
        <v>2816.3</v>
      </c>
    </row>
    <row r="759" ht="15" customHeight="1" s="82">
      <c r="A759" s="94" t="inlineStr">
        <is>
          <t>סופרפארם</t>
        </is>
      </c>
      <c r="B759" s="94" t="inlineStr">
        <is>
          <t>BM ס.פ רמבלס סנטר רמלה</t>
        </is>
      </c>
      <c r="C759" s="111" t="n">
        <v>9550.1</v>
      </c>
      <c r="D759" s="111" t="n">
        <v>5770.4</v>
      </c>
    </row>
    <row r="760" ht="15" customHeight="1" s="82">
      <c r="A760" s="94" t="inlineStr">
        <is>
          <t>סופרפארם</t>
        </is>
      </c>
      <c r="B760" s="94" t="inlineStr">
        <is>
          <t>BM ס.פ כפר קרע</t>
        </is>
      </c>
      <c r="C760" s="111" t="n">
        <v>14059.2</v>
      </c>
      <c r="D760" s="111" t="n">
        <v>6502.8</v>
      </c>
    </row>
    <row r="761" ht="15" customHeight="1" s="82">
      <c r="A761" s="94" t="inlineStr">
        <is>
          <t>סופרפארם</t>
        </is>
      </c>
      <c r="B761" s="94" t="inlineStr">
        <is>
          <t>BM ס.פ ביג יהוד</t>
        </is>
      </c>
      <c r="C761" s="111" t="n">
        <v>20338.3</v>
      </c>
      <c r="D761" s="111" t="n">
        <v>12779.4</v>
      </c>
    </row>
    <row r="762" ht="15" customHeight="1" s="82">
      <c r="A762" s="94" t="inlineStr">
        <is>
          <t>סופרפארם</t>
        </is>
      </c>
      <c r="B762" s="94" t="inlineStr">
        <is>
          <t>BM ס.פ ג'דיידה מכר</t>
        </is>
      </c>
      <c r="C762" s="111" t="n">
        <v>4511.7</v>
      </c>
      <c r="D762" s="111" t="n">
        <v>4360.4</v>
      </c>
    </row>
    <row r="763" ht="15" customHeight="1" s="82">
      <c r="A763" s="94" t="inlineStr">
        <is>
          <t>סופרפארם</t>
        </is>
      </c>
      <c r="B763" s="94" t="inlineStr">
        <is>
          <t>BM ס.פ דרך מצדה ב""ש</t>
        </is>
      </c>
      <c r="C763" s="111" t="n">
        <v>24660</v>
      </c>
      <c r="D763" s="111" t="n">
        <v>19336.5</v>
      </c>
    </row>
    <row r="764" ht="15" customHeight="1" s="82">
      <c r="A764" s="94" t="inlineStr">
        <is>
          <t>סופרפארם</t>
        </is>
      </c>
      <c r="B764" s="94" t="inlineStr">
        <is>
          <t>BM ס.פ שכונת הפארק בת ים</t>
        </is>
      </c>
      <c r="C764" s="111" t="n">
        <v>18509.2</v>
      </c>
      <c r="D764" s="111" t="n">
        <v>11973.6</v>
      </c>
    </row>
    <row r="765" ht="15" customHeight="1" s="82">
      <c r="A765" s="94" t="inlineStr">
        <is>
          <t>סופרפארם</t>
        </is>
      </c>
      <c r="B765" s="94" t="inlineStr">
        <is>
          <t>BM ס.פ יוקלר עפולה</t>
        </is>
      </c>
      <c r="C765" s="111" t="n">
        <v>7242</v>
      </c>
      <c r="D765" s="111" t="n">
        <v>2375.5</v>
      </c>
    </row>
    <row r="766" ht="15" customHeight="1" s="82">
      <c r="A766" s="94" t="inlineStr">
        <is>
          <t>סופרפארם</t>
        </is>
      </c>
      <c r="B766" s="94" t="inlineStr">
        <is>
          <t>BM ס.פ צורן</t>
        </is>
      </c>
      <c r="C766" s="111" t="n">
        <v>16293.9</v>
      </c>
      <c r="D766" s="111" t="n">
        <v>15663.5</v>
      </c>
    </row>
    <row r="767" ht="15" customHeight="1" s="82">
      <c r="A767" s="94" t="inlineStr">
        <is>
          <t>סופרפארם</t>
        </is>
      </c>
      <c r="B767" s="94" t="inlineStr">
        <is>
          <t>BM ס.פ פסגת דן רמת גן</t>
        </is>
      </c>
      <c r="C767" s="111" t="n">
        <v>15179</v>
      </c>
      <c r="D767" s="111" t="n">
        <v>6747.5</v>
      </c>
    </row>
    <row r="768" ht="15" customHeight="1" s="82">
      <c r="A768" s="94" t="inlineStr">
        <is>
          <t>סופרפארם</t>
        </is>
      </c>
      <c r="B768" s="94" t="inlineStr">
        <is>
          <t>BM ס.פ דימונה דימרי סנטר</t>
        </is>
      </c>
      <c r="C768" s="111" t="n">
        <v>15834.2</v>
      </c>
      <c r="D768" s="111" t="n">
        <v>10482.3</v>
      </c>
    </row>
    <row r="769" ht="15" customHeight="1" s="82">
      <c r="A769" s="94" t="inlineStr">
        <is>
          <t>סופרפארם</t>
        </is>
      </c>
      <c r="B769" s="94" t="inlineStr">
        <is>
          <t>BM ס.פ רכבת לוד</t>
        </is>
      </c>
      <c r="C769" s="111" t="n">
        <v>-1640.5</v>
      </c>
      <c r="D769" s="111" t="n">
        <v>0</v>
      </c>
    </row>
    <row r="770" ht="15" customHeight="1" s="82">
      <c r="A770" s="94" t="inlineStr">
        <is>
          <t>סופרפארם</t>
        </is>
      </c>
      <c r="B770" s="94" t="inlineStr">
        <is>
          <t>BM ס.פ נתיבות מערב</t>
        </is>
      </c>
      <c r="C770" s="111" t="n">
        <v>9185.299999999999</v>
      </c>
      <c r="D770" s="111" t="n">
        <v>3529.3</v>
      </c>
    </row>
    <row r="771" ht="15" customHeight="1" s="82">
      <c r="A771" s="94" t="inlineStr">
        <is>
          <t>סופרפארם</t>
        </is>
      </c>
      <c r="B771" s="94" t="inlineStr">
        <is>
          <t>BM ס.פ ברנע אשקלון</t>
        </is>
      </c>
      <c r="C771" s="111" t="n">
        <v>22838.4</v>
      </c>
      <c r="D771" s="111" t="n">
        <v>19026.3</v>
      </c>
    </row>
    <row r="772" ht="15" customHeight="1" s="82">
      <c r="A772" s="94" t="inlineStr">
        <is>
          <t>סופרפארם</t>
        </is>
      </c>
      <c r="B772" s="94" t="inlineStr">
        <is>
          <t>BM ס.פ כפר יונה</t>
        </is>
      </c>
      <c r="C772" s="111" t="n">
        <v>13179.6</v>
      </c>
      <c r="D772" s="111" t="n">
        <v>14388.7</v>
      </c>
    </row>
    <row r="773" ht="15" customHeight="1" s="82">
      <c r="A773" s="94" t="inlineStr">
        <is>
          <t>סופרפארם</t>
        </is>
      </c>
      <c r="B773" s="94" t="inlineStr">
        <is>
          <t>BM ס.פ נווה זמר רעננה</t>
        </is>
      </c>
      <c r="C773" s="111" t="n">
        <v>15864.1</v>
      </c>
      <c r="D773" s="111" t="n">
        <v>10389.8</v>
      </c>
    </row>
    <row r="774" ht="15" customHeight="1" s="82">
      <c r="A774" s="94" t="inlineStr">
        <is>
          <t>סופרפארם</t>
        </is>
      </c>
      <c r="B774" s="94" t="inlineStr">
        <is>
          <t>BM ס.פ הנשיאים הוד השרון</t>
        </is>
      </c>
      <c r="C774" s="111" t="n">
        <v>19283.2</v>
      </c>
      <c r="D774" s="111" t="n">
        <v>10346</v>
      </c>
    </row>
    <row r="775" ht="15" customHeight="1" s="82">
      <c r="A775" s="94" t="inlineStr">
        <is>
          <t>סופרפארם</t>
        </is>
      </c>
      <c r="B775" s="94" t="inlineStr">
        <is>
          <t>BM ס.פ טירה</t>
        </is>
      </c>
      <c r="C775" s="111" t="n">
        <v>3773.8</v>
      </c>
      <c r="D775" s="111" t="n">
        <v>5557.1</v>
      </c>
    </row>
    <row r="776" ht="15" customHeight="1" s="82">
      <c r="A776" s="94" t="inlineStr">
        <is>
          <t>סופרפארם</t>
        </is>
      </c>
      <c r="B776" s="94" t="inlineStr">
        <is>
          <t>BM ס.פ צים גני תקווה</t>
        </is>
      </c>
      <c r="C776" s="111" t="n">
        <v>21781.8</v>
      </c>
      <c r="D776" s="111" t="n">
        <v>15782.6</v>
      </c>
    </row>
    <row r="777" ht="15" customHeight="1" s="82">
      <c r="A777" s="94" t="inlineStr">
        <is>
          <t>סופרפארם</t>
        </is>
      </c>
      <c r="B777" s="94" t="inlineStr">
        <is>
          <t>BM ס.פ הדר גנים פתח תקווה</t>
        </is>
      </c>
      <c r="C777" s="111" t="n">
        <v>10153</v>
      </c>
      <c r="D777" s="111" t="n">
        <v>7905.4</v>
      </c>
    </row>
    <row r="778" ht="15" customHeight="1" s="82">
      <c r="A778" s="94" t="inlineStr">
        <is>
          <t>סופרפארם</t>
        </is>
      </c>
      <c r="B778" s="94" t="inlineStr">
        <is>
          <t>BM  ס.פ פארק הנחל ב""ש</t>
        </is>
      </c>
      <c r="C778" s="111" t="n">
        <v>5034</v>
      </c>
      <c r="D778" s="111" t="n">
        <v>3479.4</v>
      </c>
    </row>
    <row r="779" ht="15" customHeight="1" s="82">
      <c r="A779" s="94" t="inlineStr">
        <is>
          <t>סופרפארם</t>
        </is>
      </c>
      <c r="B779" s="94" t="inlineStr">
        <is>
          <t>BM ס.פ בסר סיטי פתח תקוה</t>
        </is>
      </c>
      <c r="C779" s="111" t="n">
        <v>9587.200000000001</v>
      </c>
      <c r="D779" s="111" t="n">
        <v>4476.1</v>
      </c>
    </row>
    <row r="780" ht="15" customHeight="1" s="82">
      <c r="A780" s="94" t="inlineStr">
        <is>
          <t>סופרפארם</t>
        </is>
      </c>
      <c r="B780" s="94" t="inlineStr">
        <is>
          <t>BM ס.פ גליל ים הרצליה</t>
        </is>
      </c>
      <c r="C780" s="111" t="n">
        <v>11230.2</v>
      </c>
      <c r="D780" s="111" t="n">
        <v>4083.4</v>
      </c>
    </row>
    <row r="781" ht="15" customHeight="1" s="82">
      <c r="A781" s="94" t="inlineStr">
        <is>
          <t>סופרפארם</t>
        </is>
      </c>
      <c r="B781" s="94" t="inlineStr">
        <is>
          <t>BM ס.פ עראבה</t>
        </is>
      </c>
      <c r="C781" s="111" t="n">
        <v>5168.8</v>
      </c>
      <c r="D781" s="111" t="n">
        <v>7884.7</v>
      </c>
    </row>
    <row r="782" ht="15" customHeight="1" s="82">
      <c r="A782" s="94" t="inlineStr">
        <is>
          <t>סופרפארם</t>
        </is>
      </c>
      <c r="B782" s="94" t="inlineStr">
        <is>
          <t>BM ס.פ קרני שומרון</t>
        </is>
      </c>
      <c r="C782" s="111" t="n">
        <v>6297.5</v>
      </c>
      <c r="D782" s="111" t="n">
        <v>6094.9</v>
      </c>
    </row>
    <row r="783" ht="15" customHeight="1" s="82">
      <c r="A783" s="94" t="inlineStr">
        <is>
          <t>סופרפארם</t>
        </is>
      </c>
      <c r="B783" s="94" t="inlineStr">
        <is>
          <t>BM ס.פ אגמים אשקלון</t>
        </is>
      </c>
      <c r="C783" s="111" t="n">
        <v>17310.2</v>
      </c>
      <c r="D783" s="111" t="n">
        <v>8152</v>
      </c>
    </row>
    <row r="784" ht="15" customHeight="1" s="82">
      <c r="A784" s="94" t="inlineStr">
        <is>
          <t>סופרפארם</t>
        </is>
      </c>
      <c r="B784" s="94" t="inlineStr">
        <is>
          <t>BM ס.פ שפיר סנטר ראש העין</t>
        </is>
      </c>
      <c r="C784" s="111" t="n">
        <v>25742.7</v>
      </c>
      <c r="D784" s="111" t="n">
        <v>14247</v>
      </c>
    </row>
    <row r="785" ht="15" customHeight="1" s="82">
      <c r="A785" s="94" t="inlineStr">
        <is>
          <t>סופרפארם</t>
        </is>
      </c>
      <c r="B785" s="94" t="inlineStr">
        <is>
          <t>BM ס.פ דייליס ספיר רמת גן</t>
        </is>
      </c>
      <c r="C785" s="111" t="n">
        <v>0</v>
      </c>
      <c r="D785" s="111" t="n">
        <v>0</v>
      </c>
    </row>
    <row r="786" ht="15" customHeight="1" s="82">
      <c r="A786" s="94" t="inlineStr">
        <is>
          <t>סופרפארם</t>
        </is>
      </c>
      <c r="B786" s="94" t="inlineStr">
        <is>
          <t>ארוקה מרכז מול זכרון</t>
        </is>
      </c>
      <c r="C786" s="111" t="n">
        <v>-24</v>
      </c>
      <c r="D786" s="111" t="n">
        <v>0</v>
      </c>
    </row>
    <row r="787" ht="15" customHeight="1" s="82">
      <c r="A787" s="94" t="inlineStr">
        <is>
          <t>סופרפארם</t>
        </is>
      </c>
      <c r="B787" s="94" t="inlineStr">
        <is>
          <t>671 BM ס.פ פבריק עמק חפר</t>
        </is>
      </c>
      <c r="C787" s="111" t="n">
        <v>30628.1</v>
      </c>
      <c r="D787" s="111" t="n">
        <v>44557.1</v>
      </c>
    </row>
    <row r="788" ht="15" customHeight="1" s="82">
      <c r="A788" s="94" t="inlineStr">
        <is>
          <t>סופרפארם</t>
        </is>
      </c>
      <c r="B788" s="94" t="inlineStr">
        <is>
          <t>BM ס.פ חורה</t>
        </is>
      </c>
      <c r="C788" s="111" t="n">
        <v>7293.6</v>
      </c>
      <c r="D788" s="111" t="n">
        <v>4750.5</v>
      </c>
    </row>
    <row r="789" ht="15" customHeight="1" s="82">
      <c r="A789" s="94" t="inlineStr">
        <is>
          <t>סופרפארם</t>
        </is>
      </c>
      <c r="B789" s="94" t="inlineStr">
        <is>
          <t>BM ס.פ צים טייבה</t>
        </is>
      </c>
      <c r="C789" s="111" t="n">
        <v>9353.6</v>
      </c>
      <c r="D789" s="111" t="n">
        <v>5981.2</v>
      </c>
    </row>
    <row r="790" ht="15" customHeight="1" s="82">
      <c r="A790" s="94" t="inlineStr">
        <is>
          <t>סופרפארם</t>
        </is>
      </c>
      <c r="B790" s="94" t="inlineStr">
        <is>
          <t>BM ס.פ נאות שמיר רמלה</t>
        </is>
      </c>
      <c r="C790" s="111" t="n">
        <v>7396.8</v>
      </c>
      <c r="D790" s="111" t="n">
        <v>2926.2</v>
      </c>
    </row>
    <row r="791" ht="15" customHeight="1" s="82">
      <c r="A791" s="94" t="inlineStr">
        <is>
          <t>סופרפארם</t>
        </is>
      </c>
      <c r="B791" s="94" t="inlineStr">
        <is>
          <t>BM ס.פ ר. אביב גימל</t>
        </is>
      </c>
      <c r="C791" s="111" t="n">
        <v>26722.6</v>
      </c>
      <c r="D791" s="111" t="n">
        <v>19250.6</v>
      </c>
    </row>
    <row r="792" ht="15" customHeight="1" s="82">
      <c r="A792" s="94" t="inlineStr">
        <is>
          <t>סופרפארם</t>
        </is>
      </c>
      <c r="B792" s="94" t="inlineStr">
        <is>
          <t>BM ס.פ נרקיסים ראשון לציון</t>
        </is>
      </c>
      <c r="C792" s="111" t="n">
        <v>12273.7</v>
      </c>
      <c r="D792" s="111" t="n">
        <v>10044.3</v>
      </c>
    </row>
    <row r="793" ht="15" customHeight="1" s="82">
      <c r="A793" s="94" t="inlineStr">
        <is>
          <t>סופרפארם</t>
        </is>
      </c>
      <c r="B793" s="94" t="inlineStr">
        <is>
          <t>BM ס.פ חריש בעיר</t>
        </is>
      </c>
      <c r="C793" s="111" t="n">
        <v>11354.6</v>
      </c>
      <c r="D793" s="111" t="n">
        <v>9129</v>
      </c>
    </row>
    <row r="794" ht="15" customHeight="1" s="82">
      <c r="A794" s="94" t="inlineStr">
        <is>
          <t>סופרפארם</t>
        </is>
      </c>
      <c r="B794" s="94" t="inlineStr">
        <is>
          <t>BM ס.פ מורשת מודיעין</t>
        </is>
      </c>
      <c r="C794" s="111" t="n">
        <v>6815</v>
      </c>
      <c r="D794" s="111" t="n">
        <v>4966.1</v>
      </c>
    </row>
    <row r="795" ht="15" customHeight="1" s="82">
      <c r="A795" s="94" t="inlineStr">
        <is>
          <t>סופרפארם</t>
        </is>
      </c>
      <c r="B795" s="94" t="inlineStr">
        <is>
          <t>BM ס.פ מרכז הנשיא רחובות</t>
        </is>
      </c>
      <c r="C795" s="111" t="n">
        <v>12988</v>
      </c>
      <c r="D795" s="111" t="n">
        <v>9685</v>
      </c>
    </row>
    <row r="796" ht="15" customHeight="1" s="82">
      <c r="A796" s="94" t="inlineStr">
        <is>
          <t>סופרפארם</t>
        </is>
      </c>
      <c r="B796" s="94" t="inlineStr">
        <is>
          <t>BM ס.פ אונו פארק</t>
        </is>
      </c>
      <c r="C796" s="111" t="n">
        <v>9100.299999999999</v>
      </c>
      <c r="D796" s="111" t="n">
        <v>7816.2</v>
      </c>
    </row>
    <row r="797" ht="15" customHeight="1" s="82">
      <c r="A797" s="94" t="inlineStr">
        <is>
          <t>סופרפארם</t>
        </is>
      </c>
      <c r="B797" s="94" t="inlineStr">
        <is>
          <t>BM ס.פ מגדל ספיר</t>
        </is>
      </c>
      <c r="C797" s="111" t="n">
        <v>18868.1</v>
      </c>
      <c r="D797" s="111" t="n">
        <v>15334.8</v>
      </c>
    </row>
    <row r="798" ht="15" customHeight="1" s="82">
      <c r="A798" s="94" t="inlineStr">
        <is>
          <t>סופרפארם</t>
        </is>
      </c>
      <c r="B798" s="94" t="inlineStr">
        <is>
          <t>BM ק. ים SEA ס.פ</t>
        </is>
      </c>
      <c r="C798" s="111" t="n">
        <v>8083.7</v>
      </c>
      <c r="D798" s="111" t="n">
        <v>5187.3</v>
      </c>
    </row>
    <row r="799" ht="15" customHeight="1" s="82">
      <c r="A799" s="94" t="inlineStr">
        <is>
          <t>סופרפארם</t>
        </is>
      </c>
      <c r="B799" s="94" t="inlineStr">
        <is>
          <t>BM ס.פ גבעת אלונים</t>
        </is>
      </c>
      <c r="C799" s="111" t="n">
        <v>4798.9</v>
      </c>
      <c r="D799" s="111" t="n">
        <v>1815.5</v>
      </c>
    </row>
    <row r="800" ht="15" customHeight="1" s="82">
      <c r="A800" s="94" t="inlineStr">
        <is>
          <t>סופרפארם</t>
        </is>
      </c>
      <c r="B800" s="94" t="inlineStr">
        <is>
          <t>BM ס.פ קרית היובל ירושלים</t>
        </is>
      </c>
      <c r="C800" s="111" t="n">
        <v>12606.8</v>
      </c>
      <c r="D800" s="111" t="n">
        <v>11961.6</v>
      </c>
    </row>
    <row r="801" ht="15" customHeight="1" s="82">
      <c r="A801" s="94" t="inlineStr">
        <is>
          <t>סופרפארם</t>
        </is>
      </c>
      <c r="B801" s="94" t="inlineStr">
        <is>
          <t>BM ס.פ אעבלין</t>
        </is>
      </c>
      <c r="C801" s="111" t="n">
        <v>3939.3</v>
      </c>
      <c r="D801" s="111" t="n">
        <v>3026.2</v>
      </c>
    </row>
    <row r="802" ht="15" customHeight="1" s="82">
      <c r="A802" s="94" t="inlineStr">
        <is>
          <t>סופרפארם</t>
        </is>
      </c>
      <c r="B802" s="94" t="inlineStr">
        <is>
          <t>BM ס.פ גאלרי ביג גלילות</t>
        </is>
      </c>
      <c r="C802" s="111" t="n">
        <v>36448.2</v>
      </c>
      <c r="D802" s="111" t="n">
        <v>39232.4</v>
      </c>
    </row>
    <row r="803" ht="15" customHeight="1" s="82">
      <c r="A803" s="94" t="inlineStr">
        <is>
          <t>סופרפארם</t>
        </is>
      </c>
      <c r="B803" s="94" t="inlineStr">
        <is>
          <t>BM ס.פ ביג כרמי גת</t>
        </is>
      </c>
      <c r="C803" s="111" t="n">
        <v>19470.7</v>
      </c>
      <c r="D803" s="111" t="n">
        <v>15361.9</v>
      </c>
    </row>
    <row r="804" ht="15" customHeight="1" s="82">
      <c r="A804" s="94" t="inlineStr">
        <is>
          <t>סופרפארם</t>
        </is>
      </c>
      <c r="B804" s="94" t="inlineStr">
        <is>
          <t>BM ס.פ בית חנינא</t>
        </is>
      </c>
      <c r="C804" s="111" t="n">
        <v>11540.6</v>
      </c>
      <c r="D804" s="111" t="n">
        <v>9663.6</v>
      </c>
    </row>
    <row r="805" ht="15" customHeight="1" s="82">
      <c r="A805" s="94" t="inlineStr">
        <is>
          <t>סופרפארם</t>
        </is>
      </c>
      <c r="B805" s="94" t="inlineStr">
        <is>
          <t>BM ס.פ פארק תעשיות עמק חפר</t>
        </is>
      </c>
      <c r="C805" s="111" t="n">
        <v>5600.3</v>
      </c>
      <c r="D805" s="111" t="n">
        <v>-995.5</v>
      </c>
    </row>
    <row r="806" ht="15" customHeight="1" s="82">
      <c r="A806" s="94" t="inlineStr">
        <is>
          <t>סופרפארם</t>
        </is>
      </c>
      <c r="B806" s="94" t="inlineStr">
        <is>
          <t>BM ס.פ הבנקים חיפה</t>
        </is>
      </c>
      <c r="C806" s="111" t="n">
        <v>0</v>
      </c>
      <c r="D806" s="111" t="n">
        <v>3940.4</v>
      </c>
    </row>
    <row r="807" ht="15" customHeight="1" s="82">
      <c r="A807" s="94" t="inlineStr">
        <is>
          <t>סופרפארם</t>
        </is>
      </c>
      <c r="B807" s="94" t="inlineStr">
        <is>
          <t>BM ס.פ צים רהט</t>
        </is>
      </c>
      <c r="C807" s="111" t="n">
        <v>10747.5</v>
      </c>
      <c r="D807" s="111" t="n">
        <v>2761</v>
      </c>
    </row>
    <row r="808" ht="15" customHeight="1" s="82">
      <c r="A808" s="94" t="inlineStr">
        <is>
          <t>סופרפארם</t>
        </is>
      </c>
      <c r="B808" s="94" t="inlineStr">
        <is>
          <t>BM ס.פ ביג גדרה</t>
        </is>
      </c>
      <c r="C808" s="111" t="n">
        <v>18942.1</v>
      </c>
      <c r="D808" s="111" t="n">
        <v>12516.1</v>
      </c>
    </row>
    <row r="809" ht="15" customHeight="1" s="82">
      <c r="A809" s="94" t="inlineStr">
        <is>
          <t>סופרפארם</t>
        </is>
      </c>
      <c r="B809" s="94" t="inlineStr">
        <is>
          <t>BM ס.פ ביג מגדל העמק</t>
        </is>
      </c>
      <c r="C809" s="111" t="n">
        <v>9257.6</v>
      </c>
      <c r="D809" s="111" t="n">
        <v>6794</v>
      </c>
    </row>
    <row r="810" ht="15" customHeight="1" s="82">
      <c r="A810" s="94" t="inlineStr">
        <is>
          <t>סופרפארם</t>
        </is>
      </c>
      <c r="B810" s="94" t="inlineStr">
        <is>
          <t>BM ס.פ אפקה קרית ביאליק</t>
        </is>
      </c>
      <c r="C810" s="111" t="n">
        <v>4158.2</v>
      </c>
      <c r="D810" s="111" t="n">
        <v>2209.3</v>
      </c>
    </row>
    <row r="811" ht="15" customHeight="1" s="82">
      <c r="A811" s="94" t="inlineStr">
        <is>
          <t>סופרפארם</t>
        </is>
      </c>
      <c r="B811" s="94" t="inlineStr">
        <is>
          <t>BM ס.פ צים טמרה</t>
        </is>
      </c>
      <c r="C811" s="111" t="n">
        <v>0</v>
      </c>
      <c r="D811" s="111" t="n">
        <v>4665</v>
      </c>
    </row>
    <row r="812" ht="15" customHeight="1" s="82">
      <c r="A812" s="94" t="inlineStr">
        <is>
          <t>סופרפארם</t>
        </is>
      </c>
      <c r="B812" s="94" t="inlineStr">
        <is>
          <t>BM ס.פ עין המפרץ</t>
        </is>
      </c>
      <c r="C812" s="111" t="n">
        <v>0</v>
      </c>
      <c r="D812" s="111" t="n">
        <v>3421.4</v>
      </c>
    </row>
    <row r="813" ht="15" customHeight="1" s="82">
      <c r="A813" s="94" t="inlineStr">
        <is>
          <t>סופרפארם</t>
        </is>
      </c>
      <c r="B813" s="94" t="inlineStr">
        <is>
          <t>BM ס.פ האומנים קרית מוצקין</t>
        </is>
      </c>
      <c r="C813" s="111" t="n">
        <v>0</v>
      </c>
      <c r="D813" s="111" t="n">
        <v>1149.7</v>
      </c>
    </row>
    <row r="814" ht="15" customHeight="1" s="82">
      <c r="A814" s="94" t="inlineStr">
        <is>
          <t>סופרפארם</t>
        </is>
      </c>
      <c r="B814" s="94" t="inlineStr">
        <is>
          <t>BM ס.פ אשדוד טז</t>
        </is>
      </c>
      <c r="C814" s="111" t="n">
        <v>0</v>
      </c>
      <c r="D814" s="111" t="n">
        <v>4716.9</v>
      </c>
    </row>
    <row r="815" ht="15" customHeight="1" s="82">
      <c r="A815" s="94" t="inlineStr">
        <is>
          <t>סופרפארם</t>
        </is>
      </c>
      <c r="B815" s="94" t="inlineStr">
        <is>
          <t>BM  ס.פ קלנסווה</t>
        </is>
      </c>
      <c r="C815" s="111" t="n">
        <v>0</v>
      </c>
      <c r="D815" s="111" t="n">
        <v>12240.9</v>
      </c>
    </row>
    <row r="816" ht="15" customHeight="1" s="82">
      <c r="A816" s="94" t="inlineStr">
        <is>
          <t>סופרפארם</t>
        </is>
      </c>
      <c r="B816" s="94" t="inlineStr">
        <is>
          <t>לקוח   כללי</t>
        </is>
      </c>
      <c r="C816" s="111" t="n">
        <v>0</v>
      </c>
      <c r="D816" s="111" t="n">
        <v>1708.1</v>
      </c>
    </row>
    <row r="817" ht="15" customHeight="1" s="82">
      <c r="A817" s="94" t="inlineStr">
        <is>
          <t>שופרסל BE</t>
        </is>
      </c>
      <c r="B817" s="94" t="inlineStr">
        <is>
          <t>623 סביונים BE</t>
        </is>
      </c>
      <c r="C817" s="111" t="n">
        <v>9817</v>
      </c>
      <c r="D817" s="111" t="n">
        <v>13228.2</v>
      </c>
    </row>
    <row r="818" ht="15" customHeight="1" s="82">
      <c r="A818" s="94" t="inlineStr">
        <is>
          <t>שופרסל BE</t>
        </is>
      </c>
      <c r="B818" s="94" t="inlineStr">
        <is>
          <t>645  גבעת שמואל BE</t>
        </is>
      </c>
      <c r="C818" s="111" t="n">
        <v>11351.7</v>
      </c>
      <c r="D818" s="111" t="n">
        <v>13938.5</v>
      </c>
    </row>
    <row r="819" ht="15" customHeight="1" s="82">
      <c r="A819" s="94" t="inlineStr">
        <is>
          <t>שופרסל BE</t>
        </is>
      </c>
      <c r="B819" s="94" t="inlineStr">
        <is>
          <t>גבעת שמואל זיכויים BE</t>
        </is>
      </c>
      <c r="C819" s="111" t="n">
        <v>-334.7</v>
      </c>
      <c r="D819" s="111" t="n">
        <v>-15.4</v>
      </c>
    </row>
    <row r="820" ht="15" customHeight="1" s="82">
      <c r="A820" s="94" t="inlineStr">
        <is>
          <t>שופרסל BE</t>
        </is>
      </c>
      <c r="B820" s="94" t="inlineStr">
        <is>
          <t>691 אשדוד מדיקל BE</t>
        </is>
      </c>
      <c r="C820" s="111" t="n">
        <v>7514.5</v>
      </c>
      <c r="D820" s="111" t="n">
        <v>4426.9</v>
      </c>
    </row>
    <row r="821" ht="15" customHeight="1" s="82">
      <c r="A821" s="94" t="inlineStr">
        <is>
          <t>שופרסל BE</t>
        </is>
      </c>
      <c r="B821" s="94" t="inlineStr">
        <is>
          <t>672 אשדוד הסיטי BE</t>
        </is>
      </c>
      <c r="C821" s="111" t="n">
        <v>7964.8</v>
      </c>
      <c r="D821" s="111" t="n">
        <v>7676.4</v>
      </c>
    </row>
    <row r="822" ht="15" customHeight="1" s="82">
      <c r="A822" s="94" t="inlineStr">
        <is>
          <t>שופרסל BE</t>
        </is>
      </c>
      <c r="B822" s="94" t="inlineStr">
        <is>
          <t>612 אשדוד BE</t>
        </is>
      </c>
      <c r="C822" s="111" t="n">
        <v>0</v>
      </c>
      <c r="D822" s="111" t="n">
        <v>0</v>
      </c>
    </row>
    <row r="823" ht="15" customHeight="1" s="82">
      <c r="A823" s="94" t="inlineStr">
        <is>
          <t>שופרסל BE</t>
        </is>
      </c>
      <c r="B823" s="94" t="inlineStr">
        <is>
          <t>683  אשקלון דוידי BE</t>
        </is>
      </c>
      <c r="C823" s="111" t="n">
        <v>293.4</v>
      </c>
      <c r="D823" s="111" t="n">
        <v>0</v>
      </c>
    </row>
    <row r="824" ht="15" customHeight="1" s="82">
      <c r="A824" s="94" t="inlineStr">
        <is>
          <t>שופרסל BE</t>
        </is>
      </c>
      <c r="B824" s="94" t="inlineStr">
        <is>
          <t>684 שדרות BE</t>
        </is>
      </c>
      <c r="C824" s="111" t="n">
        <v>15241.6</v>
      </c>
      <c r="D824" s="111" t="n">
        <v>16077.4</v>
      </c>
    </row>
    <row r="825" ht="15" customHeight="1" s="82">
      <c r="A825" s="94" t="inlineStr">
        <is>
          <t>שופרסל BE</t>
        </is>
      </c>
      <c r="B825" s="94" t="inlineStr">
        <is>
          <t>634  בת ים BE</t>
        </is>
      </c>
      <c r="C825" s="111" t="n">
        <v>9671.700000000001</v>
      </c>
      <c r="D825" s="111" t="n">
        <v>5456.7</v>
      </c>
    </row>
    <row r="826" ht="15" customHeight="1" s="82">
      <c r="A826" s="94" t="inlineStr">
        <is>
          <t>שופרסל BE</t>
        </is>
      </c>
      <c r="B826" s="94" t="inlineStr">
        <is>
          <t>631 וולפסון חולון BE</t>
        </is>
      </c>
      <c r="C826" s="111" t="n">
        <v>13927.8</v>
      </c>
      <c r="D826" s="111" t="n">
        <v>4352.3</v>
      </c>
    </row>
    <row r="827" ht="15" customHeight="1" s="82">
      <c r="A827" s="94" t="inlineStr">
        <is>
          <t>שופרסל BE</t>
        </is>
      </c>
      <c r="B827" s="94" t="inlineStr">
        <is>
          <t>675 שרונים BE</t>
        </is>
      </c>
      <c r="C827" s="111" t="n">
        <v>10181.8</v>
      </c>
      <c r="D827" s="111" t="n">
        <v>3764.1</v>
      </c>
    </row>
    <row r="828" ht="15" customHeight="1" s="82">
      <c r="A828" s="94" t="inlineStr">
        <is>
          <t>שופרסל BE</t>
        </is>
      </c>
      <c r="B828" s="94" t="inlineStr">
        <is>
          <t>615 פארם כפר סבא BE</t>
        </is>
      </c>
      <c r="C828" s="111" t="n">
        <v>16926.9</v>
      </c>
      <c r="D828" s="111" t="n">
        <v>12086.8</v>
      </c>
    </row>
    <row r="829" ht="15" customHeight="1" s="82">
      <c r="A829" s="94" t="inlineStr">
        <is>
          <t>שופרסל BE</t>
        </is>
      </c>
      <c r="B829" s="94" t="inlineStr">
        <is>
          <t>648 מאיר כ""ס BE</t>
        </is>
      </c>
      <c r="C829" s="111" t="n">
        <v>11646.7</v>
      </c>
      <c r="D829" s="111" t="n">
        <v>11663.2</v>
      </c>
    </row>
    <row r="830" ht="15" customHeight="1" s="82">
      <c r="A830" s="94" t="inlineStr">
        <is>
          <t>שופרסל BE</t>
        </is>
      </c>
      <c r="B830" s="94" t="inlineStr">
        <is>
          <t>682  פארם כ""ס צפון ירוקה BE</t>
        </is>
      </c>
      <c r="C830" s="111" t="n">
        <v>3796.3</v>
      </c>
      <c r="D830" s="111" t="n">
        <v>2934.9</v>
      </c>
    </row>
    <row r="831" ht="15" customHeight="1" s="82">
      <c r="A831" s="94" t="inlineStr">
        <is>
          <t>שופרסל BE</t>
        </is>
      </c>
      <c r="B831" s="94" t="inlineStr">
        <is>
          <t>637  פארם רעננה BE</t>
        </is>
      </c>
      <c r="C831" s="111" t="n">
        <v>11965.2</v>
      </c>
      <c r="D831" s="111" t="n">
        <v>8996.9</v>
      </c>
    </row>
    <row r="832" ht="15" customHeight="1" s="82">
      <c r="A832" s="94" t="inlineStr">
        <is>
          <t>שופרסל BE</t>
        </is>
      </c>
      <c r="B832" s="94" t="inlineStr">
        <is>
          <t>652 מודיעין מוריה BE</t>
        </is>
      </c>
      <c r="C832" s="111" t="n">
        <v>12258.3</v>
      </c>
      <c r="D832" s="111" t="n">
        <v>12818.5</v>
      </c>
    </row>
    <row r="833" ht="15" customHeight="1" s="82">
      <c r="A833" s="94" t="inlineStr">
        <is>
          <t>שופרסל BE</t>
        </is>
      </c>
      <c r="B833" s="94" t="inlineStr">
        <is>
          <t>681  פארם שוהם BE</t>
        </is>
      </c>
      <c r="C833" s="111" t="n">
        <v>8790</v>
      </c>
      <c r="D833" s="111" t="n">
        <v>5533.4</v>
      </c>
    </row>
    <row r="834" ht="15" customHeight="1" s="82">
      <c r="A834" s="94" t="inlineStr">
        <is>
          <t>שופרסל BE</t>
        </is>
      </c>
      <c r="B834" s="94" t="inlineStr">
        <is>
          <t>668  קרית השרון נתניה BE</t>
        </is>
      </c>
      <c r="C834" s="111" t="n">
        <v>8687.299999999999</v>
      </c>
      <c r="D834" s="111" t="n">
        <v>8221.700000000001</v>
      </c>
    </row>
    <row r="835" ht="15" customHeight="1" s="82">
      <c r="A835" s="94" t="inlineStr">
        <is>
          <t>שופרסל BE</t>
        </is>
      </c>
      <c r="B835" s="94" t="inlineStr">
        <is>
          <t>651 דרורים BE</t>
        </is>
      </c>
      <c r="C835" s="111" t="n">
        <v>13396.1</v>
      </c>
      <c r="D835" s="111" t="n">
        <v>11065.1</v>
      </c>
    </row>
    <row r="836" ht="15" customHeight="1" s="82">
      <c r="A836" s="94" t="inlineStr">
        <is>
          <t>שופרסל BE</t>
        </is>
      </c>
      <c r="B836" s="94" t="inlineStr">
        <is>
          <t>614 פארם נתניה BE</t>
        </is>
      </c>
      <c r="C836" s="111" t="n">
        <v>9819.4</v>
      </c>
      <c r="D836" s="111" t="n">
        <v>4289.7</v>
      </c>
    </row>
    <row r="837" ht="15" customHeight="1" s="82">
      <c r="A837" s="94" t="inlineStr">
        <is>
          <t>שופרסל BE</t>
        </is>
      </c>
      <c r="B837" s="94" t="inlineStr">
        <is>
          <t>643 פ""ת סירקין BE</t>
        </is>
      </c>
      <c r="C837" s="111" t="n">
        <v>5313</v>
      </c>
      <c r="D837" s="111" t="n">
        <v>9895.200000000001</v>
      </c>
    </row>
    <row r="838" ht="15" customHeight="1" s="82">
      <c r="A838" s="94" t="inlineStr">
        <is>
          <t>שופרסל BE</t>
        </is>
      </c>
      <c r="B838" s="94" t="inlineStr">
        <is>
          <t>654 אם המושבות BE</t>
        </is>
      </c>
      <c r="C838" s="111" t="n">
        <v>3963.3</v>
      </c>
      <c r="D838" s="111" t="n">
        <v>11655.9</v>
      </c>
    </row>
    <row r="839" ht="15" customHeight="1" s="82">
      <c r="A839" s="94" t="inlineStr">
        <is>
          <t>שופרסל BE</t>
        </is>
      </c>
      <c r="B839" s="94" t="inlineStr">
        <is>
          <t>688 מדיקל בלינסון BE</t>
        </is>
      </c>
      <c r="C839" s="111" t="n">
        <v>31592.4</v>
      </c>
      <c r="D839" s="111" t="n">
        <v>26386.7</v>
      </c>
    </row>
    <row r="840" ht="15" customHeight="1" s="82">
      <c r="A840" s="94" t="inlineStr">
        <is>
          <t>שופרסל BE</t>
        </is>
      </c>
      <c r="B840" s="94" t="inlineStr">
        <is>
          <t>639  אריאל BE</t>
        </is>
      </c>
      <c r="C840" s="111" t="n">
        <v>10333.9</v>
      </c>
      <c r="D840" s="111" t="n">
        <v>8011.5</v>
      </c>
    </row>
    <row r="841" ht="15" customHeight="1" s="82">
      <c r="A841" s="94" t="inlineStr">
        <is>
          <t>שופרסל BE</t>
        </is>
      </c>
      <c r="B841" s="94" t="inlineStr">
        <is>
          <t>696 מדיקל אלעד BE</t>
        </is>
      </c>
      <c r="C841" s="111" t="n">
        <v>5064.6</v>
      </c>
      <c r="D841" s="111" t="n">
        <v>220.4</v>
      </c>
    </row>
    <row r="842" ht="15" customHeight="1" s="82">
      <c r="A842" s="94" t="inlineStr">
        <is>
          <t>שופרסל BE</t>
        </is>
      </c>
      <c r="B842" s="94" t="inlineStr">
        <is>
          <t>687 מדיקל רחובות BE</t>
        </is>
      </c>
      <c r="C842" s="111" t="n">
        <v>0</v>
      </c>
      <c r="D842" s="111" t="n">
        <v>0</v>
      </c>
    </row>
    <row r="843" ht="15" customHeight="1" s="82">
      <c r="A843" s="94" t="inlineStr">
        <is>
          <t>שופרסל BE</t>
        </is>
      </c>
      <c r="B843" s="94" t="inlineStr">
        <is>
          <t>נ.פ.83 מדיקל רחובות זיכויים</t>
        </is>
      </c>
      <c r="C843" s="111" t="n">
        <v>0</v>
      </c>
      <c r="D843" s="111" t="n">
        <v>0</v>
      </c>
    </row>
    <row r="844" ht="15" customHeight="1" s="82">
      <c r="A844" s="94" t="inlineStr">
        <is>
          <t>שופרסל BE</t>
        </is>
      </c>
      <c r="B844" s="94" t="inlineStr">
        <is>
          <t>655 רחובות מזרח BE</t>
        </is>
      </c>
      <c r="C844" s="111" t="n">
        <v>10444.5</v>
      </c>
      <c r="D844" s="111" t="n">
        <v>15506.1</v>
      </c>
    </row>
    <row r="845" ht="15" customHeight="1" s="82">
      <c r="A845" s="94" t="inlineStr">
        <is>
          <t>שופרסל BE</t>
        </is>
      </c>
      <c r="B845" s="94" t="inlineStr">
        <is>
          <t>618 ראשל""צ BE</t>
        </is>
      </c>
      <c r="C845" s="111" t="n">
        <v>13916.6</v>
      </c>
      <c r="D845" s="111" t="n">
        <v>3920</v>
      </c>
    </row>
    <row r="846" ht="15" customHeight="1" s="82">
      <c r="A846" s="94" t="inlineStr">
        <is>
          <t>שופרסל BE</t>
        </is>
      </c>
      <c r="B846" s="94" t="inlineStr">
        <is>
          <t>674 תל ברוך BE</t>
        </is>
      </c>
      <c r="C846" s="111" t="n">
        <v>5904.6</v>
      </c>
      <c r="D846" s="111" t="n">
        <v>7122.2</v>
      </c>
    </row>
    <row r="847" ht="15" customHeight="1" s="82">
      <c r="A847" s="94" t="inlineStr">
        <is>
          <t>שופרסל BE</t>
        </is>
      </c>
      <c r="B847" s="94" t="inlineStr">
        <is>
          <t>695 אסותא רמת החייל BE</t>
        </is>
      </c>
      <c r="C847" s="111" t="n">
        <v>346.9</v>
      </c>
      <c r="D847" s="111" t="n">
        <v>264.3</v>
      </c>
    </row>
    <row r="848" ht="15" customHeight="1" s="82">
      <c r="A848" s="94" t="inlineStr">
        <is>
          <t>שופרסל BE</t>
        </is>
      </c>
      <c r="B848" s="94" t="inlineStr">
        <is>
          <t>677 הרצליה BE</t>
        </is>
      </c>
      <c r="C848" s="111" t="n">
        <v>24763.2</v>
      </c>
      <c r="D848" s="111" t="n">
        <v>9802</v>
      </c>
    </row>
    <row r="849" ht="15" customHeight="1" s="82">
      <c r="A849" s="94" t="inlineStr">
        <is>
          <t>שופרסל BE</t>
        </is>
      </c>
      <c r="B849" s="94" t="inlineStr">
        <is>
          <t>660  רמת השרון BE</t>
        </is>
      </c>
      <c r="C849" s="111" t="n">
        <v>9844.5</v>
      </c>
      <c r="D849" s="111" t="n">
        <v>8982.9</v>
      </c>
    </row>
    <row r="850" ht="15" customHeight="1" s="82">
      <c r="A850" s="94" t="inlineStr">
        <is>
          <t>שופרסל BE</t>
        </is>
      </c>
      <c r="B850" s="94" t="inlineStr">
        <is>
          <t>653 בני ברק BE</t>
        </is>
      </c>
      <c r="C850" s="111" t="n">
        <v>5686.8</v>
      </c>
      <c r="D850" s="111" t="n">
        <v>3679.4</v>
      </c>
    </row>
    <row r="851" ht="15" customHeight="1" s="82">
      <c r="A851" s="94" t="inlineStr">
        <is>
          <t>שופרסל BE</t>
        </is>
      </c>
      <c r="B851" s="94" t="inlineStr">
        <is>
          <t>נ.פ 44 בני ברק זיכויים</t>
        </is>
      </c>
      <c r="C851" s="111" t="n">
        <v>0</v>
      </c>
      <c r="D851" s="111" t="n">
        <v>0</v>
      </c>
    </row>
    <row r="852" ht="15" customHeight="1" s="82">
      <c r="A852" s="94" t="inlineStr">
        <is>
          <t>שופרסל BE</t>
        </is>
      </c>
      <c r="B852" s="94" t="inlineStr">
        <is>
          <t>641  גבעתיים BE</t>
        </is>
      </c>
      <c r="C852" s="111" t="n">
        <v>7485.3</v>
      </c>
      <c r="D852" s="111" t="n">
        <v>2629.5</v>
      </c>
    </row>
    <row r="853" ht="15" customHeight="1" s="82">
      <c r="A853" s="94" t="inlineStr">
        <is>
          <t>שופרסל BE</t>
        </is>
      </c>
      <c r="B853" s="94" t="inlineStr">
        <is>
          <t>670 איכילוב BE</t>
        </is>
      </c>
      <c r="C853" s="111" t="n">
        <v>11551</v>
      </c>
      <c r="D853" s="111" t="n">
        <v>28048.9</v>
      </c>
    </row>
    <row r="854" ht="15" customHeight="1" s="82">
      <c r="A854" s="94" t="inlineStr">
        <is>
          <t>שופרסל BE</t>
        </is>
      </c>
      <c r="B854" s="94" t="inlineStr">
        <is>
          <t>656 בן יהודה ת""א BE</t>
        </is>
      </c>
      <c r="C854" s="111" t="n">
        <v>989</v>
      </c>
      <c r="D854" s="111" t="n">
        <v>488.3</v>
      </c>
    </row>
    <row r="855" ht="15" customHeight="1" s="82">
      <c r="A855" s="94" t="inlineStr">
        <is>
          <t>שופרסל BE</t>
        </is>
      </c>
      <c r="B855" s="94" t="inlineStr">
        <is>
          <t>685 אזורי חן BE</t>
        </is>
      </c>
      <c r="C855" s="111" t="n">
        <v>3844</v>
      </c>
      <c r="D855" s="111" t="n">
        <v>246.4</v>
      </c>
    </row>
    <row r="856" ht="15" customHeight="1" s="82">
      <c r="A856" s="94" t="inlineStr">
        <is>
          <t>שופרסל BE</t>
        </is>
      </c>
      <c r="B856" s="94" t="inlineStr">
        <is>
          <t>650 חיפה BE</t>
        </is>
      </c>
      <c r="C856" s="111" t="n">
        <v>28416</v>
      </c>
      <c r="D856" s="111" t="n">
        <v>21263.9</v>
      </c>
    </row>
    <row r="857" ht="15" customHeight="1" s="82">
      <c r="A857" s="94" t="inlineStr">
        <is>
          <t>שופרסל BE</t>
        </is>
      </c>
      <c r="B857" s="94" t="inlineStr">
        <is>
          <t>659 פארם הדר חיפה BE</t>
        </is>
      </c>
      <c r="C857" s="111" t="n">
        <v>2890.5</v>
      </c>
      <c r="D857" s="111" t="n">
        <v>5019.8</v>
      </c>
    </row>
    <row r="858" ht="15" customHeight="1" s="82">
      <c r="A858" s="94" t="inlineStr">
        <is>
          <t>שופרסל BE</t>
        </is>
      </c>
      <c r="B858" s="94" t="inlineStr">
        <is>
          <t>633 תל חנן נשר BE</t>
        </is>
      </c>
      <c r="C858" s="111" t="n">
        <v>6343.5</v>
      </c>
      <c r="D858" s="111" t="n">
        <v>7251.7</v>
      </c>
    </row>
    <row r="859" ht="15" customHeight="1" s="82">
      <c r="A859" s="94" t="inlineStr">
        <is>
          <t>שופרסל BE</t>
        </is>
      </c>
      <c r="B859" s="94" t="inlineStr">
        <is>
          <t>638 משמר השרון BE</t>
        </is>
      </c>
      <c r="C859" s="111" t="n">
        <v>27282.9</v>
      </c>
      <c r="D859" s="111" t="n">
        <v>22837.6</v>
      </c>
    </row>
    <row r="860" ht="15" customHeight="1" s="82">
      <c r="A860" s="94" t="inlineStr">
        <is>
          <t>שופרסל BE</t>
        </is>
      </c>
      <c r="B860" s="94" t="inlineStr">
        <is>
          <t>640 דלית אל כרמל BE</t>
        </is>
      </c>
      <c r="C860" s="111" t="n">
        <v>12117.2</v>
      </c>
      <c r="D860" s="111" t="n">
        <v>11115.8</v>
      </c>
    </row>
    <row r="861" ht="15" customHeight="1" s="82">
      <c r="A861" s="94" t="inlineStr">
        <is>
          <t>שופרסל BE</t>
        </is>
      </c>
      <c r="B861" s="94" t="inlineStr">
        <is>
          <t>673 פנורמה חיפה BE</t>
        </is>
      </c>
      <c r="C861" s="111" t="n">
        <v>2441.6</v>
      </c>
      <c r="D861" s="111" t="n">
        <v>1746.6</v>
      </c>
    </row>
    <row r="862" ht="15" customHeight="1" s="82">
      <c r="A862" s="94" t="inlineStr">
        <is>
          <t>שופרסל BE</t>
        </is>
      </c>
      <c r="B862" s="94" t="inlineStr">
        <is>
          <t>635 ראש פינה BE</t>
        </is>
      </c>
      <c r="C862" s="111" t="n">
        <v>11854.9</v>
      </c>
      <c r="D862" s="111" t="n">
        <v>6157.7</v>
      </c>
    </row>
    <row r="863" ht="15" customHeight="1" s="82">
      <c r="A863" s="94" t="inlineStr">
        <is>
          <t>שופרסל BE</t>
        </is>
      </c>
      <c r="B863" s="94" t="inlineStr">
        <is>
          <t>658   קרית אתא BE</t>
        </is>
      </c>
      <c r="C863" s="111" t="n">
        <v>40.7</v>
      </c>
      <c r="D863" s="111" t="n">
        <v>179.4</v>
      </c>
    </row>
    <row r="864" ht="15" customHeight="1" s="82">
      <c r="A864" s="94" t="inlineStr">
        <is>
          <t>שופרסל BE</t>
        </is>
      </c>
      <c r="B864" s="94" t="inlineStr">
        <is>
          <t>697 ירכא BE</t>
        </is>
      </c>
      <c r="C864" s="111" t="n">
        <v>10661.5</v>
      </c>
      <c r="D864" s="111" t="n">
        <v>10992.7</v>
      </c>
    </row>
    <row r="865" ht="15" customHeight="1" s="82">
      <c r="A865" s="94" t="inlineStr">
        <is>
          <t>שופרסל BE</t>
        </is>
      </c>
      <c r="B865" s="94" t="inlineStr">
        <is>
          <t>642 אלונים טבעון BE</t>
        </is>
      </c>
      <c r="C865" s="111" t="n">
        <v>8696.1</v>
      </c>
      <c r="D865" s="111" t="n">
        <v>6458.2</v>
      </c>
    </row>
    <row r="866" ht="15" customHeight="1" s="82">
      <c r="A866" s="94" t="inlineStr">
        <is>
          <t>שופרסל BE</t>
        </is>
      </c>
      <c r="B866" s="94" t="inlineStr">
        <is>
          <t>676   יקנעם BE</t>
        </is>
      </c>
      <c r="C866" s="111" t="n">
        <v>14590.5</v>
      </c>
      <c r="D866" s="111" t="n">
        <v>14554</v>
      </c>
    </row>
    <row r="867" ht="15" customHeight="1" s="82">
      <c r="A867" s="94" t="inlineStr">
        <is>
          <t>שופרסל BE</t>
        </is>
      </c>
      <c r="B867" s="94" t="inlineStr">
        <is>
          <t>649  פארם עכו BE</t>
        </is>
      </c>
      <c r="C867" s="111" t="n">
        <v>6789.3</v>
      </c>
      <c r="D867" s="111" t="n">
        <v>3983.1</v>
      </c>
    </row>
    <row r="868" ht="15" customHeight="1" s="82">
      <c r="A868" s="94" t="inlineStr">
        <is>
          <t>שופרסל BE</t>
        </is>
      </c>
      <c r="B868" s="94" t="inlineStr">
        <is>
          <t>617 (נוף הגליל )נצרת BE</t>
        </is>
      </c>
      <c r="C868" s="111" t="n">
        <v>7193.5</v>
      </c>
      <c r="D868" s="111" t="n">
        <v>3160.2</v>
      </c>
    </row>
    <row r="869" ht="15" customHeight="1" s="82">
      <c r="A869" s="94" t="inlineStr">
        <is>
          <t>שופרסל BE</t>
        </is>
      </c>
      <c r="B869" s="94" t="inlineStr">
        <is>
          <t>678 עפולה BE</t>
        </is>
      </c>
      <c r="C869" s="111" t="n">
        <v>7306.7</v>
      </c>
      <c r="D869" s="111" t="n">
        <v>5883.6</v>
      </c>
    </row>
    <row r="870" ht="15" customHeight="1" s="82">
      <c r="A870" s="94" t="inlineStr">
        <is>
          <t>שופרסל BE</t>
        </is>
      </c>
      <c r="B870" s="94" t="inlineStr">
        <is>
          <t>613 נהריה BE</t>
        </is>
      </c>
      <c r="C870" s="111" t="n">
        <v>6487.6</v>
      </c>
      <c r="D870" s="111" t="n">
        <v>5446.1</v>
      </c>
    </row>
    <row r="871" ht="15" customHeight="1" s="82">
      <c r="A871" s="94" t="inlineStr">
        <is>
          <t>שופרסל BE</t>
        </is>
      </c>
      <c r="B871" s="94" t="inlineStr">
        <is>
          <t>698  כרמיאל BE</t>
        </is>
      </c>
      <c r="C871" s="111" t="n">
        <v>6252.2</v>
      </c>
      <c r="D871" s="111" t="n">
        <v>3568.7</v>
      </c>
    </row>
    <row r="872" ht="15" customHeight="1" s="82">
      <c r="A872" s="94" t="inlineStr">
        <is>
          <t>שופרסל BE</t>
        </is>
      </c>
      <c r="B872" s="94" t="inlineStr">
        <is>
          <t>679 כרכור מדיקל BE</t>
        </is>
      </c>
      <c r="C872" s="111" t="n">
        <v>3080.4</v>
      </c>
      <c r="D872" s="111" t="n">
        <v>6566.1</v>
      </c>
    </row>
    <row r="873" ht="15" customHeight="1" s="82">
      <c r="A873" s="94" t="inlineStr">
        <is>
          <t>שופרסל BE</t>
        </is>
      </c>
      <c r="B873" s="94" t="inlineStr">
        <is>
          <t>776 טירה BE</t>
        </is>
      </c>
      <c r="C873" s="111" t="n">
        <v>16506.4</v>
      </c>
      <c r="D873" s="111" t="n">
        <v>11559.5</v>
      </c>
    </row>
    <row r="874" ht="15" customHeight="1" s="82">
      <c r="A874" s="94" t="inlineStr">
        <is>
          <t>שופרסל BE</t>
        </is>
      </c>
      <c r="B874" s="94" t="inlineStr">
        <is>
          <t>621 סינמה סיטי נתניה BE</t>
        </is>
      </c>
      <c r="C874" s="111" t="n">
        <v>7157.8</v>
      </c>
      <c r="D874" s="111" t="n">
        <v>3454.2</v>
      </c>
    </row>
    <row r="875" ht="15" customHeight="1" s="82">
      <c r="A875" s="94" t="inlineStr">
        <is>
          <t>שופרסל BE</t>
        </is>
      </c>
      <c r="B875" s="94" t="inlineStr">
        <is>
          <t>201 בריגה נתניה BE</t>
        </is>
      </c>
      <c r="C875" s="111" t="n">
        <v>11910</v>
      </c>
      <c r="D875" s="111" t="n">
        <v>6481.7</v>
      </c>
    </row>
    <row r="876" ht="15" customHeight="1" s="82">
      <c r="A876" s="94" t="inlineStr">
        <is>
          <t>שופרסל BE</t>
        </is>
      </c>
      <c r="B876" s="94" t="inlineStr">
        <is>
          <t>178 סגולה פ""ת BE</t>
        </is>
      </c>
      <c r="C876" s="111" t="n">
        <v>3072.1</v>
      </c>
      <c r="D876" s="111" t="n">
        <v>1165.8</v>
      </c>
    </row>
    <row r="877" ht="15" customHeight="1" s="82">
      <c r="A877" s="94" t="inlineStr">
        <is>
          <t>שופרסל BE</t>
        </is>
      </c>
      <c r="B877" s="94" t="inlineStr">
        <is>
          <t>26 בלוך גבעתיים BE</t>
        </is>
      </c>
      <c r="C877" s="111" t="n">
        <v>4158</v>
      </c>
      <c r="D877" s="111" t="n">
        <v>3793.5</v>
      </c>
    </row>
    <row r="878" ht="15" customHeight="1" s="82">
      <c r="A878" s="94" t="inlineStr">
        <is>
          <t>שופרסל BE</t>
        </is>
      </c>
      <c r="B878" s="94" t="inlineStr">
        <is>
          <t>דיל כרמיאל 211 פ.ג</t>
        </is>
      </c>
      <c r="C878" s="111" t="n">
        <v>0</v>
      </c>
      <c r="D878" s="111" t="n">
        <v>0</v>
      </c>
    </row>
    <row r="879" ht="15" customHeight="1" s="82">
      <c r="A879" s="94" t="inlineStr">
        <is>
          <t>שופרסל BE</t>
        </is>
      </c>
      <c r="B879" s="94" t="inlineStr">
        <is>
          <t>גרין חדרה)רח' ארבע האגודות( סנ</t>
        </is>
      </c>
      <c r="C879" s="111" t="n">
        <v>0</v>
      </c>
      <c r="D879" s="111" t="n">
        <v>0</v>
      </c>
    </row>
    <row r="880" ht="15" customHeight="1" s="82">
      <c r="A880" s="94" t="inlineStr">
        <is>
          <t>שופרסל BE</t>
        </is>
      </c>
      <c r="B880" s="94" t="inlineStr">
        <is>
          <t>218 גרין עפולה</t>
        </is>
      </c>
      <c r="C880" s="111" t="n">
        <v>0</v>
      </c>
      <c r="D880" s="111" t="n">
        <v>262.5</v>
      </c>
    </row>
    <row r="881" ht="15" customHeight="1" s="82">
      <c r="A881" s="94" t="inlineStr">
        <is>
          <t>שופרסל BE</t>
        </is>
      </c>
      <c r="B881" s="94" t="inlineStr">
        <is>
          <t>601 פרדס חנה BE</t>
        </is>
      </c>
      <c r="C881" s="111" t="n">
        <v>2318.9</v>
      </c>
      <c r="D881" s="111" t="n">
        <v>2580.6</v>
      </c>
    </row>
    <row r="882" ht="15" customHeight="1" s="82">
      <c r="A882" s="94" t="inlineStr">
        <is>
          <t>שופרסל BE</t>
        </is>
      </c>
      <c r="B882" s="94" t="inlineStr">
        <is>
          <t>657 קרית שמונה BE</t>
        </is>
      </c>
      <c r="C882" s="111" t="n">
        <v>438.8</v>
      </c>
      <c r="D882" s="111" t="n">
        <v>5295.3</v>
      </c>
    </row>
    <row r="883" ht="15" customHeight="1" s="82">
      <c r="A883" s="94" t="inlineStr">
        <is>
          <t>שופרסל BE</t>
        </is>
      </c>
      <c r="B883" s="94" t="inlineStr">
        <is>
          <t>667 הלל יפה חדרה BE</t>
        </is>
      </c>
      <c r="C883" s="111" t="n">
        <v>11198.2</v>
      </c>
      <c r="D883" s="111" t="n">
        <v>10551</v>
      </c>
    </row>
    <row r="884" ht="15" customHeight="1" s="82">
      <c r="A884" s="94" t="inlineStr">
        <is>
          <t>שופרסל BE</t>
        </is>
      </c>
      <c r="B884" s="94" t="inlineStr">
        <is>
          <t>252 עין שמר BE</t>
        </is>
      </c>
      <c r="C884" s="111" t="n">
        <v>12832.9</v>
      </c>
      <c r="D884" s="111" t="n">
        <v>2289.4</v>
      </c>
    </row>
    <row r="885" ht="15" customHeight="1" s="82">
      <c r="A885" s="94" t="inlineStr">
        <is>
          <t>שופרסל BE</t>
        </is>
      </c>
      <c r="B885" s="94" t="inlineStr">
        <is>
          <t>252 עין שמר זיכויים BE</t>
        </is>
      </c>
      <c r="C885" s="111" t="n">
        <v>0</v>
      </c>
      <c r="D885" s="111" t="n">
        <v>0</v>
      </c>
    </row>
    <row r="886" ht="15" customHeight="1" s="82">
      <c r="A886" s="94" t="inlineStr">
        <is>
          <t>שופרסל BE</t>
        </is>
      </c>
      <c r="B886" s="94" t="inlineStr">
        <is>
          <t>662 אסותא אשדוד BE</t>
        </is>
      </c>
      <c r="C886" s="111" t="n">
        <v>14180.1</v>
      </c>
      <c r="D886" s="111" t="n">
        <v>11673.4</v>
      </c>
    </row>
    <row r="887" ht="15" customHeight="1" s="82">
      <c r="A887" s="94" t="inlineStr">
        <is>
          <t>שופרסל BE</t>
        </is>
      </c>
      <c r="B887" s="94" t="inlineStr">
        <is>
          <t>602 מרינה אשקלון BE</t>
        </is>
      </c>
      <c r="C887" s="111" t="n">
        <v>1913</v>
      </c>
      <c r="D887" s="111" t="n">
        <v>1435.4</v>
      </c>
    </row>
    <row r="888" ht="15" customHeight="1" s="82">
      <c r="A888" s="94" t="inlineStr">
        <is>
          <t>שופרסל BE</t>
        </is>
      </c>
      <c r="B888" s="94" t="inlineStr">
        <is>
          <t>בלה אשדוד BE</t>
        </is>
      </c>
      <c r="C888" s="111" t="n">
        <v>2024.7</v>
      </c>
      <c r="D888" s="111" t="n">
        <v>1396</v>
      </c>
    </row>
    <row r="889" ht="15" customHeight="1" s="82">
      <c r="A889" s="94" t="inlineStr">
        <is>
          <t>שופרסל BE</t>
        </is>
      </c>
      <c r="B889" s="94" t="inlineStr">
        <is>
          <t>298 אמות ב""ש BE</t>
        </is>
      </c>
      <c r="C889" s="111" t="n">
        <v>4741.8</v>
      </c>
      <c r="D889" s="111" t="n">
        <v>6886.4</v>
      </c>
    </row>
    <row r="890" ht="15" customHeight="1" s="82">
      <c r="A890" s="94" t="inlineStr">
        <is>
          <t>שופרסל BE</t>
        </is>
      </c>
      <c r="B890" s="94" t="inlineStr">
        <is>
          <t>665 החשמונאים BE</t>
        </is>
      </c>
      <c r="C890" s="111" t="n">
        <v>8509.6</v>
      </c>
      <c r="D890" s="111" t="n">
        <v>7107.6</v>
      </c>
    </row>
    <row r="891" ht="15" customHeight="1" s="82">
      <c r="A891" s="94" t="inlineStr">
        <is>
          <t>שופרסל BE</t>
        </is>
      </c>
      <c r="B891" s="94" t="inlineStr">
        <is>
          <t>663 פלורנטין BE</t>
        </is>
      </c>
      <c r="C891" s="111" t="n">
        <v>0</v>
      </c>
      <c r="D891" s="111" t="n">
        <v>0</v>
      </c>
    </row>
    <row r="892" ht="15" customHeight="1" s="82">
      <c r="A892" s="94" t="inlineStr">
        <is>
          <t>שופרסל BE</t>
        </is>
      </c>
      <c r="B892" s="94" t="inlineStr">
        <is>
          <t>345 מידטאון ת""א BE</t>
        </is>
      </c>
      <c r="C892" s="111" t="n">
        <v>3055.5</v>
      </c>
      <c r="D892" s="111" t="n">
        <v>5126.2</v>
      </c>
    </row>
    <row r="893" ht="15" customHeight="1" s="82">
      <c r="A893" s="94" t="inlineStr">
        <is>
          <t>שופרסל BE</t>
        </is>
      </c>
      <c r="B893" s="94" t="inlineStr">
        <is>
          <t>322 גן העיר ת""א BE</t>
        </is>
      </c>
      <c r="C893" s="111" t="n">
        <v>8814.6</v>
      </c>
      <c r="D893" s="111" t="n">
        <v>9307.6</v>
      </c>
    </row>
    <row r="894" ht="15" customHeight="1" s="82">
      <c r="A894" s="94" t="inlineStr">
        <is>
          <t>שופרסל BE</t>
        </is>
      </c>
      <c r="B894" s="94" t="inlineStr">
        <is>
          <t>41 דיזינגוף סנטר BE</t>
        </is>
      </c>
      <c r="C894" s="111" t="n">
        <v>20182.5</v>
      </c>
      <c r="D894" s="111" t="n">
        <v>8027.1</v>
      </c>
    </row>
    <row r="895" ht="15" customHeight="1" s="82">
      <c r="A895" s="94" t="inlineStr">
        <is>
          <t>שופרסל BE</t>
        </is>
      </c>
      <c r="B895" s="94" t="inlineStr">
        <is>
          <t>דיל אשקלון 135פ.ג</t>
        </is>
      </c>
      <c r="C895" s="111" t="n">
        <v>0</v>
      </c>
      <c r="D895" s="111" t="n">
        <v>0</v>
      </c>
    </row>
    <row r="896" ht="15" customHeight="1" s="82">
      <c r="A896" s="94" t="inlineStr">
        <is>
          <t>שופרסל BE</t>
        </is>
      </c>
      <c r="B896" s="94" t="inlineStr">
        <is>
          <t>270 תמנע חולון BE</t>
        </is>
      </c>
      <c r="C896" s="111" t="n">
        <v>7083.2</v>
      </c>
      <c r="D896" s="111" t="n">
        <v>4323.2</v>
      </c>
    </row>
    <row r="897" ht="15" customHeight="1" s="82">
      <c r="A897" s="94" t="inlineStr">
        <is>
          <t>שופרסל BE</t>
        </is>
      </c>
      <c r="B897" s="94" t="inlineStr">
        <is>
          <t>664 שערי צדק י-ם BE</t>
        </is>
      </c>
      <c r="C897" s="111" t="n">
        <v>37637.2</v>
      </c>
      <c r="D897" s="111" t="n">
        <v>25463.2</v>
      </c>
    </row>
    <row r="898" ht="15" customHeight="1" s="82">
      <c r="A898" s="94" t="inlineStr">
        <is>
          <t>שופרסל BE</t>
        </is>
      </c>
      <c r="B898" s="94" t="inlineStr">
        <is>
          <t>666 מודיעין עזריאלי BE</t>
        </is>
      </c>
      <c r="C898" s="111" t="n">
        <v>7814.1</v>
      </c>
      <c r="D898" s="111" t="n">
        <v>0</v>
      </c>
    </row>
    <row r="899" ht="15" customHeight="1" s="82">
      <c r="A899" s="94" t="inlineStr">
        <is>
          <t>שופרסל BE</t>
        </is>
      </c>
      <c r="B899" s="94" t="inlineStr">
        <is>
          <t>392 שילת BE</t>
        </is>
      </c>
      <c r="C899" s="111" t="n">
        <v>13187.9</v>
      </c>
      <c r="D899" s="111" t="n">
        <v>1809.7</v>
      </c>
    </row>
    <row r="900" ht="15" customHeight="1" s="82">
      <c r="A900" s="94" t="inlineStr">
        <is>
          <t>שופרסל BE</t>
        </is>
      </c>
      <c r="B900" s="94" t="inlineStr">
        <is>
          <t>243 רחובות מלירסון BE</t>
        </is>
      </c>
      <c r="C900" s="111" t="n">
        <v>0</v>
      </c>
      <c r="D900" s="111" t="n">
        <v>0</v>
      </c>
    </row>
    <row r="901" ht="15" customHeight="1" s="82">
      <c r="A901" s="94" t="inlineStr">
        <is>
          <t>שופרסל BE</t>
        </is>
      </c>
      <c r="B901" s="94" t="inlineStr">
        <is>
          <t>256 ישפרו נס ציונה B.</t>
        </is>
      </c>
      <c r="C901" s="111" t="n">
        <v>7308.1</v>
      </c>
      <c r="D901" s="111" t="n">
        <v>3705.3</v>
      </c>
    </row>
    <row r="902" ht="15" customHeight="1" s="82">
      <c r="A902" s="94" t="inlineStr">
        <is>
          <t>שופרסל BE</t>
        </is>
      </c>
      <c r="B902" s="94" t="inlineStr">
        <is>
          <t>דיל בילו 283 פ.ג</t>
        </is>
      </c>
      <c r="C902" s="111" t="n">
        <v>0</v>
      </c>
      <c r="D902" s="111" t="n">
        <v>0</v>
      </c>
    </row>
    <row r="903" ht="15" customHeight="1" s="82">
      <c r="A903" s="94" t="inlineStr">
        <is>
          <t>שופרסל BE</t>
        </is>
      </c>
      <c r="B903" s="94" t="inlineStr">
        <is>
          <t>13 דיל בית שמש</t>
        </is>
      </c>
      <c r="C903" s="111" t="n">
        <v>0</v>
      </c>
      <c r="D903" s="111" t="n">
        <v>0</v>
      </c>
    </row>
    <row r="904" ht="15" customHeight="1" s="82">
      <c r="A904" s="94" t="inlineStr">
        <is>
          <t>שופרסל BE</t>
        </is>
      </c>
      <c r="B904" s="94" t="inlineStr">
        <is>
          <t>(205)שופרסל ב.יהוד תר BE</t>
        </is>
      </c>
      <c r="C904" s="111" t="n">
        <v>0</v>
      </c>
      <c r="D904" s="111" t="n">
        <v>0</v>
      </c>
    </row>
    <row r="905" ht="15" customHeight="1" s="82">
      <c r="A905" s="94" t="inlineStr">
        <is>
          <t>שופרסל BE</t>
        </is>
      </c>
      <c r="B905" s="94" t="inlineStr">
        <is>
          <t>786 כרמי גת BE</t>
        </is>
      </c>
      <c r="C905" s="111" t="n">
        <v>4513.9</v>
      </c>
      <c r="D905" s="111" t="n">
        <v>683.7</v>
      </c>
    </row>
    <row r="906" ht="15" customHeight="1" s="82">
      <c r="A906" s="94" t="inlineStr">
        <is>
          <t>שופרסל BE</t>
        </is>
      </c>
      <c r="B906" s="94" t="inlineStr">
        <is>
          <t>166 דיל הבושם אשדוד BE</t>
        </is>
      </c>
      <c r="C906" s="111" t="n">
        <v>0</v>
      </c>
      <c r="D906" s="111" t="n">
        <v>0</v>
      </c>
    </row>
    <row r="907" ht="15" customHeight="1" s="82">
      <c r="A907" s="94" t="inlineStr">
        <is>
          <t>שופרסל BE</t>
        </is>
      </c>
      <c r="B907" s="94" t="inlineStr">
        <is>
          <t>764 סטאר אשדוד BE</t>
        </is>
      </c>
      <c r="C907" s="111" t="n">
        <v>6672.9</v>
      </c>
      <c r="D907" s="111" t="n">
        <v>4379</v>
      </c>
    </row>
    <row r="908" ht="15" customHeight="1" s="82">
      <c r="A908" s="94" t="inlineStr">
        <is>
          <t>שופרסל BE</t>
        </is>
      </c>
      <c r="B908" s="94" t="inlineStr">
        <is>
          <t>145 נתיבות BE</t>
        </is>
      </c>
      <c r="C908" s="111" t="n">
        <v>3759.7</v>
      </c>
      <c r="D908" s="111" t="n">
        <v>6983.1</v>
      </c>
    </row>
    <row r="909" ht="15" customHeight="1" s="82">
      <c r="A909" s="94" t="inlineStr">
        <is>
          <t>שופרסל BE</t>
        </is>
      </c>
      <c r="B909" s="94" t="inlineStr">
        <is>
          <t>233 לב הפארק ב""ש BE</t>
        </is>
      </c>
      <c r="C909" s="111" t="n">
        <v>2542.3</v>
      </c>
      <c r="D909" s="111" t="n">
        <v>1787.1</v>
      </c>
    </row>
    <row r="910" ht="15" customHeight="1" s="82">
      <c r="A910" s="94" t="inlineStr">
        <is>
          <t>שופרסל BE</t>
        </is>
      </c>
      <c r="B910" s="94" t="inlineStr">
        <is>
          <t>824  אונליין לונג פ""ת BE</t>
        </is>
      </c>
      <c r="C910" s="111" t="n">
        <v>17148</v>
      </c>
      <c r="D910" s="111" t="n">
        <v>15621.3</v>
      </c>
    </row>
    <row r="911" ht="15" customHeight="1" s="82">
      <c r="A911" s="94" t="inlineStr">
        <is>
          <t>שופרסל BE</t>
        </is>
      </c>
      <c r="B911" s="94" t="inlineStr">
        <is>
          <t>785 מעלה אדומים BE</t>
        </is>
      </c>
      <c r="C911" s="111" t="n">
        <v>4458.9</v>
      </c>
      <c r="D911" s="111" t="n">
        <v>0</v>
      </c>
    </row>
    <row r="912" ht="15" customHeight="1" s="82">
      <c r="A912" s="94" t="inlineStr">
        <is>
          <t>שופרסל BE</t>
        </is>
      </c>
      <c r="B912" s="94" t="inlineStr">
        <is>
          <t>(155) דיל מצפה ספיר BE</t>
        </is>
      </c>
      <c r="C912" s="111" t="n">
        <v>6604.2</v>
      </c>
      <c r="D912" s="111" t="n">
        <v>1309.1</v>
      </c>
    </row>
    <row r="913" ht="15" customHeight="1" s="82">
      <c r="A913" s="94" t="inlineStr">
        <is>
          <t>שופרסל BE</t>
        </is>
      </c>
      <c r="B913" s="94" t="inlineStr">
        <is>
          <t>476 ככר המושבה הוד השרון BE</t>
        </is>
      </c>
      <c r="C913" s="111" t="n">
        <v>7610.8</v>
      </c>
      <c r="D913" s="111" t="n">
        <v>5744</v>
      </c>
    </row>
    <row r="914" ht="15" customHeight="1" s="82">
      <c r="A914" s="94" t="inlineStr">
        <is>
          <t>שופרסל BE</t>
        </is>
      </c>
      <c r="B914" s="94" t="inlineStr">
        <is>
          <t>783 קייזר מודיעין BE</t>
        </is>
      </c>
      <c r="C914" s="111" t="n">
        <v>3190.2</v>
      </c>
      <c r="D914" s="111" t="n">
        <v>753.7</v>
      </c>
    </row>
    <row r="915" ht="15" customHeight="1" s="82">
      <c r="A915" s="94" t="inlineStr">
        <is>
          <t>שופרסל BE</t>
        </is>
      </c>
      <c r="B915" s="94" t="inlineStr">
        <is>
          <t>784 כפר גנים BE</t>
        </is>
      </c>
      <c r="C915" s="111" t="n">
        <v>9991.4</v>
      </c>
      <c r="D915" s="111" t="n">
        <v>5753.9</v>
      </c>
    </row>
    <row r="916" ht="15" customHeight="1" s="82">
      <c r="A916" s="94" t="inlineStr">
        <is>
          <t>שופרסל BE</t>
        </is>
      </c>
      <c r="B916" s="94" t="inlineStr">
        <is>
          <t>788 אפרת BE</t>
        </is>
      </c>
      <c r="C916" s="111" t="n">
        <v>30907.3</v>
      </c>
      <c r="D916" s="111" t="n">
        <v>8836.5</v>
      </c>
    </row>
    <row r="917" ht="15" customHeight="1" s="82">
      <c r="A917" s="94" t="inlineStr">
        <is>
          <t>שופרסל BE</t>
        </is>
      </c>
      <c r="B917" s="94" t="inlineStr">
        <is>
          <t>787 חמדת אריאל BE</t>
        </is>
      </c>
      <c r="C917" s="111" t="n">
        <v>3852.7</v>
      </c>
      <c r="D917" s="111" t="n">
        <v>3846</v>
      </c>
    </row>
    <row r="918" ht="15" customHeight="1" s="82">
      <c r="A918" s="94" t="inlineStr">
        <is>
          <t>שופרסל BE</t>
        </is>
      </c>
      <c r="B918" s="94" t="inlineStr">
        <is>
          <t>782 שיין ראשל""צ BE</t>
        </is>
      </c>
      <c r="C918" s="111" t="n">
        <v>2171.3</v>
      </c>
      <c r="D918" s="111" t="n">
        <v>636</v>
      </c>
    </row>
    <row r="919" ht="15" customHeight="1" s="82">
      <c r="A919" s="94" t="inlineStr">
        <is>
          <t>שופרסל BE</t>
        </is>
      </c>
      <c r="B919" s="94" t="inlineStr">
        <is>
          <t>רחובות קרית משה אמטל BE</t>
        </is>
      </c>
      <c r="C919" s="111" t="n">
        <v>8451.200000000001</v>
      </c>
      <c r="D919" s="111" t="n">
        <v>1340.4</v>
      </c>
    </row>
    <row r="920" ht="15" customHeight="1" s="82">
      <c r="A920" s="94" t="inlineStr">
        <is>
          <t>שופרסל BE</t>
        </is>
      </c>
      <c r="B920" s="94" t="inlineStr">
        <is>
          <t>762 אושיסקין רמת השרון BE</t>
        </is>
      </c>
      <c r="C920" s="111" t="n">
        <v>6540.5</v>
      </c>
      <c r="D920" s="111" t="n">
        <v>4767.1</v>
      </c>
    </row>
    <row r="921" ht="15" customHeight="1" s="82">
      <c r="A921" s="94" t="inlineStr">
        <is>
          <t>שופרסל BE</t>
        </is>
      </c>
      <c r="B921" s="94" t="inlineStr">
        <is>
          <t>781 פרישמן ת""א BE</t>
        </is>
      </c>
      <c r="C921" s="111" t="n">
        <v>4360.7</v>
      </c>
      <c r="D921" s="111" t="n">
        <v>4710.9</v>
      </c>
    </row>
    <row r="922" ht="15" customHeight="1" s="82">
      <c r="A922" s="94" t="inlineStr">
        <is>
          <t>שופרסל BE</t>
        </is>
      </c>
      <c r="B922" s="94" t="inlineStr">
        <is>
          <t>259 דיל גזית כ""ס BE</t>
        </is>
      </c>
      <c r="C922" s="111" t="n">
        <v>0</v>
      </c>
      <c r="D922" s="111" t="n">
        <v>0</v>
      </c>
    </row>
    <row r="923" ht="15" customHeight="1" s="82">
      <c r="A923" s="94" t="inlineStr">
        <is>
          <t>שופרסל BE</t>
        </is>
      </c>
      <c r="B923" s="94" t="inlineStr">
        <is>
          <t>144 דיל שבירו כ""ס BE</t>
        </is>
      </c>
      <c r="C923" s="111" t="n">
        <v>0</v>
      </c>
      <c r="D923" s="111" t="n">
        <v>0</v>
      </c>
    </row>
    <row r="924" ht="15" customHeight="1" s="82">
      <c r="A924" s="94" t="inlineStr">
        <is>
          <t>שופרסל BE</t>
        </is>
      </c>
      <c r="B924" s="94" t="inlineStr">
        <is>
          <t>דיל עמק חפר BE</t>
        </is>
      </c>
      <c r="C924" s="111" t="n">
        <v>5436.9</v>
      </c>
      <c r="D924" s="111" t="n">
        <v>4261.8</v>
      </c>
    </row>
    <row r="925" ht="15" customHeight="1" s="82">
      <c r="A925" s="94" t="inlineStr">
        <is>
          <t>שופרסל BE</t>
        </is>
      </c>
      <c r="B925" s="94" t="inlineStr">
        <is>
          <t>242 ויוה חדרה BE</t>
        </is>
      </c>
      <c r="C925" s="111" t="n">
        <v>7673.3</v>
      </c>
      <c r="D925" s="111" t="n">
        <v>3297.8</v>
      </c>
    </row>
    <row r="926" ht="15" customHeight="1" s="82">
      <c r="A926" s="94" t="inlineStr">
        <is>
          <t>שופרסל BE</t>
        </is>
      </c>
      <c r="B926" s="94" t="inlineStr">
        <is>
          <t>763 שפרעם BE</t>
        </is>
      </c>
      <c r="C926" s="111" t="n">
        <v>2657.2</v>
      </c>
      <c r="D926" s="111" t="n">
        <v>2558.8</v>
      </c>
    </row>
    <row r="927" ht="15" customHeight="1" s="82">
      <c r="A927" s="94" t="inlineStr">
        <is>
          <t>שופרסל BE</t>
        </is>
      </c>
      <c r="B927" s="94" t="inlineStr">
        <is>
          <t>(128)שופרסל ב. טירת הכרמל BE</t>
        </is>
      </c>
      <c r="C927" s="111" t="n">
        <v>12780.3</v>
      </c>
      <c r="D927" s="111" t="n">
        <v>10499.6</v>
      </c>
    </row>
    <row r="928" ht="15" customHeight="1" s="82">
      <c r="A928" s="94" t="inlineStr">
        <is>
          <t>שופרסל BE</t>
        </is>
      </c>
      <c r="B928" s="94" t="inlineStr">
        <is>
          <t>373 פארם אור יהודה BE</t>
        </is>
      </c>
      <c r="C928" s="111" t="n">
        <v>0</v>
      </c>
      <c r="D928" s="111" t="n">
        <v>1108.4</v>
      </c>
    </row>
    <row r="929" ht="15" customHeight="1" s="82">
      <c r="A929" s="94" t="inlineStr">
        <is>
          <t>שופרסל BE</t>
        </is>
      </c>
      <c r="B929" s="94" t="inlineStr">
        <is>
          <t>198 קרית יהלום נתניה BE</t>
        </is>
      </c>
      <c r="C929" s="111" t="n">
        <v>0</v>
      </c>
      <c r="D929" s="111" t="n">
        <v>5198.9</v>
      </c>
    </row>
    <row r="930" ht="15" customHeight="1" s="82">
      <c r="A930" s="94" t="inlineStr">
        <is>
          <t>שופרסל BE</t>
        </is>
      </c>
      <c r="B930" s="94" t="inlineStr">
        <is>
          <t>מגדל רמז אשקלון BE</t>
        </is>
      </c>
      <c r="C930" s="111" t="n">
        <v>0</v>
      </c>
      <c r="D930" s="111" t="n">
        <v>0</v>
      </c>
    </row>
    <row r="931" ht="15" customHeight="1" s="82">
      <c r="A931" s="94" t="inlineStr">
        <is>
          <t>שופרסל BE</t>
        </is>
      </c>
      <c r="B931" s="94" t="inlineStr">
        <is>
          <t>715 אגמים אשקלון BE</t>
        </is>
      </c>
      <c r="C931" s="111" t="n">
        <v>3474.8</v>
      </c>
      <c r="D931" s="111" t="n">
        <v>2563</v>
      </c>
    </row>
    <row r="932" ht="15" customHeight="1" s="82">
      <c r="A932" s="94" t="inlineStr">
        <is>
          <t>שופרסל BE</t>
        </is>
      </c>
      <c r="B932" s="94" t="inlineStr">
        <is>
          <t>507 נאות שמיר יבנה BE</t>
        </is>
      </c>
      <c r="C932" s="111" t="n">
        <v>0</v>
      </c>
      <c r="D932" s="111" t="n">
        <v>1593.7</v>
      </c>
    </row>
    <row r="933" ht="15" customHeight="1" s="82">
      <c r="A933" s="94" t="inlineStr">
        <is>
          <t>שופרסל BE</t>
        </is>
      </c>
      <c r="B933" s="94" t="inlineStr">
        <is>
          <t>716 מול 7 באר שבע BE</t>
        </is>
      </c>
      <c r="C933" s="111" t="n">
        <v>3203.6</v>
      </c>
      <c r="D933" s="111" t="n">
        <v>2474.4</v>
      </c>
    </row>
    <row r="934" ht="15" customHeight="1" s="82">
      <c r="A934" s="94" t="inlineStr">
        <is>
          <t>שופרסל BE</t>
        </is>
      </c>
      <c r="B934" s="94" t="inlineStr">
        <is>
          <t>352 טייבה BE</t>
        </is>
      </c>
      <c r="C934" s="111" t="n">
        <v>9111.1</v>
      </c>
      <c r="D934" s="111" t="n">
        <v>7752.1</v>
      </c>
    </row>
    <row r="935" ht="15" customHeight="1" s="82">
      <c r="A935" s="94" t="inlineStr">
        <is>
          <t>שופרסל BE</t>
        </is>
      </c>
      <c r="B935" s="94" t="inlineStr">
        <is>
          <t>482 נווה דורון רמלה BE</t>
        </is>
      </c>
      <c r="C935" s="111" t="n">
        <v>2806.2</v>
      </c>
      <c r="D935" s="111" t="n">
        <v>2390.4</v>
      </c>
    </row>
    <row r="936" ht="15" customHeight="1" s="82">
      <c r="A936" s="94" t="inlineStr">
        <is>
          <t>שופרסל BE</t>
        </is>
      </c>
      <c r="B936" s="94" t="inlineStr">
        <is>
          <t>172 באר יעקב BE</t>
        </is>
      </c>
      <c r="C936" s="111" t="n">
        <v>5026.8</v>
      </c>
      <c r="D936" s="111" t="n">
        <v>4129.1</v>
      </c>
    </row>
    <row r="937" ht="15" customHeight="1" s="82">
      <c r="A937" s="94" t="inlineStr">
        <is>
          <t>שופרסל BE</t>
        </is>
      </c>
      <c r="B937" s="94" t="inlineStr">
        <is>
          <t>713 אור ים אור עקיבא BE</t>
        </is>
      </c>
      <c r="C937" s="111" t="n">
        <v>4902.6</v>
      </c>
      <c r="D937" s="111" t="n">
        <v>2572.5</v>
      </c>
    </row>
    <row r="938" ht="15" customHeight="1" s="82">
      <c r="A938" s="94" t="inlineStr">
        <is>
          <t>שופרסל BE</t>
        </is>
      </c>
      <c r="B938" s="94" t="inlineStr">
        <is>
          <t>711 עמק סנטר עפולה BE</t>
        </is>
      </c>
      <c r="C938" s="111" t="n">
        <v>0</v>
      </c>
      <c r="D938" s="111" t="n">
        <v>0</v>
      </c>
    </row>
    <row r="939" ht="15" customHeight="1" s="82">
      <c r="A939" s="94" t="inlineStr">
        <is>
          <t>שופרסל BE</t>
        </is>
      </c>
      <c r="B939" s="94" t="inlineStr">
        <is>
          <t>714 סכנין BE</t>
        </is>
      </c>
      <c r="C939" s="111" t="n">
        <v>6230.1</v>
      </c>
      <c r="D939" s="111" t="n">
        <v>5135.7</v>
      </c>
    </row>
    <row r="940" ht="15" customHeight="1" s="82">
      <c r="A940" s="94" t="inlineStr">
        <is>
          <t>שופרסל BE</t>
        </is>
      </c>
      <c r="B940" s="94" t="inlineStr">
        <is>
          <t>712  עין הים חדרה BE</t>
        </is>
      </c>
      <c r="C940" s="111" t="n">
        <v>2949.4</v>
      </c>
      <c r="D940" s="111" t="n">
        <v>4672.9</v>
      </c>
    </row>
    <row r="941" ht="15" customHeight="1" s="82">
      <c r="A941" s="94" t="inlineStr">
        <is>
          <t>שופרסל BE</t>
        </is>
      </c>
      <c r="B941" s="94" t="inlineStr">
        <is>
          <t>112 מוצקין BE</t>
        </is>
      </c>
      <c r="C941" s="111" t="n">
        <v>1282.6</v>
      </c>
      <c r="D941" s="111" t="n">
        <v>1459</v>
      </c>
    </row>
    <row r="942" ht="15" customHeight="1" s="82">
      <c r="A942" s="94" t="inlineStr">
        <is>
          <t>שופרסל BE</t>
        </is>
      </c>
      <c r="B942" s="94" t="inlineStr">
        <is>
          <t>נאות שמיר זיכויים BE</t>
        </is>
      </c>
      <c r="C942" s="111" t="n">
        <v>0</v>
      </c>
      <c r="D942" s="111" t="n">
        <v>-123.1</v>
      </c>
    </row>
    <row r="943" ht="15" customHeight="1" s="82">
      <c r="A943" s="94" t="inlineStr">
        <is>
          <t>שופרסל BE</t>
        </is>
      </c>
      <c r="B943" s="94" t="inlineStr">
        <is>
          <t>שופרסל ב.אלונים)098(-זיכויים</t>
        </is>
      </c>
      <c r="C943" s="111" t="n">
        <v>-414</v>
      </c>
      <c r="D943" s="111" t="n">
        <v>0</v>
      </c>
    </row>
    <row r="944" ht="15" customHeight="1" s="82">
      <c r="A944" s="94" t="inlineStr">
        <is>
          <t>שופרסל BE</t>
        </is>
      </c>
      <c r="B944" s="94" t="inlineStr">
        <is>
          <t>518 כפר קרע BE</t>
        </is>
      </c>
      <c r="C944" s="111" t="n">
        <v>2759.6</v>
      </c>
      <c r="D944" s="111" t="n">
        <v>12160.3</v>
      </c>
    </row>
    <row r="945" ht="15" customHeight="1" s="82">
      <c r="A945" s="94" t="inlineStr">
        <is>
          <t>0צרכנים פרטיים</t>
        </is>
      </c>
      <c r="B945" s="94" t="inlineStr">
        <is>
          <t>עובדי כמיפל</t>
        </is>
      </c>
      <c r="C945" s="111" t="n">
        <v>1619.8</v>
      </c>
      <c r="D945" s="111" t="n">
        <v>454.6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564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L26" activeCellId="0" sqref="L26"/>
    </sheetView>
  </sheetViews>
  <sheetFormatPr baseColWidth="8" defaultColWidth="8.57421875" defaultRowHeight="15" zeroHeight="0" outlineLevelRow="0"/>
  <cols>
    <col width="20" customWidth="1" style="81" min="1" max="1"/>
    <col width="32" customWidth="1" style="81" min="2" max="2"/>
    <col width="14" customWidth="1" style="81" min="3" max="5"/>
    <col width="12" customWidth="1" style="81" min="6" max="6"/>
    <col width="14" customWidth="1" style="81" min="7" max="8"/>
    <col width="20" customWidth="1" style="81" min="9" max="9"/>
  </cols>
  <sheetData>
    <row r="1" ht="26.25" customHeight="1" s="82">
      <c r="A1" s="93" t="inlineStr">
        <is>
          <t>קבוצה</t>
        </is>
      </c>
      <c r="B1" s="93" t="inlineStr">
        <is>
          <t>שם לקוח/שורה (מהמקור)</t>
        </is>
      </c>
      <c r="C1" s="93" t="inlineStr">
        <is>
          <t>חיים וייצמ</t>
        </is>
      </c>
      <c r="D1" s="93" t="inlineStr">
        <is>
          <t>חאזם תלחמי</t>
        </is>
      </c>
      <c r="E1" s="93" t="inlineStr">
        <is>
          <t>סטאס נסאר</t>
        </is>
      </c>
      <c r="F1" s="93" t="inlineStr">
        <is>
          <t>עיסא</t>
        </is>
      </c>
      <c r="G1" s="93" t="inlineStr">
        <is>
          <t>.דוד א</t>
        </is>
      </c>
      <c r="H1" s="93" t="inlineStr">
        <is>
          <t>מספר סוכנים (סכום≠0)</t>
        </is>
      </c>
      <c r="I1" s="93" t="inlineStr">
        <is>
          <t>סטטוס</t>
        </is>
      </c>
    </row>
    <row r="2" ht="15" customHeight="1" s="82">
      <c r="A2" s="94" t="inlineStr">
        <is>
          <t>0בתי מרקחת</t>
        </is>
      </c>
      <c r="B2" s="94" t="inlineStr">
        <is>
          <t>המרכז אעבלין ב.מ</t>
        </is>
      </c>
      <c r="C2" s="111" t="n">
        <v>0</v>
      </c>
      <c r="D2" s="111" t="n">
        <v>2875.2</v>
      </c>
      <c r="E2" s="111" t="n">
        <v>0</v>
      </c>
      <c r="F2" s="111" t="n">
        <v>0</v>
      </c>
      <c r="G2" s="111" t="n">
        <v>0</v>
      </c>
      <c r="H2" s="94">
        <f>COUNTIF(C2:G2,"&lt;&gt;0")</f>
        <v/>
      </c>
      <c r="I2" s="94">
        <f>IF(H2=0,"לא מטופל",IF(H2=1,"מטופל - סוכן אחד","מטופל - יותר מסוכן אחד"))</f>
        <v/>
      </c>
    </row>
    <row r="3" ht="15" customHeight="1" s="82">
      <c r="A3" s="94" t="inlineStr">
        <is>
          <t>0בתי מרקחת</t>
        </is>
      </c>
      <c r="B3" s="94" t="inlineStr">
        <is>
          <t>(מדיקל הצפון מעיליה )חורי בע""מ</t>
        </is>
      </c>
      <c r="C3" s="111" t="n">
        <v>0</v>
      </c>
      <c r="D3" s="111" t="n">
        <v>3742.5</v>
      </c>
      <c r="E3" s="111" t="n">
        <v>0</v>
      </c>
      <c r="F3" s="111" t="n">
        <v>0</v>
      </c>
      <c r="G3" s="111" t="n">
        <v>0</v>
      </c>
      <c r="H3" s="94">
        <f>COUNTIF(C3:G3,"&lt;&gt;0")</f>
        <v/>
      </c>
      <c r="I3" s="94">
        <f>IF(H3=0,"לא מטופל",IF(H3=1,"מטופל - סוכן אחד","מטופל - יותר מסוכן אחד"))</f>
        <v/>
      </c>
    </row>
    <row r="4" ht="15" customHeight="1" s="82">
      <c r="A4" s="94" t="inlineStr">
        <is>
          <t>0בתי מרקחת</t>
        </is>
      </c>
      <c r="B4" s="94" t="inlineStr">
        <is>
          <t>נובו פארם דיר אל אסד ב.מ</t>
        </is>
      </c>
      <c r="C4" s="111" t="n">
        <v>0</v>
      </c>
      <c r="D4" s="111" t="n">
        <v>14900.4</v>
      </c>
      <c r="E4" s="111" t="n">
        <v>0</v>
      </c>
      <c r="F4" s="111" t="n">
        <v>0</v>
      </c>
      <c r="G4" s="111" t="n">
        <v>0</v>
      </c>
      <c r="H4" s="94">
        <f>COUNTIF(C4:G4,"&lt;&gt;0")</f>
        <v/>
      </c>
      <c r="I4" s="94">
        <f>IF(H4=0,"לא מטופל",IF(H4=1,"מטופל - סוכן אחד","מטופל - יותר מסוכן אחד"))</f>
        <v/>
      </c>
    </row>
    <row r="5" ht="15" customHeight="1" s="82">
      <c r="A5" s="94" t="inlineStr">
        <is>
          <t>0בתי מרקחת</t>
        </is>
      </c>
      <c r="B5" s="94" t="inlineStr">
        <is>
          <t>שביט בע""מ ק.אתא ב.מ</t>
        </is>
      </c>
      <c r="C5" s="111" t="n">
        <v>0</v>
      </c>
      <c r="D5" s="111" t="n">
        <v>429.8</v>
      </c>
      <c r="E5" s="111" t="n">
        <v>0</v>
      </c>
      <c r="F5" s="111" t="n">
        <v>0</v>
      </c>
      <c r="G5" s="111" t="n">
        <v>0</v>
      </c>
      <c r="H5" s="94">
        <f>COUNTIF(C5:G5,"&lt;&gt;0")</f>
        <v/>
      </c>
      <c r="I5" s="94">
        <f>IF(H5=0,"לא מטופל",IF(H5=1,"מטופל - סוכן אחד","מטופל - יותר מסוכן אחד"))</f>
        <v/>
      </c>
    </row>
    <row r="6" ht="15" customHeight="1" s="82">
      <c r="A6" s="94" t="inlineStr">
        <is>
          <t>0בתי מרקחת</t>
        </is>
      </c>
      <c r="B6" s="94" t="inlineStr">
        <is>
          <t>חידאר פארם ב.מ</t>
        </is>
      </c>
      <c r="C6" s="111" t="n">
        <v>0</v>
      </c>
      <c r="D6" s="111" t="n">
        <v>2601</v>
      </c>
      <c r="E6" s="111" t="n">
        <v>0</v>
      </c>
      <c r="F6" s="111" t="n">
        <v>0</v>
      </c>
      <c r="G6" s="111" t="n">
        <v>0</v>
      </c>
      <c r="H6" s="94">
        <f>COUNTIF(C6:G6,"&lt;&gt;0")</f>
        <v/>
      </c>
      <c r="I6" s="94">
        <f>IF(H6=0,"לא מטופל",IF(H6=1,"מטופל - סוכן אחד","מטופל - יותר מסוכן אחד"))</f>
        <v/>
      </c>
    </row>
    <row r="7" ht="15" customHeight="1" s="82">
      <c r="A7" s="94" t="inlineStr">
        <is>
          <t>0בתי מרקחת</t>
        </is>
      </c>
      <c r="B7" s="94" t="inlineStr">
        <is>
          <t>-סמי בית שאן בע""מ ב.מ</t>
        </is>
      </c>
      <c r="C7" s="111" t="n">
        <v>0</v>
      </c>
      <c r="D7" s="111" t="n">
        <v>560.9</v>
      </c>
      <c r="E7" s="111" t="n">
        <v>0</v>
      </c>
      <c r="F7" s="111" t="n">
        <v>0</v>
      </c>
      <c r="G7" s="111" t="n">
        <v>0</v>
      </c>
      <c r="H7" s="94">
        <f>COUNTIF(C7:G7,"&lt;&gt;0")</f>
        <v/>
      </c>
      <c r="I7" s="94">
        <f>IF(H7=0,"לא מטופל",IF(H7=1,"מטופל - סוכן אחד","מטופל - יותר מסוכן אחד"))</f>
        <v/>
      </c>
    </row>
    <row r="8" ht="15" customHeight="1" s="82">
      <c r="A8" s="94" t="inlineStr">
        <is>
          <t>0בתי מרקחת</t>
        </is>
      </c>
      <c r="B8" s="94" t="inlineStr">
        <is>
          <t>רסקו טבריה ב.מ</t>
        </is>
      </c>
      <c r="C8" s="111" t="n">
        <v>0</v>
      </c>
      <c r="D8" s="111" t="n">
        <v>3837.2</v>
      </c>
      <c r="E8" s="111" t="n">
        <v>0</v>
      </c>
      <c r="F8" s="111" t="n">
        <v>0</v>
      </c>
      <c r="G8" s="111" t="n">
        <v>0</v>
      </c>
      <c r="H8" s="94">
        <f>COUNTIF(C8:G8,"&lt;&gt;0")</f>
        <v/>
      </c>
      <c r="I8" s="94">
        <f>IF(H8=0,"לא מטופל",IF(H8=1,"מטופל - סוכן אחד","מטופל - יותר מסוכן אחד"))</f>
        <v/>
      </c>
    </row>
    <row r="9" ht="15" customHeight="1" s="82">
      <c r="A9" s="94" t="inlineStr">
        <is>
          <t>0בתי מרקחת</t>
        </is>
      </c>
      <c r="B9" s="94" t="inlineStr">
        <is>
          <t>פרמה טבריה ב.מ</t>
        </is>
      </c>
      <c r="C9" s="111" t="n">
        <v>0</v>
      </c>
      <c r="D9" s="111" t="n">
        <v>278</v>
      </c>
      <c r="E9" s="111" t="n">
        <v>0</v>
      </c>
      <c r="F9" s="111" t="n">
        <v>0</v>
      </c>
      <c r="G9" s="111" t="n">
        <v>0</v>
      </c>
      <c r="H9" s="94">
        <f>COUNTIF(C9:G9,"&lt;&gt;0")</f>
        <v/>
      </c>
      <c r="I9" s="94">
        <f>IF(H9=0,"לא מטופל",IF(H9=1,"מטופל - סוכן אחד","מטופל - יותר מסוכן אחד"))</f>
        <v/>
      </c>
    </row>
    <row r="10" ht="15" customHeight="1" s="82">
      <c r="A10" s="94" t="inlineStr">
        <is>
          <t>0בתי מרקחת</t>
        </is>
      </c>
      <c r="B10" s="94" t="inlineStr">
        <is>
          <t>צפת דרום ב.מ</t>
        </is>
      </c>
      <c r="C10" s="111" t="n">
        <v>0</v>
      </c>
      <c r="D10" s="111" t="n">
        <v>20.1</v>
      </c>
      <c r="E10" s="111" t="n">
        <v>0</v>
      </c>
      <c r="F10" s="111" t="n">
        <v>0</v>
      </c>
      <c r="G10" s="111" t="n">
        <v>0</v>
      </c>
      <c r="H10" s="94">
        <f>COUNTIF(C10:G10,"&lt;&gt;0")</f>
        <v/>
      </c>
      <c r="I10" s="94">
        <f>IF(H10=0,"לא מטופל",IF(H10=1,"מטופל - סוכן אחד","מטופל - יותר מסוכן אחד"))</f>
        <v/>
      </c>
    </row>
    <row r="11" ht="15" customHeight="1" s="82">
      <c r="A11" s="94" t="inlineStr">
        <is>
          <t>0בתי מרקחת</t>
        </is>
      </c>
      <c r="B11" s="94" t="inlineStr">
        <is>
          <t>.נובו פארם בית שאן ב.מ</t>
        </is>
      </c>
      <c r="C11" s="111" t="n">
        <v>0</v>
      </c>
      <c r="D11" s="111" t="n">
        <v>6926</v>
      </c>
      <c r="E11" s="111" t="n">
        <v>0</v>
      </c>
      <c r="F11" s="111" t="n">
        <v>0</v>
      </c>
      <c r="G11" s="111" t="n">
        <v>0</v>
      </c>
      <c r="H11" s="94">
        <f>COUNTIF(C11:G11,"&lt;&gt;0")</f>
        <v/>
      </c>
      <c r="I11" s="94">
        <f>IF(H11=0,"לא מטופל",IF(H11=1,"מטופל - סוכן אחד","מטופל - יותר מסוכן אחד"))</f>
        <v/>
      </c>
    </row>
    <row r="12" ht="15" customHeight="1" s="82">
      <c r="A12" s="94" t="inlineStr">
        <is>
          <t>0בתי מרקחת</t>
        </is>
      </c>
      <c r="B12" s="94" t="inlineStr">
        <is>
          <t>גרין ב.מ -גבעת עדה</t>
        </is>
      </c>
      <c r="C12" s="111" t="n">
        <v>0</v>
      </c>
      <c r="D12" s="111" t="n">
        <v>2061.6</v>
      </c>
      <c r="E12" s="111" t="n">
        <v>0</v>
      </c>
      <c r="F12" s="111" t="n">
        <v>0</v>
      </c>
      <c r="G12" s="111" t="n">
        <v>0</v>
      </c>
      <c r="H12" s="94">
        <f>COUNTIF(C12:G12,"&lt;&gt;0")</f>
        <v/>
      </c>
      <c r="I12" s="94">
        <f>IF(H12=0,"לא מטופל",IF(H12=1,"מטופל - סוכן אחד","מטופל - יותר מסוכן אחד"))</f>
        <v/>
      </c>
    </row>
    <row r="13" ht="15" customHeight="1" s="82">
      <c r="A13" s="94" t="inlineStr">
        <is>
          <t>0בתי מרקחת</t>
        </is>
      </c>
      <c r="B13" s="94" t="inlineStr">
        <is>
          <t>מוראד פארם ב.מ אבו סנאן</t>
        </is>
      </c>
      <c r="C13" s="111" t="n">
        <v>0</v>
      </c>
      <c r="D13" s="111" t="n">
        <v>2578</v>
      </c>
      <c r="E13" s="111" t="n">
        <v>0</v>
      </c>
      <c r="F13" s="111" t="n">
        <v>0</v>
      </c>
      <c r="G13" s="111" t="n">
        <v>0</v>
      </c>
      <c r="H13" s="94">
        <f>COUNTIF(C13:G13,"&lt;&gt;0")</f>
        <v/>
      </c>
      <c r="I13" s="94">
        <f>IF(H13=0,"לא מטופל",IF(H13=1,"מטופל - סוכן אחד","מטופל - יותר מסוכן אחד"))</f>
        <v/>
      </c>
    </row>
    <row r="14" ht="15" customHeight="1" s="82">
      <c r="A14" s="94" t="inlineStr">
        <is>
          <t>0בתי מרקחת</t>
        </is>
      </c>
      <c r="B14" s="94" t="inlineStr">
        <is>
          <t>נובו פארם דבאח ב.מ</t>
        </is>
      </c>
      <c r="C14" s="111" t="n">
        <v>0</v>
      </c>
      <c r="D14" s="111" t="n">
        <v>4126.8</v>
      </c>
      <c r="E14" s="111" t="n">
        <v>0</v>
      </c>
      <c r="F14" s="111" t="n">
        <v>0</v>
      </c>
      <c r="G14" s="111" t="n">
        <v>0</v>
      </c>
      <c r="H14" s="94">
        <f>COUNTIF(C14:G14,"&lt;&gt;0")</f>
        <v/>
      </c>
      <c r="I14" s="94">
        <f>IF(H14=0,"לא מטופל",IF(H14=1,"מטופל - סוכן אחד","מטופל - יותר מסוכן אחד"))</f>
        <v/>
      </c>
    </row>
    <row r="15" ht="15" customHeight="1" s="82">
      <c r="A15" s="94" t="inlineStr">
        <is>
          <t>0בתי מרקחת</t>
        </is>
      </c>
      <c r="B15" s="94" t="inlineStr">
        <is>
          <t>.אלבלד אעבלין ב.מ</t>
        </is>
      </c>
      <c r="C15" s="111" t="n">
        <v>0</v>
      </c>
      <c r="D15" s="111" t="n">
        <v>422.1</v>
      </c>
      <c r="E15" s="111" t="n">
        <v>0</v>
      </c>
      <c r="F15" s="111" t="n">
        <v>0</v>
      </c>
      <c r="G15" s="111" t="n">
        <v>0</v>
      </c>
      <c r="H15" s="94">
        <f>COUNTIF(C15:G15,"&lt;&gt;0")</f>
        <v/>
      </c>
      <c r="I15" s="94">
        <f>IF(H15=0,"לא מטופל",IF(H15=1,"מטופל - סוכן אחד","מטופל - יותר מסוכן אחד"))</f>
        <v/>
      </c>
    </row>
    <row r="16" ht="15" customHeight="1" s="82">
      <c r="A16" s="94" t="inlineStr">
        <is>
          <t>0בתי מרקחת</t>
        </is>
      </c>
      <c r="B16" s="94" t="inlineStr">
        <is>
          <t>עמית נהריה ב.מ</t>
        </is>
      </c>
      <c r="C16" s="111" t="n">
        <v>0</v>
      </c>
      <c r="D16" s="111" t="n">
        <v>3094.2</v>
      </c>
      <c r="E16" s="111" t="n">
        <v>0</v>
      </c>
      <c r="F16" s="111" t="n">
        <v>0</v>
      </c>
      <c r="G16" s="111" t="n">
        <v>0</v>
      </c>
      <c r="H16" s="94">
        <f>COUNTIF(C16:G16,"&lt;&gt;0")</f>
        <v/>
      </c>
      <c r="I16" s="94">
        <f>IF(H16=0,"לא מטופל",IF(H16=1,"מטופל - סוכן אחד","מטופל - יותר מסוכן אחד"))</f>
        <v/>
      </c>
    </row>
    <row r="17" ht="15" customHeight="1" s="82">
      <c r="A17" s="94" t="inlineStr">
        <is>
          <t>0בתי מרקחת</t>
        </is>
      </c>
      <c r="B17" s="94" t="inlineStr">
        <is>
          <t>בתי מרקחת פרטי</t>
        </is>
      </c>
      <c r="C17" s="111" t="n">
        <v>77423.2</v>
      </c>
      <c r="D17" s="111" t="n">
        <v>223781</v>
      </c>
      <c r="E17" s="111" t="n">
        <v>79610</v>
      </c>
      <c r="F17" s="111" t="n">
        <v>0</v>
      </c>
      <c r="G17" s="111" t="n">
        <v>205825.6</v>
      </c>
      <c r="H17" s="94">
        <f>COUNTIF(C17:G17,"&lt;&gt;0")</f>
        <v/>
      </c>
      <c r="I17" s="94">
        <f>IF(H17=0,"לא מטופל",IF(H17=1,"מטופל - סוכן אחד","מטופל - יותר מסוכן אחד"))</f>
        <v/>
      </c>
    </row>
    <row r="18" ht="15" customHeight="1" s="82">
      <c r="A18" s="94" t="inlineStr">
        <is>
          <t>מגזר ערבי</t>
        </is>
      </c>
      <c r="B18" s="94" t="inlineStr">
        <is>
          <t>אבו עזמי טירה ב.מ</t>
        </is>
      </c>
      <c r="C18" s="111" t="n">
        <v>0</v>
      </c>
      <c r="D18" s="111" t="n">
        <v>0</v>
      </c>
      <c r="E18" s="111" t="n">
        <v>3404.2</v>
      </c>
      <c r="F18" s="111" t="n">
        <v>0</v>
      </c>
      <c r="G18" s="111" t="n">
        <v>0</v>
      </c>
      <c r="H18" s="94">
        <f>COUNTIF(C18:G18,"&lt;&gt;0")</f>
        <v/>
      </c>
      <c r="I18" s="94">
        <f>IF(H18=0,"לא מטופל",IF(H18=1,"מטופל - סוכן אחד","מטופל - יותר מסוכן אחד"))</f>
        <v/>
      </c>
    </row>
    <row r="19" ht="15" customHeight="1" s="82">
      <c r="A19" s="94" t="inlineStr">
        <is>
          <t>מגזר ערבי</t>
        </is>
      </c>
      <c r="B19" s="94" t="inlineStr">
        <is>
          <t>כרום פארם ב.מ</t>
        </is>
      </c>
      <c r="C19" s="111" t="n">
        <v>0</v>
      </c>
      <c r="D19" s="111" t="n">
        <v>2789.6</v>
      </c>
      <c r="E19" s="111" t="n">
        <v>0</v>
      </c>
      <c r="F19" s="111" t="n">
        <v>0</v>
      </c>
      <c r="G19" s="111" t="n">
        <v>0</v>
      </c>
      <c r="H19" s="94">
        <f>COUNTIF(C19:G19,"&lt;&gt;0")</f>
        <v/>
      </c>
      <c r="I19" s="94">
        <f>IF(H19=0,"לא מטופל",IF(H19=1,"מטופל - סוכן אחד","מטופל - יותר מסוכן אחד"))</f>
        <v/>
      </c>
    </row>
    <row r="20" ht="15" customHeight="1" s="82">
      <c r="A20" s="94" t="inlineStr">
        <is>
          <t>מגזר ערבי</t>
        </is>
      </c>
      <c r="B20" s="94" t="inlineStr">
        <is>
          <t>אלבלד פארם ב.מ טמרה</t>
        </is>
      </c>
      <c r="C20" s="111" t="n">
        <v>0</v>
      </c>
      <c r="D20" s="111" t="n">
        <v>3296</v>
      </c>
      <c r="E20" s="111" t="n">
        <v>0</v>
      </c>
      <c r="F20" s="111" t="n">
        <v>0</v>
      </c>
      <c r="G20" s="111" t="n">
        <v>0</v>
      </c>
      <c r="H20" s="94">
        <f>COUNTIF(C20:G20,"&lt;&gt;0")</f>
        <v/>
      </c>
      <c r="I20" s="94">
        <f>IF(H20=0,"לא מטופל",IF(H20=1,"מטופל - סוכן אחד","מטופל - יותר מסוכן אחד"))</f>
        <v/>
      </c>
    </row>
    <row r="21" ht="15" customHeight="1" s="82">
      <c r="A21" s="94" t="inlineStr">
        <is>
          <t>מגזר ערבי</t>
        </is>
      </c>
      <c r="B21" s="94" t="inlineStr">
        <is>
          <t>אל בלאד שפרעם ב.מ</t>
        </is>
      </c>
      <c r="C21" s="111" t="n">
        <v>0</v>
      </c>
      <c r="D21" s="111" t="n">
        <v>2787.8</v>
      </c>
      <c r="E21" s="111" t="n">
        <v>0</v>
      </c>
      <c r="F21" s="111" t="n">
        <v>0</v>
      </c>
      <c r="G21" s="111" t="n">
        <v>0</v>
      </c>
      <c r="H21" s="94">
        <f>COUNTIF(C21:G21,"&lt;&gt;0")</f>
        <v/>
      </c>
      <c r="I21" s="94">
        <f>IF(H21=0,"לא מטופל",IF(H21=1,"מטופל - סוכן אחד","מטופל - יותר מסוכן אחד"))</f>
        <v/>
      </c>
    </row>
    <row r="22" ht="15" customHeight="1" s="82">
      <c r="A22" s="94" t="inlineStr">
        <is>
          <t>מגזר ערבי</t>
        </is>
      </c>
      <c r="B22" s="94" t="inlineStr">
        <is>
          <t>אלכאוכב כ.מע'אר ב.מ</t>
        </is>
      </c>
      <c r="C22" s="111" t="n">
        <v>0</v>
      </c>
      <c r="D22" s="111" t="n">
        <v>1593.7</v>
      </c>
      <c r="E22" s="111" t="n">
        <v>0</v>
      </c>
      <c r="F22" s="111" t="n">
        <v>0</v>
      </c>
      <c r="G22" s="111" t="n">
        <v>0</v>
      </c>
      <c r="H22" s="94">
        <f>COUNTIF(C22:G22,"&lt;&gt;0")</f>
        <v/>
      </c>
      <c r="I22" s="94">
        <f>IF(H22=0,"לא מטופל",IF(H22=1,"מטופל - סוכן אחד","מטופל - יותר מסוכן אחד"))</f>
        <v/>
      </c>
    </row>
    <row r="23" ht="15" customHeight="1" s="82">
      <c r="A23" s="94" t="inlineStr">
        <is>
          <t>מגזר ערבי</t>
        </is>
      </c>
      <c r="B23" s="94" t="inlineStr">
        <is>
          <t>אלהאם פארם בענה ב.מ</t>
        </is>
      </c>
      <c r="C23" s="111" t="n">
        <v>0</v>
      </c>
      <c r="D23" s="111" t="n">
        <v>0</v>
      </c>
      <c r="E23" s="111" t="n">
        <v>-0.9</v>
      </c>
      <c r="F23" s="111" t="n">
        <v>0</v>
      </c>
      <c r="G23" s="111" t="n">
        <v>0</v>
      </c>
      <c r="H23" s="94">
        <f>COUNTIF(C23:G23,"&lt;&gt;0")</f>
        <v/>
      </c>
      <c r="I23" s="94">
        <f>IF(H23=0,"לא מטופל",IF(H23=1,"מטופל - סוכן אחד","מטופל - יותר מסוכן אחד"))</f>
        <v/>
      </c>
    </row>
    <row r="24" ht="15" customHeight="1" s="82">
      <c r="A24" s="94" t="inlineStr">
        <is>
          <t>מגזר ערבי</t>
        </is>
      </c>
      <c r="B24" s="94" t="inlineStr">
        <is>
          <t>וואן פארם ב.מ מג'ד אל כרום</t>
        </is>
      </c>
      <c r="C24" s="111" t="n">
        <v>0</v>
      </c>
      <c r="D24" s="111" t="n">
        <v>5801.3</v>
      </c>
      <c r="E24" s="111" t="n">
        <v>0</v>
      </c>
      <c r="F24" s="111" t="n">
        <v>0</v>
      </c>
      <c r="G24" s="111" t="n">
        <v>0</v>
      </c>
      <c r="H24" s="94">
        <f>COUNTIF(C24:G24,"&lt;&gt;0")</f>
        <v/>
      </c>
      <c r="I24" s="94">
        <f>IF(H24=0,"לא מטופל",IF(H24=1,"מטופל - סוכן אחד","מטופל - יותר מסוכן אחד"))</f>
        <v/>
      </c>
    </row>
    <row r="25" ht="15" customHeight="1" s="82">
      <c r="A25" s="94" t="inlineStr">
        <is>
          <t>מגזר ערבי</t>
        </is>
      </c>
      <c r="B25" s="94" t="inlineStr">
        <is>
          <t>חדאד פארם ח.הגלילית ב.מ</t>
        </is>
      </c>
      <c r="C25" s="111" t="n">
        <v>0</v>
      </c>
      <c r="D25" s="111" t="n">
        <v>2040.7</v>
      </c>
      <c r="E25" s="111" t="n">
        <v>0</v>
      </c>
      <c r="F25" s="111" t="n">
        <v>0</v>
      </c>
      <c r="G25" s="111" t="n">
        <v>0</v>
      </c>
      <c r="H25" s="94">
        <f>COUNTIF(C25:G25,"&lt;&gt;0")</f>
        <v/>
      </c>
      <c r="I25" s="94">
        <f>IF(H25=0,"לא מטופל",IF(H25=1,"מטופל - סוכן אחד","מטופל - יותר מסוכן אחד"))</f>
        <v/>
      </c>
    </row>
    <row r="26" ht="15" customHeight="1" s="82">
      <c r="A26" s="94" t="inlineStr">
        <is>
          <t>מגזר ערבי</t>
        </is>
      </c>
      <c r="B26" s="94" t="inlineStr">
        <is>
          <t>חמדאן פארם ב.מ</t>
        </is>
      </c>
      <c r="C26" s="111" t="n">
        <v>0</v>
      </c>
      <c r="D26" s="111" t="n">
        <v>826.4</v>
      </c>
      <c r="E26" s="111" t="n">
        <v>0</v>
      </c>
      <c r="F26" s="111" t="n">
        <v>0</v>
      </c>
      <c r="G26" s="111" t="n">
        <v>0</v>
      </c>
      <c r="H26" s="94">
        <f>COUNTIF(C26:G26,"&lt;&gt;0")</f>
        <v/>
      </c>
      <c r="I26" s="94">
        <f>IF(H26=0,"לא מטופל",IF(H26=1,"מטופל - סוכן אחד","מטופל - יותר מסוכן אחד"))</f>
        <v/>
      </c>
    </row>
    <row r="27" ht="15" customHeight="1" s="82">
      <c r="A27" s="94" t="inlineStr">
        <is>
          <t>מגזר ערבי</t>
        </is>
      </c>
      <c r="B27" s="94" t="inlineStr">
        <is>
          <t>הצפון כפר סמיע ב.מ חדש</t>
        </is>
      </c>
      <c r="C27" s="111" t="n">
        <v>0</v>
      </c>
      <c r="D27" s="111" t="n">
        <v>3994.5</v>
      </c>
      <c r="E27" s="111" t="n">
        <v>0</v>
      </c>
      <c r="F27" s="111" t="n">
        <v>0</v>
      </c>
      <c r="G27" s="111" t="n">
        <v>0</v>
      </c>
      <c r="H27" s="94">
        <f>COUNTIF(C27:G27,"&lt;&gt;0")</f>
        <v/>
      </c>
      <c r="I27" s="94">
        <f>IF(H27=0,"לא מטופל",IF(H27=1,"מטופל - סוכן אחד","מטופל - יותר מסוכן אחד"))</f>
        <v/>
      </c>
    </row>
    <row r="28" ht="15" customHeight="1" s="82">
      <c r="A28" s="94" t="inlineStr">
        <is>
          <t>מגזר ערבי</t>
        </is>
      </c>
      <c r="B28" s="94" t="inlineStr">
        <is>
          <t>מדיקל פארם-ראמה  ב.מ</t>
        </is>
      </c>
      <c r="C28" s="111" t="n">
        <v>0</v>
      </c>
      <c r="D28" s="111" t="n">
        <v>1738.4</v>
      </c>
      <c r="E28" s="111" t="n">
        <v>0</v>
      </c>
      <c r="F28" s="111" t="n">
        <v>0</v>
      </c>
      <c r="G28" s="111" t="n">
        <v>0</v>
      </c>
      <c r="H28" s="94">
        <f>COUNTIF(C28:G28,"&lt;&gt;0")</f>
        <v/>
      </c>
      <c r="I28" s="94">
        <f>IF(H28=0,"לא מטופל",IF(H28=1,"מטופל - סוכן אחד","מטופל - יותר מסוכן אחד"))</f>
        <v/>
      </c>
    </row>
    <row r="29" ht="15" customHeight="1" s="82">
      <c r="A29" s="94" t="inlineStr">
        <is>
          <t>מגזר ערבי</t>
        </is>
      </c>
      <c r="B29" s="94" t="inlineStr">
        <is>
          <t>ספואן ב.מ שפרעם</t>
        </is>
      </c>
      <c r="C29" s="111" t="n">
        <v>0</v>
      </c>
      <c r="D29" s="111" t="n">
        <v>5267.1</v>
      </c>
      <c r="E29" s="111" t="n">
        <v>0</v>
      </c>
      <c r="F29" s="111" t="n">
        <v>0</v>
      </c>
      <c r="G29" s="111" t="n">
        <v>0</v>
      </c>
      <c r="H29" s="94">
        <f>COUNTIF(C29:G29,"&lt;&gt;0")</f>
        <v/>
      </c>
      <c r="I29" s="94">
        <f>IF(H29=0,"לא מטופל",IF(H29=1,"מטופל - סוכן אחד","מטופל - יותר מסוכן אחד"))</f>
        <v/>
      </c>
    </row>
    <row r="30" ht="15" customHeight="1" s="82">
      <c r="A30" s="94" t="inlineStr">
        <is>
          <t>מגזר ערבי</t>
        </is>
      </c>
      <c r="B30" s="94" t="inlineStr">
        <is>
          <t>פארמה קואופ יפיע בע""מ ב.מ</t>
        </is>
      </c>
      <c r="C30" s="111" t="n">
        <v>0</v>
      </c>
      <c r="D30" s="111" t="n">
        <v>9334.5</v>
      </c>
      <c r="E30" s="111" t="n">
        <v>0</v>
      </c>
      <c r="F30" s="111" t="n">
        <v>0</v>
      </c>
      <c r="G30" s="111" t="n">
        <v>0</v>
      </c>
      <c r="H30" s="94">
        <f>COUNTIF(C30:G30,"&lt;&gt;0")</f>
        <v/>
      </c>
      <c r="I30" s="94">
        <f>IF(H30=0,"לא מטופל",IF(H30=1,"מטופל - סוכן אחד","מטופל - יותר מסוכן אחד"))</f>
        <v/>
      </c>
    </row>
    <row r="31" ht="15" customHeight="1" s="82">
      <c r="A31" s="94" t="inlineStr">
        <is>
          <t>מגזר ערבי</t>
        </is>
      </c>
      <c r="B31" s="94" t="inlineStr">
        <is>
          <t>פרמהזול עין מאהל ב.מ</t>
        </is>
      </c>
      <c r="C31" s="111" t="n">
        <v>0</v>
      </c>
      <c r="D31" s="111" t="n">
        <v>1362.5</v>
      </c>
      <c r="E31" s="111" t="n">
        <v>0</v>
      </c>
      <c r="F31" s="111" t="n">
        <v>0</v>
      </c>
      <c r="G31" s="111" t="n">
        <v>0</v>
      </c>
      <c r="H31" s="94">
        <f>COUNTIF(C31:G31,"&lt;&gt;0")</f>
        <v/>
      </c>
      <c r="I31" s="94">
        <f>IF(H31=0,"לא מטופל",IF(H31=1,"מטופל - סוכן אחד","מטופל - יותר מסוכן אחד"))</f>
        <v/>
      </c>
    </row>
    <row r="32" ht="15" customHeight="1" s="82">
      <c r="A32" s="94" t="inlineStr">
        <is>
          <t>מגזר ערבי</t>
        </is>
      </c>
      <c r="B32" s="94" t="inlineStr">
        <is>
          <t>נידאא פארם תרשיחא ב.מ</t>
        </is>
      </c>
      <c r="C32" s="111" t="n">
        <v>0</v>
      </c>
      <c r="D32" s="111" t="n">
        <v>677.6</v>
      </c>
      <c r="E32" s="111" t="n">
        <v>0</v>
      </c>
      <c r="F32" s="111" t="n">
        <v>0</v>
      </c>
      <c r="G32" s="111" t="n">
        <v>0</v>
      </c>
      <c r="H32" s="94">
        <f>COUNTIF(C32:G32,"&lt;&gt;0")</f>
        <v/>
      </c>
      <c r="I32" s="94">
        <f>IF(H32=0,"לא מטופל",IF(H32=1,"מטופל - סוכן אחד","מטופל - יותר מסוכן אחד"))</f>
        <v/>
      </c>
    </row>
    <row r="33" ht="15" customHeight="1" s="82">
      <c r="A33" s="94" t="inlineStr">
        <is>
          <t>מגזר ערבי</t>
        </is>
      </c>
      <c r="B33" s="94" t="inlineStr">
        <is>
          <t>קמא פארם כפר קמא ב.מ</t>
        </is>
      </c>
      <c r="C33" s="111" t="n">
        <v>0</v>
      </c>
      <c r="D33" s="111" t="n">
        <v>4303.2</v>
      </c>
      <c r="E33" s="111" t="n">
        <v>0</v>
      </c>
      <c r="F33" s="111" t="n">
        <v>0</v>
      </c>
      <c r="G33" s="111" t="n">
        <v>0</v>
      </c>
      <c r="H33" s="94">
        <f>COUNTIF(C33:G33,"&lt;&gt;0")</f>
        <v/>
      </c>
      <c r="I33" s="94">
        <f>IF(H33=0,"לא מטופל",IF(H33=1,"מטופל - סוכן אחד","מטופל - יותר מסוכן אחד"))</f>
        <v/>
      </c>
    </row>
    <row r="34" ht="15" customHeight="1" s="82">
      <c r="A34" s="94" t="inlineStr">
        <is>
          <t>מגזר ערבי</t>
        </is>
      </c>
      <c r="B34" s="94" t="inlineStr">
        <is>
          <t>איווה פארם זמר ב.מ</t>
        </is>
      </c>
      <c r="C34" s="111" t="n">
        <v>0</v>
      </c>
      <c r="D34" s="111" t="n">
        <v>11337.4</v>
      </c>
      <c r="E34" s="111" t="n">
        <v>0</v>
      </c>
      <c r="F34" s="111" t="n">
        <v>0</v>
      </c>
      <c r="G34" s="111" t="n">
        <v>0</v>
      </c>
      <c r="H34" s="94">
        <f>COUNTIF(C34:G34,"&lt;&gt;0")</f>
        <v/>
      </c>
      <c r="I34" s="94">
        <f>IF(H34=0,"לא מטופל",IF(H34=1,"מטופל - סוכן אחד","מטופל - יותר מסוכן אחד"))</f>
        <v/>
      </c>
    </row>
    <row r="35" ht="15" customHeight="1" s="82">
      <c r="A35" s="94" t="inlineStr">
        <is>
          <t>מגזר ערבי</t>
        </is>
      </c>
      <c r="B35" s="94" t="inlineStr">
        <is>
          <t>אל אח'לאס רמת הגולן ב.מ</t>
        </is>
      </c>
      <c r="C35" s="111" t="n">
        <v>0</v>
      </c>
      <c r="D35" s="111" t="n">
        <v>1594.9</v>
      </c>
      <c r="E35" s="111" t="n">
        <v>0</v>
      </c>
      <c r="F35" s="111" t="n">
        <v>0</v>
      </c>
      <c r="G35" s="111" t="n">
        <v>0</v>
      </c>
      <c r="H35" s="94">
        <f>COUNTIF(C35:G35,"&lt;&gt;0")</f>
        <v/>
      </c>
      <c r="I35" s="94">
        <f>IF(H35=0,"לא מטופל",IF(H35=1,"מטופל - סוכן אחד","מטופל - יותר מסוכן אחד"))</f>
        <v/>
      </c>
    </row>
    <row r="36" ht="15" customHeight="1" s="82">
      <c r="A36" s="94" t="inlineStr">
        <is>
          <t>מגזר ערבי</t>
        </is>
      </c>
      <c r="B36" s="94" t="inlineStr">
        <is>
          <t>.עין קנייה רמת הגולן ב.מ</t>
        </is>
      </c>
      <c r="C36" s="111" t="n">
        <v>0</v>
      </c>
      <c r="D36" s="111" t="n">
        <v>4777.4</v>
      </c>
      <c r="E36" s="111" t="n">
        <v>0</v>
      </c>
      <c r="F36" s="111" t="n">
        <v>0</v>
      </c>
      <c r="G36" s="111" t="n">
        <v>0</v>
      </c>
      <c r="H36" s="94">
        <f>COUNTIF(C36:G36,"&lt;&gt;0")</f>
        <v/>
      </c>
      <c r="I36" s="94">
        <f>IF(H36=0,"לא מטופל",IF(H36=1,"מטופל - סוכן אחד","מטופל - יותר מסוכן אחד"))</f>
        <v/>
      </c>
    </row>
    <row r="37" ht="15" customHeight="1" s="82">
      <c r="A37" s="94" t="inlineStr">
        <is>
          <t>מגזר ערבי</t>
        </is>
      </c>
      <c r="B37" s="94" t="inlineStr">
        <is>
          <t>אל אסדי ב.מ</t>
        </is>
      </c>
      <c r="C37" s="111" t="n">
        <v>0</v>
      </c>
      <c r="D37" s="111" t="n">
        <v>99.7</v>
      </c>
      <c r="E37" s="111" t="n">
        <v>0</v>
      </c>
      <c r="F37" s="111" t="n">
        <v>0</v>
      </c>
      <c r="G37" s="111" t="n">
        <v>0</v>
      </c>
      <c r="H37" s="94">
        <f>COUNTIF(C37:G37,"&lt;&gt;0")</f>
        <v/>
      </c>
      <c r="I37" s="94">
        <f>IF(H37=0,"לא מטופל",IF(H37=1,"מטופל - סוכן אחד","מטופל - יותר מסוכן אחד"))</f>
        <v/>
      </c>
    </row>
    <row r="38" ht="15" customHeight="1" s="82">
      <c r="A38" s="94" t="inlineStr">
        <is>
          <t>מגזר ערבי</t>
        </is>
      </c>
      <c r="B38" s="94" t="inlineStr">
        <is>
          <t>אל מרכז ראמה חדש ב.מ</t>
        </is>
      </c>
      <c r="C38" s="111" t="n">
        <v>0</v>
      </c>
      <c r="D38" s="111" t="n">
        <v>160.7</v>
      </c>
      <c r="E38" s="111" t="n">
        <v>0</v>
      </c>
      <c r="F38" s="111" t="n">
        <v>0</v>
      </c>
      <c r="G38" s="111" t="n">
        <v>0</v>
      </c>
      <c r="H38" s="94">
        <f>COUNTIF(C38:G38,"&lt;&gt;0")</f>
        <v/>
      </c>
      <c r="I38" s="94">
        <f>IF(H38=0,"לא מטופל",IF(H38=1,"מטופל - סוכן אחד","מטופל - יותר מסוכן אחד"))</f>
        <v/>
      </c>
    </row>
    <row r="39" ht="15" customHeight="1" s="82">
      <c r="A39" s="94" t="inlineStr">
        <is>
          <t>מגזר ערבי</t>
        </is>
      </c>
      <c r="B39" s="94" t="inlineStr">
        <is>
          <t>אלעין ב.מ שפרעם</t>
        </is>
      </c>
      <c r="C39" s="111" t="n">
        <v>0</v>
      </c>
      <c r="D39" s="111" t="n">
        <v>995.6</v>
      </c>
      <c r="E39" s="111" t="n">
        <v>0</v>
      </c>
      <c r="F39" s="111" t="n">
        <v>0</v>
      </c>
      <c r="G39" s="111" t="n">
        <v>0</v>
      </c>
      <c r="H39" s="94">
        <f>COUNTIF(C39:G39,"&lt;&gt;0")</f>
        <v/>
      </c>
      <c r="I39" s="94">
        <f>IF(H39=0,"לא מטופל",IF(H39=1,"מטופל - סוכן אחד","מטופל - יותר מסוכן אחד"))</f>
        <v/>
      </c>
    </row>
    <row r="40" ht="15" customHeight="1" s="82">
      <c r="A40" s="94" t="inlineStr">
        <is>
          <t>מגזר ערבי</t>
        </is>
      </c>
      <c r="B40" s="94" t="inlineStr">
        <is>
          <t>אבן סינא פארם טמרה ב.מ</t>
        </is>
      </c>
      <c r="C40" s="111" t="n">
        <v>0</v>
      </c>
      <c r="D40" s="111" t="n">
        <v>2574.1</v>
      </c>
      <c r="E40" s="111" t="n">
        <v>0</v>
      </c>
      <c r="F40" s="111" t="n">
        <v>0</v>
      </c>
      <c r="G40" s="111" t="n">
        <v>0</v>
      </c>
      <c r="H40" s="94">
        <f>COUNTIF(C40:G40,"&lt;&gt;0")</f>
        <v/>
      </c>
      <c r="I40" s="94">
        <f>IF(H40=0,"לא מטופל",IF(H40=1,"מטופל - סוכן אחד","מטופל - יותר מסוכן אחד"))</f>
        <v/>
      </c>
    </row>
    <row r="41" ht="15" customHeight="1" s="82">
      <c r="A41" s="94" t="inlineStr">
        <is>
          <t>מגזר ערבי</t>
        </is>
      </c>
      <c r="B41" s="94" t="inlineStr">
        <is>
          <t>נוגידאת פארם ב.מ</t>
        </is>
      </c>
      <c r="C41" s="111" t="n">
        <v>0</v>
      </c>
      <c r="D41" s="111" t="n">
        <v>371.8</v>
      </c>
      <c r="E41" s="111" t="n">
        <v>0</v>
      </c>
      <c r="F41" s="111" t="n">
        <v>0</v>
      </c>
      <c r="G41" s="111" t="n">
        <v>0</v>
      </c>
      <c r="H41" s="94">
        <f>COUNTIF(C41:G41,"&lt;&gt;0")</f>
        <v/>
      </c>
      <c r="I41" s="94">
        <f>IF(H41=0,"לא מטופל",IF(H41=1,"מטופל - סוכן אחד","מטופל - יותר מסוכן אחד"))</f>
        <v/>
      </c>
    </row>
    <row r="42" ht="15" customHeight="1" s="82">
      <c r="A42" s="94" t="inlineStr">
        <is>
          <t>מגזר ערבי</t>
        </is>
      </c>
      <c r="B42" s="94" t="inlineStr">
        <is>
          <t>איווה פארם ב.אל גרבייה ב.מ</t>
        </is>
      </c>
      <c r="C42" s="111" t="n">
        <v>0</v>
      </c>
      <c r="D42" s="111" t="n">
        <v>2568.8</v>
      </c>
      <c r="E42" s="111" t="n">
        <v>0</v>
      </c>
      <c r="F42" s="111" t="n">
        <v>0</v>
      </c>
      <c r="G42" s="111" t="n">
        <v>0</v>
      </c>
      <c r="H42" s="94">
        <f>COUNTIF(C42:G42,"&lt;&gt;0")</f>
        <v/>
      </c>
      <c r="I42" s="94">
        <f>IF(H42=0,"לא מטופל",IF(H42=1,"מטופל - סוכן אחד","מטופל - יותר מסוכן אחד"))</f>
        <v/>
      </c>
    </row>
    <row r="43" ht="15" customHeight="1" s="82">
      <c r="A43" s="94" t="inlineStr">
        <is>
          <t>מגזר ערבי</t>
        </is>
      </c>
      <c r="B43" s="94" t="inlineStr">
        <is>
          <t>המרכז טמרה ב.מ</t>
        </is>
      </c>
      <c r="C43" s="111" t="n">
        <v>0</v>
      </c>
      <c r="D43" s="111" t="n">
        <v>117.1</v>
      </c>
      <c r="E43" s="111" t="n">
        <v>0</v>
      </c>
      <c r="F43" s="111" t="n">
        <v>0</v>
      </c>
      <c r="G43" s="111" t="n">
        <v>0</v>
      </c>
      <c r="H43" s="94">
        <f>COUNTIF(C43:G43,"&lt;&gt;0")</f>
        <v/>
      </c>
      <c r="I43" s="94">
        <f>IF(H43=0,"לא מטופל",IF(H43=1,"מטופל - סוכן אחד","מטופל - יותר מסוכן אחד"))</f>
        <v/>
      </c>
    </row>
    <row r="44" ht="15" customHeight="1" s="82">
      <c r="A44" s="94" t="inlineStr">
        <is>
          <t>מגזר ערבי</t>
        </is>
      </c>
      <c r="B44" s="94" t="inlineStr">
        <is>
          <t>ביג פארם כפר ינוח ב.מ</t>
        </is>
      </c>
      <c r="C44" s="111" t="n">
        <v>0</v>
      </c>
      <c r="D44" s="111" t="n">
        <v>3197.3</v>
      </c>
      <c r="E44" s="111" t="n">
        <v>0</v>
      </c>
      <c r="F44" s="111" t="n">
        <v>0</v>
      </c>
      <c r="G44" s="111" t="n">
        <v>0</v>
      </c>
      <c r="H44" s="94">
        <f>COUNTIF(C44:G44,"&lt;&gt;0")</f>
        <v/>
      </c>
      <c r="I44" s="94">
        <f>IF(H44=0,"לא מטופל",IF(H44=1,"מטופל - סוכן אחד","מטופל - יותר מסוכן אחד"))</f>
        <v/>
      </c>
    </row>
    <row r="45" ht="15" customHeight="1" s="82">
      <c r="A45" s="94" t="inlineStr">
        <is>
          <t>מגזר ערבי</t>
        </is>
      </c>
      <c r="B45" s="94" t="inlineStr">
        <is>
          <t>אקסטרה פארם בע""מ נצרת ב.מ</t>
        </is>
      </c>
      <c r="C45" s="111" t="n">
        <v>0</v>
      </c>
      <c r="D45" s="111" t="n">
        <v>2489</v>
      </c>
      <c r="E45" s="111" t="n">
        <v>0</v>
      </c>
      <c r="F45" s="111" t="n">
        <v>0</v>
      </c>
      <c r="G45" s="111" t="n">
        <v>0</v>
      </c>
      <c r="H45" s="94">
        <f>COUNTIF(C45:G45,"&lt;&gt;0")</f>
        <v/>
      </c>
      <c r="I45" s="94">
        <f>IF(H45=0,"לא מטופל",IF(H45=1,"מטופל - סוכן אחד","מטופל - יותר מסוכן אחד"))</f>
        <v/>
      </c>
    </row>
    <row r="46" ht="15" customHeight="1" s="82">
      <c r="A46" s="94" t="inlineStr">
        <is>
          <t>מגזר ערבי</t>
        </is>
      </c>
      <c r="B46" s="94" t="inlineStr">
        <is>
          <t>טופ פארם כפר קרע ב.מ. חדש</t>
        </is>
      </c>
      <c r="C46" s="111" t="n">
        <v>0</v>
      </c>
      <c r="D46" s="111" t="n">
        <v>838.9</v>
      </c>
      <c r="E46" s="111" t="n">
        <v>0</v>
      </c>
      <c r="F46" s="111" t="n">
        <v>0</v>
      </c>
      <c r="G46" s="111" t="n">
        <v>0</v>
      </c>
      <c r="H46" s="94">
        <f>COUNTIF(C46:G46,"&lt;&gt;0")</f>
        <v/>
      </c>
      <c r="I46" s="94">
        <f>IF(H46=0,"לא מטופל",IF(H46=1,"מטופל - סוכן אחד","מטופל - יותר מסוכן אחד"))</f>
        <v/>
      </c>
    </row>
    <row r="47" ht="15" customHeight="1" s="82">
      <c r="A47" s="94" t="inlineStr">
        <is>
          <t>מגזר ערבי</t>
        </is>
      </c>
      <c r="B47" s="94" t="inlineStr">
        <is>
          <t>איווה פארם אלרחמה בע""מ ב.מ</t>
        </is>
      </c>
      <c r="C47" s="111" t="n">
        <v>0</v>
      </c>
      <c r="D47" s="111" t="n">
        <v>5981.7</v>
      </c>
      <c r="E47" s="111" t="n">
        <v>0</v>
      </c>
      <c r="F47" s="111" t="n">
        <v>0</v>
      </c>
      <c r="G47" s="111" t="n">
        <v>0</v>
      </c>
      <c r="H47" s="94">
        <f>COUNTIF(C47:G47,"&lt;&gt;0")</f>
        <v/>
      </c>
      <c r="I47" s="94">
        <f>IF(H47=0,"לא מטופל",IF(H47=1,"מטופל - סוכן אחד","מטופל - יותר מסוכן אחד"))</f>
        <v/>
      </c>
    </row>
    <row r="48" ht="15" customHeight="1" s="82">
      <c r="A48" s="94" t="inlineStr">
        <is>
          <t>מגזר ערבי</t>
        </is>
      </c>
      <c r="B48" s="94" t="inlineStr">
        <is>
          <t>ריאד פארם ב.מ ברטעה חדש</t>
        </is>
      </c>
      <c r="C48" s="111" t="n">
        <v>0</v>
      </c>
      <c r="D48" s="111" t="n">
        <v>1095.8</v>
      </c>
      <c r="E48" s="111" t="n">
        <v>0</v>
      </c>
      <c r="F48" s="111" t="n">
        <v>0</v>
      </c>
      <c r="G48" s="111" t="n">
        <v>0</v>
      </c>
      <c r="H48" s="94">
        <f>COUNTIF(C48:G48,"&lt;&gt;0")</f>
        <v/>
      </c>
      <c r="I48" s="94">
        <f>IF(H48=0,"לא מטופל",IF(H48=1,"מטופל - סוכן אחד","מטופל - יותר מסוכן אחד"))</f>
        <v/>
      </c>
    </row>
    <row r="49" ht="15" customHeight="1" s="82">
      <c r="A49" s="94" t="inlineStr">
        <is>
          <t>מגזר ערבי</t>
        </is>
      </c>
      <c r="B49" s="94" t="inlineStr">
        <is>
          <t>אדם רוקחות בע""מ טירה ב.מ</t>
        </is>
      </c>
      <c r="C49" s="111" t="n">
        <v>0</v>
      </c>
      <c r="D49" s="111" t="n">
        <v>0</v>
      </c>
      <c r="E49" s="111" t="n">
        <v>5798.4</v>
      </c>
      <c r="F49" s="111" t="n">
        <v>0</v>
      </c>
      <c r="G49" s="111" t="n">
        <v>0</v>
      </c>
      <c r="H49" s="94">
        <f>COUNTIF(C49:G49,"&lt;&gt;0")</f>
        <v/>
      </c>
      <c r="I49" s="94">
        <f>IF(H49=0,"לא מטופל",IF(H49=1,"מטופל - סוכן אחד","מטופל - יותר מסוכן אחד"))</f>
        <v/>
      </c>
    </row>
    <row r="50" ht="15" customHeight="1" s="82">
      <c r="A50" s="94" t="inlineStr">
        <is>
          <t>מגזר ערבי</t>
        </is>
      </c>
      <c r="B50" s="94" t="inlineStr">
        <is>
          <t>מורינגה פארם בית הבריאות ב.מ מ</t>
        </is>
      </c>
      <c r="C50" s="111" t="n">
        <v>0</v>
      </c>
      <c r="D50" s="111" t="n">
        <v>477.2</v>
      </c>
      <c r="E50" s="111" t="n">
        <v>0</v>
      </c>
      <c r="F50" s="111" t="n">
        <v>0</v>
      </c>
      <c r="G50" s="111" t="n">
        <v>0</v>
      </c>
      <c r="H50" s="94">
        <f>COUNTIF(C50:G50,"&lt;&gt;0")</f>
        <v/>
      </c>
      <c r="I50" s="94">
        <f>IF(H50=0,"לא מטופל",IF(H50=1,"מטופל - סוכן אחד","מטופל - יותר מסוכן אחד"))</f>
        <v/>
      </c>
    </row>
    <row r="51" ht="15" customHeight="1" s="82">
      <c r="A51" s="94" t="inlineStr">
        <is>
          <t>מגזר ערבי</t>
        </is>
      </c>
      <c r="B51" s="94" t="inlineStr">
        <is>
          <t>סיטי פארם נצרת ב.מ</t>
        </is>
      </c>
      <c r="C51" s="111" t="n">
        <v>0</v>
      </c>
      <c r="D51" s="111" t="n">
        <v>163.4</v>
      </c>
      <c r="E51" s="111" t="n">
        <v>0</v>
      </c>
      <c r="F51" s="111" t="n">
        <v>0</v>
      </c>
      <c r="G51" s="111" t="n">
        <v>0</v>
      </c>
      <c r="H51" s="94">
        <f>COUNTIF(C51:G51,"&lt;&gt;0")</f>
        <v/>
      </c>
      <c r="I51" s="94">
        <f>IF(H51=0,"לא מטופל",IF(H51=1,"מטופל - סוכן אחד","מטופל - יותר מסוכן אחד"))</f>
        <v/>
      </c>
    </row>
    <row r="52" ht="15" customHeight="1" s="82">
      <c r="A52" s="94" t="inlineStr">
        <is>
          <t>מגזר ערבי</t>
        </is>
      </c>
      <c r="B52" s="94" t="inlineStr">
        <is>
          <t>מדיקל פארם שפרעם ב.מ</t>
        </is>
      </c>
      <c r="C52" s="111" t="n">
        <v>0</v>
      </c>
      <c r="D52" s="111" t="n">
        <v>2868</v>
      </c>
      <c r="E52" s="111" t="n">
        <v>0</v>
      </c>
      <c r="F52" s="111" t="n">
        <v>0</v>
      </c>
      <c r="G52" s="111" t="n">
        <v>0</v>
      </c>
      <c r="H52" s="94">
        <f>COUNTIF(C52:G52,"&lt;&gt;0")</f>
        <v/>
      </c>
      <c r="I52" s="94">
        <f>IF(H52=0,"לא מטופל",IF(H52=1,"מטופל - סוכן אחד","מטופל - יותר מסוכן אחד"))</f>
        <v/>
      </c>
    </row>
    <row r="53" ht="15" customHeight="1" s="82">
      <c r="A53" s="94" t="inlineStr">
        <is>
          <t>מגזר ערבי</t>
        </is>
      </c>
      <c r="B53" s="94" t="inlineStr">
        <is>
          <t>פארמה שיא ביר אל מכסור ב.מ</t>
        </is>
      </c>
      <c r="C53" s="111" t="n">
        <v>0</v>
      </c>
      <c r="D53" s="111" t="n">
        <v>2356.3</v>
      </c>
      <c r="E53" s="111" t="n">
        <v>0</v>
      </c>
      <c r="F53" s="111" t="n">
        <v>0</v>
      </c>
      <c r="G53" s="111" t="n">
        <v>0</v>
      </c>
      <c r="H53" s="94">
        <f>COUNTIF(C53:G53,"&lt;&gt;0")</f>
        <v/>
      </c>
      <c r="I53" s="94">
        <f>IF(H53=0,"לא מטופל",IF(H53=1,"מטופל - סוכן אחד","מטופל - יותר מסוכן אחד"))</f>
        <v/>
      </c>
    </row>
    <row r="54" ht="15" customHeight="1" s="82">
      <c r="A54" s="94" t="inlineStr">
        <is>
          <t>מגזר ערבי</t>
        </is>
      </c>
      <c r="B54" s="94" t="inlineStr">
        <is>
          <t>בית מרקחת אוור פארם עוספיא</t>
        </is>
      </c>
      <c r="C54" s="111" t="n">
        <v>0</v>
      </c>
      <c r="D54" s="111" t="n">
        <v>369.9</v>
      </c>
      <c r="E54" s="111" t="n">
        <v>0</v>
      </c>
      <c r="F54" s="111" t="n">
        <v>0</v>
      </c>
      <c r="G54" s="111" t="n">
        <v>0</v>
      </c>
      <c r="H54" s="94">
        <f>COUNTIF(C54:G54,"&lt;&gt;0")</f>
        <v/>
      </c>
      <c r="I54" s="94">
        <f>IF(H54=0,"לא מטופל",IF(H54=1,"מטופל - סוכן אחד","מטופל - יותר מסוכן אחד"))</f>
        <v/>
      </c>
    </row>
    <row r="55" ht="15" customHeight="1" s="82">
      <c r="A55" s="94" t="inlineStr">
        <is>
          <t>מגזר ערבי</t>
        </is>
      </c>
      <c r="B55" s="94" t="inlineStr">
        <is>
          <t>אלח'רובה ב.מ באקה אל גרבייה</t>
        </is>
      </c>
      <c r="C55" s="111" t="n">
        <v>0</v>
      </c>
      <c r="D55" s="111" t="n">
        <v>1531</v>
      </c>
      <c r="E55" s="111" t="n">
        <v>0</v>
      </c>
      <c r="F55" s="111" t="n">
        <v>0</v>
      </c>
      <c r="G55" s="111" t="n">
        <v>0</v>
      </c>
      <c r="H55" s="94">
        <f>COUNTIF(C55:G55,"&lt;&gt;0")</f>
        <v/>
      </c>
      <c r="I55" s="94">
        <f>IF(H55=0,"לא מטופל",IF(H55=1,"מטופל - סוכן אחד","מטופל - יותר מסוכן אחד"))</f>
        <v/>
      </c>
    </row>
    <row r="56" ht="15" customHeight="1" s="82">
      <c r="A56" s="94" t="inlineStr">
        <is>
          <t>מגזר ערבי</t>
        </is>
      </c>
      <c r="B56" s="94" t="inlineStr">
        <is>
          <t>אלחייאת ב.מ אל סייד</t>
        </is>
      </c>
      <c r="C56" s="111" t="n">
        <v>0</v>
      </c>
      <c r="D56" s="111" t="n">
        <v>0</v>
      </c>
      <c r="E56" s="111" t="n">
        <v>6486.8</v>
      </c>
      <c r="F56" s="111" t="n">
        <v>0</v>
      </c>
      <c r="G56" s="111" t="n">
        <v>0</v>
      </c>
      <c r="H56" s="94">
        <f>COUNTIF(C56:G56,"&lt;&gt;0")</f>
        <v/>
      </c>
      <c r="I56" s="94">
        <f>IF(H56=0,"לא מטופל",IF(H56=1,"מטופל - סוכן אחד","מטופל - יותר מסוכן אחד"))</f>
        <v/>
      </c>
    </row>
    <row r="57" ht="15" customHeight="1" s="82">
      <c r="A57" s="94" t="inlineStr">
        <is>
          <t>מגזר ערבי</t>
        </is>
      </c>
      <c r="B57" s="94" t="inlineStr">
        <is>
          <t>רימא פארם כפר יאסיף ב.מ</t>
        </is>
      </c>
      <c r="C57" s="111" t="n">
        <v>0</v>
      </c>
      <c r="D57" s="111" t="n">
        <v>7748.9</v>
      </c>
      <c r="E57" s="111" t="n">
        <v>0</v>
      </c>
      <c r="F57" s="111" t="n">
        <v>0</v>
      </c>
      <c r="G57" s="111" t="n">
        <v>0</v>
      </c>
      <c r="H57" s="94">
        <f>COUNTIF(C57:G57,"&lt;&gt;0")</f>
        <v/>
      </c>
      <c r="I57" s="94">
        <f>IF(H57=0,"לא מטופל",IF(H57=1,"מטופל - סוכן אחד","מטופל - יותר מסוכן אחד"))</f>
        <v/>
      </c>
    </row>
    <row r="58" ht="15" customHeight="1" s="82">
      <c r="A58" s="94" t="inlineStr">
        <is>
          <t>מגזר ערבי</t>
        </is>
      </c>
      <c r="B58" s="94" t="inlineStr">
        <is>
          <t>.רימא פארם כפר קרע ב.מ</t>
        </is>
      </c>
      <c r="C58" s="111" t="n">
        <v>0</v>
      </c>
      <c r="D58" s="111" t="n">
        <v>210.9</v>
      </c>
      <c r="E58" s="111" t="n">
        <v>0</v>
      </c>
      <c r="F58" s="111" t="n">
        <v>0</v>
      </c>
      <c r="G58" s="111" t="n">
        <v>0</v>
      </c>
      <c r="H58" s="94">
        <f>COUNTIF(C58:G58,"&lt;&gt;0")</f>
        <v/>
      </c>
      <c r="I58" s="94">
        <f>IF(H58=0,"לא מטופל",IF(H58=1,"מטופל - סוכן אחד","מטופל - יותר מסוכן אחד"))</f>
        <v/>
      </c>
    </row>
    <row r="59" ht="15" customHeight="1" s="82">
      <c r="A59" s="94" t="inlineStr">
        <is>
          <t>מגזר ערבי</t>
        </is>
      </c>
      <c r="B59" s="94" t="inlineStr">
        <is>
          <t>רביע פארם כפר כסרא בימר""ק</t>
        </is>
      </c>
      <c r="C59" s="111" t="n">
        <v>0</v>
      </c>
      <c r="D59" s="111" t="n">
        <v>39.8</v>
      </c>
      <c r="E59" s="111" t="n">
        <v>0</v>
      </c>
      <c r="F59" s="111" t="n">
        <v>0</v>
      </c>
      <c r="G59" s="111" t="n">
        <v>0</v>
      </c>
      <c r="H59" s="94">
        <f>COUNTIF(C59:G59,"&lt;&gt;0")</f>
        <v/>
      </c>
      <c r="I59" s="94">
        <f>IF(H59=0,"לא מטופל",IF(H59=1,"מטופל - סוכן אחד","מטופל - יותר מסוכן אחד"))</f>
        <v/>
      </c>
    </row>
    <row r="60" ht="15" customHeight="1" s="82">
      <c r="A60" s="94" t="inlineStr">
        <is>
          <t>מגזר ערבי</t>
        </is>
      </c>
      <c r="B60" s="94" t="inlineStr">
        <is>
          <t>פארמה לייף יקנעם עילית ב.מ</t>
        </is>
      </c>
      <c r="C60" s="111" t="n">
        <v>0</v>
      </c>
      <c r="D60" s="111" t="n">
        <v>1212.9</v>
      </c>
      <c r="E60" s="111" t="n">
        <v>0</v>
      </c>
      <c r="F60" s="111" t="n">
        <v>0</v>
      </c>
      <c r="G60" s="111" t="n">
        <v>0</v>
      </c>
      <c r="H60" s="94">
        <f>COUNTIF(C60:G60,"&lt;&gt;0")</f>
        <v/>
      </c>
      <c r="I60" s="94">
        <f>IF(H60=0,"לא מטופל",IF(H60=1,"מטופל - סוכן אחד","מטופל - יותר מסוכן אחד"))</f>
        <v/>
      </c>
    </row>
    <row r="61" ht="15" customHeight="1" s="82">
      <c r="A61" s="94" t="inlineStr">
        <is>
          <t>מגזר ערבי</t>
        </is>
      </c>
      <c r="B61" s="94" t="inlineStr">
        <is>
          <t>ראפע פארם בע""מ נצרת</t>
        </is>
      </c>
      <c r="C61" s="111" t="n">
        <v>0</v>
      </c>
      <c r="D61" s="111" t="n">
        <v>3176.5</v>
      </c>
      <c r="E61" s="111" t="n">
        <v>0</v>
      </c>
      <c r="F61" s="111" t="n">
        <v>0</v>
      </c>
      <c r="G61" s="111" t="n">
        <v>0</v>
      </c>
      <c r="H61" s="94">
        <f>COUNTIF(C61:G61,"&lt;&gt;0")</f>
        <v/>
      </c>
      <c r="I61" s="94">
        <f>IF(H61=0,"לא מטופל",IF(H61=1,"מטופל - סוכן אחד","מטופל - יותר מסוכן אחד"))</f>
        <v/>
      </c>
    </row>
    <row r="62" ht="15" customHeight="1" s="82">
      <c r="A62" s="94" t="inlineStr">
        <is>
          <t>מגזר ערבי</t>
        </is>
      </c>
      <c r="B62" s="94" t="inlineStr">
        <is>
          <t>שקד פארם זכרון יעקב ב.מ</t>
        </is>
      </c>
      <c r="C62" s="111" t="n">
        <v>0</v>
      </c>
      <c r="D62" s="111" t="n">
        <v>523</v>
      </c>
      <c r="E62" s="111" t="n">
        <v>0</v>
      </c>
      <c r="F62" s="111" t="n">
        <v>0</v>
      </c>
      <c r="G62" s="111" t="n">
        <v>0</v>
      </c>
      <c r="H62" s="94">
        <f>COUNTIF(C62:G62,"&lt;&gt;0")</f>
        <v/>
      </c>
      <c r="I62" s="94">
        <f>IF(H62=0,"לא מטופל",IF(H62=1,"מטופל - סוכן אחד","מטופל - יותר מסוכן אחד"))</f>
        <v/>
      </c>
    </row>
    <row r="63" ht="15" customHeight="1" s="82">
      <c r="A63" s="94" t="inlineStr">
        <is>
          <t>רשת י-ם</t>
        </is>
      </c>
      <c r="B63" s="94" t="inlineStr">
        <is>
          <t>רמת שלמה פארם בע""מ י-ם ב.מ</t>
        </is>
      </c>
      <c r="C63" s="111" t="n">
        <v>0</v>
      </c>
      <c r="D63" s="111" t="n">
        <v>0</v>
      </c>
      <c r="E63" s="111" t="n">
        <v>0</v>
      </c>
      <c r="F63" s="111" t="n">
        <v>0</v>
      </c>
      <c r="G63" s="111" t="n">
        <v>1338.5</v>
      </c>
      <c r="H63" s="94">
        <f>COUNTIF(C63:G63,"&lt;&gt;0")</f>
        <v/>
      </c>
      <c r="I63" s="94">
        <f>IF(H63=0,"לא מטופל",IF(H63=1,"מטופל - סוכן אחד","מטופל - יותר מסוכן אחד"))</f>
        <v/>
      </c>
    </row>
    <row r="64" ht="15" customHeight="1" s="82">
      <c r="A64" s="94" t="inlineStr">
        <is>
          <t>רשת י-ם</t>
        </is>
      </c>
      <c r="B64" s="94" t="inlineStr">
        <is>
          <t>ברודר ב.שמש ב.מ</t>
        </is>
      </c>
      <c r="C64" s="111" t="n">
        <v>0</v>
      </c>
      <c r="D64" s="111" t="n">
        <v>0</v>
      </c>
      <c r="E64" s="111" t="n">
        <v>0</v>
      </c>
      <c r="F64" s="111" t="n">
        <v>0</v>
      </c>
      <c r="G64" s="111" t="n">
        <v>75.8</v>
      </c>
      <c r="H64" s="94">
        <f>COUNTIF(C64:G64,"&lt;&gt;0")</f>
        <v/>
      </c>
      <c r="I64" s="94">
        <f>IF(H64=0,"לא מטופל",IF(H64=1,"מטופל - סוכן אחד","מטופל - יותר מסוכן אחד"))</f>
        <v/>
      </c>
    </row>
    <row r="65" ht="15" customHeight="1" s="82">
      <c r="A65" s="94" t="inlineStr">
        <is>
          <t>רשת י-ם</t>
        </is>
      </c>
      <c r="B65" s="94" t="inlineStr">
        <is>
          <t>בקשי מחנה יהודה י-ם ב.מ</t>
        </is>
      </c>
      <c r="C65" s="111" t="n">
        <v>0</v>
      </c>
      <c r="D65" s="111" t="n">
        <v>0</v>
      </c>
      <c r="E65" s="111" t="n">
        <v>0</v>
      </c>
      <c r="F65" s="111" t="n">
        <v>0</v>
      </c>
      <c r="G65" s="111" t="n">
        <v>5722.7</v>
      </c>
      <c r="H65" s="94">
        <f>COUNTIF(C65:G65,"&lt;&gt;0")</f>
        <v/>
      </c>
      <c r="I65" s="94">
        <f>IF(H65=0,"לא מטופל",IF(H65=1,"מטופל - סוכן אחד","מטופל - יותר מסוכן אחד"))</f>
        <v/>
      </c>
    </row>
    <row r="66" ht="15" customHeight="1" s="82">
      <c r="A66" s="94" t="inlineStr">
        <is>
          <t>רשת י-ם</t>
        </is>
      </c>
      <c r="B66" s="94" t="inlineStr">
        <is>
          <t>גאולה י-ם ב.מ</t>
        </is>
      </c>
      <c r="C66" s="111" t="n">
        <v>0</v>
      </c>
      <c r="D66" s="111" t="n">
        <v>0</v>
      </c>
      <c r="E66" s="111" t="n">
        <v>0</v>
      </c>
      <c r="F66" s="111" t="n">
        <v>0</v>
      </c>
      <c r="G66" s="111" t="n">
        <v>23194.1</v>
      </c>
      <c r="H66" s="94">
        <f>COUNTIF(C66:G66,"&lt;&gt;0")</f>
        <v/>
      </c>
      <c r="I66" s="94">
        <f>IF(H66=0,"לא מטופל",IF(H66=1,"מטופל - סוכן אחד","מטופל - יותר מסוכן אחד"))</f>
        <v/>
      </c>
    </row>
    <row r="67" ht="15" customHeight="1" s="82">
      <c r="A67" s="94" t="inlineStr">
        <is>
          <t>רשת י-ם</t>
        </is>
      </c>
      <c r="B67" s="94" t="inlineStr">
        <is>
          <t>גבעת זאב י-ם ב.מ</t>
        </is>
      </c>
      <c r="C67" s="111" t="n">
        <v>0</v>
      </c>
      <c r="D67" s="111" t="n">
        <v>0</v>
      </c>
      <c r="E67" s="111" t="n">
        <v>0</v>
      </c>
      <c r="F67" s="111" t="n">
        <v>0</v>
      </c>
      <c r="G67" s="111" t="n">
        <v>5895.1</v>
      </c>
      <c r="H67" s="94">
        <f>COUNTIF(C67:G67,"&lt;&gt;0")</f>
        <v/>
      </c>
      <c r="I67" s="94">
        <f>IF(H67=0,"לא מטופל",IF(H67=1,"מטופל - סוכן אחד","מטופל - יותר מסוכן אחד"))</f>
        <v/>
      </c>
    </row>
    <row r="68" ht="15" customHeight="1" s="82">
      <c r="A68" s="94" t="inlineStr">
        <is>
          <t>רשת י-ם</t>
        </is>
      </c>
      <c r="B68" s="94" t="inlineStr">
        <is>
          <t>גבעת שאול ב.מ-מדי פלוס בע""מ</t>
        </is>
      </c>
      <c r="C68" s="111" t="n">
        <v>0</v>
      </c>
      <c r="D68" s="111" t="n">
        <v>0</v>
      </c>
      <c r="E68" s="111" t="n">
        <v>0</v>
      </c>
      <c r="F68" s="111" t="n">
        <v>0</v>
      </c>
      <c r="G68" s="111" t="n">
        <v>6197.8</v>
      </c>
      <c r="H68" s="94">
        <f>COUNTIF(C68:G68,"&lt;&gt;0")</f>
        <v/>
      </c>
      <c r="I68" s="94">
        <f>IF(H68=0,"לא מטופל",IF(H68=1,"מטופל - סוכן אחד","מטופל - יותר מסוכן אחד"))</f>
        <v/>
      </c>
    </row>
    <row r="69" ht="15" customHeight="1" s="82">
      <c r="A69" s="94" t="inlineStr">
        <is>
          <t>רשת י-ם</t>
        </is>
      </c>
      <c r="B69" s="94" t="inlineStr">
        <is>
          <t>אורנים פארם ירושלים ב.מ</t>
        </is>
      </c>
      <c r="C69" s="111" t="n">
        <v>0</v>
      </c>
      <c r="D69" s="111" t="n">
        <v>0</v>
      </c>
      <c r="E69" s="111" t="n">
        <v>0</v>
      </c>
      <c r="F69" s="111" t="n">
        <v>0</v>
      </c>
      <c r="G69" s="111" t="n">
        <v>9183.200000000001</v>
      </c>
      <c r="H69" s="94">
        <f>COUNTIF(C69:G69,"&lt;&gt;0")</f>
        <v/>
      </c>
      <c r="I69" s="94">
        <f>IF(H69=0,"לא מטופל",IF(H69=1,"מטופל - סוכן אחד","מטופל - יותר מסוכן אחד"))</f>
        <v/>
      </c>
    </row>
    <row r="70" ht="15" customHeight="1" s="82">
      <c r="A70" s="94" t="inlineStr">
        <is>
          <t>רשת י-ם</t>
        </is>
      </c>
      <c r="B70" s="94" t="inlineStr">
        <is>
          <t>מזור י-ם ב.מ</t>
        </is>
      </c>
      <c r="C70" s="111" t="n">
        <v>0</v>
      </c>
      <c r="D70" s="111" t="n">
        <v>0</v>
      </c>
      <c r="E70" s="111" t="n">
        <v>0</v>
      </c>
      <c r="F70" s="111" t="n">
        <v>0</v>
      </c>
      <c r="G70" s="111" t="n">
        <v>805.4</v>
      </c>
      <c r="H70" s="94">
        <f>COUNTIF(C70:G70,"&lt;&gt;0")</f>
        <v/>
      </c>
      <c r="I70" s="94">
        <f>IF(H70=0,"לא מטופל",IF(H70=1,"מטופל - סוכן אחד","מטופל - יותר מסוכן אחד"))</f>
        <v/>
      </c>
    </row>
    <row r="71" ht="15" customHeight="1" s="82">
      <c r="A71" s="94" t="inlineStr">
        <is>
          <t>רשת י-ם</t>
        </is>
      </c>
      <c r="B71" s="94" t="inlineStr">
        <is>
          <t>ב.מ סנהדריה מדי פלוס</t>
        </is>
      </c>
      <c r="C71" s="111" t="n">
        <v>0</v>
      </c>
      <c r="D71" s="111" t="n">
        <v>0</v>
      </c>
      <c r="E71" s="111" t="n">
        <v>0</v>
      </c>
      <c r="F71" s="111" t="n">
        <v>0</v>
      </c>
      <c r="G71" s="111" t="n">
        <v>5440.6</v>
      </c>
      <c r="H71" s="94">
        <f>COUNTIF(C71:G71,"&lt;&gt;0")</f>
        <v/>
      </c>
      <c r="I71" s="94">
        <f>IF(H71=0,"לא מטופל",IF(H71=1,"מטופל - סוכן אחד","מטופל - יותר מסוכן אחד"))</f>
        <v/>
      </c>
    </row>
    <row r="72" ht="15" customHeight="1" s="82">
      <c r="A72" s="94" t="inlineStr">
        <is>
          <t>רשת י-ם</t>
        </is>
      </c>
      <c r="B72" s="94" t="inlineStr">
        <is>
          <t>עוזיאל י-ם ב.מ</t>
        </is>
      </c>
      <c r="C72" s="111" t="n">
        <v>0</v>
      </c>
      <c r="D72" s="111" t="n">
        <v>0</v>
      </c>
      <c r="E72" s="111" t="n">
        <v>0</v>
      </c>
      <c r="F72" s="111" t="n">
        <v>0</v>
      </c>
      <c r="G72" s="111" t="n">
        <v>5545.8</v>
      </c>
      <c r="H72" s="94">
        <f>COUNTIF(C72:G72,"&lt;&gt;0")</f>
        <v/>
      </c>
      <c r="I72" s="94">
        <f>IF(H72=0,"לא מטופל",IF(H72=1,"מטופל - סוכן אחד","מטופל - יותר מסוכן אחד"))</f>
        <v/>
      </c>
    </row>
    <row r="73" ht="15" customHeight="1" s="82">
      <c r="A73" s="94" t="inlineStr">
        <is>
          <t>רשת י-ם</t>
        </is>
      </c>
      <c r="B73" s="94" t="inlineStr">
        <is>
          <t>01.10 ב.מ.פארמה שאול בע""מ</t>
        </is>
      </c>
      <c r="C73" s="111" t="n">
        <v>0</v>
      </c>
      <c r="D73" s="111" t="n">
        <v>0</v>
      </c>
      <c r="E73" s="111" t="n">
        <v>0</v>
      </c>
      <c r="F73" s="111" t="n">
        <v>0</v>
      </c>
      <c r="G73" s="111" t="n">
        <v>1944.3</v>
      </c>
      <c r="H73" s="94">
        <f>COUNTIF(C73:G73,"&lt;&gt;0")</f>
        <v/>
      </c>
      <c r="I73" s="94">
        <f>IF(H73=0,"לא מטופל",IF(H73=1,"מטופל - סוכן אחד","מטופל - יותר מסוכן אחד"))</f>
        <v/>
      </c>
    </row>
    <row r="74" ht="15" customHeight="1" s="82">
      <c r="A74" s="94" t="inlineStr">
        <is>
          <t>רשת י-ם</t>
        </is>
      </c>
      <c r="B74" s="94" t="inlineStr">
        <is>
          <t>הר הזיתים ב.מ</t>
        </is>
      </c>
      <c r="C74" s="111" t="n">
        <v>0</v>
      </c>
      <c r="D74" s="111" t="n">
        <v>0</v>
      </c>
      <c r="E74" s="111" t="n">
        <v>0</v>
      </c>
      <c r="F74" s="111" t="n">
        <v>0</v>
      </c>
      <c r="G74" s="111" t="n">
        <v>4022.4</v>
      </c>
      <c r="H74" s="94">
        <f>COUNTIF(C74:G74,"&lt;&gt;0")</f>
        <v/>
      </c>
      <c r="I74" s="94">
        <f>IF(H74=0,"לא מטופל",IF(H74=1,"מטופל - סוכן אחד","מטופל - יותר מסוכן אחד"))</f>
        <v/>
      </c>
    </row>
    <row r="75" ht="15" customHeight="1" s="82">
      <c r="A75" s="94" t="inlineStr">
        <is>
          <t>רשת י-ם</t>
        </is>
      </c>
      <c r="B75" s="94" t="inlineStr">
        <is>
          <t>דויטש י-ם ב.מ</t>
        </is>
      </c>
      <c r="C75" s="111" t="n">
        <v>0</v>
      </c>
      <c r="D75" s="111" t="n">
        <v>0</v>
      </c>
      <c r="E75" s="111" t="n">
        <v>0</v>
      </c>
      <c r="F75" s="111" t="n">
        <v>0</v>
      </c>
      <c r="G75" s="111" t="n">
        <v>6734.9</v>
      </c>
      <c r="H75" s="94">
        <f>COUNTIF(C75:G75,"&lt;&gt;0")</f>
        <v/>
      </c>
      <c r="I75" s="94">
        <f>IF(H75=0,"לא מטופל",IF(H75=1,"מטופל - סוכן אחד","מטופל - יותר מסוכן אחד"))</f>
        <v/>
      </c>
    </row>
    <row r="76" ht="15" customHeight="1" s="82">
      <c r="A76" s="94" t="inlineStr">
        <is>
          <t>רשת י-ם</t>
        </is>
      </c>
      <c r="B76" s="94" t="inlineStr">
        <is>
          <t>פארם פלוס ירושלים ב.מ</t>
        </is>
      </c>
      <c r="C76" s="111" t="n">
        <v>0</v>
      </c>
      <c r="D76" s="111" t="n">
        <v>0</v>
      </c>
      <c r="E76" s="111" t="n">
        <v>0</v>
      </c>
      <c r="F76" s="111" t="n">
        <v>0</v>
      </c>
      <c r="G76" s="111" t="n">
        <v>5199.2</v>
      </c>
      <c r="H76" s="94">
        <f>COUNTIF(C76:G76,"&lt;&gt;0")</f>
        <v/>
      </c>
      <c r="I76" s="94">
        <f>IF(H76=0,"לא מטופל",IF(H76=1,"מטופל - סוכן אחד","מטופל - יותר מסוכן אחד"))</f>
        <v/>
      </c>
    </row>
    <row r="77" ht="15" customHeight="1" s="82">
      <c r="A77" s="94" t="inlineStr">
        <is>
          <t>רשת י-ם</t>
        </is>
      </c>
      <c r="B77" s="94" t="inlineStr">
        <is>
          <t>ב.מ ארמון הנציב י-ם</t>
        </is>
      </c>
      <c r="C77" s="111" t="n">
        <v>0</v>
      </c>
      <c r="D77" s="111" t="n">
        <v>0</v>
      </c>
      <c r="E77" s="111" t="n">
        <v>0</v>
      </c>
      <c r="F77" s="111" t="n">
        <v>0</v>
      </c>
      <c r="G77" s="111" t="n">
        <v>56.1</v>
      </c>
      <c r="H77" s="94">
        <f>COUNTIF(C77:G77,"&lt;&gt;0")</f>
        <v/>
      </c>
      <c r="I77" s="94">
        <f>IF(H77=0,"לא מטופל",IF(H77=1,"מטופל - סוכן אחד","מטופל - יותר מסוכן אחד"))</f>
        <v/>
      </c>
    </row>
    <row r="78" ht="15" customHeight="1" s="82">
      <c r="A78" s="94" t="inlineStr">
        <is>
          <t>רשת י-ם</t>
        </is>
      </c>
      <c r="B78" s="94" t="inlineStr">
        <is>
          <t>ג'נא פארם ב.מ מבשרת ציון</t>
        </is>
      </c>
      <c r="C78" s="111" t="n">
        <v>0</v>
      </c>
      <c r="D78" s="111" t="n">
        <v>0</v>
      </c>
      <c r="E78" s="111" t="n">
        <v>0</v>
      </c>
      <c r="F78" s="111" t="n">
        <v>0</v>
      </c>
      <c r="G78" s="111" t="n">
        <v>2047.8</v>
      </c>
      <c r="H78" s="94">
        <f>COUNTIF(C78:G78,"&lt;&gt;0")</f>
        <v/>
      </c>
      <c r="I78" s="94">
        <f>IF(H78=0,"לא מטופל",IF(H78=1,"מטופל - סוכן אחד","מטופל - יותר מסוכן אחד"))</f>
        <v/>
      </c>
    </row>
    <row r="79" ht="15" customHeight="1" s="82">
      <c r="A79" s="94" t="inlineStr">
        <is>
          <t>רשת י-ם</t>
        </is>
      </c>
      <c r="B79" s="94" t="inlineStr">
        <is>
          <t>מקסיפארם ברוכים י-ם ב.מ</t>
        </is>
      </c>
      <c r="C79" s="111" t="n">
        <v>0</v>
      </c>
      <c r="D79" s="111" t="n">
        <v>0</v>
      </c>
      <c r="E79" s="111" t="n">
        <v>0</v>
      </c>
      <c r="F79" s="111" t="n">
        <v>0</v>
      </c>
      <c r="G79" s="111" t="n">
        <v>1869.6</v>
      </c>
      <c r="H79" s="94">
        <f>COUNTIF(C79:G79,"&lt;&gt;0")</f>
        <v/>
      </c>
      <c r="I79" s="94">
        <f>IF(H79=0,"לא מטופל",IF(H79=1,"מטופל - סוכן אחד","מטופל - יותר מסוכן אחד"))</f>
        <v/>
      </c>
    </row>
    <row r="80" ht="15" customHeight="1" s="82">
      <c r="A80" s="94" t="inlineStr">
        <is>
          <t>רשת י-ם</t>
        </is>
      </c>
      <c r="B80" s="94" t="inlineStr">
        <is>
          <t>מוריה י-ם ב.מ</t>
        </is>
      </c>
      <c r="C80" s="111" t="n">
        <v>0</v>
      </c>
      <c r="D80" s="111" t="n">
        <v>0</v>
      </c>
      <c r="E80" s="111" t="n">
        <v>0</v>
      </c>
      <c r="F80" s="111" t="n">
        <v>0</v>
      </c>
      <c r="G80" s="111" t="n">
        <v>7207.6</v>
      </c>
      <c r="H80" s="94">
        <f>COUNTIF(C80:G80,"&lt;&gt;0")</f>
        <v/>
      </c>
      <c r="I80" s="94">
        <f>IF(H80=0,"לא מטופל",IF(H80=1,"מטופל - סוכן אחד","מטופל - יותר מסוכן אחד"))</f>
        <v/>
      </c>
    </row>
    <row r="81" ht="15" customHeight="1" s="82">
      <c r="A81" s="94" t="inlineStr">
        <is>
          <t>שור טבצניק</t>
        </is>
      </c>
      <c r="B81" s="94" t="inlineStr">
        <is>
          <t>שור טבצ'ניק ת""א ב.מ</t>
        </is>
      </c>
      <c r="C81" s="111" t="n">
        <v>3760</v>
      </c>
      <c r="D81" s="111" t="n">
        <v>0</v>
      </c>
      <c r="E81" s="111" t="n">
        <v>0</v>
      </c>
      <c r="F81" s="111" t="n">
        <v>0</v>
      </c>
      <c r="G81" s="111" t="n">
        <v>0</v>
      </c>
      <c r="H81" s="94">
        <f>COUNTIF(C81:G81,"&lt;&gt;0")</f>
        <v/>
      </c>
      <c r="I81" s="94">
        <f>IF(H81=0,"לא מטופל",IF(H81=1,"מטופל - סוכן אחד","מטופל - יותר מסוכן אחד"))</f>
        <v/>
      </c>
    </row>
    <row r="82" ht="15" customHeight="1" s="82">
      <c r="A82" s="94" t="inlineStr">
        <is>
          <t>שרם</t>
        </is>
      </c>
      <c r="B82" s="94" t="inlineStr">
        <is>
          <t>מזור יבנה ב.מ שרמפארם</t>
        </is>
      </c>
      <c r="C82" s="111" t="n">
        <v>0</v>
      </c>
      <c r="D82" s="111" t="n">
        <v>0</v>
      </c>
      <c r="E82" s="111" t="n">
        <v>94.09999999999999</v>
      </c>
      <c r="F82" s="111" t="n">
        <v>0</v>
      </c>
      <c r="G82" s="111" t="n">
        <v>0</v>
      </c>
      <c r="H82" s="94">
        <f>COUNTIF(C82:G82,"&lt;&gt;0")</f>
        <v/>
      </c>
      <c r="I82" s="94">
        <f>IF(H82=0,"לא מטופל",IF(H82=1,"מטופל - סוכן אחד","מטופל - יותר מסוכן אחד"))</f>
        <v/>
      </c>
    </row>
    <row r="83" ht="15" customHeight="1" s="82">
      <c r="A83" s="94" t="inlineStr">
        <is>
          <t>שרם</t>
        </is>
      </c>
      <c r="B83" s="94" t="inlineStr">
        <is>
          <t>פארם דרום רהט שרם</t>
        </is>
      </c>
      <c r="C83" s="111" t="n">
        <v>0</v>
      </c>
      <c r="D83" s="111" t="n">
        <v>0</v>
      </c>
      <c r="E83" s="111" t="n">
        <v>262.4</v>
      </c>
      <c r="F83" s="111" t="n">
        <v>0</v>
      </c>
      <c r="G83" s="111" t="n">
        <v>0</v>
      </c>
      <c r="H83" s="94">
        <f>COUNTIF(C83:G83,"&lt;&gt;0")</f>
        <v/>
      </c>
      <c r="I83" s="94">
        <f>IF(H83=0,"לא מטופל",IF(H83=1,"מטופל - סוכן אחד","מטופל - יותר מסוכן אחד"))</f>
        <v/>
      </c>
    </row>
    <row r="84" ht="15" customHeight="1" s="82">
      <c r="A84" s="94" t="inlineStr">
        <is>
          <t>שרם</t>
        </is>
      </c>
      <c r="B84" s="94" t="inlineStr">
        <is>
          <t>ב.מ הלא - אלפי מנשה שרמפארם</t>
        </is>
      </c>
      <c r="C84" s="111" t="n">
        <v>0</v>
      </c>
      <c r="D84" s="111" t="n">
        <v>0</v>
      </c>
      <c r="E84" s="111" t="n">
        <v>5367.9</v>
      </c>
      <c r="F84" s="111" t="n">
        <v>0</v>
      </c>
      <c r="G84" s="111" t="n">
        <v>0</v>
      </c>
      <c r="H84" s="94">
        <f>COUNTIF(C84:G84,"&lt;&gt;0")</f>
        <v/>
      </c>
      <c r="I84" s="94">
        <f>IF(H84=0,"לא מטופל",IF(H84=1,"מטופל - סוכן אחד","מטופל - יותר מסוכן אחד"))</f>
        <v/>
      </c>
    </row>
    <row r="85" ht="15" customHeight="1" s="82">
      <c r="A85" s="94" t="inlineStr">
        <is>
          <t>שרם</t>
        </is>
      </c>
      <c r="B85" s="94" t="inlineStr">
        <is>
          <t>הלא ג'לג'וליה ב.מ שרםפארם</t>
        </is>
      </c>
      <c r="C85" s="111" t="n">
        <v>0</v>
      </c>
      <c r="D85" s="111" t="n">
        <v>0</v>
      </c>
      <c r="E85" s="111" t="n">
        <v>8264.4</v>
      </c>
      <c r="F85" s="111" t="n">
        <v>0</v>
      </c>
      <c r="G85" s="111" t="n">
        <v>0</v>
      </c>
      <c r="H85" s="94">
        <f>COUNTIF(C85:G85,"&lt;&gt;0")</f>
        <v/>
      </c>
      <c r="I85" s="94">
        <f>IF(H85=0,"לא מטופל",IF(H85=1,"מטופל - סוכן אחד","מטופל - יותר מסוכן אחד"))</f>
        <v/>
      </c>
    </row>
    <row r="86" ht="15" customHeight="1" s="82">
      <c r="A86" s="94" t="inlineStr">
        <is>
          <t>שרם</t>
        </is>
      </c>
      <c r="B86" s="94" t="inlineStr">
        <is>
          <t>המרקחה ב.מ 03.11 שרמפארם</t>
        </is>
      </c>
      <c r="C86" s="111" t="n">
        <v>9776.6</v>
      </c>
      <c r="D86" s="111" t="n">
        <v>0</v>
      </c>
      <c r="E86" s="111" t="n">
        <v>0</v>
      </c>
      <c r="F86" s="111" t="n">
        <v>0</v>
      </c>
      <c r="G86" s="111" t="n">
        <v>0</v>
      </c>
      <c r="H86" s="94">
        <f>COUNTIF(C86:G86,"&lt;&gt;0")</f>
        <v/>
      </c>
      <c r="I86" s="94">
        <f>IF(H86=0,"לא מטופל",IF(H86=1,"מטופל - סוכן אחד","מטופל - יותר מסוכן אחד"))</f>
        <v/>
      </c>
    </row>
    <row r="87" ht="15" customHeight="1" s="82">
      <c r="A87" s="94" t="inlineStr">
        <is>
          <t>שרם</t>
        </is>
      </c>
      <c r="B87" s="94" t="inlineStr">
        <is>
          <t>אבי 2 ר""ג שרםפארם</t>
        </is>
      </c>
      <c r="C87" s="111" t="n">
        <v>0</v>
      </c>
      <c r="D87" s="111" t="n">
        <v>0</v>
      </c>
      <c r="E87" s="111" t="n">
        <v>2667.8</v>
      </c>
      <c r="F87" s="111" t="n">
        <v>0</v>
      </c>
      <c r="G87" s="111" t="n">
        <v>0</v>
      </c>
      <c r="H87" s="94">
        <f>COUNTIF(C87:G87,"&lt;&gt;0")</f>
        <v/>
      </c>
      <c r="I87" s="94">
        <f>IF(H87=0,"לא מטופל",IF(H87=1,"מטופל - סוכן אחד","מטופל - יותר מסוכן אחד"))</f>
        <v/>
      </c>
    </row>
    <row r="88" ht="15" customHeight="1" s="82">
      <c r="A88" s="94" t="inlineStr">
        <is>
          <t>שרם</t>
        </is>
      </c>
      <c r="B88" s="94" t="inlineStr">
        <is>
          <t>תל גנים ב.מ שרםפארם גבעתיים</t>
        </is>
      </c>
      <c r="C88" s="111" t="n">
        <v>0</v>
      </c>
      <c r="D88" s="111" t="n">
        <v>0</v>
      </c>
      <c r="E88" s="111" t="n">
        <v>3470.3</v>
      </c>
      <c r="F88" s="111" t="n">
        <v>0</v>
      </c>
      <c r="G88" s="111" t="n">
        <v>0</v>
      </c>
      <c r="H88" s="94">
        <f>COUNTIF(C88:G88,"&lt;&gt;0")</f>
        <v/>
      </c>
      <c r="I88" s="94">
        <f>IF(H88=0,"לא מטופל",IF(H88=1,"מטופל - סוכן אחד","מטופל - יותר מסוכן אחד"))</f>
        <v/>
      </c>
    </row>
    <row r="89" ht="15" customHeight="1" s="82">
      <c r="A89" s="94" t="inlineStr">
        <is>
          <t>שרם</t>
        </is>
      </c>
      <c r="B89" s="94" t="inlineStr">
        <is>
          <t>טל שחר ת""א ב.מ שרםפארם</t>
        </is>
      </c>
      <c r="C89" s="111" t="n">
        <v>2020.2</v>
      </c>
      <c r="D89" s="111" t="n">
        <v>0</v>
      </c>
      <c r="E89" s="111" t="n">
        <v>0</v>
      </c>
      <c r="F89" s="111" t="n">
        <v>0</v>
      </c>
      <c r="G89" s="111" t="n">
        <v>0</v>
      </c>
      <c r="H89" s="94">
        <f>COUNTIF(C89:G89,"&lt;&gt;0")</f>
        <v/>
      </c>
      <c r="I89" s="94">
        <f>IF(H89=0,"לא מטופל",IF(H89=1,"מטופל - סוכן אחד","מטופל - יותר מסוכן אחד"))</f>
        <v/>
      </c>
    </row>
    <row r="90" ht="15" customHeight="1" s="82">
      <c r="A90" s="94" t="inlineStr">
        <is>
          <t>שרם</t>
        </is>
      </c>
      <c r="B90" s="94" t="inlineStr">
        <is>
          <t>נחמיה ב""ב ב.מ שרםפארם</t>
        </is>
      </c>
      <c r="C90" s="111" t="n">
        <v>240.7</v>
      </c>
      <c r="D90" s="111" t="n">
        <v>0</v>
      </c>
      <c r="E90" s="111" t="n">
        <v>0</v>
      </c>
      <c r="F90" s="111" t="n">
        <v>0</v>
      </c>
      <c r="G90" s="111" t="n">
        <v>0</v>
      </c>
      <c r="H90" s="94">
        <f>COUNTIF(C90:G90,"&lt;&gt;0")</f>
        <v/>
      </c>
      <c r="I90" s="94">
        <f>IF(H90=0,"לא מטופל",IF(H90=1,"מטופל - סוכן אחד","מטופל - יותר מסוכן אחד"))</f>
        <v/>
      </c>
    </row>
    <row r="91" ht="15" customHeight="1" s="82">
      <c r="A91" s="94" t="inlineStr">
        <is>
          <t>שרם</t>
        </is>
      </c>
      <c r="B91" s="94" t="inlineStr">
        <is>
          <t>יהודה הלוי ת""א ב.מ שרםפארם</t>
        </is>
      </c>
      <c r="C91" s="111" t="n">
        <v>452.2</v>
      </c>
      <c r="D91" s="111" t="n">
        <v>0</v>
      </c>
      <c r="E91" s="111" t="n">
        <v>0</v>
      </c>
      <c r="F91" s="111" t="n">
        <v>0</v>
      </c>
      <c r="G91" s="111" t="n">
        <v>0</v>
      </c>
      <c r="H91" s="94">
        <f>COUNTIF(C91:G91,"&lt;&gt;0")</f>
        <v/>
      </c>
      <c r="I91" s="94">
        <f>IF(H91=0,"לא מטופל",IF(H91=1,"מטופל - סוכן אחד","מטופל - יותר מסוכן אחד"))</f>
        <v/>
      </c>
    </row>
    <row r="92" ht="15" customHeight="1" s="82">
      <c r="A92" s="94" t="inlineStr">
        <is>
          <t>שרם</t>
        </is>
      </c>
      <c r="B92" s="94" t="inlineStr">
        <is>
          <t>מרכז צפון ת""א ב.מ שרםפארם</t>
        </is>
      </c>
      <c r="C92" s="111" t="n">
        <v>1404</v>
      </c>
      <c r="D92" s="111" t="n">
        <v>0</v>
      </c>
      <c r="E92" s="111" t="n">
        <v>0</v>
      </c>
      <c r="F92" s="111" t="n">
        <v>0</v>
      </c>
      <c r="G92" s="111" t="n">
        <v>0</v>
      </c>
      <c r="H92" s="94">
        <f>COUNTIF(C92:G92,"&lt;&gt;0")</f>
        <v/>
      </c>
      <c r="I92" s="94">
        <f>IF(H92=0,"לא מטופל",IF(H92=1,"מטופל - סוכן אחד","מטופל - יותר מסוכן אחד"))</f>
        <v/>
      </c>
    </row>
    <row r="93" ht="15" customHeight="1" s="82">
      <c r="A93" s="94" t="inlineStr">
        <is>
          <t>שרם</t>
        </is>
      </c>
      <c r="B93" s="94" t="inlineStr">
        <is>
          <t>בלסם פארם בית ג'אן ב.מ שרמפארם</t>
        </is>
      </c>
      <c r="C93" s="111" t="n">
        <v>0</v>
      </c>
      <c r="D93" s="111" t="n">
        <v>2841.2</v>
      </c>
      <c r="E93" s="111" t="n">
        <v>0</v>
      </c>
      <c r="F93" s="111" t="n">
        <v>0</v>
      </c>
      <c r="G93" s="111" t="n">
        <v>0</v>
      </c>
      <c r="H93" s="94">
        <f>COUNTIF(C93:G93,"&lt;&gt;0")</f>
        <v/>
      </c>
      <c r="I93" s="94">
        <f>IF(H93=0,"לא מטופל",IF(H93=1,"מטופל - סוכן אחד","מטופל - יותר מסוכן אחד"))</f>
        <v/>
      </c>
    </row>
    <row r="94" ht="15" customHeight="1" s="82">
      <c r="A94" s="94" t="inlineStr">
        <is>
          <t>שרם</t>
        </is>
      </c>
      <c r="B94" s="94" t="inlineStr">
        <is>
          <t>הגליל תרשיחא ב.מ שרמפארם</t>
        </is>
      </c>
      <c r="C94" s="111" t="n">
        <v>0</v>
      </c>
      <c r="D94" s="111" t="n">
        <v>14262.8</v>
      </c>
      <c r="E94" s="111" t="n">
        <v>0</v>
      </c>
      <c r="F94" s="111" t="n">
        <v>0</v>
      </c>
      <c r="G94" s="111" t="n">
        <v>0</v>
      </c>
      <c r="H94" s="94">
        <f>COUNTIF(C94:G94,"&lt;&gt;0")</f>
        <v/>
      </c>
      <c r="I94" s="94">
        <f>IF(H94=0,"לא מטופל",IF(H94=1,"מטופל - סוכן אחד","מטופל - יותר מסוכן אחד"))</f>
        <v/>
      </c>
    </row>
    <row r="95" ht="15" customHeight="1" s="82">
      <c r="A95" s="94" t="inlineStr">
        <is>
          <t>שרם</t>
        </is>
      </c>
      <c r="B95" s="94" t="inlineStr">
        <is>
          <t>מטר פארם ב.מ עכו</t>
        </is>
      </c>
      <c r="C95" s="111" t="n">
        <v>0</v>
      </c>
      <c r="D95" s="111" t="n">
        <v>1412.2</v>
      </c>
      <c r="E95" s="111" t="n">
        <v>0</v>
      </c>
      <c r="F95" s="111" t="n">
        <v>0</v>
      </c>
      <c r="G95" s="111" t="n">
        <v>0</v>
      </c>
      <c r="H95" s="94">
        <f>COUNTIF(C95:G95,"&lt;&gt;0")</f>
        <v/>
      </c>
      <c r="I95" s="94">
        <f>IF(H95=0,"לא מטופל",IF(H95=1,"מטופל - סוכן אחד","מטופל - יותר מסוכן אחד"))</f>
        <v/>
      </c>
    </row>
    <row r="96" ht="15" customHeight="1" s="82">
      <c r="A96" s="94" t="inlineStr">
        <is>
          <t>שרם</t>
        </is>
      </c>
      <c r="B96" s="94" t="inlineStr">
        <is>
          <t>רקפות מעלות ב.מ שרמפארם</t>
        </is>
      </c>
      <c r="C96" s="111" t="n">
        <v>0</v>
      </c>
      <c r="D96" s="111" t="n">
        <v>5638.6</v>
      </c>
      <c r="E96" s="111" t="n">
        <v>0</v>
      </c>
      <c r="F96" s="111" t="n">
        <v>0</v>
      </c>
      <c r="G96" s="111" t="n">
        <v>0</v>
      </c>
      <c r="H96" s="94">
        <f>COUNTIF(C96:G96,"&lt;&gt;0")</f>
        <v/>
      </c>
      <c r="I96" s="94">
        <f>IF(H96=0,"לא מטופל",IF(H96=1,"מטופל - סוכן אחד","מטופל - יותר מסוכן אחד"))</f>
        <v/>
      </c>
    </row>
    <row r="97" ht="15" customHeight="1" s="82">
      <c r="A97" s="94" t="inlineStr">
        <is>
          <t>שרם</t>
        </is>
      </c>
      <c r="B97" s="94" t="inlineStr">
        <is>
          <t>מעלות בעמכ-פר ורדים ב.מ. שרמפא</t>
        </is>
      </c>
      <c r="C97" s="111" t="n">
        <v>0</v>
      </c>
      <c r="D97" s="111" t="n">
        <v>2740.7</v>
      </c>
      <c r="E97" s="111" t="n">
        <v>0</v>
      </c>
      <c r="F97" s="111" t="n">
        <v>0</v>
      </c>
      <c r="G97" s="111" t="n">
        <v>0</v>
      </c>
      <c r="H97" s="94">
        <f>COUNTIF(C97:G97,"&lt;&gt;0")</f>
        <v/>
      </c>
      <c r="I97" s="94">
        <f>IF(H97=0,"לא מטופל",IF(H97=1,"מטופל - סוכן אחד","מטופל - יותר מסוכן אחד"))</f>
        <v/>
      </c>
    </row>
    <row r="98" ht="15" customHeight="1" s="82">
      <c r="A98" s="94" t="inlineStr">
        <is>
          <t>שרם</t>
        </is>
      </c>
      <c r="B98" s="94" t="inlineStr">
        <is>
          <t>נארימאן פארם בע""מ כפר ראמה שרמ</t>
        </is>
      </c>
      <c r="C98" s="111" t="n">
        <v>0</v>
      </c>
      <c r="D98" s="111" t="n">
        <v>6683.7</v>
      </c>
      <c r="E98" s="111" t="n">
        <v>0</v>
      </c>
      <c r="F98" s="111" t="n">
        <v>0</v>
      </c>
      <c r="G98" s="111" t="n">
        <v>0</v>
      </c>
      <c r="H98" s="94">
        <f>COUNTIF(C98:G98,"&lt;&gt;0")</f>
        <v/>
      </c>
      <c r="I98" s="94">
        <f>IF(H98=0,"לא מטופל",IF(H98=1,"מטופל - סוכן אחד","מטופל - יותר מסוכן אחד"))</f>
        <v/>
      </c>
    </row>
    <row r="99" ht="15" customHeight="1" s="82">
      <c r="A99" s="94" t="inlineStr">
        <is>
          <t>שרם</t>
        </is>
      </c>
      <c r="B99" s="94" t="inlineStr">
        <is>
          <t>ספא פארם נצרת עילית ב.מ שרמפאר</t>
        </is>
      </c>
      <c r="C99" s="111" t="n">
        <v>0</v>
      </c>
      <c r="D99" s="111" t="n">
        <v>1496.4</v>
      </c>
      <c r="E99" s="111" t="n">
        <v>0</v>
      </c>
      <c r="F99" s="111" t="n">
        <v>0</v>
      </c>
      <c r="G99" s="111" t="n">
        <v>0</v>
      </c>
      <c r="H99" s="94">
        <f>COUNTIF(C99:G99,"&lt;&gt;0")</f>
        <v/>
      </c>
      <c r="I99" s="94">
        <f>IF(H99=0,"לא מטופל",IF(H99=1,"מטופל - סוכן אחד","מטופל - יותר מסוכן אחד"))</f>
        <v/>
      </c>
    </row>
    <row r="100" ht="15" customHeight="1" s="82">
      <c r="A100" s="94" t="inlineStr">
        <is>
          <t>שרם</t>
        </is>
      </c>
      <c r="B100" s="94" t="inlineStr">
        <is>
          <t>טמרה פארם בע""מ  ב.מ שרמפארם</t>
        </is>
      </c>
      <c r="C100" s="111" t="n">
        <v>0</v>
      </c>
      <c r="D100" s="111" t="n">
        <v>7846.8</v>
      </c>
      <c r="E100" s="111" t="n">
        <v>0</v>
      </c>
      <c r="F100" s="111" t="n">
        <v>0</v>
      </c>
      <c r="G100" s="111" t="n">
        <v>0</v>
      </c>
      <c r="H100" s="94">
        <f>COUNTIF(C100:G100,"&lt;&gt;0")</f>
        <v/>
      </c>
      <c r="I100" s="94">
        <f>IF(H100=0,"לא מטופל",IF(H100=1,"מטופל - סוכן אחד","מטופל - יותר מסוכן אחד"))</f>
        <v/>
      </c>
    </row>
    <row r="101" ht="15" customHeight="1" s="82">
      <c r="A101" s="94" t="inlineStr">
        <is>
          <t>שרם</t>
        </is>
      </c>
      <c r="B101" s="94" t="inlineStr">
        <is>
          <t>אורנים טבעון ב.מ שרמפארם</t>
        </is>
      </c>
      <c r="C101" s="111" t="n">
        <v>0</v>
      </c>
      <c r="D101" s="111" t="n">
        <v>590</v>
      </c>
      <c r="E101" s="111" t="n">
        <v>0</v>
      </c>
      <c r="F101" s="111" t="n">
        <v>0</v>
      </c>
      <c r="G101" s="111" t="n">
        <v>0</v>
      </c>
      <c r="H101" s="94">
        <f>COUNTIF(C101:G101,"&lt;&gt;0")</f>
        <v/>
      </c>
      <c r="I101" s="94">
        <f>IF(H101=0,"לא מטופל",IF(H101=1,"מטופל - סוכן אחד","מטופל - יותר מסוכן אחד"))</f>
        <v/>
      </c>
    </row>
    <row r="102" ht="15" customHeight="1" s="82">
      <c r="A102" s="94" t="inlineStr">
        <is>
          <t>שרם</t>
        </is>
      </c>
      <c r="B102" s="94" t="inlineStr">
        <is>
          <t>לב כרמל בע""מ ב.מ  שרמפארם</t>
        </is>
      </c>
      <c r="C102" s="111" t="n">
        <v>0</v>
      </c>
      <c r="D102" s="111" t="n">
        <v>3320.8</v>
      </c>
      <c r="E102" s="111" t="n">
        <v>0</v>
      </c>
      <c r="F102" s="111" t="n">
        <v>0</v>
      </c>
      <c r="G102" s="111" t="n">
        <v>0</v>
      </c>
      <c r="H102" s="94">
        <f>COUNTIF(C102:G102,"&lt;&gt;0")</f>
        <v/>
      </c>
      <c r="I102" s="94">
        <f>IF(H102=0,"לא מטופל",IF(H102=1,"מטופל - סוכן אחד","מטופל - יותר מסוכן אחד"))</f>
        <v/>
      </c>
    </row>
    <row r="103" ht="15" customHeight="1" s="82">
      <c r="A103" s="94" t="inlineStr">
        <is>
          <t>שרם</t>
        </is>
      </c>
      <c r="B103" s="94" t="inlineStr">
        <is>
          <t>העליה השניה בע""מ בימ""ק שרמפארם</t>
        </is>
      </c>
      <c r="C103" s="111" t="n">
        <v>0</v>
      </c>
      <c r="D103" s="111" t="n">
        <v>4596</v>
      </c>
      <c r="E103" s="111" t="n">
        <v>0</v>
      </c>
      <c r="F103" s="111" t="n">
        <v>0</v>
      </c>
      <c r="G103" s="111" t="n">
        <v>0</v>
      </c>
      <c r="H103" s="94">
        <f>COUNTIF(C103:G103,"&lt;&gt;0")</f>
        <v/>
      </c>
      <c r="I103" s="94">
        <f>IF(H103=0,"לא מטופל",IF(H103=1,"מטופל - סוכן אחד","מטופל - יותר מסוכן אחד"))</f>
        <v/>
      </c>
    </row>
    <row r="104" ht="15" customHeight="1" s="82">
      <c r="A104" s="94" t="inlineStr">
        <is>
          <t>שרם</t>
        </is>
      </c>
      <c r="B104" s="94" t="inlineStr">
        <is>
          <t>צמח פארם ב.מ שרמפארם</t>
        </is>
      </c>
      <c r="C104" s="111" t="n">
        <v>0</v>
      </c>
      <c r="D104" s="111" t="n">
        <v>3440.7</v>
      </c>
      <c r="E104" s="111" t="n">
        <v>0</v>
      </c>
      <c r="F104" s="111" t="n">
        <v>0</v>
      </c>
      <c r="G104" s="111" t="n">
        <v>0</v>
      </c>
      <c r="H104" s="94">
        <f>COUNTIF(C104:G104,"&lt;&gt;0")</f>
        <v/>
      </c>
      <c r="I104" s="94">
        <f>IF(H104=0,"לא מטופל",IF(H104=1,"מטופל - סוכן אחד","מטופל - יותר מסוכן אחד"))</f>
        <v/>
      </c>
    </row>
    <row r="105" ht="15" customHeight="1" s="82">
      <c r="A105" s="94" t="inlineStr">
        <is>
          <t>שרם</t>
        </is>
      </c>
      <c r="B105" s="94" t="inlineStr">
        <is>
          <t>שבתאי לוי ב.מ  חיפה שרמפארם</t>
        </is>
      </c>
      <c r="C105" s="111" t="n">
        <v>0</v>
      </c>
      <c r="D105" s="111" t="n">
        <v>243.6</v>
      </c>
      <c r="E105" s="111" t="n">
        <v>0</v>
      </c>
      <c r="F105" s="111" t="n">
        <v>0</v>
      </c>
      <c r="G105" s="111" t="n">
        <v>0</v>
      </c>
      <c r="H105" s="94">
        <f>COUNTIF(C105:G105,"&lt;&gt;0")</f>
        <v/>
      </c>
      <c r="I105" s="94">
        <f>IF(H105=0,"לא מטופל",IF(H105=1,"מטופל - סוכן אחד","מטופל - יותר מסוכן אחד"))</f>
        <v/>
      </c>
    </row>
    <row r="106" ht="15" customHeight="1" s="82">
      <c r="A106" s="94" t="inlineStr">
        <is>
          <t>שרם</t>
        </is>
      </c>
      <c r="B106" s="94" t="inlineStr">
        <is>
          <t>גולן פארם קצרין ב.מ שרמפארם</t>
        </is>
      </c>
      <c r="C106" s="111" t="n">
        <v>0</v>
      </c>
      <c r="D106" s="111" t="n">
        <v>969.2</v>
      </c>
      <c r="E106" s="111" t="n">
        <v>0</v>
      </c>
      <c r="F106" s="111" t="n">
        <v>0</v>
      </c>
      <c r="G106" s="111" t="n">
        <v>0</v>
      </c>
      <c r="H106" s="94">
        <f>COUNTIF(C106:G106,"&lt;&gt;0")</f>
        <v/>
      </c>
      <c r="I106" s="94">
        <f>IF(H106=0,"לא מטופל",IF(H106=1,"מטופל - סוכן אחד","מטופל - יותר מסוכן אחד"))</f>
        <v/>
      </c>
    </row>
    <row r="107" ht="15" customHeight="1" s="82">
      <c r="A107" s="94" t="inlineStr">
        <is>
          <t>שרם</t>
        </is>
      </c>
      <c r="B107" s="94" t="inlineStr">
        <is>
          <t>פארם לקיה ב.מ  ש.ר.ם</t>
        </is>
      </c>
      <c r="C107" s="111" t="n">
        <v>0</v>
      </c>
      <c r="D107" s="111" t="n">
        <v>0</v>
      </c>
      <c r="E107" s="111" t="n">
        <v>1355.6</v>
      </c>
      <c r="F107" s="111" t="n">
        <v>0</v>
      </c>
      <c r="G107" s="111" t="n">
        <v>0</v>
      </c>
      <c r="H107" s="94">
        <f>COUNTIF(C107:G107,"&lt;&gt;0")</f>
        <v/>
      </c>
      <c r="I107" s="94">
        <f>IF(H107=0,"לא מטופל",IF(H107=1,"מטופל - סוכן אחד","מטופל - יותר מסוכן אחד"))</f>
        <v/>
      </c>
    </row>
    <row r="108" ht="15" customHeight="1" s="82">
      <c r="A108" s="94" t="inlineStr">
        <is>
          <t>שרם</t>
        </is>
      </c>
      <c r="B108" s="94" t="inlineStr">
        <is>
          <t>נוה גנים ק מוצקין 3178 ב.מ</t>
        </is>
      </c>
      <c r="C108" s="111" t="n">
        <v>0</v>
      </c>
      <c r="D108" s="111" t="n">
        <v>818</v>
      </c>
      <c r="E108" s="111" t="n">
        <v>0</v>
      </c>
      <c r="F108" s="111" t="n">
        <v>0</v>
      </c>
      <c r="G108" s="111" t="n">
        <v>0</v>
      </c>
      <c r="H108" s="94">
        <f>COUNTIF(C108:G108,"&lt;&gt;0")</f>
        <v/>
      </c>
      <c r="I108" s="94">
        <f>IF(H108=0,"לא מטופל",IF(H108=1,"מטופל - סוכן אחד","מטופל - יותר מסוכן אחד"))</f>
        <v/>
      </c>
    </row>
    <row r="109" ht="15" customHeight="1" s="82">
      <c r="A109" s="94" t="inlineStr">
        <is>
          <t>שרם</t>
        </is>
      </c>
      <c r="B109" s="94" t="inlineStr">
        <is>
          <t>ב.מ לנא שוכרי פארם סביון שרמפא</t>
        </is>
      </c>
      <c r="C109" s="111" t="n">
        <v>0</v>
      </c>
      <c r="D109" s="111" t="n">
        <v>0</v>
      </c>
      <c r="E109" s="111" t="n">
        <v>2832.9</v>
      </c>
      <c r="F109" s="111" t="n">
        <v>0</v>
      </c>
      <c r="G109" s="111" t="n">
        <v>0</v>
      </c>
      <c r="H109" s="94">
        <f>COUNTIF(C109:G109,"&lt;&gt;0")</f>
        <v/>
      </c>
      <c r="I109" s="94">
        <f>IF(H109=0,"לא מטופל",IF(H109=1,"מטופל - סוכן אחד","מטופל - יותר מסוכן אחד"))</f>
        <v/>
      </c>
    </row>
    <row r="110" ht="15" customHeight="1" s="82">
      <c r="A110" s="94" t="inlineStr">
        <is>
          <t>שרם</t>
        </is>
      </c>
      <c r="B110" s="94" t="inlineStr">
        <is>
          <t>בר אילן רעננה ב.מ שרמפארם</t>
        </is>
      </c>
      <c r="C110" s="111" t="n">
        <v>1061.8</v>
      </c>
      <c r="D110" s="111" t="n">
        <v>0</v>
      </c>
      <c r="E110" s="111" t="n">
        <v>0</v>
      </c>
      <c r="F110" s="111" t="n">
        <v>0</v>
      </c>
      <c r="G110" s="111" t="n">
        <v>0</v>
      </c>
      <c r="H110" s="94">
        <f>COUNTIF(C110:G110,"&lt;&gt;0")</f>
        <v/>
      </c>
      <c r="I110" s="94">
        <f>IF(H110=0,"לא מטופל",IF(H110=1,"מטופל - סוכן אחד","מטופל - יותר מסוכן אחד"))</f>
        <v/>
      </c>
    </row>
    <row r="111" ht="15" customHeight="1" s="82">
      <c r="A111" s="94" t="inlineStr">
        <is>
          <t>שרם</t>
        </is>
      </c>
      <c r="B111" s="94" t="inlineStr">
        <is>
          <t>מזרח עכו ב.מ שרמפארם</t>
        </is>
      </c>
      <c r="C111" s="111" t="n">
        <v>0</v>
      </c>
      <c r="D111" s="111" t="n">
        <v>9395.1</v>
      </c>
      <c r="E111" s="111" t="n">
        <v>0</v>
      </c>
      <c r="F111" s="111" t="n">
        <v>0</v>
      </c>
      <c r="G111" s="111" t="n">
        <v>0</v>
      </c>
      <c r="H111" s="94">
        <f>COUNTIF(C111:G111,"&lt;&gt;0")</f>
        <v/>
      </c>
      <c r="I111" s="94">
        <f>IF(H111=0,"לא מטופל",IF(H111=1,"מטופל - סוכן אחד","מטופל - יותר מסוכן אחד"))</f>
        <v/>
      </c>
    </row>
    <row r="112" ht="15" customHeight="1" s="82">
      <c r="A112" s="94" t="inlineStr">
        <is>
          <t>שרם</t>
        </is>
      </c>
      <c r="B112" s="94" t="inlineStr">
        <is>
          <t>.ברק )י.מ.שרותי רוקחות(ת""א ב.מ</t>
        </is>
      </c>
      <c r="C112" s="111" t="n">
        <v>3322.6</v>
      </c>
      <c r="D112" s="111" t="n">
        <v>0</v>
      </c>
      <c r="E112" s="111" t="n">
        <v>0</v>
      </c>
      <c r="F112" s="111" t="n">
        <v>0</v>
      </c>
      <c r="G112" s="111" t="n">
        <v>0</v>
      </c>
      <c r="H112" s="94">
        <f>COUNTIF(C112:G112,"&lt;&gt;0")</f>
        <v/>
      </c>
      <c r="I112" s="94">
        <f>IF(H112=0,"לא מטופל",IF(H112=1,"מטופל - סוכן אחד","מטופל - יותר מסוכן אחד"))</f>
        <v/>
      </c>
    </row>
    <row r="113" ht="15" customHeight="1" s="82">
      <c r="A113" s="94" t="inlineStr">
        <is>
          <t>שרם</t>
        </is>
      </c>
      <c r="B113" s="94" t="inlineStr">
        <is>
          <t>פריים פארם-יהודה המכבי ב.מ.שרמ</t>
        </is>
      </c>
      <c r="C113" s="111" t="n">
        <v>8995.4</v>
      </c>
      <c r="D113" s="111" t="n">
        <v>0</v>
      </c>
      <c r="E113" s="111" t="n">
        <v>0</v>
      </c>
      <c r="F113" s="111" t="n">
        <v>0</v>
      </c>
      <c r="G113" s="111" t="n">
        <v>0</v>
      </c>
      <c r="H113" s="94">
        <f>COUNTIF(C113:G113,"&lt;&gt;0")</f>
        <v/>
      </c>
      <c r="I113" s="94">
        <f>IF(H113=0,"לא מטופל",IF(H113=1,"מטופל - סוכן אחד","מטופל - יותר מסוכן אחד"))</f>
        <v/>
      </c>
    </row>
    <row r="114" ht="15" customHeight="1" s="82">
      <c r="A114" s="94" t="inlineStr">
        <is>
          <t>שרם</t>
        </is>
      </c>
      <c r="B114" s="94" t="inlineStr">
        <is>
          <t>דן אשדוד ב.מ שרמפארם</t>
        </is>
      </c>
      <c r="C114" s="111" t="n">
        <v>0</v>
      </c>
      <c r="D114" s="111" t="n">
        <v>0</v>
      </c>
      <c r="E114" s="111" t="n">
        <v>0</v>
      </c>
      <c r="F114" s="111" t="n">
        <v>0</v>
      </c>
      <c r="G114" s="111" t="n">
        <v>4284.7</v>
      </c>
      <c r="H114" s="94">
        <f>COUNTIF(C114:G114,"&lt;&gt;0")</f>
        <v/>
      </c>
      <c r="I114" s="94">
        <f>IF(H114=0,"לא מטופל",IF(H114=1,"מטופל - סוכן אחד","מטופל - יותר מסוכן אחד"))</f>
        <v/>
      </c>
    </row>
    <row r="115" ht="15" customHeight="1" s="82">
      <c r="A115" s="94" t="inlineStr">
        <is>
          <t>שרם</t>
        </is>
      </c>
      <c r="B115" s="94" t="inlineStr">
        <is>
          <t>מדיקה ק.ים-אלבוסתן פארם בע""מ ב</t>
        </is>
      </c>
      <c r="C115" s="111" t="n">
        <v>0</v>
      </c>
      <c r="D115" s="111" t="n">
        <v>1079.9</v>
      </c>
      <c r="E115" s="111" t="n">
        <v>0</v>
      </c>
      <c r="F115" s="111" t="n">
        <v>0</v>
      </c>
      <c r="G115" s="111" t="n">
        <v>0</v>
      </c>
      <c r="H115" s="94">
        <f>COUNTIF(C115:G115,"&lt;&gt;0")</f>
        <v/>
      </c>
      <c r="I115" s="94">
        <f>IF(H115=0,"לא מטופל",IF(H115=1,"מטופל - סוכן אחד","מטופל - יותר מסוכן אחד"))</f>
        <v/>
      </c>
    </row>
    <row r="116" ht="15" customHeight="1" s="82">
      <c r="A116" s="94" t="inlineStr">
        <is>
          <t>שרם</t>
        </is>
      </c>
      <c r="B116" s="94" t="inlineStr">
        <is>
          <t>א.ג.שפינוזה ר""ג ב.מ. שרמפארם</t>
        </is>
      </c>
      <c r="C116" s="111" t="n">
        <v>0</v>
      </c>
      <c r="D116" s="111" t="n">
        <v>0</v>
      </c>
      <c r="E116" s="111" t="n">
        <v>5023.3</v>
      </c>
      <c r="F116" s="111" t="n">
        <v>0</v>
      </c>
      <c r="G116" s="111" t="n">
        <v>0</v>
      </c>
      <c r="H116" s="94">
        <f>COUNTIF(C116:G116,"&lt;&gt;0")</f>
        <v/>
      </c>
      <c r="I116" s="94">
        <f>IF(H116=0,"לא מטופל",IF(H116=1,"מטופל - סוכן אחד","מטופל - יותר מסוכן אחד"))</f>
        <v/>
      </c>
    </row>
    <row r="117" ht="15" customHeight="1" s="82">
      <c r="A117" s="94" t="inlineStr">
        <is>
          <t>שרם</t>
        </is>
      </c>
      <c r="B117" s="94" t="inlineStr">
        <is>
          <t>רהט פארם ב.מ שרמפארם</t>
        </is>
      </c>
      <c r="C117" s="111" t="n">
        <v>0</v>
      </c>
      <c r="D117" s="111" t="n">
        <v>0</v>
      </c>
      <c r="E117" s="111" t="n">
        <v>3309</v>
      </c>
      <c r="F117" s="111" t="n">
        <v>0</v>
      </c>
      <c r="G117" s="111" t="n">
        <v>0</v>
      </c>
      <c r="H117" s="94">
        <f>COUNTIF(C117:G117,"&lt;&gt;0")</f>
        <v/>
      </c>
      <c r="I117" s="94">
        <f>IF(H117=0,"לא מטופל",IF(H117=1,"מטופל - סוכן אחד","מטופל - יותר מסוכן אחד"))</f>
        <v/>
      </c>
    </row>
    <row r="118" ht="15" customHeight="1" s="82">
      <c r="A118" s="94" t="inlineStr">
        <is>
          <t>שרם</t>
        </is>
      </c>
      <c r="B118" s="94" t="inlineStr">
        <is>
          <t>ב.מ שרה פארם צור יצחק שרמפארם</t>
        </is>
      </c>
      <c r="C118" s="111" t="n">
        <v>0</v>
      </c>
      <c r="D118" s="111" t="n">
        <v>3419.7</v>
      </c>
      <c r="E118" s="111" t="n">
        <v>1483.4</v>
      </c>
      <c r="F118" s="111" t="n">
        <v>0</v>
      </c>
      <c r="G118" s="111" t="n">
        <v>0</v>
      </c>
      <c r="H118" s="94">
        <f>COUNTIF(C118:G118,"&lt;&gt;0")</f>
        <v/>
      </c>
      <c r="I118" s="94">
        <f>IF(H118=0,"לא מטופל",IF(H118=1,"מטופל - סוכן אחד","מטופל - יותר מסוכן אחד"))</f>
        <v/>
      </c>
    </row>
    <row r="119" ht="15" customHeight="1" s="82">
      <c r="A119" s="94" t="inlineStr">
        <is>
          <t>שרם</t>
        </is>
      </c>
      <c r="B119" s="94" t="inlineStr">
        <is>
          <t>ריינה-אומגה פארם בע""מ שרמפארם</t>
        </is>
      </c>
      <c r="C119" s="111" t="n">
        <v>0</v>
      </c>
      <c r="D119" s="111" t="n">
        <v>2051.3</v>
      </c>
      <c r="E119" s="111" t="n">
        <v>0</v>
      </c>
      <c r="F119" s="111" t="n">
        <v>0</v>
      </c>
      <c r="G119" s="111" t="n">
        <v>0</v>
      </c>
      <c r="H119" s="94">
        <f>COUNTIF(C119:G119,"&lt;&gt;0")</f>
        <v/>
      </c>
      <c r="I119" s="94">
        <f>IF(H119=0,"לא מטופל",IF(H119=1,"מטופל - סוכן אחד","מטופל - יותר מסוכן אחד"))</f>
        <v/>
      </c>
    </row>
    <row r="120" ht="15" customHeight="1" s="82">
      <c r="A120" s="94" t="inlineStr">
        <is>
          <t>שרם</t>
        </is>
      </c>
      <c r="B120" s="94" t="inlineStr">
        <is>
          <t>רמת רבין ב.מ כרמיאל שרמפארם</t>
        </is>
      </c>
      <c r="C120" s="111" t="n">
        <v>0</v>
      </c>
      <c r="D120" s="111" t="n">
        <v>110.5</v>
      </c>
      <c r="E120" s="111" t="n">
        <v>0</v>
      </c>
      <c r="F120" s="111" t="n">
        <v>0</v>
      </c>
      <c r="G120" s="111" t="n">
        <v>0</v>
      </c>
      <c r="H120" s="94">
        <f>COUNTIF(C120:G120,"&lt;&gt;0")</f>
        <v/>
      </c>
      <c r="I120" s="94">
        <f>IF(H120=0,"לא מטופל",IF(H120=1,"מטופל - סוכן אחד","מטופל - יותר מסוכן אחד"))</f>
        <v/>
      </c>
    </row>
    <row r="121" ht="15" customHeight="1" s="82">
      <c r="A121" s="94" t="inlineStr">
        <is>
          <t>שרם</t>
        </is>
      </c>
      <c r="B121" s="94" t="inlineStr">
        <is>
          <t>עילית מודיעין ב.מ שרמפארם</t>
        </is>
      </c>
      <c r="C121" s="111" t="n">
        <v>0</v>
      </c>
      <c r="D121" s="111" t="n">
        <v>0</v>
      </c>
      <c r="E121" s="111" t="n">
        <v>0</v>
      </c>
      <c r="F121" s="111" t="n">
        <v>0</v>
      </c>
      <c r="G121" s="111" t="n">
        <v>6076</v>
      </c>
      <c r="H121" s="94">
        <f>COUNTIF(C121:G121,"&lt;&gt;0")</f>
        <v/>
      </c>
      <c r="I121" s="94">
        <f>IF(H121=0,"לא מטופל",IF(H121=1,"מטופל - סוכן אחד","מטופל - יותר מסוכן אחד"))</f>
        <v/>
      </c>
    </row>
    <row r="122" ht="15" customHeight="1" s="82">
      <c r="A122" s="94" t="inlineStr">
        <is>
          <t>שרם</t>
        </is>
      </c>
      <c r="B122" s="94" t="inlineStr">
        <is>
          <t>המרכז נס ציונה ב.מ שרםפארם</t>
        </is>
      </c>
      <c r="C122" s="111" t="n">
        <v>1844.5</v>
      </c>
      <c r="D122" s="111" t="n">
        <v>0</v>
      </c>
      <c r="E122" s="111" t="n">
        <v>0</v>
      </c>
      <c r="F122" s="111" t="n">
        <v>0</v>
      </c>
      <c r="G122" s="111" t="n">
        <v>0</v>
      </c>
      <c r="H122" s="94">
        <f>COUNTIF(C122:G122,"&lt;&gt;0")</f>
        <v/>
      </c>
      <c r="I122" s="94">
        <f>IF(H122=0,"לא מטופל",IF(H122=1,"מטופל - סוכן אחד","מטופל - יותר מסוכן אחד"))</f>
        <v/>
      </c>
    </row>
    <row r="123" ht="15" customHeight="1" s="82">
      <c r="A123" s="94" t="inlineStr">
        <is>
          <t>שרם</t>
        </is>
      </c>
      <c r="B123" s="94" t="inlineStr">
        <is>
          <t>אלאסראא שפרעם ב.מ שרמפארם</t>
        </is>
      </c>
      <c r="C123" s="111" t="n">
        <v>0</v>
      </c>
      <c r="D123" s="111" t="n">
        <v>2808.1</v>
      </c>
      <c r="E123" s="111" t="n">
        <v>0</v>
      </c>
      <c r="F123" s="111" t="n">
        <v>0</v>
      </c>
      <c r="G123" s="111" t="n">
        <v>0</v>
      </c>
      <c r="H123" s="94">
        <f>COUNTIF(C123:G123,"&lt;&gt;0")</f>
        <v/>
      </c>
      <c r="I123" s="94">
        <f>IF(H123=0,"לא מטופל",IF(H123=1,"מטופל - סוכן אחד","מטופל - יותר מסוכן אחד"))</f>
        <v/>
      </c>
    </row>
    <row r="124" ht="15" customHeight="1" s="82">
      <c r="A124" s="94" t="inlineStr">
        <is>
          <t>שרם</t>
        </is>
      </c>
      <c r="B124" s="94" t="inlineStr">
        <is>
          <t>מרכז עכו ב.מ שרמפארם</t>
        </is>
      </c>
      <c r="C124" s="111" t="n">
        <v>0</v>
      </c>
      <c r="D124" s="111" t="n">
        <v>43.4</v>
      </c>
      <c r="E124" s="111" t="n">
        <v>0</v>
      </c>
      <c r="F124" s="111" t="n">
        <v>0</v>
      </c>
      <c r="G124" s="111" t="n">
        <v>0</v>
      </c>
      <c r="H124" s="94">
        <f>COUNTIF(C124:G124,"&lt;&gt;0")</f>
        <v/>
      </c>
      <c r="I124" s="94">
        <f>IF(H124=0,"לא מטופל",IF(H124=1,"מטופל - סוכן אחד","מטופל - יותר מסוכן אחד"))</f>
        <v/>
      </c>
    </row>
    <row r="125" ht="15" customHeight="1" s="82">
      <c r="A125" s="94" t="inlineStr">
        <is>
          <t>שרם</t>
        </is>
      </c>
      <c r="B125" s="94" t="inlineStr">
        <is>
          <t>ספא פארם ב.מ סכנין חדש שרמפארם</t>
        </is>
      </c>
      <c r="C125" s="111" t="n">
        <v>0</v>
      </c>
      <c r="D125" s="111" t="n">
        <v>2623.8</v>
      </c>
      <c r="E125" s="111" t="n">
        <v>0</v>
      </c>
      <c r="F125" s="111" t="n">
        <v>0</v>
      </c>
      <c r="G125" s="111" t="n">
        <v>0</v>
      </c>
      <c r="H125" s="94">
        <f>COUNTIF(C125:G125,"&lt;&gt;0")</f>
        <v/>
      </c>
      <c r="I125" s="94">
        <f>IF(H125=0,"לא מטופל",IF(H125=1,"מטופל - סוכן אחד","מטופל - יותר מסוכן אחד"))</f>
        <v/>
      </c>
    </row>
    <row r="126" ht="15" customHeight="1" s="82">
      <c r="A126" s="94" t="inlineStr">
        <is>
          <t>שרם</t>
        </is>
      </c>
      <c r="B126" s="94" t="inlineStr">
        <is>
          <t>פארמה פלוס שפרעם ב.מ שרמפארם</t>
        </is>
      </c>
      <c r="C126" s="111" t="n">
        <v>0</v>
      </c>
      <c r="D126" s="111" t="n">
        <v>8166.8</v>
      </c>
      <c r="E126" s="111" t="n">
        <v>0</v>
      </c>
      <c r="F126" s="111" t="n">
        <v>0</v>
      </c>
      <c r="G126" s="111" t="n">
        <v>0</v>
      </c>
      <c r="H126" s="94">
        <f>COUNTIF(C126:G126,"&lt;&gt;0")</f>
        <v/>
      </c>
      <c r="I126" s="94">
        <f>IF(H126=0,"לא מטופל",IF(H126=1,"מטופל - סוכן אחד","מטופל - יותר מסוכן אחד"))</f>
        <v/>
      </c>
    </row>
    <row r="127" ht="15" customHeight="1" s="82">
      <c r="A127" s="94" t="inlineStr">
        <is>
          <t>שרם</t>
        </is>
      </c>
      <c r="B127" s="94" t="inlineStr">
        <is>
          <t>כפר שמריהו ב.מ )חדש( שרמפארם</t>
        </is>
      </c>
      <c r="C127" s="111" t="n">
        <v>10405.7</v>
      </c>
      <c r="D127" s="111" t="n">
        <v>0</v>
      </c>
      <c r="E127" s="111" t="n">
        <v>0</v>
      </c>
      <c r="F127" s="111" t="n">
        <v>0</v>
      </c>
      <c r="G127" s="111" t="n">
        <v>0</v>
      </c>
      <c r="H127" s="94">
        <f>COUNTIF(C127:G127,"&lt;&gt;0")</f>
        <v/>
      </c>
      <c r="I127" s="94">
        <f>IF(H127=0,"לא מטופל",IF(H127=1,"מטופל - סוכן אחד","מטופל - יותר מסוכן אחד"))</f>
        <v/>
      </c>
    </row>
    <row r="128" ht="15" customHeight="1" s="82">
      <c r="A128" s="94" t="inlineStr">
        <is>
          <t>שרם</t>
        </is>
      </c>
      <c r="B128" s="94" t="inlineStr">
        <is>
          <t>לב הרצליה חדש ב.מ שרמפארם</t>
        </is>
      </c>
      <c r="C128" s="111" t="n">
        <v>344.1</v>
      </c>
      <c r="D128" s="111" t="n">
        <v>0</v>
      </c>
      <c r="E128" s="111" t="n">
        <v>0</v>
      </c>
      <c r="F128" s="111" t="n">
        <v>0</v>
      </c>
      <c r="G128" s="111" t="n">
        <v>0</v>
      </c>
      <c r="H128" s="94">
        <f>COUNTIF(C128:G128,"&lt;&gt;0")</f>
        <v/>
      </c>
      <c r="I128" s="94">
        <f>IF(H128=0,"לא מטופל",IF(H128=1,"מטופל - סוכן אחד","מטופל - יותר מסוכן אחד"))</f>
        <v/>
      </c>
    </row>
    <row r="129" ht="15" customHeight="1" s="82">
      <c r="A129" s="94" t="inlineStr">
        <is>
          <t>שרם</t>
        </is>
      </c>
      <c r="B129" s="94" t="inlineStr">
        <is>
          <t>רהט פארם סיטי שרמפארם</t>
        </is>
      </c>
      <c r="C129" s="111" t="n">
        <v>0</v>
      </c>
      <c r="D129" s="111" t="n">
        <v>0</v>
      </c>
      <c r="E129" s="111" t="n">
        <v>18019</v>
      </c>
      <c r="F129" s="111" t="n">
        <v>0</v>
      </c>
      <c r="G129" s="111" t="n">
        <v>0</v>
      </c>
      <c r="H129" s="94">
        <f>COUNTIF(C129:G129,"&lt;&gt;0")</f>
        <v/>
      </c>
      <c r="I129" s="94">
        <f>IF(H129=0,"לא מטופל",IF(H129=1,"מטופל - סוכן אחד","מטופל - יותר מסוכן אחד"))</f>
        <v/>
      </c>
    </row>
    <row r="130" ht="15" customHeight="1" s="82">
      <c r="A130" s="94" t="inlineStr">
        <is>
          <t>שרם</t>
        </is>
      </c>
      <c r="B130" s="94" t="inlineStr">
        <is>
          <t>הבירה י-ם ב.מ שרמפארם</t>
        </is>
      </c>
      <c r="C130" s="111" t="n">
        <v>0</v>
      </c>
      <c r="D130" s="111" t="n">
        <v>0</v>
      </c>
      <c r="E130" s="111" t="n">
        <v>0</v>
      </c>
      <c r="F130" s="111" t="n">
        <v>0</v>
      </c>
      <c r="G130" s="111" t="n">
        <v>57.9</v>
      </c>
      <c r="H130" s="94">
        <f>COUNTIF(C130:G130,"&lt;&gt;0")</f>
        <v/>
      </c>
      <c r="I130" s="94">
        <f>IF(H130=0,"לא מטופל",IF(H130=1,"מטופל - סוכן אחד","מטופל - יותר מסוכן אחד"))</f>
        <v/>
      </c>
    </row>
    <row r="131" ht="15" customHeight="1" s="82">
      <c r="A131" s="94" t="inlineStr">
        <is>
          <t>שרם</t>
        </is>
      </c>
      <c r="B131" s="94" t="inlineStr">
        <is>
          <t>הר נוף י-ם ב.מ שרמפארם</t>
        </is>
      </c>
      <c r="C131" s="111" t="n">
        <v>0</v>
      </c>
      <c r="D131" s="111" t="n">
        <v>0</v>
      </c>
      <c r="E131" s="111" t="n">
        <v>0</v>
      </c>
      <c r="F131" s="111" t="n">
        <v>0</v>
      </c>
      <c r="G131" s="111" t="n">
        <v>2040.9</v>
      </c>
      <c r="H131" s="94">
        <f>COUNTIF(C131:G131,"&lt;&gt;0")</f>
        <v/>
      </c>
      <c r="I131" s="94">
        <f>IF(H131=0,"לא מטופל",IF(H131=1,"מטופל - סוכן אחד","מטופל - יותר מסוכן אחד"))</f>
        <v/>
      </c>
    </row>
    <row r="132" ht="15" customHeight="1" s="82">
      <c r="A132" s="94" t="inlineStr">
        <is>
          <t>שרם</t>
        </is>
      </c>
      <c r="B132" s="94" t="inlineStr">
        <is>
          <t>בימר""ק אלחיאת טייבה שרמפארם</t>
        </is>
      </c>
      <c r="C132" s="111" t="n">
        <v>0</v>
      </c>
      <c r="D132" s="111" t="n">
        <v>0</v>
      </c>
      <c r="E132" s="111" t="n">
        <v>82.8</v>
      </c>
      <c r="F132" s="111" t="n">
        <v>0</v>
      </c>
      <c r="G132" s="111" t="n">
        <v>0</v>
      </c>
      <c r="H132" s="94">
        <f>COUNTIF(C132:G132,"&lt;&gt;0")</f>
        <v/>
      </c>
      <c r="I132" s="94">
        <f>IF(H132=0,"לא מטופל",IF(H132=1,"מטופל - סוכן אחד","מטופל - יותר מסוכן אחד"))</f>
        <v/>
      </c>
    </row>
    <row r="133" ht="15" customHeight="1" s="82">
      <c r="A133" s="94" t="inlineStr">
        <is>
          <t>שרם</t>
        </is>
      </c>
      <c r="B133" s="94" t="inlineStr">
        <is>
          <t>הלא פארם ג'לג'וליה ב.מ</t>
        </is>
      </c>
      <c r="C133" s="111" t="n">
        <v>0</v>
      </c>
      <c r="D133" s="111" t="n">
        <v>0</v>
      </c>
      <c r="E133" s="111" t="n">
        <v>6480.9</v>
      </c>
      <c r="F133" s="111" t="n">
        <v>0</v>
      </c>
      <c r="G133" s="111" t="n">
        <v>0</v>
      </c>
      <c r="H133" s="94">
        <f>COUNTIF(C133:G133,"&lt;&gt;0")</f>
        <v/>
      </c>
      <c r="I133" s="94">
        <f>IF(H133=0,"לא מטופל",IF(H133=1,"מטופל - סוכן אחד","מטופל - יותר מסוכן אחד"))</f>
        <v/>
      </c>
    </row>
    <row r="134" ht="15" customHeight="1" s="82">
      <c r="A134" s="94" t="inlineStr">
        <is>
          <t>שרם</t>
        </is>
      </c>
      <c r="B134" s="94" t="inlineStr">
        <is>
          <t>רמי קלנסואה ב.מ</t>
        </is>
      </c>
      <c r="C134" s="111" t="n">
        <v>0</v>
      </c>
      <c r="D134" s="111" t="n">
        <v>0</v>
      </c>
      <c r="E134" s="111" t="n">
        <v>2018.5</v>
      </c>
      <c r="F134" s="111" t="n">
        <v>0</v>
      </c>
      <c r="G134" s="111" t="n">
        <v>0</v>
      </c>
      <c r="H134" s="94">
        <f>COUNTIF(C134:G134,"&lt;&gt;0")</f>
        <v/>
      </c>
      <c r="I134" s="94">
        <f>IF(H134=0,"לא מטופל",IF(H134=1,"מטופל - סוכן אחד","מטופל - יותר מסוכן אחד"))</f>
        <v/>
      </c>
    </row>
    <row r="135" ht="15" customHeight="1" s="82">
      <c r="A135" s="94" t="inlineStr">
        <is>
          <t>שרם</t>
        </is>
      </c>
      <c r="B135" s="94" t="inlineStr">
        <is>
          <t>אקספו פארם מכר ב.מ שרמפארם</t>
        </is>
      </c>
      <c r="C135" s="111" t="n">
        <v>0</v>
      </c>
      <c r="D135" s="111" t="n">
        <v>4330.6</v>
      </c>
      <c r="E135" s="111" t="n">
        <v>0</v>
      </c>
      <c r="F135" s="111" t="n">
        <v>0</v>
      </c>
      <c r="G135" s="111" t="n">
        <v>0</v>
      </c>
      <c r="H135" s="94">
        <f>COUNTIF(C135:G135,"&lt;&gt;0")</f>
        <v/>
      </c>
      <c r="I135" s="94">
        <f>IF(H135=0,"לא מטופל",IF(H135=1,"מטופל - סוכן אחד","מטופל - יותר מסוכן אחד"))</f>
        <v/>
      </c>
    </row>
    <row r="136" ht="15" customHeight="1" s="82">
      <c r="A136" s="94" t="inlineStr">
        <is>
          <t>שרם</t>
        </is>
      </c>
      <c r="B136" s="94" t="inlineStr">
        <is>
          <t>אקופארם ב.מ מעלות שרמפארם</t>
        </is>
      </c>
      <c r="C136" s="111" t="n">
        <v>0</v>
      </c>
      <c r="D136" s="111" t="n">
        <v>4316.5</v>
      </c>
      <c r="E136" s="111" t="n">
        <v>0</v>
      </c>
      <c r="F136" s="111" t="n">
        <v>0</v>
      </c>
      <c r="G136" s="111" t="n">
        <v>0</v>
      </c>
      <c r="H136" s="94">
        <f>COUNTIF(C136:G136,"&lt;&gt;0")</f>
        <v/>
      </c>
      <c r="I136" s="94">
        <f>IF(H136=0,"לא מטופל",IF(H136=1,"מטופל - סוכן אחד","מטופל - יותר מסוכן אחד"))</f>
        <v/>
      </c>
    </row>
    <row r="137" ht="15" customHeight="1" s="82">
      <c r="A137" s="94" t="inlineStr">
        <is>
          <t>שרם</t>
        </is>
      </c>
      <c r="B137" s="94" t="inlineStr">
        <is>
          <t>אלשיפאא ב.מ כפר עראבה שרמפארם</t>
        </is>
      </c>
      <c r="C137" s="111" t="n">
        <v>0</v>
      </c>
      <c r="D137" s="111" t="n">
        <v>164</v>
      </c>
      <c r="E137" s="111" t="n">
        <v>0</v>
      </c>
      <c r="F137" s="111" t="n">
        <v>0</v>
      </c>
      <c r="G137" s="111" t="n">
        <v>0</v>
      </c>
      <c r="H137" s="94">
        <f>COUNTIF(C137:G137,"&lt;&gt;0")</f>
        <v/>
      </c>
      <c r="I137" s="94">
        <f>IF(H137=0,"לא מטופל",IF(H137=1,"מטופל - סוכן אחד","מטופל - יותר מסוכן אחד"))</f>
        <v/>
      </c>
    </row>
    <row r="138" ht="15" customHeight="1" s="82">
      <c r="A138" s="94" t="inlineStr">
        <is>
          <t>שרם</t>
        </is>
      </c>
      <c r="B138" s="94" t="inlineStr">
        <is>
          <t>אסף עפולה ב.מ שרמפארם</t>
        </is>
      </c>
      <c r="C138" s="111" t="n">
        <v>0</v>
      </c>
      <c r="D138" s="111" t="n">
        <v>747.2</v>
      </c>
      <c r="E138" s="111" t="n">
        <v>0</v>
      </c>
      <c r="F138" s="111" t="n">
        <v>0</v>
      </c>
      <c r="G138" s="111" t="n">
        <v>0</v>
      </c>
      <c r="H138" s="94">
        <f>COUNTIF(C138:G138,"&lt;&gt;0")</f>
        <v/>
      </c>
      <c r="I138" s="94">
        <f>IF(H138=0,"לא מטופל",IF(H138=1,"מטופל - סוכן אחד","מטופל - יותר מסוכן אחד"))</f>
        <v/>
      </c>
    </row>
    <row r="139" ht="15" customHeight="1" s="82">
      <c r="A139" s="94" t="inlineStr">
        <is>
          <t>שרם</t>
        </is>
      </c>
      <c r="B139" s="94" t="inlineStr">
        <is>
          <t>השלום כפר מוקבלה ב.מ</t>
        </is>
      </c>
      <c r="C139" s="111" t="n">
        <v>0</v>
      </c>
      <c r="D139" s="111" t="n">
        <v>280.9</v>
      </c>
      <c r="E139" s="111" t="n">
        <v>0</v>
      </c>
      <c r="F139" s="111" t="n">
        <v>0</v>
      </c>
      <c r="G139" s="111" t="n">
        <v>0</v>
      </c>
      <c r="H139" s="94">
        <f>COUNTIF(C139:G139,"&lt;&gt;0")</f>
        <v/>
      </c>
      <c r="I139" s="94">
        <f>IF(H139=0,"לא מטופל",IF(H139=1,"מטופל - סוכן אחד","מטופל - יותר מסוכן אחד"))</f>
        <v/>
      </c>
    </row>
    <row r="140" ht="15" customHeight="1" s="82">
      <c r="A140" s="94" t="inlineStr">
        <is>
          <t>שרם</t>
        </is>
      </c>
      <c r="B140" s="94" t="inlineStr">
        <is>
          <t>ב.מ CPHARM טשרניחובסקי</t>
        </is>
      </c>
      <c r="C140" s="111" t="n">
        <v>0</v>
      </c>
      <c r="D140" s="111" t="n">
        <v>47.3</v>
      </c>
      <c r="E140" s="111" t="n">
        <v>0</v>
      </c>
      <c r="F140" s="111" t="n">
        <v>0</v>
      </c>
      <c r="G140" s="111" t="n">
        <v>0</v>
      </c>
      <c r="H140" s="94">
        <f>COUNTIF(C140:G140,"&lt;&gt;0")</f>
        <v/>
      </c>
      <c r="I140" s="94">
        <f>IF(H140=0,"לא מטופל",IF(H140=1,"מטופל - סוכן אחד","מטופל - יותר מסוכן אחד"))</f>
        <v/>
      </c>
    </row>
    <row r="141" ht="15" customHeight="1" s="82">
      <c r="A141" s="94" t="inlineStr">
        <is>
          <t>שרם</t>
        </is>
      </c>
      <c r="B141" s="94" t="inlineStr">
        <is>
          <t>הבירה י-ם ב.מ שרמפארם</t>
        </is>
      </c>
      <c r="C141" s="111" t="n">
        <v>0</v>
      </c>
      <c r="D141" s="111" t="n">
        <v>0</v>
      </c>
      <c r="E141" s="111" t="n">
        <v>0</v>
      </c>
      <c r="F141" s="111" t="n">
        <v>0</v>
      </c>
      <c r="G141" s="111" t="n">
        <v>127.3</v>
      </c>
      <c r="H141" s="94">
        <f>COUNTIF(C141:G141,"&lt;&gt;0")</f>
        <v/>
      </c>
      <c r="I141" s="94">
        <f>IF(H141=0,"לא מטופל",IF(H141=1,"מטופל - סוכן אחד","מטופל - יותר מסוכן אחד"))</f>
        <v/>
      </c>
    </row>
    <row r="142" ht="15" customHeight="1" s="82">
      <c r="A142" s="94" t="inlineStr">
        <is>
          <t>שרם</t>
        </is>
      </c>
      <c r="B142" s="94" t="inlineStr">
        <is>
          <t>פארם פור יו ב.מ שרמפארם</t>
        </is>
      </c>
      <c r="C142" s="111" t="n">
        <v>0</v>
      </c>
      <c r="D142" s="111" t="n">
        <v>5806.5</v>
      </c>
      <c r="E142" s="111" t="n">
        <v>0</v>
      </c>
      <c r="F142" s="111" t="n">
        <v>0</v>
      </c>
      <c r="G142" s="111" t="n">
        <v>0</v>
      </c>
      <c r="H142" s="94">
        <f>COUNTIF(C142:G142,"&lt;&gt;0")</f>
        <v/>
      </c>
      <c r="I142" s="94">
        <f>IF(H142=0,"לא מטופל",IF(H142=1,"מטופל - סוכן אחד","מטופל - יותר מסוכן אחד"))</f>
        <v/>
      </c>
    </row>
    <row r="143" ht="15" customHeight="1" s="82">
      <c r="A143" s="94" t="inlineStr">
        <is>
          <t>שרם</t>
        </is>
      </c>
      <c r="B143" s="94" t="inlineStr">
        <is>
          <t>פארמה גנים ראשל""צ ב.מ שרמ</t>
        </is>
      </c>
      <c r="C143" s="111" t="n">
        <v>485.9</v>
      </c>
      <c r="D143" s="111" t="n">
        <v>0</v>
      </c>
      <c r="E143" s="111" t="n">
        <v>0</v>
      </c>
      <c r="F143" s="111" t="n">
        <v>0</v>
      </c>
      <c r="G143" s="111" t="n">
        <v>0</v>
      </c>
      <c r="H143" s="94">
        <f>COUNTIF(C143:G143,"&lt;&gt;0")</f>
        <v/>
      </c>
      <c r="I143" s="94">
        <f>IF(H143=0,"לא מטופל",IF(H143=1,"מטופל - סוכן אחד","מטופל - יותר מסוכן אחד"))</f>
        <v/>
      </c>
    </row>
    <row r="144" ht="15" customHeight="1" s="82">
      <c r="A144" s="94" t="inlineStr">
        <is>
          <t>שרם</t>
        </is>
      </c>
      <c r="B144" s="94" t="inlineStr">
        <is>
          <t>בית מרקחת הרצליה שרמפארם</t>
        </is>
      </c>
      <c r="C144" s="111" t="n">
        <v>182.6</v>
      </c>
      <c r="D144" s="111" t="n">
        <v>0</v>
      </c>
      <c r="E144" s="111" t="n">
        <v>0</v>
      </c>
      <c r="F144" s="111" t="n">
        <v>0</v>
      </c>
      <c r="G144" s="111" t="n">
        <v>0</v>
      </c>
      <c r="H144" s="94">
        <f>COUNTIF(C144:G144,"&lt;&gt;0")</f>
        <v/>
      </c>
      <c r="I144" s="94">
        <f>IF(H144=0,"לא מטופל",IF(H144=1,"מטופל - סוכן אחד","מטופל - יותר מסוכן אחד"))</f>
        <v/>
      </c>
    </row>
    <row r="145" ht="15" customHeight="1" s="82">
      <c r="A145" s="94" t="inlineStr">
        <is>
          <t>שרם</t>
        </is>
      </c>
      <c r="B145" s="94" t="inlineStr">
        <is>
          <t>למד ת""א ב.מ שרםפארם</t>
        </is>
      </c>
      <c r="C145" s="111" t="n">
        <v>228</v>
      </c>
      <c r="D145" s="111" t="n">
        <v>0</v>
      </c>
      <c r="E145" s="111" t="n">
        <v>0</v>
      </c>
      <c r="F145" s="111" t="n">
        <v>0</v>
      </c>
      <c r="G145" s="111" t="n">
        <v>0</v>
      </c>
      <c r="H145" s="94">
        <f>COUNTIF(C145:G145,"&lt;&gt;0")</f>
        <v/>
      </c>
      <c r="I145" s="94">
        <f>IF(H145=0,"לא מטופל",IF(H145=1,"מטופל - סוכן אחד","מטופל - יותר מסוכן אחד"))</f>
        <v/>
      </c>
    </row>
    <row r="146" ht="15" customHeight="1" s="82">
      <c r="A146" s="94" t="inlineStr">
        <is>
          <t>שרם</t>
        </is>
      </c>
      <c r="B146" s="94" t="inlineStr">
        <is>
          <t>יהודה הלוי ת""א ב.מ שרםפארם</t>
        </is>
      </c>
      <c r="C146" s="111" t="n">
        <v>3023.4</v>
      </c>
      <c r="D146" s="111" t="n">
        <v>0</v>
      </c>
      <c r="E146" s="111" t="n">
        <v>0</v>
      </c>
      <c r="F146" s="111" t="n">
        <v>0</v>
      </c>
      <c r="G146" s="111" t="n">
        <v>0</v>
      </c>
      <c r="H146" s="94">
        <f>COUNTIF(C146:G146,"&lt;&gt;0")</f>
        <v/>
      </c>
      <c r="I146" s="94">
        <f>IF(H146=0,"לא מטופל",IF(H146=1,"מטופל - סוכן אחד","מטופל - יותר מסוכן אחד"))</f>
        <v/>
      </c>
    </row>
    <row r="147" ht="15" customHeight="1" s="82">
      <c r="A147" s="94" t="inlineStr">
        <is>
          <t>שרם</t>
        </is>
      </c>
      <c r="B147" s="94" t="inlineStr">
        <is>
          <t>אלשפא בע""מ א.א.פחם ב.מ  שרמפאר</t>
        </is>
      </c>
      <c r="C147" s="111" t="n">
        <v>0</v>
      </c>
      <c r="D147" s="111" t="n">
        <v>701.9</v>
      </c>
      <c r="E147" s="111" t="n">
        <v>0</v>
      </c>
      <c r="F147" s="111" t="n">
        <v>0</v>
      </c>
      <c r="G147" s="111" t="n">
        <v>0</v>
      </c>
      <c r="H147" s="94">
        <f>COUNTIF(C147:G147,"&lt;&gt;0")</f>
        <v/>
      </c>
      <c r="I147" s="94">
        <f>IF(H147=0,"לא מטופל",IF(H147=1,"מטופל - סוכן אחד","מטופל - יותר מסוכן אחד"))</f>
        <v/>
      </c>
    </row>
    <row r="148" ht="15" customHeight="1" s="82">
      <c r="A148" s="94" t="inlineStr">
        <is>
          <t>שרם</t>
        </is>
      </c>
      <c r="B148" s="94" t="inlineStr">
        <is>
          <t>אלעין פקיעין ב.מ</t>
        </is>
      </c>
      <c r="C148" s="111" t="n">
        <v>0</v>
      </c>
      <c r="D148" s="111" t="n">
        <v>1697</v>
      </c>
      <c r="E148" s="111" t="n">
        <v>0</v>
      </c>
      <c r="F148" s="111" t="n">
        <v>0</v>
      </c>
      <c r="G148" s="111" t="n">
        <v>0</v>
      </c>
      <c r="H148" s="94">
        <f>COUNTIF(C148:G148,"&lt;&gt;0")</f>
        <v/>
      </c>
      <c r="I148" s="94">
        <f>IF(H148=0,"לא מטופל",IF(H148=1,"מטופל - סוכן אחד","מטופל - יותר מסוכן אחד"))</f>
        <v/>
      </c>
    </row>
    <row r="149" ht="15" customHeight="1" s="82">
      <c r="A149" s="94" t="inlineStr">
        <is>
          <t>שרם</t>
        </is>
      </c>
      <c r="B149" s="94" t="inlineStr">
        <is>
          <t>מירוני חיפה ב.מ שרמפארם</t>
        </is>
      </c>
      <c r="C149" s="111" t="n">
        <v>0</v>
      </c>
      <c r="D149" s="111" t="n">
        <v>126.3</v>
      </c>
      <c r="E149" s="111" t="n">
        <v>0</v>
      </c>
      <c r="F149" s="111" t="n">
        <v>0</v>
      </c>
      <c r="G149" s="111" t="n">
        <v>0</v>
      </c>
      <c r="H149" s="94">
        <f>COUNTIF(C149:G149,"&lt;&gt;0")</f>
        <v/>
      </c>
      <c r="I149" s="94">
        <f>IF(H149=0,"לא מטופל",IF(H149=1,"מטופל - סוכן אחד","מטופל - יותר מסוכן אחד"))</f>
        <v/>
      </c>
    </row>
    <row r="150" ht="15" customHeight="1" s="82">
      <c r="A150" s="94" t="inlineStr">
        <is>
          <t>שרם</t>
        </is>
      </c>
      <c r="B150" s="94" t="inlineStr">
        <is>
          <t>השושנים ב.מ שרמפארם</t>
        </is>
      </c>
      <c r="C150" s="111" t="n">
        <v>0</v>
      </c>
      <c r="D150" s="111" t="n">
        <v>96.3</v>
      </c>
      <c r="E150" s="111" t="n">
        <v>0</v>
      </c>
      <c r="F150" s="111" t="n">
        <v>0</v>
      </c>
      <c r="G150" s="111" t="n">
        <v>0</v>
      </c>
      <c r="H150" s="94">
        <f>COUNTIF(C150:G150,"&lt;&gt;0")</f>
        <v/>
      </c>
      <c r="I150" s="94">
        <f>IF(H150=0,"לא מטופל",IF(H150=1,"מטופל - סוכן אחד","מטופל - יותר מסוכן אחד"))</f>
        <v/>
      </c>
    </row>
    <row r="151" ht="15" customHeight="1" s="82">
      <c r="A151" s="94" t="inlineStr">
        <is>
          <t>ס. פארם</t>
        </is>
      </c>
      <c r="B151" s="94" t="inlineStr">
        <is>
          <t>ס.פ.קיראון תרופות</t>
        </is>
      </c>
      <c r="C151" s="111" t="n">
        <v>0</v>
      </c>
      <c r="D151" s="111" t="n">
        <v>0</v>
      </c>
      <c r="E151" s="111" t="n">
        <v>36458.8</v>
      </c>
      <c r="F151" s="111" t="n">
        <v>0</v>
      </c>
      <c r="G151" s="111" t="n">
        <v>0</v>
      </c>
      <c r="H151" s="94">
        <f>COUNTIF(C151:G151,"&lt;&gt;0")</f>
        <v/>
      </c>
      <c r="I151" s="94">
        <f>IF(H151=0,"לא מטופל",IF(H151=1,"מטופל - סוכן אחד","מטופל - יותר מסוכן אחד"))</f>
        <v/>
      </c>
    </row>
    <row r="152" ht="15" customHeight="1" s="82">
      <c r="A152" s="94" t="inlineStr">
        <is>
          <t>ס. פארם</t>
        </is>
      </c>
      <c r="B152" s="94" t="inlineStr">
        <is>
          <t>ס.פ.אור יהודה תרופות</t>
        </is>
      </c>
      <c r="C152" s="111" t="n">
        <v>0</v>
      </c>
      <c r="D152" s="111" t="n">
        <v>0</v>
      </c>
      <c r="E152" s="111" t="n">
        <v>10122.6</v>
      </c>
      <c r="F152" s="111" t="n">
        <v>0</v>
      </c>
      <c r="G152" s="111" t="n">
        <v>0</v>
      </c>
      <c r="H152" s="94">
        <f>COUNTIF(C152:G152,"&lt;&gt;0")</f>
        <v/>
      </c>
      <c r="I152" s="94">
        <f>IF(H152=0,"לא מטופל",IF(H152=1,"מטופל - סוכן אחד","מטופל - יותר מסוכן אחד"))</f>
        <v/>
      </c>
    </row>
    <row r="153" ht="15" customHeight="1" s="82">
      <c r="A153" s="94" t="inlineStr">
        <is>
          <t>ס. פארם</t>
        </is>
      </c>
      <c r="B153" s="94" t="inlineStr">
        <is>
          <t>ס.פ ביג אור יהודה תרופות</t>
        </is>
      </c>
      <c r="C153" s="111" t="n">
        <v>0</v>
      </c>
      <c r="D153" s="111" t="n">
        <v>0</v>
      </c>
      <c r="E153" s="111" t="n">
        <v>3357.9</v>
      </c>
      <c r="F153" s="111" t="n">
        <v>0</v>
      </c>
      <c r="G153" s="111" t="n">
        <v>0</v>
      </c>
      <c r="H153" s="94">
        <f>COUNTIF(C153:G153,"&lt;&gt;0")</f>
        <v/>
      </c>
      <c r="I153" s="94">
        <f>IF(H153=0,"לא מטופל",IF(H153=1,"מטופל - סוכן אחד","מטופל - יותר מסוכן אחד"))</f>
        <v/>
      </c>
    </row>
    <row r="154" ht="15" customHeight="1" s="82">
      <c r="A154" s="94" t="inlineStr">
        <is>
          <t>ס. פארם</t>
        </is>
      </c>
      <c r="B154" s="94" t="inlineStr">
        <is>
          <t>ס.פ.תל השומר תרופות</t>
        </is>
      </c>
      <c r="C154" s="111" t="n">
        <v>0</v>
      </c>
      <c r="D154" s="111" t="n">
        <v>0</v>
      </c>
      <c r="E154" s="111" t="n">
        <v>76649.3</v>
      </c>
      <c r="F154" s="111" t="n">
        <v>0</v>
      </c>
      <c r="G154" s="111" t="n">
        <v>0</v>
      </c>
      <c r="H154" s="94">
        <f>COUNTIF(C154:G154,"&lt;&gt;0")</f>
        <v/>
      </c>
      <c r="I154" s="94">
        <f>IF(H154=0,"לא מטופל",IF(H154=1,"מטופל - סוכן אחד","מטופל - יותר מסוכן אחד"))</f>
        <v/>
      </c>
    </row>
    <row r="155" ht="15" customHeight="1" s="82">
      <c r="A155" s="94" t="inlineStr">
        <is>
          <t>ס. פארם</t>
        </is>
      </c>
      <c r="B155" s="94" t="inlineStr">
        <is>
          <t>ס.פ.גבעת סביון תרופות</t>
        </is>
      </c>
      <c r="C155" s="111" t="n">
        <v>0</v>
      </c>
      <c r="D155" s="111" t="n">
        <v>0</v>
      </c>
      <c r="E155" s="111" t="n">
        <v>12729.3</v>
      </c>
      <c r="F155" s="111" t="n">
        <v>0</v>
      </c>
      <c r="G155" s="111" t="n">
        <v>0</v>
      </c>
      <c r="H155" s="94">
        <f>COUNTIF(C155:G155,"&lt;&gt;0")</f>
        <v/>
      </c>
      <c r="I155" s="94">
        <f>IF(H155=0,"לא מטופל",IF(H155=1,"מטופל - סוכן אחד","מטופל - יותר מסוכן אחד"))</f>
        <v/>
      </c>
    </row>
    <row r="156" ht="15" customHeight="1" s="82">
      <c r="A156" s="94" t="inlineStr">
        <is>
          <t>ס. פארם</t>
        </is>
      </c>
      <c r="B156" s="94" t="inlineStr">
        <is>
          <t>ס.פ בת ים תרופות</t>
        </is>
      </c>
      <c r="C156" s="111" t="n">
        <v>0</v>
      </c>
      <c r="D156" s="111" t="n">
        <v>0</v>
      </c>
      <c r="E156" s="111" t="n">
        <v>21335.6</v>
      </c>
      <c r="F156" s="111" t="n">
        <v>0</v>
      </c>
      <c r="G156" s="111" t="n">
        <v>0</v>
      </c>
      <c r="H156" s="94">
        <f>COUNTIF(C156:G156,"&lt;&gt;0")</f>
        <v/>
      </c>
      <c r="I156" s="94">
        <f>IF(H156=0,"לא מטופל",IF(H156=1,"מטופל - סוכן אחד","מטופל - יותר מסוכן אחד"))</f>
        <v/>
      </c>
    </row>
    <row r="157" ht="15" customHeight="1" s="82">
      <c r="A157" s="94" t="inlineStr">
        <is>
          <t>ס. פארם</t>
        </is>
      </c>
      <c r="B157" s="94" t="inlineStr">
        <is>
          <t>ס.פ.יפו תרופות</t>
        </is>
      </c>
      <c r="C157" s="111" t="n">
        <v>0</v>
      </c>
      <c r="D157" s="111" t="n">
        <v>0</v>
      </c>
      <c r="E157" s="111" t="n">
        <v>21226.9</v>
      </c>
      <c r="F157" s="111" t="n">
        <v>0</v>
      </c>
      <c r="G157" s="111" t="n">
        <v>0</v>
      </c>
      <c r="H157" s="94">
        <f>COUNTIF(C157:G157,"&lt;&gt;0")</f>
        <v/>
      </c>
      <c r="I157" s="94">
        <f>IF(H157=0,"לא מטופל",IF(H157=1,"מטופל - סוכן אחד","מטופל - יותר מסוכן אחד"))</f>
        <v/>
      </c>
    </row>
    <row r="158" ht="15" customHeight="1" s="82">
      <c r="A158" s="94" t="inlineStr">
        <is>
          <t>ס. פארם</t>
        </is>
      </c>
      <c r="B158" s="94" t="inlineStr">
        <is>
          <t>ס.פ.חולון תרופות</t>
        </is>
      </c>
      <c r="C158" s="111" t="n">
        <v>0</v>
      </c>
      <c r="D158" s="111" t="n">
        <v>0</v>
      </c>
      <c r="E158" s="111" t="n">
        <v>34324.8</v>
      </c>
      <c r="F158" s="111" t="n">
        <v>0</v>
      </c>
      <c r="G158" s="111" t="n">
        <v>0</v>
      </c>
      <c r="H158" s="94">
        <f>COUNTIF(C158:G158,"&lt;&gt;0")</f>
        <v/>
      </c>
      <c r="I158" s="94">
        <f>IF(H158=0,"לא מטופל",IF(H158=1,"מטופל - סוכן אחד","מטופל - יותר מסוכן אחד"))</f>
        <v/>
      </c>
    </row>
    <row r="159" ht="15" customHeight="1" s="82">
      <c r="A159" s="94" t="inlineStr">
        <is>
          <t>ס. פארם</t>
        </is>
      </c>
      <c r="B159" s="94" t="inlineStr">
        <is>
          <t>ס.פ.וייצמן חולון תרופות</t>
        </is>
      </c>
      <c r="C159" s="111" t="n">
        <v>0</v>
      </c>
      <c r="D159" s="111" t="n">
        <v>0</v>
      </c>
      <c r="E159" s="111" t="n">
        <v>13152.7</v>
      </c>
      <c r="F159" s="111" t="n">
        <v>0</v>
      </c>
      <c r="G159" s="111" t="n">
        <v>0</v>
      </c>
      <c r="H159" s="94">
        <f>COUNTIF(C159:G159,"&lt;&gt;0")</f>
        <v/>
      </c>
      <c r="I159" s="94">
        <f>IF(H159=0,"לא מטופל",IF(H159=1,"מטופל - סוכן אחד","מטופל - יותר מסוכן אחד"))</f>
        <v/>
      </c>
    </row>
    <row r="160" ht="15" customHeight="1" s="82">
      <c r="A160" s="94" t="inlineStr">
        <is>
          <t>ס. פארם</t>
        </is>
      </c>
      <c r="B160" s="94" t="inlineStr">
        <is>
          <t>ס.פ.העצמאות בת ים תרופות</t>
        </is>
      </c>
      <c r="C160" s="111" t="n">
        <v>0</v>
      </c>
      <c r="D160" s="111" t="n">
        <v>0</v>
      </c>
      <c r="E160" s="111" t="n">
        <v>14592.8</v>
      </c>
      <c r="F160" s="111" t="n">
        <v>0</v>
      </c>
      <c r="G160" s="111" t="n">
        <v>0</v>
      </c>
      <c r="H160" s="94">
        <f>COUNTIF(C160:G160,"&lt;&gt;0")</f>
        <v/>
      </c>
      <c r="I160" s="94">
        <f>IF(H160=0,"לא מטופל",IF(H160=1,"מטופל - סוכן אחד","מטופל - יותר מסוכן אחד"))</f>
        <v/>
      </c>
    </row>
    <row r="161" ht="15" customHeight="1" s="82">
      <c r="A161" s="94" t="inlineStr">
        <is>
          <t>ס. פארם</t>
        </is>
      </c>
      <c r="B161" s="94" t="inlineStr">
        <is>
          <t>ס.פ.אזור התעשיה חולון תרופות</t>
        </is>
      </c>
      <c r="C161" s="111" t="n">
        <v>0</v>
      </c>
      <c r="D161" s="111" t="n">
        <v>0</v>
      </c>
      <c r="E161" s="111" t="n">
        <v>13917.6</v>
      </c>
      <c r="F161" s="111" t="n">
        <v>0</v>
      </c>
      <c r="G161" s="111" t="n">
        <v>0</v>
      </c>
      <c r="H161" s="94">
        <f>COUNTIF(C161:G161,"&lt;&gt;0")</f>
        <v/>
      </c>
      <c r="I161" s="94">
        <f>IF(H161=0,"לא מטופל",IF(H161=1,"מטופל - סוכן אחד","מטופל - יותר מסוכן אחד"))</f>
        <v/>
      </c>
    </row>
    <row r="162" ht="15" customHeight="1" s="82">
      <c r="A162" s="94" t="inlineStr">
        <is>
          <t>ס. פארם</t>
        </is>
      </c>
      <c r="B162" s="94" t="inlineStr">
        <is>
          <t>ס.פ.רמלה תרופות</t>
        </is>
      </c>
      <c r="C162" s="111" t="n">
        <v>0</v>
      </c>
      <c r="D162" s="111" t="n">
        <v>0</v>
      </c>
      <c r="E162" s="111" t="n">
        <v>5222.2</v>
      </c>
      <c r="F162" s="111" t="n">
        <v>0</v>
      </c>
      <c r="G162" s="111" t="n">
        <v>0</v>
      </c>
      <c r="H162" s="94">
        <f>COUNTIF(C162:G162,"&lt;&gt;0")</f>
        <v/>
      </c>
      <c r="I162" s="94">
        <f>IF(H162=0,"לא מטופל",IF(H162=1,"מטופל - סוכן אחד","מטופל - יותר מסוכן אחד"))</f>
        <v/>
      </c>
    </row>
    <row r="163" ht="15" customHeight="1" s="82">
      <c r="A163" s="94" t="inlineStr">
        <is>
          <t>ס. פארם</t>
        </is>
      </c>
      <c r="B163" s="94" t="inlineStr">
        <is>
          <t>ס.פ.איירפורט סיטי תרופות</t>
        </is>
      </c>
      <c r="C163" s="111" t="n">
        <v>0</v>
      </c>
      <c r="D163" s="111" t="n">
        <v>0</v>
      </c>
      <c r="E163" s="111" t="n">
        <v>5482.2</v>
      </c>
      <c r="F163" s="111" t="n">
        <v>0</v>
      </c>
      <c r="G163" s="111" t="n">
        <v>0</v>
      </c>
      <c r="H163" s="94">
        <f>COUNTIF(C163:G163,"&lt;&gt;0")</f>
        <v/>
      </c>
      <c r="I163" s="94">
        <f>IF(H163=0,"לא מטופל",IF(H163=1,"מטופל - סוכן אחד","מטופל - יותר מסוכן אחד"))</f>
        <v/>
      </c>
    </row>
    <row r="164" ht="15" customHeight="1" s="82">
      <c r="A164" s="94" t="inlineStr">
        <is>
          <t>ס. פארם</t>
        </is>
      </c>
      <c r="B164" s="94" t="inlineStr">
        <is>
          <t>סופר פארם מצליח תרופות</t>
        </is>
      </c>
      <c r="C164" s="111" t="n">
        <v>0</v>
      </c>
      <c r="D164" s="111" t="n">
        <v>0</v>
      </c>
      <c r="E164" s="111" t="n">
        <v>7515.4</v>
      </c>
      <c r="F164" s="111" t="n">
        <v>0</v>
      </c>
      <c r="G164" s="111" t="n">
        <v>0</v>
      </c>
      <c r="H164" s="94">
        <f>COUNTIF(C164:G164,"&lt;&gt;0")</f>
        <v/>
      </c>
      <c r="I164" s="94">
        <f>IF(H164=0,"לא מטופל",IF(H164=1,"מטופל - סוכן אחד","מטופל - יותר מסוכן אחד"))</f>
        <v/>
      </c>
    </row>
    <row r="165" ht="15" customHeight="1" s="82">
      <c r="A165" s="94" t="inlineStr">
        <is>
          <t>ס. פארם</t>
        </is>
      </c>
      <c r="B165" s="94" t="inlineStr">
        <is>
          <t>ס.פ.לוד תרופות</t>
        </is>
      </c>
      <c r="C165" s="111" t="n">
        <v>0</v>
      </c>
      <c r="D165" s="111" t="n">
        <v>0</v>
      </c>
      <c r="E165" s="111" t="n">
        <v>24376.1</v>
      </c>
      <c r="F165" s="111" t="n">
        <v>0</v>
      </c>
      <c r="G165" s="111" t="n">
        <v>0</v>
      </c>
      <c r="H165" s="94">
        <f>COUNTIF(C165:G165,"&lt;&gt;0")</f>
        <v/>
      </c>
      <c r="I165" s="94">
        <f>IF(H165=0,"לא מטופל",IF(H165=1,"מטופל - סוכן אחד","מטופל - יותר מסוכן אחד"))</f>
        <v/>
      </c>
    </row>
    <row r="166" ht="15" customHeight="1" s="82">
      <c r="A166" s="94" t="inlineStr">
        <is>
          <t>ס. פארם</t>
        </is>
      </c>
      <c r="B166" s="94" t="inlineStr">
        <is>
          <t>ס.פ.שוהם תרופות</t>
        </is>
      </c>
      <c r="C166" s="111" t="n">
        <v>0</v>
      </c>
      <c r="D166" s="111" t="n">
        <v>0</v>
      </c>
      <c r="E166" s="111" t="n">
        <v>17240.6</v>
      </c>
      <c r="F166" s="111" t="n">
        <v>0</v>
      </c>
      <c r="G166" s="111" t="n">
        <v>0</v>
      </c>
      <c r="H166" s="94">
        <f>COUNTIF(C166:G166,"&lt;&gt;0")</f>
        <v/>
      </c>
      <c r="I166" s="94">
        <f>IF(H166=0,"לא מטופל",IF(H166=1,"מטופל - סוכן אחד","מטופל - יותר מסוכן אחד"))</f>
        <v/>
      </c>
    </row>
    <row r="167" ht="15" customHeight="1" s="82">
      <c r="A167" s="94" t="inlineStr">
        <is>
          <t>ס. פארם</t>
        </is>
      </c>
      <c r="B167" s="94" t="inlineStr">
        <is>
          <t>ס.פ.רמלוד תרופות</t>
        </is>
      </c>
      <c r="C167" s="111" t="n">
        <v>0</v>
      </c>
      <c r="D167" s="111" t="n">
        <v>0</v>
      </c>
      <c r="E167" s="111" t="n">
        <v>21047</v>
      </c>
      <c r="F167" s="111" t="n">
        <v>0</v>
      </c>
      <c r="G167" s="111" t="n">
        <v>0</v>
      </c>
      <c r="H167" s="94">
        <f>COUNTIF(C167:G167,"&lt;&gt;0")</f>
        <v/>
      </c>
      <c r="I167" s="94">
        <f>IF(H167=0,"לא מטופל",IF(H167=1,"מטופל - סוכן אחד","מטופל - יותר מסוכן אחד"))</f>
        <v/>
      </c>
    </row>
    <row r="168" ht="15" customHeight="1" s="82">
      <c r="A168" s="94" t="inlineStr">
        <is>
          <t>ס. פארם</t>
        </is>
      </c>
      <c r="B168" s="94" t="inlineStr">
        <is>
          <t>ס.פ.רמת החייל תרופות</t>
        </is>
      </c>
      <c r="C168" s="111" t="n">
        <v>11788.9</v>
      </c>
      <c r="D168" s="111" t="n">
        <v>0</v>
      </c>
      <c r="E168" s="111" t="n">
        <v>0</v>
      </c>
      <c r="F168" s="111" t="n">
        <v>0</v>
      </c>
      <c r="G168" s="111" t="n">
        <v>0</v>
      </c>
      <c r="H168" s="94">
        <f>COUNTIF(C168:G168,"&lt;&gt;0")</f>
        <v/>
      </c>
      <c r="I168" s="94">
        <f>IF(H168=0,"לא מטופל",IF(H168=1,"מטופל - סוכן אחד","מטופל - יותר מסוכן אחד"))</f>
        <v/>
      </c>
    </row>
    <row r="169" ht="15" customHeight="1" s="82">
      <c r="A169" s="94" t="inlineStr">
        <is>
          <t>ס. פארם</t>
        </is>
      </c>
      <c r="B169" s="94" t="inlineStr">
        <is>
          <t>ס.פ.קניון רמת אביב תרופות</t>
        </is>
      </c>
      <c r="C169" s="111" t="n">
        <v>37290.5</v>
      </c>
      <c r="D169" s="111" t="n">
        <v>0</v>
      </c>
      <c r="E169" s="111" t="n">
        <v>0</v>
      </c>
      <c r="F169" s="111" t="n">
        <v>0</v>
      </c>
      <c r="G169" s="111" t="n">
        <v>0</v>
      </c>
      <c r="H169" s="94">
        <f>COUNTIF(C169:G169,"&lt;&gt;0")</f>
        <v/>
      </c>
      <c r="I169" s="94">
        <f>IF(H169=0,"לא מטופל",IF(H169=1,"מטופל - סוכן אחד","מטופל - יותר מסוכן אחד"))</f>
        <v/>
      </c>
    </row>
    <row r="170" ht="15" customHeight="1" s="82">
      <c r="A170" s="94" t="inlineStr">
        <is>
          <t>ס. פארם</t>
        </is>
      </c>
      <c r="B170" s="94" t="inlineStr">
        <is>
          <t>ס.פ.שכון דן תרופות</t>
        </is>
      </c>
      <c r="C170" s="111" t="n">
        <v>32560.1</v>
      </c>
      <c r="D170" s="111" t="n">
        <v>0</v>
      </c>
      <c r="E170" s="111" t="n">
        <v>0</v>
      </c>
      <c r="F170" s="111" t="n">
        <v>0</v>
      </c>
      <c r="G170" s="111" t="n">
        <v>0</v>
      </c>
      <c r="H170" s="94">
        <f>COUNTIF(C170:G170,"&lt;&gt;0")</f>
        <v/>
      </c>
      <c r="I170" s="94">
        <f>IF(H170=0,"לא מטופל",IF(H170=1,"מטופל - סוכן אחד","מטופל - יותר מסוכן אחד"))</f>
        <v/>
      </c>
    </row>
    <row r="171" ht="15" customHeight="1" s="82">
      <c r="A171" s="94" t="inlineStr">
        <is>
          <t>ס. פארם</t>
        </is>
      </c>
      <c r="B171" s="94" t="inlineStr">
        <is>
          <t>ס.פ.אורדע  תרופות</t>
        </is>
      </c>
      <c r="C171" s="111" t="n">
        <v>0</v>
      </c>
      <c r="D171" s="111" t="n">
        <v>0</v>
      </c>
      <c r="E171" s="111" t="n">
        <v>7830.8</v>
      </c>
      <c r="F171" s="111" t="n">
        <v>0</v>
      </c>
      <c r="G171" s="111" t="n">
        <v>0</v>
      </c>
      <c r="H171" s="94">
        <f>COUNTIF(C171:G171,"&lt;&gt;0")</f>
        <v/>
      </c>
      <c r="I171" s="94">
        <f>IF(H171=0,"לא מטופל",IF(H171=1,"מטופל - סוכן אחד","מטופל - יותר מסוכן אחד"))</f>
        <v/>
      </c>
    </row>
    <row r="172" ht="15" customHeight="1" s="82">
      <c r="A172" s="94" t="inlineStr">
        <is>
          <t>ס. פארם</t>
        </is>
      </c>
      <c r="B172" s="94" t="inlineStr">
        <is>
          <t>ס.פ.קניון איילון תרופות</t>
        </is>
      </c>
      <c r="C172" s="111" t="n">
        <v>0</v>
      </c>
      <c r="D172" s="111" t="n">
        <v>0</v>
      </c>
      <c r="E172" s="111" t="n">
        <v>35896.7</v>
      </c>
      <c r="F172" s="111" t="n">
        <v>0</v>
      </c>
      <c r="G172" s="111" t="n">
        <v>0</v>
      </c>
      <c r="H172" s="94">
        <f>COUNTIF(C172:G172,"&lt;&gt;0")</f>
        <v/>
      </c>
      <c r="I172" s="94">
        <f>IF(H172=0,"לא מטופל",IF(H172=1,"מטופל - סוכן אחד","מטופל - יותר מסוכן אחד"))</f>
        <v/>
      </c>
    </row>
    <row r="173" ht="15" customHeight="1" s="82">
      <c r="A173" s="94" t="inlineStr">
        <is>
          <t>ס. פארם</t>
        </is>
      </c>
      <c r="B173" s="94" t="inlineStr">
        <is>
          <t>ס.פ.כופר הישוב תרופות</t>
        </is>
      </c>
      <c r="C173" s="111" t="n">
        <v>0</v>
      </c>
      <c r="D173" s="111" t="n">
        <v>0</v>
      </c>
      <c r="E173" s="111" t="n">
        <v>14984.9</v>
      </c>
      <c r="F173" s="111" t="n">
        <v>0</v>
      </c>
      <c r="G173" s="111" t="n">
        <v>0</v>
      </c>
      <c r="H173" s="94">
        <f>COUNTIF(C173:G173,"&lt;&gt;0")</f>
        <v/>
      </c>
      <c r="I173" s="94">
        <f>IF(H173=0,"לא מטופל",IF(H173=1,"מטופל - סוכן אחד","מטופל - יותר מסוכן אחד"))</f>
        <v/>
      </c>
    </row>
    <row r="174" ht="15" customHeight="1" s="82">
      <c r="A174" s="94" t="inlineStr">
        <is>
          <t>ס. פארם</t>
        </is>
      </c>
      <c r="B174" s="94" t="inlineStr">
        <is>
          <t>ס.פ.מרום נוה תרופות</t>
        </is>
      </c>
      <c r="C174" s="111" t="n">
        <v>0</v>
      </c>
      <c r="D174" s="111" t="n">
        <v>0</v>
      </c>
      <c r="E174" s="111" t="n">
        <v>14367.9</v>
      </c>
      <c r="F174" s="111" t="n">
        <v>0</v>
      </c>
      <c r="G174" s="111" t="n">
        <v>0</v>
      </c>
      <c r="H174" s="94">
        <f>COUNTIF(C174:G174,"&lt;&gt;0")</f>
        <v/>
      </c>
      <c r="I174" s="94">
        <f>IF(H174=0,"לא מטופל",IF(H174=1,"מטופל - סוכן אחד","מטופל - יותר מסוכן אחד"))</f>
        <v/>
      </c>
    </row>
    <row r="175" ht="15" customHeight="1" s="82">
      <c r="A175" s="94" t="inlineStr">
        <is>
          <t>ס. פארם</t>
        </is>
      </c>
      <c r="B175" s="94" t="inlineStr">
        <is>
          <t>ס.פ.בן גוריון תרופות</t>
        </is>
      </c>
      <c r="C175" s="111" t="n">
        <v>0</v>
      </c>
      <c r="D175" s="111" t="n">
        <v>0</v>
      </c>
      <c r="E175" s="111" t="n">
        <v>13745.6</v>
      </c>
      <c r="F175" s="111" t="n">
        <v>0</v>
      </c>
      <c r="G175" s="111" t="n">
        <v>0</v>
      </c>
      <c r="H175" s="94">
        <f>COUNTIF(C175:G175,"&lt;&gt;0")</f>
        <v/>
      </c>
      <c r="I175" s="94">
        <f>IF(H175=0,"לא מטופל",IF(H175=1,"מטופל - סוכן אחד","מטופל - יותר מסוכן אחד"))</f>
        <v/>
      </c>
    </row>
    <row r="176" ht="15" customHeight="1" s="82">
      <c r="A176" s="94" t="inlineStr">
        <is>
          <t>ס. פארם</t>
        </is>
      </c>
      <c r="B176" s="94" t="inlineStr">
        <is>
          <t>ס.פ.מגדל הורד תרופות</t>
        </is>
      </c>
      <c r="C176" s="111" t="n">
        <v>0</v>
      </c>
      <c r="D176" s="111" t="n">
        <v>0</v>
      </c>
      <c r="E176" s="111" t="n">
        <v>12703.7</v>
      </c>
      <c r="F176" s="111" t="n">
        <v>0</v>
      </c>
      <c r="G176" s="111" t="n">
        <v>0</v>
      </c>
      <c r="H176" s="94">
        <f>COUNTIF(C176:G176,"&lt;&gt;0")</f>
        <v/>
      </c>
      <c r="I176" s="94">
        <f>IF(H176=0,"לא מטופל",IF(H176=1,"מטופל - סוכן אחד","מטופל - יותר מסוכן אחד"))</f>
        <v/>
      </c>
    </row>
    <row r="177" ht="15" customHeight="1" s="82">
      <c r="A177" s="94" t="inlineStr">
        <is>
          <t>ס. פארם</t>
        </is>
      </c>
      <c r="B177" s="94" t="inlineStr">
        <is>
          <t>ס.פ.גבעתיים תרופות</t>
        </is>
      </c>
      <c r="C177" s="111" t="n">
        <v>0</v>
      </c>
      <c r="D177" s="111" t="n">
        <v>0</v>
      </c>
      <c r="E177" s="111" t="n">
        <v>12658</v>
      </c>
      <c r="F177" s="111" t="n">
        <v>0</v>
      </c>
      <c r="G177" s="111" t="n">
        <v>0</v>
      </c>
      <c r="H177" s="94">
        <f>COUNTIF(C177:G177,"&lt;&gt;0")</f>
        <v/>
      </c>
      <c r="I177" s="94">
        <f>IF(H177=0,"לא מטופל",IF(H177=1,"מטופל - סוכן אחד","מטופל - יותר מסוכן אחד"))</f>
        <v/>
      </c>
    </row>
    <row r="178" ht="15" customHeight="1" s="82">
      <c r="A178" s="94" t="inlineStr">
        <is>
          <t>ס. פארם</t>
        </is>
      </c>
      <c r="B178" s="94" t="inlineStr">
        <is>
          <t>ס.פ.מגדל האופרה תרופות</t>
        </is>
      </c>
      <c r="C178" s="111" t="n">
        <v>0</v>
      </c>
      <c r="D178" s="111" t="n">
        <v>0</v>
      </c>
      <c r="E178" s="111" t="n">
        <v>14020.8</v>
      </c>
      <c r="F178" s="111" t="n">
        <v>0</v>
      </c>
      <c r="G178" s="111" t="n">
        <v>0</v>
      </c>
      <c r="H178" s="94">
        <f>COUNTIF(C178:G178,"&lt;&gt;0")</f>
        <v/>
      </c>
      <c r="I178" s="94">
        <f>IF(H178=0,"לא מטופל",IF(H178=1,"מטופל - סוכן אחד","מטופל - יותר מסוכן אחד"))</f>
        <v/>
      </c>
    </row>
    <row r="179" ht="15" customHeight="1" s="82">
      <c r="A179" s="94" t="inlineStr">
        <is>
          <t>ס. פארם</t>
        </is>
      </c>
      <c r="B179" s="94" t="inlineStr">
        <is>
          <t>ס.פ.אלנבי תרופות</t>
        </is>
      </c>
      <c r="C179" s="111" t="n">
        <v>13661.8</v>
      </c>
      <c r="D179" s="111" t="n">
        <v>0</v>
      </c>
      <c r="E179" s="111" t="n">
        <v>0</v>
      </c>
      <c r="F179" s="111" t="n">
        <v>0</v>
      </c>
      <c r="G179" s="111" t="n">
        <v>0</v>
      </c>
      <c r="H179" s="94">
        <f>COUNTIF(C179:G179,"&lt;&gt;0")</f>
        <v/>
      </c>
      <c r="I179" s="94">
        <f>IF(H179=0,"לא מטופל",IF(H179=1,"מטופל - סוכן אחד","מטופל - יותר מסוכן אחד"))</f>
        <v/>
      </c>
    </row>
    <row r="180" ht="15" customHeight="1" s="82">
      <c r="A180" s="94" t="inlineStr">
        <is>
          <t>ס. פארם</t>
        </is>
      </c>
      <c r="B180" s="94" t="inlineStr">
        <is>
          <t>ס.פ.פלורנטין תרופות</t>
        </is>
      </c>
      <c r="C180" s="111" t="n">
        <v>1546.3</v>
      </c>
      <c r="D180" s="111" t="n">
        <v>0</v>
      </c>
      <c r="E180" s="111" t="n">
        <v>0</v>
      </c>
      <c r="F180" s="111" t="n">
        <v>0</v>
      </c>
      <c r="G180" s="111" t="n">
        <v>0</v>
      </c>
      <c r="H180" s="94">
        <f>COUNTIF(C180:G180,"&lt;&gt;0")</f>
        <v/>
      </c>
      <c r="I180" s="94">
        <f>IF(H180=0,"לא מטופל",IF(H180=1,"מטופל - סוכן אחד","מטופל - יותר מסוכן אחד"))</f>
        <v/>
      </c>
    </row>
    <row r="181" ht="15" customHeight="1" s="82">
      <c r="A181" s="94" t="inlineStr">
        <is>
          <t>ס. פארם</t>
        </is>
      </c>
      <c r="B181" s="94" t="inlineStr">
        <is>
          <t>ס.פ.מגדלי ת""א תרופות</t>
        </is>
      </c>
      <c r="C181" s="111" t="n">
        <v>5372.3</v>
      </c>
      <c r="D181" s="111" t="n">
        <v>0</v>
      </c>
      <c r="E181" s="111" t="n">
        <v>0</v>
      </c>
      <c r="F181" s="111" t="n">
        <v>0</v>
      </c>
      <c r="G181" s="111" t="n">
        <v>0</v>
      </c>
      <c r="H181" s="94">
        <f>COUNTIF(C181:G181,"&lt;&gt;0")</f>
        <v/>
      </c>
      <c r="I181" s="94">
        <f>IF(H181=0,"לא מטופל",IF(H181=1,"מטופל - סוכן אחד","מטופל - יותר מסוכן אחד"))</f>
        <v/>
      </c>
    </row>
    <row r="182" ht="15" customHeight="1" s="82">
      <c r="A182" s="94" t="inlineStr">
        <is>
          <t>ס. פארם</t>
        </is>
      </c>
      <c r="B182" s="94" t="inlineStr">
        <is>
          <t>ס.פ.נמל תל אביב תרופות</t>
        </is>
      </c>
      <c r="C182" s="111" t="n">
        <v>6993.9</v>
      </c>
      <c r="D182" s="111" t="n">
        <v>0</v>
      </c>
      <c r="E182" s="111" t="n">
        <v>0</v>
      </c>
      <c r="F182" s="111" t="n">
        <v>0</v>
      </c>
      <c r="G182" s="111" t="n">
        <v>0</v>
      </c>
      <c r="H182" s="94">
        <f>COUNTIF(C182:G182,"&lt;&gt;0")</f>
        <v/>
      </c>
      <c r="I182" s="94">
        <f>IF(H182=0,"לא מטופל",IF(H182=1,"מטופל - סוכן אחד","מטופל - יותר מסוכן אחד"))</f>
        <v/>
      </c>
    </row>
    <row r="183" ht="15" customHeight="1" s="82">
      <c r="A183" s="94" t="inlineStr">
        <is>
          <t>ס. פארם</t>
        </is>
      </c>
      <c r="B183" s="94" t="inlineStr">
        <is>
          <t>ס.פ.דיזנגוף סנטר תרופות</t>
        </is>
      </c>
      <c r="C183" s="111" t="n">
        <v>11944.1</v>
      </c>
      <c r="D183" s="111" t="n">
        <v>0</v>
      </c>
      <c r="E183" s="111" t="n">
        <v>0</v>
      </c>
      <c r="F183" s="111" t="n">
        <v>0</v>
      </c>
      <c r="G183" s="111" t="n">
        <v>0</v>
      </c>
      <c r="H183" s="94">
        <f>COUNTIF(C183:G183,"&lt;&gt;0")</f>
        <v/>
      </c>
      <c r="I183" s="94">
        <f>IF(H183=0,"לא מטופל",IF(H183=1,"מטופל - סוכן אחד","מטופל - יותר מסוכן אחד"))</f>
        <v/>
      </c>
    </row>
    <row r="184" ht="15" customHeight="1" s="82">
      <c r="A184" s="94" t="inlineStr">
        <is>
          <t>ס. פארם</t>
        </is>
      </c>
      <c r="B184" s="94" t="inlineStr">
        <is>
          <t>ס.פ. איכילוב תרופות</t>
        </is>
      </c>
      <c r="C184" s="111" t="n">
        <v>36633.4</v>
      </c>
      <c r="D184" s="111" t="n">
        <v>0</v>
      </c>
      <c r="E184" s="111" t="n">
        <v>0</v>
      </c>
      <c r="F184" s="111" t="n">
        <v>0</v>
      </c>
      <c r="G184" s="111" t="n">
        <v>0</v>
      </c>
      <c r="H184" s="94">
        <f>COUNTIF(C184:G184,"&lt;&gt;0")</f>
        <v/>
      </c>
      <c r="I184" s="94">
        <f>IF(H184=0,"לא מטופל",IF(H184=1,"מטופל - סוכן אחד","מטופל - יותר מסוכן אחד"))</f>
        <v/>
      </c>
    </row>
    <row r="185" ht="15" customHeight="1" s="82">
      <c r="A185" s="94" t="inlineStr">
        <is>
          <t>ס. פארם</t>
        </is>
      </c>
      <c r="B185" s="94" t="inlineStr">
        <is>
          <t>ס.פ.יד אליהו  תרופות</t>
        </is>
      </c>
      <c r="C185" s="111" t="n">
        <v>10689.4</v>
      </c>
      <c r="D185" s="111" t="n">
        <v>0</v>
      </c>
      <c r="E185" s="111" t="n">
        <v>0</v>
      </c>
      <c r="F185" s="111" t="n">
        <v>0</v>
      </c>
      <c r="G185" s="111" t="n">
        <v>0</v>
      </c>
      <c r="H185" s="94">
        <f>COUNTIF(C185:G185,"&lt;&gt;0")</f>
        <v/>
      </c>
      <c r="I185" s="94">
        <f>IF(H185=0,"לא מטופל",IF(H185=1,"מטופל - סוכן אחד","מטופל - יותר מסוכן אחד"))</f>
        <v/>
      </c>
    </row>
    <row r="186" ht="15" customHeight="1" s="82">
      <c r="A186" s="94" t="inlineStr">
        <is>
          <t>ס. פארם</t>
        </is>
      </c>
      <c r="B186" s="94" t="inlineStr">
        <is>
          <t>ס.פ.ת.מרכזית תא תרופות</t>
        </is>
      </c>
      <c r="C186" s="111" t="n">
        <v>19531.7</v>
      </c>
      <c r="D186" s="111" t="n">
        <v>0</v>
      </c>
      <c r="E186" s="111" t="n">
        <v>0</v>
      </c>
      <c r="F186" s="111" t="n">
        <v>0</v>
      </c>
      <c r="G186" s="111" t="n">
        <v>0</v>
      </c>
      <c r="H186" s="94">
        <f>COUNTIF(C186:G186,"&lt;&gt;0")</f>
        <v/>
      </c>
      <c r="I186" s="94">
        <f>IF(H186=0,"לא מטופל",IF(H186=1,"מטופל - סוכן אחד","מטופל - יותר מסוכן אחד"))</f>
        <v/>
      </c>
    </row>
    <row r="187" ht="15" customHeight="1" s="82">
      <c r="A187" s="94" t="inlineStr">
        <is>
          <t>ס. פארם</t>
        </is>
      </c>
      <c r="B187" s="94" t="inlineStr">
        <is>
          <t>ס.פ.מגדל שלום תרופות</t>
        </is>
      </c>
      <c r="C187" s="111" t="n">
        <v>17670.5</v>
      </c>
      <c r="D187" s="111" t="n">
        <v>0</v>
      </c>
      <c r="E187" s="111" t="n">
        <v>0</v>
      </c>
      <c r="F187" s="111" t="n">
        <v>0</v>
      </c>
      <c r="G187" s="111" t="n">
        <v>0</v>
      </c>
      <c r="H187" s="94">
        <f>COUNTIF(C187:G187,"&lt;&gt;0")</f>
        <v/>
      </c>
      <c r="I187" s="94">
        <f>IF(H187=0,"לא מטופל",IF(H187=1,"מטופל - סוכן אחד","מטופל - יותר מסוכן אחד"))</f>
        <v/>
      </c>
    </row>
    <row r="188" ht="15" customHeight="1" s="82">
      <c r="A188" s="94" t="inlineStr">
        <is>
          <t>ס. פארם</t>
        </is>
      </c>
      <c r="B188" s="94" t="inlineStr">
        <is>
          <t>ס.פ.צמרת ת""א תרופות</t>
        </is>
      </c>
      <c r="C188" s="111" t="n">
        <v>5586.4</v>
      </c>
      <c r="D188" s="111" t="n">
        <v>0</v>
      </c>
      <c r="E188" s="111" t="n">
        <v>0</v>
      </c>
      <c r="F188" s="111" t="n">
        <v>0</v>
      </c>
      <c r="G188" s="111" t="n">
        <v>0</v>
      </c>
      <c r="H188" s="94">
        <f>COUNTIF(C188:G188,"&lt;&gt;0")</f>
        <v/>
      </c>
      <c r="I188" s="94">
        <f>IF(H188=0,"לא מטופל",IF(H188=1,"מטופל - סוכן אחד","מטופל - יותר מסוכן אחד"))</f>
        <v/>
      </c>
    </row>
    <row r="189" ht="15" customHeight="1" s="82">
      <c r="A189" s="94" t="inlineStr">
        <is>
          <t>ס. פארם</t>
        </is>
      </c>
      <c r="B189" s="94" t="inlineStr">
        <is>
          <t>ס.פ.מיניסטור תרופות</t>
        </is>
      </c>
      <c r="C189" s="111" t="n">
        <v>47848.3</v>
      </c>
      <c r="D189" s="111" t="n">
        <v>0</v>
      </c>
      <c r="E189" s="111" t="n">
        <v>0</v>
      </c>
      <c r="F189" s="111" t="n">
        <v>0</v>
      </c>
      <c r="G189" s="111" t="n">
        <v>0</v>
      </c>
      <c r="H189" s="94">
        <f>COUNTIF(C189:G189,"&lt;&gt;0")</f>
        <v/>
      </c>
      <c r="I189" s="94">
        <f>IF(H189=0,"לא מטופל",IF(H189=1,"מטופל - סוכן אחד","מטופל - יותר מסוכן אחד"))</f>
        <v/>
      </c>
    </row>
    <row r="190" ht="15" customHeight="1" s="82">
      <c r="A190" s="94" t="inlineStr">
        <is>
          <t>ס. פארם</t>
        </is>
      </c>
      <c r="B190" s="94" t="inlineStr">
        <is>
          <t>ס.פ מ.השלום )עזריאלי( תרופות</t>
        </is>
      </c>
      <c r="C190" s="111" t="n">
        <v>20853.9</v>
      </c>
      <c r="D190" s="111" t="n">
        <v>0</v>
      </c>
      <c r="E190" s="111" t="n">
        <v>0</v>
      </c>
      <c r="F190" s="111" t="n">
        <v>0</v>
      </c>
      <c r="G190" s="111" t="n">
        <v>0</v>
      </c>
      <c r="H190" s="94">
        <f>COUNTIF(C190:G190,"&lt;&gt;0")</f>
        <v/>
      </c>
      <c r="I190" s="94">
        <f>IF(H190=0,"לא מטופל",IF(H190=1,"מטופל - סוכן אחד","מטופל - יותר מסוכן אחד"))</f>
        <v/>
      </c>
    </row>
    <row r="191" ht="15" customHeight="1" s="82">
      <c r="A191" s="94" t="inlineStr">
        <is>
          <t>ס. פארם</t>
        </is>
      </c>
      <c r="B191" s="94" t="inlineStr">
        <is>
          <t>ס.פ.גורדון תרופות</t>
        </is>
      </c>
      <c r="C191" s="111" t="n">
        <v>12166.6</v>
      </c>
      <c r="D191" s="111" t="n">
        <v>0</v>
      </c>
      <c r="E191" s="111" t="n">
        <v>0</v>
      </c>
      <c r="F191" s="111" t="n">
        <v>0</v>
      </c>
      <c r="G191" s="111" t="n">
        <v>0</v>
      </c>
      <c r="H191" s="94">
        <f>COUNTIF(C191:G191,"&lt;&gt;0")</f>
        <v/>
      </c>
      <c r="I191" s="94">
        <f>IF(H191=0,"לא מטופל",IF(H191=1,"מטופל - סוכן אחד","מטופל - יותר מסוכן אחד"))</f>
        <v/>
      </c>
    </row>
    <row r="192" ht="15" customHeight="1" s="82">
      <c r="A192" s="94" t="inlineStr">
        <is>
          <t>ס. פארם</t>
        </is>
      </c>
      <c r="B192" s="94" t="inlineStr">
        <is>
          <t>ס.פ.אבן גבירול תרופות</t>
        </is>
      </c>
      <c r="C192" s="111" t="n">
        <v>32455.5</v>
      </c>
      <c r="D192" s="111" t="n">
        <v>0</v>
      </c>
      <c r="E192" s="111" t="n">
        <v>0</v>
      </c>
      <c r="F192" s="111" t="n">
        <v>0</v>
      </c>
      <c r="G192" s="111" t="n">
        <v>0</v>
      </c>
      <c r="H192" s="94">
        <f>COUNTIF(C192:G192,"&lt;&gt;0")</f>
        <v/>
      </c>
      <c r="I192" s="94">
        <f>IF(H192=0,"לא מטופל",IF(H192=1,"מטופל - סוכן אחד","מטופל - יותר מסוכן אחד"))</f>
        <v/>
      </c>
    </row>
    <row r="193" ht="15" customHeight="1" s="82">
      <c r="A193" s="94" t="inlineStr">
        <is>
          <t>ס. פארם</t>
        </is>
      </c>
      <c r="B193" s="94" t="inlineStr">
        <is>
          <t>ס.פ.קסטל תל אביב תרופות</t>
        </is>
      </c>
      <c r="C193" s="111" t="n">
        <v>8935.299999999999</v>
      </c>
      <c r="D193" s="111" t="n">
        <v>0</v>
      </c>
      <c r="E193" s="111" t="n">
        <v>0</v>
      </c>
      <c r="F193" s="111" t="n">
        <v>0</v>
      </c>
      <c r="G193" s="111" t="n">
        <v>0</v>
      </c>
      <c r="H193" s="94">
        <f>COUNTIF(C193:G193,"&lt;&gt;0")</f>
        <v/>
      </c>
      <c r="I193" s="94">
        <f>IF(H193=0,"לא מטופל",IF(H193=1,"מטופל - סוכן אחד","מטופל - יותר מסוכן אחד"))</f>
        <v/>
      </c>
    </row>
    <row r="194" ht="15" customHeight="1" s="82">
      <c r="A194" s="94" t="inlineStr">
        <is>
          <t>ס. פארם</t>
        </is>
      </c>
      <c r="B194" s="94" t="inlineStr">
        <is>
          <t>ס.פ.שנקין תרופות</t>
        </is>
      </c>
      <c r="C194" s="111" t="n">
        <v>16158.5</v>
      </c>
      <c r="D194" s="111" t="n">
        <v>0</v>
      </c>
      <c r="E194" s="111" t="n">
        <v>0</v>
      </c>
      <c r="F194" s="111" t="n">
        <v>0</v>
      </c>
      <c r="G194" s="111" t="n">
        <v>0</v>
      </c>
      <c r="H194" s="94">
        <f>COUNTIF(C194:G194,"&lt;&gt;0")</f>
        <v/>
      </c>
      <c r="I194" s="94">
        <f>IF(H194=0,"לא מטופל",IF(H194=1,"מטופל - סוכן אחד","מטופל - יותר מסוכן אחד"))</f>
        <v/>
      </c>
    </row>
    <row r="195" ht="15" customHeight="1" s="82">
      <c r="A195" s="94" t="inlineStr">
        <is>
          <t>ס. פארם</t>
        </is>
      </c>
      <c r="B195" s="94" t="inlineStr">
        <is>
          <t>ס.פ התמרים חברת אופיר סלומון ב</t>
        </is>
      </c>
      <c r="C195" s="111" t="n">
        <v>0</v>
      </c>
      <c r="D195" s="111" t="n">
        <v>0</v>
      </c>
      <c r="E195" s="111" t="n">
        <v>0</v>
      </c>
      <c r="F195" s="111" t="n">
        <v>0</v>
      </c>
      <c r="G195" s="111" t="n">
        <v>26047.6</v>
      </c>
      <c r="H195" s="94">
        <f>COUNTIF(C195:G195,"&lt;&gt;0")</f>
        <v/>
      </c>
      <c r="I195" s="94">
        <f>IF(H195=0,"לא מטופל",IF(H195=1,"מטופל - סוכן אחד","מטופל - יותר מסוכן אחד"))</f>
        <v/>
      </c>
    </row>
    <row r="196" ht="15" customHeight="1" s="82">
      <c r="A196" s="94" t="inlineStr">
        <is>
          <t>ס. פארם</t>
        </is>
      </c>
      <c r="B196" s="94" t="inlineStr">
        <is>
          <t>""ס.פ שחמון חברת שרון בן לסן בע</t>
        </is>
      </c>
      <c r="C196" s="111" t="n">
        <v>0</v>
      </c>
      <c r="D196" s="111" t="n">
        <v>0</v>
      </c>
      <c r="E196" s="111" t="n">
        <v>0</v>
      </c>
      <c r="F196" s="111" t="n">
        <v>0</v>
      </c>
      <c r="G196" s="111" t="n">
        <v>13788</v>
      </c>
      <c r="H196" s="94">
        <f>COUNTIF(C196:G196,"&lt;&gt;0")</f>
        <v/>
      </c>
      <c r="I196" s="94">
        <f>IF(H196=0,"לא מטופל",IF(H196=1,"מטופל - סוכן אחד","מטופל - יותר מסוכן אחד"))</f>
        <v/>
      </c>
    </row>
    <row r="197" ht="15" customHeight="1" s="82">
      <c r="A197" s="94" t="inlineStr">
        <is>
          <t>ס. פארם</t>
        </is>
      </c>
      <c r="B197" s="94" t="inlineStr">
        <is>
          <t>""ס.פ מול הים חברת דוד אהרון בע</t>
        </is>
      </c>
      <c r="C197" s="111" t="n">
        <v>0</v>
      </c>
      <c r="D197" s="111" t="n">
        <v>0</v>
      </c>
      <c r="E197" s="111" t="n">
        <v>0</v>
      </c>
      <c r="F197" s="111" t="n">
        <v>0</v>
      </c>
      <c r="G197" s="111" t="n">
        <v>23769.8</v>
      </c>
      <c r="H197" s="94">
        <f>COUNTIF(C197:G197,"&lt;&gt;0")</f>
        <v/>
      </c>
      <c r="I197" s="94">
        <f>IF(H197=0,"לא מטופל",IF(H197=1,"מטופל - סוכן אחד","מטופל - יותר מסוכן אחד"))</f>
        <v/>
      </c>
    </row>
    <row r="198" ht="15" customHeight="1" s="82">
      <c r="A198" s="94" t="inlineStr">
        <is>
          <t>ס. פארם</t>
        </is>
      </c>
      <c r="B198" s="94" t="inlineStr">
        <is>
          <t>ס.פ ביג אילת חב.שרון בן לסן בע</t>
        </is>
      </c>
      <c r="C198" s="111" t="n">
        <v>0</v>
      </c>
      <c r="D198" s="111" t="n">
        <v>0</v>
      </c>
      <c r="E198" s="111" t="n">
        <v>0</v>
      </c>
      <c r="F198" s="111" t="n">
        <v>0</v>
      </c>
      <c r="G198" s="111" t="n">
        <v>23541.9</v>
      </c>
      <c r="H198" s="94">
        <f>COUNTIF(C198:G198,"&lt;&gt;0")</f>
        <v/>
      </c>
      <c r="I198" s="94">
        <f>IF(H198=0,"לא מטופל",IF(H198=1,"מטופל - סוכן אחד","מטופל - יותר מסוכן אחד"))</f>
        <v/>
      </c>
    </row>
    <row r="199" ht="15" customHeight="1" s="82">
      <c r="A199" s="94" t="inlineStr">
        <is>
          <t>ס. פארם</t>
        </is>
      </c>
      <c r="B199" s="94" t="inlineStr">
        <is>
          <t>ס.פ.רעננה מרכז תרופות</t>
        </is>
      </c>
      <c r="C199" s="111" t="n">
        <v>23919.9</v>
      </c>
      <c r="D199" s="111" t="n">
        <v>0</v>
      </c>
      <c r="E199" s="111" t="n">
        <v>0</v>
      </c>
      <c r="F199" s="111" t="n">
        <v>0</v>
      </c>
      <c r="G199" s="111" t="n">
        <v>0</v>
      </c>
      <c r="H199" s="94">
        <f>COUNTIF(C199:G199,"&lt;&gt;0")</f>
        <v/>
      </c>
      <c r="I199" s="94">
        <f>IF(H199=0,"לא מטופל",IF(H199=1,"מטופל - סוכן אחד","מטופל - יותר מסוכן אחד"))</f>
        <v/>
      </c>
    </row>
    <row r="200" ht="15" customHeight="1" s="82">
      <c r="A200" s="94" t="inlineStr">
        <is>
          <t>ס. פארם</t>
        </is>
      </c>
      <c r="B200" s="94" t="inlineStr">
        <is>
          <t>ס.פ.רננים תרופות</t>
        </is>
      </c>
      <c r="C200" s="111" t="n">
        <v>20531.7</v>
      </c>
      <c r="D200" s="111" t="n">
        <v>0</v>
      </c>
      <c r="E200" s="111" t="n">
        <v>0</v>
      </c>
      <c r="F200" s="111" t="n">
        <v>0</v>
      </c>
      <c r="G200" s="111" t="n">
        <v>0</v>
      </c>
      <c r="H200" s="94">
        <f>COUNTIF(C200:G200,"&lt;&gt;0")</f>
        <v/>
      </c>
      <c r="I200" s="94">
        <f>IF(H200=0,"לא מטופל",IF(H200=1,"מטופל - סוכן אחד","מטופל - יותר מסוכן אחד"))</f>
        <v/>
      </c>
    </row>
    <row r="201" ht="15" customHeight="1" s="82">
      <c r="A201" s="94" t="inlineStr">
        <is>
          <t>ס. פארם</t>
        </is>
      </c>
      <c r="B201" s="94" t="inlineStr">
        <is>
          <t>ס.פ.פקר כפר סבא תרופות</t>
        </is>
      </c>
      <c r="C201" s="111" t="n">
        <v>27155.7</v>
      </c>
      <c r="D201" s="111" t="n">
        <v>0</v>
      </c>
      <c r="E201" s="111" t="n">
        <v>0</v>
      </c>
      <c r="F201" s="111" t="n">
        <v>0</v>
      </c>
      <c r="G201" s="111" t="n">
        <v>0</v>
      </c>
      <c r="H201" s="94">
        <f>COUNTIF(C201:G201,"&lt;&gt;0")</f>
        <v/>
      </c>
      <c r="I201" s="94">
        <f>IF(H201=0,"לא מטופל",IF(H201=1,"מטופל - סוכן אחד","מטופל - יותר מסוכן אחד"))</f>
        <v/>
      </c>
    </row>
    <row r="202" ht="15" customHeight="1" s="82">
      <c r="A202" s="94" t="inlineStr">
        <is>
          <t>ס. פארם</t>
        </is>
      </c>
      <c r="B202" s="94" t="inlineStr">
        <is>
          <t>267  ס.פ.פארק מול תרופות</t>
        </is>
      </c>
      <c r="C202" s="111" t="n">
        <v>24651.5</v>
      </c>
      <c r="D202" s="111" t="n">
        <v>0</v>
      </c>
      <c r="E202" s="111" t="n">
        <v>0</v>
      </c>
      <c r="F202" s="111" t="n">
        <v>0</v>
      </c>
      <c r="G202" s="111" t="n">
        <v>0</v>
      </c>
      <c r="H202" s="94">
        <f>COUNTIF(C202:G202,"&lt;&gt;0")</f>
        <v/>
      </c>
      <c r="I202" s="94">
        <f>IF(H202=0,"לא מטופל",IF(H202=1,"מטופל - סוכן אחד","מטופל - יותר מסוכן אחד"))</f>
        <v/>
      </c>
    </row>
    <row r="203" ht="15" customHeight="1" s="82">
      <c r="A203" s="94" t="inlineStr">
        <is>
          <t>ס. פארם</t>
        </is>
      </c>
      <c r="B203" s="94" t="inlineStr">
        <is>
          <t>ס.פ.הוד השרון תרופות</t>
        </is>
      </c>
      <c r="C203" s="111" t="n">
        <v>24101.1</v>
      </c>
      <c r="D203" s="111" t="n">
        <v>0</v>
      </c>
      <c r="E203" s="111" t="n">
        <v>0</v>
      </c>
      <c r="F203" s="111" t="n">
        <v>0</v>
      </c>
      <c r="G203" s="111" t="n">
        <v>0</v>
      </c>
      <c r="H203" s="94">
        <f>COUNTIF(C203:G203,"&lt;&gt;0")</f>
        <v/>
      </c>
      <c r="I203" s="94">
        <f>IF(H203=0,"לא מטופל",IF(H203=1,"מטופל - סוכן אחד","מטופל - יותר מסוכן אחד"))</f>
        <v/>
      </c>
    </row>
    <row r="204" ht="15" customHeight="1" s="82">
      <c r="A204" s="94" t="inlineStr">
        <is>
          <t>ס. פארם</t>
        </is>
      </c>
      <c r="B204" s="94" t="inlineStr">
        <is>
          <t>ס.פ.כפר סבא תרופות</t>
        </is>
      </c>
      <c r="C204" s="111" t="n">
        <v>6522.2</v>
      </c>
      <c r="D204" s="111" t="n">
        <v>0</v>
      </c>
      <c r="E204" s="111" t="n">
        <v>0</v>
      </c>
      <c r="F204" s="111" t="n">
        <v>0</v>
      </c>
      <c r="G204" s="111" t="n">
        <v>0</v>
      </c>
      <c r="H204" s="94">
        <f>COUNTIF(C204:G204,"&lt;&gt;0")</f>
        <v/>
      </c>
      <c r="I204" s="94">
        <f>IF(H204=0,"לא מטופל",IF(H204=1,"מטופל - סוכן אחד","מטופל - יותר מסוכן אחד"))</f>
        <v/>
      </c>
    </row>
    <row r="205" ht="15" customHeight="1" s="82">
      <c r="A205" s="94" t="inlineStr">
        <is>
          <t>ס. פארם</t>
        </is>
      </c>
      <c r="B205" s="94" t="inlineStr">
        <is>
          <t>ס.פ.קניון ערים כ""ס תרופות</t>
        </is>
      </c>
      <c r="C205" s="111" t="n">
        <v>16442</v>
      </c>
      <c r="D205" s="111" t="n">
        <v>0</v>
      </c>
      <c r="E205" s="111" t="n">
        <v>0</v>
      </c>
      <c r="F205" s="111" t="n">
        <v>0</v>
      </c>
      <c r="G205" s="111" t="n">
        <v>0</v>
      </c>
      <c r="H205" s="94">
        <f>COUNTIF(C205:G205,"&lt;&gt;0")</f>
        <v/>
      </c>
      <c r="I205" s="94">
        <f>IF(H205=0,"לא מטופל",IF(H205=1,"מטופל - סוכן אחד","מטופל - יותר מסוכן אחד"))</f>
        <v/>
      </c>
    </row>
    <row r="206" ht="15" customHeight="1" s="82">
      <c r="A206" s="94" t="inlineStr">
        <is>
          <t>ס. פארם</t>
        </is>
      </c>
      <c r="B206" s="94" t="inlineStr">
        <is>
          <t>ס.פ.קניון השרון נתניה תרופות</t>
        </is>
      </c>
      <c r="C206" s="111" t="n">
        <v>21382.2</v>
      </c>
      <c r="D206" s="111" t="n">
        <v>0</v>
      </c>
      <c r="E206" s="111" t="n">
        <v>0</v>
      </c>
      <c r="F206" s="111" t="n">
        <v>0</v>
      </c>
      <c r="G206" s="111" t="n">
        <v>0</v>
      </c>
      <c r="H206" s="94">
        <f>COUNTIF(C206:G206,"&lt;&gt;0")</f>
        <v/>
      </c>
      <c r="I206" s="94">
        <f>IF(H206=0,"לא מטופל",IF(H206=1,"מטופל - סוכן אחד","מטופל - יותר מסוכן אחד"))</f>
        <v/>
      </c>
    </row>
    <row r="207" ht="15" customHeight="1" s="82">
      <c r="A207" s="94" t="inlineStr">
        <is>
          <t>ס. פארם</t>
        </is>
      </c>
      <c r="B207" s="94" t="inlineStr">
        <is>
          <t>ס.פ.ויצמן נתניה תרופות</t>
        </is>
      </c>
      <c r="C207" s="111" t="n">
        <v>14275.7</v>
      </c>
      <c r="D207" s="111" t="n">
        <v>0</v>
      </c>
      <c r="E207" s="111" t="n">
        <v>0</v>
      </c>
      <c r="F207" s="111" t="n">
        <v>0</v>
      </c>
      <c r="G207" s="111" t="n">
        <v>0</v>
      </c>
      <c r="H207" s="94">
        <f>COUNTIF(C207:G207,"&lt;&gt;0")</f>
        <v/>
      </c>
      <c r="I207" s="94">
        <f>IF(H207=0,"לא מטופל",IF(H207=1,"מטופל - סוכן אחד","מטופל - יותר מסוכן אחד"))</f>
        <v/>
      </c>
    </row>
    <row r="208" ht="15" customHeight="1" s="82">
      <c r="A208" s="94" t="inlineStr">
        <is>
          <t>ס. פארם</t>
        </is>
      </c>
      <c r="B208" s="94" t="inlineStr">
        <is>
          <t>ס.פ.קדימה תרופות</t>
        </is>
      </c>
      <c r="C208" s="111" t="n">
        <v>15066.9</v>
      </c>
      <c r="D208" s="111" t="n">
        <v>0</v>
      </c>
      <c r="E208" s="111" t="n">
        <v>0</v>
      </c>
      <c r="F208" s="111" t="n">
        <v>0</v>
      </c>
      <c r="G208" s="111" t="n">
        <v>0</v>
      </c>
      <c r="H208" s="94">
        <f>COUNTIF(C208:G208,"&lt;&gt;0")</f>
        <v/>
      </c>
      <c r="I208" s="94">
        <f>IF(H208=0,"לא מטופל",IF(H208=1,"מטופל - סוכן אחד","מטופל - יותר מסוכן אחד"))</f>
        <v/>
      </c>
    </row>
    <row r="209" ht="15" customHeight="1" s="82">
      <c r="A209" s="94" t="inlineStr">
        <is>
          <t>ס. פארם</t>
        </is>
      </c>
      <c r="B209" s="94" t="inlineStr">
        <is>
          <t>ס.פ.תל מונד תרופות</t>
        </is>
      </c>
      <c r="C209" s="111" t="n">
        <v>12098.6</v>
      </c>
      <c r="D209" s="111" t="n">
        <v>0</v>
      </c>
      <c r="E209" s="111" t="n">
        <v>0</v>
      </c>
      <c r="F209" s="111" t="n">
        <v>0</v>
      </c>
      <c r="G209" s="111" t="n">
        <v>0</v>
      </c>
      <c r="H209" s="94">
        <f>COUNTIF(C209:G209,"&lt;&gt;0")</f>
        <v/>
      </c>
      <c r="I209" s="94">
        <f>IF(H209=0,"לא מטופל",IF(H209=1,"מטופל - סוכן אחד","מטופל - יותר מסוכן אחד"))</f>
        <v/>
      </c>
    </row>
    <row r="210" ht="15" customHeight="1" s="82">
      <c r="A210" s="94" t="inlineStr">
        <is>
          <t>ס. פארם</t>
        </is>
      </c>
      <c r="B210" s="94" t="inlineStr">
        <is>
          <t>ס.פ.ביג פולג תרופות</t>
        </is>
      </c>
      <c r="C210" s="111" t="n">
        <v>20736.3</v>
      </c>
      <c r="D210" s="111" t="n">
        <v>0</v>
      </c>
      <c r="E210" s="111" t="n">
        <v>0</v>
      </c>
      <c r="F210" s="111" t="n">
        <v>0</v>
      </c>
      <c r="G210" s="111" t="n">
        <v>0</v>
      </c>
      <c r="H210" s="94">
        <f>COUNTIF(C210:G210,"&lt;&gt;0")</f>
        <v/>
      </c>
      <c r="I210" s="94">
        <f>IF(H210=0,"לא מטופל",IF(H210=1,"מטופל - סוכן אחד","מטופל - יותר מסוכן אחד"))</f>
        <v/>
      </c>
    </row>
    <row r="211" ht="15" customHeight="1" s="82">
      <c r="A211" s="94" t="inlineStr">
        <is>
          <t>ס. פארם</t>
        </is>
      </c>
      <c r="B211" s="94" t="inlineStr">
        <is>
          <t>ס.פ.הארי נתניה תרופות</t>
        </is>
      </c>
      <c r="C211" s="111" t="n">
        <v>22369.9</v>
      </c>
      <c r="D211" s="111" t="n">
        <v>0</v>
      </c>
      <c r="E211" s="111" t="n">
        <v>0</v>
      </c>
      <c r="F211" s="111" t="n">
        <v>0</v>
      </c>
      <c r="G211" s="111" t="n">
        <v>0</v>
      </c>
      <c r="H211" s="94">
        <f>COUNTIF(C211:G211,"&lt;&gt;0")</f>
        <v/>
      </c>
      <c r="I211" s="94">
        <f>IF(H211=0,"לא מטופל",IF(H211=1,"מטופל - סוכן אחד","מטופל - יותר מסוכן אחד"))</f>
        <v/>
      </c>
    </row>
    <row r="212" ht="15" customHeight="1" s="82">
      <c r="A212" s="94" t="inlineStr">
        <is>
          <t>ס. פארם</t>
        </is>
      </c>
      <c r="B212" s="94" t="inlineStr">
        <is>
          <t>ס.פ.עיר ימים נתניה תרופות</t>
        </is>
      </c>
      <c r="C212" s="111" t="n">
        <v>24534.9</v>
      </c>
      <c r="D212" s="111" t="n">
        <v>0</v>
      </c>
      <c r="E212" s="111" t="n">
        <v>0</v>
      </c>
      <c r="F212" s="111" t="n">
        <v>0</v>
      </c>
      <c r="G212" s="111" t="n">
        <v>0</v>
      </c>
      <c r="H212" s="94">
        <f>COUNTIF(C212:G212,"&lt;&gt;0")</f>
        <v/>
      </c>
      <c r="I212" s="94">
        <f>IF(H212=0,"לא מטופל",IF(H212=1,"מטופל - סוכן אחד","מטופל - יותר מסוכן אחד"))</f>
        <v/>
      </c>
    </row>
    <row r="213" ht="15" customHeight="1" s="82">
      <c r="A213" s="94" t="inlineStr">
        <is>
          <t>ס. פארם</t>
        </is>
      </c>
      <c r="B213" s="94" t="inlineStr">
        <is>
          <t>ס.פ.רמז נתניה תרופות</t>
        </is>
      </c>
      <c r="C213" s="111" t="n">
        <v>14898.9</v>
      </c>
      <c r="D213" s="111" t="n">
        <v>0</v>
      </c>
      <c r="E213" s="111" t="n">
        <v>0</v>
      </c>
      <c r="F213" s="111" t="n">
        <v>0</v>
      </c>
      <c r="G213" s="111" t="n">
        <v>0</v>
      </c>
      <c r="H213" s="94">
        <f>COUNTIF(C213:G213,"&lt;&gt;0")</f>
        <v/>
      </c>
      <c r="I213" s="94">
        <f>IF(H213=0,"לא מטופל",IF(H213=1,"מטופל - סוכן אחד","מטופל - יותר מסוכן אחד"))</f>
        <v/>
      </c>
    </row>
    <row r="214" ht="15" customHeight="1" s="82">
      <c r="A214" s="94" t="inlineStr">
        <is>
          <t>ס. פארם</t>
        </is>
      </c>
      <c r="B214" s="94" t="inlineStr">
        <is>
          <t>ס.פ.גבעת טל תרופות</t>
        </is>
      </c>
      <c r="C214" s="111" t="n">
        <v>0</v>
      </c>
      <c r="D214" s="111" t="n">
        <v>0</v>
      </c>
      <c r="E214" s="111" t="n">
        <v>12061.8</v>
      </c>
      <c r="F214" s="111" t="n">
        <v>0</v>
      </c>
      <c r="G214" s="111" t="n">
        <v>0</v>
      </c>
      <c r="H214" s="94">
        <f>COUNTIF(C214:G214,"&lt;&gt;0")</f>
        <v/>
      </c>
      <c r="I214" s="94">
        <f>IF(H214=0,"לא מטופל",IF(H214=1,"מטופל - סוכן אחד","מטופל - יותר מסוכן אחד"))</f>
        <v/>
      </c>
    </row>
    <row r="215" ht="15" customHeight="1" s="82">
      <c r="A215" s="94" t="inlineStr">
        <is>
          <t>ס. פארם</t>
        </is>
      </c>
      <c r="B215" s="94" t="inlineStr">
        <is>
          <t>ס.פ.היכל תרופות</t>
        </is>
      </c>
      <c r="C215" s="111" t="n">
        <v>0</v>
      </c>
      <c r="D215" s="111" t="n">
        <v>0</v>
      </c>
      <c r="E215" s="111" t="n">
        <v>18705.5</v>
      </c>
      <c r="F215" s="111" t="n">
        <v>0</v>
      </c>
      <c r="G215" s="111" t="n">
        <v>0</v>
      </c>
      <c r="H215" s="94">
        <f>COUNTIF(C215:G215,"&lt;&gt;0")</f>
        <v/>
      </c>
      <c r="I215" s="94">
        <f>IF(H215=0,"לא מטופל",IF(H215=1,"מטופל - סוכן אחד","מטופל - יותר מסוכן אחד"))</f>
        <v/>
      </c>
    </row>
    <row r="216" ht="15" customHeight="1" s="82">
      <c r="A216" s="94" t="inlineStr">
        <is>
          <t>ס. פארם</t>
        </is>
      </c>
      <c r="B216" s="94" t="inlineStr">
        <is>
          <t>ס.פ.כוכב יאיר תרופות</t>
        </is>
      </c>
      <c r="C216" s="111" t="n">
        <v>0</v>
      </c>
      <c r="D216" s="111" t="n">
        <v>0</v>
      </c>
      <c r="E216" s="111" t="n">
        <v>9490.5</v>
      </c>
      <c r="F216" s="111" t="n">
        <v>0</v>
      </c>
      <c r="G216" s="111" t="n">
        <v>0</v>
      </c>
      <c r="H216" s="94">
        <f>COUNTIF(C216:G216,"&lt;&gt;0")</f>
        <v/>
      </c>
      <c r="I216" s="94">
        <f>IF(H216=0,"לא מטופל",IF(H216=1,"מטופל - סוכן אחד","מטופל - יותר מסוכן אחד"))</f>
        <v/>
      </c>
    </row>
    <row r="217" ht="15" customHeight="1" s="82">
      <c r="A217" s="94" t="inlineStr">
        <is>
          <t>ס. פארם</t>
        </is>
      </c>
      <c r="B217" s="94" t="inlineStr">
        <is>
          <t>ס.פ.כפר גנים תרופות</t>
        </is>
      </c>
      <c r="C217" s="111" t="n">
        <v>0</v>
      </c>
      <c r="D217" s="111" t="n">
        <v>0</v>
      </c>
      <c r="E217" s="111" t="n">
        <v>20962.9</v>
      </c>
      <c r="F217" s="111" t="n">
        <v>0</v>
      </c>
      <c r="G217" s="111" t="n">
        <v>0</v>
      </c>
      <c r="H217" s="94">
        <f>COUNTIF(C217:G217,"&lt;&gt;0")</f>
        <v/>
      </c>
      <c r="I217" s="94">
        <f>IF(H217=0,"לא מטופל",IF(H217=1,"מטופל - סוכן אחד","מטופל - יותר מסוכן אחד"))</f>
        <v/>
      </c>
    </row>
    <row r="218" ht="15" customHeight="1" s="82">
      <c r="A218" s="94" t="inlineStr">
        <is>
          <t>ס. פארם</t>
        </is>
      </c>
      <c r="B218" s="94" t="inlineStr">
        <is>
          <t>ס.פ.בית אמריקה תרופות פ""ת</t>
        </is>
      </c>
      <c r="C218" s="111" t="n">
        <v>0</v>
      </c>
      <c r="D218" s="111" t="n">
        <v>0</v>
      </c>
      <c r="E218" s="111" t="n">
        <v>8158.6</v>
      </c>
      <c r="F218" s="111" t="n">
        <v>0</v>
      </c>
      <c r="G218" s="111" t="n">
        <v>0</v>
      </c>
      <c r="H218" s="94">
        <f>COUNTIF(C218:G218,"&lt;&gt;0")</f>
        <v/>
      </c>
      <c r="I218" s="94">
        <f>IF(H218=0,"לא מטופל",IF(H218=1,"מטופל - סוכן אחד","מטופל - יותר מסוכן אחד"))</f>
        <v/>
      </c>
    </row>
    <row r="219" ht="15" customHeight="1" s="82">
      <c r="A219" s="94" t="inlineStr">
        <is>
          <t>ס. פארם</t>
        </is>
      </c>
      <c r="B219" s="94" t="inlineStr">
        <is>
          <t>ס.פ.אבנת פתח תקווה תרופות</t>
        </is>
      </c>
      <c r="C219" s="111" t="n">
        <v>0</v>
      </c>
      <c r="D219" s="111" t="n">
        <v>0</v>
      </c>
      <c r="E219" s="111" t="n">
        <v>23177</v>
      </c>
      <c r="F219" s="111" t="n">
        <v>0</v>
      </c>
      <c r="G219" s="111" t="n">
        <v>0</v>
      </c>
      <c r="H219" s="94">
        <f>COUNTIF(C219:G219,"&lt;&gt;0")</f>
        <v/>
      </c>
      <c r="I219" s="94">
        <f>IF(H219=0,"לא מטופל",IF(H219=1,"מטופל - סוכן אחד","מטופל - יותר מסוכן אחד"))</f>
        <v/>
      </c>
    </row>
    <row r="220" ht="15" customHeight="1" s="82">
      <c r="A220" s="94" t="inlineStr">
        <is>
          <t>ס. פארם</t>
        </is>
      </c>
      <c r="B220" s="94" t="inlineStr">
        <is>
          <t>ס.פ.יכין סנטר תרופות</t>
        </is>
      </c>
      <c r="C220" s="111" t="n">
        <v>0</v>
      </c>
      <c r="D220" s="111" t="n">
        <v>0</v>
      </c>
      <c r="E220" s="111" t="n">
        <v>9199.5</v>
      </c>
      <c r="F220" s="111" t="n">
        <v>0</v>
      </c>
      <c r="G220" s="111" t="n">
        <v>0</v>
      </c>
      <c r="H220" s="94">
        <f>COUNTIF(C220:G220,"&lt;&gt;0")</f>
        <v/>
      </c>
      <c r="I220" s="94">
        <f>IF(H220=0,"לא מטופל",IF(H220=1,"מטופל - סוכן אחד","מטופל - יותר מסוכן אחד"))</f>
        <v/>
      </c>
    </row>
    <row r="221" ht="15" customHeight="1" s="82">
      <c r="A221" s="94" t="inlineStr">
        <is>
          <t>ס. פארם</t>
        </is>
      </c>
      <c r="B221" s="94" t="inlineStr">
        <is>
          <t>ס.פ.אם המושבות פ""ת תרופות</t>
        </is>
      </c>
      <c r="C221" s="111" t="n">
        <v>0</v>
      </c>
      <c r="D221" s="111" t="n">
        <v>0</v>
      </c>
      <c r="E221" s="111" t="n">
        <v>17205.2</v>
      </c>
      <c r="F221" s="111" t="n">
        <v>0</v>
      </c>
      <c r="G221" s="111" t="n">
        <v>0</v>
      </c>
      <c r="H221" s="94">
        <f>COUNTIF(C221:G221,"&lt;&gt;0")</f>
        <v/>
      </c>
      <c r="I221" s="94">
        <f>IF(H221=0,"לא מטופל",IF(H221=1,"מטופל - סוכן אחד","מטופל - יותר מסוכן אחד"))</f>
        <v/>
      </c>
    </row>
    <row r="222" ht="15" customHeight="1" s="82">
      <c r="A222" s="94" t="inlineStr">
        <is>
          <t>ס. פארם</t>
        </is>
      </c>
      <c r="B222" s="94" t="inlineStr">
        <is>
          <t>ס.פ.אורון תרופות</t>
        </is>
      </c>
      <c r="C222" s="111" t="n">
        <v>0</v>
      </c>
      <c r="D222" s="111" t="n">
        <v>0</v>
      </c>
      <c r="E222" s="111" t="n">
        <v>6800.6</v>
      </c>
      <c r="F222" s="111" t="n">
        <v>0</v>
      </c>
      <c r="G222" s="111" t="n">
        <v>0</v>
      </c>
      <c r="H222" s="94">
        <f>COUNTIF(C222:G222,"&lt;&gt;0")</f>
        <v/>
      </c>
      <c r="I222" s="94">
        <f>IF(H222=0,"לא מטופל",IF(H222=1,"מטופל - סוכן אחד","מטופל - יותר מסוכן אחד"))</f>
        <v/>
      </c>
    </row>
    <row r="223" ht="15" customHeight="1" s="82">
      <c r="A223" s="94" t="inlineStr">
        <is>
          <t>ס. פארם</t>
        </is>
      </c>
      <c r="B223" s="94" t="inlineStr">
        <is>
          <t>ס.פ.הרצל ראשל""צ תרופות</t>
        </is>
      </c>
      <c r="C223" s="111" t="n">
        <v>2781.9</v>
      </c>
      <c r="D223" s="111" t="n">
        <v>0</v>
      </c>
      <c r="E223" s="111" t="n">
        <v>0</v>
      </c>
      <c r="F223" s="111" t="n">
        <v>0</v>
      </c>
      <c r="G223" s="111" t="n">
        <v>0</v>
      </c>
      <c r="H223" s="94">
        <f>COUNTIF(C223:G223,"&lt;&gt;0")</f>
        <v/>
      </c>
      <c r="I223" s="94">
        <f>IF(H223=0,"לא מטופל",IF(H223=1,"מטופל - סוכן אחד","מטופל - יותר מסוכן אחד"))</f>
        <v/>
      </c>
    </row>
    <row r="224" ht="15" customHeight="1" s="82">
      <c r="A224" s="94" t="inlineStr">
        <is>
          <t>ס. פארם</t>
        </is>
      </c>
      <c r="B224" s="94" t="inlineStr">
        <is>
          <t>ס.פ.שער רחובות-תרופות</t>
        </is>
      </c>
      <c r="C224" s="111" t="n">
        <v>0</v>
      </c>
      <c r="D224" s="111" t="n">
        <v>0</v>
      </c>
      <c r="E224" s="111" t="n">
        <v>0</v>
      </c>
      <c r="F224" s="111" t="n">
        <v>0</v>
      </c>
      <c r="G224" s="111" t="n">
        <v>15999.9</v>
      </c>
      <c r="H224" s="94">
        <f>COUNTIF(C224:G224,"&lt;&gt;0")</f>
        <v/>
      </c>
      <c r="I224" s="94">
        <f>IF(H224=0,"לא מטופל",IF(H224=1,"מטופל - סוכן אחד","מטופל - יותר מסוכן אחד"))</f>
        <v/>
      </c>
    </row>
    <row r="225" ht="15" customHeight="1" s="82">
      <c r="A225" s="94" t="inlineStr">
        <is>
          <t>ס. פארם</t>
        </is>
      </c>
      <c r="B225" s="94" t="inlineStr">
        <is>
          <t>ס.פ.סנטרו רחובות תרופות</t>
        </is>
      </c>
      <c r="C225" s="111" t="n">
        <v>0</v>
      </c>
      <c r="D225" s="111" t="n">
        <v>0</v>
      </c>
      <c r="E225" s="111" t="n">
        <v>0</v>
      </c>
      <c r="F225" s="111" t="n">
        <v>0</v>
      </c>
      <c r="G225" s="111" t="n">
        <v>14995.8</v>
      </c>
      <c r="H225" s="94">
        <f>COUNTIF(C225:G225,"&lt;&gt;0")</f>
        <v/>
      </c>
      <c r="I225" s="94">
        <f>IF(H225=0,"לא מטופל",IF(H225=1,"מטופל - סוכן אחד","מטופל - יותר מסוכן אחד"))</f>
        <v/>
      </c>
    </row>
    <row r="226" ht="15" customHeight="1" s="82">
      <c r="A226" s="94" t="inlineStr">
        <is>
          <t>ס. פארם</t>
        </is>
      </c>
      <c r="B226" s="94" t="inlineStr">
        <is>
          <t>ס.פ.קניון רחובות תרופות</t>
        </is>
      </c>
      <c r="C226" s="111" t="n">
        <v>0</v>
      </c>
      <c r="D226" s="111" t="n">
        <v>0</v>
      </c>
      <c r="E226" s="111" t="n">
        <v>0</v>
      </c>
      <c r="F226" s="111" t="n">
        <v>0</v>
      </c>
      <c r="G226" s="111" t="n">
        <v>33889.6</v>
      </c>
      <c r="H226" s="94">
        <f>COUNTIF(C226:G226,"&lt;&gt;0")</f>
        <v/>
      </c>
      <c r="I226" s="94">
        <f>IF(H226=0,"לא מטופל",IF(H226=1,"מטופל - סוכן אחד","מטופל - יותר מסוכן אחד"))</f>
        <v/>
      </c>
    </row>
    <row r="227" ht="15" customHeight="1" s="82">
      <c r="A227" s="94" t="inlineStr">
        <is>
          <t>ס. פארם</t>
        </is>
      </c>
      <c r="B227" s="94" t="inlineStr">
        <is>
          <t>ס.פ.ישפרו נס ציונה תרופות</t>
        </is>
      </c>
      <c r="C227" s="111" t="n">
        <v>18633.4</v>
      </c>
      <c r="D227" s="111" t="n">
        <v>0</v>
      </c>
      <c r="E227" s="111" t="n">
        <v>0</v>
      </c>
      <c r="F227" s="111" t="n">
        <v>0</v>
      </c>
      <c r="G227" s="111" t="n">
        <v>0</v>
      </c>
      <c r="H227" s="94">
        <f>COUNTIF(C227:G227,"&lt;&gt;0")</f>
        <v/>
      </c>
      <c r="I227" s="94">
        <f>IF(H227=0,"לא מטופל",IF(H227=1,"מטופל - סוכן אחד","מטופל - יותר מסוכן אחד"))</f>
        <v/>
      </c>
    </row>
    <row r="228" ht="15" customHeight="1" s="82">
      <c r="A228" s="94" t="inlineStr">
        <is>
          <t>ס. פארם</t>
        </is>
      </c>
      <c r="B228" s="94" t="inlineStr">
        <is>
          <t>ס.פ.גלרי ראשון לציון</t>
        </is>
      </c>
      <c r="C228" s="111" t="n">
        <v>21217.3</v>
      </c>
      <c r="D228" s="111" t="n">
        <v>0</v>
      </c>
      <c r="E228" s="111" t="n">
        <v>0</v>
      </c>
      <c r="F228" s="111" t="n">
        <v>0</v>
      </c>
      <c r="G228" s="111" t="n">
        <v>0</v>
      </c>
      <c r="H228" s="94">
        <f>COUNTIF(C228:G228,"&lt;&gt;0")</f>
        <v/>
      </c>
      <c r="I228" s="94">
        <f>IF(H228=0,"לא מטופל",IF(H228=1,"מטופל - סוכן אחד","מטופל - יותר מסוכן אחד"))</f>
        <v/>
      </c>
    </row>
    <row r="229" ht="15" customHeight="1" s="82">
      <c r="A229" s="94" t="inlineStr">
        <is>
          <t>ס. פארם</t>
        </is>
      </c>
      <c r="B229" s="94" t="inlineStr">
        <is>
          <t>ס.פ.הזהב תרופות</t>
        </is>
      </c>
      <c r="C229" s="111" t="n">
        <v>15223.5</v>
      </c>
      <c r="D229" s="111" t="n">
        <v>0</v>
      </c>
      <c r="E229" s="111" t="n">
        <v>0</v>
      </c>
      <c r="F229" s="111" t="n">
        <v>0</v>
      </c>
      <c r="G229" s="111" t="n">
        <v>0</v>
      </c>
      <c r="H229" s="94">
        <f>COUNTIF(C229:G229,"&lt;&gt;0")</f>
        <v/>
      </c>
      <c r="I229" s="94">
        <f>IF(H229=0,"לא מטופל",IF(H229=1,"מטופל - סוכן אחד","מטופל - יותר מסוכן אחד"))</f>
        <v/>
      </c>
    </row>
    <row r="230" ht="15" customHeight="1" s="82">
      <c r="A230" s="94" t="inlineStr">
        <is>
          <t>ס. פארם</t>
        </is>
      </c>
      <c r="B230" s="94" t="inlineStr">
        <is>
          <t>ס.פ.שיקמה תרופות ראשון לציון</t>
        </is>
      </c>
      <c r="C230" s="111" t="n">
        <v>8519.200000000001</v>
      </c>
      <c r="D230" s="111" t="n">
        <v>0</v>
      </c>
      <c r="E230" s="111" t="n">
        <v>0</v>
      </c>
      <c r="F230" s="111" t="n">
        <v>0</v>
      </c>
      <c r="G230" s="111" t="n">
        <v>0</v>
      </c>
      <c r="H230" s="94">
        <f>COUNTIF(C230:G230,"&lt;&gt;0")</f>
        <v/>
      </c>
      <c r="I230" s="94">
        <f>IF(H230=0,"לא מטופל",IF(H230=1,"מטופל - סוכן אחד","מטופל - יותר מסוכן אחד"))</f>
        <v/>
      </c>
    </row>
    <row r="231" ht="15" customHeight="1" s="82">
      <c r="A231" s="94" t="inlineStr">
        <is>
          <t>ס. פארם</t>
        </is>
      </c>
      <c r="B231" s="94" t="inlineStr">
        <is>
          <t>ס.פ.רוטישלד תרופות</t>
        </is>
      </c>
      <c r="C231" s="111" t="n">
        <v>12975.1</v>
      </c>
      <c r="D231" s="111" t="n">
        <v>0</v>
      </c>
      <c r="E231" s="111" t="n">
        <v>0</v>
      </c>
      <c r="F231" s="111" t="n">
        <v>0</v>
      </c>
      <c r="G231" s="111" t="n">
        <v>0</v>
      </c>
      <c r="H231" s="94">
        <f>COUNTIF(C231:G231,"&lt;&gt;0")</f>
        <v/>
      </c>
      <c r="I231" s="94">
        <f>IF(H231=0,"לא מטופל",IF(H231=1,"מטופל - סוכן אחד","מטופל - יותר מסוכן אחד"))</f>
        <v/>
      </c>
    </row>
    <row r="232" ht="15" customHeight="1" s="82">
      <c r="A232" s="94" t="inlineStr">
        <is>
          <t>ס. פארם</t>
        </is>
      </c>
      <c r="B232" s="94" t="inlineStr">
        <is>
          <t>ס.פ.לישנסקי תרופות</t>
        </is>
      </c>
      <c r="C232" s="111" t="n">
        <v>12020.2</v>
      </c>
      <c r="D232" s="111" t="n">
        <v>0</v>
      </c>
      <c r="E232" s="111" t="n">
        <v>0</v>
      </c>
      <c r="F232" s="111" t="n">
        <v>0</v>
      </c>
      <c r="G232" s="111" t="n">
        <v>0</v>
      </c>
      <c r="H232" s="94">
        <f>COUNTIF(C232:G232,"&lt;&gt;0")</f>
        <v/>
      </c>
      <c r="I232" s="94">
        <f>IF(H232=0,"לא מטופל",IF(H232=1,"מטופל - סוכן אחד","מטופל - יותר מסוכן אחד"))</f>
        <v/>
      </c>
    </row>
    <row r="233" ht="15" customHeight="1" s="82">
      <c r="A233" s="94" t="inlineStr">
        <is>
          <t>ס. פארם</t>
        </is>
      </c>
      <c r="B233" s="94" t="inlineStr">
        <is>
          <t>ס.פ.הרצל תרופות רחובות</t>
        </is>
      </c>
      <c r="C233" s="111" t="n">
        <v>0</v>
      </c>
      <c r="D233" s="111" t="n">
        <v>0</v>
      </c>
      <c r="E233" s="111" t="n">
        <v>0</v>
      </c>
      <c r="F233" s="111" t="n">
        <v>0</v>
      </c>
      <c r="G233" s="111" t="n">
        <v>15928.5</v>
      </c>
      <c r="H233" s="94">
        <f>COUNTIF(C233:G233,"&lt;&gt;0")</f>
        <v/>
      </c>
      <c r="I233" s="94">
        <f>IF(H233=0,"לא מטופל",IF(H233=1,"מטופל - סוכן אחד","מטופל - יותר מסוכן אחד"))</f>
        <v/>
      </c>
    </row>
    <row r="234" ht="15" customHeight="1" s="82">
      <c r="A234" s="94" t="inlineStr">
        <is>
          <t>ס. פארם</t>
        </is>
      </c>
      <c r="B234" s="94" t="inlineStr">
        <is>
          <t>ס.פ.קניותר תרופות</t>
        </is>
      </c>
      <c r="C234" s="111" t="n">
        <v>26211.2</v>
      </c>
      <c r="D234" s="111" t="n">
        <v>0</v>
      </c>
      <c r="E234" s="111" t="n">
        <v>0</v>
      </c>
      <c r="F234" s="111" t="n">
        <v>0</v>
      </c>
      <c r="G234" s="111" t="n">
        <v>0</v>
      </c>
      <c r="H234" s="94">
        <f>COUNTIF(C234:G234,"&lt;&gt;0")</f>
        <v/>
      </c>
      <c r="I234" s="94">
        <f>IF(H234=0,"לא מטופל",IF(H234=1,"מטופל - סוכן אחד","מטופל - יותר מסוכן אחד"))</f>
        <v/>
      </c>
    </row>
    <row r="235" ht="15" customHeight="1" s="82">
      <c r="A235" s="94" t="inlineStr">
        <is>
          <t>ס. פארם</t>
        </is>
      </c>
      <c r="B235" s="94" t="inlineStr">
        <is>
          <t>ס.פ.ראשל""צ תרופות</t>
        </is>
      </c>
      <c r="C235" s="111" t="n">
        <v>29530.3</v>
      </c>
      <c r="D235" s="111" t="n">
        <v>0</v>
      </c>
      <c r="E235" s="111" t="n">
        <v>0</v>
      </c>
      <c r="F235" s="111" t="n">
        <v>0</v>
      </c>
      <c r="G235" s="111" t="n">
        <v>0</v>
      </c>
      <c r="H235" s="94">
        <f>COUNTIF(C235:G235,"&lt;&gt;0")</f>
        <v/>
      </c>
      <c r="I235" s="94">
        <f>IF(H235=0,"לא מטופל",IF(H235=1,"מטופל - סוכן אחד","מטופל - יותר מסוכן אחד"))</f>
        <v/>
      </c>
    </row>
    <row r="236" ht="15" customHeight="1" s="82">
      <c r="A236" s="94" t="inlineStr">
        <is>
          <t>ס. פארם</t>
        </is>
      </c>
      <c r="B236" s="94" t="inlineStr">
        <is>
          <t>ס.פ.אוסישקין תרופות רמת השרון</t>
        </is>
      </c>
      <c r="C236" s="111" t="n">
        <v>19009.4</v>
      </c>
      <c r="D236" s="111" t="n">
        <v>0</v>
      </c>
      <c r="E236" s="111" t="n">
        <v>0</v>
      </c>
      <c r="F236" s="111" t="n">
        <v>0</v>
      </c>
      <c r="G236" s="111" t="n">
        <v>0</v>
      </c>
      <c r="H236" s="94">
        <f>COUNTIF(C236:G236,"&lt;&gt;0")</f>
        <v/>
      </c>
      <c r="I236" s="94">
        <f>IF(H236=0,"לא מטופל",IF(H236=1,"מטופל - סוכן אחד","מטופל - יותר מסוכן אחד"))</f>
        <v/>
      </c>
    </row>
    <row r="237" ht="15" customHeight="1" s="82">
      <c r="A237" s="94" t="inlineStr">
        <is>
          <t>ס. פארם</t>
        </is>
      </c>
      <c r="B237" s="94" t="inlineStr">
        <is>
          <t>ס.פ.צמרות תרופות</t>
        </is>
      </c>
      <c r="C237" s="111" t="n">
        <v>30879.9</v>
      </c>
      <c r="D237" s="111" t="n">
        <v>0</v>
      </c>
      <c r="E237" s="111" t="n">
        <v>0</v>
      </c>
      <c r="F237" s="111" t="n">
        <v>0</v>
      </c>
      <c r="G237" s="111" t="n">
        <v>0</v>
      </c>
      <c r="H237" s="94">
        <f>COUNTIF(C237:G237,"&lt;&gt;0")</f>
        <v/>
      </c>
      <c r="I237" s="94">
        <f>IF(H237=0,"לא מטופל",IF(H237=1,"מטופל - סוכן אחד","מטופל - יותר מסוכן אחד"))</f>
        <v/>
      </c>
    </row>
    <row r="238" ht="15" customHeight="1" s="82">
      <c r="A238" s="94" t="inlineStr">
        <is>
          <t>ס. פארם</t>
        </is>
      </c>
      <c r="B238" s="94" t="inlineStr">
        <is>
          <t>ס.פ.הרצליה פיתוח תרופות</t>
        </is>
      </c>
      <c r="C238" s="111" t="n">
        <v>19731</v>
      </c>
      <c r="D238" s="111" t="n">
        <v>0</v>
      </c>
      <c r="E238" s="111" t="n">
        <v>0</v>
      </c>
      <c r="F238" s="111" t="n">
        <v>0</v>
      </c>
      <c r="G238" s="111" t="n">
        <v>0</v>
      </c>
      <c r="H238" s="94">
        <f>COUNTIF(C238:G238,"&lt;&gt;0")</f>
        <v/>
      </c>
      <c r="I238" s="94">
        <f>IF(H238=0,"לא מטופל",IF(H238=1,"מטופל - סוכן אחד","מטופל - יותר מסוכן אחד"))</f>
        <v/>
      </c>
    </row>
    <row r="239" ht="15" customHeight="1" s="82">
      <c r="A239" s="94" t="inlineStr">
        <is>
          <t>ס. פארם</t>
        </is>
      </c>
      <c r="B239" s="94" t="inlineStr">
        <is>
          <t>ס.פ.סוקולוב הרצליה תרופות</t>
        </is>
      </c>
      <c r="C239" s="111" t="n">
        <v>13579.9</v>
      </c>
      <c r="D239" s="111" t="n">
        <v>0</v>
      </c>
      <c r="E239" s="111" t="n">
        <v>0</v>
      </c>
      <c r="F239" s="111" t="n">
        <v>0</v>
      </c>
      <c r="G239" s="111" t="n">
        <v>0</v>
      </c>
      <c r="H239" s="94">
        <f>COUNTIF(C239:G239,"&lt;&gt;0")</f>
        <v/>
      </c>
      <c r="I239" s="94">
        <f>IF(H239=0,"לא מטופל",IF(H239=1,"מטופל - סוכן אחד","מטופל - יותר מסוכן אחד"))</f>
        <v/>
      </c>
    </row>
    <row r="240" ht="15" customHeight="1" s="82">
      <c r="A240" s="94" t="inlineStr">
        <is>
          <t>ס. פארם</t>
        </is>
      </c>
      <c r="B240" s="94" t="inlineStr">
        <is>
          <t>ס.פ.שפיים תרופות</t>
        </is>
      </c>
      <c r="C240" s="111" t="n">
        <v>14973.4</v>
      </c>
      <c r="D240" s="111" t="n">
        <v>0</v>
      </c>
      <c r="E240" s="111" t="n">
        <v>0</v>
      </c>
      <c r="F240" s="111" t="n">
        <v>0</v>
      </c>
      <c r="G240" s="111" t="n">
        <v>0</v>
      </c>
      <c r="H240" s="94">
        <f>COUNTIF(C240:G240,"&lt;&gt;0")</f>
        <v/>
      </c>
      <c r="I240" s="94">
        <f>IF(H240=0,"לא מטופל",IF(H240=1,"מטופל - סוכן אחד","מטופל - יותר מסוכן אחד"))</f>
        <v/>
      </c>
    </row>
    <row r="241" ht="15" customHeight="1" s="82">
      <c r="A241" s="94" t="inlineStr">
        <is>
          <t>ס. פארם</t>
        </is>
      </c>
      <c r="B241" s="94" t="inlineStr">
        <is>
          <t>ס.פ.שבעת הכוכבים תרופות</t>
        </is>
      </c>
      <c r="C241" s="111" t="n">
        <v>28402.3</v>
      </c>
      <c r="D241" s="111" t="n">
        <v>0</v>
      </c>
      <c r="E241" s="111" t="n">
        <v>0</v>
      </c>
      <c r="F241" s="111" t="n">
        <v>0</v>
      </c>
      <c r="G241" s="111" t="n">
        <v>0</v>
      </c>
      <c r="H241" s="94">
        <f>COUNTIF(C241:G241,"&lt;&gt;0")</f>
        <v/>
      </c>
      <c r="I241" s="94">
        <f>IF(H241=0,"לא מטופל",IF(H241=1,"מטופל - סוכן אחד","מטופל - יותר מסוכן אחד"))</f>
        <v/>
      </c>
    </row>
    <row r="242" ht="15" customHeight="1" s="82">
      <c r="A242" s="94" t="inlineStr">
        <is>
          <t>ס. פארם</t>
        </is>
      </c>
      <c r="B242" s="94" t="inlineStr">
        <is>
          <t>ס.פ.ארנה הרצליה תרופות</t>
        </is>
      </c>
      <c r="C242" s="111" t="n">
        <v>17575.5</v>
      </c>
      <c r="D242" s="111" t="n">
        <v>0</v>
      </c>
      <c r="E242" s="111" t="n">
        <v>0</v>
      </c>
      <c r="F242" s="111" t="n">
        <v>0</v>
      </c>
      <c r="G242" s="111" t="n">
        <v>0</v>
      </c>
      <c r="H242" s="94">
        <f>COUNTIF(C242:G242,"&lt;&gt;0")</f>
        <v/>
      </c>
      <c r="I242" s="94">
        <f>IF(H242=0,"לא מטופל",IF(H242=1,"מטופל - סוכן אחד","מטופל - יותר מסוכן אחד"))</f>
        <v/>
      </c>
    </row>
    <row r="243" ht="15" customHeight="1" s="82">
      <c r="A243" s="94" t="inlineStr">
        <is>
          <t>ס. פארם</t>
        </is>
      </c>
      <c r="B243" s="94" t="inlineStr">
        <is>
          <t>ס.פ. חוצות המפרץ תרופות</t>
        </is>
      </c>
      <c r="C243" s="111" t="n">
        <v>0</v>
      </c>
      <c r="D243" s="111" t="n">
        <v>9018.5</v>
      </c>
      <c r="E243" s="111" t="n">
        <v>0</v>
      </c>
      <c r="F243" s="111" t="n">
        <v>0</v>
      </c>
      <c r="G243" s="111" t="n">
        <v>0</v>
      </c>
      <c r="H243" s="94">
        <f>COUNTIF(C243:G243,"&lt;&gt;0")</f>
        <v/>
      </c>
      <c r="I243" s="94">
        <f>IF(H243=0,"לא מטופל",IF(H243=1,"מטופל - סוכן אחד","מטופל - יותר מסוכן אחד"))</f>
        <v/>
      </c>
    </row>
    <row r="244" ht="15" customHeight="1" s="82">
      <c r="A244" s="94" t="inlineStr">
        <is>
          <t>ס. פארם</t>
        </is>
      </c>
      <c r="B244" s="94" t="inlineStr">
        <is>
          <t>ס.פ. לב חדרה תרופות</t>
        </is>
      </c>
      <c r="C244" s="111" t="n">
        <v>0</v>
      </c>
      <c r="D244" s="111" t="n">
        <v>13367.9</v>
      </c>
      <c r="E244" s="111" t="n">
        <v>0</v>
      </c>
      <c r="F244" s="111" t="n">
        <v>0</v>
      </c>
      <c r="G244" s="111" t="n">
        <v>0</v>
      </c>
      <c r="H244" s="94">
        <f>COUNTIF(C244:G244,"&lt;&gt;0")</f>
        <v/>
      </c>
      <c r="I244" s="94">
        <f>IF(H244=0,"לא מטופל",IF(H244=1,"מטופל - סוכן אחד","מטופל - יותר מסוכן אחד"))</f>
        <v/>
      </c>
    </row>
    <row r="245" ht="15" customHeight="1" s="82">
      <c r="A245" s="94" t="inlineStr">
        <is>
          <t>ס. פארם</t>
        </is>
      </c>
      <c r="B245" s="94" t="inlineStr">
        <is>
          <t>ס.פ. קניון נחמיה קרית שמונה</t>
        </is>
      </c>
      <c r="C245" s="111" t="n">
        <v>0</v>
      </c>
      <c r="D245" s="111" t="n">
        <v>11212.1</v>
      </c>
      <c r="E245" s="111" t="n">
        <v>0</v>
      </c>
      <c r="F245" s="111" t="n">
        <v>0</v>
      </c>
      <c r="G245" s="111" t="n">
        <v>0</v>
      </c>
      <c r="H245" s="94">
        <f>COUNTIF(C245:G245,"&lt;&gt;0")</f>
        <v/>
      </c>
      <c r="I245" s="94">
        <f>IF(H245=0,"לא מטופל",IF(H245=1,"מטופל - סוכן אחד","מטופל - יותר מסוכן אחד"))</f>
        <v/>
      </c>
    </row>
    <row r="246" ht="15" customHeight="1" s="82">
      <c r="A246" s="94" t="inlineStr">
        <is>
          <t>ס. פארם</t>
        </is>
      </c>
      <c r="B246" s="94" t="inlineStr">
        <is>
          <t>ס.פ. ביג עפולה תרופות</t>
        </is>
      </c>
      <c r="C246" s="111" t="n">
        <v>0</v>
      </c>
      <c r="D246" s="111" t="n">
        <v>7619.1</v>
      </c>
      <c r="E246" s="111" t="n">
        <v>0</v>
      </c>
      <c r="F246" s="111" t="n">
        <v>0</v>
      </c>
      <c r="G246" s="111" t="n">
        <v>0</v>
      </c>
      <c r="H246" s="94">
        <f>COUNTIF(C246:G246,"&lt;&gt;0")</f>
        <v/>
      </c>
      <c r="I246" s="94">
        <f>IF(H246=0,"לא מטופל",IF(H246=1,"מטופל - סוכן אחד","מטופל - יותר מסוכן אחד"))</f>
        <v/>
      </c>
    </row>
    <row r="247" ht="15" customHeight="1" s="82">
      <c r="A247" s="94" t="inlineStr">
        <is>
          <t>ס. פארם</t>
        </is>
      </c>
      <c r="B247" s="94" t="inlineStr">
        <is>
          <t>ס.פ. קרית מוצקין תרופות</t>
        </is>
      </c>
      <c r="C247" s="111" t="n">
        <v>0</v>
      </c>
      <c r="D247" s="111" t="n">
        <v>3216.4</v>
      </c>
      <c r="E247" s="111" t="n">
        <v>0</v>
      </c>
      <c r="F247" s="111" t="n">
        <v>0</v>
      </c>
      <c r="G247" s="111" t="n">
        <v>0</v>
      </c>
      <c r="H247" s="94">
        <f>COUNTIF(C247:G247,"&lt;&gt;0")</f>
        <v/>
      </c>
      <c r="I247" s="94">
        <f>IF(H247=0,"לא מטופל",IF(H247=1,"מטופל - סוכן אחד","מטופל - יותר מסוכן אחד"))</f>
        <v/>
      </c>
    </row>
    <row r="248" ht="15" customHeight="1" s="82">
      <c r="A248" s="94" t="inlineStr">
        <is>
          <t>ס. פארם</t>
        </is>
      </c>
      <c r="B248" s="94" t="inlineStr">
        <is>
          <t>ס.פ. חורב תרופות</t>
        </is>
      </c>
      <c r="C248" s="111" t="n">
        <v>0</v>
      </c>
      <c r="D248" s="111" t="n">
        <v>50156</v>
      </c>
      <c r="E248" s="111" t="n">
        <v>0</v>
      </c>
      <c r="F248" s="111" t="n">
        <v>0</v>
      </c>
      <c r="G248" s="111" t="n">
        <v>0</v>
      </c>
      <c r="H248" s="94">
        <f>COUNTIF(C248:G248,"&lt;&gt;0")</f>
        <v/>
      </c>
      <c r="I248" s="94">
        <f>IF(H248=0,"לא מטופל",IF(H248=1,"מטופל - סוכן אחד","מטופל - יותר מסוכן אחד"))</f>
        <v/>
      </c>
    </row>
    <row r="249" ht="15" customHeight="1" s="82">
      <c r="A249" s="94" t="inlineStr">
        <is>
          <t>ס. פארם</t>
        </is>
      </c>
      <c r="B249" s="94" t="inlineStr">
        <is>
          <t>ס.פ. פרדס חנה תרופות</t>
        </is>
      </c>
      <c r="C249" s="111" t="n">
        <v>0</v>
      </c>
      <c r="D249" s="111" t="n">
        <v>13049.1</v>
      </c>
      <c r="E249" s="111" t="n">
        <v>0</v>
      </c>
      <c r="F249" s="111" t="n">
        <v>0</v>
      </c>
      <c r="G249" s="111" t="n">
        <v>0</v>
      </c>
      <c r="H249" s="94">
        <f>COUNTIF(C249:G249,"&lt;&gt;0")</f>
        <v/>
      </c>
      <c r="I249" s="94">
        <f>IF(H249=0,"לא מטופל",IF(H249=1,"מטופל - סוכן אחד","מטופל - יותר מסוכן אחד"))</f>
        <v/>
      </c>
    </row>
    <row r="250" ht="15" customHeight="1" s="82">
      <c r="A250" s="94" t="inlineStr">
        <is>
          <t>ס. פארם</t>
        </is>
      </c>
      <c r="B250" s="94" t="inlineStr">
        <is>
          <t>ס.פ. ארמון תרופות חיפה</t>
        </is>
      </c>
      <c r="C250" s="111" t="n">
        <v>0</v>
      </c>
      <c r="D250" s="111" t="n">
        <v>4279.8</v>
      </c>
      <c r="E250" s="111" t="n">
        <v>0</v>
      </c>
      <c r="F250" s="111" t="n">
        <v>0</v>
      </c>
      <c r="G250" s="111" t="n">
        <v>0</v>
      </c>
      <c r="H250" s="94">
        <f>COUNTIF(C250:G250,"&lt;&gt;0")</f>
        <v/>
      </c>
      <c r="I250" s="94">
        <f>IF(H250=0,"לא מטופל",IF(H250=1,"מטופל - סוכן אחד","מטופל - יותר מסוכן אחד"))</f>
        <v/>
      </c>
    </row>
    <row r="251" ht="15" customHeight="1" s="82">
      <c r="A251" s="94" t="inlineStr">
        <is>
          <t>ס. פארם</t>
        </is>
      </c>
      <c r="B251" s="94" t="inlineStr">
        <is>
          <t>ס.פ. גאלרי קריון</t>
        </is>
      </c>
      <c r="C251" s="111" t="n">
        <v>0</v>
      </c>
      <c r="D251" s="111" t="n">
        <v>21144.2</v>
      </c>
      <c r="E251" s="111" t="n">
        <v>0</v>
      </c>
      <c r="F251" s="111" t="n">
        <v>0</v>
      </c>
      <c r="G251" s="111" t="n">
        <v>0</v>
      </c>
      <c r="H251" s="94">
        <f>COUNTIF(C251:G251,"&lt;&gt;0")</f>
        <v/>
      </c>
      <c r="I251" s="94">
        <f>IF(H251=0,"לא מטופל",IF(H251=1,"מטופל - סוכן אחד","מטופל - יותר מסוכן אחד"))</f>
        <v/>
      </c>
    </row>
    <row r="252" ht="15" customHeight="1" s="82">
      <c r="A252" s="94" t="inlineStr">
        <is>
          <t>ס. פארם</t>
        </is>
      </c>
      <c r="B252" s="94" t="inlineStr">
        <is>
          <t>ס.פ. גן שמואל תרופות</t>
        </is>
      </c>
      <c r="C252" s="111" t="n">
        <v>0</v>
      </c>
      <c r="D252" s="111" t="n">
        <v>19158.8</v>
      </c>
      <c r="E252" s="111" t="n">
        <v>0</v>
      </c>
      <c r="F252" s="111" t="n">
        <v>0</v>
      </c>
      <c r="G252" s="111" t="n">
        <v>0</v>
      </c>
      <c r="H252" s="94">
        <f>COUNTIF(C252:G252,"&lt;&gt;0")</f>
        <v/>
      </c>
      <c r="I252" s="94">
        <f>IF(H252=0,"לא מטופל",IF(H252=1,"מטופל - סוכן אחד","מטופל - יותר מסוכן אחד"))</f>
        <v/>
      </c>
    </row>
    <row r="253" ht="15" customHeight="1" s="82">
      <c r="A253" s="94" t="inlineStr">
        <is>
          <t>ס. פארם</t>
        </is>
      </c>
      <c r="B253" s="94" t="inlineStr">
        <is>
          <t>ס.פ. סכנין תרופות</t>
        </is>
      </c>
      <c r="C253" s="111" t="n">
        <v>0</v>
      </c>
      <c r="D253" s="111" t="n">
        <v>3568.1</v>
      </c>
      <c r="E253" s="111" t="n">
        <v>0</v>
      </c>
      <c r="F253" s="111" t="n">
        <v>0</v>
      </c>
      <c r="G253" s="111" t="n">
        <v>0</v>
      </c>
      <c r="H253" s="94">
        <f>COUNTIF(C253:G253,"&lt;&gt;0")</f>
        <v/>
      </c>
      <c r="I253" s="94">
        <f>IF(H253=0,"לא מטופל",IF(H253=1,"מטופל - סוכן אחד","מטופל - יותר מסוכן אחד"))</f>
        <v/>
      </c>
    </row>
    <row r="254" ht="15" customHeight="1" s="82">
      <c r="A254" s="94" t="inlineStr">
        <is>
          <t>ס. פארם</t>
        </is>
      </c>
      <c r="B254" s="94" t="inlineStr">
        <is>
          <t>ס.פ. מול זכרון תרופות</t>
        </is>
      </c>
      <c r="C254" s="111" t="n">
        <v>0</v>
      </c>
      <c r="D254" s="111" t="n">
        <v>13427.6</v>
      </c>
      <c r="E254" s="111" t="n">
        <v>0</v>
      </c>
      <c r="F254" s="111" t="n">
        <v>0</v>
      </c>
      <c r="G254" s="111" t="n">
        <v>0</v>
      </c>
      <c r="H254" s="94">
        <f>COUNTIF(C254:G254,"&lt;&gt;0")</f>
        <v/>
      </c>
      <c r="I254" s="94">
        <f>IF(H254=0,"לא מטופל",IF(H254=1,"מטופל - סוכן אחד","מטופל - יותר מסוכן אחד"))</f>
        <v/>
      </c>
    </row>
    <row r="255" ht="15" customHeight="1" s="82">
      <c r="A255" s="94" t="inlineStr">
        <is>
          <t>ס. פארם</t>
        </is>
      </c>
      <c r="B255" s="94" t="inlineStr">
        <is>
          <t>ס.פ. עכו תרופות</t>
        </is>
      </c>
      <c r="C255" s="111" t="n">
        <v>0</v>
      </c>
      <c r="D255" s="111" t="n">
        <v>3906.2</v>
      </c>
      <c r="E255" s="111" t="n">
        <v>0</v>
      </c>
      <c r="F255" s="111" t="n">
        <v>0</v>
      </c>
      <c r="G255" s="111" t="n">
        <v>0</v>
      </c>
      <c r="H255" s="94">
        <f>COUNTIF(C255:G255,"&lt;&gt;0")</f>
        <v/>
      </c>
      <c r="I255" s="94">
        <f>IF(H255=0,"לא מטופל",IF(H255=1,"מטופל - סוכן אחד","מטופל - יותר מסוכן אחד"))</f>
        <v/>
      </c>
    </row>
    <row r="256" ht="15" customHeight="1" s="82">
      <c r="A256" s="94" t="inlineStr">
        <is>
          <t>ס. פארם</t>
        </is>
      </c>
      <c r="B256" s="94" t="inlineStr">
        <is>
          <t>ס.פ.סינמול תרופות חיפה</t>
        </is>
      </c>
      <c r="C256" s="111" t="n">
        <v>0</v>
      </c>
      <c r="D256" s="111" t="n">
        <v>-3933.6</v>
      </c>
      <c r="E256" s="111" t="n">
        <v>0</v>
      </c>
      <c r="F256" s="111" t="n">
        <v>0</v>
      </c>
      <c r="G256" s="111" t="n">
        <v>0</v>
      </c>
      <c r="H256" s="94">
        <f>COUNTIF(C256:G256,"&lt;&gt;0")</f>
        <v/>
      </c>
      <c r="I256" s="94">
        <f>IF(H256=0,"לא מטופל",IF(H256=1,"מטופל - סוכן אחד","מטופל - יותר מסוכן אחד"))</f>
        <v/>
      </c>
    </row>
    <row r="257" ht="15" customHeight="1" s="82">
      <c r="A257" s="94" t="inlineStr">
        <is>
          <t>ס. פארם</t>
        </is>
      </c>
      <c r="B257" s="94" t="inlineStr">
        <is>
          <t>ס.פ. קרית ים תרופות</t>
        </is>
      </c>
      <c r="C257" s="111" t="n">
        <v>0</v>
      </c>
      <c r="D257" s="111" t="n">
        <v>6737.5</v>
      </c>
      <c r="E257" s="111" t="n">
        <v>0</v>
      </c>
      <c r="F257" s="111" t="n">
        <v>0</v>
      </c>
      <c r="G257" s="111" t="n">
        <v>0</v>
      </c>
      <c r="H257" s="94">
        <f>COUNTIF(C257:G257,"&lt;&gt;0")</f>
        <v/>
      </c>
      <c r="I257" s="94">
        <f>IF(H257=0,"לא מטופל",IF(H257=1,"מטופל - סוכן אחד","מטופל - יותר מסוכן אחד"))</f>
        <v/>
      </c>
    </row>
    <row r="258" ht="15" customHeight="1" s="82">
      <c r="A258" s="94" t="inlineStr">
        <is>
          <t>ס. פארם</t>
        </is>
      </c>
      <c r="B258" s="94" t="inlineStr">
        <is>
          <t>ס.פ. ביג פוריה תרופות</t>
        </is>
      </c>
      <c r="C258" s="111" t="n">
        <v>0</v>
      </c>
      <c r="D258" s="111" t="n">
        <v>8873</v>
      </c>
      <c r="E258" s="111" t="n">
        <v>0</v>
      </c>
      <c r="F258" s="111" t="n">
        <v>0</v>
      </c>
      <c r="G258" s="111" t="n">
        <v>0</v>
      </c>
      <c r="H258" s="94">
        <f>COUNTIF(C258:G258,"&lt;&gt;0")</f>
        <v/>
      </c>
      <c r="I258" s="94">
        <f>IF(H258=0,"לא מטופל",IF(H258=1,"מטופל - סוכן אחד","מטופל - יותר מסוכן אחד"))</f>
        <v/>
      </c>
    </row>
    <row r="259" ht="15" customHeight="1" s="82">
      <c r="A259" s="94" t="inlineStr">
        <is>
          <t>ס. פארם</t>
        </is>
      </c>
      <c r="B259" s="94" t="inlineStr">
        <is>
          <t>ס.פ. ביג נצרת תרופות</t>
        </is>
      </c>
      <c r="C259" s="111" t="n">
        <v>0</v>
      </c>
      <c r="D259" s="111" t="n">
        <v>8433.5</v>
      </c>
      <c r="E259" s="111" t="n">
        <v>0</v>
      </c>
      <c r="F259" s="111" t="n">
        <v>0</v>
      </c>
      <c r="G259" s="111" t="n">
        <v>0</v>
      </c>
      <c r="H259" s="94">
        <f>COUNTIF(C259:G259,"&lt;&gt;0")</f>
        <v/>
      </c>
      <c r="I259" s="94">
        <f>IF(H259=0,"לא מטופל",IF(H259=1,"מטופל - סוכן אחד","מטופל - יותר מסוכן אחד"))</f>
        <v/>
      </c>
    </row>
    <row r="260" ht="15" customHeight="1" s="82">
      <c r="A260" s="94" t="inlineStr">
        <is>
          <t>ס. פארם</t>
        </is>
      </c>
      <c r="B260" s="94" t="inlineStr">
        <is>
          <t>ס.פ. רמת ישי תרופות</t>
        </is>
      </c>
      <c r="C260" s="111" t="n">
        <v>0</v>
      </c>
      <c r="D260" s="111" t="n">
        <v>18932.9</v>
      </c>
      <c r="E260" s="111" t="n">
        <v>0</v>
      </c>
      <c r="F260" s="111" t="n">
        <v>0</v>
      </c>
      <c r="G260" s="111" t="n">
        <v>0</v>
      </c>
      <c r="H260" s="94">
        <f>COUNTIF(C260:G260,"&lt;&gt;0")</f>
        <v/>
      </c>
      <c r="I260" s="94">
        <f>IF(H260=0,"לא מטופל",IF(H260=1,"מטופל - סוכן אחד","מטופל - יותר מסוכן אחד"))</f>
        <v/>
      </c>
    </row>
    <row r="261" ht="15" customHeight="1" s="82">
      <c r="A261" s="94" t="inlineStr">
        <is>
          <t>ס. פארם</t>
        </is>
      </c>
      <c r="B261" s="94" t="inlineStr">
        <is>
          <t>ס.פ. עפולה תרופות</t>
        </is>
      </c>
      <c r="C261" s="111" t="n">
        <v>0</v>
      </c>
      <c r="D261" s="111" t="n">
        <v>13194.2</v>
      </c>
      <c r="E261" s="111" t="n">
        <v>0</v>
      </c>
      <c r="F261" s="111" t="n">
        <v>0</v>
      </c>
      <c r="G261" s="111" t="n">
        <v>0</v>
      </c>
      <c r="H261" s="94">
        <f>COUNTIF(C261:G261,"&lt;&gt;0")</f>
        <v/>
      </c>
      <c r="I261" s="94">
        <f>IF(H261=0,"לא מטופל",IF(H261=1,"מטופל - סוכן אחד","מטופל - יותר מסוכן אחד"))</f>
        <v/>
      </c>
    </row>
    <row r="262" ht="15" customHeight="1" s="82">
      <c r="A262" s="94" t="inlineStr">
        <is>
          <t>ס. פארם</t>
        </is>
      </c>
      <c r="B262" s="94" t="inlineStr">
        <is>
          <t>ס.פ. כפר יאסיף-תרופות</t>
        </is>
      </c>
      <c r="C262" s="111" t="n">
        <v>0</v>
      </c>
      <c r="D262" s="111" t="n">
        <v>6314.5</v>
      </c>
      <c r="E262" s="111" t="n">
        <v>0</v>
      </c>
      <c r="F262" s="111" t="n">
        <v>0</v>
      </c>
      <c r="G262" s="111" t="n">
        <v>0</v>
      </c>
      <c r="H262" s="94">
        <f>COUNTIF(C262:G262,"&lt;&gt;0")</f>
        <v/>
      </c>
      <c r="I262" s="94">
        <f>IF(H262=0,"לא מטופל",IF(H262=1,"מטופל - סוכן אחד","מטופל - יותר מסוכן אחד"))</f>
        <v/>
      </c>
    </row>
    <row r="263" ht="15" customHeight="1" s="82">
      <c r="A263" s="94" t="inlineStr">
        <is>
          <t>ס. פארם</t>
        </is>
      </c>
      <c r="B263" s="94" t="inlineStr">
        <is>
          <t>ס.פ. נוה שאנן תרופות</t>
        </is>
      </c>
      <c r="C263" s="111" t="n">
        <v>0</v>
      </c>
      <c r="D263" s="111" t="n">
        <v>14491.3</v>
      </c>
      <c r="E263" s="111" t="n">
        <v>0</v>
      </c>
      <c r="F263" s="111" t="n">
        <v>0</v>
      </c>
      <c r="G263" s="111" t="n">
        <v>0</v>
      </c>
      <c r="H263" s="94">
        <f>COUNTIF(C263:G263,"&lt;&gt;0")</f>
        <v/>
      </c>
      <c r="I263" s="94">
        <f>IF(H263=0,"לא מטופל",IF(H263=1,"מטופל - סוכן אחד","מטופל - יותר מסוכן אחד"))</f>
        <v/>
      </c>
    </row>
    <row r="264" ht="15" customHeight="1" s="82">
      <c r="A264" s="94" t="inlineStr">
        <is>
          <t>ס. פארם</t>
        </is>
      </c>
      <c r="B264" s="94" t="inlineStr">
        <is>
          <t>ס.פ. אודיטוריום  תרופות</t>
        </is>
      </c>
      <c r="C264" s="111" t="n">
        <v>0</v>
      </c>
      <c r="D264" s="111" t="n">
        <v>20466.8</v>
      </c>
      <c r="E264" s="111" t="n">
        <v>0</v>
      </c>
      <c r="F264" s="111" t="n">
        <v>0</v>
      </c>
      <c r="G264" s="111" t="n">
        <v>0</v>
      </c>
      <c r="H264" s="94">
        <f>COUNTIF(C264:G264,"&lt;&gt;0")</f>
        <v/>
      </c>
      <c r="I264" s="94">
        <f>IF(H264=0,"לא מטופל",IF(H264=1,"מטופל - סוכן אחד","מטופל - יותר מסוכן אחד"))</f>
        <v/>
      </c>
    </row>
    <row r="265" ht="15" customHeight="1" s="82">
      <c r="A265" s="94" t="inlineStr">
        <is>
          <t>ס. פארם</t>
        </is>
      </c>
      <c r="B265" s="94" t="inlineStr">
        <is>
          <t>ס.פ. עמק סנטר עפולה תרופות</t>
        </is>
      </c>
      <c r="C265" s="111" t="n">
        <v>0</v>
      </c>
      <c r="D265" s="111" t="n">
        <v>20480.8</v>
      </c>
      <c r="E265" s="111" t="n">
        <v>0</v>
      </c>
      <c r="F265" s="111" t="n">
        <v>0</v>
      </c>
      <c r="G265" s="111" t="n">
        <v>0</v>
      </c>
      <c r="H265" s="94">
        <f>COUNTIF(C265:G265,"&lt;&gt;0")</f>
        <v/>
      </c>
      <c r="I265" s="94">
        <f>IF(H265=0,"לא מטופל",IF(H265=1,"מטופל - סוכן אחד","מטופל - יותר מסוכן אחד"))</f>
        <v/>
      </c>
    </row>
    <row r="266" ht="15" customHeight="1" s="82">
      <c r="A266" s="94" t="inlineStr">
        <is>
          <t>ס. פארם</t>
        </is>
      </c>
      <c r="B266" s="94" t="inlineStr">
        <is>
          <t>ס.פ. אום אל פחם  תרופות</t>
        </is>
      </c>
      <c r="C266" s="111" t="n">
        <v>0</v>
      </c>
      <c r="D266" s="111" t="n">
        <v>13307.7</v>
      </c>
      <c r="E266" s="111" t="n">
        <v>0</v>
      </c>
      <c r="F266" s="111" t="n">
        <v>0</v>
      </c>
      <c r="G266" s="111" t="n">
        <v>0</v>
      </c>
      <c r="H266" s="94">
        <f>COUNTIF(C266:G266,"&lt;&gt;0")</f>
        <v/>
      </c>
      <c r="I266" s="94">
        <f>IF(H266=0,"לא מטופל",IF(H266=1,"מטופל - סוכן אחד","מטופל - יותר מסוכן אחד"))</f>
        <v/>
      </c>
    </row>
    <row r="267" ht="15" customHeight="1" s="82">
      <c r="A267" s="94" t="inlineStr">
        <is>
          <t>ס. פארם</t>
        </is>
      </c>
      <c r="B267" s="94" t="inlineStr">
        <is>
          <t>(ס.פ. נוף הגליל )נצרת עילית</t>
        </is>
      </c>
      <c r="C267" s="111" t="n">
        <v>0</v>
      </c>
      <c r="D267" s="111" t="n">
        <v>19466.3</v>
      </c>
      <c r="E267" s="111" t="n">
        <v>0</v>
      </c>
      <c r="F267" s="111" t="n">
        <v>0</v>
      </c>
      <c r="G267" s="111" t="n">
        <v>0</v>
      </c>
      <c r="H267" s="94">
        <f>COUNTIF(C267:G267,"&lt;&gt;0")</f>
        <v/>
      </c>
      <c r="I267" s="94">
        <f>IF(H267=0,"לא מטופל",IF(H267=1,"מטופל - סוכן אחד","מטופל - יותר מסוכן אחד"))</f>
        <v/>
      </c>
    </row>
    <row r="268" ht="15" customHeight="1" s="82">
      <c r="A268" s="94" t="inlineStr">
        <is>
          <t>ס. פארם</t>
        </is>
      </c>
      <c r="B268" s="94" t="inlineStr">
        <is>
          <t>ס.פ. נצרת תרופות</t>
        </is>
      </c>
      <c r="C268" s="111" t="n">
        <v>0</v>
      </c>
      <c r="D268" s="111" t="n">
        <v>9724.6</v>
      </c>
      <c r="E268" s="111" t="n">
        <v>0</v>
      </c>
      <c r="F268" s="111" t="n">
        <v>0</v>
      </c>
      <c r="G268" s="111" t="n">
        <v>0</v>
      </c>
      <c r="H268" s="94">
        <f>COUNTIF(C268:G268,"&lt;&gt;0")</f>
        <v/>
      </c>
      <c r="I268" s="94">
        <f>IF(H268=0,"לא מטופל",IF(H268=1,"מטופל - סוכן אחד","מטופל - יותר מסוכן אחד"))</f>
        <v/>
      </c>
    </row>
    <row r="269" ht="15" customHeight="1" s="82">
      <c r="A269" s="94" t="inlineStr">
        <is>
          <t>ס. פארם</t>
        </is>
      </c>
      <c r="B269" s="94" t="inlineStr">
        <is>
          <t>ס.פ. ביג ק.שמונה תרופות</t>
        </is>
      </c>
      <c r="C269" s="111" t="n">
        <v>0</v>
      </c>
      <c r="D269" s="111" t="n">
        <v>16689.7</v>
      </c>
      <c r="E269" s="111" t="n">
        <v>0</v>
      </c>
      <c r="F269" s="111" t="n">
        <v>0</v>
      </c>
      <c r="G269" s="111" t="n">
        <v>0</v>
      </c>
      <c r="H269" s="94">
        <f>COUNTIF(C269:G269,"&lt;&gt;0")</f>
        <v/>
      </c>
      <c r="I269" s="94">
        <f>IF(H269=0,"לא מטופל",IF(H269=1,"מטופל - סוכן אחד","מטופל - יותר מסוכן אחד"))</f>
        <v/>
      </c>
    </row>
    <row r="270" ht="15" customHeight="1" s="82">
      <c r="A270" s="94" t="inlineStr">
        <is>
          <t>ס. פארם</t>
        </is>
      </c>
      <c r="B270" s="94" t="inlineStr">
        <is>
          <t>ס.פ. טבעון תרופות</t>
        </is>
      </c>
      <c r="C270" s="111" t="n">
        <v>0</v>
      </c>
      <c r="D270" s="111" t="n">
        <v>8155.6</v>
      </c>
      <c r="E270" s="111" t="n">
        <v>0</v>
      </c>
      <c r="F270" s="111" t="n">
        <v>0</v>
      </c>
      <c r="G270" s="111" t="n">
        <v>0</v>
      </c>
      <c r="H270" s="94">
        <f>COUNTIF(C270:G270,"&lt;&gt;0")</f>
        <v/>
      </c>
      <c r="I270" s="94">
        <f>IF(H270=0,"לא מטופל",IF(H270=1,"מטופל - סוכן אחד","מטופל - יותר מסוכן אחד"))</f>
        <v/>
      </c>
    </row>
    <row r="271" ht="15" customHeight="1" s="82">
      <c r="A271" s="94" t="inlineStr">
        <is>
          <t>ס. פארם</t>
        </is>
      </c>
      <c r="B271" s="94" t="inlineStr">
        <is>
          <t>ס.פ. ביג פרדס חנה תרופות</t>
        </is>
      </c>
      <c r="C271" s="111" t="n">
        <v>0</v>
      </c>
      <c r="D271" s="111" t="n">
        <v>3527.8</v>
      </c>
      <c r="E271" s="111" t="n">
        <v>0</v>
      </c>
      <c r="F271" s="111" t="n">
        <v>0</v>
      </c>
      <c r="G271" s="111" t="n">
        <v>0</v>
      </c>
      <c r="H271" s="94">
        <f>COUNTIF(C271:G271,"&lt;&gt;0")</f>
        <v/>
      </c>
      <c r="I271" s="94">
        <f>IF(H271=0,"לא מטופל",IF(H271=1,"מטופל - סוכן אחד","מטופל - יותר מסוכן אחד"))</f>
        <v/>
      </c>
    </row>
    <row r="272" ht="15" customHeight="1" s="82">
      <c r="A272" s="94" t="inlineStr">
        <is>
          <t>ס. פארם</t>
        </is>
      </c>
      <c r="B272" s="94" t="inlineStr">
        <is>
          <t>ס.פ. מעלות תרופות</t>
        </is>
      </c>
      <c r="C272" s="111" t="n">
        <v>0</v>
      </c>
      <c r="D272" s="111" t="n">
        <v>10797.7</v>
      </c>
      <c r="E272" s="111" t="n">
        <v>0</v>
      </c>
      <c r="F272" s="111" t="n">
        <v>0</v>
      </c>
      <c r="G272" s="111" t="n">
        <v>0</v>
      </c>
      <c r="H272" s="94">
        <f>COUNTIF(C272:G272,"&lt;&gt;0")</f>
        <v/>
      </c>
      <c r="I272" s="94">
        <f>IF(H272=0,"לא מטופל",IF(H272=1,"מטופל - סוכן אחד","מטופל - יותר מסוכן אחד"))</f>
        <v/>
      </c>
    </row>
    <row r="273" ht="15" customHeight="1" s="82">
      <c r="A273" s="94" t="inlineStr">
        <is>
          <t>ס. פארם</t>
        </is>
      </c>
      <c r="B273" s="94" t="inlineStr">
        <is>
          <t>ס.פ. זכרון יעקב תרופות</t>
        </is>
      </c>
      <c r="C273" s="111" t="n">
        <v>0</v>
      </c>
      <c r="D273" s="111" t="n">
        <v>8671.6</v>
      </c>
      <c r="E273" s="111" t="n">
        <v>0</v>
      </c>
      <c r="F273" s="111" t="n">
        <v>0</v>
      </c>
      <c r="G273" s="111" t="n">
        <v>0</v>
      </c>
      <c r="H273" s="94">
        <f>COUNTIF(C273:G273,"&lt;&gt;0")</f>
        <v/>
      </c>
      <c r="I273" s="94">
        <f>IF(H273=0,"לא מטופל",IF(H273=1,"מטופל - סוכן אחד","מטופל - יותר מסוכן אחד"))</f>
        <v/>
      </c>
    </row>
    <row r="274" ht="15" customHeight="1" s="82">
      <c r="A274" s="94" t="inlineStr">
        <is>
          <t>ס. פארם</t>
        </is>
      </c>
      <c r="B274" s="94" t="inlineStr">
        <is>
          <t>ס.פ. ביג כרמיאל תרופות</t>
        </is>
      </c>
      <c r="C274" s="111" t="n">
        <v>0</v>
      </c>
      <c r="D274" s="111" t="n">
        <v>50356.6</v>
      </c>
      <c r="E274" s="111" t="n">
        <v>0</v>
      </c>
      <c r="F274" s="111" t="n">
        <v>0</v>
      </c>
      <c r="G274" s="111" t="n">
        <v>0</v>
      </c>
      <c r="H274" s="94">
        <f>COUNTIF(C274:G274,"&lt;&gt;0")</f>
        <v/>
      </c>
      <c r="I274" s="94">
        <f>IF(H274=0,"לא מטופל",IF(H274=1,"מטופל - סוכן אחד","מטופל - יותר מסוכן אחד"))</f>
        <v/>
      </c>
    </row>
    <row r="275" ht="15" customHeight="1" s="82">
      <c r="A275" s="94" t="inlineStr">
        <is>
          <t>ס. פארם</t>
        </is>
      </c>
      <c r="B275" s="94" t="inlineStr">
        <is>
          <t>ס.פ. קניון טבריה תרופות</t>
        </is>
      </c>
      <c r="C275" s="111" t="n">
        <v>0</v>
      </c>
      <c r="D275" s="111" t="n">
        <v>8075.4</v>
      </c>
      <c r="E275" s="111" t="n">
        <v>0</v>
      </c>
      <c r="F275" s="111" t="n">
        <v>0</v>
      </c>
      <c r="G275" s="111" t="n">
        <v>0</v>
      </c>
      <c r="H275" s="94">
        <f>COUNTIF(C275:G275,"&lt;&gt;0")</f>
        <v/>
      </c>
      <c r="I275" s="94">
        <f>IF(H275=0,"לא מטופל",IF(H275=1,"מטופל - סוכן אחד","מטופל - יותר מסוכן אחד"))</f>
        <v/>
      </c>
    </row>
    <row r="276" ht="15" customHeight="1" s="82">
      <c r="A276" s="94" t="inlineStr">
        <is>
          <t>ס. פארם</t>
        </is>
      </c>
      <c r="B276" s="94" t="inlineStr">
        <is>
          <t>ס.פ. כוכב הגעתון תרופות</t>
        </is>
      </c>
      <c r="C276" s="111" t="n">
        <v>0</v>
      </c>
      <c r="D276" s="111" t="n">
        <v>13056.4</v>
      </c>
      <c r="E276" s="111" t="n">
        <v>0</v>
      </c>
      <c r="F276" s="111" t="n">
        <v>0</v>
      </c>
      <c r="G276" s="111" t="n">
        <v>0</v>
      </c>
      <c r="H276" s="94">
        <f>COUNTIF(C276:G276,"&lt;&gt;0")</f>
        <v/>
      </c>
      <c r="I276" s="94">
        <f>IF(H276=0,"לא מטופל",IF(H276=1,"מטופל - סוכן אחד","מטופל - יותר מסוכן אחד"))</f>
        <v/>
      </c>
    </row>
    <row r="277" ht="15" customHeight="1" s="82">
      <c r="A277" s="94" t="inlineStr">
        <is>
          <t>ס. פארם</t>
        </is>
      </c>
      <c r="B277" s="94" t="inlineStr">
        <is>
          <t>ס.פ. טבריה תרופות</t>
        </is>
      </c>
      <c r="C277" s="111" t="n">
        <v>0</v>
      </c>
      <c r="D277" s="111" t="n">
        <v>11850.6</v>
      </c>
      <c r="E277" s="111" t="n">
        <v>0</v>
      </c>
      <c r="F277" s="111" t="n">
        <v>0</v>
      </c>
      <c r="G277" s="111" t="n">
        <v>0</v>
      </c>
      <c r="H277" s="94">
        <f>COUNTIF(C277:G277,"&lt;&gt;0")</f>
        <v/>
      </c>
      <c r="I277" s="94">
        <f>IF(H277=0,"לא מטופל",IF(H277=1,"מטופל - סוכן אחד","מטופל - יותר מסוכן אחד"))</f>
        <v/>
      </c>
    </row>
    <row r="278" ht="15" customHeight="1" s="82">
      <c r="A278" s="94" t="inlineStr">
        <is>
          <t>ס. פארם</t>
        </is>
      </c>
      <c r="B278" s="94" t="inlineStr">
        <is>
          <t>ס.פ. טמרה תרופות</t>
        </is>
      </c>
      <c r="C278" s="111" t="n">
        <v>0</v>
      </c>
      <c r="D278" s="111" t="n">
        <v>5188.9</v>
      </c>
      <c r="E278" s="111" t="n">
        <v>0</v>
      </c>
      <c r="F278" s="111" t="n">
        <v>0</v>
      </c>
      <c r="G278" s="111" t="n">
        <v>0</v>
      </c>
      <c r="H278" s="94">
        <f>COUNTIF(C278:G278,"&lt;&gt;0")</f>
        <v/>
      </c>
      <c r="I278" s="94">
        <f>IF(H278=0,"לא מטופל",IF(H278=1,"מטופל - סוכן אחד","מטופל - יותר מסוכן אחד"))</f>
        <v/>
      </c>
    </row>
    <row r="279" ht="15" customHeight="1" s="82">
      <c r="A279" s="94" t="inlineStr">
        <is>
          <t>ס. פארם</t>
        </is>
      </c>
      <c r="B279" s="94" t="inlineStr">
        <is>
          <t>ס.פ. רגבה  תרופות</t>
        </is>
      </c>
      <c r="C279" s="111" t="n">
        <v>0</v>
      </c>
      <c r="D279" s="111" t="n">
        <v>10900.5</v>
      </c>
      <c r="E279" s="111" t="n">
        <v>0</v>
      </c>
      <c r="F279" s="111" t="n">
        <v>0</v>
      </c>
      <c r="G279" s="111" t="n">
        <v>0</v>
      </c>
      <c r="H279" s="94">
        <f>COUNTIF(C279:G279,"&lt;&gt;0")</f>
        <v/>
      </c>
      <c r="I279" s="94">
        <f>IF(H279=0,"לא מטופל",IF(H279=1,"מטופל - סוכן אחד","מטופל - יותר מסוכן אחד"))</f>
        <v/>
      </c>
    </row>
    <row r="280" ht="15" customHeight="1" s="82">
      <c r="A280" s="94" t="inlineStr">
        <is>
          <t>ס. פארם</t>
        </is>
      </c>
      <c r="B280" s="94" t="inlineStr">
        <is>
          <t>ס.פ. קרית אתא  תרופות</t>
        </is>
      </c>
      <c r="C280" s="111" t="n">
        <v>0</v>
      </c>
      <c r="D280" s="111" t="n">
        <v>21128.6</v>
      </c>
      <c r="E280" s="111" t="n">
        <v>0</v>
      </c>
      <c r="F280" s="111" t="n">
        <v>0</v>
      </c>
      <c r="G280" s="111" t="n">
        <v>0</v>
      </c>
      <c r="H280" s="94">
        <f>COUNTIF(C280:G280,"&lt;&gt;0")</f>
        <v/>
      </c>
      <c r="I280" s="94">
        <f>IF(H280=0,"לא מטופל",IF(H280=1,"מטופל - סוכן אחד","מטופל - יותר מסוכן אחד"))</f>
        <v/>
      </c>
    </row>
    <row r="281" ht="15" customHeight="1" s="82">
      <c r="A281" s="94" t="inlineStr">
        <is>
          <t>ס. פארם</t>
        </is>
      </c>
      <c r="B281" s="94" t="inlineStr">
        <is>
          <t>ס.פ. קניון לב כרמיאל</t>
        </is>
      </c>
      <c r="C281" s="111" t="n">
        <v>0</v>
      </c>
      <c r="D281" s="111" t="n">
        <v>17359.8</v>
      </c>
      <c r="E281" s="111" t="n">
        <v>0</v>
      </c>
      <c r="F281" s="111" t="n">
        <v>0</v>
      </c>
      <c r="G281" s="111" t="n">
        <v>0</v>
      </c>
      <c r="H281" s="94">
        <f>COUNTIF(C281:G281,"&lt;&gt;0")</f>
        <v/>
      </c>
      <c r="I281" s="94">
        <f>IF(H281=0,"לא מטופל",IF(H281=1,"מטופל - סוכן אחד","מטופל - יותר מסוכן אחד"))</f>
        <v/>
      </c>
    </row>
    <row r="282" ht="15" customHeight="1" s="82">
      <c r="A282" s="94" t="inlineStr">
        <is>
          <t>ס. פארם</t>
        </is>
      </c>
      <c r="B282" s="94" t="inlineStr">
        <is>
          <t>ס.פ. גרנד קניון  תרופות</t>
        </is>
      </c>
      <c r="C282" s="111" t="n">
        <v>0</v>
      </c>
      <c r="D282" s="111" t="n">
        <v>42414.2</v>
      </c>
      <c r="E282" s="111" t="n">
        <v>0</v>
      </c>
      <c r="F282" s="111" t="n">
        <v>0</v>
      </c>
      <c r="G282" s="111" t="n">
        <v>0</v>
      </c>
      <c r="H282" s="94">
        <f>COUNTIF(C282:G282,"&lt;&gt;0")</f>
        <v/>
      </c>
      <c r="I282" s="94">
        <f>IF(H282=0,"לא מטופל",IF(H282=1,"מטופל - סוכן אחד","מטופל - יותר מסוכן אחד"))</f>
        <v/>
      </c>
    </row>
    <row r="283" ht="15" customHeight="1" s="82">
      <c r="A283" s="94" t="inlineStr">
        <is>
          <t>ס. פארם</t>
        </is>
      </c>
      <c r="B283" s="94" t="inlineStr">
        <is>
          <t>ס.פ. מגדל העמק  תרופות</t>
        </is>
      </c>
      <c r="C283" s="111" t="n">
        <v>0</v>
      </c>
      <c r="D283" s="111" t="n">
        <v>8282.5</v>
      </c>
      <c r="E283" s="111" t="n">
        <v>0</v>
      </c>
      <c r="F283" s="111" t="n">
        <v>0</v>
      </c>
      <c r="G283" s="111" t="n">
        <v>0</v>
      </c>
      <c r="H283" s="94">
        <f>COUNTIF(C283:G283,"&lt;&gt;0")</f>
        <v/>
      </c>
      <c r="I283" s="94">
        <f>IF(H283=0,"לא מטופל",IF(H283=1,"מטופל - סוכן אחד","מטופל - יותר מסוכן אחד"))</f>
        <v/>
      </c>
    </row>
    <row r="284" ht="15" customHeight="1" s="82">
      <c r="A284" s="94" t="inlineStr">
        <is>
          <t>ס. פארם</t>
        </is>
      </c>
      <c r="B284" s="94" t="inlineStr">
        <is>
          <t>ס.פ. העצמאות ק.אתא תרופות</t>
        </is>
      </c>
      <c r="C284" s="111" t="n">
        <v>0</v>
      </c>
      <c r="D284" s="111" t="n">
        <v>6776.3</v>
      </c>
      <c r="E284" s="111" t="n">
        <v>0</v>
      </c>
      <c r="F284" s="111" t="n">
        <v>0</v>
      </c>
      <c r="G284" s="111" t="n">
        <v>0</v>
      </c>
      <c r="H284" s="94">
        <f>COUNTIF(C284:G284,"&lt;&gt;0")</f>
        <v/>
      </c>
      <c r="I284" s="94">
        <f>IF(H284=0,"לא מטופל",IF(H284=1,"מטופל - סוכן אחד","מטופל - יותר מסוכן אחד"))</f>
        <v/>
      </c>
    </row>
    <row r="285" ht="15" customHeight="1" s="82">
      <c r="A285" s="94" t="inlineStr">
        <is>
          <t>ס. פארם</t>
        </is>
      </c>
      <c r="B285" s="94" t="inlineStr">
        <is>
          <t>ס.פ. שפרעם תרופות</t>
        </is>
      </c>
      <c r="C285" s="111" t="n">
        <v>0</v>
      </c>
      <c r="D285" s="111" t="n">
        <v>14403.6</v>
      </c>
      <c r="E285" s="111" t="n">
        <v>0</v>
      </c>
      <c r="F285" s="111" t="n">
        <v>0</v>
      </c>
      <c r="G285" s="111" t="n">
        <v>0</v>
      </c>
      <c r="H285" s="94">
        <f>COUNTIF(C285:G285,"&lt;&gt;0")</f>
        <v/>
      </c>
      <c r="I285" s="94">
        <f>IF(H285=0,"לא מטופל",IF(H285=1,"מטופל - סוכן אחד","מטופל - יותר מסוכן אחד"))</f>
        <v/>
      </c>
    </row>
    <row r="286" ht="15" customHeight="1" s="82">
      <c r="A286" s="94" t="inlineStr">
        <is>
          <t>ס. פארם</t>
        </is>
      </c>
      <c r="B286" s="94" t="inlineStr">
        <is>
          <t>ס.פ. ביג יוקנעם תרופות</t>
        </is>
      </c>
      <c r="C286" s="111" t="n">
        <v>0</v>
      </c>
      <c r="D286" s="111" t="n">
        <v>20693.4</v>
      </c>
      <c r="E286" s="111" t="n">
        <v>0</v>
      </c>
      <c r="F286" s="111" t="n">
        <v>0</v>
      </c>
      <c r="G286" s="111" t="n">
        <v>0</v>
      </c>
      <c r="H286" s="94">
        <f>COUNTIF(C286:G286,"&lt;&gt;0")</f>
        <v/>
      </c>
      <c r="I286" s="94">
        <f>IF(H286=0,"לא מטופל",IF(H286=1,"מטופל - סוכן אחד","מטופל - יותר מסוכן אחד"))</f>
        <v/>
      </c>
    </row>
    <row r="287" ht="15" customHeight="1" s="82">
      <c r="A287" s="94" t="inlineStr">
        <is>
          <t>ס. פארם</t>
        </is>
      </c>
      <c r="B287" s="94" t="inlineStr">
        <is>
          <t>ס.פ. סיטי סנטר חיפה תרופות</t>
        </is>
      </c>
      <c r="C287" s="111" t="n">
        <v>0</v>
      </c>
      <c r="D287" s="111" t="n">
        <v>9688.299999999999</v>
      </c>
      <c r="E287" s="111" t="n">
        <v>0</v>
      </c>
      <c r="F287" s="111" t="n">
        <v>0</v>
      </c>
      <c r="G287" s="111" t="n">
        <v>0</v>
      </c>
      <c r="H287" s="94">
        <f>COUNTIF(C287:G287,"&lt;&gt;0")</f>
        <v/>
      </c>
      <c r="I287" s="94">
        <f>IF(H287=0,"לא מטופל",IF(H287=1,"מטופל - סוכן אחד","מטופל - יותר מסוכן אחד"))</f>
        <v/>
      </c>
    </row>
    <row r="288" ht="15" customHeight="1" s="82">
      <c r="A288" s="94" t="inlineStr">
        <is>
          <t>ס. פארם</t>
        </is>
      </c>
      <c r="B288" s="94" t="inlineStr">
        <is>
          <t>ס.פ. בית שאן תרופות</t>
        </is>
      </c>
      <c r="C288" s="111" t="n">
        <v>0</v>
      </c>
      <c r="D288" s="111" t="n">
        <v>9631.5</v>
      </c>
      <c r="E288" s="111" t="n">
        <v>0</v>
      </c>
      <c r="F288" s="111" t="n">
        <v>0</v>
      </c>
      <c r="G288" s="111" t="n">
        <v>0</v>
      </c>
      <c r="H288" s="94">
        <f>COUNTIF(C288:G288,"&lt;&gt;0")</f>
        <v/>
      </c>
      <c r="I288" s="94">
        <f>IF(H288=0,"לא מטופל",IF(H288=1,"מטופל - סוכן אחד","מטופל - יותר מסוכן אחד"))</f>
        <v/>
      </c>
    </row>
    <row r="289" ht="15" customHeight="1" s="82">
      <c r="A289" s="94" t="inlineStr">
        <is>
          <t>ס. פארם</t>
        </is>
      </c>
      <c r="B289" s="94" t="inlineStr">
        <is>
          <t>ס.פ. חדרה מזרח תרופות</t>
        </is>
      </c>
      <c r="C289" s="111" t="n">
        <v>0</v>
      </c>
      <c r="D289" s="111" t="n">
        <v>11217.1</v>
      </c>
      <c r="E289" s="111" t="n">
        <v>0</v>
      </c>
      <c r="F289" s="111" t="n">
        <v>0</v>
      </c>
      <c r="G289" s="111" t="n">
        <v>0</v>
      </c>
      <c r="H289" s="94">
        <f>COUNTIF(C289:G289,"&lt;&gt;0")</f>
        <v/>
      </c>
      <c r="I289" s="94">
        <f>IF(H289=0,"לא מטופל",IF(H289=1,"מטופל - סוכן אחד","מטופל - יותר מסוכן אחד"))</f>
        <v/>
      </c>
    </row>
    <row r="290" ht="15" customHeight="1" s="82">
      <c r="A290" s="94" t="inlineStr">
        <is>
          <t>ס. פארם</t>
        </is>
      </c>
      <c r="B290" s="94" t="inlineStr">
        <is>
          <t>ס.פ.גדרה תרופות</t>
        </is>
      </c>
      <c r="C290" s="111" t="n">
        <v>0</v>
      </c>
      <c r="D290" s="111" t="n">
        <v>0</v>
      </c>
      <c r="E290" s="111" t="n">
        <v>22435.5</v>
      </c>
      <c r="F290" s="111" t="n">
        <v>0</v>
      </c>
      <c r="G290" s="111" t="n">
        <v>0</v>
      </c>
      <c r="H290" s="94">
        <f>COUNTIF(C290:G290,"&lt;&gt;0")</f>
        <v/>
      </c>
      <c r="I290" s="94">
        <f>IF(H290=0,"לא מטופל",IF(H290=1,"מטופל - סוכן אחד","מטופל - יותר מסוכן אחד"))</f>
        <v/>
      </c>
    </row>
    <row r="291" ht="15" customHeight="1" s="82">
      <c r="A291" s="94" t="inlineStr">
        <is>
          <t>ס. פארם</t>
        </is>
      </c>
      <c r="B291" s="94" t="inlineStr">
        <is>
          <t>ס.פ.ביג קרית גת תרופות</t>
        </is>
      </c>
      <c r="C291" s="111" t="n">
        <v>0</v>
      </c>
      <c r="D291" s="111" t="n">
        <v>0</v>
      </c>
      <c r="E291" s="111" t="n">
        <v>0</v>
      </c>
      <c r="F291" s="111" t="n">
        <v>0</v>
      </c>
      <c r="G291" s="111" t="n">
        <v>30586.1</v>
      </c>
      <c r="H291" s="94">
        <f>COUNTIF(C291:G291,"&lt;&gt;0")</f>
        <v/>
      </c>
      <c r="I291" s="94">
        <f>IF(H291=0,"לא מטופל",IF(H291=1,"מטופל - סוכן אחד","מטופל - יותר מסוכן אחד"))</f>
        <v/>
      </c>
    </row>
    <row r="292" ht="15" customHeight="1" s="82">
      <c r="A292" s="94" t="inlineStr">
        <is>
          <t>ס. פארם</t>
        </is>
      </c>
      <c r="B292" s="94" t="inlineStr">
        <is>
          <t>ס.פ.צים נתיבות תרופות</t>
        </is>
      </c>
      <c r="C292" s="111" t="n">
        <v>0</v>
      </c>
      <c r="D292" s="111" t="n">
        <v>0</v>
      </c>
      <c r="E292" s="111" t="n">
        <v>0</v>
      </c>
      <c r="F292" s="111" t="n">
        <v>0</v>
      </c>
      <c r="G292" s="111" t="n">
        <v>11324.5</v>
      </c>
      <c r="H292" s="94">
        <f>COUNTIF(C292:G292,"&lt;&gt;0")</f>
        <v/>
      </c>
      <c r="I292" s="94">
        <f>IF(H292=0,"לא מטופל",IF(H292=1,"מטופל - סוכן אחד","מטופל - יותר מסוכן אחד"))</f>
        <v/>
      </c>
    </row>
    <row r="293" ht="15" customHeight="1" s="82">
      <c r="A293" s="94" t="inlineStr">
        <is>
          <t>ס. פארם</t>
        </is>
      </c>
      <c r="B293" s="94" t="inlineStr">
        <is>
          <t>ס.פ.אשקלון תרופות גירון</t>
        </is>
      </c>
      <c r="C293" s="111" t="n">
        <v>0</v>
      </c>
      <c r="D293" s="111" t="n">
        <v>0</v>
      </c>
      <c r="E293" s="111" t="n">
        <v>0</v>
      </c>
      <c r="F293" s="111" t="n">
        <v>0</v>
      </c>
      <c r="G293" s="111" t="n">
        <v>40579.4</v>
      </c>
      <c r="H293" s="94">
        <f>COUNTIF(C293:G293,"&lt;&gt;0")</f>
        <v/>
      </c>
      <c r="I293" s="94">
        <f>IF(H293=0,"לא מטופל",IF(H293=1,"מטופל - סוכן אחד","מטופל - יותר מסוכן אחד"))</f>
        <v/>
      </c>
    </row>
    <row r="294" ht="15" customHeight="1" s="82">
      <c r="A294" s="94" t="inlineStr">
        <is>
          <t>ס. פארם</t>
        </is>
      </c>
      <c r="B294" s="94" t="inlineStr">
        <is>
          <t>ס.פ.מרכז דוד תרופות אשקלון</t>
        </is>
      </c>
      <c r="C294" s="111" t="n">
        <v>0</v>
      </c>
      <c r="D294" s="111" t="n">
        <v>0</v>
      </c>
      <c r="E294" s="111" t="n">
        <v>0</v>
      </c>
      <c r="F294" s="111" t="n">
        <v>0</v>
      </c>
      <c r="G294" s="111" t="n">
        <v>20557.9</v>
      </c>
      <c r="H294" s="94">
        <f>COUNTIF(C294:G294,"&lt;&gt;0")</f>
        <v/>
      </c>
      <c r="I294" s="94">
        <f>IF(H294=0,"לא מטופל",IF(H294=1,"מטופל - סוכן אחד","מטופל - יותר מסוכן אחד"))</f>
        <v/>
      </c>
    </row>
    <row r="295" ht="15" customHeight="1" s="82">
      <c r="A295" s="94" t="inlineStr">
        <is>
          <t>ס. פארם</t>
        </is>
      </c>
      <c r="B295" s="94" t="inlineStr">
        <is>
          <t>ס.פ.סטאר סנטר תרופות</t>
        </is>
      </c>
      <c r="C295" s="111" t="n">
        <v>0</v>
      </c>
      <c r="D295" s="111" t="n">
        <v>0</v>
      </c>
      <c r="E295" s="111" t="n">
        <v>0</v>
      </c>
      <c r="F295" s="111" t="n">
        <v>0</v>
      </c>
      <c r="G295" s="111" t="n">
        <v>48192.5</v>
      </c>
      <c r="H295" s="94">
        <f>COUNTIF(C295:G295,"&lt;&gt;0")</f>
        <v/>
      </c>
      <c r="I295" s="94">
        <f>IF(H295=0,"לא מטופל",IF(H295=1,"מטופל - סוכן אחד","מטופל - יותר מסוכן אחד"))</f>
        <v/>
      </c>
    </row>
    <row r="296" ht="15" customHeight="1" s="82">
      <c r="A296" s="94" t="inlineStr">
        <is>
          <t>ס. פארם</t>
        </is>
      </c>
      <c r="B296" s="94" t="inlineStr">
        <is>
          <t>ס.פ.נתיבות תרופות</t>
        </is>
      </c>
      <c r="C296" s="111" t="n">
        <v>0</v>
      </c>
      <c r="D296" s="111" t="n">
        <v>0</v>
      </c>
      <c r="E296" s="111" t="n">
        <v>0</v>
      </c>
      <c r="F296" s="111" t="n">
        <v>0</v>
      </c>
      <c r="G296" s="111" t="n">
        <v>14763.1</v>
      </c>
      <c r="H296" s="94">
        <f>COUNTIF(C296:G296,"&lt;&gt;0")</f>
        <v/>
      </c>
      <c r="I296" s="94">
        <f>IF(H296=0,"לא מטופל",IF(H296=1,"מטופל - סוכן אחד","מטופל - יותר מסוכן אחד"))</f>
        <v/>
      </c>
    </row>
    <row r="297" ht="15" customHeight="1" s="82">
      <c r="A297" s="94" t="inlineStr">
        <is>
          <t>ס. פארם</t>
        </is>
      </c>
      <c r="B297" s="94" t="inlineStr">
        <is>
          <t>ס.פ.סיטי אשדוד תרופות</t>
        </is>
      </c>
      <c r="C297" s="111" t="n">
        <v>0</v>
      </c>
      <c r="D297" s="111" t="n">
        <v>0</v>
      </c>
      <c r="E297" s="111" t="n">
        <v>0</v>
      </c>
      <c r="F297" s="111" t="n">
        <v>0</v>
      </c>
      <c r="G297" s="111" t="n">
        <v>26761.3</v>
      </c>
      <c r="H297" s="94">
        <f>COUNTIF(C297:G297,"&lt;&gt;0")</f>
        <v/>
      </c>
      <c r="I297" s="94">
        <f>IF(H297=0,"לא מטופל",IF(H297=1,"מטופל - סוכן אחד","מטופל - יותר מסוכן אחד"))</f>
        <v/>
      </c>
    </row>
    <row r="298" ht="15" customHeight="1" s="82">
      <c r="A298" s="94" t="inlineStr">
        <is>
          <t>ס. פארם</t>
        </is>
      </c>
      <c r="B298" s="94" t="inlineStr">
        <is>
          <t>ס.פ.לב העיר קרית גת תרופות</t>
        </is>
      </c>
      <c r="C298" s="111" t="n">
        <v>0</v>
      </c>
      <c r="D298" s="111" t="n">
        <v>0</v>
      </c>
      <c r="E298" s="111" t="n">
        <v>0</v>
      </c>
      <c r="F298" s="111" t="n">
        <v>0</v>
      </c>
      <c r="G298" s="111" t="n">
        <v>10566.4</v>
      </c>
      <c r="H298" s="94">
        <f>COUNTIF(C298:G298,"&lt;&gt;0")</f>
        <v/>
      </c>
      <c r="I298" s="94">
        <f>IF(H298=0,"לא מטופל",IF(H298=1,"מטופל - סוכן אחד","מטופל - יותר מסוכן אחד"))</f>
        <v/>
      </c>
    </row>
    <row r="299" ht="15" customHeight="1" s="82">
      <c r="A299" s="94" t="inlineStr">
        <is>
          <t>ס. פארם</t>
        </is>
      </c>
      <c r="B299" s="94" t="inlineStr">
        <is>
          <t>ס.פ.סילבר תרופות</t>
        </is>
      </c>
      <c r="C299" s="111" t="n">
        <v>0</v>
      </c>
      <c r="D299" s="111" t="n">
        <v>0</v>
      </c>
      <c r="E299" s="111" t="n">
        <v>0</v>
      </c>
      <c r="F299" s="111" t="n">
        <v>0</v>
      </c>
      <c r="G299" s="111" t="n">
        <v>27048.2</v>
      </c>
      <c r="H299" s="94">
        <f>COUNTIF(C299:G299,"&lt;&gt;0")</f>
        <v/>
      </c>
      <c r="I299" s="94">
        <f>IF(H299=0,"לא מטופל",IF(H299=1,"מטופל - סוכן אחד","מטופל - יותר מסוכן אחד"))</f>
        <v/>
      </c>
    </row>
    <row r="300" ht="15" customHeight="1" s="82">
      <c r="A300" s="94" t="inlineStr">
        <is>
          <t>ס. פארם</t>
        </is>
      </c>
      <c r="B300" s="94" t="inlineStr">
        <is>
          <t>ס.פ.אופקים תרופות</t>
        </is>
      </c>
      <c r="C300" s="111" t="n">
        <v>0</v>
      </c>
      <c r="D300" s="111" t="n">
        <v>0</v>
      </c>
      <c r="E300" s="111" t="n">
        <v>0</v>
      </c>
      <c r="F300" s="111" t="n">
        <v>0</v>
      </c>
      <c r="G300" s="111" t="n">
        <v>17126.2</v>
      </c>
      <c r="H300" s="94">
        <f>COUNTIF(C300:G300,"&lt;&gt;0")</f>
        <v/>
      </c>
      <c r="I300" s="94">
        <f>IF(H300=0,"לא מטופל",IF(H300=1,"מטופל - סוכן אחד","מטופל - יותר מסוכן אחד"))</f>
        <v/>
      </c>
    </row>
    <row r="301" ht="15" customHeight="1" s="82">
      <c r="A301" s="94" t="inlineStr">
        <is>
          <t>ס. פארם</t>
        </is>
      </c>
      <c r="B301" s="94" t="inlineStr">
        <is>
          <t>ס.פ.דימונה תרופות</t>
        </is>
      </c>
      <c r="C301" s="111" t="n">
        <v>0</v>
      </c>
      <c r="D301" s="111" t="n">
        <v>0</v>
      </c>
      <c r="E301" s="111" t="n">
        <v>0</v>
      </c>
      <c r="F301" s="111" t="n">
        <v>0</v>
      </c>
      <c r="G301" s="111" t="n">
        <v>9645.200000000001</v>
      </c>
      <c r="H301" s="94">
        <f>COUNTIF(C301:G301,"&lt;&gt;0")</f>
        <v/>
      </c>
      <c r="I301" s="94">
        <f>IF(H301=0,"לא מטופל",IF(H301=1,"מטופל - סוכן אחד","מטופל - יותר מסוכן אחד"))</f>
        <v/>
      </c>
    </row>
    <row r="302" ht="15" customHeight="1" s="82">
      <c r="A302" s="94" t="inlineStr">
        <is>
          <t>ס. פארם</t>
        </is>
      </c>
      <c r="B302" s="94" t="inlineStr">
        <is>
          <t>ס.פ.ביג קסטינה</t>
        </is>
      </c>
      <c r="C302" s="111" t="n">
        <v>0</v>
      </c>
      <c r="D302" s="111" t="n">
        <v>0</v>
      </c>
      <c r="E302" s="111" t="n">
        <v>0</v>
      </c>
      <c r="F302" s="111" t="n">
        <v>0</v>
      </c>
      <c r="G302" s="111" t="n">
        <v>23440.4</v>
      </c>
      <c r="H302" s="94">
        <f>COUNTIF(C302:G302,"&lt;&gt;0")</f>
        <v/>
      </c>
      <c r="I302" s="94">
        <f>IF(H302=0,"לא מטופל",IF(H302=1,"מטופל - סוכן אחד","מטופל - יותר מסוכן אחד"))</f>
        <v/>
      </c>
    </row>
    <row r="303" ht="15" customHeight="1" s="82">
      <c r="A303" s="94" t="inlineStr">
        <is>
          <t>ס. פארם</t>
        </is>
      </c>
      <c r="B303" s="94" t="inlineStr">
        <is>
          <t>ס.פ.גרנד ב""ש</t>
        </is>
      </c>
      <c r="C303" s="111" t="n">
        <v>0</v>
      </c>
      <c r="D303" s="111" t="n">
        <v>0</v>
      </c>
      <c r="E303" s="111" t="n">
        <v>31329.9</v>
      </c>
      <c r="F303" s="111" t="n">
        <v>0</v>
      </c>
      <c r="G303" s="111" t="n">
        <v>0</v>
      </c>
      <c r="H303" s="94">
        <f>COUNTIF(C303:G303,"&lt;&gt;0")</f>
        <v/>
      </c>
      <c r="I303" s="94">
        <f>IF(H303=0,"לא מטופל",IF(H303=1,"מטופל - סוכן אחד","מטופל - יותר מסוכן אחד"))</f>
        <v/>
      </c>
    </row>
    <row r="304" ht="15" customHeight="1" s="82">
      <c r="A304" s="94" t="inlineStr">
        <is>
          <t>ס. פארם</t>
        </is>
      </c>
      <c r="B304" s="94" t="inlineStr">
        <is>
          <t>ס.פ.קניון הנגב תרופות</t>
        </is>
      </c>
      <c r="C304" s="111" t="n">
        <v>0</v>
      </c>
      <c r="D304" s="111" t="n">
        <v>0</v>
      </c>
      <c r="E304" s="111" t="n">
        <v>22093.6</v>
      </c>
      <c r="F304" s="111" t="n">
        <v>0</v>
      </c>
      <c r="G304" s="111" t="n">
        <v>0</v>
      </c>
      <c r="H304" s="94">
        <f>COUNTIF(C304:G304,"&lt;&gt;0")</f>
        <v/>
      </c>
      <c r="I304" s="94">
        <f>IF(H304=0,"לא מטופל",IF(H304=1,"מטופל - סוכן אחד","מטופל - יותר מסוכן אחד"))</f>
        <v/>
      </c>
    </row>
    <row r="305" ht="15" customHeight="1" s="82">
      <c r="A305" s="94" t="inlineStr">
        <is>
          <t>ס. פארם</t>
        </is>
      </c>
      <c r="B305" s="94" t="inlineStr">
        <is>
          <t>ס.פ.ערד תרופות</t>
        </is>
      </c>
      <c r="C305" s="111" t="n">
        <v>0</v>
      </c>
      <c r="D305" s="111" t="n">
        <v>0</v>
      </c>
      <c r="E305" s="111" t="n">
        <v>0</v>
      </c>
      <c r="F305" s="111" t="n">
        <v>0</v>
      </c>
      <c r="G305" s="111" t="n">
        <v>8346</v>
      </c>
      <c r="H305" s="94">
        <f>COUNTIF(C305:G305,"&lt;&gt;0")</f>
        <v/>
      </c>
      <c r="I305" s="94">
        <f>IF(H305=0,"לא מטופל",IF(H305=1,"מטופל - סוכן אחד","מטופל - יותר מסוכן אחד"))</f>
        <v/>
      </c>
    </row>
    <row r="306" ht="15" customHeight="1" s="82">
      <c r="A306" s="94" t="inlineStr">
        <is>
          <t>ס. פארם</t>
        </is>
      </c>
      <c r="B306" s="94" t="inlineStr">
        <is>
          <t>ס.פ.שדרות תרופות</t>
        </is>
      </c>
      <c r="C306" s="111" t="n">
        <v>0</v>
      </c>
      <c r="D306" s="111" t="n">
        <v>0</v>
      </c>
      <c r="E306" s="111" t="n">
        <v>0</v>
      </c>
      <c r="F306" s="111" t="n">
        <v>0</v>
      </c>
      <c r="G306" s="111" t="n">
        <v>16670.7</v>
      </c>
      <c r="H306" s="94">
        <f>COUNTIF(C306:G306,"&lt;&gt;0")</f>
        <v/>
      </c>
      <c r="I306" s="94">
        <f>IF(H306=0,"לא מטופל",IF(H306=1,"מטופל - סוכן אחד","מטופל - יותר מסוכן אחד"))</f>
        <v/>
      </c>
    </row>
    <row r="307" ht="15" customHeight="1" s="82">
      <c r="A307" s="94" t="inlineStr">
        <is>
          <t>ס. פארם</t>
        </is>
      </c>
      <c r="B307" s="94" t="inlineStr">
        <is>
          <t>ס.פ.משחררים ב""ש תרופות</t>
        </is>
      </c>
      <c r="C307" s="111" t="n">
        <v>0</v>
      </c>
      <c r="D307" s="111" t="n">
        <v>0</v>
      </c>
      <c r="E307" s="111" t="n">
        <v>18904.6</v>
      </c>
      <c r="F307" s="111" t="n">
        <v>0</v>
      </c>
      <c r="G307" s="111" t="n">
        <v>0</v>
      </c>
      <c r="H307" s="94">
        <f>COUNTIF(C307:G307,"&lt;&gt;0")</f>
        <v/>
      </c>
      <c r="I307" s="94">
        <f>IF(H307=0,"לא מטופל",IF(H307=1,"מטופל - סוכן אחד","מטופל - יותר מסוכן אחד"))</f>
        <v/>
      </c>
    </row>
    <row r="308" ht="15" customHeight="1" s="82">
      <c r="A308" s="94" t="inlineStr">
        <is>
          <t>ס. פארם</t>
        </is>
      </c>
      <c r="B308" s="94" t="inlineStr">
        <is>
          <t>BM ס.פ.קניון שאול המלך</t>
        </is>
      </c>
      <c r="C308" s="111" t="n">
        <v>0</v>
      </c>
      <c r="D308" s="111" t="n">
        <v>0</v>
      </c>
      <c r="E308" s="111" t="n">
        <v>9187</v>
      </c>
      <c r="F308" s="111" t="n">
        <v>0</v>
      </c>
      <c r="G308" s="111" t="n">
        <v>0</v>
      </c>
      <c r="H308" s="94">
        <f>COUNTIF(C308:G308,"&lt;&gt;0")</f>
        <v/>
      </c>
      <c r="I308" s="94">
        <f>IF(H308=0,"לא מטופל",IF(H308=1,"מטופל - סוכן אחד","מטופל - יותר מסוכן אחד"))</f>
        <v/>
      </c>
    </row>
    <row r="309" ht="15" customHeight="1" s="82">
      <c r="A309" s="94" t="inlineStr">
        <is>
          <t>ס. פארם</t>
        </is>
      </c>
      <c r="B309" s="94" t="inlineStr">
        <is>
          <t>ס.פ.נחל עשן תרופות</t>
        </is>
      </c>
      <c r="C309" s="111" t="n">
        <v>0</v>
      </c>
      <c r="D309" s="111" t="n">
        <v>0</v>
      </c>
      <c r="E309" s="111" t="n">
        <v>12103.5</v>
      </c>
      <c r="F309" s="111" t="n">
        <v>0</v>
      </c>
      <c r="G309" s="111" t="n">
        <v>0</v>
      </c>
      <c r="H309" s="94">
        <f>COUNTIF(C309:G309,"&lt;&gt;0")</f>
        <v/>
      </c>
      <c r="I309" s="94">
        <f>IF(H309=0,"לא מטופל",IF(H309=1,"מטופל - סוכן אחד","מטופל - יותר מסוכן אחד"))</f>
        <v/>
      </c>
    </row>
    <row r="310" ht="15" customHeight="1" s="82">
      <c r="A310" s="94" t="inlineStr">
        <is>
          <t>ס. פארם</t>
        </is>
      </c>
      <c r="B310" s="94" t="inlineStr">
        <is>
          <t>ס.פ.ביג ב""ש תרופות</t>
        </is>
      </c>
      <c r="C310" s="111" t="n">
        <v>0</v>
      </c>
      <c r="D310" s="111" t="n">
        <v>0</v>
      </c>
      <c r="E310" s="111" t="n">
        <v>71254.39999999999</v>
      </c>
      <c r="F310" s="111" t="n">
        <v>0</v>
      </c>
      <c r="G310" s="111" t="n">
        <v>0</v>
      </c>
      <c r="H310" s="94">
        <f>COUNTIF(C310:G310,"&lt;&gt;0")</f>
        <v/>
      </c>
      <c r="I310" s="94">
        <f>IF(H310=0,"לא מטופל",IF(H310=1,"מטופל - סוכן אחד","מטופל - יותר מסוכן אחד"))</f>
        <v/>
      </c>
    </row>
    <row r="311" ht="15" customHeight="1" s="82">
      <c r="A311" s="94" t="inlineStr">
        <is>
          <t>ס. פארם</t>
        </is>
      </c>
      <c r="B311" s="94" t="inlineStr">
        <is>
          <t>ס.פ.נווה זאב באר שבע תרופות</t>
        </is>
      </c>
      <c r="C311" s="111" t="n">
        <v>0</v>
      </c>
      <c r="D311" s="111" t="n">
        <v>0</v>
      </c>
      <c r="E311" s="111" t="n">
        <v>10190.7</v>
      </c>
      <c r="F311" s="111" t="n">
        <v>0</v>
      </c>
      <c r="G311" s="111" t="n">
        <v>0</v>
      </c>
      <c r="H311" s="94">
        <f>COUNTIF(C311:G311,"&lt;&gt;0")</f>
        <v/>
      </c>
      <c r="I311" s="94">
        <f>IF(H311=0,"לא מטופל",IF(H311=1,"מטופל - סוכן אחד","מטופל - יותר מסוכן אחד"))</f>
        <v/>
      </c>
    </row>
    <row r="312" ht="15" customHeight="1" s="82">
      <c r="A312" s="94" t="inlineStr">
        <is>
          <t>ס. פארם</t>
        </is>
      </c>
      <c r="B312" s="94" t="inlineStr">
        <is>
          <t>ס.פ.גילה תרופות</t>
        </is>
      </c>
      <c r="C312" s="111" t="n">
        <v>0</v>
      </c>
      <c r="D312" s="111" t="n">
        <v>0</v>
      </c>
      <c r="E312" s="111" t="n">
        <v>0</v>
      </c>
      <c r="F312" s="111" t="n">
        <v>0</v>
      </c>
      <c r="G312" s="111" t="n">
        <v>8225</v>
      </c>
      <c r="H312" s="94">
        <f>COUNTIF(C312:G312,"&lt;&gt;0")</f>
        <v/>
      </c>
      <c r="I312" s="94">
        <f>IF(H312=0,"לא מטופל",IF(H312=1,"מטופל - סוכן אחד","מטופל - יותר מסוכן אחד"))</f>
        <v/>
      </c>
    </row>
    <row r="313" ht="15" customHeight="1" s="82">
      <c r="A313" s="94" t="inlineStr">
        <is>
          <t>ס. פארם</t>
        </is>
      </c>
      <c r="B313" s="94" t="inlineStr">
        <is>
          <t>ס.פ.מדרחוב תרופות</t>
        </is>
      </c>
      <c r="C313" s="111" t="n">
        <v>0</v>
      </c>
      <c r="D313" s="111" t="n">
        <v>0</v>
      </c>
      <c r="E313" s="111" t="n">
        <v>0</v>
      </c>
      <c r="F313" s="111" t="n">
        <v>0</v>
      </c>
      <c r="G313" s="111" t="n">
        <v>-11496</v>
      </c>
      <c r="H313" s="94">
        <f>COUNTIF(C313:G313,"&lt;&gt;0")</f>
        <v/>
      </c>
      <c r="I313" s="94">
        <f>IF(H313=0,"לא מטופל",IF(H313=1,"מטופל - סוכן אחד","מטופל - יותר מסוכן אחד"))</f>
        <v/>
      </c>
    </row>
    <row r="314" ht="15" customHeight="1" s="82">
      <c r="A314" s="94" t="inlineStr">
        <is>
          <t>ס. פארם</t>
        </is>
      </c>
      <c r="B314" s="94" t="inlineStr">
        <is>
          <t>ס.פ ממילא ירושלים תרופות</t>
        </is>
      </c>
      <c r="C314" s="111" t="n">
        <v>0</v>
      </c>
      <c r="D314" s="111" t="n">
        <v>0</v>
      </c>
      <c r="E314" s="111" t="n">
        <v>0</v>
      </c>
      <c r="F314" s="111" t="n">
        <v>0</v>
      </c>
      <c r="G314" s="111" t="n">
        <v>25113.5</v>
      </c>
      <c r="H314" s="94">
        <f>COUNTIF(C314:G314,"&lt;&gt;0")</f>
        <v/>
      </c>
      <c r="I314" s="94">
        <f>IF(H314=0,"לא מטופל",IF(H314=1,"מטופל - סוכן אחד","מטופל - יותר מסוכן אחד"))</f>
        <v/>
      </c>
    </row>
    <row r="315" ht="15" customHeight="1" s="82">
      <c r="A315" s="94" t="inlineStr">
        <is>
          <t>ס. פארם</t>
        </is>
      </c>
      <c r="B315" s="94" t="inlineStr">
        <is>
          <t>ס.פ.בית האומות י-ם תרופות</t>
        </is>
      </c>
      <c r="C315" s="111" t="n">
        <v>0</v>
      </c>
      <c r="D315" s="111" t="n">
        <v>0</v>
      </c>
      <c r="E315" s="111" t="n">
        <v>0</v>
      </c>
      <c r="F315" s="111" t="n">
        <v>0</v>
      </c>
      <c r="G315" s="111" t="n">
        <v>29568.6</v>
      </c>
      <c r="H315" s="94">
        <f>COUNTIF(C315:G315,"&lt;&gt;0")</f>
        <v/>
      </c>
      <c r="I315" s="94">
        <f>IF(H315=0,"לא מטופל",IF(H315=1,"מטופל - סוכן אחד","מטופל - יותר מסוכן אחד"))</f>
        <v/>
      </c>
    </row>
    <row r="316" ht="15" customHeight="1" s="82">
      <c r="A316" s="94" t="inlineStr">
        <is>
          <t>ס. פארם</t>
        </is>
      </c>
      <c r="B316" s="94" t="inlineStr">
        <is>
          <t>ס.פ.ניות ירושלים תרופות</t>
        </is>
      </c>
      <c r="C316" s="111" t="n">
        <v>0</v>
      </c>
      <c r="D316" s="111" t="n">
        <v>0</v>
      </c>
      <c r="E316" s="111" t="n">
        <v>0</v>
      </c>
      <c r="F316" s="111" t="n">
        <v>0</v>
      </c>
      <c r="G316" s="111" t="n">
        <v>34338.5</v>
      </c>
      <c r="H316" s="94">
        <f>COUNTIF(C316:G316,"&lt;&gt;0")</f>
        <v/>
      </c>
      <c r="I316" s="94">
        <f>IF(H316=0,"לא מטופל",IF(H316=1,"מטופל - סוכן אחד","מטופל - יותר מסוכן אחד"))</f>
        <v/>
      </c>
    </row>
    <row r="317" ht="15" customHeight="1" s="82">
      <c r="A317" s="94" t="inlineStr">
        <is>
          <t>ס. פארם</t>
        </is>
      </c>
      <c r="B317" s="94" t="inlineStr">
        <is>
          <t>ס.פ.הדסה ע.כרם י-ם תרופות</t>
        </is>
      </c>
      <c r="C317" s="111" t="n">
        <v>0</v>
      </c>
      <c r="D317" s="111" t="n">
        <v>0</v>
      </c>
      <c r="E317" s="111" t="n">
        <v>0</v>
      </c>
      <c r="F317" s="111" t="n">
        <v>0</v>
      </c>
      <c r="G317" s="111" t="n">
        <v>58715.9</v>
      </c>
      <c r="H317" s="94">
        <f>COUNTIF(C317:G317,"&lt;&gt;0")</f>
        <v/>
      </c>
      <c r="I317" s="94">
        <f>IF(H317=0,"לא מטופל",IF(H317=1,"מטופל - סוכן אחד","מטופל - יותר מסוכן אחד"))</f>
        <v/>
      </c>
    </row>
    <row r="318" ht="15" customHeight="1" s="82">
      <c r="A318" s="94" t="inlineStr">
        <is>
          <t>ס. פארם</t>
        </is>
      </c>
      <c r="B318" s="94" t="inlineStr">
        <is>
          <t>ס.פ.פסגת זאב תרופות</t>
        </is>
      </c>
      <c r="C318" s="111" t="n">
        <v>0</v>
      </c>
      <c r="D318" s="111" t="n">
        <v>0</v>
      </c>
      <c r="E318" s="111" t="n">
        <v>0</v>
      </c>
      <c r="F318" s="111" t="n">
        <v>0</v>
      </c>
      <c r="G318" s="111" t="n">
        <v>21922.2</v>
      </c>
      <c r="H318" s="94">
        <f>COUNTIF(C318:G318,"&lt;&gt;0")</f>
        <v/>
      </c>
      <c r="I318" s="94">
        <f>IF(H318=0,"לא מטופל",IF(H318=1,"מטופל - סוכן אחד","מטופל - יותר מסוכן אחד"))</f>
        <v/>
      </c>
    </row>
    <row r="319" ht="15" customHeight="1" s="82">
      <c r="A319" s="94" t="inlineStr">
        <is>
          <t>ס. פארם</t>
        </is>
      </c>
      <c r="B319" s="94" t="inlineStr">
        <is>
          <t>ס.פ.בית הכרם תרופות</t>
        </is>
      </c>
      <c r="C319" s="111" t="n">
        <v>0</v>
      </c>
      <c r="D319" s="111" t="n">
        <v>0</v>
      </c>
      <c r="E319" s="111" t="n">
        <v>0</v>
      </c>
      <c r="F319" s="111" t="n">
        <v>0</v>
      </c>
      <c r="G319" s="111" t="n">
        <v>21466.2</v>
      </c>
      <c r="H319" s="94">
        <f>COUNTIF(C319:G319,"&lt;&gt;0")</f>
        <v/>
      </c>
      <c r="I319" s="94">
        <f>IF(H319=0,"לא מטופל",IF(H319=1,"מטופל - סוכן אחד","מטופל - יותר מסוכן אחד"))</f>
        <v/>
      </c>
    </row>
    <row r="320" ht="15" customHeight="1" s="82">
      <c r="A320" s="94" t="inlineStr">
        <is>
          <t>ס. פארם</t>
        </is>
      </c>
      <c r="B320" s="94" t="inlineStr">
        <is>
          <t>ס.פ.רמות ירושלים תרופות</t>
        </is>
      </c>
      <c r="C320" s="111" t="n">
        <v>0</v>
      </c>
      <c r="D320" s="111" t="n">
        <v>0</v>
      </c>
      <c r="E320" s="111" t="n">
        <v>0</v>
      </c>
      <c r="F320" s="111" t="n">
        <v>0</v>
      </c>
      <c r="G320" s="111" t="n">
        <v>46195.1</v>
      </c>
      <c r="H320" s="94">
        <f>COUNTIF(C320:G320,"&lt;&gt;0")</f>
        <v/>
      </c>
      <c r="I320" s="94">
        <f>IF(H320=0,"לא מטופל",IF(H320=1,"מטופל - סוכן אחד","מטופל - יותר מסוכן אחד"))</f>
        <v/>
      </c>
    </row>
    <row r="321" ht="15" customHeight="1" s="82">
      <c r="A321" s="94" t="inlineStr">
        <is>
          <t>ס. פארם</t>
        </is>
      </c>
      <c r="B321" s="94" t="inlineStr">
        <is>
          <t>ס.פ.מלחה תרופות</t>
        </is>
      </c>
      <c r="C321" s="111" t="n">
        <v>0</v>
      </c>
      <c r="D321" s="111" t="n">
        <v>0</v>
      </c>
      <c r="E321" s="111" t="n">
        <v>0</v>
      </c>
      <c r="F321" s="111" t="n">
        <v>0</v>
      </c>
      <c r="G321" s="111" t="n">
        <v>43263.9</v>
      </c>
      <c r="H321" s="94">
        <f>COUNTIF(C321:G321,"&lt;&gt;0")</f>
        <v/>
      </c>
      <c r="I321" s="94">
        <f>IF(H321=0,"לא מטופל",IF(H321=1,"מטופל - סוכן אחד","מטופל - יותר מסוכן אחד"))</f>
        <v/>
      </c>
    </row>
    <row r="322" ht="15" customHeight="1" s="82">
      <c r="A322" s="94" t="inlineStr">
        <is>
          <t>ס. פארם</t>
        </is>
      </c>
      <c r="B322" s="94" t="inlineStr">
        <is>
          <t>ס.פ.מעלה אדומים תרופות</t>
        </is>
      </c>
      <c r="C322" s="111" t="n">
        <v>0</v>
      </c>
      <c r="D322" s="111" t="n">
        <v>0</v>
      </c>
      <c r="E322" s="111" t="n">
        <v>0</v>
      </c>
      <c r="F322" s="111" t="n">
        <v>0</v>
      </c>
      <c r="G322" s="111" t="n">
        <v>24810.2</v>
      </c>
      <c r="H322" s="94">
        <f>COUNTIF(C322:G322,"&lt;&gt;0")</f>
        <v/>
      </c>
      <c r="I322" s="94">
        <f>IF(H322=0,"לא מטופל",IF(H322=1,"מטופל - סוכן אחד","מטופל - יותר מסוכן אחד"))</f>
        <v/>
      </c>
    </row>
    <row r="323" ht="15" customHeight="1" s="82">
      <c r="A323" s="94" t="inlineStr">
        <is>
          <t>ס. פארם</t>
        </is>
      </c>
      <c r="B323" s="94" t="inlineStr">
        <is>
          <t>ס.פ ביג בית שמש תרופות</t>
        </is>
      </c>
      <c r="C323" s="111" t="n">
        <v>0</v>
      </c>
      <c r="D323" s="111" t="n">
        <v>0</v>
      </c>
      <c r="E323" s="111" t="n">
        <v>0</v>
      </c>
      <c r="F323" s="111" t="n">
        <v>0</v>
      </c>
      <c r="G323" s="111" t="n">
        <v>34904.3</v>
      </c>
      <c r="H323" s="94">
        <f>COUNTIF(C323:G323,"&lt;&gt;0")</f>
        <v/>
      </c>
      <c r="I323" s="94">
        <f>IF(H323=0,"לא מטופל",IF(H323=1,"מטופל - סוכן אחד","מטופל - יותר מסוכן אחד"))</f>
        <v/>
      </c>
    </row>
    <row r="324" ht="15" customHeight="1" s="82">
      <c r="A324" s="94" t="inlineStr">
        <is>
          <t>ס. פארם</t>
        </is>
      </c>
      <c r="B324" s="94" t="inlineStr">
        <is>
          <t>ס.פ.קניון בית שמש תרופות</t>
        </is>
      </c>
      <c r="C324" s="111" t="n">
        <v>0</v>
      </c>
      <c r="D324" s="111" t="n">
        <v>0</v>
      </c>
      <c r="E324" s="111" t="n">
        <v>0</v>
      </c>
      <c r="F324" s="111" t="n">
        <v>0</v>
      </c>
      <c r="G324" s="111" t="n">
        <v>21004.5</v>
      </c>
      <c r="H324" s="94">
        <f>COUNTIF(C324:G324,"&lt;&gt;0")</f>
        <v/>
      </c>
      <c r="I324" s="94">
        <f>IF(H324=0,"לא מטופל",IF(H324=1,"מטופל - סוכן אחד","מטופל - יותר מסוכן אחד"))</f>
        <v/>
      </c>
    </row>
    <row r="325" ht="15" customHeight="1" s="82">
      <c r="A325" s="94" t="inlineStr">
        <is>
          <t>ס. פארם</t>
        </is>
      </c>
      <c r="B325" s="94" t="inlineStr">
        <is>
          <t>ס.פ.גבעת שאול תרופות</t>
        </is>
      </c>
      <c r="C325" s="111" t="n">
        <v>0</v>
      </c>
      <c r="D325" s="111" t="n">
        <v>0</v>
      </c>
      <c r="E325" s="111" t="n">
        <v>0</v>
      </c>
      <c r="F325" s="111" t="n">
        <v>0</v>
      </c>
      <c r="G325" s="111" t="n">
        <v>17276.1</v>
      </c>
      <c r="H325" s="94">
        <f>COUNTIF(C325:G325,"&lt;&gt;0")</f>
        <v/>
      </c>
      <c r="I325" s="94">
        <f>IF(H325=0,"לא מטופל",IF(H325=1,"מטופל - סוכן אחד","מטופל - יותר מסוכן אחד"))</f>
        <v/>
      </c>
    </row>
    <row r="326" ht="15" customHeight="1" s="82">
      <c r="A326" s="94" t="inlineStr">
        <is>
          <t>ס. פארם</t>
        </is>
      </c>
      <c r="B326" s="94" t="inlineStr">
        <is>
          <t>ס.פ.תחנה י-ם תרופות</t>
        </is>
      </c>
      <c r="C326" s="111" t="n">
        <v>0</v>
      </c>
      <c r="D326" s="111" t="n">
        <v>0</v>
      </c>
      <c r="E326" s="111" t="n">
        <v>0</v>
      </c>
      <c r="F326" s="111" t="n">
        <v>0</v>
      </c>
      <c r="G326" s="111" t="n">
        <v>22643</v>
      </c>
      <c r="H326" s="94">
        <f>COUNTIF(C326:G326,"&lt;&gt;0")</f>
        <v/>
      </c>
      <c r="I326" s="94">
        <f>IF(H326=0,"לא מטופל",IF(H326=1,"מטופל - סוכן אחד","מטופל - יותר מסוכן אחד"))</f>
        <v/>
      </c>
    </row>
    <row r="327" ht="15" customHeight="1" s="82">
      <c r="A327" s="94" t="inlineStr">
        <is>
          <t>ס. פארם</t>
        </is>
      </c>
      <c r="B327" s="94" t="inlineStr">
        <is>
          <t>ס.פ.תלפיות תרופות י-ם</t>
        </is>
      </c>
      <c r="C327" s="111" t="n">
        <v>0</v>
      </c>
      <c r="D327" s="111" t="n">
        <v>0</v>
      </c>
      <c r="E327" s="111" t="n">
        <v>0</v>
      </c>
      <c r="F327" s="111" t="n">
        <v>0</v>
      </c>
      <c r="G327" s="111" t="n">
        <v>38153.7</v>
      </c>
      <c r="H327" s="94">
        <f>COUNTIF(C327:G327,"&lt;&gt;0")</f>
        <v/>
      </c>
      <c r="I327" s="94">
        <f>IF(H327=0,"לא מטופל",IF(H327=1,"מטופל - סוכן אחד","מטופל - יותר מסוכן אחד"))</f>
        <v/>
      </c>
    </row>
    <row r="328" ht="15" customHeight="1" s="82">
      <c r="A328" s="94" t="inlineStr">
        <is>
          <t>ס. פארם</t>
        </is>
      </c>
      <c r="B328" s="94" t="inlineStr">
        <is>
          <t>ס.פ.מודיעין שמשוני תרופות</t>
        </is>
      </c>
      <c r="C328" s="111" t="n">
        <v>0</v>
      </c>
      <c r="D328" s="111" t="n">
        <v>0</v>
      </c>
      <c r="E328" s="111" t="n">
        <v>0</v>
      </c>
      <c r="F328" s="111" t="n">
        <v>0</v>
      </c>
      <c r="G328" s="111" t="n">
        <v>30162.8</v>
      </c>
      <c r="H328" s="94">
        <f>COUNTIF(C328:G328,"&lt;&gt;0")</f>
        <v/>
      </c>
      <c r="I328" s="94">
        <f>IF(H328=0,"לא מטופל",IF(H328=1,"מטופל - סוכן אחד","מטופל - יותר מסוכן אחד"))</f>
        <v/>
      </c>
    </row>
    <row r="329" ht="15" customHeight="1" s="82">
      <c r="A329" s="94" t="inlineStr">
        <is>
          <t>ס. פארם</t>
        </is>
      </c>
      <c r="B329" s="94" t="inlineStr">
        <is>
          <t>ס.פ.ישפרו מודיעין תרופות</t>
        </is>
      </c>
      <c r="C329" s="111" t="n">
        <v>0</v>
      </c>
      <c r="D329" s="111" t="n">
        <v>0</v>
      </c>
      <c r="E329" s="111" t="n">
        <v>0</v>
      </c>
      <c r="F329" s="111" t="n">
        <v>0</v>
      </c>
      <c r="G329" s="111" t="n">
        <v>48886.8</v>
      </c>
      <c r="H329" s="94">
        <f>COUNTIF(C329:G329,"&lt;&gt;0")</f>
        <v/>
      </c>
      <c r="I329" s="94">
        <f>IF(H329=0,"לא מטופל",IF(H329=1,"מטופל - סוכן אחד","מטופל - יותר מסוכן אחד"))</f>
        <v/>
      </c>
    </row>
    <row r="330" ht="15" customHeight="1" s="82">
      <c r="A330" s="94" t="inlineStr">
        <is>
          <t>ס. פארם</t>
        </is>
      </c>
      <c r="B330" s="94" t="inlineStr">
        <is>
          <t>ס.פ.קניון מודיעין תרופות</t>
        </is>
      </c>
      <c r="C330" s="111" t="n">
        <v>0</v>
      </c>
      <c r="D330" s="111" t="n">
        <v>0</v>
      </c>
      <c r="E330" s="111" t="n">
        <v>0</v>
      </c>
      <c r="F330" s="111" t="n">
        <v>0</v>
      </c>
      <c r="G330" s="111" t="n">
        <v>46590.9</v>
      </c>
      <c r="H330" s="94">
        <f>COUNTIF(C330:G330,"&lt;&gt;0")</f>
        <v/>
      </c>
      <c r="I330" s="94">
        <f>IF(H330=0,"לא מטופל",IF(H330=1,"מטופל - סוכן אחד","מטופל - יותר מסוכן אחד"))</f>
        <v/>
      </c>
    </row>
    <row r="331" ht="15" customHeight="1" s="82">
      <c r="A331" s="94" t="inlineStr">
        <is>
          <t>ס. פארם</t>
        </is>
      </c>
      <c r="B331" s="94" t="inlineStr">
        <is>
          <t>ס.פ.מזכרת בתיה תרופות</t>
        </is>
      </c>
      <c r="C331" s="111" t="n">
        <v>0</v>
      </c>
      <c r="D331" s="111" t="n">
        <v>0</v>
      </c>
      <c r="E331" s="111" t="n">
        <v>0</v>
      </c>
      <c r="F331" s="111" t="n">
        <v>0</v>
      </c>
      <c r="G331" s="111" t="n">
        <v>14876.1</v>
      </c>
      <c r="H331" s="94">
        <f>COUNTIF(C331:G331,"&lt;&gt;0")</f>
        <v/>
      </c>
      <c r="I331" s="94">
        <f>IF(H331=0,"לא מטופל",IF(H331=1,"מטופל - סוכן אחד","מטופל - יותר מסוכן אחד"))</f>
        <v/>
      </c>
    </row>
    <row r="332" ht="15" customHeight="1" s="82">
      <c r="A332" s="94" t="inlineStr">
        <is>
          <t>ס. פארם</t>
        </is>
      </c>
      <c r="B332" s="94" t="inlineStr">
        <is>
          <t>ס.פ.בילו סנטר תרופות</t>
        </is>
      </c>
      <c r="C332" s="111" t="n">
        <v>0</v>
      </c>
      <c r="D332" s="111" t="n">
        <v>0</v>
      </c>
      <c r="E332" s="111" t="n">
        <v>0</v>
      </c>
      <c r="F332" s="111" t="n">
        <v>0</v>
      </c>
      <c r="G332" s="111" t="n">
        <v>28259.9</v>
      </c>
      <c r="H332" s="94">
        <f>COUNTIF(C332:G332,"&lt;&gt;0")</f>
        <v/>
      </c>
      <c r="I332" s="94">
        <f>IF(H332=0,"לא מטופל",IF(H332=1,"מטופל - סוכן אחד","מטופל - יותר מסוכן אחד"))</f>
        <v/>
      </c>
    </row>
    <row r="333" ht="15" customHeight="1" s="82">
      <c r="A333" s="94" t="inlineStr">
        <is>
          <t>ס. פארם</t>
        </is>
      </c>
      <c r="B333" s="94" t="inlineStr">
        <is>
          <t>ס.פ.כיכר דיזנגוף תרופות</t>
        </is>
      </c>
      <c r="C333" s="111" t="n">
        <v>15642.4</v>
      </c>
      <c r="D333" s="111" t="n">
        <v>0</v>
      </c>
      <c r="E333" s="111" t="n">
        <v>0</v>
      </c>
      <c r="F333" s="111" t="n">
        <v>0</v>
      </c>
      <c r="G333" s="111" t="n">
        <v>0</v>
      </c>
      <c r="H333" s="94">
        <f>COUNTIF(C333:G333,"&lt;&gt;0")</f>
        <v/>
      </c>
      <c r="I333" s="94">
        <f>IF(H333=0,"לא מטופל",IF(H333=1,"מטופל - סוכן אחד","מטופל - יותר מסוכן אחד"))</f>
        <v/>
      </c>
    </row>
    <row r="334" ht="15" customHeight="1" s="82">
      <c r="A334" s="94" t="inlineStr">
        <is>
          <t>ס. פארם</t>
        </is>
      </c>
      <c r="B334" s="94" t="inlineStr">
        <is>
          <t>ס.פ.גאלרי כיכר ציון ירושלים</t>
        </is>
      </c>
      <c r="C334" s="111" t="n">
        <v>0</v>
      </c>
      <c r="D334" s="111" t="n">
        <v>0</v>
      </c>
      <c r="E334" s="111" t="n">
        <v>0</v>
      </c>
      <c r="F334" s="111" t="n">
        <v>0</v>
      </c>
      <c r="G334" s="111" t="n">
        <v>50039.5</v>
      </c>
      <c r="H334" s="94">
        <f>COUNTIF(C334:G334,"&lt;&gt;0")</f>
        <v/>
      </c>
      <c r="I334" s="94">
        <f>IF(H334=0,"לא מטופל",IF(H334=1,"מטופל - סוכן אחד","מטופל - יותר מסוכן אחד"))</f>
        <v/>
      </c>
    </row>
    <row r="335" ht="15" customHeight="1" s="82">
      <c r="A335" s="94" t="inlineStr">
        <is>
          <t>ס. פארם</t>
        </is>
      </c>
      <c r="B335" s="94" t="inlineStr">
        <is>
          <t>ס.פ.חולון שנקר תרופות</t>
        </is>
      </c>
      <c r="C335" s="111" t="n">
        <v>0</v>
      </c>
      <c r="D335" s="111" t="n">
        <v>0</v>
      </c>
      <c r="E335" s="111" t="n">
        <v>4956.6</v>
      </c>
      <c r="F335" s="111" t="n">
        <v>0</v>
      </c>
      <c r="G335" s="111" t="n">
        <v>0</v>
      </c>
      <c r="H335" s="94">
        <f>COUNTIF(C335:G335,"&lt;&gt;0")</f>
        <v/>
      </c>
      <c r="I335" s="94">
        <f>IF(H335=0,"לא מטופל",IF(H335=1,"מטופל - סוכן אחד","מטופל - יותר מסוכן אחד"))</f>
        <v/>
      </c>
    </row>
    <row r="336" ht="15" customHeight="1" s="82">
      <c r="A336" s="94" t="inlineStr">
        <is>
          <t>ס. פארם</t>
        </is>
      </c>
      <c r="B336" s="94" t="inlineStr">
        <is>
          <t>ס.פ.ארלוזורוב תרופות</t>
        </is>
      </c>
      <c r="C336" s="111" t="n">
        <v>10308</v>
      </c>
      <c r="D336" s="111" t="n">
        <v>0</v>
      </c>
      <c r="E336" s="111" t="n">
        <v>0</v>
      </c>
      <c r="F336" s="111" t="n">
        <v>0</v>
      </c>
      <c r="G336" s="111" t="n">
        <v>0</v>
      </c>
      <c r="H336" s="94">
        <f>COUNTIF(C336:G336,"&lt;&gt;0")</f>
        <v/>
      </c>
      <c r="I336" s="94">
        <f>IF(H336=0,"לא מטופל",IF(H336=1,"מטופל - סוכן אחד","מטופל - יותר מסוכן אחד"))</f>
        <v/>
      </c>
    </row>
    <row r="337" ht="15" customHeight="1" s="82">
      <c r="A337" s="94" t="inlineStr">
        <is>
          <t>ס. פארם</t>
        </is>
      </c>
      <c r="B337" s="94" t="inlineStr">
        <is>
          <t>ס.פ.כפר סבא הירוקה תרופות</t>
        </is>
      </c>
      <c r="C337" s="111" t="n">
        <v>14927.9</v>
      </c>
      <c r="D337" s="111" t="n">
        <v>0</v>
      </c>
      <c r="E337" s="111" t="n">
        <v>0</v>
      </c>
      <c r="F337" s="111" t="n">
        <v>0</v>
      </c>
      <c r="G337" s="111" t="n">
        <v>0</v>
      </c>
      <c r="H337" s="94">
        <f>COUNTIF(C337:G337,"&lt;&gt;0")</f>
        <v/>
      </c>
      <c r="I337" s="94">
        <f>IF(H337=0,"לא מטופל",IF(H337=1,"מטופל - סוכן אחד","מטופל - יותר מסוכן אחד"))</f>
        <v/>
      </c>
    </row>
    <row r="338" ht="15" customHeight="1" s="82">
      <c r="A338" s="94" t="inlineStr">
        <is>
          <t>ס. פארם</t>
        </is>
      </c>
      <c r="B338" s="94" t="inlineStr">
        <is>
          <t>ס.פ. רמת הנשיא חיפה תרופות</t>
        </is>
      </c>
      <c r="C338" s="111" t="n">
        <v>0</v>
      </c>
      <c r="D338" s="111" t="n">
        <v>11174.6</v>
      </c>
      <c r="E338" s="111" t="n">
        <v>0</v>
      </c>
      <c r="F338" s="111" t="n">
        <v>0</v>
      </c>
      <c r="G338" s="111" t="n">
        <v>0</v>
      </c>
      <c r="H338" s="94">
        <f>COUNTIF(C338:G338,"&lt;&gt;0")</f>
        <v/>
      </c>
      <c r="I338" s="94">
        <f>IF(H338=0,"לא מטופל",IF(H338=1,"מטופל - סוכן אחד","מטופל - יותר מסוכן אחד"))</f>
        <v/>
      </c>
    </row>
    <row r="339" ht="15" customHeight="1" s="82">
      <c r="A339" s="94" t="inlineStr">
        <is>
          <t>ס. פארם</t>
        </is>
      </c>
      <c r="B339" s="94" t="inlineStr">
        <is>
          <t>ס.פ. טירת הכרמל  תרופות</t>
        </is>
      </c>
      <c r="C339" s="111" t="n">
        <v>0</v>
      </c>
      <c r="D339" s="111" t="n">
        <v>8633.700000000001</v>
      </c>
      <c r="E339" s="111" t="n">
        <v>0</v>
      </c>
      <c r="F339" s="111" t="n">
        <v>0</v>
      </c>
      <c r="G339" s="111" t="n">
        <v>0</v>
      </c>
      <c r="H339" s="94">
        <f>COUNTIF(C339:G339,"&lt;&gt;0")</f>
        <v/>
      </c>
      <c r="I339" s="94">
        <f>IF(H339=0,"לא מטופל",IF(H339=1,"מטופל - סוכן אחד","מטופל - יותר מסוכן אחד"))</f>
        <v/>
      </c>
    </row>
    <row r="340" ht="15" customHeight="1" s="82">
      <c r="A340" s="94" t="inlineStr">
        <is>
          <t>ס. פארם</t>
        </is>
      </c>
      <c r="B340" s="94" t="inlineStr">
        <is>
          <t>ס.פ. שער צפון קרית אתא תרופות</t>
        </is>
      </c>
      <c r="C340" s="111" t="n">
        <v>0</v>
      </c>
      <c r="D340" s="111" t="n">
        <v>5607.1</v>
      </c>
      <c r="E340" s="111" t="n">
        <v>0</v>
      </c>
      <c r="F340" s="111" t="n">
        <v>0</v>
      </c>
      <c r="G340" s="111" t="n">
        <v>0</v>
      </c>
      <c r="H340" s="94">
        <f>COUNTIF(C340:G340,"&lt;&gt;0")</f>
        <v/>
      </c>
      <c r="I340" s="94">
        <f>IF(H340=0,"לא מטופל",IF(H340=1,"מטופל - סוכן אחד","מטופל - יותר מסוכן אחד"))</f>
        <v/>
      </c>
    </row>
    <row r="341" ht="15" customHeight="1" s="82">
      <c r="A341" s="94" t="inlineStr">
        <is>
          <t>ס. פארם</t>
        </is>
      </c>
      <c r="B341" s="94" t="inlineStr">
        <is>
          <t>ס.פ.בית הבד תרופות הוד השרון</t>
        </is>
      </c>
      <c r="C341" s="111" t="n">
        <v>10688.9</v>
      </c>
      <c r="D341" s="111" t="n">
        <v>0</v>
      </c>
      <c r="E341" s="111" t="n">
        <v>0</v>
      </c>
      <c r="F341" s="111" t="n">
        <v>0</v>
      </c>
      <c r="G341" s="111" t="n">
        <v>0</v>
      </c>
      <c r="H341" s="94">
        <f>COUNTIF(C341:G341,"&lt;&gt;0")</f>
        <v/>
      </c>
      <c r="I341" s="94">
        <f>IF(H341=0,"לא מטופל",IF(H341=1,"מטופל - סוכן אחד","מטופל - יותר מסוכן אחד"))</f>
        <v/>
      </c>
    </row>
    <row r="342" ht="15" customHeight="1" s="82">
      <c r="A342" s="94" t="inlineStr">
        <is>
          <t>ס. פארם</t>
        </is>
      </c>
      <c r="B342" s="94" t="inlineStr">
        <is>
          <t>ס.פ. שבזי ראש העין תרופות</t>
        </is>
      </c>
      <c r="C342" s="111" t="n">
        <v>0</v>
      </c>
      <c r="D342" s="111" t="n">
        <v>0</v>
      </c>
      <c r="E342" s="111" t="n">
        <v>21464.1</v>
      </c>
      <c r="F342" s="111" t="n">
        <v>0</v>
      </c>
      <c r="G342" s="111" t="n">
        <v>0</v>
      </c>
      <c r="H342" s="94">
        <f>COUNTIF(C342:G342,"&lt;&gt;0")</f>
        <v/>
      </c>
      <c r="I342" s="94">
        <f>IF(H342=0,"לא מטופל",IF(H342=1,"מטופל - סוכן אחד","מטופל - יותר מסוכן אחד"))</f>
        <v/>
      </c>
    </row>
    <row r="343" ht="15" customHeight="1" s="82">
      <c r="A343" s="94" t="inlineStr">
        <is>
          <t>ס. פארם</t>
        </is>
      </c>
      <c r="B343" s="94" t="inlineStr">
        <is>
          <t>ס.פ.אגמים נתניה תרופות</t>
        </is>
      </c>
      <c r="C343" s="111" t="n">
        <v>13338.6</v>
      </c>
      <c r="D343" s="111" t="n">
        <v>0</v>
      </c>
      <c r="E343" s="111" t="n">
        <v>0</v>
      </c>
      <c r="F343" s="111" t="n">
        <v>0</v>
      </c>
      <c r="G343" s="111" t="n">
        <v>0</v>
      </c>
      <c r="H343" s="94">
        <f>COUNTIF(C343:G343,"&lt;&gt;0")</f>
        <v/>
      </c>
      <c r="I343" s="94">
        <f>IF(H343=0,"לא מטופל",IF(H343=1,"מטופל - סוכן אחד","מטופל - יותר מסוכן אחד"))</f>
        <v/>
      </c>
    </row>
    <row r="344" ht="15" customHeight="1" s="82">
      <c r="A344" s="94" t="inlineStr">
        <is>
          <t>ס. פארם</t>
        </is>
      </c>
      <c r="B344" s="94" t="inlineStr">
        <is>
          <t>ס.פ. קרית חיים תרופות</t>
        </is>
      </c>
      <c r="C344" s="111" t="n">
        <v>0</v>
      </c>
      <c r="D344" s="111" t="n">
        <v>11554.3</v>
      </c>
      <c r="E344" s="111" t="n">
        <v>0</v>
      </c>
      <c r="F344" s="111" t="n">
        <v>0</v>
      </c>
      <c r="G344" s="111" t="n">
        <v>0</v>
      </c>
      <c r="H344" s="94">
        <f>COUNTIF(C344:G344,"&lt;&gt;0")</f>
        <v/>
      </c>
      <c r="I344" s="94">
        <f>IF(H344=0,"לא מטופל",IF(H344=1,"מטופל - סוכן אחד","מטופל - יותר מסוכן אחד"))</f>
        <v/>
      </c>
    </row>
    <row r="345" ht="15" customHeight="1" s="82">
      <c r="A345" s="94" t="inlineStr">
        <is>
          <t>ס. פארם</t>
        </is>
      </c>
      <c r="B345" s="94" t="inlineStr">
        <is>
          <t>ס.פ.רחובות החדשה תרופות</t>
        </is>
      </c>
      <c r="C345" s="111" t="n">
        <v>0</v>
      </c>
      <c r="D345" s="111" t="n">
        <v>0</v>
      </c>
      <c r="E345" s="111" t="n">
        <v>0</v>
      </c>
      <c r="F345" s="111" t="n">
        <v>0</v>
      </c>
      <c r="G345" s="111" t="n">
        <v>13052.3</v>
      </c>
      <c r="H345" s="94">
        <f>COUNTIF(C345:G345,"&lt;&gt;0")</f>
        <v/>
      </c>
      <c r="I345" s="94">
        <f>IF(H345=0,"לא מטופל",IF(H345=1,"מטופל - סוכן אחד","מטופל - יותר מסוכן אחד"))</f>
        <v/>
      </c>
    </row>
    <row r="346" ht="15" customHeight="1" s="82">
      <c r="A346" s="94" t="inlineStr">
        <is>
          <t>ס. פארם</t>
        </is>
      </c>
      <c r="B346" s="94" t="inlineStr">
        <is>
          <t>ס.פ.צייטלין ת""א תרופות</t>
        </is>
      </c>
      <c r="C346" s="111" t="n">
        <v>4912.1</v>
      </c>
      <c r="D346" s="111" t="n">
        <v>0</v>
      </c>
      <c r="E346" s="111" t="n">
        <v>0</v>
      </c>
      <c r="F346" s="111" t="n">
        <v>0</v>
      </c>
      <c r="G346" s="111" t="n">
        <v>0</v>
      </c>
      <c r="H346" s="94">
        <f>COUNTIF(C346:G346,"&lt;&gt;0")</f>
        <v/>
      </c>
      <c r="I346" s="94">
        <f>IF(H346=0,"לא מטופל",IF(H346=1,"מטופל - סוכן אחד","מטופל - יותר מסוכן אחד"))</f>
        <v/>
      </c>
    </row>
    <row r="347" ht="15" customHeight="1" s="82">
      <c r="A347" s="94" t="inlineStr">
        <is>
          <t>ס. פארם</t>
        </is>
      </c>
      <c r="B347" s="94" t="inlineStr">
        <is>
          <t>ס.פ.שרונה ת""א תרופות</t>
        </is>
      </c>
      <c r="C347" s="111" t="n">
        <v>9085.700000000001</v>
      </c>
      <c r="D347" s="111" t="n">
        <v>0</v>
      </c>
      <c r="E347" s="111" t="n">
        <v>0</v>
      </c>
      <c r="F347" s="111" t="n">
        <v>0</v>
      </c>
      <c r="G347" s="111" t="n">
        <v>0</v>
      </c>
      <c r="H347" s="94">
        <f>COUNTIF(C347:G347,"&lt;&gt;0")</f>
        <v/>
      </c>
      <c r="I347" s="94">
        <f>IF(H347=0,"לא מטופל",IF(H347=1,"מטופל - סוכן אחד","מטופל - יותר מסוכן אחד"))</f>
        <v/>
      </c>
    </row>
    <row r="348" ht="15" customHeight="1" s="82">
      <c r="A348" s="94" t="inlineStr">
        <is>
          <t>ס. פארם</t>
        </is>
      </c>
      <c r="B348" s="94" t="inlineStr">
        <is>
          <t>תרופות ת""א TLV ס.פ.קניון</t>
        </is>
      </c>
      <c r="C348" s="111" t="n">
        <v>14184.4</v>
      </c>
      <c r="D348" s="111" t="n">
        <v>0</v>
      </c>
      <c r="E348" s="111" t="n">
        <v>0</v>
      </c>
      <c r="F348" s="111" t="n">
        <v>0</v>
      </c>
      <c r="G348" s="111" t="n">
        <v>0</v>
      </c>
      <c r="H348" s="94">
        <f>COUNTIF(C348:G348,"&lt;&gt;0")</f>
        <v/>
      </c>
      <c r="I348" s="94">
        <f>IF(H348=0,"לא מטופל",IF(H348=1,"מטופל - סוכן אחד","מטופל - יותר מסוכן אחד"))</f>
        <v/>
      </c>
    </row>
    <row r="349" ht="15" customHeight="1" s="82">
      <c r="A349" s="94" t="inlineStr">
        <is>
          <t>ס. פארם</t>
        </is>
      </c>
      <c r="B349" s="94" t="inlineStr">
        <is>
          <t>ס.פ.נופי ים ת""א תרופות</t>
        </is>
      </c>
      <c r="C349" s="111" t="n">
        <v>11984.1</v>
      </c>
      <c r="D349" s="111" t="n">
        <v>0</v>
      </c>
      <c r="E349" s="111" t="n">
        <v>0</v>
      </c>
      <c r="F349" s="111" t="n">
        <v>0</v>
      </c>
      <c r="G349" s="111" t="n">
        <v>0</v>
      </c>
      <c r="H349" s="94">
        <f>COUNTIF(C349:G349,"&lt;&gt;0")</f>
        <v/>
      </c>
      <c r="I349" s="94">
        <f>IF(H349=0,"לא מטופל",IF(H349=1,"מטופל - סוכן אחד","מטופל - יותר מסוכן אחד"))</f>
        <v/>
      </c>
    </row>
    <row r="350" ht="15" customHeight="1" s="82">
      <c r="A350" s="94" t="inlineStr">
        <is>
          <t>ס. פארם</t>
        </is>
      </c>
      <c r="B350" s="94" t="inlineStr">
        <is>
          <t>ס.פ.ביג פאשן אשדוד תרופות</t>
        </is>
      </c>
      <c r="C350" s="111" t="n">
        <v>0</v>
      </c>
      <c r="D350" s="111" t="n">
        <v>0</v>
      </c>
      <c r="E350" s="111" t="n">
        <v>0</v>
      </c>
      <c r="F350" s="111" t="n">
        <v>0</v>
      </c>
      <c r="G350" s="111" t="n">
        <v>25613.2</v>
      </c>
      <c r="H350" s="94">
        <f>COUNTIF(C350:G350,"&lt;&gt;0")</f>
        <v/>
      </c>
      <c r="I350" s="94">
        <f>IF(H350=0,"לא מטופל",IF(H350=1,"מטופל - סוכן אחד","מטופל - יותר מסוכן אחד"))</f>
        <v/>
      </c>
    </row>
    <row r="351" ht="15" customHeight="1" s="82">
      <c r="A351" s="94" t="inlineStr">
        <is>
          <t>ס. פארם</t>
        </is>
      </c>
      <c r="B351" s="94" t="inlineStr">
        <is>
          <t>ס.פ. גן יבנה תרופות</t>
        </is>
      </c>
      <c r="C351" s="111" t="n">
        <v>0</v>
      </c>
      <c r="D351" s="111" t="n">
        <v>0</v>
      </c>
      <c r="E351" s="111" t="n">
        <v>14525.9</v>
      </c>
      <c r="F351" s="111" t="n">
        <v>0</v>
      </c>
      <c r="G351" s="111" t="n">
        <v>0</v>
      </c>
      <c r="H351" s="94">
        <f>COUNTIF(C351:G351,"&lt;&gt;0")</f>
        <v/>
      </c>
      <c r="I351" s="94">
        <f>IF(H351=0,"לא מטופל",IF(H351=1,"מטופל - סוכן אחד","מטופל - יותר מסוכן אחד"))</f>
        <v/>
      </c>
    </row>
    <row r="352" ht="15" customHeight="1" s="82">
      <c r="A352" s="94" t="inlineStr">
        <is>
          <t>ס. פארם</t>
        </is>
      </c>
      <c r="B352" s="94" t="inlineStr">
        <is>
          <t>ס.פ. הקישון יבנה תרופות</t>
        </is>
      </c>
      <c r="C352" s="111" t="n">
        <v>0</v>
      </c>
      <c r="D352" s="111" t="n">
        <v>0</v>
      </c>
      <c r="E352" s="111" t="n">
        <v>16485.4</v>
      </c>
      <c r="F352" s="111" t="n">
        <v>0</v>
      </c>
      <c r="G352" s="111" t="n">
        <v>0</v>
      </c>
      <c r="H352" s="94">
        <f>COUNTIF(C352:G352,"&lt;&gt;0")</f>
        <v/>
      </c>
      <c r="I352" s="94">
        <f>IF(H352=0,"לא מטופל",IF(H352=1,"מטופל - סוכן אחד","מטופל - יותר מסוכן אחד"))</f>
        <v/>
      </c>
    </row>
    <row r="353" ht="15" customHeight="1" s="82">
      <c r="A353" s="94" t="inlineStr">
        <is>
          <t>ס. פארם</t>
        </is>
      </c>
      <c r="B353" s="94" t="inlineStr">
        <is>
          <t>ס.פ. יבנה הירוקה תרופות</t>
        </is>
      </c>
      <c r="C353" s="111" t="n">
        <v>0</v>
      </c>
      <c r="D353" s="111" t="n">
        <v>0</v>
      </c>
      <c r="E353" s="111" t="n">
        <v>13177.5</v>
      </c>
      <c r="F353" s="111" t="n">
        <v>0</v>
      </c>
      <c r="G353" s="111" t="n">
        <v>0</v>
      </c>
      <c r="H353" s="94">
        <f>COUNTIF(C353:G353,"&lt;&gt;0")</f>
        <v/>
      </c>
      <c r="I353" s="94">
        <f>IF(H353=0,"לא מטופל",IF(H353=1,"מטופל - סוכן אחד","מטופל - יותר מסוכן אחד"))</f>
        <v/>
      </c>
    </row>
    <row r="354" ht="15" customHeight="1" s="82">
      <c r="A354" s="94" t="inlineStr">
        <is>
          <t>ס. פארם</t>
        </is>
      </c>
      <c r="B354" s="94" t="inlineStr">
        <is>
          <t>ס.פ.חוצות אשקלון</t>
        </is>
      </c>
      <c r="C354" s="111" t="n">
        <v>0</v>
      </c>
      <c r="D354" s="111" t="n">
        <v>0</v>
      </c>
      <c r="E354" s="111" t="n">
        <v>0</v>
      </c>
      <c r="F354" s="111" t="n">
        <v>0</v>
      </c>
      <c r="G354" s="111" t="n">
        <v>7482.8</v>
      </c>
      <c r="H354" s="94">
        <f>COUNTIF(C354:G354,"&lt;&gt;0")</f>
        <v/>
      </c>
      <c r="I354" s="94">
        <f>IF(H354=0,"לא מטופל",IF(H354=1,"מטופל - סוכן אחד","מטופל - יותר מסוכן אחד"))</f>
        <v/>
      </c>
    </row>
    <row r="355" ht="15" customHeight="1" s="82">
      <c r="A355" s="94" t="inlineStr">
        <is>
          <t>ס. פארם</t>
        </is>
      </c>
      <c r="B355" s="94" t="inlineStr">
        <is>
          <t>ס.פ.רמות רכס תרופות</t>
        </is>
      </c>
      <c r="C355" s="111" t="n">
        <v>0</v>
      </c>
      <c r="D355" s="111" t="n">
        <v>0</v>
      </c>
      <c r="E355" s="111" t="n">
        <v>12729.5</v>
      </c>
      <c r="F355" s="111" t="n">
        <v>0</v>
      </c>
      <c r="G355" s="111" t="n">
        <v>0</v>
      </c>
      <c r="H355" s="94">
        <f>COUNTIF(C355:G355,"&lt;&gt;0")</f>
        <v/>
      </c>
      <c r="I355" s="94">
        <f>IF(H355=0,"לא מטופל",IF(H355=1,"מטופל - סוכן אחד","מטופל - יותר מסוכן אחד"))</f>
        <v/>
      </c>
    </row>
    <row r="356" ht="15" customHeight="1" s="82">
      <c r="A356" s="94" t="inlineStr">
        <is>
          <t>ס. פארם</t>
        </is>
      </c>
      <c r="B356" s="94" t="inlineStr">
        <is>
          <t>ס.פ. ישפרו פלאנט ב""ש</t>
        </is>
      </c>
      <c r="C356" s="111" t="n">
        <v>0</v>
      </c>
      <c r="D356" s="111" t="n">
        <v>0</v>
      </c>
      <c r="E356" s="111" t="n">
        <v>4298</v>
      </c>
      <c r="F356" s="111" t="n">
        <v>0</v>
      </c>
      <c r="G356" s="111" t="n">
        <v>0</v>
      </c>
      <c r="H356" s="94">
        <f>COUNTIF(C356:G356,"&lt;&gt;0")</f>
        <v/>
      </c>
      <c r="I356" s="94">
        <f>IF(H356=0,"לא מטופל",IF(H356=1,"מטופל - סוכן אחד","מטופל - יותר מסוכן אחד"))</f>
        <v/>
      </c>
    </row>
    <row r="357" ht="15" customHeight="1" s="82">
      <c r="A357" s="94" t="inlineStr">
        <is>
          <t>ס. פארם</t>
        </is>
      </c>
      <c r="B357" s="94" t="inlineStr">
        <is>
          <t>ס.פ. המכללה ראשל""צ תרופות</t>
        </is>
      </c>
      <c r="C357" s="111" t="n">
        <v>7012.3</v>
      </c>
      <c r="D357" s="111" t="n">
        <v>0</v>
      </c>
      <c r="E357" s="111" t="n">
        <v>0</v>
      </c>
      <c r="F357" s="111" t="n">
        <v>0</v>
      </c>
      <c r="G357" s="111" t="n">
        <v>0</v>
      </c>
      <c r="H357" s="94">
        <f>COUNTIF(C357:G357,"&lt;&gt;0")</f>
        <v/>
      </c>
      <c r="I357" s="94">
        <f>IF(H357=0,"לא מטופל",IF(H357=1,"מטופל - סוכן אחד","מטופל - יותר מסוכן אחד"))</f>
        <v/>
      </c>
    </row>
    <row r="358" ht="15" customHeight="1" s="82">
      <c r="A358" s="94" t="inlineStr">
        <is>
          <t>ס. פארם</t>
        </is>
      </c>
      <c r="B358" s="94" t="inlineStr">
        <is>
          <t>ס.פ.קניון ראשונים תרופות</t>
        </is>
      </c>
      <c r="C358" s="111" t="n">
        <v>14206.4</v>
      </c>
      <c r="D358" s="111" t="n">
        <v>0</v>
      </c>
      <c r="E358" s="111" t="n">
        <v>0</v>
      </c>
      <c r="F358" s="111" t="n">
        <v>0</v>
      </c>
      <c r="G358" s="111" t="n">
        <v>0</v>
      </c>
      <c r="H358" s="94">
        <f>COUNTIF(C358:G358,"&lt;&gt;0")</f>
        <v/>
      </c>
      <c r="I358" s="94">
        <f>IF(H358=0,"לא מטופל",IF(H358=1,"מטופל - סוכן אחד","מטופל - יותר מסוכן אחד"))</f>
        <v/>
      </c>
    </row>
    <row r="359" ht="15" customHeight="1" s="82">
      <c r="A359" s="94" t="inlineStr">
        <is>
          <t>ס. פארם</t>
        </is>
      </c>
      <c r="B359" s="94" t="inlineStr">
        <is>
          <t>ס.פ.אסף הרופא תרופות</t>
        </is>
      </c>
      <c r="C359" s="111" t="n">
        <v>7275.2</v>
      </c>
      <c r="D359" s="111" t="n">
        <v>0</v>
      </c>
      <c r="E359" s="111" t="n">
        <v>0</v>
      </c>
      <c r="F359" s="111" t="n">
        <v>0</v>
      </c>
      <c r="G359" s="111" t="n">
        <v>0</v>
      </c>
      <c r="H359" s="94">
        <f>COUNTIF(C359:G359,"&lt;&gt;0")</f>
        <v/>
      </c>
      <c r="I359" s="94">
        <f>IF(H359=0,"לא מטופל",IF(H359=1,"מטופל - סוכן אחד","מטופל - יותר מסוכן אחד"))</f>
        <v/>
      </c>
    </row>
    <row r="360" ht="15" customHeight="1" s="82">
      <c r="A360" s="94" t="inlineStr">
        <is>
          <t>ס. פארם</t>
        </is>
      </c>
      <c r="B360" s="94" t="inlineStr">
        <is>
          <t>ס.פ.צפת תרופות</t>
        </is>
      </c>
      <c r="C360" s="111" t="n">
        <v>0</v>
      </c>
      <c r="D360" s="111" t="n">
        <v>6504.5</v>
      </c>
      <c r="E360" s="111" t="n">
        <v>0</v>
      </c>
      <c r="F360" s="111" t="n">
        <v>0</v>
      </c>
      <c r="G360" s="111" t="n">
        <v>0</v>
      </c>
      <c r="H360" s="94">
        <f>COUNTIF(C360:G360,"&lt;&gt;0")</f>
        <v/>
      </c>
      <c r="I360" s="94">
        <f>IF(H360=0,"לא מטופל",IF(H360=1,"מטופל - סוכן אחד","מטופל - יותר מסוכן אחד"))</f>
        <v/>
      </c>
    </row>
    <row r="361" ht="15" customHeight="1" s="82">
      <c r="A361" s="94" t="inlineStr">
        <is>
          <t>ס. פארם</t>
        </is>
      </c>
      <c r="B361" s="94" t="inlineStr">
        <is>
          <t>ס.פ.ארנה נהריה תרופות</t>
        </is>
      </c>
      <c r="C361" s="111" t="n">
        <v>0</v>
      </c>
      <c r="D361" s="111" t="n">
        <v>6789</v>
      </c>
      <c r="E361" s="111" t="n">
        <v>0</v>
      </c>
      <c r="F361" s="111" t="n">
        <v>0</v>
      </c>
      <c r="G361" s="111" t="n">
        <v>0</v>
      </c>
      <c r="H361" s="94">
        <f>COUNTIF(C361:G361,"&lt;&gt;0")</f>
        <v/>
      </c>
      <c r="I361" s="94">
        <f>IF(H361=0,"לא מטופל",IF(H361=1,"מטופל - סוכן אחד","מטופל - יותר מסוכן אחד"))</f>
        <v/>
      </c>
    </row>
    <row r="362" ht="15" customHeight="1" s="82">
      <c r="A362" s="94" t="inlineStr">
        <is>
          <t>ס. פארם</t>
        </is>
      </c>
      <c r="B362" s="94" t="inlineStr">
        <is>
          <t>ס.פ.יפיע תרופות</t>
        </is>
      </c>
      <c r="C362" s="111" t="n">
        <v>0</v>
      </c>
      <c r="D362" s="111" t="n">
        <v>5757</v>
      </c>
      <c r="E362" s="111" t="n">
        <v>0</v>
      </c>
      <c r="F362" s="111" t="n">
        <v>0</v>
      </c>
      <c r="G362" s="111" t="n">
        <v>0</v>
      </c>
      <c r="H362" s="94">
        <f>COUNTIF(C362:G362,"&lt;&gt;0")</f>
        <v/>
      </c>
      <c r="I362" s="94">
        <f>IF(H362=0,"לא מטופל",IF(H362=1,"מטופל - סוכן אחד","מטופל - יותר מסוכן אחד"))</f>
        <v/>
      </c>
    </row>
    <row r="363" ht="15" customHeight="1" s="82">
      <c r="A363" s="94" t="inlineStr">
        <is>
          <t>ס. פארם</t>
        </is>
      </c>
      <c r="B363" s="94" t="inlineStr">
        <is>
          <t>ס.פ.גבעת שמואל תרופות</t>
        </is>
      </c>
      <c r="C363" s="111" t="n">
        <v>0</v>
      </c>
      <c r="D363" s="111" t="n">
        <v>0</v>
      </c>
      <c r="E363" s="111" t="n">
        <v>6026</v>
      </c>
      <c r="F363" s="111" t="n">
        <v>0</v>
      </c>
      <c r="G363" s="111" t="n">
        <v>0</v>
      </c>
      <c r="H363" s="94">
        <f>COUNTIF(C363:G363,"&lt;&gt;0")</f>
        <v/>
      </c>
      <c r="I363" s="94">
        <f>IF(H363=0,"לא מטופל",IF(H363=1,"מטופל - סוכן אחד","מטופל - יותר מסוכן אחד"))</f>
        <v/>
      </c>
    </row>
    <row r="364" ht="15" customHeight="1" s="82">
      <c r="A364" s="94" t="inlineStr">
        <is>
          <t>ס. פארם</t>
        </is>
      </c>
      <c r="B364" s="94" t="inlineStr">
        <is>
          <t>255  ס.פ.מור בני ברק תרופות</t>
        </is>
      </c>
      <c r="C364" s="111" t="n">
        <v>0</v>
      </c>
      <c r="D364" s="111" t="n">
        <v>0</v>
      </c>
      <c r="E364" s="111" t="n">
        <v>16295.5</v>
      </c>
      <c r="F364" s="111" t="n">
        <v>0</v>
      </c>
      <c r="G364" s="111" t="n">
        <v>0</v>
      </c>
      <c r="H364" s="94">
        <f>COUNTIF(C364:G364,"&lt;&gt;0")</f>
        <v/>
      </c>
      <c r="I364" s="94">
        <f>IF(H364=0,"לא מטופל",IF(H364=1,"מטופל - סוכן אחד","מטופל - יותר מסוכן אחד"))</f>
        <v/>
      </c>
    </row>
    <row r="365" ht="15" customHeight="1" s="82">
      <c r="A365" s="94" t="inlineStr">
        <is>
          <t>ס. פארם</t>
        </is>
      </c>
      <c r="B365" s="94" t="inlineStr">
        <is>
          <t>ס.פ. חיפה תרופות</t>
        </is>
      </c>
      <c r="C365" s="111" t="n">
        <v>0</v>
      </c>
      <c r="D365" s="111" t="n">
        <v>16393.1</v>
      </c>
      <c r="E365" s="111" t="n">
        <v>0</v>
      </c>
      <c r="F365" s="111" t="n">
        <v>0</v>
      </c>
      <c r="G365" s="111" t="n">
        <v>0</v>
      </c>
      <c r="H365" s="94">
        <f>COUNTIF(C365:G365,"&lt;&gt;0")</f>
        <v/>
      </c>
      <c r="I365" s="94">
        <f>IF(H365=0,"לא מטופל",IF(H365=1,"מטופל - סוכן אחד","מטופל - יותר מסוכן אחד"))</f>
        <v/>
      </c>
    </row>
    <row r="366" ht="15" customHeight="1" s="82">
      <c r="A366" s="94" t="inlineStr">
        <is>
          <t>ס. פארם</t>
        </is>
      </c>
      <c r="B366" s="94" t="inlineStr">
        <is>
          <t>ס.פ. ביג צ'ק פוסט תרופות</t>
        </is>
      </c>
      <c r="C366" s="111" t="n">
        <v>0</v>
      </c>
      <c r="D366" s="111" t="n">
        <v>10935.3</v>
      </c>
      <c r="E366" s="111" t="n">
        <v>0</v>
      </c>
      <c r="F366" s="111" t="n">
        <v>0</v>
      </c>
      <c r="G366" s="111" t="n">
        <v>0</v>
      </c>
      <c r="H366" s="94">
        <f>COUNTIF(C366:G366,"&lt;&gt;0")</f>
        <v/>
      </c>
      <c r="I366" s="94">
        <f>IF(H366=0,"לא מטופל",IF(H366=1,"מטופל - סוכן אחד","מטופל - יותר מסוכן אחד"))</f>
        <v/>
      </c>
    </row>
    <row r="367" ht="15" customHeight="1" s="82">
      <c r="A367" s="94" t="inlineStr">
        <is>
          <t>ס. פארם</t>
        </is>
      </c>
      <c r="B367" s="94" t="inlineStr">
        <is>
          <t>ס.פ.ביג אור עקיבא תרופות</t>
        </is>
      </c>
      <c r="C367" s="111" t="n">
        <v>0</v>
      </c>
      <c r="D367" s="111" t="n">
        <v>11607.5</v>
      </c>
      <c r="E367" s="111" t="n">
        <v>0</v>
      </c>
      <c r="F367" s="111" t="n">
        <v>0</v>
      </c>
      <c r="G367" s="111" t="n">
        <v>0</v>
      </c>
      <c r="H367" s="94">
        <f>COUNTIF(C367:G367,"&lt;&gt;0")</f>
        <v/>
      </c>
      <c r="I367" s="94">
        <f>IF(H367=0,"לא מטופל",IF(H367=1,"מטופל - סוכן אחד","מטופל - יותר מסוכן אחד"))</f>
        <v/>
      </c>
    </row>
    <row r="368" ht="15" customHeight="1" s="82">
      <c r="A368" s="94" t="inlineStr">
        <is>
          <t>ס. פארם</t>
        </is>
      </c>
      <c r="B368" s="94" t="inlineStr">
        <is>
          <t>ס.פ.איינשטיין חיפה תרופות</t>
        </is>
      </c>
      <c r="C368" s="111" t="n">
        <v>0</v>
      </c>
      <c r="D368" s="111" t="n">
        <v>10056.6</v>
      </c>
      <c r="E368" s="111" t="n">
        <v>0</v>
      </c>
      <c r="F368" s="111" t="n">
        <v>0</v>
      </c>
      <c r="G368" s="111" t="n">
        <v>0</v>
      </c>
      <c r="H368" s="94">
        <f>COUNTIF(C368:G368,"&lt;&gt;0")</f>
        <v/>
      </c>
      <c r="I368" s="94">
        <f>IF(H368=0,"לא מטופל",IF(H368=1,"מטופל - סוכן אחד","מטופל - יותר מסוכן אחד"))</f>
        <v/>
      </c>
    </row>
    <row r="369" ht="15" customHeight="1" s="82">
      <c r="A369" s="94" t="inlineStr">
        <is>
          <t>ס. פארם</t>
        </is>
      </c>
      <c r="B369" s="94" t="inlineStr">
        <is>
          <t>ס.פ.מבשרת ציון</t>
        </is>
      </c>
      <c r="C369" s="111" t="n">
        <v>0</v>
      </c>
      <c r="D369" s="111" t="n">
        <v>0</v>
      </c>
      <c r="E369" s="111" t="n">
        <v>0</v>
      </c>
      <c r="F369" s="111" t="n">
        <v>0</v>
      </c>
      <c r="G369" s="111" t="n">
        <v>5498.3</v>
      </c>
      <c r="H369" s="94">
        <f>COUNTIF(C369:G369,"&lt;&gt;0")</f>
        <v/>
      </c>
      <c r="I369" s="94">
        <f>IF(H369=0,"לא מטופל",IF(H369=1,"מטופל - סוכן אחד","מטופל - יותר מסוכן אחד"))</f>
        <v/>
      </c>
    </row>
    <row r="370" ht="15" customHeight="1" s="82">
      <c r="A370" s="94" t="inlineStr">
        <is>
          <t>ס. פארם</t>
        </is>
      </c>
      <c r="B370" s="94" t="inlineStr">
        <is>
          <t>ס.פ קניון הראל</t>
        </is>
      </c>
      <c r="C370" s="111" t="n">
        <v>0</v>
      </c>
      <c r="D370" s="111" t="n">
        <v>0</v>
      </c>
      <c r="E370" s="111" t="n">
        <v>0</v>
      </c>
      <c r="F370" s="111" t="n">
        <v>0</v>
      </c>
      <c r="G370" s="111" t="n">
        <v>16494.2</v>
      </c>
      <c r="H370" s="94">
        <f>COUNTIF(C370:G370,"&lt;&gt;0")</f>
        <v/>
      </c>
      <c r="I370" s="94">
        <f>IF(H370=0,"לא מטופל",IF(H370=1,"מטופל - סוכן אחד","מטופל - יותר מסוכן אחד"))</f>
        <v/>
      </c>
    </row>
    <row r="371" ht="15" customHeight="1" s="82">
      <c r="A371" s="94" t="inlineStr">
        <is>
          <t>ס. פארם</t>
        </is>
      </c>
      <c r="B371" s="94" t="inlineStr">
        <is>
          <t>ס.פ.עמק רפאים תרופות ירושלים</t>
        </is>
      </c>
      <c r="C371" s="111" t="n">
        <v>0</v>
      </c>
      <c r="D371" s="111" t="n">
        <v>0</v>
      </c>
      <c r="E371" s="111" t="n">
        <v>0</v>
      </c>
      <c r="F371" s="111" t="n">
        <v>0</v>
      </c>
      <c r="G371" s="111" t="n">
        <v>17691.7</v>
      </c>
      <c r="H371" s="94">
        <f>COUNTIF(C371:G371,"&lt;&gt;0")</f>
        <v/>
      </c>
      <c r="I371" s="94">
        <f>IF(H371=0,"לא מטופל",IF(H371=1,"מטופל - סוכן אחד","מטופל - יותר מסוכן אחד"))</f>
        <v/>
      </c>
    </row>
    <row r="372" ht="15" customHeight="1" s="82">
      <c r="A372" s="94" t="inlineStr">
        <is>
          <t>ס. פארם</t>
        </is>
      </c>
      <c r="B372" s="94" t="inlineStr">
        <is>
          <t>240 ס.פ.אליהו קורן י-ם תרופות</t>
        </is>
      </c>
      <c r="C372" s="111" t="n">
        <v>0</v>
      </c>
      <c r="D372" s="111" t="n">
        <v>0</v>
      </c>
      <c r="E372" s="111" t="n">
        <v>0</v>
      </c>
      <c r="F372" s="111" t="n">
        <v>0</v>
      </c>
      <c r="G372" s="111" t="n">
        <v>13428</v>
      </c>
      <c r="H372" s="94">
        <f>COUNTIF(C372:G372,"&lt;&gt;0")</f>
        <v/>
      </c>
      <c r="I372" s="94">
        <f>IF(H372=0,"לא מטופל",IF(H372=1,"מטופל - סוכן אחד","מטופל - יותר מסוכן אחד"))</f>
        <v/>
      </c>
    </row>
    <row r="373" ht="15" customHeight="1" s="82">
      <c r="A373" s="94" t="inlineStr">
        <is>
          <t>ס. פארם</t>
        </is>
      </c>
      <c r="B373" s="94" t="inlineStr">
        <is>
          <t>ס.פ.קניון באר יעקב תרופות</t>
        </is>
      </c>
      <c r="C373" s="111" t="n">
        <v>10556.3</v>
      </c>
      <c r="D373" s="111" t="n">
        <v>0</v>
      </c>
      <c r="E373" s="111" t="n">
        <v>0</v>
      </c>
      <c r="F373" s="111" t="n">
        <v>0</v>
      </c>
      <c r="G373" s="111" t="n">
        <v>0</v>
      </c>
      <c r="H373" s="94">
        <f>COUNTIF(C373:G373,"&lt;&gt;0")</f>
        <v/>
      </c>
      <c r="I373" s="94">
        <f>IF(H373=0,"לא מטופל",IF(H373=1,"מטופל - סוכן אחד","מטופל - יותר מסוכן אחד"))</f>
        <v/>
      </c>
    </row>
    <row r="374" ht="15" customHeight="1" s="82">
      <c r="A374" s="94" t="inlineStr">
        <is>
          <t>ס. פארם</t>
        </is>
      </c>
      <c r="B374" s="94" t="inlineStr">
        <is>
          <t>סופר פארם טיילת חב' אופיר סולו</t>
        </is>
      </c>
      <c r="C374" s="111" t="n">
        <v>0</v>
      </c>
      <c r="D374" s="111" t="n">
        <v>0</v>
      </c>
      <c r="E374" s="111" t="n">
        <v>0</v>
      </c>
      <c r="F374" s="111" t="n">
        <v>0</v>
      </c>
      <c r="G374" s="111" t="n">
        <v>20965.8</v>
      </c>
      <c r="H374" s="94">
        <f>COUNTIF(C374:G374,"&lt;&gt;0")</f>
        <v/>
      </c>
      <c r="I374" s="94">
        <f>IF(H374=0,"לא מטופל",IF(H374=1,"מטופל - סוכן אחד","מטופל - יותר מסוכן אחד"))</f>
        <v/>
      </c>
    </row>
    <row r="375" ht="15" customHeight="1" s="82">
      <c r="A375" s="94" t="inlineStr">
        <is>
          <t>ס. פארם</t>
        </is>
      </c>
      <c r="B375" s="94" t="inlineStr">
        <is>
          <t>ס.פ.מול החוף חדרה תרופות</t>
        </is>
      </c>
      <c r="C375" s="111" t="n">
        <v>0</v>
      </c>
      <c r="D375" s="111" t="n">
        <v>5365.9</v>
      </c>
      <c r="E375" s="111" t="n">
        <v>0</v>
      </c>
      <c r="F375" s="111" t="n">
        <v>0</v>
      </c>
      <c r="G375" s="111" t="n">
        <v>0</v>
      </c>
      <c r="H375" s="94">
        <f>COUNTIF(C375:G375,"&lt;&gt;0")</f>
        <v/>
      </c>
      <c r="I375" s="94">
        <f>IF(H375=0,"לא מטופל",IF(H375=1,"מטופל - סוכן אחד","מטופל - יותר מסוכן אחד"))</f>
        <v/>
      </c>
    </row>
    <row r="376" ht="15" customHeight="1" s="82">
      <c r="A376" s="94" t="inlineStr">
        <is>
          <t>ס. פארם</t>
        </is>
      </c>
      <c r="B376" s="94" t="inlineStr">
        <is>
          <t>ס.פ קרית שרת חולון תרופות</t>
        </is>
      </c>
      <c r="C376" s="111" t="n">
        <v>0</v>
      </c>
      <c r="D376" s="111" t="n">
        <v>0</v>
      </c>
      <c r="E376" s="111" t="n">
        <v>10383.2</v>
      </c>
      <c r="F376" s="111" t="n">
        <v>0</v>
      </c>
      <c r="G376" s="111" t="n">
        <v>0</v>
      </c>
      <c r="H376" s="94">
        <f>COUNTIF(C376:G376,"&lt;&gt;0")</f>
        <v/>
      </c>
      <c r="I376" s="94">
        <f>IF(H376=0,"לא מטופל",IF(H376=1,"מטופל - סוכן אחד","מטופל - יותר מסוכן אחד"))</f>
        <v/>
      </c>
    </row>
    <row r="377" ht="15" customHeight="1" s="82">
      <c r="A377" s="94" t="inlineStr">
        <is>
          <t>ס. פארם</t>
        </is>
      </c>
      <c r="B377" s="94" t="inlineStr">
        <is>
          <t>BM ס.פ ירכא</t>
        </is>
      </c>
      <c r="C377" s="111" t="n">
        <v>0</v>
      </c>
      <c r="D377" s="111" t="n">
        <v>14103.6</v>
      </c>
      <c r="E377" s="111" t="n">
        <v>0</v>
      </c>
      <c r="F377" s="111" t="n">
        <v>0</v>
      </c>
      <c r="G377" s="111" t="n">
        <v>0</v>
      </c>
      <c r="H377" s="94">
        <f>COUNTIF(C377:G377,"&lt;&gt;0")</f>
        <v/>
      </c>
      <c r="I377" s="94">
        <f>IF(H377=0,"לא מטופל",IF(H377=1,"מטופל - סוכן אחד","מטופל - יותר מסוכן אחד"))</f>
        <v/>
      </c>
    </row>
    <row r="378" ht="15" customHeight="1" s="82">
      <c r="A378" s="94" t="inlineStr">
        <is>
          <t>ס. פארם</t>
        </is>
      </c>
      <c r="B378" s="94" t="inlineStr">
        <is>
          <t>BM ס.פ קניון ביאליק רמת גן</t>
        </is>
      </c>
      <c r="C378" s="111" t="n">
        <v>0</v>
      </c>
      <c r="D378" s="111" t="n">
        <v>0</v>
      </c>
      <c r="E378" s="111" t="n">
        <v>6206.9</v>
      </c>
      <c r="F378" s="111" t="n">
        <v>0</v>
      </c>
      <c r="G378" s="111" t="n">
        <v>0</v>
      </c>
      <c r="H378" s="94">
        <f>COUNTIF(C378:G378,"&lt;&gt;0")</f>
        <v/>
      </c>
      <c r="I378" s="94">
        <f>IF(H378=0,"לא מטופל",IF(H378=1,"מטופל - סוכן אחד","מטופל - יותר מסוכן אחד"))</f>
        <v/>
      </c>
    </row>
    <row r="379" ht="15" customHeight="1" s="82">
      <c r="A379" s="94" t="inlineStr">
        <is>
          <t>ס. פארם</t>
        </is>
      </c>
      <c r="B379" s="94" t="inlineStr">
        <is>
          <t>BM ס.פ עטרות</t>
        </is>
      </c>
      <c r="C379" s="111" t="n">
        <v>0</v>
      </c>
      <c r="D379" s="111" t="n">
        <v>0</v>
      </c>
      <c r="E379" s="111" t="n">
        <v>0</v>
      </c>
      <c r="F379" s="111" t="n">
        <v>0</v>
      </c>
      <c r="G379" s="111" t="n">
        <v>3132</v>
      </c>
      <c r="H379" s="94">
        <f>COUNTIF(C379:G379,"&lt;&gt;0")</f>
        <v/>
      </c>
      <c r="I379" s="94">
        <f>IF(H379=0,"לא מטופל",IF(H379=1,"מטופל - סוכן אחד","מטופל - יותר מסוכן אחד"))</f>
        <v/>
      </c>
    </row>
    <row r="380" ht="15" customHeight="1" s="82">
      <c r="A380" s="94" t="inlineStr">
        <is>
          <t>ס. פארם</t>
        </is>
      </c>
      <c r="B380" s="94" t="inlineStr">
        <is>
          <t>BM ס.פ חדרה שכונת הפארק</t>
        </is>
      </c>
      <c r="C380" s="111" t="n">
        <v>0</v>
      </c>
      <c r="D380" s="111" t="n">
        <v>8565</v>
      </c>
      <c r="E380" s="111" t="n">
        <v>0</v>
      </c>
      <c r="F380" s="111" t="n">
        <v>0</v>
      </c>
      <c r="G380" s="111" t="n">
        <v>0</v>
      </c>
      <c r="H380" s="94">
        <f>COUNTIF(C380:G380,"&lt;&gt;0")</f>
        <v/>
      </c>
      <c r="I380" s="94">
        <f>IF(H380=0,"לא מטופל",IF(H380=1,"מטופל - סוכן אחד","מטופל - יותר מסוכן אחד"))</f>
        <v/>
      </c>
    </row>
    <row r="381" ht="15" customHeight="1" s="82">
      <c r="A381" s="94" t="inlineStr">
        <is>
          <t>ס. פארם</t>
        </is>
      </c>
      <c r="B381" s="94" t="inlineStr">
        <is>
          <t>BM ס.פ חריש</t>
        </is>
      </c>
      <c r="C381" s="111" t="n">
        <v>0</v>
      </c>
      <c r="D381" s="111" t="n">
        <v>7057.5</v>
      </c>
      <c r="E381" s="111" t="n">
        <v>0</v>
      </c>
      <c r="F381" s="111" t="n">
        <v>0</v>
      </c>
      <c r="G381" s="111" t="n">
        <v>0</v>
      </c>
      <c r="H381" s="94">
        <f>COUNTIF(C381:G381,"&lt;&gt;0")</f>
        <v/>
      </c>
      <c r="I381" s="94">
        <f>IF(H381=0,"לא מטופל",IF(H381=1,"מטופל - סוכן אחד","מטופל - יותר מסוכן אחד"))</f>
        <v/>
      </c>
    </row>
    <row r="382" ht="15" customHeight="1" s="82">
      <c r="A382" s="94" t="inlineStr">
        <is>
          <t>ס. פארם</t>
        </is>
      </c>
      <c r="B382" s="94" t="inlineStr">
        <is>
          <t>BM ס.פ בורכוב גבעתיים</t>
        </is>
      </c>
      <c r="C382" s="111" t="n">
        <v>0</v>
      </c>
      <c r="D382" s="111" t="n">
        <v>0</v>
      </c>
      <c r="E382" s="111" t="n">
        <v>7495.4</v>
      </c>
      <c r="F382" s="111" t="n">
        <v>0</v>
      </c>
      <c r="G382" s="111" t="n">
        <v>0</v>
      </c>
      <c r="H382" s="94">
        <f>COUNTIF(C382:G382,"&lt;&gt;0")</f>
        <v/>
      </c>
      <c r="I382" s="94">
        <f>IF(H382=0,"לא מטופל",IF(H382=1,"מטופל - סוכן אחד","מטופל - יותר מסוכן אחד"))</f>
        <v/>
      </c>
    </row>
    <row r="383" ht="15" customHeight="1" s="82">
      <c r="A383" s="94" t="inlineStr">
        <is>
          <t>ס. פארם</t>
        </is>
      </c>
      <c r="B383" s="94" t="inlineStr">
        <is>
          <t>BM ס.פ הר יונה</t>
        </is>
      </c>
      <c r="C383" s="111" t="n">
        <v>0</v>
      </c>
      <c r="D383" s="111" t="n">
        <v>3506.3</v>
      </c>
      <c r="E383" s="111" t="n">
        <v>0</v>
      </c>
      <c r="F383" s="111" t="n">
        <v>0</v>
      </c>
      <c r="G383" s="111" t="n">
        <v>0</v>
      </c>
      <c r="H383" s="94">
        <f>COUNTIF(C383:G383,"&lt;&gt;0")</f>
        <v/>
      </c>
      <c r="I383" s="94">
        <f>IF(H383=0,"לא מטופל",IF(H383=1,"מטופל - סוכן אחד","מטופל - יותר מסוכן אחד"))</f>
        <v/>
      </c>
    </row>
    <row r="384" ht="15" customHeight="1" s="82">
      <c r="A384" s="94" t="inlineStr">
        <is>
          <t>ס. פארם</t>
        </is>
      </c>
      <c r="B384" s="94" t="inlineStr">
        <is>
          <t>BM ס.פ ראש פינה</t>
        </is>
      </c>
      <c r="C384" s="111" t="n">
        <v>0</v>
      </c>
      <c r="D384" s="111" t="n">
        <v>4317.2</v>
      </c>
      <c r="E384" s="111" t="n">
        <v>0</v>
      </c>
      <c r="F384" s="111" t="n">
        <v>0</v>
      </c>
      <c r="G384" s="111" t="n">
        <v>0</v>
      </c>
      <c r="H384" s="94">
        <f>COUNTIF(C384:G384,"&lt;&gt;0")</f>
        <v/>
      </c>
      <c r="I384" s="94">
        <f>IF(H384=0,"לא מטופל",IF(H384=1,"מטופל - סוכן אחד","מטופל - יותר מסוכן אחד"))</f>
        <v/>
      </c>
    </row>
    <row r="385" ht="15" customHeight="1" s="82">
      <c r="A385" s="94" t="inlineStr">
        <is>
          <t>ס. פארם</t>
        </is>
      </c>
      <c r="B385" s="94" t="inlineStr">
        <is>
          <t>BM ס.פ גושן קרית מוצקין</t>
        </is>
      </c>
      <c r="C385" s="111" t="n">
        <v>0</v>
      </c>
      <c r="D385" s="111" t="n">
        <v>5605</v>
      </c>
      <c r="E385" s="111" t="n">
        <v>0</v>
      </c>
      <c r="F385" s="111" t="n">
        <v>0</v>
      </c>
      <c r="G385" s="111" t="n">
        <v>0</v>
      </c>
      <c r="H385" s="94">
        <f>COUNTIF(C385:G385,"&lt;&gt;0")</f>
        <v/>
      </c>
      <c r="I385" s="94">
        <f>IF(H385=0,"לא מטופל",IF(H385=1,"מטופל - סוכן אחד","מטופל - יותר מסוכן אחד"))</f>
        <v/>
      </c>
    </row>
    <row r="386" ht="15" customHeight="1" s="82">
      <c r="A386" s="94" t="inlineStr">
        <is>
          <t>ס. פארם</t>
        </is>
      </c>
      <c r="B386" s="94" t="inlineStr">
        <is>
          <t>BM 670 ס.פ עמק חפר</t>
        </is>
      </c>
      <c r="C386" s="111" t="n">
        <v>0</v>
      </c>
      <c r="D386" s="111" t="n">
        <v>0</v>
      </c>
      <c r="E386" s="111" t="n">
        <v>14467.2</v>
      </c>
      <c r="F386" s="111" t="n">
        <v>0</v>
      </c>
      <c r="G386" s="111" t="n">
        <v>0</v>
      </c>
      <c r="H386" s="94">
        <f>COUNTIF(C386:G386,"&lt;&gt;0")</f>
        <v/>
      </c>
      <c r="I386" s="94">
        <f>IF(H386=0,"לא מטופל",IF(H386=1,"מטופל - סוכן אחד","מטופל - יותר מסוכן אחד"))</f>
        <v/>
      </c>
    </row>
    <row r="387" ht="15" customHeight="1" s="82">
      <c r="A387" s="94" t="inlineStr">
        <is>
          <t>ס. פארם</t>
        </is>
      </c>
      <c r="B387" s="94" t="inlineStr">
        <is>
          <t>672 BM ס.פ עמק חפר</t>
        </is>
      </c>
      <c r="C387" s="111" t="n">
        <v>0</v>
      </c>
      <c r="D387" s="111" t="n">
        <v>0</v>
      </c>
      <c r="E387" s="111" t="n">
        <v>6164</v>
      </c>
      <c r="F387" s="111" t="n">
        <v>0</v>
      </c>
      <c r="G387" s="111" t="n">
        <v>0</v>
      </c>
      <c r="H387" s="94">
        <f>COUNTIF(C387:G387,"&lt;&gt;0")</f>
        <v/>
      </c>
      <c r="I387" s="94">
        <f>IF(H387=0,"לא מטופל",IF(H387=1,"מטופל - סוכן אחד","מטופל - יותר מסוכן אחד"))</f>
        <v/>
      </c>
    </row>
    <row r="388" ht="15" customHeight="1" s="82">
      <c r="A388" s="94" t="inlineStr">
        <is>
          <t>ס. פארם</t>
        </is>
      </c>
      <c r="B388" s="94" t="inlineStr">
        <is>
          <t>BM ס.פ קניון אורות</t>
        </is>
      </c>
      <c r="C388" s="111" t="n">
        <v>0</v>
      </c>
      <c r="D388" s="111" t="n">
        <v>9877.299999999999</v>
      </c>
      <c r="E388" s="111" t="n">
        <v>0</v>
      </c>
      <c r="F388" s="111" t="n">
        <v>0</v>
      </c>
      <c r="G388" s="111" t="n">
        <v>0</v>
      </c>
      <c r="H388" s="94">
        <f>COUNTIF(C388:G388,"&lt;&gt;0")</f>
        <v/>
      </c>
      <c r="I388" s="94">
        <f>IF(H388=0,"לא מטופל",IF(H388=1,"מטופל - סוכן אחד","מטופל - יותר מסוכן אחד"))</f>
        <v/>
      </c>
    </row>
    <row r="389" ht="15" customHeight="1" s="82">
      <c r="A389" s="94" t="inlineStr">
        <is>
          <t>ס. פארם</t>
        </is>
      </c>
      <c r="B389" s="94" t="inlineStr">
        <is>
          <t>ס.פ אור יהודה קניון עזריאלי</t>
        </is>
      </c>
      <c r="C389" s="111" t="n">
        <v>0</v>
      </c>
      <c r="D389" s="111" t="n">
        <v>0</v>
      </c>
      <c r="E389" s="111" t="n">
        <v>5566.3</v>
      </c>
      <c r="F389" s="111" t="n">
        <v>0</v>
      </c>
      <c r="G389" s="111" t="n">
        <v>0</v>
      </c>
      <c r="H389" s="94">
        <f>COUNTIF(C389:G389,"&lt;&gt;0")</f>
        <v/>
      </c>
      <c r="I389" s="94">
        <f>IF(H389=0,"לא מטופל",IF(H389=1,"מטופל - סוכן אחד","מטופל - יותר מסוכן אחד"))</f>
        <v/>
      </c>
    </row>
    <row r="390" ht="15" customHeight="1" s="82">
      <c r="A390" s="94" t="inlineStr">
        <is>
          <t>ס. פארם</t>
        </is>
      </c>
      <c r="B390" s="94" t="inlineStr">
        <is>
          <t>ס.פ.אבן יהודה תרופות</t>
        </is>
      </c>
      <c r="C390" s="111" t="n">
        <v>0</v>
      </c>
      <c r="D390" s="111" t="n">
        <v>0</v>
      </c>
      <c r="E390" s="111" t="n">
        <v>5591.3</v>
      </c>
      <c r="F390" s="111" t="n">
        <v>0</v>
      </c>
      <c r="G390" s="111" t="n">
        <v>0</v>
      </c>
      <c r="H390" s="94">
        <f>COUNTIF(C390:G390,"&lt;&gt;0")</f>
        <v/>
      </c>
      <c r="I390" s="94">
        <f>IF(H390=0,"לא מטופל",IF(H390=1,"מטופל - סוכן אחד","מטופל - יותר מסוכן אחד"))</f>
        <v/>
      </c>
    </row>
    <row r="391" ht="15" customHeight="1" s="82">
      <c r="A391" s="94" t="inlineStr">
        <is>
          <t>ס. פארם</t>
        </is>
      </c>
      <c r="B391" s="94" t="inlineStr">
        <is>
          <t>ס.פ נעימי קרית השרון נתניה</t>
        </is>
      </c>
      <c r="C391" s="111" t="n">
        <v>7596.4</v>
      </c>
      <c r="D391" s="111" t="n">
        <v>0</v>
      </c>
      <c r="E391" s="111" t="n">
        <v>0</v>
      </c>
      <c r="F391" s="111" t="n">
        <v>0</v>
      </c>
      <c r="G391" s="111" t="n">
        <v>0</v>
      </c>
      <c r="H391" s="94">
        <f>COUNTIF(C391:G391,"&lt;&gt;0")</f>
        <v/>
      </c>
      <c r="I391" s="94">
        <f>IF(H391=0,"לא מטופל",IF(H391=1,"מטופל - סוכן אחד","מטופל - יותר מסוכן אחד"))</f>
        <v/>
      </c>
    </row>
    <row r="392" ht="15" customHeight="1" s="82">
      <c r="A392" s="94" t="inlineStr">
        <is>
          <t>ס. פארם</t>
        </is>
      </c>
      <c r="B392" s="94" t="inlineStr">
        <is>
          <t>BM ס.פ רכבת עפולה</t>
        </is>
      </c>
      <c r="C392" s="111" t="n">
        <v>0</v>
      </c>
      <c r="D392" s="111" t="n">
        <v>7471.7</v>
      </c>
      <c r="E392" s="111" t="n">
        <v>0</v>
      </c>
      <c r="F392" s="111" t="n">
        <v>0</v>
      </c>
      <c r="G392" s="111" t="n">
        <v>0</v>
      </c>
      <c r="H392" s="94">
        <f>COUNTIF(C392:G392,"&lt;&gt;0")</f>
        <v/>
      </c>
      <c r="I392" s="94">
        <f>IF(H392=0,"לא מטופל",IF(H392=1,"מטופל - סוכן אחד","מטופל - יותר מסוכן אחד"))</f>
        <v/>
      </c>
    </row>
    <row r="393" ht="15" customHeight="1" s="82">
      <c r="A393" s="94" t="inlineStr">
        <is>
          <t>ס. פארם</t>
        </is>
      </c>
      <c r="B393" s="94" t="inlineStr">
        <is>
          <t>BM ס.פ דלית אל כרמל</t>
        </is>
      </c>
      <c r="C393" s="111" t="n">
        <v>0</v>
      </c>
      <c r="D393" s="111" t="n">
        <v>7007.4</v>
      </c>
      <c r="E393" s="111" t="n">
        <v>0</v>
      </c>
      <c r="F393" s="111" t="n">
        <v>0</v>
      </c>
      <c r="G393" s="111" t="n">
        <v>0</v>
      </c>
      <c r="H393" s="94">
        <f>COUNTIF(C393:G393,"&lt;&gt;0")</f>
        <v/>
      </c>
      <c r="I393" s="94">
        <f>IF(H393=0,"לא מטופל",IF(H393=1,"מטופל - סוכן אחד","מטופל - יותר מסוכן אחד"))</f>
        <v/>
      </c>
    </row>
    <row r="394" ht="15" customHeight="1" s="82">
      <c r="A394" s="94" t="inlineStr">
        <is>
          <t>ס. פארם</t>
        </is>
      </c>
      <c r="B394" s="94" t="inlineStr">
        <is>
          <t>BM ס.פ ערערה</t>
        </is>
      </c>
      <c r="C394" s="111" t="n">
        <v>0</v>
      </c>
      <c r="D394" s="111" t="n">
        <v>0</v>
      </c>
      <c r="E394" s="111" t="n">
        <v>2447.8</v>
      </c>
      <c r="F394" s="111" t="n">
        <v>0</v>
      </c>
      <c r="G394" s="111" t="n">
        <v>0</v>
      </c>
      <c r="H394" s="94">
        <f>COUNTIF(C394:G394,"&lt;&gt;0")</f>
        <v/>
      </c>
      <c r="I394" s="94">
        <f>IF(H394=0,"לא מטופל",IF(H394=1,"מטופל - סוכן אחד","מטופל - יותר מסוכן אחד"))</f>
        <v/>
      </c>
    </row>
    <row r="395" ht="15" customHeight="1" s="82">
      <c r="A395" s="94" t="inlineStr">
        <is>
          <t>ס. פארם</t>
        </is>
      </c>
      <c r="B395" s="94" t="inlineStr">
        <is>
          <t>ס.פ.גלובוס אשקלון</t>
        </is>
      </c>
      <c r="C395" s="111" t="n">
        <v>0</v>
      </c>
      <c r="D395" s="111" t="n">
        <v>0</v>
      </c>
      <c r="E395" s="111" t="n">
        <v>0</v>
      </c>
      <c r="F395" s="111" t="n">
        <v>0</v>
      </c>
      <c r="G395" s="111" t="n">
        <v>20652.3</v>
      </c>
      <c r="H395" s="94">
        <f>COUNTIF(C395:G395,"&lt;&gt;0")</f>
        <v/>
      </c>
      <c r="I395" s="94">
        <f>IF(H395=0,"לא מטופל",IF(H395=1,"מטופל - סוכן אחד","מטופל - יותר מסוכן אחד"))</f>
        <v/>
      </c>
    </row>
    <row r="396" ht="15" customHeight="1" s="82">
      <c r="A396" s="94" t="inlineStr">
        <is>
          <t>ס. פארם</t>
        </is>
      </c>
      <c r="B396" s="94" t="inlineStr">
        <is>
          <t>ס.פ.מגדלי אלון ת""א תרופות</t>
        </is>
      </c>
      <c r="C396" s="111" t="n">
        <v>13044.7</v>
      </c>
      <c r="D396" s="111" t="n">
        <v>0</v>
      </c>
      <c r="E396" s="111" t="n">
        <v>0</v>
      </c>
      <c r="F396" s="111" t="n">
        <v>0</v>
      </c>
      <c r="G396" s="111" t="n">
        <v>0</v>
      </c>
      <c r="H396" s="94">
        <f>COUNTIF(C396:G396,"&lt;&gt;0")</f>
        <v/>
      </c>
      <c r="I396" s="94">
        <f>IF(H396=0,"לא מטופל",IF(H396=1,"מטופל - סוכן אחד","מטופל - יותר מסוכן אחד"))</f>
        <v/>
      </c>
    </row>
    <row r="397" ht="15" customHeight="1" s="82">
      <c r="A397" s="94" t="inlineStr">
        <is>
          <t>ס. פארם</t>
        </is>
      </c>
      <c r="B397" s="94" t="inlineStr">
        <is>
          <t>ס.פ.דרך בר לב ת""א</t>
        </is>
      </c>
      <c r="C397" s="111" t="n">
        <v>8453.799999999999</v>
      </c>
      <c r="D397" s="111" t="n">
        <v>0</v>
      </c>
      <c r="E397" s="111" t="n">
        <v>0</v>
      </c>
      <c r="F397" s="111" t="n">
        <v>0</v>
      </c>
      <c r="G397" s="111" t="n">
        <v>0</v>
      </c>
      <c r="H397" s="94">
        <f>COUNTIF(C397:G397,"&lt;&gt;0")</f>
        <v/>
      </c>
      <c r="I397" s="94">
        <f>IF(H397=0,"לא מטופל",IF(H397=1,"מטופל - סוכן אחד","מטופל - יותר מסוכן אחד"))</f>
        <v/>
      </c>
    </row>
    <row r="398" ht="15" customHeight="1" s="82">
      <c r="A398" s="94" t="inlineStr">
        <is>
          <t>ס. פארם</t>
        </is>
      </c>
      <c r="B398" s="94" t="inlineStr">
        <is>
          <t>ס.פ קניון האחים ישראל ירושלים</t>
        </is>
      </c>
      <c r="C398" s="111" t="n">
        <v>0</v>
      </c>
      <c r="D398" s="111" t="n">
        <v>0</v>
      </c>
      <c r="E398" s="111" t="n">
        <v>0</v>
      </c>
      <c r="F398" s="111" t="n">
        <v>0</v>
      </c>
      <c r="G398" s="111" t="n">
        <v>8233.700000000001</v>
      </c>
      <c r="H398" s="94">
        <f>COUNTIF(C398:G398,"&lt;&gt;0")</f>
        <v/>
      </c>
      <c r="I398" s="94">
        <f>IF(H398=0,"לא מטופל",IF(H398=1,"מטופל - סוכן אחד","מטופל - יותר מסוכן אחד"))</f>
        <v/>
      </c>
    </row>
    <row r="399" ht="15" customHeight="1" s="82">
      <c r="A399" s="94" t="inlineStr">
        <is>
          <t>ס. פארם</t>
        </is>
      </c>
      <c r="B399" s="94" t="inlineStr">
        <is>
          <t>BM ס.פ קינג גורג ירושלים</t>
        </is>
      </c>
      <c r="C399" s="111" t="n">
        <v>0</v>
      </c>
      <c r="D399" s="111" t="n">
        <v>0</v>
      </c>
      <c r="E399" s="111" t="n">
        <v>0</v>
      </c>
      <c r="F399" s="111" t="n">
        <v>0</v>
      </c>
      <c r="G399" s="111" t="n">
        <v>4016.1</v>
      </c>
      <c r="H399" s="94">
        <f>COUNTIF(C399:G399,"&lt;&gt;0")</f>
        <v/>
      </c>
      <c r="I399" s="94">
        <f>IF(H399=0,"לא מטופל",IF(H399=1,"מטופל - סוכן אחד","מטופל - יותר מסוכן אחד"))</f>
        <v/>
      </c>
    </row>
    <row r="400" ht="15" customHeight="1" s="82">
      <c r="A400" s="94" t="inlineStr">
        <is>
          <t>ס. פארם</t>
        </is>
      </c>
      <c r="B400" s="94" t="inlineStr">
        <is>
          <t>273 ס.פ.קניון עזריאלי רמלה</t>
        </is>
      </c>
      <c r="C400" s="111" t="n">
        <v>0</v>
      </c>
      <c r="D400" s="111" t="n">
        <v>0</v>
      </c>
      <c r="E400" s="111" t="n">
        <v>10835.7</v>
      </c>
      <c r="F400" s="111" t="n">
        <v>0</v>
      </c>
      <c r="G400" s="111" t="n">
        <v>0</v>
      </c>
      <c r="H400" s="94">
        <f>COUNTIF(C400:G400,"&lt;&gt;0")</f>
        <v/>
      </c>
      <c r="I400" s="94">
        <f>IF(H400=0,"לא מטופל",IF(H400=1,"מטופל - סוכן אחד","מטופל - יותר מסוכן אחד"))</f>
        <v/>
      </c>
    </row>
    <row r="401" ht="15" customHeight="1" s="82">
      <c r="A401" s="94" t="inlineStr">
        <is>
          <t>ס. פארם</t>
        </is>
      </c>
      <c r="B401" s="94" t="inlineStr">
        <is>
          <t>271 ס.פ. נווה הדרים ראשל""צ</t>
        </is>
      </c>
      <c r="C401" s="111" t="n">
        <v>4409.6</v>
      </c>
      <c r="D401" s="111" t="n">
        <v>0</v>
      </c>
      <c r="E401" s="111" t="n">
        <v>0</v>
      </c>
      <c r="F401" s="111" t="n">
        <v>0</v>
      </c>
      <c r="G401" s="111" t="n">
        <v>0</v>
      </c>
      <c r="H401" s="94">
        <f>COUNTIF(C401:G401,"&lt;&gt;0")</f>
        <v/>
      </c>
      <c r="I401" s="94">
        <f>IF(H401=0,"לא מטופל",IF(H401=1,"מטופל - סוכן אחד","מטופל - יותר מסוכן אחד"))</f>
        <v/>
      </c>
    </row>
    <row r="402" ht="15" customHeight="1" s="82">
      <c r="A402" s="94" t="inlineStr">
        <is>
          <t>ס. פארם</t>
        </is>
      </c>
      <c r="B402" s="94" t="inlineStr">
        <is>
          <t>277 סופר פארם שער ראשון</t>
        </is>
      </c>
      <c r="C402" s="111" t="n">
        <v>15513.4</v>
      </c>
      <c r="D402" s="111" t="n">
        <v>0</v>
      </c>
      <c r="E402" s="111" t="n">
        <v>0</v>
      </c>
      <c r="F402" s="111" t="n">
        <v>0</v>
      </c>
      <c r="G402" s="111" t="n">
        <v>0</v>
      </c>
      <c r="H402" s="94">
        <f>COUNTIF(C402:G402,"&lt;&gt;0")</f>
        <v/>
      </c>
      <c r="I402" s="94">
        <f>IF(H402=0,"לא מטופל",IF(H402=1,"מטופל - סוכן אחד","מטופל - יותר מסוכן אחד"))</f>
        <v/>
      </c>
    </row>
    <row r="403" ht="15" customHeight="1" s="82">
      <c r="A403" s="94" t="inlineStr">
        <is>
          <t>ס. פארם</t>
        </is>
      </c>
      <c r="B403" s="94" t="inlineStr">
        <is>
          <t>BM ס.פ כפר כנא</t>
        </is>
      </c>
      <c r="C403" s="111" t="n">
        <v>0</v>
      </c>
      <c r="D403" s="111" t="n">
        <v>4153</v>
      </c>
      <c r="E403" s="111" t="n">
        <v>0</v>
      </c>
      <c r="F403" s="111" t="n">
        <v>0</v>
      </c>
      <c r="G403" s="111" t="n">
        <v>0</v>
      </c>
      <c r="H403" s="94">
        <f>COUNTIF(C403:G403,"&lt;&gt;0")</f>
        <v/>
      </c>
      <c r="I403" s="94">
        <f>IF(H403=0,"לא מטופל",IF(H403=1,"מטופל - סוכן אחד","מטופל - יותר מסוכן אחד"))</f>
        <v/>
      </c>
    </row>
    <row r="404" ht="15" customHeight="1" s="82">
      <c r="A404" s="94" t="inlineStr">
        <is>
          <t>ס. פארם</t>
        </is>
      </c>
      <c r="B404" s="94" t="inlineStr">
        <is>
          <t>BM ס.פ באקה סנטר</t>
        </is>
      </c>
      <c r="C404" s="111" t="n">
        <v>0</v>
      </c>
      <c r="D404" s="111" t="n">
        <v>4079.3</v>
      </c>
      <c r="E404" s="111" t="n">
        <v>0</v>
      </c>
      <c r="F404" s="111" t="n">
        <v>0</v>
      </c>
      <c r="G404" s="111" t="n">
        <v>0</v>
      </c>
      <c r="H404" s="94">
        <f>COUNTIF(C404:G404,"&lt;&gt;0")</f>
        <v/>
      </c>
      <c r="I404" s="94">
        <f>IF(H404=0,"לא מטופל",IF(H404=1,"מטופל - סוכן אחד","מטופל - יותר מסוכן אחד"))</f>
        <v/>
      </c>
    </row>
    <row r="405" ht="15" customHeight="1" s="82">
      <c r="A405" s="94" t="inlineStr">
        <is>
          <t>ס. פארם</t>
        </is>
      </c>
      <c r="B405" s="94" t="inlineStr">
        <is>
          <t>BM ס.פ מול כנרת צמח</t>
        </is>
      </c>
      <c r="C405" s="111" t="n">
        <v>0</v>
      </c>
      <c r="D405" s="111" t="n">
        <v>20586.2</v>
      </c>
      <c r="E405" s="111" t="n">
        <v>0</v>
      </c>
      <c r="F405" s="111" t="n">
        <v>0</v>
      </c>
      <c r="G405" s="111" t="n">
        <v>0</v>
      </c>
      <c r="H405" s="94">
        <f>COUNTIF(C405:G405,"&lt;&gt;0")</f>
        <v/>
      </c>
      <c r="I405" s="94">
        <f>IF(H405=0,"לא מטופל",IF(H405=1,"מטופל - סוכן אחד","מטופל - יותר מסוכן אחד"))</f>
        <v/>
      </c>
    </row>
    <row r="406" ht="15" customHeight="1" s="82">
      <c r="A406" s="94" t="inlineStr">
        <is>
          <t>ס. פארם</t>
        </is>
      </c>
      <c r="B406" s="94" t="inlineStr">
        <is>
          <t>BM ס.פ דושי סנטר נצרת</t>
        </is>
      </c>
      <c r="C406" s="111" t="n">
        <v>0</v>
      </c>
      <c r="D406" s="111" t="n">
        <v>2816.3</v>
      </c>
      <c r="E406" s="111" t="n">
        <v>0</v>
      </c>
      <c r="F406" s="111" t="n">
        <v>0</v>
      </c>
      <c r="G406" s="111" t="n">
        <v>0</v>
      </c>
      <c r="H406" s="94">
        <f>COUNTIF(C406:G406,"&lt;&gt;0")</f>
        <v/>
      </c>
      <c r="I406" s="94">
        <f>IF(H406=0,"לא מטופל",IF(H406=1,"מטופל - סוכן אחד","מטופל - יותר מסוכן אחד"))</f>
        <v/>
      </c>
    </row>
    <row r="407" ht="15" customHeight="1" s="82">
      <c r="A407" s="94" t="inlineStr">
        <is>
          <t>ס. פארם</t>
        </is>
      </c>
      <c r="B407" s="94" t="inlineStr">
        <is>
          <t>BM ס.פ רמבלס סנטר רמלה</t>
        </is>
      </c>
      <c r="C407" s="111" t="n">
        <v>0</v>
      </c>
      <c r="D407" s="111" t="n">
        <v>0</v>
      </c>
      <c r="E407" s="111" t="n">
        <v>5770.4</v>
      </c>
      <c r="F407" s="111" t="n">
        <v>0</v>
      </c>
      <c r="G407" s="111" t="n">
        <v>0</v>
      </c>
      <c r="H407" s="94">
        <f>COUNTIF(C407:G407,"&lt;&gt;0")</f>
        <v/>
      </c>
      <c r="I407" s="94">
        <f>IF(H407=0,"לא מטופל",IF(H407=1,"מטופל - סוכן אחד","מטופל - יותר מסוכן אחד"))</f>
        <v/>
      </c>
    </row>
    <row r="408" ht="15" customHeight="1" s="82">
      <c r="A408" s="94" t="inlineStr">
        <is>
          <t>ס. פארם</t>
        </is>
      </c>
      <c r="B408" s="94" t="inlineStr">
        <is>
          <t>BM ס.פ כפר קרע</t>
        </is>
      </c>
      <c r="C408" s="111" t="n">
        <v>0</v>
      </c>
      <c r="D408" s="111" t="n">
        <v>6502.8</v>
      </c>
      <c r="E408" s="111" t="n">
        <v>0</v>
      </c>
      <c r="F408" s="111" t="n">
        <v>0</v>
      </c>
      <c r="G408" s="111" t="n">
        <v>0</v>
      </c>
      <c r="H408" s="94">
        <f>COUNTIF(C408:G408,"&lt;&gt;0")</f>
        <v/>
      </c>
      <c r="I408" s="94">
        <f>IF(H408=0,"לא מטופל",IF(H408=1,"מטופל - סוכן אחד","מטופל - יותר מסוכן אחד"))</f>
        <v/>
      </c>
    </row>
    <row r="409" ht="15" customHeight="1" s="82">
      <c r="A409" s="94" t="inlineStr">
        <is>
          <t>ס. פארם</t>
        </is>
      </c>
      <c r="B409" s="94" t="inlineStr">
        <is>
          <t>BM ס.פ ביג יהוד</t>
        </is>
      </c>
      <c r="C409" s="111" t="n">
        <v>0</v>
      </c>
      <c r="D409" s="111" t="n">
        <v>0</v>
      </c>
      <c r="E409" s="111" t="n">
        <v>12779.4</v>
      </c>
      <c r="F409" s="111" t="n">
        <v>0</v>
      </c>
      <c r="G409" s="111" t="n">
        <v>0</v>
      </c>
      <c r="H409" s="94">
        <f>COUNTIF(C409:G409,"&lt;&gt;0")</f>
        <v/>
      </c>
      <c r="I409" s="94">
        <f>IF(H409=0,"לא מטופל",IF(H409=1,"מטופל - סוכן אחד","מטופל - יותר מסוכן אחד"))</f>
        <v/>
      </c>
    </row>
    <row r="410" ht="15" customHeight="1" s="82">
      <c r="A410" s="94" t="inlineStr">
        <is>
          <t>ס. פארם</t>
        </is>
      </c>
      <c r="B410" s="94" t="inlineStr">
        <is>
          <t>BM ס.פ ג'דיידה מכר</t>
        </is>
      </c>
      <c r="C410" s="111" t="n">
        <v>0</v>
      </c>
      <c r="D410" s="111" t="n">
        <v>4360.4</v>
      </c>
      <c r="E410" s="111" t="n">
        <v>0</v>
      </c>
      <c r="F410" s="111" t="n">
        <v>0</v>
      </c>
      <c r="G410" s="111" t="n">
        <v>0</v>
      </c>
      <c r="H410" s="94">
        <f>COUNTIF(C410:G410,"&lt;&gt;0")</f>
        <v/>
      </c>
      <c r="I410" s="94">
        <f>IF(H410=0,"לא מטופל",IF(H410=1,"מטופל - סוכן אחד","מטופל - יותר מסוכן אחד"))</f>
        <v/>
      </c>
    </row>
    <row r="411" ht="15" customHeight="1" s="82">
      <c r="A411" s="94" t="inlineStr">
        <is>
          <t>ס. פארם</t>
        </is>
      </c>
      <c r="B411" s="94" t="inlineStr">
        <is>
          <t>BM ס.פ דרך מצדה ב""ש</t>
        </is>
      </c>
      <c r="C411" s="111" t="n">
        <v>0</v>
      </c>
      <c r="D411" s="111" t="n">
        <v>0</v>
      </c>
      <c r="E411" s="111" t="n">
        <v>19336.5</v>
      </c>
      <c r="F411" s="111" t="n">
        <v>0</v>
      </c>
      <c r="G411" s="111" t="n">
        <v>0</v>
      </c>
      <c r="H411" s="94">
        <f>COUNTIF(C411:G411,"&lt;&gt;0")</f>
        <v/>
      </c>
      <c r="I411" s="94">
        <f>IF(H411=0,"לא מטופל",IF(H411=1,"מטופל - סוכן אחד","מטופל - יותר מסוכן אחד"))</f>
        <v/>
      </c>
    </row>
    <row r="412" ht="15" customHeight="1" s="82">
      <c r="A412" s="94" t="inlineStr">
        <is>
          <t>ס. פארם</t>
        </is>
      </c>
      <c r="B412" s="94" t="inlineStr">
        <is>
          <t>BM ס.פ שכונת הפארק בת ים</t>
        </is>
      </c>
      <c r="C412" s="111" t="n">
        <v>0</v>
      </c>
      <c r="D412" s="111" t="n">
        <v>0</v>
      </c>
      <c r="E412" s="111" t="n">
        <v>11973.6</v>
      </c>
      <c r="F412" s="111" t="n">
        <v>0</v>
      </c>
      <c r="G412" s="111" t="n">
        <v>0</v>
      </c>
      <c r="H412" s="94">
        <f>COUNTIF(C412:G412,"&lt;&gt;0")</f>
        <v/>
      </c>
      <c r="I412" s="94">
        <f>IF(H412=0,"לא מטופל",IF(H412=1,"מטופל - סוכן אחד","מטופל - יותר מסוכן אחד"))</f>
        <v/>
      </c>
    </row>
    <row r="413" ht="15" customHeight="1" s="82">
      <c r="A413" s="94" t="inlineStr">
        <is>
          <t>ס. פארם</t>
        </is>
      </c>
      <c r="B413" s="94" t="inlineStr">
        <is>
          <t>BM ס.פ יוקלר עפולה</t>
        </is>
      </c>
      <c r="C413" s="111" t="n">
        <v>0</v>
      </c>
      <c r="D413" s="111" t="n">
        <v>2375.5</v>
      </c>
      <c r="E413" s="111" t="n">
        <v>0</v>
      </c>
      <c r="F413" s="111" t="n">
        <v>0</v>
      </c>
      <c r="G413" s="111" t="n">
        <v>0</v>
      </c>
      <c r="H413" s="94">
        <f>COUNTIF(C413:G413,"&lt;&gt;0")</f>
        <v/>
      </c>
      <c r="I413" s="94">
        <f>IF(H413=0,"לא מטופל",IF(H413=1,"מטופל - סוכן אחד","מטופל - יותר מסוכן אחד"))</f>
        <v/>
      </c>
    </row>
    <row r="414" ht="15" customHeight="1" s="82">
      <c r="A414" s="94" t="inlineStr">
        <is>
          <t>ס. פארם</t>
        </is>
      </c>
      <c r="B414" s="94" t="inlineStr">
        <is>
          <t>BM ס.פ צורן</t>
        </is>
      </c>
      <c r="C414" s="111" t="n">
        <v>15298</v>
      </c>
      <c r="D414" s="111" t="n">
        <v>0</v>
      </c>
      <c r="E414" s="111" t="n">
        <v>0</v>
      </c>
      <c r="F414" s="111" t="n">
        <v>0</v>
      </c>
      <c r="G414" s="111" t="n">
        <v>0</v>
      </c>
      <c r="H414" s="94">
        <f>COUNTIF(C414:G414,"&lt;&gt;0")</f>
        <v/>
      </c>
      <c r="I414" s="94">
        <f>IF(H414=0,"לא מטופל",IF(H414=1,"מטופל - סוכן אחד","מטופל - יותר מסוכן אחד"))</f>
        <v/>
      </c>
    </row>
    <row r="415" ht="15" customHeight="1" s="82">
      <c r="A415" s="94" t="inlineStr">
        <is>
          <t>ס. פארם</t>
        </is>
      </c>
      <c r="B415" s="94" t="inlineStr">
        <is>
          <t>BM ס.פ פסגת דן רמת גן</t>
        </is>
      </c>
      <c r="C415" s="111" t="n">
        <v>0</v>
      </c>
      <c r="D415" s="111" t="n">
        <v>0</v>
      </c>
      <c r="E415" s="111" t="n">
        <v>6747.5</v>
      </c>
      <c r="F415" s="111" t="n">
        <v>0</v>
      </c>
      <c r="G415" s="111" t="n">
        <v>0</v>
      </c>
      <c r="H415" s="94">
        <f>COUNTIF(C415:G415,"&lt;&gt;0")</f>
        <v/>
      </c>
      <c r="I415" s="94">
        <f>IF(H415=0,"לא מטופל",IF(H415=1,"מטופל - סוכן אחד","מטופל - יותר מסוכן אחד"))</f>
        <v/>
      </c>
    </row>
    <row r="416" ht="15" customHeight="1" s="82">
      <c r="A416" s="94" t="inlineStr">
        <is>
          <t>ס. פארם</t>
        </is>
      </c>
      <c r="B416" s="94" t="inlineStr">
        <is>
          <t>BM ס.פ דימונה דימרי סנטר</t>
        </is>
      </c>
      <c r="C416" s="111" t="n">
        <v>0</v>
      </c>
      <c r="D416" s="111" t="n">
        <v>0</v>
      </c>
      <c r="E416" s="111" t="n">
        <v>0</v>
      </c>
      <c r="F416" s="111" t="n">
        <v>0</v>
      </c>
      <c r="G416" s="111" t="n">
        <v>10482.3</v>
      </c>
      <c r="H416" s="94">
        <f>COUNTIF(C416:G416,"&lt;&gt;0")</f>
        <v/>
      </c>
      <c r="I416" s="94">
        <f>IF(H416=0,"לא מטופל",IF(H416=1,"מטופל - סוכן אחד","מטופל - יותר מסוכן אחד"))</f>
        <v/>
      </c>
    </row>
    <row r="417" ht="15" customHeight="1" s="82">
      <c r="A417" s="94" t="inlineStr">
        <is>
          <t>ס. פארם</t>
        </is>
      </c>
      <c r="B417" s="94" t="inlineStr">
        <is>
          <t>BM ס.פ נתיבות מערב</t>
        </is>
      </c>
      <c r="C417" s="111" t="n">
        <v>0</v>
      </c>
      <c r="D417" s="111" t="n">
        <v>0</v>
      </c>
      <c r="E417" s="111" t="n">
        <v>0</v>
      </c>
      <c r="F417" s="111" t="n">
        <v>0</v>
      </c>
      <c r="G417" s="111" t="n">
        <v>3529.3</v>
      </c>
      <c r="H417" s="94">
        <f>COUNTIF(C417:G417,"&lt;&gt;0")</f>
        <v/>
      </c>
      <c r="I417" s="94">
        <f>IF(H417=0,"לא מטופל",IF(H417=1,"מטופל - סוכן אחד","מטופל - יותר מסוכן אחד"))</f>
        <v/>
      </c>
    </row>
    <row r="418" ht="15" customHeight="1" s="82">
      <c r="A418" s="94" t="inlineStr">
        <is>
          <t>ס. פארם</t>
        </is>
      </c>
      <c r="B418" s="94" t="inlineStr">
        <is>
          <t>BM ס.פ ברנע אשקלון</t>
        </is>
      </c>
      <c r="C418" s="111" t="n">
        <v>0</v>
      </c>
      <c r="D418" s="111" t="n">
        <v>0</v>
      </c>
      <c r="E418" s="111" t="n">
        <v>0</v>
      </c>
      <c r="F418" s="111" t="n">
        <v>0</v>
      </c>
      <c r="G418" s="111" t="n">
        <v>18660.8</v>
      </c>
      <c r="H418" s="94">
        <f>COUNTIF(C418:G418,"&lt;&gt;0")</f>
        <v/>
      </c>
      <c r="I418" s="94">
        <f>IF(H418=0,"לא מטופל",IF(H418=1,"מטופל - סוכן אחד","מטופל - יותר מסוכן אחד"))</f>
        <v/>
      </c>
    </row>
    <row r="419" ht="15" customHeight="1" s="82">
      <c r="A419" s="94" t="inlineStr">
        <is>
          <t>ס. פארם</t>
        </is>
      </c>
      <c r="B419" s="94" t="inlineStr">
        <is>
          <t>BM ס.פ כפר יונה</t>
        </is>
      </c>
      <c r="C419" s="111" t="n">
        <v>14023.2</v>
      </c>
      <c r="D419" s="111" t="n">
        <v>0</v>
      </c>
      <c r="E419" s="111" t="n">
        <v>0</v>
      </c>
      <c r="F419" s="111" t="n">
        <v>0</v>
      </c>
      <c r="G419" s="111" t="n">
        <v>0</v>
      </c>
      <c r="H419" s="94">
        <f>COUNTIF(C419:G419,"&lt;&gt;0")</f>
        <v/>
      </c>
      <c r="I419" s="94">
        <f>IF(H419=0,"לא מטופל",IF(H419=1,"מטופל - סוכן אחד","מטופל - יותר מסוכן אחד"))</f>
        <v/>
      </c>
    </row>
    <row r="420" ht="15" customHeight="1" s="82">
      <c r="A420" s="94" t="inlineStr">
        <is>
          <t>ס. פארם</t>
        </is>
      </c>
      <c r="B420" s="94" t="inlineStr">
        <is>
          <t>BM ס.פ נווה זמר רעננה</t>
        </is>
      </c>
      <c r="C420" s="111" t="n">
        <v>10389.8</v>
      </c>
      <c r="D420" s="111" t="n">
        <v>0</v>
      </c>
      <c r="E420" s="111" t="n">
        <v>0</v>
      </c>
      <c r="F420" s="111" t="n">
        <v>0</v>
      </c>
      <c r="G420" s="111" t="n">
        <v>0</v>
      </c>
      <c r="H420" s="94">
        <f>COUNTIF(C420:G420,"&lt;&gt;0")</f>
        <v/>
      </c>
      <c r="I420" s="94">
        <f>IF(H420=0,"לא מטופל",IF(H420=1,"מטופל - סוכן אחד","מטופל - יותר מסוכן אחד"))</f>
        <v/>
      </c>
    </row>
    <row r="421" ht="15" customHeight="1" s="82">
      <c r="A421" s="94" t="inlineStr">
        <is>
          <t>ס. פארם</t>
        </is>
      </c>
      <c r="B421" s="94" t="inlineStr">
        <is>
          <t>BM ס.פ הנשיאים הוד השרון</t>
        </is>
      </c>
      <c r="C421" s="111" t="n">
        <v>10346</v>
      </c>
      <c r="D421" s="111" t="n">
        <v>0</v>
      </c>
      <c r="E421" s="111" t="n">
        <v>0</v>
      </c>
      <c r="F421" s="111" t="n">
        <v>0</v>
      </c>
      <c r="G421" s="111" t="n">
        <v>0</v>
      </c>
      <c r="H421" s="94">
        <f>COUNTIF(C421:G421,"&lt;&gt;0")</f>
        <v/>
      </c>
      <c r="I421" s="94">
        <f>IF(H421=0,"לא מטופל",IF(H421=1,"מטופל - סוכן אחד","מטופל - יותר מסוכן אחד"))</f>
        <v/>
      </c>
    </row>
    <row r="422" ht="15" customHeight="1" s="82">
      <c r="A422" s="94" t="inlineStr">
        <is>
          <t>ס. פארם</t>
        </is>
      </c>
      <c r="B422" s="94" t="inlineStr">
        <is>
          <t>BM ס.פ טירה</t>
        </is>
      </c>
      <c r="C422" s="111" t="n">
        <v>0</v>
      </c>
      <c r="D422" s="111" t="n">
        <v>0</v>
      </c>
      <c r="E422" s="111" t="n">
        <v>5557.1</v>
      </c>
      <c r="F422" s="111" t="n">
        <v>0</v>
      </c>
      <c r="G422" s="111" t="n">
        <v>0</v>
      </c>
      <c r="H422" s="94">
        <f>COUNTIF(C422:G422,"&lt;&gt;0")</f>
        <v/>
      </c>
      <c r="I422" s="94">
        <f>IF(H422=0,"לא מטופל",IF(H422=1,"מטופל - סוכן אחד","מטופל - יותר מסוכן אחד"))</f>
        <v/>
      </c>
    </row>
    <row r="423" ht="15" customHeight="1" s="82">
      <c r="A423" s="94" t="inlineStr">
        <is>
          <t>ס. פארם</t>
        </is>
      </c>
      <c r="B423" s="94" t="inlineStr">
        <is>
          <t>BM ס.פ צים גני תקווה</t>
        </is>
      </c>
      <c r="C423" s="111" t="n">
        <v>0</v>
      </c>
      <c r="D423" s="111" t="n">
        <v>0</v>
      </c>
      <c r="E423" s="111" t="n">
        <v>15782.6</v>
      </c>
      <c r="F423" s="111" t="n">
        <v>0</v>
      </c>
      <c r="G423" s="111" t="n">
        <v>0</v>
      </c>
      <c r="H423" s="94">
        <f>COUNTIF(C423:G423,"&lt;&gt;0")</f>
        <v/>
      </c>
      <c r="I423" s="94">
        <f>IF(H423=0,"לא מטופל",IF(H423=1,"מטופל - סוכן אחד","מטופל - יותר מסוכן אחד"))</f>
        <v/>
      </c>
    </row>
    <row r="424" ht="15" customHeight="1" s="82">
      <c r="A424" s="94" t="inlineStr">
        <is>
          <t>ס. פארם</t>
        </is>
      </c>
      <c r="B424" s="94" t="inlineStr">
        <is>
          <t>BM ס.פ הדר גנים פתח תקווה</t>
        </is>
      </c>
      <c r="C424" s="111" t="n">
        <v>0</v>
      </c>
      <c r="D424" s="111" t="n">
        <v>0</v>
      </c>
      <c r="E424" s="111" t="n">
        <v>7905.4</v>
      </c>
      <c r="F424" s="111" t="n">
        <v>0</v>
      </c>
      <c r="G424" s="111" t="n">
        <v>0</v>
      </c>
      <c r="H424" s="94">
        <f>COUNTIF(C424:G424,"&lt;&gt;0")</f>
        <v/>
      </c>
      <c r="I424" s="94">
        <f>IF(H424=0,"לא מטופל",IF(H424=1,"מטופל - סוכן אחד","מטופל - יותר מסוכן אחד"))</f>
        <v/>
      </c>
    </row>
    <row r="425" ht="15" customHeight="1" s="82">
      <c r="A425" s="94" t="inlineStr">
        <is>
          <t>ס. פארם</t>
        </is>
      </c>
      <c r="B425" s="94" t="inlineStr">
        <is>
          <t>BM  ס.פ פארק הנחל ב""ש</t>
        </is>
      </c>
      <c r="C425" s="111" t="n">
        <v>0</v>
      </c>
      <c r="D425" s="111" t="n">
        <v>0</v>
      </c>
      <c r="E425" s="111" t="n">
        <v>3479.4</v>
      </c>
      <c r="F425" s="111" t="n">
        <v>0</v>
      </c>
      <c r="G425" s="111" t="n">
        <v>0</v>
      </c>
      <c r="H425" s="94">
        <f>COUNTIF(C425:G425,"&lt;&gt;0")</f>
        <v/>
      </c>
      <c r="I425" s="94">
        <f>IF(H425=0,"לא מטופל",IF(H425=1,"מטופל - סוכן אחד","מטופל - יותר מסוכן אחד"))</f>
        <v/>
      </c>
    </row>
    <row r="426" ht="15" customHeight="1" s="82">
      <c r="A426" s="94" t="inlineStr">
        <is>
          <t>ס. פארם</t>
        </is>
      </c>
      <c r="B426" s="94" t="inlineStr">
        <is>
          <t>BM ס.פ בסר סיטי פתח תקוה</t>
        </is>
      </c>
      <c r="C426" s="111" t="n">
        <v>0</v>
      </c>
      <c r="D426" s="111" t="n">
        <v>0</v>
      </c>
      <c r="E426" s="111" t="n">
        <v>4476.1</v>
      </c>
      <c r="F426" s="111" t="n">
        <v>0</v>
      </c>
      <c r="G426" s="111" t="n">
        <v>0</v>
      </c>
      <c r="H426" s="94">
        <f>COUNTIF(C426:G426,"&lt;&gt;0")</f>
        <v/>
      </c>
      <c r="I426" s="94">
        <f>IF(H426=0,"לא מטופל",IF(H426=1,"מטופל - סוכן אחד","מטופל - יותר מסוכן אחד"))</f>
        <v/>
      </c>
    </row>
    <row r="427" ht="15" customHeight="1" s="82">
      <c r="A427" s="94" t="inlineStr">
        <is>
          <t>ס. פארם</t>
        </is>
      </c>
      <c r="B427" s="94" t="inlineStr">
        <is>
          <t>BM ס.פ גליל ים הרצליה</t>
        </is>
      </c>
      <c r="C427" s="111" t="n">
        <v>4083.4</v>
      </c>
      <c r="D427" s="111" t="n">
        <v>0</v>
      </c>
      <c r="E427" s="111" t="n">
        <v>0</v>
      </c>
      <c r="F427" s="111" t="n">
        <v>0</v>
      </c>
      <c r="G427" s="111" t="n">
        <v>0</v>
      </c>
      <c r="H427" s="94">
        <f>COUNTIF(C427:G427,"&lt;&gt;0")</f>
        <v/>
      </c>
      <c r="I427" s="94">
        <f>IF(H427=0,"לא מטופל",IF(H427=1,"מטופל - סוכן אחד","מטופל - יותר מסוכן אחד"))</f>
        <v/>
      </c>
    </row>
    <row r="428" ht="15" customHeight="1" s="82">
      <c r="A428" s="94" t="inlineStr">
        <is>
          <t>ס. פארם</t>
        </is>
      </c>
      <c r="B428" s="94" t="inlineStr">
        <is>
          <t>BM ס.פ עראבה</t>
        </is>
      </c>
      <c r="C428" s="111" t="n">
        <v>0</v>
      </c>
      <c r="D428" s="111" t="n">
        <v>7884.7</v>
      </c>
      <c r="E428" s="111" t="n">
        <v>0</v>
      </c>
      <c r="F428" s="111" t="n">
        <v>0</v>
      </c>
      <c r="G428" s="111" t="n">
        <v>0</v>
      </c>
      <c r="H428" s="94">
        <f>COUNTIF(C428:G428,"&lt;&gt;0")</f>
        <v/>
      </c>
      <c r="I428" s="94">
        <f>IF(H428=0,"לא מטופל",IF(H428=1,"מטופל - סוכן אחד","מטופל - יותר מסוכן אחד"))</f>
        <v/>
      </c>
    </row>
    <row r="429" ht="15" customHeight="1" s="82">
      <c r="A429" s="94" t="inlineStr">
        <is>
          <t>ס. פארם</t>
        </is>
      </c>
      <c r="B429" s="94" t="inlineStr">
        <is>
          <t>BM ס.פ קרני שומרון</t>
        </is>
      </c>
      <c r="C429" s="111" t="n">
        <v>0</v>
      </c>
      <c r="D429" s="111" t="n">
        <v>0</v>
      </c>
      <c r="E429" s="111" t="n">
        <v>6094.9</v>
      </c>
      <c r="F429" s="111" t="n">
        <v>0</v>
      </c>
      <c r="G429" s="111" t="n">
        <v>0</v>
      </c>
      <c r="H429" s="94">
        <f>COUNTIF(C429:G429,"&lt;&gt;0")</f>
        <v/>
      </c>
      <c r="I429" s="94">
        <f>IF(H429=0,"לא מטופל",IF(H429=1,"מטופל - סוכן אחד","מטופל - יותר מסוכן אחד"))</f>
        <v/>
      </c>
    </row>
    <row r="430" ht="15" customHeight="1" s="82">
      <c r="A430" s="94" t="inlineStr">
        <is>
          <t>ס. פארם</t>
        </is>
      </c>
      <c r="B430" s="94" t="inlineStr">
        <is>
          <t>BM ס.פ אגמים אשקלון</t>
        </is>
      </c>
      <c r="C430" s="111" t="n">
        <v>0</v>
      </c>
      <c r="D430" s="111" t="n">
        <v>0</v>
      </c>
      <c r="E430" s="111" t="n">
        <v>0</v>
      </c>
      <c r="F430" s="111" t="n">
        <v>0</v>
      </c>
      <c r="G430" s="111" t="n">
        <v>7969.3</v>
      </c>
      <c r="H430" s="94">
        <f>COUNTIF(C430:G430,"&lt;&gt;0")</f>
        <v/>
      </c>
      <c r="I430" s="94">
        <f>IF(H430=0,"לא מטופל",IF(H430=1,"מטופל - סוכן אחד","מטופל - יותר מסוכן אחד"))</f>
        <v/>
      </c>
    </row>
    <row r="431" ht="15" customHeight="1" s="82">
      <c r="A431" s="94" t="inlineStr">
        <is>
          <t>ס. פארם</t>
        </is>
      </c>
      <c r="B431" s="94" t="inlineStr">
        <is>
          <t>BM ס.פ שפיר סנטר ראש העין</t>
        </is>
      </c>
      <c r="C431" s="111" t="n">
        <v>0</v>
      </c>
      <c r="D431" s="111" t="n">
        <v>0</v>
      </c>
      <c r="E431" s="111" t="n">
        <v>14247</v>
      </c>
      <c r="F431" s="111" t="n">
        <v>0</v>
      </c>
      <c r="G431" s="111" t="n">
        <v>0</v>
      </c>
      <c r="H431" s="94">
        <f>COUNTIF(C431:G431,"&lt;&gt;0")</f>
        <v/>
      </c>
      <c r="I431" s="94">
        <f>IF(H431=0,"לא מטופל",IF(H431=1,"מטופל - סוכן אחד","מטופל - יותר מסוכן אחד"))</f>
        <v/>
      </c>
    </row>
    <row r="432" ht="15" customHeight="1" s="82">
      <c r="A432" s="94" t="inlineStr">
        <is>
          <t>ס. פארם</t>
        </is>
      </c>
      <c r="B432" s="94" t="inlineStr">
        <is>
          <t>671 BM ס.פ פבריק עמק חפר</t>
        </is>
      </c>
      <c r="C432" s="111" t="n">
        <v>0</v>
      </c>
      <c r="D432" s="111" t="n">
        <v>41267.4</v>
      </c>
      <c r="E432" s="111" t="n">
        <v>0</v>
      </c>
      <c r="F432" s="111" t="n">
        <v>0</v>
      </c>
      <c r="G432" s="111" t="n">
        <v>0</v>
      </c>
      <c r="H432" s="94">
        <f>COUNTIF(C432:G432,"&lt;&gt;0")</f>
        <v/>
      </c>
      <c r="I432" s="94">
        <f>IF(H432=0,"לא מטופל",IF(H432=1,"מטופל - סוכן אחד","מטופל - יותר מסוכן אחד"))</f>
        <v/>
      </c>
    </row>
    <row r="433" ht="15" customHeight="1" s="82">
      <c r="A433" s="94" t="inlineStr">
        <is>
          <t>ס. פארם</t>
        </is>
      </c>
      <c r="B433" s="94" t="inlineStr">
        <is>
          <t>BM ס.פ חורה</t>
        </is>
      </c>
      <c r="C433" s="111" t="n">
        <v>0</v>
      </c>
      <c r="D433" s="111" t="n">
        <v>0</v>
      </c>
      <c r="E433" s="111" t="n">
        <v>4750.5</v>
      </c>
      <c r="F433" s="111" t="n">
        <v>0</v>
      </c>
      <c r="G433" s="111" t="n">
        <v>0</v>
      </c>
      <c r="H433" s="94">
        <f>COUNTIF(C433:G433,"&lt;&gt;0")</f>
        <v/>
      </c>
      <c r="I433" s="94">
        <f>IF(H433=0,"לא מטופל",IF(H433=1,"מטופל - סוכן אחד","מטופל - יותר מסוכן אחד"))</f>
        <v/>
      </c>
    </row>
    <row r="434" ht="15" customHeight="1" s="82">
      <c r="A434" s="94" t="inlineStr">
        <is>
          <t>ס. פארם</t>
        </is>
      </c>
      <c r="B434" s="94" t="inlineStr">
        <is>
          <t>BM ס.פ צים טייבה</t>
        </is>
      </c>
      <c r="C434" s="111" t="n">
        <v>0</v>
      </c>
      <c r="D434" s="111" t="n">
        <v>0</v>
      </c>
      <c r="E434" s="111" t="n">
        <v>5981.2</v>
      </c>
      <c r="F434" s="111" t="n">
        <v>0</v>
      </c>
      <c r="G434" s="111" t="n">
        <v>0</v>
      </c>
      <c r="H434" s="94">
        <f>COUNTIF(C434:G434,"&lt;&gt;0")</f>
        <v/>
      </c>
      <c r="I434" s="94">
        <f>IF(H434=0,"לא מטופל",IF(H434=1,"מטופל - סוכן אחד","מטופל - יותר מסוכן אחד"))</f>
        <v/>
      </c>
    </row>
    <row r="435" ht="15" customHeight="1" s="82">
      <c r="A435" s="94" t="inlineStr">
        <is>
          <t>ס. פארם</t>
        </is>
      </c>
      <c r="B435" s="94" t="inlineStr">
        <is>
          <t>BM ס.פ נאות שמיר רמלה</t>
        </is>
      </c>
      <c r="C435" s="111" t="n">
        <v>0</v>
      </c>
      <c r="D435" s="111" t="n">
        <v>0</v>
      </c>
      <c r="E435" s="111" t="n">
        <v>2926.2</v>
      </c>
      <c r="F435" s="111" t="n">
        <v>0</v>
      </c>
      <c r="G435" s="111" t="n">
        <v>0</v>
      </c>
      <c r="H435" s="94">
        <f>COUNTIF(C435:G435,"&lt;&gt;0")</f>
        <v/>
      </c>
      <c r="I435" s="94">
        <f>IF(H435=0,"לא מטופל",IF(H435=1,"מטופל - סוכן אחד","מטופל - יותר מסוכן אחד"))</f>
        <v/>
      </c>
    </row>
    <row r="436" ht="15" customHeight="1" s="82">
      <c r="A436" s="94" t="inlineStr">
        <is>
          <t>ס. פארם</t>
        </is>
      </c>
      <c r="B436" s="94" t="inlineStr">
        <is>
          <t>BM ס.פ ר. אביב גימל</t>
        </is>
      </c>
      <c r="C436" s="111" t="n">
        <v>18519.5</v>
      </c>
      <c r="D436" s="111" t="n">
        <v>0</v>
      </c>
      <c r="E436" s="111" t="n">
        <v>0</v>
      </c>
      <c r="F436" s="111" t="n">
        <v>0</v>
      </c>
      <c r="G436" s="111" t="n">
        <v>0</v>
      </c>
      <c r="H436" s="94">
        <f>COUNTIF(C436:G436,"&lt;&gt;0")</f>
        <v/>
      </c>
      <c r="I436" s="94">
        <f>IF(H436=0,"לא מטופל",IF(H436=1,"מטופל - סוכן אחד","מטופל - יותר מסוכן אחד"))</f>
        <v/>
      </c>
    </row>
    <row r="437" ht="15" customHeight="1" s="82">
      <c r="A437" s="94" t="inlineStr">
        <is>
          <t>ס. פארם</t>
        </is>
      </c>
      <c r="B437" s="94" t="inlineStr">
        <is>
          <t>BM ס.פ נרקיסים ראשון לציון</t>
        </is>
      </c>
      <c r="C437" s="111" t="n">
        <v>10044.3</v>
      </c>
      <c r="D437" s="111" t="n">
        <v>0</v>
      </c>
      <c r="E437" s="111" t="n">
        <v>0</v>
      </c>
      <c r="F437" s="111" t="n">
        <v>0</v>
      </c>
      <c r="G437" s="111" t="n">
        <v>0</v>
      </c>
      <c r="H437" s="94">
        <f>COUNTIF(C437:G437,"&lt;&gt;0")</f>
        <v/>
      </c>
      <c r="I437" s="94">
        <f>IF(H437=0,"לא מטופל",IF(H437=1,"מטופל - סוכן אחד","מטופל - יותר מסוכן אחד"))</f>
        <v/>
      </c>
    </row>
    <row r="438" ht="15" customHeight="1" s="82">
      <c r="A438" s="94" t="inlineStr">
        <is>
          <t>ס. פארם</t>
        </is>
      </c>
      <c r="B438" s="94" t="inlineStr">
        <is>
          <t>BM ס.פ חריש בעיר</t>
        </is>
      </c>
      <c r="C438" s="111" t="n">
        <v>0</v>
      </c>
      <c r="D438" s="111" t="n">
        <v>9129</v>
      </c>
      <c r="E438" s="111" t="n">
        <v>0</v>
      </c>
      <c r="F438" s="111" t="n">
        <v>0</v>
      </c>
      <c r="G438" s="111" t="n">
        <v>0</v>
      </c>
      <c r="H438" s="94">
        <f>COUNTIF(C438:G438,"&lt;&gt;0")</f>
        <v/>
      </c>
      <c r="I438" s="94">
        <f>IF(H438=0,"לא מטופל",IF(H438=1,"מטופל - סוכן אחד","מטופל - יותר מסוכן אחד"))</f>
        <v/>
      </c>
    </row>
    <row r="439" ht="15" customHeight="1" s="82">
      <c r="A439" s="94" t="inlineStr">
        <is>
          <t>ס. פארם</t>
        </is>
      </c>
      <c r="B439" s="94" t="inlineStr">
        <is>
          <t>BM ס.פ מורשת מודיעין</t>
        </is>
      </c>
      <c r="C439" s="111" t="n">
        <v>0</v>
      </c>
      <c r="D439" s="111" t="n">
        <v>0</v>
      </c>
      <c r="E439" s="111" t="n">
        <v>0</v>
      </c>
      <c r="F439" s="111" t="n">
        <v>0</v>
      </c>
      <c r="G439" s="111" t="n">
        <v>4966.1</v>
      </c>
      <c r="H439" s="94">
        <f>COUNTIF(C439:G439,"&lt;&gt;0")</f>
        <v/>
      </c>
      <c r="I439" s="94">
        <f>IF(H439=0,"לא מטופל",IF(H439=1,"מטופל - סוכן אחד","מטופל - יותר מסוכן אחד"))</f>
        <v/>
      </c>
    </row>
    <row r="440" ht="15" customHeight="1" s="82">
      <c r="A440" s="94" t="inlineStr">
        <is>
          <t>ס. פארם</t>
        </is>
      </c>
      <c r="B440" s="94" t="inlineStr">
        <is>
          <t>BM ס.פ מרכז הנשיא רחובות</t>
        </is>
      </c>
      <c r="C440" s="111" t="n">
        <v>0</v>
      </c>
      <c r="D440" s="111" t="n">
        <v>0</v>
      </c>
      <c r="E440" s="111" t="n">
        <v>0</v>
      </c>
      <c r="F440" s="111" t="n">
        <v>0</v>
      </c>
      <c r="G440" s="111" t="n">
        <v>9685</v>
      </c>
      <c r="H440" s="94">
        <f>COUNTIF(C440:G440,"&lt;&gt;0")</f>
        <v/>
      </c>
      <c r="I440" s="94">
        <f>IF(H440=0,"לא מטופל",IF(H440=1,"מטופל - סוכן אחד","מטופל - יותר מסוכן אחד"))</f>
        <v/>
      </c>
    </row>
    <row r="441" ht="15" customHeight="1" s="82">
      <c r="A441" s="94" t="inlineStr">
        <is>
          <t>ס. פארם</t>
        </is>
      </c>
      <c r="B441" s="94" t="inlineStr">
        <is>
          <t>BM ס.פ אונו פארק</t>
        </is>
      </c>
      <c r="C441" s="111" t="n">
        <v>0</v>
      </c>
      <c r="D441" s="111" t="n">
        <v>0</v>
      </c>
      <c r="E441" s="111" t="n">
        <v>7816.2</v>
      </c>
      <c r="F441" s="111" t="n">
        <v>0</v>
      </c>
      <c r="G441" s="111" t="n">
        <v>0</v>
      </c>
      <c r="H441" s="94">
        <f>COUNTIF(C441:G441,"&lt;&gt;0")</f>
        <v/>
      </c>
      <c r="I441" s="94">
        <f>IF(H441=0,"לא מטופל",IF(H441=1,"מטופל - סוכן אחד","מטופל - יותר מסוכן אחד"))</f>
        <v/>
      </c>
    </row>
    <row r="442" ht="15" customHeight="1" s="82">
      <c r="A442" s="94" t="inlineStr">
        <is>
          <t>ס. פארם</t>
        </is>
      </c>
      <c r="B442" s="94" t="inlineStr">
        <is>
          <t>BM ס.פ מגדל ספיר</t>
        </is>
      </c>
      <c r="C442" s="111" t="n">
        <v>0</v>
      </c>
      <c r="D442" s="111" t="n">
        <v>0</v>
      </c>
      <c r="E442" s="111" t="n">
        <v>15334.8</v>
      </c>
      <c r="F442" s="111" t="n">
        <v>0</v>
      </c>
      <c r="G442" s="111" t="n">
        <v>0</v>
      </c>
      <c r="H442" s="94">
        <f>COUNTIF(C442:G442,"&lt;&gt;0")</f>
        <v/>
      </c>
      <c r="I442" s="94">
        <f>IF(H442=0,"לא מטופל",IF(H442=1,"מטופל - סוכן אחד","מטופל - יותר מסוכן אחד"))</f>
        <v/>
      </c>
    </row>
    <row r="443" ht="15" customHeight="1" s="82">
      <c r="A443" s="94" t="inlineStr">
        <is>
          <t>ס. פארם</t>
        </is>
      </c>
      <c r="B443" s="94" t="inlineStr">
        <is>
          <t>BM ק. ים SEA ס.פ</t>
        </is>
      </c>
      <c r="C443" s="111" t="n">
        <v>0</v>
      </c>
      <c r="D443" s="111" t="n">
        <v>5187.3</v>
      </c>
      <c r="E443" s="111" t="n">
        <v>0</v>
      </c>
      <c r="F443" s="111" t="n">
        <v>0</v>
      </c>
      <c r="G443" s="111" t="n">
        <v>0</v>
      </c>
      <c r="H443" s="94">
        <f>COUNTIF(C443:G443,"&lt;&gt;0")</f>
        <v/>
      </c>
      <c r="I443" s="94">
        <f>IF(H443=0,"לא מטופל",IF(H443=1,"מטופל - סוכן אחד","מטופל - יותר מסוכן אחד"))</f>
        <v/>
      </c>
    </row>
    <row r="444" ht="15" customHeight="1" s="82">
      <c r="A444" s="94" t="inlineStr">
        <is>
          <t>ס. פארם</t>
        </is>
      </c>
      <c r="B444" s="94" t="inlineStr">
        <is>
          <t>BM ס.פ גבעת אלונים</t>
        </is>
      </c>
      <c r="C444" s="111" t="n">
        <v>0</v>
      </c>
      <c r="D444" s="111" t="n">
        <v>1815.5</v>
      </c>
      <c r="E444" s="111" t="n">
        <v>0</v>
      </c>
      <c r="F444" s="111" t="n">
        <v>0</v>
      </c>
      <c r="G444" s="111" t="n">
        <v>0</v>
      </c>
      <c r="H444" s="94">
        <f>COUNTIF(C444:G444,"&lt;&gt;0")</f>
        <v/>
      </c>
      <c r="I444" s="94">
        <f>IF(H444=0,"לא מטופל",IF(H444=1,"מטופל - סוכן אחד","מטופל - יותר מסוכן אחד"))</f>
        <v/>
      </c>
    </row>
    <row r="445" ht="15" customHeight="1" s="82">
      <c r="A445" s="94" t="inlineStr">
        <is>
          <t>ס. פארם</t>
        </is>
      </c>
      <c r="B445" s="94" t="inlineStr">
        <is>
          <t>BM ס.פ קרית היובל ירושלים</t>
        </is>
      </c>
      <c r="C445" s="111" t="n">
        <v>0</v>
      </c>
      <c r="D445" s="111" t="n">
        <v>0</v>
      </c>
      <c r="E445" s="111" t="n">
        <v>0</v>
      </c>
      <c r="F445" s="111" t="n">
        <v>0</v>
      </c>
      <c r="G445" s="111" t="n">
        <v>11413.3</v>
      </c>
      <c r="H445" s="94">
        <f>COUNTIF(C445:G445,"&lt;&gt;0")</f>
        <v/>
      </c>
      <c r="I445" s="94">
        <f>IF(H445=0,"לא מטופל",IF(H445=1,"מטופל - סוכן אחד","מטופל - יותר מסוכן אחד"))</f>
        <v/>
      </c>
    </row>
    <row r="446" ht="15" customHeight="1" s="82">
      <c r="A446" s="94" t="inlineStr">
        <is>
          <t>ס. פארם</t>
        </is>
      </c>
      <c r="B446" s="94" t="inlineStr">
        <is>
          <t>BM ס.פ אעבלין</t>
        </is>
      </c>
      <c r="C446" s="111" t="n">
        <v>0</v>
      </c>
      <c r="D446" s="111" t="n">
        <v>3026.2</v>
      </c>
      <c r="E446" s="111" t="n">
        <v>0</v>
      </c>
      <c r="F446" s="111" t="n">
        <v>0</v>
      </c>
      <c r="G446" s="111" t="n">
        <v>0</v>
      </c>
      <c r="H446" s="94">
        <f>COUNTIF(C446:G446,"&lt;&gt;0")</f>
        <v/>
      </c>
      <c r="I446" s="94">
        <f>IF(H446=0,"לא מטופל",IF(H446=1,"מטופל - סוכן אחד","מטופל - יותר מסוכן אחד"))</f>
        <v/>
      </c>
    </row>
    <row r="447" ht="15" customHeight="1" s="82">
      <c r="A447" s="94" t="inlineStr">
        <is>
          <t>ס. פארם</t>
        </is>
      </c>
      <c r="B447" s="94" t="inlineStr">
        <is>
          <t>BM ס.פ גאלרי ביג גלילות</t>
        </is>
      </c>
      <c r="C447" s="111" t="n">
        <v>39232.4</v>
      </c>
      <c r="D447" s="111" t="n">
        <v>0</v>
      </c>
      <c r="E447" s="111" t="n">
        <v>0</v>
      </c>
      <c r="F447" s="111" t="n">
        <v>0</v>
      </c>
      <c r="G447" s="111" t="n">
        <v>0</v>
      </c>
      <c r="H447" s="94">
        <f>COUNTIF(C447:G447,"&lt;&gt;0")</f>
        <v/>
      </c>
      <c r="I447" s="94">
        <f>IF(H447=0,"לא מטופל",IF(H447=1,"מטופל - סוכן אחד","מטופל - יותר מסוכן אחד"))</f>
        <v/>
      </c>
    </row>
    <row r="448" ht="15" customHeight="1" s="82">
      <c r="A448" s="94" t="inlineStr">
        <is>
          <t>ס. פארם</t>
        </is>
      </c>
      <c r="B448" s="94" t="inlineStr">
        <is>
          <t>BM ס.פ ביג כרמי גת</t>
        </is>
      </c>
      <c r="C448" s="111" t="n">
        <v>0</v>
      </c>
      <c r="D448" s="111" t="n">
        <v>0</v>
      </c>
      <c r="E448" s="111" t="n">
        <v>0</v>
      </c>
      <c r="F448" s="111" t="n">
        <v>0</v>
      </c>
      <c r="G448" s="111" t="n">
        <v>14996.4</v>
      </c>
      <c r="H448" s="94">
        <f>COUNTIF(C448:G448,"&lt;&gt;0")</f>
        <v/>
      </c>
      <c r="I448" s="94">
        <f>IF(H448=0,"לא מטופל",IF(H448=1,"מטופל - סוכן אחד","מטופל - יותר מסוכן אחד"))</f>
        <v/>
      </c>
    </row>
    <row r="449" ht="15" customHeight="1" s="82">
      <c r="A449" s="94" t="inlineStr">
        <is>
          <t>ס. פארם</t>
        </is>
      </c>
      <c r="B449" s="94" t="inlineStr">
        <is>
          <t>BM ס.פ בית חנינא</t>
        </is>
      </c>
      <c r="C449" s="111" t="n">
        <v>0</v>
      </c>
      <c r="D449" s="111" t="n">
        <v>0</v>
      </c>
      <c r="E449" s="111" t="n">
        <v>0</v>
      </c>
      <c r="F449" s="111" t="n">
        <v>0</v>
      </c>
      <c r="G449" s="111" t="n">
        <v>9663.6</v>
      </c>
      <c r="H449" s="94">
        <f>COUNTIF(C449:G449,"&lt;&gt;0")</f>
        <v/>
      </c>
      <c r="I449" s="94">
        <f>IF(H449=0,"לא מטופל",IF(H449=1,"מטופל - סוכן אחד","מטופל - יותר מסוכן אחד"))</f>
        <v/>
      </c>
    </row>
    <row r="450" ht="15" customHeight="1" s="82">
      <c r="A450" s="94" t="inlineStr">
        <is>
          <t>ס. פארם</t>
        </is>
      </c>
      <c r="B450" s="94" t="inlineStr">
        <is>
          <t>BM ס.פ פארק תעשיות עמק חפר</t>
        </is>
      </c>
      <c r="C450" s="111" t="n">
        <v>0</v>
      </c>
      <c r="D450" s="111" t="n">
        <v>-995.5</v>
      </c>
      <c r="E450" s="111" t="n">
        <v>0</v>
      </c>
      <c r="F450" s="111" t="n">
        <v>0</v>
      </c>
      <c r="G450" s="111" t="n">
        <v>0</v>
      </c>
      <c r="H450" s="94">
        <f>COUNTIF(C450:G450,"&lt;&gt;0")</f>
        <v/>
      </c>
      <c r="I450" s="94">
        <f>IF(H450=0,"לא מטופל",IF(H450=1,"מטופל - סוכן אחד","מטופל - יותר מסוכן אחד"))</f>
        <v/>
      </c>
    </row>
    <row r="451" ht="15" customHeight="1" s="82">
      <c r="A451" s="94" t="inlineStr">
        <is>
          <t>ס. פארם</t>
        </is>
      </c>
      <c r="B451" s="94" t="inlineStr">
        <is>
          <t>BM ס.פ הבנקים חיפה</t>
        </is>
      </c>
      <c r="C451" s="111" t="n">
        <v>0</v>
      </c>
      <c r="D451" s="111" t="n">
        <v>3940.4</v>
      </c>
      <c r="E451" s="111" t="n">
        <v>0</v>
      </c>
      <c r="F451" s="111" t="n">
        <v>0</v>
      </c>
      <c r="G451" s="111" t="n">
        <v>0</v>
      </c>
      <c r="H451" s="94">
        <f>COUNTIF(C451:G451,"&lt;&gt;0")</f>
        <v/>
      </c>
      <c r="I451" s="94">
        <f>IF(H451=0,"לא מטופל",IF(H451=1,"מטופל - סוכן אחד","מטופל - יותר מסוכן אחד"))</f>
        <v/>
      </c>
    </row>
    <row r="452" ht="15" customHeight="1" s="82">
      <c r="A452" s="94" t="inlineStr">
        <is>
          <t>ס. פארם</t>
        </is>
      </c>
      <c r="B452" s="94" t="inlineStr">
        <is>
          <t>BM ס.פ צים רהט</t>
        </is>
      </c>
      <c r="C452" s="111" t="n">
        <v>0</v>
      </c>
      <c r="D452" s="111" t="n">
        <v>0</v>
      </c>
      <c r="E452" s="111" t="n">
        <v>2761</v>
      </c>
      <c r="F452" s="111" t="n">
        <v>0</v>
      </c>
      <c r="G452" s="111" t="n">
        <v>0</v>
      </c>
      <c r="H452" s="94">
        <f>COUNTIF(C452:G452,"&lt;&gt;0")</f>
        <v/>
      </c>
      <c r="I452" s="94">
        <f>IF(H452=0,"לא מטופל",IF(H452=1,"מטופל - סוכן אחד","מטופל - יותר מסוכן אחד"))</f>
        <v/>
      </c>
    </row>
    <row r="453" ht="15" customHeight="1" s="82">
      <c r="A453" s="94" t="inlineStr">
        <is>
          <t>ס. פארם</t>
        </is>
      </c>
      <c r="B453" s="94" t="inlineStr">
        <is>
          <t>BM ס.פ ביג גדרה</t>
        </is>
      </c>
      <c r="C453" s="111" t="n">
        <v>0</v>
      </c>
      <c r="D453" s="111" t="n">
        <v>0</v>
      </c>
      <c r="E453" s="111" t="n">
        <v>12516.1</v>
      </c>
      <c r="F453" s="111" t="n">
        <v>0</v>
      </c>
      <c r="G453" s="111" t="n">
        <v>0</v>
      </c>
      <c r="H453" s="94">
        <f>COUNTIF(C453:G453,"&lt;&gt;0")</f>
        <v/>
      </c>
      <c r="I453" s="94">
        <f>IF(H453=0,"לא מטופל",IF(H453=1,"מטופל - סוכן אחד","מטופל - יותר מסוכן אחד"))</f>
        <v/>
      </c>
    </row>
    <row r="454" ht="15" customHeight="1" s="82">
      <c r="A454" s="94" t="inlineStr">
        <is>
          <t>ס. פארם</t>
        </is>
      </c>
      <c r="B454" s="94" t="inlineStr">
        <is>
          <t>BM ס.פ ביג מגדל העמק</t>
        </is>
      </c>
      <c r="C454" s="111" t="n">
        <v>0</v>
      </c>
      <c r="D454" s="111" t="n">
        <v>6794</v>
      </c>
      <c r="E454" s="111" t="n">
        <v>0</v>
      </c>
      <c r="F454" s="111" t="n">
        <v>0</v>
      </c>
      <c r="G454" s="111" t="n">
        <v>0</v>
      </c>
      <c r="H454" s="94">
        <f>COUNTIF(C454:G454,"&lt;&gt;0")</f>
        <v/>
      </c>
      <c r="I454" s="94">
        <f>IF(H454=0,"לא מטופל",IF(H454=1,"מטופל - סוכן אחד","מטופל - יותר מסוכן אחד"))</f>
        <v/>
      </c>
    </row>
    <row r="455" ht="15" customHeight="1" s="82">
      <c r="A455" s="94" t="inlineStr">
        <is>
          <t>ס. פארם</t>
        </is>
      </c>
      <c r="B455" s="94" t="inlineStr">
        <is>
          <t>BM ס.פ אפקה קרית ביאליק</t>
        </is>
      </c>
      <c r="C455" s="111" t="n">
        <v>0</v>
      </c>
      <c r="D455" s="111" t="n">
        <v>2209.3</v>
      </c>
      <c r="E455" s="111" t="n">
        <v>0</v>
      </c>
      <c r="F455" s="111" t="n">
        <v>0</v>
      </c>
      <c r="G455" s="111" t="n">
        <v>0</v>
      </c>
      <c r="H455" s="94">
        <f>COUNTIF(C455:G455,"&lt;&gt;0")</f>
        <v/>
      </c>
      <c r="I455" s="94">
        <f>IF(H455=0,"לא מטופל",IF(H455=1,"מטופל - סוכן אחד","מטופל - יותר מסוכן אחד"))</f>
        <v/>
      </c>
    </row>
    <row r="456" ht="15" customHeight="1" s="82">
      <c r="A456" s="94" t="inlineStr">
        <is>
          <t>ס. פארם</t>
        </is>
      </c>
      <c r="B456" s="94" t="inlineStr">
        <is>
          <t>BM ס.פ צים טמרה</t>
        </is>
      </c>
      <c r="C456" s="111" t="n">
        <v>0</v>
      </c>
      <c r="D456" s="111" t="n">
        <v>4665</v>
      </c>
      <c r="E456" s="111" t="n">
        <v>0</v>
      </c>
      <c r="F456" s="111" t="n">
        <v>0</v>
      </c>
      <c r="G456" s="111" t="n">
        <v>0</v>
      </c>
      <c r="H456" s="94">
        <f>COUNTIF(C456:G456,"&lt;&gt;0")</f>
        <v/>
      </c>
      <c r="I456" s="94">
        <f>IF(H456=0,"לא מטופל",IF(H456=1,"מטופל - סוכן אחד","מטופל - יותר מסוכן אחד"))</f>
        <v/>
      </c>
    </row>
    <row r="457" ht="15" customHeight="1" s="82">
      <c r="A457" s="94" t="inlineStr">
        <is>
          <t>ס. פארם</t>
        </is>
      </c>
      <c r="B457" s="94" t="inlineStr">
        <is>
          <t>BM ס.פ האומנים קרית מוצקין</t>
        </is>
      </c>
      <c r="C457" s="111" t="n">
        <v>0</v>
      </c>
      <c r="D457" s="111" t="n">
        <v>1149.7</v>
      </c>
      <c r="E457" s="111" t="n">
        <v>0</v>
      </c>
      <c r="F457" s="111" t="n">
        <v>0</v>
      </c>
      <c r="G457" s="111" t="n">
        <v>0</v>
      </c>
      <c r="H457" s="94">
        <f>COUNTIF(C457:G457,"&lt;&gt;0")</f>
        <v/>
      </c>
      <c r="I457" s="94">
        <f>IF(H457=0,"לא מטופל",IF(H457=1,"מטופל - סוכן אחד","מטופל - יותר מסוכן אחד"))</f>
        <v/>
      </c>
    </row>
    <row r="458" ht="15" customHeight="1" s="82">
      <c r="A458" s="94" t="inlineStr">
        <is>
          <t>ס. פארם</t>
        </is>
      </c>
      <c r="B458" s="94" t="inlineStr">
        <is>
          <t>BM ס.פ אשדוד טז</t>
        </is>
      </c>
      <c r="C458" s="111" t="n">
        <v>0</v>
      </c>
      <c r="D458" s="111" t="n">
        <v>0</v>
      </c>
      <c r="E458" s="111" t="n">
        <v>0</v>
      </c>
      <c r="F458" s="111" t="n">
        <v>0</v>
      </c>
      <c r="G458" s="111" t="n">
        <v>4716.9</v>
      </c>
      <c r="H458" s="94">
        <f>COUNTIF(C458:G458,"&lt;&gt;0")</f>
        <v/>
      </c>
      <c r="I458" s="94">
        <f>IF(H458=0,"לא מטופל",IF(H458=1,"מטופל - סוכן אחד","מטופל - יותר מסוכן אחד"))</f>
        <v/>
      </c>
    </row>
    <row r="459" ht="15" customHeight="1" s="82">
      <c r="A459" s="94" t="inlineStr">
        <is>
          <t>ס. פארם</t>
        </is>
      </c>
      <c r="B459" s="94" t="inlineStr">
        <is>
          <t>BM  ס.פ קלנסווה</t>
        </is>
      </c>
      <c r="C459" s="111" t="n">
        <v>12240.9</v>
      </c>
      <c r="D459" s="111" t="n">
        <v>0</v>
      </c>
      <c r="E459" s="111" t="n">
        <v>0</v>
      </c>
      <c r="F459" s="111" t="n">
        <v>0</v>
      </c>
      <c r="G459" s="111" t="n">
        <v>0</v>
      </c>
      <c r="H459" s="94">
        <f>COUNTIF(C459:G459,"&lt;&gt;0")</f>
        <v/>
      </c>
      <c r="I459" s="94">
        <f>IF(H459=0,"לא מטופל",IF(H459=1,"מטופל - סוכן אחד","מטופל - יותר מסוכן אחד"))</f>
        <v/>
      </c>
    </row>
    <row r="460" ht="15" customHeight="1" s="82">
      <c r="A460" s="94" t="inlineStr">
        <is>
          <t>שופרסל BE</t>
        </is>
      </c>
      <c r="B460" s="94" t="inlineStr">
        <is>
          <t>623 סביונים BE</t>
        </is>
      </c>
      <c r="C460" s="111" t="n">
        <v>0</v>
      </c>
      <c r="D460" s="111" t="n">
        <v>0</v>
      </c>
      <c r="E460" s="111" t="n">
        <v>13228.2</v>
      </c>
      <c r="F460" s="111" t="n">
        <v>0</v>
      </c>
      <c r="G460" s="111" t="n">
        <v>0</v>
      </c>
      <c r="H460" s="94">
        <f>COUNTIF(C460:G460,"&lt;&gt;0")</f>
        <v/>
      </c>
      <c r="I460" s="94">
        <f>IF(H460=0,"לא מטופל",IF(H460=1,"מטופל - סוכן אחד","מטופל - יותר מסוכן אחד"))</f>
        <v/>
      </c>
    </row>
    <row r="461" ht="15" customHeight="1" s="82">
      <c r="A461" s="94" t="inlineStr">
        <is>
          <t>שופרסל BE</t>
        </is>
      </c>
      <c r="B461" s="94" t="inlineStr">
        <is>
          <t>645  גבעת שמואל BE</t>
        </is>
      </c>
      <c r="C461" s="111" t="n">
        <v>0</v>
      </c>
      <c r="D461" s="111" t="n">
        <v>0</v>
      </c>
      <c r="E461" s="111" t="n">
        <v>13938.5</v>
      </c>
      <c r="F461" s="111" t="n">
        <v>0</v>
      </c>
      <c r="G461" s="111" t="n">
        <v>0</v>
      </c>
      <c r="H461" s="94">
        <f>COUNTIF(C461:G461,"&lt;&gt;0")</f>
        <v/>
      </c>
      <c r="I461" s="94">
        <f>IF(H461=0,"לא מטופל",IF(H461=1,"מטופל - סוכן אחד","מטופל - יותר מסוכן אחד"))</f>
        <v/>
      </c>
    </row>
    <row r="462" ht="15" customHeight="1" s="82">
      <c r="A462" s="94" t="inlineStr">
        <is>
          <t>שופרסל BE</t>
        </is>
      </c>
      <c r="B462" s="94" t="inlineStr">
        <is>
          <t>גבעת שמואל זיכויים BE</t>
        </is>
      </c>
      <c r="C462" s="111" t="n">
        <v>0</v>
      </c>
      <c r="D462" s="111" t="n">
        <v>0</v>
      </c>
      <c r="E462" s="111" t="n">
        <v>-15.4</v>
      </c>
      <c r="F462" s="111" t="n">
        <v>0</v>
      </c>
      <c r="G462" s="111" t="n">
        <v>0</v>
      </c>
      <c r="H462" s="94">
        <f>COUNTIF(C462:G462,"&lt;&gt;0")</f>
        <v/>
      </c>
      <c r="I462" s="94">
        <f>IF(H462=0,"לא מטופל",IF(H462=1,"מטופל - סוכן אחד","מטופל - יותר מסוכן אחד"))</f>
        <v/>
      </c>
    </row>
    <row r="463" ht="15" customHeight="1" s="82">
      <c r="A463" s="94" t="inlineStr">
        <is>
          <t>שופרסל BE</t>
        </is>
      </c>
      <c r="B463" s="94" t="inlineStr">
        <is>
          <t>691 אשדוד מדיקל BE</t>
        </is>
      </c>
      <c r="C463" s="111" t="n">
        <v>0</v>
      </c>
      <c r="D463" s="111" t="n">
        <v>0</v>
      </c>
      <c r="E463" s="111" t="n">
        <v>0</v>
      </c>
      <c r="F463" s="111" t="n">
        <v>0</v>
      </c>
      <c r="G463" s="111" t="n">
        <v>4426.9</v>
      </c>
      <c r="H463" s="94">
        <f>COUNTIF(C463:G463,"&lt;&gt;0")</f>
        <v/>
      </c>
      <c r="I463" s="94">
        <f>IF(H463=0,"לא מטופל",IF(H463=1,"מטופל - סוכן אחד","מטופל - יותר מסוכן אחד"))</f>
        <v/>
      </c>
    </row>
    <row r="464" ht="15" customHeight="1" s="82">
      <c r="A464" s="94" t="inlineStr">
        <is>
          <t>שופרסל BE</t>
        </is>
      </c>
      <c r="B464" s="94" t="inlineStr">
        <is>
          <t>672 אשדוד הסיטי BE</t>
        </is>
      </c>
      <c r="C464" s="111" t="n">
        <v>0</v>
      </c>
      <c r="D464" s="111" t="n">
        <v>0</v>
      </c>
      <c r="E464" s="111" t="n">
        <v>0</v>
      </c>
      <c r="F464" s="111" t="n">
        <v>0</v>
      </c>
      <c r="G464" s="111" t="n">
        <v>7676.4</v>
      </c>
      <c r="H464" s="94">
        <f>COUNTIF(C464:G464,"&lt;&gt;0")</f>
        <v/>
      </c>
      <c r="I464" s="94">
        <f>IF(H464=0,"לא מטופל",IF(H464=1,"מטופל - סוכן אחד","מטופל - יותר מסוכן אחד"))</f>
        <v/>
      </c>
    </row>
    <row r="465" ht="15" customHeight="1" s="82">
      <c r="A465" s="94" t="inlineStr">
        <is>
          <t>שופרסל BE</t>
        </is>
      </c>
      <c r="B465" s="94" t="inlineStr">
        <is>
          <t>684 שדרות BE</t>
        </is>
      </c>
      <c r="C465" s="111" t="n">
        <v>0</v>
      </c>
      <c r="D465" s="111" t="n">
        <v>0</v>
      </c>
      <c r="E465" s="111" t="n">
        <v>0</v>
      </c>
      <c r="F465" s="111" t="n">
        <v>0</v>
      </c>
      <c r="G465" s="111" t="n">
        <v>16077.4</v>
      </c>
      <c r="H465" s="94">
        <f>COUNTIF(C465:G465,"&lt;&gt;0")</f>
        <v/>
      </c>
      <c r="I465" s="94">
        <f>IF(H465=0,"לא מטופל",IF(H465=1,"מטופל - סוכן אחד","מטופל - יותר מסוכן אחד"))</f>
        <v/>
      </c>
    </row>
    <row r="466" ht="15" customHeight="1" s="82">
      <c r="A466" s="94" t="inlineStr">
        <is>
          <t>שופרסל BE</t>
        </is>
      </c>
      <c r="B466" s="94" t="inlineStr">
        <is>
          <t>634  בת ים BE</t>
        </is>
      </c>
      <c r="C466" s="111" t="n">
        <v>0</v>
      </c>
      <c r="D466" s="111" t="n">
        <v>0</v>
      </c>
      <c r="E466" s="111" t="n">
        <v>5456.7</v>
      </c>
      <c r="F466" s="111" t="n">
        <v>0</v>
      </c>
      <c r="G466" s="111" t="n">
        <v>0</v>
      </c>
      <c r="H466" s="94">
        <f>COUNTIF(C466:G466,"&lt;&gt;0")</f>
        <v/>
      </c>
      <c r="I466" s="94">
        <f>IF(H466=0,"לא מטופל",IF(H466=1,"מטופל - סוכן אחד","מטופל - יותר מסוכן אחד"))</f>
        <v/>
      </c>
    </row>
    <row r="467" ht="15" customHeight="1" s="82">
      <c r="A467" s="94" t="inlineStr">
        <is>
          <t>שופרסל BE</t>
        </is>
      </c>
      <c r="B467" s="94" t="inlineStr">
        <is>
          <t>631 וולפסון חולון BE</t>
        </is>
      </c>
      <c r="C467" s="111" t="n">
        <v>0</v>
      </c>
      <c r="D467" s="111" t="n">
        <v>0</v>
      </c>
      <c r="E467" s="111" t="n">
        <v>4352.3</v>
      </c>
      <c r="F467" s="111" t="n">
        <v>0</v>
      </c>
      <c r="G467" s="111" t="n">
        <v>0</v>
      </c>
      <c r="H467" s="94">
        <f>COUNTIF(C467:G467,"&lt;&gt;0")</f>
        <v/>
      </c>
      <c r="I467" s="94">
        <f>IF(H467=0,"לא מטופל",IF(H467=1,"מטופל - סוכן אחד","מטופל - יותר מסוכן אחד"))</f>
        <v/>
      </c>
    </row>
    <row r="468" ht="15" customHeight="1" s="82">
      <c r="A468" s="94" t="inlineStr">
        <is>
          <t>שופרסל BE</t>
        </is>
      </c>
      <c r="B468" s="94" t="inlineStr">
        <is>
          <t>675 שרונים BE</t>
        </is>
      </c>
      <c r="C468" s="111" t="n">
        <v>3764.1</v>
      </c>
      <c r="D468" s="111" t="n">
        <v>0</v>
      </c>
      <c r="E468" s="111" t="n">
        <v>0</v>
      </c>
      <c r="F468" s="111" t="n">
        <v>0</v>
      </c>
      <c r="G468" s="111" t="n">
        <v>0</v>
      </c>
      <c r="H468" s="94">
        <f>COUNTIF(C468:G468,"&lt;&gt;0")</f>
        <v/>
      </c>
      <c r="I468" s="94">
        <f>IF(H468=0,"לא מטופל",IF(H468=1,"מטופל - סוכן אחד","מטופל - יותר מסוכן אחד"))</f>
        <v/>
      </c>
    </row>
    <row r="469" ht="15" customHeight="1" s="82">
      <c r="A469" s="94" t="inlineStr">
        <is>
          <t>שופרסל BE</t>
        </is>
      </c>
      <c r="B469" s="94" t="inlineStr">
        <is>
          <t>615 פארם כפר סבא BE</t>
        </is>
      </c>
      <c r="C469" s="111" t="n">
        <v>12086.8</v>
      </c>
      <c r="D469" s="111" t="n">
        <v>0</v>
      </c>
      <c r="E469" s="111" t="n">
        <v>0</v>
      </c>
      <c r="F469" s="111" t="n">
        <v>0</v>
      </c>
      <c r="G469" s="111" t="n">
        <v>0</v>
      </c>
      <c r="H469" s="94">
        <f>COUNTIF(C469:G469,"&lt;&gt;0")</f>
        <v/>
      </c>
      <c r="I469" s="94">
        <f>IF(H469=0,"לא מטופל",IF(H469=1,"מטופל - סוכן אחד","מטופל - יותר מסוכן אחד"))</f>
        <v/>
      </c>
    </row>
    <row r="470" ht="15" customHeight="1" s="82">
      <c r="A470" s="94" t="inlineStr">
        <is>
          <t>שופרסל BE</t>
        </is>
      </c>
      <c r="B470" s="94" t="inlineStr">
        <is>
          <t>648 מאיר כ""ס BE</t>
        </is>
      </c>
      <c r="C470" s="111" t="n">
        <v>11663.2</v>
      </c>
      <c r="D470" s="111" t="n">
        <v>0</v>
      </c>
      <c r="E470" s="111" t="n">
        <v>0</v>
      </c>
      <c r="F470" s="111" t="n">
        <v>0</v>
      </c>
      <c r="G470" s="111" t="n">
        <v>0</v>
      </c>
      <c r="H470" s="94">
        <f>COUNTIF(C470:G470,"&lt;&gt;0")</f>
        <v/>
      </c>
      <c r="I470" s="94">
        <f>IF(H470=0,"לא מטופל",IF(H470=1,"מטופל - סוכן אחד","מטופל - יותר מסוכן אחד"))</f>
        <v/>
      </c>
    </row>
    <row r="471" ht="15" customHeight="1" s="82">
      <c r="A471" s="94" t="inlineStr">
        <is>
          <t>שופרסל BE</t>
        </is>
      </c>
      <c r="B471" s="94" t="inlineStr">
        <is>
          <t>682  פארם כ""ס צפון ירוקה BE</t>
        </is>
      </c>
      <c r="C471" s="111" t="n">
        <v>2934.9</v>
      </c>
      <c r="D471" s="111" t="n">
        <v>0</v>
      </c>
      <c r="E471" s="111" t="n">
        <v>0</v>
      </c>
      <c r="F471" s="111" t="n">
        <v>0</v>
      </c>
      <c r="G471" s="111" t="n">
        <v>0</v>
      </c>
      <c r="H471" s="94">
        <f>COUNTIF(C471:G471,"&lt;&gt;0")</f>
        <v/>
      </c>
      <c r="I471" s="94">
        <f>IF(H471=0,"לא מטופל",IF(H471=1,"מטופל - סוכן אחד","מטופל - יותר מסוכן אחד"))</f>
        <v/>
      </c>
    </row>
    <row r="472" ht="15" customHeight="1" s="82">
      <c r="A472" s="94" t="inlineStr">
        <is>
          <t>שופרסל BE</t>
        </is>
      </c>
      <c r="B472" s="94" t="inlineStr">
        <is>
          <t>637  פארם רעננה BE</t>
        </is>
      </c>
      <c r="C472" s="111" t="n">
        <v>8996.9</v>
      </c>
      <c r="D472" s="111" t="n">
        <v>0</v>
      </c>
      <c r="E472" s="111" t="n">
        <v>0</v>
      </c>
      <c r="F472" s="111" t="n">
        <v>0</v>
      </c>
      <c r="G472" s="111" t="n">
        <v>0</v>
      </c>
      <c r="H472" s="94">
        <f>COUNTIF(C472:G472,"&lt;&gt;0")</f>
        <v/>
      </c>
      <c r="I472" s="94">
        <f>IF(H472=0,"לא מטופל",IF(H472=1,"מטופל - סוכן אחד","מטופל - יותר מסוכן אחד"))</f>
        <v/>
      </c>
    </row>
    <row r="473" ht="15" customHeight="1" s="82">
      <c r="A473" s="94" t="inlineStr">
        <is>
          <t>שופרסל BE</t>
        </is>
      </c>
      <c r="B473" s="94" t="inlineStr">
        <is>
          <t>652 מודיעין מוריה BE</t>
        </is>
      </c>
      <c r="C473" s="111" t="n">
        <v>0</v>
      </c>
      <c r="D473" s="111" t="n">
        <v>0</v>
      </c>
      <c r="E473" s="111" t="n">
        <v>0</v>
      </c>
      <c r="F473" s="111" t="n">
        <v>0</v>
      </c>
      <c r="G473" s="111" t="n">
        <v>12818.5</v>
      </c>
      <c r="H473" s="94">
        <f>COUNTIF(C473:G473,"&lt;&gt;0")</f>
        <v/>
      </c>
      <c r="I473" s="94">
        <f>IF(H473=0,"לא מטופל",IF(H473=1,"מטופל - סוכן אחד","מטופל - יותר מסוכן אחד"))</f>
        <v/>
      </c>
    </row>
    <row r="474" ht="15" customHeight="1" s="82">
      <c r="A474" s="94" t="inlineStr">
        <is>
          <t>שופרסל BE</t>
        </is>
      </c>
      <c r="B474" s="94" t="inlineStr">
        <is>
          <t>681  פארם שוהם BE</t>
        </is>
      </c>
      <c r="C474" s="111" t="n">
        <v>0</v>
      </c>
      <c r="D474" s="111" t="n">
        <v>0</v>
      </c>
      <c r="E474" s="111" t="n">
        <v>5533.4</v>
      </c>
      <c r="F474" s="111" t="n">
        <v>0</v>
      </c>
      <c r="G474" s="111" t="n">
        <v>0</v>
      </c>
      <c r="H474" s="94">
        <f>COUNTIF(C474:G474,"&lt;&gt;0")</f>
        <v/>
      </c>
      <c r="I474" s="94">
        <f>IF(H474=0,"לא מטופל",IF(H474=1,"מטופל - סוכן אחד","מטופל - יותר מסוכן אחד"))</f>
        <v/>
      </c>
    </row>
    <row r="475" ht="15" customHeight="1" s="82">
      <c r="A475" s="94" t="inlineStr">
        <is>
          <t>שופרסל BE</t>
        </is>
      </c>
      <c r="B475" s="94" t="inlineStr">
        <is>
          <t>668  קרית השרון נתניה BE</t>
        </is>
      </c>
      <c r="C475" s="111" t="n">
        <v>8221.700000000001</v>
      </c>
      <c r="D475" s="111" t="n">
        <v>0</v>
      </c>
      <c r="E475" s="111" t="n">
        <v>0</v>
      </c>
      <c r="F475" s="111" t="n">
        <v>0</v>
      </c>
      <c r="G475" s="111" t="n">
        <v>0</v>
      </c>
      <c r="H475" s="94">
        <f>COUNTIF(C475:G475,"&lt;&gt;0")</f>
        <v/>
      </c>
      <c r="I475" s="94">
        <f>IF(H475=0,"לא מטופל",IF(H475=1,"מטופל - סוכן אחד","מטופל - יותר מסוכן אחד"))</f>
        <v/>
      </c>
    </row>
    <row r="476" ht="15" customHeight="1" s="82">
      <c r="A476" s="94" t="inlineStr">
        <is>
          <t>שופרסל BE</t>
        </is>
      </c>
      <c r="B476" s="94" t="inlineStr">
        <is>
          <t>651 דרורים BE</t>
        </is>
      </c>
      <c r="C476" s="111" t="n">
        <v>11065.1</v>
      </c>
      <c r="D476" s="111" t="n">
        <v>0</v>
      </c>
      <c r="E476" s="111" t="n">
        <v>0</v>
      </c>
      <c r="F476" s="111" t="n">
        <v>0</v>
      </c>
      <c r="G476" s="111" t="n">
        <v>0</v>
      </c>
      <c r="H476" s="94">
        <f>COUNTIF(C476:G476,"&lt;&gt;0")</f>
        <v/>
      </c>
      <c r="I476" s="94">
        <f>IF(H476=0,"לא מטופל",IF(H476=1,"מטופל - סוכן אחד","מטופל - יותר מסוכן אחד"))</f>
        <v/>
      </c>
    </row>
    <row r="477" ht="15" customHeight="1" s="82">
      <c r="A477" s="94" t="inlineStr">
        <is>
          <t>שופרסל BE</t>
        </is>
      </c>
      <c r="B477" s="94" t="inlineStr">
        <is>
          <t>614 פארם נתניה BE</t>
        </is>
      </c>
      <c r="C477" s="111" t="n">
        <v>4289.7</v>
      </c>
      <c r="D477" s="111" t="n">
        <v>0</v>
      </c>
      <c r="E477" s="111" t="n">
        <v>0</v>
      </c>
      <c r="F477" s="111" t="n">
        <v>0</v>
      </c>
      <c r="G477" s="111" t="n">
        <v>0</v>
      </c>
      <c r="H477" s="94">
        <f>COUNTIF(C477:G477,"&lt;&gt;0")</f>
        <v/>
      </c>
      <c r="I477" s="94">
        <f>IF(H477=0,"לא מטופל",IF(H477=1,"מטופל - סוכן אחד","מטופל - יותר מסוכן אחד"))</f>
        <v/>
      </c>
    </row>
    <row r="478" ht="15" customHeight="1" s="82">
      <c r="A478" s="94" t="inlineStr">
        <is>
          <t>שופרסל BE</t>
        </is>
      </c>
      <c r="B478" s="94" t="inlineStr">
        <is>
          <t>643 פ""ת סירקין BE</t>
        </is>
      </c>
      <c r="C478" s="111" t="n">
        <v>0</v>
      </c>
      <c r="D478" s="111" t="n">
        <v>0</v>
      </c>
      <c r="E478" s="111" t="n">
        <v>9895.200000000001</v>
      </c>
      <c r="F478" s="111" t="n">
        <v>0</v>
      </c>
      <c r="G478" s="111" t="n">
        <v>0</v>
      </c>
      <c r="H478" s="94">
        <f>COUNTIF(C478:G478,"&lt;&gt;0")</f>
        <v/>
      </c>
      <c r="I478" s="94">
        <f>IF(H478=0,"לא מטופל",IF(H478=1,"מטופל - סוכן אחד","מטופל - יותר מסוכן אחד"))</f>
        <v/>
      </c>
    </row>
    <row r="479" ht="15" customHeight="1" s="82">
      <c r="A479" s="94" t="inlineStr">
        <is>
          <t>שופרסל BE</t>
        </is>
      </c>
      <c r="B479" s="94" t="inlineStr">
        <is>
          <t>654 אם המושבות BE</t>
        </is>
      </c>
      <c r="C479" s="111" t="n">
        <v>0</v>
      </c>
      <c r="D479" s="111" t="n">
        <v>0</v>
      </c>
      <c r="E479" s="111" t="n">
        <v>11655.9</v>
      </c>
      <c r="F479" s="111" t="n">
        <v>0</v>
      </c>
      <c r="G479" s="111" t="n">
        <v>0</v>
      </c>
      <c r="H479" s="94">
        <f>COUNTIF(C479:G479,"&lt;&gt;0")</f>
        <v/>
      </c>
      <c r="I479" s="94">
        <f>IF(H479=0,"לא מטופל",IF(H479=1,"מטופל - סוכן אחד","מטופל - יותר מסוכן אחד"))</f>
        <v/>
      </c>
    </row>
    <row r="480" ht="15" customHeight="1" s="82">
      <c r="A480" s="94" t="inlineStr">
        <is>
          <t>שופרסל BE</t>
        </is>
      </c>
      <c r="B480" s="94" t="inlineStr">
        <is>
          <t>688 מדיקל בלינסון BE</t>
        </is>
      </c>
      <c r="C480" s="111" t="n">
        <v>0</v>
      </c>
      <c r="D480" s="111" t="n">
        <v>0</v>
      </c>
      <c r="E480" s="111" t="n">
        <v>26386.7</v>
      </c>
      <c r="F480" s="111" t="n">
        <v>0</v>
      </c>
      <c r="G480" s="111" t="n">
        <v>0</v>
      </c>
      <c r="H480" s="94">
        <f>COUNTIF(C480:G480,"&lt;&gt;0")</f>
        <v/>
      </c>
      <c r="I480" s="94">
        <f>IF(H480=0,"לא מטופל",IF(H480=1,"מטופל - סוכן אחד","מטופל - יותר מסוכן אחד"))</f>
        <v/>
      </c>
    </row>
    <row r="481" ht="15" customHeight="1" s="82">
      <c r="A481" s="94" t="inlineStr">
        <is>
          <t>שופרסל BE</t>
        </is>
      </c>
      <c r="B481" s="94" t="inlineStr">
        <is>
          <t>639  אריאל BE</t>
        </is>
      </c>
      <c r="C481" s="111" t="n">
        <v>0</v>
      </c>
      <c r="D481" s="111" t="n">
        <v>0</v>
      </c>
      <c r="E481" s="111" t="n">
        <v>8011.5</v>
      </c>
      <c r="F481" s="111" t="n">
        <v>0</v>
      </c>
      <c r="G481" s="111" t="n">
        <v>0</v>
      </c>
      <c r="H481" s="94">
        <f>COUNTIF(C481:G481,"&lt;&gt;0")</f>
        <v/>
      </c>
      <c r="I481" s="94">
        <f>IF(H481=0,"לא מטופל",IF(H481=1,"מטופל - סוכן אחד","מטופל - יותר מסוכן אחד"))</f>
        <v/>
      </c>
    </row>
    <row r="482" ht="15" customHeight="1" s="82">
      <c r="A482" s="94" t="inlineStr">
        <is>
          <t>שופרסל BE</t>
        </is>
      </c>
      <c r="B482" s="94" t="inlineStr">
        <is>
          <t>696 מדיקל אלעד BE</t>
        </is>
      </c>
      <c r="C482" s="111" t="n">
        <v>0</v>
      </c>
      <c r="D482" s="111" t="n">
        <v>0</v>
      </c>
      <c r="E482" s="111" t="n">
        <v>220.4</v>
      </c>
      <c r="F482" s="111" t="n">
        <v>0</v>
      </c>
      <c r="G482" s="111" t="n">
        <v>0</v>
      </c>
      <c r="H482" s="94">
        <f>COUNTIF(C482:G482,"&lt;&gt;0")</f>
        <v/>
      </c>
      <c r="I482" s="94">
        <f>IF(H482=0,"לא מטופל",IF(H482=1,"מטופל - סוכן אחד","מטופל - יותר מסוכן אחד"))</f>
        <v/>
      </c>
    </row>
    <row r="483" ht="15" customHeight="1" s="82">
      <c r="A483" s="94" t="inlineStr">
        <is>
          <t>שופרסל BE</t>
        </is>
      </c>
      <c r="B483" s="94" t="inlineStr">
        <is>
          <t>655 רחובות מזרח BE</t>
        </is>
      </c>
      <c r="C483" s="111" t="n">
        <v>0</v>
      </c>
      <c r="D483" s="111" t="n">
        <v>0</v>
      </c>
      <c r="E483" s="111" t="n">
        <v>0</v>
      </c>
      <c r="F483" s="111" t="n">
        <v>0</v>
      </c>
      <c r="G483" s="111" t="n">
        <v>15506.1</v>
      </c>
      <c r="H483" s="94">
        <f>COUNTIF(C483:G483,"&lt;&gt;0")</f>
        <v/>
      </c>
      <c r="I483" s="94">
        <f>IF(H483=0,"לא מטופל",IF(H483=1,"מטופל - סוכן אחד","מטופל - יותר מסוכן אחד"))</f>
        <v/>
      </c>
    </row>
    <row r="484" ht="15" customHeight="1" s="82">
      <c r="A484" s="94" t="inlineStr">
        <is>
          <t>שופרסל BE</t>
        </is>
      </c>
      <c r="B484" s="94" t="inlineStr">
        <is>
          <t>618 ראשל""צ BE</t>
        </is>
      </c>
      <c r="C484" s="111" t="n">
        <v>3920</v>
      </c>
      <c r="D484" s="111" t="n">
        <v>0</v>
      </c>
      <c r="E484" s="111" t="n">
        <v>0</v>
      </c>
      <c r="F484" s="111" t="n">
        <v>0</v>
      </c>
      <c r="G484" s="111" t="n">
        <v>0</v>
      </c>
      <c r="H484" s="94">
        <f>COUNTIF(C484:G484,"&lt;&gt;0")</f>
        <v/>
      </c>
      <c r="I484" s="94">
        <f>IF(H484=0,"לא מטופל",IF(H484=1,"מטופל - סוכן אחד","מטופל - יותר מסוכן אחד"))</f>
        <v/>
      </c>
    </row>
    <row r="485" ht="15" customHeight="1" s="82">
      <c r="A485" s="94" t="inlineStr">
        <is>
          <t>שופרסל BE</t>
        </is>
      </c>
      <c r="B485" s="94" t="inlineStr">
        <is>
          <t>674 תל ברוך BE</t>
        </is>
      </c>
      <c r="C485" s="111" t="n">
        <v>7122.2</v>
      </c>
      <c r="D485" s="111" t="n">
        <v>0</v>
      </c>
      <c r="E485" s="111" t="n">
        <v>0</v>
      </c>
      <c r="F485" s="111" t="n">
        <v>0</v>
      </c>
      <c r="G485" s="111" t="n">
        <v>0</v>
      </c>
      <c r="H485" s="94">
        <f>COUNTIF(C485:G485,"&lt;&gt;0")</f>
        <v/>
      </c>
      <c r="I485" s="94">
        <f>IF(H485=0,"לא מטופל",IF(H485=1,"מטופל - סוכן אחד","מטופל - יותר מסוכן אחד"))</f>
        <v/>
      </c>
    </row>
    <row r="486" ht="15" customHeight="1" s="82">
      <c r="A486" s="94" t="inlineStr">
        <is>
          <t>שופרסל BE</t>
        </is>
      </c>
      <c r="B486" s="94" t="inlineStr">
        <is>
          <t>695 אסותא רמת החייל BE</t>
        </is>
      </c>
      <c r="C486" s="111" t="n">
        <v>264.3</v>
      </c>
      <c r="D486" s="111" t="n">
        <v>0</v>
      </c>
      <c r="E486" s="111" t="n">
        <v>0</v>
      </c>
      <c r="F486" s="111" t="n">
        <v>0</v>
      </c>
      <c r="G486" s="111" t="n">
        <v>0</v>
      </c>
      <c r="H486" s="94">
        <f>COUNTIF(C486:G486,"&lt;&gt;0")</f>
        <v/>
      </c>
      <c r="I486" s="94">
        <f>IF(H486=0,"לא מטופל",IF(H486=1,"מטופל - סוכן אחד","מטופל - יותר מסוכן אחד"))</f>
        <v/>
      </c>
    </row>
    <row r="487" ht="15" customHeight="1" s="82">
      <c r="A487" s="94" t="inlineStr">
        <is>
          <t>שופרסל BE</t>
        </is>
      </c>
      <c r="B487" s="94" t="inlineStr">
        <is>
          <t>677 הרצליה BE</t>
        </is>
      </c>
      <c r="C487" s="111" t="n">
        <v>9802</v>
      </c>
      <c r="D487" s="111" t="n">
        <v>0</v>
      </c>
      <c r="E487" s="111" t="n">
        <v>0</v>
      </c>
      <c r="F487" s="111" t="n">
        <v>0</v>
      </c>
      <c r="G487" s="111" t="n">
        <v>0</v>
      </c>
      <c r="H487" s="94">
        <f>COUNTIF(C487:G487,"&lt;&gt;0")</f>
        <v/>
      </c>
      <c r="I487" s="94">
        <f>IF(H487=0,"לא מטופל",IF(H487=1,"מטופל - סוכן אחד","מטופל - יותר מסוכן אחד"))</f>
        <v/>
      </c>
    </row>
    <row r="488" ht="15" customHeight="1" s="82">
      <c r="A488" s="94" t="inlineStr">
        <is>
          <t>שופרסל BE</t>
        </is>
      </c>
      <c r="B488" s="94" t="inlineStr">
        <is>
          <t>660  רמת השרון BE</t>
        </is>
      </c>
      <c r="C488" s="111" t="n">
        <v>8982.9</v>
      </c>
      <c r="D488" s="111" t="n">
        <v>0</v>
      </c>
      <c r="E488" s="111" t="n">
        <v>0</v>
      </c>
      <c r="F488" s="111" t="n">
        <v>0</v>
      </c>
      <c r="G488" s="111" t="n">
        <v>0</v>
      </c>
      <c r="H488" s="94">
        <f>COUNTIF(C488:G488,"&lt;&gt;0")</f>
        <v/>
      </c>
      <c r="I488" s="94">
        <f>IF(H488=0,"לא מטופל",IF(H488=1,"מטופל - סוכן אחד","מטופל - יותר מסוכן אחד"))</f>
        <v/>
      </c>
    </row>
    <row r="489" ht="15" customHeight="1" s="82">
      <c r="A489" s="94" t="inlineStr">
        <is>
          <t>שופרסל BE</t>
        </is>
      </c>
      <c r="B489" s="94" t="inlineStr">
        <is>
          <t>653 בני ברק BE</t>
        </is>
      </c>
      <c r="C489" s="111" t="n">
        <v>3679.4</v>
      </c>
      <c r="D489" s="111" t="n">
        <v>0</v>
      </c>
      <c r="E489" s="111" t="n">
        <v>0</v>
      </c>
      <c r="F489" s="111" t="n">
        <v>0</v>
      </c>
      <c r="G489" s="111" t="n">
        <v>0</v>
      </c>
      <c r="H489" s="94">
        <f>COUNTIF(C489:G489,"&lt;&gt;0")</f>
        <v/>
      </c>
      <c r="I489" s="94">
        <f>IF(H489=0,"לא מטופל",IF(H489=1,"מטופל - סוכן אחד","מטופל - יותר מסוכן אחד"))</f>
        <v/>
      </c>
    </row>
    <row r="490" ht="15" customHeight="1" s="82">
      <c r="A490" s="94" t="inlineStr">
        <is>
          <t>שופרסל BE</t>
        </is>
      </c>
      <c r="B490" s="94" t="inlineStr">
        <is>
          <t>641  גבעתיים BE</t>
        </is>
      </c>
      <c r="C490" s="111" t="n">
        <v>0</v>
      </c>
      <c r="D490" s="111" t="n">
        <v>0</v>
      </c>
      <c r="E490" s="111" t="n">
        <v>2629.5</v>
      </c>
      <c r="F490" s="111" t="n">
        <v>0</v>
      </c>
      <c r="G490" s="111" t="n">
        <v>0</v>
      </c>
      <c r="H490" s="94">
        <f>COUNTIF(C490:G490,"&lt;&gt;0")</f>
        <v/>
      </c>
      <c r="I490" s="94">
        <f>IF(H490=0,"לא מטופל",IF(H490=1,"מטופל - סוכן אחד","מטופל - יותר מסוכן אחד"))</f>
        <v/>
      </c>
    </row>
    <row r="491" ht="15" customHeight="1" s="82">
      <c r="A491" s="94" t="inlineStr">
        <is>
          <t>שופרסל BE</t>
        </is>
      </c>
      <c r="B491" s="94" t="inlineStr">
        <is>
          <t>670 איכילוב BE</t>
        </is>
      </c>
      <c r="C491" s="111" t="n">
        <v>28048.9</v>
      </c>
      <c r="D491" s="111" t="n">
        <v>0</v>
      </c>
      <c r="E491" s="111" t="n">
        <v>0</v>
      </c>
      <c r="F491" s="111" t="n">
        <v>0</v>
      </c>
      <c r="G491" s="111" t="n">
        <v>0</v>
      </c>
      <c r="H491" s="94">
        <f>COUNTIF(C491:G491,"&lt;&gt;0")</f>
        <v/>
      </c>
      <c r="I491" s="94">
        <f>IF(H491=0,"לא מטופל",IF(H491=1,"מטופל - סוכן אחד","מטופל - יותר מסוכן אחד"))</f>
        <v/>
      </c>
    </row>
    <row r="492" ht="15" customHeight="1" s="82">
      <c r="A492" s="94" t="inlineStr">
        <is>
          <t>שופרסל BE</t>
        </is>
      </c>
      <c r="B492" s="94" t="inlineStr">
        <is>
          <t>656 בן יהודה ת""א BE</t>
        </is>
      </c>
      <c r="C492" s="111" t="n">
        <v>488.3</v>
      </c>
      <c r="D492" s="111" t="n">
        <v>0</v>
      </c>
      <c r="E492" s="111" t="n">
        <v>0</v>
      </c>
      <c r="F492" s="111" t="n">
        <v>0</v>
      </c>
      <c r="G492" s="111" t="n">
        <v>0</v>
      </c>
      <c r="H492" s="94">
        <f>COUNTIF(C492:G492,"&lt;&gt;0")</f>
        <v/>
      </c>
      <c r="I492" s="94">
        <f>IF(H492=0,"לא מטופל",IF(H492=1,"מטופל - סוכן אחד","מטופל - יותר מסוכן אחד"))</f>
        <v/>
      </c>
    </row>
    <row r="493" ht="15" customHeight="1" s="82">
      <c r="A493" s="94" t="inlineStr">
        <is>
          <t>שופרסל BE</t>
        </is>
      </c>
      <c r="B493" s="94" t="inlineStr">
        <is>
          <t>685 אזורי חן BE</t>
        </is>
      </c>
      <c r="C493" s="111" t="n">
        <v>246.4</v>
      </c>
      <c r="D493" s="111" t="n">
        <v>0</v>
      </c>
      <c r="E493" s="111" t="n">
        <v>0</v>
      </c>
      <c r="F493" s="111" t="n">
        <v>0</v>
      </c>
      <c r="G493" s="111" t="n">
        <v>0</v>
      </c>
      <c r="H493" s="94">
        <f>COUNTIF(C493:G493,"&lt;&gt;0")</f>
        <v/>
      </c>
      <c r="I493" s="94">
        <f>IF(H493=0,"לא מטופל",IF(H493=1,"מטופל - סוכן אחד","מטופל - יותר מסוכן אחד"))</f>
        <v/>
      </c>
    </row>
    <row r="494" ht="15" customHeight="1" s="82">
      <c r="A494" s="94" t="inlineStr">
        <is>
          <t>שופרסל BE</t>
        </is>
      </c>
      <c r="B494" s="94" t="inlineStr">
        <is>
          <t>650 חיפה BE</t>
        </is>
      </c>
      <c r="C494" s="111" t="n">
        <v>0</v>
      </c>
      <c r="D494" s="111" t="n">
        <v>21263.9</v>
      </c>
      <c r="E494" s="111" t="n">
        <v>0</v>
      </c>
      <c r="F494" s="111" t="n">
        <v>0</v>
      </c>
      <c r="G494" s="111" t="n">
        <v>0</v>
      </c>
      <c r="H494" s="94">
        <f>COUNTIF(C494:G494,"&lt;&gt;0")</f>
        <v/>
      </c>
      <c r="I494" s="94">
        <f>IF(H494=0,"לא מטופל",IF(H494=1,"מטופל - סוכן אחד","מטופל - יותר מסוכן אחד"))</f>
        <v/>
      </c>
    </row>
    <row r="495" ht="15" customHeight="1" s="82">
      <c r="A495" s="94" t="inlineStr">
        <is>
          <t>שופרסל BE</t>
        </is>
      </c>
      <c r="B495" s="94" t="inlineStr">
        <is>
          <t>659 פארם הדר חיפה BE</t>
        </is>
      </c>
      <c r="C495" s="111" t="n">
        <v>0</v>
      </c>
      <c r="D495" s="111" t="n">
        <v>5019.8</v>
      </c>
      <c r="E495" s="111" t="n">
        <v>0</v>
      </c>
      <c r="F495" s="111" t="n">
        <v>0</v>
      </c>
      <c r="G495" s="111" t="n">
        <v>0</v>
      </c>
      <c r="H495" s="94">
        <f>COUNTIF(C495:G495,"&lt;&gt;0")</f>
        <v/>
      </c>
      <c r="I495" s="94">
        <f>IF(H495=0,"לא מטופל",IF(H495=1,"מטופל - סוכן אחד","מטופל - יותר מסוכן אחד"))</f>
        <v/>
      </c>
    </row>
    <row r="496" ht="15" customHeight="1" s="82">
      <c r="A496" s="94" t="inlineStr">
        <is>
          <t>שופרסל BE</t>
        </is>
      </c>
      <c r="B496" s="94" t="inlineStr">
        <is>
          <t>633 תל חנן נשר BE</t>
        </is>
      </c>
      <c r="C496" s="111" t="n">
        <v>0</v>
      </c>
      <c r="D496" s="111" t="n">
        <v>7251.7</v>
      </c>
      <c r="E496" s="111" t="n">
        <v>0</v>
      </c>
      <c r="F496" s="111" t="n">
        <v>0</v>
      </c>
      <c r="G496" s="111" t="n">
        <v>0</v>
      </c>
      <c r="H496" s="94">
        <f>COUNTIF(C496:G496,"&lt;&gt;0")</f>
        <v/>
      </c>
      <c r="I496" s="94">
        <f>IF(H496=0,"לא מטופל",IF(H496=1,"מטופל - סוכן אחד","מטופל - יותר מסוכן אחד"))</f>
        <v/>
      </c>
    </row>
    <row r="497" ht="15" customHeight="1" s="82">
      <c r="A497" s="94" t="inlineStr">
        <is>
          <t>שופרסל BE</t>
        </is>
      </c>
      <c r="B497" s="94" t="inlineStr">
        <is>
          <t>638 משמר השרון BE</t>
        </is>
      </c>
      <c r="C497" s="111" t="n">
        <v>0</v>
      </c>
      <c r="D497" s="111" t="n">
        <v>22837.6</v>
      </c>
      <c r="E497" s="111" t="n">
        <v>0</v>
      </c>
      <c r="F497" s="111" t="n">
        <v>0</v>
      </c>
      <c r="G497" s="111" t="n">
        <v>0</v>
      </c>
      <c r="H497" s="94">
        <f>COUNTIF(C497:G497,"&lt;&gt;0")</f>
        <v/>
      </c>
      <c r="I497" s="94">
        <f>IF(H497=0,"לא מטופל",IF(H497=1,"מטופל - סוכן אחד","מטופל - יותר מסוכן אחד"))</f>
        <v/>
      </c>
    </row>
    <row r="498" ht="15" customHeight="1" s="82">
      <c r="A498" s="94" t="inlineStr">
        <is>
          <t>שופרסל BE</t>
        </is>
      </c>
      <c r="B498" s="94" t="inlineStr">
        <is>
          <t>640 דלית אל כרמל BE</t>
        </is>
      </c>
      <c r="C498" s="111" t="n">
        <v>0</v>
      </c>
      <c r="D498" s="111" t="n">
        <v>11115.8</v>
      </c>
      <c r="E498" s="111" t="n">
        <v>0</v>
      </c>
      <c r="F498" s="111" t="n">
        <v>0</v>
      </c>
      <c r="G498" s="111" t="n">
        <v>0</v>
      </c>
      <c r="H498" s="94">
        <f>COUNTIF(C498:G498,"&lt;&gt;0")</f>
        <v/>
      </c>
      <c r="I498" s="94">
        <f>IF(H498=0,"לא מטופל",IF(H498=1,"מטופל - סוכן אחד","מטופל - יותר מסוכן אחד"))</f>
        <v/>
      </c>
    </row>
    <row r="499" ht="15" customHeight="1" s="82">
      <c r="A499" s="94" t="inlineStr">
        <is>
          <t>שופרסל BE</t>
        </is>
      </c>
      <c r="B499" s="94" t="inlineStr">
        <is>
          <t>673 פנורמה חיפה BE</t>
        </is>
      </c>
      <c r="C499" s="111" t="n">
        <v>0</v>
      </c>
      <c r="D499" s="111" t="n">
        <v>1746.6</v>
      </c>
      <c r="E499" s="111" t="n">
        <v>0</v>
      </c>
      <c r="F499" s="111" t="n">
        <v>0</v>
      </c>
      <c r="G499" s="111" t="n">
        <v>0</v>
      </c>
      <c r="H499" s="94">
        <f>COUNTIF(C499:G499,"&lt;&gt;0")</f>
        <v/>
      </c>
      <c r="I499" s="94">
        <f>IF(H499=0,"לא מטופל",IF(H499=1,"מטופל - סוכן אחד","מטופל - יותר מסוכן אחד"))</f>
        <v/>
      </c>
    </row>
    <row r="500" ht="15" customHeight="1" s="82">
      <c r="A500" s="94" t="inlineStr">
        <is>
          <t>שופרסל BE</t>
        </is>
      </c>
      <c r="B500" s="94" t="inlineStr">
        <is>
          <t>635 ראש פינה BE</t>
        </is>
      </c>
      <c r="C500" s="111" t="n">
        <v>0</v>
      </c>
      <c r="D500" s="111" t="n">
        <v>6157.7</v>
      </c>
      <c r="E500" s="111" t="n">
        <v>0</v>
      </c>
      <c r="F500" s="111" t="n">
        <v>0</v>
      </c>
      <c r="G500" s="111" t="n">
        <v>0</v>
      </c>
      <c r="H500" s="94">
        <f>COUNTIF(C500:G500,"&lt;&gt;0")</f>
        <v/>
      </c>
      <c r="I500" s="94">
        <f>IF(H500=0,"לא מטופל",IF(H500=1,"מטופל - סוכן אחד","מטופל - יותר מסוכן אחד"))</f>
        <v/>
      </c>
    </row>
    <row r="501" ht="15" customHeight="1" s="82">
      <c r="A501" s="94" t="inlineStr">
        <is>
          <t>שופרסל BE</t>
        </is>
      </c>
      <c r="B501" s="94" t="inlineStr">
        <is>
          <t>658   קרית אתא BE</t>
        </is>
      </c>
      <c r="C501" s="111" t="n">
        <v>0</v>
      </c>
      <c r="D501" s="111" t="n">
        <v>179.4</v>
      </c>
      <c r="E501" s="111" t="n">
        <v>0</v>
      </c>
      <c r="F501" s="111" t="n">
        <v>0</v>
      </c>
      <c r="G501" s="111" t="n">
        <v>0</v>
      </c>
      <c r="H501" s="94">
        <f>COUNTIF(C501:G501,"&lt;&gt;0")</f>
        <v/>
      </c>
      <c r="I501" s="94">
        <f>IF(H501=0,"לא מטופל",IF(H501=1,"מטופל - סוכן אחד","מטופל - יותר מסוכן אחד"))</f>
        <v/>
      </c>
    </row>
    <row r="502" ht="15" customHeight="1" s="82">
      <c r="A502" s="94" t="inlineStr">
        <is>
          <t>שופרסל BE</t>
        </is>
      </c>
      <c r="B502" s="94" t="inlineStr">
        <is>
          <t>697 ירכא BE</t>
        </is>
      </c>
      <c r="C502" s="111" t="n">
        <v>0</v>
      </c>
      <c r="D502" s="111" t="n">
        <v>10992.7</v>
      </c>
      <c r="E502" s="111" t="n">
        <v>0</v>
      </c>
      <c r="F502" s="111" t="n">
        <v>0</v>
      </c>
      <c r="G502" s="111" t="n">
        <v>0</v>
      </c>
      <c r="H502" s="94">
        <f>COUNTIF(C502:G502,"&lt;&gt;0")</f>
        <v/>
      </c>
      <c r="I502" s="94">
        <f>IF(H502=0,"לא מטופל",IF(H502=1,"מטופל - סוכן אחד","מטופל - יותר מסוכן אחד"))</f>
        <v/>
      </c>
    </row>
    <row r="503" ht="15" customHeight="1" s="82">
      <c r="A503" s="94" t="inlineStr">
        <is>
          <t>שופרסל BE</t>
        </is>
      </c>
      <c r="B503" s="94" t="inlineStr">
        <is>
          <t>642 אלונים טבעון BE</t>
        </is>
      </c>
      <c r="C503" s="111" t="n">
        <v>0</v>
      </c>
      <c r="D503" s="111" t="n">
        <v>6458.2</v>
      </c>
      <c r="E503" s="111" t="n">
        <v>0</v>
      </c>
      <c r="F503" s="111" t="n">
        <v>0</v>
      </c>
      <c r="G503" s="111" t="n">
        <v>0</v>
      </c>
      <c r="H503" s="94">
        <f>COUNTIF(C503:G503,"&lt;&gt;0")</f>
        <v/>
      </c>
      <c r="I503" s="94">
        <f>IF(H503=0,"לא מטופל",IF(H503=1,"מטופל - סוכן אחד","מטופל - יותר מסוכן אחד"))</f>
        <v/>
      </c>
    </row>
    <row r="504" ht="15" customHeight="1" s="82">
      <c r="A504" s="94" t="inlineStr">
        <is>
          <t>שופרסל BE</t>
        </is>
      </c>
      <c r="B504" s="94" t="inlineStr">
        <is>
          <t>676   יקנעם BE</t>
        </is>
      </c>
      <c r="C504" s="111" t="n">
        <v>0</v>
      </c>
      <c r="D504" s="111" t="n">
        <v>14554</v>
      </c>
      <c r="E504" s="111" t="n">
        <v>0</v>
      </c>
      <c r="F504" s="111" t="n">
        <v>0</v>
      </c>
      <c r="G504" s="111" t="n">
        <v>0</v>
      </c>
      <c r="H504" s="94">
        <f>COUNTIF(C504:G504,"&lt;&gt;0")</f>
        <v/>
      </c>
      <c r="I504" s="94">
        <f>IF(H504=0,"לא מטופל",IF(H504=1,"מטופל - סוכן אחד","מטופל - יותר מסוכן אחד"))</f>
        <v/>
      </c>
    </row>
    <row r="505" ht="15" customHeight="1" s="82">
      <c r="A505" s="94" t="inlineStr">
        <is>
          <t>שופרסל BE</t>
        </is>
      </c>
      <c r="B505" s="94" t="inlineStr">
        <is>
          <t>649  פארם עכו BE</t>
        </is>
      </c>
      <c r="C505" s="111" t="n">
        <v>0</v>
      </c>
      <c r="D505" s="111" t="n">
        <v>3983.1</v>
      </c>
      <c r="E505" s="111" t="n">
        <v>0</v>
      </c>
      <c r="F505" s="111" t="n">
        <v>0</v>
      </c>
      <c r="G505" s="111" t="n">
        <v>0</v>
      </c>
      <c r="H505" s="94">
        <f>COUNTIF(C505:G505,"&lt;&gt;0")</f>
        <v/>
      </c>
      <c r="I505" s="94">
        <f>IF(H505=0,"לא מטופל",IF(H505=1,"מטופל - סוכן אחד","מטופל - יותר מסוכן אחד"))</f>
        <v/>
      </c>
    </row>
    <row r="506" ht="15" customHeight="1" s="82">
      <c r="A506" s="94" t="inlineStr">
        <is>
          <t>שופרסל BE</t>
        </is>
      </c>
      <c r="B506" s="94" t="inlineStr">
        <is>
          <t>617 (נוף הגליל )נצרת BE</t>
        </is>
      </c>
      <c r="C506" s="111" t="n">
        <v>0</v>
      </c>
      <c r="D506" s="111" t="n">
        <v>3160.2</v>
      </c>
      <c r="E506" s="111" t="n">
        <v>0</v>
      </c>
      <c r="F506" s="111" t="n">
        <v>0</v>
      </c>
      <c r="G506" s="111" t="n">
        <v>0</v>
      </c>
      <c r="H506" s="94">
        <f>COUNTIF(C506:G506,"&lt;&gt;0")</f>
        <v/>
      </c>
      <c r="I506" s="94">
        <f>IF(H506=0,"לא מטופל",IF(H506=1,"מטופל - סוכן אחד","מטופל - יותר מסוכן אחד"))</f>
        <v/>
      </c>
    </row>
    <row r="507" ht="15" customHeight="1" s="82">
      <c r="A507" s="94" t="inlineStr">
        <is>
          <t>שופרסל BE</t>
        </is>
      </c>
      <c r="B507" s="94" t="inlineStr">
        <is>
          <t>678 עפולה BE</t>
        </is>
      </c>
      <c r="C507" s="111" t="n">
        <v>0</v>
      </c>
      <c r="D507" s="111" t="n">
        <v>5883.6</v>
      </c>
      <c r="E507" s="111" t="n">
        <v>0</v>
      </c>
      <c r="F507" s="111" t="n">
        <v>0</v>
      </c>
      <c r="G507" s="111" t="n">
        <v>0</v>
      </c>
      <c r="H507" s="94">
        <f>COUNTIF(C507:G507,"&lt;&gt;0")</f>
        <v/>
      </c>
      <c r="I507" s="94">
        <f>IF(H507=0,"לא מטופל",IF(H507=1,"מטופל - סוכן אחד","מטופל - יותר מסוכן אחד"))</f>
        <v/>
      </c>
    </row>
    <row r="508" ht="15" customHeight="1" s="82">
      <c r="A508" s="94" t="inlineStr">
        <is>
          <t>שופרסל BE</t>
        </is>
      </c>
      <c r="B508" s="94" t="inlineStr">
        <is>
          <t>613 נהריה BE</t>
        </is>
      </c>
      <c r="C508" s="111" t="n">
        <v>0</v>
      </c>
      <c r="D508" s="111" t="n">
        <v>5446.1</v>
      </c>
      <c r="E508" s="111" t="n">
        <v>0</v>
      </c>
      <c r="F508" s="111" t="n">
        <v>0</v>
      </c>
      <c r="G508" s="111" t="n">
        <v>0</v>
      </c>
      <c r="H508" s="94">
        <f>COUNTIF(C508:G508,"&lt;&gt;0")</f>
        <v/>
      </c>
      <c r="I508" s="94">
        <f>IF(H508=0,"לא מטופל",IF(H508=1,"מטופל - סוכן אחד","מטופל - יותר מסוכן אחד"))</f>
        <v/>
      </c>
    </row>
    <row r="509" ht="15" customHeight="1" s="82">
      <c r="A509" s="94" t="inlineStr">
        <is>
          <t>שופרסל BE</t>
        </is>
      </c>
      <c r="B509" s="94" t="inlineStr">
        <is>
          <t>698  כרמיאל BE</t>
        </is>
      </c>
      <c r="C509" s="111" t="n">
        <v>0</v>
      </c>
      <c r="D509" s="111" t="n">
        <v>3568.7</v>
      </c>
      <c r="E509" s="111" t="n">
        <v>0</v>
      </c>
      <c r="F509" s="111" t="n">
        <v>0</v>
      </c>
      <c r="G509" s="111" t="n">
        <v>0</v>
      </c>
      <c r="H509" s="94">
        <f>COUNTIF(C509:G509,"&lt;&gt;0")</f>
        <v/>
      </c>
      <c r="I509" s="94">
        <f>IF(H509=0,"לא מטופל",IF(H509=1,"מטופל - סוכן אחד","מטופל - יותר מסוכן אחד"))</f>
        <v/>
      </c>
    </row>
    <row r="510" ht="15" customHeight="1" s="82">
      <c r="A510" s="94" t="inlineStr">
        <is>
          <t>שופרסל BE</t>
        </is>
      </c>
      <c r="B510" s="94" t="inlineStr">
        <is>
          <t>679 כרכור מדיקל BE</t>
        </is>
      </c>
      <c r="C510" s="111" t="n">
        <v>0</v>
      </c>
      <c r="D510" s="111" t="n">
        <v>6566.1</v>
      </c>
      <c r="E510" s="111" t="n">
        <v>0</v>
      </c>
      <c r="F510" s="111" t="n">
        <v>0</v>
      </c>
      <c r="G510" s="111" t="n">
        <v>0</v>
      </c>
      <c r="H510" s="94">
        <f>COUNTIF(C510:G510,"&lt;&gt;0")</f>
        <v/>
      </c>
      <c r="I510" s="94">
        <f>IF(H510=0,"לא מטופל",IF(H510=1,"מטופל - סוכן אחד","מטופל - יותר מסוכן אחד"))</f>
        <v/>
      </c>
    </row>
    <row r="511" ht="15" customHeight="1" s="82">
      <c r="A511" s="94" t="inlineStr">
        <is>
          <t>שופרסל BE</t>
        </is>
      </c>
      <c r="B511" s="94" t="inlineStr">
        <is>
          <t>776 טירה BE</t>
        </is>
      </c>
      <c r="C511" s="111" t="n">
        <v>0</v>
      </c>
      <c r="D511" s="111" t="n">
        <v>0</v>
      </c>
      <c r="E511" s="111" t="n">
        <v>11559.5</v>
      </c>
      <c r="F511" s="111" t="n">
        <v>0</v>
      </c>
      <c r="G511" s="111" t="n">
        <v>0</v>
      </c>
      <c r="H511" s="94">
        <f>COUNTIF(C511:G511,"&lt;&gt;0")</f>
        <v/>
      </c>
      <c r="I511" s="94">
        <f>IF(H511=0,"לא מטופל",IF(H511=1,"מטופל - סוכן אחד","מטופל - יותר מסוכן אחד"))</f>
        <v/>
      </c>
    </row>
    <row r="512" ht="15" customHeight="1" s="82">
      <c r="A512" s="94" t="inlineStr">
        <is>
          <t>שופרסל BE</t>
        </is>
      </c>
      <c r="B512" s="94" t="inlineStr">
        <is>
          <t>621 סינמה סיטי נתניה BE</t>
        </is>
      </c>
      <c r="C512" s="111" t="n">
        <v>3454.2</v>
      </c>
      <c r="D512" s="111" t="n">
        <v>0</v>
      </c>
      <c r="E512" s="111" t="n">
        <v>0</v>
      </c>
      <c r="F512" s="111" t="n">
        <v>0</v>
      </c>
      <c r="G512" s="111" t="n">
        <v>0</v>
      </c>
      <c r="H512" s="94">
        <f>COUNTIF(C512:G512,"&lt;&gt;0")</f>
        <v/>
      </c>
      <c r="I512" s="94">
        <f>IF(H512=0,"לא מטופל",IF(H512=1,"מטופל - סוכן אחד","מטופל - יותר מסוכן אחד"))</f>
        <v/>
      </c>
    </row>
    <row r="513" ht="15" customHeight="1" s="82">
      <c r="A513" s="94" t="inlineStr">
        <is>
          <t>שופרסל BE</t>
        </is>
      </c>
      <c r="B513" s="94" t="inlineStr">
        <is>
          <t>201 בריגה נתניה BE</t>
        </is>
      </c>
      <c r="C513" s="111" t="n">
        <v>6481.7</v>
      </c>
      <c r="D513" s="111" t="n">
        <v>0</v>
      </c>
      <c r="E513" s="111" t="n">
        <v>0</v>
      </c>
      <c r="F513" s="111" t="n">
        <v>0</v>
      </c>
      <c r="G513" s="111" t="n">
        <v>0</v>
      </c>
      <c r="H513" s="94">
        <f>COUNTIF(C513:G513,"&lt;&gt;0")</f>
        <v/>
      </c>
      <c r="I513" s="94">
        <f>IF(H513=0,"לא מטופל",IF(H513=1,"מטופל - סוכן אחד","מטופל - יותר מסוכן אחד"))</f>
        <v/>
      </c>
    </row>
    <row r="514" ht="15" customHeight="1" s="82">
      <c r="A514" s="94" t="inlineStr">
        <is>
          <t>שופרסל BE</t>
        </is>
      </c>
      <c r="B514" s="94" t="inlineStr">
        <is>
          <t>178 סגולה פ""ת BE</t>
        </is>
      </c>
      <c r="C514" s="111" t="n">
        <v>0</v>
      </c>
      <c r="D514" s="111" t="n">
        <v>0</v>
      </c>
      <c r="E514" s="111" t="n">
        <v>1165.8</v>
      </c>
      <c r="F514" s="111" t="n">
        <v>0</v>
      </c>
      <c r="G514" s="111" t="n">
        <v>0</v>
      </c>
      <c r="H514" s="94">
        <f>COUNTIF(C514:G514,"&lt;&gt;0")</f>
        <v/>
      </c>
      <c r="I514" s="94">
        <f>IF(H514=0,"לא מטופל",IF(H514=1,"מטופל - סוכן אחד","מטופל - יותר מסוכן אחד"))</f>
        <v/>
      </c>
    </row>
    <row r="515" ht="15" customHeight="1" s="82">
      <c r="A515" s="94" t="inlineStr">
        <is>
          <t>שופרסל BE</t>
        </is>
      </c>
      <c r="B515" s="94" t="inlineStr">
        <is>
          <t>26 בלוך גבעתיים BE</t>
        </is>
      </c>
      <c r="C515" s="111" t="n">
        <v>0</v>
      </c>
      <c r="D515" s="111" t="n">
        <v>0</v>
      </c>
      <c r="E515" s="111" t="n">
        <v>3793.5</v>
      </c>
      <c r="F515" s="111" t="n">
        <v>0</v>
      </c>
      <c r="G515" s="111" t="n">
        <v>0</v>
      </c>
      <c r="H515" s="94">
        <f>COUNTIF(C515:G515,"&lt;&gt;0")</f>
        <v/>
      </c>
      <c r="I515" s="94">
        <f>IF(H515=0,"לא מטופל",IF(H515=1,"מטופל - סוכן אחד","מטופל - יותר מסוכן אחד"))</f>
        <v/>
      </c>
    </row>
    <row r="516" ht="15" customHeight="1" s="82">
      <c r="A516" s="94" t="inlineStr">
        <is>
          <t>שופרסל BE</t>
        </is>
      </c>
      <c r="B516" s="94" t="inlineStr">
        <is>
          <t>218 גרין עפולה</t>
        </is>
      </c>
      <c r="C516" s="111" t="n">
        <v>0</v>
      </c>
      <c r="D516" s="111" t="n">
        <v>0</v>
      </c>
      <c r="E516" s="111" t="n">
        <v>262.5</v>
      </c>
      <c r="F516" s="111" t="n">
        <v>0</v>
      </c>
      <c r="G516" s="111" t="n">
        <v>0</v>
      </c>
      <c r="H516" s="94">
        <f>COUNTIF(C516:G516,"&lt;&gt;0")</f>
        <v/>
      </c>
      <c r="I516" s="94">
        <f>IF(H516=0,"לא מטופל",IF(H516=1,"מטופל - סוכן אחד","מטופל - יותר מסוכן אחד"))</f>
        <v/>
      </c>
    </row>
    <row r="517" ht="15" customHeight="1" s="82">
      <c r="A517" s="94" t="inlineStr">
        <is>
          <t>שופרסל BE</t>
        </is>
      </c>
      <c r="B517" s="94" t="inlineStr">
        <is>
          <t>601 פרדס חנה BE</t>
        </is>
      </c>
      <c r="C517" s="111" t="n">
        <v>0</v>
      </c>
      <c r="D517" s="111" t="n">
        <v>2580.6</v>
      </c>
      <c r="E517" s="111" t="n">
        <v>0</v>
      </c>
      <c r="F517" s="111" t="n">
        <v>0</v>
      </c>
      <c r="G517" s="111" t="n">
        <v>0</v>
      </c>
      <c r="H517" s="94">
        <f>COUNTIF(C517:G517,"&lt;&gt;0")</f>
        <v/>
      </c>
      <c r="I517" s="94">
        <f>IF(H517=0,"לא מטופל",IF(H517=1,"מטופל - סוכן אחד","מטופל - יותר מסוכן אחד"))</f>
        <v/>
      </c>
    </row>
    <row r="518" ht="15" customHeight="1" s="82">
      <c r="A518" s="94" t="inlineStr">
        <is>
          <t>שופרסל BE</t>
        </is>
      </c>
      <c r="B518" s="94" t="inlineStr">
        <is>
          <t>657 קרית שמונה BE</t>
        </is>
      </c>
      <c r="C518" s="111" t="n">
        <v>0</v>
      </c>
      <c r="D518" s="111" t="n">
        <v>0</v>
      </c>
      <c r="E518" s="111" t="n">
        <v>5295.3</v>
      </c>
      <c r="F518" s="111" t="n">
        <v>0</v>
      </c>
      <c r="G518" s="111" t="n">
        <v>0</v>
      </c>
      <c r="H518" s="94">
        <f>COUNTIF(C518:G518,"&lt;&gt;0")</f>
        <v/>
      </c>
      <c r="I518" s="94">
        <f>IF(H518=0,"לא מטופל",IF(H518=1,"מטופל - סוכן אחד","מטופל - יותר מסוכן אחד"))</f>
        <v/>
      </c>
    </row>
    <row r="519" ht="15" customHeight="1" s="82">
      <c r="A519" s="94" t="inlineStr">
        <is>
          <t>שופרסל BE</t>
        </is>
      </c>
      <c r="B519" s="94" t="inlineStr">
        <is>
          <t>667 הלל יפה חדרה BE</t>
        </is>
      </c>
      <c r="C519" s="111" t="n">
        <v>0</v>
      </c>
      <c r="D519" s="111" t="n">
        <v>10551</v>
      </c>
      <c r="E519" s="111" t="n">
        <v>0</v>
      </c>
      <c r="F519" s="111" t="n">
        <v>0</v>
      </c>
      <c r="G519" s="111" t="n">
        <v>0</v>
      </c>
      <c r="H519" s="94">
        <f>COUNTIF(C519:G519,"&lt;&gt;0")</f>
        <v/>
      </c>
      <c r="I519" s="94">
        <f>IF(H519=0,"לא מטופל",IF(H519=1,"מטופל - סוכן אחד","מטופל - יותר מסוכן אחד"))</f>
        <v/>
      </c>
    </row>
    <row r="520" ht="15" customHeight="1" s="82">
      <c r="A520" s="94" t="inlineStr">
        <is>
          <t>שופרסל BE</t>
        </is>
      </c>
      <c r="B520" s="94" t="inlineStr">
        <is>
          <t>252 עין שמר BE</t>
        </is>
      </c>
      <c r="C520" s="111" t="n">
        <v>0</v>
      </c>
      <c r="D520" s="111" t="n">
        <v>2289.4</v>
      </c>
      <c r="E520" s="111" t="n">
        <v>0</v>
      </c>
      <c r="F520" s="111" t="n">
        <v>0</v>
      </c>
      <c r="G520" s="111" t="n">
        <v>0</v>
      </c>
      <c r="H520" s="94">
        <f>COUNTIF(C520:G520,"&lt;&gt;0")</f>
        <v/>
      </c>
      <c r="I520" s="94">
        <f>IF(H520=0,"לא מטופל",IF(H520=1,"מטופל - סוכן אחד","מטופל - יותר מסוכן אחד"))</f>
        <v/>
      </c>
    </row>
    <row r="521" ht="15" customHeight="1" s="82">
      <c r="A521" s="94" t="inlineStr">
        <is>
          <t>שופרסל BE</t>
        </is>
      </c>
      <c r="B521" s="94" t="inlineStr">
        <is>
          <t>662 אסותא אשדוד BE</t>
        </is>
      </c>
      <c r="C521" s="111" t="n">
        <v>0</v>
      </c>
      <c r="D521" s="111" t="n">
        <v>0</v>
      </c>
      <c r="E521" s="111" t="n">
        <v>0</v>
      </c>
      <c r="F521" s="111" t="n">
        <v>0</v>
      </c>
      <c r="G521" s="111" t="n">
        <v>11673.4</v>
      </c>
      <c r="H521" s="94">
        <f>COUNTIF(C521:G521,"&lt;&gt;0")</f>
        <v/>
      </c>
      <c r="I521" s="94">
        <f>IF(H521=0,"לא מטופל",IF(H521=1,"מטופל - סוכן אחד","מטופל - יותר מסוכן אחד"))</f>
        <v/>
      </c>
    </row>
    <row r="522" ht="15" customHeight="1" s="82">
      <c r="A522" s="94" t="inlineStr">
        <is>
          <t>שופרסל BE</t>
        </is>
      </c>
      <c r="B522" s="94" t="inlineStr">
        <is>
          <t>602 מרינה אשקלון BE</t>
        </is>
      </c>
      <c r="C522" s="111" t="n">
        <v>0</v>
      </c>
      <c r="D522" s="111" t="n">
        <v>0</v>
      </c>
      <c r="E522" s="111" t="n">
        <v>0</v>
      </c>
      <c r="F522" s="111" t="n">
        <v>0</v>
      </c>
      <c r="G522" s="111" t="n">
        <v>1435.4</v>
      </c>
      <c r="H522" s="94">
        <f>COUNTIF(C522:G522,"&lt;&gt;0")</f>
        <v/>
      </c>
      <c r="I522" s="94">
        <f>IF(H522=0,"לא מטופל",IF(H522=1,"מטופל - סוכן אחד","מטופל - יותר מסוכן אחד"))</f>
        <v/>
      </c>
    </row>
    <row r="523" ht="15" customHeight="1" s="82">
      <c r="A523" s="94" t="inlineStr">
        <is>
          <t>שופרסל BE</t>
        </is>
      </c>
      <c r="B523" s="94" t="inlineStr">
        <is>
          <t>בלה אשדוד BE</t>
        </is>
      </c>
      <c r="C523" s="111" t="n">
        <v>0</v>
      </c>
      <c r="D523" s="111" t="n">
        <v>0</v>
      </c>
      <c r="E523" s="111" t="n">
        <v>0</v>
      </c>
      <c r="F523" s="111" t="n">
        <v>0</v>
      </c>
      <c r="G523" s="111" t="n">
        <v>1396</v>
      </c>
      <c r="H523" s="94">
        <f>COUNTIF(C523:G523,"&lt;&gt;0")</f>
        <v/>
      </c>
      <c r="I523" s="94">
        <f>IF(H523=0,"לא מטופל",IF(H523=1,"מטופל - סוכן אחד","מטופל - יותר מסוכן אחד"))</f>
        <v/>
      </c>
    </row>
    <row r="524" ht="15" customHeight="1" s="82">
      <c r="A524" s="94" t="inlineStr">
        <is>
          <t>שופרסל BE</t>
        </is>
      </c>
      <c r="B524" s="94" t="inlineStr">
        <is>
          <t>298 אמות ב""ש BE</t>
        </is>
      </c>
      <c r="C524" s="111" t="n">
        <v>0</v>
      </c>
      <c r="D524" s="111" t="n">
        <v>0</v>
      </c>
      <c r="E524" s="111" t="n">
        <v>6886.4</v>
      </c>
      <c r="F524" s="111" t="n">
        <v>0</v>
      </c>
      <c r="G524" s="111" t="n">
        <v>0</v>
      </c>
      <c r="H524" s="94">
        <f>COUNTIF(C524:G524,"&lt;&gt;0")</f>
        <v/>
      </c>
      <c r="I524" s="94">
        <f>IF(H524=0,"לא מטופל",IF(H524=1,"מטופל - סוכן אחד","מטופל - יותר מסוכן אחד"))</f>
        <v/>
      </c>
    </row>
    <row r="525" ht="15" customHeight="1" s="82">
      <c r="A525" s="94" t="inlineStr">
        <is>
          <t>שופרסל BE</t>
        </is>
      </c>
      <c r="B525" s="94" t="inlineStr">
        <is>
          <t>665 החשמונאים BE</t>
        </is>
      </c>
      <c r="C525" s="111" t="n">
        <v>7107.6</v>
      </c>
      <c r="D525" s="111" t="n">
        <v>0</v>
      </c>
      <c r="E525" s="111" t="n">
        <v>0</v>
      </c>
      <c r="F525" s="111" t="n">
        <v>0</v>
      </c>
      <c r="G525" s="111" t="n">
        <v>0</v>
      </c>
      <c r="H525" s="94">
        <f>COUNTIF(C525:G525,"&lt;&gt;0")</f>
        <v/>
      </c>
      <c r="I525" s="94">
        <f>IF(H525=0,"לא מטופל",IF(H525=1,"מטופל - סוכן אחד","מטופל - יותר מסוכן אחד"))</f>
        <v/>
      </c>
    </row>
    <row r="526" ht="15" customHeight="1" s="82">
      <c r="A526" s="94" t="inlineStr">
        <is>
          <t>שופרסל BE</t>
        </is>
      </c>
      <c r="B526" s="94" t="inlineStr">
        <is>
          <t>345 מידטאון ת""א BE</t>
        </is>
      </c>
      <c r="C526" s="111" t="n">
        <v>5126.2</v>
      </c>
      <c r="D526" s="111" t="n">
        <v>0</v>
      </c>
      <c r="E526" s="111" t="n">
        <v>0</v>
      </c>
      <c r="F526" s="111" t="n">
        <v>0</v>
      </c>
      <c r="G526" s="111" t="n">
        <v>0</v>
      </c>
      <c r="H526" s="94">
        <f>COUNTIF(C526:G526,"&lt;&gt;0")</f>
        <v/>
      </c>
      <c r="I526" s="94">
        <f>IF(H526=0,"לא מטופל",IF(H526=1,"מטופל - סוכן אחד","מטופל - יותר מסוכן אחד"))</f>
        <v/>
      </c>
    </row>
    <row r="527" ht="15" customHeight="1" s="82">
      <c r="A527" s="94" t="inlineStr">
        <is>
          <t>שופרסל BE</t>
        </is>
      </c>
      <c r="B527" s="94" t="inlineStr">
        <is>
          <t>322 גן העיר ת""א BE</t>
        </is>
      </c>
      <c r="C527" s="111" t="n">
        <v>9307.6</v>
      </c>
      <c r="D527" s="111" t="n">
        <v>0</v>
      </c>
      <c r="E527" s="111" t="n">
        <v>0</v>
      </c>
      <c r="F527" s="111" t="n">
        <v>0</v>
      </c>
      <c r="G527" s="111" t="n">
        <v>0</v>
      </c>
      <c r="H527" s="94">
        <f>COUNTIF(C527:G527,"&lt;&gt;0")</f>
        <v/>
      </c>
      <c r="I527" s="94">
        <f>IF(H527=0,"לא מטופל",IF(H527=1,"מטופל - סוכן אחד","מטופל - יותר מסוכן אחד"))</f>
        <v/>
      </c>
    </row>
    <row r="528" ht="15" customHeight="1" s="82">
      <c r="A528" s="94" t="inlineStr">
        <is>
          <t>שופרסל BE</t>
        </is>
      </c>
      <c r="B528" s="94" t="inlineStr">
        <is>
          <t>41 דיזינגוף סנטר BE</t>
        </is>
      </c>
      <c r="C528" s="111" t="n">
        <v>8027.1</v>
      </c>
      <c r="D528" s="111" t="n">
        <v>0</v>
      </c>
      <c r="E528" s="111" t="n">
        <v>0</v>
      </c>
      <c r="F528" s="111" t="n">
        <v>0</v>
      </c>
      <c r="G528" s="111" t="n">
        <v>0</v>
      </c>
      <c r="H528" s="94">
        <f>COUNTIF(C528:G528,"&lt;&gt;0")</f>
        <v/>
      </c>
      <c r="I528" s="94">
        <f>IF(H528=0,"לא מטופל",IF(H528=1,"מטופל - סוכן אחד","מטופל - יותר מסוכן אחד"))</f>
        <v/>
      </c>
    </row>
    <row r="529" ht="15" customHeight="1" s="82">
      <c r="A529" s="94" t="inlineStr">
        <is>
          <t>שופרסל BE</t>
        </is>
      </c>
      <c r="B529" s="94" t="inlineStr">
        <is>
          <t>270 תמנע חולון BE</t>
        </is>
      </c>
      <c r="C529" s="111" t="n">
        <v>0</v>
      </c>
      <c r="D529" s="111" t="n">
        <v>0</v>
      </c>
      <c r="E529" s="111" t="n">
        <v>4323.2</v>
      </c>
      <c r="F529" s="111" t="n">
        <v>0</v>
      </c>
      <c r="G529" s="111" t="n">
        <v>0</v>
      </c>
      <c r="H529" s="94">
        <f>COUNTIF(C529:G529,"&lt;&gt;0")</f>
        <v/>
      </c>
      <c r="I529" s="94">
        <f>IF(H529=0,"לא מטופל",IF(H529=1,"מטופל - סוכן אחד","מטופל - יותר מסוכן אחד"))</f>
        <v/>
      </c>
    </row>
    <row r="530" ht="15" customHeight="1" s="82">
      <c r="A530" s="94" t="inlineStr">
        <is>
          <t>שופרסל BE</t>
        </is>
      </c>
      <c r="B530" s="94" t="inlineStr">
        <is>
          <t>664 שערי צדק י-ם BE</t>
        </is>
      </c>
      <c r="C530" s="111" t="n">
        <v>0</v>
      </c>
      <c r="D530" s="111" t="n">
        <v>0</v>
      </c>
      <c r="E530" s="111" t="n">
        <v>0</v>
      </c>
      <c r="F530" s="111" t="n">
        <v>0</v>
      </c>
      <c r="G530" s="111" t="n">
        <v>25463.2</v>
      </c>
      <c r="H530" s="94">
        <f>COUNTIF(C530:G530,"&lt;&gt;0")</f>
        <v/>
      </c>
      <c r="I530" s="94">
        <f>IF(H530=0,"לא מטופל",IF(H530=1,"מטופל - סוכן אחד","מטופל - יותר מסוכן אחד"))</f>
        <v/>
      </c>
    </row>
    <row r="531" ht="15" customHeight="1" s="82">
      <c r="A531" s="94" t="inlineStr">
        <is>
          <t>שופרסל BE</t>
        </is>
      </c>
      <c r="B531" s="94" t="inlineStr">
        <is>
          <t>392 שילת BE</t>
        </is>
      </c>
      <c r="C531" s="111" t="n">
        <v>0</v>
      </c>
      <c r="D531" s="111" t="n">
        <v>0</v>
      </c>
      <c r="E531" s="111" t="n">
        <v>0</v>
      </c>
      <c r="F531" s="111" t="n">
        <v>0</v>
      </c>
      <c r="G531" s="111" t="n">
        <v>1809.7</v>
      </c>
      <c r="H531" s="94">
        <f>COUNTIF(C531:G531,"&lt;&gt;0")</f>
        <v/>
      </c>
      <c r="I531" s="94">
        <f>IF(H531=0,"לא מטופל",IF(H531=1,"מטופל - סוכן אחד","מטופל - יותר מסוכן אחד"))</f>
        <v/>
      </c>
    </row>
    <row r="532" ht="15" customHeight="1" s="82">
      <c r="A532" s="94" t="inlineStr">
        <is>
          <t>שופרסל BE</t>
        </is>
      </c>
      <c r="B532" s="94" t="inlineStr">
        <is>
          <t>256 ישפרו נס ציונה B.</t>
        </is>
      </c>
      <c r="C532" s="111" t="n">
        <v>3705.3</v>
      </c>
      <c r="D532" s="111" t="n">
        <v>0</v>
      </c>
      <c r="E532" s="111" t="n">
        <v>0</v>
      </c>
      <c r="F532" s="111" t="n">
        <v>0</v>
      </c>
      <c r="G532" s="111" t="n">
        <v>0</v>
      </c>
      <c r="H532" s="94">
        <f>COUNTIF(C532:G532,"&lt;&gt;0")</f>
        <v/>
      </c>
      <c r="I532" s="94">
        <f>IF(H532=0,"לא מטופל",IF(H532=1,"מטופל - סוכן אחד","מטופל - יותר מסוכן אחד"))</f>
        <v/>
      </c>
    </row>
    <row r="533" ht="15" customHeight="1" s="82">
      <c r="A533" s="94" t="inlineStr">
        <is>
          <t>שופרסל BE</t>
        </is>
      </c>
      <c r="B533" s="94" t="inlineStr">
        <is>
          <t>786 כרמי גת BE</t>
        </is>
      </c>
      <c r="C533" s="111" t="n">
        <v>0</v>
      </c>
      <c r="D533" s="111" t="n">
        <v>0</v>
      </c>
      <c r="E533" s="111" t="n">
        <v>0</v>
      </c>
      <c r="F533" s="111" t="n">
        <v>0</v>
      </c>
      <c r="G533" s="111" t="n">
        <v>683.7</v>
      </c>
      <c r="H533" s="94">
        <f>COUNTIF(C533:G533,"&lt;&gt;0")</f>
        <v/>
      </c>
      <c r="I533" s="94">
        <f>IF(H533=0,"לא מטופל",IF(H533=1,"מטופל - סוכן אחד","מטופל - יותר מסוכן אחד"))</f>
        <v/>
      </c>
    </row>
    <row r="534" ht="15" customHeight="1" s="82">
      <c r="A534" s="94" t="inlineStr">
        <is>
          <t>שופרסל BE</t>
        </is>
      </c>
      <c r="B534" s="94" t="inlineStr">
        <is>
          <t>764 סטאר אשדוד BE</t>
        </is>
      </c>
      <c r="C534" s="111" t="n">
        <v>0</v>
      </c>
      <c r="D534" s="111" t="n">
        <v>0</v>
      </c>
      <c r="E534" s="111" t="n">
        <v>0</v>
      </c>
      <c r="F534" s="111" t="n">
        <v>0</v>
      </c>
      <c r="G534" s="111" t="n">
        <v>4379</v>
      </c>
      <c r="H534" s="94">
        <f>COUNTIF(C534:G534,"&lt;&gt;0")</f>
        <v/>
      </c>
      <c r="I534" s="94">
        <f>IF(H534=0,"לא מטופל",IF(H534=1,"מטופל - סוכן אחד","מטופל - יותר מסוכן אחד"))</f>
        <v/>
      </c>
    </row>
    <row r="535" ht="15" customHeight="1" s="82">
      <c r="A535" s="94" t="inlineStr">
        <is>
          <t>שופרסל BE</t>
        </is>
      </c>
      <c r="B535" s="94" t="inlineStr">
        <is>
          <t>145 נתיבות BE</t>
        </is>
      </c>
      <c r="C535" s="111" t="n">
        <v>0</v>
      </c>
      <c r="D535" s="111" t="n">
        <v>0</v>
      </c>
      <c r="E535" s="111" t="n">
        <v>0</v>
      </c>
      <c r="F535" s="111" t="n">
        <v>0</v>
      </c>
      <c r="G535" s="111" t="n">
        <v>6983.1</v>
      </c>
      <c r="H535" s="94">
        <f>COUNTIF(C535:G535,"&lt;&gt;0")</f>
        <v/>
      </c>
      <c r="I535" s="94">
        <f>IF(H535=0,"לא מטופל",IF(H535=1,"מטופל - סוכן אחד","מטופל - יותר מסוכן אחד"))</f>
        <v/>
      </c>
    </row>
    <row r="536" ht="15" customHeight="1" s="82">
      <c r="A536" s="94" t="inlineStr">
        <is>
          <t>שופרסל BE</t>
        </is>
      </c>
      <c r="B536" s="94" t="inlineStr">
        <is>
          <t>233 לב הפארק ב""ש BE</t>
        </is>
      </c>
      <c r="C536" s="111" t="n">
        <v>0</v>
      </c>
      <c r="D536" s="111" t="n">
        <v>0</v>
      </c>
      <c r="E536" s="111" t="n">
        <v>1787.1</v>
      </c>
      <c r="F536" s="111" t="n">
        <v>0</v>
      </c>
      <c r="G536" s="111" t="n">
        <v>0</v>
      </c>
      <c r="H536" s="94">
        <f>COUNTIF(C536:G536,"&lt;&gt;0")</f>
        <v/>
      </c>
      <c r="I536" s="94">
        <f>IF(H536=0,"לא מטופל",IF(H536=1,"מטופל - סוכן אחד","מטופל - יותר מסוכן אחד"))</f>
        <v/>
      </c>
    </row>
    <row r="537" ht="15" customHeight="1" s="82">
      <c r="A537" s="94" t="inlineStr">
        <is>
          <t>שופרסל BE</t>
        </is>
      </c>
      <c r="B537" s="94" t="inlineStr">
        <is>
          <t>824  אונליין לונג פ""ת BE</t>
        </is>
      </c>
      <c r="C537" s="111" t="n">
        <v>0</v>
      </c>
      <c r="D537" s="111" t="n">
        <v>0</v>
      </c>
      <c r="E537" s="111" t="n">
        <v>0</v>
      </c>
      <c r="F537" s="111" t="n">
        <v>15621.3</v>
      </c>
      <c r="G537" s="111" t="n">
        <v>0</v>
      </c>
      <c r="H537" s="94">
        <f>COUNTIF(C537:G537,"&lt;&gt;0")</f>
        <v/>
      </c>
      <c r="I537" s="94">
        <f>IF(H537=0,"לא מטופל",IF(H537=1,"מטופל - סוכן אחד","מטופל - יותר מסוכן אחד"))</f>
        <v/>
      </c>
    </row>
    <row r="538" ht="15" customHeight="1" s="82">
      <c r="A538" s="94" t="inlineStr">
        <is>
          <t>שופרסל BE</t>
        </is>
      </c>
      <c r="B538" s="94" t="inlineStr">
        <is>
          <t>(155) דיל מצפה ספיר BE</t>
        </is>
      </c>
      <c r="C538" s="111" t="n">
        <v>0</v>
      </c>
      <c r="D538" s="111" t="n">
        <v>0</v>
      </c>
      <c r="E538" s="111" t="n">
        <v>1309.1</v>
      </c>
      <c r="F538" s="111" t="n">
        <v>0</v>
      </c>
      <c r="G538" s="111" t="n">
        <v>0</v>
      </c>
      <c r="H538" s="94">
        <f>COUNTIF(C538:G538,"&lt;&gt;0")</f>
        <v/>
      </c>
      <c r="I538" s="94">
        <f>IF(H538=0,"לא מטופל",IF(H538=1,"מטופל - סוכן אחד","מטופל - יותר מסוכן אחד"))</f>
        <v/>
      </c>
    </row>
    <row r="539" ht="15" customHeight="1" s="82">
      <c r="A539" s="94" t="inlineStr">
        <is>
          <t>שופרסל BE</t>
        </is>
      </c>
      <c r="B539" s="94" t="inlineStr">
        <is>
          <t>476 ככר המושבה הוד השרון BE</t>
        </is>
      </c>
      <c r="C539" s="111" t="n">
        <v>5744</v>
      </c>
      <c r="D539" s="111" t="n">
        <v>0</v>
      </c>
      <c r="E539" s="111" t="n">
        <v>0</v>
      </c>
      <c r="F539" s="111" t="n">
        <v>0</v>
      </c>
      <c r="G539" s="111" t="n">
        <v>0</v>
      </c>
      <c r="H539" s="94">
        <f>COUNTIF(C539:G539,"&lt;&gt;0")</f>
        <v/>
      </c>
      <c r="I539" s="94">
        <f>IF(H539=0,"לא מטופל",IF(H539=1,"מטופל - סוכן אחד","מטופל - יותר מסוכן אחד"))</f>
        <v/>
      </c>
    </row>
    <row r="540" ht="15" customHeight="1" s="82">
      <c r="A540" s="94" t="inlineStr">
        <is>
          <t>שופרסל BE</t>
        </is>
      </c>
      <c r="B540" s="94" t="inlineStr">
        <is>
          <t>783 קייזר מודיעין BE</t>
        </is>
      </c>
      <c r="C540" s="111" t="n">
        <v>0</v>
      </c>
      <c r="D540" s="111" t="n">
        <v>0</v>
      </c>
      <c r="E540" s="111" t="n">
        <v>0</v>
      </c>
      <c r="F540" s="111" t="n">
        <v>0</v>
      </c>
      <c r="G540" s="111" t="n">
        <v>753.7</v>
      </c>
      <c r="H540" s="94">
        <f>COUNTIF(C540:G540,"&lt;&gt;0")</f>
        <v/>
      </c>
      <c r="I540" s="94">
        <f>IF(H540=0,"לא מטופל",IF(H540=1,"מטופל - סוכן אחד","מטופל - יותר מסוכן אחד"))</f>
        <v/>
      </c>
    </row>
    <row r="541" ht="15" customHeight="1" s="82">
      <c r="A541" s="94" t="inlineStr">
        <is>
          <t>שופרסל BE</t>
        </is>
      </c>
      <c r="B541" s="94" t="inlineStr">
        <is>
          <t>784 כפר גנים BE</t>
        </is>
      </c>
      <c r="C541" s="111" t="n">
        <v>0</v>
      </c>
      <c r="D541" s="111" t="n">
        <v>0</v>
      </c>
      <c r="E541" s="111" t="n">
        <v>5753.9</v>
      </c>
      <c r="F541" s="111" t="n">
        <v>0</v>
      </c>
      <c r="G541" s="111" t="n">
        <v>0</v>
      </c>
      <c r="H541" s="94">
        <f>COUNTIF(C541:G541,"&lt;&gt;0")</f>
        <v/>
      </c>
      <c r="I541" s="94">
        <f>IF(H541=0,"לא מטופל",IF(H541=1,"מטופל - סוכן אחד","מטופל - יותר מסוכן אחד"))</f>
        <v/>
      </c>
    </row>
    <row r="542" ht="15" customHeight="1" s="82">
      <c r="A542" s="94" t="inlineStr">
        <is>
          <t>שופרסל BE</t>
        </is>
      </c>
      <c r="B542" s="94" t="inlineStr">
        <is>
          <t>788 אפרת BE</t>
        </is>
      </c>
      <c r="C542" s="111" t="n">
        <v>0</v>
      </c>
      <c r="D542" s="111" t="n">
        <v>0</v>
      </c>
      <c r="E542" s="111" t="n">
        <v>0</v>
      </c>
      <c r="F542" s="111" t="n">
        <v>0</v>
      </c>
      <c r="G542" s="111" t="n">
        <v>8836.5</v>
      </c>
      <c r="H542" s="94">
        <f>COUNTIF(C542:G542,"&lt;&gt;0")</f>
        <v/>
      </c>
      <c r="I542" s="94">
        <f>IF(H542=0,"לא מטופל",IF(H542=1,"מטופל - סוכן אחד","מטופל - יותר מסוכן אחד"))</f>
        <v/>
      </c>
    </row>
    <row r="543" ht="15" customHeight="1" s="82">
      <c r="A543" s="94" t="inlineStr">
        <is>
          <t>שופרסל BE</t>
        </is>
      </c>
      <c r="B543" s="94" t="inlineStr">
        <is>
          <t>787 חמדת אריאל BE</t>
        </is>
      </c>
      <c r="C543" s="111" t="n">
        <v>0</v>
      </c>
      <c r="D543" s="111" t="n">
        <v>0</v>
      </c>
      <c r="E543" s="111" t="n">
        <v>3846</v>
      </c>
      <c r="F543" s="111" t="n">
        <v>0</v>
      </c>
      <c r="G543" s="111" t="n">
        <v>0</v>
      </c>
      <c r="H543" s="94">
        <f>COUNTIF(C543:G543,"&lt;&gt;0")</f>
        <v/>
      </c>
      <c r="I543" s="94">
        <f>IF(H543=0,"לא מטופל",IF(H543=1,"מטופל - סוכן אחד","מטופל - יותר מסוכן אחד"))</f>
        <v/>
      </c>
    </row>
    <row r="544" ht="15" customHeight="1" s="82">
      <c r="A544" s="94" t="inlineStr">
        <is>
          <t>שופרסל BE</t>
        </is>
      </c>
      <c r="B544" s="94" t="inlineStr">
        <is>
          <t>782 שיין ראשל""צ BE</t>
        </is>
      </c>
      <c r="C544" s="111" t="n">
        <v>636</v>
      </c>
      <c r="D544" s="111" t="n">
        <v>0</v>
      </c>
      <c r="E544" s="111" t="n">
        <v>0</v>
      </c>
      <c r="F544" s="111" t="n">
        <v>0</v>
      </c>
      <c r="G544" s="111" t="n">
        <v>0</v>
      </c>
      <c r="H544" s="94">
        <f>COUNTIF(C544:G544,"&lt;&gt;0")</f>
        <v/>
      </c>
      <c r="I544" s="94">
        <f>IF(H544=0,"לא מטופל",IF(H544=1,"מטופל - סוכן אחד","מטופל - יותר מסוכן אחד"))</f>
        <v/>
      </c>
    </row>
    <row r="545" ht="15" customHeight="1" s="82">
      <c r="A545" s="94" t="inlineStr">
        <is>
          <t>שופרסל BE</t>
        </is>
      </c>
      <c r="B545" s="94" t="inlineStr">
        <is>
          <t>רחובות קרית משה אמטל BE</t>
        </is>
      </c>
      <c r="C545" s="111" t="n">
        <v>0</v>
      </c>
      <c r="D545" s="111" t="n">
        <v>0</v>
      </c>
      <c r="E545" s="111" t="n">
        <v>0</v>
      </c>
      <c r="F545" s="111" t="n">
        <v>0</v>
      </c>
      <c r="G545" s="111" t="n">
        <v>1340.4</v>
      </c>
      <c r="H545" s="94">
        <f>COUNTIF(C545:G545,"&lt;&gt;0")</f>
        <v/>
      </c>
      <c r="I545" s="94">
        <f>IF(H545=0,"לא מטופל",IF(H545=1,"מטופל - סוכן אחד","מטופל - יותר מסוכן אחד"))</f>
        <v/>
      </c>
    </row>
    <row r="546" ht="15" customHeight="1" s="82">
      <c r="A546" s="94" t="inlineStr">
        <is>
          <t>שופרסל BE</t>
        </is>
      </c>
      <c r="B546" s="94" t="inlineStr">
        <is>
          <t>762 אושיסקין רמת השרון BE</t>
        </is>
      </c>
      <c r="C546" s="111" t="n">
        <v>4767.1</v>
      </c>
      <c r="D546" s="111" t="n">
        <v>0</v>
      </c>
      <c r="E546" s="111" t="n">
        <v>0</v>
      </c>
      <c r="F546" s="111" t="n">
        <v>0</v>
      </c>
      <c r="G546" s="111" t="n">
        <v>0</v>
      </c>
      <c r="H546" s="94">
        <f>COUNTIF(C546:G546,"&lt;&gt;0")</f>
        <v/>
      </c>
      <c r="I546" s="94">
        <f>IF(H546=0,"לא מטופל",IF(H546=1,"מטופל - סוכן אחד","מטופל - יותר מסוכן אחד"))</f>
        <v/>
      </c>
    </row>
    <row r="547" ht="15" customHeight="1" s="82">
      <c r="A547" s="94" t="inlineStr">
        <is>
          <t>שופרסל BE</t>
        </is>
      </c>
      <c r="B547" s="94" t="inlineStr">
        <is>
          <t>781 פרישמן ת""א BE</t>
        </is>
      </c>
      <c r="C547" s="111" t="n">
        <v>4710.9</v>
      </c>
      <c r="D547" s="111" t="n">
        <v>0</v>
      </c>
      <c r="E547" s="111" t="n">
        <v>0</v>
      </c>
      <c r="F547" s="111" t="n">
        <v>0</v>
      </c>
      <c r="G547" s="111" t="n">
        <v>0</v>
      </c>
      <c r="H547" s="94">
        <f>COUNTIF(C547:G547,"&lt;&gt;0")</f>
        <v/>
      </c>
      <c r="I547" s="94">
        <f>IF(H547=0,"לא מטופל",IF(H547=1,"מטופל - סוכן אחד","מטופל - יותר מסוכן אחד"))</f>
        <v/>
      </c>
    </row>
    <row r="548" ht="15" customHeight="1" s="82">
      <c r="A548" s="94" t="inlineStr">
        <is>
          <t>שופרסל BE</t>
        </is>
      </c>
      <c r="B548" s="94" t="inlineStr">
        <is>
          <t>דיל עמק חפר BE</t>
        </is>
      </c>
      <c r="C548" s="111" t="n">
        <v>0</v>
      </c>
      <c r="D548" s="111" t="n">
        <v>4261.8</v>
      </c>
      <c r="E548" s="111" t="n">
        <v>0</v>
      </c>
      <c r="F548" s="111" t="n">
        <v>0</v>
      </c>
      <c r="G548" s="111" t="n">
        <v>0</v>
      </c>
      <c r="H548" s="94">
        <f>COUNTIF(C548:G548,"&lt;&gt;0")</f>
        <v/>
      </c>
      <c r="I548" s="94">
        <f>IF(H548=0,"לא מטופל",IF(H548=1,"מטופל - סוכן אחד","מטופל - יותר מסוכן אחד"))</f>
        <v/>
      </c>
    </row>
    <row r="549" ht="15" customHeight="1" s="82">
      <c r="A549" s="94" t="inlineStr">
        <is>
          <t>שופרסל BE</t>
        </is>
      </c>
      <c r="B549" s="94" t="inlineStr">
        <is>
          <t>242 ויוה חדרה BE</t>
        </is>
      </c>
      <c r="C549" s="111" t="n">
        <v>0</v>
      </c>
      <c r="D549" s="111" t="n">
        <v>3297.8</v>
      </c>
      <c r="E549" s="111" t="n">
        <v>0</v>
      </c>
      <c r="F549" s="111" t="n">
        <v>0</v>
      </c>
      <c r="G549" s="111" t="n">
        <v>0</v>
      </c>
      <c r="H549" s="94">
        <f>COUNTIF(C549:G549,"&lt;&gt;0")</f>
        <v/>
      </c>
      <c r="I549" s="94">
        <f>IF(H549=0,"לא מטופל",IF(H549=1,"מטופל - סוכן אחד","מטופל - יותר מסוכן אחד"))</f>
        <v/>
      </c>
    </row>
    <row r="550" ht="15" customHeight="1" s="82">
      <c r="A550" s="94" t="inlineStr">
        <is>
          <t>שופרסל BE</t>
        </is>
      </c>
      <c r="B550" s="94" t="inlineStr">
        <is>
          <t>763 שפרעם BE</t>
        </is>
      </c>
      <c r="C550" s="111" t="n">
        <v>0</v>
      </c>
      <c r="D550" s="111" t="n">
        <v>2558.8</v>
      </c>
      <c r="E550" s="111" t="n">
        <v>0</v>
      </c>
      <c r="F550" s="111" t="n">
        <v>0</v>
      </c>
      <c r="G550" s="111" t="n">
        <v>0</v>
      </c>
      <c r="H550" s="94">
        <f>COUNTIF(C550:G550,"&lt;&gt;0")</f>
        <v/>
      </c>
      <c r="I550" s="94">
        <f>IF(H550=0,"לא מטופל",IF(H550=1,"מטופל - סוכן אחד","מטופל - יותר מסוכן אחד"))</f>
        <v/>
      </c>
    </row>
    <row r="551" ht="15" customHeight="1" s="82">
      <c r="A551" s="94" t="inlineStr">
        <is>
          <t>שופרסל BE</t>
        </is>
      </c>
      <c r="B551" s="94" t="inlineStr">
        <is>
          <t>(128)שופרסל ב. טירת הכרמל BE</t>
        </is>
      </c>
      <c r="C551" s="111" t="n">
        <v>0</v>
      </c>
      <c r="D551" s="111" t="n">
        <v>10499.6</v>
      </c>
      <c r="E551" s="111" t="n">
        <v>0</v>
      </c>
      <c r="F551" s="111" t="n">
        <v>0</v>
      </c>
      <c r="G551" s="111" t="n">
        <v>0</v>
      </c>
      <c r="H551" s="94">
        <f>COUNTIF(C551:G551,"&lt;&gt;0")</f>
        <v/>
      </c>
      <c r="I551" s="94">
        <f>IF(H551=0,"לא מטופל",IF(H551=1,"מטופל - סוכן אחד","מטופל - יותר מסוכן אחד"))</f>
        <v/>
      </c>
    </row>
    <row r="552" ht="15" customHeight="1" s="82">
      <c r="A552" s="94" t="inlineStr">
        <is>
          <t>שופרסל BE</t>
        </is>
      </c>
      <c r="B552" s="94" t="inlineStr">
        <is>
          <t>715 אגמים אשקלון BE</t>
        </is>
      </c>
      <c r="C552" s="111" t="n">
        <v>0</v>
      </c>
      <c r="D552" s="111" t="n">
        <v>0</v>
      </c>
      <c r="E552" s="111" t="n">
        <v>0</v>
      </c>
      <c r="F552" s="111" t="n">
        <v>0</v>
      </c>
      <c r="G552" s="111" t="n">
        <v>2563</v>
      </c>
      <c r="H552" s="94">
        <f>COUNTIF(C552:G552,"&lt;&gt;0")</f>
        <v/>
      </c>
      <c r="I552" s="94">
        <f>IF(H552=0,"לא מטופל",IF(H552=1,"מטופל - סוכן אחד","מטופל - יותר מסוכן אחד"))</f>
        <v/>
      </c>
    </row>
    <row r="553" ht="15" customHeight="1" s="82">
      <c r="A553" s="94" t="inlineStr">
        <is>
          <t>שופרסל BE</t>
        </is>
      </c>
      <c r="B553" s="94" t="inlineStr">
        <is>
          <t>507 נאות שמיר יבנה BE</t>
        </is>
      </c>
      <c r="C553" s="111" t="n">
        <v>0</v>
      </c>
      <c r="D553" s="111" t="n">
        <v>0</v>
      </c>
      <c r="E553" s="111" t="n">
        <v>1593.7</v>
      </c>
      <c r="F553" s="111" t="n">
        <v>0</v>
      </c>
      <c r="G553" s="111" t="n">
        <v>0</v>
      </c>
      <c r="H553" s="94">
        <f>COUNTIF(C553:G553,"&lt;&gt;0")</f>
        <v/>
      </c>
      <c r="I553" s="94">
        <f>IF(H553=0,"לא מטופל",IF(H553=1,"מטופל - סוכן אחד","מטופל - יותר מסוכן אחד"))</f>
        <v/>
      </c>
    </row>
    <row r="554" ht="15" customHeight="1" s="82">
      <c r="A554" s="94" t="inlineStr">
        <is>
          <t>שופרסל BE</t>
        </is>
      </c>
      <c r="B554" s="94" t="inlineStr">
        <is>
          <t>716 מול 7 באר שבע BE</t>
        </is>
      </c>
      <c r="C554" s="111" t="n">
        <v>0</v>
      </c>
      <c r="D554" s="111" t="n">
        <v>0</v>
      </c>
      <c r="E554" s="111" t="n">
        <v>2474.4</v>
      </c>
      <c r="F554" s="111" t="n">
        <v>0</v>
      </c>
      <c r="G554" s="111" t="n">
        <v>0</v>
      </c>
      <c r="H554" s="94">
        <f>COUNTIF(C554:G554,"&lt;&gt;0")</f>
        <v/>
      </c>
      <c r="I554" s="94">
        <f>IF(H554=0,"לא מטופל",IF(H554=1,"מטופל - סוכן אחד","מטופל - יותר מסוכן אחד"))</f>
        <v/>
      </c>
    </row>
    <row r="555" ht="15" customHeight="1" s="82">
      <c r="A555" s="94" t="inlineStr">
        <is>
          <t>שופרסל BE</t>
        </is>
      </c>
      <c r="B555" s="94" t="inlineStr">
        <is>
          <t>352 טייבה BE</t>
        </is>
      </c>
      <c r="C555" s="111" t="n">
        <v>0</v>
      </c>
      <c r="D555" s="111" t="n">
        <v>0</v>
      </c>
      <c r="E555" s="111" t="n">
        <v>7752.1</v>
      </c>
      <c r="F555" s="111" t="n">
        <v>0</v>
      </c>
      <c r="G555" s="111" t="n">
        <v>0</v>
      </c>
      <c r="H555" s="94">
        <f>COUNTIF(C555:G555,"&lt;&gt;0")</f>
        <v/>
      </c>
      <c r="I555" s="94">
        <f>IF(H555=0,"לא מטופל",IF(H555=1,"מטופל - סוכן אחד","מטופל - יותר מסוכן אחד"))</f>
        <v/>
      </c>
    </row>
    <row r="556" ht="15" customHeight="1" s="82">
      <c r="A556" s="94" t="inlineStr">
        <is>
          <t>שופרסל BE</t>
        </is>
      </c>
      <c r="B556" s="94" t="inlineStr">
        <is>
          <t>482 נווה דורון רמלה BE</t>
        </is>
      </c>
      <c r="C556" s="111" t="n">
        <v>0</v>
      </c>
      <c r="D556" s="111" t="n">
        <v>0</v>
      </c>
      <c r="E556" s="111" t="n">
        <v>2390.4</v>
      </c>
      <c r="F556" s="111" t="n">
        <v>0</v>
      </c>
      <c r="G556" s="111" t="n">
        <v>0</v>
      </c>
      <c r="H556" s="94">
        <f>COUNTIF(C556:G556,"&lt;&gt;0")</f>
        <v/>
      </c>
      <c r="I556" s="94">
        <f>IF(H556=0,"לא מטופל",IF(H556=1,"מטופל - סוכן אחד","מטופל - יותר מסוכן אחד"))</f>
        <v/>
      </c>
    </row>
    <row r="557" ht="15" customHeight="1" s="82">
      <c r="A557" s="94" t="inlineStr">
        <is>
          <t>שופרסל BE</t>
        </is>
      </c>
      <c r="B557" s="94" t="inlineStr">
        <is>
          <t>172 באר יעקב BE</t>
        </is>
      </c>
      <c r="C557" s="111" t="n">
        <v>4129.1</v>
      </c>
      <c r="D557" s="111" t="n">
        <v>0</v>
      </c>
      <c r="E557" s="111" t="n">
        <v>0</v>
      </c>
      <c r="F557" s="111" t="n">
        <v>0</v>
      </c>
      <c r="G557" s="111" t="n">
        <v>0</v>
      </c>
      <c r="H557" s="94">
        <f>COUNTIF(C557:G557,"&lt;&gt;0")</f>
        <v/>
      </c>
      <c r="I557" s="94">
        <f>IF(H557=0,"לא מטופל",IF(H557=1,"מטופל - סוכן אחד","מטופל - יותר מסוכן אחד"))</f>
        <v/>
      </c>
    </row>
    <row r="558" ht="15" customHeight="1" s="82">
      <c r="A558" s="94" t="inlineStr">
        <is>
          <t>שופרסל BE</t>
        </is>
      </c>
      <c r="B558" s="94" t="inlineStr">
        <is>
          <t>713 אור ים אור עקיבא BE</t>
        </is>
      </c>
      <c r="C558" s="111" t="n">
        <v>0</v>
      </c>
      <c r="D558" s="111" t="n">
        <v>2572.5</v>
      </c>
      <c r="E558" s="111" t="n">
        <v>0</v>
      </c>
      <c r="F558" s="111" t="n">
        <v>0</v>
      </c>
      <c r="G558" s="111" t="n">
        <v>0</v>
      </c>
      <c r="H558" s="94">
        <f>COUNTIF(C558:G558,"&lt;&gt;0")</f>
        <v/>
      </c>
      <c r="I558" s="94">
        <f>IF(H558=0,"לא מטופל",IF(H558=1,"מטופל - סוכן אחד","מטופל - יותר מסוכן אחד"))</f>
        <v/>
      </c>
    </row>
    <row r="559" ht="15" customHeight="1" s="82">
      <c r="A559" s="94" t="inlineStr">
        <is>
          <t>שופרסל BE</t>
        </is>
      </c>
      <c r="B559" s="94" t="inlineStr">
        <is>
          <t>714 סכנין BE</t>
        </is>
      </c>
      <c r="C559" s="111" t="n">
        <v>0</v>
      </c>
      <c r="D559" s="111" t="n">
        <v>5135.7</v>
      </c>
      <c r="E559" s="111" t="n">
        <v>0</v>
      </c>
      <c r="F559" s="111" t="n">
        <v>0</v>
      </c>
      <c r="G559" s="111" t="n">
        <v>0</v>
      </c>
      <c r="H559" s="94">
        <f>COUNTIF(C559:G559,"&lt;&gt;0")</f>
        <v/>
      </c>
      <c r="I559" s="94">
        <f>IF(H559=0,"לא מטופל",IF(H559=1,"מטופל - סוכן אחד","מטופל - יותר מסוכן אחד"))</f>
        <v/>
      </c>
    </row>
    <row r="560" ht="15" customHeight="1" s="82">
      <c r="A560" s="94" t="inlineStr">
        <is>
          <t>שופרסל BE</t>
        </is>
      </c>
      <c r="B560" s="94" t="inlineStr">
        <is>
          <t>712  עין הים חדרה BE</t>
        </is>
      </c>
      <c r="C560" s="111" t="n">
        <v>0</v>
      </c>
      <c r="D560" s="111" t="n">
        <v>4672.9</v>
      </c>
      <c r="E560" s="111" t="n">
        <v>0</v>
      </c>
      <c r="F560" s="111" t="n">
        <v>0</v>
      </c>
      <c r="G560" s="111" t="n">
        <v>0</v>
      </c>
      <c r="H560" s="94">
        <f>COUNTIF(C560:G560,"&lt;&gt;0")</f>
        <v/>
      </c>
      <c r="I560" s="94">
        <f>IF(H560=0,"לא מטופל",IF(H560=1,"מטופל - סוכן אחד","מטופל - יותר מסוכן אחד"))</f>
        <v/>
      </c>
    </row>
    <row r="561" ht="15" customHeight="1" s="82">
      <c r="A561" s="94" t="inlineStr">
        <is>
          <t>שופרסל BE</t>
        </is>
      </c>
      <c r="B561" s="94" t="inlineStr">
        <is>
          <t>112 מוצקין BE</t>
        </is>
      </c>
      <c r="C561" s="111" t="n">
        <v>0</v>
      </c>
      <c r="D561" s="111" t="n">
        <v>1459</v>
      </c>
      <c r="E561" s="111" t="n">
        <v>0</v>
      </c>
      <c r="F561" s="111" t="n">
        <v>0</v>
      </c>
      <c r="G561" s="111" t="n">
        <v>0</v>
      </c>
      <c r="H561" s="94">
        <f>COUNTIF(C561:G561,"&lt;&gt;0")</f>
        <v/>
      </c>
      <c r="I561" s="94">
        <f>IF(H561=0,"לא מטופל",IF(H561=1,"מטופל - סוכן אחד","מטופל - יותר מסוכן אחד"))</f>
        <v/>
      </c>
    </row>
    <row r="562" ht="15" customHeight="1" s="82">
      <c r="A562" s="94" t="inlineStr">
        <is>
          <t>שופרסל BE</t>
        </is>
      </c>
      <c r="B562" s="94" t="inlineStr">
        <is>
          <t>518 כפר קרע BE</t>
        </is>
      </c>
      <c r="C562" s="111" t="n">
        <v>0</v>
      </c>
      <c r="D562" s="111" t="n">
        <v>12160.3</v>
      </c>
      <c r="E562" s="111" t="n">
        <v>0</v>
      </c>
      <c r="F562" s="111" t="n">
        <v>0</v>
      </c>
      <c r="G562" s="111" t="n">
        <v>0</v>
      </c>
      <c r="H562" s="94">
        <f>COUNTIF(C562:G562,"&lt;&gt;0")</f>
        <v/>
      </c>
      <c r="I562" s="94">
        <f>IF(H562=0,"לא מטופל",IF(H562=1,"מטופל - סוכן אחד","מטופל - יותר מסוכן אחד"))</f>
        <v/>
      </c>
    </row>
    <row r="563" ht="15" customHeight="1" s="82">
      <c r="A563" s="94" t="inlineStr">
        <is>
          <t>0קופות חולים</t>
        </is>
      </c>
      <c r="B563" s="94" t="inlineStr">
        <is>
          <t>ק.חולים מאוחדת</t>
        </is>
      </c>
      <c r="C563" s="111" t="n">
        <v>39665.7</v>
      </c>
      <c r="D563" s="111" t="n">
        <v>49271.5</v>
      </c>
      <c r="E563" s="111" t="n">
        <v>41172.5</v>
      </c>
      <c r="F563" s="111" t="n">
        <v>0</v>
      </c>
      <c r="G563" s="111" t="n">
        <v>183572.1</v>
      </c>
      <c r="H563" s="94">
        <f>COUNTIF(C563:G563,"&lt;&gt;0")</f>
        <v/>
      </c>
      <c r="I563" s="94">
        <f>IF(H563=0,"לא מטופל",IF(H563=1,"מטופל - סוכן אחד","מטופל - יותר מסוכן אחד"))</f>
        <v/>
      </c>
    </row>
    <row r="564" ht="15" customHeight="1" s="82">
      <c r="A564" s="94" t="inlineStr">
        <is>
          <t>0קופות חולים</t>
        </is>
      </c>
      <c r="B564" s="94" t="inlineStr">
        <is>
          <t>ק.חולים מכבי</t>
        </is>
      </c>
      <c r="C564" s="111" t="n">
        <v>0</v>
      </c>
      <c r="D564" s="111" t="n">
        <v>0</v>
      </c>
      <c r="E564" s="111" t="n">
        <v>0</v>
      </c>
      <c r="F564" s="111" t="n">
        <v>586.8</v>
      </c>
      <c r="G564" s="111" t="n">
        <v>0</v>
      </c>
      <c r="H564" s="94">
        <f>COUNTIF(C564:G564,"&lt;&gt;0")</f>
        <v/>
      </c>
      <c r="I564" s="94">
        <f>IF(H564=0,"לא מטופל",IF(H564=1,"מטופל - סוכן אחד","מטופל - יותר מסוכן אחד"))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583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7421875" defaultRowHeight="15" zeroHeight="0" outlineLevelRow="0"/>
  <cols>
    <col width="20" customWidth="1" style="81" min="1" max="1"/>
    <col width="32" customWidth="1" style="81" min="2" max="2"/>
    <col width="14" customWidth="1" style="81" min="3" max="3"/>
    <col width="12" customWidth="1" style="81" min="6" max="6"/>
    <col width="14" customWidth="1" style="81" min="7" max="7"/>
    <col width="20" customWidth="1" style="81" min="9" max="9"/>
  </cols>
  <sheetData>
    <row r="1" ht="15" customHeight="1" s="82">
      <c r="A1" s="112" t="inlineStr">
        <is>
          <t>קבוצה</t>
        </is>
      </c>
      <c r="B1" s="112" t="inlineStr">
        <is>
          <t>שם לקוח/שורה (מהמקור)</t>
        </is>
      </c>
      <c r="C1" s="112" t="inlineStr">
        <is>
          <t>חיים וייצמ</t>
        </is>
      </c>
      <c r="D1" s="112" t="inlineStr">
        <is>
          <t>חאזם תלחמי</t>
        </is>
      </c>
      <c r="E1" s="112" t="inlineStr">
        <is>
          <t>סטאס נסאר</t>
        </is>
      </c>
      <c r="F1" s="112" t="inlineStr">
        <is>
          <t>עיסא</t>
        </is>
      </c>
      <c r="G1" s="112" t="inlineStr">
        <is>
          <t>.דוד א</t>
        </is>
      </c>
      <c r="H1" s="112" t="inlineStr">
        <is>
          <t>מספר סוכנים (סכום≠0)</t>
        </is>
      </c>
      <c r="I1" s="112" t="inlineStr">
        <is>
          <t>סטטוס</t>
        </is>
      </c>
    </row>
    <row r="2" ht="15" customHeight="1" s="82">
      <c r="A2" s="94" t="inlineStr">
        <is>
          <t>0בתי מרקחת</t>
        </is>
      </c>
      <c r="B2" s="94" t="inlineStr">
        <is>
          <t>המרכז אעבלין ב.מ</t>
        </is>
      </c>
      <c r="C2" s="111" t="n">
        <v>0</v>
      </c>
      <c r="D2" s="111" t="n">
        <v>10975.3</v>
      </c>
      <c r="E2" s="111" t="n">
        <v>0</v>
      </c>
      <c r="F2" s="111" t="n">
        <v>0</v>
      </c>
      <c r="G2" s="111" t="n">
        <v>0</v>
      </c>
      <c r="H2" s="94">
        <f>COUNTIF(C2:G2,"&lt;&gt;0")</f>
        <v/>
      </c>
      <c r="I2" s="94">
        <f>IF(H2=0,"לא מטופל",IF(H2=1,"מטופל - סוכן אחד","מטופל - יותר מסוכן אחד"))</f>
        <v/>
      </c>
    </row>
    <row r="3" ht="15" customHeight="1" s="82">
      <c r="A3" s="94" t="inlineStr">
        <is>
          <t>0בתי מרקחת</t>
        </is>
      </c>
      <c r="B3" s="94" t="inlineStr">
        <is>
          <t>(מדיקל הצפון מעיליה )חורי בע""מ</t>
        </is>
      </c>
      <c r="C3" s="111" t="n">
        <v>0</v>
      </c>
      <c r="D3" s="111" t="n">
        <v>5349.7</v>
      </c>
      <c r="E3" s="111" t="n">
        <v>0</v>
      </c>
      <c r="F3" s="111" t="n">
        <v>0</v>
      </c>
      <c r="G3" s="111" t="n">
        <v>0</v>
      </c>
      <c r="H3" s="94">
        <f>COUNTIF(C3:G3,"&lt;&gt;0")</f>
        <v/>
      </c>
      <c r="I3" s="94">
        <f>IF(H3=0,"לא מטופל",IF(H3=1,"מטופל - סוכן אחד","מטופל - יותר מסוכן אחד"))</f>
        <v/>
      </c>
    </row>
    <row r="4" ht="15" customHeight="1" s="82">
      <c r="A4" s="94" t="inlineStr">
        <is>
          <t>0בתי מרקחת</t>
        </is>
      </c>
      <c r="B4" s="94" t="inlineStr">
        <is>
          <t>נובו פארם דיר אל אסד ב.מ</t>
        </is>
      </c>
      <c r="C4" s="111" t="n">
        <v>0</v>
      </c>
      <c r="D4" s="111" t="n">
        <v>21464.5</v>
      </c>
      <c r="E4" s="111" t="n">
        <v>0</v>
      </c>
      <c r="F4" s="111" t="n">
        <v>0</v>
      </c>
      <c r="G4" s="111" t="n">
        <v>0</v>
      </c>
      <c r="H4" s="94">
        <f>COUNTIF(C4:G4,"&lt;&gt;0")</f>
        <v/>
      </c>
      <c r="I4" s="94">
        <f>IF(H4=0,"לא מטופל",IF(H4=1,"מטופל - סוכן אחד","מטופל - יותר מסוכן אחד"))</f>
        <v/>
      </c>
    </row>
    <row r="5" ht="15" customHeight="1" s="82">
      <c r="A5" s="94" t="inlineStr">
        <is>
          <t>0בתי מרקחת</t>
        </is>
      </c>
      <c r="B5" s="94" t="inlineStr">
        <is>
          <t>עמית נהריה ב.מ</t>
        </is>
      </c>
      <c r="C5" s="111" t="n">
        <v>0</v>
      </c>
      <c r="D5" s="111" t="n">
        <v>0</v>
      </c>
      <c r="E5" s="111" t="n">
        <v>271.9</v>
      </c>
      <c r="F5" s="111" t="n">
        <v>0</v>
      </c>
      <c r="G5" s="111" t="n">
        <v>0</v>
      </c>
      <c r="H5" s="94">
        <f>COUNTIF(C5:G5,"&lt;&gt;0")</f>
        <v/>
      </c>
      <c r="I5" s="94">
        <f>IF(H5=0,"לא מטופל",IF(H5=1,"מטופל - סוכן אחד","מטופל - יותר מסוכן אחד"))</f>
        <v/>
      </c>
    </row>
    <row r="6" ht="15" customHeight="1" s="82">
      <c r="A6" s="94" t="inlineStr">
        <is>
          <t>0בתי מרקחת</t>
        </is>
      </c>
      <c r="B6" s="94" t="inlineStr">
        <is>
          <t>שביט בע""מ ק.אתא ב.מ</t>
        </is>
      </c>
      <c r="C6" s="111" t="n">
        <v>0</v>
      </c>
      <c r="D6" s="111" t="n">
        <v>612.5</v>
      </c>
      <c r="E6" s="111" t="n">
        <v>0</v>
      </c>
      <c r="F6" s="111" t="n">
        <v>0</v>
      </c>
      <c r="G6" s="111" t="n">
        <v>0</v>
      </c>
      <c r="H6" s="94">
        <f>COUNTIF(C6:G6,"&lt;&gt;0")</f>
        <v/>
      </c>
      <c r="I6" s="94">
        <f>IF(H6=0,"לא מטופל",IF(H6=1,"מטופל - סוכן אחד","מטופל - יותר מסוכן אחד"))</f>
        <v/>
      </c>
    </row>
    <row r="7" ht="15" customHeight="1" s="82">
      <c r="A7" s="94" t="inlineStr">
        <is>
          <t>0בתי מרקחת</t>
        </is>
      </c>
      <c r="B7" s="94" t="inlineStr">
        <is>
          <t>חידאר פארם ב.מ</t>
        </is>
      </c>
      <c r="C7" s="111" t="n">
        <v>0</v>
      </c>
      <c r="D7" s="111" t="n">
        <v>3557.4</v>
      </c>
      <c r="E7" s="111" t="n">
        <v>0</v>
      </c>
      <c r="F7" s="111" t="n">
        <v>0</v>
      </c>
      <c r="G7" s="111" t="n">
        <v>0</v>
      </c>
      <c r="H7" s="94">
        <f>COUNTIF(C7:G7,"&lt;&gt;0")</f>
        <v/>
      </c>
      <c r="I7" s="94">
        <f>IF(H7=0,"לא מטופל",IF(H7=1,"מטופל - סוכן אחד","מטופל - יותר מסוכן אחד"))</f>
        <v/>
      </c>
    </row>
    <row r="8" ht="15" customHeight="1" s="82">
      <c r="A8" s="94" t="inlineStr">
        <is>
          <t>0בתי מרקחת</t>
        </is>
      </c>
      <c r="B8" s="94" t="inlineStr">
        <is>
          <t>-סמי בית שאן בע""מ ב.מ</t>
        </is>
      </c>
      <c r="C8" s="111" t="n">
        <v>0</v>
      </c>
      <c r="D8" s="111" t="n">
        <v>647.8</v>
      </c>
      <c r="E8" s="111" t="n">
        <v>0</v>
      </c>
      <c r="F8" s="111" t="n">
        <v>0</v>
      </c>
      <c r="G8" s="111" t="n">
        <v>0</v>
      </c>
      <c r="H8" s="94">
        <f>COUNTIF(C8:G8,"&lt;&gt;0")</f>
        <v/>
      </c>
      <c r="I8" s="94">
        <f>IF(H8=0,"לא מטופל",IF(H8=1,"מטופל - סוכן אחד","מטופל - יותר מסוכן אחד"))</f>
        <v/>
      </c>
    </row>
    <row r="9" ht="15" customHeight="1" s="82">
      <c r="A9" s="94" t="inlineStr">
        <is>
          <t>0בתי מרקחת</t>
        </is>
      </c>
      <c r="B9" s="94" t="inlineStr">
        <is>
          <t>רסקו טבריה ב.מ</t>
        </is>
      </c>
      <c r="C9" s="111" t="n">
        <v>0</v>
      </c>
      <c r="D9" s="111" t="n">
        <v>5421</v>
      </c>
      <c r="E9" s="111" t="n">
        <v>0</v>
      </c>
      <c r="F9" s="111" t="n">
        <v>0</v>
      </c>
      <c r="G9" s="111" t="n">
        <v>0</v>
      </c>
      <c r="H9" s="94">
        <f>COUNTIF(C9:G9,"&lt;&gt;0")</f>
        <v/>
      </c>
      <c r="I9" s="94">
        <f>IF(H9=0,"לא מטופל",IF(H9=1,"מטופל - סוכן אחד","מטופל - יותר מסוכן אחד"))</f>
        <v/>
      </c>
    </row>
    <row r="10" ht="15" customHeight="1" s="82">
      <c r="A10" s="94" t="inlineStr">
        <is>
          <t>0בתי מרקחת</t>
        </is>
      </c>
      <c r="B10" s="94" t="inlineStr">
        <is>
          <t>פרמה טבריה ב.מ</t>
        </is>
      </c>
      <c r="C10" s="111" t="n">
        <v>0</v>
      </c>
      <c r="D10" s="111" t="n">
        <v>211.6</v>
      </c>
      <c r="E10" s="111" t="n">
        <v>0</v>
      </c>
      <c r="F10" s="111" t="n">
        <v>0</v>
      </c>
      <c r="G10" s="111" t="n">
        <v>0</v>
      </c>
      <c r="H10" s="94">
        <f>COUNTIF(C10:G10,"&lt;&gt;0")</f>
        <v/>
      </c>
      <c r="I10" s="94">
        <f>IF(H10=0,"לא מטופל",IF(H10=1,"מטופל - סוכן אחד","מטופל - יותר מסוכן אחד"))</f>
        <v/>
      </c>
    </row>
    <row r="11" ht="15" customHeight="1" s="82">
      <c r="A11" s="94" t="inlineStr">
        <is>
          <t>0בתי מרקחת</t>
        </is>
      </c>
      <c r="B11" s="94" t="inlineStr">
        <is>
          <t>.נובו פארם בית שאן ב.מ</t>
        </is>
      </c>
      <c r="C11" s="111" t="n">
        <v>0</v>
      </c>
      <c r="D11" s="111" t="n">
        <v>15653.4</v>
      </c>
      <c r="E11" s="111" t="n">
        <v>0</v>
      </c>
      <c r="F11" s="111" t="n">
        <v>0</v>
      </c>
      <c r="G11" s="111" t="n">
        <v>0</v>
      </c>
      <c r="H11" s="94">
        <f>COUNTIF(C11:G11,"&lt;&gt;0")</f>
        <v/>
      </c>
      <c r="I11" s="94">
        <f>IF(H11=0,"לא מטופל",IF(H11=1,"מטופל - סוכן אחד","מטופל - יותר מסוכן אחד"))</f>
        <v/>
      </c>
    </row>
    <row r="12" ht="15" customHeight="1" s="82">
      <c r="A12" s="94" t="inlineStr">
        <is>
          <t>0בתי מרקחת</t>
        </is>
      </c>
      <c r="B12" s="94" t="inlineStr">
        <is>
          <t>גרין ב.מ -גבעת עדה</t>
        </is>
      </c>
      <c r="C12" s="111" t="n">
        <v>0</v>
      </c>
      <c r="D12" s="111" t="n">
        <v>3161.8</v>
      </c>
      <c r="E12" s="111" t="n">
        <v>0</v>
      </c>
      <c r="F12" s="111" t="n">
        <v>0</v>
      </c>
      <c r="G12" s="111" t="n">
        <v>0</v>
      </c>
      <c r="H12" s="94">
        <f>COUNTIF(C12:G12,"&lt;&gt;0")</f>
        <v/>
      </c>
      <c r="I12" s="94">
        <f>IF(H12=0,"לא מטופל",IF(H12=1,"מטופל - סוכן אחד","מטופל - יותר מסוכן אחד"))</f>
        <v/>
      </c>
    </row>
    <row r="13" ht="15" customHeight="1" s="82">
      <c r="A13" s="94" t="inlineStr">
        <is>
          <t>0בתי מרקחת</t>
        </is>
      </c>
      <c r="B13" s="94" t="inlineStr">
        <is>
          <t>מוראד פארם ב.מ אבו סנאן</t>
        </is>
      </c>
      <c r="C13" s="111" t="n">
        <v>0</v>
      </c>
      <c r="D13" s="111" t="n">
        <v>6271.6</v>
      </c>
      <c r="E13" s="111" t="n">
        <v>0</v>
      </c>
      <c r="F13" s="111" t="n">
        <v>0</v>
      </c>
      <c r="G13" s="111" t="n">
        <v>0</v>
      </c>
      <c r="H13" s="94">
        <f>COUNTIF(C13:G13,"&lt;&gt;0")</f>
        <v/>
      </c>
      <c r="I13" s="94">
        <f>IF(H13=0,"לא מטופל",IF(H13=1,"מטופל - סוכן אחד","מטופל - יותר מסוכן אחד"))</f>
        <v/>
      </c>
    </row>
    <row r="14" ht="15" customHeight="1" s="82">
      <c r="A14" s="94" t="inlineStr">
        <is>
          <t>0בתי מרקחת</t>
        </is>
      </c>
      <c r="B14" s="94" t="inlineStr">
        <is>
          <t>נובו פארם דבאח ב.מ</t>
        </is>
      </c>
      <c r="C14" s="111" t="n">
        <v>0</v>
      </c>
      <c r="D14" s="111" t="n">
        <v>10583.1</v>
      </c>
      <c r="E14" s="111" t="n">
        <v>0</v>
      </c>
      <c r="F14" s="111" t="n">
        <v>0</v>
      </c>
      <c r="G14" s="111" t="n">
        <v>0</v>
      </c>
      <c r="H14" s="94">
        <f>COUNTIF(C14:G14,"&lt;&gt;0")</f>
        <v/>
      </c>
      <c r="I14" s="94">
        <f>IF(H14=0,"לא מטופל",IF(H14=1,"מטופל - סוכן אחד","מטופל - יותר מסוכן אחד"))</f>
        <v/>
      </c>
    </row>
    <row r="15" ht="15" customHeight="1" s="82">
      <c r="A15" s="94" t="inlineStr">
        <is>
          <t>0בתי מרקחת</t>
        </is>
      </c>
      <c r="B15" s="94" t="inlineStr">
        <is>
          <t>.אלבלד אעבלין ב.מ</t>
        </is>
      </c>
      <c r="C15" s="111" t="n">
        <v>0</v>
      </c>
      <c r="D15" s="111" t="n">
        <v>465.7</v>
      </c>
      <c r="E15" s="111" t="n">
        <v>0</v>
      </c>
      <c r="F15" s="111" t="n">
        <v>0</v>
      </c>
      <c r="G15" s="111" t="n">
        <v>0</v>
      </c>
      <c r="H15" s="94">
        <f>COUNTIF(C15:G15,"&lt;&gt;0")</f>
        <v/>
      </c>
      <c r="I15" s="94">
        <f>IF(H15=0,"לא מטופל",IF(H15=1,"מטופל - סוכן אחד","מטופל - יותר מסוכן אחד"))</f>
        <v/>
      </c>
    </row>
    <row r="16" ht="15" customHeight="1" s="82">
      <c r="A16" s="94" t="inlineStr">
        <is>
          <t>0בתי מרקחת</t>
        </is>
      </c>
      <c r="B16" s="94" t="inlineStr">
        <is>
          <t>עמית נהריה ב.מ</t>
        </is>
      </c>
      <c r="C16" s="111" t="n">
        <v>0</v>
      </c>
      <c r="D16" s="111" t="n">
        <v>2860.6</v>
      </c>
      <c r="E16" s="111" t="n">
        <v>0</v>
      </c>
      <c r="F16" s="111" t="n">
        <v>0</v>
      </c>
      <c r="G16" s="111" t="n">
        <v>0</v>
      </c>
      <c r="H16" s="94">
        <f>COUNTIF(C16:G16,"&lt;&gt;0")</f>
        <v/>
      </c>
      <c r="I16" s="94">
        <f>IF(H16=0,"לא מטופל",IF(H16=1,"מטופל - סוכן אחד","מטופל - יותר מסוכן אחד"))</f>
        <v/>
      </c>
    </row>
    <row r="17" ht="15" customHeight="1" s="82">
      <c r="A17" s="94" t="inlineStr">
        <is>
          <t>0בתי מרקחת</t>
        </is>
      </c>
      <c r="B17" s="94" t="inlineStr">
        <is>
          <t>בתי מרקחת פרטי</t>
        </is>
      </c>
      <c r="C17" s="111" t="n">
        <v>48415.4</v>
      </c>
      <c r="D17" s="111" t="n">
        <v>380639.6</v>
      </c>
      <c r="E17" s="111" t="n">
        <v>126045.9</v>
      </c>
      <c r="F17" s="111" t="n">
        <v>0</v>
      </c>
      <c r="G17" s="111" t="n">
        <v>229883.6</v>
      </c>
      <c r="H17" s="94">
        <f>COUNTIF(C17:G17,"&lt;&gt;0")</f>
        <v/>
      </c>
      <c r="I17" s="94">
        <f>IF(H17=0,"לא מטופל",IF(H17=1,"מטופל - סוכן אחד","מטופל - יותר מסוכן אחד"))</f>
        <v/>
      </c>
    </row>
    <row r="18" ht="15" customHeight="1" s="82">
      <c r="A18" s="94" t="inlineStr">
        <is>
          <t>0בתי מרקחת</t>
        </is>
      </c>
      <c r="B18" s="94" t="inlineStr">
        <is>
          <t>ללא תרופות</t>
        </is>
      </c>
      <c r="C18" s="111" t="n">
        <v>0</v>
      </c>
      <c r="D18" s="111" t="n">
        <v>478.4</v>
      </c>
      <c r="E18" s="111" t="n">
        <v>0</v>
      </c>
      <c r="F18" s="111" t="n">
        <v>0</v>
      </c>
      <c r="G18" s="111" t="n">
        <v>0</v>
      </c>
      <c r="H18" s="94">
        <f>COUNTIF(C18:G18,"&lt;&gt;0")</f>
        <v/>
      </c>
      <c r="I18" s="94">
        <f>IF(H18=0,"לא מטופל",IF(H18=1,"מטופל - סוכן אחד","מטופל - יותר מסוכן אחד"))</f>
        <v/>
      </c>
    </row>
    <row r="19" ht="15" customHeight="1" s="82">
      <c r="A19" s="94" t="inlineStr">
        <is>
          <t>0בתי מרקחת</t>
        </is>
      </c>
      <c r="B19" s="94" t="inlineStr">
        <is>
          <t>- י.ע.כלבו עידית</t>
        </is>
      </c>
      <c r="C19" s="111" t="n">
        <v>0</v>
      </c>
      <c r="D19" s="111" t="n">
        <v>539.3</v>
      </c>
      <c r="E19" s="111" t="n">
        <v>0</v>
      </c>
      <c r="F19" s="111" t="n">
        <v>0</v>
      </c>
      <c r="G19" s="111" t="n">
        <v>0</v>
      </c>
      <c r="H19" s="94">
        <f>COUNTIF(C19:G19,"&lt;&gt;0")</f>
        <v/>
      </c>
      <c r="I19" s="94">
        <f>IF(H19=0,"לא מטופל",IF(H19=1,"מטופל - סוכן אחד","מטופל - יותר מסוכן אחד"))</f>
        <v/>
      </c>
    </row>
    <row r="20" ht="15" customHeight="1" s="82">
      <c r="A20" s="94" t="inlineStr">
        <is>
          <t>0בתי מרקחת</t>
        </is>
      </c>
      <c r="B20" s="94" t="inlineStr">
        <is>
          <t>י.ע.הדר יוסף</t>
        </is>
      </c>
      <c r="C20" s="111" t="n">
        <v>0</v>
      </c>
      <c r="D20" s="111" t="n">
        <v>-60.9</v>
      </c>
      <c r="E20" s="111" t="n">
        <v>0</v>
      </c>
      <c r="F20" s="111" t="n">
        <v>0</v>
      </c>
      <c r="G20" s="111" t="n">
        <v>0</v>
      </c>
      <c r="H20" s="94">
        <f>COUNTIF(C20:G20,"&lt;&gt;0")</f>
        <v/>
      </c>
      <c r="I20" s="94">
        <f>IF(H20=0,"לא מטופל",IF(H20=1,"מטופל - סוכן אחד","מטופל - יותר מסוכן אחד"))</f>
        <v/>
      </c>
    </row>
    <row r="21" ht="15" customHeight="1" s="82">
      <c r="A21" s="94" t="inlineStr">
        <is>
          <t>מגזר ערבי</t>
        </is>
      </c>
      <c r="B21" s="94" t="inlineStr">
        <is>
          <t>אבו עזמי טירה ב.מ</t>
        </is>
      </c>
      <c r="C21" s="111" t="n">
        <v>0</v>
      </c>
      <c r="D21" s="111" t="n">
        <v>0</v>
      </c>
      <c r="E21" s="111" t="n">
        <v>8154.7</v>
      </c>
      <c r="F21" s="111" t="n">
        <v>0</v>
      </c>
      <c r="G21" s="111" t="n">
        <v>0</v>
      </c>
      <c r="H21" s="94">
        <f>COUNTIF(C21:G21,"&lt;&gt;0")</f>
        <v/>
      </c>
      <c r="I21" s="94">
        <f>IF(H21=0,"לא מטופל",IF(H21=1,"מטופל - סוכן אחד","מטופל - יותר מסוכן אחד"))</f>
        <v/>
      </c>
    </row>
    <row r="22" ht="15" customHeight="1" s="82">
      <c r="A22" s="94" t="inlineStr">
        <is>
          <t>מגזר ערבי</t>
        </is>
      </c>
      <c r="B22" s="94" t="inlineStr">
        <is>
          <t>אל מוכתאר כפר כנא ב.מ</t>
        </is>
      </c>
      <c r="C22" s="111" t="n">
        <v>0</v>
      </c>
      <c r="D22" s="111" t="n">
        <v>2686.8</v>
      </c>
      <c r="E22" s="111" t="n">
        <v>0</v>
      </c>
      <c r="F22" s="111" t="n">
        <v>0</v>
      </c>
      <c r="G22" s="111" t="n">
        <v>0</v>
      </c>
      <c r="H22" s="94">
        <f>COUNTIF(C22:G22,"&lt;&gt;0")</f>
        <v/>
      </c>
      <c r="I22" s="94">
        <f>IF(H22=0,"לא מטופל",IF(H22=1,"מטופל - סוכן אחד","מטופל - יותר מסוכן אחד"))</f>
        <v/>
      </c>
    </row>
    <row r="23" ht="15" customHeight="1" s="82">
      <c r="A23" s="94" t="inlineStr">
        <is>
          <t>מגזר ערבי</t>
        </is>
      </c>
      <c r="B23" s="94" t="inlineStr">
        <is>
          <t>כרום פארם ב.מ</t>
        </is>
      </c>
      <c r="C23" s="111" t="n">
        <v>0</v>
      </c>
      <c r="D23" s="111" t="n">
        <v>4165.8</v>
      </c>
      <c r="E23" s="111" t="n">
        <v>0</v>
      </c>
      <c r="F23" s="111" t="n">
        <v>0</v>
      </c>
      <c r="G23" s="111" t="n">
        <v>0</v>
      </c>
      <c r="H23" s="94">
        <f>COUNTIF(C23:G23,"&lt;&gt;0")</f>
        <v/>
      </c>
      <c r="I23" s="94">
        <f>IF(H23=0,"לא מטופל",IF(H23=1,"מטופל - סוכן אחד","מטופל - יותר מסוכן אחד"))</f>
        <v/>
      </c>
    </row>
    <row r="24" ht="15" customHeight="1" s="82">
      <c r="A24" s="94" t="inlineStr">
        <is>
          <t>מגזר ערבי</t>
        </is>
      </c>
      <c r="B24" s="94" t="inlineStr">
        <is>
          <t>אבן סינא שפרעם ב.מ</t>
        </is>
      </c>
      <c r="C24" s="111" t="n">
        <v>0</v>
      </c>
      <c r="D24" s="111" t="n">
        <v>4115.4</v>
      </c>
      <c r="E24" s="111" t="n">
        <v>0</v>
      </c>
      <c r="F24" s="111" t="n">
        <v>0</v>
      </c>
      <c r="G24" s="111" t="n">
        <v>0</v>
      </c>
      <c r="H24" s="94">
        <f>COUNTIF(C24:G24,"&lt;&gt;0")</f>
        <v/>
      </c>
      <c r="I24" s="94">
        <f>IF(H24=0,"לא מטופל",IF(H24=1,"מטופל - סוכן אחד","מטופל - יותר מסוכן אחד"))</f>
        <v/>
      </c>
    </row>
    <row r="25" ht="15" customHeight="1" s="82">
      <c r="A25" s="94" t="inlineStr">
        <is>
          <t>מגזר ערבי</t>
        </is>
      </c>
      <c r="B25" s="94" t="inlineStr">
        <is>
          <t>אלבלד פארם ב.מ טמרה</t>
        </is>
      </c>
      <c r="C25" s="111" t="n">
        <v>0</v>
      </c>
      <c r="D25" s="111" t="n">
        <v>8219.9</v>
      </c>
      <c r="E25" s="111" t="n">
        <v>0</v>
      </c>
      <c r="F25" s="111" t="n">
        <v>0</v>
      </c>
      <c r="G25" s="111" t="n">
        <v>0</v>
      </c>
      <c r="H25" s="94">
        <f>COUNTIF(C25:G25,"&lt;&gt;0")</f>
        <v/>
      </c>
      <c r="I25" s="94">
        <f>IF(H25=0,"לא מטופל",IF(H25=1,"מטופל - סוכן אחד","מטופל - יותר מסוכן אחד"))</f>
        <v/>
      </c>
    </row>
    <row r="26" ht="15" customHeight="1" s="82">
      <c r="A26" s="94" t="inlineStr">
        <is>
          <t>מגזר ערבי</t>
        </is>
      </c>
      <c r="B26" s="94" t="inlineStr">
        <is>
          <t>אל בלאד שפרעם ב.מ</t>
        </is>
      </c>
      <c r="C26" s="111" t="n">
        <v>0</v>
      </c>
      <c r="D26" s="111" t="n">
        <v>2146.9</v>
      </c>
      <c r="E26" s="111" t="n">
        <v>0</v>
      </c>
      <c r="F26" s="111" t="n">
        <v>0</v>
      </c>
      <c r="G26" s="111" t="n">
        <v>0</v>
      </c>
      <c r="H26" s="94">
        <f>COUNTIF(C26:G26,"&lt;&gt;0")</f>
        <v/>
      </c>
      <c r="I26" s="94">
        <f>IF(H26=0,"לא מטופל",IF(H26=1,"מטופל - סוכן אחד","מטופל - יותר מסוכן אחד"))</f>
        <v/>
      </c>
    </row>
    <row r="27" ht="15" customHeight="1" s="82">
      <c r="A27" s="94" t="inlineStr">
        <is>
          <t>מגזר ערבי</t>
        </is>
      </c>
      <c r="B27" s="94" t="inlineStr">
        <is>
          <t>אל שיפא שפרעם ב.מ</t>
        </is>
      </c>
      <c r="C27" s="111" t="n">
        <v>0</v>
      </c>
      <c r="D27" s="111" t="n">
        <v>252</v>
      </c>
      <c r="E27" s="111" t="n">
        <v>0</v>
      </c>
      <c r="F27" s="111" t="n">
        <v>0</v>
      </c>
      <c r="G27" s="111" t="n">
        <v>0</v>
      </c>
      <c r="H27" s="94">
        <f>COUNTIF(C27:G27,"&lt;&gt;0")</f>
        <v/>
      </c>
      <c r="I27" s="94">
        <f>IF(H27=0,"לא מטופל",IF(H27=1,"מטופל - סוכן אחד","מטופל - יותר מסוכן אחד"))</f>
        <v/>
      </c>
    </row>
    <row r="28" ht="15" customHeight="1" s="82">
      <c r="A28" s="94" t="inlineStr">
        <is>
          <t>מגזר ערבי</t>
        </is>
      </c>
      <c r="B28" s="94" t="inlineStr">
        <is>
          <t>אלכאוכב כ.מע'אר ב.מ</t>
        </is>
      </c>
      <c r="C28" s="111" t="n">
        <v>0</v>
      </c>
      <c r="D28" s="111" t="n">
        <v>357.7</v>
      </c>
      <c r="E28" s="111" t="n">
        <v>0</v>
      </c>
      <c r="F28" s="111" t="n">
        <v>0</v>
      </c>
      <c r="G28" s="111" t="n">
        <v>0</v>
      </c>
      <c r="H28" s="94">
        <f>COUNTIF(C28:G28,"&lt;&gt;0")</f>
        <v/>
      </c>
      <c r="I28" s="94">
        <f>IF(H28=0,"לא מטופל",IF(H28=1,"מטופל - סוכן אחד","מטופל - יותר מסוכן אחד"))</f>
        <v/>
      </c>
    </row>
    <row r="29" ht="15" customHeight="1" s="82">
      <c r="A29" s="94" t="inlineStr">
        <is>
          <t>מגזר ערבי</t>
        </is>
      </c>
      <c r="B29" s="94" t="inlineStr">
        <is>
          <t>וואן פארם ב.מ מג'ד אל כרום</t>
        </is>
      </c>
      <c r="C29" s="111" t="n">
        <v>0</v>
      </c>
      <c r="D29" s="111" t="n">
        <v>8208.299999999999</v>
      </c>
      <c r="E29" s="111" t="n">
        <v>0</v>
      </c>
      <c r="F29" s="111" t="n">
        <v>0</v>
      </c>
      <c r="G29" s="111" t="n">
        <v>0</v>
      </c>
      <c r="H29" s="94">
        <f>COUNTIF(C29:G29,"&lt;&gt;0")</f>
        <v/>
      </c>
      <c r="I29" s="94">
        <f>IF(H29=0,"לא מטופל",IF(H29=1,"מטופל - סוכן אחד","מטופל - יותר מסוכן אחד"))</f>
        <v/>
      </c>
    </row>
    <row r="30" ht="15" customHeight="1" s="82">
      <c r="A30" s="94" t="inlineStr">
        <is>
          <t>מגזר ערבי</t>
        </is>
      </c>
      <c r="B30" s="94" t="inlineStr">
        <is>
          <t>חדאד פארם ח.הגלילית ב.מ</t>
        </is>
      </c>
      <c r="C30" s="111" t="n">
        <v>0</v>
      </c>
      <c r="D30" s="111" t="n">
        <v>7458.5</v>
      </c>
      <c r="E30" s="111" t="n">
        <v>0</v>
      </c>
      <c r="F30" s="111" t="n">
        <v>0</v>
      </c>
      <c r="G30" s="111" t="n">
        <v>0</v>
      </c>
      <c r="H30" s="94">
        <f>COUNTIF(C30:G30,"&lt;&gt;0")</f>
        <v/>
      </c>
      <c r="I30" s="94">
        <f>IF(H30=0,"לא מטופל",IF(H30=1,"מטופל - סוכן אחד","מטופל - יותר מסוכן אחד"))</f>
        <v/>
      </c>
    </row>
    <row r="31" ht="15" customHeight="1" s="82">
      <c r="A31" s="94" t="inlineStr">
        <is>
          <t>מגזר ערבי</t>
        </is>
      </c>
      <c r="B31" s="94" t="inlineStr">
        <is>
          <t>חמדאן פארם ב.מ</t>
        </is>
      </c>
      <c r="C31" s="111" t="n">
        <v>0</v>
      </c>
      <c r="D31" s="111" t="n">
        <v>4637.7</v>
      </c>
      <c r="E31" s="111" t="n">
        <v>0</v>
      </c>
      <c r="F31" s="111" t="n">
        <v>0</v>
      </c>
      <c r="G31" s="111" t="n">
        <v>0</v>
      </c>
      <c r="H31" s="94">
        <f>COUNTIF(C31:G31,"&lt;&gt;0")</f>
        <v/>
      </c>
      <c r="I31" s="94">
        <f>IF(H31=0,"לא מטופל",IF(H31=1,"מטופל - סוכן אחד","מטופל - יותר מסוכן אחד"))</f>
        <v/>
      </c>
    </row>
    <row r="32" ht="15" customHeight="1" s="82">
      <c r="A32" s="94" t="inlineStr">
        <is>
          <t>מגזר ערבי</t>
        </is>
      </c>
      <c r="B32" s="94" t="inlineStr">
        <is>
          <t>הצפון כפר סמיע ב.מ חדש</t>
        </is>
      </c>
      <c r="C32" s="111" t="n">
        <v>0</v>
      </c>
      <c r="D32" s="111" t="n">
        <v>9723.799999999999</v>
      </c>
      <c r="E32" s="111" t="n">
        <v>0</v>
      </c>
      <c r="F32" s="111" t="n">
        <v>0</v>
      </c>
      <c r="G32" s="111" t="n">
        <v>0</v>
      </c>
      <c r="H32" s="94">
        <f>COUNTIF(C32:G32,"&lt;&gt;0")</f>
        <v/>
      </c>
      <c r="I32" s="94">
        <f>IF(H32=0,"לא מטופל",IF(H32=1,"מטופל - סוכן אחד","מטופל - יותר מסוכן אחד"))</f>
        <v/>
      </c>
    </row>
    <row r="33" ht="15" customHeight="1" s="82">
      <c r="A33" s="94" t="inlineStr">
        <is>
          <t>מגזר ערבי</t>
        </is>
      </c>
      <c r="B33" s="94" t="inlineStr">
        <is>
          <t>מדיקל פארם-ראמה  ב.מ</t>
        </is>
      </c>
      <c r="C33" s="111" t="n">
        <v>0</v>
      </c>
      <c r="D33" s="111" t="n">
        <v>1186.1</v>
      </c>
      <c r="E33" s="111" t="n">
        <v>0</v>
      </c>
      <c r="F33" s="111" t="n">
        <v>0</v>
      </c>
      <c r="G33" s="111" t="n">
        <v>0</v>
      </c>
      <c r="H33" s="94">
        <f>COUNTIF(C33:G33,"&lt;&gt;0")</f>
        <v/>
      </c>
      <c r="I33" s="94">
        <f>IF(H33=0,"לא מטופל",IF(H33=1,"מטופל - סוכן אחד","מטופל - יותר מסוכן אחד"))</f>
        <v/>
      </c>
    </row>
    <row r="34" ht="15" customHeight="1" s="82">
      <c r="A34" s="94" t="inlineStr">
        <is>
          <t>מגזר ערבי</t>
        </is>
      </c>
      <c r="B34" s="94" t="inlineStr">
        <is>
          <t>ספואן ב.מ שפרעם</t>
        </is>
      </c>
      <c r="C34" s="111" t="n">
        <v>0</v>
      </c>
      <c r="D34" s="111" t="n">
        <v>8908.4</v>
      </c>
      <c r="E34" s="111" t="n">
        <v>0</v>
      </c>
      <c r="F34" s="111" t="n">
        <v>0</v>
      </c>
      <c r="G34" s="111" t="n">
        <v>0</v>
      </c>
      <c r="H34" s="94">
        <f>COUNTIF(C34:G34,"&lt;&gt;0")</f>
        <v/>
      </c>
      <c r="I34" s="94">
        <f>IF(H34=0,"לא מטופל",IF(H34=1,"מטופל - סוכן אחד","מטופל - יותר מסוכן אחד"))</f>
        <v/>
      </c>
    </row>
    <row r="35" ht="15" customHeight="1" s="82">
      <c r="A35" s="94" t="inlineStr">
        <is>
          <t>מגזר ערבי</t>
        </is>
      </c>
      <c r="B35" s="94" t="inlineStr">
        <is>
          <t>פארמה קואופ יפיע בע""מ ב.מ</t>
        </is>
      </c>
      <c r="C35" s="111" t="n">
        <v>0</v>
      </c>
      <c r="D35" s="111" t="n">
        <v>13113.3</v>
      </c>
      <c r="E35" s="111" t="n">
        <v>0</v>
      </c>
      <c r="F35" s="111" t="n">
        <v>0</v>
      </c>
      <c r="G35" s="111" t="n">
        <v>0</v>
      </c>
      <c r="H35" s="94">
        <f>COUNTIF(C35:G35,"&lt;&gt;0")</f>
        <v/>
      </c>
      <c r="I35" s="94">
        <f>IF(H35=0,"לא מטופל",IF(H35=1,"מטופל - סוכן אחד","מטופל - יותר מסוכן אחד"))</f>
        <v/>
      </c>
    </row>
    <row r="36" ht="15" customHeight="1" s="82">
      <c r="A36" s="94" t="inlineStr">
        <is>
          <t>מגזר ערבי</t>
        </is>
      </c>
      <c r="B36" s="94" t="inlineStr">
        <is>
          <t>פרמהזול עין מאהל ב.מ</t>
        </is>
      </c>
      <c r="C36" s="111" t="n">
        <v>0</v>
      </c>
      <c r="D36" s="111" t="n">
        <v>3878.3</v>
      </c>
      <c r="E36" s="111" t="n">
        <v>0</v>
      </c>
      <c r="F36" s="111" t="n">
        <v>0</v>
      </c>
      <c r="G36" s="111" t="n">
        <v>0</v>
      </c>
      <c r="H36" s="94">
        <f>COUNTIF(C36:G36,"&lt;&gt;0")</f>
        <v/>
      </c>
      <c r="I36" s="94">
        <f>IF(H36=0,"לא מטופל",IF(H36=1,"מטופל - סוכן אחד","מטופל - יותר מסוכן אחד"))</f>
        <v/>
      </c>
    </row>
    <row r="37" ht="15" customHeight="1" s="82">
      <c r="A37" s="94" t="inlineStr">
        <is>
          <t>מגזר ערבי</t>
        </is>
      </c>
      <c r="B37" s="94" t="inlineStr">
        <is>
          <t>נידאא פארם תרשיחא ב.מ</t>
        </is>
      </c>
      <c r="C37" s="111" t="n">
        <v>0</v>
      </c>
      <c r="D37" s="111" t="n">
        <v>768.5</v>
      </c>
      <c r="E37" s="111" t="n">
        <v>0</v>
      </c>
      <c r="F37" s="111" t="n">
        <v>0</v>
      </c>
      <c r="G37" s="111" t="n">
        <v>0</v>
      </c>
      <c r="H37" s="94">
        <f>COUNTIF(C37:G37,"&lt;&gt;0")</f>
        <v/>
      </c>
      <c r="I37" s="94">
        <f>IF(H37=0,"לא מטופל",IF(H37=1,"מטופל - סוכן אחד","מטופל - יותר מסוכן אחד"))</f>
        <v/>
      </c>
    </row>
    <row r="38" ht="15" customHeight="1" s="82">
      <c r="A38" s="94" t="inlineStr">
        <is>
          <t>מגזר ערבי</t>
        </is>
      </c>
      <c r="B38" s="94" t="inlineStr">
        <is>
          <t>מואסת מ.שמס מזומן בלבד</t>
        </is>
      </c>
      <c r="C38" s="111" t="n">
        <v>0</v>
      </c>
      <c r="D38" s="111" t="n">
        <v>63.7</v>
      </c>
      <c r="E38" s="111" t="n">
        <v>0</v>
      </c>
      <c r="F38" s="111" t="n">
        <v>0</v>
      </c>
      <c r="G38" s="111" t="n">
        <v>0</v>
      </c>
      <c r="H38" s="94">
        <f>COUNTIF(C38:G38,"&lt;&gt;0")</f>
        <v/>
      </c>
      <c r="I38" s="94">
        <f>IF(H38=0,"לא מטופל",IF(H38=1,"מטופל - סוכן אחד","מטופל - יותר מסוכן אחד"))</f>
        <v/>
      </c>
    </row>
    <row r="39" ht="15" customHeight="1" s="82">
      <c r="A39" s="94" t="inlineStr">
        <is>
          <t>מגזר ערבי</t>
        </is>
      </c>
      <c r="B39" s="94" t="inlineStr">
        <is>
          <t>ג.ג.פארם ב.מ כפר קרע</t>
        </is>
      </c>
      <c r="C39" s="111" t="n">
        <v>0</v>
      </c>
      <c r="D39" s="111" t="n">
        <v>4494.1</v>
      </c>
      <c r="E39" s="111" t="n">
        <v>0</v>
      </c>
      <c r="F39" s="111" t="n">
        <v>0</v>
      </c>
      <c r="G39" s="111" t="n">
        <v>0</v>
      </c>
      <c r="H39" s="94">
        <f>COUNTIF(C39:G39,"&lt;&gt;0")</f>
        <v/>
      </c>
      <c r="I39" s="94">
        <f>IF(H39=0,"לא מטופל",IF(H39=1,"מטופל - סוכן אחד","מטופל - יותר מסוכן אחד"))</f>
        <v/>
      </c>
    </row>
    <row r="40" ht="15" customHeight="1" s="82">
      <c r="A40" s="94" t="inlineStr">
        <is>
          <t>מגזר ערבי</t>
        </is>
      </c>
      <c r="B40" s="94" t="inlineStr">
        <is>
          <t>קמא פארם כפר קמא ב.מ</t>
        </is>
      </c>
      <c r="C40" s="111" t="n">
        <v>0</v>
      </c>
      <c r="D40" s="111" t="n">
        <v>10003.4</v>
      </c>
      <c r="E40" s="111" t="n">
        <v>0</v>
      </c>
      <c r="F40" s="111" t="n">
        <v>0</v>
      </c>
      <c r="G40" s="111" t="n">
        <v>0</v>
      </c>
      <c r="H40" s="94">
        <f>COUNTIF(C40:G40,"&lt;&gt;0")</f>
        <v/>
      </c>
      <c r="I40" s="94">
        <f>IF(H40=0,"לא מטופל",IF(H40=1,"מטופל - סוכן אחד","מטופל - יותר מסוכן אחד"))</f>
        <v/>
      </c>
    </row>
    <row r="41" ht="15" customHeight="1" s="82">
      <c r="A41" s="94" t="inlineStr">
        <is>
          <t>מגזר ערבי</t>
        </is>
      </c>
      <c r="B41" s="94" t="inlineStr">
        <is>
          <t>איווה פארם זמר ב.מ</t>
        </is>
      </c>
      <c r="C41" s="111" t="n">
        <v>0</v>
      </c>
      <c r="D41" s="111" t="n">
        <v>14240.3</v>
      </c>
      <c r="E41" s="111" t="n">
        <v>0</v>
      </c>
      <c r="F41" s="111" t="n">
        <v>0</v>
      </c>
      <c r="G41" s="111" t="n">
        <v>0</v>
      </c>
      <c r="H41" s="94">
        <f>COUNTIF(C41:G41,"&lt;&gt;0")</f>
        <v/>
      </c>
      <c r="I41" s="94">
        <f>IF(H41=0,"לא מטופל",IF(H41=1,"מטופל - סוכן אחד","מטופל - יותר מסוכן אחד"))</f>
        <v/>
      </c>
    </row>
    <row r="42" ht="15" customHeight="1" s="82">
      <c r="A42" s="94" t="inlineStr">
        <is>
          <t>מגזר ערבי</t>
        </is>
      </c>
      <c r="B42" s="94" t="inlineStr">
        <is>
          <t>אל אח'לאס רמת הגולן ב.מ</t>
        </is>
      </c>
      <c r="C42" s="111" t="n">
        <v>0</v>
      </c>
      <c r="D42" s="111" t="n">
        <v>3566.8</v>
      </c>
      <c r="E42" s="111" t="n">
        <v>0</v>
      </c>
      <c r="F42" s="111" t="n">
        <v>0</v>
      </c>
      <c r="G42" s="111" t="n">
        <v>0</v>
      </c>
      <c r="H42" s="94">
        <f>COUNTIF(C42:G42,"&lt;&gt;0")</f>
        <v/>
      </c>
      <c r="I42" s="94">
        <f>IF(H42=0,"לא מטופל",IF(H42=1,"מטופל - סוכן אחד","מטופל - יותר מסוכן אחד"))</f>
        <v/>
      </c>
    </row>
    <row r="43" ht="15" customHeight="1" s="82">
      <c r="A43" s="94" t="inlineStr">
        <is>
          <t>מגזר ערבי</t>
        </is>
      </c>
      <c r="B43" s="94" t="inlineStr">
        <is>
          <t>.עין קנייה רמת הגולן ב.מ</t>
        </is>
      </c>
      <c r="C43" s="111" t="n">
        <v>0</v>
      </c>
      <c r="D43" s="111" t="n">
        <v>4757</v>
      </c>
      <c r="E43" s="111" t="n">
        <v>0</v>
      </c>
      <c r="F43" s="111" t="n">
        <v>0</v>
      </c>
      <c r="G43" s="111" t="n">
        <v>0</v>
      </c>
      <c r="H43" s="94">
        <f>COUNTIF(C43:G43,"&lt;&gt;0")</f>
        <v/>
      </c>
      <c r="I43" s="94">
        <f>IF(H43=0,"לא מטופל",IF(H43=1,"מטופל - סוכן אחד","מטופל - יותר מסוכן אחד"))</f>
        <v/>
      </c>
    </row>
    <row r="44" ht="15" customHeight="1" s="82">
      <c r="A44" s="94" t="inlineStr">
        <is>
          <t>מגזר ערבי</t>
        </is>
      </c>
      <c r="B44" s="94" t="inlineStr">
        <is>
          <t>(אבן סינא ירכא ב.מ)חדש</t>
        </is>
      </c>
      <c r="C44" s="111" t="n">
        <v>0</v>
      </c>
      <c r="D44" s="111" t="n">
        <v>3064.6</v>
      </c>
      <c r="E44" s="111" t="n">
        <v>0</v>
      </c>
      <c r="F44" s="111" t="n">
        <v>0</v>
      </c>
      <c r="G44" s="111" t="n">
        <v>0</v>
      </c>
      <c r="H44" s="94">
        <f>COUNTIF(C44:G44,"&lt;&gt;0")</f>
        <v/>
      </c>
      <c r="I44" s="94">
        <f>IF(H44=0,"לא מטופל",IF(H44=1,"מטופל - סוכן אחד","מטופל - יותר מסוכן אחד"))</f>
        <v/>
      </c>
    </row>
    <row r="45" ht="15" customHeight="1" s="82">
      <c r="A45" s="94" t="inlineStr">
        <is>
          <t>מגזר ערבי</t>
        </is>
      </c>
      <c r="B45" s="94" t="inlineStr">
        <is>
          <t>אל אסדי ב.מ</t>
        </is>
      </c>
      <c r="C45" s="111" t="n">
        <v>0</v>
      </c>
      <c r="D45" s="111" t="n">
        <v>-136.8</v>
      </c>
      <c r="E45" s="111" t="n">
        <v>0</v>
      </c>
      <c r="F45" s="111" t="n">
        <v>0</v>
      </c>
      <c r="G45" s="111" t="n">
        <v>0</v>
      </c>
      <c r="H45" s="94">
        <f>COUNTIF(C45:G45,"&lt;&gt;0")</f>
        <v/>
      </c>
      <c r="I45" s="94">
        <f>IF(H45=0,"לא מטופל",IF(H45=1,"מטופל - סוכן אחד","מטופל - יותר מסוכן אחד"))</f>
        <v/>
      </c>
    </row>
    <row r="46" ht="15" customHeight="1" s="82">
      <c r="A46" s="94" t="inlineStr">
        <is>
          <t>מגזר ערבי</t>
        </is>
      </c>
      <c r="B46" s="94" t="inlineStr">
        <is>
          <t>אל מרכז ראמה חדש ב.מ</t>
        </is>
      </c>
      <c r="C46" s="111" t="n">
        <v>0</v>
      </c>
      <c r="D46" s="111" t="n">
        <v>453</v>
      </c>
      <c r="E46" s="111" t="n">
        <v>0</v>
      </c>
      <c r="F46" s="111" t="n">
        <v>0</v>
      </c>
      <c r="G46" s="111" t="n">
        <v>0</v>
      </c>
      <c r="H46" s="94">
        <f>COUNTIF(C46:G46,"&lt;&gt;0")</f>
        <v/>
      </c>
      <c r="I46" s="94">
        <f>IF(H46=0,"לא מטופל",IF(H46=1,"מטופל - סוכן אחד","מטופל - יותר מסוכן אחד"))</f>
        <v/>
      </c>
    </row>
    <row r="47" ht="15" customHeight="1" s="82">
      <c r="A47" s="94" t="inlineStr">
        <is>
          <t>מגזר ערבי</t>
        </is>
      </c>
      <c r="B47" s="94" t="inlineStr">
        <is>
          <t>אלעין ב.מ שפרעם</t>
        </is>
      </c>
      <c r="C47" s="111" t="n">
        <v>0</v>
      </c>
      <c r="D47" s="111" t="n">
        <v>3516.9</v>
      </c>
      <c r="E47" s="111" t="n">
        <v>0</v>
      </c>
      <c r="F47" s="111" t="n">
        <v>0</v>
      </c>
      <c r="G47" s="111" t="n">
        <v>0</v>
      </c>
      <c r="H47" s="94">
        <f>COUNTIF(C47:G47,"&lt;&gt;0")</f>
        <v/>
      </c>
      <c r="I47" s="94">
        <f>IF(H47=0,"לא מטופל",IF(H47=1,"מטופל - סוכן אחד","מטופל - יותר מסוכן אחד"))</f>
        <v/>
      </c>
    </row>
    <row r="48" ht="15" customHeight="1" s="82">
      <c r="A48" s="94" t="inlineStr">
        <is>
          <t>מגזר ערבי</t>
        </is>
      </c>
      <c r="B48" s="94" t="inlineStr">
        <is>
          <t>אבן סינא פארם טמרה ב.מ</t>
        </is>
      </c>
      <c r="C48" s="111" t="n">
        <v>0</v>
      </c>
      <c r="D48" s="111" t="n">
        <v>2693.1</v>
      </c>
      <c r="E48" s="111" t="n">
        <v>0</v>
      </c>
      <c r="F48" s="111" t="n">
        <v>0</v>
      </c>
      <c r="G48" s="111" t="n">
        <v>0</v>
      </c>
      <c r="H48" s="94">
        <f>COUNTIF(C48:G48,"&lt;&gt;0")</f>
        <v/>
      </c>
      <c r="I48" s="94">
        <f>IF(H48=0,"לא מטופל",IF(H48=1,"מטופל - סוכן אחד","מטופל - יותר מסוכן אחד"))</f>
        <v/>
      </c>
    </row>
    <row r="49" ht="15" customHeight="1" s="82">
      <c r="A49" s="94" t="inlineStr">
        <is>
          <t>מגזר ערבי</t>
        </is>
      </c>
      <c r="B49" s="94" t="inlineStr">
        <is>
          <t>נוגידאת פארם ב.מ</t>
        </is>
      </c>
      <c r="C49" s="111" t="n">
        <v>0</v>
      </c>
      <c r="D49" s="111" t="n">
        <v>955.1</v>
      </c>
      <c r="E49" s="111" t="n">
        <v>0</v>
      </c>
      <c r="F49" s="111" t="n">
        <v>0</v>
      </c>
      <c r="G49" s="111" t="n">
        <v>0</v>
      </c>
      <c r="H49" s="94">
        <f>COUNTIF(C49:G49,"&lt;&gt;0")</f>
        <v/>
      </c>
      <c r="I49" s="94">
        <f>IF(H49=0,"לא מטופל",IF(H49=1,"מטופל - סוכן אחד","מטופל - יותר מסוכן אחד"))</f>
        <v/>
      </c>
    </row>
    <row r="50" ht="15" customHeight="1" s="82">
      <c r="A50" s="94" t="inlineStr">
        <is>
          <t>מגזר ערבי</t>
        </is>
      </c>
      <c r="B50" s="94" t="inlineStr">
        <is>
          <t>איווה פארם ב.אל גרבייה ב.מ</t>
        </is>
      </c>
      <c r="C50" s="111" t="n">
        <v>0</v>
      </c>
      <c r="D50" s="111" t="n">
        <v>5038.8</v>
      </c>
      <c r="E50" s="111" t="n">
        <v>0</v>
      </c>
      <c r="F50" s="111" t="n">
        <v>0</v>
      </c>
      <c r="G50" s="111" t="n">
        <v>0</v>
      </c>
      <c r="H50" s="94">
        <f>COUNTIF(C50:G50,"&lt;&gt;0")</f>
        <v/>
      </c>
      <c r="I50" s="94">
        <f>IF(H50=0,"לא מטופל",IF(H50=1,"מטופל - סוכן אחד","מטופל - יותר מסוכן אחד"))</f>
        <v/>
      </c>
    </row>
    <row r="51" ht="15" customHeight="1" s="82">
      <c r="A51" s="94" t="inlineStr">
        <is>
          <t>מגזר ערבי</t>
        </is>
      </c>
      <c r="B51" s="94" t="inlineStr">
        <is>
          <t>מרכז שפרעם ב.מ</t>
        </is>
      </c>
      <c r="C51" s="111" t="n">
        <v>0</v>
      </c>
      <c r="D51" s="111" t="n">
        <v>698.9</v>
      </c>
      <c r="E51" s="111" t="n">
        <v>0</v>
      </c>
      <c r="F51" s="111" t="n">
        <v>0</v>
      </c>
      <c r="G51" s="111" t="n">
        <v>0</v>
      </c>
      <c r="H51" s="94">
        <f>COUNTIF(C51:G51,"&lt;&gt;0")</f>
        <v/>
      </c>
      <c r="I51" s="94">
        <f>IF(H51=0,"לא מטופל",IF(H51=1,"מטופל - סוכן אחד","מטופל - יותר מסוכן אחד"))</f>
        <v/>
      </c>
    </row>
    <row r="52" ht="15" customHeight="1" s="82">
      <c r="A52" s="94" t="inlineStr">
        <is>
          <t>מגזר ערבי</t>
        </is>
      </c>
      <c r="B52" s="94" t="inlineStr">
        <is>
          <t>המרכז טמרה ב.מ</t>
        </is>
      </c>
      <c r="C52" s="111" t="n">
        <v>0</v>
      </c>
      <c r="D52" s="111" t="n">
        <v>2736.4</v>
      </c>
      <c r="E52" s="111" t="n">
        <v>0</v>
      </c>
      <c r="F52" s="111" t="n">
        <v>0</v>
      </c>
      <c r="G52" s="111" t="n">
        <v>0</v>
      </c>
      <c r="H52" s="94">
        <f>COUNTIF(C52:G52,"&lt;&gt;0")</f>
        <v/>
      </c>
      <c r="I52" s="94">
        <f>IF(H52=0,"לא מטופל",IF(H52=1,"מטופל - סוכן אחד","מטופל - יותר מסוכן אחד"))</f>
        <v/>
      </c>
    </row>
    <row r="53" ht="15" customHeight="1" s="82">
      <c r="A53" s="94" t="inlineStr">
        <is>
          <t>מגזר ערבי</t>
        </is>
      </c>
      <c r="B53" s="94" t="inlineStr">
        <is>
          <t>סנטרלפארם שפרעם ב.מ</t>
        </is>
      </c>
      <c r="C53" s="111" t="n">
        <v>0</v>
      </c>
      <c r="D53" s="111" t="n">
        <v>45.3</v>
      </c>
      <c r="E53" s="111" t="n">
        <v>0</v>
      </c>
      <c r="F53" s="111" t="n">
        <v>0</v>
      </c>
      <c r="G53" s="111" t="n">
        <v>0</v>
      </c>
      <c r="H53" s="94">
        <f>COUNTIF(C53:G53,"&lt;&gt;0")</f>
        <v/>
      </c>
      <c r="I53" s="94">
        <f>IF(H53=0,"לא מטופל",IF(H53=1,"מטופל - סוכן אחד","מטופל - יותר מסוכן אחד"))</f>
        <v/>
      </c>
    </row>
    <row r="54" ht="15" customHeight="1" s="82">
      <c r="A54" s="94" t="inlineStr">
        <is>
          <t>מגזר ערבי</t>
        </is>
      </c>
      <c r="B54" s="94" t="inlineStr">
        <is>
          <t>ריאד נצרת ב.מ</t>
        </is>
      </c>
      <c r="C54" s="111" t="n">
        <v>0</v>
      </c>
      <c r="D54" s="111" t="n">
        <v>71.2</v>
      </c>
      <c r="E54" s="111" t="n">
        <v>0</v>
      </c>
      <c r="F54" s="111" t="n">
        <v>0</v>
      </c>
      <c r="G54" s="111" t="n">
        <v>0</v>
      </c>
      <c r="H54" s="94">
        <f>COUNTIF(C54:G54,"&lt;&gt;0")</f>
        <v/>
      </c>
      <c r="I54" s="94">
        <f>IF(H54=0,"לא מטופל",IF(H54=1,"מטופל - סוכן אחד","מטופל - יותר מסוכן אחד"))</f>
        <v/>
      </c>
    </row>
    <row r="55" ht="15" customHeight="1" s="82">
      <c r="A55" s="94" t="inlineStr">
        <is>
          <t>מגזר ערבי</t>
        </is>
      </c>
      <c r="B55" s="94" t="inlineStr">
        <is>
          <t>הכרם ב.מ</t>
        </is>
      </c>
      <c r="C55" s="111" t="n">
        <v>0</v>
      </c>
      <c r="D55" s="111" t="n">
        <v>613.2</v>
      </c>
      <c r="E55" s="111" t="n">
        <v>0</v>
      </c>
      <c r="F55" s="111" t="n">
        <v>0</v>
      </c>
      <c r="G55" s="111" t="n">
        <v>0</v>
      </c>
      <c r="H55" s="94">
        <f>COUNTIF(C55:G55,"&lt;&gt;0")</f>
        <v/>
      </c>
      <c r="I55" s="94">
        <f>IF(H55=0,"לא מטופל",IF(H55=1,"מטופל - סוכן אחד","מטופל - יותר מסוכן אחד"))</f>
        <v/>
      </c>
    </row>
    <row r="56" ht="15" customHeight="1" s="82">
      <c r="A56" s="94" t="inlineStr">
        <is>
          <t>מגזר ערבי</t>
        </is>
      </c>
      <c r="B56" s="94" t="inlineStr">
        <is>
          <t>ביג פארם כפר ינוח ב.מ</t>
        </is>
      </c>
      <c r="C56" s="111" t="n">
        <v>0</v>
      </c>
      <c r="D56" s="111" t="n">
        <v>3344</v>
      </c>
      <c r="E56" s="111" t="n">
        <v>0</v>
      </c>
      <c r="F56" s="111" t="n">
        <v>0</v>
      </c>
      <c r="G56" s="111" t="n">
        <v>0</v>
      </c>
      <c r="H56" s="94">
        <f>COUNTIF(C56:G56,"&lt;&gt;0")</f>
        <v/>
      </c>
      <c r="I56" s="94">
        <f>IF(H56=0,"לא מטופל",IF(H56=1,"מטופל - סוכן אחד","מטופל - יותר מסוכן אחד"))</f>
        <v/>
      </c>
    </row>
    <row r="57" ht="15" customHeight="1" s="82">
      <c r="A57" s="94" t="inlineStr">
        <is>
          <t>מגזר ערבי</t>
        </is>
      </c>
      <c r="B57" s="94" t="inlineStr">
        <is>
          <t>אקסטרה פארם בע""מ נצרת ב.מ</t>
        </is>
      </c>
      <c r="C57" s="111" t="n">
        <v>0</v>
      </c>
      <c r="D57" s="111" t="n">
        <v>5297.4</v>
      </c>
      <c r="E57" s="111" t="n">
        <v>0</v>
      </c>
      <c r="F57" s="111" t="n">
        <v>0</v>
      </c>
      <c r="G57" s="111" t="n">
        <v>0</v>
      </c>
      <c r="H57" s="94">
        <f>COUNTIF(C57:G57,"&lt;&gt;0")</f>
        <v/>
      </c>
      <c r="I57" s="94">
        <f>IF(H57=0,"לא מטופל",IF(H57=1,"מטופל - סוכן אחד","מטופל - יותר מסוכן אחד"))</f>
        <v/>
      </c>
    </row>
    <row r="58" ht="15" customHeight="1" s="82">
      <c r="A58" s="94" t="inlineStr">
        <is>
          <t>מגזר ערבי</t>
        </is>
      </c>
      <c r="B58" s="94" t="inlineStr">
        <is>
          <t>.המרכז כפר ריינה ב.מ</t>
        </is>
      </c>
      <c r="C58" s="111" t="n">
        <v>0</v>
      </c>
      <c r="D58" s="111" t="n">
        <v>3810.9</v>
      </c>
      <c r="E58" s="111" t="n">
        <v>0</v>
      </c>
      <c r="F58" s="111" t="n">
        <v>0</v>
      </c>
      <c r="G58" s="111" t="n">
        <v>0</v>
      </c>
      <c r="H58" s="94">
        <f>COUNTIF(C58:G58,"&lt;&gt;0")</f>
        <v/>
      </c>
      <c r="I58" s="94">
        <f>IF(H58=0,"לא מטופל",IF(H58=1,"מטופל - סוכן אחד","מטופל - יותר מסוכן אחד"))</f>
        <v/>
      </c>
    </row>
    <row r="59" ht="15" customHeight="1" s="82">
      <c r="A59" s="94" t="inlineStr">
        <is>
          <t>מגזר ערבי</t>
        </is>
      </c>
      <c r="B59" s="94" t="inlineStr">
        <is>
          <t>טופ פארם כפר קרע ב.מ. חדש</t>
        </is>
      </c>
      <c r="C59" s="111" t="n">
        <v>0</v>
      </c>
      <c r="D59" s="111" t="n">
        <v>2028.2</v>
      </c>
      <c r="E59" s="111" t="n">
        <v>0</v>
      </c>
      <c r="F59" s="111" t="n">
        <v>0</v>
      </c>
      <c r="G59" s="111" t="n">
        <v>0</v>
      </c>
      <c r="H59" s="94">
        <f>COUNTIF(C59:G59,"&lt;&gt;0")</f>
        <v/>
      </c>
      <c r="I59" s="94">
        <f>IF(H59=0,"לא מטופל",IF(H59=1,"מטופל - סוכן אחד","מטופל - יותר מסוכן אחד"))</f>
        <v/>
      </c>
    </row>
    <row r="60" ht="15" customHeight="1" s="82">
      <c r="A60" s="94" t="inlineStr">
        <is>
          <t>מגזר ערבי</t>
        </is>
      </c>
      <c r="B60" s="94" t="inlineStr">
        <is>
          <t>איווה פארם אלרחמה בע""מ ב.מ</t>
        </is>
      </c>
      <c r="C60" s="111" t="n">
        <v>0</v>
      </c>
      <c r="D60" s="111" t="n">
        <v>12383.9</v>
      </c>
      <c r="E60" s="111" t="n">
        <v>0</v>
      </c>
      <c r="F60" s="111" t="n">
        <v>0</v>
      </c>
      <c r="G60" s="111" t="n">
        <v>0</v>
      </c>
      <c r="H60" s="94">
        <f>COUNTIF(C60:G60,"&lt;&gt;0")</f>
        <v/>
      </c>
      <c r="I60" s="94">
        <f>IF(H60=0,"לא מטופל",IF(H60=1,"מטופל - סוכן אחד","מטופל - יותר מסוכן אחד"))</f>
        <v/>
      </c>
    </row>
    <row r="61" ht="15" customHeight="1" s="82">
      <c r="A61" s="94" t="inlineStr">
        <is>
          <t>מגזר ערבי</t>
        </is>
      </c>
      <c r="B61" s="94" t="inlineStr">
        <is>
          <t>ריאד פארם ב.מ ברטעה חדש</t>
        </is>
      </c>
      <c r="C61" s="111" t="n">
        <v>0</v>
      </c>
      <c r="D61" s="111" t="n">
        <v>2068.4</v>
      </c>
      <c r="E61" s="111" t="n">
        <v>0</v>
      </c>
      <c r="F61" s="111" t="n">
        <v>0</v>
      </c>
      <c r="G61" s="111" t="n">
        <v>0</v>
      </c>
      <c r="H61" s="94">
        <f>COUNTIF(C61:G61,"&lt;&gt;0")</f>
        <v/>
      </c>
      <c r="I61" s="94">
        <f>IF(H61=0,"לא מטופל",IF(H61=1,"מטופל - סוכן אחד","מטופל - יותר מסוכן אחד"))</f>
        <v/>
      </c>
    </row>
    <row r="62" ht="15" customHeight="1" s="82">
      <c r="A62" s="94" t="inlineStr">
        <is>
          <t>מגזר ערבי</t>
        </is>
      </c>
      <c r="B62" s="94" t="inlineStr">
        <is>
          <t>.שרה פארם נצרת ב.מ</t>
        </is>
      </c>
      <c r="C62" s="111" t="n">
        <v>0</v>
      </c>
      <c r="D62" s="111" t="n">
        <v>29</v>
      </c>
      <c r="E62" s="111" t="n">
        <v>0</v>
      </c>
      <c r="F62" s="111" t="n">
        <v>0</v>
      </c>
      <c r="G62" s="111" t="n">
        <v>0</v>
      </c>
      <c r="H62" s="94">
        <f>COUNTIF(C62:G62,"&lt;&gt;0")</f>
        <v/>
      </c>
      <c r="I62" s="94">
        <f>IF(H62=0,"לא מטופל",IF(H62=1,"מטופל - סוכן אחד","מטופל - יותר מסוכן אחד"))</f>
        <v/>
      </c>
    </row>
    <row r="63" ht="15" customHeight="1" s="82">
      <c r="A63" s="94" t="inlineStr">
        <is>
          <t>מגזר ערבי</t>
        </is>
      </c>
      <c r="B63" s="94" t="inlineStr">
        <is>
          <t>אדם רוקחות בע""מ טירה ב.מ</t>
        </is>
      </c>
      <c r="C63" s="111" t="n">
        <v>0</v>
      </c>
      <c r="D63" s="111" t="n">
        <v>0</v>
      </c>
      <c r="E63" s="111" t="n">
        <v>8292.5</v>
      </c>
      <c r="F63" s="111" t="n">
        <v>0</v>
      </c>
      <c r="G63" s="111" t="n">
        <v>0</v>
      </c>
      <c r="H63" s="94">
        <f>COUNTIF(C63:G63,"&lt;&gt;0")</f>
        <v/>
      </c>
      <c r="I63" s="94">
        <f>IF(H63=0,"לא מטופל",IF(H63=1,"מטופל - סוכן אחד","מטופל - יותר מסוכן אחד"))</f>
        <v/>
      </c>
    </row>
    <row r="64" ht="15" customHeight="1" s="82">
      <c r="A64" s="94" t="inlineStr">
        <is>
          <t>מגזר ערבי</t>
        </is>
      </c>
      <c r="B64" s="94" t="inlineStr">
        <is>
          <t>ורונה פארם טירה ב.מ</t>
        </is>
      </c>
      <c r="C64" s="111" t="n">
        <v>0</v>
      </c>
      <c r="D64" s="111" t="n">
        <v>0</v>
      </c>
      <c r="E64" s="111" t="n">
        <v>1143</v>
      </c>
      <c r="F64" s="111" t="n">
        <v>0</v>
      </c>
      <c r="G64" s="111" t="n">
        <v>0</v>
      </c>
      <c r="H64" s="94">
        <f>COUNTIF(C64:G64,"&lt;&gt;0")</f>
        <v/>
      </c>
      <c r="I64" s="94">
        <f>IF(H64=0,"לא מטופל",IF(H64=1,"מטופל - סוכן אחד","מטופל - יותר מסוכן אחד"))</f>
        <v/>
      </c>
    </row>
    <row r="65" ht="15" customHeight="1" s="82">
      <c r="A65" s="94" t="inlineStr">
        <is>
          <t>מגזר ערבי</t>
        </is>
      </c>
      <c r="B65" s="94" t="inlineStr">
        <is>
          <t>מורינגה פארם בית הבריאות ב.מ מ</t>
        </is>
      </c>
      <c r="C65" s="111" t="n">
        <v>0</v>
      </c>
      <c r="D65" s="111" t="n">
        <v>8109.4</v>
      </c>
      <c r="E65" s="111" t="n">
        <v>0</v>
      </c>
      <c r="F65" s="111" t="n">
        <v>0</v>
      </c>
      <c r="G65" s="111" t="n">
        <v>0</v>
      </c>
      <c r="H65" s="94">
        <f>COUNTIF(C65:G65,"&lt;&gt;0")</f>
        <v/>
      </c>
      <c r="I65" s="94">
        <f>IF(H65=0,"לא מטופל",IF(H65=1,"מטופל - סוכן אחד","מטופל - יותר מסוכן אחד"))</f>
        <v/>
      </c>
    </row>
    <row r="66" ht="15" customHeight="1" s="82">
      <c r="A66" s="94" t="inlineStr">
        <is>
          <t>מגזר ערבי</t>
        </is>
      </c>
      <c r="B66" s="94" t="inlineStr">
        <is>
          <t>סיטי פארם נצרת ב.מ</t>
        </is>
      </c>
      <c r="C66" s="111" t="n">
        <v>0</v>
      </c>
      <c r="D66" s="111" t="n">
        <v>216.6</v>
      </c>
      <c r="E66" s="111" t="n">
        <v>0</v>
      </c>
      <c r="F66" s="111" t="n">
        <v>0</v>
      </c>
      <c r="G66" s="111" t="n">
        <v>0</v>
      </c>
      <c r="H66" s="94">
        <f>COUNTIF(C66:G66,"&lt;&gt;0")</f>
        <v/>
      </c>
      <c r="I66" s="94">
        <f>IF(H66=0,"לא מטופל",IF(H66=1,"מטופל - סוכן אחד","מטופל - יותר מסוכן אחד"))</f>
        <v/>
      </c>
    </row>
    <row r="67" ht="15" customHeight="1" s="82">
      <c r="A67" s="94" t="inlineStr">
        <is>
          <t>מגזר ערבי</t>
        </is>
      </c>
      <c r="B67" s="94" t="inlineStr">
        <is>
          <t>פארמר פארם טמרה ב.מ</t>
        </is>
      </c>
      <c r="C67" s="111" t="n">
        <v>0</v>
      </c>
      <c r="D67" s="111" t="n">
        <v>5616.2</v>
      </c>
      <c r="E67" s="111" t="n">
        <v>0</v>
      </c>
      <c r="F67" s="111" t="n">
        <v>0</v>
      </c>
      <c r="G67" s="111" t="n">
        <v>0</v>
      </c>
      <c r="H67" s="94">
        <f>COUNTIF(C67:G67,"&lt;&gt;0")</f>
        <v/>
      </c>
      <c r="I67" s="94">
        <f>IF(H67=0,"לא מטופל",IF(H67=1,"מטופל - סוכן אחד","מטופל - יותר מסוכן אחד"))</f>
        <v/>
      </c>
    </row>
    <row r="68" ht="15" customHeight="1" s="82">
      <c r="A68" s="94" t="inlineStr">
        <is>
          <t>מגזר ערבי</t>
        </is>
      </c>
      <c r="B68" s="94" t="inlineStr">
        <is>
          <t>מדיקל פארם שפרעם ב.מ</t>
        </is>
      </c>
      <c r="C68" s="111" t="n">
        <v>0</v>
      </c>
      <c r="D68" s="111" t="n">
        <v>6503.7</v>
      </c>
      <c r="E68" s="111" t="n">
        <v>0</v>
      </c>
      <c r="F68" s="111" t="n">
        <v>0</v>
      </c>
      <c r="G68" s="111" t="n">
        <v>0</v>
      </c>
      <c r="H68" s="94">
        <f>COUNTIF(C68:G68,"&lt;&gt;0")</f>
        <v/>
      </c>
      <c r="I68" s="94">
        <f>IF(H68=0,"לא מטופל",IF(H68=1,"מטופל - סוכן אחד","מטופל - יותר מסוכן אחד"))</f>
        <v/>
      </c>
    </row>
    <row r="69" ht="15" customHeight="1" s="82">
      <c r="A69" s="94" t="inlineStr">
        <is>
          <t>מגזר ערבי</t>
        </is>
      </c>
      <c r="B69" s="94" t="inlineStr">
        <is>
          <t>פארמה שיא ביר אל מכסור ב.מ</t>
        </is>
      </c>
      <c r="C69" s="111" t="n">
        <v>0</v>
      </c>
      <c r="D69" s="111" t="n">
        <v>4995.7</v>
      </c>
      <c r="E69" s="111" t="n">
        <v>0</v>
      </c>
      <c r="F69" s="111" t="n">
        <v>0</v>
      </c>
      <c r="G69" s="111" t="n">
        <v>0</v>
      </c>
      <c r="H69" s="94">
        <f>COUNTIF(C69:G69,"&lt;&gt;0")</f>
        <v/>
      </c>
      <c r="I69" s="94">
        <f>IF(H69=0,"לא מטופל",IF(H69=1,"מטופל - סוכן אחד","מטופל - יותר מסוכן אחד"))</f>
        <v/>
      </c>
    </row>
    <row r="70" ht="15" customHeight="1" s="82">
      <c r="A70" s="94" t="inlineStr">
        <is>
          <t>מגזר ערבי</t>
        </is>
      </c>
      <c r="B70" s="94" t="inlineStr">
        <is>
          <t>ורונה פארם קלנסוואה ב.מ</t>
        </is>
      </c>
      <c r="C70" s="111" t="n">
        <v>662.7</v>
      </c>
      <c r="D70" s="111" t="n">
        <v>0</v>
      </c>
      <c r="E70" s="111" t="n">
        <v>0</v>
      </c>
      <c r="F70" s="111" t="n">
        <v>0</v>
      </c>
      <c r="G70" s="111" t="n">
        <v>0</v>
      </c>
      <c r="H70" s="94">
        <f>COUNTIF(C70:G70,"&lt;&gt;0")</f>
        <v/>
      </c>
      <c r="I70" s="94">
        <f>IF(H70=0,"לא מטופל",IF(H70=1,"מטופל - סוכן אחד","מטופל - יותר מסוכן אחד"))</f>
        <v/>
      </c>
    </row>
    <row r="71" ht="15" customHeight="1" s="82">
      <c r="A71" s="94" t="inlineStr">
        <is>
          <t>מגזר ערבי</t>
        </is>
      </c>
      <c r="B71" s="94" t="inlineStr">
        <is>
          <t>בית מרקחת אוור פארם עוספיא</t>
        </is>
      </c>
      <c r="C71" s="111" t="n">
        <v>0</v>
      </c>
      <c r="D71" s="111" t="n">
        <v>2550.3</v>
      </c>
      <c r="E71" s="111" t="n">
        <v>0</v>
      </c>
      <c r="F71" s="111" t="n">
        <v>0</v>
      </c>
      <c r="G71" s="111" t="n">
        <v>0</v>
      </c>
      <c r="H71" s="94">
        <f>COUNTIF(C71:G71,"&lt;&gt;0")</f>
        <v/>
      </c>
      <c r="I71" s="94">
        <f>IF(H71=0,"לא מטופל",IF(H71=1,"מטופל - סוכן אחד","מטופל - יותר מסוכן אחד"))</f>
        <v/>
      </c>
    </row>
    <row r="72" ht="15" customHeight="1" s="82">
      <c r="A72" s="94" t="inlineStr">
        <is>
          <t>מגזר ערבי</t>
        </is>
      </c>
      <c r="B72" s="94" t="inlineStr">
        <is>
          <t>אלח'רובה ב.מ באקה אל גרבייה</t>
        </is>
      </c>
      <c r="C72" s="111" t="n">
        <v>0</v>
      </c>
      <c r="D72" s="111" t="n">
        <v>4104.7</v>
      </c>
      <c r="E72" s="111" t="n">
        <v>0</v>
      </c>
      <c r="F72" s="111" t="n">
        <v>0</v>
      </c>
      <c r="G72" s="111" t="n">
        <v>0</v>
      </c>
      <c r="H72" s="94">
        <f>COUNTIF(C72:G72,"&lt;&gt;0")</f>
        <v/>
      </c>
      <c r="I72" s="94">
        <f>IF(H72=0,"לא מטופל",IF(H72=1,"מטופל - סוכן אחד","מטופל - יותר מסוכן אחד"))</f>
        <v/>
      </c>
    </row>
    <row r="73" ht="15" customHeight="1" s="82">
      <c r="A73" s="94" t="inlineStr">
        <is>
          <t>מגזר ערבי</t>
        </is>
      </c>
      <c r="B73" s="94" t="inlineStr">
        <is>
          <t>אלחייאת ב.מ אל סייד</t>
        </is>
      </c>
      <c r="C73" s="111" t="n">
        <v>0</v>
      </c>
      <c r="D73" s="111" t="n">
        <v>0</v>
      </c>
      <c r="E73" s="111" t="n">
        <v>9469.200000000001</v>
      </c>
      <c r="F73" s="111" t="n">
        <v>0</v>
      </c>
      <c r="G73" s="111" t="n">
        <v>0</v>
      </c>
      <c r="H73" s="94">
        <f>COUNTIF(C73:G73,"&lt;&gt;0")</f>
        <v/>
      </c>
      <c r="I73" s="94">
        <f>IF(H73=0,"לא מטופל",IF(H73=1,"מטופל - סוכן אחד","מטופל - יותר מסוכן אחד"))</f>
        <v/>
      </c>
    </row>
    <row r="74" ht="15" customHeight="1" s="82">
      <c r="A74" s="94" t="inlineStr">
        <is>
          <t>מגזר ערבי</t>
        </is>
      </c>
      <c r="B74" s="94" t="inlineStr">
        <is>
          <t>נוגה פארם כפר כסרא בימר""ק</t>
        </is>
      </c>
      <c r="C74" s="111" t="n">
        <v>0</v>
      </c>
      <c r="D74" s="111" t="n">
        <v>73</v>
      </c>
      <c r="E74" s="111" t="n">
        <v>0</v>
      </c>
      <c r="F74" s="111" t="n">
        <v>0</v>
      </c>
      <c r="G74" s="111" t="n">
        <v>0</v>
      </c>
      <c r="H74" s="94">
        <f>COUNTIF(C74:G74,"&lt;&gt;0")</f>
        <v/>
      </c>
      <c r="I74" s="94">
        <f>IF(H74=0,"לא מטופל",IF(H74=1,"מטופל - סוכן אחד","מטופל - יותר מסוכן אחד"))</f>
        <v/>
      </c>
    </row>
    <row r="75" ht="15" customHeight="1" s="82">
      <c r="A75" s="94" t="inlineStr">
        <is>
          <t>מגזר ערבי</t>
        </is>
      </c>
      <c r="B75" s="94" t="inlineStr">
        <is>
          <t>פארמה האוס בע""מ נוף הגליל ב.מ</t>
        </is>
      </c>
      <c r="C75" s="111" t="n">
        <v>0</v>
      </c>
      <c r="D75" s="111" t="n">
        <v>0</v>
      </c>
      <c r="E75" s="111" t="n">
        <v>468.5</v>
      </c>
      <c r="F75" s="111" t="n">
        <v>0</v>
      </c>
      <c r="G75" s="111" t="n">
        <v>0</v>
      </c>
      <c r="H75" s="94">
        <f>COUNTIF(C75:G75,"&lt;&gt;0")</f>
        <v/>
      </c>
      <c r="I75" s="94">
        <f>IF(H75=0,"לא מטופל",IF(H75=1,"מטופל - סוכן אחד","מטופל - יותר מסוכן אחד"))</f>
        <v/>
      </c>
    </row>
    <row r="76" ht="15" customHeight="1" s="82">
      <c r="A76" s="94" t="inlineStr">
        <is>
          <t>מגזר ערבי</t>
        </is>
      </c>
      <c r="B76" s="94" t="inlineStr">
        <is>
          <t>רימא פארם כפר יאסיף ב.מ</t>
        </is>
      </c>
      <c r="C76" s="111" t="n">
        <v>0</v>
      </c>
      <c r="D76" s="111" t="n">
        <v>10150.2</v>
      </c>
      <c r="E76" s="111" t="n">
        <v>0</v>
      </c>
      <c r="F76" s="111" t="n">
        <v>0</v>
      </c>
      <c r="G76" s="111" t="n">
        <v>0</v>
      </c>
      <c r="H76" s="94">
        <f>COUNTIF(C76:G76,"&lt;&gt;0")</f>
        <v/>
      </c>
      <c r="I76" s="94">
        <f>IF(H76=0,"לא מטופל",IF(H76=1,"מטופל - סוכן אחד","מטופל - יותר מסוכן אחד"))</f>
        <v/>
      </c>
    </row>
    <row r="77" ht="15" customHeight="1" s="82">
      <c r="A77" s="94" t="inlineStr">
        <is>
          <t>מגזר ערבי</t>
        </is>
      </c>
      <c r="B77" s="94" t="inlineStr">
        <is>
          <t>אלפרמשאני סכנין ב.מ</t>
        </is>
      </c>
      <c r="C77" s="111" t="n">
        <v>0</v>
      </c>
      <c r="D77" s="111" t="n">
        <v>556.7</v>
      </c>
      <c r="E77" s="111" t="n">
        <v>0</v>
      </c>
      <c r="F77" s="111" t="n">
        <v>0</v>
      </c>
      <c r="G77" s="111" t="n">
        <v>0</v>
      </c>
      <c r="H77" s="94">
        <f>COUNTIF(C77:G77,"&lt;&gt;0")</f>
        <v/>
      </c>
      <c r="I77" s="94">
        <f>IF(H77=0,"לא מטופל",IF(H77=1,"מטופל - סוכן אחד","מטופל - יותר מסוכן אחד"))</f>
        <v/>
      </c>
    </row>
    <row r="78" ht="15" customHeight="1" s="82">
      <c r="A78" s="94" t="inlineStr">
        <is>
          <t>מגזר ערבי</t>
        </is>
      </c>
      <c r="B78" s="94" t="inlineStr">
        <is>
          <t>פארמה לייף יקנעם עילית ב.מ</t>
        </is>
      </c>
      <c r="C78" s="111" t="n">
        <v>0</v>
      </c>
      <c r="D78" s="111" t="n">
        <v>4105.1</v>
      </c>
      <c r="E78" s="111" t="n">
        <v>0</v>
      </c>
      <c r="F78" s="111" t="n">
        <v>0</v>
      </c>
      <c r="G78" s="111" t="n">
        <v>0</v>
      </c>
      <c r="H78" s="94">
        <f>COUNTIF(C78:G78,"&lt;&gt;0")</f>
        <v/>
      </c>
      <c r="I78" s="94">
        <f>IF(H78=0,"לא מטופל",IF(H78=1,"מטופל - סוכן אחד","מטופל - יותר מסוכן אחד"))</f>
        <v/>
      </c>
    </row>
    <row r="79" ht="15" customHeight="1" s="82">
      <c r="A79" s="94" t="inlineStr">
        <is>
          <t>מגזר ערבי</t>
        </is>
      </c>
      <c r="B79" s="94" t="inlineStr">
        <is>
          <t>רונברא ב.מ נהריה</t>
        </is>
      </c>
      <c r="C79" s="111" t="n">
        <v>0</v>
      </c>
      <c r="D79" s="111" t="n">
        <v>3058.7</v>
      </c>
      <c r="E79" s="111" t="n">
        <v>0</v>
      </c>
      <c r="F79" s="111" t="n">
        <v>0</v>
      </c>
      <c r="G79" s="111" t="n">
        <v>0</v>
      </c>
      <c r="H79" s="94">
        <f>COUNTIF(C79:G79,"&lt;&gt;0")</f>
        <v/>
      </c>
      <c r="I79" s="94">
        <f>IF(H79=0,"לא מטופל",IF(H79=1,"מטופל - סוכן אחד","מטופל - יותר מסוכן אחד"))</f>
        <v/>
      </c>
    </row>
    <row r="80" ht="15" customHeight="1" s="82">
      <c r="A80" s="94" t="inlineStr">
        <is>
          <t>מגזר ערבי</t>
        </is>
      </c>
      <c r="B80" s="94" t="inlineStr">
        <is>
          <t>שקד פארם זכרון יעקב ב.מ</t>
        </is>
      </c>
      <c r="C80" s="111" t="n">
        <v>0</v>
      </c>
      <c r="D80" s="111" t="n">
        <v>1587.4</v>
      </c>
      <c r="E80" s="111" t="n">
        <v>0</v>
      </c>
      <c r="F80" s="111" t="n">
        <v>0</v>
      </c>
      <c r="G80" s="111" t="n">
        <v>0</v>
      </c>
      <c r="H80" s="94">
        <f>COUNTIF(C80:G80,"&lt;&gt;0")</f>
        <v/>
      </c>
      <c r="I80" s="94">
        <f>IF(H80=0,"לא מטופל",IF(H80=1,"מטופל - סוכן אחד","מטופל - יותר מסוכן אחד"))</f>
        <v/>
      </c>
    </row>
    <row r="81" ht="15" customHeight="1" s="82">
      <c r="A81" s="94" t="inlineStr">
        <is>
          <t>רשת י-ם</t>
        </is>
      </c>
      <c r="B81" s="94" t="inlineStr">
        <is>
          <t>ירושלים ב.מ</t>
        </is>
      </c>
      <c r="C81" s="111" t="n">
        <v>0</v>
      </c>
      <c r="D81" s="111" t="n">
        <v>0</v>
      </c>
      <c r="E81" s="111" t="n">
        <v>0</v>
      </c>
      <c r="F81" s="111" t="n">
        <v>0</v>
      </c>
      <c r="G81" s="111" t="n">
        <v>-181.7</v>
      </c>
      <c r="H81" s="94">
        <f>COUNTIF(C81:G81,"&lt;&gt;0")</f>
        <v/>
      </c>
      <c r="I81" s="94">
        <f>IF(H81=0,"לא מטופל",IF(H81=1,"מטופל - סוכן אחד","מטופל - יותר מסוכן אחד"))</f>
        <v/>
      </c>
    </row>
    <row r="82" ht="15" customHeight="1" s="82">
      <c r="A82" s="94" t="inlineStr">
        <is>
          <t>רשת י-ם</t>
        </is>
      </c>
      <c r="B82" s="94" t="inlineStr">
        <is>
          <t>רמת שלמה פארם בע""מ י-ם ב.מ</t>
        </is>
      </c>
      <c r="C82" s="111" t="n">
        <v>0</v>
      </c>
      <c r="D82" s="111" t="n">
        <v>0</v>
      </c>
      <c r="E82" s="111" t="n">
        <v>0</v>
      </c>
      <c r="F82" s="111" t="n">
        <v>0</v>
      </c>
      <c r="G82" s="111" t="n">
        <v>28.1</v>
      </c>
      <c r="H82" s="94">
        <f>COUNTIF(C82:G82,"&lt;&gt;0")</f>
        <v/>
      </c>
      <c r="I82" s="94">
        <f>IF(H82=0,"לא מטופל",IF(H82=1,"מטופל - סוכן אחד","מטופל - יותר מסוכן אחד"))</f>
        <v/>
      </c>
    </row>
    <row r="83" ht="15" customHeight="1" s="82">
      <c r="A83" s="94" t="inlineStr">
        <is>
          <t>רשת י-ם</t>
        </is>
      </c>
      <c r="B83" s="94" t="inlineStr">
        <is>
          <t>ברודר ב.שמש ב.מ</t>
        </is>
      </c>
      <c r="C83" s="111" t="n">
        <v>0</v>
      </c>
      <c r="D83" s="111" t="n">
        <v>0</v>
      </c>
      <c r="E83" s="111" t="n">
        <v>0</v>
      </c>
      <c r="F83" s="111" t="n">
        <v>0</v>
      </c>
      <c r="G83" s="111" t="n">
        <v>495.5</v>
      </c>
      <c r="H83" s="94">
        <f>COUNTIF(C83:G83,"&lt;&gt;0")</f>
        <v/>
      </c>
      <c r="I83" s="94">
        <f>IF(H83=0,"לא מטופל",IF(H83=1,"מטופל - סוכן אחד","מטופל - יותר מסוכן אחד"))</f>
        <v/>
      </c>
    </row>
    <row r="84" ht="15" customHeight="1" s="82">
      <c r="A84" s="94" t="inlineStr">
        <is>
          <t>רשת י-ם</t>
        </is>
      </c>
      <c r="B84" s="94" t="inlineStr">
        <is>
          <t>בקשי מחנה יהודה י-ם ב.מ</t>
        </is>
      </c>
      <c r="C84" s="111" t="n">
        <v>0</v>
      </c>
      <c r="D84" s="111" t="n">
        <v>0</v>
      </c>
      <c r="E84" s="111" t="n">
        <v>0</v>
      </c>
      <c r="F84" s="111" t="n">
        <v>0</v>
      </c>
      <c r="G84" s="111" t="n">
        <v>7083.1</v>
      </c>
      <c r="H84" s="94">
        <f>COUNTIF(C84:G84,"&lt;&gt;0")</f>
        <v/>
      </c>
      <c r="I84" s="94">
        <f>IF(H84=0,"לא מטופל",IF(H84=1,"מטופל - סוכן אחד","מטופל - יותר מסוכן אחד"))</f>
        <v/>
      </c>
    </row>
    <row r="85" ht="15" customHeight="1" s="82">
      <c r="A85" s="94" t="inlineStr">
        <is>
          <t>רשת י-ם</t>
        </is>
      </c>
      <c r="B85" s="94" t="inlineStr">
        <is>
          <t>גאולה י-ם ב.מ</t>
        </is>
      </c>
      <c r="C85" s="111" t="n">
        <v>0</v>
      </c>
      <c r="D85" s="111" t="n">
        <v>0</v>
      </c>
      <c r="E85" s="111" t="n">
        <v>0</v>
      </c>
      <c r="F85" s="111" t="n">
        <v>0</v>
      </c>
      <c r="G85" s="111" t="n">
        <v>30059.5</v>
      </c>
      <c r="H85" s="94">
        <f>COUNTIF(C85:G85,"&lt;&gt;0")</f>
        <v/>
      </c>
      <c r="I85" s="94">
        <f>IF(H85=0,"לא מטופל",IF(H85=1,"מטופל - סוכן אחד","מטופל - יותר מסוכן אחד"))</f>
        <v/>
      </c>
    </row>
    <row r="86" ht="15" customHeight="1" s="82">
      <c r="A86" s="94" t="inlineStr">
        <is>
          <t>רשת י-ם</t>
        </is>
      </c>
      <c r="B86" s="94" t="inlineStr">
        <is>
          <t>גבעת זאב י-ם ב.מ</t>
        </is>
      </c>
      <c r="C86" s="111" t="n">
        <v>0</v>
      </c>
      <c r="D86" s="111" t="n">
        <v>0</v>
      </c>
      <c r="E86" s="111" t="n">
        <v>0</v>
      </c>
      <c r="F86" s="111" t="n">
        <v>0</v>
      </c>
      <c r="G86" s="111" t="n">
        <v>9444</v>
      </c>
      <c r="H86" s="94">
        <f>COUNTIF(C86:G86,"&lt;&gt;0")</f>
        <v/>
      </c>
      <c r="I86" s="94">
        <f>IF(H86=0,"לא מטופל",IF(H86=1,"מטופל - סוכן אחד","מטופל - יותר מסוכן אחד"))</f>
        <v/>
      </c>
    </row>
    <row r="87" ht="15" customHeight="1" s="82">
      <c r="A87" s="94" t="inlineStr">
        <is>
          <t>רשת י-ם</t>
        </is>
      </c>
      <c r="B87" s="94" t="inlineStr">
        <is>
          <t>גבעת שאול ב.מ-מדי פלוס בע""מ</t>
        </is>
      </c>
      <c r="C87" s="111" t="n">
        <v>0</v>
      </c>
      <c r="D87" s="111" t="n">
        <v>0</v>
      </c>
      <c r="E87" s="111" t="n">
        <v>0</v>
      </c>
      <c r="F87" s="111" t="n">
        <v>0</v>
      </c>
      <c r="G87" s="111" t="n">
        <v>8944.6</v>
      </c>
      <c r="H87" s="94">
        <f>COUNTIF(C87:G87,"&lt;&gt;0")</f>
        <v/>
      </c>
      <c r="I87" s="94">
        <f>IF(H87=0,"לא מטופל",IF(H87=1,"מטופל - סוכן אחד","מטופל - יותר מסוכן אחד"))</f>
        <v/>
      </c>
    </row>
    <row r="88" ht="15" customHeight="1" s="82">
      <c r="A88" s="94" t="inlineStr">
        <is>
          <t>רשת י-ם</t>
        </is>
      </c>
      <c r="B88" s="94" t="inlineStr">
        <is>
          <t>אורנים פארם ירושלים ב.מ</t>
        </is>
      </c>
      <c r="C88" s="111" t="n">
        <v>0</v>
      </c>
      <c r="D88" s="111" t="n">
        <v>0</v>
      </c>
      <c r="E88" s="111" t="n">
        <v>0</v>
      </c>
      <c r="F88" s="111" t="n">
        <v>0</v>
      </c>
      <c r="G88" s="111" t="n">
        <v>13503.9</v>
      </c>
      <c r="H88" s="94">
        <f>COUNTIF(C88:G88,"&lt;&gt;0")</f>
        <v/>
      </c>
      <c r="I88" s="94">
        <f>IF(H88=0,"לא מטופל",IF(H88=1,"מטופל - סוכן אחד","מטופל - יותר מסוכן אחד"))</f>
        <v/>
      </c>
    </row>
    <row r="89" ht="15" customHeight="1" s="82">
      <c r="A89" s="94" t="inlineStr">
        <is>
          <t>רשת י-ם</t>
        </is>
      </c>
      <c r="B89" s="94" t="inlineStr">
        <is>
          <t>מוריה י-ם ב.מ</t>
        </is>
      </c>
      <c r="C89" s="111" t="n">
        <v>0</v>
      </c>
      <c r="D89" s="111" t="n">
        <v>0</v>
      </c>
      <c r="E89" s="111" t="n">
        <v>0</v>
      </c>
      <c r="F89" s="111" t="n">
        <v>0</v>
      </c>
      <c r="G89" s="111" t="n">
        <v>1066.9</v>
      </c>
      <c r="H89" s="94">
        <f>COUNTIF(C89:G89,"&lt;&gt;0")</f>
        <v/>
      </c>
      <c r="I89" s="94">
        <f>IF(H89=0,"לא מטופל",IF(H89=1,"מטופל - סוכן אחד","מטופל - יותר מסוכן אחד"))</f>
        <v/>
      </c>
    </row>
    <row r="90" ht="15" customHeight="1" s="82">
      <c r="A90" s="94" t="inlineStr">
        <is>
          <t>רשת י-ם</t>
        </is>
      </c>
      <c r="B90" s="94" t="inlineStr">
        <is>
          <t>מזור י-ם ב.מ</t>
        </is>
      </c>
      <c r="C90" s="111" t="n">
        <v>0</v>
      </c>
      <c r="D90" s="111" t="n">
        <v>0</v>
      </c>
      <c r="E90" s="111" t="n">
        <v>0</v>
      </c>
      <c r="F90" s="111" t="n">
        <v>0</v>
      </c>
      <c r="G90" s="111" t="n">
        <v>1323.1</v>
      </c>
      <c r="H90" s="94">
        <f>COUNTIF(C90:G90,"&lt;&gt;0")</f>
        <v/>
      </c>
      <c r="I90" s="94">
        <f>IF(H90=0,"לא מטופל",IF(H90=1,"מטופל - סוכן אחד","מטופל - יותר מסוכן אחד"))</f>
        <v/>
      </c>
    </row>
    <row r="91" ht="15" customHeight="1" s="82">
      <c r="A91" s="94" t="inlineStr">
        <is>
          <t>רשת י-ם</t>
        </is>
      </c>
      <c r="B91" s="94" t="inlineStr">
        <is>
          <t>ב.מ סנהדריה מדי פלוס</t>
        </is>
      </c>
      <c r="C91" s="111" t="n">
        <v>0</v>
      </c>
      <c r="D91" s="111" t="n">
        <v>0</v>
      </c>
      <c r="E91" s="111" t="n">
        <v>0</v>
      </c>
      <c r="F91" s="111" t="n">
        <v>0</v>
      </c>
      <c r="G91" s="111" t="n">
        <v>9339</v>
      </c>
      <c r="H91" s="94">
        <f>COUNTIF(C91:G91,"&lt;&gt;0")</f>
        <v/>
      </c>
      <c r="I91" s="94">
        <f>IF(H91=0,"לא מטופל",IF(H91=1,"מטופל - סוכן אחד","מטופל - יותר מסוכן אחד"))</f>
        <v/>
      </c>
    </row>
    <row r="92" ht="15" customHeight="1" s="82">
      <c r="A92" s="94" t="inlineStr">
        <is>
          <t>רשת י-ם</t>
        </is>
      </c>
      <c r="B92" s="94" t="inlineStr">
        <is>
          <t>עוזיאל י-ם ב.מ</t>
        </is>
      </c>
      <c r="C92" s="111" t="n">
        <v>0</v>
      </c>
      <c r="D92" s="111" t="n">
        <v>0</v>
      </c>
      <c r="E92" s="111" t="n">
        <v>0</v>
      </c>
      <c r="F92" s="111" t="n">
        <v>0</v>
      </c>
      <c r="G92" s="111" t="n">
        <v>6565.3</v>
      </c>
      <c r="H92" s="94">
        <f>COUNTIF(C92:G92,"&lt;&gt;0")</f>
        <v/>
      </c>
      <c r="I92" s="94">
        <f>IF(H92=0,"לא מטופל",IF(H92=1,"מטופל - סוכן אחד","מטופל - יותר מסוכן אחד"))</f>
        <v/>
      </c>
    </row>
    <row r="93" ht="15" customHeight="1" s="82">
      <c r="A93" s="94" t="inlineStr">
        <is>
          <t>רשת י-ם</t>
        </is>
      </c>
      <c r="B93" s="94" t="inlineStr">
        <is>
          <t>01.10 ב.מ.פארמה שאול בע""מ</t>
        </is>
      </c>
      <c r="C93" s="111" t="n">
        <v>0</v>
      </c>
      <c r="D93" s="111" t="n">
        <v>0</v>
      </c>
      <c r="E93" s="111" t="n">
        <v>0</v>
      </c>
      <c r="F93" s="111" t="n">
        <v>0</v>
      </c>
      <c r="G93" s="111" t="n">
        <v>3288.4</v>
      </c>
      <c r="H93" s="94">
        <f>COUNTIF(C93:G93,"&lt;&gt;0")</f>
        <v/>
      </c>
      <c r="I93" s="94">
        <f>IF(H93=0,"לא מטופל",IF(H93=1,"מטופל - סוכן אחד","מטופל - יותר מסוכן אחד"))</f>
        <v/>
      </c>
    </row>
    <row r="94" ht="15" customHeight="1" s="82">
      <c r="A94" s="94" t="inlineStr">
        <is>
          <t>רשת י-ם</t>
        </is>
      </c>
      <c r="B94" s="94" t="inlineStr">
        <is>
          <t>מני י-ם ב.מ חדש</t>
        </is>
      </c>
      <c r="C94" s="111" t="n">
        <v>0</v>
      </c>
      <c r="D94" s="111" t="n">
        <v>0</v>
      </c>
      <c r="E94" s="111" t="n">
        <v>0</v>
      </c>
      <c r="F94" s="111" t="n">
        <v>0</v>
      </c>
      <c r="G94" s="111" t="n">
        <v>29</v>
      </c>
      <c r="H94" s="94">
        <f>COUNTIF(C94:G94,"&lt;&gt;0")</f>
        <v/>
      </c>
      <c r="I94" s="94">
        <f>IF(H94=0,"לא מטופל",IF(H94=1,"מטופל - סוכן אחד","מטופל - יותר מסוכן אחד"))</f>
        <v/>
      </c>
    </row>
    <row r="95" ht="15" customHeight="1" s="82">
      <c r="A95" s="94" t="inlineStr">
        <is>
          <t>רשת י-ם</t>
        </is>
      </c>
      <c r="B95" s="94" t="inlineStr">
        <is>
          <t>הר הזיתים ב.מ</t>
        </is>
      </c>
      <c r="C95" s="111" t="n">
        <v>0</v>
      </c>
      <c r="D95" s="111" t="n">
        <v>0</v>
      </c>
      <c r="E95" s="111" t="n">
        <v>0</v>
      </c>
      <c r="F95" s="111" t="n">
        <v>0</v>
      </c>
      <c r="G95" s="111" t="n">
        <v>4611.2</v>
      </c>
      <c r="H95" s="94">
        <f>COUNTIF(C95:G95,"&lt;&gt;0")</f>
        <v/>
      </c>
      <c r="I95" s="94">
        <f>IF(H95=0,"לא מטופל",IF(H95=1,"מטופל - סוכן אחד","מטופל - יותר מסוכן אחד"))</f>
        <v/>
      </c>
    </row>
    <row r="96" ht="15" customHeight="1" s="82">
      <c r="A96" s="94" t="inlineStr">
        <is>
          <t>רשת י-ם</t>
        </is>
      </c>
      <c r="B96" s="94" t="inlineStr">
        <is>
          <t>דויטש י-ם ב.מ</t>
        </is>
      </c>
      <c r="C96" s="111" t="n">
        <v>0</v>
      </c>
      <c r="D96" s="111" t="n">
        <v>0</v>
      </c>
      <c r="E96" s="111" t="n">
        <v>0</v>
      </c>
      <c r="F96" s="111" t="n">
        <v>0</v>
      </c>
      <c r="G96" s="111" t="n">
        <v>8935.9</v>
      </c>
      <c r="H96" s="94">
        <f>COUNTIF(C96:G96,"&lt;&gt;0")</f>
        <v/>
      </c>
      <c r="I96" s="94">
        <f>IF(H96=0,"לא מטופל",IF(H96=1,"מטופל - סוכן אחד","מטופל - יותר מסוכן אחד"))</f>
        <v/>
      </c>
    </row>
    <row r="97" ht="15" customHeight="1" s="82">
      <c r="A97" s="94" t="inlineStr">
        <is>
          <t>רשת י-ם</t>
        </is>
      </c>
      <c r="B97" s="94" t="inlineStr">
        <is>
          <t>פארם פלוס ירושלים ב.מ</t>
        </is>
      </c>
      <c r="C97" s="111" t="n">
        <v>0</v>
      </c>
      <c r="D97" s="111" t="n">
        <v>0</v>
      </c>
      <c r="E97" s="111" t="n">
        <v>0</v>
      </c>
      <c r="F97" s="111" t="n">
        <v>0</v>
      </c>
      <c r="G97" s="111" t="n">
        <v>2906</v>
      </c>
      <c r="H97" s="94">
        <f>COUNTIF(C97:G97,"&lt;&gt;0")</f>
        <v/>
      </c>
      <c r="I97" s="94">
        <f>IF(H97=0,"לא מטופל",IF(H97=1,"מטופל - סוכן אחד","מטופל - יותר מסוכן אחד"))</f>
        <v/>
      </c>
    </row>
    <row r="98" ht="15" customHeight="1" s="82">
      <c r="A98" s="94" t="inlineStr">
        <is>
          <t>רשת י-ם</t>
        </is>
      </c>
      <c r="B98" s="94" t="inlineStr">
        <is>
          <t>ג'נא פארם ב.מ מבשרת ציון</t>
        </is>
      </c>
      <c r="C98" s="111" t="n">
        <v>0</v>
      </c>
      <c r="D98" s="111" t="n">
        <v>0</v>
      </c>
      <c r="E98" s="111" t="n">
        <v>0</v>
      </c>
      <c r="F98" s="111" t="n">
        <v>0</v>
      </c>
      <c r="G98" s="111" t="n">
        <v>2437.3</v>
      </c>
      <c r="H98" s="94">
        <f>COUNTIF(C98:G98,"&lt;&gt;0")</f>
        <v/>
      </c>
      <c r="I98" s="94">
        <f>IF(H98=0,"לא מטופל",IF(H98=1,"מטופל - סוכן אחד","מטופל - יותר מסוכן אחד"))</f>
        <v/>
      </c>
    </row>
    <row r="99" ht="15" customHeight="1" s="82">
      <c r="A99" s="94" t="inlineStr">
        <is>
          <t>רשת י-ם</t>
        </is>
      </c>
      <c r="B99" s="94" t="inlineStr">
        <is>
          <t>מקסיפארם ברוכים י-ם ב.מ</t>
        </is>
      </c>
      <c r="C99" s="111" t="n">
        <v>0</v>
      </c>
      <c r="D99" s="111" t="n">
        <v>0</v>
      </c>
      <c r="E99" s="111" t="n">
        <v>0</v>
      </c>
      <c r="F99" s="111" t="n">
        <v>0</v>
      </c>
      <c r="G99" s="111" t="n">
        <v>2817.3</v>
      </c>
      <c r="H99" s="94">
        <f>COUNTIF(C99:G99,"&lt;&gt;0")</f>
        <v/>
      </c>
      <c r="I99" s="94">
        <f>IF(H99=0,"לא מטופל",IF(H99=1,"מטופל - סוכן אחד","מטופל - יותר מסוכן אחד"))</f>
        <v/>
      </c>
    </row>
    <row r="100" ht="15" customHeight="1" s="82">
      <c r="A100" s="94" t="inlineStr">
        <is>
          <t>רשת י-ם</t>
        </is>
      </c>
      <c r="B100" s="94" t="inlineStr">
        <is>
          <t>מוריה י-ם ב.מ</t>
        </is>
      </c>
      <c r="C100" s="111" t="n">
        <v>0</v>
      </c>
      <c r="D100" s="111" t="n">
        <v>0</v>
      </c>
      <c r="E100" s="111" t="n">
        <v>0</v>
      </c>
      <c r="F100" s="111" t="n">
        <v>0</v>
      </c>
      <c r="G100" s="111" t="n">
        <v>7413.7</v>
      </c>
      <c r="H100" s="94">
        <f>COUNTIF(C100:G100,"&lt;&gt;0")</f>
        <v/>
      </c>
      <c r="I100" s="94">
        <f>IF(H100=0,"לא מטופל",IF(H100=1,"מטופל - סוכן אחד","מטופל - יותר מסוכן אחד"))</f>
        <v/>
      </c>
    </row>
    <row r="101" ht="15" customHeight="1" s="82">
      <c r="A101" s="94" t="inlineStr">
        <is>
          <t>שור טבצניק</t>
        </is>
      </c>
      <c r="B101" s="94" t="inlineStr">
        <is>
          <t>שור טבצ'ניק ת""א ב.מ</t>
        </is>
      </c>
      <c r="C101" s="111" t="n">
        <v>7347.7</v>
      </c>
      <c r="D101" s="111" t="n">
        <v>0</v>
      </c>
      <c r="E101" s="111" t="n">
        <v>0</v>
      </c>
      <c r="F101" s="111" t="n">
        <v>0</v>
      </c>
      <c r="G101" s="111" t="n">
        <v>0</v>
      </c>
      <c r="H101" s="94">
        <f>COUNTIF(C101:G101,"&lt;&gt;0")</f>
        <v/>
      </c>
      <c r="I101" s="94">
        <f>IF(H101=0,"לא מטופל",IF(H101=1,"מטופל - סוכן אחד","מטופל - יותר מסוכן אחד"))</f>
        <v/>
      </c>
    </row>
    <row r="102" ht="15" customHeight="1" s="82">
      <c r="A102" s="94" t="inlineStr">
        <is>
          <t>שרם</t>
        </is>
      </c>
      <c r="B102" s="94" t="inlineStr">
        <is>
          <t>מזור יבנה ב.מ שרמפארם</t>
        </is>
      </c>
      <c r="C102" s="111" t="n">
        <v>0</v>
      </c>
      <c r="D102" s="111" t="n">
        <v>0</v>
      </c>
      <c r="E102" s="111" t="n">
        <v>535.7</v>
      </c>
      <c r="F102" s="111" t="n">
        <v>0</v>
      </c>
      <c r="G102" s="111" t="n">
        <v>0</v>
      </c>
      <c r="H102" s="94">
        <f>COUNTIF(C102:G102,"&lt;&gt;0")</f>
        <v/>
      </c>
      <c r="I102" s="94">
        <f>IF(H102=0,"לא מטופל",IF(H102=1,"מטופל - סוכן אחד","מטופל - יותר מסוכן אחד"))</f>
        <v/>
      </c>
    </row>
    <row r="103" ht="15" customHeight="1" s="82">
      <c r="A103" s="94" t="inlineStr">
        <is>
          <t>שרם</t>
        </is>
      </c>
      <c r="B103" s="94" t="inlineStr">
        <is>
          <t>ב.מ הלא - אלפי מנשה שרמפארם</t>
        </is>
      </c>
      <c r="C103" s="111" t="n">
        <v>0</v>
      </c>
      <c r="D103" s="111" t="n">
        <v>0</v>
      </c>
      <c r="E103" s="111" t="n">
        <v>7491.6</v>
      </c>
      <c r="F103" s="111" t="n">
        <v>0</v>
      </c>
      <c r="G103" s="111" t="n">
        <v>0</v>
      </c>
      <c r="H103" s="94">
        <f>COUNTIF(C103:G103,"&lt;&gt;0")</f>
        <v/>
      </c>
      <c r="I103" s="94">
        <f>IF(H103=0,"לא מטופל",IF(H103=1,"מטופל - סוכן אחד","מטופל - יותר מסוכן אחד"))</f>
        <v/>
      </c>
    </row>
    <row r="104" ht="15" customHeight="1" s="82">
      <c r="A104" s="94" t="inlineStr">
        <is>
          <t>שרם</t>
        </is>
      </c>
      <c r="B104" s="94" t="inlineStr">
        <is>
          <t>הלא ג'לג'וליה ב.מ שרםפארם</t>
        </is>
      </c>
      <c r="C104" s="111" t="n">
        <v>0</v>
      </c>
      <c r="D104" s="111" t="n">
        <v>0</v>
      </c>
      <c r="E104" s="111" t="n">
        <v>10989.9</v>
      </c>
      <c r="F104" s="111" t="n">
        <v>0</v>
      </c>
      <c r="G104" s="111" t="n">
        <v>0</v>
      </c>
      <c r="H104" s="94">
        <f>COUNTIF(C104:G104,"&lt;&gt;0")</f>
        <v/>
      </c>
      <c r="I104" s="94">
        <f>IF(H104=0,"לא מטופל",IF(H104=1,"מטופל - סוכן אחד","מטופל - יותר מסוכן אחד"))</f>
        <v/>
      </c>
    </row>
    <row r="105" ht="15" customHeight="1" s="82">
      <c r="A105" s="94" t="inlineStr">
        <is>
          <t>שרם</t>
        </is>
      </c>
      <c r="B105" s="94" t="inlineStr">
        <is>
          <t>המרקחה ב.מ 03.11 שרמפארם</t>
        </is>
      </c>
      <c r="C105" s="111" t="n">
        <v>9903.200000000001</v>
      </c>
      <c r="D105" s="111" t="n">
        <v>0</v>
      </c>
      <c r="E105" s="111" t="n">
        <v>0</v>
      </c>
      <c r="F105" s="111" t="n">
        <v>0</v>
      </c>
      <c r="G105" s="111" t="n">
        <v>0</v>
      </c>
      <c r="H105" s="94">
        <f>COUNTIF(C105:G105,"&lt;&gt;0")</f>
        <v/>
      </c>
      <c r="I105" s="94">
        <f>IF(H105=0,"לא מטופל",IF(H105=1,"מטופל - סוכן אחד","מטופל - יותר מסוכן אחד"))</f>
        <v/>
      </c>
    </row>
    <row r="106" ht="15" customHeight="1" s="82">
      <c r="A106" s="94" t="inlineStr">
        <is>
          <t>שרם</t>
        </is>
      </c>
      <c r="B106" s="94" t="inlineStr">
        <is>
          <t>אבי 2 ר""ג שרםפארם</t>
        </is>
      </c>
      <c r="C106" s="111" t="n">
        <v>0</v>
      </c>
      <c r="D106" s="111" t="n">
        <v>0</v>
      </c>
      <c r="E106" s="111" t="n">
        <v>2089.8</v>
      </c>
      <c r="F106" s="111" t="n">
        <v>0</v>
      </c>
      <c r="G106" s="111" t="n">
        <v>0</v>
      </c>
      <c r="H106" s="94">
        <f>COUNTIF(C106:G106,"&lt;&gt;0")</f>
        <v/>
      </c>
      <c r="I106" s="94">
        <f>IF(H106=0,"לא מטופל",IF(H106=1,"מטופל - סוכן אחד","מטופל - יותר מסוכן אחד"))</f>
        <v/>
      </c>
    </row>
    <row r="107" ht="15" customHeight="1" s="82">
      <c r="A107" s="94" t="inlineStr">
        <is>
          <t>שרם</t>
        </is>
      </c>
      <c r="B107" s="94" t="inlineStr">
        <is>
          <t>תל גנים ב.מ שרםפארם גבעתיים</t>
        </is>
      </c>
      <c r="C107" s="111" t="n">
        <v>0</v>
      </c>
      <c r="D107" s="111" t="n">
        <v>0</v>
      </c>
      <c r="E107" s="111" t="n">
        <v>2802.5</v>
      </c>
      <c r="F107" s="111" t="n">
        <v>0</v>
      </c>
      <c r="G107" s="111" t="n">
        <v>0</v>
      </c>
      <c r="H107" s="94">
        <f>COUNTIF(C107:G107,"&lt;&gt;0")</f>
        <v/>
      </c>
      <c r="I107" s="94">
        <f>IF(H107=0,"לא מטופל",IF(H107=1,"מטופל - סוכן אחד","מטופל - יותר מסוכן אחד"))</f>
        <v/>
      </c>
    </row>
    <row r="108" ht="15" customHeight="1" s="82">
      <c r="A108" s="94" t="inlineStr">
        <is>
          <t>שרם</t>
        </is>
      </c>
      <c r="B108" s="94" t="inlineStr">
        <is>
          <t>טל שחר ת""א ב.מ שרםפארם</t>
        </is>
      </c>
      <c r="C108" s="111" t="n">
        <v>841.7</v>
      </c>
      <c r="D108" s="111" t="n">
        <v>0</v>
      </c>
      <c r="E108" s="111" t="n">
        <v>0</v>
      </c>
      <c r="F108" s="111" t="n">
        <v>0</v>
      </c>
      <c r="G108" s="111" t="n">
        <v>0</v>
      </c>
      <c r="H108" s="94">
        <f>COUNTIF(C108:G108,"&lt;&gt;0")</f>
        <v/>
      </c>
      <c r="I108" s="94">
        <f>IF(H108=0,"לא מטופל",IF(H108=1,"מטופל - סוכן אחד","מטופל - יותר מסוכן אחד"))</f>
        <v/>
      </c>
    </row>
    <row r="109" ht="15" customHeight="1" s="82">
      <c r="A109" s="94" t="inlineStr">
        <is>
          <t>שרם</t>
        </is>
      </c>
      <c r="B109" s="94" t="inlineStr">
        <is>
          <t>יהודית נ.שרת ב.מ שרםפארם</t>
        </is>
      </c>
      <c r="C109" s="111" t="n">
        <v>93.59999999999999</v>
      </c>
      <c r="D109" s="111" t="n">
        <v>0</v>
      </c>
      <c r="E109" s="111" t="n">
        <v>0</v>
      </c>
      <c r="F109" s="111" t="n">
        <v>0</v>
      </c>
      <c r="G109" s="111" t="n">
        <v>0</v>
      </c>
      <c r="H109" s="94">
        <f>COUNTIF(C109:G109,"&lt;&gt;0")</f>
        <v/>
      </c>
      <c r="I109" s="94">
        <f>IF(H109=0,"לא מטופל",IF(H109=1,"מטופל - סוכן אחד","מטופל - יותר מסוכן אחד"))</f>
        <v/>
      </c>
    </row>
    <row r="110" ht="15" customHeight="1" s="82">
      <c r="A110" s="94" t="inlineStr">
        <is>
          <t>שרם</t>
        </is>
      </c>
      <c r="B110" s="94" t="inlineStr">
        <is>
          <t>למד ת""א ב.מ שרםפארם</t>
        </is>
      </c>
      <c r="C110" s="111" t="n">
        <v>0</v>
      </c>
      <c r="D110" s="111" t="n">
        <v>447.1</v>
      </c>
      <c r="E110" s="111" t="n">
        <v>0</v>
      </c>
      <c r="F110" s="111" t="n">
        <v>0</v>
      </c>
      <c r="G110" s="111" t="n">
        <v>0</v>
      </c>
      <c r="H110" s="94">
        <f>COUNTIF(C110:G110,"&lt;&gt;0")</f>
        <v/>
      </c>
      <c r="I110" s="94">
        <f>IF(H110=0,"לא מטופל",IF(H110=1,"מטופל - סוכן אחד","מטופל - יותר מסוכן אחד"))</f>
        <v/>
      </c>
    </row>
    <row r="111" ht="15" customHeight="1" s="82">
      <c r="A111" s="94" t="inlineStr">
        <is>
          <t>שרם</t>
        </is>
      </c>
      <c r="B111" s="94" t="inlineStr">
        <is>
          <t>נחמיה ב""ב ב.מ שרםפארם</t>
        </is>
      </c>
      <c r="C111" s="111" t="n">
        <v>471.3</v>
      </c>
      <c r="D111" s="111" t="n">
        <v>0</v>
      </c>
      <c r="E111" s="111" t="n">
        <v>0</v>
      </c>
      <c r="F111" s="111" t="n">
        <v>0</v>
      </c>
      <c r="G111" s="111" t="n">
        <v>0</v>
      </c>
      <c r="H111" s="94">
        <f>COUNTIF(C111:G111,"&lt;&gt;0")</f>
        <v/>
      </c>
      <c r="I111" s="94">
        <f>IF(H111=0,"לא מטופל",IF(H111=1,"מטופל - סוכן אחד","מטופל - יותר מסוכן אחד"))</f>
        <v/>
      </c>
    </row>
    <row r="112" ht="15" customHeight="1" s="82">
      <c r="A112" s="94" t="inlineStr">
        <is>
          <t>שרם</t>
        </is>
      </c>
      <c r="B112" s="94" t="inlineStr">
        <is>
          <t>שפירא ב""ב ב.מ שרםפארם</t>
        </is>
      </c>
      <c r="C112" s="111" t="n">
        <v>0</v>
      </c>
      <c r="D112" s="111" t="n">
        <v>79.59999999999999</v>
      </c>
      <c r="E112" s="111" t="n">
        <v>0</v>
      </c>
      <c r="F112" s="111" t="n">
        <v>0</v>
      </c>
      <c r="G112" s="111" t="n">
        <v>0</v>
      </c>
      <c r="H112" s="94">
        <f>COUNTIF(C112:G112,"&lt;&gt;0")</f>
        <v/>
      </c>
      <c r="I112" s="94">
        <f>IF(H112=0,"לא מטופל",IF(H112=1,"מטופל - סוכן אחד","מטופל - יותר מסוכן אחד"))</f>
        <v/>
      </c>
    </row>
    <row r="113" ht="15" customHeight="1" s="82">
      <c r="A113" s="94" t="inlineStr">
        <is>
          <t>שרם</t>
        </is>
      </c>
      <c r="B113" s="94" t="inlineStr">
        <is>
          <t>יהודה הלוי ת""א ב.מ שרםפארם</t>
        </is>
      </c>
      <c r="C113" s="111" t="n">
        <v>5573.3</v>
      </c>
      <c r="D113" s="111" t="n">
        <v>0</v>
      </c>
      <c r="E113" s="111" t="n">
        <v>0</v>
      </c>
      <c r="F113" s="111" t="n">
        <v>0</v>
      </c>
      <c r="G113" s="111" t="n">
        <v>0</v>
      </c>
      <c r="H113" s="94">
        <f>COUNTIF(C113:G113,"&lt;&gt;0")</f>
        <v/>
      </c>
      <c r="I113" s="94">
        <f>IF(H113=0,"לא מטופל",IF(H113=1,"מטופל - סוכן אחד","מטופל - יותר מסוכן אחד"))</f>
        <v/>
      </c>
    </row>
    <row r="114" ht="15" customHeight="1" s="82">
      <c r="A114" s="94" t="inlineStr">
        <is>
          <t>שרם</t>
        </is>
      </c>
      <c r="B114" s="94" t="inlineStr">
        <is>
          <t>מרכז צפון ת""א ב.מ שרםפארם</t>
        </is>
      </c>
      <c r="C114" s="111" t="n">
        <v>2111.7</v>
      </c>
      <c r="D114" s="111" t="n">
        <v>0</v>
      </c>
      <c r="E114" s="111" t="n">
        <v>0</v>
      </c>
      <c r="F114" s="111" t="n">
        <v>0</v>
      </c>
      <c r="G114" s="111" t="n">
        <v>0</v>
      </c>
      <c r="H114" s="94">
        <f>COUNTIF(C114:G114,"&lt;&gt;0")</f>
        <v/>
      </c>
      <c r="I114" s="94">
        <f>IF(H114=0,"לא מטופל",IF(H114=1,"מטופל - סוכן אחד","מטופל - יותר מסוכן אחד"))</f>
        <v/>
      </c>
    </row>
    <row r="115" ht="15" customHeight="1" s="82">
      <c r="A115" s="94" t="inlineStr">
        <is>
          <t>שרם</t>
        </is>
      </c>
      <c r="B115" s="94" t="inlineStr">
        <is>
          <t>בית מרקחת גן העיר ת""א שרםפארם</t>
        </is>
      </c>
      <c r="C115" s="111" t="n">
        <v>254.3</v>
      </c>
      <c r="D115" s="111" t="n">
        <v>0</v>
      </c>
      <c r="E115" s="111" t="n">
        <v>0</v>
      </c>
      <c r="F115" s="111" t="n">
        <v>0</v>
      </c>
      <c r="G115" s="111" t="n">
        <v>0</v>
      </c>
      <c r="H115" s="94">
        <f>COUNTIF(C115:G115,"&lt;&gt;0")</f>
        <v/>
      </c>
      <c r="I115" s="94">
        <f>IF(H115=0,"לא מטופל",IF(H115=1,"מטופל - סוכן אחד","מטופל - יותר מסוכן אחד"))</f>
        <v/>
      </c>
    </row>
    <row r="116" ht="15" customHeight="1" s="82">
      <c r="A116" s="94" t="inlineStr">
        <is>
          <t>שרם</t>
        </is>
      </c>
      <c r="B116" s="94" t="inlineStr">
        <is>
          <t>בלסם פארם בית ג'אן ב.מ שרמפארם</t>
        </is>
      </c>
      <c r="C116" s="111" t="n">
        <v>0</v>
      </c>
      <c r="D116" s="111" t="n">
        <v>1041.4</v>
      </c>
      <c r="E116" s="111" t="n">
        <v>0</v>
      </c>
      <c r="F116" s="111" t="n">
        <v>0</v>
      </c>
      <c r="G116" s="111" t="n">
        <v>0</v>
      </c>
      <c r="H116" s="94">
        <f>COUNTIF(C116:G116,"&lt;&gt;0")</f>
        <v/>
      </c>
      <c r="I116" s="94">
        <f>IF(H116=0,"לא מטופל",IF(H116=1,"מטופל - סוכן אחד","מטופל - יותר מסוכן אחד"))</f>
        <v/>
      </c>
    </row>
    <row r="117" ht="15" customHeight="1" s="82">
      <c r="A117" s="94" t="inlineStr">
        <is>
          <t>שרם</t>
        </is>
      </c>
      <c r="B117" s="94" t="inlineStr">
        <is>
          <t>הגליל תרשיחא ב.מ שרמפארם</t>
        </is>
      </c>
      <c r="C117" s="111" t="n">
        <v>0</v>
      </c>
      <c r="D117" s="111" t="n">
        <v>34954</v>
      </c>
      <c r="E117" s="111" t="n">
        <v>0</v>
      </c>
      <c r="F117" s="111" t="n">
        <v>0</v>
      </c>
      <c r="G117" s="111" t="n">
        <v>0</v>
      </c>
      <c r="H117" s="94">
        <f>COUNTIF(C117:G117,"&lt;&gt;0")</f>
        <v/>
      </c>
      <c r="I117" s="94">
        <f>IF(H117=0,"לא מטופל",IF(H117=1,"מטופל - סוכן אחד","מטופל - יותר מסוכן אחד"))</f>
        <v/>
      </c>
    </row>
    <row r="118" ht="15" customHeight="1" s="82">
      <c r="A118" s="94" t="inlineStr">
        <is>
          <t>שרם</t>
        </is>
      </c>
      <c r="B118" s="94" t="inlineStr">
        <is>
          <t>מטר פארם ב.מ עכו</t>
        </is>
      </c>
      <c r="C118" s="111" t="n">
        <v>0</v>
      </c>
      <c r="D118" s="111" t="n">
        <v>3479.1</v>
      </c>
      <c r="E118" s="111" t="n">
        <v>0</v>
      </c>
      <c r="F118" s="111" t="n">
        <v>0</v>
      </c>
      <c r="G118" s="111" t="n">
        <v>0</v>
      </c>
      <c r="H118" s="94">
        <f>COUNTIF(C118:G118,"&lt;&gt;0")</f>
        <v/>
      </c>
      <c r="I118" s="94">
        <f>IF(H118=0,"לא מטופל",IF(H118=1,"מטופל - סוכן אחד","מטופל - יותר מסוכן אחד"))</f>
        <v/>
      </c>
    </row>
    <row r="119" ht="15" customHeight="1" s="82">
      <c r="A119" s="94" t="inlineStr">
        <is>
          <t>שרם</t>
        </is>
      </c>
      <c r="B119" s="94" t="inlineStr">
        <is>
          <t>מעלות בע""מ ב.מ  שרמפארם</t>
        </is>
      </c>
      <c r="C119" s="111" t="n">
        <v>0</v>
      </c>
      <c r="D119" s="111" t="n">
        <v>2180.9</v>
      </c>
      <c r="E119" s="111" t="n">
        <v>0</v>
      </c>
      <c r="F119" s="111" t="n">
        <v>0</v>
      </c>
      <c r="G119" s="111" t="n">
        <v>0</v>
      </c>
      <c r="H119" s="94">
        <f>COUNTIF(C119:G119,"&lt;&gt;0")</f>
        <v/>
      </c>
      <c r="I119" s="94">
        <f>IF(H119=0,"לא מטופל",IF(H119=1,"מטופל - סוכן אחד","מטופל - יותר מסוכן אחד"))</f>
        <v/>
      </c>
    </row>
    <row r="120" ht="15" customHeight="1" s="82">
      <c r="A120" s="94" t="inlineStr">
        <is>
          <t>שרם</t>
        </is>
      </c>
      <c r="B120" s="94" t="inlineStr">
        <is>
          <t>רקפות מעלות ב.מ שרמפארם</t>
        </is>
      </c>
      <c r="C120" s="111" t="n">
        <v>0</v>
      </c>
      <c r="D120" s="111" t="n">
        <v>5673.5</v>
      </c>
      <c r="E120" s="111" t="n">
        <v>0</v>
      </c>
      <c r="F120" s="111" t="n">
        <v>0</v>
      </c>
      <c r="G120" s="111" t="n">
        <v>0</v>
      </c>
      <c r="H120" s="94">
        <f>COUNTIF(C120:G120,"&lt;&gt;0")</f>
        <v/>
      </c>
      <c r="I120" s="94">
        <f>IF(H120=0,"לא מטופל",IF(H120=1,"מטופל - סוכן אחד","מטופל - יותר מסוכן אחד"))</f>
        <v/>
      </c>
    </row>
    <row r="121" ht="15" customHeight="1" s="82">
      <c r="A121" s="94" t="inlineStr">
        <is>
          <t>שרם</t>
        </is>
      </c>
      <c r="B121" s="94" t="inlineStr">
        <is>
          <t>מעלות בעמכ-פר ורדים ב.מ. שרמפא</t>
        </is>
      </c>
      <c r="C121" s="111" t="n">
        <v>0</v>
      </c>
      <c r="D121" s="111" t="n">
        <v>4032.4</v>
      </c>
      <c r="E121" s="111" t="n">
        <v>0</v>
      </c>
      <c r="F121" s="111" t="n">
        <v>0</v>
      </c>
      <c r="G121" s="111" t="n">
        <v>0</v>
      </c>
      <c r="H121" s="94">
        <f>COUNTIF(C121:G121,"&lt;&gt;0")</f>
        <v/>
      </c>
      <c r="I121" s="94">
        <f>IF(H121=0,"לא מטופל",IF(H121=1,"מטופל - סוכן אחד","מטופל - יותר מסוכן אחד"))</f>
        <v/>
      </c>
    </row>
    <row r="122" ht="15" customHeight="1" s="82">
      <c r="A122" s="94" t="inlineStr">
        <is>
          <t>שרם</t>
        </is>
      </c>
      <c r="B122" s="94" t="inlineStr">
        <is>
          <t>נארימאן פארם בע""מ כפר ראמה שרמ</t>
        </is>
      </c>
      <c r="C122" s="111" t="n">
        <v>0</v>
      </c>
      <c r="D122" s="111" t="n">
        <v>9047.1</v>
      </c>
      <c r="E122" s="111" t="n">
        <v>0</v>
      </c>
      <c r="F122" s="111" t="n">
        <v>0</v>
      </c>
      <c r="G122" s="111" t="n">
        <v>0</v>
      </c>
      <c r="H122" s="94">
        <f>COUNTIF(C122:G122,"&lt;&gt;0")</f>
        <v/>
      </c>
      <c r="I122" s="94">
        <f>IF(H122=0,"לא מטופל",IF(H122=1,"מטופל - סוכן אחד","מטופל - יותר מסוכן אחד"))</f>
        <v/>
      </c>
    </row>
    <row r="123" ht="15" customHeight="1" s="82">
      <c r="A123" s="94" t="inlineStr">
        <is>
          <t>שרם</t>
        </is>
      </c>
      <c r="B123" s="94" t="inlineStr">
        <is>
          <t>ספא פארם נצרת עילית ב.מ שרמפאר</t>
        </is>
      </c>
      <c r="C123" s="111" t="n">
        <v>0</v>
      </c>
      <c r="D123" s="111" t="n">
        <v>1670</v>
      </c>
      <c r="E123" s="111" t="n">
        <v>0</v>
      </c>
      <c r="F123" s="111" t="n">
        <v>0</v>
      </c>
      <c r="G123" s="111" t="n">
        <v>0</v>
      </c>
      <c r="H123" s="94">
        <f>COUNTIF(C123:G123,"&lt;&gt;0")</f>
        <v/>
      </c>
      <c r="I123" s="94">
        <f>IF(H123=0,"לא מטופל",IF(H123=1,"מטופל - סוכן אחד","מטופל - יותר מסוכן אחד"))</f>
        <v/>
      </c>
    </row>
    <row r="124" ht="15" customHeight="1" s="82">
      <c r="A124" s="94" t="inlineStr">
        <is>
          <t>שרם</t>
        </is>
      </c>
      <c r="B124" s="94" t="inlineStr">
        <is>
          <t>טמרה פארם בע""מ  ב.מ שרמפארם</t>
        </is>
      </c>
      <c r="C124" s="111" t="n">
        <v>0</v>
      </c>
      <c r="D124" s="111" t="n">
        <v>20967</v>
      </c>
      <c r="E124" s="111" t="n">
        <v>0</v>
      </c>
      <c r="F124" s="111" t="n">
        <v>0</v>
      </c>
      <c r="G124" s="111" t="n">
        <v>0</v>
      </c>
      <c r="H124" s="94">
        <f>COUNTIF(C124:G124,"&lt;&gt;0")</f>
        <v/>
      </c>
      <c r="I124" s="94">
        <f>IF(H124=0,"לא מטופל",IF(H124=1,"מטופל - סוכן אחד","מטופל - יותר מסוכן אחד"))</f>
        <v/>
      </c>
    </row>
    <row r="125" ht="15" customHeight="1" s="82">
      <c r="A125" s="94" t="inlineStr">
        <is>
          <t>שרם</t>
        </is>
      </c>
      <c r="B125" s="94" t="inlineStr">
        <is>
          <t>אורנים טבעון ב.מ שרמפארם</t>
        </is>
      </c>
      <c r="C125" s="111" t="n">
        <v>0</v>
      </c>
      <c r="D125" s="111" t="n">
        <v>314.5</v>
      </c>
      <c r="E125" s="111" t="n">
        <v>0</v>
      </c>
      <c r="F125" s="111" t="n">
        <v>0</v>
      </c>
      <c r="G125" s="111" t="n">
        <v>0</v>
      </c>
      <c r="H125" s="94">
        <f>COUNTIF(C125:G125,"&lt;&gt;0")</f>
        <v/>
      </c>
      <c r="I125" s="94">
        <f>IF(H125=0,"לא מטופל",IF(H125=1,"מטופל - סוכן אחד","מטופל - יותר מסוכן אחד"))</f>
        <v/>
      </c>
    </row>
    <row r="126" ht="15" customHeight="1" s="82">
      <c r="A126" s="94" t="inlineStr">
        <is>
          <t>שרם</t>
        </is>
      </c>
      <c r="B126" s="94" t="inlineStr">
        <is>
          <t>לב כרמל בע""מ ב.מ  שרמפארם</t>
        </is>
      </c>
      <c r="C126" s="111" t="n">
        <v>0</v>
      </c>
      <c r="D126" s="111" t="n">
        <v>4847.3</v>
      </c>
      <c r="E126" s="111" t="n">
        <v>0</v>
      </c>
      <c r="F126" s="111" t="n">
        <v>0</v>
      </c>
      <c r="G126" s="111" t="n">
        <v>0</v>
      </c>
      <c r="H126" s="94">
        <f>COUNTIF(C126:G126,"&lt;&gt;0")</f>
        <v/>
      </c>
      <c r="I126" s="94">
        <f>IF(H126=0,"לא מטופל",IF(H126=1,"מטופל - סוכן אחד","מטופל - יותר מסוכן אחד"))</f>
        <v/>
      </c>
    </row>
    <row r="127" ht="15" customHeight="1" s="82">
      <c r="A127" s="94" t="inlineStr">
        <is>
          <t>שרם</t>
        </is>
      </c>
      <c r="B127" s="94" t="inlineStr">
        <is>
          <t>העליה השניה בע""מ בימ""ק שרמפארם</t>
        </is>
      </c>
      <c r="C127" s="111" t="n">
        <v>0</v>
      </c>
      <c r="D127" s="111" t="n">
        <v>8422.5</v>
      </c>
      <c r="E127" s="111" t="n">
        <v>0</v>
      </c>
      <c r="F127" s="111" t="n">
        <v>0</v>
      </c>
      <c r="G127" s="111" t="n">
        <v>0</v>
      </c>
      <c r="H127" s="94">
        <f>COUNTIF(C127:G127,"&lt;&gt;0")</f>
        <v/>
      </c>
      <c r="I127" s="94">
        <f>IF(H127=0,"לא מטופל",IF(H127=1,"מטופל - סוכן אחד","מטופל - יותר מסוכן אחד"))</f>
        <v/>
      </c>
    </row>
    <row r="128" ht="15" customHeight="1" s="82">
      <c r="A128" s="94" t="inlineStr">
        <is>
          <t>שרם</t>
        </is>
      </c>
      <c r="B128" s="94" t="inlineStr">
        <is>
          <t>צמח פארם ב.מ שרמפארם</t>
        </is>
      </c>
      <c r="C128" s="111" t="n">
        <v>0</v>
      </c>
      <c r="D128" s="111" t="n">
        <v>6314.8</v>
      </c>
      <c r="E128" s="111" t="n">
        <v>0</v>
      </c>
      <c r="F128" s="111" t="n">
        <v>0</v>
      </c>
      <c r="G128" s="111" t="n">
        <v>0</v>
      </c>
      <c r="H128" s="94">
        <f>COUNTIF(C128:G128,"&lt;&gt;0")</f>
        <v/>
      </c>
      <c r="I128" s="94">
        <f>IF(H128=0,"לא מטופל",IF(H128=1,"מטופל - סוכן אחד","מטופל - יותר מסוכן אחד"))</f>
        <v/>
      </c>
    </row>
    <row r="129" ht="15" customHeight="1" s="82">
      <c r="A129" s="94" t="inlineStr">
        <is>
          <t>שרם</t>
        </is>
      </c>
      <c r="B129" s="94" t="inlineStr">
        <is>
          <t>גולן פארם קצרין ב.מ שרמפארם</t>
        </is>
      </c>
      <c r="C129" s="111" t="n">
        <v>0</v>
      </c>
      <c r="D129" s="111" t="n">
        <v>2565.6</v>
      </c>
      <c r="E129" s="111" t="n">
        <v>0</v>
      </c>
      <c r="F129" s="111" t="n">
        <v>0</v>
      </c>
      <c r="G129" s="111" t="n">
        <v>0</v>
      </c>
      <c r="H129" s="94">
        <f>COUNTIF(C129:G129,"&lt;&gt;0")</f>
        <v/>
      </c>
      <c r="I129" s="94">
        <f>IF(H129=0,"לא מטופל",IF(H129=1,"מטופל - סוכן אחד","מטופל - יותר מסוכן אחד"))</f>
        <v/>
      </c>
    </row>
    <row r="130" ht="15" customHeight="1" s="82">
      <c r="A130" s="94" t="inlineStr">
        <is>
          <t>שרם</t>
        </is>
      </c>
      <c r="B130" s="94" t="inlineStr">
        <is>
          <t>פארם לקיה ב.מ  ש.ר.ם</t>
        </is>
      </c>
      <c r="C130" s="111" t="n">
        <v>0</v>
      </c>
      <c r="D130" s="111" t="n">
        <v>0</v>
      </c>
      <c r="E130" s="111" t="n">
        <v>4575</v>
      </c>
      <c r="F130" s="111" t="n">
        <v>0</v>
      </c>
      <c r="G130" s="111" t="n">
        <v>0</v>
      </c>
      <c r="H130" s="94">
        <f>COUNTIF(C130:G130,"&lt;&gt;0")</f>
        <v/>
      </c>
      <c r="I130" s="94">
        <f>IF(H130=0,"לא מטופל",IF(H130=1,"מטופל - סוכן אחד","מטופל - יותר מסוכן אחד"))</f>
        <v/>
      </c>
    </row>
    <row r="131" ht="15" customHeight="1" s="82">
      <c r="A131" s="94" t="inlineStr">
        <is>
          <t>שרם</t>
        </is>
      </c>
      <c r="B131" s="94" t="inlineStr">
        <is>
          <t>נוה גנים ק מוצקין 3178 ב.מ</t>
        </is>
      </c>
      <c r="C131" s="111" t="n">
        <v>0</v>
      </c>
      <c r="D131" s="111" t="n">
        <v>481.7</v>
      </c>
      <c r="E131" s="111" t="n">
        <v>0</v>
      </c>
      <c r="F131" s="111" t="n">
        <v>0</v>
      </c>
      <c r="G131" s="111" t="n">
        <v>0</v>
      </c>
      <c r="H131" s="94">
        <f>COUNTIF(C131:G131,"&lt;&gt;0")</f>
        <v/>
      </c>
      <c r="I131" s="94">
        <f>IF(H131=0,"לא מטופל",IF(H131=1,"מטופל - סוכן אחד","מטופל - יותר מסוכן אחד"))</f>
        <v/>
      </c>
    </row>
    <row r="132" ht="15" customHeight="1" s="82">
      <c r="A132" s="94" t="inlineStr">
        <is>
          <t>שרם</t>
        </is>
      </c>
      <c r="B132" s="94" t="inlineStr">
        <is>
          <t>ב.מ לנא שוכרי פארם סביון שרמפא</t>
        </is>
      </c>
      <c r="C132" s="111" t="n">
        <v>0</v>
      </c>
      <c r="D132" s="111" t="n">
        <v>0</v>
      </c>
      <c r="E132" s="111" t="n">
        <v>3998.3</v>
      </c>
      <c r="F132" s="111" t="n">
        <v>0</v>
      </c>
      <c r="G132" s="111" t="n">
        <v>0</v>
      </c>
      <c r="H132" s="94">
        <f>COUNTIF(C132:G132,"&lt;&gt;0")</f>
        <v/>
      </c>
      <c r="I132" s="94">
        <f>IF(H132=0,"לא מטופל",IF(H132=1,"מטופל - סוכן אחד","מטופל - יותר מסוכן אחד"))</f>
        <v/>
      </c>
    </row>
    <row r="133" ht="15" customHeight="1" s="82">
      <c r="A133" s="94" t="inlineStr">
        <is>
          <t>שרם</t>
        </is>
      </c>
      <c r="B133" s="94" t="inlineStr">
        <is>
          <t>בר אילן רעננה ב.מ שרמפארם</t>
        </is>
      </c>
      <c r="C133" s="111" t="n">
        <v>2422.6</v>
      </c>
      <c r="D133" s="111" t="n">
        <v>0</v>
      </c>
      <c r="E133" s="111" t="n">
        <v>0</v>
      </c>
      <c r="F133" s="111" t="n">
        <v>0</v>
      </c>
      <c r="G133" s="111" t="n">
        <v>0</v>
      </c>
      <c r="H133" s="94">
        <f>COUNTIF(C133:G133,"&lt;&gt;0")</f>
        <v/>
      </c>
      <c r="I133" s="94">
        <f>IF(H133=0,"לא מטופל",IF(H133=1,"מטופל - סוכן אחד","מטופל - יותר מסוכן אחד"))</f>
        <v/>
      </c>
    </row>
    <row r="134" ht="15" customHeight="1" s="82">
      <c r="A134" s="94" t="inlineStr">
        <is>
          <t>שרם</t>
        </is>
      </c>
      <c r="B134" s="94" t="inlineStr">
        <is>
          <t>מזרח עכו ב.מ שרמפארם</t>
        </is>
      </c>
      <c r="C134" s="111" t="n">
        <v>0</v>
      </c>
      <c r="D134" s="111" t="n">
        <v>14835.2</v>
      </c>
      <c r="E134" s="111" t="n">
        <v>0</v>
      </c>
      <c r="F134" s="111" t="n">
        <v>0</v>
      </c>
      <c r="G134" s="111" t="n">
        <v>0</v>
      </c>
      <c r="H134" s="94">
        <f>COUNTIF(C134:G134,"&lt;&gt;0")</f>
        <v/>
      </c>
      <c r="I134" s="94">
        <f>IF(H134=0,"לא מטופל",IF(H134=1,"מטופל - סוכן אחד","מטופל - יותר מסוכן אחד"))</f>
        <v/>
      </c>
    </row>
    <row r="135" ht="15" customHeight="1" s="82">
      <c r="A135" s="94" t="inlineStr">
        <is>
          <t>שרם</t>
        </is>
      </c>
      <c r="B135" s="94" t="inlineStr">
        <is>
          <t>.ברק )י.מ.שרותי רוקחות(ת""א ב.מ</t>
        </is>
      </c>
      <c r="C135" s="111" t="n">
        <v>6545.1</v>
      </c>
      <c r="D135" s="111" t="n">
        <v>0</v>
      </c>
      <c r="E135" s="111" t="n">
        <v>0</v>
      </c>
      <c r="F135" s="111" t="n">
        <v>0</v>
      </c>
      <c r="G135" s="111" t="n">
        <v>0</v>
      </c>
      <c r="H135" s="94">
        <f>COUNTIF(C135:G135,"&lt;&gt;0")</f>
        <v/>
      </c>
      <c r="I135" s="94">
        <f>IF(H135=0,"לא מטופל",IF(H135=1,"מטופל - סוכן אחד","מטופל - יותר מסוכן אחד"))</f>
        <v/>
      </c>
    </row>
    <row r="136" ht="15" customHeight="1" s="82">
      <c r="A136" s="94" t="inlineStr">
        <is>
          <t>שרם</t>
        </is>
      </c>
      <c r="B136" s="94" t="inlineStr">
        <is>
          <t>פריים פארם-יהודה המכבי ב.מ.שרמ</t>
        </is>
      </c>
      <c r="C136" s="111" t="n">
        <v>14577.2</v>
      </c>
      <c r="D136" s="111" t="n">
        <v>0</v>
      </c>
      <c r="E136" s="111" t="n">
        <v>0</v>
      </c>
      <c r="F136" s="111" t="n">
        <v>0</v>
      </c>
      <c r="G136" s="111" t="n">
        <v>0</v>
      </c>
      <c r="H136" s="94">
        <f>COUNTIF(C136:G136,"&lt;&gt;0")</f>
        <v/>
      </c>
      <c r="I136" s="94">
        <f>IF(H136=0,"לא מטופל",IF(H136=1,"מטופל - סוכן אחד","מטופל - יותר מסוכן אחד"))</f>
        <v/>
      </c>
    </row>
    <row r="137" ht="15" customHeight="1" s="82">
      <c r="A137" s="94" t="inlineStr">
        <is>
          <t>שרם</t>
        </is>
      </c>
      <c r="B137" s="94" t="inlineStr">
        <is>
          <t>דן אשדוד ב.מ שרמפארם</t>
        </is>
      </c>
      <c r="C137" s="111" t="n">
        <v>0</v>
      </c>
      <c r="D137" s="111" t="n">
        <v>0</v>
      </c>
      <c r="E137" s="111" t="n">
        <v>0</v>
      </c>
      <c r="F137" s="111" t="n">
        <v>0</v>
      </c>
      <c r="G137" s="111" t="n">
        <v>3309</v>
      </c>
      <c r="H137" s="94">
        <f>COUNTIF(C137:G137,"&lt;&gt;0")</f>
        <v/>
      </c>
      <c r="I137" s="94">
        <f>IF(H137=0,"לא מטופל",IF(H137=1,"מטופל - סוכן אחד","מטופל - יותר מסוכן אחד"))</f>
        <v/>
      </c>
    </row>
    <row r="138" ht="15" customHeight="1" s="82">
      <c r="A138" s="94" t="inlineStr">
        <is>
          <t>שרם</t>
        </is>
      </c>
      <c r="B138" s="94" t="inlineStr">
        <is>
          <t>מדיקה ק.ים-אלבוסתן פארם בע""מ ב</t>
        </is>
      </c>
      <c r="C138" s="111" t="n">
        <v>0</v>
      </c>
      <c r="D138" s="111" t="n">
        <v>2837.7</v>
      </c>
      <c r="E138" s="111" t="n">
        <v>0</v>
      </c>
      <c r="F138" s="111" t="n">
        <v>0</v>
      </c>
      <c r="G138" s="111" t="n">
        <v>0</v>
      </c>
      <c r="H138" s="94">
        <f>COUNTIF(C138:G138,"&lt;&gt;0")</f>
        <v/>
      </c>
      <c r="I138" s="94">
        <f>IF(H138=0,"לא מטופל",IF(H138=1,"מטופל - סוכן אחד","מטופל - יותר מסוכן אחד"))</f>
        <v/>
      </c>
    </row>
    <row r="139" ht="15" customHeight="1" s="82">
      <c r="A139" s="94" t="inlineStr">
        <is>
          <t>שרם</t>
        </is>
      </c>
      <c r="B139" s="94" t="inlineStr">
        <is>
          <t>א.ג.שפינוזה ר""ג ב.מ. שרמפארם</t>
        </is>
      </c>
      <c r="C139" s="111" t="n">
        <v>0</v>
      </c>
      <c r="D139" s="111" t="n">
        <v>0</v>
      </c>
      <c r="E139" s="111" t="n">
        <v>7890.5</v>
      </c>
      <c r="F139" s="111" t="n">
        <v>0</v>
      </c>
      <c r="G139" s="111" t="n">
        <v>0</v>
      </c>
      <c r="H139" s="94">
        <f>COUNTIF(C139:G139,"&lt;&gt;0")</f>
        <v/>
      </c>
      <c r="I139" s="94">
        <f>IF(H139=0,"לא מטופל",IF(H139=1,"מטופל - סוכן אחד","מטופל - יותר מסוכן אחד"))</f>
        <v/>
      </c>
    </row>
    <row r="140" ht="15" customHeight="1" s="82">
      <c r="A140" s="94" t="inlineStr">
        <is>
          <t>שרם</t>
        </is>
      </c>
      <c r="B140" s="94" t="inlineStr">
        <is>
          <t>רהט פארם ב.מ שרמפארם</t>
        </is>
      </c>
      <c r="C140" s="111" t="n">
        <v>0</v>
      </c>
      <c r="D140" s="111" t="n">
        <v>0</v>
      </c>
      <c r="E140" s="111" t="n">
        <v>6261.5</v>
      </c>
      <c r="F140" s="111" t="n">
        <v>0</v>
      </c>
      <c r="G140" s="111" t="n">
        <v>0</v>
      </c>
      <c r="H140" s="94">
        <f>COUNTIF(C140:G140,"&lt;&gt;0")</f>
        <v/>
      </c>
      <c r="I140" s="94">
        <f>IF(H140=0,"לא מטופל",IF(H140=1,"מטופל - סוכן אחד","מטופל - יותר מסוכן אחד"))</f>
        <v/>
      </c>
    </row>
    <row r="141" ht="15" customHeight="1" s="82">
      <c r="A141" s="94" t="inlineStr">
        <is>
          <t>שרם</t>
        </is>
      </c>
      <c r="B141" s="94" t="inlineStr">
        <is>
          <t>ב.מ שרה פארם צור יצחק שרמפארם</t>
        </is>
      </c>
      <c r="C141" s="111" t="n">
        <v>0</v>
      </c>
      <c r="D141" s="111" t="n">
        <v>3597.2</v>
      </c>
      <c r="E141" s="111" t="n">
        <v>0</v>
      </c>
      <c r="F141" s="111" t="n">
        <v>0</v>
      </c>
      <c r="G141" s="111" t="n">
        <v>0</v>
      </c>
      <c r="H141" s="94">
        <f>COUNTIF(C141:G141,"&lt;&gt;0")</f>
        <v/>
      </c>
      <c r="I141" s="94">
        <f>IF(H141=0,"לא מטופל",IF(H141=1,"מטופל - סוכן אחד","מטופל - יותר מסוכן אחד"))</f>
        <v/>
      </c>
    </row>
    <row r="142" ht="15" customHeight="1" s="82">
      <c r="A142" s="94" t="inlineStr">
        <is>
          <t>שרם</t>
        </is>
      </c>
      <c r="B142" s="94" t="inlineStr">
        <is>
          <t>ריינה-אומגה פארם בע""מ שרמפארם</t>
        </is>
      </c>
      <c r="C142" s="111" t="n">
        <v>0</v>
      </c>
      <c r="D142" s="111" t="n">
        <v>4619.5</v>
      </c>
      <c r="E142" s="111" t="n">
        <v>0</v>
      </c>
      <c r="F142" s="111" t="n">
        <v>0</v>
      </c>
      <c r="G142" s="111" t="n">
        <v>0</v>
      </c>
      <c r="H142" s="94">
        <f>COUNTIF(C142:G142,"&lt;&gt;0")</f>
        <v/>
      </c>
      <c r="I142" s="94">
        <f>IF(H142=0,"לא מטופל",IF(H142=1,"מטופל - סוכן אחד","מטופל - יותר מסוכן אחד"))</f>
        <v/>
      </c>
    </row>
    <row r="143" ht="15" customHeight="1" s="82">
      <c r="A143" s="94" t="inlineStr">
        <is>
          <t>שרם</t>
        </is>
      </c>
      <c r="B143" s="94" t="inlineStr">
        <is>
          <t>רמת רבין ב.מ כרמיאל שרמפארם</t>
        </is>
      </c>
      <c r="C143" s="111" t="n">
        <v>0</v>
      </c>
      <c r="D143" s="111" t="n">
        <v>3701.6</v>
      </c>
      <c r="E143" s="111" t="n">
        <v>0</v>
      </c>
      <c r="F143" s="111" t="n">
        <v>0</v>
      </c>
      <c r="G143" s="111" t="n">
        <v>0</v>
      </c>
      <c r="H143" s="94">
        <f>COUNTIF(C143:G143,"&lt;&gt;0")</f>
        <v/>
      </c>
      <c r="I143" s="94">
        <f>IF(H143=0,"לא מטופל",IF(H143=1,"מטופל - סוכן אחד","מטופל - יותר מסוכן אחד"))</f>
        <v/>
      </c>
    </row>
    <row r="144" ht="15" customHeight="1" s="82">
      <c r="A144" s="94" t="inlineStr">
        <is>
          <t>שרם</t>
        </is>
      </c>
      <c r="B144" s="94" t="inlineStr">
        <is>
          <t>עילית מודיעין ב.מ שרמפארם</t>
        </is>
      </c>
      <c r="C144" s="111" t="n">
        <v>0</v>
      </c>
      <c r="D144" s="111" t="n">
        <v>0</v>
      </c>
      <c r="E144" s="111" t="n">
        <v>0</v>
      </c>
      <c r="F144" s="111" t="n">
        <v>0</v>
      </c>
      <c r="G144" s="111" t="n">
        <v>6136.8</v>
      </c>
      <c r="H144" s="94">
        <f>COUNTIF(C144:G144,"&lt;&gt;0")</f>
        <v/>
      </c>
      <c r="I144" s="94">
        <f>IF(H144=0,"לא מטופל",IF(H144=1,"מטופל - סוכן אחד","מטופל - יותר מסוכן אחד"))</f>
        <v/>
      </c>
    </row>
    <row r="145" ht="15" customHeight="1" s="82">
      <c r="A145" s="94" t="inlineStr">
        <is>
          <t>שרם</t>
        </is>
      </c>
      <c r="B145" s="94" t="inlineStr">
        <is>
          <t>המרכז נס ציונה ב.מ שרםפארם</t>
        </is>
      </c>
      <c r="C145" s="111" t="n">
        <v>1558.7</v>
      </c>
      <c r="D145" s="111" t="n">
        <v>0</v>
      </c>
      <c r="E145" s="111" t="n">
        <v>0</v>
      </c>
      <c r="F145" s="111" t="n">
        <v>0</v>
      </c>
      <c r="G145" s="111" t="n">
        <v>0</v>
      </c>
      <c r="H145" s="94">
        <f>COUNTIF(C145:G145,"&lt;&gt;0")</f>
        <v/>
      </c>
      <c r="I145" s="94">
        <f>IF(H145=0,"לא מטופל",IF(H145=1,"מטופל - סוכן אחד","מטופל - יותר מסוכן אחד"))</f>
        <v/>
      </c>
    </row>
    <row r="146" ht="15" customHeight="1" s="82">
      <c r="A146" s="94" t="inlineStr">
        <is>
          <t>שרם</t>
        </is>
      </c>
      <c r="B146" s="94" t="inlineStr">
        <is>
          <t>אלאסראא שפרעם ב.מ שרמפארם</t>
        </is>
      </c>
      <c r="C146" s="111" t="n">
        <v>0</v>
      </c>
      <c r="D146" s="111" t="n">
        <v>14014.2</v>
      </c>
      <c r="E146" s="111" t="n">
        <v>0</v>
      </c>
      <c r="F146" s="111" t="n">
        <v>0</v>
      </c>
      <c r="G146" s="111" t="n">
        <v>0</v>
      </c>
      <c r="H146" s="94">
        <f>COUNTIF(C146:G146,"&lt;&gt;0")</f>
        <v/>
      </c>
      <c r="I146" s="94">
        <f>IF(H146=0,"לא מטופל",IF(H146=1,"מטופל - סוכן אחד","מטופל - יותר מסוכן אחד"))</f>
        <v/>
      </c>
    </row>
    <row r="147" ht="15" customHeight="1" s="82">
      <c r="A147" s="94" t="inlineStr">
        <is>
          <t>שרם</t>
        </is>
      </c>
      <c r="B147" s="94" t="inlineStr">
        <is>
          <t>ביר אל מכסור ב.מ שרמפארם</t>
        </is>
      </c>
      <c r="C147" s="111" t="n">
        <v>0</v>
      </c>
      <c r="D147" s="111" t="n">
        <v>946.4</v>
      </c>
      <c r="E147" s="111" t="n">
        <v>0</v>
      </c>
      <c r="F147" s="111" t="n">
        <v>0</v>
      </c>
      <c r="G147" s="111" t="n">
        <v>0</v>
      </c>
      <c r="H147" s="94">
        <f>COUNTIF(C147:G147,"&lt;&gt;0")</f>
        <v/>
      </c>
      <c r="I147" s="94">
        <f>IF(H147=0,"לא מטופל",IF(H147=1,"מטופל - סוכן אחד","מטופל - יותר מסוכן אחד"))</f>
        <v/>
      </c>
    </row>
    <row r="148" ht="15" customHeight="1" s="82">
      <c r="A148" s="94" t="inlineStr">
        <is>
          <t>שרם</t>
        </is>
      </c>
      <c r="B148" s="94" t="inlineStr">
        <is>
          <t>מרכז עכו ב.מ שרמפארם</t>
        </is>
      </c>
      <c r="C148" s="111" t="n">
        <v>0</v>
      </c>
      <c r="D148" s="111" t="n">
        <v>2431.6</v>
      </c>
      <c r="E148" s="111" t="n">
        <v>0</v>
      </c>
      <c r="F148" s="111" t="n">
        <v>0</v>
      </c>
      <c r="G148" s="111" t="n">
        <v>0</v>
      </c>
      <c r="H148" s="94">
        <f>COUNTIF(C148:G148,"&lt;&gt;0")</f>
        <v/>
      </c>
      <c r="I148" s="94">
        <f>IF(H148=0,"לא מטופל",IF(H148=1,"מטופל - סוכן אחד","מטופל - יותר מסוכן אחד"))</f>
        <v/>
      </c>
    </row>
    <row r="149" ht="15" customHeight="1" s="82">
      <c r="A149" s="94" t="inlineStr">
        <is>
          <t>שרם</t>
        </is>
      </c>
      <c r="B149" s="94" t="inlineStr">
        <is>
          <t>ספא פארם ב.מ סכנין חדש שרמפארם</t>
        </is>
      </c>
      <c r="C149" s="111" t="n">
        <v>0</v>
      </c>
      <c r="D149" s="111" t="n">
        <v>2837.3</v>
      </c>
      <c r="E149" s="111" t="n">
        <v>0</v>
      </c>
      <c r="F149" s="111" t="n">
        <v>0</v>
      </c>
      <c r="G149" s="111" t="n">
        <v>0</v>
      </c>
      <c r="H149" s="94">
        <f>COUNTIF(C149:G149,"&lt;&gt;0")</f>
        <v/>
      </c>
      <c r="I149" s="94">
        <f>IF(H149=0,"לא מטופל",IF(H149=1,"מטופל - סוכן אחד","מטופל - יותר מסוכן אחד"))</f>
        <v/>
      </c>
    </row>
    <row r="150" ht="15" customHeight="1" s="82">
      <c r="A150" s="94" t="inlineStr">
        <is>
          <t>שרם</t>
        </is>
      </c>
      <c r="B150" s="94" t="inlineStr">
        <is>
          <t>פארמה פלוס שפרעם ב.מ שרמפארם</t>
        </is>
      </c>
      <c r="C150" s="111" t="n">
        <v>0</v>
      </c>
      <c r="D150" s="111" t="n">
        <v>11549.8</v>
      </c>
      <c r="E150" s="111" t="n">
        <v>0</v>
      </c>
      <c r="F150" s="111" t="n">
        <v>0</v>
      </c>
      <c r="G150" s="111" t="n">
        <v>0</v>
      </c>
      <c r="H150" s="94">
        <f>COUNTIF(C150:G150,"&lt;&gt;0")</f>
        <v/>
      </c>
      <c r="I150" s="94">
        <f>IF(H150=0,"לא מטופל",IF(H150=1,"מטופל - סוכן אחד","מטופל - יותר מסוכן אחד"))</f>
        <v/>
      </c>
    </row>
    <row r="151" ht="15" customHeight="1" s="82">
      <c r="A151" s="94" t="inlineStr">
        <is>
          <t>שרם</t>
        </is>
      </c>
      <c r="B151" s="94" t="inlineStr">
        <is>
          <t>כפר שמריהו ב.מ )חדש( שרמפארם</t>
        </is>
      </c>
      <c r="C151" s="111" t="n">
        <v>15288.6</v>
      </c>
      <c r="D151" s="111" t="n">
        <v>0</v>
      </c>
      <c r="E151" s="111" t="n">
        <v>0</v>
      </c>
      <c r="F151" s="111" t="n">
        <v>0</v>
      </c>
      <c r="G151" s="111" t="n">
        <v>0</v>
      </c>
      <c r="H151" s="94">
        <f>COUNTIF(C151:G151,"&lt;&gt;0")</f>
        <v/>
      </c>
      <c r="I151" s="94">
        <f>IF(H151=0,"לא מטופל",IF(H151=1,"מטופל - סוכן אחד","מטופל - יותר מסוכן אחד"))</f>
        <v/>
      </c>
    </row>
    <row r="152" ht="15" customHeight="1" s="82">
      <c r="A152" s="94" t="inlineStr">
        <is>
          <t>שרם</t>
        </is>
      </c>
      <c r="B152" s="94" t="inlineStr">
        <is>
          <t>לב הרצליה חדש ב.מ שרמפארם</t>
        </is>
      </c>
      <c r="C152" s="111" t="n">
        <v>965.8</v>
      </c>
      <c r="D152" s="111" t="n">
        <v>0</v>
      </c>
      <c r="E152" s="111" t="n">
        <v>0</v>
      </c>
      <c r="F152" s="111" t="n">
        <v>0</v>
      </c>
      <c r="G152" s="111" t="n">
        <v>0</v>
      </c>
      <c r="H152" s="94">
        <f>COUNTIF(C152:G152,"&lt;&gt;0")</f>
        <v/>
      </c>
      <c r="I152" s="94">
        <f>IF(H152=0,"לא מטופל",IF(H152=1,"מטופל - סוכן אחד","מטופל - יותר מסוכן אחד"))</f>
        <v/>
      </c>
    </row>
    <row r="153" ht="15" customHeight="1" s="82">
      <c r="A153" s="94" t="inlineStr">
        <is>
          <t>שרם</t>
        </is>
      </c>
      <c r="B153" s="94" t="inlineStr">
        <is>
          <t>רהט פארם סיטי שרמפארם</t>
        </is>
      </c>
      <c r="C153" s="111" t="n">
        <v>0</v>
      </c>
      <c r="D153" s="111" t="n">
        <v>0</v>
      </c>
      <c r="E153" s="111" t="n">
        <v>14672.2</v>
      </c>
      <c r="F153" s="111" t="n">
        <v>0</v>
      </c>
      <c r="G153" s="111" t="n">
        <v>0</v>
      </c>
      <c r="H153" s="94">
        <f>COUNTIF(C153:G153,"&lt;&gt;0")</f>
        <v/>
      </c>
      <c r="I153" s="94">
        <f>IF(H153=0,"לא מטופל",IF(H153=1,"מטופל - סוכן אחד","מטופל - יותר מסוכן אחד"))</f>
        <v/>
      </c>
    </row>
    <row r="154" ht="15" customHeight="1" s="82">
      <c r="A154" s="94" t="inlineStr">
        <is>
          <t>שרם</t>
        </is>
      </c>
      <c r="B154" s="94" t="inlineStr">
        <is>
          <t>ב.מ.בריאות נאווה בע""מ חולון</t>
        </is>
      </c>
      <c r="C154" s="111" t="n">
        <v>0</v>
      </c>
      <c r="D154" s="111" t="n">
        <v>0</v>
      </c>
      <c r="E154" s="111" t="n">
        <v>42.5</v>
      </c>
      <c r="F154" s="111" t="n">
        <v>0</v>
      </c>
      <c r="G154" s="111" t="n">
        <v>0</v>
      </c>
      <c r="H154" s="94">
        <f>COUNTIF(C154:G154,"&lt;&gt;0")</f>
        <v/>
      </c>
      <c r="I154" s="94">
        <f>IF(H154=0,"לא מטופל",IF(H154=1,"מטופל - סוכן אחד","מטופל - יותר מסוכן אחד"))</f>
        <v/>
      </c>
    </row>
    <row r="155" ht="15" customHeight="1" s="82">
      <c r="A155" s="94" t="inlineStr">
        <is>
          <t>שרם</t>
        </is>
      </c>
      <c r="B155" s="94" t="inlineStr">
        <is>
          <t>הבירה י-ם ב.מ שרמפארם</t>
        </is>
      </c>
      <c r="C155" s="111" t="n">
        <v>0</v>
      </c>
      <c r="D155" s="111" t="n">
        <v>0</v>
      </c>
      <c r="E155" s="111" t="n">
        <v>0</v>
      </c>
      <c r="F155" s="111" t="n">
        <v>0</v>
      </c>
      <c r="G155" s="111" t="n">
        <v>251</v>
      </c>
      <c r="H155" s="94">
        <f>COUNTIF(C155:G155,"&lt;&gt;0")</f>
        <v/>
      </c>
      <c r="I155" s="94">
        <f>IF(H155=0,"לא מטופל",IF(H155=1,"מטופל - סוכן אחד","מטופל - יותר מסוכן אחד"))</f>
        <v/>
      </c>
    </row>
    <row r="156" ht="15" customHeight="1" s="82">
      <c r="A156" s="94" t="inlineStr">
        <is>
          <t>שרם</t>
        </is>
      </c>
      <c r="B156" s="94" t="inlineStr">
        <is>
          <t>הר נוף י-ם ב.מ שרמפארם</t>
        </is>
      </c>
      <c r="C156" s="111" t="n">
        <v>0</v>
      </c>
      <c r="D156" s="111" t="n">
        <v>0</v>
      </c>
      <c r="E156" s="111" t="n">
        <v>0</v>
      </c>
      <c r="F156" s="111" t="n">
        <v>0</v>
      </c>
      <c r="G156" s="111" t="n">
        <v>3019</v>
      </c>
      <c r="H156" s="94">
        <f>COUNTIF(C156:G156,"&lt;&gt;0")</f>
        <v/>
      </c>
      <c r="I156" s="94">
        <f>IF(H156=0,"לא מטופל",IF(H156=1,"מטופל - סוכן אחד","מטופל - יותר מסוכן אחד"))</f>
        <v/>
      </c>
    </row>
    <row r="157" ht="15" customHeight="1" s="82">
      <c r="A157" s="94" t="inlineStr">
        <is>
          <t>שרם</t>
        </is>
      </c>
      <c r="B157" s="94" t="inlineStr">
        <is>
          <t>בימר""ק אלחיאת טייבה שרמפארם</t>
        </is>
      </c>
      <c r="C157" s="111" t="n">
        <v>0</v>
      </c>
      <c r="D157" s="111" t="n">
        <v>0</v>
      </c>
      <c r="E157" s="111" t="n">
        <v>41.4</v>
      </c>
      <c r="F157" s="111" t="n">
        <v>0</v>
      </c>
      <c r="G157" s="111" t="n">
        <v>0</v>
      </c>
      <c r="H157" s="94">
        <f>COUNTIF(C157:G157,"&lt;&gt;0")</f>
        <v/>
      </c>
      <c r="I157" s="94">
        <f>IF(H157=0,"לא מטופל",IF(H157=1,"מטופל - סוכן אחד","מטופל - יותר מסוכן אחד"))</f>
        <v/>
      </c>
    </row>
    <row r="158" ht="15" customHeight="1" s="82">
      <c r="A158" s="94" t="inlineStr">
        <is>
          <t>שרם</t>
        </is>
      </c>
      <c r="B158" s="94" t="inlineStr">
        <is>
          <t>הלא פארם ג'לג'וליה ב.מ</t>
        </is>
      </c>
      <c r="C158" s="111" t="n">
        <v>0</v>
      </c>
      <c r="D158" s="111" t="n">
        <v>0</v>
      </c>
      <c r="E158" s="111" t="n">
        <v>10344.2</v>
      </c>
      <c r="F158" s="111" t="n">
        <v>0</v>
      </c>
      <c r="G158" s="111" t="n">
        <v>0</v>
      </c>
      <c r="H158" s="94">
        <f>COUNTIF(C158:G158,"&lt;&gt;0")</f>
        <v/>
      </c>
      <c r="I158" s="94">
        <f>IF(H158=0,"לא מטופל",IF(H158=1,"מטופל - סוכן אחד","מטופל - יותר מסוכן אחד"))</f>
        <v/>
      </c>
    </row>
    <row r="159" ht="15" customHeight="1" s="82">
      <c r="A159" s="94" t="inlineStr">
        <is>
          <t>שרם</t>
        </is>
      </c>
      <c r="B159" s="94" t="inlineStr">
        <is>
          <t>רמי קלנסואה ב.מ</t>
        </is>
      </c>
      <c r="C159" s="111" t="n">
        <v>0</v>
      </c>
      <c r="D159" s="111" t="n">
        <v>0</v>
      </c>
      <c r="E159" s="111" t="n">
        <v>5585.5</v>
      </c>
      <c r="F159" s="111" t="n">
        <v>0</v>
      </c>
      <c r="G159" s="111" t="n">
        <v>0</v>
      </c>
      <c r="H159" s="94">
        <f>COUNTIF(C159:G159,"&lt;&gt;0")</f>
        <v/>
      </c>
      <c r="I159" s="94">
        <f>IF(H159=0,"לא מטופל",IF(H159=1,"מטופל - סוכן אחד","מטופל - יותר מסוכן אחד"))</f>
        <v/>
      </c>
    </row>
    <row r="160" ht="15" customHeight="1" s="82">
      <c r="A160" s="94" t="inlineStr">
        <is>
          <t>שרם</t>
        </is>
      </c>
      <c r="B160" s="94" t="inlineStr">
        <is>
          <t>אקספו פארם מכר ב.מ שרמפארם</t>
        </is>
      </c>
      <c r="C160" s="111" t="n">
        <v>0</v>
      </c>
      <c r="D160" s="111" t="n">
        <v>10654.4</v>
      </c>
      <c r="E160" s="111" t="n">
        <v>0</v>
      </c>
      <c r="F160" s="111" t="n">
        <v>0</v>
      </c>
      <c r="G160" s="111" t="n">
        <v>0</v>
      </c>
      <c r="H160" s="94">
        <f>COUNTIF(C160:G160,"&lt;&gt;0")</f>
        <v/>
      </c>
      <c r="I160" s="94">
        <f>IF(H160=0,"לא מטופל",IF(H160=1,"מטופל - סוכן אחד","מטופל - יותר מסוכן אחד"))</f>
        <v/>
      </c>
    </row>
    <row r="161" ht="15" customHeight="1" s="82">
      <c r="A161" s="94" t="inlineStr">
        <is>
          <t>שרם</t>
        </is>
      </c>
      <c r="B161" s="94" t="inlineStr">
        <is>
          <t>אקופארם ב.מ מעלות שרמפארם</t>
        </is>
      </c>
      <c r="C161" s="111" t="n">
        <v>0</v>
      </c>
      <c r="D161" s="111" t="n">
        <v>5265</v>
      </c>
      <c r="E161" s="111" t="n">
        <v>0</v>
      </c>
      <c r="F161" s="111" t="n">
        <v>0</v>
      </c>
      <c r="G161" s="111" t="n">
        <v>0</v>
      </c>
      <c r="H161" s="94">
        <f>COUNTIF(C161:G161,"&lt;&gt;0")</f>
        <v/>
      </c>
      <c r="I161" s="94">
        <f>IF(H161=0,"לא מטופל",IF(H161=1,"מטופל - סוכן אחד","מטופל - יותר מסוכן אחד"))</f>
        <v/>
      </c>
    </row>
    <row r="162" ht="15" customHeight="1" s="82">
      <c r="A162" s="94" t="inlineStr">
        <is>
          <t>שרם</t>
        </is>
      </c>
      <c r="B162" s="94" t="inlineStr">
        <is>
          <t>אסף עפולה ב.מ שרמפארם</t>
        </is>
      </c>
      <c r="C162" s="111" t="n">
        <v>0</v>
      </c>
      <c r="D162" s="111" t="n">
        <v>546.2</v>
      </c>
      <c r="E162" s="111" t="n">
        <v>0</v>
      </c>
      <c r="F162" s="111" t="n">
        <v>0</v>
      </c>
      <c r="G162" s="111" t="n">
        <v>0</v>
      </c>
      <c r="H162" s="94">
        <f>COUNTIF(C162:G162,"&lt;&gt;0")</f>
        <v/>
      </c>
      <c r="I162" s="94">
        <f>IF(H162=0,"לא מטופל",IF(H162=1,"מטופל - סוכן אחד","מטופל - יותר מסוכן אחד"))</f>
        <v/>
      </c>
    </row>
    <row r="163" ht="15" customHeight="1" s="82">
      <c r="A163" s="94" t="inlineStr">
        <is>
          <t>שרם</t>
        </is>
      </c>
      <c r="B163" s="94" t="inlineStr">
        <is>
          <t>השלום כפר מוקבלה ב.מ</t>
        </is>
      </c>
      <c r="C163" s="111" t="n">
        <v>0</v>
      </c>
      <c r="D163" s="111" t="n">
        <v>852</v>
      </c>
      <c r="E163" s="111" t="n">
        <v>0</v>
      </c>
      <c r="F163" s="111" t="n">
        <v>0</v>
      </c>
      <c r="G163" s="111" t="n">
        <v>0</v>
      </c>
      <c r="H163" s="94">
        <f>COUNTIF(C163:G163,"&lt;&gt;0")</f>
        <v/>
      </c>
      <c r="I163" s="94">
        <f>IF(H163=0,"לא מטופל",IF(H163=1,"מטופל - סוכן אחד","מטופל - יותר מסוכן אחד"))</f>
        <v/>
      </c>
    </row>
    <row r="164" ht="15" customHeight="1" s="82">
      <c r="A164" s="94" t="inlineStr">
        <is>
          <t>שרם</t>
        </is>
      </c>
      <c r="B164" s="94" t="inlineStr">
        <is>
          <t>ב.מ CPHARM טשרניחובסקי</t>
        </is>
      </c>
      <c r="C164" s="111" t="n">
        <v>0</v>
      </c>
      <c r="D164" s="111" t="n">
        <v>841.6</v>
      </c>
      <c r="E164" s="111" t="n">
        <v>0</v>
      </c>
      <c r="F164" s="111" t="n">
        <v>0</v>
      </c>
      <c r="G164" s="111" t="n">
        <v>0</v>
      </c>
      <c r="H164" s="94">
        <f>COUNTIF(C164:G164,"&lt;&gt;0")</f>
        <v/>
      </c>
      <c r="I164" s="94">
        <f>IF(H164=0,"לא מטופל",IF(H164=1,"מטופל - סוכן אחד","מטופל - יותר מסוכן אחד"))</f>
        <v/>
      </c>
    </row>
    <row r="165" ht="15" customHeight="1" s="82">
      <c r="A165" s="94" t="inlineStr">
        <is>
          <t>שרם</t>
        </is>
      </c>
      <c r="B165" s="94" t="inlineStr">
        <is>
          <t>פארמה גנים ראשל""צ ב.מ שרמ</t>
        </is>
      </c>
      <c r="C165" s="111" t="n">
        <v>3358</v>
      </c>
      <c r="D165" s="111" t="n">
        <v>0</v>
      </c>
      <c r="E165" s="111" t="n">
        <v>0</v>
      </c>
      <c r="F165" s="111" t="n">
        <v>0</v>
      </c>
      <c r="G165" s="111" t="n">
        <v>0</v>
      </c>
      <c r="H165" s="94">
        <f>COUNTIF(C165:G165,"&lt;&gt;0")</f>
        <v/>
      </c>
      <c r="I165" s="94">
        <f>IF(H165=0,"לא מטופל",IF(H165=1,"מטופל - סוכן אחד","מטופל - יותר מסוכן אחד"))</f>
        <v/>
      </c>
    </row>
    <row r="166" ht="15" customHeight="1" s="82">
      <c r="A166" s="94" t="inlineStr">
        <is>
          <t>שרם</t>
        </is>
      </c>
      <c r="B166" s="94" t="inlineStr">
        <is>
          <t>בית מרקחת הרצליה שרמפארם</t>
        </is>
      </c>
      <c r="C166" s="111" t="n">
        <v>687.3</v>
      </c>
      <c r="D166" s="111" t="n">
        <v>0</v>
      </c>
      <c r="E166" s="111" t="n">
        <v>0</v>
      </c>
      <c r="F166" s="111" t="n">
        <v>0</v>
      </c>
      <c r="G166" s="111" t="n">
        <v>0</v>
      </c>
      <c r="H166" s="94">
        <f>COUNTIF(C166:G166,"&lt;&gt;0")</f>
        <v/>
      </c>
      <c r="I166" s="94">
        <f>IF(H166=0,"לא מטופל",IF(H166=1,"מטופל - סוכן אחד","מטופל - יותר מסוכן אחד"))</f>
        <v/>
      </c>
    </row>
    <row r="167" ht="15" customHeight="1" s="82">
      <c r="A167" s="94" t="inlineStr">
        <is>
          <t>שרם</t>
        </is>
      </c>
      <c r="B167" s="94" t="inlineStr">
        <is>
          <t>למד ת""א ב.מ שרםפארם</t>
        </is>
      </c>
      <c r="C167" s="111" t="n">
        <v>463.9</v>
      </c>
      <c r="D167" s="111" t="n">
        <v>0</v>
      </c>
      <c r="E167" s="111" t="n">
        <v>0</v>
      </c>
      <c r="F167" s="111" t="n">
        <v>0</v>
      </c>
      <c r="G167" s="111" t="n">
        <v>0</v>
      </c>
      <c r="H167" s="94">
        <f>COUNTIF(C167:G167,"&lt;&gt;0")</f>
        <v/>
      </c>
      <c r="I167" s="94">
        <f>IF(H167=0,"לא מטופל",IF(H167=1,"מטופל - סוכן אחד","מטופל - יותר מסוכן אחד"))</f>
        <v/>
      </c>
    </row>
    <row r="168" ht="15" customHeight="1" s="82">
      <c r="A168" s="94" t="inlineStr">
        <is>
          <t>שרם</t>
        </is>
      </c>
      <c r="B168" s="94" t="inlineStr">
        <is>
          <t>אלשפא בע""מ א.א.פחם ב.מ  שרמפאר</t>
        </is>
      </c>
      <c r="C168" s="111" t="n">
        <v>0</v>
      </c>
      <c r="D168" s="111" t="n">
        <v>740.5</v>
      </c>
      <c r="E168" s="111" t="n">
        <v>0</v>
      </c>
      <c r="F168" s="111" t="n">
        <v>0</v>
      </c>
      <c r="G168" s="111" t="n">
        <v>0</v>
      </c>
      <c r="H168" s="94">
        <f>COUNTIF(C168:G168,"&lt;&gt;0")</f>
        <v/>
      </c>
      <c r="I168" s="94">
        <f>IF(H168=0,"לא מטופל",IF(H168=1,"מטופל - סוכן אחד","מטופל - יותר מסוכן אחד"))</f>
        <v/>
      </c>
    </row>
    <row r="169" ht="15" customHeight="1" s="82">
      <c r="A169" s="94" t="inlineStr">
        <is>
          <t>שרם</t>
        </is>
      </c>
      <c r="B169" s="94" t="inlineStr">
        <is>
          <t>אלעין פקיעין ב.מ</t>
        </is>
      </c>
      <c r="C169" s="111" t="n">
        <v>0</v>
      </c>
      <c r="D169" s="111" t="n">
        <v>2817</v>
      </c>
      <c r="E169" s="111" t="n">
        <v>0</v>
      </c>
      <c r="F169" s="111" t="n">
        <v>0</v>
      </c>
      <c r="G169" s="111" t="n">
        <v>0</v>
      </c>
      <c r="H169" s="94">
        <f>COUNTIF(C169:G169,"&lt;&gt;0")</f>
        <v/>
      </c>
      <c r="I169" s="94">
        <f>IF(H169=0,"לא מטופל",IF(H169=1,"מטופל - סוכן אחד","מטופל - יותר מסוכן אחד"))</f>
        <v/>
      </c>
    </row>
    <row r="170" ht="15" customHeight="1" s="82">
      <c r="A170" s="94" t="inlineStr">
        <is>
          <t>שרם</t>
        </is>
      </c>
      <c r="B170" s="94" t="inlineStr">
        <is>
          <t>אלסלאם כאבול ב.מ שרמפארם</t>
        </is>
      </c>
      <c r="C170" s="111" t="n">
        <v>0</v>
      </c>
      <c r="D170" s="111" t="n">
        <v>9926</v>
      </c>
      <c r="E170" s="111" t="n">
        <v>0</v>
      </c>
      <c r="F170" s="111" t="n">
        <v>0</v>
      </c>
      <c r="G170" s="111" t="n">
        <v>0</v>
      </c>
      <c r="H170" s="94">
        <f>COUNTIF(C170:G170,"&lt;&gt;0")</f>
        <v/>
      </c>
      <c r="I170" s="94">
        <f>IF(H170=0,"לא מטופל",IF(H170=1,"מטופל - סוכן אחד","מטופל - יותר מסוכן אחד"))</f>
        <v/>
      </c>
    </row>
    <row r="171" ht="15" customHeight="1" s="82">
      <c r="A171" s="94" t="inlineStr">
        <is>
          <t>שרם</t>
        </is>
      </c>
      <c r="B171" s="94" t="inlineStr">
        <is>
          <t>מירוני חיפה ב.מ שרמפארם</t>
        </is>
      </c>
      <c r="C171" s="111" t="n">
        <v>0</v>
      </c>
      <c r="D171" s="111" t="n">
        <v>528</v>
      </c>
      <c r="E171" s="111" t="n">
        <v>0</v>
      </c>
      <c r="F171" s="111" t="n">
        <v>0</v>
      </c>
      <c r="G171" s="111" t="n">
        <v>0</v>
      </c>
      <c r="H171" s="94">
        <f>COUNTIF(C171:G171,"&lt;&gt;0")</f>
        <v/>
      </c>
      <c r="I171" s="94">
        <f>IF(H171=0,"לא מטופל",IF(H171=1,"מטופל - סוכן אחד","מטופל - יותר מסוכן אחד"))</f>
        <v/>
      </c>
    </row>
    <row r="172" ht="15" customHeight="1" s="82">
      <c r="A172" s="94" t="inlineStr">
        <is>
          <t>שרם</t>
        </is>
      </c>
      <c r="B172" s="94" t="inlineStr">
        <is>
          <t>השושנים ב.מ שרמפארם</t>
        </is>
      </c>
      <c r="C172" s="111" t="n">
        <v>0</v>
      </c>
      <c r="D172" s="111" t="n">
        <v>2031.2</v>
      </c>
      <c r="E172" s="111" t="n">
        <v>0</v>
      </c>
      <c r="F172" s="111" t="n">
        <v>0</v>
      </c>
      <c r="G172" s="111" t="n">
        <v>0</v>
      </c>
      <c r="H172" s="94">
        <f>COUNTIF(C172:G172,"&lt;&gt;0")</f>
        <v/>
      </c>
      <c r="I172" s="94">
        <f>IF(H172=0,"לא מטופל",IF(H172=1,"מטופל - סוכן אחד","מטופל - יותר מסוכן אחד"))</f>
        <v/>
      </c>
    </row>
    <row r="173" ht="15" customHeight="1" s="82">
      <c r="A173" s="94" t="inlineStr">
        <is>
          <t>ס. פארם</t>
        </is>
      </c>
      <c r="B173" s="94" t="inlineStr">
        <is>
          <t>ס.פ.קיראון תרופות</t>
        </is>
      </c>
      <c r="C173" s="111" t="n">
        <v>0</v>
      </c>
      <c r="D173" s="111" t="n">
        <v>0</v>
      </c>
      <c r="E173" s="111" t="n">
        <v>40948.7</v>
      </c>
      <c r="F173" s="111" t="n">
        <v>0</v>
      </c>
      <c r="G173" s="111" t="n">
        <v>0</v>
      </c>
      <c r="H173" s="94">
        <f>COUNTIF(C173:G173,"&lt;&gt;0")</f>
        <v/>
      </c>
      <c r="I173" s="94">
        <f>IF(H173=0,"לא מטופל",IF(H173=1,"מטופל - סוכן אחד","מטופל - יותר מסוכן אחד"))</f>
        <v/>
      </c>
    </row>
    <row r="174" ht="15" customHeight="1" s="82">
      <c r="A174" s="94" t="inlineStr">
        <is>
          <t>ס. פארם</t>
        </is>
      </c>
      <c r="B174" s="94" t="inlineStr">
        <is>
          <t>ס.פ.אור יהודה תרופות</t>
        </is>
      </c>
      <c r="C174" s="111" t="n">
        <v>0</v>
      </c>
      <c r="D174" s="111" t="n">
        <v>0</v>
      </c>
      <c r="E174" s="111" t="n">
        <v>14974.2</v>
      </c>
      <c r="F174" s="111" t="n">
        <v>0</v>
      </c>
      <c r="G174" s="111" t="n">
        <v>0</v>
      </c>
      <c r="H174" s="94">
        <f>COUNTIF(C174:G174,"&lt;&gt;0")</f>
        <v/>
      </c>
      <c r="I174" s="94">
        <f>IF(H174=0,"לא מטופל",IF(H174=1,"מטופל - סוכן אחד","מטופל - יותר מסוכן אחד"))</f>
        <v/>
      </c>
    </row>
    <row r="175" ht="15" customHeight="1" s="82">
      <c r="A175" s="94" t="inlineStr">
        <is>
          <t>ס. פארם</t>
        </is>
      </c>
      <c r="B175" s="94" t="inlineStr">
        <is>
          <t>ס.פ ביג אור יהודה תרופות</t>
        </is>
      </c>
      <c r="C175" s="111" t="n">
        <v>0</v>
      </c>
      <c r="D175" s="111" t="n">
        <v>0</v>
      </c>
      <c r="E175" s="111" t="n">
        <v>9819.200000000001</v>
      </c>
      <c r="F175" s="111" t="n">
        <v>0</v>
      </c>
      <c r="G175" s="111" t="n">
        <v>0</v>
      </c>
      <c r="H175" s="94">
        <f>COUNTIF(C175:G175,"&lt;&gt;0")</f>
        <v/>
      </c>
      <c r="I175" s="94">
        <f>IF(H175=0,"לא מטופל",IF(H175=1,"מטופל - סוכן אחד","מטופל - יותר מסוכן אחד"))</f>
        <v/>
      </c>
    </row>
    <row r="176" ht="15" customHeight="1" s="82">
      <c r="A176" s="94" t="inlineStr">
        <is>
          <t>ס. פארם</t>
        </is>
      </c>
      <c r="B176" s="94" t="inlineStr">
        <is>
          <t>ס.פ.תל השומר תרופות</t>
        </is>
      </c>
      <c r="C176" s="111" t="n">
        <v>0</v>
      </c>
      <c r="D176" s="111" t="n">
        <v>0</v>
      </c>
      <c r="E176" s="111" t="n">
        <v>76823.89999999999</v>
      </c>
      <c r="F176" s="111" t="n">
        <v>0</v>
      </c>
      <c r="G176" s="111" t="n">
        <v>0</v>
      </c>
      <c r="H176" s="94">
        <f>COUNTIF(C176:G176,"&lt;&gt;0")</f>
        <v/>
      </c>
      <c r="I176" s="94">
        <f>IF(H176=0,"לא מטופל",IF(H176=1,"מטופל - סוכן אחד","מטופל - יותר מסוכן אחד"))</f>
        <v/>
      </c>
    </row>
    <row r="177" ht="15" customHeight="1" s="82">
      <c r="A177" s="94" t="inlineStr">
        <is>
          <t>ס. פארם</t>
        </is>
      </c>
      <c r="B177" s="94" t="inlineStr">
        <is>
          <t>ס.פ.גבעת סביון תרופות</t>
        </is>
      </c>
      <c r="C177" s="111" t="n">
        <v>0</v>
      </c>
      <c r="D177" s="111" t="n">
        <v>0</v>
      </c>
      <c r="E177" s="111" t="n">
        <v>21919.4</v>
      </c>
      <c r="F177" s="111" t="n">
        <v>0</v>
      </c>
      <c r="G177" s="111" t="n">
        <v>0</v>
      </c>
      <c r="H177" s="94">
        <f>COUNTIF(C177:G177,"&lt;&gt;0")</f>
        <v/>
      </c>
      <c r="I177" s="94">
        <f>IF(H177=0,"לא מטופל",IF(H177=1,"מטופל - סוכן אחד","מטופל - יותר מסוכן אחד"))</f>
        <v/>
      </c>
    </row>
    <row r="178" ht="15" customHeight="1" s="82">
      <c r="A178" s="94" t="inlineStr">
        <is>
          <t>ס. פארם</t>
        </is>
      </c>
      <c r="B178" s="94" t="inlineStr">
        <is>
          <t>ס.פ בת ים תרופות</t>
        </is>
      </c>
      <c r="C178" s="111" t="n">
        <v>0</v>
      </c>
      <c r="D178" s="111" t="n">
        <v>0</v>
      </c>
      <c r="E178" s="111" t="n">
        <v>31606.4</v>
      </c>
      <c r="F178" s="111" t="n">
        <v>0</v>
      </c>
      <c r="G178" s="111" t="n">
        <v>0</v>
      </c>
      <c r="H178" s="94">
        <f>COUNTIF(C178:G178,"&lt;&gt;0")</f>
        <v/>
      </c>
      <c r="I178" s="94">
        <f>IF(H178=0,"לא מטופל",IF(H178=1,"מטופל - סוכן אחד","מטופל - יותר מסוכן אחד"))</f>
        <v/>
      </c>
    </row>
    <row r="179" ht="15" customHeight="1" s="82">
      <c r="A179" s="94" t="inlineStr">
        <is>
          <t>ס. פארם</t>
        </is>
      </c>
      <c r="B179" s="94" t="inlineStr">
        <is>
          <t>ס.פ.יפו תרופות</t>
        </is>
      </c>
      <c r="C179" s="111" t="n">
        <v>0</v>
      </c>
      <c r="D179" s="111" t="n">
        <v>0</v>
      </c>
      <c r="E179" s="111" t="n">
        <v>25569.4</v>
      </c>
      <c r="F179" s="111" t="n">
        <v>0</v>
      </c>
      <c r="G179" s="111" t="n">
        <v>0</v>
      </c>
      <c r="H179" s="94">
        <f>COUNTIF(C179:G179,"&lt;&gt;0")</f>
        <v/>
      </c>
      <c r="I179" s="94">
        <f>IF(H179=0,"לא מטופל",IF(H179=1,"מטופל - סוכן אחד","מטופל - יותר מסוכן אחד"))</f>
        <v/>
      </c>
    </row>
    <row r="180" ht="15" customHeight="1" s="82">
      <c r="A180" s="94" t="inlineStr">
        <is>
          <t>ס. פארם</t>
        </is>
      </c>
      <c r="B180" s="94" t="inlineStr">
        <is>
          <t>ס.פ.חולון תרופות</t>
        </is>
      </c>
      <c r="C180" s="111" t="n">
        <v>0</v>
      </c>
      <c r="D180" s="111" t="n">
        <v>0</v>
      </c>
      <c r="E180" s="111" t="n">
        <v>44336.6</v>
      </c>
      <c r="F180" s="111" t="n">
        <v>0</v>
      </c>
      <c r="G180" s="111" t="n">
        <v>0</v>
      </c>
      <c r="H180" s="94">
        <f>COUNTIF(C180:G180,"&lt;&gt;0")</f>
        <v/>
      </c>
      <c r="I180" s="94">
        <f>IF(H180=0,"לא מטופל",IF(H180=1,"מטופל - סוכן אחד","מטופל - יותר מסוכן אחד"))</f>
        <v/>
      </c>
    </row>
    <row r="181" ht="15" customHeight="1" s="82">
      <c r="A181" s="94" t="inlineStr">
        <is>
          <t>ס. פארם</t>
        </is>
      </c>
      <c r="B181" s="94" t="inlineStr">
        <is>
          <t>ס.פ.וייצמן חולון תרופות</t>
        </is>
      </c>
      <c r="C181" s="111" t="n">
        <v>0</v>
      </c>
      <c r="D181" s="111" t="n">
        <v>0</v>
      </c>
      <c r="E181" s="111" t="n">
        <v>19530</v>
      </c>
      <c r="F181" s="111" t="n">
        <v>0</v>
      </c>
      <c r="G181" s="111" t="n">
        <v>0</v>
      </c>
      <c r="H181" s="94">
        <f>COUNTIF(C181:G181,"&lt;&gt;0")</f>
        <v/>
      </c>
      <c r="I181" s="94">
        <f>IF(H181=0,"לא מטופל",IF(H181=1,"מטופל - סוכן אחד","מטופל - יותר מסוכן אחד"))</f>
        <v/>
      </c>
    </row>
    <row r="182" ht="15" customHeight="1" s="82">
      <c r="A182" s="94" t="inlineStr">
        <is>
          <t>ס. פארם</t>
        </is>
      </c>
      <c r="B182" s="94" t="inlineStr">
        <is>
          <t>ס.פ.העצמאות בת ים תרופות</t>
        </is>
      </c>
      <c r="C182" s="111" t="n">
        <v>0</v>
      </c>
      <c r="D182" s="111" t="n">
        <v>0</v>
      </c>
      <c r="E182" s="111" t="n">
        <v>19290.1</v>
      </c>
      <c r="F182" s="111" t="n">
        <v>0</v>
      </c>
      <c r="G182" s="111" t="n">
        <v>0</v>
      </c>
      <c r="H182" s="94">
        <f>COUNTIF(C182:G182,"&lt;&gt;0")</f>
        <v/>
      </c>
      <c r="I182" s="94">
        <f>IF(H182=0,"לא מטופל",IF(H182=1,"מטופל - סוכן אחד","מטופל - יותר מסוכן אחד"))</f>
        <v/>
      </c>
    </row>
    <row r="183" ht="15" customHeight="1" s="82">
      <c r="A183" s="94" t="inlineStr">
        <is>
          <t>ס. פארם</t>
        </is>
      </c>
      <c r="B183" s="94" t="inlineStr">
        <is>
          <t>ס.פ.אזור התעשיה חולון תרופות</t>
        </is>
      </c>
      <c r="C183" s="111" t="n">
        <v>0</v>
      </c>
      <c r="D183" s="111" t="n">
        <v>0</v>
      </c>
      <c r="E183" s="111" t="n">
        <v>20001.1</v>
      </c>
      <c r="F183" s="111" t="n">
        <v>0</v>
      </c>
      <c r="G183" s="111" t="n">
        <v>0</v>
      </c>
      <c r="H183" s="94">
        <f>COUNTIF(C183:G183,"&lt;&gt;0")</f>
        <v/>
      </c>
      <c r="I183" s="94">
        <f>IF(H183=0,"לא מטופל",IF(H183=1,"מטופל - סוכן אחד","מטופל - יותר מסוכן אחד"))</f>
        <v/>
      </c>
    </row>
    <row r="184" ht="15" customHeight="1" s="82">
      <c r="A184" s="94" t="inlineStr">
        <is>
          <t>ס. פארם</t>
        </is>
      </c>
      <c r="B184" s="94" t="inlineStr">
        <is>
          <t>ס.פ.רמלה תרופות</t>
        </is>
      </c>
      <c r="C184" s="111" t="n">
        <v>0</v>
      </c>
      <c r="D184" s="111" t="n">
        <v>0</v>
      </c>
      <c r="E184" s="111" t="n">
        <v>14365.7</v>
      </c>
      <c r="F184" s="111" t="n">
        <v>0</v>
      </c>
      <c r="G184" s="111" t="n">
        <v>0</v>
      </c>
      <c r="H184" s="94">
        <f>COUNTIF(C184:G184,"&lt;&gt;0")</f>
        <v/>
      </c>
      <c r="I184" s="94">
        <f>IF(H184=0,"לא מטופל",IF(H184=1,"מטופל - סוכן אחד","מטופל - יותר מסוכן אחד"))</f>
        <v/>
      </c>
    </row>
    <row r="185" ht="15" customHeight="1" s="82">
      <c r="A185" s="94" t="inlineStr">
        <is>
          <t>ס. פארם</t>
        </is>
      </c>
      <c r="B185" s="94" t="inlineStr">
        <is>
          <t>ס.פ.איירפורט סיטי תרופות</t>
        </is>
      </c>
      <c r="C185" s="111" t="n">
        <v>0</v>
      </c>
      <c r="D185" s="111" t="n">
        <v>0</v>
      </c>
      <c r="E185" s="111" t="n">
        <v>8864.9</v>
      </c>
      <c r="F185" s="111" t="n">
        <v>0</v>
      </c>
      <c r="G185" s="111" t="n">
        <v>0</v>
      </c>
      <c r="H185" s="94">
        <f>COUNTIF(C185:G185,"&lt;&gt;0")</f>
        <v/>
      </c>
      <c r="I185" s="94">
        <f>IF(H185=0,"לא מטופל",IF(H185=1,"מטופל - סוכן אחד","מטופל - יותר מסוכן אחד"))</f>
        <v/>
      </c>
    </row>
    <row r="186" ht="15" customHeight="1" s="82">
      <c r="A186" s="94" t="inlineStr">
        <is>
          <t>ס. פארם</t>
        </is>
      </c>
      <c r="B186" s="94" t="inlineStr">
        <is>
          <t>סופר פארם מצליח תרופות</t>
        </is>
      </c>
      <c r="C186" s="111" t="n">
        <v>0</v>
      </c>
      <c r="D186" s="111" t="n">
        <v>0</v>
      </c>
      <c r="E186" s="111" t="n">
        <v>10436.8</v>
      </c>
      <c r="F186" s="111" t="n">
        <v>0</v>
      </c>
      <c r="G186" s="111" t="n">
        <v>0</v>
      </c>
      <c r="H186" s="94">
        <f>COUNTIF(C186:G186,"&lt;&gt;0")</f>
        <v/>
      </c>
      <c r="I186" s="94">
        <f>IF(H186=0,"לא מטופל",IF(H186=1,"מטופל - סוכן אחד","מטופל - יותר מסוכן אחד"))</f>
        <v/>
      </c>
    </row>
    <row r="187" ht="15" customHeight="1" s="82">
      <c r="A187" s="94" t="inlineStr">
        <is>
          <t>ס. פארם</t>
        </is>
      </c>
      <c r="B187" s="94" t="inlineStr">
        <is>
          <t>ס.פ.לוד תרופות</t>
        </is>
      </c>
      <c r="C187" s="111" t="n">
        <v>0</v>
      </c>
      <c r="D187" s="111" t="n">
        <v>0</v>
      </c>
      <c r="E187" s="111" t="n">
        <v>24744.6</v>
      </c>
      <c r="F187" s="111" t="n">
        <v>0</v>
      </c>
      <c r="G187" s="111" t="n">
        <v>0</v>
      </c>
      <c r="H187" s="94">
        <f>COUNTIF(C187:G187,"&lt;&gt;0")</f>
        <v/>
      </c>
      <c r="I187" s="94">
        <f>IF(H187=0,"לא מטופל",IF(H187=1,"מטופל - סוכן אחד","מטופל - יותר מסוכן אחד"))</f>
        <v/>
      </c>
    </row>
    <row r="188" ht="15" customHeight="1" s="82">
      <c r="A188" s="94" t="inlineStr">
        <is>
          <t>ס. פארם</t>
        </is>
      </c>
      <c r="B188" s="94" t="inlineStr">
        <is>
          <t>ס.פ.שוהם תרופות</t>
        </is>
      </c>
      <c r="C188" s="111" t="n">
        <v>0</v>
      </c>
      <c r="D188" s="111" t="n">
        <v>0</v>
      </c>
      <c r="E188" s="111" t="n">
        <v>21063.6</v>
      </c>
      <c r="F188" s="111" t="n">
        <v>0</v>
      </c>
      <c r="G188" s="111" t="n">
        <v>0</v>
      </c>
      <c r="H188" s="94">
        <f>COUNTIF(C188:G188,"&lt;&gt;0")</f>
        <v/>
      </c>
      <c r="I188" s="94">
        <f>IF(H188=0,"לא מטופל",IF(H188=1,"מטופל - סוכן אחד","מטופל - יותר מסוכן אחד"))</f>
        <v/>
      </c>
    </row>
    <row r="189" ht="15" customHeight="1" s="82">
      <c r="A189" s="94" t="inlineStr">
        <is>
          <t>ס. פארם</t>
        </is>
      </c>
      <c r="B189" s="94" t="inlineStr">
        <is>
          <t>ס.פ.רמלוד תרופות</t>
        </is>
      </c>
      <c r="C189" s="111" t="n">
        <v>0</v>
      </c>
      <c r="D189" s="111" t="n">
        <v>0</v>
      </c>
      <c r="E189" s="111" t="n">
        <v>25143.3</v>
      </c>
      <c r="F189" s="111" t="n">
        <v>0</v>
      </c>
      <c r="G189" s="111" t="n">
        <v>0</v>
      </c>
      <c r="H189" s="94">
        <f>COUNTIF(C189:G189,"&lt;&gt;0")</f>
        <v/>
      </c>
      <c r="I189" s="94">
        <f>IF(H189=0,"לא מטופל",IF(H189=1,"מטופל - סוכן אחד","מטופל - יותר מסוכן אחד"))</f>
        <v/>
      </c>
    </row>
    <row r="190" ht="15" customHeight="1" s="82">
      <c r="A190" s="94" t="inlineStr">
        <is>
          <t>ס. פארם</t>
        </is>
      </c>
      <c r="B190" s="94" t="inlineStr">
        <is>
          <t>ס.פ.רמת החייל תרופות</t>
        </is>
      </c>
      <c r="C190" s="111" t="n">
        <v>19922</v>
      </c>
      <c r="D190" s="111" t="n">
        <v>0</v>
      </c>
      <c r="E190" s="111" t="n">
        <v>0</v>
      </c>
      <c r="F190" s="111" t="n">
        <v>0</v>
      </c>
      <c r="G190" s="111" t="n">
        <v>0</v>
      </c>
      <c r="H190" s="94">
        <f>COUNTIF(C190:G190,"&lt;&gt;0")</f>
        <v/>
      </c>
      <c r="I190" s="94">
        <f>IF(H190=0,"לא מטופל",IF(H190=1,"מטופל - סוכן אחד","מטופל - יותר מסוכן אחד"))</f>
        <v/>
      </c>
    </row>
    <row r="191" ht="15" customHeight="1" s="82">
      <c r="A191" s="94" t="inlineStr">
        <is>
          <t>ס. פארם</t>
        </is>
      </c>
      <c r="B191" s="94" t="inlineStr">
        <is>
          <t>ס.פ.קניון רמת אביב תרופות</t>
        </is>
      </c>
      <c r="C191" s="111" t="n">
        <v>59959.7</v>
      </c>
      <c r="D191" s="111" t="n">
        <v>0</v>
      </c>
      <c r="E191" s="111" t="n">
        <v>0</v>
      </c>
      <c r="F191" s="111" t="n">
        <v>0</v>
      </c>
      <c r="G191" s="111" t="n">
        <v>0</v>
      </c>
      <c r="H191" s="94">
        <f>COUNTIF(C191:G191,"&lt;&gt;0")</f>
        <v/>
      </c>
      <c r="I191" s="94">
        <f>IF(H191=0,"לא מטופל",IF(H191=1,"מטופל - סוכן אחד","מטופל - יותר מסוכן אחד"))</f>
        <v/>
      </c>
    </row>
    <row r="192" ht="15" customHeight="1" s="82">
      <c r="A192" s="94" t="inlineStr">
        <is>
          <t>ס. פארם</t>
        </is>
      </c>
      <c r="B192" s="94" t="inlineStr">
        <is>
          <t>ס.פ.שכון דן תרופות</t>
        </is>
      </c>
      <c r="C192" s="111" t="n">
        <v>41817.9</v>
      </c>
      <c r="D192" s="111" t="n">
        <v>0</v>
      </c>
      <c r="E192" s="111" t="n">
        <v>0</v>
      </c>
      <c r="F192" s="111" t="n">
        <v>0</v>
      </c>
      <c r="G192" s="111" t="n">
        <v>0</v>
      </c>
      <c r="H192" s="94">
        <f>COUNTIF(C192:G192,"&lt;&gt;0")</f>
        <v/>
      </c>
      <c r="I192" s="94">
        <f>IF(H192=0,"לא מטופל",IF(H192=1,"מטופל - סוכן אחד","מטופל - יותר מסוכן אחד"))</f>
        <v/>
      </c>
    </row>
    <row r="193" ht="15" customHeight="1" s="82">
      <c r="A193" s="94" t="inlineStr">
        <is>
          <t>ס. פארם</t>
        </is>
      </c>
      <c r="B193" s="94" t="inlineStr">
        <is>
          <t>ס.פ.אורדע  תרופות</t>
        </is>
      </c>
      <c r="C193" s="111" t="n">
        <v>0</v>
      </c>
      <c r="D193" s="111" t="n">
        <v>0</v>
      </c>
      <c r="E193" s="111" t="n">
        <v>12140.5</v>
      </c>
      <c r="F193" s="111" t="n">
        <v>0</v>
      </c>
      <c r="G193" s="111" t="n">
        <v>0</v>
      </c>
      <c r="H193" s="94">
        <f>COUNTIF(C193:G193,"&lt;&gt;0")</f>
        <v/>
      </c>
      <c r="I193" s="94">
        <f>IF(H193=0,"לא מטופל",IF(H193=1,"מטופל - סוכן אחד","מטופל - יותר מסוכן אחד"))</f>
        <v/>
      </c>
    </row>
    <row r="194" ht="15" customHeight="1" s="82">
      <c r="A194" s="94" t="inlineStr">
        <is>
          <t>ס. פארם</t>
        </is>
      </c>
      <c r="B194" s="94" t="inlineStr">
        <is>
          <t>ס.פ.קניון איילון תרופות</t>
        </is>
      </c>
      <c r="C194" s="111" t="n">
        <v>0</v>
      </c>
      <c r="D194" s="111" t="n">
        <v>0</v>
      </c>
      <c r="E194" s="111" t="n">
        <v>70042.10000000001</v>
      </c>
      <c r="F194" s="111" t="n">
        <v>0</v>
      </c>
      <c r="G194" s="111" t="n">
        <v>0</v>
      </c>
      <c r="H194" s="94">
        <f>COUNTIF(C194:G194,"&lt;&gt;0")</f>
        <v/>
      </c>
      <c r="I194" s="94">
        <f>IF(H194=0,"לא מטופל",IF(H194=1,"מטופל - סוכן אחד","מטופל - יותר מסוכן אחד"))</f>
        <v/>
      </c>
    </row>
    <row r="195" ht="15" customHeight="1" s="82">
      <c r="A195" s="94" t="inlineStr">
        <is>
          <t>ס. פארם</t>
        </is>
      </c>
      <c r="B195" s="94" t="inlineStr">
        <is>
          <t>ס.פ.כופר הישוב תרופות</t>
        </is>
      </c>
      <c r="C195" s="111" t="n">
        <v>0</v>
      </c>
      <c r="D195" s="111" t="n">
        <v>0</v>
      </c>
      <c r="E195" s="111" t="n">
        <v>23957.6</v>
      </c>
      <c r="F195" s="111" t="n">
        <v>0</v>
      </c>
      <c r="G195" s="111" t="n">
        <v>0</v>
      </c>
      <c r="H195" s="94">
        <f>COUNTIF(C195:G195,"&lt;&gt;0")</f>
        <v/>
      </c>
      <c r="I195" s="94">
        <f>IF(H195=0,"לא מטופל",IF(H195=1,"מטופל - סוכן אחד","מטופל - יותר מסוכן אחד"))</f>
        <v/>
      </c>
    </row>
    <row r="196" ht="15" customHeight="1" s="82">
      <c r="A196" s="94" t="inlineStr">
        <is>
          <t>ס. פארם</t>
        </is>
      </c>
      <c r="B196" s="94" t="inlineStr">
        <is>
          <t>ס.פ.מרום נוה תרופות</t>
        </is>
      </c>
      <c r="C196" s="111" t="n">
        <v>0</v>
      </c>
      <c r="D196" s="111" t="n">
        <v>0</v>
      </c>
      <c r="E196" s="111" t="n">
        <v>22163.2</v>
      </c>
      <c r="F196" s="111" t="n">
        <v>0</v>
      </c>
      <c r="G196" s="111" t="n">
        <v>0</v>
      </c>
      <c r="H196" s="94">
        <f>COUNTIF(C196:G196,"&lt;&gt;0")</f>
        <v/>
      </c>
      <c r="I196" s="94">
        <f>IF(H196=0,"לא מטופל",IF(H196=1,"מטופל - סוכן אחד","מטופל - יותר מסוכן אחד"))</f>
        <v/>
      </c>
    </row>
    <row r="197" ht="15" customHeight="1" s="82">
      <c r="A197" s="94" t="inlineStr">
        <is>
          <t>ס. פארם</t>
        </is>
      </c>
      <c r="B197" s="94" t="inlineStr">
        <is>
          <t>ס.פ.בן גוריון תרופות</t>
        </is>
      </c>
      <c r="C197" s="111" t="n">
        <v>0</v>
      </c>
      <c r="D197" s="111" t="n">
        <v>0</v>
      </c>
      <c r="E197" s="111" t="n">
        <v>14908.2</v>
      </c>
      <c r="F197" s="111" t="n">
        <v>0</v>
      </c>
      <c r="G197" s="111" t="n">
        <v>0</v>
      </c>
      <c r="H197" s="94">
        <f>COUNTIF(C197:G197,"&lt;&gt;0")</f>
        <v/>
      </c>
      <c r="I197" s="94">
        <f>IF(H197=0,"לא מטופל",IF(H197=1,"מטופל - סוכן אחד","מטופל - יותר מסוכן אחד"))</f>
        <v/>
      </c>
    </row>
    <row r="198" ht="15" customHeight="1" s="82">
      <c r="A198" s="94" t="inlineStr">
        <is>
          <t>ס. פארם</t>
        </is>
      </c>
      <c r="B198" s="94" t="inlineStr">
        <is>
          <t>ס.פ.מגדל הורד תרופות</t>
        </is>
      </c>
      <c r="C198" s="111" t="n">
        <v>0</v>
      </c>
      <c r="D198" s="111" t="n">
        <v>0</v>
      </c>
      <c r="E198" s="111" t="n">
        <v>20746.9</v>
      </c>
      <c r="F198" s="111" t="n">
        <v>0</v>
      </c>
      <c r="G198" s="111" t="n">
        <v>0</v>
      </c>
      <c r="H198" s="94">
        <f>COUNTIF(C198:G198,"&lt;&gt;0")</f>
        <v/>
      </c>
      <c r="I198" s="94">
        <f>IF(H198=0,"לא מטופל",IF(H198=1,"מטופל - סוכן אחד","מטופל - יותר מסוכן אחד"))</f>
        <v/>
      </c>
    </row>
    <row r="199" ht="15" customHeight="1" s="82">
      <c r="A199" s="94" t="inlineStr">
        <is>
          <t>ס. פארם</t>
        </is>
      </c>
      <c r="B199" s="94" t="inlineStr">
        <is>
          <t>ס.פ.גבעתיים תרופות</t>
        </is>
      </c>
      <c r="C199" s="111" t="n">
        <v>0</v>
      </c>
      <c r="D199" s="111" t="n">
        <v>0</v>
      </c>
      <c r="E199" s="111" t="n">
        <v>26589</v>
      </c>
      <c r="F199" s="111" t="n">
        <v>0</v>
      </c>
      <c r="G199" s="111" t="n">
        <v>0</v>
      </c>
      <c r="H199" s="94">
        <f>COUNTIF(C199:G199,"&lt;&gt;0")</f>
        <v/>
      </c>
      <c r="I199" s="94">
        <f>IF(H199=0,"לא מטופל",IF(H199=1,"מטופל - סוכן אחד","מטופל - יותר מסוכן אחד"))</f>
        <v/>
      </c>
    </row>
    <row r="200" ht="15" customHeight="1" s="82">
      <c r="A200" s="94" t="inlineStr">
        <is>
          <t>ס. פארם</t>
        </is>
      </c>
      <c r="B200" s="94" t="inlineStr">
        <is>
          <t>ס.פ.מגדל האופרה תרופות</t>
        </is>
      </c>
      <c r="C200" s="111" t="n">
        <v>0</v>
      </c>
      <c r="D200" s="111" t="n">
        <v>0</v>
      </c>
      <c r="E200" s="111" t="n">
        <v>28386</v>
      </c>
      <c r="F200" s="111" t="n">
        <v>0</v>
      </c>
      <c r="G200" s="111" t="n">
        <v>0</v>
      </c>
      <c r="H200" s="94">
        <f>COUNTIF(C200:G200,"&lt;&gt;0")</f>
        <v/>
      </c>
      <c r="I200" s="94">
        <f>IF(H200=0,"לא מטופל",IF(H200=1,"מטופל - סוכן אחד","מטופל - יותר מסוכן אחד"))</f>
        <v/>
      </c>
    </row>
    <row r="201" ht="15" customHeight="1" s="82">
      <c r="A201" s="94" t="inlineStr">
        <is>
          <t>ס. פארם</t>
        </is>
      </c>
      <c r="B201" s="94" t="inlineStr">
        <is>
          <t>ס.פ.אלנבי תרופות</t>
        </is>
      </c>
      <c r="C201" s="111" t="n">
        <v>23531.3</v>
      </c>
      <c r="D201" s="111" t="n">
        <v>0</v>
      </c>
      <c r="E201" s="111" t="n">
        <v>0</v>
      </c>
      <c r="F201" s="111" t="n">
        <v>0</v>
      </c>
      <c r="G201" s="111" t="n">
        <v>0</v>
      </c>
      <c r="H201" s="94">
        <f>COUNTIF(C201:G201,"&lt;&gt;0")</f>
        <v/>
      </c>
      <c r="I201" s="94">
        <f>IF(H201=0,"לא מטופל",IF(H201=1,"מטופל - סוכן אחד","מטופל - יותר מסוכן אחד"))</f>
        <v/>
      </c>
    </row>
    <row r="202" ht="15" customHeight="1" s="82">
      <c r="A202" s="94" t="inlineStr">
        <is>
          <t>ס. פארם</t>
        </is>
      </c>
      <c r="B202" s="94" t="inlineStr">
        <is>
          <t>ס.פ.פלורנטין תרופות</t>
        </is>
      </c>
      <c r="C202" s="111" t="n">
        <v>3502.7</v>
      </c>
      <c r="D202" s="111" t="n">
        <v>0</v>
      </c>
      <c r="E202" s="111" t="n">
        <v>0</v>
      </c>
      <c r="F202" s="111" t="n">
        <v>0</v>
      </c>
      <c r="G202" s="111" t="n">
        <v>0</v>
      </c>
      <c r="H202" s="94">
        <f>COUNTIF(C202:G202,"&lt;&gt;0")</f>
        <v/>
      </c>
      <c r="I202" s="94">
        <f>IF(H202=0,"לא מטופל",IF(H202=1,"מטופל - סוכן אחד","מטופל - יותר מסוכן אחד"))</f>
        <v/>
      </c>
    </row>
    <row r="203" ht="15" customHeight="1" s="82">
      <c r="A203" s="94" t="inlineStr">
        <is>
          <t>ס. פארם</t>
        </is>
      </c>
      <c r="B203" s="94" t="inlineStr">
        <is>
          <t>ס.פ.מגדלי ת""א תרופות</t>
        </is>
      </c>
      <c r="C203" s="111" t="n">
        <v>13990.1</v>
      </c>
      <c r="D203" s="111" t="n">
        <v>0</v>
      </c>
      <c r="E203" s="111" t="n">
        <v>0</v>
      </c>
      <c r="F203" s="111" t="n">
        <v>0</v>
      </c>
      <c r="G203" s="111" t="n">
        <v>0</v>
      </c>
      <c r="H203" s="94">
        <f>COUNTIF(C203:G203,"&lt;&gt;0")</f>
        <v/>
      </c>
      <c r="I203" s="94">
        <f>IF(H203=0,"לא מטופל",IF(H203=1,"מטופל - סוכן אחד","מטופל - יותר מסוכן אחד"))</f>
        <v/>
      </c>
    </row>
    <row r="204" ht="15" customHeight="1" s="82">
      <c r="A204" s="94" t="inlineStr">
        <is>
          <t>ס. פארם</t>
        </is>
      </c>
      <c r="B204" s="94" t="inlineStr">
        <is>
          <t>ס.פ.נמל תל אביב תרופות</t>
        </is>
      </c>
      <c r="C204" s="111" t="n">
        <v>12606.9</v>
      </c>
      <c r="D204" s="111" t="n">
        <v>0</v>
      </c>
      <c r="E204" s="111" t="n">
        <v>0</v>
      </c>
      <c r="F204" s="111" t="n">
        <v>0</v>
      </c>
      <c r="G204" s="111" t="n">
        <v>0</v>
      </c>
      <c r="H204" s="94">
        <f>COUNTIF(C204:G204,"&lt;&gt;0")</f>
        <v/>
      </c>
      <c r="I204" s="94">
        <f>IF(H204=0,"לא מטופל",IF(H204=1,"מטופל - סוכן אחד","מטופל - יותר מסוכן אחד"))</f>
        <v/>
      </c>
    </row>
    <row r="205" ht="15" customHeight="1" s="82">
      <c r="A205" s="94" t="inlineStr">
        <is>
          <t>ס. פארם</t>
        </is>
      </c>
      <c r="B205" s="94" t="inlineStr">
        <is>
          <t>ס.פ.דיזנגוף סנטר תרופות</t>
        </is>
      </c>
      <c r="C205" s="111" t="n">
        <v>23945.1</v>
      </c>
      <c r="D205" s="111" t="n">
        <v>0</v>
      </c>
      <c r="E205" s="111" t="n">
        <v>0</v>
      </c>
      <c r="F205" s="111" t="n">
        <v>0</v>
      </c>
      <c r="G205" s="111" t="n">
        <v>0</v>
      </c>
      <c r="H205" s="94">
        <f>COUNTIF(C205:G205,"&lt;&gt;0")</f>
        <v/>
      </c>
      <c r="I205" s="94">
        <f>IF(H205=0,"לא מטופל",IF(H205=1,"מטופל - סוכן אחד","מטופל - יותר מסוכן אחד"))</f>
        <v/>
      </c>
    </row>
    <row r="206" ht="15" customHeight="1" s="82">
      <c r="A206" s="94" t="inlineStr">
        <is>
          <t>ס. פארם</t>
        </is>
      </c>
      <c r="B206" s="94" t="inlineStr">
        <is>
          <t>ס.פ. איכילוב תרופות</t>
        </is>
      </c>
      <c r="C206" s="111" t="n">
        <v>52869.2</v>
      </c>
      <c r="D206" s="111" t="n">
        <v>0</v>
      </c>
      <c r="E206" s="111" t="n">
        <v>0</v>
      </c>
      <c r="F206" s="111" t="n">
        <v>0</v>
      </c>
      <c r="G206" s="111" t="n">
        <v>0</v>
      </c>
      <c r="H206" s="94">
        <f>COUNTIF(C206:G206,"&lt;&gt;0")</f>
        <v/>
      </c>
      <c r="I206" s="94">
        <f>IF(H206=0,"לא מטופל",IF(H206=1,"מטופל - סוכן אחד","מטופל - יותר מסוכן אחד"))</f>
        <v/>
      </c>
    </row>
    <row r="207" ht="15" customHeight="1" s="82">
      <c r="A207" s="94" t="inlineStr">
        <is>
          <t>ס. פארם</t>
        </is>
      </c>
      <c r="B207" s="94" t="inlineStr">
        <is>
          <t>ס.פ.יד אליהו  תרופות</t>
        </is>
      </c>
      <c r="C207" s="111" t="n">
        <v>16269.8</v>
      </c>
      <c r="D207" s="111" t="n">
        <v>0</v>
      </c>
      <c r="E207" s="111" t="n">
        <v>0</v>
      </c>
      <c r="F207" s="111" t="n">
        <v>0</v>
      </c>
      <c r="G207" s="111" t="n">
        <v>0</v>
      </c>
      <c r="H207" s="94">
        <f>COUNTIF(C207:G207,"&lt;&gt;0")</f>
        <v/>
      </c>
      <c r="I207" s="94">
        <f>IF(H207=0,"לא מטופל",IF(H207=1,"מטופל - סוכן אחד","מטופל - יותר מסוכן אחד"))</f>
        <v/>
      </c>
    </row>
    <row r="208" ht="15" customHeight="1" s="82">
      <c r="A208" s="94" t="inlineStr">
        <is>
          <t>ס. פארם</t>
        </is>
      </c>
      <c r="B208" s="94" t="inlineStr">
        <is>
          <t>ס.פ.ת.מרכזית תא תרופות</t>
        </is>
      </c>
      <c r="C208" s="111" t="n">
        <v>26586.6</v>
      </c>
      <c r="D208" s="111" t="n">
        <v>0</v>
      </c>
      <c r="E208" s="111" t="n">
        <v>0</v>
      </c>
      <c r="F208" s="111" t="n">
        <v>0</v>
      </c>
      <c r="G208" s="111" t="n">
        <v>0</v>
      </c>
      <c r="H208" s="94">
        <f>COUNTIF(C208:G208,"&lt;&gt;0")</f>
        <v/>
      </c>
      <c r="I208" s="94">
        <f>IF(H208=0,"לא מטופל",IF(H208=1,"מטופל - סוכן אחד","מטופל - יותר מסוכן אחד"))</f>
        <v/>
      </c>
    </row>
    <row r="209" ht="15" customHeight="1" s="82">
      <c r="A209" s="94" t="inlineStr">
        <is>
          <t>ס. פארם</t>
        </is>
      </c>
      <c r="B209" s="94" t="inlineStr">
        <is>
          <t>ס.פ.מגדל שלום תרופות</t>
        </is>
      </c>
      <c r="C209" s="111" t="n">
        <v>29337.2</v>
      </c>
      <c r="D209" s="111" t="n">
        <v>0</v>
      </c>
      <c r="E209" s="111" t="n">
        <v>0</v>
      </c>
      <c r="F209" s="111" t="n">
        <v>0</v>
      </c>
      <c r="G209" s="111" t="n">
        <v>0</v>
      </c>
      <c r="H209" s="94">
        <f>COUNTIF(C209:G209,"&lt;&gt;0")</f>
        <v/>
      </c>
      <c r="I209" s="94">
        <f>IF(H209=0,"לא מטופל",IF(H209=1,"מטופל - סוכן אחד","מטופל - יותר מסוכן אחד"))</f>
        <v/>
      </c>
    </row>
    <row r="210" ht="15" customHeight="1" s="82">
      <c r="A210" s="94" t="inlineStr">
        <is>
          <t>ס. פארם</t>
        </is>
      </c>
      <c r="B210" s="94" t="inlineStr">
        <is>
          <t>ס.פ.צמרת ת""א תרופות</t>
        </is>
      </c>
      <c r="C210" s="111" t="n">
        <v>9282.299999999999</v>
      </c>
      <c r="D210" s="111" t="n">
        <v>0</v>
      </c>
      <c r="E210" s="111" t="n">
        <v>0</v>
      </c>
      <c r="F210" s="111" t="n">
        <v>0</v>
      </c>
      <c r="G210" s="111" t="n">
        <v>0</v>
      </c>
      <c r="H210" s="94">
        <f>COUNTIF(C210:G210,"&lt;&gt;0")</f>
        <v/>
      </c>
      <c r="I210" s="94">
        <f>IF(H210=0,"לא מטופל",IF(H210=1,"מטופל - סוכן אחד","מטופל - יותר מסוכן אחד"))</f>
        <v/>
      </c>
    </row>
    <row r="211" ht="15" customHeight="1" s="82">
      <c r="A211" s="94" t="inlineStr">
        <is>
          <t>ס. פארם</t>
        </is>
      </c>
      <c r="B211" s="94" t="inlineStr">
        <is>
          <t>ס.פ.מיניסטור תרופות</t>
        </is>
      </c>
      <c r="C211" s="111" t="n">
        <v>55216.1</v>
      </c>
      <c r="D211" s="111" t="n">
        <v>0</v>
      </c>
      <c r="E211" s="111" t="n">
        <v>0</v>
      </c>
      <c r="F211" s="111" t="n">
        <v>0</v>
      </c>
      <c r="G211" s="111" t="n">
        <v>0</v>
      </c>
      <c r="H211" s="94">
        <f>COUNTIF(C211:G211,"&lt;&gt;0")</f>
        <v/>
      </c>
      <c r="I211" s="94">
        <f>IF(H211=0,"לא מטופל",IF(H211=1,"מטופל - סוכן אחד","מטופל - יותר מסוכן אחד"))</f>
        <v/>
      </c>
    </row>
    <row r="212" ht="15" customHeight="1" s="82">
      <c r="A212" s="94" t="inlineStr">
        <is>
          <t>ס. פארם</t>
        </is>
      </c>
      <c r="B212" s="94" t="inlineStr">
        <is>
          <t>ס.פ מ.השלום )עזריאלי( תרופות</t>
        </is>
      </c>
      <c r="C212" s="111" t="n">
        <v>28237.9</v>
      </c>
      <c r="D212" s="111" t="n">
        <v>0</v>
      </c>
      <c r="E212" s="111" t="n">
        <v>0</v>
      </c>
      <c r="F212" s="111" t="n">
        <v>0</v>
      </c>
      <c r="G212" s="111" t="n">
        <v>0</v>
      </c>
      <c r="H212" s="94">
        <f>COUNTIF(C212:G212,"&lt;&gt;0")</f>
        <v/>
      </c>
      <c r="I212" s="94">
        <f>IF(H212=0,"לא מטופל",IF(H212=1,"מטופל - סוכן אחד","מטופל - יותר מסוכן אחד"))</f>
        <v/>
      </c>
    </row>
    <row r="213" ht="15" customHeight="1" s="82">
      <c r="A213" s="94" t="inlineStr">
        <is>
          <t>ס. פארם</t>
        </is>
      </c>
      <c r="B213" s="94" t="inlineStr">
        <is>
          <t>ס.פ.גורדון תרופות</t>
        </is>
      </c>
      <c r="C213" s="111" t="n">
        <v>23058.1</v>
      </c>
      <c r="D213" s="111" t="n">
        <v>0</v>
      </c>
      <c r="E213" s="111" t="n">
        <v>0</v>
      </c>
      <c r="F213" s="111" t="n">
        <v>0</v>
      </c>
      <c r="G213" s="111" t="n">
        <v>0</v>
      </c>
      <c r="H213" s="94">
        <f>COUNTIF(C213:G213,"&lt;&gt;0")</f>
        <v/>
      </c>
      <c r="I213" s="94">
        <f>IF(H213=0,"לא מטופל",IF(H213=1,"מטופל - סוכן אחד","מטופל - יותר מסוכן אחד"))</f>
        <v/>
      </c>
    </row>
    <row r="214" ht="15" customHeight="1" s="82">
      <c r="A214" s="94" t="inlineStr">
        <is>
          <t>ס. פארם</t>
        </is>
      </c>
      <c r="B214" s="94" t="inlineStr">
        <is>
          <t>ס.פ.אבן גבירול תרופות</t>
        </is>
      </c>
      <c r="C214" s="111" t="n">
        <v>24134.5</v>
      </c>
      <c r="D214" s="111" t="n">
        <v>0</v>
      </c>
      <c r="E214" s="111" t="n">
        <v>0</v>
      </c>
      <c r="F214" s="111" t="n">
        <v>0</v>
      </c>
      <c r="G214" s="111" t="n">
        <v>0</v>
      </c>
      <c r="H214" s="94">
        <f>COUNTIF(C214:G214,"&lt;&gt;0")</f>
        <v/>
      </c>
      <c r="I214" s="94">
        <f>IF(H214=0,"לא מטופל",IF(H214=1,"מטופל - סוכן אחד","מטופל - יותר מסוכן אחד"))</f>
        <v/>
      </c>
    </row>
    <row r="215" ht="15" customHeight="1" s="82">
      <c r="A215" s="94" t="inlineStr">
        <is>
          <t>ס. פארם</t>
        </is>
      </c>
      <c r="B215" s="94" t="inlineStr">
        <is>
          <t>ס.פ.קסטל תל אביב תרופות</t>
        </is>
      </c>
      <c r="C215" s="111" t="n">
        <v>5818.3</v>
      </c>
      <c r="D215" s="111" t="n">
        <v>0</v>
      </c>
      <c r="E215" s="111" t="n">
        <v>0</v>
      </c>
      <c r="F215" s="111" t="n">
        <v>0</v>
      </c>
      <c r="G215" s="111" t="n">
        <v>0</v>
      </c>
      <c r="H215" s="94">
        <f>COUNTIF(C215:G215,"&lt;&gt;0")</f>
        <v/>
      </c>
      <c r="I215" s="94">
        <f>IF(H215=0,"לא מטופל",IF(H215=1,"מטופל - סוכן אחד","מטופל - יותר מסוכן אחד"))</f>
        <v/>
      </c>
    </row>
    <row r="216" ht="15" customHeight="1" s="82">
      <c r="A216" s="94" t="inlineStr">
        <is>
          <t>ס. פארם</t>
        </is>
      </c>
      <c r="B216" s="94" t="inlineStr">
        <is>
          <t>ס.פ.שנקין תרופות</t>
        </is>
      </c>
      <c r="C216" s="111" t="n">
        <v>19827.1</v>
      </c>
      <c r="D216" s="111" t="n">
        <v>0</v>
      </c>
      <c r="E216" s="111" t="n">
        <v>0</v>
      </c>
      <c r="F216" s="111" t="n">
        <v>0</v>
      </c>
      <c r="G216" s="111" t="n">
        <v>0</v>
      </c>
      <c r="H216" s="94">
        <f>COUNTIF(C216:G216,"&lt;&gt;0")</f>
        <v/>
      </c>
      <c r="I216" s="94">
        <f>IF(H216=0,"לא מטופל",IF(H216=1,"מטופל - סוכן אחד","מטופל - יותר מסוכן אחד"))</f>
        <v/>
      </c>
    </row>
    <row r="217" ht="15" customHeight="1" s="82">
      <c r="A217" s="94" t="inlineStr">
        <is>
          <t>ס. פארם</t>
        </is>
      </c>
      <c r="B217" s="94" t="inlineStr">
        <is>
          <t>ס.פ התמרים חברת אופיר סלומון ב</t>
        </is>
      </c>
      <c r="C217" s="111" t="n">
        <v>0</v>
      </c>
      <c r="D217" s="111" t="n">
        <v>0</v>
      </c>
      <c r="E217" s="111" t="n">
        <v>0</v>
      </c>
      <c r="F217" s="111" t="n">
        <v>0</v>
      </c>
      <c r="G217" s="111" t="n">
        <v>28337.4</v>
      </c>
      <c r="H217" s="94">
        <f>COUNTIF(C217:G217,"&lt;&gt;0")</f>
        <v/>
      </c>
      <c r="I217" s="94">
        <f>IF(H217=0,"לא מטופל",IF(H217=1,"מטופל - סוכן אחד","מטופל - יותר מסוכן אחד"))</f>
        <v/>
      </c>
    </row>
    <row r="218" ht="15" customHeight="1" s="82">
      <c r="A218" s="94" t="inlineStr">
        <is>
          <t>ס. פארם</t>
        </is>
      </c>
      <c r="B218" s="94" t="inlineStr">
        <is>
          <t>""ס.פ שחמון חברת שרון בן לסן בע</t>
        </is>
      </c>
      <c r="C218" s="111" t="n">
        <v>0</v>
      </c>
      <c r="D218" s="111" t="n">
        <v>0</v>
      </c>
      <c r="E218" s="111" t="n">
        <v>0</v>
      </c>
      <c r="F218" s="111" t="n">
        <v>0</v>
      </c>
      <c r="G218" s="111" t="n">
        <v>27958.3</v>
      </c>
      <c r="H218" s="94">
        <f>COUNTIF(C218:G218,"&lt;&gt;0")</f>
        <v/>
      </c>
      <c r="I218" s="94">
        <f>IF(H218=0,"לא מטופל",IF(H218=1,"מטופל - סוכן אחד","מטופל - יותר מסוכן אחד"))</f>
        <v/>
      </c>
    </row>
    <row r="219" ht="15" customHeight="1" s="82">
      <c r="A219" s="94" t="inlineStr">
        <is>
          <t>ס. פארם</t>
        </is>
      </c>
      <c r="B219" s="94" t="inlineStr">
        <is>
          <t>""ס.פ מול הים חברת דוד אהרון בע</t>
        </is>
      </c>
      <c r="C219" s="111" t="n">
        <v>0</v>
      </c>
      <c r="D219" s="111" t="n">
        <v>0</v>
      </c>
      <c r="E219" s="111" t="n">
        <v>0</v>
      </c>
      <c r="F219" s="111" t="n">
        <v>0</v>
      </c>
      <c r="G219" s="111" t="n">
        <v>30442.7</v>
      </c>
      <c r="H219" s="94">
        <f>COUNTIF(C219:G219,"&lt;&gt;0")</f>
        <v/>
      </c>
      <c r="I219" s="94">
        <f>IF(H219=0,"לא מטופל",IF(H219=1,"מטופל - סוכן אחד","מטופל - יותר מסוכן אחד"))</f>
        <v/>
      </c>
    </row>
    <row r="220" ht="15" customHeight="1" s="82">
      <c r="A220" s="94" t="inlineStr">
        <is>
          <t>ס. פארם</t>
        </is>
      </c>
      <c r="B220" s="94" t="inlineStr">
        <is>
          <t>ס.פ ביג אילת חב.שרון בן לסן בע</t>
        </is>
      </c>
      <c r="C220" s="111" t="n">
        <v>0</v>
      </c>
      <c r="D220" s="111" t="n">
        <v>0</v>
      </c>
      <c r="E220" s="111" t="n">
        <v>0</v>
      </c>
      <c r="F220" s="111" t="n">
        <v>0</v>
      </c>
      <c r="G220" s="111" t="n">
        <v>29529.4</v>
      </c>
      <c r="H220" s="94">
        <f>COUNTIF(C220:G220,"&lt;&gt;0")</f>
        <v/>
      </c>
      <c r="I220" s="94">
        <f>IF(H220=0,"לא מטופל",IF(H220=1,"מטופל - סוכן אחד","מטופל - יותר מסוכן אחד"))</f>
        <v/>
      </c>
    </row>
    <row r="221" ht="15" customHeight="1" s="82">
      <c r="A221" s="94" t="inlineStr">
        <is>
          <t>ס. פארם</t>
        </is>
      </c>
      <c r="B221" s="94" t="inlineStr">
        <is>
          <t>ס.פ.רעננה מרכז תרופות</t>
        </is>
      </c>
      <c r="C221" s="111" t="n">
        <v>29524.7</v>
      </c>
      <c r="D221" s="111" t="n">
        <v>0</v>
      </c>
      <c r="E221" s="111" t="n">
        <v>0</v>
      </c>
      <c r="F221" s="111" t="n">
        <v>0</v>
      </c>
      <c r="G221" s="111" t="n">
        <v>0</v>
      </c>
      <c r="H221" s="94">
        <f>COUNTIF(C221:G221,"&lt;&gt;0")</f>
        <v/>
      </c>
      <c r="I221" s="94">
        <f>IF(H221=0,"לא מטופל",IF(H221=1,"מטופל - סוכן אחד","מטופל - יותר מסוכן אחד"))</f>
        <v/>
      </c>
    </row>
    <row r="222" ht="15" customHeight="1" s="82">
      <c r="A222" s="94" t="inlineStr">
        <is>
          <t>ס. פארם</t>
        </is>
      </c>
      <c r="B222" s="94" t="inlineStr">
        <is>
          <t>ס.פ.רננים תרופות</t>
        </is>
      </c>
      <c r="C222" s="111" t="n">
        <v>27258.3</v>
      </c>
      <c r="D222" s="111" t="n">
        <v>0</v>
      </c>
      <c r="E222" s="111" t="n">
        <v>0</v>
      </c>
      <c r="F222" s="111" t="n">
        <v>0</v>
      </c>
      <c r="G222" s="111" t="n">
        <v>0</v>
      </c>
      <c r="H222" s="94">
        <f>COUNTIF(C222:G222,"&lt;&gt;0")</f>
        <v/>
      </c>
      <c r="I222" s="94">
        <f>IF(H222=0,"לא מטופל",IF(H222=1,"מטופל - סוכן אחד","מטופל - יותר מסוכן אחד"))</f>
        <v/>
      </c>
    </row>
    <row r="223" ht="15" customHeight="1" s="82">
      <c r="A223" s="94" t="inlineStr">
        <is>
          <t>ס. פארם</t>
        </is>
      </c>
      <c r="B223" s="94" t="inlineStr">
        <is>
          <t>ס.פ.פקר כפר סבא תרופות</t>
        </is>
      </c>
      <c r="C223" s="111" t="n">
        <v>38331.4</v>
      </c>
      <c r="D223" s="111" t="n">
        <v>0</v>
      </c>
      <c r="E223" s="111" t="n">
        <v>0</v>
      </c>
      <c r="F223" s="111" t="n">
        <v>0</v>
      </c>
      <c r="G223" s="111" t="n">
        <v>0</v>
      </c>
      <c r="H223" s="94">
        <f>COUNTIF(C223:G223,"&lt;&gt;0")</f>
        <v/>
      </c>
      <c r="I223" s="94">
        <f>IF(H223=0,"לא מטופל",IF(H223=1,"מטופל - סוכן אחד","מטופל - יותר מסוכן אחד"))</f>
        <v/>
      </c>
    </row>
    <row r="224" ht="15" customHeight="1" s="82">
      <c r="A224" s="94" t="inlineStr">
        <is>
          <t>ס. פארם</t>
        </is>
      </c>
      <c r="B224" s="94" t="inlineStr">
        <is>
          <t>267  ס.פ.פארק מול תרופות</t>
        </is>
      </c>
      <c r="C224" s="111" t="n">
        <v>36868.9</v>
      </c>
      <c r="D224" s="111" t="n">
        <v>0</v>
      </c>
      <c r="E224" s="111" t="n">
        <v>0</v>
      </c>
      <c r="F224" s="111" t="n">
        <v>0</v>
      </c>
      <c r="G224" s="111" t="n">
        <v>0</v>
      </c>
      <c r="H224" s="94">
        <f>COUNTIF(C224:G224,"&lt;&gt;0")</f>
        <v/>
      </c>
      <c r="I224" s="94">
        <f>IF(H224=0,"לא מטופל",IF(H224=1,"מטופל - סוכן אחד","מטופל - יותר מסוכן אחד"))</f>
        <v/>
      </c>
    </row>
    <row r="225" ht="15" customHeight="1" s="82">
      <c r="A225" s="94" t="inlineStr">
        <is>
          <t>ס. פארם</t>
        </is>
      </c>
      <c r="B225" s="94" t="inlineStr">
        <is>
          <t>ס.פ.הוד השרון תרופות</t>
        </is>
      </c>
      <c r="C225" s="111" t="n">
        <v>36008.2</v>
      </c>
      <c r="D225" s="111" t="n">
        <v>0</v>
      </c>
      <c r="E225" s="111" t="n">
        <v>0</v>
      </c>
      <c r="F225" s="111" t="n">
        <v>0</v>
      </c>
      <c r="G225" s="111" t="n">
        <v>0</v>
      </c>
      <c r="H225" s="94">
        <f>COUNTIF(C225:G225,"&lt;&gt;0")</f>
        <v/>
      </c>
      <c r="I225" s="94">
        <f>IF(H225=0,"לא מטופל",IF(H225=1,"מטופל - סוכן אחד","מטופל - יותר מסוכן אחד"))</f>
        <v/>
      </c>
    </row>
    <row r="226" ht="15" customHeight="1" s="82">
      <c r="A226" s="94" t="inlineStr">
        <is>
          <t>ס. פארם</t>
        </is>
      </c>
      <c r="B226" s="94" t="inlineStr">
        <is>
          <t>ס.פ.כפר סבא תרופות</t>
        </is>
      </c>
      <c r="C226" s="111" t="n">
        <v>12046.9</v>
      </c>
      <c r="D226" s="111" t="n">
        <v>0</v>
      </c>
      <c r="E226" s="111" t="n">
        <v>0</v>
      </c>
      <c r="F226" s="111" t="n">
        <v>0</v>
      </c>
      <c r="G226" s="111" t="n">
        <v>0</v>
      </c>
      <c r="H226" s="94">
        <f>COUNTIF(C226:G226,"&lt;&gt;0")</f>
        <v/>
      </c>
      <c r="I226" s="94">
        <f>IF(H226=0,"לא מטופל",IF(H226=1,"מטופל - סוכן אחד","מטופל - יותר מסוכן אחד"))</f>
        <v/>
      </c>
    </row>
    <row r="227" ht="15" customHeight="1" s="82">
      <c r="A227" s="94" t="inlineStr">
        <is>
          <t>ס. פארם</t>
        </is>
      </c>
      <c r="B227" s="94" t="inlineStr">
        <is>
          <t>ס.פ.קניון ערים כ""ס תרופות</t>
        </is>
      </c>
      <c r="C227" s="111" t="n">
        <v>25241.1</v>
      </c>
      <c r="D227" s="111" t="n">
        <v>0</v>
      </c>
      <c r="E227" s="111" t="n">
        <v>0</v>
      </c>
      <c r="F227" s="111" t="n">
        <v>0</v>
      </c>
      <c r="G227" s="111" t="n">
        <v>0</v>
      </c>
      <c r="H227" s="94">
        <f>COUNTIF(C227:G227,"&lt;&gt;0")</f>
        <v/>
      </c>
      <c r="I227" s="94">
        <f>IF(H227=0,"לא מטופל",IF(H227=1,"מטופל - סוכן אחד","מטופל - יותר מסוכן אחד"))</f>
        <v/>
      </c>
    </row>
    <row r="228" ht="15" customHeight="1" s="82">
      <c r="A228" s="94" t="inlineStr">
        <is>
          <t>ס. פארם</t>
        </is>
      </c>
      <c r="B228" s="94" t="inlineStr">
        <is>
          <t>ס.פ.קניון השרון נתניה תרופות</t>
        </is>
      </c>
      <c r="C228" s="111" t="n">
        <v>22457</v>
      </c>
      <c r="D228" s="111" t="n">
        <v>0</v>
      </c>
      <c r="E228" s="111" t="n">
        <v>0</v>
      </c>
      <c r="F228" s="111" t="n">
        <v>0</v>
      </c>
      <c r="G228" s="111" t="n">
        <v>0</v>
      </c>
      <c r="H228" s="94">
        <f>COUNTIF(C228:G228,"&lt;&gt;0")</f>
        <v/>
      </c>
      <c r="I228" s="94">
        <f>IF(H228=0,"לא מטופל",IF(H228=1,"מטופל - סוכן אחד","מטופל - יותר מסוכן אחד"))</f>
        <v/>
      </c>
    </row>
    <row r="229" ht="15" customHeight="1" s="82">
      <c r="A229" s="94" t="inlineStr">
        <is>
          <t>ס. פארם</t>
        </is>
      </c>
      <c r="B229" s="94" t="inlineStr">
        <is>
          <t>ס.פ.ויצמן נתניה תרופות</t>
        </is>
      </c>
      <c r="C229" s="111" t="n">
        <v>22009.2</v>
      </c>
      <c r="D229" s="111" t="n">
        <v>0</v>
      </c>
      <c r="E229" s="111" t="n">
        <v>0</v>
      </c>
      <c r="F229" s="111" t="n">
        <v>0</v>
      </c>
      <c r="G229" s="111" t="n">
        <v>0</v>
      </c>
      <c r="H229" s="94">
        <f>COUNTIF(C229:G229,"&lt;&gt;0")</f>
        <v/>
      </c>
      <c r="I229" s="94">
        <f>IF(H229=0,"לא מטופל",IF(H229=1,"מטופל - סוכן אחד","מטופל - יותר מסוכן אחד"))</f>
        <v/>
      </c>
    </row>
    <row r="230" ht="15" customHeight="1" s="82">
      <c r="A230" s="94" t="inlineStr">
        <is>
          <t>ס. פארם</t>
        </is>
      </c>
      <c r="B230" s="94" t="inlineStr">
        <is>
          <t>ס.פ.קדימה תרופות</t>
        </is>
      </c>
      <c r="C230" s="111" t="n">
        <v>19171.2</v>
      </c>
      <c r="D230" s="111" t="n">
        <v>0</v>
      </c>
      <c r="E230" s="111" t="n">
        <v>0</v>
      </c>
      <c r="F230" s="111" t="n">
        <v>0</v>
      </c>
      <c r="G230" s="111" t="n">
        <v>0</v>
      </c>
      <c r="H230" s="94">
        <f>COUNTIF(C230:G230,"&lt;&gt;0")</f>
        <v/>
      </c>
      <c r="I230" s="94">
        <f>IF(H230=0,"לא מטופל",IF(H230=1,"מטופל - סוכן אחד","מטופל - יותר מסוכן אחד"))</f>
        <v/>
      </c>
    </row>
    <row r="231" ht="15" customHeight="1" s="82">
      <c r="A231" s="94" t="inlineStr">
        <is>
          <t>ס. פארם</t>
        </is>
      </c>
      <c r="B231" s="94" t="inlineStr">
        <is>
          <t>ס.פ.תל מונד תרופות</t>
        </is>
      </c>
      <c r="C231" s="111" t="n">
        <v>14916.4</v>
      </c>
      <c r="D231" s="111" t="n">
        <v>0</v>
      </c>
      <c r="E231" s="111" t="n">
        <v>0</v>
      </c>
      <c r="F231" s="111" t="n">
        <v>0</v>
      </c>
      <c r="G231" s="111" t="n">
        <v>0</v>
      </c>
      <c r="H231" s="94">
        <f>COUNTIF(C231:G231,"&lt;&gt;0")</f>
        <v/>
      </c>
      <c r="I231" s="94">
        <f>IF(H231=0,"לא מטופל",IF(H231=1,"מטופל - סוכן אחד","מטופל - יותר מסוכן אחד"))</f>
        <v/>
      </c>
    </row>
    <row r="232" ht="15" customHeight="1" s="82">
      <c r="A232" s="94" t="inlineStr">
        <is>
          <t>ס. פארם</t>
        </is>
      </c>
      <c r="B232" s="94" t="inlineStr">
        <is>
          <t>ס.פ.ביג פולג תרופות</t>
        </is>
      </c>
      <c r="C232" s="111" t="n">
        <v>31310.4</v>
      </c>
      <c r="D232" s="111" t="n">
        <v>0</v>
      </c>
      <c r="E232" s="111" t="n">
        <v>0</v>
      </c>
      <c r="F232" s="111" t="n">
        <v>0</v>
      </c>
      <c r="G232" s="111" t="n">
        <v>0</v>
      </c>
      <c r="H232" s="94">
        <f>COUNTIF(C232:G232,"&lt;&gt;0")</f>
        <v/>
      </c>
      <c r="I232" s="94">
        <f>IF(H232=0,"לא מטופל",IF(H232=1,"מטופל - סוכן אחד","מטופל - יותר מסוכן אחד"))</f>
        <v/>
      </c>
    </row>
    <row r="233" ht="15" customHeight="1" s="82">
      <c r="A233" s="94" t="inlineStr">
        <is>
          <t>ס. פארם</t>
        </is>
      </c>
      <c r="B233" s="94" t="inlineStr">
        <is>
          <t>ס.פ.הארי נתניה תרופות</t>
        </is>
      </c>
      <c r="C233" s="111" t="n">
        <v>38918.4</v>
      </c>
      <c r="D233" s="111" t="n">
        <v>0</v>
      </c>
      <c r="E233" s="111" t="n">
        <v>0</v>
      </c>
      <c r="F233" s="111" t="n">
        <v>0</v>
      </c>
      <c r="G233" s="111" t="n">
        <v>0</v>
      </c>
      <c r="H233" s="94">
        <f>COUNTIF(C233:G233,"&lt;&gt;0")</f>
        <v/>
      </c>
      <c r="I233" s="94">
        <f>IF(H233=0,"לא מטופל",IF(H233=1,"מטופל - סוכן אחד","מטופל - יותר מסוכן אחד"))</f>
        <v/>
      </c>
    </row>
    <row r="234" ht="15" customHeight="1" s="82">
      <c r="A234" s="94" t="inlineStr">
        <is>
          <t>ס. פארם</t>
        </is>
      </c>
      <c r="B234" s="94" t="inlineStr">
        <is>
          <t>ס.פ.עיר ימים נתניה תרופות</t>
        </is>
      </c>
      <c r="C234" s="111" t="n">
        <v>34052.6</v>
      </c>
      <c r="D234" s="111" t="n">
        <v>0</v>
      </c>
      <c r="E234" s="111" t="n">
        <v>0</v>
      </c>
      <c r="F234" s="111" t="n">
        <v>0</v>
      </c>
      <c r="G234" s="111" t="n">
        <v>0</v>
      </c>
      <c r="H234" s="94">
        <f>COUNTIF(C234:G234,"&lt;&gt;0")</f>
        <v/>
      </c>
      <c r="I234" s="94">
        <f>IF(H234=0,"לא מטופל",IF(H234=1,"מטופל - סוכן אחד","מטופל - יותר מסוכן אחד"))</f>
        <v/>
      </c>
    </row>
    <row r="235" ht="15" customHeight="1" s="82">
      <c r="A235" s="94" t="inlineStr">
        <is>
          <t>ס. פארם</t>
        </is>
      </c>
      <c r="B235" s="94" t="inlineStr">
        <is>
          <t>ס.פ.רמז נתניה תרופות</t>
        </is>
      </c>
      <c r="C235" s="111" t="n">
        <v>22927</v>
      </c>
      <c r="D235" s="111" t="n">
        <v>0</v>
      </c>
      <c r="E235" s="111" t="n">
        <v>0</v>
      </c>
      <c r="F235" s="111" t="n">
        <v>0</v>
      </c>
      <c r="G235" s="111" t="n">
        <v>0</v>
      </c>
      <c r="H235" s="94">
        <f>COUNTIF(C235:G235,"&lt;&gt;0")</f>
        <v/>
      </c>
      <c r="I235" s="94">
        <f>IF(H235=0,"לא מטופל",IF(H235=1,"מטופל - סוכן אחד","מטופל - יותר מסוכן אחד"))</f>
        <v/>
      </c>
    </row>
    <row r="236" ht="15" customHeight="1" s="82">
      <c r="A236" s="94" t="inlineStr">
        <is>
          <t>ס. פארם</t>
        </is>
      </c>
      <c r="B236" s="94" t="inlineStr">
        <is>
          <t>ס.פ.גבעת טל תרופות</t>
        </is>
      </c>
      <c r="C236" s="111" t="n">
        <v>0</v>
      </c>
      <c r="D236" s="111" t="n">
        <v>0</v>
      </c>
      <c r="E236" s="111" t="n">
        <v>18895.5</v>
      </c>
      <c r="F236" s="111" t="n">
        <v>0</v>
      </c>
      <c r="G236" s="111" t="n">
        <v>0</v>
      </c>
      <c r="H236" s="94">
        <f>COUNTIF(C236:G236,"&lt;&gt;0")</f>
        <v/>
      </c>
      <c r="I236" s="94">
        <f>IF(H236=0,"לא מטופל",IF(H236=1,"מטופל - סוכן אחד","מטופל - יותר מסוכן אחד"))</f>
        <v/>
      </c>
    </row>
    <row r="237" ht="15" customHeight="1" s="82">
      <c r="A237" s="94" t="inlineStr">
        <is>
          <t>ס. פארם</t>
        </is>
      </c>
      <c r="B237" s="94" t="inlineStr">
        <is>
          <t>ס.פ.היכל תרופות</t>
        </is>
      </c>
      <c r="C237" s="111" t="n">
        <v>0</v>
      </c>
      <c r="D237" s="111" t="n">
        <v>0</v>
      </c>
      <c r="E237" s="111" t="n">
        <v>34842.5</v>
      </c>
      <c r="F237" s="111" t="n">
        <v>0</v>
      </c>
      <c r="G237" s="111" t="n">
        <v>0</v>
      </c>
      <c r="H237" s="94">
        <f>COUNTIF(C237:G237,"&lt;&gt;0")</f>
        <v/>
      </c>
      <c r="I237" s="94">
        <f>IF(H237=0,"לא מטופל",IF(H237=1,"מטופל - סוכן אחד","מטופל - יותר מסוכן אחד"))</f>
        <v/>
      </c>
    </row>
    <row r="238" ht="15" customHeight="1" s="82">
      <c r="A238" s="94" t="inlineStr">
        <is>
          <t>ס. פארם</t>
        </is>
      </c>
      <c r="B238" s="94" t="inlineStr">
        <is>
          <t>ס.פ.כוכב יאיר תרופות</t>
        </is>
      </c>
      <c r="C238" s="111" t="n">
        <v>0</v>
      </c>
      <c r="D238" s="111" t="n">
        <v>0</v>
      </c>
      <c r="E238" s="111" t="n">
        <v>20377.8</v>
      </c>
      <c r="F238" s="111" t="n">
        <v>0</v>
      </c>
      <c r="G238" s="111" t="n">
        <v>0</v>
      </c>
      <c r="H238" s="94">
        <f>COUNTIF(C238:G238,"&lt;&gt;0")</f>
        <v/>
      </c>
      <c r="I238" s="94">
        <f>IF(H238=0,"לא מטופל",IF(H238=1,"מטופל - סוכן אחד","מטופל - יותר מסוכן אחד"))</f>
        <v/>
      </c>
    </row>
    <row r="239" ht="15" customHeight="1" s="82">
      <c r="A239" s="94" t="inlineStr">
        <is>
          <t>ס. פארם</t>
        </is>
      </c>
      <c r="B239" s="94" t="inlineStr">
        <is>
          <t>ס.פ.כפר גנים תרופות</t>
        </is>
      </c>
      <c r="C239" s="111" t="n">
        <v>0</v>
      </c>
      <c r="D239" s="111" t="n">
        <v>0</v>
      </c>
      <c r="E239" s="111" t="n">
        <v>28653</v>
      </c>
      <c r="F239" s="111" t="n">
        <v>0</v>
      </c>
      <c r="G239" s="111" t="n">
        <v>0</v>
      </c>
      <c r="H239" s="94">
        <f>COUNTIF(C239:G239,"&lt;&gt;0")</f>
        <v/>
      </c>
      <c r="I239" s="94">
        <f>IF(H239=0,"לא מטופל",IF(H239=1,"מטופל - סוכן אחד","מטופל - יותר מסוכן אחד"))</f>
        <v/>
      </c>
    </row>
    <row r="240" ht="15" customHeight="1" s="82">
      <c r="A240" s="94" t="inlineStr">
        <is>
          <t>ס. פארם</t>
        </is>
      </c>
      <c r="B240" s="94" t="inlineStr">
        <is>
          <t>ס.פ.בית אמריקה תרופות פ""ת</t>
        </is>
      </c>
      <c r="C240" s="111" t="n">
        <v>0</v>
      </c>
      <c r="D240" s="111" t="n">
        <v>0</v>
      </c>
      <c r="E240" s="111" t="n">
        <v>13982.7</v>
      </c>
      <c r="F240" s="111" t="n">
        <v>0</v>
      </c>
      <c r="G240" s="111" t="n">
        <v>0</v>
      </c>
      <c r="H240" s="94">
        <f>COUNTIF(C240:G240,"&lt;&gt;0")</f>
        <v/>
      </c>
      <c r="I240" s="94">
        <f>IF(H240=0,"לא מטופל",IF(H240=1,"מטופל - סוכן אחד","מטופל - יותר מסוכן אחד"))</f>
        <v/>
      </c>
    </row>
    <row r="241" ht="15" customHeight="1" s="82">
      <c r="A241" s="94" t="inlineStr">
        <is>
          <t>ס. פארם</t>
        </is>
      </c>
      <c r="B241" s="94" t="inlineStr">
        <is>
          <t>ס.פ.אבנת פתח תקווה תרופות</t>
        </is>
      </c>
      <c r="C241" s="111" t="n">
        <v>0</v>
      </c>
      <c r="D241" s="111" t="n">
        <v>0</v>
      </c>
      <c r="E241" s="111" t="n">
        <v>29993.9</v>
      </c>
      <c r="F241" s="111" t="n">
        <v>0</v>
      </c>
      <c r="G241" s="111" t="n">
        <v>0</v>
      </c>
      <c r="H241" s="94">
        <f>COUNTIF(C241:G241,"&lt;&gt;0")</f>
        <v/>
      </c>
      <c r="I241" s="94">
        <f>IF(H241=0,"לא מטופל",IF(H241=1,"מטופל - סוכן אחד","מטופל - יותר מסוכן אחד"))</f>
        <v/>
      </c>
    </row>
    <row r="242" ht="15" customHeight="1" s="82">
      <c r="A242" s="94" t="inlineStr">
        <is>
          <t>ס. פארם</t>
        </is>
      </c>
      <c r="B242" s="94" t="inlineStr">
        <is>
          <t>ס.פ.יכין סנטר תרופות</t>
        </is>
      </c>
      <c r="C242" s="111" t="n">
        <v>0</v>
      </c>
      <c r="D242" s="111" t="n">
        <v>0</v>
      </c>
      <c r="E242" s="111" t="n">
        <v>15986</v>
      </c>
      <c r="F242" s="111" t="n">
        <v>0</v>
      </c>
      <c r="G242" s="111" t="n">
        <v>0</v>
      </c>
      <c r="H242" s="94">
        <f>COUNTIF(C242:G242,"&lt;&gt;0")</f>
        <v/>
      </c>
      <c r="I242" s="94">
        <f>IF(H242=0,"לא מטופל",IF(H242=1,"מטופל - סוכן אחד","מטופל - יותר מסוכן אחד"))</f>
        <v/>
      </c>
    </row>
    <row r="243" ht="15" customHeight="1" s="82">
      <c r="A243" s="94" t="inlineStr">
        <is>
          <t>ס. פארם</t>
        </is>
      </c>
      <c r="B243" s="94" t="inlineStr">
        <is>
          <t>ס.פ.אם המושבות פ""ת תרופות</t>
        </is>
      </c>
      <c r="C243" s="111" t="n">
        <v>0</v>
      </c>
      <c r="D243" s="111" t="n">
        <v>0</v>
      </c>
      <c r="E243" s="111" t="n">
        <v>30392</v>
      </c>
      <c r="F243" s="111" t="n">
        <v>0</v>
      </c>
      <c r="G243" s="111" t="n">
        <v>0</v>
      </c>
      <c r="H243" s="94">
        <f>COUNTIF(C243:G243,"&lt;&gt;0")</f>
        <v/>
      </c>
      <c r="I243" s="94">
        <f>IF(H243=0,"לא מטופל",IF(H243=1,"מטופל - סוכן אחד","מטופל - יותר מסוכן אחד"))</f>
        <v/>
      </c>
    </row>
    <row r="244" ht="15" customHeight="1" s="82">
      <c r="A244" s="94" t="inlineStr">
        <is>
          <t>ס. פארם</t>
        </is>
      </c>
      <c r="B244" s="94" t="inlineStr">
        <is>
          <t>ס.פ.אורון תרופות</t>
        </is>
      </c>
      <c r="C244" s="111" t="n">
        <v>0</v>
      </c>
      <c r="D244" s="111" t="n">
        <v>0</v>
      </c>
      <c r="E244" s="111" t="n">
        <v>11659.4</v>
      </c>
      <c r="F244" s="111" t="n">
        <v>0</v>
      </c>
      <c r="G244" s="111" t="n">
        <v>0</v>
      </c>
      <c r="H244" s="94">
        <f>COUNTIF(C244:G244,"&lt;&gt;0")</f>
        <v/>
      </c>
      <c r="I244" s="94">
        <f>IF(H244=0,"לא מטופל",IF(H244=1,"מטופל - סוכן אחד","מטופל - יותר מסוכן אחד"))</f>
        <v/>
      </c>
    </row>
    <row r="245" ht="15" customHeight="1" s="82">
      <c r="A245" s="94" t="inlineStr">
        <is>
          <t>ס. פארם</t>
        </is>
      </c>
      <c r="B245" s="94" t="inlineStr">
        <is>
          <t>ס.פ.הרצל ראשל""צ תרופות</t>
        </is>
      </c>
      <c r="C245" s="111" t="n">
        <v>21184.9</v>
      </c>
      <c r="D245" s="111" t="n">
        <v>0</v>
      </c>
      <c r="E245" s="111" t="n">
        <v>0</v>
      </c>
      <c r="F245" s="111" t="n">
        <v>0</v>
      </c>
      <c r="G245" s="111" t="n">
        <v>0</v>
      </c>
      <c r="H245" s="94">
        <f>COUNTIF(C245:G245,"&lt;&gt;0")</f>
        <v/>
      </c>
      <c r="I245" s="94">
        <f>IF(H245=0,"לא מטופל",IF(H245=1,"מטופל - סוכן אחד","מטופל - יותר מסוכן אחד"))</f>
        <v/>
      </c>
    </row>
    <row r="246" ht="15" customHeight="1" s="82">
      <c r="A246" s="94" t="inlineStr">
        <is>
          <t>ס. פארם</t>
        </is>
      </c>
      <c r="B246" s="94" t="inlineStr">
        <is>
          <t>ס.פ.שער רחובות-תרופות</t>
        </is>
      </c>
      <c r="C246" s="111" t="n">
        <v>0</v>
      </c>
      <c r="D246" s="111" t="n">
        <v>0</v>
      </c>
      <c r="E246" s="111" t="n">
        <v>0</v>
      </c>
      <c r="F246" s="111" t="n">
        <v>0</v>
      </c>
      <c r="G246" s="111" t="n">
        <v>19456</v>
      </c>
      <c r="H246" s="94">
        <f>COUNTIF(C246:G246,"&lt;&gt;0")</f>
        <v/>
      </c>
      <c r="I246" s="94">
        <f>IF(H246=0,"לא מטופל",IF(H246=1,"מטופל - סוכן אחד","מטופל - יותר מסוכן אחד"))</f>
        <v/>
      </c>
    </row>
    <row r="247" ht="15" customHeight="1" s="82">
      <c r="A247" s="94" t="inlineStr">
        <is>
          <t>ס. פארם</t>
        </is>
      </c>
      <c r="B247" s="94" t="inlineStr">
        <is>
          <t>ס.פ.סנטרו רחובות תרופות</t>
        </is>
      </c>
      <c r="C247" s="111" t="n">
        <v>0</v>
      </c>
      <c r="D247" s="111" t="n">
        <v>0</v>
      </c>
      <c r="E247" s="111" t="n">
        <v>0</v>
      </c>
      <c r="F247" s="111" t="n">
        <v>0</v>
      </c>
      <c r="G247" s="111" t="n">
        <v>20992.4</v>
      </c>
      <c r="H247" s="94">
        <f>COUNTIF(C247:G247,"&lt;&gt;0")</f>
        <v/>
      </c>
      <c r="I247" s="94">
        <f>IF(H247=0,"לא מטופל",IF(H247=1,"מטופל - סוכן אחד","מטופל - יותר מסוכן אחד"))</f>
        <v/>
      </c>
    </row>
    <row r="248" ht="15" customHeight="1" s="82">
      <c r="A248" s="94" t="inlineStr">
        <is>
          <t>ס. פארם</t>
        </is>
      </c>
      <c r="B248" s="94" t="inlineStr">
        <is>
          <t>ס.פ.קניון רחובות תרופות</t>
        </is>
      </c>
      <c r="C248" s="111" t="n">
        <v>0</v>
      </c>
      <c r="D248" s="111" t="n">
        <v>0</v>
      </c>
      <c r="E248" s="111" t="n">
        <v>0</v>
      </c>
      <c r="F248" s="111" t="n">
        <v>0</v>
      </c>
      <c r="G248" s="111" t="n">
        <v>50792.3</v>
      </c>
      <c r="H248" s="94">
        <f>COUNTIF(C248:G248,"&lt;&gt;0")</f>
        <v/>
      </c>
      <c r="I248" s="94">
        <f>IF(H248=0,"לא מטופל",IF(H248=1,"מטופל - סוכן אחד","מטופל - יותר מסוכן אחד"))</f>
        <v/>
      </c>
    </row>
    <row r="249" ht="15" customHeight="1" s="82">
      <c r="A249" s="94" t="inlineStr">
        <is>
          <t>ס. פארם</t>
        </is>
      </c>
      <c r="B249" s="94" t="inlineStr">
        <is>
          <t>ס.פ.ישפרו נס ציונה תרופות</t>
        </is>
      </c>
      <c r="C249" s="111" t="n">
        <v>28814</v>
      </c>
      <c r="D249" s="111" t="n">
        <v>0</v>
      </c>
      <c r="E249" s="111" t="n">
        <v>0</v>
      </c>
      <c r="F249" s="111" t="n">
        <v>0</v>
      </c>
      <c r="G249" s="111" t="n">
        <v>0</v>
      </c>
      <c r="H249" s="94">
        <f>COUNTIF(C249:G249,"&lt;&gt;0")</f>
        <v/>
      </c>
      <c r="I249" s="94">
        <f>IF(H249=0,"לא מטופל",IF(H249=1,"מטופל - סוכן אחד","מטופל - יותר מסוכן אחד"))</f>
        <v/>
      </c>
    </row>
    <row r="250" ht="15" customHeight="1" s="82">
      <c r="A250" s="94" t="inlineStr">
        <is>
          <t>ס. פארם</t>
        </is>
      </c>
      <c r="B250" s="94" t="inlineStr">
        <is>
          <t>ס.פ.גלרי ראשון לציון</t>
        </is>
      </c>
      <c r="C250" s="111" t="n">
        <v>28639.2</v>
      </c>
      <c r="D250" s="111" t="n">
        <v>0</v>
      </c>
      <c r="E250" s="111" t="n">
        <v>0</v>
      </c>
      <c r="F250" s="111" t="n">
        <v>0</v>
      </c>
      <c r="G250" s="111" t="n">
        <v>0</v>
      </c>
      <c r="H250" s="94">
        <f>COUNTIF(C250:G250,"&lt;&gt;0")</f>
        <v/>
      </c>
      <c r="I250" s="94">
        <f>IF(H250=0,"לא מטופל",IF(H250=1,"מטופל - סוכן אחד","מטופל - יותר מסוכן אחד"))</f>
        <v/>
      </c>
    </row>
    <row r="251" ht="15" customHeight="1" s="82">
      <c r="A251" s="94" t="inlineStr">
        <is>
          <t>ס. פארם</t>
        </is>
      </c>
      <c r="B251" s="94" t="inlineStr">
        <is>
          <t>ס.פ.הזהב תרופות</t>
        </is>
      </c>
      <c r="C251" s="111" t="n">
        <v>27468.7</v>
      </c>
      <c r="D251" s="111" t="n">
        <v>0</v>
      </c>
      <c r="E251" s="111" t="n">
        <v>0</v>
      </c>
      <c r="F251" s="111" t="n">
        <v>0</v>
      </c>
      <c r="G251" s="111" t="n">
        <v>0</v>
      </c>
      <c r="H251" s="94">
        <f>COUNTIF(C251:G251,"&lt;&gt;0")</f>
        <v/>
      </c>
      <c r="I251" s="94">
        <f>IF(H251=0,"לא מטופל",IF(H251=1,"מטופל - סוכן אחד","מטופל - יותר מסוכן אחד"))</f>
        <v/>
      </c>
    </row>
    <row r="252" ht="15" customHeight="1" s="82">
      <c r="A252" s="94" t="inlineStr">
        <is>
          <t>ס. פארם</t>
        </is>
      </c>
      <c r="B252" s="94" t="inlineStr">
        <is>
          <t>ס.פ.שיקמה תרופות ראשון לציון</t>
        </is>
      </c>
      <c r="C252" s="111" t="n">
        <v>10267.8</v>
      </c>
      <c r="D252" s="111" t="n">
        <v>0</v>
      </c>
      <c r="E252" s="111" t="n">
        <v>0</v>
      </c>
      <c r="F252" s="111" t="n">
        <v>0</v>
      </c>
      <c r="G252" s="111" t="n">
        <v>0</v>
      </c>
      <c r="H252" s="94">
        <f>COUNTIF(C252:G252,"&lt;&gt;0")</f>
        <v/>
      </c>
      <c r="I252" s="94">
        <f>IF(H252=0,"לא מטופל",IF(H252=1,"מטופל - סוכן אחד","מטופל - יותר מסוכן אחד"))</f>
        <v/>
      </c>
    </row>
    <row r="253" ht="15" customHeight="1" s="82">
      <c r="A253" s="94" t="inlineStr">
        <is>
          <t>ס. פארם</t>
        </is>
      </c>
      <c r="B253" s="94" t="inlineStr">
        <is>
          <t>ס.פ.רוטישלד תרופות</t>
        </is>
      </c>
      <c r="C253" s="111" t="n">
        <v>19042.4</v>
      </c>
      <c r="D253" s="111" t="n">
        <v>0</v>
      </c>
      <c r="E253" s="111" t="n">
        <v>0</v>
      </c>
      <c r="F253" s="111" t="n">
        <v>0</v>
      </c>
      <c r="G253" s="111" t="n">
        <v>0</v>
      </c>
      <c r="H253" s="94">
        <f>COUNTIF(C253:G253,"&lt;&gt;0")</f>
        <v/>
      </c>
      <c r="I253" s="94">
        <f>IF(H253=0,"לא מטופל",IF(H253=1,"מטופל - סוכן אחד","מטופל - יותר מסוכן אחד"))</f>
        <v/>
      </c>
    </row>
    <row r="254" ht="15" customHeight="1" s="82">
      <c r="A254" s="94" t="inlineStr">
        <is>
          <t>ס. פארם</t>
        </is>
      </c>
      <c r="B254" s="94" t="inlineStr">
        <is>
          <t>ס.פ.לישנסקי תרופות</t>
        </is>
      </c>
      <c r="C254" s="111" t="n">
        <v>16818.6</v>
      </c>
      <c r="D254" s="111" t="n">
        <v>0</v>
      </c>
      <c r="E254" s="111" t="n">
        <v>0</v>
      </c>
      <c r="F254" s="111" t="n">
        <v>0</v>
      </c>
      <c r="G254" s="111" t="n">
        <v>0</v>
      </c>
      <c r="H254" s="94">
        <f>COUNTIF(C254:G254,"&lt;&gt;0")</f>
        <v/>
      </c>
      <c r="I254" s="94">
        <f>IF(H254=0,"לא מטופל",IF(H254=1,"מטופל - סוכן אחד","מטופל - יותר מסוכן אחד"))</f>
        <v/>
      </c>
    </row>
    <row r="255" ht="15" customHeight="1" s="82">
      <c r="A255" s="94" t="inlineStr">
        <is>
          <t>ס. פארם</t>
        </is>
      </c>
      <c r="B255" s="94" t="inlineStr">
        <is>
          <t>ס.פ.הרצל תרופות רחובות</t>
        </is>
      </c>
      <c r="C255" s="111" t="n">
        <v>0</v>
      </c>
      <c r="D255" s="111" t="n">
        <v>0</v>
      </c>
      <c r="E255" s="111" t="n">
        <v>0</v>
      </c>
      <c r="F255" s="111" t="n">
        <v>0</v>
      </c>
      <c r="G255" s="111" t="n">
        <v>31858.7</v>
      </c>
      <c r="H255" s="94">
        <f>COUNTIF(C255:G255,"&lt;&gt;0")</f>
        <v/>
      </c>
      <c r="I255" s="94">
        <f>IF(H255=0,"לא מטופל",IF(H255=1,"מטופל - סוכן אחד","מטופל - יותר מסוכן אחד"))</f>
        <v/>
      </c>
    </row>
    <row r="256" ht="15" customHeight="1" s="82">
      <c r="A256" s="94" t="inlineStr">
        <is>
          <t>ס. פארם</t>
        </is>
      </c>
      <c r="B256" s="94" t="inlineStr">
        <is>
          <t>ס.פ.קניותר תרופות</t>
        </is>
      </c>
      <c r="C256" s="111" t="n">
        <v>35996</v>
      </c>
      <c r="D256" s="111" t="n">
        <v>0</v>
      </c>
      <c r="E256" s="111" t="n">
        <v>0</v>
      </c>
      <c r="F256" s="111" t="n">
        <v>0</v>
      </c>
      <c r="G256" s="111" t="n">
        <v>0</v>
      </c>
      <c r="H256" s="94">
        <f>COUNTIF(C256:G256,"&lt;&gt;0")</f>
        <v/>
      </c>
      <c r="I256" s="94">
        <f>IF(H256=0,"לא מטופל",IF(H256=1,"מטופל - סוכן אחד","מטופל - יותר מסוכן אחד"))</f>
        <v/>
      </c>
    </row>
    <row r="257" ht="15" customHeight="1" s="82">
      <c r="A257" s="94" t="inlineStr">
        <is>
          <t>ס. פארם</t>
        </is>
      </c>
      <c r="B257" s="94" t="inlineStr">
        <is>
          <t>ס.פ.ראשל""צ תרופות</t>
        </is>
      </c>
      <c r="C257" s="111" t="n">
        <v>48087.6</v>
      </c>
      <c r="D257" s="111" t="n">
        <v>0</v>
      </c>
      <c r="E257" s="111" t="n">
        <v>0</v>
      </c>
      <c r="F257" s="111" t="n">
        <v>0</v>
      </c>
      <c r="G257" s="111" t="n">
        <v>0</v>
      </c>
      <c r="H257" s="94">
        <f>COUNTIF(C257:G257,"&lt;&gt;0")</f>
        <v/>
      </c>
      <c r="I257" s="94">
        <f>IF(H257=0,"לא מטופל",IF(H257=1,"מטופל - סוכן אחד","מטופל - יותר מסוכן אחד"))</f>
        <v/>
      </c>
    </row>
    <row r="258" ht="15" customHeight="1" s="82">
      <c r="A258" s="94" t="inlineStr">
        <is>
          <t>ס. פארם</t>
        </is>
      </c>
      <c r="B258" s="94" t="inlineStr">
        <is>
          <t>ס.פ.אוסישקין תרופות רמת השרון</t>
        </is>
      </c>
      <c r="C258" s="111" t="n">
        <v>25328.7</v>
      </c>
      <c r="D258" s="111" t="n">
        <v>0</v>
      </c>
      <c r="E258" s="111" t="n">
        <v>0</v>
      </c>
      <c r="F258" s="111" t="n">
        <v>0</v>
      </c>
      <c r="G258" s="111" t="n">
        <v>0</v>
      </c>
      <c r="H258" s="94">
        <f>COUNTIF(C258:G258,"&lt;&gt;0")</f>
        <v/>
      </c>
      <c r="I258" s="94">
        <f>IF(H258=0,"לא מטופל",IF(H258=1,"מטופל - סוכן אחד","מטופל - יותר מסוכן אחד"))</f>
        <v/>
      </c>
    </row>
    <row r="259" ht="15" customHeight="1" s="82">
      <c r="A259" s="94" t="inlineStr">
        <is>
          <t>ס. פארם</t>
        </is>
      </c>
      <c r="B259" s="94" t="inlineStr">
        <is>
          <t>ס.פ.צמרות תרופות</t>
        </is>
      </c>
      <c r="C259" s="111" t="n">
        <v>54474.6</v>
      </c>
      <c r="D259" s="111" t="n">
        <v>0</v>
      </c>
      <c r="E259" s="111" t="n">
        <v>0</v>
      </c>
      <c r="F259" s="111" t="n">
        <v>0</v>
      </c>
      <c r="G259" s="111" t="n">
        <v>0</v>
      </c>
      <c r="H259" s="94">
        <f>COUNTIF(C259:G259,"&lt;&gt;0")</f>
        <v/>
      </c>
      <c r="I259" s="94">
        <f>IF(H259=0,"לא מטופל",IF(H259=1,"מטופל - סוכן אחד","מטופל - יותר מסוכן אחד"))</f>
        <v/>
      </c>
    </row>
    <row r="260" ht="15" customHeight="1" s="82">
      <c r="A260" s="94" t="inlineStr">
        <is>
          <t>ס. פארם</t>
        </is>
      </c>
      <c r="B260" s="94" t="inlineStr">
        <is>
          <t>ס.פ.הרצליה פיתוח תרופות</t>
        </is>
      </c>
      <c r="C260" s="111" t="n">
        <v>27082.7</v>
      </c>
      <c r="D260" s="111" t="n">
        <v>0</v>
      </c>
      <c r="E260" s="111" t="n">
        <v>0</v>
      </c>
      <c r="F260" s="111" t="n">
        <v>0</v>
      </c>
      <c r="G260" s="111" t="n">
        <v>0</v>
      </c>
      <c r="H260" s="94">
        <f>COUNTIF(C260:G260,"&lt;&gt;0")</f>
        <v/>
      </c>
      <c r="I260" s="94">
        <f>IF(H260=0,"לא מטופל",IF(H260=1,"מטופל - סוכן אחד","מטופל - יותר מסוכן אחד"))</f>
        <v/>
      </c>
    </row>
    <row r="261" ht="15" customHeight="1" s="82">
      <c r="A261" s="94" t="inlineStr">
        <is>
          <t>ס. פארם</t>
        </is>
      </c>
      <c r="B261" s="94" t="inlineStr">
        <is>
          <t>ס.פ.סוקולוב הרצליה תרופות</t>
        </is>
      </c>
      <c r="C261" s="111" t="n">
        <v>41380.3</v>
      </c>
      <c r="D261" s="111" t="n">
        <v>0</v>
      </c>
      <c r="E261" s="111" t="n">
        <v>0</v>
      </c>
      <c r="F261" s="111" t="n">
        <v>0</v>
      </c>
      <c r="G261" s="111" t="n">
        <v>0</v>
      </c>
      <c r="H261" s="94">
        <f>COUNTIF(C261:G261,"&lt;&gt;0")</f>
        <v/>
      </c>
      <c r="I261" s="94">
        <f>IF(H261=0,"לא מטופל",IF(H261=1,"מטופל - סוכן אחד","מטופל - יותר מסוכן אחד"))</f>
        <v/>
      </c>
    </row>
    <row r="262" ht="15" customHeight="1" s="82">
      <c r="A262" s="94" t="inlineStr">
        <is>
          <t>ס. פארם</t>
        </is>
      </c>
      <c r="B262" s="94" t="inlineStr">
        <is>
          <t>ס.פ.שפיים תרופות</t>
        </is>
      </c>
      <c r="C262" s="111" t="n">
        <v>23625.3</v>
      </c>
      <c r="D262" s="111" t="n">
        <v>0</v>
      </c>
      <c r="E262" s="111" t="n">
        <v>0</v>
      </c>
      <c r="F262" s="111" t="n">
        <v>0</v>
      </c>
      <c r="G262" s="111" t="n">
        <v>0</v>
      </c>
      <c r="H262" s="94">
        <f>COUNTIF(C262:G262,"&lt;&gt;0")</f>
        <v/>
      </c>
      <c r="I262" s="94">
        <f>IF(H262=0,"לא מטופל",IF(H262=1,"מטופל - סוכן אחד","מטופל - יותר מסוכן אחד"))</f>
        <v/>
      </c>
    </row>
    <row r="263" ht="15" customHeight="1" s="82">
      <c r="A263" s="94" t="inlineStr">
        <is>
          <t>ס. פארם</t>
        </is>
      </c>
      <c r="B263" s="94" t="inlineStr">
        <is>
          <t>ס.פ.שבעת הכוכבים תרופות</t>
        </is>
      </c>
      <c r="C263" s="111" t="n">
        <v>35091.5</v>
      </c>
      <c r="D263" s="111" t="n">
        <v>0</v>
      </c>
      <c r="E263" s="111" t="n">
        <v>0</v>
      </c>
      <c r="F263" s="111" t="n">
        <v>0</v>
      </c>
      <c r="G263" s="111" t="n">
        <v>0</v>
      </c>
      <c r="H263" s="94">
        <f>COUNTIF(C263:G263,"&lt;&gt;0")</f>
        <v/>
      </c>
      <c r="I263" s="94">
        <f>IF(H263=0,"לא מטופל",IF(H263=1,"מטופל - סוכן אחד","מטופל - יותר מסוכן אחד"))</f>
        <v/>
      </c>
    </row>
    <row r="264" ht="15" customHeight="1" s="82">
      <c r="A264" s="94" t="inlineStr">
        <is>
          <t>ס. פארם</t>
        </is>
      </c>
      <c r="B264" s="94" t="inlineStr">
        <is>
          <t>ס.פ.ארנה הרצליה תרופות</t>
        </is>
      </c>
      <c r="C264" s="111" t="n">
        <v>16747.8</v>
      </c>
      <c r="D264" s="111" t="n">
        <v>0</v>
      </c>
      <c r="E264" s="111" t="n">
        <v>0</v>
      </c>
      <c r="F264" s="111" t="n">
        <v>0</v>
      </c>
      <c r="G264" s="111" t="n">
        <v>0</v>
      </c>
      <c r="H264" s="94">
        <f>COUNTIF(C264:G264,"&lt;&gt;0")</f>
        <v/>
      </c>
      <c r="I264" s="94">
        <f>IF(H264=0,"לא מטופל",IF(H264=1,"מטופל - סוכן אחד","מטופל - יותר מסוכן אחד"))</f>
        <v/>
      </c>
    </row>
    <row r="265" ht="15" customHeight="1" s="82">
      <c r="A265" s="94" t="inlineStr">
        <is>
          <t>ס. פארם</t>
        </is>
      </c>
      <c r="B265" s="94" t="inlineStr">
        <is>
          <t>ס.פ. חוצות המפרץ תרופות</t>
        </is>
      </c>
      <c r="C265" s="111" t="n">
        <v>0</v>
      </c>
      <c r="D265" s="111" t="n">
        <v>13980.6</v>
      </c>
      <c r="E265" s="111" t="n">
        <v>0</v>
      </c>
      <c r="F265" s="111" t="n">
        <v>0</v>
      </c>
      <c r="G265" s="111" t="n">
        <v>0</v>
      </c>
      <c r="H265" s="94">
        <f>COUNTIF(C265:G265,"&lt;&gt;0")</f>
        <v/>
      </c>
      <c r="I265" s="94">
        <f>IF(H265=0,"לא מטופל",IF(H265=1,"מטופל - סוכן אחד","מטופל - יותר מסוכן אחד"))</f>
        <v/>
      </c>
    </row>
    <row r="266" ht="15" customHeight="1" s="82">
      <c r="A266" s="94" t="inlineStr">
        <is>
          <t>ס. פארם</t>
        </is>
      </c>
      <c r="B266" s="94" t="inlineStr">
        <is>
          <t>ס.פ. לב חדרה תרופות</t>
        </is>
      </c>
      <c r="C266" s="111" t="n">
        <v>0</v>
      </c>
      <c r="D266" s="111" t="n">
        <v>16536.7</v>
      </c>
      <c r="E266" s="111" t="n">
        <v>0</v>
      </c>
      <c r="F266" s="111" t="n">
        <v>0</v>
      </c>
      <c r="G266" s="111" t="n">
        <v>0</v>
      </c>
      <c r="H266" s="94">
        <f>COUNTIF(C266:G266,"&lt;&gt;0")</f>
        <v/>
      </c>
      <c r="I266" s="94">
        <f>IF(H266=0,"לא מטופל",IF(H266=1,"מטופל - סוכן אחד","מטופל - יותר מסוכן אחד"))</f>
        <v/>
      </c>
    </row>
    <row r="267" ht="15" customHeight="1" s="82">
      <c r="A267" s="94" t="inlineStr">
        <is>
          <t>ס. פארם</t>
        </is>
      </c>
      <c r="B267" s="94" t="inlineStr">
        <is>
          <t>ס.פ. קניון נחמיה קרית שמונה</t>
        </is>
      </c>
      <c r="C267" s="111" t="n">
        <v>0</v>
      </c>
      <c r="D267" s="111" t="n">
        <v>17178.9</v>
      </c>
      <c r="E267" s="111" t="n">
        <v>0</v>
      </c>
      <c r="F267" s="111" t="n">
        <v>0</v>
      </c>
      <c r="G267" s="111" t="n">
        <v>0</v>
      </c>
      <c r="H267" s="94">
        <f>COUNTIF(C267:G267,"&lt;&gt;0")</f>
        <v/>
      </c>
      <c r="I267" s="94">
        <f>IF(H267=0,"לא מטופל",IF(H267=1,"מטופל - סוכן אחד","מטופל - יותר מסוכן אחד"))</f>
        <v/>
      </c>
    </row>
    <row r="268" ht="15" customHeight="1" s="82">
      <c r="A268" s="94" t="inlineStr">
        <is>
          <t>ס. פארם</t>
        </is>
      </c>
      <c r="B268" s="94" t="inlineStr">
        <is>
          <t>ס.פ. ביג עפולה תרופות</t>
        </is>
      </c>
      <c r="C268" s="111" t="n">
        <v>0</v>
      </c>
      <c r="D268" s="111" t="n">
        <v>12817.1</v>
      </c>
      <c r="E268" s="111" t="n">
        <v>0</v>
      </c>
      <c r="F268" s="111" t="n">
        <v>0</v>
      </c>
      <c r="G268" s="111" t="n">
        <v>0</v>
      </c>
      <c r="H268" s="94">
        <f>COUNTIF(C268:G268,"&lt;&gt;0")</f>
        <v/>
      </c>
      <c r="I268" s="94">
        <f>IF(H268=0,"לא מטופל",IF(H268=1,"מטופל - סוכן אחד","מטופל - יותר מסוכן אחד"))</f>
        <v/>
      </c>
    </row>
    <row r="269" ht="15" customHeight="1" s="82">
      <c r="A269" s="94" t="inlineStr">
        <is>
          <t>ס. פארם</t>
        </is>
      </c>
      <c r="B269" s="94" t="inlineStr">
        <is>
          <t>ס.פ. קרית מוצקין תרופות</t>
        </is>
      </c>
      <c r="C269" s="111" t="n">
        <v>0</v>
      </c>
      <c r="D269" s="111" t="n">
        <v>13102.2</v>
      </c>
      <c r="E269" s="111" t="n">
        <v>0</v>
      </c>
      <c r="F269" s="111" t="n">
        <v>0</v>
      </c>
      <c r="G269" s="111" t="n">
        <v>0</v>
      </c>
      <c r="H269" s="94">
        <f>COUNTIF(C269:G269,"&lt;&gt;0")</f>
        <v/>
      </c>
      <c r="I269" s="94">
        <f>IF(H269=0,"לא מטופל",IF(H269=1,"מטופל - סוכן אחד","מטופל - יותר מסוכן אחד"))</f>
        <v/>
      </c>
    </row>
    <row r="270" ht="15" customHeight="1" s="82">
      <c r="A270" s="94" t="inlineStr">
        <is>
          <t>ס. פארם</t>
        </is>
      </c>
      <c r="B270" s="94" t="inlineStr">
        <is>
          <t>ס.פ. חורב תרופות</t>
        </is>
      </c>
      <c r="C270" s="111" t="n">
        <v>0</v>
      </c>
      <c r="D270" s="111" t="n">
        <v>71520</v>
      </c>
      <c r="E270" s="111" t="n">
        <v>0</v>
      </c>
      <c r="F270" s="111" t="n">
        <v>0</v>
      </c>
      <c r="G270" s="111" t="n">
        <v>0</v>
      </c>
      <c r="H270" s="94">
        <f>COUNTIF(C270:G270,"&lt;&gt;0")</f>
        <v/>
      </c>
      <c r="I270" s="94">
        <f>IF(H270=0,"לא מטופל",IF(H270=1,"מטופל - סוכן אחד","מטופל - יותר מסוכן אחד"))</f>
        <v/>
      </c>
    </row>
    <row r="271" ht="15" customHeight="1" s="82">
      <c r="A271" s="94" t="inlineStr">
        <is>
          <t>ס. פארם</t>
        </is>
      </c>
      <c r="B271" s="94" t="inlineStr">
        <is>
          <t>ס.פ. פרדס חנה תרופות</t>
        </is>
      </c>
      <c r="C271" s="111" t="n">
        <v>0</v>
      </c>
      <c r="D271" s="111" t="n">
        <v>21221</v>
      </c>
      <c r="E271" s="111" t="n">
        <v>0</v>
      </c>
      <c r="F271" s="111" t="n">
        <v>0</v>
      </c>
      <c r="G271" s="111" t="n">
        <v>0</v>
      </c>
      <c r="H271" s="94">
        <f>COUNTIF(C271:G271,"&lt;&gt;0")</f>
        <v/>
      </c>
      <c r="I271" s="94">
        <f>IF(H271=0,"לא מטופל",IF(H271=1,"מטופל - סוכן אחד","מטופל - יותר מסוכן אחד"))</f>
        <v/>
      </c>
    </row>
    <row r="272" ht="15" customHeight="1" s="82">
      <c r="A272" s="94" t="inlineStr">
        <is>
          <t>ס. פארם</t>
        </is>
      </c>
      <c r="B272" s="94" t="inlineStr">
        <is>
          <t>ס.פ. ארמון תרופות חיפה</t>
        </is>
      </c>
      <c r="C272" s="111" t="n">
        <v>0</v>
      </c>
      <c r="D272" s="111" t="n">
        <v>20460.6</v>
      </c>
      <c r="E272" s="111" t="n">
        <v>0</v>
      </c>
      <c r="F272" s="111" t="n">
        <v>0</v>
      </c>
      <c r="G272" s="111" t="n">
        <v>0</v>
      </c>
      <c r="H272" s="94">
        <f>COUNTIF(C272:G272,"&lt;&gt;0")</f>
        <v/>
      </c>
      <c r="I272" s="94">
        <f>IF(H272=0,"לא מטופל",IF(H272=1,"מטופל - סוכן אחד","מטופל - יותר מסוכן אחד"))</f>
        <v/>
      </c>
    </row>
    <row r="273" ht="15" customHeight="1" s="82">
      <c r="A273" s="94" t="inlineStr">
        <is>
          <t>ס. פארם</t>
        </is>
      </c>
      <c r="B273" s="94" t="inlineStr">
        <is>
          <t>ס.פ. גאלרי קריון</t>
        </is>
      </c>
      <c r="C273" s="111" t="n">
        <v>0</v>
      </c>
      <c r="D273" s="111" t="n">
        <v>27590.1</v>
      </c>
      <c r="E273" s="111" t="n">
        <v>0</v>
      </c>
      <c r="F273" s="111" t="n">
        <v>0</v>
      </c>
      <c r="G273" s="111" t="n">
        <v>0</v>
      </c>
      <c r="H273" s="94">
        <f>COUNTIF(C273:G273,"&lt;&gt;0")</f>
        <v/>
      </c>
      <c r="I273" s="94">
        <f>IF(H273=0,"לא מטופל",IF(H273=1,"מטופל - סוכן אחד","מטופל - יותר מסוכן אחד"))</f>
        <v/>
      </c>
    </row>
    <row r="274" ht="15" customHeight="1" s="82">
      <c r="A274" s="94" t="inlineStr">
        <is>
          <t>ס. פארם</t>
        </is>
      </c>
      <c r="B274" s="94" t="inlineStr">
        <is>
          <t>ס.פ. גן שמואל תרופות</t>
        </is>
      </c>
      <c r="C274" s="111" t="n">
        <v>0</v>
      </c>
      <c r="D274" s="111" t="n">
        <v>26074.8</v>
      </c>
      <c r="E274" s="111" t="n">
        <v>0</v>
      </c>
      <c r="F274" s="111" t="n">
        <v>0</v>
      </c>
      <c r="G274" s="111" t="n">
        <v>0</v>
      </c>
      <c r="H274" s="94">
        <f>COUNTIF(C274:G274,"&lt;&gt;0")</f>
        <v/>
      </c>
      <c r="I274" s="94">
        <f>IF(H274=0,"לא מטופל",IF(H274=1,"מטופל - סוכן אחד","מטופל - יותר מסוכן אחד"))</f>
        <v/>
      </c>
    </row>
    <row r="275" ht="15" customHeight="1" s="82">
      <c r="A275" s="94" t="inlineStr">
        <is>
          <t>ס. פארם</t>
        </is>
      </c>
      <c r="B275" s="94" t="inlineStr">
        <is>
          <t>ס.פ. סכנין תרופות</t>
        </is>
      </c>
      <c r="C275" s="111" t="n">
        <v>0</v>
      </c>
      <c r="D275" s="111" t="n">
        <v>7479.6</v>
      </c>
      <c r="E275" s="111" t="n">
        <v>0</v>
      </c>
      <c r="F275" s="111" t="n">
        <v>0</v>
      </c>
      <c r="G275" s="111" t="n">
        <v>0</v>
      </c>
      <c r="H275" s="94">
        <f>COUNTIF(C275:G275,"&lt;&gt;0")</f>
        <v/>
      </c>
      <c r="I275" s="94">
        <f>IF(H275=0,"לא מטופל",IF(H275=1,"מטופל - סוכן אחד","מטופל - יותר מסוכן אחד"))</f>
        <v/>
      </c>
    </row>
    <row r="276" ht="15" customHeight="1" s="82">
      <c r="A276" s="94" t="inlineStr">
        <is>
          <t>ס. פארם</t>
        </is>
      </c>
      <c r="B276" s="94" t="inlineStr">
        <is>
          <t>ס.פ. מול זכרון תרופות</t>
        </is>
      </c>
      <c r="C276" s="111" t="n">
        <v>0</v>
      </c>
      <c r="D276" s="111" t="n">
        <v>14437.7</v>
      </c>
      <c r="E276" s="111" t="n">
        <v>0</v>
      </c>
      <c r="F276" s="111" t="n">
        <v>0</v>
      </c>
      <c r="G276" s="111" t="n">
        <v>0</v>
      </c>
      <c r="H276" s="94">
        <f>COUNTIF(C276:G276,"&lt;&gt;0")</f>
        <v/>
      </c>
      <c r="I276" s="94">
        <f>IF(H276=0,"לא מטופל",IF(H276=1,"מטופל - סוכן אחד","מטופל - יותר מסוכן אחד"))</f>
        <v/>
      </c>
    </row>
    <row r="277" ht="15" customHeight="1" s="82">
      <c r="A277" s="94" t="inlineStr">
        <is>
          <t>ס. פארם</t>
        </is>
      </c>
      <c r="B277" s="94" t="inlineStr">
        <is>
          <t>ס.פ. עכו תרופות</t>
        </is>
      </c>
      <c r="C277" s="111" t="n">
        <v>0</v>
      </c>
      <c r="D277" s="111" t="n">
        <v>11156.2</v>
      </c>
      <c r="E277" s="111" t="n">
        <v>0</v>
      </c>
      <c r="F277" s="111" t="n">
        <v>0</v>
      </c>
      <c r="G277" s="111" t="n">
        <v>0</v>
      </c>
      <c r="H277" s="94">
        <f>COUNTIF(C277:G277,"&lt;&gt;0")</f>
        <v/>
      </c>
      <c r="I277" s="94">
        <f>IF(H277=0,"לא מטופל",IF(H277=1,"מטופל - סוכן אחד","מטופל - יותר מסוכן אחד"))</f>
        <v/>
      </c>
    </row>
    <row r="278" ht="15" customHeight="1" s="82">
      <c r="A278" s="94" t="inlineStr">
        <is>
          <t>ס. פארם</t>
        </is>
      </c>
      <c r="B278" s="94" t="inlineStr">
        <is>
          <t>ס.פ.סינמול תרופות חיפה</t>
        </is>
      </c>
      <c r="C278" s="111" t="n">
        <v>0</v>
      </c>
      <c r="D278" s="111" t="n">
        <v>13132.1</v>
      </c>
      <c r="E278" s="111" t="n">
        <v>0</v>
      </c>
      <c r="F278" s="111" t="n">
        <v>0</v>
      </c>
      <c r="G278" s="111" t="n">
        <v>0</v>
      </c>
      <c r="H278" s="94">
        <f>COUNTIF(C278:G278,"&lt;&gt;0")</f>
        <v/>
      </c>
      <c r="I278" s="94">
        <f>IF(H278=0,"לא מטופל",IF(H278=1,"מטופל - סוכן אחד","מטופל - יותר מסוכן אחד"))</f>
        <v/>
      </c>
    </row>
    <row r="279" ht="15" customHeight="1" s="82">
      <c r="A279" s="94" t="inlineStr">
        <is>
          <t>ס. פארם</t>
        </is>
      </c>
      <c r="B279" s="94" t="inlineStr">
        <is>
          <t>ס.פ. קרית ים תרופות</t>
        </is>
      </c>
      <c r="C279" s="111" t="n">
        <v>0</v>
      </c>
      <c r="D279" s="111" t="n">
        <v>10869.1</v>
      </c>
      <c r="E279" s="111" t="n">
        <v>0</v>
      </c>
      <c r="F279" s="111" t="n">
        <v>0</v>
      </c>
      <c r="G279" s="111" t="n">
        <v>0</v>
      </c>
      <c r="H279" s="94">
        <f>COUNTIF(C279:G279,"&lt;&gt;0")</f>
        <v/>
      </c>
      <c r="I279" s="94">
        <f>IF(H279=0,"לא מטופל",IF(H279=1,"מטופל - סוכן אחד","מטופל - יותר מסוכן אחד"))</f>
        <v/>
      </c>
    </row>
    <row r="280" ht="15" customHeight="1" s="82">
      <c r="A280" s="94" t="inlineStr">
        <is>
          <t>ס. פארם</t>
        </is>
      </c>
      <c r="B280" s="94" t="inlineStr">
        <is>
          <t>ס.פ. ביג פוריה תרופות</t>
        </is>
      </c>
      <c r="C280" s="111" t="n">
        <v>0</v>
      </c>
      <c r="D280" s="111" t="n">
        <v>11722.6</v>
      </c>
      <c r="E280" s="111" t="n">
        <v>0</v>
      </c>
      <c r="F280" s="111" t="n">
        <v>0</v>
      </c>
      <c r="G280" s="111" t="n">
        <v>0</v>
      </c>
      <c r="H280" s="94">
        <f>COUNTIF(C280:G280,"&lt;&gt;0")</f>
        <v/>
      </c>
      <c r="I280" s="94">
        <f>IF(H280=0,"לא מטופל",IF(H280=1,"מטופל - סוכן אחד","מטופל - יותר מסוכן אחד"))</f>
        <v/>
      </c>
    </row>
    <row r="281" ht="15" customHeight="1" s="82">
      <c r="A281" s="94" t="inlineStr">
        <is>
          <t>ס. פארם</t>
        </is>
      </c>
      <c r="B281" s="94" t="inlineStr">
        <is>
          <t>ס.פ. ביג נצרת תרופות</t>
        </is>
      </c>
      <c r="C281" s="111" t="n">
        <v>0</v>
      </c>
      <c r="D281" s="111" t="n">
        <v>11638.9</v>
      </c>
      <c r="E281" s="111" t="n">
        <v>0</v>
      </c>
      <c r="F281" s="111" t="n">
        <v>0</v>
      </c>
      <c r="G281" s="111" t="n">
        <v>0</v>
      </c>
      <c r="H281" s="94">
        <f>COUNTIF(C281:G281,"&lt;&gt;0")</f>
        <v/>
      </c>
      <c r="I281" s="94">
        <f>IF(H281=0,"לא מטופל",IF(H281=1,"מטופל - סוכן אחד","מטופל - יותר מסוכן אחד"))</f>
        <v/>
      </c>
    </row>
    <row r="282" ht="15" customHeight="1" s="82">
      <c r="A282" s="94" t="inlineStr">
        <is>
          <t>ס. פארם</t>
        </is>
      </c>
      <c r="B282" s="94" t="inlineStr">
        <is>
          <t>ס.פ. רמת ישי תרופות</t>
        </is>
      </c>
      <c r="C282" s="111" t="n">
        <v>0</v>
      </c>
      <c r="D282" s="111" t="n">
        <v>32051.7</v>
      </c>
      <c r="E282" s="111" t="n">
        <v>0</v>
      </c>
      <c r="F282" s="111" t="n">
        <v>0</v>
      </c>
      <c r="G282" s="111" t="n">
        <v>0</v>
      </c>
      <c r="H282" s="94">
        <f>COUNTIF(C282:G282,"&lt;&gt;0")</f>
        <v/>
      </c>
      <c r="I282" s="94">
        <f>IF(H282=0,"לא מטופל",IF(H282=1,"מטופל - סוכן אחד","מטופל - יותר מסוכן אחד"))</f>
        <v/>
      </c>
    </row>
    <row r="283" ht="15" customHeight="1" s="82">
      <c r="A283" s="94" t="inlineStr">
        <is>
          <t>ס. פארם</t>
        </is>
      </c>
      <c r="B283" s="94" t="inlineStr">
        <is>
          <t>ס.פ. עפולה תרופות</t>
        </is>
      </c>
      <c r="C283" s="111" t="n">
        <v>0</v>
      </c>
      <c r="D283" s="111" t="n">
        <v>17242.2</v>
      </c>
      <c r="E283" s="111" t="n">
        <v>0</v>
      </c>
      <c r="F283" s="111" t="n">
        <v>0</v>
      </c>
      <c r="G283" s="111" t="n">
        <v>0</v>
      </c>
      <c r="H283" s="94">
        <f>COUNTIF(C283:G283,"&lt;&gt;0")</f>
        <v/>
      </c>
      <c r="I283" s="94">
        <f>IF(H283=0,"לא מטופל",IF(H283=1,"מטופל - סוכן אחד","מטופל - יותר מסוכן אחד"))</f>
        <v/>
      </c>
    </row>
    <row r="284" ht="15" customHeight="1" s="82">
      <c r="A284" s="94" t="inlineStr">
        <is>
          <t>ס. פארם</t>
        </is>
      </c>
      <c r="B284" s="94" t="inlineStr">
        <is>
          <t>ס.פ. כפר יאסיף-תרופות</t>
        </is>
      </c>
      <c r="C284" s="111" t="n">
        <v>0</v>
      </c>
      <c r="D284" s="111" t="n">
        <v>5550.9</v>
      </c>
      <c r="E284" s="111" t="n">
        <v>0</v>
      </c>
      <c r="F284" s="111" t="n">
        <v>0</v>
      </c>
      <c r="G284" s="111" t="n">
        <v>0</v>
      </c>
      <c r="H284" s="94">
        <f>COUNTIF(C284:G284,"&lt;&gt;0")</f>
        <v/>
      </c>
      <c r="I284" s="94">
        <f>IF(H284=0,"לא מטופל",IF(H284=1,"מטופל - סוכן אחד","מטופל - יותר מסוכן אחד"))</f>
        <v/>
      </c>
    </row>
    <row r="285" ht="15" customHeight="1" s="82">
      <c r="A285" s="94" t="inlineStr">
        <is>
          <t>ס. פארם</t>
        </is>
      </c>
      <c r="B285" s="94" t="inlineStr">
        <is>
          <t>ס.פ. נוה שאנן תרופות</t>
        </is>
      </c>
      <c r="C285" s="111" t="n">
        <v>0</v>
      </c>
      <c r="D285" s="111" t="n">
        <v>18589.8</v>
      </c>
      <c r="E285" s="111" t="n">
        <v>0</v>
      </c>
      <c r="F285" s="111" t="n">
        <v>0</v>
      </c>
      <c r="G285" s="111" t="n">
        <v>0</v>
      </c>
      <c r="H285" s="94">
        <f>COUNTIF(C285:G285,"&lt;&gt;0")</f>
        <v/>
      </c>
      <c r="I285" s="94">
        <f>IF(H285=0,"לא מטופל",IF(H285=1,"מטופל - סוכן אחד","מטופל - יותר מסוכן אחד"))</f>
        <v/>
      </c>
    </row>
    <row r="286" ht="15" customHeight="1" s="82">
      <c r="A286" s="94" t="inlineStr">
        <is>
          <t>ס. פארם</t>
        </is>
      </c>
      <c r="B286" s="94" t="inlineStr">
        <is>
          <t>ס.פ. אודיטוריום  תרופות</t>
        </is>
      </c>
      <c r="C286" s="111" t="n">
        <v>0</v>
      </c>
      <c r="D286" s="111" t="n">
        <v>18916.7</v>
      </c>
      <c r="E286" s="111" t="n">
        <v>0</v>
      </c>
      <c r="F286" s="111" t="n">
        <v>0</v>
      </c>
      <c r="G286" s="111" t="n">
        <v>0</v>
      </c>
      <c r="H286" s="94">
        <f>COUNTIF(C286:G286,"&lt;&gt;0")</f>
        <v/>
      </c>
      <c r="I286" s="94">
        <f>IF(H286=0,"לא מטופל",IF(H286=1,"מטופל - סוכן אחד","מטופל - יותר מסוכן אחד"))</f>
        <v/>
      </c>
    </row>
    <row r="287" ht="15" customHeight="1" s="82">
      <c r="A287" s="94" t="inlineStr">
        <is>
          <t>ס. פארם</t>
        </is>
      </c>
      <c r="B287" s="94" t="inlineStr">
        <is>
          <t>ס.פ. עמק סנטר עפולה תרופות</t>
        </is>
      </c>
      <c r="C287" s="111" t="n">
        <v>0</v>
      </c>
      <c r="D287" s="111" t="n">
        <v>26666</v>
      </c>
      <c r="E287" s="111" t="n">
        <v>0</v>
      </c>
      <c r="F287" s="111" t="n">
        <v>0</v>
      </c>
      <c r="G287" s="111" t="n">
        <v>0</v>
      </c>
      <c r="H287" s="94">
        <f>COUNTIF(C287:G287,"&lt;&gt;0")</f>
        <v/>
      </c>
      <c r="I287" s="94">
        <f>IF(H287=0,"לא מטופל",IF(H287=1,"מטופל - סוכן אחד","מטופל - יותר מסוכן אחד"))</f>
        <v/>
      </c>
    </row>
    <row r="288" ht="15" customHeight="1" s="82">
      <c r="A288" s="94" t="inlineStr">
        <is>
          <t>ס. פארם</t>
        </is>
      </c>
      <c r="B288" s="94" t="inlineStr">
        <is>
          <t>ס.פ. אום אל פחם  תרופות</t>
        </is>
      </c>
      <c r="C288" s="111" t="n">
        <v>0</v>
      </c>
      <c r="D288" s="111" t="n">
        <v>14488.6</v>
      </c>
      <c r="E288" s="111" t="n">
        <v>0</v>
      </c>
      <c r="F288" s="111" t="n">
        <v>0</v>
      </c>
      <c r="G288" s="111" t="n">
        <v>0</v>
      </c>
      <c r="H288" s="94">
        <f>COUNTIF(C288:G288,"&lt;&gt;0")</f>
        <v/>
      </c>
      <c r="I288" s="94">
        <f>IF(H288=0,"לא מטופל",IF(H288=1,"מטופל - סוכן אחד","מטופל - יותר מסוכן אחד"))</f>
        <v/>
      </c>
    </row>
    <row r="289" ht="15" customHeight="1" s="82">
      <c r="A289" s="94" t="inlineStr">
        <is>
          <t>ס. פארם</t>
        </is>
      </c>
      <c r="B289" s="94" t="inlineStr">
        <is>
          <t>(ס.פ. נוף הגליל )נצרת עילית</t>
        </is>
      </c>
      <c r="C289" s="111" t="n">
        <v>0</v>
      </c>
      <c r="D289" s="111" t="n">
        <v>26552.2</v>
      </c>
      <c r="E289" s="111" t="n">
        <v>0</v>
      </c>
      <c r="F289" s="111" t="n">
        <v>0</v>
      </c>
      <c r="G289" s="111" t="n">
        <v>0</v>
      </c>
      <c r="H289" s="94">
        <f>COUNTIF(C289:G289,"&lt;&gt;0")</f>
        <v/>
      </c>
      <c r="I289" s="94">
        <f>IF(H289=0,"לא מטופל",IF(H289=1,"מטופל - סוכן אחד","מטופל - יותר מסוכן אחד"))</f>
        <v/>
      </c>
    </row>
    <row r="290" ht="15" customHeight="1" s="82">
      <c r="A290" s="94" t="inlineStr">
        <is>
          <t>ס. פארם</t>
        </is>
      </c>
      <c r="B290" s="94" t="inlineStr">
        <is>
          <t>ס.פ. נצרת תרופות</t>
        </is>
      </c>
      <c r="C290" s="111" t="n">
        <v>0</v>
      </c>
      <c r="D290" s="111" t="n">
        <v>12998.8</v>
      </c>
      <c r="E290" s="111" t="n">
        <v>0</v>
      </c>
      <c r="F290" s="111" t="n">
        <v>0</v>
      </c>
      <c r="G290" s="111" t="n">
        <v>0</v>
      </c>
      <c r="H290" s="94">
        <f>COUNTIF(C290:G290,"&lt;&gt;0")</f>
        <v/>
      </c>
      <c r="I290" s="94">
        <f>IF(H290=0,"לא מטופל",IF(H290=1,"מטופל - סוכן אחד","מטופל - יותר מסוכן אחד"))</f>
        <v/>
      </c>
    </row>
    <row r="291" ht="15" customHeight="1" s="82">
      <c r="A291" s="94" t="inlineStr">
        <is>
          <t>ס. פארם</t>
        </is>
      </c>
      <c r="B291" s="94" t="inlineStr">
        <is>
          <t>ס.פ. ביג ק.שמונה תרופות</t>
        </is>
      </c>
      <c r="C291" s="111" t="n">
        <v>0</v>
      </c>
      <c r="D291" s="111" t="n">
        <v>23099.9</v>
      </c>
      <c r="E291" s="111" t="n">
        <v>0</v>
      </c>
      <c r="F291" s="111" t="n">
        <v>0</v>
      </c>
      <c r="G291" s="111" t="n">
        <v>0</v>
      </c>
      <c r="H291" s="94">
        <f>COUNTIF(C291:G291,"&lt;&gt;0")</f>
        <v/>
      </c>
      <c r="I291" s="94">
        <f>IF(H291=0,"לא מטופל",IF(H291=1,"מטופל - סוכן אחד","מטופל - יותר מסוכן אחד"))</f>
        <v/>
      </c>
    </row>
    <row r="292" ht="15" customHeight="1" s="82">
      <c r="A292" s="94" t="inlineStr">
        <is>
          <t>ס. פארם</t>
        </is>
      </c>
      <c r="B292" s="94" t="inlineStr">
        <is>
          <t>ס.פ. טבעון תרופות</t>
        </is>
      </c>
      <c r="C292" s="111" t="n">
        <v>0</v>
      </c>
      <c r="D292" s="111" t="n">
        <v>9384</v>
      </c>
      <c r="E292" s="111" t="n">
        <v>0</v>
      </c>
      <c r="F292" s="111" t="n">
        <v>0</v>
      </c>
      <c r="G292" s="111" t="n">
        <v>0</v>
      </c>
      <c r="H292" s="94">
        <f>COUNTIF(C292:G292,"&lt;&gt;0")</f>
        <v/>
      </c>
      <c r="I292" s="94">
        <f>IF(H292=0,"לא מטופל",IF(H292=1,"מטופל - סוכן אחד","מטופל - יותר מסוכן אחד"))</f>
        <v/>
      </c>
    </row>
    <row r="293" ht="15" customHeight="1" s="82">
      <c r="A293" s="94" t="inlineStr">
        <is>
          <t>ס. פארם</t>
        </is>
      </c>
      <c r="B293" s="94" t="inlineStr">
        <is>
          <t>ס.פ. ביג פרדס חנה תרופות</t>
        </is>
      </c>
      <c r="C293" s="111" t="n">
        <v>0</v>
      </c>
      <c r="D293" s="111" t="n">
        <v>20459.2</v>
      </c>
      <c r="E293" s="111" t="n">
        <v>0</v>
      </c>
      <c r="F293" s="111" t="n">
        <v>0</v>
      </c>
      <c r="G293" s="111" t="n">
        <v>0</v>
      </c>
      <c r="H293" s="94">
        <f>COUNTIF(C293:G293,"&lt;&gt;0")</f>
        <v/>
      </c>
      <c r="I293" s="94">
        <f>IF(H293=0,"לא מטופל",IF(H293=1,"מטופל - סוכן אחד","מטופל - יותר מסוכן אחד"))</f>
        <v/>
      </c>
    </row>
    <row r="294" ht="15" customHeight="1" s="82">
      <c r="A294" s="94" t="inlineStr">
        <is>
          <t>ס. פארם</t>
        </is>
      </c>
      <c r="B294" s="94" t="inlineStr">
        <is>
          <t>ס.פ. מעלות תרופות</t>
        </is>
      </c>
      <c r="C294" s="111" t="n">
        <v>0</v>
      </c>
      <c r="D294" s="111" t="n">
        <v>12592.1</v>
      </c>
      <c r="E294" s="111" t="n">
        <v>0</v>
      </c>
      <c r="F294" s="111" t="n">
        <v>0</v>
      </c>
      <c r="G294" s="111" t="n">
        <v>0</v>
      </c>
      <c r="H294" s="94">
        <f>COUNTIF(C294:G294,"&lt;&gt;0")</f>
        <v/>
      </c>
      <c r="I294" s="94">
        <f>IF(H294=0,"לא מטופל",IF(H294=1,"מטופל - סוכן אחד","מטופל - יותר מסוכן אחד"))</f>
        <v/>
      </c>
    </row>
    <row r="295" ht="15" customHeight="1" s="82">
      <c r="A295" s="94" t="inlineStr">
        <is>
          <t>ס. פארם</t>
        </is>
      </c>
      <c r="B295" s="94" t="inlineStr">
        <is>
          <t>ס.פ. זכרון יעקב תרופות</t>
        </is>
      </c>
      <c r="C295" s="111" t="n">
        <v>0</v>
      </c>
      <c r="D295" s="111" t="n">
        <v>11704.5</v>
      </c>
      <c r="E295" s="111" t="n">
        <v>0</v>
      </c>
      <c r="F295" s="111" t="n">
        <v>0</v>
      </c>
      <c r="G295" s="111" t="n">
        <v>0</v>
      </c>
      <c r="H295" s="94">
        <f>COUNTIF(C295:G295,"&lt;&gt;0")</f>
        <v/>
      </c>
      <c r="I295" s="94">
        <f>IF(H295=0,"לא מטופל",IF(H295=1,"מטופל - סוכן אחד","מטופל - יותר מסוכן אחד"))</f>
        <v/>
      </c>
    </row>
    <row r="296" ht="15" customHeight="1" s="82">
      <c r="A296" s="94" t="inlineStr">
        <is>
          <t>ס. פארם</t>
        </is>
      </c>
      <c r="B296" s="94" t="inlineStr">
        <is>
          <t>ס.פ. ביג כרמיאל תרופות</t>
        </is>
      </c>
      <c r="C296" s="111" t="n">
        <v>0</v>
      </c>
      <c r="D296" s="111" t="n">
        <v>68657.8</v>
      </c>
      <c r="E296" s="111" t="n">
        <v>0</v>
      </c>
      <c r="F296" s="111" t="n">
        <v>0</v>
      </c>
      <c r="G296" s="111" t="n">
        <v>0</v>
      </c>
      <c r="H296" s="94">
        <f>COUNTIF(C296:G296,"&lt;&gt;0")</f>
        <v/>
      </c>
      <c r="I296" s="94">
        <f>IF(H296=0,"לא מטופל",IF(H296=1,"מטופל - סוכן אחד","מטופל - יותר מסוכן אחד"))</f>
        <v/>
      </c>
    </row>
    <row r="297" ht="15" customHeight="1" s="82">
      <c r="A297" s="94" t="inlineStr">
        <is>
          <t>ס. פארם</t>
        </is>
      </c>
      <c r="B297" s="94" t="inlineStr">
        <is>
          <t>ס.פ. קניון טבריה תרופות</t>
        </is>
      </c>
      <c r="C297" s="111" t="n">
        <v>0</v>
      </c>
      <c r="D297" s="111" t="n">
        <v>10428.9</v>
      </c>
      <c r="E297" s="111" t="n">
        <v>0</v>
      </c>
      <c r="F297" s="111" t="n">
        <v>0</v>
      </c>
      <c r="G297" s="111" t="n">
        <v>0</v>
      </c>
      <c r="H297" s="94">
        <f>COUNTIF(C297:G297,"&lt;&gt;0")</f>
        <v/>
      </c>
      <c r="I297" s="94">
        <f>IF(H297=0,"לא מטופל",IF(H297=1,"מטופל - סוכן אחד","מטופל - יותר מסוכן אחד"))</f>
        <v/>
      </c>
    </row>
    <row r="298" ht="15" customHeight="1" s="82">
      <c r="A298" s="94" t="inlineStr">
        <is>
          <t>ס. פארם</t>
        </is>
      </c>
      <c r="B298" s="94" t="inlineStr">
        <is>
          <t>ס.פ. כוכב הגעתון תרופות</t>
        </is>
      </c>
      <c r="C298" s="111" t="n">
        <v>0</v>
      </c>
      <c r="D298" s="111" t="n">
        <v>24785.8</v>
      </c>
      <c r="E298" s="111" t="n">
        <v>0</v>
      </c>
      <c r="F298" s="111" t="n">
        <v>0</v>
      </c>
      <c r="G298" s="111" t="n">
        <v>0</v>
      </c>
      <c r="H298" s="94">
        <f>COUNTIF(C298:G298,"&lt;&gt;0")</f>
        <v/>
      </c>
      <c r="I298" s="94">
        <f>IF(H298=0,"לא מטופל",IF(H298=1,"מטופל - סוכן אחד","מטופל - יותר מסוכן אחד"))</f>
        <v/>
      </c>
    </row>
    <row r="299" ht="15" customHeight="1" s="82">
      <c r="A299" s="94" t="inlineStr">
        <is>
          <t>ס. פארם</t>
        </is>
      </c>
      <c r="B299" s="94" t="inlineStr">
        <is>
          <t>ס.פ. טבריה תרופות</t>
        </is>
      </c>
      <c r="C299" s="111" t="n">
        <v>0</v>
      </c>
      <c r="D299" s="111" t="n">
        <v>9093.799999999999</v>
      </c>
      <c r="E299" s="111" t="n">
        <v>0</v>
      </c>
      <c r="F299" s="111" t="n">
        <v>0</v>
      </c>
      <c r="G299" s="111" t="n">
        <v>0</v>
      </c>
      <c r="H299" s="94">
        <f>COUNTIF(C299:G299,"&lt;&gt;0")</f>
        <v/>
      </c>
      <c r="I299" s="94">
        <f>IF(H299=0,"לא מטופל",IF(H299=1,"מטופל - סוכן אחד","מטופל - יותר מסוכן אחד"))</f>
        <v/>
      </c>
    </row>
    <row r="300" ht="15" customHeight="1" s="82">
      <c r="A300" s="94" t="inlineStr">
        <is>
          <t>ס. פארם</t>
        </is>
      </c>
      <c r="B300" s="94" t="inlineStr">
        <is>
          <t>ס.פ. טמרה תרופות</t>
        </is>
      </c>
      <c r="C300" s="111" t="n">
        <v>0</v>
      </c>
      <c r="D300" s="111" t="n">
        <v>7085.6</v>
      </c>
      <c r="E300" s="111" t="n">
        <v>0</v>
      </c>
      <c r="F300" s="111" t="n">
        <v>0</v>
      </c>
      <c r="G300" s="111" t="n">
        <v>0</v>
      </c>
      <c r="H300" s="94">
        <f>COUNTIF(C300:G300,"&lt;&gt;0")</f>
        <v/>
      </c>
      <c r="I300" s="94">
        <f>IF(H300=0,"לא מטופל",IF(H300=1,"מטופל - סוכן אחד","מטופל - יותר מסוכן אחד"))</f>
        <v/>
      </c>
    </row>
    <row r="301" ht="15" customHeight="1" s="82">
      <c r="A301" s="94" t="inlineStr">
        <is>
          <t>ס. פארם</t>
        </is>
      </c>
      <c r="B301" s="94" t="inlineStr">
        <is>
          <t>ס.פ. רגבה  תרופות</t>
        </is>
      </c>
      <c r="C301" s="111" t="n">
        <v>0</v>
      </c>
      <c r="D301" s="111" t="n">
        <v>22135.3</v>
      </c>
      <c r="E301" s="111" t="n">
        <v>0</v>
      </c>
      <c r="F301" s="111" t="n">
        <v>0</v>
      </c>
      <c r="G301" s="111" t="n">
        <v>0</v>
      </c>
      <c r="H301" s="94">
        <f>COUNTIF(C301:G301,"&lt;&gt;0")</f>
        <v/>
      </c>
      <c r="I301" s="94">
        <f>IF(H301=0,"לא מטופל",IF(H301=1,"מטופל - סוכן אחד","מטופל - יותר מסוכן אחד"))</f>
        <v/>
      </c>
    </row>
    <row r="302" ht="15" customHeight="1" s="82">
      <c r="A302" s="94" t="inlineStr">
        <is>
          <t>ס. פארם</t>
        </is>
      </c>
      <c r="B302" s="94" t="inlineStr">
        <is>
          <t>ס.פ. קרית אתא  תרופות</t>
        </is>
      </c>
      <c r="C302" s="111" t="n">
        <v>0</v>
      </c>
      <c r="D302" s="111" t="n">
        <v>23283.7</v>
      </c>
      <c r="E302" s="111" t="n">
        <v>0</v>
      </c>
      <c r="F302" s="111" t="n">
        <v>0</v>
      </c>
      <c r="G302" s="111" t="n">
        <v>0</v>
      </c>
      <c r="H302" s="94">
        <f>COUNTIF(C302:G302,"&lt;&gt;0")</f>
        <v/>
      </c>
      <c r="I302" s="94">
        <f>IF(H302=0,"לא מטופל",IF(H302=1,"מטופל - סוכן אחד","מטופל - יותר מסוכן אחד"))</f>
        <v/>
      </c>
    </row>
    <row r="303" ht="15" customHeight="1" s="82">
      <c r="A303" s="94" t="inlineStr">
        <is>
          <t>ס. פארם</t>
        </is>
      </c>
      <c r="B303" s="94" t="inlineStr">
        <is>
          <t>ס.פ. קניון לב כרמיאל</t>
        </is>
      </c>
      <c r="C303" s="111" t="n">
        <v>0</v>
      </c>
      <c r="D303" s="111" t="n">
        <v>12492.9</v>
      </c>
      <c r="E303" s="111" t="n">
        <v>0</v>
      </c>
      <c r="F303" s="111" t="n">
        <v>0</v>
      </c>
      <c r="G303" s="111" t="n">
        <v>0</v>
      </c>
      <c r="H303" s="94">
        <f>COUNTIF(C303:G303,"&lt;&gt;0")</f>
        <v/>
      </c>
      <c r="I303" s="94">
        <f>IF(H303=0,"לא מטופל",IF(H303=1,"מטופל - סוכן אחד","מטופל - יותר מסוכן אחד"))</f>
        <v/>
      </c>
    </row>
    <row r="304" ht="15" customHeight="1" s="82">
      <c r="A304" s="94" t="inlineStr">
        <is>
          <t>ס. פארם</t>
        </is>
      </c>
      <c r="B304" s="94" t="inlineStr">
        <is>
          <t>ס.פ. גרנד קניון  תרופות</t>
        </is>
      </c>
      <c r="C304" s="111" t="n">
        <v>0</v>
      </c>
      <c r="D304" s="111" t="n">
        <v>55881.1</v>
      </c>
      <c r="E304" s="111" t="n">
        <v>0</v>
      </c>
      <c r="F304" s="111" t="n">
        <v>0</v>
      </c>
      <c r="G304" s="111" t="n">
        <v>0</v>
      </c>
      <c r="H304" s="94">
        <f>COUNTIF(C304:G304,"&lt;&gt;0")</f>
        <v/>
      </c>
      <c r="I304" s="94">
        <f>IF(H304=0,"לא מטופל",IF(H304=1,"מטופל - סוכן אחד","מטופל - יותר מסוכן אחד"))</f>
        <v/>
      </c>
    </row>
    <row r="305" ht="15" customHeight="1" s="82">
      <c r="A305" s="94" t="inlineStr">
        <is>
          <t>ס. פארם</t>
        </is>
      </c>
      <c r="B305" s="94" t="inlineStr">
        <is>
          <t>ס.פ. מגדל העמק  תרופות</t>
        </is>
      </c>
      <c r="C305" s="111" t="n">
        <v>0</v>
      </c>
      <c r="D305" s="111" t="n">
        <v>12991.9</v>
      </c>
      <c r="E305" s="111" t="n">
        <v>0</v>
      </c>
      <c r="F305" s="111" t="n">
        <v>0</v>
      </c>
      <c r="G305" s="111" t="n">
        <v>0</v>
      </c>
      <c r="H305" s="94">
        <f>COUNTIF(C305:G305,"&lt;&gt;0")</f>
        <v/>
      </c>
      <c r="I305" s="94">
        <f>IF(H305=0,"לא מטופל",IF(H305=1,"מטופל - סוכן אחד","מטופל - יותר מסוכן אחד"))</f>
        <v/>
      </c>
    </row>
    <row r="306" ht="15" customHeight="1" s="82">
      <c r="A306" s="94" t="inlineStr">
        <is>
          <t>ס. פארם</t>
        </is>
      </c>
      <c r="B306" s="94" t="inlineStr">
        <is>
          <t>ס.פ. העצמאות ק.אתא תרופות</t>
        </is>
      </c>
      <c r="C306" s="111" t="n">
        <v>0</v>
      </c>
      <c r="D306" s="111" t="n">
        <v>11197.6</v>
      </c>
      <c r="E306" s="111" t="n">
        <v>0</v>
      </c>
      <c r="F306" s="111" t="n">
        <v>0</v>
      </c>
      <c r="G306" s="111" t="n">
        <v>0</v>
      </c>
      <c r="H306" s="94">
        <f>COUNTIF(C306:G306,"&lt;&gt;0")</f>
        <v/>
      </c>
      <c r="I306" s="94">
        <f>IF(H306=0,"לא מטופל",IF(H306=1,"מטופל - סוכן אחד","מטופל - יותר מסוכן אחד"))</f>
        <v/>
      </c>
    </row>
    <row r="307" ht="15" customHeight="1" s="82">
      <c r="A307" s="94" t="inlineStr">
        <is>
          <t>ס. פארם</t>
        </is>
      </c>
      <c r="B307" s="94" t="inlineStr">
        <is>
          <t>ס.פ. שפרעם תרופות</t>
        </is>
      </c>
      <c r="C307" s="111" t="n">
        <v>0</v>
      </c>
      <c r="D307" s="111" t="n">
        <v>24321.8</v>
      </c>
      <c r="E307" s="111" t="n">
        <v>0</v>
      </c>
      <c r="F307" s="111" t="n">
        <v>0</v>
      </c>
      <c r="G307" s="111" t="n">
        <v>0</v>
      </c>
      <c r="H307" s="94">
        <f>COUNTIF(C307:G307,"&lt;&gt;0")</f>
        <v/>
      </c>
      <c r="I307" s="94">
        <f>IF(H307=0,"לא מטופל",IF(H307=1,"מטופל - סוכן אחד","מטופל - יותר מסוכן אחד"))</f>
        <v/>
      </c>
    </row>
    <row r="308" ht="15" customHeight="1" s="82">
      <c r="A308" s="94" t="inlineStr">
        <is>
          <t>ס. פארם</t>
        </is>
      </c>
      <c r="B308" s="94" t="inlineStr">
        <is>
          <t>ס.פ. ביג יוקנעם תרופות</t>
        </is>
      </c>
      <c r="C308" s="111" t="n">
        <v>0</v>
      </c>
      <c r="D308" s="111" t="n">
        <v>25510.2</v>
      </c>
      <c r="E308" s="111" t="n">
        <v>0</v>
      </c>
      <c r="F308" s="111" t="n">
        <v>0</v>
      </c>
      <c r="G308" s="111" t="n">
        <v>0</v>
      </c>
      <c r="H308" s="94">
        <f>COUNTIF(C308:G308,"&lt;&gt;0")</f>
        <v/>
      </c>
      <c r="I308" s="94">
        <f>IF(H308=0,"לא מטופל",IF(H308=1,"מטופל - סוכן אחד","מטופל - יותר מסוכן אחד"))</f>
        <v/>
      </c>
    </row>
    <row r="309" ht="15" customHeight="1" s="82">
      <c r="A309" s="94" t="inlineStr">
        <is>
          <t>ס. פארם</t>
        </is>
      </c>
      <c r="B309" s="94" t="inlineStr">
        <is>
          <t>ס.פ. סיטי סנטר חיפה תרופות</t>
        </is>
      </c>
      <c r="C309" s="111" t="n">
        <v>0</v>
      </c>
      <c r="D309" s="111" t="n">
        <v>22307.5</v>
      </c>
      <c r="E309" s="111" t="n">
        <v>0</v>
      </c>
      <c r="F309" s="111" t="n">
        <v>0</v>
      </c>
      <c r="G309" s="111" t="n">
        <v>0</v>
      </c>
      <c r="H309" s="94">
        <f>COUNTIF(C309:G309,"&lt;&gt;0")</f>
        <v/>
      </c>
      <c r="I309" s="94">
        <f>IF(H309=0,"לא מטופל",IF(H309=1,"מטופל - סוכן אחד","מטופל - יותר מסוכן אחד"))</f>
        <v/>
      </c>
    </row>
    <row r="310" ht="15" customHeight="1" s="82">
      <c r="A310" s="94" t="inlineStr">
        <is>
          <t>ס. פארם</t>
        </is>
      </c>
      <c r="B310" s="94" t="inlineStr">
        <is>
          <t>ס.פ. בית שאן תרופות</t>
        </is>
      </c>
      <c r="C310" s="111" t="n">
        <v>0</v>
      </c>
      <c r="D310" s="111" t="n">
        <v>10084</v>
      </c>
      <c r="E310" s="111" t="n">
        <v>0</v>
      </c>
      <c r="F310" s="111" t="n">
        <v>0</v>
      </c>
      <c r="G310" s="111" t="n">
        <v>0</v>
      </c>
      <c r="H310" s="94">
        <f>COUNTIF(C310:G310,"&lt;&gt;0")</f>
        <v/>
      </c>
      <c r="I310" s="94">
        <f>IF(H310=0,"לא מטופל",IF(H310=1,"מטופל - סוכן אחד","מטופל - יותר מסוכן אחד"))</f>
        <v/>
      </c>
    </row>
    <row r="311" ht="15" customHeight="1" s="82">
      <c r="A311" s="94" t="inlineStr">
        <is>
          <t>ס. פארם</t>
        </is>
      </c>
      <c r="B311" s="94" t="inlineStr">
        <is>
          <t>ס.פ. חדרה מזרח תרופות</t>
        </is>
      </c>
      <c r="C311" s="111" t="n">
        <v>0</v>
      </c>
      <c r="D311" s="111" t="n">
        <v>16896.6</v>
      </c>
      <c r="E311" s="111" t="n">
        <v>0</v>
      </c>
      <c r="F311" s="111" t="n">
        <v>0</v>
      </c>
      <c r="G311" s="111" t="n">
        <v>0</v>
      </c>
      <c r="H311" s="94">
        <f>COUNTIF(C311:G311,"&lt;&gt;0")</f>
        <v/>
      </c>
      <c r="I311" s="94">
        <f>IF(H311=0,"לא מטופל",IF(H311=1,"מטופל - סוכן אחד","מטופל - יותר מסוכן אחד"))</f>
        <v/>
      </c>
    </row>
    <row r="312" ht="15" customHeight="1" s="82">
      <c r="A312" s="94" t="inlineStr">
        <is>
          <t>ס. פארם</t>
        </is>
      </c>
      <c r="B312" s="94" t="inlineStr">
        <is>
          <t>ס.פ.גדרה תרופות</t>
        </is>
      </c>
      <c r="C312" s="111" t="n">
        <v>0</v>
      </c>
      <c r="D312" s="111" t="n">
        <v>0</v>
      </c>
      <c r="E312" s="111" t="n">
        <v>32028.6</v>
      </c>
      <c r="F312" s="111" t="n">
        <v>0</v>
      </c>
      <c r="G312" s="111" t="n">
        <v>0</v>
      </c>
      <c r="H312" s="94">
        <f>COUNTIF(C312:G312,"&lt;&gt;0")</f>
        <v/>
      </c>
      <c r="I312" s="94">
        <f>IF(H312=0,"לא מטופל",IF(H312=1,"מטופל - סוכן אחד","מטופל - יותר מסוכן אחד"))</f>
        <v/>
      </c>
    </row>
    <row r="313" ht="15" customHeight="1" s="82">
      <c r="A313" s="94" t="inlineStr">
        <is>
          <t>ס. פארם</t>
        </is>
      </c>
      <c r="B313" s="94" t="inlineStr">
        <is>
          <t>ס.פ.ביג קרית גת תרופות</t>
        </is>
      </c>
      <c r="C313" s="111" t="n">
        <v>0</v>
      </c>
      <c r="D313" s="111" t="n">
        <v>0</v>
      </c>
      <c r="E313" s="111" t="n">
        <v>0</v>
      </c>
      <c r="F313" s="111" t="n">
        <v>0</v>
      </c>
      <c r="G313" s="111" t="n">
        <v>36086.4</v>
      </c>
      <c r="H313" s="94">
        <f>COUNTIF(C313:G313,"&lt;&gt;0")</f>
        <v/>
      </c>
      <c r="I313" s="94">
        <f>IF(H313=0,"לא מטופל",IF(H313=1,"מטופל - סוכן אחד","מטופל - יותר מסוכן אחד"))</f>
        <v/>
      </c>
    </row>
    <row r="314" ht="15" customHeight="1" s="82">
      <c r="A314" s="94" t="inlineStr">
        <is>
          <t>ס. פארם</t>
        </is>
      </c>
      <c r="B314" s="94" t="inlineStr">
        <is>
          <t>ס.פ.צים נתיבות תרופות</t>
        </is>
      </c>
      <c r="C314" s="111" t="n">
        <v>0</v>
      </c>
      <c r="D314" s="111" t="n">
        <v>0</v>
      </c>
      <c r="E314" s="111" t="n">
        <v>0</v>
      </c>
      <c r="F314" s="111" t="n">
        <v>0</v>
      </c>
      <c r="G314" s="111" t="n">
        <v>13370.5</v>
      </c>
      <c r="H314" s="94">
        <f>COUNTIF(C314:G314,"&lt;&gt;0")</f>
        <v/>
      </c>
      <c r="I314" s="94">
        <f>IF(H314=0,"לא מטופל",IF(H314=1,"מטופל - סוכן אחד","מטופל - יותר מסוכן אחד"))</f>
        <v/>
      </c>
    </row>
    <row r="315" ht="15" customHeight="1" s="82">
      <c r="A315" s="94" t="inlineStr">
        <is>
          <t>ס. פארם</t>
        </is>
      </c>
      <c r="B315" s="94" t="inlineStr">
        <is>
          <t>ס.פ.אשקלון תרופות גירון</t>
        </is>
      </c>
      <c r="C315" s="111" t="n">
        <v>0</v>
      </c>
      <c r="D315" s="111" t="n">
        <v>0</v>
      </c>
      <c r="E315" s="111" t="n">
        <v>0</v>
      </c>
      <c r="F315" s="111" t="n">
        <v>0</v>
      </c>
      <c r="G315" s="111" t="n">
        <v>56802.8</v>
      </c>
      <c r="H315" s="94">
        <f>COUNTIF(C315:G315,"&lt;&gt;0")</f>
        <v/>
      </c>
      <c r="I315" s="94">
        <f>IF(H315=0,"לא מטופל",IF(H315=1,"מטופל - סוכן אחד","מטופל - יותר מסוכן אחד"))</f>
        <v/>
      </c>
    </row>
    <row r="316" ht="15" customHeight="1" s="82">
      <c r="A316" s="94" t="inlineStr">
        <is>
          <t>ס. פארם</t>
        </is>
      </c>
      <c r="B316" s="94" t="inlineStr">
        <is>
          <t>ס.פ.מרכז דוד תרופות אשקלון</t>
        </is>
      </c>
      <c r="C316" s="111" t="n">
        <v>0</v>
      </c>
      <c r="D316" s="111" t="n">
        <v>0</v>
      </c>
      <c r="E316" s="111" t="n">
        <v>0</v>
      </c>
      <c r="F316" s="111" t="n">
        <v>0</v>
      </c>
      <c r="G316" s="111" t="n">
        <v>24221.5</v>
      </c>
      <c r="H316" s="94">
        <f>COUNTIF(C316:G316,"&lt;&gt;0")</f>
        <v/>
      </c>
      <c r="I316" s="94">
        <f>IF(H316=0,"לא מטופל",IF(H316=1,"מטופל - סוכן אחד","מטופל - יותר מסוכן אחד"))</f>
        <v/>
      </c>
    </row>
    <row r="317" ht="15" customHeight="1" s="82">
      <c r="A317" s="94" t="inlineStr">
        <is>
          <t>ס. פארם</t>
        </is>
      </c>
      <c r="B317" s="94" t="inlineStr">
        <is>
          <t>ס.פ.סטאר סנטר תרופות</t>
        </is>
      </c>
      <c r="C317" s="111" t="n">
        <v>0</v>
      </c>
      <c r="D317" s="111" t="n">
        <v>0</v>
      </c>
      <c r="E317" s="111" t="n">
        <v>0</v>
      </c>
      <c r="F317" s="111" t="n">
        <v>0</v>
      </c>
      <c r="G317" s="111" t="n">
        <v>63211.5</v>
      </c>
      <c r="H317" s="94">
        <f>COUNTIF(C317:G317,"&lt;&gt;0")</f>
        <v/>
      </c>
      <c r="I317" s="94">
        <f>IF(H317=0,"לא מטופל",IF(H317=1,"מטופל - סוכן אחד","מטופל - יותר מסוכן אחד"))</f>
        <v/>
      </c>
    </row>
    <row r="318" ht="15" customHeight="1" s="82">
      <c r="A318" s="94" t="inlineStr">
        <is>
          <t>ס. פארם</t>
        </is>
      </c>
      <c r="B318" s="94" t="inlineStr">
        <is>
          <t>ס.פ.נתיבות תרופות</t>
        </is>
      </c>
      <c r="C318" s="111" t="n">
        <v>0</v>
      </c>
      <c r="D318" s="111" t="n">
        <v>0</v>
      </c>
      <c r="E318" s="111" t="n">
        <v>0</v>
      </c>
      <c r="F318" s="111" t="n">
        <v>0</v>
      </c>
      <c r="G318" s="111" t="n">
        <v>19476.1</v>
      </c>
      <c r="H318" s="94">
        <f>COUNTIF(C318:G318,"&lt;&gt;0")</f>
        <v/>
      </c>
      <c r="I318" s="94">
        <f>IF(H318=0,"לא מטופל",IF(H318=1,"מטופל - סוכן אחד","מטופל - יותר מסוכן אחד"))</f>
        <v/>
      </c>
    </row>
    <row r="319" ht="15" customHeight="1" s="82">
      <c r="A319" s="94" t="inlineStr">
        <is>
          <t>ס. פארם</t>
        </is>
      </c>
      <c r="B319" s="94" t="inlineStr">
        <is>
          <t>ס.פ.סיטי אשדוד תרופות</t>
        </is>
      </c>
      <c r="C319" s="111" t="n">
        <v>0</v>
      </c>
      <c r="D319" s="111" t="n">
        <v>0</v>
      </c>
      <c r="E319" s="111" t="n">
        <v>0</v>
      </c>
      <c r="F319" s="111" t="n">
        <v>0</v>
      </c>
      <c r="G319" s="111" t="n">
        <v>36774.5</v>
      </c>
      <c r="H319" s="94">
        <f>COUNTIF(C319:G319,"&lt;&gt;0")</f>
        <v/>
      </c>
      <c r="I319" s="94">
        <f>IF(H319=0,"לא מטופל",IF(H319=1,"מטופל - סוכן אחד","מטופל - יותר מסוכן אחד"))</f>
        <v/>
      </c>
    </row>
    <row r="320" ht="15" customHeight="1" s="82">
      <c r="A320" s="94" t="inlineStr">
        <is>
          <t>ס. פארם</t>
        </is>
      </c>
      <c r="B320" s="94" t="inlineStr">
        <is>
          <t>ס.פ.לב העיר קרית גת תרופות</t>
        </is>
      </c>
      <c r="C320" s="111" t="n">
        <v>0</v>
      </c>
      <c r="D320" s="111" t="n">
        <v>0</v>
      </c>
      <c r="E320" s="111" t="n">
        <v>0</v>
      </c>
      <c r="F320" s="111" t="n">
        <v>0</v>
      </c>
      <c r="G320" s="111" t="n">
        <v>18474.4</v>
      </c>
      <c r="H320" s="94">
        <f>COUNTIF(C320:G320,"&lt;&gt;0")</f>
        <v/>
      </c>
      <c r="I320" s="94">
        <f>IF(H320=0,"לא מטופל",IF(H320=1,"מטופל - סוכן אחד","מטופל - יותר מסוכן אחד"))</f>
        <v/>
      </c>
    </row>
    <row r="321" ht="15" customHeight="1" s="82">
      <c r="A321" s="94" t="inlineStr">
        <is>
          <t>ס. פארם</t>
        </is>
      </c>
      <c r="B321" s="94" t="inlineStr">
        <is>
          <t>ס.פ.סילבר תרופות</t>
        </is>
      </c>
      <c r="C321" s="111" t="n">
        <v>0</v>
      </c>
      <c r="D321" s="111" t="n">
        <v>0</v>
      </c>
      <c r="E321" s="111" t="n">
        <v>0</v>
      </c>
      <c r="F321" s="111" t="n">
        <v>0</v>
      </c>
      <c r="G321" s="111" t="n">
        <v>37059</v>
      </c>
      <c r="H321" s="94">
        <f>COUNTIF(C321:G321,"&lt;&gt;0")</f>
        <v/>
      </c>
      <c r="I321" s="94">
        <f>IF(H321=0,"לא מטופל",IF(H321=1,"מטופל - סוכן אחד","מטופל - יותר מסוכן אחד"))</f>
        <v/>
      </c>
    </row>
    <row r="322" ht="15" customHeight="1" s="82">
      <c r="A322" s="94" t="inlineStr">
        <is>
          <t>ס. פארם</t>
        </is>
      </c>
      <c r="B322" s="94" t="inlineStr">
        <is>
          <t>ס.פ.אופקים תרופות</t>
        </is>
      </c>
      <c r="C322" s="111" t="n">
        <v>0</v>
      </c>
      <c r="D322" s="111" t="n">
        <v>0</v>
      </c>
      <c r="E322" s="111" t="n">
        <v>0</v>
      </c>
      <c r="F322" s="111" t="n">
        <v>0</v>
      </c>
      <c r="G322" s="111" t="n">
        <v>13546.6</v>
      </c>
      <c r="H322" s="94">
        <f>COUNTIF(C322:G322,"&lt;&gt;0")</f>
        <v/>
      </c>
      <c r="I322" s="94">
        <f>IF(H322=0,"לא מטופל",IF(H322=1,"מטופל - סוכן אחד","מטופל - יותר מסוכן אחד"))</f>
        <v/>
      </c>
    </row>
    <row r="323" ht="15" customHeight="1" s="82">
      <c r="A323" s="94" t="inlineStr">
        <is>
          <t>ס. פארם</t>
        </is>
      </c>
      <c r="B323" s="94" t="inlineStr">
        <is>
          <t>ס.פ.דימונה תרופות</t>
        </is>
      </c>
      <c r="C323" s="111" t="n">
        <v>0</v>
      </c>
      <c r="D323" s="111" t="n">
        <v>0</v>
      </c>
      <c r="E323" s="111" t="n">
        <v>0</v>
      </c>
      <c r="F323" s="111" t="n">
        <v>0</v>
      </c>
      <c r="G323" s="111" t="n">
        <v>14420.5</v>
      </c>
      <c r="H323" s="94">
        <f>COUNTIF(C323:G323,"&lt;&gt;0")</f>
        <v/>
      </c>
      <c r="I323" s="94">
        <f>IF(H323=0,"לא מטופל",IF(H323=1,"מטופל - סוכן אחד","מטופל - יותר מסוכן אחד"))</f>
        <v/>
      </c>
    </row>
    <row r="324" ht="15" customHeight="1" s="82">
      <c r="A324" s="94" t="inlineStr">
        <is>
          <t>ס. פארם</t>
        </is>
      </c>
      <c r="B324" s="94" t="inlineStr">
        <is>
          <t>ס.פ.ביג קסטינה</t>
        </is>
      </c>
      <c r="C324" s="111" t="n">
        <v>0</v>
      </c>
      <c r="D324" s="111" t="n">
        <v>0</v>
      </c>
      <c r="E324" s="111" t="n">
        <v>0</v>
      </c>
      <c r="F324" s="111" t="n">
        <v>0</v>
      </c>
      <c r="G324" s="111" t="n">
        <v>35954.1</v>
      </c>
      <c r="H324" s="94">
        <f>COUNTIF(C324:G324,"&lt;&gt;0")</f>
        <v/>
      </c>
      <c r="I324" s="94">
        <f>IF(H324=0,"לא מטופל",IF(H324=1,"מטופל - סוכן אחד","מטופל - יותר מסוכן אחד"))</f>
        <v/>
      </c>
    </row>
    <row r="325" ht="15" customHeight="1" s="82">
      <c r="A325" s="94" t="inlineStr">
        <is>
          <t>ס. פארם</t>
        </is>
      </c>
      <c r="B325" s="94" t="inlineStr">
        <is>
          <t>ס.פ.גרנד ב""ש</t>
        </is>
      </c>
      <c r="C325" s="111" t="n">
        <v>0</v>
      </c>
      <c r="D325" s="111" t="n">
        <v>0</v>
      </c>
      <c r="E325" s="111" t="n">
        <v>37784.7</v>
      </c>
      <c r="F325" s="111" t="n">
        <v>0</v>
      </c>
      <c r="G325" s="111" t="n">
        <v>0</v>
      </c>
      <c r="H325" s="94">
        <f>COUNTIF(C325:G325,"&lt;&gt;0")</f>
        <v/>
      </c>
      <c r="I325" s="94">
        <f>IF(H325=0,"לא מטופל",IF(H325=1,"מטופל - סוכן אחד","מטופל - יותר מסוכן אחד"))</f>
        <v/>
      </c>
    </row>
    <row r="326" ht="15" customHeight="1" s="82">
      <c r="A326" s="94" t="inlineStr">
        <is>
          <t>ס. פארם</t>
        </is>
      </c>
      <c r="B326" s="94" t="inlineStr">
        <is>
          <t>ס.פ.קניון הנגב תרופות</t>
        </is>
      </c>
      <c r="C326" s="111" t="n">
        <v>0</v>
      </c>
      <c r="D326" s="111" t="n">
        <v>0</v>
      </c>
      <c r="E326" s="111" t="n">
        <v>29054.5</v>
      </c>
      <c r="F326" s="111" t="n">
        <v>0</v>
      </c>
      <c r="G326" s="111" t="n">
        <v>0</v>
      </c>
      <c r="H326" s="94">
        <f>COUNTIF(C326:G326,"&lt;&gt;0")</f>
        <v/>
      </c>
      <c r="I326" s="94">
        <f>IF(H326=0,"לא מטופל",IF(H326=1,"מטופל - סוכן אחד","מטופל - יותר מסוכן אחד"))</f>
        <v/>
      </c>
    </row>
    <row r="327" ht="15" customHeight="1" s="82">
      <c r="A327" s="94" t="inlineStr">
        <is>
          <t>ס. פארם</t>
        </is>
      </c>
      <c r="B327" s="94" t="inlineStr">
        <is>
          <t>ס.פ.ערד תרופות</t>
        </is>
      </c>
      <c r="C327" s="111" t="n">
        <v>0</v>
      </c>
      <c r="D327" s="111" t="n">
        <v>0</v>
      </c>
      <c r="E327" s="111" t="n">
        <v>0</v>
      </c>
      <c r="F327" s="111" t="n">
        <v>0</v>
      </c>
      <c r="G327" s="111" t="n">
        <v>13276.6</v>
      </c>
      <c r="H327" s="94">
        <f>COUNTIF(C327:G327,"&lt;&gt;0")</f>
        <v/>
      </c>
      <c r="I327" s="94">
        <f>IF(H327=0,"לא מטופל",IF(H327=1,"מטופל - סוכן אחד","מטופל - יותר מסוכן אחד"))</f>
        <v/>
      </c>
    </row>
    <row r="328" ht="15" customHeight="1" s="82">
      <c r="A328" s="94" t="inlineStr">
        <is>
          <t>ס. פארם</t>
        </is>
      </c>
      <c r="B328" s="94" t="inlineStr">
        <is>
          <t>ס.פ.שדרות תרופות</t>
        </is>
      </c>
      <c r="C328" s="111" t="n">
        <v>0</v>
      </c>
      <c r="D328" s="111" t="n">
        <v>0</v>
      </c>
      <c r="E328" s="111" t="n">
        <v>0</v>
      </c>
      <c r="F328" s="111" t="n">
        <v>0</v>
      </c>
      <c r="G328" s="111" t="n">
        <v>29751.8</v>
      </c>
      <c r="H328" s="94">
        <f>COUNTIF(C328:G328,"&lt;&gt;0")</f>
        <v/>
      </c>
      <c r="I328" s="94">
        <f>IF(H328=0,"לא מטופל",IF(H328=1,"מטופל - סוכן אחד","מטופל - יותר מסוכן אחד"))</f>
        <v/>
      </c>
    </row>
    <row r="329" ht="15" customHeight="1" s="82">
      <c r="A329" s="94" t="inlineStr">
        <is>
          <t>ס. פארם</t>
        </is>
      </c>
      <c r="B329" s="94" t="inlineStr">
        <is>
          <t>ס.פ.משחררים ב""ש תרופות</t>
        </is>
      </c>
      <c r="C329" s="111" t="n">
        <v>0</v>
      </c>
      <c r="D329" s="111" t="n">
        <v>0</v>
      </c>
      <c r="E329" s="111" t="n">
        <v>28219.1</v>
      </c>
      <c r="F329" s="111" t="n">
        <v>0</v>
      </c>
      <c r="G329" s="111" t="n">
        <v>0</v>
      </c>
      <c r="H329" s="94">
        <f>COUNTIF(C329:G329,"&lt;&gt;0")</f>
        <v/>
      </c>
      <c r="I329" s="94">
        <f>IF(H329=0,"לא מטופל",IF(H329=1,"מטופל - סוכן אחד","מטופל - יותר מסוכן אחד"))</f>
        <v/>
      </c>
    </row>
    <row r="330" ht="15" customHeight="1" s="82">
      <c r="A330" s="94" t="inlineStr">
        <is>
          <t>ס. פארם</t>
        </is>
      </c>
      <c r="B330" s="94" t="inlineStr">
        <is>
          <t>BM ס.פ.קניון שאול המלך</t>
        </is>
      </c>
      <c r="C330" s="111" t="n">
        <v>0</v>
      </c>
      <c r="D330" s="111" t="n">
        <v>0</v>
      </c>
      <c r="E330" s="111" t="n">
        <v>17090.1</v>
      </c>
      <c r="F330" s="111" t="n">
        <v>0</v>
      </c>
      <c r="G330" s="111" t="n">
        <v>0</v>
      </c>
      <c r="H330" s="94">
        <f>COUNTIF(C330:G330,"&lt;&gt;0")</f>
        <v/>
      </c>
      <c r="I330" s="94">
        <f>IF(H330=0,"לא מטופל",IF(H330=1,"מטופל - סוכן אחד","מטופל - יותר מסוכן אחד"))</f>
        <v/>
      </c>
    </row>
    <row r="331" ht="15" customHeight="1" s="82">
      <c r="A331" s="94" t="inlineStr">
        <is>
          <t>ס. פארם</t>
        </is>
      </c>
      <c r="B331" s="94" t="inlineStr">
        <is>
          <t>ס.פ.נחל עשן תרופות</t>
        </is>
      </c>
      <c r="C331" s="111" t="n">
        <v>0</v>
      </c>
      <c r="D331" s="111" t="n">
        <v>0</v>
      </c>
      <c r="E331" s="111" t="n">
        <v>18362.9</v>
      </c>
      <c r="F331" s="111" t="n">
        <v>0</v>
      </c>
      <c r="G331" s="111" t="n">
        <v>0</v>
      </c>
      <c r="H331" s="94">
        <f>COUNTIF(C331:G331,"&lt;&gt;0")</f>
        <v/>
      </c>
      <c r="I331" s="94">
        <f>IF(H331=0,"לא מטופל",IF(H331=1,"מטופל - סוכן אחד","מטופל - יותר מסוכן אחד"))</f>
        <v/>
      </c>
    </row>
    <row r="332" ht="15" customHeight="1" s="82">
      <c r="A332" s="94" t="inlineStr">
        <is>
          <t>ס. פארם</t>
        </is>
      </c>
      <c r="B332" s="94" t="inlineStr">
        <is>
          <t>ס.פ.ביג ב""ש תרופות</t>
        </is>
      </c>
      <c r="C332" s="111" t="n">
        <v>0</v>
      </c>
      <c r="D332" s="111" t="n">
        <v>0</v>
      </c>
      <c r="E332" s="111" t="n">
        <v>88438.10000000001</v>
      </c>
      <c r="F332" s="111" t="n">
        <v>0</v>
      </c>
      <c r="G332" s="111" t="n">
        <v>0</v>
      </c>
      <c r="H332" s="94">
        <f>COUNTIF(C332:G332,"&lt;&gt;0")</f>
        <v/>
      </c>
      <c r="I332" s="94">
        <f>IF(H332=0,"לא מטופל",IF(H332=1,"מטופל - סוכן אחד","מטופל - יותר מסוכן אחד"))</f>
        <v/>
      </c>
    </row>
    <row r="333" ht="15" customHeight="1" s="82">
      <c r="A333" s="94" t="inlineStr">
        <is>
          <t>ס. פארם</t>
        </is>
      </c>
      <c r="B333" s="94" t="inlineStr">
        <is>
          <t>ס.פ.נווה זאב באר שבע תרופות</t>
        </is>
      </c>
      <c r="C333" s="111" t="n">
        <v>0</v>
      </c>
      <c r="D333" s="111" t="n">
        <v>0</v>
      </c>
      <c r="E333" s="111" t="n">
        <v>22226.6</v>
      </c>
      <c r="F333" s="111" t="n">
        <v>0</v>
      </c>
      <c r="G333" s="111" t="n">
        <v>0</v>
      </c>
      <c r="H333" s="94">
        <f>COUNTIF(C333:G333,"&lt;&gt;0")</f>
        <v/>
      </c>
      <c r="I333" s="94">
        <f>IF(H333=0,"לא מטופל",IF(H333=1,"מטופל - סוכן אחד","מטופל - יותר מסוכן אחד"))</f>
        <v/>
      </c>
    </row>
    <row r="334" ht="15" customHeight="1" s="82">
      <c r="A334" s="94" t="inlineStr">
        <is>
          <t>ס. פארם</t>
        </is>
      </c>
      <c r="B334" s="94" t="inlineStr">
        <is>
          <t>ס.פ.גילה תרופות</t>
        </is>
      </c>
      <c r="C334" s="111" t="n">
        <v>0</v>
      </c>
      <c r="D334" s="111" t="n">
        <v>0</v>
      </c>
      <c r="E334" s="111" t="n">
        <v>0</v>
      </c>
      <c r="F334" s="111" t="n">
        <v>0</v>
      </c>
      <c r="G334" s="111" t="n">
        <v>11428.1</v>
      </c>
      <c r="H334" s="94">
        <f>COUNTIF(C334:G334,"&lt;&gt;0")</f>
        <v/>
      </c>
      <c r="I334" s="94">
        <f>IF(H334=0,"לא מטופל",IF(H334=1,"מטופל - סוכן אחד","מטופל - יותר מסוכן אחד"))</f>
        <v/>
      </c>
    </row>
    <row r="335" ht="15" customHeight="1" s="82">
      <c r="A335" s="94" t="inlineStr">
        <is>
          <t>ס. פארם</t>
        </is>
      </c>
      <c r="B335" s="94" t="inlineStr">
        <is>
          <t>ס.פ.מדרחוב תרופות</t>
        </is>
      </c>
      <c r="C335" s="111" t="n">
        <v>0</v>
      </c>
      <c r="D335" s="111" t="n">
        <v>0</v>
      </c>
      <c r="E335" s="111" t="n">
        <v>0</v>
      </c>
      <c r="F335" s="111" t="n">
        <v>0</v>
      </c>
      <c r="G335" s="111" t="n">
        <v>59871.6</v>
      </c>
      <c r="H335" s="94">
        <f>COUNTIF(C335:G335,"&lt;&gt;0")</f>
        <v/>
      </c>
      <c r="I335" s="94">
        <f>IF(H335=0,"לא מטופל",IF(H335=1,"מטופל - סוכן אחד","מטופל - יותר מסוכן אחד"))</f>
        <v/>
      </c>
    </row>
    <row r="336" ht="15" customHeight="1" s="82">
      <c r="A336" s="94" t="inlineStr">
        <is>
          <t>ס. פארם</t>
        </is>
      </c>
      <c r="B336" s="94" t="inlineStr">
        <is>
          <t>ס.פ ממילא ירושלים תרופות</t>
        </is>
      </c>
      <c r="C336" s="111" t="n">
        <v>0</v>
      </c>
      <c r="D336" s="111" t="n">
        <v>0</v>
      </c>
      <c r="E336" s="111" t="n">
        <v>0</v>
      </c>
      <c r="F336" s="111" t="n">
        <v>0</v>
      </c>
      <c r="G336" s="111" t="n">
        <v>29037.3</v>
      </c>
      <c r="H336" s="94">
        <f>COUNTIF(C336:G336,"&lt;&gt;0")</f>
        <v/>
      </c>
      <c r="I336" s="94">
        <f>IF(H336=0,"לא מטופל",IF(H336=1,"מטופל - סוכן אחד","מטופל - יותר מסוכן אחד"))</f>
        <v/>
      </c>
    </row>
    <row r="337" ht="15" customHeight="1" s="82">
      <c r="A337" s="94" t="inlineStr">
        <is>
          <t>ס. פארם</t>
        </is>
      </c>
      <c r="B337" s="94" t="inlineStr">
        <is>
          <t>ס.פ.בית האומות י-ם תרופות</t>
        </is>
      </c>
      <c r="C337" s="111" t="n">
        <v>0</v>
      </c>
      <c r="D337" s="111" t="n">
        <v>0</v>
      </c>
      <c r="E337" s="111" t="n">
        <v>0</v>
      </c>
      <c r="F337" s="111" t="n">
        <v>0</v>
      </c>
      <c r="G337" s="111" t="n">
        <v>45291.6</v>
      </c>
      <c r="H337" s="94">
        <f>COUNTIF(C337:G337,"&lt;&gt;0")</f>
        <v/>
      </c>
      <c r="I337" s="94">
        <f>IF(H337=0,"לא מטופל",IF(H337=1,"מטופל - סוכן אחד","מטופל - יותר מסוכן אחד"))</f>
        <v/>
      </c>
    </row>
    <row r="338" ht="15" customHeight="1" s="82">
      <c r="A338" s="94" t="inlineStr">
        <is>
          <t>ס. פארם</t>
        </is>
      </c>
      <c r="B338" s="94" t="inlineStr">
        <is>
          <t>ס.פ.ניות ירושלים תרופות</t>
        </is>
      </c>
      <c r="C338" s="111" t="n">
        <v>0</v>
      </c>
      <c r="D338" s="111" t="n">
        <v>0</v>
      </c>
      <c r="E338" s="111" t="n">
        <v>0</v>
      </c>
      <c r="F338" s="111" t="n">
        <v>0</v>
      </c>
      <c r="G338" s="111" t="n">
        <v>42012.2</v>
      </c>
      <c r="H338" s="94">
        <f>COUNTIF(C338:G338,"&lt;&gt;0")</f>
        <v/>
      </c>
      <c r="I338" s="94">
        <f>IF(H338=0,"לא מטופל",IF(H338=1,"מטופל - סוכן אחד","מטופל - יותר מסוכן אחד"))</f>
        <v/>
      </c>
    </row>
    <row r="339" ht="15" customHeight="1" s="82">
      <c r="A339" s="94" t="inlineStr">
        <is>
          <t>ס. פארם</t>
        </is>
      </c>
      <c r="B339" s="94" t="inlineStr">
        <is>
          <t>ס.פ.הדסה ע.כרם י-ם תרופות</t>
        </is>
      </c>
      <c r="C339" s="111" t="n">
        <v>0</v>
      </c>
      <c r="D339" s="111" t="n">
        <v>0</v>
      </c>
      <c r="E339" s="111" t="n">
        <v>0</v>
      </c>
      <c r="F339" s="111" t="n">
        <v>0</v>
      </c>
      <c r="G339" s="111" t="n">
        <v>70289.5</v>
      </c>
      <c r="H339" s="94">
        <f>COUNTIF(C339:G339,"&lt;&gt;0")</f>
        <v/>
      </c>
      <c r="I339" s="94">
        <f>IF(H339=0,"לא מטופל",IF(H339=1,"מטופל - סוכן אחד","מטופל - יותר מסוכן אחד"))</f>
        <v/>
      </c>
    </row>
    <row r="340" ht="15" customHeight="1" s="82">
      <c r="A340" s="94" t="inlineStr">
        <is>
          <t>ס. פארם</t>
        </is>
      </c>
      <c r="B340" s="94" t="inlineStr">
        <is>
          <t>ס.פ.פסגת זאב תרופות</t>
        </is>
      </c>
      <c r="C340" s="111" t="n">
        <v>0</v>
      </c>
      <c r="D340" s="111" t="n">
        <v>0</v>
      </c>
      <c r="E340" s="111" t="n">
        <v>0</v>
      </c>
      <c r="F340" s="111" t="n">
        <v>0</v>
      </c>
      <c r="G340" s="111" t="n">
        <v>28096.6</v>
      </c>
      <c r="H340" s="94">
        <f>COUNTIF(C340:G340,"&lt;&gt;0")</f>
        <v/>
      </c>
      <c r="I340" s="94">
        <f>IF(H340=0,"לא מטופל",IF(H340=1,"מטופל - סוכן אחד","מטופל - יותר מסוכן אחד"))</f>
        <v/>
      </c>
    </row>
    <row r="341" ht="15" customHeight="1" s="82">
      <c r="A341" s="94" t="inlineStr">
        <is>
          <t>ס. פארם</t>
        </is>
      </c>
      <c r="B341" s="94" t="inlineStr">
        <is>
          <t>ס.פ.בית הכרם תרופות</t>
        </is>
      </c>
      <c r="C341" s="111" t="n">
        <v>0</v>
      </c>
      <c r="D341" s="111" t="n">
        <v>0</v>
      </c>
      <c r="E341" s="111" t="n">
        <v>0</v>
      </c>
      <c r="F341" s="111" t="n">
        <v>0</v>
      </c>
      <c r="G341" s="111" t="n">
        <v>28961</v>
      </c>
      <c r="H341" s="94">
        <f>COUNTIF(C341:G341,"&lt;&gt;0")</f>
        <v/>
      </c>
      <c r="I341" s="94">
        <f>IF(H341=0,"לא מטופל",IF(H341=1,"מטופל - סוכן אחד","מטופל - יותר מסוכן אחד"))</f>
        <v/>
      </c>
    </row>
    <row r="342" ht="15" customHeight="1" s="82">
      <c r="A342" s="94" t="inlineStr">
        <is>
          <t>ס. פארם</t>
        </is>
      </c>
      <c r="B342" s="94" t="inlineStr">
        <is>
          <t>ס.פ.רמות ירושלים תרופות</t>
        </is>
      </c>
      <c r="C342" s="111" t="n">
        <v>0</v>
      </c>
      <c r="D342" s="111" t="n">
        <v>0</v>
      </c>
      <c r="E342" s="111" t="n">
        <v>0</v>
      </c>
      <c r="F342" s="111" t="n">
        <v>0</v>
      </c>
      <c r="G342" s="111" t="n">
        <v>58295.4</v>
      </c>
      <c r="H342" s="94">
        <f>COUNTIF(C342:G342,"&lt;&gt;0")</f>
        <v/>
      </c>
      <c r="I342" s="94">
        <f>IF(H342=0,"לא מטופל",IF(H342=1,"מטופל - סוכן אחד","מטופל - יותר מסוכן אחד"))</f>
        <v/>
      </c>
    </row>
    <row r="343" ht="15" customHeight="1" s="82">
      <c r="A343" s="94" t="inlineStr">
        <is>
          <t>ס. פארם</t>
        </is>
      </c>
      <c r="B343" s="94" t="inlineStr">
        <is>
          <t>ס.פ.מלחה תרופות</t>
        </is>
      </c>
      <c r="C343" s="111" t="n">
        <v>0</v>
      </c>
      <c r="D343" s="111" t="n">
        <v>0</v>
      </c>
      <c r="E343" s="111" t="n">
        <v>0</v>
      </c>
      <c r="F343" s="111" t="n">
        <v>0</v>
      </c>
      <c r="G343" s="111" t="n">
        <v>52586.4</v>
      </c>
      <c r="H343" s="94">
        <f>COUNTIF(C343:G343,"&lt;&gt;0")</f>
        <v/>
      </c>
      <c r="I343" s="94">
        <f>IF(H343=0,"לא מטופל",IF(H343=1,"מטופל - סוכן אחד","מטופל - יותר מסוכן אחד"))</f>
        <v/>
      </c>
    </row>
    <row r="344" ht="15" customHeight="1" s="82">
      <c r="A344" s="94" t="inlineStr">
        <is>
          <t>ס. פארם</t>
        </is>
      </c>
      <c r="B344" s="94" t="inlineStr">
        <is>
          <t>ס.פ.מעלה אדומים תרופות</t>
        </is>
      </c>
      <c r="C344" s="111" t="n">
        <v>0</v>
      </c>
      <c r="D344" s="111" t="n">
        <v>0</v>
      </c>
      <c r="E344" s="111" t="n">
        <v>0</v>
      </c>
      <c r="F344" s="111" t="n">
        <v>0</v>
      </c>
      <c r="G344" s="111" t="n">
        <v>28284.4</v>
      </c>
      <c r="H344" s="94">
        <f>COUNTIF(C344:G344,"&lt;&gt;0")</f>
        <v/>
      </c>
      <c r="I344" s="94">
        <f>IF(H344=0,"לא מטופל",IF(H344=1,"מטופל - סוכן אחד","מטופל - יותר מסוכן אחד"))</f>
        <v/>
      </c>
    </row>
    <row r="345" ht="15" customHeight="1" s="82">
      <c r="A345" s="94" t="inlineStr">
        <is>
          <t>ס. פארם</t>
        </is>
      </c>
      <c r="B345" s="94" t="inlineStr">
        <is>
          <t>ס.פ ביג בית שמש תרופות</t>
        </is>
      </c>
      <c r="C345" s="111" t="n">
        <v>0</v>
      </c>
      <c r="D345" s="111" t="n">
        <v>0</v>
      </c>
      <c r="E345" s="111" t="n">
        <v>0</v>
      </c>
      <c r="F345" s="111" t="n">
        <v>0</v>
      </c>
      <c r="G345" s="111" t="n">
        <v>40253.2</v>
      </c>
      <c r="H345" s="94">
        <f>COUNTIF(C345:G345,"&lt;&gt;0")</f>
        <v/>
      </c>
      <c r="I345" s="94">
        <f>IF(H345=0,"לא מטופל",IF(H345=1,"מטופל - סוכן אחד","מטופל - יותר מסוכן אחד"))</f>
        <v/>
      </c>
    </row>
    <row r="346" ht="15" customHeight="1" s="82">
      <c r="A346" s="94" t="inlineStr">
        <is>
          <t>ס. פארם</t>
        </is>
      </c>
      <c r="B346" s="94" t="inlineStr">
        <is>
          <t>ס.פ.קניון בית שמש תרופות</t>
        </is>
      </c>
      <c r="C346" s="111" t="n">
        <v>0</v>
      </c>
      <c r="D346" s="111" t="n">
        <v>0</v>
      </c>
      <c r="E346" s="111" t="n">
        <v>0</v>
      </c>
      <c r="F346" s="111" t="n">
        <v>0</v>
      </c>
      <c r="G346" s="111" t="n">
        <v>28489.4</v>
      </c>
      <c r="H346" s="94">
        <f>COUNTIF(C346:G346,"&lt;&gt;0")</f>
        <v/>
      </c>
      <c r="I346" s="94">
        <f>IF(H346=0,"לא מטופל",IF(H346=1,"מטופל - סוכן אחד","מטופל - יותר מסוכן אחד"))</f>
        <v/>
      </c>
    </row>
    <row r="347" ht="15" customHeight="1" s="82">
      <c r="A347" s="94" t="inlineStr">
        <is>
          <t>ס. פארם</t>
        </is>
      </c>
      <c r="B347" s="94" t="inlineStr">
        <is>
          <t>ס.פ.גבעת שאול תרופות</t>
        </is>
      </c>
      <c r="C347" s="111" t="n">
        <v>0</v>
      </c>
      <c r="D347" s="111" t="n">
        <v>0</v>
      </c>
      <c r="E347" s="111" t="n">
        <v>0</v>
      </c>
      <c r="F347" s="111" t="n">
        <v>0</v>
      </c>
      <c r="G347" s="111" t="n">
        <v>25344.6</v>
      </c>
      <c r="H347" s="94">
        <f>COUNTIF(C347:G347,"&lt;&gt;0")</f>
        <v/>
      </c>
      <c r="I347" s="94">
        <f>IF(H347=0,"לא מטופל",IF(H347=1,"מטופל - סוכן אחד","מטופל - יותר מסוכן אחד"))</f>
        <v/>
      </c>
    </row>
    <row r="348" ht="15" customHeight="1" s="82">
      <c r="A348" s="94" t="inlineStr">
        <is>
          <t>ס. פארם</t>
        </is>
      </c>
      <c r="B348" s="94" t="inlineStr">
        <is>
          <t>ס.פ.תחנה י-ם תרופות</t>
        </is>
      </c>
      <c r="C348" s="111" t="n">
        <v>0</v>
      </c>
      <c r="D348" s="111" t="n">
        <v>0</v>
      </c>
      <c r="E348" s="111" t="n">
        <v>0</v>
      </c>
      <c r="F348" s="111" t="n">
        <v>0</v>
      </c>
      <c r="G348" s="111" t="n">
        <v>29506.2</v>
      </c>
      <c r="H348" s="94">
        <f>COUNTIF(C348:G348,"&lt;&gt;0")</f>
        <v/>
      </c>
      <c r="I348" s="94">
        <f>IF(H348=0,"לא מטופל",IF(H348=1,"מטופל - סוכן אחד","מטופל - יותר מסוכן אחד"))</f>
        <v/>
      </c>
    </row>
    <row r="349" ht="15" customHeight="1" s="82">
      <c r="A349" s="94" t="inlineStr">
        <is>
          <t>ס. פארם</t>
        </is>
      </c>
      <c r="B349" s="94" t="inlineStr">
        <is>
          <t>ס.פ.תלפיות תרופות י-ם</t>
        </is>
      </c>
      <c r="C349" s="111" t="n">
        <v>0</v>
      </c>
      <c r="D349" s="111" t="n">
        <v>0</v>
      </c>
      <c r="E349" s="111" t="n">
        <v>0</v>
      </c>
      <c r="F349" s="111" t="n">
        <v>0</v>
      </c>
      <c r="G349" s="111" t="n">
        <v>46557.9</v>
      </c>
      <c r="H349" s="94">
        <f>COUNTIF(C349:G349,"&lt;&gt;0")</f>
        <v/>
      </c>
      <c r="I349" s="94">
        <f>IF(H349=0,"לא מטופל",IF(H349=1,"מטופל - סוכן אחד","מטופל - יותר מסוכן אחד"))</f>
        <v/>
      </c>
    </row>
    <row r="350" ht="15" customHeight="1" s="82">
      <c r="A350" s="94" t="inlineStr">
        <is>
          <t>ס. פארם</t>
        </is>
      </c>
      <c r="B350" s="94" t="inlineStr">
        <is>
          <t>ס.פ.מודיעין שמשוני תרופות</t>
        </is>
      </c>
      <c r="C350" s="111" t="n">
        <v>0</v>
      </c>
      <c r="D350" s="111" t="n">
        <v>0</v>
      </c>
      <c r="E350" s="111" t="n">
        <v>0</v>
      </c>
      <c r="F350" s="111" t="n">
        <v>0</v>
      </c>
      <c r="G350" s="111" t="n">
        <v>37677.9</v>
      </c>
      <c r="H350" s="94">
        <f>COUNTIF(C350:G350,"&lt;&gt;0")</f>
        <v/>
      </c>
      <c r="I350" s="94">
        <f>IF(H350=0,"לא מטופל",IF(H350=1,"מטופל - סוכן אחד","מטופל - יותר מסוכן אחד"))</f>
        <v/>
      </c>
    </row>
    <row r="351" ht="15" customHeight="1" s="82">
      <c r="A351" s="94" t="inlineStr">
        <is>
          <t>ס. פארם</t>
        </is>
      </c>
      <c r="B351" s="94" t="inlineStr">
        <is>
          <t>ס.פ.ישפרו מודיעין תרופות</t>
        </is>
      </c>
      <c r="C351" s="111" t="n">
        <v>0</v>
      </c>
      <c r="D351" s="111" t="n">
        <v>0</v>
      </c>
      <c r="E351" s="111" t="n">
        <v>0</v>
      </c>
      <c r="F351" s="111" t="n">
        <v>0</v>
      </c>
      <c r="G351" s="111" t="n">
        <v>51666.7</v>
      </c>
      <c r="H351" s="94">
        <f>COUNTIF(C351:G351,"&lt;&gt;0")</f>
        <v/>
      </c>
      <c r="I351" s="94">
        <f>IF(H351=0,"לא מטופל",IF(H351=1,"מטופל - סוכן אחד","מטופל - יותר מסוכן אחד"))</f>
        <v/>
      </c>
    </row>
    <row r="352" ht="15" customHeight="1" s="82">
      <c r="A352" s="94" t="inlineStr">
        <is>
          <t>ס. פארם</t>
        </is>
      </c>
      <c r="B352" s="94" t="inlineStr">
        <is>
          <t>ס.פ.קניון מודיעין תרופות</t>
        </is>
      </c>
      <c r="C352" s="111" t="n">
        <v>0</v>
      </c>
      <c r="D352" s="111" t="n">
        <v>0</v>
      </c>
      <c r="E352" s="111" t="n">
        <v>0</v>
      </c>
      <c r="F352" s="111" t="n">
        <v>0</v>
      </c>
      <c r="G352" s="111" t="n">
        <v>52742</v>
      </c>
      <c r="H352" s="94">
        <f>COUNTIF(C352:G352,"&lt;&gt;0")</f>
        <v/>
      </c>
      <c r="I352" s="94">
        <f>IF(H352=0,"לא מטופל",IF(H352=1,"מטופל - סוכן אחד","מטופל - יותר מסוכן אחד"))</f>
        <v/>
      </c>
    </row>
    <row r="353" ht="15" customHeight="1" s="82">
      <c r="A353" s="94" t="inlineStr">
        <is>
          <t>ס. פארם</t>
        </is>
      </c>
      <c r="B353" s="94" t="inlineStr">
        <is>
          <t>ס.פ.מזכרת בתיה תרופות</t>
        </is>
      </c>
      <c r="C353" s="111" t="n">
        <v>0</v>
      </c>
      <c r="D353" s="111" t="n">
        <v>0</v>
      </c>
      <c r="E353" s="111" t="n">
        <v>0</v>
      </c>
      <c r="F353" s="111" t="n">
        <v>0</v>
      </c>
      <c r="G353" s="111" t="n">
        <v>22230.3</v>
      </c>
      <c r="H353" s="94">
        <f>COUNTIF(C353:G353,"&lt;&gt;0")</f>
        <v/>
      </c>
      <c r="I353" s="94">
        <f>IF(H353=0,"לא מטופל",IF(H353=1,"מטופל - סוכן אחד","מטופל - יותר מסוכן אחד"))</f>
        <v/>
      </c>
    </row>
    <row r="354" ht="15" customHeight="1" s="82">
      <c r="A354" s="94" t="inlineStr">
        <is>
          <t>ס. פארם</t>
        </is>
      </c>
      <c r="B354" s="94" t="inlineStr">
        <is>
          <t>ס.פ.בילו סנטר תרופות</t>
        </is>
      </c>
      <c r="C354" s="111" t="n">
        <v>0</v>
      </c>
      <c r="D354" s="111" t="n">
        <v>0</v>
      </c>
      <c r="E354" s="111" t="n">
        <v>0</v>
      </c>
      <c r="F354" s="111" t="n">
        <v>0</v>
      </c>
      <c r="G354" s="111" t="n">
        <v>39005.8</v>
      </c>
      <c r="H354" s="94">
        <f>COUNTIF(C354:G354,"&lt;&gt;0")</f>
        <v/>
      </c>
      <c r="I354" s="94">
        <f>IF(H354=0,"לא מטופל",IF(H354=1,"מטופל - סוכן אחד","מטופל - יותר מסוכן אחד"))</f>
        <v/>
      </c>
    </row>
    <row r="355" ht="15" customHeight="1" s="82">
      <c r="A355" s="94" t="inlineStr">
        <is>
          <t>ס. פארם</t>
        </is>
      </c>
      <c r="B355" s="94" t="inlineStr">
        <is>
          <t>ס.פ.כיכר דיזנגוף תרופות</t>
        </is>
      </c>
      <c r="C355" s="111" t="n">
        <v>28621.5</v>
      </c>
      <c r="D355" s="111" t="n">
        <v>0</v>
      </c>
      <c r="E355" s="111" t="n">
        <v>0</v>
      </c>
      <c r="F355" s="111" t="n">
        <v>0</v>
      </c>
      <c r="G355" s="111" t="n">
        <v>0</v>
      </c>
      <c r="H355" s="94">
        <f>COUNTIF(C355:G355,"&lt;&gt;0")</f>
        <v/>
      </c>
      <c r="I355" s="94">
        <f>IF(H355=0,"לא מטופל",IF(H355=1,"מטופל - סוכן אחד","מטופל - יותר מסוכן אחד"))</f>
        <v/>
      </c>
    </row>
    <row r="356" ht="15" customHeight="1" s="82">
      <c r="A356" s="94" t="inlineStr">
        <is>
          <t>ס. פארם</t>
        </is>
      </c>
      <c r="B356" s="94" t="inlineStr">
        <is>
          <t>ס.פ.גאלרי כיכר ציון ירושלים</t>
        </is>
      </c>
      <c r="C356" s="111" t="n">
        <v>0</v>
      </c>
      <c r="D356" s="111" t="n">
        <v>0</v>
      </c>
      <c r="E356" s="111" t="n">
        <v>0</v>
      </c>
      <c r="F356" s="111" t="n">
        <v>0</v>
      </c>
      <c r="G356" s="111" t="n">
        <v>46442.7</v>
      </c>
      <c r="H356" s="94">
        <f>COUNTIF(C356:G356,"&lt;&gt;0")</f>
        <v/>
      </c>
      <c r="I356" s="94">
        <f>IF(H356=0,"לא מטופל",IF(H356=1,"מטופל - סוכן אחד","מטופל - יותר מסוכן אחד"))</f>
        <v/>
      </c>
    </row>
    <row r="357" ht="15" customHeight="1" s="82">
      <c r="A357" s="94" t="inlineStr">
        <is>
          <t>ס. פארם</t>
        </is>
      </c>
      <c r="B357" s="94" t="inlineStr">
        <is>
          <t>ס.פ.חולון שנקר תרופות</t>
        </is>
      </c>
      <c r="C357" s="111" t="n">
        <v>0</v>
      </c>
      <c r="D357" s="111" t="n">
        <v>0</v>
      </c>
      <c r="E357" s="111" t="n">
        <v>15127.1</v>
      </c>
      <c r="F357" s="111" t="n">
        <v>0</v>
      </c>
      <c r="G357" s="111" t="n">
        <v>0</v>
      </c>
      <c r="H357" s="94">
        <f>COUNTIF(C357:G357,"&lt;&gt;0")</f>
        <v/>
      </c>
      <c r="I357" s="94">
        <f>IF(H357=0,"לא מטופל",IF(H357=1,"מטופל - סוכן אחד","מטופל - יותר מסוכן אחד"))</f>
        <v/>
      </c>
    </row>
    <row r="358" ht="15" customHeight="1" s="82">
      <c r="A358" s="94" t="inlineStr">
        <is>
          <t>ס. פארם</t>
        </is>
      </c>
      <c r="B358" s="94" t="inlineStr">
        <is>
          <t>ס.פ.ארלוזורוב תרופות</t>
        </is>
      </c>
      <c r="C358" s="111" t="n">
        <v>20297.6</v>
      </c>
      <c r="D358" s="111" t="n">
        <v>0</v>
      </c>
      <c r="E358" s="111" t="n">
        <v>0</v>
      </c>
      <c r="F358" s="111" t="n">
        <v>0</v>
      </c>
      <c r="G358" s="111" t="n">
        <v>0</v>
      </c>
      <c r="H358" s="94">
        <f>COUNTIF(C358:G358,"&lt;&gt;0")</f>
        <v/>
      </c>
      <c r="I358" s="94">
        <f>IF(H358=0,"לא מטופל",IF(H358=1,"מטופל - סוכן אחד","מטופל - יותר מסוכן אחד"))</f>
        <v/>
      </c>
    </row>
    <row r="359" ht="15" customHeight="1" s="82">
      <c r="A359" s="94" t="inlineStr">
        <is>
          <t>ס. פארם</t>
        </is>
      </c>
      <c r="B359" s="94" t="inlineStr">
        <is>
          <t>ס.פ.כפר סבא הירוקה תרופות</t>
        </is>
      </c>
      <c r="C359" s="111" t="n">
        <v>22163.6</v>
      </c>
      <c r="D359" s="111" t="n">
        <v>0</v>
      </c>
      <c r="E359" s="111" t="n">
        <v>0</v>
      </c>
      <c r="F359" s="111" t="n">
        <v>0</v>
      </c>
      <c r="G359" s="111" t="n">
        <v>0</v>
      </c>
      <c r="H359" s="94">
        <f>COUNTIF(C359:G359,"&lt;&gt;0")</f>
        <v/>
      </c>
      <c r="I359" s="94">
        <f>IF(H359=0,"לא מטופל",IF(H359=1,"מטופל - סוכן אחד","מטופל - יותר מסוכן אחד"))</f>
        <v/>
      </c>
    </row>
    <row r="360" ht="15" customHeight="1" s="82">
      <c r="A360" s="94" t="inlineStr">
        <is>
          <t>ס. פארם</t>
        </is>
      </c>
      <c r="B360" s="94" t="inlineStr">
        <is>
          <t>ס.פ. רמת הנשיא חיפה תרופות</t>
        </is>
      </c>
      <c r="C360" s="111" t="n">
        <v>0</v>
      </c>
      <c r="D360" s="111" t="n">
        <v>21866.3</v>
      </c>
      <c r="E360" s="111" t="n">
        <v>0</v>
      </c>
      <c r="F360" s="111" t="n">
        <v>0</v>
      </c>
      <c r="G360" s="111" t="n">
        <v>0</v>
      </c>
      <c r="H360" s="94">
        <f>COUNTIF(C360:G360,"&lt;&gt;0")</f>
        <v/>
      </c>
      <c r="I360" s="94">
        <f>IF(H360=0,"לא מטופל",IF(H360=1,"מטופל - סוכן אחד","מטופל - יותר מסוכן אחד"))</f>
        <v/>
      </c>
    </row>
    <row r="361" ht="15" customHeight="1" s="82">
      <c r="A361" s="94" t="inlineStr">
        <is>
          <t>ס. פארם</t>
        </is>
      </c>
      <c r="B361" s="94" t="inlineStr">
        <is>
          <t>ס.פ. טירת הכרמל  תרופות</t>
        </is>
      </c>
      <c r="C361" s="111" t="n">
        <v>0</v>
      </c>
      <c r="D361" s="111" t="n">
        <v>16298.9</v>
      </c>
      <c r="E361" s="111" t="n">
        <v>0</v>
      </c>
      <c r="F361" s="111" t="n">
        <v>0</v>
      </c>
      <c r="G361" s="111" t="n">
        <v>0</v>
      </c>
      <c r="H361" s="94">
        <f>COUNTIF(C361:G361,"&lt;&gt;0")</f>
        <v/>
      </c>
      <c r="I361" s="94">
        <f>IF(H361=0,"לא מטופל",IF(H361=1,"מטופל - סוכן אחד","מטופל - יותר מסוכן אחד"))</f>
        <v/>
      </c>
    </row>
    <row r="362" ht="15" customHeight="1" s="82">
      <c r="A362" s="94" t="inlineStr">
        <is>
          <t>ס. פארם</t>
        </is>
      </c>
      <c r="B362" s="94" t="inlineStr">
        <is>
          <t>ס.פ. שער צפון קרית אתא תרופות</t>
        </is>
      </c>
      <c r="C362" s="111" t="n">
        <v>0</v>
      </c>
      <c r="D362" s="111" t="n">
        <v>10039.8</v>
      </c>
      <c r="E362" s="111" t="n">
        <v>0</v>
      </c>
      <c r="F362" s="111" t="n">
        <v>0</v>
      </c>
      <c r="G362" s="111" t="n">
        <v>0</v>
      </c>
      <c r="H362" s="94">
        <f>COUNTIF(C362:G362,"&lt;&gt;0")</f>
        <v/>
      </c>
      <c r="I362" s="94">
        <f>IF(H362=0,"לא מטופל",IF(H362=1,"מטופל - סוכן אחד","מטופל - יותר מסוכן אחד"))</f>
        <v/>
      </c>
    </row>
    <row r="363" ht="15" customHeight="1" s="82">
      <c r="A363" s="94" t="inlineStr">
        <is>
          <t>ס. פארם</t>
        </is>
      </c>
      <c r="B363" s="94" t="inlineStr">
        <is>
          <t>ס.פ.בית הבד תרופות הוד השרון</t>
        </is>
      </c>
      <c r="C363" s="111" t="n">
        <v>16229.1</v>
      </c>
      <c r="D363" s="111" t="n">
        <v>0</v>
      </c>
      <c r="E363" s="111" t="n">
        <v>0</v>
      </c>
      <c r="F363" s="111" t="n">
        <v>0</v>
      </c>
      <c r="G363" s="111" t="n">
        <v>0</v>
      </c>
      <c r="H363" s="94">
        <f>COUNTIF(C363:G363,"&lt;&gt;0")</f>
        <v/>
      </c>
      <c r="I363" s="94">
        <f>IF(H363=0,"לא מטופל",IF(H363=1,"מטופל - סוכן אחד","מטופל - יותר מסוכן אחד"))</f>
        <v/>
      </c>
    </row>
    <row r="364" ht="15" customHeight="1" s="82">
      <c r="A364" s="94" t="inlineStr">
        <is>
          <t>ס. פארם</t>
        </is>
      </c>
      <c r="B364" s="94" t="inlineStr">
        <is>
          <t>ס.פ. שבזי ראש העין תרופות</t>
        </is>
      </c>
      <c r="C364" s="111" t="n">
        <v>0</v>
      </c>
      <c r="D364" s="111" t="n">
        <v>0</v>
      </c>
      <c r="E364" s="111" t="n">
        <v>16439.4</v>
      </c>
      <c r="F364" s="111" t="n">
        <v>0</v>
      </c>
      <c r="G364" s="111" t="n">
        <v>0</v>
      </c>
      <c r="H364" s="94">
        <f>COUNTIF(C364:G364,"&lt;&gt;0")</f>
        <v/>
      </c>
      <c r="I364" s="94">
        <f>IF(H364=0,"לא מטופל",IF(H364=1,"מטופל - סוכן אחד","מטופל - יותר מסוכן אחד"))</f>
        <v/>
      </c>
    </row>
    <row r="365" ht="15" customHeight="1" s="82">
      <c r="A365" s="94" t="inlineStr">
        <is>
          <t>ס. פארם</t>
        </is>
      </c>
      <c r="B365" s="94" t="inlineStr">
        <is>
          <t>ס.פ.אגמים נתניה תרופות</t>
        </is>
      </c>
      <c r="C365" s="111" t="n">
        <v>19823.2</v>
      </c>
      <c r="D365" s="111" t="n">
        <v>0</v>
      </c>
      <c r="E365" s="111" t="n">
        <v>0</v>
      </c>
      <c r="F365" s="111" t="n">
        <v>0</v>
      </c>
      <c r="G365" s="111" t="n">
        <v>0</v>
      </c>
      <c r="H365" s="94">
        <f>COUNTIF(C365:G365,"&lt;&gt;0")</f>
        <v/>
      </c>
      <c r="I365" s="94">
        <f>IF(H365=0,"לא מטופל",IF(H365=1,"מטופל - סוכן אחד","מטופל - יותר מסוכן אחד"))</f>
        <v/>
      </c>
    </row>
    <row r="366" ht="15" customHeight="1" s="82">
      <c r="A366" s="94" t="inlineStr">
        <is>
          <t>ס. פארם</t>
        </is>
      </c>
      <c r="B366" s="94" t="inlineStr">
        <is>
          <t>ס.פ. קרית חיים תרופות</t>
        </is>
      </c>
      <c r="C366" s="111" t="n">
        <v>0</v>
      </c>
      <c r="D366" s="111" t="n">
        <v>20345.7</v>
      </c>
      <c r="E366" s="111" t="n">
        <v>0</v>
      </c>
      <c r="F366" s="111" t="n">
        <v>0</v>
      </c>
      <c r="G366" s="111" t="n">
        <v>0</v>
      </c>
      <c r="H366" s="94">
        <f>COUNTIF(C366:G366,"&lt;&gt;0")</f>
        <v/>
      </c>
      <c r="I366" s="94">
        <f>IF(H366=0,"לא מטופל",IF(H366=1,"מטופל - סוכן אחד","מטופל - יותר מסוכן אחד"))</f>
        <v/>
      </c>
    </row>
    <row r="367" ht="15" customHeight="1" s="82">
      <c r="A367" s="94" t="inlineStr">
        <is>
          <t>ס. פארם</t>
        </is>
      </c>
      <c r="B367" s="94" t="inlineStr">
        <is>
          <t>ס.פ.רחובות החדשה תרופות</t>
        </is>
      </c>
      <c r="C367" s="111" t="n">
        <v>0</v>
      </c>
      <c r="D367" s="111" t="n">
        <v>0</v>
      </c>
      <c r="E367" s="111" t="n">
        <v>0</v>
      </c>
      <c r="F367" s="111" t="n">
        <v>0</v>
      </c>
      <c r="G367" s="111" t="n">
        <v>19282.8</v>
      </c>
      <c r="H367" s="94">
        <f>COUNTIF(C367:G367,"&lt;&gt;0")</f>
        <v/>
      </c>
      <c r="I367" s="94">
        <f>IF(H367=0,"לא מטופל",IF(H367=1,"מטופל - סוכן אחד","מטופל - יותר מסוכן אחד"))</f>
        <v/>
      </c>
    </row>
    <row r="368" ht="15" customHeight="1" s="82">
      <c r="A368" s="94" t="inlineStr">
        <is>
          <t>ס. פארם</t>
        </is>
      </c>
      <c r="B368" s="94" t="inlineStr">
        <is>
          <t>ס.פ.צייטלין ת""א תרופות</t>
        </is>
      </c>
      <c r="C368" s="111" t="n">
        <v>7851.2</v>
      </c>
      <c r="D368" s="111" t="n">
        <v>0</v>
      </c>
      <c r="E368" s="111" t="n">
        <v>0</v>
      </c>
      <c r="F368" s="111" t="n">
        <v>0</v>
      </c>
      <c r="G368" s="111" t="n">
        <v>0</v>
      </c>
      <c r="H368" s="94">
        <f>COUNTIF(C368:G368,"&lt;&gt;0")</f>
        <v/>
      </c>
      <c r="I368" s="94">
        <f>IF(H368=0,"לא מטופל",IF(H368=1,"מטופל - סוכן אחד","מטופל - יותר מסוכן אחד"))</f>
        <v/>
      </c>
    </row>
    <row r="369" ht="15" customHeight="1" s="82">
      <c r="A369" s="94" t="inlineStr">
        <is>
          <t>ס. פארם</t>
        </is>
      </c>
      <c r="B369" s="94" t="inlineStr">
        <is>
          <t>ס.פ.שרונה ת""א תרופות</t>
        </is>
      </c>
      <c r="C369" s="111" t="n">
        <v>12310.1</v>
      </c>
      <c r="D369" s="111" t="n">
        <v>0</v>
      </c>
      <c r="E369" s="111" t="n">
        <v>0</v>
      </c>
      <c r="F369" s="111" t="n">
        <v>0</v>
      </c>
      <c r="G369" s="111" t="n">
        <v>0</v>
      </c>
      <c r="H369" s="94">
        <f>COUNTIF(C369:G369,"&lt;&gt;0")</f>
        <v/>
      </c>
      <c r="I369" s="94">
        <f>IF(H369=0,"לא מטופל",IF(H369=1,"מטופל - סוכן אחד","מטופל - יותר מסוכן אחד"))</f>
        <v/>
      </c>
    </row>
    <row r="370" ht="15" customHeight="1" s="82">
      <c r="A370" s="94" t="inlineStr">
        <is>
          <t>ס. פארם</t>
        </is>
      </c>
      <c r="B370" s="94" t="inlineStr">
        <is>
          <t>תרופות ת""א TLV ס.פ.קניון</t>
        </is>
      </c>
      <c r="C370" s="111" t="n">
        <v>18875.9</v>
      </c>
      <c r="D370" s="111" t="n">
        <v>0</v>
      </c>
      <c r="E370" s="111" t="n">
        <v>0</v>
      </c>
      <c r="F370" s="111" t="n">
        <v>0</v>
      </c>
      <c r="G370" s="111" t="n">
        <v>0</v>
      </c>
      <c r="H370" s="94">
        <f>COUNTIF(C370:G370,"&lt;&gt;0")</f>
        <v/>
      </c>
      <c r="I370" s="94">
        <f>IF(H370=0,"לא מטופל",IF(H370=1,"מטופל - סוכן אחד","מטופל - יותר מסוכן אחד"))</f>
        <v/>
      </c>
    </row>
    <row r="371" ht="15" customHeight="1" s="82">
      <c r="A371" s="94" t="inlineStr">
        <is>
          <t>ס. פארם</t>
        </is>
      </c>
      <c r="B371" s="94" t="inlineStr">
        <is>
          <t>ס.פ.נופי ים ת""א תרופות</t>
        </is>
      </c>
      <c r="C371" s="111" t="n">
        <v>19441.4</v>
      </c>
      <c r="D371" s="111" t="n">
        <v>0</v>
      </c>
      <c r="E371" s="111" t="n">
        <v>0</v>
      </c>
      <c r="F371" s="111" t="n">
        <v>0</v>
      </c>
      <c r="G371" s="111" t="n">
        <v>0</v>
      </c>
      <c r="H371" s="94">
        <f>COUNTIF(C371:G371,"&lt;&gt;0")</f>
        <v/>
      </c>
      <c r="I371" s="94">
        <f>IF(H371=0,"לא מטופל",IF(H371=1,"מטופל - סוכן אחד","מטופל - יותר מסוכן אחד"))</f>
        <v/>
      </c>
    </row>
    <row r="372" ht="15" customHeight="1" s="82">
      <c r="A372" s="94" t="inlineStr">
        <is>
          <t>ס. פארם</t>
        </is>
      </c>
      <c r="B372" s="94" t="inlineStr">
        <is>
          <t>ס.פ.ביג פאשן אשדוד תרופות</t>
        </is>
      </c>
      <c r="C372" s="111" t="n">
        <v>0</v>
      </c>
      <c r="D372" s="111" t="n">
        <v>0</v>
      </c>
      <c r="E372" s="111" t="n">
        <v>0</v>
      </c>
      <c r="F372" s="111" t="n">
        <v>0</v>
      </c>
      <c r="G372" s="111" t="n">
        <v>33328.1</v>
      </c>
      <c r="H372" s="94">
        <f>COUNTIF(C372:G372,"&lt;&gt;0")</f>
        <v/>
      </c>
      <c r="I372" s="94">
        <f>IF(H372=0,"לא מטופל",IF(H372=1,"מטופל - סוכן אחד","מטופל - יותר מסוכן אחד"))</f>
        <v/>
      </c>
    </row>
    <row r="373" ht="15" customHeight="1" s="82">
      <c r="A373" s="94" t="inlineStr">
        <is>
          <t>ס. פארם</t>
        </is>
      </c>
      <c r="B373" s="94" t="inlineStr">
        <is>
          <t>ס.פ. גן יבנה תרופות</t>
        </is>
      </c>
      <c r="C373" s="111" t="n">
        <v>0</v>
      </c>
      <c r="D373" s="111" t="n">
        <v>0</v>
      </c>
      <c r="E373" s="111" t="n">
        <v>20208.2</v>
      </c>
      <c r="F373" s="111" t="n">
        <v>0</v>
      </c>
      <c r="G373" s="111" t="n">
        <v>0</v>
      </c>
      <c r="H373" s="94">
        <f>COUNTIF(C373:G373,"&lt;&gt;0")</f>
        <v/>
      </c>
      <c r="I373" s="94">
        <f>IF(H373=0,"לא מטופל",IF(H373=1,"מטופל - סוכן אחד","מטופל - יותר מסוכן אחד"))</f>
        <v/>
      </c>
    </row>
    <row r="374" ht="15" customHeight="1" s="82">
      <c r="A374" s="94" t="inlineStr">
        <is>
          <t>ס. פארם</t>
        </is>
      </c>
      <c r="B374" s="94" t="inlineStr">
        <is>
          <t>ס.פ. הקישון יבנה תרופות</t>
        </is>
      </c>
      <c r="C374" s="111" t="n">
        <v>0</v>
      </c>
      <c r="D374" s="111" t="n">
        <v>0</v>
      </c>
      <c r="E374" s="111" t="n">
        <v>29382.1</v>
      </c>
      <c r="F374" s="111" t="n">
        <v>0</v>
      </c>
      <c r="G374" s="111" t="n">
        <v>0</v>
      </c>
      <c r="H374" s="94">
        <f>COUNTIF(C374:G374,"&lt;&gt;0")</f>
        <v/>
      </c>
      <c r="I374" s="94">
        <f>IF(H374=0,"לא מטופל",IF(H374=1,"מטופל - סוכן אחד","מטופל - יותר מסוכן אחד"))</f>
        <v/>
      </c>
    </row>
    <row r="375" ht="15" customHeight="1" s="82">
      <c r="A375" s="94" t="inlineStr">
        <is>
          <t>ס. פארם</t>
        </is>
      </c>
      <c r="B375" s="94" t="inlineStr">
        <is>
          <t>ס.פ. יבנה הירוקה תרופות</t>
        </is>
      </c>
      <c r="C375" s="111" t="n">
        <v>0</v>
      </c>
      <c r="D375" s="111" t="n">
        <v>0</v>
      </c>
      <c r="E375" s="111" t="n">
        <v>16293.9</v>
      </c>
      <c r="F375" s="111" t="n">
        <v>0</v>
      </c>
      <c r="G375" s="111" t="n">
        <v>0</v>
      </c>
      <c r="H375" s="94">
        <f>COUNTIF(C375:G375,"&lt;&gt;0")</f>
        <v/>
      </c>
      <c r="I375" s="94">
        <f>IF(H375=0,"לא מטופל",IF(H375=1,"מטופל - סוכן אחד","מטופל - יותר מסוכן אחד"))</f>
        <v/>
      </c>
    </row>
    <row r="376" ht="15" customHeight="1" s="82">
      <c r="A376" s="94" t="inlineStr">
        <is>
          <t>ס. פארם</t>
        </is>
      </c>
      <c r="B376" s="94" t="inlineStr">
        <is>
          <t>ס.פ.חוצות אשקלון</t>
        </is>
      </c>
      <c r="C376" s="111" t="n">
        <v>0</v>
      </c>
      <c r="D376" s="111" t="n">
        <v>0</v>
      </c>
      <c r="E376" s="111" t="n">
        <v>0</v>
      </c>
      <c r="F376" s="111" t="n">
        <v>0</v>
      </c>
      <c r="G376" s="111" t="n">
        <v>11455.5</v>
      </c>
      <c r="H376" s="94">
        <f>COUNTIF(C376:G376,"&lt;&gt;0")</f>
        <v/>
      </c>
      <c r="I376" s="94">
        <f>IF(H376=0,"לא מטופל",IF(H376=1,"מטופל - סוכן אחד","מטופל - יותר מסוכן אחד"))</f>
        <v/>
      </c>
    </row>
    <row r="377" ht="15" customHeight="1" s="82">
      <c r="A377" s="94" t="inlineStr">
        <is>
          <t>ס. פארם</t>
        </is>
      </c>
      <c r="B377" s="94" t="inlineStr">
        <is>
          <t>ס.פ.רמות רכס תרופות</t>
        </is>
      </c>
      <c r="C377" s="111" t="n">
        <v>0</v>
      </c>
      <c r="D377" s="111" t="n">
        <v>0</v>
      </c>
      <c r="E377" s="111" t="n">
        <v>22074.3</v>
      </c>
      <c r="F377" s="111" t="n">
        <v>0</v>
      </c>
      <c r="G377" s="111" t="n">
        <v>0</v>
      </c>
      <c r="H377" s="94">
        <f>COUNTIF(C377:G377,"&lt;&gt;0")</f>
        <v/>
      </c>
      <c r="I377" s="94">
        <f>IF(H377=0,"לא מטופל",IF(H377=1,"מטופל - סוכן אחד","מטופל - יותר מסוכן אחד"))</f>
        <v/>
      </c>
    </row>
    <row r="378" ht="15" customHeight="1" s="82">
      <c r="A378" s="94" t="inlineStr">
        <is>
          <t>ס. פארם</t>
        </is>
      </c>
      <c r="B378" s="94" t="inlineStr">
        <is>
          <t>ס.פ. ישפרו פלאנט ב""ש</t>
        </is>
      </c>
      <c r="C378" s="111" t="n">
        <v>0</v>
      </c>
      <c r="D378" s="111" t="n">
        <v>0</v>
      </c>
      <c r="E378" s="111" t="n">
        <v>3023.6</v>
      </c>
      <c r="F378" s="111" t="n">
        <v>0</v>
      </c>
      <c r="G378" s="111" t="n">
        <v>0</v>
      </c>
      <c r="H378" s="94">
        <f>COUNTIF(C378:G378,"&lt;&gt;0")</f>
        <v/>
      </c>
      <c r="I378" s="94">
        <f>IF(H378=0,"לא מטופל",IF(H378=1,"מטופל - סוכן אחד","מטופל - יותר מסוכן אחד"))</f>
        <v/>
      </c>
    </row>
    <row r="379" ht="15" customHeight="1" s="82">
      <c r="A379" s="94" t="inlineStr">
        <is>
          <t>ס. פארם</t>
        </is>
      </c>
      <c r="B379" s="94" t="inlineStr">
        <is>
          <t>ס.פ. המכללה ראשל""צ תרופות</t>
        </is>
      </c>
      <c r="C379" s="111" t="n">
        <v>12905.5</v>
      </c>
      <c r="D379" s="111" t="n">
        <v>0</v>
      </c>
      <c r="E379" s="111" t="n">
        <v>0</v>
      </c>
      <c r="F379" s="111" t="n">
        <v>0</v>
      </c>
      <c r="G379" s="111" t="n">
        <v>0</v>
      </c>
      <c r="H379" s="94">
        <f>COUNTIF(C379:G379,"&lt;&gt;0")</f>
        <v/>
      </c>
      <c r="I379" s="94">
        <f>IF(H379=0,"לא מטופל",IF(H379=1,"מטופל - סוכן אחד","מטופל - יותר מסוכן אחד"))</f>
        <v/>
      </c>
    </row>
    <row r="380" ht="15" customHeight="1" s="82">
      <c r="A380" s="94" t="inlineStr">
        <is>
          <t>ס. פארם</t>
        </is>
      </c>
      <c r="B380" s="94" t="inlineStr">
        <is>
          <t>ס.פ.קניון ראשונים תרופות</t>
        </is>
      </c>
      <c r="C380" s="111" t="n">
        <v>19859.3</v>
      </c>
      <c r="D380" s="111" t="n">
        <v>0</v>
      </c>
      <c r="E380" s="111" t="n">
        <v>0</v>
      </c>
      <c r="F380" s="111" t="n">
        <v>0</v>
      </c>
      <c r="G380" s="111" t="n">
        <v>0</v>
      </c>
      <c r="H380" s="94">
        <f>COUNTIF(C380:G380,"&lt;&gt;0")</f>
        <v/>
      </c>
      <c r="I380" s="94">
        <f>IF(H380=0,"לא מטופל",IF(H380=1,"מטופל - סוכן אחד","מטופל - יותר מסוכן אחד"))</f>
        <v/>
      </c>
    </row>
    <row r="381" ht="15" customHeight="1" s="82">
      <c r="A381" s="94" t="inlineStr">
        <is>
          <t>ס. פארם</t>
        </is>
      </c>
      <c r="B381" s="94" t="inlineStr">
        <is>
          <t>ס.פ.אסף הרופא תרופות</t>
        </is>
      </c>
      <c r="C381" s="111" t="n">
        <v>10880.1</v>
      </c>
      <c r="D381" s="111" t="n">
        <v>0</v>
      </c>
      <c r="E381" s="111" t="n">
        <v>0</v>
      </c>
      <c r="F381" s="111" t="n">
        <v>0</v>
      </c>
      <c r="G381" s="111" t="n">
        <v>0</v>
      </c>
      <c r="H381" s="94">
        <f>COUNTIF(C381:G381,"&lt;&gt;0")</f>
        <v/>
      </c>
      <c r="I381" s="94">
        <f>IF(H381=0,"לא מטופל",IF(H381=1,"מטופל - סוכן אחד","מטופל - יותר מסוכן אחד"))</f>
        <v/>
      </c>
    </row>
    <row r="382" ht="15" customHeight="1" s="82">
      <c r="A382" s="94" t="inlineStr">
        <is>
          <t>ס. פארם</t>
        </is>
      </c>
      <c r="B382" s="94" t="inlineStr">
        <is>
          <t>ס.פ.צפת תרופות</t>
        </is>
      </c>
      <c r="C382" s="111" t="n">
        <v>0</v>
      </c>
      <c r="D382" s="111" t="n">
        <v>13608.5</v>
      </c>
      <c r="E382" s="111" t="n">
        <v>0</v>
      </c>
      <c r="F382" s="111" t="n">
        <v>0</v>
      </c>
      <c r="G382" s="111" t="n">
        <v>0</v>
      </c>
      <c r="H382" s="94">
        <f>COUNTIF(C382:G382,"&lt;&gt;0")</f>
        <v/>
      </c>
      <c r="I382" s="94">
        <f>IF(H382=0,"לא מטופל",IF(H382=1,"מטופל - סוכן אחד","מטופל - יותר מסוכן אחד"))</f>
        <v/>
      </c>
    </row>
    <row r="383" ht="15" customHeight="1" s="82">
      <c r="A383" s="94" t="inlineStr">
        <is>
          <t>ס. פארם</t>
        </is>
      </c>
      <c r="B383" s="94" t="inlineStr">
        <is>
          <t>ס.פ.ארנה נהריה תרופות</t>
        </is>
      </c>
      <c r="C383" s="111" t="n">
        <v>0</v>
      </c>
      <c r="D383" s="111" t="n">
        <v>10569.5</v>
      </c>
      <c r="E383" s="111" t="n">
        <v>0</v>
      </c>
      <c r="F383" s="111" t="n">
        <v>0</v>
      </c>
      <c r="G383" s="111" t="n">
        <v>0</v>
      </c>
      <c r="H383" s="94">
        <f>COUNTIF(C383:G383,"&lt;&gt;0")</f>
        <v/>
      </c>
      <c r="I383" s="94">
        <f>IF(H383=0,"לא מטופל",IF(H383=1,"מטופל - סוכן אחד","מטופל - יותר מסוכן אחד"))</f>
        <v/>
      </c>
    </row>
    <row r="384" ht="15" customHeight="1" s="82">
      <c r="A384" s="94" t="inlineStr">
        <is>
          <t>ס. פארם</t>
        </is>
      </c>
      <c r="B384" s="94" t="inlineStr">
        <is>
          <t>ס.פ.יפיע תרופות</t>
        </is>
      </c>
      <c r="C384" s="111" t="n">
        <v>0</v>
      </c>
      <c r="D384" s="111" t="n">
        <v>9923.799999999999</v>
      </c>
      <c r="E384" s="111" t="n">
        <v>0</v>
      </c>
      <c r="F384" s="111" t="n">
        <v>0</v>
      </c>
      <c r="G384" s="111" t="n">
        <v>0</v>
      </c>
      <c r="H384" s="94">
        <f>COUNTIF(C384:G384,"&lt;&gt;0")</f>
        <v/>
      </c>
      <c r="I384" s="94">
        <f>IF(H384=0,"לא מטופל",IF(H384=1,"מטופל - סוכן אחד","מטופל - יותר מסוכן אחד"))</f>
        <v/>
      </c>
    </row>
    <row r="385" ht="15" customHeight="1" s="82">
      <c r="A385" s="94" t="inlineStr">
        <is>
          <t>ס. פארם</t>
        </is>
      </c>
      <c r="B385" s="94" t="inlineStr">
        <is>
          <t>ס.פ.גבעת שמואל תרופות</t>
        </is>
      </c>
      <c r="C385" s="111" t="n">
        <v>0</v>
      </c>
      <c r="D385" s="111" t="n">
        <v>0</v>
      </c>
      <c r="E385" s="111" t="n">
        <v>16329.4</v>
      </c>
      <c r="F385" s="111" t="n">
        <v>0</v>
      </c>
      <c r="G385" s="111" t="n">
        <v>0</v>
      </c>
      <c r="H385" s="94">
        <f>COUNTIF(C385:G385,"&lt;&gt;0")</f>
        <v/>
      </c>
      <c r="I385" s="94">
        <f>IF(H385=0,"לא מטופל",IF(H385=1,"מטופל - סוכן אחד","מטופל - יותר מסוכן אחד"))</f>
        <v/>
      </c>
    </row>
    <row r="386" ht="15" customHeight="1" s="82">
      <c r="A386" s="94" t="inlineStr">
        <is>
          <t>ס. פארם</t>
        </is>
      </c>
      <c r="B386" s="94" t="inlineStr">
        <is>
          <t>255  ס.פ.מור בני ברק תרופות</t>
        </is>
      </c>
      <c r="C386" s="111" t="n">
        <v>0</v>
      </c>
      <c r="D386" s="111" t="n">
        <v>0</v>
      </c>
      <c r="E386" s="111" t="n">
        <v>26963.8</v>
      </c>
      <c r="F386" s="111" t="n">
        <v>0</v>
      </c>
      <c r="G386" s="111" t="n">
        <v>0</v>
      </c>
      <c r="H386" s="94">
        <f>COUNTIF(C386:G386,"&lt;&gt;0")</f>
        <v/>
      </c>
      <c r="I386" s="94">
        <f>IF(H386=0,"לא מטופל",IF(H386=1,"מטופל - סוכן אחד","מטופל - יותר מסוכן אחד"))</f>
        <v/>
      </c>
    </row>
    <row r="387" ht="15" customHeight="1" s="82">
      <c r="A387" s="94" t="inlineStr">
        <is>
          <t>ס. פארם</t>
        </is>
      </c>
      <c r="B387" s="94" t="inlineStr">
        <is>
          <t>ס.פ. חיפה תרופות</t>
        </is>
      </c>
      <c r="C387" s="111" t="n">
        <v>0</v>
      </c>
      <c r="D387" s="111" t="n">
        <v>21280.9</v>
      </c>
      <c r="E387" s="111" t="n">
        <v>0</v>
      </c>
      <c r="F387" s="111" t="n">
        <v>0</v>
      </c>
      <c r="G387" s="111" t="n">
        <v>0</v>
      </c>
      <c r="H387" s="94">
        <f>COUNTIF(C387:G387,"&lt;&gt;0")</f>
        <v/>
      </c>
      <c r="I387" s="94">
        <f>IF(H387=0,"לא מטופל",IF(H387=1,"מטופל - סוכן אחד","מטופל - יותר מסוכן אחד"))</f>
        <v/>
      </c>
    </row>
    <row r="388" ht="15" customHeight="1" s="82">
      <c r="A388" s="94" t="inlineStr">
        <is>
          <t>ס. פארם</t>
        </is>
      </c>
      <c r="B388" s="94" t="inlineStr">
        <is>
          <t>ס.פ. ביג צ'ק פוסט תרופות</t>
        </is>
      </c>
      <c r="C388" s="111" t="n">
        <v>0</v>
      </c>
      <c r="D388" s="111" t="n">
        <v>13175.1</v>
      </c>
      <c r="E388" s="111" t="n">
        <v>0</v>
      </c>
      <c r="F388" s="111" t="n">
        <v>0</v>
      </c>
      <c r="G388" s="111" t="n">
        <v>0</v>
      </c>
      <c r="H388" s="94">
        <f>COUNTIF(C388:G388,"&lt;&gt;0")</f>
        <v/>
      </c>
      <c r="I388" s="94">
        <f>IF(H388=0,"לא מטופל",IF(H388=1,"מטופל - סוכן אחד","מטופל - יותר מסוכן אחד"))</f>
        <v/>
      </c>
    </row>
    <row r="389" ht="15" customHeight="1" s="82">
      <c r="A389" s="94" t="inlineStr">
        <is>
          <t>ס. פארם</t>
        </is>
      </c>
      <c r="B389" s="94" t="inlineStr">
        <is>
          <t>ס.פ.ביג אור עקיבא תרופות</t>
        </is>
      </c>
      <c r="C389" s="111" t="n">
        <v>0</v>
      </c>
      <c r="D389" s="111" t="n">
        <v>12491.1</v>
      </c>
      <c r="E389" s="111" t="n">
        <v>0</v>
      </c>
      <c r="F389" s="111" t="n">
        <v>0</v>
      </c>
      <c r="G389" s="111" t="n">
        <v>0</v>
      </c>
      <c r="H389" s="94">
        <f>COUNTIF(C389:G389,"&lt;&gt;0")</f>
        <v/>
      </c>
      <c r="I389" s="94">
        <f>IF(H389=0,"לא מטופל",IF(H389=1,"מטופל - סוכן אחד","מטופל - יותר מסוכן אחד"))</f>
        <v/>
      </c>
    </row>
    <row r="390" ht="15" customHeight="1" s="82">
      <c r="A390" s="94" t="inlineStr">
        <is>
          <t>ס. פארם</t>
        </is>
      </c>
      <c r="B390" s="94" t="inlineStr">
        <is>
          <t>ס.פ.איינשטיין חיפה תרופות</t>
        </is>
      </c>
      <c r="C390" s="111" t="n">
        <v>0</v>
      </c>
      <c r="D390" s="111" t="n">
        <v>9894.1</v>
      </c>
      <c r="E390" s="111" t="n">
        <v>0</v>
      </c>
      <c r="F390" s="111" t="n">
        <v>0</v>
      </c>
      <c r="G390" s="111" t="n">
        <v>0</v>
      </c>
      <c r="H390" s="94">
        <f>COUNTIF(C390:G390,"&lt;&gt;0")</f>
        <v/>
      </c>
      <c r="I390" s="94">
        <f>IF(H390=0,"לא מטופל",IF(H390=1,"מטופל - סוכן אחד","מטופל - יותר מסוכן אחד"))</f>
        <v/>
      </c>
    </row>
    <row r="391" ht="15" customHeight="1" s="82">
      <c r="A391" s="94" t="inlineStr">
        <is>
          <t>ס. פארם</t>
        </is>
      </c>
      <c r="B391" s="94" t="inlineStr">
        <is>
          <t>ס.פ.מבשרת ציון</t>
        </is>
      </c>
      <c r="C391" s="111" t="n">
        <v>0</v>
      </c>
      <c r="D391" s="111" t="n">
        <v>0</v>
      </c>
      <c r="E391" s="111" t="n">
        <v>0</v>
      </c>
      <c r="F391" s="111" t="n">
        <v>0</v>
      </c>
      <c r="G391" s="111" t="n">
        <v>16006.4</v>
      </c>
      <c r="H391" s="94">
        <f>COUNTIF(C391:G391,"&lt;&gt;0")</f>
        <v/>
      </c>
      <c r="I391" s="94">
        <f>IF(H391=0,"לא מטופל",IF(H391=1,"מטופל - סוכן אחד","מטופל - יותר מסוכן אחד"))</f>
        <v/>
      </c>
    </row>
    <row r="392" ht="15" customHeight="1" s="82">
      <c r="A392" s="94" t="inlineStr">
        <is>
          <t>ס. פארם</t>
        </is>
      </c>
      <c r="B392" s="94" t="inlineStr">
        <is>
          <t>ס.פ קניון הראל</t>
        </is>
      </c>
      <c r="C392" s="111" t="n">
        <v>0</v>
      </c>
      <c r="D392" s="111" t="n">
        <v>0</v>
      </c>
      <c r="E392" s="111" t="n">
        <v>0</v>
      </c>
      <c r="F392" s="111" t="n">
        <v>0</v>
      </c>
      <c r="G392" s="111" t="n">
        <v>23771</v>
      </c>
      <c r="H392" s="94">
        <f>COUNTIF(C392:G392,"&lt;&gt;0")</f>
        <v/>
      </c>
      <c r="I392" s="94">
        <f>IF(H392=0,"לא מטופל",IF(H392=1,"מטופל - סוכן אחד","מטופל - יותר מסוכן אחד"))</f>
        <v/>
      </c>
    </row>
    <row r="393" ht="15" customHeight="1" s="82">
      <c r="A393" s="94" t="inlineStr">
        <is>
          <t>ס. פארם</t>
        </is>
      </c>
      <c r="B393" s="94" t="inlineStr">
        <is>
          <t>ס.פ.עמק רפאים תרופות ירושלים</t>
        </is>
      </c>
      <c r="C393" s="111" t="n">
        <v>0</v>
      </c>
      <c r="D393" s="111" t="n">
        <v>0</v>
      </c>
      <c r="E393" s="111" t="n">
        <v>0</v>
      </c>
      <c r="F393" s="111" t="n">
        <v>0</v>
      </c>
      <c r="G393" s="111" t="n">
        <v>26317.6</v>
      </c>
      <c r="H393" s="94">
        <f>COUNTIF(C393:G393,"&lt;&gt;0")</f>
        <v/>
      </c>
      <c r="I393" s="94">
        <f>IF(H393=0,"לא מטופל",IF(H393=1,"מטופל - סוכן אחד","מטופל - יותר מסוכן אחד"))</f>
        <v/>
      </c>
    </row>
    <row r="394" ht="15" customHeight="1" s="82">
      <c r="A394" s="94" t="inlineStr">
        <is>
          <t>ס. פארם</t>
        </is>
      </c>
      <c r="B394" s="94" t="inlineStr">
        <is>
          <t>240 ס.פ.אליהו קורן י-ם תרופות</t>
        </is>
      </c>
      <c r="C394" s="111" t="n">
        <v>0</v>
      </c>
      <c r="D394" s="111" t="n">
        <v>0</v>
      </c>
      <c r="E394" s="111" t="n">
        <v>0</v>
      </c>
      <c r="F394" s="111" t="n">
        <v>0</v>
      </c>
      <c r="G394" s="111" t="n">
        <v>17473.5</v>
      </c>
      <c r="H394" s="94">
        <f>COUNTIF(C394:G394,"&lt;&gt;0")</f>
        <v/>
      </c>
      <c r="I394" s="94">
        <f>IF(H394=0,"לא מטופל",IF(H394=1,"מטופל - סוכן אחד","מטופל - יותר מסוכן אחד"))</f>
        <v/>
      </c>
    </row>
    <row r="395" ht="15" customHeight="1" s="82">
      <c r="A395" s="94" t="inlineStr">
        <is>
          <t>ס. פארם</t>
        </is>
      </c>
      <c r="B395" s="94" t="inlineStr">
        <is>
          <t>ס.פ.קניון באר יעקב תרופות</t>
        </is>
      </c>
      <c r="C395" s="111" t="n">
        <v>20465.2</v>
      </c>
      <c r="D395" s="111" t="n">
        <v>0</v>
      </c>
      <c r="E395" s="111" t="n">
        <v>0</v>
      </c>
      <c r="F395" s="111" t="n">
        <v>0</v>
      </c>
      <c r="G395" s="111" t="n">
        <v>0</v>
      </c>
      <c r="H395" s="94">
        <f>COUNTIF(C395:G395,"&lt;&gt;0")</f>
        <v/>
      </c>
      <c r="I395" s="94">
        <f>IF(H395=0,"לא מטופל",IF(H395=1,"מטופל - סוכן אחד","מטופל - יותר מסוכן אחד"))</f>
        <v/>
      </c>
    </row>
    <row r="396" ht="15" customHeight="1" s="82">
      <c r="A396" s="94" t="inlineStr">
        <is>
          <t>ס. פארם</t>
        </is>
      </c>
      <c r="B396" s="94" t="inlineStr">
        <is>
          <t>סופר פארם טיילת חב' אופיר סולו</t>
        </is>
      </c>
      <c r="C396" s="111" t="n">
        <v>0</v>
      </c>
      <c r="D396" s="111" t="n">
        <v>0</v>
      </c>
      <c r="E396" s="111" t="n">
        <v>0</v>
      </c>
      <c r="F396" s="111" t="n">
        <v>0</v>
      </c>
      <c r="G396" s="111" t="n">
        <v>28455.3</v>
      </c>
      <c r="H396" s="94">
        <f>COUNTIF(C396:G396,"&lt;&gt;0")</f>
        <v/>
      </c>
      <c r="I396" s="94">
        <f>IF(H396=0,"לא מטופל",IF(H396=1,"מטופל - סוכן אחד","מטופל - יותר מסוכן אחד"))</f>
        <v/>
      </c>
    </row>
    <row r="397" ht="15" customHeight="1" s="82">
      <c r="A397" s="94" t="inlineStr">
        <is>
          <t>ס. פארם</t>
        </is>
      </c>
      <c r="B397" s="94" t="inlineStr">
        <is>
          <t>ס.פ.מול החוף חדרה תרופות</t>
        </is>
      </c>
      <c r="C397" s="111" t="n">
        <v>0</v>
      </c>
      <c r="D397" s="111" t="n">
        <v>19279.9</v>
      </c>
      <c r="E397" s="111" t="n">
        <v>0</v>
      </c>
      <c r="F397" s="111" t="n">
        <v>0</v>
      </c>
      <c r="G397" s="111" t="n">
        <v>0</v>
      </c>
      <c r="H397" s="94">
        <f>COUNTIF(C397:G397,"&lt;&gt;0")</f>
        <v/>
      </c>
      <c r="I397" s="94">
        <f>IF(H397=0,"לא מטופל",IF(H397=1,"מטופל - סוכן אחד","מטופל - יותר מסוכן אחד"))</f>
        <v/>
      </c>
    </row>
    <row r="398" ht="15" customHeight="1" s="82">
      <c r="A398" s="94" t="inlineStr">
        <is>
          <t>ס. פארם</t>
        </is>
      </c>
      <c r="B398" s="94" t="inlineStr">
        <is>
          <t>ס.פ קרית שרת חולון תרופות</t>
        </is>
      </c>
      <c r="C398" s="111" t="n">
        <v>0</v>
      </c>
      <c r="D398" s="111" t="n">
        <v>0</v>
      </c>
      <c r="E398" s="111" t="n">
        <v>13417.3</v>
      </c>
      <c r="F398" s="111" t="n">
        <v>0</v>
      </c>
      <c r="G398" s="111" t="n">
        <v>0</v>
      </c>
      <c r="H398" s="94">
        <f>COUNTIF(C398:G398,"&lt;&gt;0")</f>
        <v/>
      </c>
      <c r="I398" s="94">
        <f>IF(H398=0,"לא מטופל",IF(H398=1,"מטופל - סוכן אחד","מטופל - יותר מסוכן אחד"))</f>
        <v/>
      </c>
    </row>
    <row r="399" ht="15" customHeight="1" s="82">
      <c r="A399" s="94" t="inlineStr">
        <is>
          <t>ס. פארם</t>
        </is>
      </c>
      <c r="B399" s="94" t="inlineStr">
        <is>
          <t>BM ס.פ ירכא</t>
        </is>
      </c>
      <c r="C399" s="111" t="n">
        <v>0</v>
      </c>
      <c r="D399" s="111" t="n">
        <v>14412.6</v>
      </c>
      <c r="E399" s="111" t="n">
        <v>0</v>
      </c>
      <c r="F399" s="111" t="n">
        <v>0</v>
      </c>
      <c r="G399" s="111" t="n">
        <v>0</v>
      </c>
      <c r="H399" s="94">
        <f>COUNTIF(C399:G399,"&lt;&gt;0")</f>
        <v/>
      </c>
      <c r="I399" s="94">
        <f>IF(H399=0,"לא מטופל",IF(H399=1,"מטופל - סוכן אחד","מטופל - יותר מסוכן אחד"))</f>
        <v/>
      </c>
    </row>
    <row r="400" ht="15" customHeight="1" s="82">
      <c r="A400" s="94" t="inlineStr">
        <is>
          <t>ס. פארם</t>
        </is>
      </c>
      <c r="B400" s="94" t="inlineStr">
        <is>
          <t>BM ס.פ קניון ביאליק רמת גן</t>
        </is>
      </c>
      <c r="C400" s="111" t="n">
        <v>0</v>
      </c>
      <c r="D400" s="111" t="n">
        <v>0</v>
      </c>
      <c r="E400" s="111" t="n">
        <v>9368</v>
      </c>
      <c r="F400" s="111" t="n">
        <v>0</v>
      </c>
      <c r="G400" s="111" t="n">
        <v>0</v>
      </c>
      <c r="H400" s="94">
        <f>COUNTIF(C400:G400,"&lt;&gt;0")</f>
        <v/>
      </c>
      <c r="I400" s="94">
        <f>IF(H400=0,"לא מטופל",IF(H400=1,"מטופל - סוכן אחד","מטופל - יותר מסוכן אחד"))</f>
        <v/>
      </c>
    </row>
    <row r="401" ht="15" customHeight="1" s="82">
      <c r="A401" s="94" t="inlineStr">
        <is>
          <t>ס. פארם</t>
        </is>
      </c>
      <c r="B401" s="94" t="inlineStr">
        <is>
          <t>BM ס.פ עטרות</t>
        </is>
      </c>
      <c r="C401" s="111" t="n">
        <v>0</v>
      </c>
      <c r="D401" s="111" t="n">
        <v>0</v>
      </c>
      <c r="E401" s="111" t="n">
        <v>0</v>
      </c>
      <c r="F401" s="111" t="n">
        <v>0</v>
      </c>
      <c r="G401" s="111" t="n">
        <v>7486.3</v>
      </c>
      <c r="H401" s="94">
        <f>COUNTIF(C401:G401,"&lt;&gt;0")</f>
        <v/>
      </c>
      <c r="I401" s="94">
        <f>IF(H401=0,"לא מטופל",IF(H401=1,"מטופל - סוכן אחד","מטופל - יותר מסוכן אחד"))</f>
        <v/>
      </c>
    </row>
    <row r="402" ht="15" customHeight="1" s="82">
      <c r="A402" s="94" t="inlineStr">
        <is>
          <t>ס. פארם</t>
        </is>
      </c>
      <c r="B402" s="94" t="inlineStr">
        <is>
          <t>BM ס.פ חדרה שכונת הפארק</t>
        </is>
      </c>
      <c r="C402" s="111" t="n">
        <v>0</v>
      </c>
      <c r="D402" s="111" t="n">
        <v>10033.8</v>
      </c>
      <c r="E402" s="111" t="n">
        <v>0</v>
      </c>
      <c r="F402" s="111" t="n">
        <v>0</v>
      </c>
      <c r="G402" s="111" t="n">
        <v>0</v>
      </c>
      <c r="H402" s="94">
        <f>COUNTIF(C402:G402,"&lt;&gt;0")</f>
        <v/>
      </c>
      <c r="I402" s="94">
        <f>IF(H402=0,"לא מטופל",IF(H402=1,"מטופל - סוכן אחד","מטופל - יותר מסוכן אחד"))</f>
        <v/>
      </c>
    </row>
    <row r="403" ht="15" customHeight="1" s="82">
      <c r="A403" s="94" t="inlineStr">
        <is>
          <t>ס. פארם</t>
        </is>
      </c>
      <c r="B403" s="94" t="inlineStr">
        <is>
          <t>BM ס.פ חריש</t>
        </is>
      </c>
      <c r="C403" s="111" t="n">
        <v>0</v>
      </c>
      <c r="D403" s="111" t="n">
        <v>12316.3</v>
      </c>
      <c r="E403" s="111" t="n">
        <v>0</v>
      </c>
      <c r="F403" s="111" t="n">
        <v>0</v>
      </c>
      <c r="G403" s="111" t="n">
        <v>0</v>
      </c>
      <c r="H403" s="94">
        <f>COUNTIF(C403:G403,"&lt;&gt;0")</f>
        <v/>
      </c>
      <c r="I403" s="94">
        <f>IF(H403=0,"לא מטופל",IF(H403=1,"מטופל - סוכן אחד","מטופל - יותר מסוכן אחד"))</f>
        <v/>
      </c>
    </row>
    <row r="404" ht="15" customHeight="1" s="82">
      <c r="A404" s="94" t="inlineStr">
        <is>
          <t>ס. פארם</t>
        </is>
      </c>
      <c r="B404" s="94" t="inlineStr">
        <is>
          <t>BM ס.פ בורכוב גבעתיים</t>
        </is>
      </c>
      <c r="C404" s="111" t="n">
        <v>0</v>
      </c>
      <c r="D404" s="111" t="n">
        <v>0</v>
      </c>
      <c r="E404" s="111" t="n">
        <v>12498.9</v>
      </c>
      <c r="F404" s="111" t="n">
        <v>0</v>
      </c>
      <c r="G404" s="111" t="n">
        <v>0</v>
      </c>
      <c r="H404" s="94">
        <f>COUNTIF(C404:G404,"&lt;&gt;0")</f>
        <v/>
      </c>
      <c r="I404" s="94">
        <f>IF(H404=0,"לא מטופל",IF(H404=1,"מטופל - סוכן אחד","מטופל - יותר מסוכן אחד"))</f>
        <v/>
      </c>
    </row>
    <row r="405" ht="15" customHeight="1" s="82">
      <c r="A405" s="94" t="inlineStr">
        <is>
          <t>ס. פארם</t>
        </is>
      </c>
      <c r="B405" s="94" t="inlineStr">
        <is>
          <t>BM ס.פ הר יונה</t>
        </is>
      </c>
      <c r="C405" s="111" t="n">
        <v>0</v>
      </c>
      <c r="D405" s="111" t="n">
        <v>2655</v>
      </c>
      <c r="E405" s="111" t="n">
        <v>0</v>
      </c>
      <c r="F405" s="111" t="n">
        <v>0</v>
      </c>
      <c r="G405" s="111" t="n">
        <v>0</v>
      </c>
      <c r="H405" s="94">
        <f>COUNTIF(C405:G405,"&lt;&gt;0")</f>
        <v/>
      </c>
      <c r="I405" s="94">
        <f>IF(H405=0,"לא מטופל",IF(H405=1,"מטופל - סוכן אחד","מטופל - יותר מסוכן אחד"))</f>
        <v/>
      </c>
    </row>
    <row r="406" ht="15" customHeight="1" s="82">
      <c r="A406" s="94" t="inlineStr">
        <is>
          <t>ס. פארם</t>
        </is>
      </c>
      <c r="B406" s="94" t="inlineStr">
        <is>
          <t>BM ס.פ ראש פינה</t>
        </is>
      </c>
      <c r="C406" s="111" t="n">
        <v>0</v>
      </c>
      <c r="D406" s="111" t="n">
        <v>10616.7</v>
      </c>
      <c r="E406" s="111" t="n">
        <v>0</v>
      </c>
      <c r="F406" s="111" t="n">
        <v>0</v>
      </c>
      <c r="G406" s="111" t="n">
        <v>0</v>
      </c>
      <c r="H406" s="94">
        <f>COUNTIF(C406:G406,"&lt;&gt;0")</f>
        <v/>
      </c>
      <c r="I406" s="94">
        <f>IF(H406=0,"לא מטופל",IF(H406=1,"מטופל - סוכן אחד","מטופל - יותר מסוכן אחד"))</f>
        <v/>
      </c>
    </row>
    <row r="407" ht="15" customHeight="1" s="82">
      <c r="A407" s="94" t="inlineStr">
        <is>
          <t>ס. פארם</t>
        </is>
      </c>
      <c r="B407" s="94" t="inlineStr">
        <is>
          <t>BM ס.פ גושן קרית מוצקין</t>
        </is>
      </c>
      <c r="C407" s="111" t="n">
        <v>0</v>
      </c>
      <c r="D407" s="111" t="n">
        <v>9528.4</v>
      </c>
      <c r="E407" s="111" t="n">
        <v>0</v>
      </c>
      <c r="F407" s="111" t="n">
        <v>0</v>
      </c>
      <c r="G407" s="111" t="n">
        <v>0</v>
      </c>
      <c r="H407" s="94">
        <f>COUNTIF(C407:G407,"&lt;&gt;0")</f>
        <v/>
      </c>
      <c r="I407" s="94">
        <f>IF(H407=0,"לא מטופל",IF(H407=1,"מטופל - סוכן אחד","מטופל - יותר מסוכן אחד"))</f>
        <v/>
      </c>
    </row>
    <row r="408" ht="15" customHeight="1" s="82">
      <c r="A408" s="94" t="inlineStr">
        <is>
          <t>ס. פארם</t>
        </is>
      </c>
      <c r="B408" s="94" t="inlineStr">
        <is>
          <t>BM 670 ס.פ עמק חפר</t>
        </is>
      </c>
      <c r="C408" s="111" t="n">
        <v>0</v>
      </c>
      <c r="D408" s="111" t="n">
        <v>0</v>
      </c>
      <c r="E408" s="111" t="n">
        <v>11692.8</v>
      </c>
      <c r="F408" s="111" t="n">
        <v>0</v>
      </c>
      <c r="G408" s="111" t="n">
        <v>0</v>
      </c>
      <c r="H408" s="94">
        <f>COUNTIF(C408:G408,"&lt;&gt;0")</f>
        <v/>
      </c>
      <c r="I408" s="94">
        <f>IF(H408=0,"לא מטופל",IF(H408=1,"מטופל - סוכן אחד","מטופל - יותר מסוכן אחד"))</f>
        <v/>
      </c>
    </row>
    <row r="409" ht="15" customHeight="1" s="82">
      <c r="A409" s="94" t="inlineStr">
        <is>
          <t>ס. פארם</t>
        </is>
      </c>
      <c r="B409" s="94" t="inlineStr">
        <is>
          <t>672 BM ס.פ עמק חפר</t>
        </is>
      </c>
      <c r="C409" s="111" t="n">
        <v>0</v>
      </c>
      <c r="D409" s="111" t="n">
        <v>0</v>
      </c>
      <c r="E409" s="111" t="n">
        <v>10220.4</v>
      </c>
      <c r="F409" s="111" t="n">
        <v>0</v>
      </c>
      <c r="G409" s="111" t="n">
        <v>0</v>
      </c>
      <c r="H409" s="94">
        <f>COUNTIF(C409:G409,"&lt;&gt;0")</f>
        <v/>
      </c>
      <c r="I409" s="94">
        <f>IF(H409=0,"לא מטופל",IF(H409=1,"מטופל - סוכן אחד","מטופל - יותר מסוכן אחד"))</f>
        <v/>
      </c>
    </row>
    <row r="410" ht="15" customHeight="1" s="82">
      <c r="A410" s="94" t="inlineStr">
        <is>
          <t>ס. פארם</t>
        </is>
      </c>
      <c r="B410" s="94" t="inlineStr">
        <is>
          <t>BM ס.פ קניון אורות</t>
        </is>
      </c>
      <c r="C410" s="111" t="n">
        <v>0</v>
      </c>
      <c r="D410" s="111" t="n">
        <v>17801.6</v>
      </c>
      <c r="E410" s="111" t="n">
        <v>0</v>
      </c>
      <c r="F410" s="111" t="n">
        <v>0</v>
      </c>
      <c r="G410" s="111" t="n">
        <v>0</v>
      </c>
      <c r="H410" s="94">
        <f>COUNTIF(C410:G410,"&lt;&gt;0")</f>
        <v/>
      </c>
      <c r="I410" s="94">
        <f>IF(H410=0,"לא מטופל",IF(H410=1,"מטופל - סוכן אחד","מטופל - יותר מסוכן אחד"))</f>
        <v/>
      </c>
    </row>
    <row r="411" ht="15" customHeight="1" s="82">
      <c r="A411" s="94" t="inlineStr">
        <is>
          <t>ס. פארם</t>
        </is>
      </c>
      <c r="B411" s="94" t="inlineStr">
        <is>
          <t>ס.פ אור יהודה קניון עזריאלי</t>
        </is>
      </c>
      <c r="C411" s="111" t="n">
        <v>0</v>
      </c>
      <c r="D411" s="111" t="n">
        <v>0</v>
      </c>
      <c r="E411" s="111" t="n">
        <v>12296.8</v>
      </c>
      <c r="F411" s="111" t="n">
        <v>0</v>
      </c>
      <c r="G411" s="111" t="n">
        <v>0</v>
      </c>
      <c r="H411" s="94">
        <f>COUNTIF(C411:G411,"&lt;&gt;0")</f>
        <v/>
      </c>
      <c r="I411" s="94">
        <f>IF(H411=0,"לא מטופל",IF(H411=1,"מטופל - סוכן אחד","מטופל - יותר מסוכן אחד"))</f>
        <v/>
      </c>
    </row>
    <row r="412" ht="15" customHeight="1" s="82">
      <c r="A412" s="94" t="inlineStr">
        <is>
          <t>ס. פארם</t>
        </is>
      </c>
      <c r="B412" s="94" t="inlineStr">
        <is>
          <t>ס.פ.אבן יהודה תרופות</t>
        </is>
      </c>
      <c r="C412" s="111" t="n">
        <v>0</v>
      </c>
      <c r="D412" s="111" t="n">
        <v>0</v>
      </c>
      <c r="E412" s="111" t="n">
        <v>5811.6</v>
      </c>
      <c r="F412" s="111" t="n">
        <v>0</v>
      </c>
      <c r="G412" s="111" t="n">
        <v>0</v>
      </c>
      <c r="H412" s="94">
        <f>COUNTIF(C412:G412,"&lt;&gt;0")</f>
        <v/>
      </c>
      <c r="I412" s="94">
        <f>IF(H412=0,"לא מטופל",IF(H412=1,"מטופל - סוכן אחד","מטופל - יותר מסוכן אחד"))</f>
        <v/>
      </c>
    </row>
    <row r="413" ht="15" customHeight="1" s="82">
      <c r="A413" s="94" t="inlineStr">
        <is>
          <t>ס. פארם</t>
        </is>
      </c>
      <c r="B413" s="94" t="inlineStr">
        <is>
          <t>ס.פ נעימי קרית השרון נתניה</t>
        </is>
      </c>
      <c r="C413" s="111" t="n">
        <v>8616.9</v>
      </c>
      <c r="D413" s="111" t="n">
        <v>0</v>
      </c>
      <c r="E413" s="111" t="n">
        <v>0</v>
      </c>
      <c r="F413" s="111" t="n">
        <v>0</v>
      </c>
      <c r="G413" s="111" t="n">
        <v>0</v>
      </c>
      <c r="H413" s="94">
        <f>COUNTIF(C413:G413,"&lt;&gt;0")</f>
        <v/>
      </c>
      <c r="I413" s="94">
        <f>IF(H413=0,"לא מטופל",IF(H413=1,"מטופל - סוכן אחד","מטופל - יותר מסוכן אחד"))</f>
        <v/>
      </c>
    </row>
    <row r="414" ht="15" customHeight="1" s="82">
      <c r="A414" s="94" t="inlineStr">
        <is>
          <t>ס. פארם</t>
        </is>
      </c>
      <c r="B414" s="94" t="inlineStr">
        <is>
          <t>BM ס.פ רכבת עפולה</t>
        </is>
      </c>
      <c r="C414" s="111" t="n">
        <v>0</v>
      </c>
      <c r="D414" s="111" t="n">
        <v>13814</v>
      </c>
      <c r="E414" s="111" t="n">
        <v>0</v>
      </c>
      <c r="F414" s="111" t="n">
        <v>0</v>
      </c>
      <c r="G414" s="111" t="n">
        <v>0</v>
      </c>
      <c r="H414" s="94">
        <f>COUNTIF(C414:G414,"&lt;&gt;0")</f>
        <v/>
      </c>
      <c r="I414" s="94">
        <f>IF(H414=0,"לא מטופל",IF(H414=1,"מטופל - סוכן אחד","מטופל - יותר מסוכן אחד"))</f>
        <v/>
      </c>
    </row>
    <row r="415" ht="15" customHeight="1" s="82">
      <c r="A415" s="94" t="inlineStr">
        <is>
          <t>ס. פארם</t>
        </is>
      </c>
      <c r="B415" s="94" t="inlineStr">
        <is>
          <t>BM ס.פ דלית אל כרמל</t>
        </is>
      </c>
      <c r="C415" s="111" t="n">
        <v>0</v>
      </c>
      <c r="D415" s="111" t="n">
        <v>9631.1</v>
      </c>
      <c r="E415" s="111" t="n">
        <v>0</v>
      </c>
      <c r="F415" s="111" t="n">
        <v>0</v>
      </c>
      <c r="G415" s="111" t="n">
        <v>0</v>
      </c>
      <c r="H415" s="94">
        <f>COUNTIF(C415:G415,"&lt;&gt;0")</f>
        <v/>
      </c>
      <c r="I415" s="94">
        <f>IF(H415=0,"לא מטופל",IF(H415=1,"מטופל - סוכן אחד","מטופל - יותר מסוכן אחד"))</f>
        <v/>
      </c>
    </row>
    <row r="416" ht="15" customHeight="1" s="82">
      <c r="A416" s="94" t="inlineStr">
        <is>
          <t>ס. פארם</t>
        </is>
      </c>
      <c r="B416" s="94" t="inlineStr">
        <is>
          <t>BM ס.פ ערערה</t>
        </is>
      </c>
      <c r="C416" s="111" t="n">
        <v>0</v>
      </c>
      <c r="D416" s="111" t="n">
        <v>0</v>
      </c>
      <c r="E416" s="111" t="n">
        <v>3222.2</v>
      </c>
      <c r="F416" s="111" t="n">
        <v>0</v>
      </c>
      <c r="G416" s="111" t="n">
        <v>0</v>
      </c>
      <c r="H416" s="94">
        <f>COUNTIF(C416:G416,"&lt;&gt;0")</f>
        <v/>
      </c>
      <c r="I416" s="94">
        <f>IF(H416=0,"לא מטופל",IF(H416=1,"מטופל - סוכן אחד","מטופל - יותר מסוכן אחד"))</f>
        <v/>
      </c>
    </row>
    <row r="417" ht="15" customHeight="1" s="82">
      <c r="A417" s="94" t="inlineStr">
        <is>
          <t>ס. פארם</t>
        </is>
      </c>
      <c r="B417" s="94" t="inlineStr">
        <is>
          <t>ס.פ.גלובוס אשקלון</t>
        </is>
      </c>
      <c r="C417" s="111" t="n">
        <v>0</v>
      </c>
      <c r="D417" s="111" t="n">
        <v>0</v>
      </c>
      <c r="E417" s="111" t="n">
        <v>0</v>
      </c>
      <c r="F417" s="111" t="n">
        <v>0</v>
      </c>
      <c r="G417" s="111" t="n">
        <v>23706.5</v>
      </c>
      <c r="H417" s="94">
        <f>COUNTIF(C417:G417,"&lt;&gt;0")</f>
        <v/>
      </c>
      <c r="I417" s="94">
        <f>IF(H417=0,"לא מטופל",IF(H417=1,"מטופל - סוכן אחד","מטופל - יותר מסוכן אחד"))</f>
        <v/>
      </c>
    </row>
    <row r="418" ht="15" customHeight="1" s="82">
      <c r="A418" s="94" t="inlineStr">
        <is>
          <t>ס. פארם</t>
        </is>
      </c>
      <c r="B418" s="94" t="inlineStr">
        <is>
          <t>ס.פ.מגדלי אלון ת""א תרופות</t>
        </is>
      </c>
      <c r="C418" s="111" t="n">
        <v>23282.2</v>
      </c>
      <c r="D418" s="111" t="n">
        <v>0</v>
      </c>
      <c r="E418" s="111" t="n">
        <v>0</v>
      </c>
      <c r="F418" s="111" t="n">
        <v>0</v>
      </c>
      <c r="G418" s="111" t="n">
        <v>0</v>
      </c>
      <c r="H418" s="94">
        <f>COUNTIF(C418:G418,"&lt;&gt;0")</f>
        <v/>
      </c>
      <c r="I418" s="94">
        <f>IF(H418=0,"לא מטופל",IF(H418=1,"מטופל - סוכן אחד","מטופל - יותר מסוכן אחד"))</f>
        <v/>
      </c>
    </row>
    <row r="419" ht="15" customHeight="1" s="82">
      <c r="A419" s="94" t="inlineStr">
        <is>
          <t>ס. פארם</t>
        </is>
      </c>
      <c r="B419" s="94" t="inlineStr">
        <is>
          <t>ס.פ.דרך בר לב ת""א</t>
        </is>
      </c>
      <c r="C419" s="111" t="n">
        <v>14550.1</v>
      </c>
      <c r="D419" s="111" t="n">
        <v>0</v>
      </c>
      <c r="E419" s="111" t="n">
        <v>0</v>
      </c>
      <c r="F419" s="111" t="n">
        <v>0</v>
      </c>
      <c r="G419" s="111" t="n">
        <v>0</v>
      </c>
      <c r="H419" s="94">
        <f>COUNTIF(C419:G419,"&lt;&gt;0")</f>
        <v/>
      </c>
      <c r="I419" s="94">
        <f>IF(H419=0,"לא מטופל",IF(H419=1,"מטופל - סוכן אחד","מטופל - יותר מסוכן אחד"))</f>
        <v/>
      </c>
    </row>
    <row r="420" ht="15" customHeight="1" s="82">
      <c r="A420" s="94" t="inlineStr">
        <is>
          <t>ס. פארם</t>
        </is>
      </c>
      <c r="B420" s="94" t="inlineStr">
        <is>
          <t>ס.פ קניון האחים ישראל ירושלים</t>
        </is>
      </c>
      <c r="C420" s="111" t="n">
        <v>0</v>
      </c>
      <c r="D420" s="111" t="n">
        <v>0</v>
      </c>
      <c r="E420" s="111" t="n">
        <v>0</v>
      </c>
      <c r="F420" s="111" t="n">
        <v>0</v>
      </c>
      <c r="G420" s="111" t="n">
        <v>11348.6</v>
      </c>
      <c r="H420" s="94">
        <f>COUNTIF(C420:G420,"&lt;&gt;0")</f>
        <v/>
      </c>
      <c r="I420" s="94">
        <f>IF(H420=0,"לא מטופל",IF(H420=1,"מטופל - סוכן אחד","מטופל - יותר מסוכן אחד"))</f>
        <v/>
      </c>
    </row>
    <row r="421" ht="15" customHeight="1" s="82">
      <c r="A421" s="94" t="inlineStr">
        <is>
          <t>ס. פארם</t>
        </is>
      </c>
      <c r="B421" s="94" t="inlineStr">
        <is>
          <t>BM ס.פ קינג גורג ירושלים</t>
        </is>
      </c>
      <c r="C421" s="111" t="n">
        <v>0</v>
      </c>
      <c r="D421" s="111" t="n">
        <v>0</v>
      </c>
      <c r="E421" s="111" t="n">
        <v>0</v>
      </c>
      <c r="F421" s="111" t="n">
        <v>0</v>
      </c>
      <c r="G421" s="111" t="n">
        <v>2534.6</v>
      </c>
      <c r="H421" s="94">
        <f>COUNTIF(C421:G421,"&lt;&gt;0")</f>
        <v/>
      </c>
      <c r="I421" s="94">
        <f>IF(H421=0,"לא מטופל",IF(H421=1,"מטופל - סוכן אחד","מטופל - יותר מסוכן אחד"))</f>
        <v/>
      </c>
    </row>
    <row r="422" ht="15" customHeight="1" s="82">
      <c r="A422" s="94" t="inlineStr">
        <is>
          <t>ס. פארם</t>
        </is>
      </c>
      <c r="B422" s="94" t="inlineStr">
        <is>
          <t>273 ס.פ.קניון עזריאלי רמלה</t>
        </is>
      </c>
      <c r="C422" s="111" t="n">
        <v>0</v>
      </c>
      <c r="D422" s="111" t="n">
        <v>0</v>
      </c>
      <c r="E422" s="111" t="n">
        <v>14815.6</v>
      </c>
      <c r="F422" s="111" t="n">
        <v>0</v>
      </c>
      <c r="G422" s="111" t="n">
        <v>0</v>
      </c>
      <c r="H422" s="94">
        <f>COUNTIF(C422:G422,"&lt;&gt;0")</f>
        <v/>
      </c>
      <c r="I422" s="94">
        <f>IF(H422=0,"לא מטופל",IF(H422=1,"מטופל - סוכן אחד","מטופל - יותר מסוכן אחד"))</f>
        <v/>
      </c>
    </row>
    <row r="423" ht="15" customHeight="1" s="82">
      <c r="A423" s="94" t="inlineStr">
        <is>
          <t>ס. פארם</t>
        </is>
      </c>
      <c r="B423" s="94" t="inlineStr">
        <is>
          <t>271 ס.פ. נווה הדרים ראשל""צ</t>
        </is>
      </c>
      <c r="C423" s="111" t="n">
        <v>9178.6</v>
      </c>
      <c r="D423" s="111" t="n">
        <v>0</v>
      </c>
      <c r="E423" s="111" t="n">
        <v>0</v>
      </c>
      <c r="F423" s="111" t="n">
        <v>0</v>
      </c>
      <c r="G423" s="111" t="n">
        <v>0</v>
      </c>
      <c r="H423" s="94">
        <f>COUNTIF(C423:G423,"&lt;&gt;0")</f>
        <v/>
      </c>
      <c r="I423" s="94">
        <f>IF(H423=0,"לא מטופל",IF(H423=1,"מטופל - סוכן אחד","מטופל - יותר מסוכן אחד"))</f>
        <v/>
      </c>
    </row>
    <row r="424" ht="15" customHeight="1" s="82">
      <c r="A424" s="94" t="inlineStr">
        <is>
          <t>ס. פארם</t>
        </is>
      </c>
      <c r="B424" s="94" t="inlineStr">
        <is>
          <t>277 סופר פארם שער ראשון</t>
        </is>
      </c>
      <c r="C424" s="111" t="n">
        <v>19367</v>
      </c>
      <c r="D424" s="111" t="n">
        <v>0</v>
      </c>
      <c r="E424" s="111" t="n">
        <v>0</v>
      </c>
      <c r="F424" s="111" t="n">
        <v>0</v>
      </c>
      <c r="G424" s="111" t="n">
        <v>0</v>
      </c>
      <c r="H424" s="94">
        <f>COUNTIF(C424:G424,"&lt;&gt;0")</f>
        <v/>
      </c>
      <c r="I424" s="94">
        <f>IF(H424=0,"לא מטופל",IF(H424=1,"מטופל - סוכן אחד","מטופל - יותר מסוכן אחד"))</f>
        <v/>
      </c>
    </row>
    <row r="425" ht="15" customHeight="1" s="82">
      <c r="A425" s="94" t="inlineStr">
        <is>
          <t>ס. פארם</t>
        </is>
      </c>
      <c r="B425" s="94" t="inlineStr">
        <is>
          <t>BM ס.פ כפר כנא</t>
        </is>
      </c>
      <c r="C425" s="111" t="n">
        <v>0</v>
      </c>
      <c r="D425" s="111" t="n">
        <v>7878.1</v>
      </c>
      <c r="E425" s="111" t="n">
        <v>0</v>
      </c>
      <c r="F425" s="111" t="n">
        <v>0</v>
      </c>
      <c r="G425" s="111" t="n">
        <v>0</v>
      </c>
      <c r="H425" s="94">
        <f>COUNTIF(C425:G425,"&lt;&gt;0")</f>
        <v/>
      </c>
      <c r="I425" s="94">
        <f>IF(H425=0,"לא מטופל",IF(H425=1,"מטופל - סוכן אחד","מטופל - יותר מסוכן אחד"))</f>
        <v/>
      </c>
    </row>
    <row r="426" ht="15" customHeight="1" s="82">
      <c r="A426" s="94" t="inlineStr">
        <is>
          <t>ס. פארם</t>
        </is>
      </c>
      <c r="B426" s="94" t="inlineStr">
        <is>
          <t>BM ס.פ באקה סנטר</t>
        </is>
      </c>
      <c r="C426" s="111" t="n">
        <v>0</v>
      </c>
      <c r="D426" s="111" t="n">
        <v>9221.4</v>
      </c>
      <c r="E426" s="111" t="n">
        <v>0</v>
      </c>
      <c r="F426" s="111" t="n">
        <v>0</v>
      </c>
      <c r="G426" s="111" t="n">
        <v>0</v>
      </c>
      <c r="H426" s="94">
        <f>COUNTIF(C426:G426,"&lt;&gt;0")</f>
        <v/>
      </c>
      <c r="I426" s="94">
        <f>IF(H426=0,"לא מטופל",IF(H426=1,"מטופל - סוכן אחד","מטופל - יותר מסוכן אחד"))</f>
        <v/>
      </c>
    </row>
    <row r="427" ht="15" customHeight="1" s="82">
      <c r="A427" s="94" t="inlineStr">
        <is>
          <t>ס. פארם</t>
        </is>
      </c>
      <c r="B427" s="94" t="inlineStr">
        <is>
          <t>BM ס.פ מול כנרת צמח</t>
        </is>
      </c>
      <c r="C427" s="111" t="n">
        <v>0</v>
      </c>
      <c r="D427" s="111" t="n">
        <v>23768.6</v>
      </c>
      <c r="E427" s="111" t="n">
        <v>0</v>
      </c>
      <c r="F427" s="111" t="n">
        <v>0</v>
      </c>
      <c r="G427" s="111" t="n">
        <v>0</v>
      </c>
      <c r="H427" s="94">
        <f>COUNTIF(C427:G427,"&lt;&gt;0")</f>
        <v/>
      </c>
      <c r="I427" s="94">
        <f>IF(H427=0,"לא מטופל",IF(H427=1,"מטופל - סוכן אחד","מטופל - יותר מסוכן אחד"))</f>
        <v/>
      </c>
    </row>
    <row r="428" ht="15" customHeight="1" s="82">
      <c r="A428" s="94" t="inlineStr">
        <is>
          <t>ס. פארם</t>
        </is>
      </c>
      <c r="B428" s="94" t="inlineStr">
        <is>
          <t>BM ס.פ דושי סנטר נצרת</t>
        </is>
      </c>
      <c r="C428" s="111" t="n">
        <v>0</v>
      </c>
      <c r="D428" s="111" t="n">
        <v>2770.4</v>
      </c>
      <c r="E428" s="111" t="n">
        <v>0</v>
      </c>
      <c r="F428" s="111" t="n">
        <v>0</v>
      </c>
      <c r="G428" s="111" t="n">
        <v>0</v>
      </c>
      <c r="H428" s="94">
        <f>COUNTIF(C428:G428,"&lt;&gt;0")</f>
        <v/>
      </c>
      <c r="I428" s="94">
        <f>IF(H428=0,"לא מטופל",IF(H428=1,"מטופל - סוכן אחד","מטופל - יותר מסוכן אחד"))</f>
        <v/>
      </c>
    </row>
    <row r="429" ht="15" customHeight="1" s="82">
      <c r="A429" s="94" t="inlineStr">
        <is>
          <t>ס. פארם</t>
        </is>
      </c>
      <c r="B429" s="94" t="inlineStr">
        <is>
          <t>BM ס.פ רמבלס סנטר רמלה</t>
        </is>
      </c>
      <c r="C429" s="111" t="n">
        <v>0</v>
      </c>
      <c r="D429" s="111" t="n">
        <v>0</v>
      </c>
      <c r="E429" s="111" t="n">
        <v>9550.1</v>
      </c>
      <c r="F429" s="111" t="n">
        <v>0</v>
      </c>
      <c r="G429" s="111" t="n">
        <v>0</v>
      </c>
      <c r="H429" s="94">
        <f>COUNTIF(C429:G429,"&lt;&gt;0")</f>
        <v/>
      </c>
      <c r="I429" s="94">
        <f>IF(H429=0,"לא מטופל",IF(H429=1,"מטופל - סוכן אחד","מטופל - יותר מסוכן אחד"))</f>
        <v/>
      </c>
    </row>
    <row r="430" ht="15" customHeight="1" s="82">
      <c r="A430" s="94" t="inlineStr">
        <is>
          <t>ס. פארם</t>
        </is>
      </c>
      <c r="B430" s="94" t="inlineStr">
        <is>
          <t>BM ס.פ כפר קרע</t>
        </is>
      </c>
      <c r="C430" s="111" t="n">
        <v>0</v>
      </c>
      <c r="D430" s="111" t="n">
        <v>14059.2</v>
      </c>
      <c r="E430" s="111" t="n">
        <v>0</v>
      </c>
      <c r="F430" s="111" t="n">
        <v>0</v>
      </c>
      <c r="G430" s="111" t="n">
        <v>0</v>
      </c>
      <c r="H430" s="94">
        <f>COUNTIF(C430:G430,"&lt;&gt;0")</f>
        <v/>
      </c>
      <c r="I430" s="94">
        <f>IF(H430=0,"לא מטופל",IF(H430=1,"מטופל - סוכן אחד","מטופל - יותר מסוכן אחד"))</f>
        <v/>
      </c>
    </row>
    <row r="431" ht="15" customHeight="1" s="82">
      <c r="A431" s="94" t="inlineStr">
        <is>
          <t>ס. פארם</t>
        </is>
      </c>
      <c r="B431" s="94" t="inlineStr">
        <is>
          <t>BM ס.פ ביג יהוד</t>
        </is>
      </c>
      <c r="C431" s="111" t="n">
        <v>0</v>
      </c>
      <c r="D431" s="111" t="n">
        <v>0</v>
      </c>
      <c r="E431" s="111" t="n">
        <v>20338.3</v>
      </c>
      <c r="F431" s="111" t="n">
        <v>0</v>
      </c>
      <c r="G431" s="111" t="n">
        <v>0</v>
      </c>
      <c r="H431" s="94">
        <f>COUNTIF(C431:G431,"&lt;&gt;0")</f>
        <v/>
      </c>
      <c r="I431" s="94">
        <f>IF(H431=0,"לא מטופל",IF(H431=1,"מטופל - סוכן אחד","מטופל - יותר מסוכן אחד"))</f>
        <v/>
      </c>
    </row>
    <row r="432" ht="15" customHeight="1" s="82">
      <c r="A432" s="94" t="inlineStr">
        <is>
          <t>ס. פארם</t>
        </is>
      </c>
      <c r="B432" s="94" t="inlineStr">
        <is>
          <t>BM ס.פ ג'דיידה מכר</t>
        </is>
      </c>
      <c r="C432" s="111" t="n">
        <v>0</v>
      </c>
      <c r="D432" s="111" t="n">
        <v>4511.7</v>
      </c>
      <c r="E432" s="111" t="n">
        <v>0</v>
      </c>
      <c r="F432" s="111" t="n">
        <v>0</v>
      </c>
      <c r="G432" s="111" t="n">
        <v>0</v>
      </c>
      <c r="H432" s="94">
        <f>COUNTIF(C432:G432,"&lt;&gt;0")</f>
        <v/>
      </c>
      <c r="I432" s="94">
        <f>IF(H432=0,"לא מטופל",IF(H432=1,"מטופל - סוכן אחד","מטופל - יותר מסוכן אחד"))</f>
        <v/>
      </c>
    </row>
    <row r="433" ht="15" customHeight="1" s="82">
      <c r="A433" s="94" t="inlineStr">
        <is>
          <t>ס. פארם</t>
        </is>
      </c>
      <c r="B433" s="94" t="inlineStr">
        <is>
          <t>BM ס.פ דרך מצדה ב""ש</t>
        </is>
      </c>
      <c r="C433" s="111" t="n">
        <v>0</v>
      </c>
      <c r="D433" s="111" t="n">
        <v>0</v>
      </c>
      <c r="E433" s="111" t="n">
        <v>24660</v>
      </c>
      <c r="F433" s="111" t="n">
        <v>0</v>
      </c>
      <c r="G433" s="111" t="n">
        <v>0</v>
      </c>
      <c r="H433" s="94">
        <f>COUNTIF(C433:G433,"&lt;&gt;0")</f>
        <v/>
      </c>
      <c r="I433" s="94">
        <f>IF(H433=0,"לא מטופל",IF(H433=1,"מטופל - סוכן אחד","מטופל - יותר מסוכן אחד"))</f>
        <v/>
      </c>
    </row>
    <row r="434" ht="15" customHeight="1" s="82">
      <c r="A434" s="94" t="inlineStr">
        <is>
          <t>ס. פארם</t>
        </is>
      </c>
      <c r="B434" s="94" t="inlineStr">
        <is>
          <t>BM ס.פ שכונת הפארק בת ים</t>
        </is>
      </c>
      <c r="C434" s="111" t="n">
        <v>0</v>
      </c>
      <c r="D434" s="111" t="n">
        <v>0</v>
      </c>
      <c r="E434" s="111" t="n">
        <v>18509.2</v>
      </c>
      <c r="F434" s="111" t="n">
        <v>0</v>
      </c>
      <c r="G434" s="111" t="n">
        <v>0</v>
      </c>
      <c r="H434" s="94">
        <f>COUNTIF(C434:G434,"&lt;&gt;0")</f>
        <v/>
      </c>
      <c r="I434" s="94">
        <f>IF(H434=0,"לא מטופל",IF(H434=1,"מטופל - סוכן אחד","מטופל - יותר מסוכן אחד"))</f>
        <v/>
      </c>
    </row>
    <row r="435" ht="15" customHeight="1" s="82">
      <c r="A435" s="94" t="inlineStr">
        <is>
          <t>ס. פארם</t>
        </is>
      </c>
      <c r="B435" s="94" t="inlineStr">
        <is>
          <t>BM ס.פ יוקלר עפולה</t>
        </is>
      </c>
      <c r="C435" s="111" t="n">
        <v>0</v>
      </c>
      <c r="D435" s="111" t="n">
        <v>7242</v>
      </c>
      <c r="E435" s="111" t="n">
        <v>0</v>
      </c>
      <c r="F435" s="111" t="n">
        <v>0</v>
      </c>
      <c r="G435" s="111" t="n">
        <v>0</v>
      </c>
      <c r="H435" s="94">
        <f>COUNTIF(C435:G435,"&lt;&gt;0")</f>
        <v/>
      </c>
      <c r="I435" s="94">
        <f>IF(H435=0,"לא מטופל",IF(H435=1,"מטופל - סוכן אחד","מטופל - יותר מסוכן אחד"))</f>
        <v/>
      </c>
    </row>
    <row r="436" ht="15" customHeight="1" s="82">
      <c r="A436" s="94" t="inlineStr">
        <is>
          <t>ס. פארם</t>
        </is>
      </c>
      <c r="B436" s="94" t="inlineStr">
        <is>
          <t>BM ס.פ צורן</t>
        </is>
      </c>
      <c r="C436" s="111" t="n">
        <v>16293.9</v>
      </c>
      <c r="D436" s="111" t="n">
        <v>0</v>
      </c>
      <c r="E436" s="111" t="n">
        <v>0</v>
      </c>
      <c r="F436" s="111" t="n">
        <v>0</v>
      </c>
      <c r="G436" s="111" t="n">
        <v>0</v>
      </c>
      <c r="H436" s="94">
        <f>COUNTIF(C436:G436,"&lt;&gt;0")</f>
        <v/>
      </c>
      <c r="I436" s="94">
        <f>IF(H436=0,"לא מטופל",IF(H436=1,"מטופל - סוכן אחד","מטופל - יותר מסוכן אחד"))</f>
        <v/>
      </c>
    </row>
    <row r="437" ht="15" customHeight="1" s="82">
      <c r="A437" s="94" t="inlineStr">
        <is>
          <t>ס. פארם</t>
        </is>
      </c>
      <c r="B437" s="94" t="inlineStr">
        <is>
          <t>BM ס.פ פסגת דן רמת גן</t>
        </is>
      </c>
      <c r="C437" s="111" t="n">
        <v>0</v>
      </c>
      <c r="D437" s="111" t="n">
        <v>0</v>
      </c>
      <c r="E437" s="111" t="n">
        <v>15179</v>
      </c>
      <c r="F437" s="111" t="n">
        <v>0</v>
      </c>
      <c r="G437" s="111" t="n">
        <v>0</v>
      </c>
      <c r="H437" s="94">
        <f>COUNTIF(C437:G437,"&lt;&gt;0")</f>
        <v/>
      </c>
      <c r="I437" s="94">
        <f>IF(H437=0,"לא מטופל",IF(H437=1,"מטופל - סוכן אחד","מטופל - יותר מסוכן אחד"))</f>
        <v/>
      </c>
    </row>
    <row r="438" ht="15" customHeight="1" s="82">
      <c r="A438" s="94" t="inlineStr">
        <is>
          <t>ס. פארם</t>
        </is>
      </c>
      <c r="B438" s="94" t="inlineStr">
        <is>
          <t>BM ס.פ דימונה דימרי סנטר</t>
        </is>
      </c>
      <c r="C438" s="111" t="n">
        <v>0</v>
      </c>
      <c r="D438" s="111" t="n">
        <v>0</v>
      </c>
      <c r="E438" s="111" t="n">
        <v>0</v>
      </c>
      <c r="F438" s="111" t="n">
        <v>0</v>
      </c>
      <c r="G438" s="111" t="n">
        <v>15834.2</v>
      </c>
      <c r="H438" s="94">
        <f>COUNTIF(C438:G438,"&lt;&gt;0")</f>
        <v/>
      </c>
      <c r="I438" s="94">
        <f>IF(H438=0,"לא מטופל",IF(H438=1,"מטופל - סוכן אחד","מטופל - יותר מסוכן אחד"))</f>
        <v/>
      </c>
    </row>
    <row r="439" ht="15" customHeight="1" s="82">
      <c r="A439" s="94" t="inlineStr">
        <is>
          <t>ס. פארם</t>
        </is>
      </c>
      <c r="B439" s="94" t="inlineStr">
        <is>
          <t>BM ס.פ רכבת לוד</t>
        </is>
      </c>
      <c r="C439" s="111" t="n">
        <v>0</v>
      </c>
      <c r="D439" s="111" t="n">
        <v>0</v>
      </c>
      <c r="E439" s="111" t="n">
        <v>-1640.5</v>
      </c>
      <c r="F439" s="111" t="n">
        <v>0</v>
      </c>
      <c r="G439" s="111" t="n">
        <v>0</v>
      </c>
      <c r="H439" s="94">
        <f>COUNTIF(C439:G439,"&lt;&gt;0")</f>
        <v/>
      </c>
      <c r="I439" s="94">
        <f>IF(H439=0,"לא מטופל",IF(H439=1,"מטופל - סוכן אחד","מטופל - יותר מסוכן אחד"))</f>
        <v/>
      </c>
    </row>
    <row r="440" ht="15" customHeight="1" s="82">
      <c r="A440" s="94" t="inlineStr">
        <is>
          <t>ס. פארם</t>
        </is>
      </c>
      <c r="B440" s="94" t="inlineStr">
        <is>
          <t>BM ס.פ נתיבות מערב</t>
        </is>
      </c>
      <c r="C440" s="111" t="n">
        <v>0</v>
      </c>
      <c r="D440" s="111" t="n">
        <v>0</v>
      </c>
      <c r="E440" s="111" t="n">
        <v>0</v>
      </c>
      <c r="F440" s="111" t="n">
        <v>0</v>
      </c>
      <c r="G440" s="111" t="n">
        <v>9185.299999999999</v>
      </c>
      <c r="H440" s="94">
        <f>COUNTIF(C440:G440,"&lt;&gt;0")</f>
        <v/>
      </c>
      <c r="I440" s="94">
        <f>IF(H440=0,"לא מטופל",IF(H440=1,"מטופל - סוכן אחד","מטופל - יותר מסוכן אחד"))</f>
        <v/>
      </c>
    </row>
    <row r="441" ht="15" customHeight="1" s="82">
      <c r="A441" s="94" t="inlineStr">
        <is>
          <t>ס. פארם</t>
        </is>
      </c>
      <c r="B441" s="94" t="inlineStr">
        <is>
          <t>BM ס.פ ברנע אשקלון</t>
        </is>
      </c>
      <c r="C441" s="111" t="n">
        <v>0</v>
      </c>
      <c r="D441" s="111" t="n">
        <v>0</v>
      </c>
      <c r="E441" s="111" t="n">
        <v>0</v>
      </c>
      <c r="F441" s="111" t="n">
        <v>0</v>
      </c>
      <c r="G441" s="111" t="n">
        <v>22838.4</v>
      </c>
      <c r="H441" s="94">
        <f>COUNTIF(C441:G441,"&lt;&gt;0")</f>
        <v/>
      </c>
      <c r="I441" s="94">
        <f>IF(H441=0,"לא מטופל",IF(H441=1,"מטופל - סוכן אחד","מטופל - יותר מסוכן אחד"))</f>
        <v/>
      </c>
    </row>
    <row r="442" ht="15" customHeight="1" s="82">
      <c r="A442" s="94" t="inlineStr">
        <is>
          <t>ס. פארם</t>
        </is>
      </c>
      <c r="B442" s="94" t="inlineStr">
        <is>
          <t>BM ס.פ כפר יונה</t>
        </is>
      </c>
      <c r="C442" s="111" t="n">
        <v>13179.6</v>
      </c>
      <c r="D442" s="111" t="n">
        <v>0</v>
      </c>
      <c r="E442" s="111" t="n">
        <v>0</v>
      </c>
      <c r="F442" s="111" t="n">
        <v>0</v>
      </c>
      <c r="G442" s="111" t="n">
        <v>0</v>
      </c>
      <c r="H442" s="94">
        <f>COUNTIF(C442:G442,"&lt;&gt;0")</f>
        <v/>
      </c>
      <c r="I442" s="94">
        <f>IF(H442=0,"לא מטופל",IF(H442=1,"מטופל - סוכן אחד","מטופל - יותר מסוכן אחד"))</f>
        <v/>
      </c>
    </row>
    <row r="443" ht="15" customHeight="1" s="82">
      <c r="A443" s="94" t="inlineStr">
        <is>
          <t>ס. פארם</t>
        </is>
      </c>
      <c r="B443" s="94" t="inlineStr">
        <is>
          <t>BM ס.פ נווה זמר רעננה</t>
        </is>
      </c>
      <c r="C443" s="111" t="n">
        <v>15864.1</v>
      </c>
      <c r="D443" s="111" t="n">
        <v>0</v>
      </c>
      <c r="E443" s="111" t="n">
        <v>0</v>
      </c>
      <c r="F443" s="111" t="n">
        <v>0</v>
      </c>
      <c r="G443" s="111" t="n">
        <v>0</v>
      </c>
      <c r="H443" s="94">
        <f>COUNTIF(C443:G443,"&lt;&gt;0")</f>
        <v/>
      </c>
      <c r="I443" s="94">
        <f>IF(H443=0,"לא מטופל",IF(H443=1,"מטופל - סוכן אחד","מטופל - יותר מסוכן אחד"))</f>
        <v/>
      </c>
    </row>
    <row r="444" ht="15" customHeight="1" s="82">
      <c r="A444" s="94" t="inlineStr">
        <is>
          <t>ס. פארם</t>
        </is>
      </c>
      <c r="B444" s="94" t="inlineStr">
        <is>
          <t>BM ס.פ הנשיאים הוד השרון</t>
        </is>
      </c>
      <c r="C444" s="111" t="n">
        <v>19283.2</v>
      </c>
      <c r="D444" s="111" t="n">
        <v>0</v>
      </c>
      <c r="E444" s="111" t="n">
        <v>0</v>
      </c>
      <c r="F444" s="111" t="n">
        <v>0</v>
      </c>
      <c r="G444" s="111" t="n">
        <v>0</v>
      </c>
      <c r="H444" s="94">
        <f>COUNTIF(C444:G444,"&lt;&gt;0")</f>
        <v/>
      </c>
      <c r="I444" s="94">
        <f>IF(H444=0,"לא מטופל",IF(H444=1,"מטופל - סוכן אחד","מטופל - יותר מסוכן אחד"))</f>
        <v/>
      </c>
    </row>
    <row r="445" ht="15" customHeight="1" s="82">
      <c r="A445" s="94" t="inlineStr">
        <is>
          <t>ס. פארם</t>
        </is>
      </c>
      <c r="B445" s="94" t="inlineStr">
        <is>
          <t>BM ס.פ טירה</t>
        </is>
      </c>
      <c r="C445" s="111" t="n">
        <v>0</v>
      </c>
      <c r="D445" s="111" t="n">
        <v>0</v>
      </c>
      <c r="E445" s="111" t="n">
        <v>3773.8</v>
      </c>
      <c r="F445" s="111" t="n">
        <v>0</v>
      </c>
      <c r="G445" s="111" t="n">
        <v>0</v>
      </c>
      <c r="H445" s="94">
        <f>COUNTIF(C445:G445,"&lt;&gt;0")</f>
        <v/>
      </c>
      <c r="I445" s="94">
        <f>IF(H445=0,"לא מטופל",IF(H445=1,"מטופל - סוכן אחד","מטופל - יותר מסוכן אחד"))</f>
        <v/>
      </c>
    </row>
    <row r="446" ht="15" customHeight="1" s="82">
      <c r="A446" s="94" t="inlineStr">
        <is>
          <t>ס. פארם</t>
        </is>
      </c>
      <c r="B446" s="94" t="inlineStr">
        <is>
          <t>BM ס.פ צים גני תקווה</t>
        </is>
      </c>
      <c r="C446" s="111" t="n">
        <v>0</v>
      </c>
      <c r="D446" s="111" t="n">
        <v>0</v>
      </c>
      <c r="E446" s="111" t="n">
        <v>21781.8</v>
      </c>
      <c r="F446" s="111" t="n">
        <v>0</v>
      </c>
      <c r="G446" s="111" t="n">
        <v>0</v>
      </c>
      <c r="H446" s="94">
        <f>COUNTIF(C446:G446,"&lt;&gt;0")</f>
        <v/>
      </c>
      <c r="I446" s="94">
        <f>IF(H446=0,"לא מטופל",IF(H446=1,"מטופל - סוכן אחד","מטופל - יותר מסוכן אחד"))</f>
        <v/>
      </c>
    </row>
    <row r="447" ht="15" customHeight="1" s="82">
      <c r="A447" s="94" t="inlineStr">
        <is>
          <t>ס. פארם</t>
        </is>
      </c>
      <c r="B447" s="94" t="inlineStr">
        <is>
          <t>BM ס.פ הדר גנים פתח תקווה</t>
        </is>
      </c>
      <c r="C447" s="111" t="n">
        <v>0</v>
      </c>
      <c r="D447" s="111" t="n">
        <v>0</v>
      </c>
      <c r="E447" s="111" t="n">
        <v>10153</v>
      </c>
      <c r="F447" s="111" t="n">
        <v>0</v>
      </c>
      <c r="G447" s="111" t="n">
        <v>0</v>
      </c>
      <c r="H447" s="94">
        <f>COUNTIF(C447:G447,"&lt;&gt;0")</f>
        <v/>
      </c>
      <c r="I447" s="94">
        <f>IF(H447=0,"לא מטופל",IF(H447=1,"מטופל - סוכן אחד","מטופל - יותר מסוכן אחד"))</f>
        <v/>
      </c>
    </row>
    <row r="448" ht="15" customHeight="1" s="82">
      <c r="A448" s="94" t="inlineStr">
        <is>
          <t>ס. פארם</t>
        </is>
      </c>
      <c r="B448" s="94" t="inlineStr">
        <is>
          <t>BM  ס.פ פארק הנחל ב""ש</t>
        </is>
      </c>
      <c r="C448" s="111" t="n">
        <v>0</v>
      </c>
      <c r="D448" s="111" t="n">
        <v>0</v>
      </c>
      <c r="E448" s="111" t="n">
        <v>5034</v>
      </c>
      <c r="F448" s="111" t="n">
        <v>0</v>
      </c>
      <c r="G448" s="111" t="n">
        <v>0</v>
      </c>
      <c r="H448" s="94">
        <f>COUNTIF(C448:G448,"&lt;&gt;0")</f>
        <v/>
      </c>
      <c r="I448" s="94">
        <f>IF(H448=0,"לא מטופל",IF(H448=1,"מטופל - סוכן אחד","מטופל - יותר מסוכן אחד"))</f>
        <v/>
      </c>
    </row>
    <row r="449" ht="15" customHeight="1" s="82">
      <c r="A449" s="94" t="inlineStr">
        <is>
          <t>ס. פארם</t>
        </is>
      </c>
      <c r="B449" s="94" t="inlineStr">
        <is>
          <t>BM ס.פ בסר סיטי פתח תקוה</t>
        </is>
      </c>
      <c r="C449" s="111" t="n">
        <v>0</v>
      </c>
      <c r="D449" s="111" t="n">
        <v>0</v>
      </c>
      <c r="E449" s="111" t="n">
        <v>9587.200000000001</v>
      </c>
      <c r="F449" s="111" t="n">
        <v>0</v>
      </c>
      <c r="G449" s="111" t="n">
        <v>0</v>
      </c>
      <c r="H449" s="94">
        <f>COUNTIF(C449:G449,"&lt;&gt;0")</f>
        <v/>
      </c>
      <c r="I449" s="94">
        <f>IF(H449=0,"לא מטופל",IF(H449=1,"מטופל - סוכן אחד","מטופל - יותר מסוכן אחד"))</f>
        <v/>
      </c>
    </row>
    <row r="450" ht="15" customHeight="1" s="82">
      <c r="A450" s="94" t="inlineStr">
        <is>
          <t>ס. פארם</t>
        </is>
      </c>
      <c r="B450" s="94" t="inlineStr">
        <is>
          <t>BM ס.פ גליל ים הרצליה</t>
        </is>
      </c>
      <c r="C450" s="111" t="n">
        <v>11230.2</v>
      </c>
      <c r="D450" s="111" t="n">
        <v>0</v>
      </c>
      <c r="E450" s="111" t="n">
        <v>0</v>
      </c>
      <c r="F450" s="111" t="n">
        <v>0</v>
      </c>
      <c r="G450" s="111" t="n">
        <v>0</v>
      </c>
      <c r="H450" s="94">
        <f>COUNTIF(C450:G450,"&lt;&gt;0")</f>
        <v/>
      </c>
      <c r="I450" s="94">
        <f>IF(H450=0,"לא מטופל",IF(H450=1,"מטופל - סוכן אחד","מטופל - יותר מסוכן אחד"))</f>
        <v/>
      </c>
    </row>
    <row r="451" ht="15" customHeight="1" s="82">
      <c r="A451" s="94" t="inlineStr">
        <is>
          <t>ס. פארם</t>
        </is>
      </c>
      <c r="B451" s="94" t="inlineStr">
        <is>
          <t>BM ס.פ עראבה</t>
        </is>
      </c>
      <c r="C451" s="111" t="n">
        <v>0</v>
      </c>
      <c r="D451" s="111" t="n">
        <v>5168.8</v>
      </c>
      <c r="E451" s="111" t="n">
        <v>0</v>
      </c>
      <c r="F451" s="111" t="n">
        <v>0</v>
      </c>
      <c r="G451" s="111" t="n">
        <v>0</v>
      </c>
      <c r="H451" s="94">
        <f>COUNTIF(C451:G451,"&lt;&gt;0")</f>
        <v/>
      </c>
      <c r="I451" s="94">
        <f>IF(H451=0,"לא מטופל",IF(H451=1,"מטופל - סוכן אחד","מטופל - יותר מסוכן אחד"))</f>
        <v/>
      </c>
    </row>
    <row r="452" ht="15" customHeight="1" s="82">
      <c r="A452" s="94" t="inlineStr">
        <is>
          <t>ס. פארם</t>
        </is>
      </c>
      <c r="B452" s="94" t="inlineStr">
        <is>
          <t>BM ס.פ קרני שומרון</t>
        </is>
      </c>
      <c r="C452" s="111" t="n">
        <v>0</v>
      </c>
      <c r="D452" s="111" t="n">
        <v>0</v>
      </c>
      <c r="E452" s="111" t="n">
        <v>6297.5</v>
      </c>
      <c r="F452" s="111" t="n">
        <v>0</v>
      </c>
      <c r="G452" s="111" t="n">
        <v>0</v>
      </c>
      <c r="H452" s="94">
        <f>COUNTIF(C452:G452,"&lt;&gt;0")</f>
        <v/>
      </c>
      <c r="I452" s="94">
        <f>IF(H452=0,"לא מטופל",IF(H452=1,"מטופל - סוכן אחד","מטופל - יותר מסוכן אחד"))</f>
        <v/>
      </c>
    </row>
    <row r="453" ht="15" customHeight="1" s="82">
      <c r="A453" s="94" t="inlineStr">
        <is>
          <t>ס. פארם</t>
        </is>
      </c>
      <c r="B453" s="94" t="inlineStr">
        <is>
          <t>BM ס.פ אגמים אשקלון</t>
        </is>
      </c>
      <c r="C453" s="111" t="n">
        <v>0</v>
      </c>
      <c r="D453" s="111" t="n">
        <v>0</v>
      </c>
      <c r="E453" s="111" t="n">
        <v>0</v>
      </c>
      <c r="F453" s="111" t="n">
        <v>0</v>
      </c>
      <c r="G453" s="111" t="n">
        <v>17310.2</v>
      </c>
      <c r="H453" s="94">
        <f>COUNTIF(C453:G453,"&lt;&gt;0")</f>
        <v/>
      </c>
      <c r="I453" s="94">
        <f>IF(H453=0,"לא מטופל",IF(H453=1,"מטופל - סוכן אחד","מטופל - יותר מסוכן אחד"))</f>
        <v/>
      </c>
    </row>
    <row r="454" ht="15" customHeight="1" s="82">
      <c r="A454" s="94" t="inlineStr">
        <is>
          <t>ס. פארם</t>
        </is>
      </c>
      <c r="B454" s="94" t="inlineStr">
        <is>
          <t>BM ס.פ שפיר סנטר ראש העין</t>
        </is>
      </c>
      <c r="C454" s="111" t="n">
        <v>0</v>
      </c>
      <c r="D454" s="111" t="n">
        <v>0</v>
      </c>
      <c r="E454" s="111" t="n">
        <v>25742.7</v>
      </c>
      <c r="F454" s="111" t="n">
        <v>0</v>
      </c>
      <c r="G454" s="111" t="n">
        <v>0</v>
      </c>
      <c r="H454" s="94">
        <f>COUNTIF(C454:G454,"&lt;&gt;0")</f>
        <v/>
      </c>
      <c r="I454" s="94">
        <f>IF(H454=0,"לא מטופל",IF(H454=1,"מטופל - סוכן אחד","מטופל - יותר מסוכן אחד"))</f>
        <v/>
      </c>
    </row>
    <row r="455" ht="15" customHeight="1" s="82">
      <c r="A455" s="94" t="inlineStr">
        <is>
          <t>ס. פארם</t>
        </is>
      </c>
      <c r="B455" s="94" t="inlineStr">
        <is>
          <t>ארוקה מרכז מול זכרון</t>
        </is>
      </c>
      <c r="C455" s="111" t="n">
        <v>0</v>
      </c>
      <c r="D455" s="111" t="n">
        <v>0</v>
      </c>
      <c r="E455" s="111" t="n">
        <v>-24</v>
      </c>
      <c r="F455" s="111" t="n">
        <v>0</v>
      </c>
      <c r="G455" s="111" t="n">
        <v>0</v>
      </c>
      <c r="H455" s="94">
        <f>COUNTIF(C455:G455,"&lt;&gt;0")</f>
        <v/>
      </c>
      <c r="I455" s="94">
        <f>IF(H455=0,"לא מטופל",IF(H455=1,"מטופל - סוכן אחד","מטופל - יותר מסוכן אחד"))</f>
        <v/>
      </c>
    </row>
    <row r="456" ht="15" customHeight="1" s="82">
      <c r="A456" s="94" t="inlineStr">
        <is>
          <t>ס. פארם</t>
        </is>
      </c>
      <c r="B456" s="94" t="inlineStr">
        <is>
          <t>671 BM ס.פ פבריק עמק חפר</t>
        </is>
      </c>
      <c r="C456" s="111" t="n">
        <v>0</v>
      </c>
      <c r="D456" s="111" t="n">
        <v>30628.1</v>
      </c>
      <c r="E456" s="111" t="n">
        <v>0</v>
      </c>
      <c r="F456" s="111" t="n">
        <v>0</v>
      </c>
      <c r="G456" s="111" t="n">
        <v>0</v>
      </c>
      <c r="H456" s="94">
        <f>COUNTIF(C456:G456,"&lt;&gt;0")</f>
        <v/>
      </c>
      <c r="I456" s="94">
        <f>IF(H456=0,"לא מטופל",IF(H456=1,"מטופל - סוכן אחד","מטופל - יותר מסוכן אחד"))</f>
        <v/>
      </c>
    </row>
    <row r="457" ht="15" customHeight="1" s="82">
      <c r="A457" s="94" t="inlineStr">
        <is>
          <t>ס. פארם</t>
        </is>
      </c>
      <c r="B457" s="94" t="inlineStr">
        <is>
          <t>BM ס.פ חורה</t>
        </is>
      </c>
      <c r="C457" s="111" t="n">
        <v>0</v>
      </c>
      <c r="D457" s="111" t="n">
        <v>0</v>
      </c>
      <c r="E457" s="111" t="n">
        <v>7293.6</v>
      </c>
      <c r="F457" s="111" t="n">
        <v>0</v>
      </c>
      <c r="G457" s="111" t="n">
        <v>0</v>
      </c>
      <c r="H457" s="94">
        <f>COUNTIF(C457:G457,"&lt;&gt;0")</f>
        <v/>
      </c>
      <c r="I457" s="94">
        <f>IF(H457=0,"לא מטופל",IF(H457=1,"מטופל - סוכן אחד","מטופל - יותר מסוכן אחד"))</f>
        <v/>
      </c>
    </row>
    <row r="458" ht="15" customHeight="1" s="82">
      <c r="A458" s="94" t="inlineStr">
        <is>
          <t>ס. פארם</t>
        </is>
      </c>
      <c r="B458" s="94" t="inlineStr">
        <is>
          <t>BM ס.פ צים טייבה</t>
        </is>
      </c>
      <c r="C458" s="111" t="n">
        <v>0</v>
      </c>
      <c r="D458" s="111" t="n">
        <v>0</v>
      </c>
      <c r="E458" s="111" t="n">
        <v>9353.6</v>
      </c>
      <c r="F458" s="111" t="n">
        <v>0</v>
      </c>
      <c r="G458" s="111" t="n">
        <v>0</v>
      </c>
      <c r="H458" s="94">
        <f>COUNTIF(C458:G458,"&lt;&gt;0")</f>
        <v/>
      </c>
      <c r="I458" s="94">
        <f>IF(H458=0,"לא מטופל",IF(H458=1,"מטופל - סוכן אחד","מטופל - יותר מסוכן אחד"))</f>
        <v/>
      </c>
    </row>
    <row r="459" ht="15" customHeight="1" s="82">
      <c r="A459" s="94" t="inlineStr">
        <is>
          <t>ס. פארם</t>
        </is>
      </c>
      <c r="B459" s="94" t="inlineStr">
        <is>
          <t>BM ס.פ נאות שמיר רמלה</t>
        </is>
      </c>
      <c r="C459" s="111" t="n">
        <v>0</v>
      </c>
      <c r="D459" s="111" t="n">
        <v>0</v>
      </c>
      <c r="E459" s="111" t="n">
        <v>7396.8</v>
      </c>
      <c r="F459" s="111" t="n">
        <v>0</v>
      </c>
      <c r="G459" s="111" t="n">
        <v>0</v>
      </c>
      <c r="H459" s="94">
        <f>COUNTIF(C459:G459,"&lt;&gt;0")</f>
        <v/>
      </c>
      <c r="I459" s="94">
        <f>IF(H459=0,"לא מטופל",IF(H459=1,"מטופל - סוכן אחד","מטופל - יותר מסוכן אחד"))</f>
        <v/>
      </c>
    </row>
    <row r="460" ht="15" customHeight="1" s="82">
      <c r="A460" s="94" t="inlineStr">
        <is>
          <t>ס. פארם</t>
        </is>
      </c>
      <c r="B460" s="94" t="inlineStr">
        <is>
          <t>BM ס.פ ר. אביב גימל</t>
        </is>
      </c>
      <c r="C460" s="111" t="n">
        <v>26722.6</v>
      </c>
      <c r="D460" s="111" t="n">
        <v>0</v>
      </c>
      <c r="E460" s="111" t="n">
        <v>0</v>
      </c>
      <c r="F460" s="111" t="n">
        <v>0</v>
      </c>
      <c r="G460" s="111" t="n">
        <v>0</v>
      </c>
      <c r="H460" s="94">
        <f>COUNTIF(C460:G460,"&lt;&gt;0")</f>
        <v/>
      </c>
      <c r="I460" s="94">
        <f>IF(H460=0,"לא מטופל",IF(H460=1,"מטופל - סוכן אחד","מטופל - יותר מסוכן אחד"))</f>
        <v/>
      </c>
    </row>
    <row r="461" ht="15" customHeight="1" s="82">
      <c r="A461" s="94" t="inlineStr">
        <is>
          <t>ס. פארם</t>
        </is>
      </c>
      <c r="B461" s="94" t="inlineStr">
        <is>
          <t>BM ס.פ נרקיסים ראשון לציון</t>
        </is>
      </c>
      <c r="C461" s="111" t="n">
        <v>12273.7</v>
      </c>
      <c r="D461" s="111" t="n">
        <v>0</v>
      </c>
      <c r="E461" s="111" t="n">
        <v>0</v>
      </c>
      <c r="F461" s="111" t="n">
        <v>0</v>
      </c>
      <c r="G461" s="111" t="n">
        <v>0</v>
      </c>
      <c r="H461" s="94">
        <f>COUNTIF(C461:G461,"&lt;&gt;0")</f>
        <v/>
      </c>
      <c r="I461" s="94">
        <f>IF(H461=0,"לא מטופל",IF(H461=1,"מטופל - סוכן אחד","מטופל - יותר מסוכן אחד"))</f>
        <v/>
      </c>
    </row>
    <row r="462" ht="15" customHeight="1" s="82">
      <c r="A462" s="94" t="inlineStr">
        <is>
          <t>ס. פארם</t>
        </is>
      </c>
      <c r="B462" s="94" t="inlineStr">
        <is>
          <t>BM ס.פ חריש בעיר</t>
        </is>
      </c>
      <c r="C462" s="111" t="n">
        <v>0</v>
      </c>
      <c r="D462" s="111" t="n">
        <v>11354.6</v>
      </c>
      <c r="E462" s="111" t="n">
        <v>0</v>
      </c>
      <c r="F462" s="111" t="n">
        <v>0</v>
      </c>
      <c r="G462" s="111" t="n">
        <v>0</v>
      </c>
      <c r="H462" s="94">
        <f>COUNTIF(C462:G462,"&lt;&gt;0")</f>
        <v/>
      </c>
      <c r="I462" s="94">
        <f>IF(H462=0,"לא מטופל",IF(H462=1,"מטופל - סוכן אחד","מטופל - יותר מסוכן אחד"))</f>
        <v/>
      </c>
    </row>
    <row r="463" ht="15" customHeight="1" s="82">
      <c r="A463" s="94" t="inlineStr">
        <is>
          <t>ס. פארם</t>
        </is>
      </c>
      <c r="B463" s="94" t="inlineStr">
        <is>
          <t>BM ס.פ מורשת מודיעין</t>
        </is>
      </c>
      <c r="C463" s="111" t="n">
        <v>0</v>
      </c>
      <c r="D463" s="111" t="n">
        <v>0</v>
      </c>
      <c r="E463" s="111" t="n">
        <v>0</v>
      </c>
      <c r="F463" s="111" t="n">
        <v>0</v>
      </c>
      <c r="G463" s="111" t="n">
        <v>6815</v>
      </c>
      <c r="H463" s="94">
        <f>COUNTIF(C463:G463,"&lt;&gt;0")</f>
        <v/>
      </c>
      <c r="I463" s="94">
        <f>IF(H463=0,"לא מטופל",IF(H463=1,"מטופל - סוכן אחד","מטופל - יותר מסוכן אחד"))</f>
        <v/>
      </c>
    </row>
    <row r="464" ht="15" customHeight="1" s="82">
      <c r="A464" s="94" t="inlineStr">
        <is>
          <t>ס. פארם</t>
        </is>
      </c>
      <c r="B464" s="94" t="inlineStr">
        <is>
          <t>BM ס.פ מרכז הנשיא רחובות</t>
        </is>
      </c>
      <c r="C464" s="111" t="n">
        <v>0</v>
      </c>
      <c r="D464" s="111" t="n">
        <v>0</v>
      </c>
      <c r="E464" s="111" t="n">
        <v>0</v>
      </c>
      <c r="F464" s="111" t="n">
        <v>0</v>
      </c>
      <c r="G464" s="111" t="n">
        <v>12988</v>
      </c>
      <c r="H464" s="94">
        <f>COUNTIF(C464:G464,"&lt;&gt;0")</f>
        <v/>
      </c>
      <c r="I464" s="94">
        <f>IF(H464=0,"לא מטופל",IF(H464=1,"מטופל - סוכן אחד","מטופל - יותר מסוכן אחד"))</f>
        <v/>
      </c>
    </row>
    <row r="465" ht="15" customHeight="1" s="82">
      <c r="A465" s="94" t="inlineStr">
        <is>
          <t>ס. פארם</t>
        </is>
      </c>
      <c r="B465" s="94" t="inlineStr">
        <is>
          <t>BM ס.פ אונו פארק</t>
        </is>
      </c>
      <c r="C465" s="111" t="n">
        <v>0</v>
      </c>
      <c r="D465" s="111" t="n">
        <v>0</v>
      </c>
      <c r="E465" s="111" t="n">
        <v>9100.299999999999</v>
      </c>
      <c r="F465" s="111" t="n">
        <v>0</v>
      </c>
      <c r="G465" s="111" t="n">
        <v>0</v>
      </c>
      <c r="H465" s="94">
        <f>COUNTIF(C465:G465,"&lt;&gt;0")</f>
        <v/>
      </c>
      <c r="I465" s="94">
        <f>IF(H465=0,"לא מטופל",IF(H465=1,"מטופל - סוכן אחד","מטופל - יותר מסוכן אחד"))</f>
        <v/>
      </c>
    </row>
    <row r="466" ht="15" customHeight="1" s="82">
      <c r="A466" s="94" t="inlineStr">
        <is>
          <t>ס. פארם</t>
        </is>
      </c>
      <c r="B466" s="94" t="inlineStr">
        <is>
          <t>BM ס.פ מגדל ספיר</t>
        </is>
      </c>
      <c r="C466" s="111" t="n">
        <v>0</v>
      </c>
      <c r="D466" s="111" t="n">
        <v>0</v>
      </c>
      <c r="E466" s="111" t="n">
        <v>18868.1</v>
      </c>
      <c r="F466" s="111" t="n">
        <v>0</v>
      </c>
      <c r="G466" s="111" t="n">
        <v>0</v>
      </c>
      <c r="H466" s="94">
        <f>COUNTIF(C466:G466,"&lt;&gt;0")</f>
        <v/>
      </c>
      <c r="I466" s="94">
        <f>IF(H466=0,"לא מטופל",IF(H466=1,"מטופל - סוכן אחד","מטופל - יותר מסוכן אחד"))</f>
        <v/>
      </c>
    </row>
    <row r="467" ht="15" customHeight="1" s="82">
      <c r="A467" s="94" t="inlineStr">
        <is>
          <t>ס. פארם</t>
        </is>
      </c>
      <c r="B467" s="94" t="inlineStr">
        <is>
          <t>BM ק. ים SEA ס.פ</t>
        </is>
      </c>
      <c r="C467" s="111" t="n">
        <v>0</v>
      </c>
      <c r="D467" s="111" t="n">
        <v>8083.7</v>
      </c>
      <c r="E467" s="111" t="n">
        <v>0</v>
      </c>
      <c r="F467" s="111" t="n">
        <v>0</v>
      </c>
      <c r="G467" s="111" t="n">
        <v>0</v>
      </c>
      <c r="H467" s="94">
        <f>COUNTIF(C467:G467,"&lt;&gt;0")</f>
        <v/>
      </c>
      <c r="I467" s="94">
        <f>IF(H467=0,"לא מטופל",IF(H467=1,"מטופל - סוכן אחד","מטופל - יותר מסוכן אחד"))</f>
        <v/>
      </c>
    </row>
    <row r="468" ht="15" customHeight="1" s="82">
      <c r="A468" s="94" t="inlineStr">
        <is>
          <t>ס. פארם</t>
        </is>
      </c>
      <c r="B468" s="94" t="inlineStr">
        <is>
          <t>BM ס.פ גבעת אלונים</t>
        </is>
      </c>
      <c r="C468" s="111" t="n">
        <v>0</v>
      </c>
      <c r="D468" s="111" t="n">
        <v>4798.9</v>
      </c>
      <c r="E468" s="111" t="n">
        <v>0</v>
      </c>
      <c r="F468" s="111" t="n">
        <v>0</v>
      </c>
      <c r="G468" s="111" t="n">
        <v>0</v>
      </c>
      <c r="H468" s="94">
        <f>COUNTIF(C468:G468,"&lt;&gt;0")</f>
        <v/>
      </c>
      <c r="I468" s="94">
        <f>IF(H468=0,"לא מטופל",IF(H468=1,"מטופל - סוכן אחד","מטופל - יותר מסוכן אחד"))</f>
        <v/>
      </c>
    </row>
    <row r="469" ht="15" customHeight="1" s="82">
      <c r="A469" s="94" t="inlineStr">
        <is>
          <t>ס. פארם</t>
        </is>
      </c>
      <c r="B469" s="94" t="inlineStr">
        <is>
          <t>BM ס.פ קרית היובל ירושלים</t>
        </is>
      </c>
      <c r="C469" s="111" t="n">
        <v>0</v>
      </c>
      <c r="D469" s="111" t="n">
        <v>0</v>
      </c>
      <c r="E469" s="111" t="n">
        <v>0</v>
      </c>
      <c r="F469" s="111" t="n">
        <v>0</v>
      </c>
      <c r="G469" s="111" t="n">
        <v>12606.8</v>
      </c>
      <c r="H469" s="94">
        <f>COUNTIF(C469:G469,"&lt;&gt;0")</f>
        <v/>
      </c>
      <c r="I469" s="94">
        <f>IF(H469=0,"לא מטופל",IF(H469=1,"מטופל - סוכן אחד","מטופל - יותר מסוכן אחד"))</f>
        <v/>
      </c>
    </row>
    <row r="470" ht="15" customHeight="1" s="82">
      <c r="A470" s="94" t="inlineStr">
        <is>
          <t>ס. פארם</t>
        </is>
      </c>
      <c r="B470" s="94" t="inlineStr">
        <is>
          <t>BM ס.פ אעבלין</t>
        </is>
      </c>
      <c r="C470" s="111" t="n">
        <v>0</v>
      </c>
      <c r="D470" s="111" t="n">
        <v>3939.3</v>
      </c>
      <c r="E470" s="111" t="n">
        <v>0</v>
      </c>
      <c r="F470" s="111" t="n">
        <v>0</v>
      </c>
      <c r="G470" s="111" t="n">
        <v>0</v>
      </c>
      <c r="H470" s="94">
        <f>COUNTIF(C470:G470,"&lt;&gt;0")</f>
        <v/>
      </c>
      <c r="I470" s="94">
        <f>IF(H470=0,"לא מטופל",IF(H470=1,"מטופל - סוכן אחד","מטופל - יותר מסוכן אחד"))</f>
        <v/>
      </c>
    </row>
    <row r="471" ht="15" customHeight="1" s="82">
      <c r="A471" s="94" t="inlineStr">
        <is>
          <t>ס. פארם</t>
        </is>
      </c>
      <c r="B471" s="94" t="inlineStr">
        <is>
          <t>BM ס.פ גאלרי ביג גלילות</t>
        </is>
      </c>
      <c r="C471" s="111" t="n">
        <v>36448.2</v>
      </c>
      <c r="D471" s="111" t="n">
        <v>0</v>
      </c>
      <c r="E471" s="111" t="n">
        <v>0</v>
      </c>
      <c r="F471" s="111" t="n">
        <v>0</v>
      </c>
      <c r="G471" s="111" t="n">
        <v>0</v>
      </c>
      <c r="H471" s="94">
        <f>COUNTIF(C471:G471,"&lt;&gt;0")</f>
        <v/>
      </c>
      <c r="I471" s="94">
        <f>IF(H471=0,"לא מטופל",IF(H471=1,"מטופל - סוכן אחד","מטופל - יותר מסוכן אחד"))</f>
        <v/>
      </c>
    </row>
    <row r="472" ht="15" customHeight="1" s="82">
      <c r="A472" s="94" t="inlineStr">
        <is>
          <t>ס. פארם</t>
        </is>
      </c>
      <c r="B472" s="94" t="inlineStr">
        <is>
          <t>BM ס.פ ביג כרמי גת</t>
        </is>
      </c>
      <c r="C472" s="111" t="n">
        <v>0</v>
      </c>
      <c r="D472" s="111" t="n">
        <v>0</v>
      </c>
      <c r="E472" s="111" t="n">
        <v>0</v>
      </c>
      <c r="F472" s="111" t="n">
        <v>0</v>
      </c>
      <c r="G472" s="111" t="n">
        <v>19470.7</v>
      </c>
      <c r="H472" s="94">
        <f>COUNTIF(C472:G472,"&lt;&gt;0")</f>
        <v/>
      </c>
      <c r="I472" s="94">
        <f>IF(H472=0,"לא מטופל",IF(H472=1,"מטופל - סוכן אחד","מטופל - יותר מסוכן אחד"))</f>
        <v/>
      </c>
    </row>
    <row r="473" ht="15" customHeight="1" s="82">
      <c r="A473" s="94" t="inlineStr">
        <is>
          <t>ס. פארם</t>
        </is>
      </c>
      <c r="B473" s="94" t="inlineStr">
        <is>
          <t>BM ס.פ בית חנינא</t>
        </is>
      </c>
      <c r="C473" s="111" t="n">
        <v>0</v>
      </c>
      <c r="D473" s="111" t="n">
        <v>0</v>
      </c>
      <c r="E473" s="111" t="n">
        <v>0</v>
      </c>
      <c r="F473" s="111" t="n">
        <v>0</v>
      </c>
      <c r="G473" s="111" t="n">
        <v>11540.6</v>
      </c>
      <c r="H473" s="94">
        <f>COUNTIF(C473:G473,"&lt;&gt;0")</f>
        <v/>
      </c>
      <c r="I473" s="94">
        <f>IF(H473=0,"לא מטופל",IF(H473=1,"מטופל - סוכן אחד","מטופל - יותר מסוכן אחד"))</f>
        <v/>
      </c>
    </row>
    <row r="474" ht="15" customHeight="1" s="82">
      <c r="A474" s="94" t="inlineStr">
        <is>
          <t>ס. פארם</t>
        </is>
      </c>
      <c r="B474" s="94" t="inlineStr">
        <is>
          <t>BM ס.פ פארק תעשיות עמק חפר</t>
        </is>
      </c>
      <c r="C474" s="111" t="n">
        <v>0</v>
      </c>
      <c r="D474" s="111" t="n">
        <v>5600.3</v>
      </c>
      <c r="E474" s="111" t="n">
        <v>0</v>
      </c>
      <c r="F474" s="111" t="n">
        <v>0</v>
      </c>
      <c r="G474" s="111" t="n">
        <v>0</v>
      </c>
      <c r="H474" s="94">
        <f>COUNTIF(C474:G474,"&lt;&gt;0")</f>
        <v/>
      </c>
      <c r="I474" s="94">
        <f>IF(H474=0,"לא מטופל",IF(H474=1,"מטופל - סוכן אחד","מטופל - יותר מסוכן אחד"))</f>
        <v/>
      </c>
    </row>
    <row r="475" ht="15" customHeight="1" s="82">
      <c r="A475" s="94" t="inlineStr">
        <is>
          <t>ס. פארם</t>
        </is>
      </c>
      <c r="B475" s="94" t="inlineStr">
        <is>
          <t>BM ס.פ צים רהט</t>
        </is>
      </c>
      <c r="C475" s="111" t="n">
        <v>0</v>
      </c>
      <c r="D475" s="111" t="n">
        <v>0</v>
      </c>
      <c r="E475" s="111" t="n">
        <v>10747.5</v>
      </c>
      <c r="F475" s="111" t="n">
        <v>0</v>
      </c>
      <c r="G475" s="111" t="n">
        <v>0</v>
      </c>
      <c r="H475" s="94">
        <f>COUNTIF(C475:G475,"&lt;&gt;0")</f>
        <v/>
      </c>
      <c r="I475" s="94">
        <f>IF(H475=0,"לא מטופל",IF(H475=1,"מטופל - סוכן אחד","מטופל - יותר מסוכן אחד"))</f>
        <v/>
      </c>
    </row>
    <row r="476" ht="15" customHeight="1" s="82">
      <c r="A476" s="94" t="inlineStr">
        <is>
          <t>ס. פארם</t>
        </is>
      </c>
      <c r="B476" s="94" t="inlineStr">
        <is>
          <t>BM ס.פ ביג גדרה</t>
        </is>
      </c>
      <c r="C476" s="111" t="n">
        <v>0</v>
      </c>
      <c r="D476" s="111" t="n">
        <v>0</v>
      </c>
      <c r="E476" s="111" t="n">
        <v>18942.1</v>
      </c>
      <c r="F476" s="111" t="n">
        <v>0</v>
      </c>
      <c r="G476" s="111" t="n">
        <v>0</v>
      </c>
      <c r="H476" s="94">
        <f>COUNTIF(C476:G476,"&lt;&gt;0")</f>
        <v/>
      </c>
      <c r="I476" s="94">
        <f>IF(H476=0,"לא מטופל",IF(H476=1,"מטופל - סוכן אחד","מטופל - יותר מסוכן אחד"))</f>
        <v/>
      </c>
    </row>
    <row r="477" ht="15" customHeight="1" s="82">
      <c r="A477" s="94" t="inlineStr">
        <is>
          <t>ס. פארם</t>
        </is>
      </c>
      <c r="B477" s="94" t="inlineStr">
        <is>
          <t>BM ס.פ ביג מגדל העמק</t>
        </is>
      </c>
      <c r="C477" s="111" t="n">
        <v>0</v>
      </c>
      <c r="D477" s="111" t="n">
        <v>9257.6</v>
      </c>
      <c r="E477" s="111" t="n">
        <v>0</v>
      </c>
      <c r="F477" s="111" t="n">
        <v>0</v>
      </c>
      <c r="G477" s="111" t="n">
        <v>0</v>
      </c>
      <c r="H477" s="94">
        <f>COUNTIF(C477:G477,"&lt;&gt;0")</f>
        <v/>
      </c>
      <c r="I477" s="94">
        <f>IF(H477=0,"לא מטופל",IF(H477=1,"מטופל - סוכן אחד","מטופל - יותר מסוכן אחד"))</f>
        <v/>
      </c>
    </row>
    <row r="478" ht="15" customHeight="1" s="82">
      <c r="A478" s="94" t="inlineStr">
        <is>
          <t>ס. פארם</t>
        </is>
      </c>
      <c r="B478" s="94" t="inlineStr">
        <is>
          <t>BM ס.פ אפקה קרית ביאליק</t>
        </is>
      </c>
      <c r="C478" s="111" t="n">
        <v>0</v>
      </c>
      <c r="D478" s="111" t="n">
        <v>4158.2</v>
      </c>
      <c r="E478" s="111" t="n">
        <v>0</v>
      </c>
      <c r="F478" s="111" t="n">
        <v>0</v>
      </c>
      <c r="G478" s="111" t="n">
        <v>0</v>
      </c>
      <c r="H478" s="94">
        <f>COUNTIF(C478:G478,"&lt;&gt;0")</f>
        <v/>
      </c>
      <c r="I478" s="94">
        <f>IF(H478=0,"לא מטופל",IF(H478=1,"מטופל - סוכן אחד","מטופל - יותר מסוכן אחד"))</f>
        <v/>
      </c>
    </row>
    <row r="479" ht="15" customHeight="1" s="82">
      <c r="A479" s="94" t="inlineStr">
        <is>
          <t>שופרסל BE</t>
        </is>
      </c>
      <c r="B479" s="94" t="inlineStr">
        <is>
          <t>623 סביונים BE</t>
        </is>
      </c>
      <c r="C479" s="111" t="n">
        <v>0</v>
      </c>
      <c r="D479" s="111" t="n">
        <v>0</v>
      </c>
      <c r="E479" s="111" t="n">
        <v>9817</v>
      </c>
      <c r="F479" s="111" t="n">
        <v>0</v>
      </c>
      <c r="G479" s="111" t="n">
        <v>0</v>
      </c>
      <c r="H479" s="94">
        <f>COUNTIF(C479:G479,"&lt;&gt;0")</f>
        <v/>
      </c>
      <c r="I479" s="94">
        <f>IF(H479=0,"לא מטופל",IF(H479=1,"מטופל - סוכן אחד","מטופל - יותר מסוכן אחד"))</f>
        <v/>
      </c>
    </row>
    <row r="480" ht="15" customHeight="1" s="82">
      <c r="A480" s="94" t="inlineStr">
        <is>
          <t>שופרסל BE</t>
        </is>
      </c>
      <c r="B480" s="94" t="inlineStr">
        <is>
          <t>645  גבעת שמואל BE</t>
        </is>
      </c>
      <c r="C480" s="111" t="n">
        <v>0</v>
      </c>
      <c r="D480" s="111" t="n">
        <v>0</v>
      </c>
      <c r="E480" s="111" t="n">
        <v>11351.7</v>
      </c>
      <c r="F480" s="111" t="n">
        <v>0</v>
      </c>
      <c r="G480" s="111" t="n">
        <v>0</v>
      </c>
      <c r="H480" s="94">
        <f>COUNTIF(C480:G480,"&lt;&gt;0")</f>
        <v/>
      </c>
      <c r="I480" s="94">
        <f>IF(H480=0,"לא מטופל",IF(H480=1,"מטופל - סוכן אחד","מטופל - יותר מסוכן אחד"))</f>
        <v/>
      </c>
    </row>
    <row r="481" ht="15" customHeight="1" s="82">
      <c r="A481" s="94" t="inlineStr">
        <is>
          <t>שופרסל BE</t>
        </is>
      </c>
      <c r="B481" s="94" t="inlineStr">
        <is>
          <t>גבעת שמואל זיכויים BE</t>
        </is>
      </c>
      <c r="C481" s="111" t="n">
        <v>0</v>
      </c>
      <c r="D481" s="111" t="n">
        <v>0</v>
      </c>
      <c r="E481" s="111" t="n">
        <v>-334.7</v>
      </c>
      <c r="F481" s="111" t="n">
        <v>0</v>
      </c>
      <c r="G481" s="111" t="n">
        <v>0</v>
      </c>
      <c r="H481" s="94">
        <f>COUNTIF(C481:G481,"&lt;&gt;0")</f>
        <v/>
      </c>
      <c r="I481" s="94">
        <f>IF(H481=0,"לא מטופל",IF(H481=1,"מטופל - סוכן אחד","מטופל - יותר מסוכן אחד"))</f>
        <v/>
      </c>
    </row>
    <row r="482" ht="15" customHeight="1" s="82">
      <c r="A482" s="94" t="inlineStr">
        <is>
          <t>שופרסל BE</t>
        </is>
      </c>
      <c r="B482" s="94" t="inlineStr">
        <is>
          <t>691 אשדוד מדיקל BE</t>
        </is>
      </c>
      <c r="C482" s="111" t="n">
        <v>0</v>
      </c>
      <c r="D482" s="111" t="n">
        <v>0</v>
      </c>
      <c r="E482" s="111" t="n">
        <v>0</v>
      </c>
      <c r="F482" s="111" t="n">
        <v>0</v>
      </c>
      <c r="G482" s="111" t="n">
        <v>7514.5</v>
      </c>
      <c r="H482" s="94">
        <f>COUNTIF(C482:G482,"&lt;&gt;0")</f>
        <v/>
      </c>
      <c r="I482" s="94">
        <f>IF(H482=0,"לא מטופל",IF(H482=1,"מטופל - סוכן אחד","מטופל - יותר מסוכן אחד"))</f>
        <v/>
      </c>
    </row>
    <row r="483" ht="15" customHeight="1" s="82">
      <c r="A483" s="94" t="inlineStr">
        <is>
          <t>שופרסל BE</t>
        </is>
      </c>
      <c r="B483" s="94" t="inlineStr">
        <is>
          <t>672 אשדוד הסיטי BE</t>
        </is>
      </c>
      <c r="C483" s="111" t="n">
        <v>0</v>
      </c>
      <c r="D483" s="111" t="n">
        <v>0</v>
      </c>
      <c r="E483" s="111" t="n">
        <v>0</v>
      </c>
      <c r="F483" s="111" t="n">
        <v>0</v>
      </c>
      <c r="G483" s="111" t="n">
        <v>7964.8</v>
      </c>
      <c r="H483" s="94">
        <f>COUNTIF(C483:G483,"&lt;&gt;0")</f>
        <v/>
      </c>
      <c r="I483" s="94">
        <f>IF(H483=0,"לא מטופל",IF(H483=1,"מטופל - סוכן אחד","מטופל - יותר מסוכן אחד"))</f>
        <v/>
      </c>
    </row>
    <row r="484" ht="15" customHeight="1" s="82">
      <c r="A484" s="94" t="inlineStr">
        <is>
          <t>שופרסל BE</t>
        </is>
      </c>
      <c r="B484" s="94" t="inlineStr">
        <is>
          <t>683  אשקלון דוידי BE</t>
        </is>
      </c>
      <c r="C484" s="111" t="n">
        <v>0</v>
      </c>
      <c r="D484" s="111" t="n">
        <v>0</v>
      </c>
      <c r="E484" s="111" t="n">
        <v>0</v>
      </c>
      <c r="F484" s="111" t="n">
        <v>0</v>
      </c>
      <c r="G484" s="111" t="n">
        <v>293.4</v>
      </c>
      <c r="H484" s="94">
        <f>COUNTIF(C484:G484,"&lt;&gt;0")</f>
        <v/>
      </c>
      <c r="I484" s="94">
        <f>IF(H484=0,"לא מטופל",IF(H484=1,"מטופל - סוכן אחד","מטופל - יותר מסוכן אחד"))</f>
        <v/>
      </c>
    </row>
    <row r="485" ht="15" customHeight="1" s="82">
      <c r="A485" s="94" t="inlineStr">
        <is>
          <t>שופרסל BE</t>
        </is>
      </c>
      <c r="B485" s="94" t="inlineStr">
        <is>
          <t>684 שדרות BE</t>
        </is>
      </c>
      <c r="C485" s="111" t="n">
        <v>0</v>
      </c>
      <c r="D485" s="111" t="n">
        <v>0</v>
      </c>
      <c r="E485" s="111" t="n">
        <v>0</v>
      </c>
      <c r="F485" s="111" t="n">
        <v>0</v>
      </c>
      <c r="G485" s="111" t="n">
        <v>15241.6</v>
      </c>
      <c r="H485" s="94">
        <f>COUNTIF(C485:G485,"&lt;&gt;0")</f>
        <v/>
      </c>
      <c r="I485" s="94">
        <f>IF(H485=0,"לא מטופל",IF(H485=1,"מטופל - סוכן אחד","מטופל - יותר מסוכן אחד"))</f>
        <v/>
      </c>
    </row>
    <row r="486" ht="15" customHeight="1" s="82">
      <c r="A486" s="94" t="inlineStr">
        <is>
          <t>שופרסל BE</t>
        </is>
      </c>
      <c r="B486" s="94" t="inlineStr">
        <is>
          <t>634  בת ים BE</t>
        </is>
      </c>
      <c r="C486" s="111" t="n">
        <v>0</v>
      </c>
      <c r="D486" s="111" t="n">
        <v>0</v>
      </c>
      <c r="E486" s="111" t="n">
        <v>9671.700000000001</v>
      </c>
      <c r="F486" s="111" t="n">
        <v>0</v>
      </c>
      <c r="G486" s="111" t="n">
        <v>0</v>
      </c>
      <c r="H486" s="94">
        <f>COUNTIF(C486:G486,"&lt;&gt;0")</f>
        <v/>
      </c>
      <c r="I486" s="94">
        <f>IF(H486=0,"לא מטופל",IF(H486=1,"מטופל - סוכן אחד","מטופל - יותר מסוכן אחד"))</f>
        <v/>
      </c>
    </row>
    <row r="487" ht="15" customHeight="1" s="82">
      <c r="A487" s="94" t="inlineStr">
        <is>
          <t>שופרסל BE</t>
        </is>
      </c>
      <c r="B487" s="94" t="inlineStr">
        <is>
          <t>631 וולפסון חולון BE</t>
        </is>
      </c>
      <c r="C487" s="111" t="n">
        <v>0</v>
      </c>
      <c r="D487" s="111" t="n">
        <v>0</v>
      </c>
      <c r="E487" s="111" t="n">
        <v>13927.8</v>
      </c>
      <c r="F487" s="111" t="n">
        <v>0</v>
      </c>
      <c r="G487" s="111" t="n">
        <v>0</v>
      </c>
      <c r="H487" s="94">
        <f>COUNTIF(C487:G487,"&lt;&gt;0")</f>
        <v/>
      </c>
      <c r="I487" s="94">
        <f>IF(H487=0,"לא מטופל",IF(H487=1,"מטופל - סוכן אחד","מטופל - יותר מסוכן אחד"))</f>
        <v/>
      </c>
    </row>
    <row r="488" ht="15" customHeight="1" s="82">
      <c r="A488" s="94" t="inlineStr">
        <is>
          <t>שופרסל BE</t>
        </is>
      </c>
      <c r="B488" s="94" t="inlineStr">
        <is>
          <t>675 שרונים BE</t>
        </is>
      </c>
      <c r="C488" s="111" t="n">
        <v>10181.8</v>
      </c>
      <c r="D488" s="111" t="n">
        <v>0</v>
      </c>
      <c r="E488" s="111" t="n">
        <v>0</v>
      </c>
      <c r="F488" s="111" t="n">
        <v>0</v>
      </c>
      <c r="G488" s="111" t="n">
        <v>0</v>
      </c>
      <c r="H488" s="94">
        <f>COUNTIF(C488:G488,"&lt;&gt;0")</f>
        <v/>
      </c>
      <c r="I488" s="94">
        <f>IF(H488=0,"לא מטופל",IF(H488=1,"מטופל - סוכן אחד","מטופל - יותר מסוכן אחד"))</f>
        <v/>
      </c>
    </row>
    <row r="489" ht="15" customHeight="1" s="82">
      <c r="A489" s="94" t="inlineStr">
        <is>
          <t>שופרסל BE</t>
        </is>
      </c>
      <c r="B489" s="94" t="inlineStr">
        <is>
          <t>615 פארם כפר סבא BE</t>
        </is>
      </c>
      <c r="C489" s="111" t="n">
        <v>16926.9</v>
      </c>
      <c r="D489" s="111" t="n">
        <v>0</v>
      </c>
      <c r="E489" s="111" t="n">
        <v>0</v>
      </c>
      <c r="F489" s="111" t="n">
        <v>0</v>
      </c>
      <c r="G489" s="111" t="n">
        <v>0</v>
      </c>
      <c r="H489" s="94">
        <f>COUNTIF(C489:G489,"&lt;&gt;0")</f>
        <v/>
      </c>
      <c r="I489" s="94">
        <f>IF(H489=0,"לא מטופל",IF(H489=1,"מטופל - סוכן אחד","מטופל - יותר מסוכן אחד"))</f>
        <v/>
      </c>
    </row>
    <row r="490" ht="15" customHeight="1" s="82">
      <c r="A490" s="94" t="inlineStr">
        <is>
          <t>שופרסל BE</t>
        </is>
      </c>
      <c r="B490" s="94" t="inlineStr">
        <is>
          <t>648 מאיר כ""ס BE</t>
        </is>
      </c>
      <c r="C490" s="111" t="n">
        <v>11646.7</v>
      </c>
      <c r="D490" s="111" t="n">
        <v>0</v>
      </c>
      <c r="E490" s="111" t="n">
        <v>0</v>
      </c>
      <c r="F490" s="111" t="n">
        <v>0</v>
      </c>
      <c r="G490" s="111" t="n">
        <v>0</v>
      </c>
      <c r="H490" s="94">
        <f>COUNTIF(C490:G490,"&lt;&gt;0")</f>
        <v/>
      </c>
      <c r="I490" s="94">
        <f>IF(H490=0,"לא מטופל",IF(H490=1,"מטופל - סוכן אחד","מטופל - יותר מסוכן אחד"))</f>
        <v/>
      </c>
    </row>
    <row r="491" ht="15" customHeight="1" s="82">
      <c r="A491" s="94" t="inlineStr">
        <is>
          <t>שופרסל BE</t>
        </is>
      </c>
      <c r="B491" s="94" t="inlineStr">
        <is>
          <t>682  פארם כ""ס צפון ירוקה BE</t>
        </is>
      </c>
      <c r="C491" s="111" t="n">
        <v>3796.3</v>
      </c>
      <c r="D491" s="111" t="n">
        <v>0</v>
      </c>
      <c r="E491" s="111" t="n">
        <v>0</v>
      </c>
      <c r="F491" s="111" t="n">
        <v>0</v>
      </c>
      <c r="G491" s="111" t="n">
        <v>0</v>
      </c>
      <c r="H491" s="94">
        <f>COUNTIF(C491:G491,"&lt;&gt;0")</f>
        <v/>
      </c>
      <c r="I491" s="94">
        <f>IF(H491=0,"לא מטופל",IF(H491=1,"מטופל - סוכן אחד","מטופל - יותר מסוכן אחד"))</f>
        <v/>
      </c>
    </row>
    <row r="492" ht="15" customHeight="1" s="82">
      <c r="A492" s="94" t="inlineStr">
        <is>
          <t>שופרסל BE</t>
        </is>
      </c>
      <c r="B492" s="94" t="inlineStr">
        <is>
          <t>637  פארם רעננה BE</t>
        </is>
      </c>
      <c r="C492" s="111" t="n">
        <v>11965.2</v>
      </c>
      <c r="D492" s="111" t="n">
        <v>0</v>
      </c>
      <c r="E492" s="111" t="n">
        <v>0</v>
      </c>
      <c r="F492" s="111" t="n">
        <v>0</v>
      </c>
      <c r="G492" s="111" t="n">
        <v>0</v>
      </c>
      <c r="H492" s="94">
        <f>COUNTIF(C492:G492,"&lt;&gt;0")</f>
        <v/>
      </c>
      <c r="I492" s="94">
        <f>IF(H492=0,"לא מטופל",IF(H492=1,"מטופל - סוכן אחד","מטופל - יותר מסוכן אחד"))</f>
        <v/>
      </c>
    </row>
    <row r="493" ht="15" customHeight="1" s="82">
      <c r="A493" s="94" t="inlineStr">
        <is>
          <t>שופרסל BE</t>
        </is>
      </c>
      <c r="B493" s="94" t="inlineStr">
        <is>
          <t>652 מודיעין מוריה BE</t>
        </is>
      </c>
      <c r="C493" s="111" t="n">
        <v>0</v>
      </c>
      <c r="D493" s="111" t="n">
        <v>0</v>
      </c>
      <c r="E493" s="111" t="n">
        <v>0</v>
      </c>
      <c r="F493" s="111" t="n">
        <v>0</v>
      </c>
      <c r="G493" s="111" t="n">
        <v>12258.3</v>
      </c>
      <c r="H493" s="94">
        <f>COUNTIF(C493:G493,"&lt;&gt;0")</f>
        <v/>
      </c>
      <c r="I493" s="94">
        <f>IF(H493=0,"לא מטופל",IF(H493=1,"מטופל - סוכן אחד","מטופל - יותר מסוכן אחד"))</f>
        <v/>
      </c>
    </row>
    <row r="494" ht="15" customHeight="1" s="82">
      <c r="A494" s="94" t="inlineStr">
        <is>
          <t>שופרסל BE</t>
        </is>
      </c>
      <c r="B494" s="94" t="inlineStr">
        <is>
          <t>681  פארם שוהם BE</t>
        </is>
      </c>
      <c r="C494" s="111" t="n">
        <v>0</v>
      </c>
      <c r="D494" s="111" t="n">
        <v>0</v>
      </c>
      <c r="E494" s="111" t="n">
        <v>8790</v>
      </c>
      <c r="F494" s="111" t="n">
        <v>0</v>
      </c>
      <c r="G494" s="111" t="n">
        <v>0</v>
      </c>
      <c r="H494" s="94">
        <f>COUNTIF(C494:G494,"&lt;&gt;0")</f>
        <v/>
      </c>
      <c r="I494" s="94">
        <f>IF(H494=0,"לא מטופל",IF(H494=1,"מטופל - סוכן אחד","מטופל - יותר מסוכן אחד"))</f>
        <v/>
      </c>
    </row>
    <row r="495" ht="15" customHeight="1" s="82">
      <c r="A495" s="94" t="inlineStr">
        <is>
          <t>שופרסל BE</t>
        </is>
      </c>
      <c r="B495" s="94" t="inlineStr">
        <is>
          <t>668  קרית השרון נתניה BE</t>
        </is>
      </c>
      <c r="C495" s="111" t="n">
        <v>8687.299999999999</v>
      </c>
      <c r="D495" s="111" t="n">
        <v>0</v>
      </c>
      <c r="E495" s="111" t="n">
        <v>0</v>
      </c>
      <c r="F495" s="111" t="n">
        <v>0</v>
      </c>
      <c r="G495" s="111" t="n">
        <v>0</v>
      </c>
      <c r="H495" s="94">
        <f>COUNTIF(C495:G495,"&lt;&gt;0")</f>
        <v/>
      </c>
      <c r="I495" s="94">
        <f>IF(H495=0,"לא מטופל",IF(H495=1,"מטופל - סוכן אחד","מטופל - יותר מסוכן אחד"))</f>
        <v/>
      </c>
    </row>
    <row r="496" ht="15" customHeight="1" s="82">
      <c r="A496" s="94" t="inlineStr">
        <is>
          <t>שופרסל BE</t>
        </is>
      </c>
      <c r="B496" s="94" t="inlineStr">
        <is>
          <t>651 דרורים BE</t>
        </is>
      </c>
      <c r="C496" s="111" t="n">
        <v>13396.1</v>
      </c>
      <c r="D496" s="111" t="n">
        <v>0</v>
      </c>
      <c r="E496" s="111" t="n">
        <v>0</v>
      </c>
      <c r="F496" s="111" t="n">
        <v>0</v>
      </c>
      <c r="G496" s="111" t="n">
        <v>0</v>
      </c>
      <c r="H496" s="94">
        <f>COUNTIF(C496:G496,"&lt;&gt;0")</f>
        <v/>
      </c>
      <c r="I496" s="94">
        <f>IF(H496=0,"לא מטופל",IF(H496=1,"מטופל - סוכן אחד","מטופל - יותר מסוכן אחד"))</f>
        <v/>
      </c>
    </row>
    <row r="497" ht="15" customHeight="1" s="82">
      <c r="A497" s="94" t="inlineStr">
        <is>
          <t>שופרסל BE</t>
        </is>
      </c>
      <c r="B497" s="94" t="inlineStr">
        <is>
          <t>614 פארם נתניה BE</t>
        </is>
      </c>
      <c r="C497" s="111" t="n">
        <v>9819.4</v>
      </c>
      <c r="D497" s="111" t="n">
        <v>0</v>
      </c>
      <c r="E497" s="111" t="n">
        <v>0</v>
      </c>
      <c r="F497" s="111" t="n">
        <v>0</v>
      </c>
      <c r="G497" s="111" t="n">
        <v>0</v>
      </c>
      <c r="H497" s="94">
        <f>COUNTIF(C497:G497,"&lt;&gt;0")</f>
        <v/>
      </c>
      <c r="I497" s="94">
        <f>IF(H497=0,"לא מטופל",IF(H497=1,"מטופל - סוכן אחד","מטופל - יותר מסוכן אחד"))</f>
        <v/>
      </c>
    </row>
    <row r="498" ht="15" customHeight="1" s="82">
      <c r="A498" s="94" t="inlineStr">
        <is>
          <t>שופרסל BE</t>
        </is>
      </c>
      <c r="B498" s="94" t="inlineStr">
        <is>
          <t>643 פ""ת סירקין BE</t>
        </is>
      </c>
      <c r="C498" s="111" t="n">
        <v>0</v>
      </c>
      <c r="D498" s="111" t="n">
        <v>0</v>
      </c>
      <c r="E498" s="111" t="n">
        <v>5313</v>
      </c>
      <c r="F498" s="111" t="n">
        <v>0</v>
      </c>
      <c r="G498" s="111" t="n">
        <v>0</v>
      </c>
      <c r="H498" s="94">
        <f>COUNTIF(C498:G498,"&lt;&gt;0")</f>
        <v/>
      </c>
      <c r="I498" s="94">
        <f>IF(H498=0,"לא מטופל",IF(H498=1,"מטופל - סוכן אחד","מטופל - יותר מסוכן אחד"))</f>
        <v/>
      </c>
    </row>
    <row r="499" ht="15" customHeight="1" s="82">
      <c r="A499" s="94" t="inlineStr">
        <is>
          <t>שופרסל BE</t>
        </is>
      </c>
      <c r="B499" s="94" t="inlineStr">
        <is>
          <t>654 אם המושבות BE</t>
        </is>
      </c>
      <c r="C499" s="111" t="n">
        <v>0</v>
      </c>
      <c r="D499" s="111" t="n">
        <v>0</v>
      </c>
      <c r="E499" s="111" t="n">
        <v>3963.3</v>
      </c>
      <c r="F499" s="111" t="n">
        <v>0</v>
      </c>
      <c r="G499" s="111" t="n">
        <v>0</v>
      </c>
      <c r="H499" s="94">
        <f>COUNTIF(C499:G499,"&lt;&gt;0")</f>
        <v/>
      </c>
      <c r="I499" s="94">
        <f>IF(H499=0,"לא מטופל",IF(H499=1,"מטופל - סוכן אחד","מטופל - יותר מסוכן אחד"))</f>
        <v/>
      </c>
    </row>
    <row r="500" ht="15" customHeight="1" s="82">
      <c r="A500" s="94" t="inlineStr">
        <is>
          <t>שופרסל BE</t>
        </is>
      </c>
      <c r="B500" s="94" t="inlineStr">
        <is>
          <t>688 מדיקל בלינסון BE</t>
        </is>
      </c>
      <c r="C500" s="111" t="n">
        <v>0</v>
      </c>
      <c r="D500" s="111" t="n">
        <v>0</v>
      </c>
      <c r="E500" s="111" t="n">
        <v>31592.4</v>
      </c>
      <c r="F500" s="111" t="n">
        <v>0</v>
      </c>
      <c r="G500" s="111" t="n">
        <v>0</v>
      </c>
      <c r="H500" s="94">
        <f>COUNTIF(C500:G500,"&lt;&gt;0")</f>
        <v/>
      </c>
      <c r="I500" s="94">
        <f>IF(H500=0,"לא מטופל",IF(H500=1,"מטופל - סוכן אחד","מטופל - יותר מסוכן אחד"))</f>
        <v/>
      </c>
    </row>
    <row r="501" ht="15" customHeight="1" s="82">
      <c r="A501" s="94" t="inlineStr">
        <is>
          <t>שופרסל BE</t>
        </is>
      </c>
      <c r="B501" s="94" t="inlineStr">
        <is>
          <t>639  אריאל BE</t>
        </is>
      </c>
      <c r="C501" s="111" t="n">
        <v>0</v>
      </c>
      <c r="D501" s="111" t="n">
        <v>0</v>
      </c>
      <c r="E501" s="111" t="n">
        <v>10333.9</v>
      </c>
      <c r="F501" s="111" t="n">
        <v>0</v>
      </c>
      <c r="G501" s="111" t="n">
        <v>0</v>
      </c>
      <c r="H501" s="94">
        <f>COUNTIF(C501:G501,"&lt;&gt;0")</f>
        <v/>
      </c>
      <c r="I501" s="94">
        <f>IF(H501=0,"לא מטופל",IF(H501=1,"מטופל - סוכן אחד","מטופל - יותר מסוכן אחד"))</f>
        <v/>
      </c>
    </row>
    <row r="502" ht="15" customHeight="1" s="82">
      <c r="A502" s="94" t="inlineStr">
        <is>
          <t>שופרסל BE</t>
        </is>
      </c>
      <c r="B502" s="94" t="inlineStr">
        <is>
          <t>696 מדיקל אלעד BE</t>
        </is>
      </c>
      <c r="C502" s="111" t="n">
        <v>0</v>
      </c>
      <c r="D502" s="111" t="n">
        <v>0</v>
      </c>
      <c r="E502" s="111" t="n">
        <v>5064.6</v>
      </c>
      <c r="F502" s="111" t="n">
        <v>0</v>
      </c>
      <c r="G502" s="111" t="n">
        <v>0</v>
      </c>
      <c r="H502" s="94">
        <f>COUNTIF(C502:G502,"&lt;&gt;0")</f>
        <v/>
      </c>
      <c r="I502" s="94">
        <f>IF(H502=0,"לא מטופל",IF(H502=1,"מטופל - סוכן אחד","מטופל - יותר מסוכן אחד"))</f>
        <v/>
      </c>
    </row>
    <row r="503" ht="15" customHeight="1" s="82">
      <c r="A503" s="94" t="inlineStr">
        <is>
          <t>שופרסל BE</t>
        </is>
      </c>
      <c r="B503" s="94" t="inlineStr">
        <is>
          <t>655 רחובות מזרח BE</t>
        </is>
      </c>
      <c r="C503" s="111" t="n">
        <v>0</v>
      </c>
      <c r="D503" s="111" t="n">
        <v>0</v>
      </c>
      <c r="E503" s="111" t="n">
        <v>0</v>
      </c>
      <c r="F503" s="111" t="n">
        <v>0</v>
      </c>
      <c r="G503" s="111" t="n">
        <v>10444.5</v>
      </c>
      <c r="H503" s="94">
        <f>COUNTIF(C503:G503,"&lt;&gt;0")</f>
        <v/>
      </c>
      <c r="I503" s="94">
        <f>IF(H503=0,"לא מטופל",IF(H503=1,"מטופל - סוכן אחד","מטופל - יותר מסוכן אחד"))</f>
        <v/>
      </c>
    </row>
    <row r="504" ht="15" customHeight="1" s="82">
      <c r="A504" s="94" t="inlineStr">
        <is>
          <t>שופרסל BE</t>
        </is>
      </c>
      <c r="B504" s="94" t="inlineStr">
        <is>
          <t>618 ראשל""צ BE</t>
        </is>
      </c>
      <c r="C504" s="111" t="n">
        <v>13916.6</v>
      </c>
      <c r="D504" s="111" t="n">
        <v>0</v>
      </c>
      <c r="E504" s="111" t="n">
        <v>0</v>
      </c>
      <c r="F504" s="111" t="n">
        <v>0</v>
      </c>
      <c r="G504" s="111" t="n">
        <v>0</v>
      </c>
      <c r="H504" s="94">
        <f>COUNTIF(C504:G504,"&lt;&gt;0")</f>
        <v/>
      </c>
      <c r="I504" s="94">
        <f>IF(H504=0,"לא מטופל",IF(H504=1,"מטופל - סוכן אחד","מטופל - יותר מסוכן אחד"))</f>
        <v/>
      </c>
    </row>
    <row r="505" ht="15" customHeight="1" s="82">
      <c r="A505" s="94" t="inlineStr">
        <is>
          <t>שופרסל BE</t>
        </is>
      </c>
      <c r="B505" s="94" t="inlineStr">
        <is>
          <t>674 תל ברוך BE</t>
        </is>
      </c>
      <c r="C505" s="111" t="n">
        <v>5904.6</v>
      </c>
      <c r="D505" s="111" t="n">
        <v>0</v>
      </c>
      <c r="E505" s="111" t="n">
        <v>0</v>
      </c>
      <c r="F505" s="111" t="n">
        <v>0</v>
      </c>
      <c r="G505" s="111" t="n">
        <v>0</v>
      </c>
      <c r="H505" s="94">
        <f>COUNTIF(C505:G505,"&lt;&gt;0")</f>
        <v/>
      </c>
      <c r="I505" s="94">
        <f>IF(H505=0,"לא מטופל",IF(H505=1,"מטופל - סוכן אחד","מטופל - יותר מסוכן אחד"))</f>
        <v/>
      </c>
    </row>
    <row r="506" ht="15" customHeight="1" s="82">
      <c r="A506" s="94" t="inlineStr">
        <is>
          <t>שופרסל BE</t>
        </is>
      </c>
      <c r="B506" s="94" t="inlineStr">
        <is>
          <t>695 אסותא רמת החייל BE</t>
        </is>
      </c>
      <c r="C506" s="111" t="n">
        <v>346.9</v>
      </c>
      <c r="D506" s="111" t="n">
        <v>0</v>
      </c>
      <c r="E506" s="111" t="n">
        <v>0</v>
      </c>
      <c r="F506" s="111" t="n">
        <v>0</v>
      </c>
      <c r="G506" s="111" t="n">
        <v>0</v>
      </c>
      <c r="H506" s="94">
        <f>COUNTIF(C506:G506,"&lt;&gt;0")</f>
        <v/>
      </c>
      <c r="I506" s="94">
        <f>IF(H506=0,"לא מטופל",IF(H506=1,"מטופל - סוכן אחד","מטופל - יותר מסוכן אחד"))</f>
        <v/>
      </c>
    </row>
    <row r="507" ht="15" customHeight="1" s="82">
      <c r="A507" s="94" t="inlineStr">
        <is>
          <t>שופרסל BE</t>
        </is>
      </c>
      <c r="B507" s="94" t="inlineStr">
        <is>
          <t>677 הרצליה BE</t>
        </is>
      </c>
      <c r="C507" s="111" t="n">
        <v>24763.2</v>
      </c>
      <c r="D507" s="111" t="n">
        <v>0</v>
      </c>
      <c r="E507" s="111" t="n">
        <v>0</v>
      </c>
      <c r="F507" s="111" t="n">
        <v>0</v>
      </c>
      <c r="G507" s="111" t="n">
        <v>0</v>
      </c>
      <c r="H507" s="94">
        <f>COUNTIF(C507:G507,"&lt;&gt;0")</f>
        <v/>
      </c>
      <c r="I507" s="94">
        <f>IF(H507=0,"לא מטופל",IF(H507=1,"מטופל - סוכן אחד","מטופל - יותר מסוכן אחד"))</f>
        <v/>
      </c>
    </row>
    <row r="508" ht="15" customHeight="1" s="82">
      <c r="A508" s="94" t="inlineStr">
        <is>
          <t>שופרסל BE</t>
        </is>
      </c>
      <c r="B508" s="94" t="inlineStr">
        <is>
          <t>660  רמת השרון BE</t>
        </is>
      </c>
      <c r="C508" s="111" t="n">
        <v>9844.5</v>
      </c>
      <c r="D508" s="111" t="n">
        <v>0</v>
      </c>
      <c r="E508" s="111" t="n">
        <v>0</v>
      </c>
      <c r="F508" s="111" t="n">
        <v>0</v>
      </c>
      <c r="G508" s="111" t="n">
        <v>0</v>
      </c>
      <c r="H508" s="94">
        <f>COUNTIF(C508:G508,"&lt;&gt;0")</f>
        <v/>
      </c>
      <c r="I508" s="94">
        <f>IF(H508=0,"לא מטופל",IF(H508=1,"מטופל - סוכן אחד","מטופל - יותר מסוכן אחד"))</f>
        <v/>
      </c>
    </row>
    <row r="509" ht="15" customHeight="1" s="82">
      <c r="A509" s="94" t="inlineStr">
        <is>
          <t>שופרסל BE</t>
        </is>
      </c>
      <c r="B509" s="94" t="inlineStr">
        <is>
          <t>653 בני ברק BE</t>
        </is>
      </c>
      <c r="C509" s="111" t="n">
        <v>5686.8</v>
      </c>
      <c r="D509" s="111" t="n">
        <v>0</v>
      </c>
      <c r="E509" s="111" t="n">
        <v>0</v>
      </c>
      <c r="F509" s="111" t="n">
        <v>0</v>
      </c>
      <c r="G509" s="111" t="n">
        <v>0</v>
      </c>
      <c r="H509" s="94">
        <f>COUNTIF(C509:G509,"&lt;&gt;0")</f>
        <v/>
      </c>
      <c r="I509" s="94">
        <f>IF(H509=0,"לא מטופל",IF(H509=1,"מטופל - סוכן אחד","מטופל - יותר מסוכן אחד"))</f>
        <v/>
      </c>
    </row>
    <row r="510" ht="15" customHeight="1" s="82">
      <c r="A510" s="94" t="inlineStr">
        <is>
          <t>שופרסל BE</t>
        </is>
      </c>
      <c r="B510" s="94" t="inlineStr">
        <is>
          <t>641  גבעתיים BE</t>
        </is>
      </c>
      <c r="C510" s="111" t="n">
        <v>0</v>
      </c>
      <c r="D510" s="111" t="n">
        <v>0</v>
      </c>
      <c r="E510" s="111" t="n">
        <v>7485.3</v>
      </c>
      <c r="F510" s="111" t="n">
        <v>0</v>
      </c>
      <c r="G510" s="111" t="n">
        <v>0</v>
      </c>
      <c r="H510" s="94">
        <f>COUNTIF(C510:G510,"&lt;&gt;0")</f>
        <v/>
      </c>
      <c r="I510" s="94">
        <f>IF(H510=0,"לא מטופל",IF(H510=1,"מטופל - סוכן אחד","מטופל - יותר מסוכן אחד"))</f>
        <v/>
      </c>
    </row>
    <row r="511" ht="15" customHeight="1" s="82">
      <c r="A511" s="94" t="inlineStr">
        <is>
          <t>שופרסל BE</t>
        </is>
      </c>
      <c r="B511" s="94" t="inlineStr">
        <is>
          <t>670 איכילוב BE</t>
        </is>
      </c>
      <c r="C511" s="111" t="n">
        <v>11551</v>
      </c>
      <c r="D511" s="111" t="n">
        <v>0</v>
      </c>
      <c r="E511" s="111" t="n">
        <v>0</v>
      </c>
      <c r="F511" s="111" t="n">
        <v>0</v>
      </c>
      <c r="G511" s="111" t="n">
        <v>0</v>
      </c>
      <c r="H511" s="94">
        <f>COUNTIF(C511:G511,"&lt;&gt;0")</f>
        <v/>
      </c>
      <c r="I511" s="94">
        <f>IF(H511=0,"לא מטופל",IF(H511=1,"מטופל - סוכן אחד","מטופל - יותר מסוכן אחד"))</f>
        <v/>
      </c>
    </row>
    <row r="512" ht="15" customHeight="1" s="82">
      <c r="A512" s="94" t="inlineStr">
        <is>
          <t>שופרסל BE</t>
        </is>
      </c>
      <c r="B512" s="94" t="inlineStr">
        <is>
          <t>656 בן יהודה ת""א BE</t>
        </is>
      </c>
      <c r="C512" s="111" t="n">
        <v>989</v>
      </c>
      <c r="D512" s="111" t="n">
        <v>0</v>
      </c>
      <c r="E512" s="111" t="n">
        <v>0</v>
      </c>
      <c r="F512" s="111" t="n">
        <v>0</v>
      </c>
      <c r="G512" s="111" t="n">
        <v>0</v>
      </c>
      <c r="H512" s="94">
        <f>COUNTIF(C512:G512,"&lt;&gt;0")</f>
        <v/>
      </c>
      <c r="I512" s="94">
        <f>IF(H512=0,"לא מטופל",IF(H512=1,"מטופל - סוכן אחד","מטופל - יותר מסוכן אחד"))</f>
        <v/>
      </c>
    </row>
    <row r="513" ht="15" customHeight="1" s="82">
      <c r="A513" s="94" t="inlineStr">
        <is>
          <t>שופרסל BE</t>
        </is>
      </c>
      <c r="B513" s="94" t="inlineStr">
        <is>
          <t>685 אזורי חן BE</t>
        </is>
      </c>
      <c r="C513" s="111" t="n">
        <v>3844</v>
      </c>
      <c r="D513" s="111" t="n">
        <v>0</v>
      </c>
      <c r="E513" s="111" t="n">
        <v>0</v>
      </c>
      <c r="F513" s="111" t="n">
        <v>0</v>
      </c>
      <c r="G513" s="111" t="n">
        <v>0</v>
      </c>
      <c r="H513" s="94">
        <f>COUNTIF(C513:G513,"&lt;&gt;0")</f>
        <v/>
      </c>
      <c r="I513" s="94">
        <f>IF(H513=0,"לא מטופל",IF(H513=1,"מטופל - סוכן אחד","מטופל - יותר מסוכן אחד"))</f>
        <v/>
      </c>
    </row>
    <row r="514" ht="15" customHeight="1" s="82">
      <c r="A514" s="94" t="inlineStr">
        <is>
          <t>שופרסל BE</t>
        </is>
      </c>
      <c r="B514" s="94" t="inlineStr">
        <is>
          <t>650 חיפה BE</t>
        </is>
      </c>
      <c r="C514" s="111" t="n">
        <v>0</v>
      </c>
      <c r="D514" s="111" t="n">
        <v>28416</v>
      </c>
      <c r="E514" s="111" t="n">
        <v>0</v>
      </c>
      <c r="F514" s="111" t="n">
        <v>0</v>
      </c>
      <c r="G514" s="111" t="n">
        <v>0</v>
      </c>
      <c r="H514" s="94">
        <f>COUNTIF(C514:G514,"&lt;&gt;0")</f>
        <v/>
      </c>
      <c r="I514" s="94">
        <f>IF(H514=0,"לא מטופל",IF(H514=1,"מטופל - סוכן אחד","מטופל - יותר מסוכן אחד"))</f>
        <v/>
      </c>
    </row>
    <row r="515" ht="15" customHeight="1" s="82">
      <c r="A515" s="94" t="inlineStr">
        <is>
          <t>שופרסל BE</t>
        </is>
      </c>
      <c r="B515" s="94" t="inlineStr">
        <is>
          <t>659 פארם הדר חיפה BE</t>
        </is>
      </c>
      <c r="C515" s="111" t="n">
        <v>0</v>
      </c>
      <c r="D515" s="111" t="n">
        <v>2890.5</v>
      </c>
      <c r="E515" s="111" t="n">
        <v>0</v>
      </c>
      <c r="F515" s="111" t="n">
        <v>0</v>
      </c>
      <c r="G515" s="111" t="n">
        <v>0</v>
      </c>
      <c r="H515" s="94">
        <f>COUNTIF(C515:G515,"&lt;&gt;0")</f>
        <v/>
      </c>
      <c r="I515" s="94">
        <f>IF(H515=0,"לא מטופל",IF(H515=1,"מטופל - סוכן אחד","מטופל - יותר מסוכן אחד"))</f>
        <v/>
      </c>
    </row>
    <row r="516" ht="15" customHeight="1" s="82">
      <c r="A516" s="94" t="inlineStr">
        <is>
          <t>שופרסל BE</t>
        </is>
      </c>
      <c r="B516" s="94" t="inlineStr">
        <is>
          <t>633 תל חנן נשר BE</t>
        </is>
      </c>
      <c r="C516" s="111" t="n">
        <v>0</v>
      </c>
      <c r="D516" s="111" t="n">
        <v>6343.5</v>
      </c>
      <c r="E516" s="111" t="n">
        <v>0</v>
      </c>
      <c r="F516" s="111" t="n">
        <v>0</v>
      </c>
      <c r="G516" s="111" t="n">
        <v>0</v>
      </c>
      <c r="H516" s="94">
        <f>COUNTIF(C516:G516,"&lt;&gt;0")</f>
        <v/>
      </c>
      <c r="I516" s="94">
        <f>IF(H516=0,"לא מטופל",IF(H516=1,"מטופל - סוכן אחד","מטופל - יותר מסוכן אחד"))</f>
        <v/>
      </c>
    </row>
    <row r="517" ht="15" customHeight="1" s="82">
      <c r="A517" s="94" t="inlineStr">
        <is>
          <t>שופרסל BE</t>
        </is>
      </c>
      <c r="B517" s="94" t="inlineStr">
        <is>
          <t>638 משמר השרון BE</t>
        </is>
      </c>
      <c r="C517" s="111" t="n">
        <v>0</v>
      </c>
      <c r="D517" s="111" t="n">
        <v>27282.9</v>
      </c>
      <c r="E517" s="111" t="n">
        <v>0</v>
      </c>
      <c r="F517" s="111" t="n">
        <v>0</v>
      </c>
      <c r="G517" s="111" t="n">
        <v>0</v>
      </c>
      <c r="H517" s="94">
        <f>COUNTIF(C517:G517,"&lt;&gt;0")</f>
        <v/>
      </c>
      <c r="I517" s="94">
        <f>IF(H517=0,"לא מטופל",IF(H517=1,"מטופל - סוכן אחד","מטופל - יותר מסוכן אחד"))</f>
        <v/>
      </c>
    </row>
    <row r="518" ht="15" customHeight="1" s="82">
      <c r="A518" s="94" t="inlineStr">
        <is>
          <t>שופרסל BE</t>
        </is>
      </c>
      <c r="B518" s="94" t="inlineStr">
        <is>
          <t>640 דלית אל כרמל BE</t>
        </is>
      </c>
      <c r="C518" s="111" t="n">
        <v>0</v>
      </c>
      <c r="D518" s="111" t="n">
        <v>12117.2</v>
      </c>
      <c r="E518" s="111" t="n">
        <v>0</v>
      </c>
      <c r="F518" s="111" t="n">
        <v>0</v>
      </c>
      <c r="G518" s="111" t="n">
        <v>0</v>
      </c>
      <c r="H518" s="94">
        <f>COUNTIF(C518:G518,"&lt;&gt;0")</f>
        <v/>
      </c>
      <c r="I518" s="94">
        <f>IF(H518=0,"לא מטופל",IF(H518=1,"מטופל - סוכן אחד","מטופל - יותר מסוכן אחד"))</f>
        <v/>
      </c>
    </row>
    <row r="519" ht="15" customHeight="1" s="82">
      <c r="A519" s="94" t="inlineStr">
        <is>
          <t>שופרסל BE</t>
        </is>
      </c>
      <c r="B519" s="94" t="inlineStr">
        <is>
          <t>673 פנורמה חיפה BE</t>
        </is>
      </c>
      <c r="C519" s="111" t="n">
        <v>0</v>
      </c>
      <c r="D519" s="111" t="n">
        <v>2441.6</v>
      </c>
      <c r="E519" s="111" t="n">
        <v>0</v>
      </c>
      <c r="F519" s="111" t="n">
        <v>0</v>
      </c>
      <c r="G519" s="111" t="n">
        <v>0</v>
      </c>
      <c r="H519" s="94">
        <f>COUNTIF(C519:G519,"&lt;&gt;0")</f>
        <v/>
      </c>
      <c r="I519" s="94">
        <f>IF(H519=0,"לא מטופל",IF(H519=1,"מטופל - סוכן אחד","מטופל - יותר מסוכן אחד"))</f>
        <v/>
      </c>
    </row>
    <row r="520" ht="15" customHeight="1" s="82">
      <c r="A520" s="94" t="inlineStr">
        <is>
          <t>שופרסל BE</t>
        </is>
      </c>
      <c r="B520" s="94" t="inlineStr">
        <is>
          <t>635 ראש פינה BE</t>
        </is>
      </c>
      <c r="C520" s="111" t="n">
        <v>0</v>
      </c>
      <c r="D520" s="111" t="n">
        <v>11854.9</v>
      </c>
      <c r="E520" s="111" t="n">
        <v>0</v>
      </c>
      <c r="F520" s="111" t="n">
        <v>0</v>
      </c>
      <c r="G520" s="111" t="n">
        <v>0</v>
      </c>
      <c r="H520" s="94">
        <f>COUNTIF(C520:G520,"&lt;&gt;0")</f>
        <v/>
      </c>
      <c r="I520" s="94">
        <f>IF(H520=0,"לא מטופל",IF(H520=1,"מטופל - סוכן אחד","מטופל - יותר מסוכן אחד"))</f>
        <v/>
      </c>
    </row>
    <row r="521" ht="15" customHeight="1" s="82">
      <c r="A521" s="94" t="inlineStr">
        <is>
          <t>שופרסל BE</t>
        </is>
      </c>
      <c r="B521" s="94" t="inlineStr">
        <is>
          <t>658   קרית אתא BE</t>
        </is>
      </c>
      <c r="C521" s="111" t="n">
        <v>0</v>
      </c>
      <c r="D521" s="111" t="n">
        <v>40.7</v>
      </c>
      <c r="E521" s="111" t="n">
        <v>0</v>
      </c>
      <c r="F521" s="111" t="n">
        <v>0</v>
      </c>
      <c r="G521" s="111" t="n">
        <v>0</v>
      </c>
      <c r="H521" s="94">
        <f>COUNTIF(C521:G521,"&lt;&gt;0")</f>
        <v/>
      </c>
      <c r="I521" s="94">
        <f>IF(H521=0,"לא מטופל",IF(H521=1,"מטופל - סוכן אחד","מטופל - יותר מסוכן אחד"))</f>
        <v/>
      </c>
    </row>
    <row r="522" ht="15" customHeight="1" s="82">
      <c r="A522" s="94" t="inlineStr">
        <is>
          <t>שופרסל BE</t>
        </is>
      </c>
      <c r="B522" s="94" t="inlineStr">
        <is>
          <t>697 ירכא BE</t>
        </is>
      </c>
      <c r="C522" s="111" t="n">
        <v>0</v>
      </c>
      <c r="D522" s="111" t="n">
        <v>10661.5</v>
      </c>
      <c r="E522" s="111" t="n">
        <v>0</v>
      </c>
      <c r="F522" s="111" t="n">
        <v>0</v>
      </c>
      <c r="G522" s="111" t="n">
        <v>0</v>
      </c>
      <c r="H522" s="94">
        <f>COUNTIF(C522:G522,"&lt;&gt;0")</f>
        <v/>
      </c>
      <c r="I522" s="94">
        <f>IF(H522=0,"לא מטופל",IF(H522=1,"מטופל - סוכן אחד","מטופל - יותר מסוכן אחד"))</f>
        <v/>
      </c>
    </row>
    <row r="523" ht="15" customHeight="1" s="82">
      <c r="A523" s="94" t="inlineStr">
        <is>
          <t>שופרסל BE</t>
        </is>
      </c>
      <c r="B523" s="94" t="inlineStr">
        <is>
          <t>642 אלונים טבעון BE</t>
        </is>
      </c>
      <c r="C523" s="111" t="n">
        <v>0</v>
      </c>
      <c r="D523" s="111" t="n">
        <v>8696.1</v>
      </c>
      <c r="E523" s="111" t="n">
        <v>0</v>
      </c>
      <c r="F523" s="111" t="n">
        <v>0</v>
      </c>
      <c r="G523" s="111" t="n">
        <v>0</v>
      </c>
      <c r="H523" s="94">
        <f>COUNTIF(C523:G523,"&lt;&gt;0")</f>
        <v/>
      </c>
      <c r="I523" s="94">
        <f>IF(H523=0,"לא מטופל",IF(H523=1,"מטופל - סוכן אחד","מטופל - יותר מסוכן אחד"))</f>
        <v/>
      </c>
    </row>
    <row r="524" ht="15" customHeight="1" s="82">
      <c r="A524" s="94" t="inlineStr">
        <is>
          <t>שופרסל BE</t>
        </is>
      </c>
      <c r="B524" s="94" t="inlineStr">
        <is>
          <t>676   יקנעם BE</t>
        </is>
      </c>
      <c r="C524" s="111" t="n">
        <v>0</v>
      </c>
      <c r="D524" s="111" t="n">
        <v>14590.5</v>
      </c>
      <c r="E524" s="111" t="n">
        <v>0</v>
      </c>
      <c r="F524" s="111" t="n">
        <v>0</v>
      </c>
      <c r="G524" s="111" t="n">
        <v>0</v>
      </c>
      <c r="H524" s="94">
        <f>COUNTIF(C524:G524,"&lt;&gt;0")</f>
        <v/>
      </c>
      <c r="I524" s="94">
        <f>IF(H524=0,"לא מטופל",IF(H524=1,"מטופל - סוכן אחד","מטופל - יותר מסוכן אחד"))</f>
        <v/>
      </c>
    </row>
    <row r="525" ht="15" customHeight="1" s="82">
      <c r="A525" s="94" t="inlineStr">
        <is>
          <t>שופרסל BE</t>
        </is>
      </c>
      <c r="B525" s="94" t="inlineStr">
        <is>
          <t>649  פארם עכו BE</t>
        </is>
      </c>
      <c r="C525" s="111" t="n">
        <v>0</v>
      </c>
      <c r="D525" s="111" t="n">
        <v>6789.3</v>
      </c>
      <c r="E525" s="111" t="n">
        <v>0</v>
      </c>
      <c r="F525" s="111" t="n">
        <v>0</v>
      </c>
      <c r="G525" s="111" t="n">
        <v>0</v>
      </c>
      <c r="H525" s="94">
        <f>COUNTIF(C525:G525,"&lt;&gt;0")</f>
        <v/>
      </c>
      <c r="I525" s="94">
        <f>IF(H525=0,"לא מטופל",IF(H525=1,"מטופל - סוכן אחד","מטופל - יותר מסוכן אחד"))</f>
        <v/>
      </c>
    </row>
    <row r="526" ht="15" customHeight="1" s="82">
      <c r="A526" s="94" t="inlineStr">
        <is>
          <t>שופרסל BE</t>
        </is>
      </c>
      <c r="B526" s="94" t="inlineStr">
        <is>
          <t>617 (נוף הגליל )נצרת BE</t>
        </is>
      </c>
      <c r="C526" s="111" t="n">
        <v>0</v>
      </c>
      <c r="D526" s="111" t="n">
        <v>7193.5</v>
      </c>
      <c r="E526" s="111" t="n">
        <v>0</v>
      </c>
      <c r="F526" s="111" t="n">
        <v>0</v>
      </c>
      <c r="G526" s="111" t="n">
        <v>0</v>
      </c>
      <c r="H526" s="94">
        <f>COUNTIF(C526:G526,"&lt;&gt;0")</f>
        <v/>
      </c>
      <c r="I526" s="94">
        <f>IF(H526=0,"לא מטופל",IF(H526=1,"מטופל - סוכן אחד","מטופל - יותר מסוכן אחד"))</f>
        <v/>
      </c>
    </row>
    <row r="527" ht="15" customHeight="1" s="82">
      <c r="A527" s="94" t="inlineStr">
        <is>
          <t>שופרסל BE</t>
        </is>
      </c>
      <c r="B527" s="94" t="inlineStr">
        <is>
          <t>678 עפולה BE</t>
        </is>
      </c>
      <c r="C527" s="111" t="n">
        <v>0</v>
      </c>
      <c r="D527" s="111" t="n">
        <v>7306.7</v>
      </c>
      <c r="E527" s="111" t="n">
        <v>0</v>
      </c>
      <c r="F527" s="111" t="n">
        <v>0</v>
      </c>
      <c r="G527" s="111" t="n">
        <v>0</v>
      </c>
      <c r="H527" s="94">
        <f>COUNTIF(C527:G527,"&lt;&gt;0")</f>
        <v/>
      </c>
      <c r="I527" s="94">
        <f>IF(H527=0,"לא מטופל",IF(H527=1,"מטופל - סוכן אחד","מטופל - יותר מסוכן אחד"))</f>
        <v/>
      </c>
    </row>
    <row r="528" ht="15" customHeight="1" s="82">
      <c r="A528" s="94" t="inlineStr">
        <is>
          <t>שופרסל BE</t>
        </is>
      </c>
      <c r="B528" s="94" t="inlineStr">
        <is>
          <t>613 נהריה BE</t>
        </is>
      </c>
      <c r="C528" s="111" t="n">
        <v>0</v>
      </c>
      <c r="D528" s="111" t="n">
        <v>6487.6</v>
      </c>
      <c r="E528" s="111" t="n">
        <v>0</v>
      </c>
      <c r="F528" s="111" t="n">
        <v>0</v>
      </c>
      <c r="G528" s="111" t="n">
        <v>0</v>
      </c>
      <c r="H528" s="94">
        <f>COUNTIF(C528:G528,"&lt;&gt;0")</f>
        <v/>
      </c>
      <c r="I528" s="94">
        <f>IF(H528=0,"לא מטופל",IF(H528=1,"מטופל - סוכן אחד","מטופל - יותר מסוכן אחד"))</f>
        <v/>
      </c>
    </row>
    <row r="529" ht="15" customHeight="1" s="82">
      <c r="A529" s="94" t="inlineStr">
        <is>
          <t>שופרסל BE</t>
        </is>
      </c>
      <c r="B529" s="94" t="inlineStr">
        <is>
          <t>698  כרמיאל BE</t>
        </is>
      </c>
      <c r="C529" s="111" t="n">
        <v>0</v>
      </c>
      <c r="D529" s="111" t="n">
        <v>6252.2</v>
      </c>
      <c r="E529" s="111" t="n">
        <v>0</v>
      </c>
      <c r="F529" s="111" t="n">
        <v>0</v>
      </c>
      <c r="G529" s="111" t="n">
        <v>0</v>
      </c>
      <c r="H529" s="94">
        <f>COUNTIF(C529:G529,"&lt;&gt;0")</f>
        <v/>
      </c>
      <c r="I529" s="94">
        <f>IF(H529=0,"לא מטופל",IF(H529=1,"מטופל - סוכן אחד","מטופל - יותר מסוכן אחד"))</f>
        <v/>
      </c>
    </row>
    <row r="530" ht="15" customHeight="1" s="82">
      <c r="A530" s="94" t="inlineStr">
        <is>
          <t>שופרסל BE</t>
        </is>
      </c>
      <c r="B530" s="94" t="inlineStr">
        <is>
          <t>679 כרכור מדיקל BE</t>
        </is>
      </c>
      <c r="C530" s="111" t="n">
        <v>0</v>
      </c>
      <c r="D530" s="111" t="n">
        <v>3080.4</v>
      </c>
      <c r="E530" s="111" t="n">
        <v>0</v>
      </c>
      <c r="F530" s="111" t="n">
        <v>0</v>
      </c>
      <c r="G530" s="111" t="n">
        <v>0</v>
      </c>
      <c r="H530" s="94">
        <f>COUNTIF(C530:G530,"&lt;&gt;0")</f>
        <v/>
      </c>
      <c r="I530" s="94">
        <f>IF(H530=0,"לא מטופל",IF(H530=1,"מטופל - סוכן אחד","מטופל - יותר מסוכן אחד"))</f>
        <v/>
      </c>
    </row>
    <row r="531" ht="15" customHeight="1" s="82">
      <c r="A531" s="94" t="inlineStr">
        <is>
          <t>שופרסל BE</t>
        </is>
      </c>
      <c r="B531" s="94" t="inlineStr">
        <is>
          <t>776 טירה BE</t>
        </is>
      </c>
      <c r="C531" s="111" t="n">
        <v>0</v>
      </c>
      <c r="D531" s="111" t="n">
        <v>0</v>
      </c>
      <c r="E531" s="111" t="n">
        <v>16506.4</v>
      </c>
      <c r="F531" s="111" t="n">
        <v>0</v>
      </c>
      <c r="G531" s="111" t="n">
        <v>0</v>
      </c>
      <c r="H531" s="94">
        <f>COUNTIF(C531:G531,"&lt;&gt;0")</f>
        <v/>
      </c>
      <c r="I531" s="94">
        <f>IF(H531=0,"לא מטופל",IF(H531=1,"מטופל - סוכן אחד","מטופל - יותר מסוכן אחד"))</f>
        <v/>
      </c>
    </row>
    <row r="532" ht="15" customHeight="1" s="82">
      <c r="A532" s="94" t="inlineStr">
        <is>
          <t>שופרסל BE</t>
        </is>
      </c>
      <c r="B532" s="94" t="inlineStr">
        <is>
          <t>621 סינמה סיטי נתניה BE</t>
        </is>
      </c>
      <c r="C532" s="111" t="n">
        <v>7157.8</v>
      </c>
      <c r="D532" s="111" t="n">
        <v>0</v>
      </c>
      <c r="E532" s="111" t="n">
        <v>0</v>
      </c>
      <c r="F532" s="111" t="n">
        <v>0</v>
      </c>
      <c r="G532" s="111" t="n">
        <v>0</v>
      </c>
      <c r="H532" s="94">
        <f>COUNTIF(C532:G532,"&lt;&gt;0")</f>
        <v/>
      </c>
      <c r="I532" s="94">
        <f>IF(H532=0,"לא מטופל",IF(H532=1,"מטופל - סוכן אחד","מטופל - יותר מסוכן אחד"))</f>
        <v/>
      </c>
    </row>
    <row r="533" ht="15" customHeight="1" s="82">
      <c r="A533" s="94" t="inlineStr">
        <is>
          <t>שופרסל BE</t>
        </is>
      </c>
      <c r="B533" s="94" t="inlineStr">
        <is>
          <t>201 בריגה נתניה BE</t>
        </is>
      </c>
      <c r="C533" s="111" t="n">
        <v>11910</v>
      </c>
      <c r="D533" s="111" t="n">
        <v>0</v>
      </c>
      <c r="E533" s="111" t="n">
        <v>0</v>
      </c>
      <c r="F533" s="111" t="n">
        <v>0</v>
      </c>
      <c r="G533" s="111" t="n">
        <v>0</v>
      </c>
      <c r="H533" s="94">
        <f>COUNTIF(C533:G533,"&lt;&gt;0")</f>
        <v/>
      </c>
      <c r="I533" s="94">
        <f>IF(H533=0,"לא מטופל",IF(H533=1,"מטופל - סוכן אחד","מטופל - יותר מסוכן אחד"))</f>
        <v/>
      </c>
    </row>
    <row r="534" ht="15" customHeight="1" s="82">
      <c r="A534" s="94" t="inlineStr">
        <is>
          <t>שופרסל BE</t>
        </is>
      </c>
      <c r="B534" s="94" t="inlineStr">
        <is>
          <t>178 סגולה פ""ת BE</t>
        </is>
      </c>
      <c r="C534" s="111" t="n">
        <v>0</v>
      </c>
      <c r="D534" s="111" t="n">
        <v>0</v>
      </c>
      <c r="E534" s="111" t="n">
        <v>3072.1</v>
      </c>
      <c r="F534" s="111" t="n">
        <v>0</v>
      </c>
      <c r="G534" s="111" t="n">
        <v>0</v>
      </c>
      <c r="H534" s="94">
        <f>COUNTIF(C534:G534,"&lt;&gt;0")</f>
        <v/>
      </c>
      <c r="I534" s="94">
        <f>IF(H534=0,"לא מטופל",IF(H534=1,"מטופל - סוכן אחד","מטופל - יותר מסוכן אחד"))</f>
        <v/>
      </c>
    </row>
    <row r="535" ht="15" customHeight="1" s="82">
      <c r="A535" s="94" t="inlineStr">
        <is>
          <t>שופרסל BE</t>
        </is>
      </c>
      <c r="B535" s="94" t="inlineStr">
        <is>
          <t>26 בלוך גבעתיים BE</t>
        </is>
      </c>
      <c r="C535" s="111" t="n">
        <v>0</v>
      </c>
      <c r="D535" s="111" t="n">
        <v>0</v>
      </c>
      <c r="E535" s="111" t="n">
        <v>4158</v>
      </c>
      <c r="F535" s="111" t="n">
        <v>0</v>
      </c>
      <c r="G535" s="111" t="n">
        <v>0</v>
      </c>
      <c r="H535" s="94">
        <f>COUNTIF(C535:G535,"&lt;&gt;0")</f>
        <v/>
      </c>
      <c r="I535" s="94">
        <f>IF(H535=0,"לא מטופל",IF(H535=1,"מטופל - סוכן אחד","מטופל - יותר מסוכן אחד"))</f>
        <v/>
      </c>
    </row>
    <row r="536" ht="15" customHeight="1" s="82">
      <c r="A536" s="94" t="inlineStr">
        <is>
          <t>שופרסל BE</t>
        </is>
      </c>
      <c r="B536" s="94" t="inlineStr">
        <is>
          <t>601 פרדס חנה BE</t>
        </is>
      </c>
      <c r="C536" s="111" t="n">
        <v>0</v>
      </c>
      <c r="D536" s="111" t="n">
        <v>2318.9</v>
      </c>
      <c r="E536" s="111" t="n">
        <v>0</v>
      </c>
      <c r="F536" s="111" t="n">
        <v>0</v>
      </c>
      <c r="G536" s="111" t="n">
        <v>0</v>
      </c>
      <c r="H536" s="94">
        <f>COUNTIF(C536:G536,"&lt;&gt;0")</f>
        <v/>
      </c>
      <c r="I536" s="94">
        <f>IF(H536=0,"לא מטופל",IF(H536=1,"מטופל - סוכן אחד","מטופל - יותר מסוכן אחד"))</f>
        <v/>
      </c>
    </row>
    <row r="537" ht="15" customHeight="1" s="82">
      <c r="A537" s="94" t="inlineStr">
        <is>
          <t>שופרסל BE</t>
        </is>
      </c>
      <c r="B537" s="94" t="inlineStr">
        <is>
          <t>657 קרית שמונה BE</t>
        </is>
      </c>
      <c r="C537" s="111" t="n">
        <v>0</v>
      </c>
      <c r="D537" s="111" t="n">
        <v>0</v>
      </c>
      <c r="E537" s="111" t="n">
        <v>438.8</v>
      </c>
      <c r="F537" s="111" t="n">
        <v>0</v>
      </c>
      <c r="G537" s="111" t="n">
        <v>0</v>
      </c>
      <c r="H537" s="94">
        <f>COUNTIF(C537:G537,"&lt;&gt;0")</f>
        <v/>
      </c>
      <c r="I537" s="94">
        <f>IF(H537=0,"לא מטופל",IF(H537=1,"מטופל - סוכן אחד","מטופל - יותר מסוכן אחד"))</f>
        <v/>
      </c>
    </row>
    <row r="538" ht="15" customHeight="1" s="82">
      <c r="A538" s="94" t="inlineStr">
        <is>
          <t>שופרסל BE</t>
        </is>
      </c>
      <c r="B538" s="94" t="inlineStr">
        <is>
          <t>667 הלל יפה חדרה BE</t>
        </is>
      </c>
      <c r="C538" s="111" t="n">
        <v>0</v>
      </c>
      <c r="D538" s="111" t="n">
        <v>11198.2</v>
      </c>
      <c r="E538" s="111" t="n">
        <v>0</v>
      </c>
      <c r="F538" s="111" t="n">
        <v>0</v>
      </c>
      <c r="G538" s="111" t="n">
        <v>0</v>
      </c>
      <c r="H538" s="94">
        <f>COUNTIF(C538:G538,"&lt;&gt;0")</f>
        <v/>
      </c>
      <c r="I538" s="94">
        <f>IF(H538=0,"לא מטופל",IF(H538=1,"מטופל - סוכן אחד","מטופל - יותר מסוכן אחד"))</f>
        <v/>
      </c>
    </row>
    <row r="539" ht="15" customHeight="1" s="82">
      <c r="A539" s="94" t="inlineStr">
        <is>
          <t>שופרסל BE</t>
        </is>
      </c>
      <c r="B539" s="94" t="inlineStr">
        <is>
          <t>252 עין שמר BE</t>
        </is>
      </c>
      <c r="C539" s="111" t="n">
        <v>0</v>
      </c>
      <c r="D539" s="111" t="n">
        <v>12832.9</v>
      </c>
      <c r="E539" s="111" t="n">
        <v>0</v>
      </c>
      <c r="F539" s="111" t="n">
        <v>0</v>
      </c>
      <c r="G539" s="111" t="n">
        <v>0</v>
      </c>
      <c r="H539" s="94">
        <f>COUNTIF(C539:G539,"&lt;&gt;0")</f>
        <v/>
      </c>
      <c r="I539" s="94">
        <f>IF(H539=0,"לא מטופל",IF(H539=1,"מטופל - סוכן אחד","מטופל - יותר מסוכן אחד"))</f>
        <v/>
      </c>
    </row>
    <row r="540" ht="15" customHeight="1" s="82">
      <c r="A540" s="94" t="inlineStr">
        <is>
          <t>שופרסל BE</t>
        </is>
      </c>
      <c r="B540" s="94" t="inlineStr">
        <is>
          <t>662 אסותא אשדוד BE</t>
        </is>
      </c>
      <c r="C540" s="111" t="n">
        <v>0</v>
      </c>
      <c r="D540" s="111" t="n">
        <v>0</v>
      </c>
      <c r="E540" s="111" t="n">
        <v>0</v>
      </c>
      <c r="F540" s="111" t="n">
        <v>0</v>
      </c>
      <c r="G540" s="111" t="n">
        <v>14180.1</v>
      </c>
      <c r="H540" s="94">
        <f>COUNTIF(C540:G540,"&lt;&gt;0")</f>
        <v/>
      </c>
      <c r="I540" s="94">
        <f>IF(H540=0,"לא מטופל",IF(H540=1,"מטופל - סוכן אחד","מטופל - יותר מסוכן אחד"))</f>
        <v/>
      </c>
    </row>
    <row r="541" ht="15" customHeight="1" s="82">
      <c r="A541" s="94" t="inlineStr">
        <is>
          <t>שופרסל BE</t>
        </is>
      </c>
      <c r="B541" s="94" t="inlineStr">
        <is>
          <t>602 מרינה אשקלון BE</t>
        </is>
      </c>
      <c r="C541" s="111" t="n">
        <v>0</v>
      </c>
      <c r="D541" s="111" t="n">
        <v>0</v>
      </c>
      <c r="E541" s="111" t="n">
        <v>0</v>
      </c>
      <c r="F541" s="111" t="n">
        <v>0</v>
      </c>
      <c r="G541" s="111" t="n">
        <v>1913</v>
      </c>
      <c r="H541" s="94">
        <f>COUNTIF(C541:G541,"&lt;&gt;0")</f>
        <v/>
      </c>
      <c r="I541" s="94">
        <f>IF(H541=0,"לא מטופל",IF(H541=1,"מטופל - סוכן אחד","מטופל - יותר מסוכן אחד"))</f>
        <v/>
      </c>
    </row>
    <row r="542" ht="15" customHeight="1" s="82">
      <c r="A542" s="94" t="inlineStr">
        <is>
          <t>שופרסל BE</t>
        </is>
      </c>
      <c r="B542" s="94" t="inlineStr">
        <is>
          <t>בלה אשדוד BE</t>
        </is>
      </c>
      <c r="C542" s="111" t="n">
        <v>0</v>
      </c>
      <c r="D542" s="111" t="n">
        <v>0</v>
      </c>
      <c r="E542" s="111" t="n">
        <v>0</v>
      </c>
      <c r="F542" s="111" t="n">
        <v>0</v>
      </c>
      <c r="G542" s="111" t="n">
        <v>2024.7</v>
      </c>
      <c r="H542" s="94">
        <f>COUNTIF(C542:G542,"&lt;&gt;0")</f>
        <v/>
      </c>
      <c r="I542" s="94">
        <f>IF(H542=0,"לא מטופל",IF(H542=1,"מטופל - סוכן אחד","מטופל - יותר מסוכן אחד"))</f>
        <v/>
      </c>
    </row>
    <row r="543" ht="15" customHeight="1" s="82">
      <c r="A543" s="94" t="inlineStr">
        <is>
          <t>שופרסל BE</t>
        </is>
      </c>
      <c r="B543" s="94" t="inlineStr">
        <is>
          <t>298 אמות ב""ש BE</t>
        </is>
      </c>
      <c r="C543" s="111" t="n">
        <v>0</v>
      </c>
      <c r="D543" s="111" t="n">
        <v>0</v>
      </c>
      <c r="E543" s="111" t="n">
        <v>4741.8</v>
      </c>
      <c r="F543" s="111" t="n">
        <v>0</v>
      </c>
      <c r="G543" s="111" t="n">
        <v>0</v>
      </c>
      <c r="H543" s="94">
        <f>COUNTIF(C543:G543,"&lt;&gt;0")</f>
        <v/>
      </c>
      <c r="I543" s="94">
        <f>IF(H543=0,"לא מטופל",IF(H543=1,"מטופל - סוכן אחד","מטופל - יותר מסוכן אחד"))</f>
        <v/>
      </c>
    </row>
    <row r="544" ht="15" customHeight="1" s="82">
      <c r="A544" s="94" t="inlineStr">
        <is>
          <t>שופרסל BE</t>
        </is>
      </c>
      <c r="B544" s="94" t="inlineStr">
        <is>
          <t>665 החשמונאים BE</t>
        </is>
      </c>
      <c r="C544" s="111" t="n">
        <v>8509.6</v>
      </c>
      <c r="D544" s="111" t="n">
        <v>0</v>
      </c>
      <c r="E544" s="111" t="n">
        <v>0</v>
      </c>
      <c r="F544" s="111" t="n">
        <v>0</v>
      </c>
      <c r="G544" s="111" t="n">
        <v>0</v>
      </c>
      <c r="H544" s="94">
        <f>COUNTIF(C544:G544,"&lt;&gt;0")</f>
        <v/>
      </c>
      <c r="I544" s="94">
        <f>IF(H544=0,"לא מטופל",IF(H544=1,"מטופל - סוכן אחד","מטופל - יותר מסוכן אחד"))</f>
        <v/>
      </c>
    </row>
    <row r="545" ht="15" customHeight="1" s="82">
      <c r="A545" s="94" t="inlineStr">
        <is>
          <t>שופרסל BE</t>
        </is>
      </c>
      <c r="B545" s="94" t="inlineStr">
        <is>
          <t>345 מידטאון ת""א BE</t>
        </is>
      </c>
      <c r="C545" s="111" t="n">
        <v>3055.5</v>
      </c>
      <c r="D545" s="111" t="n">
        <v>0</v>
      </c>
      <c r="E545" s="111" t="n">
        <v>0</v>
      </c>
      <c r="F545" s="111" t="n">
        <v>0</v>
      </c>
      <c r="G545" s="111" t="n">
        <v>0</v>
      </c>
      <c r="H545" s="94">
        <f>COUNTIF(C545:G545,"&lt;&gt;0")</f>
        <v/>
      </c>
      <c r="I545" s="94">
        <f>IF(H545=0,"לא מטופל",IF(H545=1,"מטופל - סוכן אחד","מטופל - יותר מסוכן אחד"))</f>
        <v/>
      </c>
    </row>
    <row r="546" ht="15" customHeight="1" s="82">
      <c r="A546" s="94" t="inlineStr">
        <is>
          <t>שופרסל BE</t>
        </is>
      </c>
      <c r="B546" s="94" t="inlineStr">
        <is>
          <t>322 גן העיר ת""א BE</t>
        </is>
      </c>
      <c r="C546" s="111" t="n">
        <v>8814.6</v>
      </c>
      <c r="D546" s="111" t="n">
        <v>0</v>
      </c>
      <c r="E546" s="111" t="n">
        <v>0</v>
      </c>
      <c r="F546" s="111" t="n">
        <v>0</v>
      </c>
      <c r="G546" s="111" t="n">
        <v>0</v>
      </c>
      <c r="H546" s="94">
        <f>COUNTIF(C546:G546,"&lt;&gt;0")</f>
        <v/>
      </c>
      <c r="I546" s="94">
        <f>IF(H546=0,"לא מטופל",IF(H546=1,"מטופל - סוכן אחד","מטופל - יותר מסוכן אחד"))</f>
        <v/>
      </c>
    </row>
    <row r="547" ht="15" customHeight="1" s="82">
      <c r="A547" s="94" t="inlineStr">
        <is>
          <t>שופרסל BE</t>
        </is>
      </c>
      <c r="B547" s="94" t="inlineStr">
        <is>
          <t>41 דיזינגוף סנטר BE</t>
        </is>
      </c>
      <c r="C547" s="111" t="n">
        <v>20182.5</v>
      </c>
      <c r="D547" s="111" t="n">
        <v>0</v>
      </c>
      <c r="E547" s="111" t="n">
        <v>0</v>
      </c>
      <c r="F547" s="111" t="n">
        <v>0</v>
      </c>
      <c r="G547" s="111" t="n">
        <v>0</v>
      </c>
      <c r="H547" s="94">
        <f>COUNTIF(C547:G547,"&lt;&gt;0")</f>
        <v/>
      </c>
      <c r="I547" s="94">
        <f>IF(H547=0,"לא מטופל",IF(H547=1,"מטופל - סוכן אחד","מטופל - יותר מסוכן אחד"))</f>
        <v/>
      </c>
    </row>
    <row r="548" ht="15" customHeight="1" s="82">
      <c r="A548" s="94" t="inlineStr">
        <is>
          <t>שופרסל BE</t>
        </is>
      </c>
      <c r="B548" s="94" t="inlineStr">
        <is>
          <t>270 תמנע חולון BE</t>
        </is>
      </c>
      <c r="C548" s="111" t="n">
        <v>0</v>
      </c>
      <c r="D548" s="111" t="n">
        <v>0</v>
      </c>
      <c r="E548" s="111" t="n">
        <v>7083.2</v>
      </c>
      <c r="F548" s="111" t="n">
        <v>0</v>
      </c>
      <c r="G548" s="111" t="n">
        <v>0</v>
      </c>
      <c r="H548" s="94">
        <f>COUNTIF(C548:G548,"&lt;&gt;0")</f>
        <v/>
      </c>
      <c r="I548" s="94">
        <f>IF(H548=0,"לא מטופל",IF(H548=1,"מטופל - סוכן אחד","מטופל - יותר מסוכן אחד"))</f>
        <v/>
      </c>
    </row>
    <row r="549" ht="15" customHeight="1" s="82">
      <c r="A549" s="94" t="inlineStr">
        <is>
          <t>שופרסל BE</t>
        </is>
      </c>
      <c r="B549" s="94" t="inlineStr">
        <is>
          <t>664 שערי צדק י-ם BE</t>
        </is>
      </c>
      <c r="C549" s="111" t="n">
        <v>0</v>
      </c>
      <c r="D549" s="111" t="n">
        <v>0</v>
      </c>
      <c r="E549" s="111" t="n">
        <v>0</v>
      </c>
      <c r="F549" s="111" t="n">
        <v>0</v>
      </c>
      <c r="G549" s="111" t="n">
        <v>37637.2</v>
      </c>
      <c r="H549" s="94">
        <f>COUNTIF(C549:G549,"&lt;&gt;0")</f>
        <v/>
      </c>
      <c r="I549" s="94">
        <f>IF(H549=0,"לא מטופל",IF(H549=1,"מטופל - סוכן אחד","מטופל - יותר מסוכן אחד"))</f>
        <v/>
      </c>
    </row>
    <row r="550" ht="15" customHeight="1" s="82">
      <c r="A550" s="94" t="inlineStr">
        <is>
          <t>שופרסל BE</t>
        </is>
      </c>
      <c r="B550" s="94" t="inlineStr">
        <is>
          <t>666 מודיעין עזריאלי BE</t>
        </is>
      </c>
      <c r="C550" s="111" t="n">
        <v>0</v>
      </c>
      <c r="D550" s="111" t="n">
        <v>0</v>
      </c>
      <c r="E550" s="111" t="n">
        <v>0</v>
      </c>
      <c r="F550" s="111" t="n">
        <v>0</v>
      </c>
      <c r="G550" s="111" t="n">
        <v>7814.1</v>
      </c>
      <c r="H550" s="94">
        <f>COUNTIF(C550:G550,"&lt;&gt;0")</f>
        <v/>
      </c>
      <c r="I550" s="94">
        <f>IF(H550=0,"לא מטופל",IF(H550=1,"מטופל - סוכן אחד","מטופל - יותר מסוכן אחד"))</f>
        <v/>
      </c>
    </row>
    <row r="551" ht="15" customHeight="1" s="82">
      <c r="A551" s="94" t="inlineStr">
        <is>
          <t>שופרסל BE</t>
        </is>
      </c>
      <c r="B551" s="94" t="inlineStr">
        <is>
          <t>392 שילת BE</t>
        </is>
      </c>
      <c r="C551" s="111" t="n">
        <v>0</v>
      </c>
      <c r="D551" s="111" t="n">
        <v>0</v>
      </c>
      <c r="E551" s="111" t="n">
        <v>0</v>
      </c>
      <c r="F551" s="111" t="n">
        <v>0</v>
      </c>
      <c r="G551" s="111" t="n">
        <v>13187.9</v>
      </c>
      <c r="H551" s="94">
        <f>COUNTIF(C551:G551,"&lt;&gt;0")</f>
        <v/>
      </c>
      <c r="I551" s="94">
        <f>IF(H551=0,"לא מטופל",IF(H551=1,"מטופל - סוכן אחד","מטופל - יותר מסוכן אחד"))</f>
        <v/>
      </c>
    </row>
    <row r="552" ht="15" customHeight="1" s="82">
      <c r="A552" s="94" t="inlineStr">
        <is>
          <t>שופרסל BE</t>
        </is>
      </c>
      <c r="B552" s="94" t="inlineStr">
        <is>
          <t>256 ישפרו נס ציונה B.</t>
        </is>
      </c>
      <c r="C552" s="111" t="n">
        <v>7308.1</v>
      </c>
      <c r="D552" s="111" t="n">
        <v>0</v>
      </c>
      <c r="E552" s="111" t="n">
        <v>0</v>
      </c>
      <c r="F552" s="111" t="n">
        <v>0</v>
      </c>
      <c r="G552" s="111" t="n">
        <v>0</v>
      </c>
      <c r="H552" s="94">
        <f>COUNTIF(C552:G552,"&lt;&gt;0")</f>
        <v/>
      </c>
      <c r="I552" s="94">
        <f>IF(H552=0,"לא מטופל",IF(H552=1,"מטופל - סוכן אחד","מטופל - יותר מסוכן אחד"))</f>
        <v/>
      </c>
    </row>
    <row r="553" ht="15" customHeight="1" s="82">
      <c r="A553" s="94" t="inlineStr">
        <is>
          <t>שופרסל BE</t>
        </is>
      </c>
      <c r="B553" s="94" t="inlineStr">
        <is>
          <t>786 כרמי גת BE</t>
        </is>
      </c>
      <c r="C553" s="111" t="n">
        <v>0</v>
      </c>
      <c r="D553" s="111" t="n">
        <v>0</v>
      </c>
      <c r="E553" s="111" t="n">
        <v>0</v>
      </c>
      <c r="F553" s="111" t="n">
        <v>0</v>
      </c>
      <c r="G553" s="111" t="n">
        <v>4513.9</v>
      </c>
      <c r="H553" s="94">
        <f>COUNTIF(C553:G553,"&lt;&gt;0")</f>
        <v/>
      </c>
      <c r="I553" s="94">
        <f>IF(H553=0,"לא מטופל",IF(H553=1,"מטופל - סוכן אחד","מטופל - יותר מסוכן אחד"))</f>
        <v/>
      </c>
    </row>
    <row r="554" ht="15" customHeight="1" s="82">
      <c r="A554" s="94" t="inlineStr">
        <is>
          <t>שופרסל BE</t>
        </is>
      </c>
      <c r="B554" s="94" t="inlineStr">
        <is>
          <t>764 סטאר אשדוד BE</t>
        </is>
      </c>
      <c r="C554" s="111" t="n">
        <v>0</v>
      </c>
      <c r="D554" s="111" t="n">
        <v>0</v>
      </c>
      <c r="E554" s="111" t="n">
        <v>0</v>
      </c>
      <c r="F554" s="111" t="n">
        <v>0</v>
      </c>
      <c r="G554" s="111" t="n">
        <v>6672.9</v>
      </c>
      <c r="H554" s="94">
        <f>COUNTIF(C554:G554,"&lt;&gt;0")</f>
        <v/>
      </c>
      <c r="I554" s="94">
        <f>IF(H554=0,"לא מטופל",IF(H554=1,"מטופל - סוכן אחד","מטופל - יותר מסוכן אחד"))</f>
        <v/>
      </c>
    </row>
    <row r="555" ht="15" customHeight="1" s="82">
      <c r="A555" s="94" t="inlineStr">
        <is>
          <t>שופרסל BE</t>
        </is>
      </c>
      <c r="B555" s="94" t="inlineStr">
        <is>
          <t>145 נתיבות BE</t>
        </is>
      </c>
      <c r="C555" s="111" t="n">
        <v>0</v>
      </c>
      <c r="D555" s="111" t="n">
        <v>0</v>
      </c>
      <c r="E555" s="111" t="n">
        <v>0</v>
      </c>
      <c r="F555" s="111" t="n">
        <v>0</v>
      </c>
      <c r="G555" s="111" t="n">
        <v>3759.7</v>
      </c>
      <c r="H555" s="94">
        <f>COUNTIF(C555:G555,"&lt;&gt;0")</f>
        <v/>
      </c>
      <c r="I555" s="94">
        <f>IF(H555=0,"לא מטופל",IF(H555=1,"מטופל - סוכן אחד","מטופל - יותר מסוכן אחד"))</f>
        <v/>
      </c>
    </row>
    <row r="556" ht="15" customHeight="1" s="82">
      <c r="A556" s="94" t="inlineStr">
        <is>
          <t>שופרסל BE</t>
        </is>
      </c>
      <c r="B556" s="94" t="inlineStr">
        <is>
          <t>233 לב הפארק ב""ש BE</t>
        </is>
      </c>
      <c r="C556" s="111" t="n">
        <v>0</v>
      </c>
      <c r="D556" s="111" t="n">
        <v>0</v>
      </c>
      <c r="E556" s="111" t="n">
        <v>2542.3</v>
      </c>
      <c r="F556" s="111" t="n">
        <v>0</v>
      </c>
      <c r="G556" s="111" t="n">
        <v>0</v>
      </c>
      <c r="H556" s="94">
        <f>COUNTIF(C556:G556,"&lt;&gt;0")</f>
        <v/>
      </c>
      <c r="I556" s="94">
        <f>IF(H556=0,"לא מטופל",IF(H556=1,"מטופל - סוכן אחד","מטופל - יותר מסוכן אחד"))</f>
        <v/>
      </c>
    </row>
    <row r="557" ht="15" customHeight="1" s="82">
      <c r="A557" s="94" t="inlineStr">
        <is>
          <t>שופרסל BE</t>
        </is>
      </c>
      <c r="B557" s="94" t="inlineStr">
        <is>
          <t>824  אונליין לונג פ""ת BE</t>
        </is>
      </c>
      <c r="C557" s="111" t="n">
        <v>0</v>
      </c>
      <c r="D557" s="111" t="n">
        <v>0</v>
      </c>
      <c r="E557" s="111" t="n">
        <v>0</v>
      </c>
      <c r="F557" s="111" t="n">
        <v>17148</v>
      </c>
      <c r="G557" s="111" t="n">
        <v>0</v>
      </c>
      <c r="H557" s="94">
        <f>COUNTIF(C557:G557,"&lt;&gt;0")</f>
        <v/>
      </c>
      <c r="I557" s="94">
        <f>IF(H557=0,"לא מטופל",IF(H557=1,"מטופל - סוכן אחד","מטופל - יותר מסוכן אחד"))</f>
        <v/>
      </c>
    </row>
    <row r="558" ht="15" customHeight="1" s="82">
      <c r="A558" s="94" t="inlineStr">
        <is>
          <t>שופרסל BE</t>
        </is>
      </c>
      <c r="B558" s="94" t="inlineStr">
        <is>
          <t>785 מעלה אדומים BE</t>
        </is>
      </c>
      <c r="C558" s="111" t="n">
        <v>0</v>
      </c>
      <c r="D558" s="111" t="n">
        <v>0</v>
      </c>
      <c r="E558" s="111" t="n">
        <v>0</v>
      </c>
      <c r="F558" s="111" t="n">
        <v>0</v>
      </c>
      <c r="G558" s="111" t="n">
        <v>4458.9</v>
      </c>
      <c r="H558" s="94">
        <f>COUNTIF(C558:G558,"&lt;&gt;0")</f>
        <v/>
      </c>
      <c r="I558" s="94">
        <f>IF(H558=0,"לא מטופל",IF(H558=1,"מטופל - סוכן אחד","מטופל - יותר מסוכן אחד"))</f>
        <v/>
      </c>
    </row>
    <row r="559" ht="15" customHeight="1" s="82">
      <c r="A559" s="94" t="inlineStr">
        <is>
          <t>שופרסל BE</t>
        </is>
      </c>
      <c r="B559" s="94" t="inlineStr">
        <is>
          <t>(155) דיל מצפה ספיר BE</t>
        </is>
      </c>
      <c r="C559" s="111" t="n">
        <v>0</v>
      </c>
      <c r="D559" s="111" t="n">
        <v>0</v>
      </c>
      <c r="E559" s="111" t="n">
        <v>6604.2</v>
      </c>
      <c r="F559" s="111" t="n">
        <v>0</v>
      </c>
      <c r="G559" s="111" t="n">
        <v>0</v>
      </c>
      <c r="H559" s="94">
        <f>COUNTIF(C559:G559,"&lt;&gt;0")</f>
        <v/>
      </c>
      <c r="I559" s="94">
        <f>IF(H559=0,"לא מטופל",IF(H559=1,"מטופל - סוכן אחד","מטופל - יותר מסוכן אחד"))</f>
        <v/>
      </c>
    </row>
    <row r="560" ht="15" customHeight="1" s="82">
      <c r="A560" s="94" t="inlineStr">
        <is>
          <t>שופרסל BE</t>
        </is>
      </c>
      <c r="B560" s="94" t="inlineStr">
        <is>
          <t>476 ככר המושבה הוד השרון BE</t>
        </is>
      </c>
      <c r="C560" s="111" t="n">
        <v>7610.8</v>
      </c>
      <c r="D560" s="111" t="n">
        <v>0</v>
      </c>
      <c r="E560" s="111" t="n">
        <v>0</v>
      </c>
      <c r="F560" s="111" t="n">
        <v>0</v>
      </c>
      <c r="G560" s="111" t="n">
        <v>0</v>
      </c>
      <c r="H560" s="94">
        <f>COUNTIF(C560:G560,"&lt;&gt;0")</f>
        <v/>
      </c>
      <c r="I560" s="94">
        <f>IF(H560=0,"לא מטופל",IF(H560=1,"מטופל - סוכן אחד","מטופל - יותר מסוכן אחד"))</f>
        <v/>
      </c>
    </row>
    <row r="561" ht="15" customHeight="1" s="82">
      <c r="A561" s="94" t="inlineStr">
        <is>
          <t>שופרסל BE</t>
        </is>
      </c>
      <c r="B561" s="94" t="inlineStr">
        <is>
          <t>783 קייזר מודיעין BE</t>
        </is>
      </c>
      <c r="C561" s="111" t="n">
        <v>0</v>
      </c>
      <c r="D561" s="111" t="n">
        <v>0</v>
      </c>
      <c r="E561" s="111" t="n">
        <v>0</v>
      </c>
      <c r="F561" s="111" t="n">
        <v>0</v>
      </c>
      <c r="G561" s="111" t="n">
        <v>3190.2</v>
      </c>
      <c r="H561" s="94">
        <f>COUNTIF(C561:G561,"&lt;&gt;0")</f>
        <v/>
      </c>
      <c r="I561" s="94">
        <f>IF(H561=0,"לא מטופל",IF(H561=1,"מטופל - סוכן אחד","מטופל - יותר מסוכן אחד"))</f>
        <v/>
      </c>
    </row>
    <row r="562" ht="15" customHeight="1" s="82">
      <c r="A562" s="94" t="inlineStr">
        <is>
          <t>שופרסל BE</t>
        </is>
      </c>
      <c r="B562" s="94" t="inlineStr">
        <is>
          <t>784 כפר גנים BE</t>
        </is>
      </c>
      <c r="C562" s="111" t="n">
        <v>0</v>
      </c>
      <c r="D562" s="111" t="n">
        <v>0</v>
      </c>
      <c r="E562" s="111" t="n">
        <v>9991.4</v>
      </c>
      <c r="F562" s="111" t="n">
        <v>0</v>
      </c>
      <c r="G562" s="111" t="n">
        <v>0</v>
      </c>
      <c r="H562" s="94">
        <f>COUNTIF(C562:G562,"&lt;&gt;0")</f>
        <v/>
      </c>
      <c r="I562" s="94">
        <f>IF(H562=0,"לא מטופל",IF(H562=1,"מטופל - סוכן אחד","מטופל - יותר מסוכן אחד"))</f>
        <v/>
      </c>
    </row>
    <row r="563" ht="15" customHeight="1" s="82">
      <c r="A563" s="94" t="inlineStr">
        <is>
          <t>שופרסל BE</t>
        </is>
      </c>
      <c r="B563" s="94" t="inlineStr">
        <is>
          <t>788 אפרת BE</t>
        </is>
      </c>
      <c r="C563" s="111" t="n">
        <v>0</v>
      </c>
      <c r="D563" s="111" t="n">
        <v>0</v>
      </c>
      <c r="E563" s="111" t="n">
        <v>0</v>
      </c>
      <c r="F563" s="111" t="n">
        <v>0</v>
      </c>
      <c r="G563" s="111" t="n">
        <v>30907.3</v>
      </c>
      <c r="H563" s="94">
        <f>COUNTIF(C563:G563,"&lt;&gt;0")</f>
        <v/>
      </c>
      <c r="I563" s="94">
        <f>IF(H563=0,"לא מטופל",IF(H563=1,"מטופל - סוכן אחד","מטופל - יותר מסוכן אחד"))</f>
        <v/>
      </c>
    </row>
    <row r="564" ht="15" customHeight="1" s="82">
      <c r="A564" s="94" t="inlineStr">
        <is>
          <t>שופרסל BE</t>
        </is>
      </c>
      <c r="B564" s="94" t="inlineStr">
        <is>
          <t>787 חמדת אריאל BE</t>
        </is>
      </c>
      <c r="C564" s="111" t="n">
        <v>0</v>
      </c>
      <c r="D564" s="111" t="n">
        <v>0</v>
      </c>
      <c r="E564" s="111" t="n">
        <v>3852.7</v>
      </c>
      <c r="F564" s="111" t="n">
        <v>0</v>
      </c>
      <c r="G564" s="111" t="n">
        <v>0</v>
      </c>
      <c r="H564" s="94">
        <f>COUNTIF(C564:G564,"&lt;&gt;0")</f>
        <v/>
      </c>
      <c r="I564" s="94">
        <f>IF(H564=0,"לא מטופל",IF(H564=1,"מטופל - סוכן אחד","מטופל - יותר מסוכן אחד"))</f>
        <v/>
      </c>
    </row>
    <row r="565" ht="15" customHeight="1" s="82">
      <c r="A565" s="94" t="inlineStr">
        <is>
          <t>שופרסל BE</t>
        </is>
      </c>
      <c r="B565" s="94" t="inlineStr">
        <is>
          <t>782 שיין ראשל""צ BE</t>
        </is>
      </c>
      <c r="C565" s="111" t="n">
        <v>2171.3</v>
      </c>
      <c r="D565" s="111" t="n">
        <v>0</v>
      </c>
      <c r="E565" s="111" t="n">
        <v>0</v>
      </c>
      <c r="F565" s="111" t="n">
        <v>0</v>
      </c>
      <c r="G565" s="111" t="n">
        <v>0</v>
      </c>
      <c r="H565" s="94">
        <f>COUNTIF(C565:G565,"&lt;&gt;0")</f>
        <v/>
      </c>
      <c r="I565" s="94">
        <f>IF(H565=0,"לא מטופל",IF(H565=1,"מטופל - סוכן אחד","מטופל - יותר מסוכן אחד"))</f>
        <v/>
      </c>
    </row>
    <row r="566" ht="15" customHeight="1" s="82">
      <c r="A566" s="94" t="inlineStr">
        <is>
          <t>שופרסל BE</t>
        </is>
      </c>
      <c r="B566" s="94" t="inlineStr">
        <is>
          <t>רחובות קרית משה אמטל BE</t>
        </is>
      </c>
      <c r="C566" s="111" t="n">
        <v>0</v>
      </c>
      <c r="D566" s="111" t="n">
        <v>0</v>
      </c>
      <c r="E566" s="111" t="n">
        <v>0</v>
      </c>
      <c r="F566" s="111" t="n">
        <v>0</v>
      </c>
      <c r="G566" s="111" t="n">
        <v>8451.200000000001</v>
      </c>
      <c r="H566" s="94">
        <f>COUNTIF(C566:G566,"&lt;&gt;0")</f>
        <v/>
      </c>
      <c r="I566" s="94">
        <f>IF(H566=0,"לא מטופל",IF(H566=1,"מטופל - סוכן אחד","מטופל - יותר מסוכן אחד"))</f>
        <v/>
      </c>
    </row>
    <row r="567" ht="15" customHeight="1" s="82">
      <c r="A567" s="94" t="inlineStr">
        <is>
          <t>שופרסל BE</t>
        </is>
      </c>
      <c r="B567" s="94" t="inlineStr">
        <is>
          <t>762 אושיסקין רמת השרון BE</t>
        </is>
      </c>
      <c r="C567" s="111" t="n">
        <v>6540.5</v>
      </c>
      <c r="D567" s="111" t="n">
        <v>0</v>
      </c>
      <c r="E567" s="111" t="n">
        <v>0</v>
      </c>
      <c r="F567" s="111" t="n">
        <v>0</v>
      </c>
      <c r="G567" s="111" t="n">
        <v>0</v>
      </c>
      <c r="H567" s="94">
        <f>COUNTIF(C567:G567,"&lt;&gt;0")</f>
        <v/>
      </c>
      <c r="I567" s="94">
        <f>IF(H567=0,"לא מטופל",IF(H567=1,"מטופל - סוכן אחד","מטופל - יותר מסוכן אחד"))</f>
        <v/>
      </c>
    </row>
    <row r="568" ht="15" customHeight="1" s="82">
      <c r="A568" s="94" t="inlineStr">
        <is>
          <t>שופרסל BE</t>
        </is>
      </c>
      <c r="B568" s="94" t="inlineStr">
        <is>
          <t>781 פרישמן ת""א BE</t>
        </is>
      </c>
      <c r="C568" s="111" t="n">
        <v>4360.7</v>
      </c>
      <c r="D568" s="111" t="n">
        <v>0</v>
      </c>
      <c r="E568" s="111" t="n">
        <v>0</v>
      </c>
      <c r="F568" s="111" t="n">
        <v>0</v>
      </c>
      <c r="G568" s="111" t="n">
        <v>0</v>
      </c>
      <c r="H568" s="94">
        <f>COUNTIF(C568:G568,"&lt;&gt;0")</f>
        <v/>
      </c>
      <c r="I568" s="94">
        <f>IF(H568=0,"לא מטופל",IF(H568=1,"מטופל - סוכן אחד","מטופל - יותר מסוכן אחד"))</f>
        <v/>
      </c>
    </row>
    <row r="569" ht="15" customHeight="1" s="82">
      <c r="A569" s="94" t="inlineStr">
        <is>
          <t>שופרסל BE</t>
        </is>
      </c>
      <c r="B569" s="94" t="inlineStr">
        <is>
          <t>דיל עמק חפר BE</t>
        </is>
      </c>
      <c r="C569" s="111" t="n">
        <v>0</v>
      </c>
      <c r="D569" s="111" t="n">
        <v>5436.9</v>
      </c>
      <c r="E569" s="111" t="n">
        <v>0</v>
      </c>
      <c r="F569" s="111" t="n">
        <v>0</v>
      </c>
      <c r="G569" s="111" t="n">
        <v>0</v>
      </c>
      <c r="H569" s="94">
        <f>COUNTIF(C569:G569,"&lt;&gt;0")</f>
        <v/>
      </c>
      <c r="I569" s="94">
        <f>IF(H569=0,"לא מטופל",IF(H569=1,"מטופל - סוכן אחד","מטופל - יותר מסוכן אחד"))</f>
        <v/>
      </c>
    </row>
    <row r="570" ht="15" customHeight="1" s="82">
      <c r="A570" s="94" t="inlineStr">
        <is>
          <t>שופרסל BE</t>
        </is>
      </c>
      <c r="B570" s="94" t="inlineStr">
        <is>
          <t>242 ויוה חדרה BE</t>
        </is>
      </c>
      <c r="C570" s="111" t="n">
        <v>0</v>
      </c>
      <c r="D570" s="111" t="n">
        <v>7673.3</v>
      </c>
      <c r="E570" s="111" t="n">
        <v>0</v>
      </c>
      <c r="F570" s="111" t="n">
        <v>0</v>
      </c>
      <c r="G570" s="111" t="n">
        <v>0</v>
      </c>
      <c r="H570" s="94">
        <f>COUNTIF(C570:G570,"&lt;&gt;0")</f>
        <v/>
      </c>
      <c r="I570" s="94">
        <f>IF(H570=0,"לא מטופל",IF(H570=1,"מטופל - סוכן אחד","מטופל - יותר מסוכן אחד"))</f>
        <v/>
      </c>
    </row>
    <row r="571" ht="15" customHeight="1" s="82">
      <c r="A571" s="94" t="inlineStr">
        <is>
          <t>שופרסל BE</t>
        </is>
      </c>
      <c r="B571" s="94" t="inlineStr">
        <is>
          <t>763 שפרעם BE</t>
        </is>
      </c>
      <c r="C571" s="111" t="n">
        <v>0</v>
      </c>
      <c r="D571" s="111" t="n">
        <v>2657.2</v>
      </c>
      <c r="E571" s="111" t="n">
        <v>0</v>
      </c>
      <c r="F571" s="111" t="n">
        <v>0</v>
      </c>
      <c r="G571" s="111" t="n">
        <v>0</v>
      </c>
      <c r="H571" s="94">
        <f>COUNTIF(C571:G571,"&lt;&gt;0")</f>
        <v/>
      </c>
      <c r="I571" s="94">
        <f>IF(H571=0,"לא מטופל",IF(H571=1,"מטופל - סוכן אחד","מטופל - יותר מסוכן אחד"))</f>
        <v/>
      </c>
    </row>
    <row r="572" ht="15" customHeight="1" s="82">
      <c r="A572" s="94" t="inlineStr">
        <is>
          <t>שופרסל BE</t>
        </is>
      </c>
      <c r="B572" s="94" t="inlineStr">
        <is>
          <t>(128)שופרסל ב. טירת הכרמל BE</t>
        </is>
      </c>
      <c r="C572" s="111" t="n">
        <v>0</v>
      </c>
      <c r="D572" s="111" t="n">
        <v>12780.3</v>
      </c>
      <c r="E572" s="111" t="n">
        <v>0</v>
      </c>
      <c r="F572" s="111" t="n">
        <v>0</v>
      </c>
      <c r="G572" s="111" t="n">
        <v>0</v>
      </c>
      <c r="H572" s="94">
        <f>COUNTIF(C572:G572,"&lt;&gt;0")</f>
        <v/>
      </c>
      <c r="I572" s="94">
        <f>IF(H572=0,"לא מטופל",IF(H572=1,"מטופל - סוכן אחד","מטופל - יותר מסוכן אחד"))</f>
        <v/>
      </c>
    </row>
    <row r="573" ht="15" customHeight="1" s="82">
      <c r="A573" s="94" t="inlineStr">
        <is>
          <t>שופרסל BE</t>
        </is>
      </c>
      <c r="B573" s="94" t="inlineStr">
        <is>
          <t>715 אגמים אשקלון BE</t>
        </is>
      </c>
      <c r="C573" s="111" t="n">
        <v>0</v>
      </c>
      <c r="D573" s="111" t="n">
        <v>0</v>
      </c>
      <c r="E573" s="111" t="n">
        <v>0</v>
      </c>
      <c r="F573" s="111" t="n">
        <v>0</v>
      </c>
      <c r="G573" s="111" t="n">
        <v>3474.8</v>
      </c>
      <c r="H573" s="94">
        <f>COUNTIF(C573:G573,"&lt;&gt;0")</f>
        <v/>
      </c>
      <c r="I573" s="94">
        <f>IF(H573=0,"לא מטופל",IF(H573=1,"מטופל - סוכן אחד","מטופל - יותר מסוכן אחד"))</f>
        <v/>
      </c>
    </row>
    <row r="574" ht="15" customHeight="1" s="82">
      <c r="A574" s="94" t="inlineStr">
        <is>
          <t>שופרסל BE</t>
        </is>
      </c>
      <c r="B574" s="94" t="inlineStr">
        <is>
          <t>716 מול 7 באר שבע BE</t>
        </is>
      </c>
      <c r="C574" s="111" t="n">
        <v>0</v>
      </c>
      <c r="D574" s="111" t="n">
        <v>0</v>
      </c>
      <c r="E574" s="111" t="n">
        <v>3203.6</v>
      </c>
      <c r="F574" s="111" t="n">
        <v>0</v>
      </c>
      <c r="G574" s="111" t="n">
        <v>0</v>
      </c>
      <c r="H574" s="94">
        <f>COUNTIF(C574:G574,"&lt;&gt;0")</f>
        <v/>
      </c>
      <c r="I574" s="94">
        <f>IF(H574=0,"לא מטופל",IF(H574=1,"מטופל - סוכן אחד","מטופל - יותר מסוכן אחד"))</f>
        <v/>
      </c>
    </row>
    <row r="575" ht="15" customHeight="1" s="82">
      <c r="A575" s="94" t="inlineStr">
        <is>
          <t>שופרסל BE</t>
        </is>
      </c>
      <c r="B575" s="94" t="inlineStr">
        <is>
          <t>352 טייבה BE</t>
        </is>
      </c>
      <c r="C575" s="111" t="n">
        <v>0</v>
      </c>
      <c r="D575" s="111" t="n">
        <v>0</v>
      </c>
      <c r="E575" s="111" t="n">
        <v>9111.1</v>
      </c>
      <c r="F575" s="111" t="n">
        <v>0</v>
      </c>
      <c r="G575" s="111" t="n">
        <v>0</v>
      </c>
      <c r="H575" s="94">
        <f>COUNTIF(C575:G575,"&lt;&gt;0")</f>
        <v/>
      </c>
      <c r="I575" s="94">
        <f>IF(H575=0,"לא מטופל",IF(H575=1,"מטופל - סוכן אחד","מטופל - יותר מסוכן אחד"))</f>
        <v/>
      </c>
    </row>
    <row r="576" ht="15" customHeight="1" s="82">
      <c r="A576" s="94" t="inlineStr">
        <is>
          <t>שופרסל BE</t>
        </is>
      </c>
      <c r="B576" s="94" t="inlineStr">
        <is>
          <t>482 נווה דורון רמלה BE</t>
        </is>
      </c>
      <c r="C576" s="111" t="n">
        <v>0</v>
      </c>
      <c r="D576" s="111" t="n">
        <v>0</v>
      </c>
      <c r="E576" s="111" t="n">
        <v>2806.2</v>
      </c>
      <c r="F576" s="111" t="n">
        <v>0</v>
      </c>
      <c r="G576" s="111" t="n">
        <v>0</v>
      </c>
      <c r="H576" s="94">
        <f>COUNTIF(C576:G576,"&lt;&gt;0")</f>
        <v/>
      </c>
      <c r="I576" s="94">
        <f>IF(H576=0,"לא מטופל",IF(H576=1,"מטופל - סוכן אחד","מטופל - יותר מסוכן אחד"))</f>
        <v/>
      </c>
    </row>
    <row r="577" ht="15" customHeight="1" s="82">
      <c r="A577" s="94" t="inlineStr">
        <is>
          <t>שופרסל BE</t>
        </is>
      </c>
      <c r="B577" s="94" t="inlineStr">
        <is>
          <t>172 באר יעקב BE</t>
        </is>
      </c>
      <c r="C577" s="111" t="n">
        <v>5026.8</v>
      </c>
      <c r="D577" s="111" t="n">
        <v>0</v>
      </c>
      <c r="E577" s="111" t="n">
        <v>0</v>
      </c>
      <c r="F577" s="111" t="n">
        <v>0</v>
      </c>
      <c r="G577" s="111" t="n">
        <v>0</v>
      </c>
      <c r="H577" s="94">
        <f>COUNTIF(C577:G577,"&lt;&gt;0")</f>
        <v/>
      </c>
      <c r="I577" s="94">
        <f>IF(H577=0,"לא מטופל",IF(H577=1,"מטופל - סוכן אחד","מטופל - יותר מסוכן אחד"))</f>
        <v/>
      </c>
    </row>
    <row r="578" ht="15" customHeight="1" s="82">
      <c r="A578" s="94" t="inlineStr">
        <is>
          <t>שופרסל BE</t>
        </is>
      </c>
      <c r="B578" s="94" t="inlineStr">
        <is>
          <t>713 אור ים אור עקיבא BE</t>
        </is>
      </c>
      <c r="C578" s="111" t="n">
        <v>0</v>
      </c>
      <c r="D578" s="111" t="n">
        <v>4902.6</v>
      </c>
      <c r="E578" s="111" t="n">
        <v>0</v>
      </c>
      <c r="F578" s="111" t="n">
        <v>0</v>
      </c>
      <c r="G578" s="111" t="n">
        <v>0</v>
      </c>
      <c r="H578" s="94">
        <f>COUNTIF(C578:G578,"&lt;&gt;0")</f>
        <v/>
      </c>
      <c r="I578" s="94">
        <f>IF(H578=0,"לא מטופל",IF(H578=1,"מטופל - סוכן אחד","מטופל - יותר מסוכן אחד"))</f>
        <v/>
      </c>
    </row>
    <row r="579" ht="15" customHeight="1" s="82">
      <c r="A579" s="94" t="inlineStr">
        <is>
          <t>שופרסל BE</t>
        </is>
      </c>
      <c r="B579" s="94" t="inlineStr">
        <is>
          <t>714 סכנין BE</t>
        </is>
      </c>
      <c r="C579" s="111" t="n">
        <v>0</v>
      </c>
      <c r="D579" s="111" t="n">
        <v>6230.1</v>
      </c>
      <c r="E579" s="111" t="n">
        <v>0</v>
      </c>
      <c r="F579" s="111" t="n">
        <v>0</v>
      </c>
      <c r="G579" s="111" t="n">
        <v>0</v>
      </c>
      <c r="H579" s="94">
        <f>COUNTIF(C579:G579,"&lt;&gt;0")</f>
        <v/>
      </c>
      <c r="I579" s="94">
        <f>IF(H579=0,"לא מטופל",IF(H579=1,"מטופל - סוכן אחד","מטופל - יותר מסוכן אחד"))</f>
        <v/>
      </c>
    </row>
    <row r="580" ht="15" customHeight="1" s="82">
      <c r="A580" s="94" t="inlineStr">
        <is>
          <t>שופרסל BE</t>
        </is>
      </c>
      <c r="B580" s="94" t="inlineStr">
        <is>
          <t>712  עין הים חדרה BE</t>
        </is>
      </c>
      <c r="C580" s="111" t="n">
        <v>0</v>
      </c>
      <c r="D580" s="111" t="n">
        <v>2949.4</v>
      </c>
      <c r="E580" s="111" t="n">
        <v>0</v>
      </c>
      <c r="F580" s="111" t="n">
        <v>0</v>
      </c>
      <c r="G580" s="111" t="n">
        <v>0</v>
      </c>
      <c r="H580" s="94">
        <f>COUNTIF(C580:G580,"&lt;&gt;0")</f>
        <v/>
      </c>
      <c r="I580" s="94">
        <f>IF(H580=0,"לא מטופל",IF(H580=1,"מטופל - סוכן אחד","מטופל - יותר מסוכן אחד"))</f>
        <v/>
      </c>
    </row>
    <row r="581" ht="15" customHeight="1" s="82">
      <c r="A581" s="94" t="inlineStr">
        <is>
          <t>שופרסל BE</t>
        </is>
      </c>
      <c r="B581" s="94" t="inlineStr">
        <is>
          <t>112 מוצקין BE</t>
        </is>
      </c>
      <c r="C581" s="111" t="n">
        <v>0</v>
      </c>
      <c r="D581" s="111" t="n">
        <v>1282.6</v>
      </c>
      <c r="E581" s="111" t="n">
        <v>0</v>
      </c>
      <c r="F581" s="111" t="n">
        <v>0</v>
      </c>
      <c r="G581" s="111" t="n">
        <v>0</v>
      </c>
      <c r="H581" s="94">
        <f>COUNTIF(C581:G581,"&lt;&gt;0")</f>
        <v/>
      </c>
      <c r="I581" s="94">
        <f>IF(H581=0,"לא מטופל",IF(H581=1,"מטופל - סוכן אחד","מטופל - יותר מסוכן אחד"))</f>
        <v/>
      </c>
    </row>
    <row r="582" ht="15" customHeight="1" s="82">
      <c r="A582" s="94" t="inlineStr">
        <is>
          <t>שופרסל BE</t>
        </is>
      </c>
      <c r="B582" s="94" t="inlineStr">
        <is>
          <t>שופרסל ב.אלונים)098(-זיכויים</t>
        </is>
      </c>
      <c r="C582" s="111" t="n">
        <v>0</v>
      </c>
      <c r="D582" s="111" t="n">
        <v>0</v>
      </c>
      <c r="E582" s="111" t="n">
        <v>-414</v>
      </c>
      <c r="F582" s="111" t="n">
        <v>0</v>
      </c>
      <c r="G582" s="111" t="n">
        <v>0</v>
      </c>
      <c r="H582" s="94">
        <f>COUNTIF(C582:G582,"&lt;&gt;0")</f>
        <v/>
      </c>
      <c r="I582" s="94">
        <f>IF(H582=0,"לא מטופל",IF(H582=1,"מטופל - סוכן אחד","מטופל - יותר מסוכן אחד"))</f>
        <v/>
      </c>
    </row>
    <row r="583" ht="15" customHeight="1" s="82">
      <c r="A583" s="94" t="inlineStr">
        <is>
          <t>שופרסל BE</t>
        </is>
      </c>
      <c r="B583" s="94" t="inlineStr">
        <is>
          <t>518 כפר קרע BE</t>
        </is>
      </c>
      <c r="C583" s="111" t="n">
        <v>0</v>
      </c>
      <c r="D583" s="111" t="n">
        <v>2759.6</v>
      </c>
      <c r="E583" s="111" t="n">
        <v>0</v>
      </c>
      <c r="F583" s="111" t="n">
        <v>0</v>
      </c>
      <c r="G583" s="111" t="n">
        <v>0</v>
      </c>
      <c r="H583" s="94">
        <f>COUNTIF(C583:G583,"&lt;&gt;0")</f>
        <v/>
      </c>
      <c r="I583" s="94">
        <f>IF(H583=0,"לא מטופל",IF(H583=1,"מטופל - סוכן אחד","מטופל - יותר מסוכן אחד"))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00B050"/>
    <outlinePr summaryBelow="1" summaryRight="1"/>
    <pageSetUpPr fitToPage="0"/>
  </sheetPr>
  <dimension ref="A1:D15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B12" activeCellId="0" sqref="B12"/>
    </sheetView>
  </sheetViews>
  <sheetFormatPr baseColWidth="8" defaultColWidth="8.57421875" defaultRowHeight="15" zeroHeight="0" outlineLevelRow="0"/>
  <cols>
    <col width="32" customWidth="1" style="81" min="1" max="1"/>
    <col width="20" customWidth="1" style="81" min="2" max="4"/>
  </cols>
  <sheetData>
    <row r="1" ht="16.5" customHeight="1" s="82">
      <c r="A1" s="113" t="inlineStr">
        <is>
          <t>Doors by channel 25&amp;26 — מספר לקוחות (דלתות) וחשבוניות לפי ערוץ, 2025 מול 2026</t>
        </is>
      </c>
    </row>
    <row r="2" ht="15" customHeight="1" s="82">
      <c r="A2" s="98" t="inlineStr">
        <is>
          <t>מקור:</t>
        </is>
      </c>
      <c r="B2" s="109" t="inlineStr">
        <is>
          <t>CustomSalesbyCustomerSummary965.xlsx (NetSuite, Custom Sales by Customer Summary)</t>
        </is>
      </c>
    </row>
    <row r="3" ht="15" customHeight="1" s="82">
      <c r="A3" s="98" t="inlineStr">
        <is>
          <t>טווח תאריכים במקור:</t>
        </is>
      </c>
      <c r="B3" s="109" t="inlineStr">
        <is>
          <t>01 January 2025 - 31 October 2026</t>
        </is>
      </c>
    </row>
    <row r="4" ht="15" customHeight="1" s="82">
      <c r="A4" s="98" t="inlineStr">
        <is>
          <t>תאריך חישוב:</t>
        </is>
      </c>
      <c r="B4" s="114" t="n">
        <v>46297</v>
      </c>
    </row>
    <row r="5" ht="15" customHeight="1" s="82">
      <c r="A5" s="98" t="inlineStr">
        <is>
          <t>הגדרת "חשבונית":</t>
        </is>
      </c>
      <c r="B5" s="109" t="inlineStr">
        <is>
          <t>מסמכים שמספרם (Document Number) מתחיל ב-"INV" בלבד. CM (Credit Memo) ו-CS (Cash Sale) אינם נספרים — ראו גיליון "הערות שיטה".</t>
        </is>
      </c>
    </row>
    <row r="7" ht="26.25" customHeight="1" s="82">
      <c r="A7" s="104" t="inlineStr">
        <is>
          <t>ערוץ (קוד+שם)</t>
        </is>
      </c>
      <c r="B7" s="104" t="inlineStr">
        <is>
          <t>מספר לקוחות (דלתות)</t>
        </is>
      </c>
      <c r="C7" s="104" t="inlineStr">
        <is>
          <t>חשבוניות 2025</t>
        </is>
      </c>
      <c r="D7" s="104" t="inlineStr">
        <is>
          <t>חשבוניות 2026</t>
        </is>
      </c>
    </row>
    <row r="8" ht="15" customHeight="1" s="82">
      <c r="A8" s="115" t="inlineStr">
        <is>
          <t>102 - Orthopedic institutes</t>
        </is>
      </c>
      <c r="B8" s="106">
        <f>SUMPRODUCT((RawData!$A$2:$A$2208=$A8)/COUNTIFS(RawData!$A$2:$A$2208,RawData!$A$2:$A$2208,RawData!$B$2:$B$2208,RawData!$B$2:$B$2208))</f>
        <v/>
      </c>
      <c r="C8" s="106">
        <f>COUNTIFS(RawData!$A$2:$A$2208,$A8,RawData!$D$2:$D$2208,"INV",RawData!$E$2:$E$2208,"&lt;&gt;0")</f>
        <v/>
      </c>
      <c r="D8" s="106">
        <f>COUNTIFS(RawData!$A$2:$A$2208,$A8,RawData!$D$2:$D$2208,"INV",RawData!$G$2:$G$2208,"&lt;&gt;0")</f>
        <v/>
      </c>
    </row>
    <row r="9" ht="15" customHeight="1" s="82">
      <c r="A9" s="115" t="inlineStr">
        <is>
          <t>103 - Physiotherapy institutes</t>
        </is>
      </c>
      <c r="B9" s="106">
        <f>SUMPRODUCT((RawData!$A$2:$A$2208=$A9)/COUNTIFS(RawData!$A$2:$A$2208,RawData!$A$2:$A$2208,RawData!$B$2:$B$2208,RawData!$B$2:$B$2208))</f>
        <v/>
      </c>
      <c r="C9" s="106">
        <f>COUNTIFS(RawData!$A$2:$A$2208,$A9,RawData!$D$2:$D$2208,"INV",RawData!$E$2:$E$2208,"&lt;&gt;0")</f>
        <v/>
      </c>
      <c r="D9" s="106">
        <f>COUNTIFS(RawData!$A$2:$A$2208,$A9,RawData!$D$2:$D$2208,"INV",RawData!$G$2:$G$2208,"&lt;&gt;0")</f>
        <v/>
      </c>
    </row>
    <row r="10" ht="15" customHeight="1" s="82">
      <c r="A10" s="115" t="inlineStr">
        <is>
          <t>104 - Sports Shop</t>
        </is>
      </c>
      <c r="B10" s="106">
        <f>SUMPRODUCT((RawData!$A$2:$A$2208=$A10)/COUNTIFS(RawData!$A$2:$A$2208,RawData!$A$2:$A$2208,RawData!$B$2:$B$2208,RawData!$B$2:$B$2208))</f>
        <v/>
      </c>
      <c r="C10" s="106">
        <f>COUNTIFS(RawData!$A$2:$A$2208,$A10,RawData!$D$2:$D$2208,"INV",RawData!$E$2:$E$2208,"&lt;&gt;0")</f>
        <v/>
      </c>
      <c r="D10" s="106">
        <f>COUNTIFS(RawData!$A$2:$A$2208,$A10,RawData!$D$2:$D$2208,"INV",RawData!$G$2:$G$2208,"&lt;&gt;0")</f>
        <v/>
      </c>
    </row>
    <row r="11" ht="15" customHeight="1" s="82">
      <c r="A11" s="115" t="inlineStr">
        <is>
          <t>105 - Pedicure Salons</t>
        </is>
      </c>
      <c r="B11" s="106">
        <f>SUMPRODUCT((RawData!$A$2:$A$2208=$A11)/COUNTIFS(RawData!$A$2:$A$2208,RawData!$A$2:$A$2208,RawData!$B$2:$B$2208,RawData!$B$2:$B$2208))</f>
        <v/>
      </c>
      <c r="C11" s="106">
        <f>COUNTIFS(RawData!$A$2:$A$2208,$A11,RawData!$D$2:$D$2208,"INV",RawData!$E$2:$E$2208,"&lt;&gt;0")</f>
        <v/>
      </c>
      <c r="D11" s="106">
        <f>COUNTIFS(RawData!$A$2:$A$2208,$A11,RawData!$D$2:$D$2208,"INV",RawData!$G$2:$G$2208,"&lt;&gt;0")</f>
        <v/>
      </c>
    </row>
    <row r="12" ht="15" customHeight="1" s="82">
      <c r="A12" s="115" t="inlineStr">
        <is>
          <t>107 - Pharmacies</t>
        </is>
      </c>
      <c r="B12" s="106">
        <f>SUMPRODUCT((RawData!$A$2:$A$2208=$A12)/COUNTIFS(RawData!$A$2:$A$2208,RawData!$A$2:$A$2208,RawData!$B$2:$B$2208,RawData!$B$2:$B$2208))</f>
        <v/>
      </c>
      <c r="C12" s="106">
        <f>COUNTIFS(RawData!$A$2:$A$2208,$A12,RawData!$D$2:$D$2208,"INV",RawData!$E$2:$E$2208,"&lt;&gt;0")</f>
        <v/>
      </c>
      <c r="D12" s="106">
        <f>COUNTIFS(RawData!$A$2:$A$2208,$A12,RawData!$D$2:$D$2208,"INV",RawData!$G$2:$G$2208,"&lt;&gt;0")</f>
        <v/>
      </c>
    </row>
    <row r="13" ht="15" customHeight="1" s="82">
      <c r="A13" s="115" t="inlineStr">
        <is>
          <t>108 - Shoe Stores</t>
        </is>
      </c>
      <c r="B13" s="106">
        <f>SUMPRODUCT((RawData!$A$2:$A$2208=$A13)/COUNTIFS(RawData!$A$2:$A$2208,RawData!$A$2:$A$2208,RawData!$B$2:$B$2208,RawData!$B$2:$B$2208))</f>
        <v/>
      </c>
      <c r="C13" s="106">
        <f>COUNTIFS(RawData!$A$2:$A$2208,$A13,RawData!$D$2:$D$2208,"INV",RawData!$E$2:$E$2208,"&lt;&gt;0")</f>
        <v/>
      </c>
      <c r="D13" s="106">
        <f>COUNTIFS(RawData!$A$2:$A$2208,$A13,RawData!$D$2:$D$2208,"INV",RawData!$G$2:$G$2208,"&lt;&gt;0")</f>
        <v/>
      </c>
    </row>
    <row r="14" ht="15" customHeight="1" s="82">
      <c r="A14" s="115" t="inlineStr">
        <is>
          <t>109 - Private Shops</t>
        </is>
      </c>
      <c r="B14" s="106">
        <f>SUMPRODUCT((RawData!$A$2:$A$2208=$A14)/COUNTIFS(RawData!$A$2:$A$2208,RawData!$A$2:$A$2208,RawData!$B$2:$B$2208,RawData!$B$2:$B$2208))</f>
        <v/>
      </c>
      <c r="C14" s="106">
        <f>COUNTIFS(RawData!$A$2:$A$2208,$A14,RawData!$D$2:$D$2208,"INV",RawData!$E$2:$E$2208,"&lt;&gt;0")</f>
        <v/>
      </c>
      <c r="D14" s="106">
        <f>COUNTIFS(RawData!$A$2:$A$2208,$A14,RawData!$D$2:$D$2208,"INV",RawData!$G$2:$G$2208,"&lt;&gt;0")</f>
        <v/>
      </c>
    </row>
    <row r="15" ht="15" customHeight="1" s="82">
      <c r="A15" s="107" t="inlineStr">
        <is>
          <t>סה"כ 7 הערוצים</t>
        </is>
      </c>
      <c r="B15" s="116">
        <f>SUM(B8:B14)</f>
        <v/>
      </c>
      <c r="C15" s="116">
        <f>SUM(C8:C14)</f>
        <v/>
      </c>
      <c r="D15" s="116">
        <f>SUM(D8:D14)</f>
        <v/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00B050"/>
    <outlinePr summaryBelow="1" summaryRight="1"/>
    <pageSetUpPr fitToPage="0"/>
  </sheetPr>
  <dimension ref="A1:F1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C18" activeCellId="0" sqref="C18"/>
    </sheetView>
  </sheetViews>
  <sheetFormatPr baseColWidth="8" defaultColWidth="8.57421875" defaultRowHeight="15" zeroHeight="0" outlineLevelRow="0"/>
  <cols>
    <col width="16" customWidth="1" style="81" min="1" max="1"/>
    <col width="20" customWidth="1" style="81" min="2" max="2"/>
    <col width="22" customWidth="1" style="81" min="3" max="4"/>
    <col width="20" customWidth="1" style="81" min="5" max="6"/>
  </cols>
  <sheetData>
    <row r="1" ht="16.5" customHeight="1" s="82">
      <c r="A1" s="83" t="inlineStr">
        <is>
          <t>השוואת מכר (₪) לפי סוכן — 2025 מול 2026</t>
        </is>
      </c>
    </row>
    <row r="3" ht="15" customHeight="1" s="82">
      <c r="A3" s="93" t="inlineStr">
        <is>
          <t>סוכן</t>
        </is>
      </c>
      <c r="B3" s="93" t="inlineStr">
        <is>
          <t>מכר 2025 (₪, 12 ח׳)</t>
        </is>
      </c>
      <c r="C3" s="93" t="inlineStr">
        <is>
          <t>מכר 2026 גולמי (₪, 9 ח׳)</t>
        </is>
      </c>
      <c r="D3" s="93" t="inlineStr">
        <is>
          <t>מכר 2026 מנורמל (₪, ×12/9)</t>
        </is>
      </c>
      <c r="E3" s="93" t="inlineStr">
        <is>
          <t>% שינוי (מנורמל מול 2025)</t>
        </is>
      </c>
      <c r="F3" s="93" t="inlineStr">
        <is>
          <t>₪ שינוי (מנורמל מול 2025)</t>
        </is>
      </c>
    </row>
    <row r="4" ht="15" customHeight="1" s="82">
      <c r="A4" s="94" t="inlineStr">
        <is>
          <t>חיים וייצמ</t>
        </is>
      </c>
      <c r="B4" s="95">
        <f>SUM('נקודות - מקור 2025'!$C$2:$C$583)</f>
        <v/>
      </c>
      <c r="C4" s="95">
        <f>SUM('נקודות - מקור'!$C$2:$C$564)</f>
        <v/>
      </c>
      <c r="D4" s="95">
        <f>C4*12/9</f>
        <v/>
      </c>
      <c r="E4" s="117">
        <f>IF(B4=0,"",(D4-B4)/B4)</f>
        <v/>
      </c>
      <c r="F4" s="95">
        <f>D4-B4</f>
        <v/>
      </c>
    </row>
    <row r="5" ht="15" customHeight="1" s="82">
      <c r="A5" s="94" t="inlineStr">
        <is>
          <t>חאזם תלחמי</t>
        </is>
      </c>
      <c r="B5" s="95">
        <f>SUM('נקודות - מקור 2025'!$D$2:$D$583)</f>
        <v/>
      </c>
      <c r="C5" s="95">
        <f>SUM('נקודות - מקור'!$D$2:$D$564)</f>
        <v/>
      </c>
      <c r="D5" s="95">
        <f>C5*12/9</f>
        <v/>
      </c>
      <c r="E5" s="117">
        <f>IF(B5=0,"",(D5-B5)/B5)</f>
        <v/>
      </c>
      <c r="F5" s="95">
        <f>D5-B5</f>
        <v/>
      </c>
    </row>
    <row r="6" ht="15" customHeight="1" s="82">
      <c r="A6" s="94" t="inlineStr">
        <is>
          <t>סטאס נסאר</t>
        </is>
      </c>
      <c r="B6" s="95">
        <f>SUM('נקודות - מקור 2025'!$E$2:$E$583)</f>
        <v/>
      </c>
      <c r="C6" s="95">
        <f>SUM('נקודות - מקור'!$E$2:$E$564)</f>
        <v/>
      </c>
      <c r="D6" s="95">
        <f>C6*12/9</f>
        <v/>
      </c>
      <c r="E6" s="117">
        <f>IF(B6=0,"",(D6-B6)/B6)</f>
        <v/>
      </c>
      <c r="F6" s="95">
        <f>D6-B6</f>
        <v/>
      </c>
    </row>
    <row r="7" ht="15" customHeight="1" s="82">
      <c r="A7" s="94" t="inlineStr">
        <is>
          <t>עיסא</t>
        </is>
      </c>
      <c r="B7" s="95">
        <f>SUM('נקודות - מקור 2025'!$F$2:$F$583)</f>
        <v/>
      </c>
      <c r="C7" s="95">
        <f>SUM('נקודות - מקור'!$F$2:$F$564)</f>
        <v/>
      </c>
      <c r="D7" s="95">
        <f>C7*12/9</f>
        <v/>
      </c>
      <c r="E7" s="117">
        <f>IF(B7=0,"",(D7-B7)/B7)</f>
        <v/>
      </c>
      <c r="F7" s="95">
        <f>D7-B7</f>
        <v/>
      </c>
    </row>
    <row r="8" ht="15" customHeight="1" s="82">
      <c r="A8" s="94" t="inlineStr">
        <is>
          <t>.דוד א</t>
        </is>
      </c>
      <c r="B8" s="95">
        <f>SUM('נקודות - מקור 2025'!$G$2:$G$583)</f>
        <v/>
      </c>
      <c r="C8" s="95">
        <f>SUM('נקודות - מקור'!$G$2:$G$564)</f>
        <v/>
      </c>
      <c r="D8" s="95">
        <f>C8*12/9</f>
        <v/>
      </c>
      <c r="E8" s="117">
        <f>IF(B8=0,"",(D8-B8)/B8)</f>
        <v/>
      </c>
      <c r="F8" s="95">
        <f>D8-B8</f>
        <v/>
      </c>
    </row>
    <row r="9" ht="15" customHeight="1" s="82">
      <c r="A9" s="96" t="inlineStr">
        <is>
          <t>סה"כ</t>
        </is>
      </c>
      <c r="B9" s="97">
        <f>SUM(B4:B8)</f>
        <v/>
      </c>
      <c r="C9" s="97">
        <f>SUM(C4:C8)</f>
        <v/>
      </c>
      <c r="D9" s="97">
        <f>SUM(D4:D8)</f>
        <v/>
      </c>
      <c r="E9" s="118">
        <f>IF(B9=0,"",(D9-B9)/B9)</f>
        <v/>
      </c>
      <c r="F9" s="97">
        <f>SUM(F4:F8)</f>
        <v/>
      </c>
    </row>
    <row r="11" ht="15" customHeight="1" s="82">
      <c r="A11" s="9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E85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9" activeCellId="0" sqref="C29"/>
    </sheetView>
  </sheetViews>
  <sheetFormatPr baseColWidth="8" defaultColWidth="8.57421875" defaultRowHeight="15" zeroHeight="0" outlineLevelRow="0"/>
  <cols>
    <col width="22" customWidth="1" style="81" min="1" max="1"/>
    <col width="32" customWidth="1" style="81" min="2" max="2"/>
    <col width="10" customWidth="1" style="81" min="3" max="3"/>
    <col width="20" customWidth="1" style="81" min="4" max="4"/>
    <col width="18" customWidth="1" style="81" min="5" max="5"/>
  </cols>
  <sheetData>
    <row r="1" ht="15" customHeight="1" s="82">
      <c r="A1" s="112" t="inlineStr">
        <is>
          <t>סוכן</t>
        </is>
      </c>
      <c r="B1" s="112" t="inlineStr">
        <is>
          <t>ערוץ (קוד+שם)</t>
        </is>
      </c>
      <c r="C1" s="112" t="inlineStr">
        <is>
          <t>שנה</t>
        </is>
      </c>
      <c r="D1" s="112" t="inlineStr">
        <is>
          <t>מספר לקוחות (דלתות)</t>
        </is>
      </c>
      <c r="E1" s="112" t="inlineStr">
        <is>
          <t>סה"כ מכר (₪)</t>
        </is>
      </c>
    </row>
    <row r="2" ht="15" customHeight="1" s="82">
      <c r="A2" s="94" t="inlineStr">
        <is>
          <t>אמזלג × מירב שירה</t>
        </is>
      </c>
      <c r="B2" s="94" t="inlineStr">
        <is>
          <t>102 - Orthopedic institutes</t>
        </is>
      </c>
      <c r="C2" s="94" t="n">
        <v>2025</v>
      </c>
      <c r="D2" s="95" t="n">
        <v>3</v>
      </c>
      <c r="E2" s="95" t="n">
        <v>25159.06</v>
      </c>
    </row>
    <row r="3" ht="15" customHeight="1" s="82">
      <c r="A3" s="94" t="inlineStr">
        <is>
          <t>אמזלג × מירב שירה</t>
        </is>
      </c>
      <c r="B3" s="94" t="inlineStr">
        <is>
          <t>103 - Physiotherapy institutes</t>
        </is>
      </c>
      <c r="C3" s="94" t="n">
        <v>2025</v>
      </c>
      <c r="D3" s="95" t="n">
        <v>3</v>
      </c>
      <c r="E3" s="95" t="n">
        <v>19548.06</v>
      </c>
    </row>
    <row r="4" ht="15" customHeight="1" s="82">
      <c r="A4" s="94" t="inlineStr">
        <is>
          <t>אמזלג × מירב שירה</t>
        </is>
      </c>
      <c r="B4" s="94" t="inlineStr">
        <is>
          <t>104 - Sports Shop</t>
        </is>
      </c>
      <c r="C4" s="94" t="n">
        <v>2025</v>
      </c>
      <c r="D4" s="95" t="n">
        <v>0</v>
      </c>
      <c r="E4" s="95" t="n">
        <v>0</v>
      </c>
    </row>
    <row r="5" ht="15" customHeight="1" s="82">
      <c r="A5" s="94" t="inlineStr">
        <is>
          <t>אמזלג × מירב שירה</t>
        </is>
      </c>
      <c r="B5" s="94" t="inlineStr">
        <is>
          <t>105 - Pedicure Salons</t>
        </is>
      </c>
      <c r="C5" s="94" t="n">
        <v>2025</v>
      </c>
      <c r="D5" s="95" t="n">
        <v>0</v>
      </c>
      <c r="E5" s="95" t="n">
        <v>0</v>
      </c>
    </row>
    <row r="6" ht="15" customHeight="1" s="82">
      <c r="A6" s="94" t="inlineStr">
        <is>
          <t>אמזלג × מירב שירה</t>
        </is>
      </c>
      <c r="B6" s="94" t="inlineStr">
        <is>
          <t>107 - Pharmacies</t>
        </is>
      </c>
      <c r="C6" s="94" t="n">
        <v>2025</v>
      </c>
      <c r="D6" s="95" t="n">
        <v>0</v>
      </c>
      <c r="E6" s="95" t="n">
        <v>0</v>
      </c>
    </row>
    <row r="7" ht="15" customHeight="1" s="82">
      <c r="A7" s="94" t="inlineStr">
        <is>
          <t>אמזלג × מירב שירה</t>
        </is>
      </c>
      <c r="B7" s="94" t="inlineStr">
        <is>
          <t>108 - Shoe Stores</t>
        </is>
      </c>
      <c r="C7" s="94" t="n">
        <v>2025</v>
      </c>
      <c r="D7" s="95" t="n">
        <v>1</v>
      </c>
      <c r="E7" s="95" t="n">
        <v>19065.38</v>
      </c>
    </row>
    <row r="8" ht="15" customHeight="1" s="82">
      <c r="A8" s="94" t="inlineStr">
        <is>
          <t>אמזלג × מירב שירה</t>
        </is>
      </c>
      <c r="B8" s="94" t="inlineStr">
        <is>
          <t>109 - Private Shops</t>
        </is>
      </c>
      <c r="C8" s="94" t="n">
        <v>2025</v>
      </c>
      <c r="D8" s="95" t="n">
        <v>3</v>
      </c>
      <c r="E8" s="95" t="n">
        <v>4676.89</v>
      </c>
    </row>
    <row r="9" ht="15" customHeight="1" s="82">
      <c r="A9" s="94" t="inlineStr">
        <is>
          <t>אזולאי דוד</t>
        </is>
      </c>
      <c r="B9" s="94" t="inlineStr">
        <is>
          <t>102 - Orthopedic institutes</t>
        </is>
      </c>
      <c r="C9" s="94" t="n">
        <v>2025</v>
      </c>
      <c r="D9" s="95" t="n">
        <v>27</v>
      </c>
      <c r="E9" s="95" t="n">
        <v>257530.14</v>
      </c>
    </row>
    <row r="10" ht="15" customHeight="1" s="82">
      <c r="A10" s="94" t="inlineStr">
        <is>
          <t>אזולאי דוד</t>
        </is>
      </c>
      <c r="B10" s="94" t="inlineStr">
        <is>
          <t>103 - Physiotherapy institutes</t>
        </is>
      </c>
      <c r="C10" s="94" t="n">
        <v>2025</v>
      </c>
      <c r="D10" s="95" t="n">
        <v>0</v>
      </c>
      <c r="E10" s="95" t="n">
        <v>0</v>
      </c>
    </row>
    <row r="11" ht="15" customHeight="1" s="82">
      <c r="A11" s="94" t="inlineStr">
        <is>
          <t>אזולאי דוד</t>
        </is>
      </c>
      <c r="B11" s="94" t="inlineStr">
        <is>
          <t>104 - Sports Shop</t>
        </is>
      </c>
      <c r="C11" s="94" t="n">
        <v>2025</v>
      </c>
      <c r="D11" s="95" t="n">
        <v>0</v>
      </c>
      <c r="E11" s="95" t="n">
        <v>0</v>
      </c>
    </row>
    <row r="12" ht="15" customHeight="1" s="82">
      <c r="A12" s="94" t="inlineStr">
        <is>
          <t>אזולאי דוד</t>
        </is>
      </c>
      <c r="B12" s="94" t="inlineStr">
        <is>
          <t>105 - Pedicure Salons</t>
        </is>
      </c>
      <c r="C12" s="94" t="n">
        <v>2025</v>
      </c>
      <c r="D12" s="95" t="n">
        <v>1</v>
      </c>
      <c r="E12" s="95" t="n">
        <v>2013.25</v>
      </c>
    </row>
    <row r="13" ht="15" customHeight="1" s="82">
      <c r="A13" s="94" t="inlineStr">
        <is>
          <t>אזולאי דוד</t>
        </is>
      </c>
      <c r="B13" s="94" t="inlineStr">
        <is>
          <t>107 - Pharmacies</t>
        </is>
      </c>
      <c r="C13" s="94" t="n">
        <v>2025</v>
      </c>
      <c r="D13" s="95" t="n">
        <v>0</v>
      </c>
      <c r="E13" s="95" t="n">
        <v>0</v>
      </c>
    </row>
    <row r="14" ht="15" customHeight="1" s="82">
      <c r="A14" s="94" t="inlineStr">
        <is>
          <t>אזולאי דוד</t>
        </is>
      </c>
      <c r="B14" s="94" t="inlineStr">
        <is>
          <t>108 - Shoe Stores</t>
        </is>
      </c>
      <c r="C14" s="94" t="n">
        <v>2025</v>
      </c>
      <c r="D14" s="95" t="n">
        <v>0</v>
      </c>
      <c r="E14" s="95" t="n">
        <v>0</v>
      </c>
    </row>
    <row r="15" ht="15" customHeight="1" s="82">
      <c r="A15" s="94" t="inlineStr">
        <is>
          <t>אזולאי דוד</t>
        </is>
      </c>
      <c r="B15" s="94" t="inlineStr">
        <is>
          <t>109 - Private Shops</t>
        </is>
      </c>
      <c r="C15" s="94" t="n">
        <v>2025</v>
      </c>
      <c r="D15" s="95" t="n">
        <v>1</v>
      </c>
      <c r="E15" s="95" t="n">
        <v>3855.98</v>
      </c>
    </row>
    <row r="16" ht="15" customHeight="1" s="82">
      <c r="A16" s="94" t="inlineStr">
        <is>
          <t>סטניסלב נסאר</t>
        </is>
      </c>
      <c r="B16" s="94" t="inlineStr">
        <is>
          <t>102 - Orthopedic institutes</t>
        </is>
      </c>
      <c r="C16" s="94" t="n">
        <v>2025</v>
      </c>
      <c r="D16" s="95" t="n">
        <v>16</v>
      </c>
      <c r="E16" s="95" t="n">
        <v>82981.5</v>
      </c>
    </row>
    <row r="17" ht="15" customHeight="1" s="82">
      <c r="A17" s="94" t="inlineStr">
        <is>
          <t>סטניסלב נסאר</t>
        </is>
      </c>
      <c r="B17" s="94" t="inlineStr">
        <is>
          <t>103 - Physiotherapy institutes</t>
        </is>
      </c>
      <c r="C17" s="94" t="n">
        <v>2025</v>
      </c>
      <c r="D17" s="95" t="n">
        <v>4</v>
      </c>
      <c r="E17" s="95" t="n">
        <v>22783.27</v>
      </c>
    </row>
    <row r="18" ht="15" customHeight="1" s="82">
      <c r="A18" s="94" t="inlineStr">
        <is>
          <t>סטניסלב נסאר</t>
        </is>
      </c>
      <c r="B18" s="94" t="inlineStr">
        <is>
          <t>104 - Sports Shop</t>
        </is>
      </c>
      <c r="C18" s="94" t="n">
        <v>2025</v>
      </c>
      <c r="D18" s="95" t="n">
        <v>0</v>
      </c>
      <c r="E18" s="95" t="n">
        <v>0</v>
      </c>
    </row>
    <row r="19" ht="15" customHeight="1" s="82">
      <c r="A19" s="94" t="inlineStr">
        <is>
          <t>סטניסלב נסאר</t>
        </is>
      </c>
      <c r="B19" s="94" t="inlineStr">
        <is>
          <t>105 - Pedicure Salons</t>
        </is>
      </c>
      <c r="C19" s="94" t="n">
        <v>2025</v>
      </c>
      <c r="D19" s="95" t="n">
        <v>0</v>
      </c>
      <c r="E19" s="95" t="n">
        <v>0</v>
      </c>
    </row>
    <row r="20" ht="15" customHeight="1" s="82">
      <c r="A20" s="94" t="inlineStr">
        <is>
          <t>סטניסלב נסאר</t>
        </is>
      </c>
      <c r="B20" s="94" t="inlineStr">
        <is>
          <t>107 - Pharmacies</t>
        </is>
      </c>
      <c r="C20" s="94" t="n">
        <v>2025</v>
      </c>
      <c r="D20" s="95" t="n">
        <v>3</v>
      </c>
      <c r="E20" s="95" t="n">
        <v>70274.22</v>
      </c>
    </row>
    <row r="21" ht="15" customHeight="1" s="82">
      <c r="A21" s="94" t="inlineStr">
        <is>
          <t>סטניסלב נסאר</t>
        </is>
      </c>
      <c r="B21" s="94" t="inlineStr">
        <is>
          <t>108 - Shoe Stores</t>
        </is>
      </c>
      <c r="C21" s="94" t="n">
        <v>2025</v>
      </c>
      <c r="D21" s="95" t="n">
        <v>0</v>
      </c>
      <c r="E21" s="95" t="n">
        <v>0</v>
      </c>
    </row>
    <row r="22" ht="15" customHeight="1" s="82">
      <c r="A22" s="94" t="inlineStr">
        <is>
          <t>סטניסלב נסאר</t>
        </is>
      </c>
      <c r="B22" s="94" t="inlineStr">
        <is>
          <t>109 - Private Shops</t>
        </is>
      </c>
      <c r="C22" s="94" t="n">
        <v>2025</v>
      </c>
      <c r="D22" s="95" t="n">
        <v>2</v>
      </c>
      <c r="E22" s="95" t="n">
        <v>17053.8</v>
      </c>
    </row>
    <row r="23" ht="15" customHeight="1" s="82">
      <c r="A23" s="94" t="inlineStr">
        <is>
          <t>חאזם תלחמי</t>
        </is>
      </c>
      <c r="B23" s="94" t="inlineStr">
        <is>
          <t>102 - Orthopedic institutes</t>
        </is>
      </c>
      <c r="C23" s="94" t="n">
        <v>2025</v>
      </c>
      <c r="D23" s="95" t="n">
        <v>31</v>
      </c>
      <c r="E23" s="95" t="n">
        <v>379852.31</v>
      </c>
    </row>
    <row r="24" ht="15" customHeight="1" s="82">
      <c r="A24" s="94" t="inlineStr">
        <is>
          <t>חאזם תלחמי</t>
        </is>
      </c>
      <c r="B24" s="94" t="inlineStr">
        <is>
          <t>103 - Physiotherapy institutes</t>
        </is>
      </c>
      <c r="C24" s="94" t="n">
        <v>2025</v>
      </c>
      <c r="D24" s="95" t="n">
        <v>10</v>
      </c>
      <c r="E24" s="95" t="n">
        <v>54432.33</v>
      </c>
    </row>
    <row r="25" ht="15" customHeight="1" s="82">
      <c r="A25" s="94" t="inlineStr">
        <is>
          <t>חאזם תלחמי</t>
        </is>
      </c>
      <c r="B25" s="94" t="inlineStr">
        <is>
          <t>104 - Sports Shop</t>
        </is>
      </c>
      <c r="C25" s="94" t="n">
        <v>2025</v>
      </c>
      <c r="D25" s="95" t="n">
        <v>1</v>
      </c>
      <c r="E25" s="95" t="n">
        <v>514.2</v>
      </c>
    </row>
    <row r="26" ht="15" customHeight="1" s="82">
      <c r="A26" s="94" t="inlineStr">
        <is>
          <t>חאזם תלחמי</t>
        </is>
      </c>
      <c r="B26" s="94" t="inlineStr">
        <is>
          <t>105 - Pedicure Salons</t>
        </is>
      </c>
      <c r="C26" s="94" t="n">
        <v>2025</v>
      </c>
      <c r="D26" s="95" t="n">
        <v>1</v>
      </c>
      <c r="E26" s="95" t="n">
        <v>498.8</v>
      </c>
    </row>
    <row r="27" ht="15" customHeight="1" s="82">
      <c r="A27" s="94" t="inlineStr">
        <is>
          <t>חאזם תלחמי</t>
        </is>
      </c>
      <c r="B27" s="94" t="inlineStr">
        <is>
          <t>107 - Pharmacies</t>
        </is>
      </c>
      <c r="C27" s="94" t="n">
        <v>2025</v>
      </c>
      <c r="D27" s="95" t="n">
        <v>5</v>
      </c>
      <c r="E27" s="95" t="n">
        <v>29009.24</v>
      </c>
    </row>
    <row r="28" ht="15" customHeight="1" s="82">
      <c r="A28" s="94" t="inlineStr">
        <is>
          <t>חאזם תלחמי</t>
        </is>
      </c>
      <c r="B28" s="94" t="inlineStr">
        <is>
          <t>108 - Shoe Stores</t>
        </is>
      </c>
      <c r="C28" s="94" t="n">
        <v>2025</v>
      </c>
      <c r="D28" s="95" t="n">
        <v>0</v>
      </c>
      <c r="E28" s="95" t="n">
        <v>0</v>
      </c>
    </row>
    <row r="29" ht="15" customHeight="1" s="82">
      <c r="A29" s="94" t="inlineStr">
        <is>
          <t>חאזם תלחמי</t>
        </is>
      </c>
      <c r="B29" s="94" t="inlineStr">
        <is>
          <t>109 - Private Shops</t>
        </is>
      </c>
      <c r="C29" s="94" t="n">
        <v>2025</v>
      </c>
      <c r="D29" s="95" t="n">
        <v>7</v>
      </c>
      <c r="E29" s="95" t="n">
        <v>12344.69</v>
      </c>
    </row>
    <row r="30" ht="15" customHeight="1" s="82">
      <c r="A30" s="94" t="inlineStr">
        <is>
          <t>חיים ויצמן</t>
        </is>
      </c>
      <c r="B30" s="94" t="inlineStr">
        <is>
          <t>102 - Orthopedic institutes</t>
        </is>
      </c>
      <c r="C30" s="94" t="n">
        <v>2025</v>
      </c>
      <c r="D30" s="95" t="n">
        <v>18</v>
      </c>
      <c r="E30" s="95" t="n">
        <v>104522.23</v>
      </c>
    </row>
    <row r="31" ht="15" customHeight="1" s="82">
      <c r="A31" s="94" t="inlineStr">
        <is>
          <t>חיים ויצמן</t>
        </is>
      </c>
      <c r="B31" s="94" t="inlineStr">
        <is>
          <t>103 - Physiotherapy institutes</t>
        </is>
      </c>
      <c r="C31" s="94" t="n">
        <v>2025</v>
      </c>
      <c r="D31" s="95" t="n">
        <v>2</v>
      </c>
      <c r="E31" s="95" t="n">
        <v>1764.57</v>
      </c>
    </row>
    <row r="32" ht="15" customHeight="1" s="82">
      <c r="A32" s="94" t="inlineStr">
        <is>
          <t>חיים ויצמן</t>
        </is>
      </c>
      <c r="B32" s="94" t="inlineStr">
        <is>
          <t>104 - Sports Shop</t>
        </is>
      </c>
      <c r="C32" s="94" t="n">
        <v>2025</v>
      </c>
      <c r="D32" s="95" t="n">
        <v>0</v>
      </c>
      <c r="E32" s="95" t="n">
        <v>0</v>
      </c>
    </row>
    <row r="33" ht="15" customHeight="1" s="82">
      <c r="A33" s="94" t="inlineStr">
        <is>
          <t>חיים ויצמן</t>
        </is>
      </c>
      <c r="B33" s="94" t="inlineStr">
        <is>
          <t>105 - Pedicure Salons</t>
        </is>
      </c>
      <c r="C33" s="94" t="n">
        <v>2025</v>
      </c>
      <c r="D33" s="95" t="n">
        <v>1</v>
      </c>
      <c r="E33" s="95" t="n">
        <v>1633.63</v>
      </c>
    </row>
    <row r="34" ht="15" customHeight="1" s="82">
      <c r="A34" s="94" t="inlineStr">
        <is>
          <t>חיים ויצמן</t>
        </is>
      </c>
      <c r="B34" s="94" t="inlineStr">
        <is>
          <t>107 - Pharmacies</t>
        </is>
      </c>
      <c r="C34" s="94" t="n">
        <v>2025</v>
      </c>
      <c r="D34" s="95" t="n">
        <v>3</v>
      </c>
      <c r="E34" s="95" t="n">
        <v>53141.9</v>
      </c>
    </row>
    <row r="35" ht="15" customHeight="1" s="82">
      <c r="A35" s="94" t="inlineStr">
        <is>
          <t>חיים ויצמן</t>
        </is>
      </c>
      <c r="B35" s="94" t="inlineStr">
        <is>
          <t>108 - Shoe Stores</t>
        </is>
      </c>
      <c r="C35" s="94" t="n">
        <v>2025</v>
      </c>
      <c r="D35" s="95" t="n">
        <v>0</v>
      </c>
      <c r="E35" s="95" t="n">
        <v>0</v>
      </c>
    </row>
    <row r="36" ht="15" customHeight="1" s="82">
      <c r="A36" s="94" t="inlineStr">
        <is>
          <t>חיים ויצמן</t>
        </is>
      </c>
      <c r="B36" s="94" t="inlineStr">
        <is>
          <t>109 - Private Shops</t>
        </is>
      </c>
      <c r="C36" s="94" t="n">
        <v>2025</v>
      </c>
      <c r="D36" s="95" t="n">
        <v>5</v>
      </c>
      <c r="E36" s="95" t="n">
        <v>20375.43</v>
      </c>
    </row>
    <row r="37" ht="15" customHeight="1" s="82">
      <c r="A37" s="94" t="inlineStr">
        <is>
          <t>- Unassigned -</t>
        </is>
      </c>
      <c r="B37" s="94" t="inlineStr">
        <is>
          <t>102 - Orthopedic institutes</t>
        </is>
      </c>
      <c r="C37" s="94" t="n">
        <v>2025</v>
      </c>
      <c r="D37" s="95" t="n">
        <v>0</v>
      </c>
      <c r="E37" s="95" t="n">
        <v>0</v>
      </c>
    </row>
    <row r="38" ht="15" customHeight="1" s="82">
      <c r="A38" s="94" t="inlineStr">
        <is>
          <t>- Unassigned -</t>
        </is>
      </c>
      <c r="B38" s="94" t="inlineStr">
        <is>
          <t>103 - Physiotherapy institutes</t>
        </is>
      </c>
      <c r="C38" s="94" t="n">
        <v>2025</v>
      </c>
      <c r="D38" s="95" t="n">
        <v>0</v>
      </c>
      <c r="E38" s="95" t="n">
        <v>0</v>
      </c>
    </row>
    <row r="39" ht="15" customHeight="1" s="82">
      <c r="A39" s="94" t="inlineStr">
        <is>
          <t>- Unassigned -</t>
        </is>
      </c>
      <c r="B39" s="94" t="inlineStr">
        <is>
          <t>104 - Sports Shop</t>
        </is>
      </c>
      <c r="C39" s="94" t="n">
        <v>2025</v>
      </c>
      <c r="D39" s="95" t="n">
        <v>0</v>
      </c>
      <c r="E39" s="95" t="n">
        <v>0</v>
      </c>
    </row>
    <row r="40" ht="15" customHeight="1" s="82">
      <c r="A40" s="94" t="inlineStr">
        <is>
          <t>- Unassigned -</t>
        </is>
      </c>
      <c r="B40" s="94" t="inlineStr">
        <is>
          <t>105 - Pedicure Salons</t>
        </is>
      </c>
      <c r="C40" s="94" t="n">
        <v>2025</v>
      </c>
      <c r="D40" s="95" t="n">
        <v>0</v>
      </c>
      <c r="E40" s="95" t="n">
        <v>0</v>
      </c>
    </row>
    <row r="41" ht="15" customHeight="1" s="82">
      <c r="A41" s="94" t="inlineStr">
        <is>
          <t>- Unassigned -</t>
        </is>
      </c>
      <c r="B41" s="94" t="inlineStr">
        <is>
          <t>107 - Pharmacies</t>
        </is>
      </c>
      <c r="C41" s="94" t="n">
        <v>2025</v>
      </c>
      <c r="D41" s="95" t="n">
        <v>0</v>
      </c>
      <c r="E41" s="95" t="n">
        <v>0</v>
      </c>
    </row>
    <row r="42" ht="15" customHeight="1" s="82">
      <c r="A42" s="94" t="inlineStr">
        <is>
          <t>- Unassigned -</t>
        </is>
      </c>
      <c r="B42" s="94" t="inlineStr">
        <is>
          <t>108 - Shoe Stores</t>
        </is>
      </c>
      <c r="C42" s="94" t="n">
        <v>2025</v>
      </c>
      <c r="D42" s="95" t="n">
        <v>0</v>
      </c>
      <c r="E42" s="95" t="n">
        <v>0</v>
      </c>
    </row>
    <row r="43" ht="15" customHeight="1" s="82">
      <c r="A43" s="94" t="inlineStr">
        <is>
          <t>- Unassigned -</t>
        </is>
      </c>
      <c r="B43" s="94" t="inlineStr">
        <is>
          <t>109 - Private Shops</t>
        </is>
      </c>
      <c r="C43" s="94" t="n">
        <v>2025</v>
      </c>
      <c r="D43" s="95" t="n">
        <v>0</v>
      </c>
      <c r="E43" s="95" t="n">
        <v>0</v>
      </c>
    </row>
    <row r="44" ht="15" customHeight="1" s="82">
      <c r="A44" s="94" t="inlineStr">
        <is>
          <t>אמזלג × מירב שירה</t>
        </is>
      </c>
      <c r="B44" s="94" t="inlineStr">
        <is>
          <t>102 - Orthopedic institutes</t>
        </is>
      </c>
      <c r="C44" s="94" t="n">
        <v>2026</v>
      </c>
      <c r="D44" s="95" t="n">
        <v>3</v>
      </c>
      <c r="E44" s="95" t="n">
        <v>12301.37</v>
      </c>
    </row>
    <row r="45" ht="15" customHeight="1" s="82">
      <c r="A45" s="94" t="inlineStr">
        <is>
          <t>אמזלג × מירב שירה</t>
        </is>
      </c>
      <c r="B45" s="94" t="inlineStr">
        <is>
          <t>103 - Physiotherapy institutes</t>
        </is>
      </c>
      <c r="C45" s="94" t="n">
        <v>2026</v>
      </c>
      <c r="D45" s="95" t="n">
        <v>5</v>
      </c>
      <c r="E45" s="95" t="n">
        <v>65568.24000000001</v>
      </c>
    </row>
    <row r="46" ht="15" customHeight="1" s="82">
      <c r="A46" s="94" t="inlineStr">
        <is>
          <t>אמזלג × מירב שירה</t>
        </is>
      </c>
      <c r="B46" s="94" t="inlineStr">
        <is>
          <t>104 - Sports Shop</t>
        </is>
      </c>
      <c r="C46" s="94" t="n">
        <v>2026</v>
      </c>
      <c r="D46" s="95" t="n">
        <v>1</v>
      </c>
      <c r="E46" s="95" t="n">
        <v>1896.82</v>
      </c>
    </row>
    <row r="47" ht="15" customHeight="1" s="82">
      <c r="A47" s="94" t="inlineStr">
        <is>
          <t>אמזלג × מירב שירה</t>
        </is>
      </c>
      <c r="B47" s="94" t="inlineStr">
        <is>
          <t>105 - Pedicure Salons</t>
        </is>
      </c>
      <c r="C47" s="94" t="n">
        <v>2026</v>
      </c>
      <c r="D47" s="95" t="n">
        <v>0</v>
      </c>
      <c r="E47" s="95" t="n">
        <v>0</v>
      </c>
    </row>
    <row r="48" ht="15" customHeight="1" s="82">
      <c r="A48" s="94" t="inlineStr">
        <is>
          <t>אמזלג × מירב שירה</t>
        </is>
      </c>
      <c r="B48" s="94" t="inlineStr">
        <is>
          <t>107 - Pharmacies</t>
        </is>
      </c>
      <c r="C48" s="94" t="n">
        <v>2026</v>
      </c>
      <c r="D48" s="95" t="n">
        <v>0</v>
      </c>
      <c r="E48" s="95" t="n">
        <v>0</v>
      </c>
    </row>
    <row r="49" ht="15" customHeight="1" s="82">
      <c r="A49" s="94" t="inlineStr">
        <is>
          <t>אמזלג × מירב שירה</t>
        </is>
      </c>
      <c r="B49" s="94" t="inlineStr">
        <is>
          <t>108 - Shoe Stores</t>
        </is>
      </c>
      <c r="C49" s="94" t="n">
        <v>2026</v>
      </c>
      <c r="D49" s="95" t="n">
        <v>0</v>
      </c>
      <c r="E49" s="95" t="n">
        <v>0</v>
      </c>
    </row>
    <row r="50" ht="15" customHeight="1" s="82">
      <c r="A50" s="94" t="inlineStr">
        <is>
          <t>אמזלג × מירב שירה</t>
        </is>
      </c>
      <c r="B50" s="94" t="inlineStr">
        <is>
          <t>109 - Private Shops</t>
        </is>
      </c>
      <c r="C50" s="94" t="n">
        <v>2026</v>
      </c>
      <c r="D50" s="95" t="n">
        <v>2</v>
      </c>
      <c r="E50" s="95" t="n">
        <v>2976.71</v>
      </c>
    </row>
    <row r="51" ht="15" customHeight="1" s="82">
      <c r="A51" s="94" t="inlineStr">
        <is>
          <t>אזולאי דוד</t>
        </is>
      </c>
      <c r="B51" s="94" t="inlineStr">
        <is>
          <t>102 - Orthopedic institutes</t>
        </is>
      </c>
      <c r="C51" s="94" t="n">
        <v>2026</v>
      </c>
      <c r="D51" s="95" t="n">
        <v>29</v>
      </c>
      <c r="E51" s="95" t="n">
        <v>223893.88</v>
      </c>
    </row>
    <row r="52" ht="15" customHeight="1" s="82">
      <c r="A52" s="94" t="inlineStr">
        <is>
          <t>אזולאי דוד</t>
        </is>
      </c>
      <c r="B52" s="94" t="inlineStr">
        <is>
          <t>103 - Physiotherapy institutes</t>
        </is>
      </c>
      <c r="C52" s="94" t="n">
        <v>2026</v>
      </c>
      <c r="D52" s="95" t="n">
        <v>2</v>
      </c>
      <c r="E52" s="95" t="n">
        <v>2961.08</v>
      </c>
    </row>
    <row r="53" ht="15" customHeight="1" s="82">
      <c r="A53" s="94" t="inlineStr">
        <is>
          <t>אזולאי דוד</t>
        </is>
      </c>
      <c r="B53" s="94" t="inlineStr">
        <is>
          <t>104 - Sports Shop</t>
        </is>
      </c>
      <c r="C53" s="94" t="n">
        <v>2026</v>
      </c>
      <c r="D53" s="95" t="n">
        <v>0</v>
      </c>
      <c r="E53" s="95" t="n">
        <v>0</v>
      </c>
    </row>
    <row r="54" ht="15" customHeight="1" s="82">
      <c r="A54" s="94" t="inlineStr">
        <is>
          <t>אזולאי דוד</t>
        </is>
      </c>
      <c r="B54" s="94" t="inlineStr">
        <is>
          <t>105 - Pedicure Salons</t>
        </is>
      </c>
      <c r="C54" s="94" t="n">
        <v>2026</v>
      </c>
      <c r="D54" s="95" t="n">
        <v>1</v>
      </c>
      <c r="E54" s="95" t="n">
        <v>2206.45</v>
      </c>
    </row>
    <row r="55" ht="15" customHeight="1" s="82">
      <c r="A55" s="94" t="inlineStr">
        <is>
          <t>אזולאי דוד</t>
        </is>
      </c>
      <c r="B55" s="94" t="inlineStr">
        <is>
          <t>107 - Pharmacies</t>
        </is>
      </c>
      <c r="C55" s="94" t="n">
        <v>2026</v>
      </c>
      <c r="D55" s="95" t="n">
        <v>1</v>
      </c>
      <c r="E55" s="95" t="n">
        <v>3980.78</v>
      </c>
    </row>
    <row r="56" ht="15" customHeight="1" s="82">
      <c r="A56" s="94" t="inlineStr">
        <is>
          <t>אזולאי דוד</t>
        </is>
      </c>
      <c r="B56" s="94" t="inlineStr">
        <is>
          <t>108 - Shoe Stores</t>
        </is>
      </c>
      <c r="C56" s="94" t="n">
        <v>2026</v>
      </c>
      <c r="D56" s="95" t="n">
        <v>0</v>
      </c>
      <c r="E56" s="95" t="n">
        <v>0</v>
      </c>
    </row>
    <row r="57" ht="15" customHeight="1" s="82">
      <c r="A57" s="94" t="inlineStr">
        <is>
          <t>אזולאי דוד</t>
        </is>
      </c>
      <c r="B57" s="94" t="inlineStr">
        <is>
          <t>109 - Private Shops</t>
        </is>
      </c>
      <c r="C57" s="94" t="n">
        <v>2026</v>
      </c>
      <c r="D57" s="95" t="n">
        <v>2</v>
      </c>
      <c r="E57" s="95" t="n">
        <v>1607.98</v>
      </c>
    </row>
    <row r="58" ht="15" customHeight="1" s="82">
      <c r="A58" s="94" t="inlineStr">
        <is>
          <t>סטניסלב נסאר</t>
        </is>
      </c>
      <c r="B58" s="94" t="inlineStr">
        <is>
          <t>102 - Orthopedic institutes</t>
        </is>
      </c>
      <c r="C58" s="94" t="n">
        <v>2026</v>
      </c>
      <c r="D58" s="95" t="n">
        <v>14</v>
      </c>
      <c r="E58" s="95" t="n">
        <v>71733.60000000001</v>
      </c>
    </row>
    <row r="59" ht="15" customHeight="1" s="82">
      <c r="A59" s="94" t="inlineStr">
        <is>
          <t>סטניסלב נסאר</t>
        </is>
      </c>
      <c r="B59" s="94" t="inlineStr">
        <is>
          <t>103 - Physiotherapy institutes</t>
        </is>
      </c>
      <c r="C59" s="94" t="n">
        <v>2026</v>
      </c>
      <c r="D59" s="95" t="n">
        <v>3</v>
      </c>
      <c r="E59" s="95" t="n">
        <v>17292.03</v>
      </c>
    </row>
    <row r="60" ht="15" customHeight="1" s="82">
      <c r="A60" s="94" t="inlineStr">
        <is>
          <t>סטניסלב נסאר</t>
        </is>
      </c>
      <c r="B60" s="94" t="inlineStr">
        <is>
          <t>104 - Sports Shop</t>
        </is>
      </c>
      <c r="C60" s="94" t="n">
        <v>2026</v>
      </c>
      <c r="D60" s="95" t="n">
        <v>0</v>
      </c>
      <c r="E60" s="95" t="n">
        <v>0</v>
      </c>
    </row>
    <row r="61" ht="15" customHeight="1" s="82">
      <c r="A61" s="94" t="inlineStr">
        <is>
          <t>סטניסלב נסאר</t>
        </is>
      </c>
      <c r="B61" s="94" t="inlineStr">
        <is>
          <t>105 - Pedicure Salons</t>
        </is>
      </c>
      <c r="C61" s="94" t="n">
        <v>2026</v>
      </c>
      <c r="D61" s="95" t="n">
        <v>0</v>
      </c>
      <c r="E61" s="95" t="n">
        <v>0</v>
      </c>
    </row>
    <row r="62" ht="15" customHeight="1" s="82">
      <c r="A62" s="94" t="inlineStr">
        <is>
          <t>סטניסלב נסאר</t>
        </is>
      </c>
      <c r="B62" s="94" t="inlineStr">
        <is>
          <t>107 - Pharmacies</t>
        </is>
      </c>
      <c r="C62" s="94" t="n">
        <v>2026</v>
      </c>
      <c r="D62" s="95" t="n">
        <v>2</v>
      </c>
      <c r="E62" s="95" t="n">
        <v>48107.38</v>
      </c>
    </row>
    <row r="63" ht="15" customHeight="1" s="82">
      <c r="A63" s="94" t="inlineStr">
        <is>
          <t>סטניסלב נסאר</t>
        </is>
      </c>
      <c r="B63" s="94" t="inlineStr">
        <is>
          <t>108 - Shoe Stores</t>
        </is>
      </c>
      <c r="C63" s="94" t="n">
        <v>2026</v>
      </c>
      <c r="D63" s="95" t="n">
        <v>0</v>
      </c>
      <c r="E63" s="95" t="n">
        <v>0</v>
      </c>
    </row>
    <row r="64" ht="15" customHeight="1" s="82">
      <c r="A64" s="94" t="inlineStr">
        <is>
          <t>סטניסלב נסאר</t>
        </is>
      </c>
      <c r="B64" s="94" t="inlineStr">
        <is>
          <t>109 - Private Shops</t>
        </is>
      </c>
      <c r="C64" s="94" t="n">
        <v>2026</v>
      </c>
      <c r="D64" s="95" t="n">
        <v>1</v>
      </c>
      <c r="E64" s="95" t="n">
        <v>8438.360000000001</v>
      </c>
    </row>
    <row r="65" ht="15" customHeight="1" s="82">
      <c r="A65" s="94" t="inlineStr">
        <is>
          <t>חאזם תלחמי</t>
        </is>
      </c>
      <c r="B65" s="94" t="inlineStr">
        <is>
          <t>102 - Orthopedic institutes</t>
        </is>
      </c>
      <c r="C65" s="94" t="n">
        <v>2026</v>
      </c>
      <c r="D65" s="95" t="n">
        <v>27</v>
      </c>
      <c r="E65" s="95" t="n">
        <v>283915.38</v>
      </c>
    </row>
    <row r="66" ht="15" customHeight="1" s="82">
      <c r="A66" s="94" t="inlineStr">
        <is>
          <t>חאזם תלחמי</t>
        </is>
      </c>
      <c r="B66" s="94" t="inlineStr">
        <is>
          <t>103 - Physiotherapy institutes</t>
        </is>
      </c>
      <c r="C66" s="94" t="n">
        <v>2026</v>
      </c>
      <c r="D66" s="95" t="n">
        <v>8</v>
      </c>
      <c r="E66" s="95" t="n">
        <v>25643.78</v>
      </c>
    </row>
    <row r="67" ht="15" customHeight="1" s="82">
      <c r="A67" s="94" t="inlineStr">
        <is>
          <t>חאזם תלחמי</t>
        </is>
      </c>
      <c r="B67" s="94" t="inlineStr">
        <is>
          <t>104 - Sports Shop</t>
        </is>
      </c>
      <c r="C67" s="94" t="n">
        <v>2026</v>
      </c>
      <c r="D67" s="95" t="n">
        <v>0</v>
      </c>
      <c r="E67" s="95" t="n">
        <v>0</v>
      </c>
    </row>
    <row r="68" ht="15" customHeight="1" s="82">
      <c r="A68" s="94" t="inlineStr">
        <is>
          <t>חאזם תלחמי</t>
        </is>
      </c>
      <c r="B68" s="94" t="inlineStr">
        <is>
          <t>105 - Pedicure Salons</t>
        </is>
      </c>
      <c r="C68" s="94" t="n">
        <v>2026</v>
      </c>
      <c r="D68" s="95" t="n">
        <v>0</v>
      </c>
      <c r="E68" s="95" t="n">
        <v>0</v>
      </c>
    </row>
    <row r="69" ht="15" customHeight="1" s="82">
      <c r="A69" s="94" t="inlineStr">
        <is>
          <t>חאזם תלחמי</t>
        </is>
      </c>
      <c r="B69" s="94" t="inlineStr">
        <is>
          <t>107 - Pharmacies</t>
        </is>
      </c>
      <c r="C69" s="94" t="n">
        <v>2026</v>
      </c>
      <c r="D69" s="95" t="n">
        <v>3</v>
      </c>
      <c r="E69" s="95" t="n">
        <v>17931.86</v>
      </c>
    </row>
    <row r="70" ht="15" customHeight="1" s="82">
      <c r="A70" s="94" t="inlineStr">
        <is>
          <t>חאזם תלחמי</t>
        </is>
      </c>
      <c r="B70" s="94" t="inlineStr">
        <is>
          <t>108 - Shoe Stores</t>
        </is>
      </c>
      <c r="C70" s="94" t="n">
        <v>2026</v>
      </c>
      <c r="D70" s="95" t="n">
        <v>0</v>
      </c>
      <c r="E70" s="95" t="n">
        <v>0</v>
      </c>
    </row>
    <row r="71" ht="15" customHeight="1" s="82">
      <c r="A71" s="94" t="inlineStr">
        <is>
          <t>חאזם תלחמי</t>
        </is>
      </c>
      <c r="B71" s="94" t="inlineStr">
        <is>
          <t>109 - Private Shops</t>
        </is>
      </c>
      <c r="C71" s="94" t="n">
        <v>2026</v>
      </c>
      <c r="D71" s="95" t="n">
        <v>5</v>
      </c>
      <c r="E71" s="95" t="n">
        <v>12534.54</v>
      </c>
    </row>
    <row r="72" ht="15" customHeight="1" s="82">
      <c r="A72" s="94" t="inlineStr">
        <is>
          <t>חיים ויצמן</t>
        </is>
      </c>
      <c r="B72" s="94" t="inlineStr">
        <is>
          <t>102 - Orthopedic institutes</t>
        </is>
      </c>
      <c r="C72" s="94" t="n">
        <v>2026</v>
      </c>
      <c r="D72" s="95" t="n">
        <v>13</v>
      </c>
      <c r="E72" s="95" t="n">
        <v>85408.89</v>
      </c>
    </row>
    <row r="73" ht="15" customHeight="1" s="82">
      <c r="A73" s="94" t="inlineStr">
        <is>
          <t>חיים ויצמן</t>
        </is>
      </c>
      <c r="B73" s="94" t="inlineStr">
        <is>
          <t>103 - Physiotherapy institutes</t>
        </is>
      </c>
      <c r="C73" s="94" t="n">
        <v>2026</v>
      </c>
      <c r="D73" s="95" t="n">
        <v>3</v>
      </c>
      <c r="E73" s="95" t="n">
        <v>5380.71</v>
      </c>
    </row>
    <row r="74" ht="15" customHeight="1" s="82">
      <c r="A74" s="94" t="inlineStr">
        <is>
          <t>חיים ויצמן</t>
        </is>
      </c>
      <c r="B74" s="94" t="inlineStr">
        <is>
          <t>104 - Sports Shop</t>
        </is>
      </c>
      <c r="C74" s="94" t="n">
        <v>2026</v>
      </c>
      <c r="D74" s="95" t="n">
        <v>0</v>
      </c>
      <c r="E74" s="95" t="n">
        <v>0</v>
      </c>
    </row>
    <row r="75" ht="15" customHeight="1" s="82">
      <c r="A75" s="94" t="inlineStr">
        <is>
          <t>חיים ויצמן</t>
        </is>
      </c>
      <c r="B75" s="94" t="inlineStr">
        <is>
          <t>105 - Pedicure Salons</t>
        </is>
      </c>
      <c r="C75" s="94" t="n">
        <v>2026</v>
      </c>
      <c r="D75" s="95" t="n">
        <v>1</v>
      </c>
      <c r="E75" s="95" t="n">
        <v>2098.57</v>
      </c>
    </row>
    <row r="76" ht="15" customHeight="1" s="82">
      <c r="A76" s="94" t="inlineStr">
        <is>
          <t>חיים ויצמן</t>
        </is>
      </c>
      <c r="B76" s="94" t="inlineStr">
        <is>
          <t>107 - Pharmacies</t>
        </is>
      </c>
      <c r="C76" s="94" t="n">
        <v>2026</v>
      </c>
      <c r="D76" s="95" t="n">
        <v>2</v>
      </c>
      <c r="E76" s="95" t="n">
        <v>45653.58</v>
      </c>
    </row>
    <row r="77" ht="15" customHeight="1" s="82">
      <c r="A77" s="94" t="inlineStr">
        <is>
          <t>חיים ויצמן</t>
        </is>
      </c>
      <c r="B77" s="94" t="inlineStr">
        <is>
          <t>108 - Shoe Stores</t>
        </is>
      </c>
      <c r="C77" s="94" t="n">
        <v>2026</v>
      </c>
      <c r="D77" s="95" t="n">
        <v>0</v>
      </c>
      <c r="E77" s="95" t="n">
        <v>0</v>
      </c>
    </row>
    <row r="78" ht="15" customHeight="1" s="82">
      <c r="A78" s="94" t="inlineStr">
        <is>
          <t>חיים ויצמן</t>
        </is>
      </c>
      <c r="B78" s="94" t="inlineStr">
        <is>
          <t>109 - Private Shops</t>
        </is>
      </c>
      <c r="C78" s="94" t="n">
        <v>2026</v>
      </c>
      <c r="D78" s="95" t="n">
        <v>3</v>
      </c>
      <c r="E78" s="95" t="n">
        <v>19878.18</v>
      </c>
    </row>
    <row r="79" ht="15" customHeight="1" s="82">
      <c r="A79" s="94" t="inlineStr">
        <is>
          <t>- Unassigned -</t>
        </is>
      </c>
      <c r="B79" s="94" t="inlineStr">
        <is>
          <t>102 - Orthopedic institutes</t>
        </is>
      </c>
      <c r="C79" s="94" t="n">
        <v>2026</v>
      </c>
      <c r="D79" s="95" t="n">
        <v>0</v>
      </c>
      <c r="E79" s="95" t="n">
        <v>0</v>
      </c>
    </row>
    <row r="80" ht="15" customHeight="1" s="82">
      <c r="A80" s="94" t="inlineStr">
        <is>
          <t>- Unassigned -</t>
        </is>
      </c>
      <c r="B80" s="94" t="inlineStr">
        <is>
          <t>103 - Physiotherapy institutes</t>
        </is>
      </c>
      <c r="C80" s="94" t="n">
        <v>2026</v>
      </c>
      <c r="D80" s="95" t="n">
        <v>0</v>
      </c>
      <c r="E80" s="95" t="n">
        <v>0</v>
      </c>
    </row>
    <row r="81" ht="15" customHeight="1" s="82">
      <c r="A81" s="94" t="inlineStr">
        <is>
          <t>- Unassigned -</t>
        </is>
      </c>
      <c r="B81" s="94" t="inlineStr">
        <is>
          <t>104 - Sports Shop</t>
        </is>
      </c>
      <c r="C81" s="94" t="n">
        <v>2026</v>
      </c>
      <c r="D81" s="95" t="n">
        <v>0</v>
      </c>
      <c r="E81" s="95" t="n">
        <v>0</v>
      </c>
    </row>
    <row r="82" ht="15" customHeight="1" s="82">
      <c r="A82" s="94" t="inlineStr">
        <is>
          <t>- Unassigned -</t>
        </is>
      </c>
      <c r="B82" s="94" t="inlineStr">
        <is>
          <t>105 - Pedicure Salons</t>
        </is>
      </c>
      <c r="C82" s="94" t="n">
        <v>2026</v>
      </c>
      <c r="D82" s="95" t="n">
        <v>0</v>
      </c>
      <c r="E82" s="95" t="n">
        <v>0</v>
      </c>
    </row>
    <row r="83" ht="15" customHeight="1" s="82">
      <c r="A83" s="94" t="inlineStr">
        <is>
          <t>- Unassigned -</t>
        </is>
      </c>
      <c r="B83" s="94" t="inlineStr">
        <is>
          <t>107 - Pharmacies</t>
        </is>
      </c>
      <c r="C83" s="94" t="n">
        <v>2026</v>
      </c>
      <c r="D83" s="95" t="n">
        <v>0</v>
      </c>
      <c r="E83" s="95" t="n">
        <v>0</v>
      </c>
    </row>
    <row r="84" ht="15" customHeight="1" s="82">
      <c r="A84" s="94" t="inlineStr">
        <is>
          <t>- Unassigned -</t>
        </is>
      </c>
      <c r="B84" s="94" t="inlineStr">
        <is>
          <t>108 - Shoe Stores</t>
        </is>
      </c>
      <c r="C84" s="94" t="n">
        <v>2026</v>
      </c>
      <c r="D84" s="95" t="n">
        <v>0</v>
      </c>
      <c r="E84" s="95" t="n">
        <v>0</v>
      </c>
    </row>
    <row r="85" ht="15" customHeight="1" s="82">
      <c r="A85" s="94" t="inlineStr">
        <is>
          <t>- Unassigned -</t>
        </is>
      </c>
      <c r="B85" s="94" t="inlineStr">
        <is>
          <t>109 - Private Shops</t>
        </is>
      </c>
      <c r="C85" s="94" t="n">
        <v>2026</v>
      </c>
      <c r="D85" s="95" t="n">
        <v>0</v>
      </c>
      <c r="E85" s="9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00B050"/>
    <outlinePr summaryBelow="1" summaryRight="1"/>
    <pageSetUpPr fitToPage="0"/>
  </sheetPr>
  <dimension ref="A1:I20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H5" activeCellId="0" sqref="H5"/>
    </sheetView>
  </sheetViews>
  <sheetFormatPr baseColWidth="8" defaultColWidth="8.57421875" defaultRowHeight="15" zeroHeight="0" outlineLevelRow="0"/>
  <cols>
    <col width="22" customWidth="1" style="81" min="1" max="1"/>
    <col width="16" customWidth="1" style="81" min="2" max="9"/>
  </cols>
  <sheetData>
    <row r="1" ht="16.5" customHeight="1" s="82">
      <c r="A1" s="83" t="inlineStr">
        <is>
          <t>סוכנים לפי ערוץ 2025 — מספר לקוחות (דלתות) וסה"כ מכר (₪)</t>
        </is>
      </c>
    </row>
    <row r="2" ht="15" customHeight="1" s="82">
      <c r="A2" s="98" t="inlineStr">
        <is>
          <t>טבלה א׳: מספר לקוחות (דלתות)</t>
        </is>
      </c>
    </row>
    <row r="3" ht="26.25" customHeight="1" s="82">
      <c r="A3" s="112" t="inlineStr">
        <is>
          <t>סוכן</t>
        </is>
      </c>
      <c r="B3" s="93" t="inlineStr">
        <is>
          <t>102 - Orthopedic institutes</t>
        </is>
      </c>
      <c r="C3" s="93" t="inlineStr">
        <is>
          <t>103 - Physiotherapy institutes</t>
        </is>
      </c>
      <c r="D3" s="93" t="inlineStr">
        <is>
          <t>104 - Sports Shop</t>
        </is>
      </c>
      <c r="E3" s="93" t="inlineStr">
        <is>
          <t>105 - Pedicure Salons</t>
        </is>
      </c>
      <c r="F3" s="93" t="inlineStr">
        <is>
          <t>107 - Pharmacies</t>
        </is>
      </c>
      <c r="G3" s="93" t="inlineStr">
        <is>
          <t>108 - Shoe Stores</t>
        </is>
      </c>
      <c r="H3" s="93" t="inlineStr">
        <is>
          <t>109 - Private Shops</t>
        </is>
      </c>
      <c r="I3" s="93" t="inlineStr">
        <is>
          <t>סה"כ 7 הערוצים</t>
        </is>
      </c>
    </row>
    <row r="4" ht="15" customHeight="1" s="82">
      <c r="A4" s="94" t="inlineStr">
        <is>
          <t>אמזלג × מירב שירה</t>
        </is>
      </c>
      <c r="B4" s="95">
        <f>SUMIFS('סוכנים-ערוצים - מקור'!$D$2:$D$85,'סוכנים-ערוצים - מקור'!$A$2:$A$85,$A4,'סוכנים-ערוצים - מקור'!$B$2:$B$85,B$3,'סוכנים-ערוצים - מקור'!$C$2:$C$85,2025)</f>
        <v/>
      </c>
      <c r="C4" s="95">
        <f>SUMIFS('סוכנים-ערוצים - מקור'!$D$2:$D$85,'סוכנים-ערוצים - מקור'!$A$2:$A$85,$A4,'סוכנים-ערוצים - מקור'!$B$2:$B$85,C$3,'סוכנים-ערוצים - מקור'!$C$2:$C$85,2025)</f>
        <v/>
      </c>
      <c r="D4" s="95">
        <f>SUMIFS('סוכנים-ערוצים - מקור'!$D$2:$D$85,'סוכנים-ערוצים - מקור'!$A$2:$A$85,$A4,'סוכנים-ערוצים - מקור'!$B$2:$B$85,D$3,'סוכנים-ערוצים - מקור'!$C$2:$C$85,2025)</f>
        <v/>
      </c>
      <c r="E4" s="95">
        <f>SUMIFS('סוכנים-ערוצים - מקור'!$D$2:$D$85,'סוכנים-ערוצים - מקור'!$A$2:$A$85,$A4,'סוכנים-ערוצים - מקור'!$B$2:$B$85,E$3,'סוכנים-ערוצים - מקור'!$C$2:$C$85,2025)</f>
        <v/>
      </c>
      <c r="F4" s="95">
        <f>SUMIFS('סוכנים-ערוצים - מקור'!$D$2:$D$85,'סוכנים-ערוצים - מקור'!$A$2:$A$85,$A4,'סוכנים-ערוצים - מקור'!$B$2:$B$85,F$3,'סוכנים-ערוצים - מקור'!$C$2:$C$85,2025)</f>
        <v/>
      </c>
      <c r="G4" s="95">
        <f>SUMIFS('סוכנים-ערוצים - מקור'!$D$2:$D$85,'סוכנים-ערוצים - מקור'!$A$2:$A$85,$A4,'סוכנים-ערוצים - מקור'!$B$2:$B$85,G$3,'סוכנים-ערוצים - מקור'!$C$2:$C$85,2025)</f>
        <v/>
      </c>
      <c r="H4" s="95">
        <f>SUMIFS('סוכנים-ערוצים - מקור'!$D$2:$D$85,'סוכנים-ערוצים - מקור'!$A$2:$A$85,$A4,'סוכנים-ערוצים - מקור'!$B$2:$B$85,H$3,'סוכנים-ערוצים - מקור'!$C$2:$C$85,2025)</f>
        <v/>
      </c>
      <c r="I4" s="95">
        <f>SUM(B4:H4)</f>
        <v/>
      </c>
    </row>
    <row r="5" ht="15" customHeight="1" s="82">
      <c r="A5" s="94" t="inlineStr">
        <is>
          <t>אזולאי דוד</t>
        </is>
      </c>
      <c r="B5" s="95">
        <f>SUMIFS('סוכנים-ערוצים - מקור'!$D$2:$D$85,'סוכנים-ערוצים - מקור'!$A$2:$A$85,$A5,'סוכנים-ערוצים - מקור'!$B$2:$B$85,B$3,'סוכנים-ערוצים - מקור'!$C$2:$C$85,2025)</f>
        <v/>
      </c>
      <c r="C5" s="95">
        <f>SUMIFS('סוכנים-ערוצים - מקור'!$D$2:$D$85,'סוכנים-ערוצים - מקור'!$A$2:$A$85,$A5,'סוכנים-ערוצים - מקור'!$B$2:$B$85,C$3,'סוכנים-ערוצים - מקור'!$C$2:$C$85,2025)</f>
        <v/>
      </c>
      <c r="D5" s="95">
        <f>SUMIFS('סוכנים-ערוצים - מקור'!$D$2:$D$85,'סוכנים-ערוצים - מקור'!$A$2:$A$85,$A5,'סוכנים-ערוצים - מקור'!$B$2:$B$85,D$3,'סוכנים-ערוצים - מקור'!$C$2:$C$85,2025)</f>
        <v/>
      </c>
      <c r="E5" s="95">
        <f>SUMIFS('סוכנים-ערוצים - מקור'!$D$2:$D$85,'סוכנים-ערוצים - מקור'!$A$2:$A$85,$A5,'סוכנים-ערוצים - מקור'!$B$2:$B$85,E$3,'סוכנים-ערוצים - מקור'!$C$2:$C$85,2025)</f>
        <v/>
      </c>
      <c r="F5" s="95">
        <f>SUMIFS('סוכנים-ערוצים - מקור'!$D$2:$D$85,'סוכנים-ערוצים - מקור'!$A$2:$A$85,$A5,'סוכנים-ערוצים - מקור'!$B$2:$B$85,F$3,'סוכנים-ערוצים - מקור'!$C$2:$C$85,2025)</f>
        <v/>
      </c>
      <c r="G5" s="95">
        <f>SUMIFS('סוכנים-ערוצים - מקור'!$D$2:$D$85,'סוכנים-ערוצים - מקור'!$A$2:$A$85,$A5,'סוכנים-ערוצים - מקור'!$B$2:$B$85,G$3,'סוכנים-ערוצים - מקור'!$C$2:$C$85,2025)</f>
        <v/>
      </c>
      <c r="H5" s="95">
        <f>SUMIFS('סוכנים-ערוצים - מקור'!$D$2:$D$85,'סוכנים-ערוצים - מקור'!$A$2:$A$85,$A5,'סוכנים-ערוצים - מקור'!$B$2:$B$85,H$3,'סוכנים-ערוצים - מקור'!$C$2:$C$85,2025)</f>
        <v/>
      </c>
      <c r="I5" s="95">
        <f>SUM(B5:H5)</f>
        <v/>
      </c>
    </row>
    <row r="6" ht="15" customHeight="1" s="82">
      <c r="A6" s="94" t="inlineStr">
        <is>
          <t>סטניסלב נסאר</t>
        </is>
      </c>
      <c r="B6" s="95">
        <f>SUMIFS('סוכנים-ערוצים - מקור'!$D$2:$D$85,'סוכנים-ערוצים - מקור'!$A$2:$A$85,$A6,'סוכנים-ערוצים - מקור'!$B$2:$B$85,B$3,'סוכנים-ערוצים - מקור'!$C$2:$C$85,2025)</f>
        <v/>
      </c>
      <c r="C6" s="95">
        <f>SUMIFS('סוכנים-ערוצים - מקור'!$D$2:$D$85,'סוכנים-ערוצים - מקור'!$A$2:$A$85,$A6,'סוכנים-ערוצים - מקור'!$B$2:$B$85,C$3,'סוכנים-ערוצים - מקור'!$C$2:$C$85,2025)</f>
        <v/>
      </c>
      <c r="D6" s="95">
        <f>SUMIFS('סוכנים-ערוצים - מקור'!$D$2:$D$85,'סוכנים-ערוצים - מקור'!$A$2:$A$85,$A6,'סוכנים-ערוצים - מקור'!$B$2:$B$85,D$3,'סוכנים-ערוצים - מקור'!$C$2:$C$85,2025)</f>
        <v/>
      </c>
      <c r="E6" s="95">
        <f>SUMIFS('סוכנים-ערוצים - מקור'!$D$2:$D$85,'סוכנים-ערוצים - מקור'!$A$2:$A$85,$A6,'סוכנים-ערוצים - מקור'!$B$2:$B$85,E$3,'סוכנים-ערוצים - מקור'!$C$2:$C$85,2025)</f>
        <v/>
      </c>
      <c r="F6" s="95">
        <f>SUMIFS('סוכנים-ערוצים - מקור'!$D$2:$D$85,'סוכנים-ערוצים - מקור'!$A$2:$A$85,$A6,'סוכנים-ערוצים - מקור'!$B$2:$B$85,F$3,'סוכנים-ערוצים - מקור'!$C$2:$C$85,2025)</f>
        <v/>
      </c>
      <c r="G6" s="95">
        <f>SUMIFS('סוכנים-ערוצים - מקור'!$D$2:$D$85,'סוכנים-ערוצים - מקור'!$A$2:$A$85,$A6,'סוכנים-ערוצים - מקור'!$B$2:$B$85,G$3,'סוכנים-ערוצים - מקור'!$C$2:$C$85,2025)</f>
        <v/>
      </c>
      <c r="H6" s="95">
        <f>SUMIFS('סוכנים-ערוצים - מקור'!$D$2:$D$85,'סוכנים-ערוצים - מקור'!$A$2:$A$85,$A6,'סוכנים-ערוצים - מקור'!$B$2:$B$85,H$3,'סוכנים-ערוצים - מקור'!$C$2:$C$85,2025)</f>
        <v/>
      </c>
      <c r="I6" s="95">
        <f>SUM(B6:H6)</f>
        <v/>
      </c>
    </row>
    <row r="7" ht="15" customHeight="1" s="82">
      <c r="A7" s="94" t="inlineStr">
        <is>
          <t>חאזם תלחמי</t>
        </is>
      </c>
      <c r="B7" s="95">
        <f>SUMIFS('סוכנים-ערוצים - מקור'!$D$2:$D$85,'סוכנים-ערוצים - מקור'!$A$2:$A$85,$A7,'סוכנים-ערוצים - מקור'!$B$2:$B$85,B$3,'סוכנים-ערוצים - מקור'!$C$2:$C$85,2025)</f>
        <v/>
      </c>
      <c r="C7" s="95">
        <f>SUMIFS('סוכנים-ערוצים - מקור'!$D$2:$D$85,'סוכנים-ערוצים - מקור'!$A$2:$A$85,$A7,'סוכנים-ערוצים - מקור'!$B$2:$B$85,C$3,'סוכנים-ערוצים - מקור'!$C$2:$C$85,2025)</f>
        <v/>
      </c>
      <c r="D7" s="95">
        <f>SUMIFS('סוכנים-ערוצים - מקור'!$D$2:$D$85,'סוכנים-ערוצים - מקור'!$A$2:$A$85,$A7,'סוכנים-ערוצים - מקור'!$B$2:$B$85,D$3,'סוכנים-ערוצים - מקור'!$C$2:$C$85,2025)</f>
        <v/>
      </c>
      <c r="E7" s="95">
        <f>SUMIFS('סוכנים-ערוצים - מקור'!$D$2:$D$85,'סוכנים-ערוצים - מקור'!$A$2:$A$85,$A7,'סוכנים-ערוצים - מקור'!$B$2:$B$85,E$3,'סוכנים-ערוצים - מקור'!$C$2:$C$85,2025)</f>
        <v/>
      </c>
      <c r="F7" s="95">
        <f>SUMIFS('סוכנים-ערוצים - מקור'!$D$2:$D$85,'סוכנים-ערוצים - מקור'!$A$2:$A$85,$A7,'סוכנים-ערוצים - מקור'!$B$2:$B$85,F$3,'סוכנים-ערוצים - מקור'!$C$2:$C$85,2025)</f>
        <v/>
      </c>
      <c r="G7" s="95">
        <f>SUMIFS('סוכנים-ערוצים - מקור'!$D$2:$D$85,'סוכנים-ערוצים - מקור'!$A$2:$A$85,$A7,'סוכנים-ערוצים - מקור'!$B$2:$B$85,G$3,'סוכנים-ערוצים - מקור'!$C$2:$C$85,2025)</f>
        <v/>
      </c>
      <c r="H7" s="95">
        <f>SUMIFS('סוכנים-ערוצים - מקור'!$D$2:$D$85,'סוכנים-ערוצים - מקור'!$A$2:$A$85,$A7,'סוכנים-ערוצים - מקור'!$B$2:$B$85,H$3,'סוכנים-ערוצים - מקור'!$C$2:$C$85,2025)</f>
        <v/>
      </c>
      <c r="I7" s="95">
        <f>SUM(B7:H7)</f>
        <v/>
      </c>
    </row>
    <row r="8" ht="15" customHeight="1" s="82">
      <c r="A8" s="94" t="inlineStr">
        <is>
          <t>חיים ויצמן</t>
        </is>
      </c>
      <c r="B8" s="95">
        <f>SUMIFS('סוכנים-ערוצים - מקור'!$D$2:$D$85,'סוכנים-ערוצים - מקור'!$A$2:$A$85,$A8,'סוכנים-ערוצים - מקור'!$B$2:$B$85,B$3,'סוכנים-ערוצים - מקור'!$C$2:$C$85,2025)</f>
        <v/>
      </c>
      <c r="C8" s="95">
        <f>SUMIFS('סוכנים-ערוצים - מקור'!$D$2:$D$85,'סוכנים-ערוצים - מקור'!$A$2:$A$85,$A8,'סוכנים-ערוצים - מקור'!$B$2:$B$85,C$3,'סוכנים-ערוצים - מקור'!$C$2:$C$85,2025)</f>
        <v/>
      </c>
      <c r="D8" s="95">
        <f>SUMIFS('סוכנים-ערוצים - מקור'!$D$2:$D$85,'סוכנים-ערוצים - מקור'!$A$2:$A$85,$A8,'סוכנים-ערוצים - מקור'!$B$2:$B$85,D$3,'סוכנים-ערוצים - מקור'!$C$2:$C$85,2025)</f>
        <v/>
      </c>
      <c r="E8" s="95">
        <f>SUMIFS('סוכנים-ערוצים - מקור'!$D$2:$D$85,'סוכנים-ערוצים - מקור'!$A$2:$A$85,$A8,'סוכנים-ערוצים - מקור'!$B$2:$B$85,E$3,'סוכנים-ערוצים - מקור'!$C$2:$C$85,2025)</f>
        <v/>
      </c>
      <c r="F8" s="95">
        <f>SUMIFS('סוכנים-ערוצים - מקור'!$D$2:$D$85,'סוכנים-ערוצים - מקור'!$A$2:$A$85,$A8,'סוכנים-ערוצים - מקור'!$B$2:$B$85,F$3,'סוכנים-ערוצים - מקור'!$C$2:$C$85,2025)</f>
        <v/>
      </c>
      <c r="G8" s="95">
        <f>SUMIFS('סוכנים-ערוצים - מקור'!$D$2:$D$85,'סוכנים-ערוצים - מקור'!$A$2:$A$85,$A8,'סוכנים-ערוצים - מקור'!$B$2:$B$85,G$3,'סוכנים-ערוצים - מקור'!$C$2:$C$85,2025)</f>
        <v/>
      </c>
      <c r="H8" s="95">
        <f>SUMIFS('סוכנים-ערוצים - מקור'!$D$2:$D$85,'סוכנים-ערוצים - מקור'!$A$2:$A$85,$A8,'סוכנים-ערוצים - מקור'!$B$2:$B$85,H$3,'סוכנים-ערוצים - מקור'!$C$2:$C$85,2025)</f>
        <v/>
      </c>
      <c r="I8" s="95">
        <f>SUM(B8:H8)</f>
        <v/>
      </c>
    </row>
    <row r="9" ht="15" customHeight="1" s="82">
      <c r="A9" s="94" t="inlineStr">
        <is>
          <t>- Unassigned -</t>
        </is>
      </c>
      <c r="B9" s="95">
        <f>SUMIFS('סוכנים-ערוצים - מקור'!$D$2:$D$85,'סוכנים-ערוצים - מקור'!$A$2:$A$85,$A9,'סוכנים-ערוצים - מקור'!$B$2:$B$85,B$3,'סוכנים-ערוצים - מקור'!$C$2:$C$85,2025)</f>
        <v/>
      </c>
      <c r="C9" s="95">
        <f>SUMIFS('סוכנים-ערוצים - מקור'!$D$2:$D$85,'סוכנים-ערוצים - מקור'!$A$2:$A$85,$A9,'סוכנים-ערוצים - מקור'!$B$2:$B$85,C$3,'סוכנים-ערוצים - מקור'!$C$2:$C$85,2025)</f>
        <v/>
      </c>
      <c r="D9" s="95">
        <f>SUMIFS('סוכנים-ערוצים - מקור'!$D$2:$D$85,'סוכנים-ערוצים - מקור'!$A$2:$A$85,$A9,'סוכנים-ערוצים - מקור'!$B$2:$B$85,D$3,'סוכנים-ערוצים - מקור'!$C$2:$C$85,2025)</f>
        <v/>
      </c>
      <c r="E9" s="95">
        <f>SUMIFS('סוכנים-ערוצים - מקור'!$D$2:$D$85,'סוכנים-ערוצים - מקור'!$A$2:$A$85,$A9,'סוכנים-ערוצים - מקור'!$B$2:$B$85,E$3,'סוכנים-ערוצים - מקור'!$C$2:$C$85,2025)</f>
        <v/>
      </c>
      <c r="F9" s="95">
        <f>SUMIFS('סוכנים-ערוצים - מקור'!$D$2:$D$85,'סוכנים-ערוצים - מקור'!$A$2:$A$85,$A9,'סוכנים-ערוצים - מקור'!$B$2:$B$85,F$3,'סוכנים-ערוצים - מקור'!$C$2:$C$85,2025)</f>
        <v/>
      </c>
      <c r="G9" s="95">
        <f>SUMIFS('סוכנים-ערוצים - מקור'!$D$2:$D$85,'סוכנים-ערוצים - מקור'!$A$2:$A$85,$A9,'סוכנים-ערוצים - מקור'!$B$2:$B$85,G$3,'סוכנים-ערוצים - מקור'!$C$2:$C$85,2025)</f>
        <v/>
      </c>
      <c r="H9" s="95">
        <f>SUMIFS('סוכנים-ערוצים - מקור'!$D$2:$D$85,'סוכנים-ערוצים - מקור'!$A$2:$A$85,$A9,'סוכנים-ערוצים - מקור'!$B$2:$B$85,H$3,'סוכנים-ערוצים - מקור'!$C$2:$C$85,2025)</f>
        <v/>
      </c>
      <c r="I9" s="95">
        <f>SUM(B9:H9)</f>
        <v/>
      </c>
    </row>
    <row r="10" ht="15" customHeight="1" s="82">
      <c r="A10" s="96" t="inlineStr">
        <is>
          <t>סה"כ</t>
        </is>
      </c>
      <c r="B10" s="97">
        <f>SUM(B4:B9)</f>
        <v/>
      </c>
      <c r="C10" s="97">
        <f>SUM(C4:C9)</f>
        <v/>
      </c>
      <c r="D10" s="97">
        <f>SUM(D4:D9)</f>
        <v/>
      </c>
      <c r="E10" s="97">
        <f>SUM(E4:E9)</f>
        <v/>
      </c>
      <c r="F10" s="97">
        <f>SUM(F4:F9)</f>
        <v/>
      </c>
      <c r="G10" s="97">
        <f>SUM(G4:G9)</f>
        <v/>
      </c>
      <c r="H10" s="97">
        <f>SUM(H4:H9)</f>
        <v/>
      </c>
      <c r="I10" s="97">
        <f>SUM(I4:I9)</f>
        <v/>
      </c>
    </row>
    <row r="12" ht="15" customHeight="1" s="82">
      <c r="A12" s="98" t="inlineStr">
        <is>
          <t>טבלה ב׳: סה"כ מכר (₪)</t>
        </is>
      </c>
    </row>
    <row r="13" ht="26.25" customHeight="1" s="82">
      <c r="A13" s="112" t="inlineStr">
        <is>
          <t>סוכן</t>
        </is>
      </c>
      <c r="B13" s="93" t="inlineStr">
        <is>
          <t>102 - Orthopedic institutes</t>
        </is>
      </c>
      <c r="C13" s="93" t="inlineStr">
        <is>
          <t>103 - Physiotherapy institutes</t>
        </is>
      </c>
      <c r="D13" s="93" t="inlineStr">
        <is>
          <t>104 - Sports Shop</t>
        </is>
      </c>
      <c r="E13" s="93" t="inlineStr">
        <is>
          <t>105 - Pedicure Salons</t>
        </is>
      </c>
      <c r="F13" s="93" t="inlineStr">
        <is>
          <t>107 - Pharmacies</t>
        </is>
      </c>
      <c r="G13" s="93" t="inlineStr">
        <is>
          <t>108 - Shoe Stores</t>
        </is>
      </c>
      <c r="H13" s="93" t="inlineStr">
        <is>
          <t>109 - Private Shops</t>
        </is>
      </c>
      <c r="I13" s="93" t="inlineStr">
        <is>
          <t>סה"כ 7 הערוצים (₪)</t>
        </is>
      </c>
    </row>
    <row r="14" ht="15" customHeight="1" s="82">
      <c r="A14" s="94" t="inlineStr">
        <is>
          <t>אמזלג × מירב שירה</t>
        </is>
      </c>
      <c r="B14" s="95">
        <f>SUMIFS('סוכנים-ערוצים - מקור'!$E$2:$E$85,'סוכנים-ערוצים - מקור'!$A$2:$A$85,$A14,'סוכנים-ערוצים - מקור'!$B$2:$B$85,B$13,'סוכנים-ערוצים - מקור'!$C$2:$C$85,2025)</f>
        <v/>
      </c>
      <c r="C14" s="95">
        <f>SUMIFS('סוכנים-ערוצים - מקור'!$E$2:$E$85,'סוכנים-ערוצים - מקור'!$A$2:$A$85,$A14,'סוכנים-ערוצים - מקור'!$B$2:$B$85,C$13,'סוכנים-ערוצים - מקור'!$C$2:$C$85,2025)</f>
        <v/>
      </c>
      <c r="D14" s="95">
        <f>SUMIFS('סוכנים-ערוצים - מקור'!$E$2:$E$85,'סוכנים-ערוצים - מקור'!$A$2:$A$85,$A14,'סוכנים-ערוצים - מקור'!$B$2:$B$85,D$13,'סוכנים-ערוצים - מקור'!$C$2:$C$85,2025)</f>
        <v/>
      </c>
      <c r="E14" s="95">
        <f>SUMIFS('סוכנים-ערוצים - מקור'!$E$2:$E$85,'סוכנים-ערוצים - מקור'!$A$2:$A$85,$A14,'סוכנים-ערוצים - מקור'!$B$2:$B$85,E$13,'סוכנים-ערוצים - מקור'!$C$2:$C$85,2025)</f>
        <v/>
      </c>
      <c r="F14" s="95">
        <f>SUMIFS('סוכנים-ערוצים - מקור'!$E$2:$E$85,'סוכנים-ערוצים - מקור'!$A$2:$A$85,$A14,'סוכנים-ערוצים - מקור'!$B$2:$B$85,F$13,'סוכנים-ערוצים - מקור'!$C$2:$C$85,2025)</f>
        <v/>
      </c>
      <c r="G14" s="95">
        <f>SUMIFS('סוכנים-ערוצים - מקור'!$E$2:$E$85,'סוכנים-ערוצים - מקור'!$A$2:$A$85,$A14,'סוכנים-ערוצים - מקור'!$B$2:$B$85,G$13,'סוכנים-ערוצים - מקור'!$C$2:$C$85,2025)</f>
        <v/>
      </c>
      <c r="H14" s="95">
        <f>SUMIFS('סוכנים-ערוצים - מקור'!$E$2:$E$85,'סוכנים-ערוצים - מקור'!$A$2:$A$85,$A14,'סוכנים-ערוצים - מקור'!$B$2:$B$85,H$13,'סוכנים-ערוצים - מקור'!$C$2:$C$85,2025)</f>
        <v/>
      </c>
      <c r="I14" s="95">
        <f>SUM(B14:H14)</f>
        <v/>
      </c>
    </row>
    <row r="15" ht="15" customHeight="1" s="82">
      <c r="A15" s="94" t="inlineStr">
        <is>
          <t>אזולאי דוד</t>
        </is>
      </c>
      <c r="B15" s="95">
        <f>SUMIFS('סוכנים-ערוצים - מקור'!$E$2:$E$85,'סוכנים-ערוצים - מקור'!$A$2:$A$85,$A15,'סוכנים-ערוצים - מקור'!$B$2:$B$85,B$13,'סוכנים-ערוצים - מקור'!$C$2:$C$85,2025)</f>
        <v/>
      </c>
      <c r="C15" s="95">
        <f>SUMIFS('סוכנים-ערוצים - מקור'!$E$2:$E$85,'סוכנים-ערוצים - מקור'!$A$2:$A$85,$A15,'סוכנים-ערוצים - מקור'!$B$2:$B$85,C$13,'סוכנים-ערוצים - מקור'!$C$2:$C$85,2025)</f>
        <v/>
      </c>
      <c r="D15" s="95">
        <f>SUMIFS('סוכנים-ערוצים - מקור'!$E$2:$E$85,'סוכנים-ערוצים - מקור'!$A$2:$A$85,$A15,'סוכנים-ערוצים - מקור'!$B$2:$B$85,D$13,'סוכנים-ערוצים - מקור'!$C$2:$C$85,2025)</f>
        <v/>
      </c>
      <c r="E15" s="95">
        <f>SUMIFS('סוכנים-ערוצים - מקור'!$E$2:$E$85,'סוכנים-ערוצים - מקור'!$A$2:$A$85,$A15,'סוכנים-ערוצים - מקור'!$B$2:$B$85,E$13,'סוכנים-ערוצים - מקור'!$C$2:$C$85,2025)</f>
        <v/>
      </c>
      <c r="F15" s="95">
        <f>SUMIFS('סוכנים-ערוצים - מקור'!$E$2:$E$85,'סוכנים-ערוצים - מקור'!$A$2:$A$85,$A15,'סוכנים-ערוצים - מקור'!$B$2:$B$85,F$13,'סוכנים-ערוצים - מקור'!$C$2:$C$85,2025)</f>
        <v/>
      </c>
      <c r="G15" s="95">
        <f>SUMIFS('סוכנים-ערוצים - מקור'!$E$2:$E$85,'סוכנים-ערוצים - מקור'!$A$2:$A$85,$A15,'סוכנים-ערוצים - מקור'!$B$2:$B$85,G$13,'סוכנים-ערוצים - מקור'!$C$2:$C$85,2025)</f>
        <v/>
      </c>
      <c r="H15" s="95">
        <f>SUMIFS('סוכנים-ערוצים - מקור'!$E$2:$E$85,'סוכנים-ערוצים - מקור'!$A$2:$A$85,$A15,'סוכנים-ערוצים - מקור'!$B$2:$B$85,H$13,'סוכנים-ערוצים - מקור'!$C$2:$C$85,2025)</f>
        <v/>
      </c>
      <c r="I15" s="95">
        <f>SUM(B15:H15)</f>
        <v/>
      </c>
    </row>
    <row r="16" ht="15" customHeight="1" s="82">
      <c r="A16" s="94" t="inlineStr">
        <is>
          <t>סטניסלב נסאר</t>
        </is>
      </c>
      <c r="B16" s="95">
        <f>SUMIFS('סוכנים-ערוצים - מקור'!$E$2:$E$85,'סוכנים-ערוצים - מקור'!$A$2:$A$85,$A16,'סוכנים-ערוצים - מקור'!$B$2:$B$85,B$13,'סוכנים-ערוצים - מקור'!$C$2:$C$85,2025)</f>
        <v/>
      </c>
      <c r="C16" s="95">
        <f>SUMIFS('סוכנים-ערוצים - מקור'!$E$2:$E$85,'סוכנים-ערוצים - מקור'!$A$2:$A$85,$A16,'סוכנים-ערוצים - מקור'!$B$2:$B$85,C$13,'סוכנים-ערוצים - מקור'!$C$2:$C$85,2025)</f>
        <v/>
      </c>
      <c r="D16" s="95">
        <f>SUMIFS('סוכנים-ערוצים - מקור'!$E$2:$E$85,'סוכנים-ערוצים - מקור'!$A$2:$A$85,$A16,'סוכנים-ערוצים - מקור'!$B$2:$B$85,D$13,'סוכנים-ערוצים - מקור'!$C$2:$C$85,2025)</f>
        <v/>
      </c>
      <c r="E16" s="95">
        <f>SUMIFS('סוכנים-ערוצים - מקור'!$E$2:$E$85,'סוכנים-ערוצים - מקור'!$A$2:$A$85,$A16,'סוכנים-ערוצים - מקור'!$B$2:$B$85,E$13,'סוכנים-ערוצים - מקור'!$C$2:$C$85,2025)</f>
        <v/>
      </c>
      <c r="F16" s="95">
        <f>SUMIFS('סוכנים-ערוצים - מקור'!$E$2:$E$85,'סוכנים-ערוצים - מקור'!$A$2:$A$85,$A16,'סוכנים-ערוצים - מקור'!$B$2:$B$85,F$13,'סוכנים-ערוצים - מקור'!$C$2:$C$85,2025)</f>
        <v/>
      </c>
      <c r="G16" s="95">
        <f>SUMIFS('סוכנים-ערוצים - מקור'!$E$2:$E$85,'סוכנים-ערוצים - מקור'!$A$2:$A$85,$A16,'סוכנים-ערוצים - מקור'!$B$2:$B$85,G$13,'סוכנים-ערוצים - מקור'!$C$2:$C$85,2025)</f>
        <v/>
      </c>
      <c r="H16" s="95">
        <f>SUMIFS('סוכנים-ערוצים - מקור'!$E$2:$E$85,'סוכנים-ערוצים - מקור'!$A$2:$A$85,$A16,'סוכנים-ערוצים - מקור'!$B$2:$B$85,H$13,'סוכנים-ערוצים - מקור'!$C$2:$C$85,2025)</f>
        <v/>
      </c>
      <c r="I16" s="95">
        <f>SUM(B16:H16)</f>
        <v/>
      </c>
    </row>
    <row r="17" ht="15" customHeight="1" s="82">
      <c r="A17" s="94" t="inlineStr">
        <is>
          <t>חאזם תלחמי</t>
        </is>
      </c>
      <c r="B17" s="95">
        <f>SUMIFS('סוכנים-ערוצים - מקור'!$E$2:$E$85,'סוכנים-ערוצים - מקור'!$A$2:$A$85,$A17,'סוכנים-ערוצים - מקור'!$B$2:$B$85,B$13,'סוכנים-ערוצים - מקור'!$C$2:$C$85,2025)</f>
        <v/>
      </c>
      <c r="C17" s="95">
        <f>SUMIFS('סוכנים-ערוצים - מקור'!$E$2:$E$85,'סוכנים-ערוצים - מקור'!$A$2:$A$85,$A17,'סוכנים-ערוצים - מקור'!$B$2:$B$85,C$13,'סוכנים-ערוצים - מקור'!$C$2:$C$85,2025)</f>
        <v/>
      </c>
      <c r="D17" s="95">
        <f>SUMIFS('סוכנים-ערוצים - מקור'!$E$2:$E$85,'סוכנים-ערוצים - מקור'!$A$2:$A$85,$A17,'סוכנים-ערוצים - מקור'!$B$2:$B$85,D$13,'סוכנים-ערוצים - מקור'!$C$2:$C$85,2025)</f>
        <v/>
      </c>
      <c r="E17" s="95">
        <f>SUMIFS('סוכנים-ערוצים - מקור'!$E$2:$E$85,'סוכנים-ערוצים - מקור'!$A$2:$A$85,$A17,'סוכנים-ערוצים - מקור'!$B$2:$B$85,E$13,'סוכנים-ערוצים - מקור'!$C$2:$C$85,2025)</f>
        <v/>
      </c>
      <c r="F17" s="95">
        <f>SUMIFS('סוכנים-ערוצים - מקור'!$E$2:$E$85,'סוכנים-ערוצים - מקור'!$A$2:$A$85,$A17,'סוכנים-ערוצים - מקור'!$B$2:$B$85,F$13,'סוכנים-ערוצים - מקור'!$C$2:$C$85,2025)</f>
        <v/>
      </c>
      <c r="G17" s="95">
        <f>SUMIFS('סוכנים-ערוצים - מקור'!$E$2:$E$85,'סוכנים-ערוצים - מקור'!$A$2:$A$85,$A17,'סוכנים-ערוצים - מקור'!$B$2:$B$85,G$13,'סוכנים-ערוצים - מקור'!$C$2:$C$85,2025)</f>
        <v/>
      </c>
      <c r="H17" s="95">
        <f>SUMIFS('סוכנים-ערוצים - מקור'!$E$2:$E$85,'סוכנים-ערוצים - מקור'!$A$2:$A$85,$A17,'סוכנים-ערוצים - מקור'!$B$2:$B$85,H$13,'סוכנים-ערוצים - מקור'!$C$2:$C$85,2025)</f>
        <v/>
      </c>
      <c r="I17" s="95">
        <f>SUM(B17:H17)</f>
        <v/>
      </c>
    </row>
    <row r="18" ht="15" customHeight="1" s="82">
      <c r="A18" s="94" t="inlineStr">
        <is>
          <t>חיים ויצמן</t>
        </is>
      </c>
      <c r="B18" s="95">
        <f>SUMIFS('סוכנים-ערוצים - מקור'!$E$2:$E$85,'סוכנים-ערוצים - מקור'!$A$2:$A$85,$A18,'סוכנים-ערוצים - מקור'!$B$2:$B$85,B$13,'סוכנים-ערוצים - מקור'!$C$2:$C$85,2025)</f>
        <v/>
      </c>
      <c r="C18" s="95">
        <f>SUMIFS('סוכנים-ערוצים - מקור'!$E$2:$E$85,'סוכנים-ערוצים - מקור'!$A$2:$A$85,$A18,'סוכנים-ערוצים - מקור'!$B$2:$B$85,C$13,'סוכנים-ערוצים - מקור'!$C$2:$C$85,2025)</f>
        <v/>
      </c>
      <c r="D18" s="95">
        <f>SUMIFS('סוכנים-ערוצים - מקור'!$E$2:$E$85,'סוכנים-ערוצים - מקור'!$A$2:$A$85,$A18,'סוכנים-ערוצים - מקור'!$B$2:$B$85,D$13,'סוכנים-ערוצים - מקור'!$C$2:$C$85,2025)</f>
        <v/>
      </c>
      <c r="E18" s="95">
        <f>SUMIFS('סוכנים-ערוצים - מקור'!$E$2:$E$85,'סוכנים-ערוצים - מקור'!$A$2:$A$85,$A18,'סוכנים-ערוצים - מקור'!$B$2:$B$85,E$13,'סוכנים-ערוצים - מקור'!$C$2:$C$85,2025)</f>
        <v/>
      </c>
      <c r="F18" s="95">
        <f>SUMIFS('סוכנים-ערוצים - מקור'!$E$2:$E$85,'סוכנים-ערוצים - מקור'!$A$2:$A$85,$A18,'סוכנים-ערוצים - מקור'!$B$2:$B$85,F$13,'סוכנים-ערוצים - מקור'!$C$2:$C$85,2025)</f>
        <v/>
      </c>
      <c r="G18" s="95">
        <f>SUMIFS('סוכנים-ערוצים - מקור'!$E$2:$E$85,'סוכנים-ערוצים - מקור'!$A$2:$A$85,$A18,'סוכנים-ערוצים - מקור'!$B$2:$B$85,G$13,'סוכנים-ערוצים - מקור'!$C$2:$C$85,2025)</f>
        <v/>
      </c>
      <c r="H18" s="95">
        <f>SUMIFS('סוכנים-ערוצים - מקור'!$E$2:$E$85,'סוכנים-ערוצים - מקור'!$A$2:$A$85,$A18,'סוכנים-ערוצים - מקור'!$B$2:$B$85,H$13,'סוכנים-ערוצים - מקור'!$C$2:$C$85,2025)</f>
        <v/>
      </c>
      <c r="I18" s="95">
        <f>SUM(B18:H18)</f>
        <v/>
      </c>
    </row>
    <row r="19" ht="15" customHeight="1" s="82">
      <c r="A19" s="94" t="inlineStr">
        <is>
          <t>- Unassigned -</t>
        </is>
      </c>
      <c r="B19" s="95">
        <f>SUMIFS('סוכנים-ערוצים - מקור'!$E$2:$E$85,'סוכנים-ערוצים - מקור'!$A$2:$A$85,$A19,'סוכנים-ערוצים - מקור'!$B$2:$B$85,B$13,'סוכנים-ערוצים - מקור'!$C$2:$C$85,2025)</f>
        <v/>
      </c>
      <c r="C19" s="95">
        <f>SUMIFS('סוכנים-ערוצים - מקור'!$E$2:$E$85,'סוכנים-ערוצים - מקור'!$A$2:$A$85,$A19,'סוכנים-ערוצים - מקור'!$B$2:$B$85,C$13,'סוכנים-ערוצים - מקור'!$C$2:$C$85,2025)</f>
        <v/>
      </c>
      <c r="D19" s="95">
        <f>SUMIFS('סוכנים-ערוצים - מקור'!$E$2:$E$85,'סוכנים-ערוצים - מקור'!$A$2:$A$85,$A19,'סוכנים-ערוצים - מקור'!$B$2:$B$85,D$13,'סוכנים-ערוצים - מקור'!$C$2:$C$85,2025)</f>
        <v/>
      </c>
      <c r="E19" s="95">
        <f>SUMIFS('סוכנים-ערוצים - מקור'!$E$2:$E$85,'סוכנים-ערוצים - מקור'!$A$2:$A$85,$A19,'סוכנים-ערוצים - מקור'!$B$2:$B$85,E$13,'סוכנים-ערוצים - מקור'!$C$2:$C$85,2025)</f>
        <v/>
      </c>
      <c r="F19" s="95">
        <f>SUMIFS('סוכנים-ערוצים - מקור'!$E$2:$E$85,'סוכנים-ערוצים - מקור'!$A$2:$A$85,$A19,'סוכנים-ערוצים - מקור'!$B$2:$B$85,F$13,'סוכנים-ערוצים - מקור'!$C$2:$C$85,2025)</f>
        <v/>
      </c>
      <c r="G19" s="95">
        <f>SUMIFS('סוכנים-ערוצים - מקור'!$E$2:$E$85,'סוכנים-ערוצים - מקור'!$A$2:$A$85,$A19,'סוכנים-ערוצים - מקור'!$B$2:$B$85,G$13,'סוכנים-ערוצים - מקור'!$C$2:$C$85,2025)</f>
        <v/>
      </c>
      <c r="H19" s="95">
        <f>SUMIFS('סוכנים-ערוצים - מקור'!$E$2:$E$85,'סוכנים-ערוצים - מקור'!$A$2:$A$85,$A19,'סוכנים-ערוצים - מקור'!$B$2:$B$85,H$13,'סוכנים-ערוצים - מקור'!$C$2:$C$85,2025)</f>
        <v/>
      </c>
      <c r="I19" s="95">
        <f>SUM(B19:H19)</f>
        <v/>
      </c>
    </row>
    <row r="20" ht="15" customHeight="1" s="82">
      <c r="A20" s="96" t="inlineStr">
        <is>
          <t>סה"כ</t>
        </is>
      </c>
      <c r="B20" s="97">
        <f>SUM(B14:B19)</f>
        <v/>
      </c>
      <c r="C20" s="97">
        <f>SUM(C14:C19)</f>
        <v/>
      </c>
      <c r="D20" s="97">
        <f>SUM(D14:D19)</f>
        <v/>
      </c>
      <c r="E20" s="97">
        <f>SUM(E14:E19)</f>
        <v/>
      </c>
      <c r="F20" s="97">
        <f>SUM(F14:F19)</f>
        <v/>
      </c>
      <c r="G20" s="97">
        <f>SUM(G14:G19)</f>
        <v/>
      </c>
      <c r="H20" s="97">
        <f>SUM(H14:H19)</f>
        <v/>
      </c>
      <c r="I20" s="97">
        <f>SUM(I14:I19)</f>
        <v/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00B050"/>
    <outlinePr summaryBelow="1" summaryRight="1"/>
    <pageSetUpPr fitToPage="0"/>
  </sheetPr>
  <dimension ref="A1:I20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D5" activeCellId="0" sqref="D5"/>
    </sheetView>
  </sheetViews>
  <sheetFormatPr baseColWidth="8" defaultColWidth="8.57421875" defaultRowHeight="15" zeroHeight="0" outlineLevelRow="0"/>
  <cols>
    <col width="22" customWidth="1" style="81" min="1" max="1"/>
    <col width="16" customWidth="1" style="81" min="2" max="9"/>
  </cols>
  <sheetData>
    <row r="1" ht="16.5" customHeight="1" s="82">
      <c r="A1" s="83" t="inlineStr">
        <is>
          <t>סוכנים לפי ערוץ 2026 — מספר לקוחות (דלתות) וסה"כ מכר (₪)</t>
        </is>
      </c>
    </row>
    <row r="2" ht="15" customHeight="1" s="82">
      <c r="A2" s="98" t="inlineStr">
        <is>
          <t>טבלה א׳: מספר לקוחות (דלתות)</t>
        </is>
      </c>
    </row>
    <row r="3" ht="26.25" customHeight="1" s="82">
      <c r="A3" s="112" t="inlineStr">
        <is>
          <t>סוכן</t>
        </is>
      </c>
      <c r="B3" s="93" t="inlineStr">
        <is>
          <t>102 - Orthopedic institutes</t>
        </is>
      </c>
      <c r="C3" s="93" t="inlineStr">
        <is>
          <t>103 - Physiotherapy institutes</t>
        </is>
      </c>
      <c r="D3" s="93" t="inlineStr">
        <is>
          <t>104 - Sports Shop</t>
        </is>
      </c>
      <c r="E3" s="93" t="inlineStr">
        <is>
          <t>105 - Pedicure Salons</t>
        </is>
      </c>
      <c r="F3" s="93" t="inlineStr">
        <is>
          <t>107 - Pharmacies</t>
        </is>
      </c>
      <c r="G3" s="93" t="inlineStr">
        <is>
          <t>108 - Shoe Stores</t>
        </is>
      </c>
      <c r="H3" s="93" t="inlineStr">
        <is>
          <t>109 - Private Shops</t>
        </is>
      </c>
      <c r="I3" s="93" t="inlineStr">
        <is>
          <t>סה"כ 7 הערוצים</t>
        </is>
      </c>
    </row>
    <row r="4" ht="15" customHeight="1" s="82">
      <c r="A4" s="94" t="inlineStr">
        <is>
          <t>אמזלג × מירב שירה</t>
        </is>
      </c>
      <c r="B4" s="95">
        <f>SUMIFS('סוכנים-ערוצים - מקור'!$D$2:$D$85,'סוכנים-ערוצים - מקור'!$A$2:$A$85,$A4,'סוכנים-ערוצים - מקור'!$B$2:$B$85,B$3,'סוכנים-ערוצים - מקור'!$C$2:$C$85,2026)</f>
        <v/>
      </c>
      <c r="C4" s="95">
        <f>SUMIFS('סוכנים-ערוצים - מקור'!$D$2:$D$85,'סוכנים-ערוצים - מקור'!$A$2:$A$85,$A4,'סוכנים-ערוצים - מקור'!$B$2:$B$85,C$3,'סוכנים-ערוצים - מקור'!$C$2:$C$85,2026)</f>
        <v/>
      </c>
      <c r="D4" s="95">
        <f>SUMIFS('סוכנים-ערוצים - מקור'!$D$2:$D$85,'סוכנים-ערוצים - מקור'!$A$2:$A$85,$A4,'סוכנים-ערוצים - מקור'!$B$2:$B$85,D$3,'סוכנים-ערוצים - מקור'!$C$2:$C$85,2026)</f>
        <v/>
      </c>
      <c r="E4" s="95">
        <f>SUMIFS('סוכנים-ערוצים - מקור'!$D$2:$D$85,'סוכנים-ערוצים - מקור'!$A$2:$A$85,$A4,'סוכנים-ערוצים - מקור'!$B$2:$B$85,E$3,'סוכנים-ערוצים - מקור'!$C$2:$C$85,2026)</f>
        <v/>
      </c>
      <c r="F4" s="95">
        <f>SUMIFS('סוכנים-ערוצים - מקור'!$D$2:$D$85,'סוכנים-ערוצים - מקור'!$A$2:$A$85,$A4,'סוכנים-ערוצים - מקור'!$B$2:$B$85,F$3,'סוכנים-ערוצים - מקור'!$C$2:$C$85,2026)</f>
        <v/>
      </c>
      <c r="G4" s="95">
        <f>SUMIFS('סוכנים-ערוצים - מקור'!$D$2:$D$85,'סוכנים-ערוצים - מקור'!$A$2:$A$85,$A4,'סוכנים-ערוצים - מקור'!$B$2:$B$85,G$3,'סוכנים-ערוצים - מקור'!$C$2:$C$85,2026)</f>
        <v/>
      </c>
      <c r="H4" s="95">
        <f>SUMIFS('סוכנים-ערוצים - מקור'!$D$2:$D$85,'סוכנים-ערוצים - מקור'!$A$2:$A$85,$A4,'סוכנים-ערוצים - מקור'!$B$2:$B$85,H$3,'סוכנים-ערוצים - מקור'!$C$2:$C$85,2026)</f>
        <v/>
      </c>
      <c r="I4" s="95">
        <f>SUM(B4:H4)</f>
        <v/>
      </c>
    </row>
    <row r="5" ht="15" customHeight="1" s="82">
      <c r="A5" s="94" t="inlineStr">
        <is>
          <t>אזולאי דוד</t>
        </is>
      </c>
      <c r="B5" s="95">
        <f>SUMIFS('סוכנים-ערוצים - מקור'!$D$2:$D$85,'סוכנים-ערוצים - מקור'!$A$2:$A$85,$A5,'סוכנים-ערוצים - מקור'!$B$2:$B$85,B$3,'סוכנים-ערוצים - מקור'!$C$2:$C$85,2026)</f>
        <v/>
      </c>
      <c r="C5" s="95">
        <f>SUMIFS('סוכנים-ערוצים - מקור'!$D$2:$D$85,'סוכנים-ערוצים - מקור'!$A$2:$A$85,$A5,'סוכנים-ערוצים - מקור'!$B$2:$B$85,C$3,'סוכנים-ערוצים - מקור'!$C$2:$C$85,2026)</f>
        <v/>
      </c>
      <c r="D5" s="95">
        <f>SUMIFS('סוכנים-ערוצים - מקור'!$D$2:$D$85,'סוכנים-ערוצים - מקור'!$A$2:$A$85,$A5,'סוכנים-ערוצים - מקור'!$B$2:$B$85,D$3,'סוכנים-ערוצים - מקור'!$C$2:$C$85,2026)</f>
        <v/>
      </c>
      <c r="E5" s="95">
        <f>SUMIFS('סוכנים-ערוצים - מקור'!$D$2:$D$85,'סוכנים-ערוצים - מקור'!$A$2:$A$85,$A5,'סוכנים-ערוצים - מקור'!$B$2:$B$85,E$3,'סוכנים-ערוצים - מקור'!$C$2:$C$85,2026)</f>
        <v/>
      </c>
      <c r="F5" s="95">
        <f>SUMIFS('סוכנים-ערוצים - מקור'!$D$2:$D$85,'סוכנים-ערוצים - מקור'!$A$2:$A$85,$A5,'סוכנים-ערוצים - מקור'!$B$2:$B$85,F$3,'סוכנים-ערוצים - מקור'!$C$2:$C$85,2026)</f>
        <v/>
      </c>
      <c r="G5" s="95">
        <f>SUMIFS('סוכנים-ערוצים - מקור'!$D$2:$D$85,'סוכנים-ערוצים - מקור'!$A$2:$A$85,$A5,'סוכנים-ערוצים - מקור'!$B$2:$B$85,G$3,'סוכנים-ערוצים - מקור'!$C$2:$C$85,2026)</f>
        <v/>
      </c>
      <c r="H5" s="95">
        <f>SUMIFS('סוכנים-ערוצים - מקור'!$D$2:$D$85,'סוכנים-ערוצים - מקור'!$A$2:$A$85,$A5,'סוכנים-ערוצים - מקור'!$B$2:$B$85,H$3,'סוכנים-ערוצים - מקור'!$C$2:$C$85,2026)</f>
        <v/>
      </c>
      <c r="I5" s="95">
        <f>SUM(B5:H5)</f>
        <v/>
      </c>
    </row>
    <row r="6" ht="15" customHeight="1" s="82">
      <c r="A6" s="94" t="inlineStr">
        <is>
          <t>סטניסלב נסאר</t>
        </is>
      </c>
      <c r="B6" s="95">
        <f>SUMIFS('סוכנים-ערוצים - מקור'!$D$2:$D$85,'סוכנים-ערוצים - מקור'!$A$2:$A$85,$A6,'סוכנים-ערוצים - מקור'!$B$2:$B$85,B$3,'סוכנים-ערוצים - מקור'!$C$2:$C$85,2026)</f>
        <v/>
      </c>
      <c r="C6" s="95">
        <f>SUMIFS('סוכנים-ערוצים - מקור'!$D$2:$D$85,'סוכנים-ערוצים - מקור'!$A$2:$A$85,$A6,'סוכנים-ערוצים - מקור'!$B$2:$B$85,C$3,'סוכנים-ערוצים - מקור'!$C$2:$C$85,2026)</f>
        <v/>
      </c>
      <c r="D6" s="95">
        <f>SUMIFS('סוכנים-ערוצים - מקור'!$D$2:$D$85,'סוכנים-ערוצים - מקור'!$A$2:$A$85,$A6,'סוכנים-ערוצים - מקור'!$B$2:$B$85,D$3,'סוכנים-ערוצים - מקור'!$C$2:$C$85,2026)</f>
        <v/>
      </c>
      <c r="E6" s="95">
        <f>SUMIFS('סוכנים-ערוצים - מקור'!$D$2:$D$85,'סוכנים-ערוצים - מקור'!$A$2:$A$85,$A6,'סוכנים-ערוצים - מקור'!$B$2:$B$85,E$3,'סוכנים-ערוצים - מקור'!$C$2:$C$85,2026)</f>
        <v/>
      </c>
      <c r="F6" s="95">
        <f>SUMIFS('סוכנים-ערוצים - מקור'!$D$2:$D$85,'סוכנים-ערוצים - מקור'!$A$2:$A$85,$A6,'סוכנים-ערוצים - מקור'!$B$2:$B$85,F$3,'סוכנים-ערוצים - מקור'!$C$2:$C$85,2026)</f>
        <v/>
      </c>
      <c r="G6" s="95">
        <f>SUMIFS('סוכנים-ערוצים - מקור'!$D$2:$D$85,'סוכנים-ערוצים - מקור'!$A$2:$A$85,$A6,'סוכנים-ערוצים - מקור'!$B$2:$B$85,G$3,'סוכנים-ערוצים - מקור'!$C$2:$C$85,2026)</f>
        <v/>
      </c>
      <c r="H6" s="95">
        <f>SUMIFS('סוכנים-ערוצים - מקור'!$D$2:$D$85,'סוכנים-ערוצים - מקור'!$A$2:$A$85,$A6,'סוכנים-ערוצים - מקור'!$B$2:$B$85,H$3,'סוכנים-ערוצים - מקור'!$C$2:$C$85,2026)</f>
        <v/>
      </c>
      <c r="I6" s="95">
        <f>SUM(B6:H6)</f>
        <v/>
      </c>
    </row>
    <row r="7" ht="15" customHeight="1" s="82">
      <c r="A7" s="94" t="inlineStr">
        <is>
          <t>חאזם תלחמי</t>
        </is>
      </c>
      <c r="B7" s="95">
        <f>SUMIFS('סוכנים-ערוצים - מקור'!$D$2:$D$85,'סוכנים-ערוצים - מקור'!$A$2:$A$85,$A7,'סוכנים-ערוצים - מקור'!$B$2:$B$85,B$3,'סוכנים-ערוצים - מקור'!$C$2:$C$85,2026)</f>
        <v/>
      </c>
      <c r="C7" s="95">
        <f>SUMIFS('סוכנים-ערוצים - מקור'!$D$2:$D$85,'סוכנים-ערוצים - מקור'!$A$2:$A$85,$A7,'סוכנים-ערוצים - מקור'!$B$2:$B$85,C$3,'סוכנים-ערוצים - מקור'!$C$2:$C$85,2026)</f>
        <v/>
      </c>
      <c r="D7" s="95">
        <f>SUMIFS('סוכנים-ערוצים - מקור'!$D$2:$D$85,'סוכנים-ערוצים - מקור'!$A$2:$A$85,$A7,'סוכנים-ערוצים - מקור'!$B$2:$B$85,D$3,'סוכנים-ערוצים - מקור'!$C$2:$C$85,2026)</f>
        <v/>
      </c>
      <c r="E7" s="95">
        <f>SUMIFS('סוכנים-ערוצים - מקור'!$D$2:$D$85,'סוכנים-ערוצים - מקור'!$A$2:$A$85,$A7,'סוכנים-ערוצים - מקור'!$B$2:$B$85,E$3,'סוכנים-ערוצים - מקור'!$C$2:$C$85,2026)</f>
        <v/>
      </c>
      <c r="F7" s="95">
        <f>SUMIFS('סוכנים-ערוצים - מקור'!$D$2:$D$85,'סוכנים-ערוצים - מקור'!$A$2:$A$85,$A7,'סוכנים-ערוצים - מקור'!$B$2:$B$85,F$3,'סוכנים-ערוצים - מקור'!$C$2:$C$85,2026)</f>
        <v/>
      </c>
      <c r="G7" s="95">
        <f>SUMIFS('סוכנים-ערוצים - מקור'!$D$2:$D$85,'סוכנים-ערוצים - מקור'!$A$2:$A$85,$A7,'סוכנים-ערוצים - מקור'!$B$2:$B$85,G$3,'סוכנים-ערוצים - מקור'!$C$2:$C$85,2026)</f>
        <v/>
      </c>
      <c r="H7" s="95">
        <f>SUMIFS('סוכנים-ערוצים - מקור'!$D$2:$D$85,'סוכנים-ערוצים - מקור'!$A$2:$A$85,$A7,'סוכנים-ערוצים - מקור'!$B$2:$B$85,H$3,'סוכנים-ערוצים - מקור'!$C$2:$C$85,2026)</f>
        <v/>
      </c>
      <c r="I7" s="95">
        <f>SUM(B7:H7)</f>
        <v/>
      </c>
    </row>
    <row r="8" ht="15" customHeight="1" s="82">
      <c r="A8" s="94" t="inlineStr">
        <is>
          <t>חיים ויצמן</t>
        </is>
      </c>
      <c r="B8" s="95">
        <f>SUMIFS('סוכנים-ערוצים - מקור'!$D$2:$D$85,'סוכנים-ערוצים - מקור'!$A$2:$A$85,$A8,'סוכנים-ערוצים - מקור'!$B$2:$B$85,B$3,'סוכנים-ערוצים - מקור'!$C$2:$C$85,2026)</f>
        <v/>
      </c>
      <c r="C8" s="95">
        <f>SUMIFS('סוכנים-ערוצים - מקור'!$D$2:$D$85,'סוכנים-ערוצים - מקור'!$A$2:$A$85,$A8,'סוכנים-ערוצים - מקור'!$B$2:$B$85,C$3,'סוכנים-ערוצים - מקור'!$C$2:$C$85,2026)</f>
        <v/>
      </c>
      <c r="D8" s="95">
        <f>SUMIFS('סוכנים-ערוצים - מקור'!$D$2:$D$85,'סוכנים-ערוצים - מקור'!$A$2:$A$85,$A8,'סוכנים-ערוצים - מקור'!$B$2:$B$85,D$3,'סוכנים-ערוצים - מקור'!$C$2:$C$85,2026)</f>
        <v/>
      </c>
      <c r="E8" s="95">
        <f>SUMIFS('סוכנים-ערוצים - מקור'!$D$2:$D$85,'סוכנים-ערוצים - מקור'!$A$2:$A$85,$A8,'סוכנים-ערוצים - מקור'!$B$2:$B$85,E$3,'סוכנים-ערוצים - מקור'!$C$2:$C$85,2026)</f>
        <v/>
      </c>
      <c r="F8" s="95">
        <f>SUMIFS('סוכנים-ערוצים - מקור'!$D$2:$D$85,'סוכנים-ערוצים - מקור'!$A$2:$A$85,$A8,'סוכנים-ערוצים - מקור'!$B$2:$B$85,F$3,'סוכנים-ערוצים - מקור'!$C$2:$C$85,2026)</f>
        <v/>
      </c>
      <c r="G8" s="95">
        <f>SUMIFS('סוכנים-ערוצים - מקור'!$D$2:$D$85,'סוכנים-ערוצים - מקור'!$A$2:$A$85,$A8,'סוכנים-ערוצים - מקור'!$B$2:$B$85,G$3,'סוכנים-ערוצים - מקור'!$C$2:$C$85,2026)</f>
        <v/>
      </c>
      <c r="H8" s="95">
        <f>SUMIFS('סוכנים-ערוצים - מקור'!$D$2:$D$85,'סוכנים-ערוצים - מקור'!$A$2:$A$85,$A8,'סוכנים-ערוצים - מקור'!$B$2:$B$85,H$3,'סוכנים-ערוצים - מקור'!$C$2:$C$85,2026)</f>
        <v/>
      </c>
      <c r="I8" s="95">
        <f>SUM(B8:H8)</f>
        <v/>
      </c>
    </row>
    <row r="9" ht="15" customHeight="1" s="82">
      <c r="A9" s="94" t="inlineStr">
        <is>
          <t>- Unassigned -</t>
        </is>
      </c>
      <c r="B9" s="95">
        <f>SUMIFS('סוכנים-ערוצים - מקור'!$D$2:$D$85,'סוכנים-ערוצים - מקור'!$A$2:$A$85,$A9,'סוכנים-ערוצים - מקור'!$B$2:$B$85,B$3,'סוכנים-ערוצים - מקור'!$C$2:$C$85,2026)</f>
        <v/>
      </c>
      <c r="C9" s="95">
        <f>SUMIFS('סוכנים-ערוצים - מקור'!$D$2:$D$85,'סוכנים-ערוצים - מקור'!$A$2:$A$85,$A9,'סוכנים-ערוצים - מקור'!$B$2:$B$85,C$3,'סוכנים-ערוצים - מקור'!$C$2:$C$85,2026)</f>
        <v/>
      </c>
      <c r="D9" s="95">
        <f>SUMIFS('סוכנים-ערוצים - מקור'!$D$2:$D$85,'סוכנים-ערוצים - מקור'!$A$2:$A$85,$A9,'סוכנים-ערוצים - מקור'!$B$2:$B$85,D$3,'סוכנים-ערוצים - מקור'!$C$2:$C$85,2026)</f>
        <v/>
      </c>
      <c r="E9" s="95">
        <f>SUMIFS('סוכנים-ערוצים - מקור'!$D$2:$D$85,'סוכנים-ערוצים - מקור'!$A$2:$A$85,$A9,'סוכנים-ערוצים - מקור'!$B$2:$B$85,E$3,'סוכנים-ערוצים - מקור'!$C$2:$C$85,2026)</f>
        <v/>
      </c>
      <c r="F9" s="95">
        <f>SUMIFS('סוכנים-ערוצים - מקור'!$D$2:$D$85,'סוכנים-ערוצים - מקור'!$A$2:$A$85,$A9,'סוכנים-ערוצים - מקור'!$B$2:$B$85,F$3,'סוכנים-ערוצים - מקור'!$C$2:$C$85,2026)</f>
        <v/>
      </c>
      <c r="G9" s="95">
        <f>SUMIFS('סוכנים-ערוצים - מקור'!$D$2:$D$85,'סוכנים-ערוצים - מקור'!$A$2:$A$85,$A9,'סוכנים-ערוצים - מקור'!$B$2:$B$85,G$3,'סוכנים-ערוצים - מקור'!$C$2:$C$85,2026)</f>
        <v/>
      </c>
      <c r="H9" s="95">
        <f>SUMIFS('סוכנים-ערוצים - מקור'!$D$2:$D$85,'סוכנים-ערוצים - מקור'!$A$2:$A$85,$A9,'סוכנים-ערוצים - מקור'!$B$2:$B$85,H$3,'סוכנים-ערוצים - מקור'!$C$2:$C$85,2026)</f>
        <v/>
      </c>
      <c r="I9" s="95">
        <f>SUM(B9:H9)</f>
        <v/>
      </c>
    </row>
    <row r="10" ht="15" customHeight="1" s="82">
      <c r="A10" s="96" t="inlineStr">
        <is>
          <t>סה"כ</t>
        </is>
      </c>
      <c r="B10" s="97">
        <f>SUM(B4:B9)</f>
        <v/>
      </c>
      <c r="C10" s="97">
        <f>SUM(C4:C9)</f>
        <v/>
      </c>
      <c r="D10" s="97">
        <f>SUM(D4:D9)</f>
        <v/>
      </c>
      <c r="E10" s="97">
        <f>SUM(E4:E9)</f>
        <v/>
      </c>
      <c r="F10" s="97">
        <f>SUM(F4:F9)</f>
        <v/>
      </c>
      <c r="G10" s="97">
        <f>SUM(G4:G9)</f>
        <v/>
      </c>
      <c r="H10" s="97">
        <f>SUM(H4:H9)</f>
        <v/>
      </c>
      <c r="I10" s="97">
        <f>SUM(I4:I9)</f>
        <v/>
      </c>
    </row>
    <row r="12" ht="15" customHeight="1" s="82">
      <c r="A12" s="98" t="inlineStr">
        <is>
          <t>טבלה ב׳: סה"כ מכר (₪)</t>
        </is>
      </c>
    </row>
    <row r="13" ht="26.25" customHeight="1" s="82">
      <c r="A13" s="112" t="inlineStr">
        <is>
          <t>סוכן</t>
        </is>
      </c>
      <c r="B13" s="93" t="inlineStr">
        <is>
          <t>102 - Orthopedic institutes</t>
        </is>
      </c>
      <c r="C13" s="93" t="inlineStr">
        <is>
          <t>103 - Physiotherapy institutes</t>
        </is>
      </c>
      <c r="D13" s="93" t="inlineStr">
        <is>
          <t>104 - Sports Shop</t>
        </is>
      </c>
      <c r="E13" s="93" t="inlineStr">
        <is>
          <t>105 - Pedicure Salons</t>
        </is>
      </c>
      <c r="F13" s="93" t="inlineStr">
        <is>
          <t>107 - Pharmacies</t>
        </is>
      </c>
      <c r="G13" s="93" t="inlineStr">
        <is>
          <t>108 - Shoe Stores</t>
        </is>
      </c>
      <c r="H13" s="93" t="inlineStr">
        <is>
          <t>109 - Private Shops</t>
        </is>
      </c>
      <c r="I13" s="93" t="inlineStr">
        <is>
          <t>סה"כ 7 הערוצים (₪)</t>
        </is>
      </c>
    </row>
    <row r="14" ht="15" customHeight="1" s="82">
      <c r="A14" s="94" t="inlineStr">
        <is>
          <t>אמזלג × מירב שירה</t>
        </is>
      </c>
      <c r="B14" s="95">
        <f>SUMIFS('סוכנים-ערוצים - מקור'!$E$2:$E$85,'סוכנים-ערוצים - מקור'!$A$2:$A$85,$A14,'סוכנים-ערוצים - מקור'!$B$2:$B$85,B$13,'סוכנים-ערוצים - מקור'!$C$2:$C$85,2026)</f>
        <v/>
      </c>
      <c r="C14" s="95">
        <f>SUMIFS('סוכנים-ערוצים - מקור'!$E$2:$E$85,'סוכנים-ערוצים - מקור'!$A$2:$A$85,$A14,'סוכנים-ערוצים - מקור'!$B$2:$B$85,C$13,'סוכנים-ערוצים - מקור'!$C$2:$C$85,2026)</f>
        <v/>
      </c>
      <c r="D14" s="95">
        <f>SUMIFS('סוכנים-ערוצים - מקור'!$E$2:$E$85,'סוכנים-ערוצים - מקור'!$A$2:$A$85,$A14,'סוכנים-ערוצים - מקור'!$B$2:$B$85,D$13,'סוכנים-ערוצים - מקור'!$C$2:$C$85,2026)</f>
        <v/>
      </c>
      <c r="E14" s="95">
        <f>SUMIFS('סוכנים-ערוצים - מקור'!$E$2:$E$85,'סוכנים-ערוצים - מקור'!$A$2:$A$85,$A14,'סוכנים-ערוצים - מקור'!$B$2:$B$85,E$13,'סוכנים-ערוצים - מקור'!$C$2:$C$85,2026)</f>
        <v/>
      </c>
      <c r="F14" s="95">
        <f>SUMIFS('סוכנים-ערוצים - מקור'!$E$2:$E$85,'סוכנים-ערוצים - מקור'!$A$2:$A$85,$A14,'סוכנים-ערוצים - מקור'!$B$2:$B$85,F$13,'סוכנים-ערוצים - מקור'!$C$2:$C$85,2026)</f>
        <v/>
      </c>
      <c r="G14" s="95">
        <f>SUMIFS('סוכנים-ערוצים - מקור'!$E$2:$E$85,'סוכנים-ערוצים - מקור'!$A$2:$A$85,$A14,'סוכנים-ערוצים - מקור'!$B$2:$B$85,G$13,'סוכנים-ערוצים - מקור'!$C$2:$C$85,2026)</f>
        <v/>
      </c>
      <c r="H14" s="95">
        <f>SUMIFS('סוכנים-ערוצים - מקור'!$E$2:$E$85,'סוכנים-ערוצים - מקור'!$A$2:$A$85,$A14,'סוכנים-ערוצים - מקור'!$B$2:$B$85,H$13,'סוכנים-ערוצים - מקור'!$C$2:$C$85,2026)</f>
        <v/>
      </c>
      <c r="I14" s="95">
        <f>SUM(B14:H14)</f>
        <v/>
      </c>
    </row>
    <row r="15" ht="15" customHeight="1" s="82">
      <c r="A15" s="94" t="inlineStr">
        <is>
          <t>אזולאי דוד</t>
        </is>
      </c>
      <c r="B15" s="95">
        <f>SUMIFS('סוכנים-ערוצים - מקור'!$E$2:$E$85,'סוכנים-ערוצים - מקור'!$A$2:$A$85,$A15,'סוכנים-ערוצים - מקור'!$B$2:$B$85,B$13,'סוכנים-ערוצים - מקור'!$C$2:$C$85,2026)</f>
        <v/>
      </c>
      <c r="C15" s="95">
        <f>SUMIFS('סוכנים-ערוצים - מקור'!$E$2:$E$85,'סוכנים-ערוצים - מקור'!$A$2:$A$85,$A15,'סוכנים-ערוצים - מקור'!$B$2:$B$85,C$13,'סוכנים-ערוצים - מקור'!$C$2:$C$85,2026)</f>
        <v/>
      </c>
      <c r="D15" s="95">
        <f>SUMIFS('סוכנים-ערוצים - מקור'!$E$2:$E$85,'סוכנים-ערוצים - מקור'!$A$2:$A$85,$A15,'סוכנים-ערוצים - מקור'!$B$2:$B$85,D$13,'סוכנים-ערוצים - מקור'!$C$2:$C$85,2026)</f>
        <v/>
      </c>
      <c r="E15" s="95">
        <f>SUMIFS('סוכנים-ערוצים - מקור'!$E$2:$E$85,'סוכנים-ערוצים - מקור'!$A$2:$A$85,$A15,'סוכנים-ערוצים - מקור'!$B$2:$B$85,E$13,'סוכנים-ערוצים - מקור'!$C$2:$C$85,2026)</f>
        <v/>
      </c>
      <c r="F15" s="95">
        <f>SUMIFS('סוכנים-ערוצים - מקור'!$E$2:$E$85,'סוכנים-ערוצים - מקור'!$A$2:$A$85,$A15,'סוכנים-ערוצים - מקור'!$B$2:$B$85,F$13,'סוכנים-ערוצים - מקור'!$C$2:$C$85,2026)</f>
        <v/>
      </c>
      <c r="G15" s="95">
        <f>SUMIFS('סוכנים-ערוצים - מקור'!$E$2:$E$85,'סוכנים-ערוצים - מקור'!$A$2:$A$85,$A15,'סוכנים-ערוצים - מקור'!$B$2:$B$85,G$13,'סוכנים-ערוצים - מקור'!$C$2:$C$85,2026)</f>
        <v/>
      </c>
      <c r="H15" s="95">
        <f>SUMIFS('סוכנים-ערוצים - מקור'!$E$2:$E$85,'סוכנים-ערוצים - מקור'!$A$2:$A$85,$A15,'סוכנים-ערוצים - מקור'!$B$2:$B$85,H$13,'סוכנים-ערוצים - מקור'!$C$2:$C$85,2026)</f>
        <v/>
      </c>
      <c r="I15" s="95">
        <f>SUM(B15:H15)</f>
        <v/>
      </c>
    </row>
    <row r="16" ht="15" customHeight="1" s="82">
      <c r="A16" s="94" t="inlineStr">
        <is>
          <t>סטניסלב נסאר</t>
        </is>
      </c>
      <c r="B16" s="95">
        <f>SUMIFS('סוכנים-ערוצים - מקור'!$E$2:$E$85,'סוכנים-ערוצים - מקור'!$A$2:$A$85,$A16,'סוכנים-ערוצים - מקור'!$B$2:$B$85,B$13,'סוכנים-ערוצים - מקור'!$C$2:$C$85,2026)</f>
        <v/>
      </c>
      <c r="C16" s="95">
        <f>SUMIFS('סוכנים-ערוצים - מקור'!$E$2:$E$85,'סוכנים-ערוצים - מקור'!$A$2:$A$85,$A16,'סוכנים-ערוצים - מקור'!$B$2:$B$85,C$13,'סוכנים-ערוצים - מקור'!$C$2:$C$85,2026)</f>
        <v/>
      </c>
      <c r="D16" s="95">
        <f>SUMIFS('סוכנים-ערוצים - מקור'!$E$2:$E$85,'סוכנים-ערוצים - מקור'!$A$2:$A$85,$A16,'סוכנים-ערוצים - מקור'!$B$2:$B$85,D$13,'סוכנים-ערוצים - מקור'!$C$2:$C$85,2026)</f>
        <v/>
      </c>
      <c r="E16" s="95">
        <f>SUMIFS('סוכנים-ערוצים - מקור'!$E$2:$E$85,'סוכנים-ערוצים - מקור'!$A$2:$A$85,$A16,'סוכנים-ערוצים - מקור'!$B$2:$B$85,E$13,'סוכנים-ערוצים - מקור'!$C$2:$C$85,2026)</f>
        <v/>
      </c>
      <c r="F16" s="95">
        <f>SUMIFS('סוכנים-ערוצים - מקור'!$E$2:$E$85,'סוכנים-ערוצים - מקור'!$A$2:$A$85,$A16,'סוכנים-ערוצים - מקור'!$B$2:$B$85,F$13,'סוכנים-ערוצים - מקור'!$C$2:$C$85,2026)</f>
        <v/>
      </c>
      <c r="G16" s="95">
        <f>SUMIFS('סוכנים-ערוצים - מקור'!$E$2:$E$85,'סוכנים-ערוצים - מקור'!$A$2:$A$85,$A16,'סוכנים-ערוצים - מקור'!$B$2:$B$85,G$13,'סוכנים-ערוצים - מקור'!$C$2:$C$85,2026)</f>
        <v/>
      </c>
      <c r="H16" s="95">
        <f>SUMIFS('סוכנים-ערוצים - מקור'!$E$2:$E$85,'סוכנים-ערוצים - מקור'!$A$2:$A$85,$A16,'סוכנים-ערוצים - מקור'!$B$2:$B$85,H$13,'סוכנים-ערוצים - מקור'!$C$2:$C$85,2026)</f>
        <v/>
      </c>
      <c r="I16" s="95">
        <f>SUM(B16:H16)</f>
        <v/>
      </c>
    </row>
    <row r="17" ht="15" customHeight="1" s="82">
      <c r="A17" s="94" t="inlineStr">
        <is>
          <t>חאזם תלחמי</t>
        </is>
      </c>
      <c r="B17" s="95">
        <f>SUMIFS('סוכנים-ערוצים - מקור'!$E$2:$E$85,'סוכנים-ערוצים - מקור'!$A$2:$A$85,$A17,'סוכנים-ערוצים - מקור'!$B$2:$B$85,B$13,'סוכנים-ערוצים - מקור'!$C$2:$C$85,2026)</f>
        <v/>
      </c>
      <c r="C17" s="95">
        <f>SUMIFS('סוכנים-ערוצים - מקור'!$E$2:$E$85,'סוכנים-ערוצים - מקור'!$A$2:$A$85,$A17,'סוכנים-ערוצים - מקור'!$B$2:$B$85,C$13,'סוכנים-ערוצים - מקור'!$C$2:$C$85,2026)</f>
        <v/>
      </c>
      <c r="D17" s="95">
        <f>SUMIFS('סוכנים-ערוצים - מקור'!$E$2:$E$85,'סוכנים-ערוצים - מקור'!$A$2:$A$85,$A17,'סוכנים-ערוצים - מקור'!$B$2:$B$85,D$13,'סוכנים-ערוצים - מקור'!$C$2:$C$85,2026)</f>
        <v/>
      </c>
      <c r="E17" s="95">
        <f>SUMIFS('סוכנים-ערוצים - מקור'!$E$2:$E$85,'סוכנים-ערוצים - מקור'!$A$2:$A$85,$A17,'סוכנים-ערוצים - מקור'!$B$2:$B$85,E$13,'סוכנים-ערוצים - מקור'!$C$2:$C$85,2026)</f>
        <v/>
      </c>
      <c r="F17" s="95">
        <f>SUMIFS('סוכנים-ערוצים - מקור'!$E$2:$E$85,'סוכנים-ערוצים - מקור'!$A$2:$A$85,$A17,'סוכנים-ערוצים - מקור'!$B$2:$B$85,F$13,'סוכנים-ערוצים - מקור'!$C$2:$C$85,2026)</f>
        <v/>
      </c>
      <c r="G17" s="95">
        <f>SUMIFS('סוכנים-ערוצים - מקור'!$E$2:$E$85,'סוכנים-ערוצים - מקור'!$A$2:$A$85,$A17,'סוכנים-ערוצים - מקור'!$B$2:$B$85,G$13,'סוכנים-ערוצים - מקור'!$C$2:$C$85,2026)</f>
        <v/>
      </c>
      <c r="H17" s="95">
        <f>SUMIFS('סוכנים-ערוצים - מקור'!$E$2:$E$85,'סוכנים-ערוצים - מקור'!$A$2:$A$85,$A17,'סוכנים-ערוצים - מקור'!$B$2:$B$85,H$13,'סוכנים-ערוצים - מקור'!$C$2:$C$85,2026)</f>
        <v/>
      </c>
      <c r="I17" s="95">
        <f>SUM(B17:H17)</f>
        <v/>
      </c>
    </row>
    <row r="18" ht="15" customHeight="1" s="82">
      <c r="A18" s="94" t="inlineStr">
        <is>
          <t>חיים ויצמן</t>
        </is>
      </c>
      <c r="B18" s="95">
        <f>SUMIFS('סוכנים-ערוצים - מקור'!$E$2:$E$85,'סוכנים-ערוצים - מקור'!$A$2:$A$85,$A18,'סוכנים-ערוצים - מקור'!$B$2:$B$85,B$13,'סוכנים-ערוצים - מקור'!$C$2:$C$85,2026)</f>
        <v/>
      </c>
      <c r="C18" s="95">
        <f>SUMIFS('סוכנים-ערוצים - מקור'!$E$2:$E$85,'סוכנים-ערוצים - מקור'!$A$2:$A$85,$A18,'סוכנים-ערוצים - מקור'!$B$2:$B$85,C$13,'סוכנים-ערוצים - מקור'!$C$2:$C$85,2026)</f>
        <v/>
      </c>
      <c r="D18" s="95">
        <f>SUMIFS('סוכנים-ערוצים - מקור'!$E$2:$E$85,'סוכנים-ערוצים - מקור'!$A$2:$A$85,$A18,'סוכנים-ערוצים - מקור'!$B$2:$B$85,D$13,'סוכנים-ערוצים - מקור'!$C$2:$C$85,2026)</f>
        <v/>
      </c>
      <c r="E18" s="95">
        <f>SUMIFS('סוכנים-ערוצים - מקור'!$E$2:$E$85,'סוכנים-ערוצים - מקור'!$A$2:$A$85,$A18,'סוכנים-ערוצים - מקור'!$B$2:$B$85,E$13,'סוכנים-ערוצים - מקור'!$C$2:$C$85,2026)</f>
        <v/>
      </c>
      <c r="F18" s="95">
        <f>SUMIFS('סוכנים-ערוצים - מקור'!$E$2:$E$85,'סוכנים-ערוצים - מקור'!$A$2:$A$85,$A18,'סוכנים-ערוצים - מקור'!$B$2:$B$85,F$13,'סוכנים-ערוצים - מקור'!$C$2:$C$85,2026)</f>
        <v/>
      </c>
      <c r="G18" s="95">
        <f>SUMIFS('סוכנים-ערוצים - מקור'!$E$2:$E$85,'סוכנים-ערוצים - מקור'!$A$2:$A$85,$A18,'סוכנים-ערוצים - מקור'!$B$2:$B$85,G$13,'סוכנים-ערוצים - מקור'!$C$2:$C$85,2026)</f>
        <v/>
      </c>
      <c r="H18" s="95">
        <f>SUMIFS('סוכנים-ערוצים - מקור'!$E$2:$E$85,'סוכנים-ערוצים - מקור'!$A$2:$A$85,$A18,'סוכנים-ערוצים - מקור'!$B$2:$B$85,H$13,'סוכנים-ערוצים - מקור'!$C$2:$C$85,2026)</f>
        <v/>
      </c>
      <c r="I18" s="95">
        <f>SUM(B18:H18)</f>
        <v/>
      </c>
    </row>
    <row r="19" ht="15" customHeight="1" s="82">
      <c r="A19" s="94" t="inlineStr">
        <is>
          <t>- Unassigned -</t>
        </is>
      </c>
      <c r="B19" s="95">
        <f>SUMIFS('סוכנים-ערוצים - מקור'!$E$2:$E$85,'סוכנים-ערוצים - מקור'!$A$2:$A$85,$A19,'סוכנים-ערוצים - מקור'!$B$2:$B$85,B$13,'סוכנים-ערוצים - מקור'!$C$2:$C$85,2026)</f>
        <v/>
      </c>
      <c r="C19" s="95">
        <f>SUMIFS('סוכנים-ערוצים - מקור'!$E$2:$E$85,'סוכנים-ערוצים - מקור'!$A$2:$A$85,$A19,'סוכנים-ערוצים - מקור'!$B$2:$B$85,C$13,'סוכנים-ערוצים - מקור'!$C$2:$C$85,2026)</f>
        <v/>
      </c>
      <c r="D19" s="95">
        <f>SUMIFS('סוכנים-ערוצים - מקור'!$E$2:$E$85,'סוכנים-ערוצים - מקור'!$A$2:$A$85,$A19,'סוכנים-ערוצים - מקור'!$B$2:$B$85,D$13,'סוכנים-ערוצים - מקור'!$C$2:$C$85,2026)</f>
        <v/>
      </c>
      <c r="E19" s="95">
        <f>SUMIFS('סוכנים-ערוצים - מקור'!$E$2:$E$85,'סוכנים-ערוצים - מקור'!$A$2:$A$85,$A19,'סוכנים-ערוצים - מקור'!$B$2:$B$85,E$13,'סוכנים-ערוצים - מקור'!$C$2:$C$85,2026)</f>
        <v/>
      </c>
      <c r="F19" s="95">
        <f>SUMIFS('סוכנים-ערוצים - מקור'!$E$2:$E$85,'סוכנים-ערוצים - מקור'!$A$2:$A$85,$A19,'סוכנים-ערוצים - מקור'!$B$2:$B$85,F$13,'סוכנים-ערוצים - מקור'!$C$2:$C$85,2026)</f>
        <v/>
      </c>
      <c r="G19" s="95">
        <f>SUMIFS('סוכנים-ערוצים - מקור'!$E$2:$E$85,'סוכנים-ערוצים - מקור'!$A$2:$A$85,$A19,'סוכנים-ערוצים - מקור'!$B$2:$B$85,G$13,'סוכנים-ערוצים - מקור'!$C$2:$C$85,2026)</f>
        <v/>
      </c>
      <c r="H19" s="95">
        <f>SUMIFS('סוכנים-ערוצים - מקור'!$E$2:$E$85,'סוכנים-ערוצים - מקור'!$A$2:$A$85,$A19,'סוכנים-ערוצים - מקור'!$B$2:$B$85,H$13,'סוכנים-ערוצים - מקור'!$C$2:$C$85,2026)</f>
        <v/>
      </c>
      <c r="I19" s="95">
        <f>SUM(B19:H19)</f>
        <v/>
      </c>
    </row>
    <row r="20" ht="15" customHeight="1" s="82">
      <c r="A20" s="96" t="inlineStr">
        <is>
          <t>סה"כ</t>
        </is>
      </c>
      <c r="B20" s="97">
        <f>SUM(B14:B19)</f>
        <v/>
      </c>
      <c r="C20" s="97">
        <f>SUM(C14:C19)</f>
        <v/>
      </c>
      <c r="D20" s="97">
        <f>SUM(D14:D19)</f>
        <v/>
      </c>
      <c r="E20" s="97">
        <f>SUM(E14:E19)</f>
        <v/>
      </c>
      <c r="F20" s="97">
        <f>SUM(F14:F19)</f>
        <v/>
      </c>
      <c r="G20" s="97">
        <f>SUM(G14:G19)</f>
        <v/>
      </c>
      <c r="H20" s="97">
        <f>SUM(H14:H19)</f>
        <v/>
      </c>
      <c r="I20" s="97">
        <f>SUM(I14:I19)</f>
        <v/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00B050"/>
    <outlinePr summaryBelow="1" summaryRight="1"/>
    <pageSetUpPr fitToPage="0"/>
  </sheetPr>
  <dimension ref="A1:H18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F27" activeCellId="0" sqref="F27"/>
    </sheetView>
  </sheetViews>
  <sheetFormatPr baseColWidth="8" defaultColWidth="8.57421875" defaultRowHeight="15" zeroHeight="0" outlineLevelRow="0"/>
  <cols>
    <col width="22" customWidth="1" style="81" min="1" max="1"/>
    <col width="18" customWidth="1" style="81" min="2" max="8"/>
  </cols>
  <sheetData>
    <row r="1" ht="16.5" customHeight="1" s="82">
      <c r="A1" s="83" t="inlineStr">
        <is>
          <t>סוכנים-ערוצים — סיכום 2025 מול 2026 (סה"כ 7 ערוצים)</t>
        </is>
      </c>
    </row>
    <row r="3" ht="26.25" customFormat="1" customHeight="1" s="119">
      <c r="A3" s="120" t="inlineStr">
        <is>
          <t>סוכן</t>
        </is>
      </c>
      <c r="B3" s="120" t="inlineStr">
        <is>
          <t>לקוחות 2025 (7 ערוצים)</t>
        </is>
      </c>
      <c r="C3" s="120" t="inlineStr">
        <is>
          <t>לקוחות 2026 (7 ערוצים)</t>
        </is>
      </c>
      <c r="D3" s="120" t="inlineStr">
        <is>
          <t>מכר 2025 (₪, 12 ח׳)</t>
        </is>
      </c>
      <c r="E3" s="120" t="inlineStr">
        <is>
          <t>מכר 2026 גולמי (₪, 9 ח׳)</t>
        </is>
      </c>
      <c r="F3" s="120" t="inlineStr">
        <is>
          <t>מכר 2026 מנורמל (₪, ×12/9)</t>
        </is>
      </c>
      <c r="G3" s="120" t="inlineStr">
        <is>
          <t>% שינוי מכר (מנורמל)</t>
        </is>
      </c>
      <c r="H3" s="120" t="inlineStr">
        <is>
          <t>₪ שינוי מכר (מנורמל)</t>
        </is>
      </c>
    </row>
    <row r="4" ht="15" customHeight="1" s="82">
      <c r="A4" s="94" t="inlineStr">
        <is>
          <t>אמזלג × מירב שירה</t>
        </is>
      </c>
      <c r="B4" s="95">
        <f>SUMIFS('סוכנים-ערוצים - מקור'!$D$2:$D$85,'סוכנים-ערוצים - מקור'!$A$2:$A$85,$A4,'סוכנים-ערוצים - מקור'!$C$2:$C$85,2025)</f>
        <v/>
      </c>
      <c r="C4" s="95">
        <f>SUMIFS('סוכנים-ערוצים - מקור'!$D$2:$D$85,'סוכנים-ערוצים - מקור'!$A$2:$A$85,$A4,'סוכנים-ערוצים - מקור'!$C$2:$C$85,2026)</f>
        <v/>
      </c>
      <c r="D4" s="95">
        <f>SUMIFS('סוכנים-ערוצים - מקור'!$E$2:$E$85,'סוכנים-ערוצים - מקור'!$A$2:$A$85,$A4,'סוכנים-ערוצים - מקור'!$C$2:$C$85,2025)</f>
        <v/>
      </c>
      <c r="E4" s="95">
        <f>SUMIFS('סוכנים-ערוצים - מקור'!$E$2:$E$85,'סוכנים-ערוצים - מקור'!$A$2:$A$85,$A4,'סוכנים-ערוצים - מקור'!$C$2:$C$85,2026)</f>
        <v/>
      </c>
      <c r="F4" s="95">
        <f>E4*12/9</f>
        <v/>
      </c>
      <c r="G4" s="117">
        <f>IF(D4=0,"",(F4-D4)/D4)</f>
        <v/>
      </c>
      <c r="H4" s="95">
        <f>F4-D4</f>
        <v/>
      </c>
    </row>
    <row r="5" ht="15" customHeight="1" s="82">
      <c r="A5" s="94" t="inlineStr">
        <is>
          <t>אזולאי דוד</t>
        </is>
      </c>
      <c r="B5" s="95">
        <f>SUMIFS('סוכנים-ערוצים - מקור'!$D$2:$D$85,'סוכנים-ערוצים - מקור'!$A$2:$A$85,$A5,'סוכנים-ערוצים - מקור'!$C$2:$C$85,2025)</f>
        <v/>
      </c>
      <c r="C5" s="95">
        <f>SUMIFS('סוכנים-ערוצים - מקור'!$D$2:$D$85,'סוכנים-ערוצים - מקור'!$A$2:$A$85,$A5,'סוכנים-ערוצים - מקור'!$C$2:$C$85,2026)</f>
        <v/>
      </c>
      <c r="D5" s="95">
        <f>SUMIFS('סוכנים-ערוצים - מקור'!$E$2:$E$85,'סוכנים-ערוצים - מקור'!$A$2:$A$85,$A5,'סוכנים-ערוצים - מקור'!$C$2:$C$85,2025)</f>
        <v/>
      </c>
      <c r="E5" s="95">
        <f>SUMIFS('סוכנים-ערוצים - מקור'!$E$2:$E$85,'סוכנים-ערוצים - מקור'!$A$2:$A$85,$A5,'סוכנים-ערוצים - מקור'!$C$2:$C$85,2026)</f>
        <v/>
      </c>
      <c r="F5" s="95">
        <f>E5*12/9</f>
        <v/>
      </c>
      <c r="G5" s="117">
        <f>IF(D5=0,"",(F5-D5)/D5)</f>
        <v/>
      </c>
      <c r="H5" s="95">
        <f>F5-D5</f>
        <v/>
      </c>
    </row>
    <row r="6" ht="15" customHeight="1" s="82">
      <c r="A6" s="94" t="inlineStr">
        <is>
          <t>סטניסלב נסאר</t>
        </is>
      </c>
      <c r="B6" s="95">
        <f>SUMIFS('סוכנים-ערוצים - מקור'!$D$2:$D$85,'סוכנים-ערוצים - מקור'!$A$2:$A$85,$A6,'סוכנים-ערוצים - מקור'!$C$2:$C$85,2025)</f>
        <v/>
      </c>
      <c r="C6" s="95">
        <f>SUMIFS('סוכנים-ערוצים - מקור'!$D$2:$D$85,'סוכנים-ערוצים - מקור'!$A$2:$A$85,$A6,'סוכנים-ערוצים - מקור'!$C$2:$C$85,2026)</f>
        <v/>
      </c>
      <c r="D6" s="95">
        <f>SUMIFS('סוכנים-ערוצים - מקור'!$E$2:$E$85,'סוכנים-ערוצים - מקור'!$A$2:$A$85,$A6,'סוכנים-ערוצים - מקור'!$C$2:$C$85,2025)</f>
        <v/>
      </c>
      <c r="E6" s="95">
        <f>SUMIFS('סוכנים-ערוצים - מקור'!$E$2:$E$85,'סוכנים-ערוצים - מקור'!$A$2:$A$85,$A6,'סוכנים-ערוצים - מקור'!$C$2:$C$85,2026)</f>
        <v/>
      </c>
      <c r="F6" s="95">
        <f>E6*12/9</f>
        <v/>
      </c>
      <c r="G6" s="117">
        <f>IF(D6=0,"",(F6-D6)/D6)</f>
        <v/>
      </c>
      <c r="H6" s="95">
        <f>F6-D6</f>
        <v/>
      </c>
    </row>
    <row r="7" ht="15" customHeight="1" s="82">
      <c r="A7" s="94" t="inlineStr">
        <is>
          <t>חאזם תלחמי</t>
        </is>
      </c>
      <c r="B7" s="95">
        <f>SUMIFS('סוכנים-ערוצים - מקור'!$D$2:$D$85,'סוכנים-ערוצים - מקור'!$A$2:$A$85,$A7,'סוכנים-ערוצים - מקור'!$C$2:$C$85,2025)</f>
        <v/>
      </c>
      <c r="C7" s="95">
        <f>SUMIFS('סוכנים-ערוצים - מקור'!$D$2:$D$85,'סוכנים-ערוצים - מקור'!$A$2:$A$85,$A7,'סוכנים-ערוצים - מקור'!$C$2:$C$85,2026)</f>
        <v/>
      </c>
      <c r="D7" s="95">
        <f>SUMIFS('סוכנים-ערוצים - מקור'!$E$2:$E$85,'סוכנים-ערוצים - מקור'!$A$2:$A$85,$A7,'סוכנים-ערוצים - מקור'!$C$2:$C$85,2025)</f>
        <v/>
      </c>
      <c r="E7" s="95">
        <f>SUMIFS('סוכנים-ערוצים - מקור'!$E$2:$E$85,'סוכנים-ערוצים - מקור'!$A$2:$A$85,$A7,'סוכנים-ערוצים - מקור'!$C$2:$C$85,2026)</f>
        <v/>
      </c>
      <c r="F7" s="95">
        <f>E7*12/9</f>
        <v/>
      </c>
      <c r="G7" s="117">
        <f>IF(D7=0,"",(F7-D7)/D7)</f>
        <v/>
      </c>
      <c r="H7" s="95">
        <f>F7-D7</f>
        <v/>
      </c>
    </row>
    <row r="8" ht="15" customHeight="1" s="82">
      <c r="A8" s="94" t="inlineStr">
        <is>
          <t>חיים ויצמן</t>
        </is>
      </c>
      <c r="B8" s="95">
        <f>SUMIFS('סוכנים-ערוצים - מקור'!$D$2:$D$85,'סוכנים-ערוצים - מקור'!$A$2:$A$85,$A8,'סוכנים-ערוצים - מקור'!$C$2:$C$85,2025)</f>
        <v/>
      </c>
      <c r="C8" s="95">
        <f>SUMIFS('סוכנים-ערוצים - מקור'!$D$2:$D$85,'סוכנים-ערוצים - מקור'!$A$2:$A$85,$A8,'סוכנים-ערוצים - מקור'!$C$2:$C$85,2026)</f>
        <v/>
      </c>
      <c r="D8" s="95">
        <f>SUMIFS('סוכנים-ערוצים - מקור'!$E$2:$E$85,'סוכנים-ערוצים - מקור'!$A$2:$A$85,$A8,'סוכנים-ערוצים - מקור'!$C$2:$C$85,2025)</f>
        <v/>
      </c>
      <c r="E8" s="95">
        <f>SUMIFS('סוכנים-ערוצים - מקור'!$E$2:$E$85,'סוכנים-ערוצים - מקור'!$A$2:$A$85,$A8,'סוכנים-ערוצים - מקור'!$C$2:$C$85,2026)</f>
        <v/>
      </c>
      <c r="F8" s="95">
        <f>E8*12/9</f>
        <v/>
      </c>
      <c r="G8" s="117">
        <f>IF(D8=0,"",(F8-D8)/D8)</f>
        <v/>
      </c>
      <c r="H8" s="95">
        <f>F8-D8</f>
        <v/>
      </c>
    </row>
    <row r="9" ht="15" customHeight="1" s="82">
      <c r="A9" s="94" t="inlineStr">
        <is>
          <t>- Unassigned -</t>
        </is>
      </c>
      <c r="B9" s="95">
        <f>SUMIFS('סוכנים-ערוצים - מקור'!$D$2:$D$85,'סוכנים-ערוצים - מקור'!$A$2:$A$85,$A9,'סוכנים-ערוצים - מקור'!$C$2:$C$85,2025)</f>
        <v/>
      </c>
      <c r="C9" s="95">
        <f>SUMIFS('סוכנים-ערוצים - מקור'!$D$2:$D$85,'סוכנים-ערוצים - מקור'!$A$2:$A$85,$A9,'סוכנים-ערוצים - מקור'!$C$2:$C$85,2026)</f>
        <v/>
      </c>
      <c r="D9" s="95">
        <f>SUMIFS('סוכנים-ערוצים - מקור'!$E$2:$E$85,'סוכנים-ערוצים - מקור'!$A$2:$A$85,$A9,'סוכנים-ערוצים - מקור'!$C$2:$C$85,2025)</f>
        <v/>
      </c>
      <c r="E9" s="95">
        <f>SUMIFS('סוכנים-ערוצים - מקור'!$E$2:$E$85,'סוכנים-ערוצים - מקור'!$A$2:$A$85,$A9,'סוכנים-ערוצים - מקור'!$C$2:$C$85,2026)</f>
        <v/>
      </c>
      <c r="F9" s="95">
        <f>E9*12/9</f>
        <v/>
      </c>
      <c r="G9" s="117">
        <f>IF(D9=0,"",(F9-D9)/D9)</f>
        <v/>
      </c>
      <c r="H9" s="95">
        <f>F9-D9</f>
        <v/>
      </c>
    </row>
    <row r="10" ht="15" customHeight="1" s="82">
      <c r="A10" s="96" t="inlineStr">
        <is>
          <t>סה"כ</t>
        </is>
      </c>
      <c r="B10" s="97">
        <f>SUM(B4:B9)</f>
        <v/>
      </c>
      <c r="C10" s="97">
        <f>SUM(C4:C9)</f>
        <v/>
      </c>
      <c r="D10" s="97">
        <f>SUM(D4:D9)</f>
        <v/>
      </c>
      <c r="E10" s="97">
        <f>SUM(E4:E9)</f>
        <v/>
      </c>
      <c r="F10" s="97">
        <f>SUM(F4:F9)</f>
        <v/>
      </c>
      <c r="G10" s="118">
        <f>IF(D10=0,"",(F10-D10)/D10)</f>
        <v/>
      </c>
      <c r="H10" s="97">
        <f>SUM(H4:H9)</f>
        <v/>
      </c>
    </row>
    <row r="12" ht="15" customHeight="1" s="82">
      <c r="A12" s="121" t="n"/>
      <c r="B12" s="121" t="n"/>
      <c r="C12" s="121" t="n"/>
      <c r="D12" s="121" t="n"/>
      <c r="E12" s="121" t="n"/>
      <c r="F12" s="121" t="n"/>
      <c r="G12" s="121" t="n"/>
      <c r="H12" s="121" t="n"/>
    </row>
    <row r="13" ht="15" customHeight="1" s="82">
      <c r="A13" s="121" t="n"/>
      <c r="B13" s="121" t="n"/>
      <c r="C13" s="121" t="n"/>
      <c r="D13" s="121" t="n"/>
      <c r="E13" s="121" t="n"/>
      <c r="F13" s="121" t="n"/>
      <c r="G13" s="121" t="n"/>
      <c r="H13" s="121" t="n"/>
    </row>
    <row r="14" ht="15" customHeight="1" s="82">
      <c r="A14" s="121" t="n"/>
      <c r="B14" s="121" t="n"/>
      <c r="C14" s="121" t="n"/>
      <c r="D14" s="121" t="n"/>
      <c r="E14" s="121" t="n"/>
      <c r="F14" s="121" t="n"/>
      <c r="G14" s="121" t="n"/>
      <c r="H14" s="121" t="n"/>
    </row>
    <row r="15" ht="15" customHeight="1" s="82">
      <c r="A15" s="121" t="n"/>
      <c r="B15" s="121" t="n"/>
      <c r="C15" s="121" t="n"/>
      <c r="D15" s="121" t="n"/>
      <c r="E15" s="121" t="n"/>
      <c r="F15" s="121" t="n"/>
      <c r="G15" s="121" t="n"/>
      <c r="H15" s="121" t="n"/>
    </row>
    <row r="16" ht="15" customHeight="1" s="82">
      <c r="A16" s="121" t="n"/>
      <c r="B16" s="121" t="n"/>
      <c r="C16" s="121" t="n"/>
      <c r="D16" s="121" t="n"/>
      <c r="E16" s="121" t="n"/>
      <c r="F16" s="121" t="n"/>
      <c r="G16" s="121" t="n"/>
      <c r="H16" s="121" t="n"/>
    </row>
    <row r="17" ht="15" customHeight="1" s="82">
      <c r="A17" s="121" t="n"/>
      <c r="B17" s="121" t="n"/>
      <c r="C17" s="121" t="n"/>
      <c r="D17" s="121" t="n"/>
      <c r="E17" s="121" t="n"/>
      <c r="F17" s="121" t="n"/>
      <c r="G17" s="121" t="n"/>
      <c r="H17" s="121" t="n"/>
    </row>
    <row r="18" ht="15" customHeight="1" s="82">
      <c r="A18" s="121" t="n"/>
      <c r="B18" s="121" t="n"/>
      <c r="C18" s="121" t="n"/>
      <c r="D18" s="121" t="n"/>
      <c r="E18" s="121" t="n"/>
      <c r="F18" s="121" t="n"/>
      <c r="G18" s="121" t="n"/>
      <c r="H18" s="121" t="n"/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K867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7421875" defaultRowHeight="15" zeroHeight="0" outlineLevelRow="0"/>
  <cols>
    <col width="20" customWidth="1" style="81" min="1" max="1"/>
    <col width="10" customWidth="1" style="81" min="2" max="2"/>
    <col width="28" customWidth="1" style="81" min="3" max="3"/>
    <col width="14" customWidth="1" style="81" min="4" max="4"/>
    <col width="32" customWidth="1" style="81" min="5" max="5"/>
    <col width="14" customWidth="1" style="81" min="6" max="7"/>
    <col width="10" customWidth="1" style="81" min="8" max="9"/>
    <col width="12" customWidth="1" style="81" min="10" max="10"/>
    <col width="14" customWidth="1" style="81" min="11" max="11"/>
  </cols>
  <sheetData>
    <row r="1" ht="15" customHeight="1" s="82">
      <c r="A1" s="110" t="inlineStr">
        <is>
          <t>סוכן</t>
        </is>
      </c>
      <c r="B1" s="110" t="inlineStr">
        <is>
          <t>קוד ערוץ</t>
        </is>
      </c>
      <c r="C1" s="110" t="inlineStr">
        <is>
          <t>ערוץ (קוד+שם)</t>
        </is>
      </c>
      <c r="D1" s="110" t="inlineStr">
        <is>
          <t>קוד לקוח</t>
        </is>
      </c>
      <c r="E1" s="110" t="inlineStr">
        <is>
          <t>שם לקוח/חנות</t>
        </is>
      </c>
      <c r="F1" s="110" t="inlineStr">
        <is>
          <t>מכר 2025 (₪)</t>
        </is>
      </c>
      <c r="G1" s="110" t="inlineStr">
        <is>
          <t>מכר 2026 (₪)</t>
        </is>
      </c>
      <c r="H1" s="110" t="inlineStr">
        <is>
          <t>כמות 2025</t>
        </is>
      </c>
      <c r="I1" s="110" t="inlineStr">
        <is>
          <t>כמות 2026</t>
        </is>
      </c>
      <c r="J1" s="110" t="inlineStr">
        <is>
          <t>סוג שורה (מקור)</t>
        </is>
      </c>
      <c r="K1" s="110" t="inlineStr">
        <is>
          <t>מקור הנתון</t>
        </is>
      </c>
    </row>
    <row r="2" ht="15" customHeight="1" s="82">
      <c r="A2" s="94" t="inlineStr">
        <is>
          <t>אמזלג × מירב שירה</t>
        </is>
      </c>
      <c r="B2" s="94" t="inlineStr">
        <is>
          <t>102</t>
        </is>
      </c>
      <c r="C2" s="94" t="inlineStr">
        <is>
          <t>102 - Orthopedic institutes</t>
        </is>
      </c>
      <c r="D2" s="94" t="inlineStr">
        <is>
          <t>C02263</t>
        </is>
      </c>
      <c r="E2" s="94" t="inlineStr">
        <is>
          <t>C02263 ע.ר. שיקום</t>
        </is>
      </c>
      <c r="F2" s="102" t="n">
        <v>12199.86</v>
      </c>
      <c r="G2" s="102" t="n">
        <v>6130.47</v>
      </c>
      <c r="H2" s="95" t="n">
        <v>134</v>
      </c>
      <c r="I2" s="95" t="n">
        <v>72</v>
      </c>
      <c r="J2" s="94" t="inlineStr">
        <is>
          <t>normal</t>
        </is>
      </c>
      <c r="K2" s="94" t="inlineStr">
        <is>
          <t>NetSuite</t>
        </is>
      </c>
    </row>
    <row r="3" ht="15" customHeight="1" s="82">
      <c r="A3" s="94" t="inlineStr">
        <is>
          <t>אמזלג × מירב שירה</t>
        </is>
      </c>
      <c r="B3" s="94" t="inlineStr">
        <is>
          <t>102</t>
        </is>
      </c>
      <c r="C3" s="94" t="inlineStr">
        <is>
          <t>102 - Orthopedic institutes</t>
        </is>
      </c>
      <c r="D3" s="94" t="inlineStr">
        <is>
          <t>C02299</t>
        </is>
      </c>
      <c r="E3" s="94" t="inlineStr">
        <is>
          <t>C02299 גנאים מוחמד</t>
        </is>
      </c>
      <c r="F3" s="102" t="n">
        <v>1050.47</v>
      </c>
      <c r="G3" s="102" t="n">
        <v>3378.25</v>
      </c>
      <c r="H3" s="95" t="n">
        <v>15</v>
      </c>
      <c r="I3" s="95" t="n">
        <v>20</v>
      </c>
      <c r="J3" s="94" t="inlineStr">
        <is>
          <t>normal</t>
        </is>
      </c>
      <c r="K3" s="94" t="inlineStr">
        <is>
          <t>NetSuite</t>
        </is>
      </c>
    </row>
    <row r="4" ht="15" customHeight="1" s="82">
      <c r="A4" s="94" t="inlineStr">
        <is>
          <t>אמזלג × מירב שירה</t>
        </is>
      </c>
      <c r="B4" s="94" t="inlineStr">
        <is>
          <t>102</t>
        </is>
      </c>
      <c r="C4" s="94" t="inlineStr">
        <is>
          <t>102 - Orthopedic institutes</t>
        </is>
      </c>
      <c r="D4" s="94" t="inlineStr">
        <is>
          <t>C02306</t>
        </is>
      </c>
      <c r="E4" s="94" t="inlineStr">
        <is>
          <t>C02306 לאדימו בעמ</t>
        </is>
      </c>
      <c r="F4" s="102" t="n">
        <v>11908.73</v>
      </c>
      <c r="G4" s="102" t="n">
        <v>0</v>
      </c>
      <c r="H4" s="95" t="n">
        <v>173</v>
      </c>
      <c r="I4" s="95" t="n">
        <v>0</v>
      </c>
      <c r="J4" s="94" t="inlineStr">
        <is>
          <t>normal</t>
        </is>
      </c>
      <c r="K4" s="94" t="inlineStr">
        <is>
          <t>NetSuite</t>
        </is>
      </c>
    </row>
    <row r="5" ht="15" customHeight="1" s="82">
      <c r="A5" s="94" t="inlineStr">
        <is>
          <t>אמזלג × מירב שירה</t>
        </is>
      </c>
      <c r="B5" s="94" t="inlineStr">
        <is>
          <t>102</t>
        </is>
      </c>
      <c r="C5" s="94" t="inlineStr">
        <is>
          <t>102 - Orthopedic institutes</t>
        </is>
      </c>
      <c r="D5" s="94" t="inlineStr">
        <is>
          <t>C02318</t>
        </is>
      </c>
      <c r="E5" s="94" t="inlineStr">
        <is>
          <t>C02318 סופר ספיר בעמ</t>
        </is>
      </c>
      <c r="F5" s="102" t="n">
        <v>0</v>
      </c>
      <c r="G5" s="102" t="n">
        <v>2792.65</v>
      </c>
      <c r="H5" s="95" t="n">
        <v>0</v>
      </c>
      <c r="I5" s="95" t="n">
        <v>81</v>
      </c>
      <c r="J5" s="94" t="inlineStr">
        <is>
          <t>normal</t>
        </is>
      </c>
      <c r="K5" s="94" t="inlineStr">
        <is>
          <t>NetSuite</t>
        </is>
      </c>
    </row>
    <row r="6" ht="15" customHeight="1" s="82">
      <c r="A6" s="94" t="inlineStr">
        <is>
          <t>אמזלג × מירב שירה</t>
        </is>
      </c>
      <c r="B6" s="94" t="inlineStr">
        <is>
          <t>103</t>
        </is>
      </c>
      <c r="C6" s="94" t="inlineStr">
        <is>
          <t>103 - Physiotherapy institutes</t>
        </is>
      </c>
      <c r="D6" s="94" t="inlineStr">
        <is>
          <t>150394</t>
        </is>
      </c>
      <c r="E6" s="94" t="inlineStr">
        <is>
          <t>150394 לור שרותי בריאות</t>
        </is>
      </c>
      <c r="F6" s="102" t="n">
        <v>7295.31</v>
      </c>
      <c r="G6" s="102" t="n">
        <v>0</v>
      </c>
      <c r="H6" s="95" t="n">
        <v>167</v>
      </c>
      <c r="I6" s="95" t="n">
        <v>0</v>
      </c>
      <c r="J6" s="94" t="inlineStr">
        <is>
          <t>normal</t>
        </is>
      </c>
      <c r="K6" s="94" t="inlineStr">
        <is>
          <t>NetSuite</t>
        </is>
      </c>
    </row>
    <row r="7" ht="15" customHeight="1" s="82">
      <c r="A7" s="94" t="inlineStr">
        <is>
          <t>אמזלג × מירב שירה</t>
        </is>
      </c>
      <c r="B7" s="94" t="inlineStr">
        <is>
          <t>103</t>
        </is>
      </c>
      <c r="C7" s="94" t="inlineStr">
        <is>
          <t>103 - Physiotherapy institutes</t>
        </is>
      </c>
      <c r="D7" s="94" t="inlineStr">
        <is>
          <t>150394SC1</t>
        </is>
      </c>
      <c r="E7" s="94" t="inlineStr">
        <is>
          <t>150394 לור שרותי בריאות : 150394SC1 לור שירותי בריאות</t>
        </is>
      </c>
      <c r="F7" s="102" t="n">
        <v>11551.59</v>
      </c>
      <c r="G7" s="102" t="n">
        <v>57937.82</v>
      </c>
      <c r="H7" s="95" t="n">
        <v>324</v>
      </c>
      <c r="I7" s="95" t="n">
        <v>765</v>
      </c>
      <c r="J7" s="94" t="inlineStr">
        <is>
          <t>normal</t>
        </is>
      </c>
      <c r="K7" s="94" t="inlineStr">
        <is>
          <t>NetSuite</t>
        </is>
      </c>
    </row>
    <row r="8" ht="15" customHeight="1" s="82">
      <c r="A8" s="94" t="inlineStr">
        <is>
          <t>אמזלג × מירב שירה</t>
        </is>
      </c>
      <c r="B8" s="94" t="inlineStr">
        <is>
          <t>103</t>
        </is>
      </c>
      <c r="C8" s="94" t="inlineStr">
        <is>
          <t>103 - Physiotherapy institutes</t>
        </is>
      </c>
      <c r="D8" s="94" t="inlineStr">
        <is>
          <t>C02303</t>
        </is>
      </c>
      <c r="E8" s="94" t="inlineStr">
        <is>
          <t>C02303 אוריה מורן אטלס רפואה שלמה</t>
        </is>
      </c>
      <c r="F8" s="102" t="n">
        <v>701.16</v>
      </c>
      <c r="G8" s="102" t="n">
        <v>1309.35</v>
      </c>
      <c r="H8" s="95" t="n">
        <v>8</v>
      </c>
      <c r="I8" s="95" t="n">
        <v>16</v>
      </c>
      <c r="J8" s="94" t="inlineStr">
        <is>
          <t>normal</t>
        </is>
      </c>
      <c r="K8" s="94" t="inlineStr">
        <is>
          <t>NetSuite</t>
        </is>
      </c>
    </row>
    <row r="9" ht="15" customHeight="1" s="82">
      <c r="A9" s="94" t="inlineStr">
        <is>
          <t>אמזלג × מירב שירה</t>
        </is>
      </c>
      <c r="B9" s="94" t="inlineStr">
        <is>
          <t>103</t>
        </is>
      </c>
      <c r="C9" s="94" t="inlineStr">
        <is>
          <t>103 - Physiotherapy institutes</t>
        </is>
      </c>
      <c r="D9" s="94" t="inlineStr">
        <is>
          <t>C02319</t>
        </is>
      </c>
      <c r="E9" s="94" t="inlineStr">
        <is>
          <t>C02319 אייביתרפיה</t>
        </is>
      </c>
      <c r="F9" s="102" t="n">
        <v>0</v>
      </c>
      <c r="G9" s="102" t="n">
        <v>4593.24</v>
      </c>
      <c r="H9" s="95" t="n">
        <v>0</v>
      </c>
      <c r="I9" s="95" t="n">
        <v>66</v>
      </c>
      <c r="J9" s="94" t="inlineStr">
        <is>
          <t>normal</t>
        </is>
      </c>
      <c r="K9" s="94" t="inlineStr">
        <is>
          <t>NetSuite</t>
        </is>
      </c>
    </row>
    <row r="10" ht="15" customHeight="1" s="82">
      <c r="A10" s="94" t="inlineStr">
        <is>
          <t>אמזלג × מירב שירה</t>
        </is>
      </c>
      <c r="B10" s="94" t="inlineStr">
        <is>
          <t>103</t>
        </is>
      </c>
      <c r="C10" s="94" t="inlineStr">
        <is>
          <t>103 - Physiotherapy institutes</t>
        </is>
      </c>
      <c r="D10" s="94" t="inlineStr">
        <is>
          <t>C02320</t>
        </is>
      </c>
      <c r="E10" s="94" t="inlineStr">
        <is>
          <t>C02320 יער מדיקס חיפה בעמ</t>
        </is>
      </c>
      <c r="F10" s="102" t="n">
        <v>0</v>
      </c>
      <c r="G10" s="102" t="n">
        <v>1367.83</v>
      </c>
      <c r="H10" s="95" t="n">
        <v>0</v>
      </c>
      <c r="I10" s="95" t="n">
        <v>14</v>
      </c>
      <c r="J10" s="94" t="inlineStr">
        <is>
          <t>normal</t>
        </is>
      </c>
      <c r="K10" s="94" t="inlineStr">
        <is>
          <t>NetSuite</t>
        </is>
      </c>
    </row>
    <row r="11" ht="15" customHeight="1" s="82">
      <c r="A11" s="94" t="inlineStr">
        <is>
          <t>אמזלג × מירב שירה</t>
        </is>
      </c>
      <c r="B11" s="94" t="inlineStr">
        <is>
          <t>103</t>
        </is>
      </c>
      <c r="C11" s="94" t="inlineStr">
        <is>
          <t>103 - Physiotherapy institutes</t>
        </is>
      </c>
      <c r="D11" s="94" t="inlineStr">
        <is>
          <t>C02332</t>
        </is>
      </c>
      <c r="E11" s="94" t="inlineStr">
        <is>
          <t>C02332 גרניט טל</t>
        </is>
      </c>
      <c r="F11" s="102" t="n">
        <v>0</v>
      </c>
      <c r="G11" s="102" t="n">
        <v>360</v>
      </c>
      <c r="H11" s="95" t="n">
        <v>0</v>
      </c>
      <c r="I11" s="95" t="n">
        <v>12</v>
      </c>
      <c r="J11" s="94" t="inlineStr">
        <is>
          <t>normal</t>
        </is>
      </c>
      <c r="K11" s="94" t="inlineStr">
        <is>
          <t>NetSuite</t>
        </is>
      </c>
    </row>
    <row r="12" ht="15" customHeight="1" s="82">
      <c r="A12" s="94" t="inlineStr">
        <is>
          <t>אמזלג × מירב שירה</t>
        </is>
      </c>
      <c r="B12" s="94" t="inlineStr">
        <is>
          <t>104</t>
        </is>
      </c>
      <c r="C12" s="94" t="inlineStr">
        <is>
          <t>104 - Sports Shop</t>
        </is>
      </c>
      <c r="D12" s="94" t="inlineStr">
        <is>
          <t>C02324</t>
        </is>
      </c>
      <c r="E12" s="94" t="inlineStr">
        <is>
          <t>C02324 דרור ספורט</t>
        </is>
      </c>
      <c r="F12" s="102" t="n">
        <v>0</v>
      </c>
      <c r="G12" s="102" t="n">
        <v>1896.82</v>
      </c>
      <c r="H12" s="95" t="n">
        <v>0</v>
      </c>
      <c r="I12" s="95" t="n">
        <v>59</v>
      </c>
      <c r="J12" s="94" t="inlineStr">
        <is>
          <t>normal</t>
        </is>
      </c>
      <c r="K12" s="94" t="inlineStr">
        <is>
          <t>NetSuite</t>
        </is>
      </c>
    </row>
    <row r="13" ht="15" customHeight="1" s="82">
      <c r="A13" s="94" t="inlineStr">
        <is>
          <t>אמזלג × מירב שירה</t>
        </is>
      </c>
      <c r="B13" s="94" t="inlineStr">
        <is>
          <t>108</t>
        </is>
      </c>
      <c r="C13" s="94" t="inlineStr">
        <is>
          <t>108 - Shoe Stores</t>
        </is>
      </c>
      <c r="D13" s="94" t="inlineStr">
        <is>
          <t>C02283</t>
        </is>
      </c>
      <c r="E13" s="94" t="inlineStr">
        <is>
          <t>C02283 אדור למסחר כללי ואופנה בע"מ</t>
        </is>
      </c>
      <c r="F13" s="102" t="n">
        <v>19065.38</v>
      </c>
      <c r="G13" s="102" t="n">
        <v>0</v>
      </c>
      <c r="H13" s="95" t="n">
        <v>833</v>
      </c>
      <c r="I13" s="95" t="n">
        <v>0</v>
      </c>
      <c r="J13" s="94" t="inlineStr">
        <is>
          <t>normal</t>
        </is>
      </c>
      <c r="K13" s="94" t="inlineStr">
        <is>
          <t>NetSuite</t>
        </is>
      </c>
    </row>
    <row r="14" ht="15" customHeight="1" s="82">
      <c r="A14" s="94" t="inlineStr">
        <is>
          <t>אמזלג × מירב שירה</t>
        </is>
      </c>
      <c r="B14" s="94" t="inlineStr">
        <is>
          <t>109</t>
        </is>
      </c>
      <c r="C14" s="94" t="inlineStr">
        <is>
          <t>109 - Private Shops</t>
        </is>
      </c>
      <c r="D14" s="94" t="inlineStr">
        <is>
          <t>C02261</t>
        </is>
      </c>
      <c r="E14" s="94" t="inlineStr">
        <is>
          <t>C02261 מקדונלדס</t>
        </is>
      </c>
      <c r="F14" s="102" t="n">
        <v>2342.7</v>
      </c>
      <c r="G14" s="102" t="n">
        <v>2342.7</v>
      </c>
      <c r="H14" s="95" t="n">
        <v>20</v>
      </c>
      <c r="I14" s="95" t="n">
        <v>15</v>
      </c>
      <c r="J14" s="94" t="inlineStr">
        <is>
          <t>normal</t>
        </is>
      </c>
      <c r="K14" s="94" t="inlineStr">
        <is>
          <t>NetSuite</t>
        </is>
      </c>
    </row>
    <row r="15" ht="15" customHeight="1" s="82">
      <c r="A15" s="94" t="inlineStr">
        <is>
          <t>אמזלג × מירב שירה</t>
        </is>
      </c>
      <c r="B15" s="94" t="inlineStr">
        <is>
          <t>109</t>
        </is>
      </c>
      <c r="C15" s="94" t="inlineStr">
        <is>
          <t>109 - Private Shops</t>
        </is>
      </c>
      <c r="D15" s="94" t="inlineStr">
        <is>
          <t>C02267</t>
        </is>
      </c>
      <c r="E15" s="94" t="inlineStr">
        <is>
          <t>C02267 משה בידנר</t>
        </is>
      </c>
      <c r="F15" s="102" t="n">
        <v>330</v>
      </c>
      <c r="G15" s="102" t="n">
        <v>634.01</v>
      </c>
      <c r="H15" s="95" t="n">
        <v>5</v>
      </c>
      <c r="I15" s="95" t="n">
        <v>8</v>
      </c>
      <c r="J15" s="94" t="inlineStr">
        <is>
          <t>normal</t>
        </is>
      </c>
      <c r="K15" s="94" t="inlineStr">
        <is>
          <t>NetSuite</t>
        </is>
      </c>
    </row>
    <row r="16" ht="15" customHeight="1" s="82">
      <c r="A16" s="94" t="inlineStr">
        <is>
          <t>אמזלג × מירב שירה</t>
        </is>
      </c>
      <c r="B16" s="94" t="inlineStr">
        <is>
          <t>109</t>
        </is>
      </c>
      <c r="C16" s="94" t="inlineStr">
        <is>
          <t>109 - Private Shops</t>
        </is>
      </c>
      <c r="D16" s="94" t="inlineStr">
        <is>
          <t>C02287</t>
        </is>
      </c>
      <c r="E16" s="94" t="inlineStr">
        <is>
          <t>C02287 זינתי מעבוכ ניווין</t>
        </is>
      </c>
      <c r="F16" s="102" t="n">
        <v>2004.19</v>
      </c>
      <c r="G16" s="102" t="n">
        <v>0</v>
      </c>
      <c r="H16" s="95" t="n">
        <v>32</v>
      </c>
      <c r="I16" s="95" t="n">
        <v>0</v>
      </c>
      <c r="J16" s="94" t="inlineStr">
        <is>
          <t>normal</t>
        </is>
      </c>
      <c r="K16" s="94" t="inlineStr">
        <is>
          <t>NetSuite</t>
        </is>
      </c>
    </row>
    <row r="17" ht="15" customHeight="1" s="82">
      <c r="A17" s="94" t="inlineStr">
        <is>
          <t>אזולאי דוד</t>
        </is>
      </c>
      <c r="B17" s="94" t="inlineStr">
        <is>
          <t>102</t>
        </is>
      </c>
      <c r="C17" s="94" t="inlineStr">
        <is>
          <t>102 - Orthopedic institutes</t>
        </is>
      </c>
      <c r="D17" s="94" t="inlineStr">
        <is>
          <t>150002</t>
        </is>
      </c>
      <c r="E17" s="94" t="inlineStr">
        <is>
          <t>150002 אילן המרכז לאורטופדיה</t>
        </is>
      </c>
      <c r="F17" s="102" t="n">
        <v>7430.6</v>
      </c>
      <c r="G17" s="102" t="n">
        <v>8845.469999999999</v>
      </c>
      <c r="H17" s="95" t="n">
        <v>128</v>
      </c>
      <c r="I17" s="95" t="n">
        <v>135</v>
      </c>
      <c r="J17" s="94" t="inlineStr">
        <is>
          <t>normal</t>
        </is>
      </c>
      <c r="K17" s="94" t="inlineStr">
        <is>
          <t>NetSuite</t>
        </is>
      </c>
    </row>
    <row r="18" ht="15" customHeight="1" s="82">
      <c r="A18" s="94" t="inlineStr">
        <is>
          <t>אזולאי דוד</t>
        </is>
      </c>
      <c r="B18" s="94" t="inlineStr">
        <is>
          <t>102</t>
        </is>
      </c>
      <c r="C18" s="94" t="inlineStr">
        <is>
          <t>102 - Orthopedic institutes</t>
        </is>
      </c>
      <c r="D18" s="94" t="inlineStr">
        <is>
          <t>150003</t>
        </is>
      </c>
      <c r="E18" s="94" t="inlineStr">
        <is>
          <t>150003 עטרת ק. יובל בע"מ</t>
        </is>
      </c>
      <c r="F18" s="102" t="n">
        <v>3006.89</v>
      </c>
      <c r="G18" s="102" t="n">
        <v>5098.83</v>
      </c>
      <c r="H18" s="95" t="n">
        <v>29</v>
      </c>
      <c r="I18" s="95" t="n">
        <v>57</v>
      </c>
      <c r="J18" s="94" t="inlineStr">
        <is>
          <t>normal</t>
        </is>
      </c>
      <c r="K18" s="94" t="inlineStr">
        <is>
          <t>NetSuite</t>
        </is>
      </c>
    </row>
    <row r="19" ht="15" customHeight="1" s="82">
      <c r="A19" s="94" t="inlineStr">
        <is>
          <t>אזולאי דוד</t>
        </is>
      </c>
      <c r="B19" s="94" t="inlineStr">
        <is>
          <t>102</t>
        </is>
      </c>
      <c r="C19" s="94" t="inlineStr">
        <is>
          <t>102 - Orthopedic institutes</t>
        </is>
      </c>
      <c r="D19" s="94" t="inlineStr">
        <is>
          <t>150022</t>
        </is>
      </c>
      <c r="E19" s="94" t="inlineStr">
        <is>
          <t>150022 ברוכים אורטופדיה-יעקב ברו</t>
        </is>
      </c>
      <c r="F19" s="102" t="n">
        <v>1618.97</v>
      </c>
      <c r="G19" s="102" t="n">
        <v>1909.36</v>
      </c>
      <c r="H19" s="95" t="n">
        <v>55</v>
      </c>
      <c r="I19" s="95" t="n">
        <v>37</v>
      </c>
      <c r="J19" s="94" t="inlineStr">
        <is>
          <t>normal</t>
        </is>
      </c>
      <c r="K19" s="94" t="inlineStr">
        <is>
          <t>NetSuite</t>
        </is>
      </c>
    </row>
    <row r="20" ht="15" customHeight="1" s="82">
      <c r="A20" s="94" t="inlineStr">
        <is>
          <t>אזולאי דוד</t>
        </is>
      </c>
      <c r="B20" s="94" t="inlineStr">
        <is>
          <t>102</t>
        </is>
      </c>
      <c r="C20" s="94" t="inlineStr">
        <is>
          <t>102 - Orthopedic institutes</t>
        </is>
      </c>
      <c r="D20" s="94" t="inlineStr">
        <is>
          <t>150052</t>
        </is>
      </c>
      <c r="E20" s="94" t="inlineStr">
        <is>
          <t>150052 מדיקליין אורטופדיה</t>
        </is>
      </c>
      <c r="F20" s="102" t="n">
        <v>9490</v>
      </c>
      <c r="G20" s="102" t="n">
        <v>4918.76</v>
      </c>
      <c r="H20" s="95" t="n">
        <v>192</v>
      </c>
      <c r="I20" s="95" t="n">
        <v>66</v>
      </c>
      <c r="J20" s="94" t="inlineStr">
        <is>
          <t>normal</t>
        </is>
      </c>
      <c r="K20" s="94" t="inlineStr">
        <is>
          <t>NetSuite</t>
        </is>
      </c>
    </row>
    <row r="21" ht="15" customHeight="1" s="82">
      <c r="A21" s="94" t="inlineStr">
        <is>
          <t>אזולאי דוד</t>
        </is>
      </c>
      <c r="B21" s="94" t="inlineStr">
        <is>
          <t>102</t>
        </is>
      </c>
      <c r="C21" s="94" t="inlineStr">
        <is>
          <t>102 - Orthopedic institutes</t>
        </is>
      </c>
      <c r="D21" s="94" t="inlineStr">
        <is>
          <t>150094</t>
        </is>
      </c>
      <c r="E21" s="94" t="inlineStr">
        <is>
          <t>150094 אייזלר החברה לניהול בע"מ</t>
        </is>
      </c>
      <c r="F21" s="102" t="n">
        <v>28025.77</v>
      </c>
      <c r="G21" s="102" t="n">
        <v>1912.44</v>
      </c>
      <c r="H21" s="95" t="n">
        <v>491</v>
      </c>
      <c r="I21" s="95" t="n">
        <v>26</v>
      </c>
      <c r="J21" s="94" t="inlineStr">
        <is>
          <t>normal</t>
        </is>
      </c>
      <c r="K21" s="94" t="inlineStr">
        <is>
          <t>NetSuite</t>
        </is>
      </c>
    </row>
    <row r="22" ht="15" customHeight="1" s="82">
      <c r="A22" s="94" t="inlineStr">
        <is>
          <t>אזולאי דוד</t>
        </is>
      </c>
      <c r="B22" s="94" t="inlineStr">
        <is>
          <t>102</t>
        </is>
      </c>
      <c r="C22" s="94" t="inlineStr">
        <is>
          <t>102 - Orthopedic institutes</t>
        </is>
      </c>
      <c r="D22" s="94" t="inlineStr">
        <is>
          <t>150107</t>
        </is>
      </c>
      <c r="E22" s="94" t="inlineStr">
        <is>
          <t>150107 א.א אורטופדיה ספורט-ראשלצ</t>
        </is>
      </c>
      <c r="F22" s="102" t="n">
        <v>4274</v>
      </c>
      <c r="G22" s="102" t="n">
        <v>4950.03</v>
      </c>
      <c r="H22" s="95" t="n">
        <v>66</v>
      </c>
      <c r="I22" s="95" t="n">
        <v>72</v>
      </c>
      <c r="J22" s="94" t="inlineStr">
        <is>
          <t>normal</t>
        </is>
      </c>
      <c r="K22" s="94" t="inlineStr">
        <is>
          <t>NetSuite</t>
        </is>
      </c>
    </row>
    <row r="23" ht="15" customHeight="1" s="82">
      <c r="A23" s="94" t="inlineStr">
        <is>
          <t>אזולאי דוד</t>
        </is>
      </c>
      <c r="B23" s="94" t="inlineStr">
        <is>
          <t>102</t>
        </is>
      </c>
      <c r="C23" s="94" t="inlineStr">
        <is>
          <t>102 - Orthopedic institutes</t>
        </is>
      </c>
      <c r="D23" s="94" t="inlineStr">
        <is>
          <t>150130</t>
        </is>
      </c>
      <c r="E23" s="94" t="inlineStr">
        <is>
          <t>150130 מדנט באר שבע</t>
        </is>
      </c>
      <c r="F23" s="102" t="n">
        <v>40088.88</v>
      </c>
      <c r="G23" s="102" t="n">
        <v>34503.84</v>
      </c>
      <c r="H23" s="95" t="n">
        <v>740</v>
      </c>
      <c r="I23" s="95" t="n">
        <v>584</v>
      </c>
      <c r="J23" s="94" t="inlineStr">
        <is>
          <t>normal</t>
        </is>
      </c>
      <c r="K23" s="94" t="inlineStr">
        <is>
          <t>NetSuite</t>
        </is>
      </c>
    </row>
    <row r="24" ht="15" customHeight="1" s="82">
      <c r="A24" s="94" t="inlineStr">
        <is>
          <t>אזולאי דוד</t>
        </is>
      </c>
      <c r="B24" s="94" t="inlineStr">
        <is>
          <t>102</t>
        </is>
      </c>
      <c r="C24" s="94" t="inlineStr">
        <is>
          <t>102 - Orthopedic institutes</t>
        </is>
      </c>
      <c r="D24" s="94" t="inlineStr">
        <is>
          <t>150147</t>
        </is>
      </c>
      <c r="E24" s="94" t="inlineStr">
        <is>
          <t>150147 ריאד נופי ובנוי בע"מ</t>
        </is>
      </c>
      <c r="F24" s="102" t="n">
        <v>1350</v>
      </c>
      <c r="G24" s="102" t="n">
        <v>1350</v>
      </c>
      <c r="H24" s="95" t="n">
        <v>10</v>
      </c>
      <c r="I24" s="95" t="n">
        <v>10</v>
      </c>
      <c r="J24" s="94" t="inlineStr">
        <is>
          <t>merged</t>
        </is>
      </c>
      <c r="K24" s="94" t="inlineStr">
        <is>
          <t>NetSuite</t>
        </is>
      </c>
    </row>
    <row r="25" ht="15" customHeight="1" s="82">
      <c r="A25" s="94" t="inlineStr">
        <is>
          <t>אזולאי דוד</t>
        </is>
      </c>
      <c r="B25" s="94" t="inlineStr">
        <is>
          <t>102</t>
        </is>
      </c>
      <c r="C25" s="94" t="inlineStr">
        <is>
          <t>102 - Orthopedic institutes</t>
        </is>
      </c>
      <c r="D25" s="94" t="inlineStr">
        <is>
          <t>150148</t>
        </is>
      </c>
      <c r="E25" s="94" t="inlineStr">
        <is>
          <t>150148 מ.בריאותי רגל-ג.ע.ש</t>
        </is>
      </c>
      <c r="F25" s="102" t="n">
        <v>2211.01</v>
      </c>
      <c r="G25" s="102" t="n">
        <v>1040.01</v>
      </c>
      <c r="H25" s="95" t="n">
        <v>10</v>
      </c>
      <c r="I25" s="95" t="n">
        <v>4</v>
      </c>
      <c r="J25" s="94" t="inlineStr">
        <is>
          <t>normal</t>
        </is>
      </c>
      <c r="K25" s="94" t="inlineStr">
        <is>
          <t>NetSuite</t>
        </is>
      </c>
    </row>
    <row r="26" ht="15" customHeight="1" s="82">
      <c r="A26" s="94" t="inlineStr">
        <is>
          <t>אזולאי דוד</t>
        </is>
      </c>
      <c r="B26" s="94" t="inlineStr">
        <is>
          <t>102</t>
        </is>
      </c>
      <c r="C26" s="94" t="inlineStr">
        <is>
          <t>102 - Orthopedic institutes</t>
        </is>
      </c>
      <c r="D26" s="94" t="inlineStr">
        <is>
          <t>150149</t>
        </is>
      </c>
      <c r="E26" s="94" t="inlineStr">
        <is>
          <t>150149 באלנס אורטופדיה אורי שחר</t>
        </is>
      </c>
      <c r="F26" s="102" t="n">
        <v>2228.59</v>
      </c>
      <c r="G26" s="102" t="n">
        <v>4939.27</v>
      </c>
      <c r="H26" s="95" t="n">
        <v>14</v>
      </c>
      <c r="I26" s="95" t="n">
        <v>27</v>
      </c>
      <c r="J26" s="94" t="inlineStr">
        <is>
          <t>normal</t>
        </is>
      </c>
      <c r="K26" s="94" t="inlineStr">
        <is>
          <t>NetSuite</t>
        </is>
      </c>
    </row>
    <row r="27" ht="15" customHeight="1" s="82">
      <c r="A27" s="94" t="inlineStr">
        <is>
          <t>אזולאי דוד</t>
        </is>
      </c>
      <c r="B27" s="94" t="inlineStr">
        <is>
          <t>102</t>
        </is>
      </c>
      <c r="C27" s="94" t="inlineStr">
        <is>
          <t>102 - Orthopedic institutes</t>
        </is>
      </c>
      <c r="D27" s="94" t="inlineStr">
        <is>
          <t>150161</t>
        </is>
      </c>
      <c r="E27" s="94" t="inlineStr">
        <is>
          <t>150161 ענת אורטופדיה א'-חיימוב ט</t>
        </is>
      </c>
      <c r="F27" s="102" t="n">
        <v>2736.16</v>
      </c>
      <c r="G27" s="102" t="n">
        <v>6685.67</v>
      </c>
      <c r="H27" s="95" t="n">
        <v>56</v>
      </c>
      <c r="I27" s="95" t="n">
        <v>107</v>
      </c>
      <c r="J27" s="94" t="inlineStr">
        <is>
          <t>normal</t>
        </is>
      </c>
      <c r="K27" s="94" t="inlineStr">
        <is>
          <t>NetSuite</t>
        </is>
      </c>
    </row>
    <row r="28" ht="15" customHeight="1" s="82">
      <c r="A28" s="94" t="inlineStr">
        <is>
          <t>אזולאי דוד</t>
        </is>
      </c>
      <c r="B28" s="94" t="inlineStr">
        <is>
          <t>102</t>
        </is>
      </c>
      <c r="C28" s="94" t="inlineStr">
        <is>
          <t>102 - Orthopedic institutes</t>
        </is>
      </c>
      <c r="D28" s="94" t="inlineStr">
        <is>
          <t>150196</t>
        </is>
      </c>
      <c r="E28" s="94" t="inlineStr">
        <is>
          <t>150196 לב האורטופדיה רחובות</t>
        </is>
      </c>
      <c r="F28" s="102" t="n">
        <v>8954.139999999999</v>
      </c>
      <c r="G28" s="102" t="n">
        <v>8566.059999999999</v>
      </c>
      <c r="H28" s="95" t="n">
        <v>153</v>
      </c>
      <c r="I28" s="95" t="n">
        <v>108</v>
      </c>
      <c r="J28" s="94" t="inlineStr">
        <is>
          <t>normal</t>
        </is>
      </c>
      <c r="K28" s="94" t="inlineStr">
        <is>
          <t>NetSuite</t>
        </is>
      </c>
    </row>
    <row r="29" ht="15" customHeight="1" s="82">
      <c r="A29" s="94" t="inlineStr">
        <is>
          <t>אזולאי דוד</t>
        </is>
      </c>
      <c r="B29" s="94" t="inlineStr">
        <is>
          <t>102</t>
        </is>
      </c>
      <c r="C29" s="94" t="inlineStr">
        <is>
          <t>102 - Orthopedic institutes</t>
        </is>
      </c>
      <c r="D29" s="94" t="inlineStr">
        <is>
          <t>150248</t>
        </is>
      </c>
      <c r="E29" s="94" t="inlineStr">
        <is>
          <t>150248 FOOT COMFORT</t>
        </is>
      </c>
      <c r="F29" s="102" t="n">
        <v>4416.84</v>
      </c>
      <c r="G29" s="102" t="n">
        <v>1167.06</v>
      </c>
      <c r="H29" s="95" t="n">
        <v>86</v>
      </c>
      <c r="I29" s="95" t="n">
        <v>17</v>
      </c>
      <c r="J29" s="94" t="inlineStr">
        <is>
          <t>normal</t>
        </is>
      </c>
      <c r="K29" s="94" t="inlineStr">
        <is>
          <t>NetSuite</t>
        </is>
      </c>
    </row>
    <row r="30" ht="15" customHeight="1" s="82">
      <c r="A30" s="94" t="inlineStr">
        <is>
          <t>אזולאי דוד</t>
        </is>
      </c>
      <c r="B30" s="94" t="inlineStr">
        <is>
          <t>102</t>
        </is>
      </c>
      <c r="C30" s="94" t="inlineStr">
        <is>
          <t>102 - Orthopedic institutes</t>
        </is>
      </c>
      <c r="D30" s="94" t="inlineStr">
        <is>
          <t>150276</t>
        </is>
      </c>
      <c r="E30" s="94" t="inlineStr">
        <is>
          <t>150276 שפע של אורטופדיה בע"מ-עין</t>
        </is>
      </c>
      <c r="F30" s="102" t="n">
        <v>13874.99</v>
      </c>
      <c r="G30" s="102" t="n">
        <v>0</v>
      </c>
      <c r="H30" s="95" t="n">
        <v>101</v>
      </c>
      <c r="I30" s="95" t="n">
        <v>0</v>
      </c>
      <c r="J30" s="94" t="inlineStr">
        <is>
          <t>normal</t>
        </is>
      </c>
      <c r="K30" s="94" t="inlineStr">
        <is>
          <t>NetSuite</t>
        </is>
      </c>
    </row>
    <row r="31" ht="15" customHeight="1" s="82">
      <c r="A31" s="94" t="inlineStr">
        <is>
          <t>אזולאי דוד</t>
        </is>
      </c>
      <c r="B31" s="94" t="inlineStr">
        <is>
          <t>102</t>
        </is>
      </c>
      <c r="C31" s="94" t="inlineStr">
        <is>
          <t>102 - Orthopedic institutes</t>
        </is>
      </c>
      <c r="D31" s="94" t="inlineStr">
        <is>
          <t>150366</t>
        </is>
      </c>
      <c r="E31" s="94" t="inlineStr">
        <is>
          <t>150366 א.א.אורטופדיה איתי-יהוד</t>
        </is>
      </c>
      <c r="F31" s="102" t="n">
        <v>58517.41</v>
      </c>
      <c r="G31" s="102" t="n">
        <v>49057.12</v>
      </c>
      <c r="H31" s="95" t="n">
        <v>864</v>
      </c>
      <c r="I31" s="95" t="n">
        <v>624</v>
      </c>
      <c r="J31" s="94" t="inlineStr">
        <is>
          <t>normal</t>
        </is>
      </c>
      <c r="K31" s="94" t="inlineStr">
        <is>
          <t>NetSuite</t>
        </is>
      </c>
    </row>
    <row r="32" ht="15" customHeight="1" s="82">
      <c r="A32" s="94" t="inlineStr">
        <is>
          <t>אזולאי דוד</t>
        </is>
      </c>
      <c r="B32" s="94" t="inlineStr">
        <is>
          <t>102</t>
        </is>
      </c>
      <c r="C32" s="94" t="inlineStr">
        <is>
          <t>102 - Orthopedic institutes</t>
        </is>
      </c>
      <c r="D32" s="94" t="inlineStr">
        <is>
          <t>150388</t>
        </is>
      </c>
      <c r="E32" s="94" t="inlineStr">
        <is>
          <t>150388 בית אורטופדיה אלפא מעבדות</t>
        </is>
      </c>
      <c r="F32" s="102" t="n">
        <v>1540.03</v>
      </c>
      <c r="G32" s="102" t="n">
        <v>1260.02</v>
      </c>
      <c r="H32" s="95" t="n">
        <v>11</v>
      </c>
      <c r="I32" s="95" t="n">
        <v>9</v>
      </c>
      <c r="J32" s="94" t="inlineStr">
        <is>
          <t>normal</t>
        </is>
      </c>
      <c r="K32" s="94" t="inlineStr">
        <is>
          <t>NetSuite</t>
        </is>
      </c>
    </row>
    <row r="33" ht="15" customHeight="1" s="82">
      <c r="A33" s="94" t="inlineStr">
        <is>
          <t>אזולאי דוד</t>
        </is>
      </c>
      <c r="B33" s="94" t="inlineStr">
        <is>
          <t>102</t>
        </is>
      </c>
      <c r="C33" s="94" t="inlineStr">
        <is>
          <t>102 - Orthopedic institutes</t>
        </is>
      </c>
      <c r="D33" s="94" t="inlineStr">
        <is>
          <t>150391</t>
        </is>
      </c>
      <c r="E33" s="94" t="inlineStr">
        <is>
          <t>150391 סלון בלומה</t>
        </is>
      </c>
      <c r="F33" s="102" t="n">
        <v>0</v>
      </c>
      <c r="G33" s="102" t="n">
        <v>1339.99</v>
      </c>
      <c r="H33" s="95" t="n">
        <v>0</v>
      </c>
      <c r="I33" s="95" t="n">
        <v>5</v>
      </c>
      <c r="J33" s="94" t="inlineStr">
        <is>
          <t>normal</t>
        </is>
      </c>
      <c r="K33" s="94" t="inlineStr">
        <is>
          <t>NetSuite</t>
        </is>
      </c>
    </row>
    <row r="34" ht="15" customHeight="1" s="82">
      <c r="A34" s="94" t="inlineStr">
        <is>
          <t>אזולאי דוד</t>
        </is>
      </c>
      <c r="B34" s="94" t="inlineStr">
        <is>
          <t>102</t>
        </is>
      </c>
      <c r="C34" s="94" t="inlineStr">
        <is>
          <t>102 - Orthopedic institutes</t>
        </is>
      </c>
      <c r="D34" s="94" t="inlineStr">
        <is>
          <t>151059</t>
        </is>
      </c>
      <c r="E34" s="94" t="inlineStr">
        <is>
          <t>151059 מדי אפיקים בע"מ</t>
        </is>
      </c>
      <c r="F34" s="102" t="n">
        <v>11214.96</v>
      </c>
      <c r="G34" s="102" t="n">
        <v>11912.75</v>
      </c>
      <c r="H34" s="95" t="n">
        <v>245</v>
      </c>
      <c r="I34" s="95" t="n">
        <v>167</v>
      </c>
      <c r="J34" s="94" t="inlineStr">
        <is>
          <t>normal</t>
        </is>
      </c>
      <c r="K34" s="94" t="inlineStr">
        <is>
          <t>NetSuite</t>
        </is>
      </c>
    </row>
    <row r="35" ht="15" customHeight="1" s="82">
      <c r="A35" s="94" t="inlineStr">
        <is>
          <t>אזולאי דוד</t>
        </is>
      </c>
      <c r="B35" s="94" t="inlineStr">
        <is>
          <t>102</t>
        </is>
      </c>
      <c r="C35" s="94" t="inlineStr">
        <is>
          <t>102 - Orthopedic institutes</t>
        </is>
      </c>
      <c r="D35" s="94" t="inlineStr">
        <is>
          <t>151123</t>
        </is>
      </c>
      <c r="E35" s="94" t="inlineStr">
        <is>
          <t>151123 אורטופדיה ספורט וכלי דם</t>
        </is>
      </c>
      <c r="F35" s="102" t="n">
        <v>627</v>
      </c>
      <c r="G35" s="102" t="n">
        <v>624</v>
      </c>
      <c r="H35" s="95" t="n">
        <v>6</v>
      </c>
      <c r="I35" s="95" t="n">
        <v>4</v>
      </c>
      <c r="J35" s="94" t="inlineStr">
        <is>
          <t>normal</t>
        </is>
      </c>
      <c r="K35" s="94" t="inlineStr">
        <is>
          <t>NetSuite</t>
        </is>
      </c>
    </row>
    <row r="36" ht="15" customHeight="1" s="82">
      <c r="A36" s="94" t="inlineStr">
        <is>
          <t>אזולאי דוד</t>
        </is>
      </c>
      <c r="B36" s="94" t="inlineStr">
        <is>
          <t>102</t>
        </is>
      </c>
      <c r="C36" s="94" t="inlineStr">
        <is>
          <t>102 - Orthopedic institutes</t>
        </is>
      </c>
      <c r="D36" s="94" t="inlineStr">
        <is>
          <t>151144</t>
        </is>
      </c>
      <c r="E36" s="94" t="inlineStr">
        <is>
          <t>151144 רפואית כל</t>
        </is>
      </c>
      <c r="F36" s="102" t="n">
        <v>6695.89</v>
      </c>
      <c r="G36" s="102" t="n">
        <v>6276.95</v>
      </c>
      <c r="H36" s="95" t="n">
        <v>128</v>
      </c>
      <c r="I36" s="95" t="n">
        <v>92</v>
      </c>
      <c r="J36" s="94" t="inlineStr">
        <is>
          <t>normal</t>
        </is>
      </c>
      <c r="K36" s="94" t="inlineStr">
        <is>
          <t>NetSuite</t>
        </is>
      </c>
    </row>
    <row r="37" ht="15" customHeight="1" s="82">
      <c r="A37" s="94" t="inlineStr">
        <is>
          <t>אזולאי דוד</t>
        </is>
      </c>
      <c r="B37" s="94" t="inlineStr">
        <is>
          <t>102</t>
        </is>
      </c>
      <c r="C37" s="94" t="inlineStr">
        <is>
          <t>102 - Orthopedic institutes</t>
        </is>
      </c>
      <c r="D37" s="94" t="inlineStr">
        <is>
          <t>151174</t>
        </is>
      </c>
      <c r="E37" s="94" t="inlineStr">
        <is>
          <t>151174 פרימייר</t>
        </is>
      </c>
      <c r="F37" s="102" t="n">
        <v>1828.91</v>
      </c>
      <c r="G37" s="102" t="n">
        <v>0</v>
      </c>
      <c r="H37" s="95" t="n">
        <v>31</v>
      </c>
      <c r="I37" s="95" t="n">
        <v>0</v>
      </c>
      <c r="J37" s="94" t="inlineStr">
        <is>
          <t>normal</t>
        </is>
      </c>
      <c r="K37" s="94" t="inlineStr">
        <is>
          <t>NetSuite</t>
        </is>
      </c>
    </row>
    <row r="38" ht="15" customHeight="1" s="82">
      <c r="A38" s="94" t="inlineStr">
        <is>
          <t>אזולאי דוד</t>
        </is>
      </c>
      <c r="B38" s="94" t="inlineStr">
        <is>
          <t>102</t>
        </is>
      </c>
      <c r="C38" s="94" t="inlineStr">
        <is>
          <t>102 - Orthopedic institutes</t>
        </is>
      </c>
      <c r="D38" s="94" t="inlineStr">
        <is>
          <t>151226</t>
        </is>
      </c>
      <c r="E38" s="94" t="inlineStr">
        <is>
          <t>151226 ענת אורטופדיה אשדוד</t>
        </is>
      </c>
      <c r="F38" s="102" t="n">
        <v>0</v>
      </c>
      <c r="G38" s="102" t="n">
        <v>367.04</v>
      </c>
      <c r="H38" s="95" t="n">
        <v>0</v>
      </c>
      <c r="I38" s="95" t="n">
        <v>9</v>
      </c>
      <c r="J38" s="94" t="inlineStr">
        <is>
          <t>normal</t>
        </is>
      </c>
      <c r="K38" s="94" t="inlineStr">
        <is>
          <t>NetSuite</t>
        </is>
      </c>
    </row>
    <row r="39" ht="15" customHeight="1" s="82">
      <c r="A39" s="94" t="inlineStr">
        <is>
          <t>אזולאי דוד</t>
        </is>
      </c>
      <c r="B39" s="94" t="inlineStr">
        <is>
          <t>102</t>
        </is>
      </c>
      <c r="C39" s="94" t="inlineStr">
        <is>
          <t>102 - Orthopedic institutes</t>
        </is>
      </c>
      <c r="D39" s="94" t="inlineStr">
        <is>
          <t>152101</t>
        </is>
      </c>
      <c r="E39" s="94" t="inlineStr">
        <is>
          <t>152101 יונתן קפלן-פיזיוטרפיסט</t>
        </is>
      </c>
      <c r="F39" s="102" t="n">
        <v>6074.47</v>
      </c>
      <c r="G39" s="102" t="n">
        <v>6389.31</v>
      </c>
      <c r="H39" s="95" t="n">
        <v>64</v>
      </c>
      <c r="I39" s="95" t="n">
        <v>64</v>
      </c>
      <c r="J39" s="94" t="inlineStr">
        <is>
          <t>normal</t>
        </is>
      </c>
      <c r="K39" s="94" t="inlineStr">
        <is>
          <t>NetSuite</t>
        </is>
      </c>
    </row>
    <row r="40" ht="15" customHeight="1" s="82">
      <c r="A40" s="94" t="inlineStr">
        <is>
          <t>אזולאי דוד</t>
        </is>
      </c>
      <c r="B40" s="94" t="inlineStr">
        <is>
          <t>102</t>
        </is>
      </c>
      <c r="C40" s="94" t="inlineStr">
        <is>
          <t>102 - Orthopedic institutes</t>
        </is>
      </c>
      <c r="D40" s="94" t="inlineStr">
        <is>
          <t>153010</t>
        </is>
      </c>
      <c r="E40" s="94" t="inlineStr">
        <is>
          <t>153010 המרחב הפנימי</t>
        </is>
      </c>
      <c r="F40" s="102" t="n">
        <v>480</v>
      </c>
      <c r="G40" s="102" t="n">
        <v>0</v>
      </c>
      <c r="H40" s="95" t="n">
        <v>5</v>
      </c>
      <c r="I40" s="95" t="n">
        <v>0</v>
      </c>
      <c r="J40" s="94" t="inlineStr">
        <is>
          <t>normal</t>
        </is>
      </c>
      <c r="K40" s="94" t="inlineStr">
        <is>
          <t>NetSuite</t>
        </is>
      </c>
    </row>
    <row r="41" ht="15" customHeight="1" s="82">
      <c r="A41" s="94" t="inlineStr">
        <is>
          <t>אזולאי דוד</t>
        </is>
      </c>
      <c r="B41" s="94" t="inlineStr">
        <is>
          <t>102</t>
        </is>
      </c>
      <c r="C41" s="94" t="inlineStr">
        <is>
          <t>102 - Orthopedic institutes</t>
        </is>
      </c>
      <c r="D41" s="94" t="inlineStr">
        <is>
          <t>153207</t>
        </is>
      </c>
      <c r="E41" s="94" t="inlineStr">
        <is>
          <t>153207 אגודת נר דויד אבי</t>
        </is>
      </c>
      <c r="F41" s="102" t="n">
        <v>4748.34</v>
      </c>
      <c r="G41" s="102" t="n">
        <v>4298.23</v>
      </c>
      <c r="H41" s="95" t="n">
        <v>68</v>
      </c>
      <c r="I41" s="95" t="n">
        <v>26</v>
      </c>
      <c r="J41" s="94" t="inlineStr">
        <is>
          <t>normal</t>
        </is>
      </c>
      <c r="K41" s="94" t="inlineStr">
        <is>
          <t>NetSuite</t>
        </is>
      </c>
    </row>
    <row r="42" ht="15" customHeight="1" s="82">
      <c r="A42" s="94" t="inlineStr">
        <is>
          <t>אזולאי דוד</t>
        </is>
      </c>
      <c r="B42" s="94" t="inlineStr">
        <is>
          <t>102</t>
        </is>
      </c>
      <c r="C42" s="94" t="inlineStr">
        <is>
          <t>102 - Orthopedic institutes</t>
        </is>
      </c>
      <c r="D42" s="94" t="inlineStr">
        <is>
          <t>157955</t>
        </is>
      </c>
      <c r="E42" s="94" t="inlineStr">
        <is>
          <t>157955 ווי שוז בוטיק</t>
        </is>
      </c>
      <c r="F42" s="102" t="n">
        <v>0</v>
      </c>
      <c r="G42" s="102" t="n">
        <v>2420.44</v>
      </c>
      <c r="H42" s="95" t="n">
        <v>0</v>
      </c>
      <c r="I42" s="95" t="n">
        <v>28</v>
      </c>
      <c r="J42" s="94" t="inlineStr">
        <is>
          <t>normal</t>
        </is>
      </c>
      <c r="K42" s="94" t="inlineStr">
        <is>
          <t>NetSuite</t>
        </is>
      </c>
    </row>
    <row r="43" ht="15" customHeight="1" s="82">
      <c r="A43" s="94" t="inlineStr">
        <is>
          <t>אזולאי דוד</t>
        </is>
      </c>
      <c r="B43" s="94" t="inlineStr">
        <is>
          <t>102</t>
        </is>
      </c>
      <c r="C43" s="94" t="inlineStr">
        <is>
          <t>102 - Orthopedic institutes</t>
        </is>
      </c>
      <c r="D43" s="94" t="inlineStr">
        <is>
          <t>C02233</t>
        </is>
      </c>
      <c r="E43" s="94" t="inlineStr">
        <is>
          <t>C02233 זבוטובסקי ולרי</t>
        </is>
      </c>
      <c r="F43" s="102" t="n">
        <v>24041.9</v>
      </c>
      <c r="G43" s="102" t="n">
        <v>19832.58</v>
      </c>
      <c r="H43" s="95" t="n">
        <v>96</v>
      </c>
      <c r="I43" s="95" t="n">
        <v>113</v>
      </c>
      <c r="J43" s="94" t="inlineStr">
        <is>
          <t>normal</t>
        </is>
      </c>
      <c r="K43" s="94" t="inlineStr">
        <is>
          <t>NetSuite</t>
        </is>
      </c>
    </row>
    <row r="44" ht="15" customHeight="1" s="82">
      <c r="A44" s="94" t="inlineStr">
        <is>
          <t>אזולאי דוד</t>
        </is>
      </c>
      <c r="B44" s="94" t="inlineStr">
        <is>
          <t>102</t>
        </is>
      </c>
      <c r="C44" s="94" t="inlineStr">
        <is>
          <t>102 - Orthopedic institutes</t>
        </is>
      </c>
      <c r="D44" s="94" t="inlineStr">
        <is>
          <t>C02296</t>
        </is>
      </c>
      <c r="E44" s="94" t="inlineStr">
        <is>
          <t>C02296 אורטופדיק פלוס יוסף דדי</t>
        </is>
      </c>
      <c r="F44" s="102" t="n">
        <v>2116.81</v>
      </c>
      <c r="G44" s="102" t="n">
        <v>0</v>
      </c>
      <c r="H44" s="95" t="n">
        <v>23</v>
      </c>
      <c r="I44" s="95" t="n">
        <v>0</v>
      </c>
      <c r="J44" s="94" t="inlineStr">
        <is>
          <t>normal</t>
        </is>
      </c>
      <c r="K44" s="94" t="inlineStr">
        <is>
          <t>NetSuite</t>
        </is>
      </c>
    </row>
    <row r="45" ht="15" customHeight="1" s="82">
      <c r="A45" s="94" t="inlineStr">
        <is>
          <t>אזולאי דוד</t>
        </is>
      </c>
      <c r="B45" s="94" t="inlineStr">
        <is>
          <t>102</t>
        </is>
      </c>
      <c r="C45" s="94" t="inlineStr">
        <is>
          <t>102 - Orthopedic institutes</t>
        </is>
      </c>
      <c r="D45" s="94" t="inlineStr">
        <is>
          <t>C02301</t>
        </is>
      </c>
      <c r="E45" s="94" t="inlineStr">
        <is>
          <t>C02301 צעד בטבע בע"מ</t>
        </is>
      </c>
      <c r="F45" s="102" t="n">
        <v>9637.58</v>
      </c>
      <c r="G45" s="102" t="n">
        <v>6358.12</v>
      </c>
      <c r="H45" s="95" t="n">
        <v>137</v>
      </c>
      <c r="I45" s="95" t="n">
        <v>102</v>
      </c>
      <c r="J45" s="94" t="inlineStr">
        <is>
          <t>normal</t>
        </is>
      </c>
      <c r="K45" s="94" t="inlineStr">
        <is>
          <t>NetSuite</t>
        </is>
      </c>
    </row>
    <row r="46" ht="15" customHeight="1" s="82">
      <c r="A46" s="94" t="inlineStr">
        <is>
          <t>אזולאי דוד</t>
        </is>
      </c>
      <c r="B46" s="94" t="inlineStr">
        <is>
          <t>102</t>
        </is>
      </c>
      <c r="C46" s="94" t="inlineStr">
        <is>
          <t>102 - Orthopedic institutes</t>
        </is>
      </c>
      <c r="D46" s="94" t="inlineStr">
        <is>
          <t>C02308</t>
        </is>
      </c>
      <c r="E46" s="94" t="inlineStr">
        <is>
          <t>C02308 לב האורטופדיה ספורטה חניה אילנה</t>
        </is>
      </c>
      <c r="F46" s="102" t="n">
        <v>300</v>
      </c>
      <c r="G46" s="102" t="n">
        <v>770</v>
      </c>
      <c r="H46" s="95" t="n">
        <v>4</v>
      </c>
      <c r="I46" s="95" t="n">
        <v>9</v>
      </c>
      <c r="J46" s="94" t="inlineStr">
        <is>
          <t>normal</t>
        </is>
      </c>
      <c r="K46" s="94" t="inlineStr">
        <is>
          <t>NetSuite</t>
        </is>
      </c>
    </row>
    <row r="47" ht="15" customHeight="1" s="82">
      <c r="A47" s="94" t="inlineStr">
        <is>
          <t>אזולאי דוד</t>
        </is>
      </c>
      <c r="B47" s="94" t="inlineStr">
        <is>
          <t>102</t>
        </is>
      </c>
      <c r="C47" s="94" t="inlineStr">
        <is>
          <t>102 - Orthopedic institutes</t>
        </is>
      </c>
      <c r="D47" s="94" t="inlineStr">
        <is>
          <t>C02310</t>
        </is>
      </c>
      <c r="E47" s="94" t="inlineStr">
        <is>
          <t>C02310 הראל צבי</t>
        </is>
      </c>
      <c r="F47" s="102" t="n">
        <v>0</v>
      </c>
      <c r="G47" s="102" t="n">
        <v>2388.11</v>
      </c>
      <c r="H47" s="95" t="n">
        <v>0</v>
      </c>
      <c r="I47" s="95" t="n">
        <v>75</v>
      </c>
      <c r="J47" s="94" t="inlineStr">
        <is>
          <t>normal</t>
        </is>
      </c>
      <c r="K47" s="94" t="inlineStr">
        <is>
          <t>NetSuite</t>
        </is>
      </c>
    </row>
    <row r="48" ht="15" customHeight="1" s="82">
      <c r="A48" s="94" t="inlineStr">
        <is>
          <t>אזולאי דוד</t>
        </is>
      </c>
      <c r="B48" s="94" t="inlineStr">
        <is>
          <t>102</t>
        </is>
      </c>
      <c r="C48" s="94" t="inlineStr">
        <is>
          <t>102 - Orthopedic institutes</t>
        </is>
      </c>
      <c r="D48" s="94" t="inlineStr">
        <is>
          <t>C02311</t>
        </is>
      </c>
      <c r="E48" s="94" t="inlineStr">
        <is>
          <t>C02311 אייזלר אורטופדיה בעמ</t>
        </is>
      </c>
      <c r="F48" s="102" t="n">
        <v>0</v>
      </c>
      <c r="G48" s="102" t="n">
        <v>22229.23</v>
      </c>
      <c r="H48" s="95" t="n">
        <v>0</v>
      </c>
      <c r="I48" s="95" t="n">
        <v>363</v>
      </c>
      <c r="J48" s="94" t="inlineStr">
        <is>
          <t>normal</t>
        </is>
      </c>
      <c r="K48" s="94" t="inlineStr">
        <is>
          <t>NetSuite</t>
        </is>
      </c>
    </row>
    <row r="49" ht="15" customHeight="1" s="82">
      <c r="A49" s="94" t="inlineStr">
        <is>
          <t>אזולאי דוד</t>
        </is>
      </c>
      <c r="B49" s="94" t="inlineStr">
        <is>
          <t>102</t>
        </is>
      </c>
      <c r="C49" s="94" t="inlineStr">
        <is>
          <t>102 - Orthopedic institutes</t>
        </is>
      </c>
      <c r="D49" s="94" t="inlineStr">
        <is>
          <t>C02325</t>
        </is>
      </c>
      <c r="E49" s="94" t="inlineStr">
        <is>
          <t>C02325 גראגאוי יוסף</t>
        </is>
      </c>
      <c r="F49" s="102" t="n">
        <v>0</v>
      </c>
      <c r="G49" s="102" t="n">
        <v>2483.19</v>
      </c>
      <c r="H49" s="95" t="n">
        <v>0</v>
      </c>
      <c r="I49" s="95" t="n">
        <v>21</v>
      </c>
      <c r="J49" s="94" t="inlineStr">
        <is>
          <t>normal</t>
        </is>
      </c>
      <c r="K49" s="94" t="inlineStr">
        <is>
          <t>NetSuite</t>
        </is>
      </c>
    </row>
    <row r="50" ht="15" customHeight="1" s="82">
      <c r="A50" s="94" t="inlineStr">
        <is>
          <t>אזולאי דוד</t>
        </is>
      </c>
      <c r="B50" s="94" t="inlineStr">
        <is>
          <t>103</t>
        </is>
      </c>
      <c r="C50" s="94" t="inlineStr">
        <is>
          <t>103 - Physiotherapy institutes</t>
        </is>
      </c>
      <c r="D50" s="94" t="inlineStr">
        <is>
          <t>C02326</t>
        </is>
      </c>
      <c r="E50" s="94" t="inlineStr">
        <is>
          <t>C02326 וגנר שירה</t>
        </is>
      </c>
      <c r="F50" s="102" t="n">
        <v>0</v>
      </c>
      <c r="G50" s="102" t="n">
        <v>961.84</v>
      </c>
      <c r="H50" s="95" t="n">
        <v>0</v>
      </c>
      <c r="I50" s="95" t="n">
        <v>23</v>
      </c>
      <c r="J50" s="94" t="inlineStr">
        <is>
          <t>normal</t>
        </is>
      </c>
      <c r="K50" s="94" t="inlineStr">
        <is>
          <t>NetSuite</t>
        </is>
      </c>
    </row>
    <row r="51" ht="15" customHeight="1" s="82">
      <c r="A51" s="94" t="inlineStr">
        <is>
          <t>אזולאי דוד</t>
        </is>
      </c>
      <c r="B51" s="94" t="inlineStr">
        <is>
          <t>103</t>
        </is>
      </c>
      <c r="C51" s="94" t="inlineStr">
        <is>
          <t>103 - Physiotherapy institutes</t>
        </is>
      </c>
      <c r="D51" s="94" t="inlineStr">
        <is>
          <t>C02329</t>
        </is>
      </c>
      <c r="E51" s="94" t="inlineStr">
        <is>
          <t>C02329 אביטל עציון</t>
        </is>
      </c>
      <c r="F51" s="102" t="n">
        <v>0</v>
      </c>
      <c r="G51" s="102" t="n">
        <v>1999.24</v>
      </c>
      <c r="H51" s="95" t="n">
        <v>0</v>
      </c>
      <c r="I51" s="95" t="n">
        <v>12</v>
      </c>
      <c r="J51" s="94" t="inlineStr">
        <is>
          <t>normal</t>
        </is>
      </c>
      <c r="K51" s="94" t="inlineStr">
        <is>
          <t>NetSuite</t>
        </is>
      </c>
    </row>
    <row r="52" ht="15" customHeight="1" s="82">
      <c r="A52" s="94" t="inlineStr">
        <is>
          <t>אזולאי דוד</t>
        </is>
      </c>
      <c r="B52" s="94" t="inlineStr">
        <is>
          <t>105</t>
        </is>
      </c>
      <c r="C52" s="94" t="inlineStr">
        <is>
          <t>105 - Pedicure Salons</t>
        </is>
      </c>
      <c r="D52" s="94" t="inlineStr">
        <is>
          <t>150159</t>
        </is>
      </c>
      <c r="E52" s="94" t="inlineStr">
        <is>
          <t>150159 LES PIEDS DOUX</t>
        </is>
      </c>
      <c r="F52" s="102" t="n">
        <v>2013.25</v>
      </c>
      <c r="G52" s="102" t="n">
        <v>2206.45</v>
      </c>
      <c r="H52" s="95" t="n">
        <v>24</v>
      </c>
      <c r="I52" s="95" t="n">
        <v>26</v>
      </c>
      <c r="J52" s="94" t="inlineStr">
        <is>
          <t>normal</t>
        </is>
      </c>
      <c r="K52" s="94" t="inlineStr">
        <is>
          <t>NetSuite</t>
        </is>
      </c>
    </row>
    <row r="53" ht="15" customHeight="1" s="82">
      <c r="A53" s="94" t="inlineStr">
        <is>
          <t>אזולאי דוד</t>
        </is>
      </c>
      <c r="B53" s="94" t="inlineStr">
        <is>
          <t>107</t>
        </is>
      </c>
      <c r="C53" s="94" t="inlineStr">
        <is>
          <t>107 - Pharmacies</t>
        </is>
      </c>
      <c r="D53" s="94" t="inlineStr">
        <is>
          <t>156500</t>
        </is>
      </c>
      <c r="E53" s="94" t="inlineStr">
        <is>
          <t>156500 הנגב בע"מ ב.מ</t>
        </is>
      </c>
      <c r="F53" s="102" t="n">
        <v>0</v>
      </c>
      <c r="G53" s="102" t="n">
        <v>3980.78</v>
      </c>
      <c r="H53" s="95" t="n">
        <v>0</v>
      </c>
      <c r="I53" s="95" t="n">
        <v>52</v>
      </c>
      <c r="J53" s="94" t="inlineStr">
        <is>
          <t>normal</t>
        </is>
      </c>
      <c r="K53" s="94" t="inlineStr">
        <is>
          <t>NetSuite</t>
        </is>
      </c>
    </row>
    <row r="54" ht="15" customHeight="1" s="82">
      <c r="A54" s="94" t="inlineStr">
        <is>
          <t>אזולאי דוד</t>
        </is>
      </c>
      <c r="B54" s="94" t="inlineStr">
        <is>
          <t>109</t>
        </is>
      </c>
      <c r="C54" s="94" t="inlineStr">
        <is>
          <t>109 - Private Shops</t>
        </is>
      </c>
      <c r="D54" s="94" t="inlineStr">
        <is>
          <t>153193</t>
        </is>
      </c>
      <c r="E54" s="94" t="inlineStr">
        <is>
          <t>153193 סלון בלומה</t>
        </is>
      </c>
      <c r="F54" s="102" t="n">
        <v>3855.98</v>
      </c>
      <c r="G54" s="102" t="n">
        <v>535.99</v>
      </c>
      <c r="H54" s="95" t="n">
        <v>18</v>
      </c>
      <c r="I54" s="95" t="n">
        <v>2</v>
      </c>
      <c r="J54" s="94" t="inlineStr">
        <is>
          <t>normal</t>
        </is>
      </c>
      <c r="K54" s="94" t="inlineStr">
        <is>
          <t>NetSuite</t>
        </is>
      </c>
    </row>
    <row r="55" ht="15" customHeight="1" s="82">
      <c r="A55" s="94" t="inlineStr">
        <is>
          <t>אזולאי דוד</t>
        </is>
      </c>
      <c r="B55" s="94" t="inlineStr">
        <is>
          <t>109</t>
        </is>
      </c>
      <c r="C55" s="94" t="inlineStr">
        <is>
          <t>109 - Private Shops</t>
        </is>
      </c>
      <c r="D55" s="94" t="inlineStr">
        <is>
          <t>C02175</t>
        </is>
      </c>
      <c r="E55" s="94" t="inlineStr">
        <is>
          <t>C02175 סלון בלומה</t>
        </is>
      </c>
      <c r="F55" s="102" t="n">
        <v>0</v>
      </c>
      <c r="G55" s="102" t="n">
        <v>1071.99</v>
      </c>
      <c r="H55" s="95" t="n">
        <v>0</v>
      </c>
      <c r="I55" s="95" t="n">
        <v>4</v>
      </c>
      <c r="J55" s="94" t="inlineStr">
        <is>
          <t>normal</t>
        </is>
      </c>
      <c r="K55" s="94" t="inlineStr">
        <is>
          <t>NetSuite</t>
        </is>
      </c>
    </row>
    <row r="56" ht="15" customHeight="1" s="82">
      <c r="A56" s="94" t="inlineStr">
        <is>
          <t>אזולאי דוד</t>
        </is>
      </c>
      <c r="B56" s="94" t="n"/>
      <c r="C56" s="94" t="inlineStr">
        <is>
          <t>0בתי מרקחת</t>
        </is>
      </c>
      <c r="D56" s="94" t="n"/>
      <c r="E56" s="94" t="inlineStr">
        <is>
          <t>בתי מרקחת פרטי</t>
        </is>
      </c>
      <c r="F56" s="102" t="n"/>
      <c r="G56" s="102" t="n">
        <v>205825.6</v>
      </c>
      <c r="H56" s="95" t="n"/>
      <c r="I56" s="95" t="n"/>
      <c r="J56" s="94" t="n"/>
      <c r="K56" s="94" t="inlineStr">
        <is>
          <t>CHMI</t>
        </is>
      </c>
    </row>
    <row r="57" ht="15" customHeight="1" s="82">
      <c r="A57" s="94" t="inlineStr">
        <is>
          <t>אזולאי דוד</t>
        </is>
      </c>
      <c r="B57" s="94" t="n"/>
      <c r="C57" s="94" t="inlineStr">
        <is>
          <t>רשת י-ם</t>
        </is>
      </c>
      <c r="D57" s="94" t="n"/>
      <c r="E57" s="94" t="inlineStr">
        <is>
          <t>רמת שלמה פארם בע""מ י-ם ב.מ</t>
        </is>
      </c>
      <c r="F57" s="102" t="n"/>
      <c r="G57" s="102" t="n">
        <v>1338.5</v>
      </c>
      <c r="H57" s="95" t="n"/>
      <c r="I57" s="95" t="n"/>
      <c r="J57" s="94" t="n"/>
      <c r="K57" s="94" t="inlineStr">
        <is>
          <t>CHMI</t>
        </is>
      </c>
    </row>
    <row r="58" ht="15" customHeight="1" s="82">
      <c r="A58" s="94" t="inlineStr">
        <is>
          <t>אזולאי דוד</t>
        </is>
      </c>
      <c r="B58" s="94" t="n"/>
      <c r="C58" s="94" t="inlineStr">
        <is>
          <t>רשת י-ם</t>
        </is>
      </c>
      <c r="D58" s="94" t="n"/>
      <c r="E58" s="94" t="inlineStr">
        <is>
          <t>ברודר ב.שמש ב.מ</t>
        </is>
      </c>
      <c r="F58" s="102" t="n"/>
      <c r="G58" s="102" t="n">
        <v>75.8</v>
      </c>
      <c r="H58" s="95" t="n"/>
      <c r="I58" s="95" t="n"/>
      <c r="J58" s="94" t="n"/>
      <c r="K58" s="94" t="inlineStr">
        <is>
          <t>CHMI</t>
        </is>
      </c>
    </row>
    <row r="59" ht="15" customHeight="1" s="82">
      <c r="A59" s="94" t="inlineStr">
        <is>
          <t>אזולאי דוד</t>
        </is>
      </c>
      <c r="B59" s="94" t="n"/>
      <c r="C59" s="94" t="inlineStr">
        <is>
          <t>רשת י-ם</t>
        </is>
      </c>
      <c r="D59" s="94" t="n"/>
      <c r="E59" s="94" t="inlineStr">
        <is>
          <t>בקשי מחנה יהודה י-ם ב.מ</t>
        </is>
      </c>
      <c r="F59" s="102" t="n"/>
      <c r="G59" s="102" t="n">
        <v>5722.7</v>
      </c>
      <c r="H59" s="95" t="n"/>
      <c r="I59" s="95" t="n"/>
      <c r="J59" s="94" t="n"/>
      <c r="K59" s="94" t="inlineStr">
        <is>
          <t>CHMI</t>
        </is>
      </c>
    </row>
    <row r="60" ht="15" customHeight="1" s="82">
      <c r="A60" s="94" t="inlineStr">
        <is>
          <t>אזולאי דוד</t>
        </is>
      </c>
      <c r="B60" s="94" t="n"/>
      <c r="C60" s="94" t="inlineStr">
        <is>
          <t>רשת י-ם</t>
        </is>
      </c>
      <c r="D60" s="94" t="n"/>
      <c r="E60" s="94" t="inlineStr">
        <is>
          <t>גאולה י-ם ב.מ</t>
        </is>
      </c>
      <c r="F60" s="102" t="n"/>
      <c r="G60" s="102" t="n">
        <v>23194.1</v>
      </c>
      <c r="H60" s="95" t="n"/>
      <c r="I60" s="95" t="n"/>
      <c r="J60" s="94" t="n"/>
      <c r="K60" s="94" t="inlineStr">
        <is>
          <t>CHMI</t>
        </is>
      </c>
    </row>
    <row r="61" ht="15" customHeight="1" s="82">
      <c r="A61" s="94" t="inlineStr">
        <is>
          <t>אזולאי דוד</t>
        </is>
      </c>
      <c r="B61" s="94" t="n"/>
      <c r="C61" s="94" t="inlineStr">
        <is>
          <t>רשת י-ם</t>
        </is>
      </c>
      <c r="D61" s="94" t="n"/>
      <c r="E61" s="94" t="inlineStr">
        <is>
          <t>גבעת זאב י-ם ב.מ</t>
        </is>
      </c>
      <c r="F61" s="102" t="n"/>
      <c r="G61" s="102" t="n">
        <v>5895.1</v>
      </c>
      <c r="H61" s="95" t="n"/>
      <c r="I61" s="95" t="n"/>
      <c r="J61" s="94" t="n"/>
      <c r="K61" s="94" t="inlineStr">
        <is>
          <t>CHMI</t>
        </is>
      </c>
    </row>
    <row r="62" ht="15" customHeight="1" s="82">
      <c r="A62" s="94" t="inlineStr">
        <is>
          <t>אזולאי דוד</t>
        </is>
      </c>
      <c r="B62" s="94" t="n"/>
      <c r="C62" s="94" t="inlineStr">
        <is>
          <t>רשת י-ם</t>
        </is>
      </c>
      <c r="D62" s="94" t="n"/>
      <c r="E62" s="94" t="inlineStr">
        <is>
          <t>גבעת שאול ב.מ-מדי פלוס בע""מ</t>
        </is>
      </c>
      <c r="F62" s="102" t="n"/>
      <c r="G62" s="102" t="n">
        <v>6197.8</v>
      </c>
      <c r="H62" s="95" t="n"/>
      <c r="I62" s="95" t="n"/>
      <c r="J62" s="94" t="n"/>
      <c r="K62" s="94" t="inlineStr">
        <is>
          <t>CHMI</t>
        </is>
      </c>
    </row>
    <row r="63" ht="15" customHeight="1" s="82">
      <c r="A63" s="94" t="inlineStr">
        <is>
          <t>אזולאי דוד</t>
        </is>
      </c>
      <c r="B63" s="94" t="n"/>
      <c r="C63" s="94" t="inlineStr">
        <is>
          <t>רשת י-ם</t>
        </is>
      </c>
      <c r="D63" s="94" t="n"/>
      <c r="E63" s="94" t="inlineStr">
        <is>
          <t>אורנים פארם ירושלים ב.מ</t>
        </is>
      </c>
      <c r="F63" s="102" t="n"/>
      <c r="G63" s="102" t="n">
        <v>9183.200000000001</v>
      </c>
      <c r="H63" s="95" t="n"/>
      <c r="I63" s="95" t="n"/>
      <c r="J63" s="94" t="n"/>
      <c r="K63" s="94" t="inlineStr">
        <is>
          <t>CHMI</t>
        </is>
      </c>
    </row>
    <row r="64" ht="15" customHeight="1" s="82">
      <c r="A64" s="94" t="inlineStr">
        <is>
          <t>אזולאי דוד</t>
        </is>
      </c>
      <c r="B64" s="94" t="n"/>
      <c r="C64" s="94" t="inlineStr">
        <is>
          <t>רשת י-ם</t>
        </is>
      </c>
      <c r="D64" s="94" t="n"/>
      <c r="E64" s="94" t="inlineStr">
        <is>
          <t>מזור י-ם ב.מ</t>
        </is>
      </c>
      <c r="F64" s="102" t="n"/>
      <c r="G64" s="102" t="n">
        <v>805.4</v>
      </c>
      <c r="H64" s="95" t="n"/>
      <c r="I64" s="95" t="n"/>
      <c r="J64" s="94" t="n"/>
      <c r="K64" s="94" t="inlineStr">
        <is>
          <t>CHMI</t>
        </is>
      </c>
    </row>
    <row r="65" ht="15" customHeight="1" s="82">
      <c r="A65" s="94" t="inlineStr">
        <is>
          <t>אזולאי דוד</t>
        </is>
      </c>
      <c r="B65" s="94" t="n"/>
      <c r="C65" s="94" t="inlineStr">
        <is>
          <t>רשת י-ם</t>
        </is>
      </c>
      <c r="D65" s="94" t="n"/>
      <c r="E65" s="94" t="inlineStr">
        <is>
          <t>ב.מ סנהדריה מדי פלוס</t>
        </is>
      </c>
      <c r="F65" s="102" t="n"/>
      <c r="G65" s="102" t="n">
        <v>5440.6</v>
      </c>
      <c r="H65" s="95" t="n"/>
      <c r="I65" s="95" t="n"/>
      <c r="J65" s="94" t="n"/>
      <c r="K65" s="94" t="inlineStr">
        <is>
          <t>CHMI</t>
        </is>
      </c>
    </row>
    <row r="66" ht="15" customHeight="1" s="82">
      <c r="A66" s="94" t="inlineStr">
        <is>
          <t>אזולאי דוד</t>
        </is>
      </c>
      <c r="B66" s="94" t="n"/>
      <c r="C66" s="94" t="inlineStr">
        <is>
          <t>רשת י-ם</t>
        </is>
      </c>
      <c r="D66" s="94" t="n"/>
      <c r="E66" s="94" t="inlineStr">
        <is>
          <t>עוזיאל י-ם ב.מ</t>
        </is>
      </c>
      <c r="F66" s="102" t="n"/>
      <c r="G66" s="102" t="n">
        <v>5545.8</v>
      </c>
      <c r="H66" s="95" t="n"/>
      <c r="I66" s="95" t="n"/>
      <c r="J66" s="94" t="n"/>
      <c r="K66" s="94" t="inlineStr">
        <is>
          <t>CHMI</t>
        </is>
      </c>
    </row>
    <row r="67" ht="15" customHeight="1" s="82">
      <c r="A67" s="94" t="inlineStr">
        <is>
          <t>אזולאי דוד</t>
        </is>
      </c>
      <c r="B67" s="94" t="n"/>
      <c r="C67" s="94" t="inlineStr">
        <is>
          <t>רשת י-ם</t>
        </is>
      </c>
      <c r="D67" s="94" t="n"/>
      <c r="E67" s="94" t="inlineStr">
        <is>
          <t>01.10 ב.מ.פארמה שאול בע""מ</t>
        </is>
      </c>
      <c r="F67" s="102" t="n"/>
      <c r="G67" s="102" t="n">
        <v>1944.3</v>
      </c>
      <c r="H67" s="95" t="n"/>
      <c r="I67" s="95" t="n"/>
      <c r="J67" s="94" t="n"/>
      <c r="K67" s="94" t="inlineStr">
        <is>
          <t>CHMI</t>
        </is>
      </c>
    </row>
    <row r="68" ht="15" customHeight="1" s="82">
      <c r="A68" s="94" t="inlineStr">
        <is>
          <t>אזולאי דוד</t>
        </is>
      </c>
      <c r="B68" s="94" t="n"/>
      <c r="C68" s="94" t="inlineStr">
        <is>
          <t>רשת י-ם</t>
        </is>
      </c>
      <c r="D68" s="94" t="n"/>
      <c r="E68" s="94" t="inlineStr">
        <is>
          <t>הר הזיתים ב.מ</t>
        </is>
      </c>
      <c r="F68" s="102" t="n"/>
      <c r="G68" s="102" t="n">
        <v>4022.4</v>
      </c>
      <c r="H68" s="95" t="n"/>
      <c r="I68" s="95" t="n"/>
      <c r="J68" s="94" t="n"/>
      <c r="K68" s="94" t="inlineStr">
        <is>
          <t>CHMI</t>
        </is>
      </c>
    </row>
    <row r="69" ht="15" customHeight="1" s="82">
      <c r="A69" s="94" t="inlineStr">
        <is>
          <t>אזולאי דוד</t>
        </is>
      </c>
      <c r="B69" s="94" t="n"/>
      <c r="C69" s="94" t="inlineStr">
        <is>
          <t>רשת י-ם</t>
        </is>
      </c>
      <c r="D69" s="94" t="n"/>
      <c r="E69" s="94" t="inlineStr">
        <is>
          <t>דויטש י-ם ב.מ</t>
        </is>
      </c>
      <c r="F69" s="102" t="n"/>
      <c r="G69" s="102" t="n">
        <v>6734.9</v>
      </c>
      <c r="H69" s="95" t="n"/>
      <c r="I69" s="95" t="n"/>
      <c r="J69" s="94" t="n"/>
      <c r="K69" s="94" t="inlineStr">
        <is>
          <t>CHMI</t>
        </is>
      </c>
    </row>
    <row r="70" ht="15" customHeight="1" s="82">
      <c r="A70" s="94" t="inlineStr">
        <is>
          <t>אזולאי דוד</t>
        </is>
      </c>
      <c r="B70" s="94" t="n"/>
      <c r="C70" s="94" t="inlineStr">
        <is>
          <t>רשת י-ם</t>
        </is>
      </c>
      <c r="D70" s="94" t="n"/>
      <c r="E70" s="94" t="inlineStr">
        <is>
          <t>פארם פלוס ירושלים ב.מ</t>
        </is>
      </c>
      <c r="F70" s="102" t="n"/>
      <c r="G70" s="102" t="n">
        <v>5199.2</v>
      </c>
      <c r="H70" s="95" t="n"/>
      <c r="I70" s="95" t="n"/>
      <c r="J70" s="94" t="n"/>
      <c r="K70" s="94" t="inlineStr">
        <is>
          <t>CHMI</t>
        </is>
      </c>
    </row>
    <row r="71" ht="15" customHeight="1" s="82">
      <c r="A71" s="94" t="inlineStr">
        <is>
          <t>אזולאי דוד</t>
        </is>
      </c>
      <c r="B71" s="94" t="n"/>
      <c r="C71" s="94" t="inlineStr">
        <is>
          <t>רשת י-ם</t>
        </is>
      </c>
      <c r="D71" s="94" t="n"/>
      <c r="E71" s="94" t="inlineStr">
        <is>
          <t>ב.מ ארמון הנציב י-ם</t>
        </is>
      </c>
      <c r="F71" s="102" t="n"/>
      <c r="G71" s="102" t="n">
        <v>56.1</v>
      </c>
      <c r="H71" s="95" t="n"/>
      <c r="I71" s="95" t="n"/>
      <c r="J71" s="94" t="n"/>
      <c r="K71" s="94" t="inlineStr">
        <is>
          <t>CHMI</t>
        </is>
      </c>
    </row>
    <row r="72" ht="15" customHeight="1" s="82">
      <c r="A72" s="94" t="inlineStr">
        <is>
          <t>אזולאי דוד</t>
        </is>
      </c>
      <c r="B72" s="94" t="n"/>
      <c r="C72" s="94" t="inlineStr">
        <is>
          <t>רשת י-ם</t>
        </is>
      </c>
      <c r="D72" s="94" t="n"/>
      <c r="E72" s="94" t="inlineStr">
        <is>
          <t>ג'נא פארם ב.מ מבשרת ציון</t>
        </is>
      </c>
      <c r="F72" s="102" t="n"/>
      <c r="G72" s="102" t="n">
        <v>2047.8</v>
      </c>
      <c r="H72" s="95" t="n"/>
      <c r="I72" s="95" t="n"/>
      <c r="J72" s="94" t="n"/>
      <c r="K72" s="94" t="inlineStr">
        <is>
          <t>CHMI</t>
        </is>
      </c>
    </row>
    <row r="73" ht="15" customHeight="1" s="82">
      <c r="A73" s="94" t="inlineStr">
        <is>
          <t>אזולאי דוד</t>
        </is>
      </c>
      <c r="B73" s="94" t="n"/>
      <c r="C73" s="94" t="inlineStr">
        <is>
          <t>רשת י-ם</t>
        </is>
      </c>
      <c r="D73" s="94" t="n"/>
      <c r="E73" s="94" t="inlineStr">
        <is>
          <t>מקסיפארם ברוכים י-ם ב.מ</t>
        </is>
      </c>
      <c r="F73" s="102" t="n"/>
      <c r="G73" s="102" t="n">
        <v>1869.6</v>
      </c>
      <c r="H73" s="95" t="n"/>
      <c r="I73" s="95" t="n"/>
      <c r="J73" s="94" t="n"/>
      <c r="K73" s="94" t="inlineStr">
        <is>
          <t>CHMI</t>
        </is>
      </c>
    </row>
    <row r="74" ht="15" customHeight="1" s="82">
      <c r="A74" s="94" t="inlineStr">
        <is>
          <t>אזולאי דוד</t>
        </is>
      </c>
      <c r="B74" s="94" t="n"/>
      <c r="C74" s="94" t="inlineStr">
        <is>
          <t>רשת י-ם</t>
        </is>
      </c>
      <c r="D74" s="94" t="n"/>
      <c r="E74" s="94" t="inlineStr">
        <is>
          <t>מוריה י-ם ב.מ</t>
        </is>
      </c>
      <c r="F74" s="102" t="n"/>
      <c r="G74" s="102" t="n">
        <v>7207.6</v>
      </c>
      <c r="H74" s="95" t="n"/>
      <c r="I74" s="95" t="n"/>
      <c r="J74" s="94" t="n"/>
      <c r="K74" s="94" t="inlineStr">
        <is>
          <t>CHMI</t>
        </is>
      </c>
    </row>
    <row r="75" ht="15" customHeight="1" s="82">
      <c r="A75" s="94" t="inlineStr">
        <is>
          <t>אזולאי דוד</t>
        </is>
      </c>
      <c r="B75" s="94" t="n"/>
      <c r="C75" s="94" t="inlineStr">
        <is>
          <t>שרם</t>
        </is>
      </c>
      <c r="D75" s="94" t="n"/>
      <c r="E75" s="94" t="inlineStr">
        <is>
          <t>דן אשדוד ב.מ שרמפארם</t>
        </is>
      </c>
      <c r="F75" s="102" t="n"/>
      <c r="G75" s="102" t="n">
        <v>4284.7</v>
      </c>
      <c r="H75" s="95" t="n"/>
      <c r="I75" s="95" t="n"/>
      <c r="J75" s="94" t="n"/>
      <c r="K75" s="94" t="inlineStr">
        <is>
          <t>CHMI</t>
        </is>
      </c>
    </row>
    <row r="76" ht="15" customHeight="1" s="82">
      <c r="A76" s="94" t="inlineStr">
        <is>
          <t>אזולאי דוד</t>
        </is>
      </c>
      <c r="B76" s="94" t="n"/>
      <c r="C76" s="94" t="inlineStr">
        <is>
          <t>שרם</t>
        </is>
      </c>
      <c r="D76" s="94" t="n"/>
      <c r="E76" s="94" t="inlineStr">
        <is>
          <t>עילית מודיעין ב.מ שרמפארם</t>
        </is>
      </c>
      <c r="F76" s="102" t="n"/>
      <c r="G76" s="102" t="n">
        <v>6076</v>
      </c>
      <c r="H76" s="95" t="n"/>
      <c r="I76" s="95" t="n"/>
      <c r="J76" s="94" t="n"/>
      <c r="K76" s="94" t="inlineStr">
        <is>
          <t>CHMI</t>
        </is>
      </c>
    </row>
    <row r="77" ht="15" customHeight="1" s="82">
      <c r="A77" s="94" t="inlineStr">
        <is>
          <t>אזולאי דוד</t>
        </is>
      </c>
      <c r="B77" s="94" t="n"/>
      <c r="C77" s="94" t="inlineStr">
        <is>
          <t>שרם</t>
        </is>
      </c>
      <c r="D77" s="94" t="n"/>
      <c r="E77" s="94" t="inlineStr">
        <is>
          <t>הבירה י-ם ב.מ שרמפארם</t>
        </is>
      </c>
      <c r="F77" s="102" t="n"/>
      <c r="G77" s="102" t="n">
        <v>57.9</v>
      </c>
      <c r="H77" s="95" t="n"/>
      <c r="I77" s="95" t="n"/>
      <c r="J77" s="94" t="n"/>
      <c r="K77" s="94" t="inlineStr">
        <is>
          <t>CHMI</t>
        </is>
      </c>
    </row>
    <row r="78" ht="15" customHeight="1" s="82">
      <c r="A78" s="94" t="inlineStr">
        <is>
          <t>אזולאי דוד</t>
        </is>
      </c>
      <c r="B78" s="94" t="n"/>
      <c r="C78" s="94" t="inlineStr">
        <is>
          <t>שרם</t>
        </is>
      </c>
      <c r="D78" s="94" t="n"/>
      <c r="E78" s="94" t="inlineStr">
        <is>
          <t>הר נוף י-ם ב.מ שרמפארם</t>
        </is>
      </c>
      <c r="F78" s="102" t="n"/>
      <c r="G78" s="102" t="n">
        <v>2040.9</v>
      </c>
      <c r="H78" s="95" t="n"/>
      <c r="I78" s="95" t="n"/>
      <c r="J78" s="94" t="n"/>
      <c r="K78" s="94" t="inlineStr">
        <is>
          <t>CHMI</t>
        </is>
      </c>
    </row>
    <row r="79" ht="15" customHeight="1" s="82">
      <c r="A79" s="94" t="inlineStr">
        <is>
          <t>אזולאי דוד</t>
        </is>
      </c>
      <c r="B79" s="94" t="n"/>
      <c r="C79" s="94" t="inlineStr">
        <is>
          <t>שרם</t>
        </is>
      </c>
      <c r="D79" s="94" t="n"/>
      <c r="E79" s="94" t="inlineStr">
        <is>
          <t>הבירה י-ם ב.מ שרמפארם</t>
        </is>
      </c>
      <c r="F79" s="102" t="n"/>
      <c r="G79" s="102" t="n">
        <v>127.3</v>
      </c>
      <c r="H79" s="95" t="n"/>
      <c r="I79" s="95" t="n"/>
      <c r="J79" s="94" t="n"/>
      <c r="K79" s="94" t="inlineStr">
        <is>
          <t>CHMI</t>
        </is>
      </c>
    </row>
    <row r="80" ht="15" customHeight="1" s="82">
      <c r="A80" s="94" t="inlineStr">
        <is>
          <t>אזולאי דוד</t>
        </is>
      </c>
      <c r="B80" s="94" t="n"/>
      <c r="C80" s="94" t="inlineStr">
        <is>
          <t>ס. פארם</t>
        </is>
      </c>
      <c r="D80" s="94" t="n"/>
      <c r="E80" s="94" t="inlineStr">
        <is>
          <t>ס.פ התמרים חברת אופיר סלומון ב</t>
        </is>
      </c>
      <c r="F80" s="102" t="n"/>
      <c r="G80" s="102" t="n">
        <v>26047.6</v>
      </c>
      <c r="H80" s="95" t="n"/>
      <c r="I80" s="95" t="n"/>
      <c r="J80" s="94" t="n"/>
      <c r="K80" s="94" t="inlineStr">
        <is>
          <t>CHMI</t>
        </is>
      </c>
    </row>
    <row r="81" ht="15" customHeight="1" s="82">
      <c r="A81" s="94" t="inlineStr">
        <is>
          <t>אזולאי דוד</t>
        </is>
      </c>
      <c r="B81" s="94" t="n"/>
      <c r="C81" s="94" t="inlineStr">
        <is>
          <t>ס. פארם</t>
        </is>
      </c>
      <c r="D81" s="94" t="n"/>
      <c r="E81" s="94" t="inlineStr">
        <is>
          <t>""ס.פ שחמון חברת שרון בן לסן בע</t>
        </is>
      </c>
      <c r="F81" s="102" t="n"/>
      <c r="G81" s="102" t="n">
        <v>13788</v>
      </c>
      <c r="H81" s="95" t="n"/>
      <c r="I81" s="95" t="n"/>
      <c r="J81" s="94" t="n"/>
      <c r="K81" s="94" t="inlineStr">
        <is>
          <t>CHMI</t>
        </is>
      </c>
    </row>
    <row r="82" ht="15" customHeight="1" s="82">
      <c r="A82" s="94" t="inlineStr">
        <is>
          <t>אזולאי דוד</t>
        </is>
      </c>
      <c r="B82" s="94" t="n"/>
      <c r="C82" s="94" t="inlineStr">
        <is>
          <t>ס. פארם</t>
        </is>
      </c>
      <c r="D82" s="94" t="n"/>
      <c r="E82" s="94" t="inlineStr">
        <is>
          <t>""ס.פ מול הים חברת דוד אהרון בע</t>
        </is>
      </c>
      <c r="F82" s="102" t="n"/>
      <c r="G82" s="102" t="n">
        <v>23769.8</v>
      </c>
      <c r="H82" s="95" t="n"/>
      <c r="I82" s="95" t="n"/>
      <c r="J82" s="94" t="n"/>
      <c r="K82" s="94" t="inlineStr">
        <is>
          <t>CHMI</t>
        </is>
      </c>
    </row>
    <row r="83" ht="15" customHeight="1" s="82">
      <c r="A83" s="94" t="inlineStr">
        <is>
          <t>אזולאי דוד</t>
        </is>
      </c>
      <c r="B83" s="94" t="n"/>
      <c r="C83" s="94" t="inlineStr">
        <is>
          <t>ס. פארם</t>
        </is>
      </c>
      <c r="D83" s="94" t="n"/>
      <c r="E83" s="94" t="inlineStr">
        <is>
          <t>ס.פ ביג אילת חב.שרון בן לסן בע</t>
        </is>
      </c>
      <c r="F83" s="102" t="n"/>
      <c r="G83" s="102" t="n">
        <v>23541.9</v>
      </c>
      <c r="H83" s="95" t="n"/>
      <c r="I83" s="95" t="n"/>
      <c r="J83" s="94" t="n"/>
      <c r="K83" s="94" t="inlineStr">
        <is>
          <t>CHMI</t>
        </is>
      </c>
    </row>
    <row r="84" ht="15" customHeight="1" s="82">
      <c r="A84" s="94" t="inlineStr">
        <is>
          <t>אזולאי דוד</t>
        </is>
      </c>
      <c r="B84" s="94" t="n"/>
      <c r="C84" s="94" t="inlineStr">
        <is>
          <t>ס. פארם</t>
        </is>
      </c>
      <c r="D84" s="94" t="n"/>
      <c r="E84" s="94" t="inlineStr">
        <is>
          <t>ס.פ.שער רחובות-תרופות</t>
        </is>
      </c>
      <c r="F84" s="102" t="n"/>
      <c r="G84" s="102" t="n">
        <v>15999.9</v>
      </c>
      <c r="H84" s="95" t="n"/>
      <c r="I84" s="95" t="n"/>
      <c r="J84" s="94" t="n"/>
      <c r="K84" s="94" t="inlineStr">
        <is>
          <t>CHMI</t>
        </is>
      </c>
    </row>
    <row r="85" ht="15" customHeight="1" s="82">
      <c r="A85" s="94" t="inlineStr">
        <is>
          <t>אזולאי דוד</t>
        </is>
      </c>
      <c r="B85" s="94" t="n"/>
      <c r="C85" s="94" t="inlineStr">
        <is>
          <t>ס. פארם</t>
        </is>
      </c>
      <c r="D85" s="94" t="n"/>
      <c r="E85" s="94" t="inlineStr">
        <is>
          <t>ס.פ.סנטרו רחובות תרופות</t>
        </is>
      </c>
      <c r="F85" s="102" t="n"/>
      <c r="G85" s="102" t="n">
        <v>14995.8</v>
      </c>
      <c r="H85" s="95" t="n"/>
      <c r="I85" s="95" t="n"/>
      <c r="J85" s="94" t="n"/>
      <c r="K85" s="94" t="inlineStr">
        <is>
          <t>CHMI</t>
        </is>
      </c>
    </row>
    <row r="86" ht="15" customHeight="1" s="82">
      <c r="A86" s="94" t="inlineStr">
        <is>
          <t>אזולאי דוד</t>
        </is>
      </c>
      <c r="B86" s="94" t="n"/>
      <c r="C86" s="94" t="inlineStr">
        <is>
          <t>ס. פארם</t>
        </is>
      </c>
      <c r="D86" s="94" t="n"/>
      <c r="E86" s="94" t="inlineStr">
        <is>
          <t>ס.פ.קניון רחובות תרופות</t>
        </is>
      </c>
      <c r="F86" s="102" t="n"/>
      <c r="G86" s="102" t="n">
        <v>33889.6</v>
      </c>
      <c r="H86" s="95" t="n"/>
      <c r="I86" s="95" t="n"/>
      <c r="J86" s="94" t="n"/>
      <c r="K86" s="94" t="inlineStr">
        <is>
          <t>CHMI</t>
        </is>
      </c>
    </row>
    <row r="87" ht="15" customHeight="1" s="82">
      <c r="A87" s="94" t="inlineStr">
        <is>
          <t>אזולאי דוד</t>
        </is>
      </c>
      <c r="B87" s="94" t="n"/>
      <c r="C87" s="94" t="inlineStr">
        <is>
          <t>ס. פארם</t>
        </is>
      </c>
      <c r="D87" s="94" t="n"/>
      <c r="E87" s="94" t="inlineStr">
        <is>
          <t>ס.פ.הרצל תרופות רחובות</t>
        </is>
      </c>
      <c r="F87" s="102" t="n"/>
      <c r="G87" s="102" t="n">
        <v>15928.5</v>
      </c>
      <c r="H87" s="95" t="n"/>
      <c r="I87" s="95" t="n"/>
      <c r="J87" s="94" t="n"/>
      <c r="K87" s="94" t="inlineStr">
        <is>
          <t>CHMI</t>
        </is>
      </c>
    </row>
    <row r="88" ht="15" customHeight="1" s="82">
      <c r="A88" s="94" t="inlineStr">
        <is>
          <t>אזולאי דוד</t>
        </is>
      </c>
      <c r="B88" s="94" t="n"/>
      <c r="C88" s="94" t="inlineStr">
        <is>
          <t>ס. פארם</t>
        </is>
      </c>
      <c r="D88" s="94" t="n"/>
      <c r="E88" s="94" t="inlineStr">
        <is>
          <t>ס.פ.ביג קרית גת תרופות</t>
        </is>
      </c>
      <c r="F88" s="102" t="n"/>
      <c r="G88" s="102" t="n">
        <v>30586.1</v>
      </c>
      <c r="H88" s="95" t="n"/>
      <c r="I88" s="95" t="n"/>
      <c r="J88" s="94" t="n"/>
      <c r="K88" s="94" t="inlineStr">
        <is>
          <t>CHMI</t>
        </is>
      </c>
    </row>
    <row r="89" ht="15" customHeight="1" s="82">
      <c r="A89" s="94" t="inlineStr">
        <is>
          <t>אזולאי דוד</t>
        </is>
      </c>
      <c r="B89" s="94" t="n"/>
      <c r="C89" s="94" t="inlineStr">
        <is>
          <t>ס. פארם</t>
        </is>
      </c>
      <c r="D89" s="94" t="n"/>
      <c r="E89" s="94" t="inlineStr">
        <is>
          <t>ס.פ.צים נתיבות תרופות</t>
        </is>
      </c>
      <c r="F89" s="102" t="n"/>
      <c r="G89" s="102" t="n">
        <v>11324.5</v>
      </c>
      <c r="H89" s="95" t="n"/>
      <c r="I89" s="95" t="n"/>
      <c r="J89" s="94" t="n"/>
      <c r="K89" s="94" t="inlineStr">
        <is>
          <t>CHMI</t>
        </is>
      </c>
    </row>
    <row r="90" ht="15" customHeight="1" s="82">
      <c r="A90" s="94" t="inlineStr">
        <is>
          <t>אזולאי דוד</t>
        </is>
      </c>
      <c r="B90" s="94" t="n"/>
      <c r="C90" s="94" t="inlineStr">
        <is>
          <t>ס. פארם</t>
        </is>
      </c>
      <c r="D90" s="94" t="n"/>
      <c r="E90" s="94" t="inlineStr">
        <is>
          <t>ס.פ.אשקלון תרופות גירון</t>
        </is>
      </c>
      <c r="F90" s="102" t="n"/>
      <c r="G90" s="102" t="n">
        <v>40579.4</v>
      </c>
      <c r="H90" s="95" t="n"/>
      <c r="I90" s="95" t="n"/>
      <c r="J90" s="94" t="n"/>
      <c r="K90" s="94" t="inlineStr">
        <is>
          <t>CHMI</t>
        </is>
      </c>
    </row>
    <row r="91" ht="15" customHeight="1" s="82">
      <c r="A91" s="94" t="inlineStr">
        <is>
          <t>אזולאי דוד</t>
        </is>
      </c>
      <c r="B91" s="94" t="n"/>
      <c r="C91" s="94" t="inlineStr">
        <is>
          <t>ס. פארם</t>
        </is>
      </c>
      <c r="D91" s="94" t="n"/>
      <c r="E91" s="94" t="inlineStr">
        <is>
          <t>ס.פ.מרכז דוד תרופות אשקלון</t>
        </is>
      </c>
      <c r="F91" s="102" t="n"/>
      <c r="G91" s="102" t="n">
        <v>20557.9</v>
      </c>
      <c r="H91" s="95" t="n"/>
      <c r="I91" s="95" t="n"/>
      <c r="J91" s="94" t="n"/>
      <c r="K91" s="94" t="inlineStr">
        <is>
          <t>CHMI</t>
        </is>
      </c>
    </row>
    <row r="92" ht="15" customHeight="1" s="82">
      <c r="A92" s="94" t="inlineStr">
        <is>
          <t>אזולאי דוד</t>
        </is>
      </c>
      <c r="B92" s="94" t="n"/>
      <c r="C92" s="94" t="inlineStr">
        <is>
          <t>ס. פארם</t>
        </is>
      </c>
      <c r="D92" s="94" t="n"/>
      <c r="E92" s="94" t="inlineStr">
        <is>
          <t>ס.פ.סטאר סנטר תרופות</t>
        </is>
      </c>
      <c r="F92" s="102" t="n"/>
      <c r="G92" s="102" t="n">
        <v>48192.5</v>
      </c>
      <c r="H92" s="95" t="n"/>
      <c r="I92" s="95" t="n"/>
      <c r="J92" s="94" t="n"/>
      <c r="K92" s="94" t="inlineStr">
        <is>
          <t>CHMI</t>
        </is>
      </c>
    </row>
    <row r="93" ht="15" customHeight="1" s="82">
      <c r="A93" s="94" t="inlineStr">
        <is>
          <t>אזולאי דוד</t>
        </is>
      </c>
      <c r="B93" s="94" t="n"/>
      <c r="C93" s="94" t="inlineStr">
        <is>
          <t>ס. פארם</t>
        </is>
      </c>
      <c r="D93" s="94" t="n"/>
      <c r="E93" s="94" t="inlineStr">
        <is>
          <t>ס.פ.נתיבות תרופות</t>
        </is>
      </c>
      <c r="F93" s="102" t="n"/>
      <c r="G93" s="102" t="n">
        <v>14763.1</v>
      </c>
      <c r="H93" s="95" t="n"/>
      <c r="I93" s="95" t="n"/>
      <c r="J93" s="94" t="n"/>
      <c r="K93" s="94" t="inlineStr">
        <is>
          <t>CHMI</t>
        </is>
      </c>
    </row>
    <row r="94" ht="15" customHeight="1" s="82">
      <c r="A94" s="94" t="inlineStr">
        <is>
          <t>אזולאי דוד</t>
        </is>
      </c>
      <c r="B94" s="94" t="n"/>
      <c r="C94" s="94" t="inlineStr">
        <is>
          <t>ס. פארם</t>
        </is>
      </c>
      <c r="D94" s="94" t="n"/>
      <c r="E94" s="94" t="inlineStr">
        <is>
          <t>ס.פ.סיטי אשדוד תרופות</t>
        </is>
      </c>
      <c r="F94" s="102" t="n"/>
      <c r="G94" s="102" t="n">
        <v>26761.3</v>
      </c>
      <c r="H94" s="95" t="n"/>
      <c r="I94" s="95" t="n"/>
      <c r="J94" s="94" t="n"/>
      <c r="K94" s="94" t="inlineStr">
        <is>
          <t>CHMI</t>
        </is>
      </c>
    </row>
    <row r="95" ht="15" customHeight="1" s="82">
      <c r="A95" s="94" t="inlineStr">
        <is>
          <t>אזולאי דוד</t>
        </is>
      </c>
      <c r="B95" s="94" t="n"/>
      <c r="C95" s="94" t="inlineStr">
        <is>
          <t>ס. פארם</t>
        </is>
      </c>
      <c r="D95" s="94" t="n"/>
      <c r="E95" s="94" t="inlineStr">
        <is>
          <t>ס.פ.לב העיר קרית גת תרופות</t>
        </is>
      </c>
      <c r="F95" s="102" t="n"/>
      <c r="G95" s="102" t="n">
        <v>10566.4</v>
      </c>
      <c r="H95" s="95" t="n"/>
      <c r="I95" s="95" t="n"/>
      <c r="J95" s="94" t="n"/>
      <c r="K95" s="94" t="inlineStr">
        <is>
          <t>CHMI</t>
        </is>
      </c>
    </row>
    <row r="96" ht="15" customHeight="1" s="82">
      <c r="A96" s="94" t="inlineStr">
        <is>
          <t>אזולאי דוד</t>
        </is>
      </c>
      <c r="B96" s="94" t="n"/>
      <c r="C96" s="94" t="inlineStr">
        <is>
          <t>ס. פארם</t>
        </is>
      </c>
      <c r="D96" s="94" t="n"/>
      <c r="E96" s="94" t="inlineStr">
        <is>
          <t>ס.פ.סילבר תרופות</t>
        </is>
      </c>
      <c r="F96" s="102" t="n"/>
      <c r="G96" s="102" t="n">
        <v>27048.2</v>
      </c>
      <c r="H96" s="95" t="n"/>
      <c r="I96" s="95" t="n"/>
      <c r="J96" s="94" t="n"/>
      <c r="K96" s="94" t="inlineStr">
        <is>
          <t>CHMI</t>
        </is>
      </c>
    </row>
    <row r="97" ht="15" customHeight="1" s="82">
      <c r="A97" s="94" t="inlineStr">
        <is>
          <t>אזולאי דוד</t>
        </is>
      </c>
      <c r="B97" s="94" t="n"/>
      <c r="C97" s="94" t="inlineStr">
        <is>
          <t>ס. פארם</t>
        </is>
      </c>
      <c r="D97" s="94" t="n"/>
      <c r="E97" s="94" t="inlineStr">
        <is>
          <t>ס.פ.אופקים תרופות</t>
        </is>
      </c>
      <c r="F97" s="102" t="n"/>
      <c r="G97" s="102" t="n">
        <v>17126.2</v>
      </c>
      <c r="H97" s="95" t="n"/>
      <c r="I97" s="95" t="n"/>
      <c r="J97" s="94" t="n"/>
      <c r="K97" s="94" t="inlineStr">
        <is>
          <t>CHMI</t>
        </is>
      </c>
    </row>
    <row r="98" ht="15" customHeight="1" s="82">
      <c r="A98" s="94" t="inlineStr">
        <is>
          <t>אזולאי דוד</t>
        </is>
      </c>
      <c r="B98" s="94" t="n"/>
      <c r="C98" s="94" t="inlineStr">
        <is>
          <t>ס. פארם</t>
        </is>
      </c>
      <c r="D98" s="94" t="n"/>
      <c r="E98" s="94" t="inlineStr">
        <is>
          <t>ס.פ.דימונה תרופות</t>
        </is>
      </c>
      <c r="F98" s="102" t="n"/>
      <c r="G98" s="102" t="n">
        <v>9645.200000000001</v>
      </c>
      <c r="H98" s="95" t="n"/>
      <c r="I98" s="95" t="n"/>
      <c r="J98" s="94" t="n"/>
      <c r="K98" s="94" t="inlineStr">
        <is>
          <t>CHMI</t>
        </is>
      </c>
    </row>
    <row r="99" ht="15" customHeight="1" s="82">
      <c r="A99" s="94" t="inlineStr">
        <is>
          <t>אזולאי דוד</t>
        </is>
      </c>
      <c r="B99" s="94" t="n"/>
      <c r="C99" s="94" t="inlineStr">
        <is>
          <t>ס. פארם</t>
        </is>
      </c>
      <c r="D99" s="94" t="n"/>
      <c r="E99" s="94" t="inlineStr">
        <is>
          <t>ס.פ.ביג קסטינה</t>
        </is>
      </c>
      <c r="F99" s="102" t="n"/>
      <c r="G99" s="102" t="n">
        <v>23440.4</v>
      </c>
      <c r="H99" s="95" t="n"/>
      <c r="I99" s="95" t="n"/>
      <c r="J99" s="94" t="n"/>
      <c r="K99" s="94" t="inlineStr">
        <is>
          <t>CHMI</t>
        </is>
      </c>
    </row>
    <row r="100" ht="15" customHeight="1" s="82">
      <c r="A100" s="94" t="inlineStr">
        <is>
          <t>אזולאי דוד</t>
        </is>
      </c>
      <c r="B100" s="94" t="n"/>
      <c r="C100" s="94" t="inlineStr">
        <is>
          <t>ס. פארם</t>
        </is>
      </c>
      <c r="D100" s="94" t="n"/>
      <c r="E100" s="94" t="inlineStr">
        <is>
          <t>ס.פ.ערד תרופות</t>
        </is>
      </c>
      <c r="F100" s="102" t="n"/>
      <c r="G100" s="102" t="n">
        <v>8346</v>
      </c>
      <c r="H100" s="95" t="n"/>
      <c r="I100" s="95" t="n"/>
      <c r="J100" s="94" t="n"/>
      <c r="K100" s="94" t="inlineStr">
        <is>
          <t>CHMI</t>
        </is>
      </c>
    </row>
    <row r="101" ht="15" customHeight="1" s="82">
      <c r="A101" s="94" t="inlineStr">
        <is>
          <t>אזולאי דוד</t>
        </is>
      </c>
      <c r="B101" s="94" t="n"/>
      <c r="C101" s="94" t="inlineStr">
        <is>
          <t>ס. פארם</t>
        </is>
      </c>
      <c r="D101" s="94" t="n"/>
      <c r="E101" s="94" t="inlineStr">
        <is>
          <t>ס.פ.שדרות תרופות</t>
        </is>
      </c>
      <c r="F101" s="102" t="n"/>
      <c r="G101" s="102" t="n">
        <v>16670.7</v>
      </c>
      <c r="H101" s="95" t="n"/>
      <c r="I101" s="95" t="n"/>
      <c r="J101" s="94" t="n"/>
      <c r="K101" s="94" t="inlineStr">
        <is>
          <t>CHMI</t>
        </is>
      </c>
    </row>
    <row r="102" ht="15" customHeight="1" s="82">
      <c r="A102" s="94" t="inlineStr">
        <is>
          <t>אזולאי דוד</t>
        </is>
      </c>
      <c r="B102" s="94" t="n"/>
      <c r="C102" s="94" t="inlineStr">
        <is>
          <t>ס. פארם</t>
        </is>
      </c>
      <c r="D102" s="94" t="n"/>
      <c r="E102" s="94" t="inlineStr">
        <is>
          <t>ס.פ.גילה תרופות</t>
        </is>
      </c>
      <c r="F102" s="102" t="n"/>
      <c r="G102" s="102" t="n">
        <v>8225</v>
      </c>
      <c r="H102" s="95" t="n"/>
      <c r="I102" s="95" t="n"/>
      <c r="J102" s="94" t="n"/>
      <c r="K102" s="94" t="inlineStr">
        <is>
          <t>CHMI</t>
        </is>
      </c>
    </row>
    <row r="103" ht="15" customHeight="1" s="82">
      <c r="A103" s="94" t="inlineStr">
        <is>
          <t>אזולאי דוד</t>
        </is>
      </c>
      <c r="B103" s="94" t="n"/>
      <c r="C103" s="94" t="inlineStr">
        <is>
          <t>ס. פארם</t>
        </is>
      </c>
      <c r="D103" s="94" t="n"/>
      <c r="E103" s="94" t="inlineStr">
        <is>
          <t>ס.פ.מדרחוב תרופות</t>
        </is>
      </c>
      <c r="F103" s="102" t="n"/>
      <c r="G103" s="102" t="n">
        <v>-11496</v>
      </c>
      <c r="H103" s="95" t="n"/>
      <c r="I103" s="95" t="n"/>
      <c r="J103" s="94" t="n"/>
      <c r="K103" s="94" t="inlineStr">
        <is>
          <t>CHMI</t>
        </is>
      </c>
    </row>
    <row r="104" ht="15" customHeight="1" s="82">
      <c r="A104" s="94" t="inlineStr">
        <is>
          <t>אזולאי דוד</t>
        </is>
      </c>
      <c r="B104" s="94" t="n"/>
      <c r="C104" s="94" t="inlineStr">
        <is>
          <t>ס. פארם</t>
        </is>
      </c>
      <c r="D104" s="94" t="n"/>
      <c r="E104" s="94" t="inlineStr">
        <is>
          <t>ס.פ ממילא ירושלים תרופות</t>
        </is>
      </c>
      <c r="F104" s="102" t="n"/>
      <c r="G104" s="102" t="n">
        <v>25113.5</v>
      </c>
      <c r="H104" s="95" t="n"/>
      <c r="I104" s="95" t="n"/>
      <c r="J104" s="94" t="n"/>
      <c r="K104" s="94" t="inlineStr">
        <is>
          <t>CHMI</t>
        </is>
      </c>
    </row>
    <row r="105" ht="15" customHeight="1" s="82">
      <c r="A105" s="94" t="inlineStr">
        <is>
          <t>אזולאי דוד</t>
        </is>
      </c>
      <c r="B105" s="94" t="n"/>
      <c r="C105" s="94" t="inlineStr">
        <is>
          <t>ס. פארם</t>
        </is>
      </c>
      <c r="D105" s="94" t="n"/>
      <c r="E105" s="94" t="inlineStr">
        <is>
          <t>ס.פ.בית האומות י-ם תרופות</t>
        </is>
      </c>
      <c r="F105" s="102" t="n"/>
      <c r="G105" s="102" t="n">
        <v>29568.6</v>
      </c>
      <c r="H105" s="95" t="n"/>
      <c r="I105" s="95" t="n"/>
      <c r="J105" s="94" t="n"/>
      <c r="K105" s="94" t="inlineStr">
        <is>
          <t>CHMI</t>
        </is>
      </c>
    </row>
    <row r="106" ht="15" customHeight="1" s="82">
      <c r="A106" s="94" t="inlineStr">
        <is>
          <t>אזולאי דוד</t>
        </is>
      </c>
      <c r="B106" s="94" t="n"/>
      <c r="C106" s="94" t="inlineStr">
        <is>
          <t>ס. פארם</t>
        </is>
      </c>
      <c r="D106" s="94" t="n"/>
      <c r="E106" s="94" t="inlineStr">
        <is>
          <t>ס.פ.ניות ירושלים תרופות</t>
        </is>
      </c>
      <c r="F106" s="102" t="n"/>
      <c r="G106" s="102" t="n">
        <v>34338.5</v>
      </c>
      <c r="H106" s="95" t="n"/>
      <c r="I106" s="95" t="n"/>
      <c r="J106" s="94" t="n"/>
      <c r="K106" s="94" t="inlineStr">
        <is>
          <t>CHMI</t>
        </is>
      </c>
    </row>
    <row r="107" ht="15" customHeight="1" s="82">
      <c r="A107" s="94" t="inlineStr">
        <is>
          <t>אזולאי דוד</t>
        </is>
      </c>
      <c r="B107" s="94" t="n"/>
      <c r="C107" s="94" t="inlineStr">
        <is>
          <t>ס. פארם</t>
        </is>
      </c>
      <c r="D107" s="94" t="n"/>
      <c r="E107" s="94" t="inlineStr">
        <is>
          <t>ס.פ.הדסה ע.כרם י-ם תרופות</t>
        </is>
      </c>
      <c r="F107" s="102" t="n"/>
      <c r="G107" s="102" t="n">
        <v>58715.9</v>
      </c>
      <c r="H107" s="95" t="n"/>
      <c r="I107" s="95" t="n"/>
      <c r="J107" s="94" t="n"/>
      <c r="K107" s="94" t="inlineStr">
        <is>
          <t>CHMI</t>
        </is>
      </c>
    </row>
    <row r="108" ht="15" customHeight="1" s="82">
      <c r="A108" s="94" t="inlineStr">
        <is>
          <t>אזולאי דוד</t>
        </is>
      </c>
      <c r="B108" s="94" t="n"/>
      <c r="C108" s="94" t="inlineStr">
        <is>
          <t>ס. פארם</t>
        </is>
      </c>
      <c r="D108" s="94" t="n"/>
      <c r="E108" s="94" t="inlineStr">
        <is>
          <t>ס.פ.פסגת זאב תרופות</t>
        </is>
      </c>
      <c r="F108" s="102" t="n"/>
      <c r="G108" s="102" t="n">
        <v>21922.2</v>
      </c>
      <c r="H108" s="95" t="n"/>
      <c r="I108" s="95" t="n"/>
      <c r="J108" s="94" t="n"/>
      <c r="K108" s="94" t="inlineStr">
        <is>
          <t>CHMI</t>
        </is>
      </c>
    </row>
    <row r="109" ht="15" customHeight="1" s="82">
      <c r="A109" s="94" t="inlineStr">
        <is>
          <t>אזולאי דוד</t>
        </is>
      </c>
      <c r="B109" s="94" t="n"/>
      <c r="C109" s="94" t="inlineStr">
        <is>
          <t>ס. פארם</t>
        </is>
      </c>
      <c r="D109" s="94" t="n"/>
      <c r="E109" s="94" t="inlineStr">
        <is>
          <t>ס.פ.בית הכרם תרופות</t>
        </is>
      </c>
      <c r="F109" s="102" t="n"/>
      <c r="G109" s="102" t="n">
        <v>21466.2</v>
      </c>
      <c r="H109" s="95" t="n"/>
      <c r="I109" s="95" t="n"/>
      <c r="J109" s="94" t="n"/>
      <c r="K109" s="94" t="inlineStr">
        <is>
          <t>CHMI</t>
        </is>
      </c>
    </row>
    <row r="110" ht="15" customHeight="1" s="82">
      <c r="A110" s="94" t="inlineStr">
        <is>
          <t>אזולאי דוד</t>
        </is>
      </c>
      <c r="B110" s="94" t="n"/>
      <c r="C110" s="94" t="inlineStr">
        <is>
          <t>ס. פארם</t>
        </is>
      </c>
      <c r="D110" s="94" t="n"/>
      <c r="E110" s="94" t="inlineStr">
        <is>
          <t>ס.פ.רמות ירושלים תרופות</t>
        </is>
      </c>
      <c r="F110" s="102" t="n"/>
      <c r="G110" s="102" t="n">
        <v>46195.1</v>
      </c>
      <c r="H110" s="95" t="n"/>
      <c r="I110" s="95" t="n"/>
      <c r="J110" s="94" t="n"/>
      <c r="K110" s="94" t="inlineStr">
        <is>
          <t>CHMI</t>
        </is>
      </c>
    </row>
    <row r="111" ht="15" customHeight="1" s="82">
      <c r="A111" s="94" t="inlineStr">
        <is>
          <t>אזולאי דוד</t>
        </is>
      </c>
      <c r="B111" s="94" t="n"/>
      <c r="C111" s="94" t="inlineStr">
        <is>
          <t>ס. פארם</t>
        </is>
      </c>
      <c r="D111" s="94" t="n"/>
      <c r="E111" s="94" t="inlineStr">
        <is>
          <t>ס.פ.מלחה תרופות</t>
        </is>
      </c>
      <c r="F111" s="102" t="n"/>
      <c r="G111" s="102" t="n">
        <v>43263.9</v>
      </c>
      <c r="H111" s="95" t="n"/>
      <c r="I111" s="95" t="n"/>
      <c r="J111" s="94" t="n"/>
      <c r="K111" s="94" t="inlineStr">
        <is>
          <t>CHMI</t>
        </is>
      </c>
    </row>
    <row r="112" ht="15" customHeight="1" s="82">
      <c r="A112" s="94" t="inlineStr">
        <is>
          <t>אזולאי דוד</t>
        </is>
      </c>
      <c r="B112" s="94" t="n"/>
      <c r="C112" s="94" t="inlineStr">
        <is>
          <t>ס. פארם</t>
        </is>
      </c>
      <c r="D112" s="94" t="n"/>
      <c r="E112" s="94" t="inlineStr">
        <is>
          <t>ס.פ.מעלה אדומים תרופות</t>
        </is>
      </c>
      <c r="F112" s="102" t="n"/>
      <c r="G112" s="102" t="n">
        <v>24810.2</v>
      </c>
      <c r="H112" s="95" t="n"/>
      <c r="I112" s="95" t="n"/>
      <c r="J112" s="94" t="n"/>
      <c r="K112" s="94" t="inlineStr">
        <is>
          <t>CHMI</t>
        </is>
      </c>
    </row>
    <row r="113" ht="15" customHeight="1" s="82">
      <c r="A113" s="94" t="inlineStr">
        <is>
          <t>אזולאי דוד</t>
        </is>
      </c>
      <c r="B113" s="94" t="n"/>
      <c r="C113" s="94" t="inlineStr">
        <is>
          <t>ס. פארם</t>
        </is>
      </c>
      <c r="D113" s="94" t="n"/>
      <c r="E113" s="94" t="inlineStr">
        <is>
          <t>ס.פ ביג בית שמש תרופות</t>
        </is>
      </c>
      <c r="F113" s="102" t="n"/>
      <c r="G113" s="102" t="n">
        <v>34904.3</v>
      </c>
      <c r="H113" s="95" t="n"/>
      <c r="I113" s="95" t="n"/>
      <c r="J113" s="94" t="n"/>
      <c r="K113" s="94" t="inlineStr">
        <is>
          <t>CHMI</t>
        </is>
      </c>
    </row>
    <row r="114" ht="15" customHeight="1" s="82">
      <c r="A114" s="94" t="inlineStr">
        <is>
          <t>אזולאי דוד</t>
        </is>
      </c>
      <c r="B114" s="94" t="n"/>
      <c r="C114" s="94" t="inlineStr">
        <is>
          <t>ס. פארם</t>
        </is>
      </c>
      <c r="D114" s="94" t="n"/>
      <c r="E114" s="94" t="inlineStr">
        <is>
          <t>ס.פ.קניון בית שמש תרופות</t>
        </is>
      </c>
      <c r="F114" s="102" t="n"/>
      <c r="G114" s="102" t="n">
        <v>21004.5</v>
      </c>
      <c r="H114" s="95" t="n"/>
      <c r="I114" s="95" t="n"/>
      <c r="J114" s="94" t="n"/>
      <c r="K114" s="94" t="inlineStr">
        <is>
          <t>CHMI</t>
        </is>
      </c>
    </row>
    <row r="115" ht="15" customHeight="1" s="82">
      <c r="A115" s="94" t="inlineStr">
        <is>
          <t>אזולאי דוד</t>
        </is>
      </c>
      <c r="B115" s="94" t="n"/>
      <c r="C115" s="94" t="inlineStr">
        <is>
          <t>ס. פארם</t>
        </is>
      </c>
      <c r="D115" s="94" t="n"/>
      <c r="E115" s="94" t="inlineStr">
        <is>
          <t>ס.פ.גבעת שאול תרופות</t>
        </is>
      </c>
      <c r="F115" s="102" t="n"/>
      <c r="G115" s="102" t="n">
        <v>17276.1</v>
      </c>
      <c r="H115" s="95" t="n"/>
      <c r="I115" s="95" t="n"/>
      <c r="J115" s="94" t="n"/>
      <c r="K115" s="94" t="inlineStr">
        <is>
          <t>CHMI</t>
        </is>
      </c>
    </row>
    <row r="116" ht="15" customHeight="1" s="82">
      <c r="A116" s="94" t="inlineStr">
        <is>
          <t>אזולאי דוד</t>
        </is>
      </c>
      <c r="B116" s="94" t="n"/>
      <c r="C116" s="94" t="inlineStr">
        <is>
          <t>ס. פארם</t>
        </is>
      </c>
      <c r="D116" s="94" t="n"/>
      <c r="E116" s="94" t="inlineStr">
        <is>
          <t>ס.פ.תחנה י-ם תרופות</t>
        </is>
      </c>
      <c r="F116" s="102" t="n"/>
      <c r="G116" s="102" t="n">
        <v>22643</v>
      </c>
      <c r="H116" s="95" t="n"/>
      <c r="I116" s="95" t="n"/>
      <c r="J116" s="94" t="n"/>
      <c r="K116" s="94" t="inlineStr">
        <is>
          <t>CHMI</t>
        </is>
      </c>
    </row>
    <row r="117" ht="15" customHeight="1" s="82">
      <c r="A117" s="94" t="inlineStr">
        <is>
          <t>אזולאי דוד</t>
        </is>
      </c>
      <c r="B117" s="94" t="n"/>
      <c r="C117" s="94" t="inlineStr">
        <is>
          <t>ס. פארם</t>
        </is>
      </c>
      <c r="D117" s="94" t="n"/>
      <c r="E117" s="94" t="inlineStr">
        <is>
          <t>ס.פ.תלפיות תרופות י-ם</t>
        </is>
      </c>
      <c r="F117" s="102" t="n"/>
      <c r="G117" s="102" t="n">
        <v>38153.7</v>
      </c>
      <c r="H117" s="95" t="n"/>
      <c r="I117" s="95" t="n"/>
      <c r="J117" s="94" t="n"/>
      <c r="K117" s="94" t="inlineStr">
        <is>
          <t>CHMI</t>
        </is>
      </c>
    </row>
    <row r="118" ht="15" customHeight="1" s="82">
      <c r="A118" s="94" t="inlineStr">
        <is>
          <t>אזולאי דוד</t>
        </is>
      </c>
      <c r="B118" s="94" t="n"/>
      <c r="C118" s="94" t="inlineStr">
        <is>
          <t>ס. פארם</t>
        </is>
      </c>
      <c r="D118" s="94" t="n"/>
      <c r="E118" s="94" t="inlineStr">
        <is>
          <t>ס.פ.מודיעין שמשוני תרופות</t>
        </is>
      </c>
      <c r="F118" s="102" t="n"/>
      <c r="G118" s="102" t="n">
        <v>30162.8</v>
      </c>
      <c r="H118" s="95" t="n"/>
      <c r="I118" s="95" t="n"/>
      <c r="J118" s="94" t="n"/>
      <c r="K118" s="94" t="inlineStr">
        <is>
          <t>CHMI</t>
        </is>
      </c>
    </row>
    <row r="119" ht="15" customHeight="1" s="82">
      <c r="A119" s="94" t="inlineStr">
        <is>
          <t>אזולאי דוד</t>
        </is>
      </c>
      <c r="B119" s="94" t="n"/>
      <c r="C119" s="94" t="inlineStr">
        <is>
          <t>ס. פארם</t>
        </is>
      </c>
      <c r="D119" s="94" t="n"/>
      <c r="E119" s="94" t="inlineStr">
        <is>
          <t>ס.פ.ישפרו מודיעין תרופות</t>
        </is>
      </c>
      <c r="F119" s="102" t="n"/>
      <c r="G119" s="102" t="n">
        <v>48886.8</v>
      </c>
      <c r="H119" s="95" t="n"/>
      <c r="I119" s="95" t="n"/>
      <c r="J119" s="94" t="n"/>
      <c r="K119" s="94" t="inlineStr">
        <is>
          <t>CHMI</t>
        </is>
      </c>
    </row>
    <row r="120" ht="15" customHeight="1" s="82">
      <c r="A120" s="94" t="inlineStr">
        <is>
          <t>אזולאי דוד</t>
        </is>
      </c>
      <c r="B120" s="94" t="n"/>
      <c r="C120" s="94" t="inlineStr">
        <is>
          <t>ס. פארם</t>
        </is>
      </c>
      <c r="D120" s="94" t="n"/>
      <c r="E120" s="94" t="inlineStr">
        <is>
          <t>ס.פ.קניון מודיעין תרופות</t>
        </is>
      </c>
      <c r="F120" s="102" t="n"/>
      <c r="G120" s="102" t="n">
        <v>46590.9</v>
      </c>
      <c r="H120" s="95" t="n"/>
      <c r="I120" s="95" t="n"/>
      <c r="J120" s="94" t="n"/>
      <c r="K120" s="94" t="inlineStr">
        <is>
          <t>CHMI</t>
        </is>
      </c>
    </row>
    <row r="121" ht="15" customHeight="1" s="82">
      <c r="A121" s="94" t="inlineStr">
        <is>
          <t>אזולאי דוד</t>
        </is>
      </c>
      <c r="B121" s="94" t="n"/>
      <c r="C121" s="94" t="inlineStr">
        <is>
          <t>ס. פארם</t>
        </is>
      </c>
      <c r="D121" s="94" t="n"/>
      <c r="E121" s="94" t="inlineStr">
        <is>
          <t>ס.פ.מזכרת בתיה תרופות</t>
        </is>
      </c>
      <c r="F121" s="102" t="n"/>
      <c r="G121" s="102" t="n">
        <v>14876.1</v>
      </c>
      <c r="H121" s="95" t="n"/>
      <c r="I121" s="95" t="n"/>
      <c r="J121" s="94" t="n"/>
      <c r="K121" s="94" t="inlineStr">
        <is>
          <t>CHMI</t>
        </is>
      </c>
    </row>
    <row r="122" ht="15" customHeight="1" s="82">
      <c r="A122" s="94" t="inlineStr">
        <is>
          <t>אזולאי דוד</t>
        </is>
      </c>
      <c r="B122" s="94" t="n"/>
      <c r="C122" s="94" t="inlineStr">
        <is>
          <t>ס. פארם</t>
        </is>
      </c>
      <c r="D122" s="94" t="n"/>
      <c r="E122" s="94" t="inlineStr">
        <is>
          <t>ס.פ.בילו סנטר תרופות</t>
        </is>
      </c>
      <c r="F122" s="102" t="n"/>
      <c r="G122" s="102" t="n">
        <v>28259.9</v>
      </c>
      <c r="H122" s="95" t="n"/>
      <c r="I122" s="95" t="n"/>
      <c r="J122" s="94" t="n"/>
      <c r="K122" s="94" t="inlineStr">
        <is>
          <t>CHMI</t>
        </is>
      </c>
    </row>
    <row r="123" ht="15" customHeight="1" s="82">
      <c r="A123" s="94" t="inlineStr">
        <is>
          <t>אזולאי דוד</t>
        </is>
      </c>
      <c r="B123" s="94" t="n"/>
      <c r="C123" s="94" t="inlineStr">
        <is>
          <t>ס. פארם</t>
        </is>
      </c>
      <c r="D123" s="94" t="n"/>
      <c r="E123" s="94" t="inlineStr">
        <is>
          <t>ס.פ.גאלרי כיכר ציון ירושלים</t>
        </is>
      </c>
      <c r="F123" s="102" t="n"/>
      <c r="G123" s="102" t="n">
        <v>50039.5</v>
      </c>
      <c r="H123" s="95" t="n"/>
      <c r="I123" s="95" t="n"/>
      <c r="J123" s="94" t="n"/>
      <c r="K123" s="94" t="inlineStr">
        <is>
          <t>CHMI</t>
        </is>
      </c>
    </row>
    <row r="124" ht="15" customHeight="1" s="82">
      <c r="A124" s="94" t="inlineStr">
        <is>
          <t>אזולאי דוד</t>
        </is>
      </c>
      <c r="B124" s="94" t="n"/>
      <c r="C124" s="94" t="inlineStr">
        <is>
          <t>ס. פארם</t>
        </is>
      </c>
      <c r="D124" s="94" t="n"/>
      <c r="E124" s="94" t="inlineStr">
        <is>
          <t>ס.פ.רחובות החדשה תרופות</t>
        </is>
      </c>
      <c r="F124" s="102" t="n"/>
      <c r="G124" s="102" t="n">
        <v>13052.3</v>
      </c>
      <c r="H124" s="95" t="n"/>
      <c r="I124" s="95" t="n"/>
      <c r="J124" s="94" t="n"/>
      <c r="K124" s="94" t="inlineStr">
        <is>
          <t>CHMI</t>
        </is>
      </c>
    </row>
    <row r="125" ht="15" customHeight="1" s="82">
      <c r="A125" s="94" t="inlineStr">
        <is>
          <t>אזולאי דוד</t>
        </is>
      </c>
      <c r="B125" s="94" t="n"/>
      <c r="C125" s="94" t="inlineStr">
        <is>
          <t>ס. פארם</t>
        </is>
      </c>
      <c r="D125" s="94" t="n"/>
      <c r="E125" s="94" t="inlineStr">
        <is>
          <t>ס.פ.ביג פאשן אשדוד תרופות</t>
        </is>
      </c>
      <c r="F125" s="102" t="n"/>
      <c r="G125" s="102" t="n">
        <v>25613.2</v>
      </c>
      <c r="H125" s="95" t="n"/>
      <c r="I125" s="95" t="n"/>
      <c r="J125" s="94" t="n"/>
      <c r="K125" s="94" t="inlineStr">
        <is>
          <t>CHMI</t>
        </is>
      </c>
    </row>
    <row r="126" ht="15" customHeight="1" s="82">
      <c r="A126" s="94" t="inlineStr">
        <is>
          <t>אזולאי דוד</t>
        </is>
      </c>
      <c r="B126" s="94" t="n"/>
      <c r="C126" s="94" t="inlineStr">
        <is>
          <t>ס. פארם</t>
        </is>
      </c>
      <c r="D126" s="94" t="n"/>
      <c r="E126" s="94" t="inlineStr">
        <is>
          <t>ס.פ.חוצות אשקלון</t>
        </is>
      </c>
      <c r="F126" s="102" t="n"/>
      <c r="G126" s="102" t="n">
        <v>7482.8</v>
      </c>
      <c r="H126" s="95" t="n"/>
      <c r="I126" s="95" t="n"/>
      <c r="J126" s="94" t="n"/>
      <c r="K126" s="94" t="inlineStr">
        <is>
          <t>CHMI</t>
        </is>
      </c>
    </row>
    <row r="127" ht="15" customHeight="1" s="82">
      <c r="A127" s="94" t="inlineStr">
        <is>
          <t>אזולאי דוד</t>
        </is>
      </c>
      <c r="B127" s="94" t="n"/>
      <c r="C127" s="94" t="inlineStr">
        <is>
          <t>ס. פארם</t>
        </is>
      </c>
      <c r="D127" s="94" t="n"/>
      <c r="E127" s="94" t="inlineStr">
        <is>
          <t>ס.פ.מבשרת ציון</t>
        </is>
      </c>
      <c r="F127" s="102" t="n"/>
      <c r="G127" s="102" t="n">
        <v>5498.3</v>
      </c>
      <c r="H127" s="95" t="n"/>
      <c r="I127" s="95" t="n"/>
      <c r="J127" s="94" t="n"/>
      <c r="K127" s="94" t="inlineStr">
        <is>
          <t>CHMI</t>
        </is>
      </c>
    </row>
    <row r="128" ht="15" customHeight="1" s="82">
      <c r="A128" s="94" t="inlineStr">
        <is>
          <t>אזולאי דוד</t>
        </is>
      </c>
      <c r="B128" s="94" t="n"/>
      <c r="C128" s="94" t="inlineStr">
        <is>
          <t>ס. פארם</t>
        </is>
      </c>
      <c r="D128" s="94" t="n"/>
      <c r="E128" s="94" t="inlineStr">
        <is>
          <t>ס.פ קניון הראל</t>
        </is>
      </c>
      <c r="F128" s="102" t="n"/>
      <c r="G128" s="102" t="n">
        <v>16494.2</v>
      </c>
      <c r="H128" s="95" t="n"/>
      <c r="I128" s="95" t="n"/>
      <c r="J128" s="94" t="n"/>
      <c r="K128" s="94" t="inlineStr">
        <is>
          <t>CHMI</t>
        </is>
      </c>
    </row>
    <row r="129" ht="15" customHeight="1" s="82">
      <c r="A129" s="94" t="inlineStr">
        <is>
          <t>אזולאי דוד</t>
        </is>
      </c>
      <c r="B129" s="94" t="n"/>
      <c r="C129" s="94" t="inlineStr">
        <is>
          <t>ס. פארם</t>
        </is>
      </c>
      <c r="D129" s="94" t="n"/>
      <c r="E129" s="94" t="inlineStr">
        <is>
          <t>ס.פ.עמק רפאים תרופות ירושלים</t>
        </is>
      </c>
      <c r="F129" s="102" t="n"/>
      <c r="G129" s="102" t="n">
        <v>17691.7</v>
      </c>
      <c r="H129" s="95" t="n"/>
      <c r="I129" s="95" t="n"/>
      <c r="J129" s="94" t="n"/>
      <c r="K129" s="94" t="inlineStr">
        <is>
          <t>CHMI</t>
        </is>
      </c>
    </row>
    <row r="130" ht="15" customHeight="1" s="82">
      <c r="A130" s="94" t="inlineStr">
        <is>
          <t>אזולאי דוד</t>
        </is>
      </c>
      <c r="B130" s="94" t="n"/>
      <c r="C130" s="94" t="inlineStr">
        <is>
          <t>ס. פארם</t>
        </is>
      </c>
      <c r="D130" s="94" t="n"/>
      <c r="E130" s="94" t="inlineStr">
        <is>
          <t>240 ס.פ.אליהו קורן י-ם תרופות</t>
        </is>
      </c>
      <c r="F130" s="102" t="n"/>
      <c r="G130" s="102" t="n">
        <v>13428</v>
      </c>
      <c r="H130" s="95" t="n"/>
      <c r="I130" s="95" t="n"/>
      <c r="J130" s="94" t="n"/>
      <c r="K130" s="94" t="inlineStr">
        <is>
          <t>CHMI</t>
        </is>
      </c>
    </row>
    <row r="131" ht="15" customHeight="1" s="82">
      <c r="A131" s="94" t="inlineStr">
        <is>
          <t>אזולאי דוד</t>
        </is>
      </c>
      <c r="B131" s="94" t="n"/>
      <c r="C131" s="94" t="inlineStr">
        <is>
          <t>ס. פארם</t>
        </is>
      </c>
      <c r="D131" s="94" t="n"/>
      <c r="E131" s="94" t="inlineStr">
        <is>
          <t>סופר פארם טיילת חב' אופיר סולו</t>
        </is>
      </c>
      <c r="F131" s="102" t="n"/>
      <c r="G131" s="102" t="n">
        <v>20965.8</v>
      </c>
      <c r="H131" s="95" t="n"/>
      <c r="I131" s="95" t="n"/>
      <c r="J131" s="94" t="n"/>
      <c r="K131" s="94" t="inlineStr">
        <is>
          <t>CHMI</t>
        </is>
      </c>
    </row>
    <row r="132" ht="15" customHeight="1" s="82">
      <c r="A132" s="94" t="inlineStr">
        <is>
          <t>אזולאי דוד</t>
        </is>
      </c>
      <c r="B132" s="94" t="n"/>
      <c r="C132" s="94" t="inlineStr">
        <is>
          <t>ס. פארם</t>
        </is>
      </c>
      <c r="D132" s="94" t="n"/>
      <c r="E132" s="94" t="inlineStr">
        <is>
          <t>BM ס.פ עטרות</t>
        </is>
      </c>
      <c r="F132" s="102" t="n"/>
      <c r="G132" s="102" t="n">
        <v>3132</v>
      </c>
      <c r="H132" s="95" t="n"/>
      <c r="I132" s="95" t="n"/>
      <c r="J132" s="94" t="n"/>
      <c r="K132" s="94" t="inlineStr">
        <is>
          <t>CHMI</t>
        </is>
      </c>
    </row>
    <row r="133" ht="15" customHeight="1" s="82">
      <c r="A133" s="94" t="inlineStr">
        <is>
          <t>אזולאי דוד</t>
        </is>
      </c>
      <c r="B133" s="94" t="n"/>
      <c r="C133" s="94" t="inlineStr">
        <is>
          <t>ס. פארם</t>
        </is>
      </c>
      <c r="D133" s="94" t="n"/>
      <c r="E133" s="94" t="inlineStr">
        <is>
          <t>ס.פ.גלובוס אשקלון</t>
        </is>
      </c>
      <c r="F133" s="102" t="n"/>
      <c r="G133" s="102" t="n">
        <v>20652.3</v>
      </c>
      <c r="H133" s="95" t="n"/>
      <c r="I133" s="95" t="n"/>
      <c r="J133" s="94" t="n"/>
      <c r="K133" s="94" t="inlineStr">
        <is>
          <t>CHMI</t>
        </is>
      </c>
    </row>
    <row r="134" ht="15" customHeight="1" s="82">
      <c r="A134" s="94" t="inlineStr">
        <is>
          <t>אזולאי דוד</t>
        </is>
      </c>
      <c r="B134" s="94" t="n"/>
      <c r="C134" s="94" t="inlineStr">
        <is>
          <t>ס. פארם</t>
        </is>
      </c>
      <c r="D134" s="94" t="n"/>
      <c r="E134" s="94" t="inlineStr">
        <is>
          <t>ס.פ קניון האחים ישראל ירושלים</t>
        </is>
      </c>
      <c r="F134" s="102" t="n"/>
      <c r="G134" s="102" t="n">
        <v>8233.700000000001</v>
      </c>
      <c r="H134" s="95" t="n"/>
      <c r="I134" s="95" t="n"/>
      <c r="J134" s="94" t="n"/>
      <c r="K134" s="94" t="inlineStr">
        <is>
          <t>CHMI</t>
        </is>
      </c>
    </row>
    <row r="135" ht="15" customHeight="1" s="82">
      <c r="A135" s="94" t="inlineStr">
        <is>
          <t>אזולאי דוד</t>
        </is>
      </c>
      <c r="B135" s="94" t="n"/>
      <c r="C135" s="94" t="inlineStr">
        <is>
          <t>ס. פארם</t>
        </is>
      </c>
      <c r="D135" s="94" t="n"/>
      <c r="E135" s="94" t="inlineStr">
        <is>
          <t>BM ס.פ קינג גורג ירושלים</t>
        </is>
      </c>
      <c r="F135" s="102" t="n"/>
      <c r="G135" s="102" t="n">
        <v>4016.1</v>
      </c>
      <c r="H135" s="95" t="n"/>
      <c r="I135" s="95" t="n"/>
      <c r="J135" s="94" t="n"/>
      <c r="K135" s="94" t="inlineStr">
        <is>
          <t>CHMI</t>
        </is>
      </c>
    </row>
    <row r="136" ht="15" customHeight="1" s="82">
      <c r="A136" s="94" t="inlineStr">
        <is>
          <t>אזולאי דוד</t>
        </is>
      </c>
      <c r="B136" s="94" t="n"/>
      <c r="C136" s="94" t="inlineStr">
        <is>
          <t>ס. פארם</t>
        </is>
      </c>
      <c r="D136" s="94" t="n"/>
      <c r="E136" s="94" t="inlineStr">
        <is>
          <t>BM ס.פ דימונה דימרי סנטר</t>
        </is>
      </c>
      <c r="F136" s="102" t="n"/>
      <c r="G136" s="102" t="n">
        <v>10482.3</v>
      </c>
      <c r="H136" s="95" t="n"/>
      <c r="I136" s="95" t="n"/>
      <c r="J136" s="94" t="n"/>
      <c r="K136" s="94" t="inlineStr">
        <is>
          <t>CHMI</t>
        </is>
      </c>
    </row>
    <row r="137" ht="15" customHeight="1" s="82">
      <c r="A137" s="94" t="inlineStr">
        <is>
          <t>אזולאי דוד</t>
        </is>
      </c>
      <c r="B137" s="94" t="n"/>
      <c r="C137" s="94" t="inlineStr">
        <is>
          <t>ס. פארם</t>
        </is>
      </c>
      <c r="D137" s="94" t="n"/>
      <c r="E137" s="94" t="inlineStr">
        <is>
          <t>BM ס.פ נתיבות מערב</t>
        </is>
      </c>
      <c r="F137" s="102" t="n"/>
      <c r="G137" s="102" t="n">
        <v>3529.3</v>
      </c>
      <c r="H137" s="95" t="n"/>
      <c r="I137" s="95" t="n"/>
      <c r="J137" s="94" t="n"/>
      <c r="K137" s="94" t="inlineStr">
        <is>
          <t>CHMI</t>
        </is>
      </c>
    </row>
    <row r="138" ht="15" customHeight="1" s="82">
      <c r="A138" s="94" t="inlineStr">
        <is>
          <t>אזולאי דוד</t>
        </is>
      </c>
      <c r="B138" s="94" t="n"/>
      <c r="C138" s="94" t="inlineStr">
        <is>
          <t>ס. פארם</t>
        </is>
      </c>
      <c r="D138" s="94" t="n"/>
      <c r="E138" s="94" t="inlineStr">
        <is>
          <t>BM ס.פ ברנע אשקלון</t>
        </is>
      </c>
      <c r="F138" s="102" t="n"/>
      <c r="G138" s="102" t="n">
        <v>18660.8</v>
      </c>
      <c r="H138" s="95" t="n"/>
      <c r="I138" s="95" t="n"/>
      <c r="J138" s="94" t="n"/>
      <c r="K138" s="94" t="inlineStr">
        <is>
          <t>CHMI</t>
        </is>
      </c>
    </row>
    <row r="139" ht="15" customHeight="1" s="82">
      <c r="A139" s="94" t="inlineStr">
        <is>
          <t>אזולאי דוד</t>
        </is>
      </c>
      <c r="B139" s="94" t="n"/>
      <c r="C139" s="94" t="inlineStr">
        <is>
          <t>ס. פארם</t>
        </is>
      </c>
      <c r="D139" s="94" t="n"/>
      <c r="E139" s="94" t="inlineStr">
        <is>
          <t>BM ס.פ אגמים אשקלון</t>
        </is>
      </c>
      <c r="F139" s="102" t="n"/>
      <c r="G139" s="102" t="n">
        <v>7969.3</v>
      </c>
      <c r="H139" s="95" t="n"/>
      <c r="I139" s="95" t="n"/>
      <c r="J139" s="94" t="n"/>
      <c r="K139" s="94" t="inlineStr">
        <is>
          <t>CHMI</t>
        </is>
      </c>
    </row>
    <row r="140" ht="15" customHeight="1" s="82">
      <c r="A140" s="94" t="inlineStr">
        <is>
          <t>אזולאי דוד</t>
        </is>
      </c>
      <c r="B140" s="94" t="n"/>
      <c r="C140" s="94" t="inlineStr">
        <is>
          <t>ס. פארם</t>
        </is>
      </c>
      <c r="D140" s="94" t="n"/>
      <c r="E140" s="94" t="inlineStr">
        <is>
          <t>BM ס.פ מורשת מודיעין</t>
        </is>
      </c>
      <c r="F140" s="102" t="n"/>
      <c r="G140" s="102" t="n">
        <v>4966.1</v>
      </c>
      <c r="H140" s="95" t="n"/>
      <c r="I140" s="95" t="n"/>
      <c r="J140" s="94" t="n"/>
      <c r="K140" s="94" t="inlineStr">
        <is>
          <t>CHMI</t>
        </is>
      </c>
    </row>
    <row r="141" ht="15" customHeight="1" s="82">
      <c r="A141" s="94" t="inlineStr">
        <is>
          <t>אזולאי דוד</t>
        </is>
      </c>
      <c r="B141" s="94" t="n"/>
      <c r="C141" s="94" t="inlineStr">
        <is>
          <t>ס. פארם</t>
        </is>
      </c>
      <c r="D141" s="94" t="n"/>
      <c r="E141" s="94" t="inlineStr">
        <is>
          <t>BM ס.פ מרכז הנשיא רחובות</t>
        </is>
      </c>
      <c r="F141" s="102" t="n"/>
      <c r="G141" s="102" t="n">
        <v>9685</v>
      </c>
      <c r="H141" s="95" t="n"/>
      <c r="I141" s="95" t="n"/>
      <c r="J141" s="94" t="n"/>
      <c r="K141" s="94" t="inlineStr">
        <is>
          <t>CHMI</t>
        </is>
      </c>
    </row>
    <row r="142" ht="15" customHeight="1" s="82">
      <c r="A142" s="94" t="inlineStr">
        <is>
          <t>אזולאי דוד</t>
        </is>
      </c>
      <c r="B142" s="94" t="n"/>
      <c r="C142" s="94" t="inlineStr">
        <is>
          <t>ס. פארם</t>
        </is>
      </c>
      <c r="D142" s="94" t="n"/>
      <c r="E142" s="94" t="inlineStr">
        <is>
          <t>BM ס.פ קרית היובל ירושלים</t>
        </is>
      </c>
      <c r="F142" s="102" t="n"/>
      <c r="G142" s="102" t="n">
        <v>11413.3</v>
      </c>
      <c r="H142" s="95" t="n"/>
      <c r="I142" s="95" t="n"/>
      <c r="J142" s="94" t="n"/>
      <c r="K142" s="94" t="inlineStr">
        <is>
          <t>CHMI</t>
        </is>
      </c>
    </row>
    <row r="143" ht="15" customHeight="1" s="82">
      <c r="A143" s="94" t="inlineStr">
        <is>
          <t>אזולאי דוד</t>
        </is>
      </c>
      <c r="B143" s="94" t="n"/>
      <c r="C143" s="94" t="inlineStr">
        <is>
          <t>ס. פארם</t>
        </is>
      </c>
      <c r="D143" s="94" t="n"/>
      <c r="E143" s="94" t="inlineStr">
        <is>
          <t>BM ס.פ ביג כרמי גת</t>
        </is>
      </c>
      <c r="F143" s="102" t="n"/>
      <c r="G143" s="102" t="n">
        <v>14996.4</v>
      </c>
      <c r="H143" s="95" t="n"/>
      <c r="I143" s="95" t="n"/>
      <c r="J143" s="94" t="n"/>
      <c r="K143" s="94" t="inlineStr">
        <is>
          <t>CHMI</t>
        </is>
      </c>
    </row>
    <row r="144" ht="15" customHeight="1" s="82">
      <c r="A144" s="94" t="inlineStr">
        <is>
          <t>אזולאי דוד</t>
        </is>
      </c>
      <c r="B144" s="94" t="n"/>
      <c r="C144" s="94" t="inlineStr">
        <is>
          <t>ס. פארם</t>
        </is>
      </c>
      <c r="D144" s="94" t="n"/>
      <c r="E144" s="94" t="inlineStr">
        <is>
          <t>BM ס.פ בית חנינא</t>
        </is>
      </c>
      <c r="F144" s="102" t="n"/>
      <c r="G144" s="102" t="n">
        <v>9663.6</v>
      </c>
      <c r="H144" s="95" t="n"/>
      <c r="I144" s="95" t="n"/>
      <c r="J144" s="94" t="n"/>
      <c r="K144" s="94" t="inlineStr">
        <is>
          <t>CHMI</t>
        </is>
      </c>
    </row>
    <row r="145" ht="15" customHeight="1" s="82">
      <c r="A145" s="94" t="inlineStr">
        <is>
          <t>אזולאי דוד</t>
        </is>
      </c>
      <c r="B145" s="94" t="n"/>
      <c r="C145" s="94" t="inlineStr">
        <is>
          <t>ס. פארם</t>
        </is>
      </c>
      <c r="D145" s="94" t="n"/>
      <c r="E145" s="94" t="inlineStr">
        <is>
          <t>BM ס.פ אשדוד טז</t>
        </is>
      </c>
      <c r="F145" s="102" t="n"/>
      <c r="G145" s="102" t="n">
        <v>4716.9</v>
      </c>
      <c r="H145" s="95" t="n"/>
      <c r="I145" s="95" t="n"/>
      <c r="J145" s="94" t="n"/>
      <c r="K145" s="94" t="inlineStr">
        <is>
          <t>CHMI</t>
        </is>
      </c>
    </row>
    <row r="146" ht="15" customHeight="1" s="82">
      <c r="A146" s="94" t="inlineStr">
        <is>
          <t>אזולאי דוד</t>
        </is>
      </c>
      <c r="B146" s="94" t="n"/>
      <c r="C146" s="94" t="inlineStr">
        <is>
          <t>שופרסל BE</t>
        </is>
      </c>
      <c r="D146" s="94" t="n"/>
      <c r="E146" s="94" t="inlineStr">
        <is>
          <t>691 אשדוד מדיקל BE</t>
        </is>
      </c>
      <c r="F146" s="102" t="n"/>
      <c r="G146" s="102" t="n">
        <v>4426.9</v>
      </c>
      <c r="H146" s="95" t="n"/>
      <c r="I146" s="95" t="n"/>
      <c r="J146" s="94" t="n"/>
      <c r="K146" s="94" t="inlineStr">
        <is>
          <t>CHMI</t>
        </is>
      </c>
    </row>
    <row r="147" ht="15" customHeight="1" s="82">
      <c r="A147" s="94" t="inlineStr">
        <is>
          <t>אזולאי דוד</t>
        </is>
      </c>
      <c r="B147" s="94" t="n"/>
      <c r="C147" s="94" t="inlineStr">
        <is>
          <t>שופרסל BE</t>
        </is>
      </c>
      <c r="D147" s="94" t="n"/>
      <c r="E147" s="94" t="inlineStr">
        <is>
          <t>672 אשדוד הסיטי BE</t>
        </is>
      </c>
      <c r="F147" s="102" t="n"/>
      <c r="G147" s="102" t="n">
        <v>7676.4</v>
      </c>
      <c r="H147" s="95" t="n"/>
      <c r="I147" s="95" t="n"/>
      <c r="J147" s="94" t="n"/>
      <c r="K147" s="94" t="inlineStr">
        <is>
          <t>CHMI</t>
        </is>
      </c>
    </row>
    <row r="148" ht="15" customHeight="1" s="82">
      <c r="A148" s="94" t="inlineStr">
        <is>
          <t>אזולאי דוד</t>
        </is>
      </c>
      <c r="B148" s="94" t="n"/>
      <c r="C148" s="94" t="inlineStr">
        <is>
          <t>שופרסל BE</t>
        </is>
      </c>
      <c r="D148" s="94" t="n"/>
      <c r="E148" s="94" t="inlineStr">
        <is>
          <t>684 שדרות BE</t>
        </is>
      </c>
      <c r="F148" s="102" t="n"/>
      <c r="G148" s="102" t="n">
        <v>16077.4</v>
      </c>
      <c r="H148" s="95" t="n"/>
      <c r="I148" s="95" t="n"/>
      <c r="J148" s="94" t="n"/>
      <c r="K148" s="94" t="inlineStr">
        <is>
          <t>CHMI</t>
        </is>
      </c>
    </row>
    <row r="149" ht="15" customHeight="1" s="82">
      <c r="A149" s="94" t="inlineStr">
        <is>
          <t>אזולאי דוד</t>
        </is>
      </c>
      <c r="B149" s="94" t="n"/>
      <c r="C149" s="94" t="inlineStr">
        <is>
          <t>שופרסל BE</t>
        </is>
      </c>
      <c r="D149" s="94" t="n"/>
      <c r="E149" s="94" t="inlineStr">
        <is>
          <t>652 מודיעין מוריה BE</t>
        </is>
      </c>
      <c r="F149" s="102" t="n"/>
      <c r="G149" s="102" t="n">
        <v>12818.5</v>
      </c>
      <c r="H149" s="95" t="n"/>
      <c r="I149" s="95" t="n"/>
      <c r="J149" s="94" t="n"/>
      <c r="K149" s="94" t="inlineStr">
        <is>
          <t>CHMI</t>
        </is>
      </c>
    </row>
    <row r="150" ht="15" customHeight="1" s="82">
      <c r="A150" s="94" t="inlineStr">
        <is>
          <t>אזולאי דוד</t>
        </is>
      </c>
      <c r="B150" s="94" t="n"/>
      <c r="C150" s="94" t="inlineStr">
        <is>
          <t>שופרסל BE</t>
        </is>
      </c>
      <c r="D150" s="94" t="n"/>
      <c r="E150" s="94" t="inlineStr">
        <is>
          <t>655 רחובות מזרח BE</t>
        </is>
      </c>
      <c r="F150" s="102" t="n"/>
      <c r="G150" s="102" t="n">
        <v>15506.1</v>
      </c>
      <c r="H150" s="95" t="n"/>
      <c r="I150" s="95" t="n"/>
      <c r="J150" s="94" t="n"/>
      <c r="K150" s="94" t="inlineStr">
        <is>
          <t>CHMI</t>
        </is>
      </c>
    </row>
    <row r="151" ht="15" customHeight="1" s="82">
      <c r="A151" s="94" t="inlineStr">
        <is>
          <t>אזולאי דוד</t>
        </is>
      </c>
      <c r="B151" s="94" t="n"/>
      <c r="C151" s="94" t="inlineStr">
        <is>
          <t>שופרסל BE</t>
        </is>
      </c>
      <c r="D151" s="94" t="n"/>
      <c r="E151" s="94" t="inlineStr">
        <is>
          <t>662 אסותא אשדוד BE</t>
        </is>
      </c>
      <c r="F151" s="102" t="n"/>
      <c r="G151" s="102" t="n">
        <v>11673.4</v>
      </c>
      <c r="H151" s="95" t="n"/>
      <c r="I151" s="95" t="n"/>
      <c r="J151" s="94" t="n"/>
      <c r="K151" s="94" t="inlineStr">
        <is>
          <t>CHMI</t>
        </is>
      </c>
    </row>
    <row r="152" ht="15" customHeight="1" s="82">
      <c r="A152" s="94" t="inlineStr">
        <is>
          <t>אזולאי דוד</t>
        </is>
      </c>
      <c r="B152" s="94" t="n"/>
      <c r="C152" s="94" t="inlineStr">
        <is>
          <t>שופרסל BE</t>
        </is>
      </c>
      <c r="D152" s="94" t="n"/>
      <c r="E152" s="94" t="inlineStr">
        <is>
          <t>602 מרינה אשקלון BE</t>
        </is>
      </c>
      <c r="F152" s="102" t="n"/>
      <c r="G152" s="102" t="n">
        <v>1435.4</v>
      </c>
      <c r="H152" s="95" t="n"/>
      <c r="I152" s="95" t="n"/>
      <c r="J152" s="94" t="n"/>
      <c r="K152" s="94" t="inlineStr">
        <is>
          <t>CHMI</t>
        </is>
      </c>
    </row>
    <row r="153" ht="15" customHeight="1" s="82">
      <c r="A153" s="94" t="inlineStr">
        <is>
          <t>אזולאי דוד</t>
        </is>
      </c>
      <c r="B153" s="94" t="n"/>
      <c r="C153" s="94" t="inlineStr">
        <is>
          <t>שופרסל BE</t>
        </is>
      </c>
      <c r="D153" s="94" t="n"/>
      <c r="E153" s="94" t="inlineStr">
        <is>
          <t>בלה אשדוד BE</t>
        </is>
      </c>
      <c r="F153" s="102" t="n"/>
      <c r="G153" s="102" t="n">
        <v>1396</v>
      </c>
      <c r="H153" s="95" t="n"/>
      <c r="I153" s="95" t="n"/>
      <c r="J153" s="94" t="n"/>
      <c r="K153" s="94" t="inlineStr">
        <is>
          <t>CHMI</t>
        </is>
      </c>
    </row>
    <row r="154" ht="15" customHeight="1" s="82">
      <c r="A154" s="94" t="inlineStr">
        <is>
          <t>אזולאי דוד</t>
        </is>
      </c>
      <c r="B154" s="94" t="n"/>
      <c r="C154" s="94" t="inlineStr">
        <is>
          <t>שופרסל BE</t>
        </is>
      </c>
      <c r="D154" s="94" t="n"/>
      <c r="E154" s="94" t="inlineStr">
        <is>
          <t>664 שערי צדק י-ם BE</t>
        </is>
      </c>
      <c r="F154" s="102" t="n"/>
      <c r="G154" s="102" t="n">
        <v>25463.2</v>
      </c>
      <c r="H154" s="95" t="n"/>
      <c r="I154" s="95" t="n"/>
      <c r="J154" s="94" t="n"/>
      <c r="K154" s="94" t="inlineStr">
        <is>
          <t>CHMI</t>
        </is>
      </c>
    </row>
    <row r="155" ht="15" customHeight="1" s="82">
      <c r="A155" s="94" t="inlineStr">
        <is>
          <t>אזולאי דוד</t>
        </is>
      </c>
      <c r="B155" s="94" t="n"/>
      <c r="C155" s="94" t="inlineStr">
        <is>
          <t>שופרסל BE</t>
        </is>
      </c>
      <c r="D155" s="94" t="n"/>
      <c r="E155" s="94" t="inlineStr">
        <is>
          <t>392 שילת BE</t>
        </is>
      </c>
      <c r="F155" s="102" t="n"/>
      <c r="G155" s="102" t="n">
        <v>1809.7</v>
      </c>
      <c r="H155" s="95" t="n"/>
      <c r="I155" s="95" t="n"/>
      <c r="J155" s="94" t="n"/>
      <c r="K155" s="94" t="inlineStr">
        <is>
          <t>CHMI</t>
        </is>
      </c>
    </row>
    <row r="156" ht="15" customHeight="1" s="82">
      <c r="A156" s="94" t="inlineStr">
        <is>
          <t>אזולאי דוד</t>
        </is>
      </c>
      <c r="B156" s="94" t="n"/>
      <c r="C156" s="94" t="inlineStr">
        <is>
          <t>שופרסל BE</t>
        </is>
      </c>
      <c r="D156" s="94" t="n"/>
      <c r="E156" s="94" t="inlineStr">
        <is>
          <t>786 כרמי גת BE</t>
        </is>
      </c>
      <c r="F156" s="102" t="n"/>
      <c r="G156" s="102" t="n">
        <v>683.7</v>
      </c>
      <c r="H156" s="95" t="n"/>
      <c r="I156" s="95" t="n"/>
      <c r="J156" s="94" t="n"/>
      <c r="K156" s="94" t="inlineStr">
        <is>
          <t>CHMI</t>
        </is>
      </c>
    </row>
    <row r="157" ht="15" customHeight="1" s="82">
      <c r="A157" s="94" t="inlineStr">
        <is>
          <t>אזולאי דוד</t>
        </is>
      </c>
      <c r="B157" s="94" t="n"/>
      <c r="C157" s="94" t="inlineStr">
        <is>
          <t>שופרסל BE</t>
        </is>
      </c>
      <c r="D157" s="94" t="n"/>
      <c r="E157" s="94" t="inlineStr">
        <is>
          <t>764 סטאר אשדוד BE</t>
        </is>
      </c>
      <c r="F157" s="102" t="n"/>
      <c r="G157" s="102" t="n">
        <v>4379</v>
      </c>
      <c r="H157" s="95" t="n"/>
      <c r="I157" s="95" t="n"/>
      <c r="J157" s="94" t="n"/>
      <c r="K157" s="94" t="inlineStr">
        <is>
          <t>CHMI</t>
        </is>
      </c>
    </row>
    <row r="158" ht="15" customHeight="1" s="82">
      <c r="A158" s="94" t="inlineStr">
        <is>
          <t>אזולאי דוד</t>
        </is>
      </c>
      <c r="B158" s="94" t="n"/>
      <c r="C158" s="94" t="inlineStr">
        <is>
          <t>שופרסל BE</t>
        </is>
      </c>
      <c r="D158" s="94" t="n"/>
      <c r="E158" s="94" t="inlineStr">
        <is>
          <t>145 נתיבות BE</t>
        </is>
      </c>
      <c r="F158" s="102" t="n"/>
      <c r="G158" s="102" t="n">
        <v>6983.1</v>
      </c>
      <c r="H158" s="95" t="n"/>
      <c r="I158" s="95" t="n"/>
      <c r="J158" s="94" t="n"/>
      <c r="K158" s="94" t="inlineStr">
        <is>
          <t>CHMI</t>
        </is>
      </c>
    </row>
    <row r="159" ht="15" customHeight="1" s="82">
      <c r="A159" s="94" t="inlineStr">
        <is>
          <t>אזולאי דוד</t>
        </is>
      </c>
      <c r="B159" s="94" t="n"/>
      <c r="C159" s="94" t="inlineStr">
        <is>
          <t>שופרסל BE</t>
        </is>
      </c>
      <c r="D159" s="94" t="n"/>
      <c r="E159" s="94" t="inlineStr">
        <is>
          <t>783 קייזר מודיעין BE</t>
        </is>
      </c>
      <c r="F159" s="102" t="n"/>
      <c r="G159" s="102" t="n">
        <v>753.7</v>
      </c>
      <c r="H159" s="95" t="n"/>
      <c r="I159" s="95" t="n"/>
      <c r="J159" s="94" t="n"/>
      <c r="K159" s="94" t="inlineStr">
        <is>
          <t>CHMI</t>
        </is>
      </c>
    </row>
    <row r="160" ht="15" customHeight="1" s="82">
      <c r="A160" s="94" t="inlineStr">
        <is>
          <t>אזולאי דוד</t>
        </is>
      </c>
      <c r="B160" s="94" t="n"/>
      <c r="C160" s="94" t="inlineStr">
        <is>
          <t>שופרסל BE</t>
        </is>
      </c>
      <c r="D160" s="94" t="n"/>
      <c r="E160" s="94" t="inlineStr">
        <is>
          <t>788 אפרת BE</t>
        </is>
      </c>
      <c r="F160" s="102" t="n"/>
      <c r="G160" s="102" t="n">
        <v>8836.5</v>
      </c>
      <c r="H160" s="95" t="n"/>
      <c r="I160" s="95" t="n"/>
      <c r="J160" s="94" t="n"/>
      <c r="K160" s="94" t="inlineStr">
        <is>
          <t>CHMI</t>
        </is>
      </c>
    </row>
    <row r="161" ht="15" customHeight="1" s="82">
      <c r="A161" s="94" t="inlineStr">
        <is>
          <t>אזולאי דוד</t>
        </is>
      </c>
      <c r="B161" s="94" t="n"/>
      <c r="C161" s="94" t="inlineStr">
        <is>
          <t>שופרסל BE</t>
        </is>
      </c>
      <c r="D161" s="94" t="n"/>
      <c r="E161" s="94" t="inlineStr">
        <is>
          <t>רחובות קרית משה אמטל BE</t>
        </is>
      </c>
      <c r="F161" s="102" t="n"/>
      <c r="G161" s="102" t="n">
        <v>1340.4</v>
      </c>
      <c r="H161" s="95" t="n"/>
      <c r="I161" s="95" t="n"/>
      <c r="J161" s="94" t="n"/>
      <c r="K161" s="94" t="inlineStr">
        <is>
          <t>CHMI</t>
        </is>
      </c>
    </row>
    <row r="162" ht="15" customHeight="1" s="82">
      <c r="A162" s="94" t="inlineStr">
        <is>
          <t>אזולאי דוד</t>
        </is>
      </c>
      <c r="B162" s="94" t="n"/>
      <c r="C162" s="94" t="inlineStr">
        <is>
          <t>שופרסל BE</t>
        </is>
      </c>
      <c r="D162" s="94" t="n"/>
      <c r="E162" s="94" t="inlineStr">
        <is>
          <t>715 אגמים אשקלון BE</t>
        </is>
      </c>
      <c r="F162" s="102" t="n"/>
      <c r="G162" s="102" t="n">
        <v>2563</v>
      </c>
      <c r="H162" s="95" t="n"/>
      <c r="I162" s="95" t="n"/>
      <c r="J162" s="94" t="n"/>
      <c r="K162" s="94" t="inlineStr">
        <is>
          <t>CHMI</t>
        </is>
      </c>
    </row>
    <row r="163" ht="15" customHeight="1" s="82">
      <c r="A163" s="94" t="n"/>
      <c r="B163" s="94" t="n"/>
      <c r="C163" s="94" t="n"/>
      <c r="D163" s="94" t="n"/>
      <c r="E163" s="94" t="n"/>
      <c r="F163" s="102" t="n"/>
      <c r="G163" s="102" t="n"/>
      <c r="H163" s="95" t="n"/>
      <c r="I163" s="95" t="n"/>
      <c r="J163" s="94" t="n"/>
      <c r="K163" s="94" t="n"/>
    </row>
    <row r="164" ht="15" customHeight="1" s="82">
      <c r="A164" s="94" t="inlineStr">
        <is>
          <t>אזולאי דוד</t>
        </is>
      </c>
      <c r="C164" s="94" t="inlineStr">
        <is>
          <t>0קופות חולים</t>
        </is>
      </c>
      <c r="E164" s="94" t="inlineStr">
        <is>
          <t>7501 מאוחדת אילת</t>
        </is>
      </c>
      <c r="G164" s="102" t="n">
        <v>294.5</v>
      </c>
      <c r="K164" s="94" t="inlineStr">
        <is>
          <t>CHMI</t>
        </is>
      </c>
    </row>
    <row r="165" ht="15" customHeight="1" s="82">
      <c r="A165" s="94" t="inlineStr">
        <is>
          <t>אזולאי דוד</t>
        </is>
      </c>
      <c r="C165" s="94" t="inlineStr">
        <is>
          <t>0קופות חולים</t>
        </is>
      </c>
      <c r="E165" s="94" t="inlineStr">
        <is>
          <t>7506 מאוחדת נוה דקלים</t>
        </is>
      </c>
      <c r="G165" s="102" t="n">
        <v>1731.1</v>
      </c>
      <c r="K165" s="94" t="inlineStr">
        <is>
          <t>CHMI</t>
        </is>
      </c>
    </row>
    <row r="166" ht="15" customHeight="1" s="82">
      <c r="A166" s="94" t="inlineStr">
        <is>
          <t>אזולאי דוד</t>
        </is>
      </c>
      <c r="C166" s="94" t="inlineStr">
        <is>
          <t>0קופות חולים</t>
        </is>
      </c>
      <c r="E166" s="94" t="inlineStr">
        <is>
          <t>114 מאוחדת נתיבות</t>
        </is>
      </c>
      <c r="G166" s="102" t="n">
        <v>896.9</v>
      </c>
      <c r="K166" s="94" t="inlineStr">
        <is>
          <t>CHMI</t>
        </is>
      </c>
    </row>
    <row r="167" ht="15" customHeight="1" s="82">
      <c r="A167" s="94" t="inlineStr">
        <is>
          <t>אזולאי דוד</t>
        </is>
      </c>
      <c r="C167" s="94" t="inlineStr">
        <is>
          <t>0קופות חולים</t>
        </is>
      </c>
      <c r="E167" s="94" t="inlineStr">
        <is>
          <t>7316 מאוחדת נוה יעקוב י-ם</t>
        </is>
      </c>
      <c r="G167" s="102" t="n">
        <v>21.2</v>
      </c>
      <c r="K167" s="94" t="inlineStr">
        <is>
          <t>CHMI</t>
        </is>
      </c>
    </row>
    <row r="168" ht="15" customHeight="1" s="82">
      <c r="A168" s="94" t="inlineStr">
        <is>
          <t>אזולאי דוד</t>
        </is>
      </c>
      <c r="C168" s="94" t="inlineStr">
        <is>
          <t>0קופות חולים</t>
        </is>
      </c>
      <c r="E168" s="94" t="inlineStr">
        <is>
          <t>7306 מאוחדת רמת נוף בית שמש</t>
        </is>
      </c>
      <c r="G168" s="102" t="n">
        <v>2079.1</v>
      </c>
      <c r="K168" s="94" t="inlineStr">
        <is>
          <t>CHMI</t>
        </is>
      </c>
    </row>
    <row r="169" ht="15" customHeight="1" s="82">
      <c r="A169" s="94" t="inlineStr">
        <is>
          <t>אזולאי דוד</t>
        </is>
      </c>
      <c r="C169" s="94" t="inlineStr">
        <is>
          <t>0קופות חולים</t>
        </is>
      </c>
      <c r="E169" s="94" t="inlineStr">
        <is>
          <t>7301 קופ""ח מאוחדת אטור</t>
        </is>
      </c>
      <c r="G169" s="102" t="n">
        <v>34</v>
      </c>
      <c r="K169" s="94" t="inlineStr">
        <is>
          <t>CHMI</t>
        </is>
      </c>
    </row>
    <row r="170" ht="15" customHeight="1" s="82">
      <c r="A170" s="94" t="inlineStr">
        <is>
          <t>אזולאי דוד</t>
        </is>
      </c>
      <c r="C170" s="94" t="inlineStr">
        <is>
          <t>0קופות חולים</t>
        </is>
      </c>
      <c r="E170" s="94" t="inlineStr">
        <is>
          <t>7305  מאוחדת חפציבה בית שמש</t>
        </is>
      </c>
      <c r="G170" s="102" t="n">
        <v>164.7</v>
      </c>
      <c r="K170" s="94" t="inlineStr">
        <is>
          <t>CHMI</t>
        </is>
      </c>
    </row>
    <row r="171" ht="15" customHeight="1" s="82">
      <c r="A171" s="94" t="inlineStr">
        <is>
          <t>אזולאי דוד</t>
        </is>
      </c>
      <c r="C171" s="94" t="inlineStr">
        <is>
          <t>0קופות חולים</t>
        </is>
      </c>
      <c r="E171" s="94" t="inlineStr">
        <is>
          <t>113  מאוחדת תל ציון</t>
        </is>
      </c>
      <c r="G171" s="102" t="n">
        <v>144.7</v>
      </c>
      <c r="K171" s="94" t="inlineStr">
        <is>
          <t>CHMI</t>
        </is>
      </c>
    </row>
    <row r="172" ht="15" customHeight="1" s="82">
      <c r="A172" s="94" t="inlineStr">
        <is>
          <t>אזולאי דוד</t>
        </is>
      </c>
      <c r="C172" s="94" t="inlineStr">
        <is>
          <t>0קופות חולים</t>
        </is>
      </c>
      <c r="E172" s="94" t="inlineStr">
        <is>
          <t>7311 קופ""ח מאוחדת הר חומה</t>
        </is>
      </c>
      <c r="G172" s="102" t="n">
        <v>860.9</v>
      </c>
      <c r="K172" s="94" t="inlineStr">
        <is>
          <t>CHMI</t>
        </is>
      </c>
    </row>
    <row r="173" ht="15" customHeight="1" s="82">
      <c r="A173" s="94" t="inlineStr">
        <is>
          <t>אזולאי דוד</t>
        </is>
      </c>
      <c r="C173" s="94" t="inlineStr">
        <is>
          <t>0קופות חולים</t>
        </is>
      </c>
      <c r="E173" s="94" t="inlineStr">
        <is>
          <t>מאוחדת מודיעין קניון עזריאלי11</t>
        </is>
      </c>
      <c r="G173" s="102" t="n">
        <v>4782.6</v>
      </c>
      <c r="K173" s="94" t="inlineStr">
        <is>
          <t>CHMI</t>
        </is>
      </c>
    </row>
    <row r="174" ht="15" customHeight="1" s="82">
      <c r="A174" s="94" t="inlineStr">
        <is>
          <t>אזולאי דוד</t>
        </is>
      </c>
      <c r="C174" s="94" t="inlineStr">
        <is>
          <t>0קופות חולים</t>
        </is>
      </c>
      <c r="E174" s="94" t="inlineStr">
        <is>
          <t>7502 מאוחדת אשדוד</t>
        </is>
      </c>
      <c r="G174" s="102" t="n">
        <v>15792</v>
      </c>
      <c r="K174" s="94" t="inlineStr">
        <is>
          <t>CHMI</t>
        </is>
      </c>
    </row>
    <row r="175" ht="15" customHeight="1" s="82">
      <c r="A175" s="94" t="inlineStr">
        <is>
          <t>אזולאי דוד</t>
        </is>
      </c>
      <c r="C175" s="94" t="inlineStr">
        <is>
          <t>0קופות חולים</t>
        </is>
      </c>
      <c r="E175" s="94" t="inlineStr">
        <is>
          <t>7504 מאוחדת אשקלון</t>
        </is>
      </c>
      <c r="G175" s="102" t="n">
        <v>11699.4</v>
      </c>
      <c r="K175" s="94" t="inlineStr">
        <is>
          <t>CHMI</t>
        </is>
      </c>
    </row>
    <row r="176" ht="15" customHeight="1" s="82">
      <c r="A176" s="94" t="inlineStr">
        <is>
          <t>אזולאי דוד</t>
        </is>
      </c>
      <c r="C176" s="94" t="inlineStr">
        <is>
          <t>0קופות חולים</t>
        </is>
      </c>
      <c r="E176" s="94" t="inlineStr">
        <is>
          <t>7304 מאוחדת בית שמש</t>
        </is>
      </c>
      <c r="G176" s="102" t="n">
        <v>3771.1</v>
      </c>
      <c r="K176" s="94" t="inlineStr">
        <is>
          <t>CHMI</t>
        </is>
      </c>
    </row>
    <row r="177" ht="15" customHeight="1" s="82">
      <c r="A177" s="94" t="inlineStr">
        <is>
          <t>אזולאי דוד</t>
        </is>
      </c>
      <c r="C177" s="94" t="inlineStr">
        <is>
          <t>0קופות חולים</t>
        </is>
      </c>
      <c r="E177" s="94" t="inlineStr">
        <is>
          <t>611 מאוחדת רמת בית שמש</t>
        </is>
      </c>
      <c r="G177" s="102" t="n">
        <v>41.8</v>
      </c>
      <c r="K177" s="94" t="inlineStr">
        <is>
          <t>CHMI</t>
        </is>
      </c>
    </row>
    <row r="178" ht="15" customHeight="1" s="82">
      <c r="A178" s="94" t="inlineStr">
        <is>
          <t>אזולאי דוד</t>
        </is>
      </c>
      <c r="C178" s="94" t="inlineStr">
        <is>
          <t>0קופות חולים</t>
        </is>
      </c>
      <c r="E178" s="94" t="inlineStr">
        <is>
          <t>7310 מאוחדת הטורים ירושלים</t>
        </is>
      </c>
      <c r="G178" s="102" t="n">
        <v>35199.8</v>
      </c>
      <c r="K178" s="94" t="inlineStr">
        <is>
          <t>CHMI</t>
        </is>
      </c>
    </row>
    <row r="179" ht="15" customHeight="1" s="82">
      <c r="A179" s="94" t="inlineStr">
        <is>
          <t>אזולאי דוד</t>
        </is>
      </c>
      <c r="C179" s="94" t="inlineStr">
        <is>
          <t>0קופות חולים</t>
        </is>
      </c>
      <c r="E179" s="94" t="inlineStr">
        <is>
          <t>7313 מאוחדת חגי י-ם</t>
        </is>
      </c>
      <c r="G179" s="102" t="n">
        <v>11690.6</v>
      </c>
      <c r="K179" s="94" t="inlineStr">
        <is>
          <t>CHMI</t>
        </is>
      </c>
    </row>
    <row r="180" ht="15" customHeight="1" s="82">
      <c r="A180" s="94" t="inlineStr">
        <is>
          <t>אזולאי דוד</t>
        </is>
      </c>
      <c r="C180" s="94" t="inlineStr">
        <is>
          <t>0קופות חולים</t>
        </is>
      </c>
      <c r="E180" s="94" t="inlineStr">
        <is>
          <t>7319  מאוחדת  פ.זאב</t>
        </is>
      </c>
      <c r="G180" s="102" t="n">
        <v>5189.4</v>
      </c>
      <c r="K180" s="94" t="inlineStr">
        <is>
          <t>CHMI</t>
        </is>
      </c>
    </row>
    <row r="181" ht="15" customHeight="1" s="82">
      <c r="A181" s="94" t="inlineStr">
        <is>
          <t>אזולאי דוד</t>
        </is>
      </c>
      <c r="C181" s="94" t="inlineStr">
        <is>
          <t>0קופות חולים</t>
        </is>
      </c>
      <c r="E181" s="94" t="inlineStr">
        <is>
          <t>7315 מאוחדת מעלה אדומים</t>
        </is>
      </c>
      <c r="G181" s="102" t="n">
        <v>1169.5</v>
      </c>
      <c r="K181" s="94" t="inlineStr">
        <is>
          <t>CHMI</t>
        </is>
      </c>
    </row>
    <row r="182" ht="15" customHeight="1" s="82">
      <c r="A182" s="94" t="inlineStr">
        <is>
          <t>אזולאי דוד</t>
        </is>
      </c>
      <c r="C182" s="94" t="inlineStr">
        <is>
          <t>0קופות חולים</t>
        </is>
      </c>
      <c r="E182" s="94" t="inlineStr">
        <is>
          <t>2616 מאוחדת יובל</t>
        </is>
      </c>
      <c r="G182" s="102" t="n">
        <v>557.1</v>
      </c>
      <c r="K182" s="94" t="inlineStr">
        <is>
          <t>CHMI</t>
        </is>
      </c>
    </row>
    <row r="183" ht="15" customHeight="1" s="82">
      <c r="A183" s="94" t="inlineStr">
        <is>
          <t>אזולאי דוד</t>
        </is>
      </c>
      <c r="C183" s="94" t="inlineStr">
        <is>
          <t>0קופות חולים</t>
        </is>
      </c>
      <c r="E183" s="94" t="inlineStr">
        <is>
          <t>7309 מאוחדת גילה</t>
        </is>
      </c>
      <c r="G183" s="102" t="n">
        <v>2827.5</v>
      </c>
      <c r="K183" s="94" t="inlineStr">
        <is>
          <t>CHMI</t>
        </is>
      </c>
    </row>
    <row r="184" ht="15" customHeight="1" s="82">
      <c r="A184" s="94" t="inlineStr">
        <is>
          <t>אזולאי דוד</t>
        </is>
      </c>
      <c r="C184" s="94" t="inlineStr">
        <is>
          <t>0קופות חולים</t>
        </is>
      </c>
      <c r="E184" s="94" t="inlineStr">
        <is>
          <t>מאוחדת רמות מירסקי י-ם</t>
        </is>
      </c>
      <c r="G184" s="102" t="n">
        <v>91.8</v>
      </c>
      <c r="K184" s="94" t="inlineStr">
        <is>
          <t>CHMI</t>
        </is>
      </c>
    </row>
    <row r="185" ht="15" customHeight="1" s="82">
      <c r="A185" s="94" t="inlineStr">
        <is>
          <t>אזולאי דוד</t>
        </is>
      </c>
      <c r="C185" s="94" t="inlineStr">
        <is>
          <t>0קופות חולים</t>
        </is>
      </c>
      <c r="E185" s="94" t="inlineStr">
        <is>
          <t>7114  מאוחדת קרית ספר מודיעין</t>
        </is>
      </c>
      <c r="G185" s="102" t="n">
        <v>12394.8</v>
      </c>
      <c r="K185" s="94" t="inlineStr">
        <is>
          <t>CHMI</t>
        </is>
      </c>
    </row>
    <row r="186" ht="15" customHeight="1" s="82">
      <c r="A186" s="94" t="inlineStr">
        <is>
          <t>אזולאי דוד</t>
        </is>
      </c>
      <c r="C186" s="94" t="inlineStr">
        <is>
          <t>0קופות חולים</t>
        </is>
      </c>
      <c r="E186" s="94" t="inlineStr">
        <is>
          <t>7116 מאוחדת מודיעין עלית רשב""י</t>
        </is>
      </c>
      <c r="G186" s="102" t="n">
        <v>273.8</v>
      </c>
      <c r="K186" s="94" t="inlineStr">
        <is>
          <t>CHMI</t>
        </is>
      </c>
    </row>
    <row r="187" ht="15" customHeight="1" s="82">
      <c r="A187" s="94" t="inlineStr">
        <is>
          <t>אזולאי דוד</t>
        </is>
      </c>
      <c r="C187" s="94" t="inlineStr">
        <is>
          <t>0קופות חולים</t>
        </is>
      </c>
      <c r="E187" s="94" t="inlineStr">
        <is>
          <t>5310 מאוחדת רחובות</t>
        </is>
      </c>
      <c r="G187" s="102" t="n">
        <v>10308.8</v>
      </c>
      <c r="K187" s="94" t="inlineStr">
        <is>
          <t>CHMI</t>
        </is>
      </c>
    </row>
    <row r="188" ht="15" customHeight="1" s="82">
      <c r="A188" s="94" t="inlineStr">
        <is>
          <t>אזולאי דוד</t>
        </is>
      </c>
      <c r="C188" s="94" t="inlineStr">
        <is>
          <t>0קופות חולים</t>
        </is>
      </c>
      <c r="E188" s="94" t="inlineStr">
        <is>
          <t>מאוחדת נ.עמית 2810 ירושלים</t>
        </is>
      </c>
      <c r="G188" s="102" t="n">
        <v>2502.8</v>
      </c>
      <c r="K188" s="94" t="inlineStr">
        <is>
          <t>CHMI</t>
        </is>
      </c>
    </row>
    <row r="189" ht="15" customHeight="1" s="82">
      <c r="A189" s="94" t="inlineStr">
        <is>
          <t>אזולאי דוד</t>
        </is>
      </c>
      <c r="C189" s="94" t="inlineStr">
        <is>
          <t>0קופות חולים</t>
        </is>
      </c>
      <c r="E189" s="94" t="inlineStr">
        <is>
          <t>152 מאוחדת קרית גת</t>
        </is>
      </c>
      <c r="G189" s="102" t="n">
        <v>2369.3</v>
      </c>
      <c r="K189" s="94" t="inlineStr">
        <is>
          <t>CHMI</t>
        </is>
      </c>
    </row>
    <row r="190" ht="15" customHeight="1" s="82">
      <c r="A190" s="94" t="inlineStr">
        <is>
          <t>אזולאי דוד</t>
        </is>
      </c>
      <c r="C190" s="94" t="inlineStr">
        <is>
          <t>0קופות חולים</t>
        </is>
      </c>
      <c r="E190" s="94" t="inlineStr">
        <is>
          <t>7522 מאוחדת אשדוד יב</t>
        </is>
      </c>
      <c r="G190" s="102" t="n">
        <v>313.3</v>
      </c>
      <c r="K190" s="94" t="inlineStr">
        <is>
          <t>CHMI</t>
        </is>
      </c>
    </row>
    <row r="191" ht="15" customHeight="1" s="82">
      <c r="A191" s="94" t="inlineStr">
        <is>
          <t>אזולאי דוד</t>
        </is>
      </c>
      <c r="C191" s="94" t="inlineStr">
        <is>
          <t>0קופות חולים</t>
        </is>
      </c>
      <c r="E191" s="94" t="inlineStr">
        <is>
          <t>213 מאוחדת ערערה</t>
        </is>
      </c>
      <c r="G191" s="102" t="n">
        <v>186.4</v>
      </c>
      <c r="K191" s="94" t="inlineStr">
        <is>
          <t>CHMI</t>
        </is>
      </c>
    </row>
    <row r="192" ht="15" customHeight="1" s="82">
      <c r="A192" s="94" t="inlineStr">
        <is>
          <t>אזולאי דוד</t>
        </is>
      </c>
      <c r="C192" s="94" t="inlineStr">
        <is>
          <t>0קופות חולים</t>
        </is>
      </c>
      <c r="E192" s="94" t="inlineStr">
        <is>
          <t>7314 מאוחדת מבשרת</t>
        </is>
      </c>
      <c r="G192" s="102" t="n">
        <v>9113.200000000001</v>
      </c>
      <c r="K192" s="94" t="inlineStr">
        <is>
          <t>CHMI</t>
        </is>
      </c>
    </row>
    <row r="193" ht="15" customHeight="1" s="82">
      <c r="A193" s="94" t="inlineStr">
        <is>
          <t>אזולאי דוד</t>
        </is>
      </c>
      <c r="C193" s="94" t="inlineStr">
        <is>
          <t>0קופות חולים</t>
        </is>
      </c>
      <c r="E193" s="94" t="inlineStr">
        <is>
          <t>מאוחדת אגן האיילות 7302גבעת זא</t>
        </is>
      </c>
      <c r="G193" s="102" t="n">
        <v>1628.8</v>
      </c>
      <c r="K193" s="94" t="inlineStr">
        <is>
          <t>CHMI</t>
        </is>
      </c>
    </row>
    <row r="194" ht="15" customHeight="1" s="82">
      <c r="A194" s="94" t="inlineStr">
        <is>
          <t>אזולאי דוד</t>
        </is>
      </c>
      <c r="C194" s="94" t="inlineStr">
        <is>
          <t>0קופות חולים</t>
        </is>
      </c>
      <c r="E194" s="94" t="inlineStr">
        <is>
          <t>7335 מאוחדת סולם יעקב י-ם</t>
        </is>
      </c>
      <c r="G194" s="102" t="n">
        <v>943.8</v>
      </c>
      <c r="K194" s="94" t="inlineStr">
        <is>
          <t>CHMI</t>
        </is>
      </c>
    </row>
    <row r="195" ht="15" customHeight="1" s="82">
      <c r="A195" s="94" t="inlineStr">
        <is>
          <t>אזולאי דוד</t>
        </is>
      </c>
      <c r="C195" s="94" t="inlineStr">
        <is>
          <t>0קופות חולים</t>
        </is>
      </c>
      <c r="E195" s="94" t="inlineStr">
        <is>
          <t>7336 מאוחדת ר.בית שמש גימל</t>
        </is>
      </c>
      <c r="G195" s="102" t="n">
        <v>858.4</v>
      </c>
      <c r="K195" s="94" t="inlineStr">
        <is>
          <t>CHMI</t>
        </is>
      </c>
    </row>
    <row r="196" ht="15" customHeight="1" s="82">
      <c r="A196" s="94" t="inlineStr">
        <is>
          <t>אזולאי דוד</t>
        </is>
      </c>
      <c r="C196" s="94" t="inlineStr">
        <is>
          <t>0קופות חולים</t>
        </is>
      </c>
      <c r="E196" s="94" t="inlineStr">
        <is>
          <t>7337 מאוחדת הר נוף ירושלים</t>
        </is>
      </c>
      <c r="G196" s="102" t="n">
        <v>3974.7</v>
      </c>
      <c r="K196" s="94" t="inlineStr">
        <is>
          <t>CHMI</t>
        </is>
      </c>
    </row>
    <row r="197" ht="15" customHeight="1" s="82">
      <c r="A197" s="94" t="inlineStr">
        <is>
          <t>אזולאי דוד</t>
        </is>
      </c>
      <c r="C197" s="94" t="inlineStr">
        <is>
          <t>0קופות חולים</t>
        </is>
      </c>
      <c r="E197" s="94" t="inlineStr">
        <is>
          <t>54   (מאוחדת  פסגת זאב 2 )נדבה</t>
        </is>
      </c>
      <c r="G197" s="102" t="n">
        <v>362.7</v>
      </c>
      <c r="K197" s="94" t="inlineStr">
        <is>
          <t>CHMI</t>
        </is>
      </c>
    </row>
    <row r="198" ht="15" customHeight="1" s="82">
      <c r="A198" s="94" t="inlineStr">
        <is>
          <t>אזולאי דוד</t>
        </is>
      </c>
      <c r="C198" s="94" t="inlineStr">
        <is>
          <t>0קופות חולים</t>
        </is>
      </c>
      <c r="E198" s="94" t="inlineStr">
        <is>
          <t>מאוחדת גבעת מרדכי 7334 ירושלים</t>
        </is>
      </c>
      <c r="G198" s="102" t="n">
        <v>1877.3</v>
      </c>
      <c r="K198" s="94" t="inlineStr">
        <is>
          <t>CHMI</t>
        </is>
      </c>
    </row>
    <row r="199" ht="15" customHeight="1" s="82">
      <c r="A199" s="94" t="inlineStr">
        <is>
          <t>אזולאי דוד</t>
        </is>
      </c>
      <c r="C199" s="94" t="inlineStr">
        <is>
          <t>0קופות חולים</t>
        </is>
      </c>
      <c r="E199" s="94" t="inlineStr">
        <is>
          <t>59 מאוחדת רחובות הרצל</t>
        </is>
      </c>
      <c r="G199" s="102" t="n">
        <v>5753.8</v>
      </c>
      <c r="K199" s="94" t="inlineStr">
        <is>
          <t>CHMI</t>
        </is>
      </c>
    </row>
    <row r="200" ht="15" customHeight="1" s="82">
      <c r="A200" s="94" t="inlineStr">
        <is>
          <t>אזולאי דוד</t>
        </is>
      </c>
      <c r="C200" s="94" t="inlineStr">
        <is>
          <t>0קופות חולים</t>
        </is>
      </c>
      <c r="E200" s="94" t="inlineStr">
        <is>
          <t>7530 מאוחדת פארם כרמי גת</t>
        </is>
      </c>
      <c r="G200" s="102" t="n">
        <v>207.6</v>
      </c>
      <c r="K200" s="94" t="inlineStr">
        <is>
          <t>CHMI</t>
        </is>
      </c>
    </row>
    <row r="201" ht="15" customHeight="1" s="82">
      <c r="A201" s="94" t="inlineStr">
        <is>
          <t>אזולאי דוד</t>
        </is>
      </c>
      <c r="C201" s="94" t="inlineStr">
        <is>
          <t>0קופות חולים</t>
        </is>
      </c>
      <c r="E201" s="94" t="inlineStr">
        <is>
          <t>7529 מאוחדת אשדוד יהודה הנשיא</t>
        </is>
      </c>
      <c r="G201" s="102" t="n">
        <v>2335.5</v>
      </c>
      <c r="K201" s="94" t="inlineStr">
        <is>
          <t>CHMI</t>
        </is>
      </c>
    </row>
    <row r="202" ht="15" customHeight="1" s="82">
      <c r="A202" s="94" t="inlineStr">
        <is>
          <t>אזולאי דוד</t>
        </is>
      </c>
      <c r="C202" s="94" t="inlineStr">
        <is>
          <t>0קופות חולים</t>
        </is>
      </c>
      <c r="E202" s="94" t="inlineStr">
        <is>
          <t>3 (מאוחדת ר.בית שמש ג2)רימונים</t>
        </is>
      </c>
      <c r="G202" s="102" t="n">
        <v>4734</v>
      </c>
      <c r="K202" s="94" t="inlineStr">
        <is>
          <t>CHMI</t>
        </is>
      </c>
    </row>
    <row r="203" ht="15" customHeight="1" s="82">
      <c r="A203" s="94" t="inlineStr">
        <is>
          <t>אזולאי דוד</t>
        </is>
      </c>
      <c r="C203" s="94" t="inlineStr">
        <is>
          <t>0קופות חולים</t>
        </is>
      </c>
      <c r="E203" s="94" t="inlineStr">
        <is>
          <t>7342 מאוחדת פארם בית וגן</t>
        </is>
      </c>
      <c r="G203" s="102" t="n">
        <v>2611.9</v>
      </c>
      <c r="K203" s="94" t="inlineStr">
        <is>
          <t>CHMI</t>
        </is>
      </c>
    </row>
    <row r="204" ht="15" customHeight="1" s="82">
      <c r="A204" s="94" t="inlineStr">
        <is>
          <t>אזולאי דוד</t>
        </is>
      </c>
      <c r="C204" s="94" t="inlineStr">
        <is>
          <t>0קופות חולים</t>
        </is>
      </c>
      <c r="E204" s="94" t="inlineStr">
        <is>
          <t>7338 מאוחדת לב הרמה בית שמש</t>
        </is>
      </c>
      <c r="G204" s="102" t="n">
        <v>7195.4</v>
      </c>
      <c r="K204" s="94" t="inlineStr">
        <is>
          <t>CHMI</t>
        </is>
      </c>
    </row>
    <row r="205" ht="15" customHeight="1" s="82">
      <c r="A205" s="94" t="inlineStr">
        <is>
          <t>אזולאי דוד</t>
        </is>
      </c>
      <c r="C205" s="94" t="inlineStr">
        <is>
          <t>0קופות חולים</t>
        </is>
      </c>
      <c r="E205" s="94" t="inlineStr">
        <is>
          <t>7534 מאוחדת פארם תל שבע</t>
        </is>
      </c>
      <c r="G205" s="102" t="n">
        <v>207.7</v>
      </c>
      <c r="K205" s="94" t="inlineStr">
        <is>
          <t>CHMI</t>
        </is>
      </c>
    </row>
    <row r="206" ht="15" customHeight="1" s="82">
      <c r="A206" s="94" t="inlineStr">
        <is>
          <t>אזולאי דוד</t>
        </is>
      </c>
      <c r="C206" s="94" t="inlineStr">
        <is>
          <t>0קופות חולים</t>
        </is>
      </c>
      <c r="E206" s="94" t="inlineStr">
        <is>
          <t>348 מאוחדת האמוראים א' בית שמש</t>
        </is>
      </c>
      <c r="G206" s="102" t="n">
        <v>1960</v>
      </c>
      <c r="K206" s="94" t="inlineStr">
        <is>
          <t>CHMI</t>
        </is>
      </c>
    </row>
    <row r="207" ht="15" customHeight="1" s="82">
      <c r="A207" s="94" t="inlineStr">
        <is>
          <t>אזולאי דוד</t>
        </is>
      </c>
      <c r="C207" s="94" t="inlineStr">
        <is>
          <t>0קופות חולים</t>
        </is>
      </c>
      <c r="E207" s="94" t="inlineStr">
        <is>
          <t>7428 מאוחדת פארם ערערה</t>
        </is>
      </c>
      <c r="G207" s="102" t="n">
        <v>320</v>
      </c>
      <c r="K207" s="94" t="inlineStr">
        <is>
          <t>CHMI</t>
        </is>
      </c>
    </row>
    <row r="208" ht="15" customHeight="1" s="82">
      <c r="A208" s="94" t="inlineStr">
        <is>
          <t>אזולאי דוד</t>
        </is>
      </c>
      <c r="C208" s="94" t="inlineStr">
        <is>
          <t>0קופות חולים</t>
        </is>
      </c>
      <c r="E208" s="94" t="inlineStr">
        <is>
          <t>מאוחדת פארם שדרות</t>
        </is>
      </c>
      <c r="G208" s="102" t="n">
        <v>853.7</v>
      </c>
      <c r="K208" s="94" t="inlineStr">
        <is>
          <t>CHMI</t>
        </is>
      </c>
    </row>
    <row r="209" ht="15" customHeight="1" s="82">
      <c r="A209" s="94" t="inlineStr">
        <is>
          <t>אזולאי דוד</t>
        </is>
      </c>
      <c r="C209" s="94" t="inlineStr">
        <is>
          <t>0קופות חולים</t>
        </is>
      </c>
      <c r="E209" s="94" t="inlineStr">
        <is>
          <t>מאוחדת שד'האמוראים ד3 רמת בית</t>
        </is>
      </c>
      <c r="G209" s="102" t="n">
        <v>1445.3</v>
      </c>
      <c r="K209" s="94" t="inlineStr">
        <is>
          <t>CHMI</t>
        </is>
      </c>
    </row>
    <row r="210" ht="15" customHeight="1" s="82">
      <c r="A210" s="94" t="inlineStr">
        <is>
          <t>אזולאי דוד</t>
        </is>
      </c>
      <c r="C210" s="94" t="inlineStr">
        <is>
          <t>0קופות חולים</t>
        </is>
      </c>
      <c r="E210" s="94" t="inlineStr">
        <is>
          <t>7351 מאוחדת פארם רוממה תובל</t>
        </is>
      </c>
      <c r="G210" s="102" t="n">
        <v>1833.6</v>
      </c>
      <c r="K210" s="94" t="inlineStr">
        <is>
          <t>CHMI</t>
        </is>
      </c>
    </row>
    <row r="211" ht="15" customHeight="1" s="82">
      <c r="A211" s="94" t="inlineStr">
        <is>
          <t>אזולאי דוד</t>
        </is>
      </c>
      <c r="C211" s="94" t="inlineStr">
        <is>
          <t>0קופות חולים</t>
        </is>
      </c>
      <c r="E211" s="94" t="inlineStr">
        <is>
          <t>7139 מאוחדת פארם נופים מודיעין</t>
        </is>
      </c>
      <c r="G211" s="102" t="n">
        <v>1933.7</v>
      </c>
      <c r="K211" s="94" t="inlineStr">
        <is>
          <t>CHMI</t>
        </is>
      </c>
    </row>
    <row r="212" ht="15" customHeight="1" s="82">
      <c r="A212" s="94" t="inlineStr">
        <is>
          <t>אזולאי דוד</t>
        </is>
      </c>
      <c r="C212" s="94" t="inlineStr">
        <is>
          <t>0קופות חולים</t>
        </is>
      </c>
      <c r="E212" s="94" t="inlineStr">
        <is>
          <t>7536 מאוחדת פארם רא""ם רחובות</t>
        </is>
      </c>
      <c r="G212" s="102" t="n">
        <v>13439.9</v>
      </c>
      <c r="K212" s="94" t="inlineStr">
        <is>
          <t>CHMI</t>
        </is>
      </c>
    </row>
    <row r="213" ht="15" customHeight="1" s="82">
      <c r="A213" s="94" t="inlineStr">
        <is>
          <t>אזולאי דוד</t>
        </is>
      </c>
      <c r="C213" s="94" t="inlineStr">
        <is>
          <t>0קופות חולים</t>
        </is>
      </c>
      <c r="E213" s="94" t="inlineStr">
        <is>
          <t>7339 מאוחדת נופי סלע</t>
        </is>
      </c>
      <c r="G213" s="102" t="n">
        <v>500</v>
      </c>
      <c r="K213" s="94" t="inlineStr">
        <is>
          <t>CHMI</t>
        </is>
      </c>
    </row>
    <row r="214" ht="15" customHeight="1" s="82">
      <c r="A214" s="94" t="inlineStr">
        <is>
          <t>סטניסלב נסאר</t>
        </is>
      </c>
      <c r="B214" s="94" t="inlineStr">
        <is>
          <t>102</t>
        </is>
      </c>
      <c r="C214" s="94" t="inlineStr">
        <is>
          <t>102 - Orthopedic institutes</t>
        </is>
      </c>
      <c r="D214" s="94" t="inlineStr">
        <is>
          <t>150004</t>
        </is>
      </c>
      <c r="E214" s="94" t="inlineStr">
        <is>
          <t>150004 מדיקל אופיר ב"ש בע"מ</t>
        </is>
      </c>
      <c r="F214" s="102" t="n">
        <v>1168.01</v>
      </c>
      <c r="G214" s="102" t="n">
        <v>6564.05</v>
      </c>
      <c r="H214" s="95" t="n">
        <v>10</v>
      </c>
      <c r="I214" s="95" t="n">
        <v>36</v>
      </c>
      <c r="J214" s="94" t="inlineStr">
        <is>
          <t>normal</t>
        </is>
      </c>
      <c r="K214" s="94" t="inlineStr">
        <is>
          <t>NetSuite</t>
        </is>
      </c>
    </row>
    <row r="215" ht="15" customHeight="1" s="82">
      <c r="A215" s="94" t="inlineStr">
        <is>
          <t>סטניסלב נסאר</t>
        </is>
      </c>
      <c r="B215" s="94" t="inlineStr">
        <is>
          <t>102</t>
        </is>
      </c>
      <c r="C215" s="94" t="inlineStr">
        <is>
          <t>102 - Orthopedic institutes</t>
        </is>
      </c>
      <c r="D215" s="94" t="inlineStr">
        <is>
          <t>150012</t>
        </is>
      </c>
      <c r="E215" s="94" t="inlineStr">
        <is>
          <t>150012 אשד אורטופדיה בע"מ</t>
        </is>
      </c>
      <c r="F215" s="102" t="n">
        <v>6530.09</v>
      </c>
      <c r="G215" s="102" t="n">
        <v>8357.190000000001</v>
      </c>
      <c r="H215" s="95" t="n">
        <v>67</v>
      </c>
      <c r="I215" s="95" t="n">
        <v>58</v>
      </c>
      <c r="J215" s="94" t="inlineStr">
        <is>
          <t>normal</t>
        </is>
      </c>
      <c r="K215" s="94" t="inlineStr">
        <is>
          <t>NetSuite</t>
        </is>
      </c>
    </row>
    <row r="216" ht="15" customHeight="1" s="82">
      <c r="A216" s="94" t="inlineStr">
        <is>
          <t>סטניסלב נסאר</t>
        </is>
      </c>
      <c r="B216" s="94" t="inlineStr">
        <is>
          <t>102</t>
        </is>
      </c>
      <c r="C216" s="94" t="inlineStr">
        <is>
          <t>102 - Orthopedic institutes</t>
        </is>
      </c>
      <c r="D216" s="94" t="inlineStr">
        <is>
          <t>150027</t>
        </is>
      </c>
      <c r="E216" s="94" t="inlineStr">
        <is>
          <t>150027 ברזילי אורטופדיה-ר"ג</t>
        </is>
      </c>
      <c r="F216" s="102" t="n">
        <v>3591.62</v>
      </c>
      <c r="G216" s="102" t="n">
        <v>1722.1</v>
      </c>
      <c r="H216" s="95" t="n">
        <v>46</v>
      </c>
      <c r="I216" s="95" t="n">
        <v>30</v>
      </c>
      <c r="J216" s="94" t="inlineStr">
        <is>
          <t>normal</t>
        </is>
      </c>
      <c r="K216" s="94" t="inlineStr">
        <is>
          <t>NetSuite</t>
        </is>
      </c>
    </row>
    <row r="217" ht="15" customHeight="1" s="82">
      <c r="A217" s="94" t="inlineStr">
        <is>
          <t>סטניסלב נסאר</t>
        </is>
      </c>
      <c r="B217" s="94" t="inlineStr">
        <is>
          <t>102</t>
        </is>
      </c>
      <c r="C217" s="94" t="inlineStr">
        <is>
          <t>102 - Orthopedic institutes</t>
        </is>
      </c>
      <c r="D217" s="94" t="inlineStr">
        <is>
          <t>150035</t>
        </is>
      </c>
      <c r="E217" s="94" t="inlineStr">
        <is>
          <t>150035 אורטו-ארט</t>
        </is>
      </c>
      <c r="F217" s="102" t="n">
        <v>4469.01</v>
      </c>
      <c r="G217" s="102" t="n">
        <v>2526.09</v>
      </c>
      <c r="H217" s="95" t="n">
        <v>43</v>
      </c>
      <c r="I217" s="95" t="n">
        <v>16</v>
      </c>
      <c r="J217" s="94" t="inlineStr">
        <is>
          <t>normal</t>
        </is>
      </c>
      <c r="K217" s="94" t="inlineStr">
        <is>
          <t>NetSuite</t>
        </is>
      </c>
    </row>
    <row r="218" ht="15" customHeight="1" s="82">
      <c r="A218" s="94" t="inlineStr">
        <is>
          <t>סטניסלב נסאר</t>
        </is>
      </c>
      <c r="B218" s="94" t="inlineStr">
        <is>
          <t>102</t>
        </is>
      </c>
      <c r="C218" s="94" t="inlineStr">
        <is>
          <t>102 - Orthopedic institutes</t>
        </is>
      </c>
      <c r="D218" s="94" t="inlineStr">
        <is>
          <t>150139</t>
        </is>
      </c>
      <c r="E218" s="94" t="inlineStr">
        <is>
          <t>150139 מדילייט-אורטופדיה</t>
        </is>
      </c>
      <c r="F218" s="102" t="n">
        <v>37290.96</v>
      </c>
      <c r="G218" s="102" t="n">
        <v>24733.21</v>
      </c>
      <c r="H218" s="95" t="n">
        <v>331</v>
      </c>
      <c r="I218" s="95" t="n">
        <v>213</v>
      </c>
      <c r="J218" s="94" t="inlineStr">
        <is>
          <t>normal</t>
        </is>
      </c>
      <c r="K218" s="94" t="inlineStr">
        <is>
          <t>NetSuite</t>
        </is>
      </c>
    </row>
    <row r="219" ht="15" customHeight="1" s="82">
      <c r="A219" s="94" t="inlineStr">
        <is>
          <t>סטניסלב נסאר</t>
        </is>
      </c>
      <c r="B219" s="94" t="inlineStr">
        <is>
          <t>102</t>
        </is>
      </c>
      <c r="C219" s="94" t="inlineStr">
        <is>
          <t>102 - Orthopedic institutes</t>
        </is>
      </c>
      <c r="D219" s="94" t="inlineStr">
        <is>
          <t>150173</t>
        </is>
      </c>
      <c r="E219" s="94" t="inlineStr">
        <is>
          <t>150173 ש.א.ש פתרונות ציוד בע"מ</t>
        </is>
      </c>
      <c r="F219" s="102" t="n">
        <v>-2984.01</v>
      </c>
      <c r="G219" s="102" t="n">
        <v>0</v>
      </c>
      <c r="H219" s="95" t="n">
        <v>-53</v>
      </c>
      <c r="I219" s="95" t="n">
        <v>0</v>
      </c>
      <c r="J219" s="94" t="inlineStr">
        <is>
          <t>normal</t>
        </is>
      </c>
      <c r="K219" s="94" t="inlineStr">
        <is>
          <t>NetSuite</t>
        </is>
      </c>
    </row>
    <row r="220" ht="15" customHeight="1" s="82">
      <c r="A220" s="94" t="inlineStr">
        <is>
          <t>סטניסלב נסאר</t>
        </is>
      </c>
      <c r="B220" s="94" t="inlineStr">
        <is>
          <t>102</t>
        </is>
      </c>
      <c r="C220" s="94" t="inlineStr">
        <is>
          <t>102 - Orthopedic institutes</t>
        </is>
      </c>
      <c r="D220" s="94" t="inlineStr">
        <is>
          <t>150230</t>
        </is>
      </c>
      <c r="E220" s="94" t="inlineStr">
        <is>
          <t>150230 המומחים - בית של יעל</t>
        </is>
      </c>
      <c r="F220" s="102" t="n">
        <v>310</v>
      </c>
      <c r="G220" s="102" t="n">
        <v>-510.01</v>
      </c>
      <c r="H220" s="95" t="n">
        <v>3</v>
      </c>
      <c r="I220" s="95" t="n">
        <v>-3</v>
      </c>
      <c r="J220" s="94" t="inlineStr">
        <is>
          <t>normal</t>
        </is>
      </c>
      <c r="K220" s="94" t="inlineStr">
        <is>
          <t>NetSuite</t>
        </is>
      </c>
    </row>
    <row r="221" ht="15" customHeight="1" s="82">
      <c r="A221" s="94" t="inlineStr">
        <is>
          <t>סטניסלב נסאר</t>
        </is>
      </c>
      <c r="B221" s="94" t="inlineStr">
        <is>
          <t>102</t>
        </is>
      </c>
      <c r="C221" s="94" t="inlineStr">
        <is>
          <t>102 - Orthopedic institutes</t>
        </is>
      </c>
      <c r="D221" s="94" t="inlineStr">
        <is>
          <t>150337</t>
        </is>
      </c>
      <c r="E221" s="94" t="inlineStr">
        <is>
          <t>150337 עמיאל באלאנס ב"ש בע"מ</t>
        </is>
      </c>
      <c r="F221" s="102" t="n">
        <v>1472.95</v>
      </c>
      <c r="G221" s="102" t="n">
        <v>424.88</v>
      </c>
      <c r="H221" s="95" t="n">
        <v>45</v>
      </c>
      <c r="I221" s="95" t="n">
        <v>-29</v>
      </c>
      <c r="J221" s="94" t="inlineStr">
        <is>
          <t>normal</t>
        </is>
      </c>
      <c r="K221" s="94" t="inlineStr">
        <is>
          <t>NetSuite</t>
        </is>
      </c>
    </row>
    <row r="222" ht="15" customHeight="1" s="82">
      <c r="A222" s="94" t="inlineStr">
        <is>
          <t>סטניסלב נסאר</t>
        </is>
      </c>
      <c r="B222" s="94" t="inlineStr">
        <is>
          <t>102</t>
        </is>
      </c>
      <c r="C222" s="94" t="inlineStr">
        <is>
          <t>102 - Orthopedic institutes</t>
        </is>
      </c>
      <c r="D222" s="94" t="inlineStr">
        <is>
          <t>151054</t>
        </is>
      </c>
      <c r="E222" s="94" t="inlineStr">
        <is>
          <t>151054 אורטופדיה סנטר</t>
        </is>
      </c>
      <c r="F222" s="102" t="n">
        <v>210</v>
      </c>
      <c r="G222" s="102" t="n">
        <v>0</v>
      </c>
      <c r="H222" s="95" t="n">
        <v>2</v>
      </c>
      <c r="I222" s="95" t="n">
        <v>0</v>
      </c>
      <c r="J222" s="94" t="inlineStr">
        <is>
          <t>normal</t>
        </is>
      </c>
      <c r="K222" s="94" t="inlineStr">
        <is>
          <t>NetSuite</t>
        </is>
      </c>
    </row>
    <row r="223" ht="15" customHeight="1" s="82">
      <c r="A223" s="94" t="inlineStr">
        <is>
          <t>סטניסלב נסאר</t>
        </is>
      </c>
      <c r="B223" s="94" t="inlineStr">
        <is>
          <t>102</t>
        </is>
      </c>
      <c r="C223" s="94" t="inlineStr">
        <is>
          <t>102 - Orthopedic institutes</t>
        </is>
      </c>
      <c r="D223" s="94" t="inlineStr">
        <is>
          <t>151093</t>
        </is>
      </c>
      <c r="E223" s="94" t="inlineStr">
        <is>
          <t>151093 איזי סטיפס</t>
        </is>
      </c>
      <c r="F223" s="102" t="n">
        <v>3501.12</v>
      </c>
      <c r="G223" s="102" t="n">
        <v>584.99</v>
      </c>
      <c r="H223" s="95" t="n">
        <v>32</v>
      </c>
      <c r="I223" s="95" t="n">
        <v>4</v>
      </c>
      <c r="J223" s="94" t="inlineStr">
        <is>
          <t>normal</t>
        </is>
      </c>
      <c r="K223" s="94" t="inlineStr">
        <is>
          <t>NetSuite</t>
        </is>
      </c>
    </row>
    <row r="224" ht="15" customHeight="1" s="82">
      <c r="A224" s="94" t="inlineStr">
        <is>
          <t>סטניסלב נסאר</t>
        </is>
      </c>
      <c r="B224" s="94" t="inlineStr">
        <is>
          <t>102</t>
        </is>
      </c>
      <c r="C224" s="94" t="inlineStr">
        <is>
          <t>102 - Orthopedic institutes</t>
        </is>
      </c>
      <c r="D224" s="94" t="inlineStr">
        <is>
          <t>151187</t>
        </is>
      </c>
      <c r="E224" s="94" t="inlineStr">
        <is>
          <t>151187 משי אורלגין בע"מ</t>
        </is>
      </c>
      <c r="F224" s="102" t="n">
        <v>12577.69</v>
      </c>
      <c r="G224" s="102" t="n">
        <v>7425.85</v>
      </c>
      <c r="H224" s="95" t="n">
        <v>124</v>
      </c>
      <c r="I224" s="95" t="n">
        <v>77</v>
      </c>
      <c r="J224" s="94" t="inlineStr">
        <is>
          <t>normal</t>
        </is>
      </c>
      <c r="K224" s="94" t="inlineStr">
        <is>
          <t>NetSuite</t>
        </is>
      </c>
    </row>
    <row r="225" ht="15" customHeight="1" s="82">
      <c r="A225" s="94" t="inlineStr">
        <is>
          <t>סטניסלב נסאר</t>
        </is>
      </c>
      <c r="B225" s="94" t="inlineStr">
        <is>
          <t>102</t>
        </is>
      </c>
      <c r="C225" s="94" t="inlineStr">
        <is>
          <t>102 - Orthopedic institutes</t>
        </is>
      </c>
      <c r="D225" s="94" t="inlineStr">
        <is>
          <t>C02178</t>
        </is>
      </c>
      <c r="E225" s="94" t="inlineStr">
        <is>
          <t>C02178 עולם האורטופדיה</t>
        </is>
      </c>
      <c r="F225" s="102" t="n">
        <v>5383.36</v>
      </c>
      <c r="G225" s="102" t="n">
        <v>5171.17</v>
      </c>
      <c r="H225" s="95" t="n">
        <v>42</v>
      </c>
      <c r="I225" s="95" t="n">
        <v>34</v>
      </c>
      <c r="J225" s="94" t="inlineStr">
        <is>
          <t>normal</t>
        </is>
      </c>
      <c r="K225" s="94" t="inlineStr">
        <is>
          <t>NetSuite</t>
        </is>
      </c>
    </row>
    <row r="226" ht="15" customHeight="1" s="82">
      <c r="A226" s="94" t="inlineStr">
        <is>
          <t>סטניסלב נסאר</t>
        </is>
      </c>
      <c r="B226" s="94" t="inlineStr">
        <is>
          <t>102</t>
        </is>
      </c>
      <c r="C226" s="94" t="inlineStr">
        <is>
          <t>102 - Orthopedic institutes</t>
        </is>
      </c>
      <c r="D226" s="94" t="inlineStr">
        <is>
          <t>C02213</t>
        </is>
      </c>
      <c r="E226" s="94" t="inlineStr">
        <is>
          <t>C02213 מרכז רפואי אפיקס בע"מ</t>
        </is>
      </c>
      <c r="F226" s="102" t="n">
        <v>4553.93</v>
      </c>
      <c r="G226" s="102" t="n">
        <v>11656.06</v>
      </c>
      <c r="H226" s="95" t="n">
        <v>32</v>
      </c>
      <c r="I226" s="95" t="n">
        <v>85</v>
      </c>
      <c r="J226" s="94" t="inlineStr">
        <is>
          <t>normal</t>
        </is>
      </c>
      <c r="K226" s="94" t="inlineStr">
        <is>
          <t>NetSuite</t>
        </is>
      </c>
    </row>
    <row r="227" ht="15" customHeight="1" s="82">
      <c r="A227" s="94" t="inlineStr">
        <is>
          <t>סטניסלב נסאר</t>
        </is>
      </c>
      <c r="B227" s="94" t="inlineStr">
        <is>
          <t>102</t>
        </is>
      </c>
      <c r="C227" s="94" t="inlineStr">
        <is>
          <t>102 - Orthopedic institutes</t>
        </is>
      </c>
      <c r="D227" s="94" t="inlineStr">
        <is>
          <t>C02241</t>
        </is>
      </c>
      <c r="E227" s="94" t="inlineStr">
        <is>
          <t>C02241 טיטלבוים אורטופדיה</t>
        </is>
      </c>
      <c r="F227" s="102" t="n">
        <v>2080.02</v>
      </c>
      <c r="G227" s="102" t="n">
        <v>0</v>
      </c>
      <c r="H227" s="95" t="n">
        <v>6</v>
      </c>
      <c r="I227" s="95" t="n">
        <v>0</v>
      </c>
      <c r="J227" s="94" t="inlineStr">
        <is>
          <t>normal</t>
        </is>
      </c>
      <c r="K227" s="94" t="inlineStr">
        <is>
          <t>NetSuite</t>
        </is>
      </c>
    </row>
    <row r="228" ht="15" customHeight="1" s="82">
      <c r="A228" s="94" t="inlineStr">
        <is>
          <t>סטניסלב נסאר</t>
        </is>
      </c>
      <c r="B228" s="94" t="inlineStr">
        <is>
          <t>102</t>
        </is>
      </c>
      <c r="C228" s="94" t="inlineStr">
        <is>
          <t>102 - Orthopedic institutes</t>
        </is>
      </c>
      <c r="D228" s="94" t="inlineStr">
        <is>
          <t>C02280</t>
        </is>
      </c>
      <c r="E228" s="94" t="inlineStr">
        <is>
          <t>C02280 הלוי אומן האורטופדיה</t>
        </is>
      </c>
      <c r="F228" s="102" t="n">
        <v>462.75</v>
      </c>
      <c r="G228" s="102" t="n">
        <v>535.99</v>
      </c>
      <c r="H228" s="95" t="n">
        <v>3</v>
      </c>
      <c r="I228" s="95" t="n">
        <v>2</v>
      </c>
      <c r="J228" s="94" t="inlineStr">
        <is>
          <t>normal</t>
        </is>
      </c>
      <c r="K228" s="94" t="inlineStr">
        <is>
          <t>NetSuite</t>
        </is>
      </c>
    </row>
    <row r="229" ht="15" customHeight="1" s="82">
      <c r="A229" s="94" t="inlineStr">
        <is>
          <t>סטניסלב נסאר</t>
        </is>
      </c>
      <c r="B229" s="94" t="inlineStr">
        <is>
          <t>102</t>
        </is>
      </c>
      <c r="C229" s="94" t="inlineStr">
        <is>
          <t>102 - Orthopedic institutes</t>
        </is>
      </c>
      <c r="D229" s="94" t="inlineStr">
        <is>
          <t>C02289</t>
        </is>
      </c>
      <c r="E229" s="94" t="inlineStr">
        <is>
          <t>C02289 רן כהן</t>
        </is>
      </c>
      <c r="F229" s="102" t="n">
        <v>2364</v>
      </c>
      <c r="G229" s="102" t="n">
        <v>1210.03</v>
      </c>
      <c r="H229" s="95" t="n">
        <v>13</v>
      </c>
      <c r="I229" s="95" t="n">
        <v>5</v>
      </c>
      <c r="J229" s="94" t="inlineStr">
        <is>
          <t>normal</t>
        </is>
      </c>
      <c r="K229" s="94" t="inlineStr">
        <is>
          <t>NetSuite</t>
        </is>
      </c>
    </row>
    <row r="230" ht="15" customHeight="1" s="82">
      <c r="A230" s="94" t="inlineStr">
        <is>
          <t>סטניסלב נסאר</t>
        </is>
      </c>
      <c r="B230" s="94" t="inlineStr">
        <is>
          <t>102</t>
        </is>
      </c>
      <c r="C230" s="94" t="inlineStr">
        <is>
          <t>102 - Orthopedic institutes</t>
        </is>
      </c>
      <c r="D230" s="94" t="inlineStr">
        <is>
          <t>C02316</t>
        </is>
      </c>
      <c r="E230" s="94" t="inlineStr">
        <is>
          <t>C02316 המדיקל שלי אלי שלומי</t>
        </is>
      </c>
      <c r="F230" s="102" t="n">
        <v>0</v>
      </c>
      <c r="G230" s="102" t="n">
        <v>1332</v>
      </c>
      <c r="H230" s="95" t="n">
        <v>0</v>
      </c>
      <c r="I230" s="95" t="n">
        <v>6</v>
      </c>
      <c r="J230" s="94" t="inlineStr">
        <is>
          <t>normal</t>
        </is>
      </c>
      <c r="K230" s="94" t="inlineStr">
        <is>
          <t>NetSuite</t>
        </is>
      </c>
    </row>
    <row r="231" ht="15" customHeight="1" s="82">
      <c r="A231" s="94" t="inlineStr">
        <is>
          <t>סטניסלב נסאר</t>
        </is>
      </c>
      <c r="B231" s="94" t="inlineStr">
        <is>
          <t>103</t>
        </is>
      </c>
      <c r="C231" s="94" t="inlineStr">
        <is>
          <t>103 - Physiotherapy institutes</t>
        </is>
      </c>
      <c r="D231" s="94" t="inlineStr">
        <is>
          <t>151014</t>
        </is>
      </c>
      <c r="E231" s="94" t="inlineStr">
        <is>
          <t>151014 אמיר ג'אבר</t>
        </is>
      </c>
      <c r="F231" s="102" t="n">
        <v>4029.96</v>
      </c>
      <c r="G231" s="102" t="n">
        <v>0</v>
      </c>
      <c r="H231" s="95" t="n">
        <v>35</v>
      </c>
      <c r="I231" s="95" t="n">
        <v>0</v>
      </c>
      <c r="J231" s="94" t="inlineStr">
        <is>
          <t>normal</t>
        </is>
      </c>
      <c r="K231" s="94" t="inlineStr">
        <is>
          <t>NetSuite</t>
        </is>
      </c>
    </row>
    <row r="232" ht="15" customHeight="1" s="82">
      <c r="A232" s="94" t="inlineStr">
        <is>
          <t>סטניסלב נסאר</t>
        </is>
      </c>
      <c r="B232" s="94" t="inlineStr">
        <is>
          <t>103</t>
        </is>
      </c>
      <c r="C232" s="94" t="inlineStr">
        <is>
          <t>103 - Physiotherapy institutes</t>
        </is>
      </c>
      <c r="D232" s="94" t="inlineStr">
        <is>
          <t>151173</t>
        </is>
      </c>
      <c r="E232" s="94" t="inlineStr">
        <is>
          <t>151173 גאבל מוסלם פיזיותרפיסט</t>
        </is>
      </c>
      <c r="F232" s="102" t="n">
        <v>11543.94</v>
      </c>
      <c r="G232" s="102" t="n">
        <v>7283.35</v>
      </c>
      <c r="H232" s="95" t="n">
        <v>190</v>
      </c>
      <c r="I232" s="95" t="n">
        <v>90</v>
      </c>
      <c r="J232" s="94" t="inlineStr">
        <is>
          <t>normal</t>
        </is>
      </c>
      <c r="K232" s="94" t="inlineStr">
        <is>
          <t>NetSuite</t>
        </is>
      </c>
    </row>
    <row r="233" ht="15" customHeight="1" s="82">
      <c r="A233" s="94" t="inlineStr">
        <is>
          <t>סטניסלב נסאר</t>
        </is>
      </c>
      <c r="B233" s="94" t="inlineStr">
        <is>
          <t>103</t>
        </is>
      </c>
      <c r="C233" s="94" t="inlineStr">
        <is>
          <t>103 - Physiotherapy institutes</t>
        </is>
      </c>
      <c r="D233" s="94" t="inlineStr">
        <is>
          <t>151239</t>
        </is>
      </c>
      <c r="E233" s="94" t="inlineStr">
        <is>
          <t>151239 פרולי קיור בע"מ</t>
        </is>
      </c>
      <c r="F233" s="102" t="n">
        <v>3339.67</v>
      </c>
      <c r="G233" s="102" t="n">
        <v>7919.44</v>
      </c>
      <c r="H233" s="95" t="n">
        <v>67</v>
      </c>
      <c r="I233" s="95" t="n">
        <v>146</v>
      </c>
      <c r="J233" s="94" t="inlineStr">
        <is>
          <t>normal</t>
        </is>
      </c>
      <c r="K233" s="94" t="inlineStr">
        <is>
          <t>NetSuite</t>
        </is>
      </c>
    </row>
    <row r="234" ht="15" customHeight="1" s="82">
      <c r="A234" s="94" t="inlineStr">
        <is>
          <t>סטניסלב נסאר</t>
        </is>
      </c>
      <c r="B234" s="94" t="inlineStr">
        <is>
          <t>103</t>
        </is>
      </c>
      <c r="C234" s="94" t="inlineStr">
        <is>
          <t>103 - Physiotherapy institutes</t>
        </is>
      </c>
      <c r="D234" s="94" t="inlineStr">
        <is>
          <t>C02285</t>
        </is>
      </c>
      <c r="E234" s="94" t="inlineStr">
        <is>
          <t>C02285 אמירפיה בע"מ</t>
        </is>
      </c>
      <c r="F234" s="102" t="n">
        <v>3869.7</v>
      </c>
      <c r="G234" s="102" t="n">
        <v>2089.24</v>
      </c>
      <c r="H234" s="95" t="n">
        <v>55</v>
      </c>
      <c r="I234" s="95" t="n">
        <v>15</v>
      </c>
      <c r="J234" s="94" t="inlineStr">
        <is>
          <t>normal</t>
        </is>
      </c>
      <c r="K234" s="94" t="inlineStr">
        <is>
          <t>NetSuite</t>
        </is>
      </c>
    </row>
    <row r="235" ht="15" customHeight="1" s="82">
      <c r="A235" s="94" t="inlineStr">
        <is>
          <t>סטניסלב נסאר</t>
        </is>
      </c>
      <c r="B235" s="94" t="inlineStr">
        <is>
          <t>107</t>
        </is>
      </c>
      <c r="C235" s="94" t="inlineStr">
        <is>
          <t>107 - Pharmacies</t>
        </is>
      </c>
      <c r="D235" s="94" t="inlineStr">
        <is>
          <t>156137</t>
        </is>
      </c>
      <c r="E235" s="94" t="inlineStr">
        <is>
          <t>156137 מדי פארם ב.מ.</t>
        </is>
      </c>
      <c r="F235" s="102" t="n">
        <v>54623.78</v>
      </c>
      <c r="G235" s="102" t="n">
        <v>810.58</v>
      </c>
      <c r="H235" s="95" t="n">
        <v>894</v>
      </c>
      <c r="I235" s="95" t="n">
        <v>9</v>
      </c>
      <c r="J235" s="94" t="inlineStr">
        <is>
          <t>normal</t>
        </is>
      </c>
      <c r="K235" s="94" t="inlineStr">
        <is>
          <t>NetSuite</t>
        </is>
      </c>
    </row>
    <row r="236" ht="15" customHeight="1" s="82">
      <c r="A236" s="94" t="inlineStr">
        <is>
          <t>סטניסלב נסאר</t>
        </is>
      </c>
      <c r="B236" s="94" t="inlineStr">
        <is>
          <t>107</t>
        </is>
      </c>
      <c r="C236" s="94" t="inlineStr">
        <is>
          <t>107 - Pharmacies</t>
        </is>
      </c>
      <c r="D236" s="94" t="inlineStr">
        <is>
          <t>158211</t>
        </is>
      </c>
      <c r="E236" s="94" t="inlineStr">
        <is>
          <t>158211 רמת חן ב.מ</t>
        </is>
      </c>
      <c r="F236" s="102" t="n">
        <v>13620.05</v>
      </c>
      <c r="G236" s="102" t="n">
        <v>0</v>
      </c>
      <c r="H236" s="95" t="n">
        <v>133</v>
      </c>
      <c r="I236" s="95" t="n">
        <v>0</v>
      </c>
      <c r="J236" s="94" t="inlineStr">
        <is>
          <t>normal</t>
        </is>
      </c>
      <c r="K236" s="94" t="inlineStr">
        <is>
          <t>NetSuite</t>
        </is>
      </c>
    </row>
    <row r="237" ht="15" customHeight="1" s="82">
      <c r="A237" s="94" t="inlineStr">
        <is>
          <t>סטניסלב נסאר</t>
        </is>
      </c>
      <c r="B237" s="94" t="inlineStr">
        <is>
          <t>107</t>
        </is>
      </c>
      <c r="C237" s="94" t="inlineStr">
        <is>
          <t>107 - Pharmacies</t>
        </is>
      </c>
      <c r="D237" s="94" t="inlineStr">
        <is>
          <t>C02307</t>
        </is>
      </c>
      <c r="E237" s="94" t="inlineStr">
        <is>
          <t>C02307 מדי פארם בתי מרקחת בעמ</t>
        </is>
      </c>
      <c r="F237" s="102" t="n">
        <v>2030.39</v>
      </c>
      <c r="G237" s="102" t="n">
        <v>47296.8</v>
      </c>
      <c r="H237" s="95" t="n">
        <v>22</v>
      </c>
      <c r="I237" s="95" t="n">
        <v>641</v>
      </c>
      <c r="J237" s="94" t="inlineStr">
        <is>
          <t>normal</t>
        </is>
      </c>
      <c r="K237" s="94" t="inlineStr">
        <is>
          <t>NetSuite</t>
        </is>
      </c>
    </row>
    <row r="238" ht="15" customHeight="1" s="82">
      <c r="A238" s="94" t="inlineStr">
        <is>
          <t>סטניסלב נסאר</t>
        </is>
      </c>
      <c r="B238" s="94" t="inlineStr">
        <is>
          <t>109</t>
        </is>
      </c>
      <c r="C238" s="94" t="inlineStr">
        <is>
          <t>109 - Private Shops</t>
        </is>
      </c>
      <c r="D238" s="94" t="inlineStr">
        <is>
          <t>C02173</t>
        </is>
      </c>
      <c r="E238" s="94" t="inlineStr">
        <is>
          <t>C02173 מגוון (א.ה.) מוצרי פרסום בע"מ</t>
        </is>
      </c>
      <c r="F238" s="102" t="n">
        <v>13233.42</v>
      </c>
      <c r="G238" s="102" t="n">
        <v>8438.360000000001</v>
      </c>
      <c r="H238" s="95" t="n">
        <v>136</v>
      </c>
      <c r="I238" s="95" t="n">
        <v>89</v>
      </c>
      <c r="J238" s="94" t="inlineStr">
        <is>
          <t>normal</t>
        </is>
      </c>
      <c r="K238" s="94" t="inlineStr">
        <is>
          <t>NetSuite</t>
        </is>
      </c>
    </row>
    <row r="239" ht="15" customHeight="1" s="82">
      <c r="A239" s="94" t="inlineStr">
        <is>
          <t>סטניסלב נסאר</t>
        </is>
      </c>
      <c r="B239" s="94" t="inlineStr">
        <is>
          <t>109</t>
        </is>
      </c>
      <c r="C239" s="94" t="inlineStr">
        <is>
          <t>109 - Private Shops</t>
        </is>
      </c>
      <c r="D239" s="94" t="inlineStr">
        <is>
          <t>C02231SC4</t>
        </is>
      </c>
      <c r="E239" s="94" t="inlineStr">
        <is>
          <t>C02231 ש.ל.י. סיירת ציוד בעמ : C02231SC4 ש.ל.י סיירת ציוד בעמ באר שבע</t>
        </is>
      </c>
      <c r="F239" s="102" t="n">
        <v>3820.38</v>
      </c>
      <c r="G239" s="102" t="n">
        <v>0</v>
      </c>
      <c r="H239" s="95" t="n">
        <v>159</v>
      </c>
      <c r="I239" s="95" t="n">
        <v>0</v>
      </c>
      <c r="J239" s="94" t="inlineStr">
        <is>
          <t>normal</t>
        </is>
      </c>
      <c r="K239" s="94" t="inlineStr">
        <is>
          <t>NetSuite</t>
        </is>
      </c>
    </row>
    <row r="240" ht="15" customHeight="1" s="82">
      <c r="A240" s="94" t="inlineStr">
        <is>
          <t>סטניסלב נסאר</t>
        </is>
      </c>
      <c r="B240" s="94" t="n"/>
      <c r="C240" s="94" t="inlineStr">
        <is>
          <t>0בתי מרקחת</t>
        </is>
      </c>
      <c r="D240" s="94" t="n"/>
      <c r="E240" s="94" t="inlineStr">
        <is>
          <t>בתי מרקחת פרטי</t>
        </is>
      </c>
      <c r="F240" s="102" t="n"/>
      <c r="G240" s="102" t="n">
        <v>79610</v>
      </c>
      <c r="H240" s="95" t="n"/>
      <c r="I240" s="95" t="n"/>
      <c r="J240" s="94" t="n"/>
      <c r="K240" s="94" t="inlineStr">
        <is>
          <t>CHMI</t>
        </is>
      </c>
    </row>
    <row r="241" ht="15" customHeight="1" s="82">
      <c r="A241" s="94" t="inlineStr">
        <is>
          <t>סטניסלב נסאר</t>
        </is>
      </c>
      <c r="B241" s="94" t="n"/>
      <c r="C241" s="94" t="inlineStr">
        <is>
          <t>מגזר ערבי</t>
        </is>
      </c>
      <c r="D241" s="94" t="n"/>
      <c r="E241" s="94" t="inlineStr">
        <is>
          <t>אבו עזמי טירה ב.מ</t>
        </is>
      </c>
      <c r="F241" s="102" t="n"/>
      <c r="G241" s="102" t="n">
        <v>3404.2</v>
      </c>
      <c r="H241" s="95" t="n"/>
      <c r="I241" s="95" t="n"/>
      <c r="J241" s="94" t="n"/>
      <c r="K241" s="94" t="inlineStr">
        <is>
          <t>CHMI</t>
        </is>
      </c>
    </row>
    <row r="242" ht="15" customHeight="1" s="82">
      <c r="A242" s="94" t="inlineStr">
        <is>
          <t>סטניסלב נסאר</t>
        </is>
      </c>
      <c r="B242" s="94" t="n"/>
      <c r="C242" s="94" t="inlineStr">
        <is>
          <t>מגזר ערבי</t>
        </is>
      </c>
      <c r="D242" s="94" t="n"/>
      <c r="E242" s="94" t="inlineStr">
        <is>
          <t>אלהאם פארם בענה ב.מ</t>
        </is>
      </c>
      <c r="F242" s="102" t="n"/>
      <c r="G242" s="102" t="n">
        <v>-0.9</v>
      </c>
      <c r="H242" s="95" t="n"/>
      <c r="I242" s="95" t="n"/>
      <c r="J242" s="94" t="n"/>
      <c r="K242" s="94" t="inlineStr">
        <is>
          <t>CHMI</t>
        </is>
      </c>
    </row>
    <row r="243" ht="15" customHeight="1" s="82">
      <c r="A243" s="94" t="inlineStr">
        <is>
          <t>סטניסלב נסאר</t>
        </is>
      </c>
      <c r="B243" s="94" t="n"/>
      <c r="C243" s="94" t="inlineStr">
        <is>
          <t>מגזר ערבי</t>
        </is>
      </c>
      <c r="D243" s="94" t="n"/>
      <c r="E243" s="94" t="inlineStr">
        <is>
          <t>אדם רוקחות בע""מ טירה ב.מ</t>
        </is>
      </c>
      <c r="F243" s="102" t="n"/>
      <c r="G243" s="102" t="n">
        <v>5798.4</v>
      </c>
      <c r="H243" s="95" t="n"/>
      <c r="I243" s="95" t="n"/>
      <c r="J243" s="94" t="n"/>
      <c r="K243" s="94" t="inlineStr">
        <is>
          <t>CHMI</t>
        </is>
      </c>
    </row>
    <row r="244" ht="15" customHeight="1" s="82">
      <c r="A244" s="94" t="inlineStr">
        <is>
          <t>סטניסלב נסאר</t>
        </is>
      </c>
      <c r="B244" s="94" t="n"/>
      <c r="C244" s="94" t="inlineStr">
        <is>
          <t>מגזר ערבי</t>
        </is>
      </c>
      <c r="D244" s="94" t="n"/>
      <c r="E244" s="94" t="inlineStr">
        <is>
          <t>אלחייאת ב.מ אל סייד</t>
        </is>
      </c>
      <c r="F244" s="102" t="n"/>
      <c r="G244" s="102" t="n">
        <v>6486.8</v>
      </c>
      <c r="H244" s="95" t="n"/>
      <c r="I244" s="95" t="n"/>
      <c r="J244" s="94" t="n"/>
      <c r="K244" s="94" t="inlineStr">
        <is>
          <t>CHMI</t>
        </is>
      </c>
    </row>
    <row r="245" ht="15" customHeight="1" s="82">
      <c r="A245" s="94" t="inlineStr">
        <is>
          <t>סטניסלב נסאר</t>
        </is>
      </c>
      <c r="B245" s="94" t="n"/>
      <c r="C245" s="94" t="inlineStr">
        <is>
          <t>שרם</t>
        </is>
      </c>
      <c r="D245" s="94" t="n"/>
      <c r="E245" s="94" t="inlineStr">
        <is>
          <t>מזור יבנה ב.מ שרמפארם</t>
        </is>
      </c>
      <c r="F245" s="102" t="n"/>
      <c r="G245" s="102" t="n">
        <v>94.09999999999999</v>
      </c>
      <c r="H245" s="95" t="n"/>
      <c r="I245" s="95" t="n"/>
      <c r="J245" s="94" t="n"/>
      <c r="K245" s="94" t="inlineStr">
        <is>
          <t>CHMI</t>
        </is>
      </c>
    </row>
    <row r="246" ht="15" customHeight="1" s="82">
      <c r="A246" s="94" t="inlineStr">
        <is>
          <t>סטניסלב נסאר</t>
        </is>
      </c>
      <c r="B246" s="94" t="n"/>
      <c r="C246" s="94" t="inlineStr">
        <is>
          <t>שרם</t>
        </is>
      </c>
      <c r="D246" s="94" t="n"/>
      <c r="E246" s="94" t="inlineStr">
        <is>
          <t>פארם דרום רהט שרם</t>
        </is>
      </c>
      <c r="F246" s="102" t="n"/>
      <c r="G246" s="102" t="n">
        <v>262.4</v>
      </c>
      <c r="H246" s="95" t="n"/>
      <c r="I246" s="95" t="n"/>
      <c r="J246" s="94" t="n"/>
      <c r="K246" s="94" t="inlineStr">
        <is>
          <t>CHMI</t>
        </is>
      </c>
    </row>
    <row r="247" ht="15" customHeight="1" s="82">
      <c r="A247" s="94" t="inlineStr">
        <is>
          <t>סטניסלב נסאר</t>
        </is>
      </c>
      <c r="B247" s="94" t="n"/>
      <c r="C247" s="94" t="inlineStr">
        <is>
          <t>שרם</t>
        </is>
      </c>
      <c r="D247" s="94" t="n"/>
      <c r="E247" s="94" t="inlineStr">
        <is>
          <t>ב.מ הלא - אלפי מנשה שרמפארם</t>
        </is>
      </c>
      <c r="F247" s="102" t="n"/>
      <c r="G247" s="102" t="n">
        <v>5367.9</v>
      </c>
      <c r="H247" s="95" t="n"/>
      <c r="I247" s="95" t="n"/>
      <c r="J247" s="94" t="n"/>
      <c r="K247" s="94" t="inlineStr">
        <is>
          <t>CHMI</t>
        </is>
      </c>
    </row>
    <row r="248" ht="15" customHeight="1" s="82">
      <c r="A248" s="94" t="inlineStr">
        <is>
          <t>סטניסלב נסאר</t>
        </is>
      </c>
      <c r="B248" s="94" t="n"/>
      <c r="C248" s="94" t="inlineStr">
        <is>
          <t>שרם</t>
        </is>
      </c>
      <c r="D248" s="94" t="n"/>
      <c r="E248" s="94" t="inlineStr">
        <is>
          <t>הלא ג'לג'וליה ב.מ שרםפארם</t>
        </is>
      </c>
      <c r="F248" s="102" t="n"/>
      <c r="G248" s="102" t="n">
        <v>8264.4</v>
      </c>
      <c r="H248" s="95" t="n"/>
      <c r="I248" s="95" t="n"/>
      <c r="J248" s="94" t="n"/>
      <c r="K248" s="94" t="inlineStr">
        <is>
          <t>CHMI</t>
        </is>
      </c>
    </row>
    <row r="249" ht="15" customHeight="1" s="82">
      <c r="A249" s="94" t="inlineStr">
        <is>
          <t>סטניסלב נסאר</t>
        </is>
      </c>
      <c r="B249" s="94" t="n"/>
      <c r="C249" s="94" t="inlineStr">
        <is>
          <t>שרם</t>
        </is>
      </c>
      <c r="D249" s="94" t="n"/>
      <c r="E249" s="94" t="inlineStr">
        <is>
          <t>אבי 2 ר""ג שרםפארם</t>
        </is>
      </c>
      <c r="F249" s="102" t="n"/>
      <c r="G249" s="102" t="n">
        <v>2667.8</v>
      </c>
      <c r="H249" s="95" t="n"/>
      <c r="I249" s="95" t="n"/>
      <c r="J249" s="94" t="n"/>
      <c r="K249" s="94" t="inlineStr">
        <is>
          <t>CHMI</t>
        </is>
      </c>
    </row>
    <row r="250" ht="15" customHeight="1" s="82">
      <c r="A250" s="94" t="inlineStr">
        <is>
          <t>סטניסלב נסאר</t>
        </is>
      </c>
      <c r="B250" s="94" t="n"/>
      <c r="C250" s="94" t="inlineStr">
        <is>
          <t>שרם</t>
        </is>
      </c>
      <c r="D250" s="94" t="n"/>
      <c r="E250" s="94" t="inlineStr">
        <is>
          <t>תל גנים ב.מ שרםפארם גבעתיים</t>
        </is>
      </c>
      <c r="F250" s="102" t="n"/>
      <c r="G250" s="102" t="n">
        <v>3470.3</v>
      </c>
      <c r="H250" s="95" t="n"/>
      <c r="I250" s="95" t="n"/>
      <c r="J250" s="94" t="n"/>
      <c r="K250" s="94" t="inlineStr">
        <is>
          <t>CHMI</t>
        </is>
      </c>
    </row>
    <row r="251" ht="15" customHeight="1" s="82">
      <c r="A251" s="94" t="inlineStr">
        <is>
          <t>סטניסלב נסאר</t>
        </is>
      </c>
      <c r="B251" s="94" t="n"/>
      <c r="C251" s="94" t="inlineStr">
        <is>
          <t>שרם</t>
        </is>
      </c>
      <c r="D251" s="94" t="n"/>
      <c r="E251" s="94" t="inlineStr">
        <is>
          <t>פארם לקיה ב.מ  ש.ר.ם</t>
        </is>
      </c>
      <c r="F251" s="102" t="n"/>
      <c r="G251" s="102" t="n">
        <v>1355.6</v>
      </c>
      <c r="H251" s="95" t="n"/>
      <c r="I251" s="95" t="n"/>
      <c r="J251" s="94" t="n"/>
      <c r="K251" s="94" t="inlineStr">
        <is>
          <t>CHMI</t>
        </is>
      </c>
    </row>
    <row r="252" ht="15" customHeight="1" s="82">
      <c r="A252" s="94" t="inlineStr">
        <is>
          <t>סטניסלב נסאר</t>
        </is>
      </c>
      <c r="B252" s="94" t="n"/>
      <c r="C252" s="94" t="inlineStr">
        <is>
          <t>שרם</t>
        </is>
      </c>
      <c r="D252" s="94" t="n"/>
      <c r="E252" s="94" t="inlineStr">
        <is>
          <t>ב.מ לנא שוכרי פארם סביון שרמפא</t>
        </is>
      </c>
      <c r="F252" s="102" t="n"/>
      <c r="G252" s="102" t="n">
        <v>2832.9</v>
      </c>
      <c r="H252" s="95" t="n"/>
      <c r="I252" s="95" t="n"/>
      <c r="J252" s="94" t="n"/>
      <c r="K252" s="94" t="inlineStr">
        <is>
          <t>CHMI</t>
        </is>
      </c>
    </row>
    <row r="253" ht="15" customHeight="1" s="82">
      <c r="A253" s="94" t="inlineStr">
        <is>
          <t>סטניסלב נסאר</t>
        </is>
      </c>
      <c r="B253" s="94" t="n"/>
      <c r="C253" s="94" t="inlineStr">
        <is>
          <t>שרם</t>
        </is>
      </c>
      <c r="D253" s="94" t="n"/>
      <c r="E253" s="94" t="inlineStr">
        <is>
          <t>א.ג.שפינוזה ר""ג ב.מ. שרמפארם</t>
        </is>
      </c>
      <c r="F253" s="102" t="n"/>
      <c r="G253" s="102" t="n">
        <v>5023.3</v>
      </c>
      <c r="H253" s="95" t="n"/>
      <c r="I253" s="95" t="n"/>
      <c r="J253" s="94" t="n"/>
      <c r="K253" s="94" t="inlineStr">
        <is>
          <t>CHMI</t>
        </is>
      </c>
    </row>
    <row r="254" ht="15" customHeight="1" s="82">
      <c r="A254" s="94" t="inlineStr">
        <is>
          <t>סטניסלב נסאר</t>
        </is>
      </c>
      <c r="B254" s="94" t="n"/>
      <c r="C254" s="94" t="inlineStr">
        <is>
          <t>שרם</t>
        </is>
      </c>
      <c r="D254" s="94" t="n"/>
      <c r="E254" s="94" t="inlineStr">
        <is>
          <t>רהט פארם ב.מ שרמפארם</t>
        </is>
      </c>
      <c r="F254" s="102" t="n"/>
      <c r="G254" s="102" t="n">
        <v>3309</v>
      </c>
      <c r="H254" s="95" t="n"/>
      <c r="I254" s="95" t="n"/>
      <c r="J254" s="94" t="n"/>
      <c r="K254" s="94" t="inlineStr">
        <is>
          <t>CHMI</t>
        </is>
      </c>
    </row>
    <row r="255" ht="15" customHeight="1" s="82">
      <c r="A255" s="94" t="inlineStr">
        <is>
          <t>סטניסלב נסאר</t>
        </is>
      </c>
      <c r="B255" s="94" t="n"/>
      <c r="C255" s="94" t="inlineStr">
        <is>
          <t>שרם</t>
        </is>
      </c>
      <c r="D255" s="94" t="n"/>
      <c r="E255" s="94" t="inlineStr">
        <is>
          <t>ב.מ שרה פארם צור יצחק שרמפארם</t>
        </is>
      </c>
      <c r="F255" s="102" t="n"/>
      <c r="G255" s="102" t="n">
        <v>1483.4</v>
      </c>
      <c r="H255" s="95" t="n"/>
      <c r="I255" s="95" t="n"/>
      <c r="J255" s="94" t="n"/>
      <c r="K255" s="94" t="inlineStr">
        <is>
          <t>CHMI</t>
        </is>
      </c>
    </row>
    <row r="256" ht="15" customHeight="1" s="82">
      <c r="A256" s="94" t="inlineStr">
        <is>
          <t>סטניסלב נסאר</t>
        </is>
      </c>
      <c r="B256" s="94" t="n"/>
      <c r="C256" s="94" t="inlineStr">
        <is>
          <t>שרם</t>
        </is>
      </c>
      <c r="D256" s="94" t="n"/>
      <c r="E256" s="94" t="inlineStr">
        <is>
          <t>רהט פארם סיטי שרמפארם</t>
        </is>
      </c>
      <c r="F256" s="102" t="n"/>
      <c r="G256" s="102" t="n">
        <v>18019</v>
      </c>
      <c r="H256" s="95" t="n"/>
      <c r="I256" s="95" t="n"/>
      <c r="J256" s="94" t="n"/>
      <c r="K256" s="94" t="inlineStr">
        <is>
          <t>CHMI</t>
        </is>
      </c>
    </row>
    <row r="257" ht="15" customHeight="1" s="82">
      <c r="A257" s="94" t="inlineStr">
        <is>
          <t>סטניסלב נסאר</t>
        </is>
      </c>
      <c r="B257" s="94" t="n"/>
      <c r="C257" s="94" t="inlineStr">
        <is>
          <t>שרם</t>
        </is>
      </c>
      <c r="D257" s="94" t="n"/>
      <c r="E257" s="94" t="inlineStr">
        <is>
          <t>בימר""ק אלחיאת טייבה שרמפארם</t>
        </is>
      </c>
      <c r="F257" s="102" t="n"/>
      <c r="G257" s="102" t="n">
        <v>82.8</v>
      </c>
      <c r="H257" s="95" t="n"/>
      <c r="I257" s="95" t="n"/>
      <c r="J257" s="94" t="n"/>
      <c r="K257" s="94" t="inlineStr">
        <is>
          <t>CHMI</t>
        </is>
      </c>
    </row>
    <row r="258" ht="15" customHeight="1" s="82">
      <c r="A258" s="94" t="inlineStr">
        <is>
          <t>סטניסלב נסאר</t>
        </is>
      </c>
      <c r="B258" s="94" t="n"/>
      <c r="C258" s="94" t="inlineStr">
        <is>
          <t>שרם</t>
        </is>
      </c>
      <c r="D258" s="94" t="n"/>
      <c r="E258" s="94" t="inlineStr">
        <is>
          <t>הלא פארם ג'לג'וליה ב.מ</t>
        </is>
      </c>
      <c r="F258" s="102" t="n"/>
      <c r="G258" s="102" t="n">
        <v>6480.9</v>
      </c>
      <c r="H258" s="95" t="n"/>
      <c r="I258" s="95" t="n"/>
      <c r="J258" s="94" t="n"/>
      <c r="K258" s="94" t="inlineStr">
        <is>
          <t>CHMI</t>
        </is>
      </c>
    </row>
    <row r="259" ht="15" customHeight="1" s="82">
      <c r="A259" s="94" t="inlineStr">
        <is>
          <t>סטניסלב נסאר</t>
        </is>
      </c>
      <c r="B259" s="94" t="n"/>
      <c r="C259" s="94" t="inlineStr">
        <is>
          <t>שרם</t>
        </is>
      </c>
      <c r="D259" s="94" t="n"/>
      <c r="E259" s="94" t="inlineStr">
        <is>
          <t>רמי קלנסואה ב.מ</t>
        </is>
      </c>
      <c r="F259" s="102" t="n"/>
      <c r="G259" s="102" t="n">
        <v>2018.5</v>
      </c>
      <c r="H259" s="95" t="n"/>
      <c r="I259" s="95" t="n"/>
      <c r="J259" s="94" t="n"/>
      <c r="K259" s="94" t="inlineStr">
        <is>
          <t>CHMI</t>
        </is>
      </c>
    </row>
    <row r="260" ht="15" customHeight="1" s="82">
      <c r="A260" s="94" t="inlineStr">
        <is>
          <t>סטניסלב נסאר</t>
        </is>
      </c>
      <c r="B260" s="94" t="n"/>
      <c r="C260" s="94" t="inlineStr">
        <is>
          <t>ס. פארם</t>
        </is>
      </c>
      <c r="D260" s="94" t="n"/>
      <c r="E260" s="94" t="inlineStr">
        <is>
          <t>ס.פ.קיראון תרופות</t>
        </is>
      </c>
      <c r="F260" s="102" t="n"/>
      <c r="G260" s="102" t="n">
        <v>36458.8</v>
      </c>
      <c r="H260" s="95" t="n"/>
      <c r="I260" s="95" t="n"/>
      <c r="J260" s="94" t="n"/>
      <c r="K260" s="94" t="inlineStr">
        <is>
          <t>CHMI</t>
        </is>
      </c>
    </row>
    <row r="261" ht="15" customHeight="1" s="82">
      <c r="A261" s="94" t="inlineStr">
        <is>
          <t>סטניסלב נסאר</t>
        </is>
      </c>
      <c r="B261" s="94" t="n"/>
      <c r="C261" s="94" t="inlineStr">
        <is>
          <t>ס. פארם</t>
        </is>
      </c>
      <c r="D261" s="94" t="n"/>
      <c r="E261" s="94" t="inlineStr">
        <is>
          <t>ס.פ.אור יהודה תרופות</t>
        </is>
      </c>
      <c r="F261" s="102" t="n"/>
      <c r="G261" s="102" t="n">
        <v>10122.6</v>
      </c>
      <c r="H261" s="95" t="n"/>
      <c r="I261" s="95" t="n"/>
      <c r="J261" s="94" t="n"/>
      <c r="K261" s="94" t="inlineStr">
        <is>
          <t>CHMI</t>
        </is>
      </c>
    </row>
    <row r="262" ht="15" customHeight="1" s="82">
      <c r="A262" s="94" t="inlineStr">
        <is>
          <t>סטניסלב נסאר</t>
        </is>
      </c>
      <c r="B262" s="94" t="n"/>
      <c r="C262" s="94" t="inlineStr">
        <is>
          <t>ס. פארם</t>
        </is>
      </c>
      <c r="D262" s="94" t="n"/>
      <c r="E262" s="94" t="inlineStr">
        <is>
          <t>ס.פ ביג אור יהודה תרופות</t>
        </is>
      </c>
      <c r="F262" s="102" t="n"/>
      <c r="G262" s="102" t="n">
        <v>3357.9</v>
      </c>
      <c r="H262" s="95" t="n"/>
      <c r="I262" s="95" t="n"/>
      <c r="J262" s="94" t="n"/>
      <c r="K262" s="94" t="inlineStr">
        <is>
          <t>CHMI</t>
        </is>
      </c>
    </row>
    <row r="263" ht="15" customHeight="1" s="82">
      <c r="A263" s="94" t="inlineStr">
        <is>
          <t>סטניסלב נסאר</t>
        </is>
      </c>
      <c r="B263" s="94" t="n"/>
      <c r="C263" s="94" t="inlineStr">
        <is>
          <t>ס. פארם</t>
        </is>
      </c>
      <c r="D263" s="94" t="n"/>
      <c r="E263" s="94" t="inlineStr">
        <is>
          <t>ס.פ.תל השומר תרופות</t>
        </is>
      </c>
      <c r="F263" s="102" t="n"/>
      <c r="G263" s="102" t="n">
        <v>76649.3</v>
      </c>
      <c r="H263" s="95" t="n"/>
      <c r="I263" s="95" t="n"/>
      <c r="J263" s="94" t="n"/>
      <c r="K263" s="94" t="inlineStr">
        <is>
          <t>CHMI</t>
        </is>
      </c>
    </row>
    <row r="264" ht="15" customHeight="1" s="82">
      <c r="A264" s="94" t="inlineStr">
        <is>
          <t>סטניסלב נסאר</t>
        </is>
      </c>
      <c r="B264" s="94" t="n"/>
      <c r="C264" s="94" t="inlineStr">
        <is>
          <t>ס. פארם</t>
        </is>
      </c>
      <c r="D264" s="94" t="n"/>
      <c r="E264" s="94" t="inlineStr">
        <is>
          <t>ס.פ.גבעת סביון תרופות</t>
        </is>
      </c>
      <c r="F264" s="102" t="n"/>
      <c r="G264" s="102" t="n">
        <v>12729.3</v>
      </c>
      <c r="H264" s="95" t="n"/>
      <c r="I264" s="95" t="n"/>
      <c r="J264" s="94" t="n"/>
      <c r="K264" s="94" t="inlineStr">
        <is>
          <t>CHMI</t>
        </is>
      </c>
    </row>
    <row r="265" ht="15" customHeight="1" s="82">
      <c r="A265" s="94" t="inlineStr">
        <is>
          <t>סטניסלב נסאר</t>
        </is>
      </c>
      <c r="B265" s="94" t="n"/>
      <c r="C265" s="94" t="inlineStr">
        <is>
          <t>ס. פארם</t>
        </is>
      </c>
      <c r="D265" s="94" t="n"/>
      <c r="E265" s="94" t="inlineStr">
        <is>
          <t>ס.פ בת ים תרופות</t>
        </is>
      </c>
      <c r="F265" s="102" t="n"/>
      <c r="G265" s="102" t="n">
        <v>21335.6</v>
      </c>
      <c r="H265" s="95" t="n"/>
      <c r="I265" s="95" t="n"/>
      <c r="J265" s="94" t="n"/>
      <c r="K265" s="94" t="inlineStr">
        <is>
          <t>CHMI</t>
        </is>
      </c>
    </row>
    <row r="266" ht="15" customHeight="1" s="82">
      <c r="A266" s="94" t="inlineStr">
        <is>
          <t>סטניסלב נסאר</t>
        </is>
      </c>
      <c r="B266" s="94" t="n"/>
      <c r="C266" s="94" t="inlineStr">
        <is>
          <t>ס. פארם</t>
        </is>
      </c>
      <c r="D266" s="94" t="n"/>
      <c r="E266" s="94" t="inlineStr">
        <is>
          <t>ס.פ.יפו תרופות</t>
        </is>
      </c>
      <c r="F266" s="102" t="n"/>
      <c r="G266" s="102" t="n">
        <v>21226.9</v>
      </c>
      <c r="H266" s="95" t="n"/>
      <c r="I266" s="95" t="n"/>
      <c r="J266" s="94" t="n"/>
      <c r="K266" s="94" t="inlineStr">
        <is>
          <t>CHMI</t>
        </is>
      </c>
    </row>
    <row r="267" ht="15" customHeight="1" s="82">
      <c r="A267" s="94" t="inlineStr">
        <is>
          <t>סטניסלב נסאר</t>
        </is>
      </c>
      <c r="B267" s="94" t="n"/>
      <c r="C267" s="94" t="inlineStr">
        <is>
          <t>ס. פארם</t>
        </is>
      </c>
      <c r="D267" s="94" t="n"/>
      <c r="E267" s="94" t="inlineStr">
        <is>
          <t>ס.פ.חולון תרופות</t>
        </is>
      </c>
      <c r="F267" s="102" t="n"/>
      <c r="G267" s="102" t="n">
        <v>34324.8</v>
      </c>
      <c r="H267" s="95" t="n"/>
      <c r="I267" s="95" t="n"/>
      <c r="J267" s="94" t="n"/>
      <c r="K267" s="94" t="inlineStr">
        <is>
          <t>CHMI</t>
        </is>
      </c>
    </row>
    <row r="268" ht="15" customHeight="1" s="82">
      <c r="A268" s="94" t="inlineStr">
        <is>
          <t>סטניסלב נסאר</t>
        </is>
      </c>
      <c r="B268" s="94" t="n"/>
      <c r="C268" s="94" t="inlineStr">
        <is>
          <t>ס. פארם</t>
        </is>
      </c>
      <c r="D268" s="94" t="n"/>
      <c r="E268" s="94" t="inlineStr">
        <is>
          <t>ס.פ.וייצמן חולון תרופות</t>
        </is>
      </c>
      <c r="F268" s="102" t="n"/>
      <c r="G268" s="102" t="n">
        <v>13152.7</v>
      </c>
      <c r="H268" s="95" t="n"/>
      <c r="I268" s="95" t="n"/>
      <c r="J268" s="94" t="n"/>
      <c r="K268" s="94" t="inlineStr">
        <is>
          <t>CHMI</t>
        </is>
      </c>
    </row>
    <row r="269" ht="15" customHeight="1" s="82">
      <c r="A269" s="94" t="inlineStr">
        <is>
          <t>סטניסלב נסאר</t>
        </is>
      </c>
      <c r="B269" s="94" t="n"/>
      <c r="C269" s="94" t="inlineStr">
        <is>
          <t>ס. פארם</t>
        </is>
      </c>
      <c r="D269" s="94" t="n"/>
      <c r="E269" s="94" t="inlineStr">
        <is>
          <t>ס.פ.העצמאות בת ים תרופות</t>
        </is>
      </c>
      <c r="F269" s="102" t="n"/>
      <c r="G269" s="102" t="n">
        <v>14592.8</v>
      </c>
      <c r="H269" s="95" t="n"/>
      <c r="I269" s="95" t="n"/>
      <c r="J269" s="94" t="n"/>
      <c r="K269" s="94" t="inlineStr">
        <is>
          <t>CHMI</t>
        </is>
      </c>
    </row>
    <row r="270" ht="15" customHeight="1" s="82">
      <c r="A270" s="94" t="inlineStr">
        <is>
          <t>סטניסלב נסאר</t>
        </is>
      </c>
      <c r="B270" s="94" t="n"/>
      <c r="C270" s="94" t="inlineStr">
        <is>
          <t>ס. פארם</t>
        </is>
      </c>
      <c r="D270" s="94" t="n"/>
      <c r="E270" s="94" t="inlineStr">
        <is>
          <t>ס.פ.אזור התעשיה חולון תרופות</t>
        </is>
      </c>
      <c r="F270" s="102" t="n"/>
      <c r="G270" s="102" t="n">
        <v>13917.6</v>
      </c>
      <c r="H270" s="95" t="n"/>
      <c r="I270" s="95" t="n"/>
      <c r="J270" s="94" t="n"/>
      <c r="K270" s="94" t="inlineStr">
        <is>
          <t>CHMI</t>
        </is>
      </c>
    </row>
    <row r="271" ht="15" customHeight="1" s="82">
      <c r="A271" s="94" t="inlineStr">
        <is>
          <t>סטניסלב נסאר</t>
        </is>
      </c>
      <c r="B271" s="94" t="n"/>
      <c r="C271" s="94" t="inlineStr">
        <is>
          <t>ס. פארם</t>
        </is>
      </c>
      <c r="D271" s="94" t="n"/>
      <c r="E271" s="94" t="inlineStr">
        <is>
          <t>ס.פ.רמלה תרופות</t>
        </is>
      </c>
      <c r="F271" s="102" t="n"/>
      <c r="G271" s="102" t="n">
        <v>5222.2</v>
      </c>
      <c r="H271" s="95" t="n"/>
      <c r="I271" s="95" t="n"/>
      <c r="J271" s="94" t="n"/>
      <c r="K271" s="94" t="inlineStr">
        <is>
          <t>CHMI</t>
        </is>
      </c>
    </row>
    <row r="272" ht="15" customHeight="1" s="82">
      <c r="A272" s="94" t="inlineStr">
        <is>
          <t>סטניסלב נסאר</t>
        </is>
      </c>
      <c r="B272" s="94" t="n"/>
      <c r="C272" s="94" t="inlineStr">
        <is>
          <t>ס. פארם</t>
        </is>
      </c>
      <c r="D272" s="94" t="n"/>
      <c r="E272" s="94" t="inlineStr">
        <is>
          <t>ס.פ.איירפורט סיטי תרופות</t>
        </is>
      </c>
      <c r="F272" s="102" t="n"/>
      <c r="G272" s="102" t="n">
        <v>5482.2</v>
      </c>
      <c r="H272" s="95" t="n"/>
      <c r="I272" s="95" t="n"/>
      <c r="J272" s="94" t="n"/>
      <c r="K272" s="94" t="inlineStr">
        <is>
          <t>CHMI</t>
        </is>
      </c>
    </row>
    <row r="273" ht="15" customHeight="1" s="82">
      <c r="A273" s="94" t="inlineStr">
        <is>
          <t>סטניסלב נסאר</t>
        </is>
      </c>
      <c r="B273" s="94" t="n"/>
      <c r="C273" s="94" t="inlineStr">
        <is>
          <t>ס. פארם</t>
        </is>
      </c>
      <c r="D273" s="94" t="n"/>
      <c r="E273" s="94" t="inlineStr">
        <is>
          <t>סופר פארם מצליח תרופות</t>
        </is>
      </c>
      <c r="F273" s="102" t="n"/>
      <c r="G273" s="102" t="n">
        <v>7515.4</v>
      </c>
      <c r="H273" s="95" t="n"/>
      <c r="I273" s="95" t="n"/>
      <c r="J273" s="94" t="n"/>
      <c r="K273" s="94" t="inlineStr">
        <is>
          <t>CHMI</t>
        </is>
      </c>
    </row>
    <row r="274" ht="15" customHeight="1" s="82">
      <c r="A274" s="94" t="inlineStr">
        <is>
          <t>סטניסלב נסאר</t>
        </is>
      </c>
      <c r="B274" s="94" t="n"/>
      <c r="C274" s="94" t="inlineStr">
        <is>
          <t>ס. פארם</t>
        </is>
      </c>
      <c r="D274" s="94" t="n"/>
      <c r="E274" s="94" t="inlineStr">
        <is>
          <t>ס.פ.לוד תרופות</t>
        </is>
      </c>
      <c r="F274" s="102" t="n"/>
      <c r="G274" s="102" t="n">
        <v>24376.1</v>
      </c>
      <c r="H274" s="95" t="n"/>
      <c r="I274" s="95" t="n"/>
      <c r="J274" s="94" t="n"/>
      <c r="K274" s="94" t="inlineStr">
        <is>
          <t>CHMI</t>
        </is>
      </c>
    </row>
    <row r="275" ht="15" customHeight="1" s="82">
      <c r="A275" s="94" t="inlineStr">
        <is>
          <t>סטניסלב נסאר</t>
        </is>
      </c>
      <c r="B275" s="94" t="n"/>
      <c r="C275" s="94" t="inlineStr">
        <is>
          <t>ס. פארם</t>
        </is>
      </c>
      <c r="D275" s="94" t="n"/>
      <c r="E275" s="94" t="inlineStr">
        <is>
          <t>ס.פ.שוהם תרופות</t>
        </is>
      </c>
      <c r="F275" s="102" t="n"/>
      <c r="G275" s="102" t="n">
        <v>17240.6</v>
      </c>
      <c r="H275" s="95" t="n"/>
      <c r="I275" s="95" t="n"/>
      <c r="J275" s="94" t="n"/>
      <c r="K275" s="94" t="inlineStr">
        <is>
          <t>CHMI</t>
        </is>
      </c>
    </row>
    <row r="276" ht="15" customHeight="1" s="82">
      <c r="A276" s="94" t="inlineStr">
        <is>
          <t>סטניסלב נסאר</t>
        </is>
      </c>
      <c r="B276" s="94" t="n"/>
      <c r="C276" s="94" t="inlineStr">
        <is>
          <t>ס. פארם</t>
        </is>
      </c>
      <c r="D276" s="94" t="n"/>
      <c r="E276" s="94" t="inlineStr">
        <is>
          <t>ס.פ.רמלוד תרופות</t>
        </is>
      </c>
      <c r="F276" s="102" t="n"/>
      <c r="G276" s="102" t="n">
        <v>21047</v>
      </c>
      <c r="H276" s="95" t="n"/>
      <c r="I276" s="95" t="n"/>
      <c r="J276" s="94" t="n"/>
      <c r="K276" s="94" t="inlineStr">
        <is>
          <t>CHMI</t>
        </is>
      </c>
    </row>
    <row r="277" ht="15" customHeight="1" s="82">
      <c r="A277" s="94" t="inlineStr">
        <is>
          <t>סטניסלב נסאר</t>
        </is>
      </c>
      <c r="B277" s="94" t="n"/>
      <c r="C277" s="94" t="inlineStr">
        <is>
          <t>ס. פארם</t>
        </is>
      </c>
      <c r="D277" s="94" t="n"/>
      <c r="E277" s="94" t="inlineStr">
        <is>
          <t>ס.פ.אורדע  תרופות</t>
        </is>
      </c>
      <c r="F277" s="102" t="n"/>
      <c r="G277" s="102" t="n">
        <v>7830.8</v>
      </c>
      <c r="H277" s="95" t="n"/>
      <c r="I277" s="95" t="n"/>
      <c r="J277" s="94" t="n"/>
      <c r="K277" s="94" t="inlineStr">
        <is>
          <t>CHMI</t>
        </is>
      </c>
    </row>
    <row r="278" ht="15" customHeight="1" s="82">
      <c r="A278" s="94" t="inlineStr">
        <is>
          <t>סטניסלב נסאר</t>
        </is>
      </c>
      <c r="B278" s="94" t="n"/>
      <c r="C278" s="94" t="inlineStr">
        <is>
          <t>ס. פארם</t>
        </is>
      </c>
      <c r="D278" s="94" t="n"/>
      <c r="E278" s="94" t="inlineStr">
        <is>
          <t>ס.פ.קניון איילון תרופות</t>
        </is>
      </c>
      <c r="F278" s="102" t="n"/>
      <c r="G278" s="102" t="n">
        <v>35896.7</v>
      </c>
      <c r="H278" s="95" t="n"/>
      <c r="I278" s="95" t="n"/>
      <c r="J278" s="94" t="n"/>
      <c r="K278" s="94" t="inlineStr">
        <is>
          <t>CHMI</t>
        </is>
      </c>
    </row>
    <row r="279" ht="15" customHeight="1" s="82">
      <c r="A279" s="94" t="inlineStr">
        <is>
          <t>סטניסלב נסאר</t>
        </is>
      </c>
      <c r="B279" s="94" t="n"/>
      <c r="C279" s="94" t="inlineStr">
        <is>
          <t>ס. פארם</t>
        </is>
      </c>
      <c r="D279" s="94" t="n"/>
      <c r="E279" s="94" t="inlineStr">
        <is>
          <t>ס.פ.כופר הישוב תרופות</t>
        </is>
      </c>
      <c r="F279" s="102" t="n"/>
      <c r="G279" s="102" t="n">
        <v>14984.9</v>
      </c>
      <c r="H279" s="95" t="n"/>
      <c r="I279" s="95" t="n"/>
      <c r="J279" s="94" t="n"/>
      <c r="K279" s="94" t="inlineStr">
        <is>
          <t>CHMI</t>
        </is>
      </c>
    </row>
    <row r="280" ht="15" customHeight="1" s="82">
      <c r="A280" s="94" t="inlineStr">
        <is>
          <t>סטניסלב נסאר</t>
        </is>
      </c>
      <c r="B280" s="94" t="n"/>
      <c r="C280" s="94" t="inlineStr">
        <is>
          <t>ס. פארם</t>
        </is>
      </c>
      <c r="D280" s="94" t="n"/>
      <c r="E280" s="94" t="inlineStr">
        <is>
          <t>ס.פ.מרום נוה תרופות</t>
        </is>
      </c>
      <c r="F280" s="102" t="n"/>
      <c r="G280" s="102" t="n">
        <v>14367.9</v>
      </c>
      <c r="H280" s="95" t="n"/>
      <c r="I280" s="95" t="n"/>
      <c r="J280" s="94" t="n"/>
      <c r="K280" s="94" t="inlineStr">
        <is>
          <t>CHMI</t>
        </is>
      </c>
    </row>
    <row r="281" ht="15" customHeight="1" s="82">
      <c r="A281" s="94" t="inlineStr">
        <is>
          <t>סטניסלב נסאר</t>
        </is>
      </c>
      <c r="B281" s="94" t="n"/>
      <c r="C281" s="94" t="inlineStr">
        <is>
          <t>ס. פארם</t>
        </is>
      </c>
      <c r="D281" s="94" t="n"/>
      <c r="E281" s="94" t="inlineStr">
        <is>
          <t>ס.פ.בן גוריון תרופות</t>
        </is>
      </c>
      <c r="F281" s="102" t="n"/>
      <c r="G281" s="102" t="n">
        <v>13745.6</v>
      </c>
      <c r="H281" s="95" t="n"/>
      <c r="I281" s="95" t="n"/>
      <c r="J281" s="94" t="n"/>
      <c r="K281" s="94" t="inlineStr">
        <is>
          <t>CHMI</t>
        </is>
      </c>
    </row>
    <row r="282" ht="15" customHeight="1" s="82">
      <c r="A282" s="94" t="inlineStr">
        <is>
          <t>סטניסלב נסאר</t>
        </is>
      </c>
      <c r="B282" s="94" t="n"/>
      <c r="C282" s="94" t="inlineStr">
        <is>
          <t>ס. פארם</t>
        </is>
      </c>
      <c r="D282" s="94" t="n"/>
      <c r="E282" s="94" t="inlineStr">
        <is>
          <t>ס.פ.מגדל הורד תרופות</t>
        </is>
      </c>
      <c r="F282" s="102" t="n"/>
      <c r="G282" s="102" t="n">
        <v>12703.7</v>
      </c>
      <c r="H282" s="95" t="n"/>
      <c r="I282" s="95" t="n"/>
      <c r="J282" s="94" t="n"/>
      <c r="K282" s="94" t="inlineStr">
        <is>
          <t>CHMI</t>
        </is>
      </c>
    </row>
    <row r="283" ht="15" customHeight="1" s="82">
      <c r="A283" s="94" t="inlineStr">
        <is>
          <t>סטניסלב נסאר</t>
        </is>
      </c>
      <c r="B283" s="94" t="n"/>
      <c r="C283" s="94" t="inlineStr">
        <is>
          <t>ס. פארם</t>
        </is>
      </c>
      <c r="D283" s="94" t="n"/>
      <c r="E283" s="94" t="inlineStr">
        <is>
          <t>ס.פ.גבעתיים תרופות</t>
        </is>
      </c>
      <c r="F283" s="102" t="n"/>
      <c r="G283" s="102" t="n">
        <v>12658</v>
      </c>
      <c r="H283" s="95" t="n"/>
      <c r="I283" s="95" t="n"/>
      <c r="J283" s="94" t="n"/>
      <c r="K283" s="94" t="inlineStr">
        <is>
          <t>CHMI</t>
        </is>
      </c>
    </row>
    <row r="284" ht="15" customHeight="1" s="82">
      <c r="A284" s="94" t="inlineStr">
        <is>
          <t>סטניסלב נסאר</t>
        </is>
      </c>
      <c r="B284" s="94" t="n"/>
      <c r="C284" s="94" t="inlineStr">
        <is>
          <t>ס. פארם</t>
        </is>
      </c>
      <c r="D284" s="94" t="n"/>
      <c r="E284" s="94" t="inlineStr">
        <is>
          <t>ס.פ.מגדל האופרה תרופות</t>
        </is>
      </c>
      <c r="F284" s="102" t="n"/>
      <c r="G284" s="102" t="n">
        <v>14020.8</v>
      </c>
      <c r="H284" s="95" t="n"/>
      <c r="I284" s="95" t="n"/>
      <c r="J284" s="94" t="n"/>
      <c r="K284" s="94" t="inlineStr">
        <is>
          <t>CHMI</t>
        </is>
      </c>
    </row>
    <row r="285" ht="15" customHeight="1" s="82">
      <c r="A285" s="94" t="inlineStr">
        <is>
          <t>סטניסלב נסאר</t>
        </is>
      </c>
      <c r="B285" s="94" t="n"/>
      <c r="C285" s="94" t="inlineStr">
        <is>
          <t>ס. פארם</t>
        </is>
      </c>
      <c r="D285" s="94" t="n"/>
      <c r="E285" s="94" t="inlineStr">
        <is>
          <t>ס.פ.גבעת טל תרופות</t>
        </is>
      </c>
      <c r="F285" s="102" t="n"/>
      <c r="G285" s="102" t="n">
        <v>12061.8</v>
      </c>
      <c r="H285" s="95" t="n"/>
      <c r="I285" s="95" t="n"/>
      <c r="J285" s="94" t="n"/>
      <c r="K285" s="94" t="inlineStr">
        <is>
          <t>CHMI</t>
        </is>
      </c>
    </row>
    <row r="286" ht="15" customHeight="1" s="82">
      <c r="A286" s="94" t="inlineStr">
        <is>
          <t>סטניסלב נסאר</t>
        </is>
      </c>
      <c r="B286" s="94" t="n"/>
      <c r="C286" s="94" t="inlineStr">
        <is>
          <t>ס. פארם</t>
        </is>
      </c>
      <c r="D286" s="94" t="n"/>
      <c r="E286" s="94" t="inlineStr">
        <is>
          <t>ס.פ.היכל תרופות</t>
        </is>
      </c>
      <c r="F286" s="102" t="n"/>
      <c r="G286" s="102" t="n">
        <v>18705.5</v>
      </c>
      <c r="H286" s="95" t="n"/>
      <c r="I286" s="95" t="n"/>
      <c r="J286" s="94" t="n"/>
      <c r="K286" s="94" t="inlineStr">
        <is>
          <t>CHMI</t>
        </is>
      </c>
    </row>
    <row r="287" ht="15" customHeight="1" s="82">
      <c r="A287" s="94" t="inlineStr">
        <is>
          <t>סטניסלב נסאר</t>
        </is>
      </c>
      <c r="B287" s="94" t="n"/>
      <c r="C287" s="94" t="inlineStr">
        <is>
          <t>ס. פארם</t>
        </is>
      </c>
      <c r="D287" s="94" t="n"/>
      <c r="E287" s="94" t="inlineStr">
        <is>
          <t>ס.פ.כוכב יאיר תרופות</t>
        </is>
      </c>
      <c r="F287" s="102" t="n"/>
      <c r="G287" s="102" t="n">
        <v>9490.5</v>
      </c>
      <c r="H287" s="95" t="n"/>
      <c r="I287" s="95" t="n"/>
      <c r="J287" s="94" t="n"/>
      <c r="K287" s="94" t="inlineStr">
        <is>
          <t>CHMI</t>
        </is>
      </c>
    </row>
    <row r="288" ht="15" customHeight="1" s="82">
      <c r="A288" s="94" t="inlineStr">
        <is>
          <t>סטניסלב נסאר</t>
        </is>
      </c>
      <c r="B288" s="94" t="n"/>
      <c r="C288" s="94" t="inlineStr">
        <is>
          <t>ס. פארם</t>
        </is>
      </c>
      <c r="D288" s="94" t="n"/>
      <c r="E288" s="94" t="inlineStr">
        <is>
          <t>ס.פ.כפר גנים תרופות</t>
        </is>
      </c>
      <c r="F288" s="102" t="n"/>
      <c r="G288" s="102" t="n">
        <v>20962.9</v>
      </c>
      <c r="H288" s="95" t="n"/>
      <c r="I288" s="95" t="n"/>
      <c r="J288" s="94" t="n"/>
      <c r="K288" s="94" t="inlineStr">
        <is>
          <t>CHMI</t>
        </is>
      </c>
    </row>
    <row r="289" ht="15" customHeight="1" s="82">
      <c r="A289" s="94" t="inlineStr">
        <is>
          <t>סטניסלב נסאר</t>
        </is>
      </c>
      <c r="B289" s="94" t="n"/>
      <c r="C289" s="94" t="inlineStr">
        <is>
          <t>ס. פארם</t>
        </is>
      </c>
      <c r="D289" s="94" t="n"/>
      <c r="E289" s="94" t="inlineStr">
        <is>
          <t>ס.פ.בית אמריקה תרופות פ""ת</t>
        </is>
      </c>
      <c r="F289" s="102" t="n"/>
      <c r="G289" s="102" t="n">
        <v>8158.6</v>
      </c>
      <c r="H289" s="95" t="n"/>
      <c r="I289" s="95" t="n"/>
      <c r="J289" s="94" t="n"/>
      <c r="K289" s="94" t="inlineStr">
        <is>
          <t>CHMI</t>
        </is>
      </c>
    </row>
    <row r="290" ht="15" customHeight="1" s="82">
      <c r="A290" s="94" t="inlineStr">
        <is>
          <t>סטניסלב נסאר</t>
        </is>
      </c>
      <c r="B290" s="94" t="n"/>
      <c r="C290" s="94" t="inlineStr">
        <is>
          <t>ס. פארם</t>
        </is>
      </c>
      <c r="D290" s="94" t="n"/>
      <c r="E290" s="94" t="inlineStr">
        <is>
          <t>ס.פ.אבנת פתח תקווה תרופות</t>
        </is>
      </c>
      <c r="F290" s="102" t="n"/>
      <c r="G290" s="102" t="n">
        <v>23177</v>
      </c>
      <c r="H290" s="95" t="n"/>
      <c r="I290" s="95" t="n"/>
      <c r="J290" s="94" t="n"/>
      <c r="K290" s="94" t="inlineStr">
        <is>
          <t>CHMI</t>
        </is>
      </c>
    </row>
    <row r="291" ht="15" customHeight="1" s="82">
      <c r="A291" s="94" t="inlineStr">
        <is>
          <t>סטניסלב נסאר</t>
        </is>
      </c>
      <c r="B291" s="94" t="n"/>
      <c r="C291" s="94" t="inlineStr">
        <is>
          <t>ס. פארם</t>
        </is>
      </c>
      <c r="D291" s="94" t="n"/>
      <c r="E291" s="94" t="inlineStr">
        <is>
          <t>ס.פ.יכין סנטר תרופות</t>
        </is>
      </c>
      <c r="F291" s="102" t="n"/>
      <c r="G291" s="102" t="n">
        <v>9199.5</v>
      </c>
      <c r="H291" s="95" t="n"/>
      <c r="I291" s="95" t="n"/>
      <c r="J291" s="94" t="n"/>
      <c r="K291" s="94" t="inlineStr">
        <is>
          <t>CHMI</t>
        </is>
      </c>
    </row>
    <row r="292" ht="15" customHeight="1" s="82">
      <c r="A292" s="94" t="inlineStr">
        <is>
          <t>סטניסלב נסאר</t>
        </is>
      </c>
      <c r="B292" s="94" t="n"/>
      <c r="C292" s="94" t="inlineStr">
        <is>
          <t>ס. פארם</t>
        </is>
      </c>
      <c r="D292" s="94" t="n"/>
      <c r="E292" s="94" t="inlineStr">
        <is>
          <t>ס.פ.אם המושבות פ""ת תרופות</t>
        </is>
      </c>
      <c r="F292" s="102" t="n"/>
      <c r="G292" s="102" t="n">
        <v>17205.2</v>
      </c>
      <c r="H292" s="95" t="n"/>
      <c r="I292" s="95" t="n"/>
      <c r="J292" s="94" t="n"/>
      <c r="K292" s="94" t="inlineStr">
        <is>
          <t>CHMI</t>
        </is>
      </c>
    </row>
    <row r="293" ht="15" customHeight="1" s="82">
      <c r="A293" s="94" t="inlineStr">
        <is>
          <t>סטניסלב נסאר</t>
        </is>
      </c>
      <c r="B293" s="94" t="n"/>
      <c r="C293" s="94" t="inlineStr">
        <is>
          <t>ס. פארם</t>
        </is>
      </c>
      <c r="D293" s="94" t="n"/>
      <c r="E293" s="94" t="inlineStr">
        <is>
          <t>ס.פ.אורון תרופות</t>
        </is>
      </c>
      <c r="F293" s="102" t="n"/>
      <c r="G293" s="102" t="n">
        <v>6800.6</v>
      </c>
      <c r="H293" s="95" t="n"/>
      <c r="I293" s="95" t="n"/>
      <c r="J293" s="94" t="n"/>
      <c r="K293" s="94" t="inlineStr">
        <is>
          <t>CHMI</t>
        </is>
      </c>
    </row>
    <row r="294" ht="15" customHeight="1" s="82">
      <c r="A294" s="94" t="inlineStr">
        <is>
          <t>סטניסלב נסאר</t>
        </is>
      </c>
      <c r="B294" s="94" t="n"/>
      <c r="C294" s="94" t="inlineStr">
        <is>
          <t>ס. פארם</t>
        </is>
      </c>
      <c r="D294" s="94" t="n"/>
      <c r="E294" s="94" t="inlineStr">
        <is>
          <t>ס.פ.גדרה תרופות</t>
        </is>
      </c>
      <c r="F294" s="102" t="n"/>
      <c r="G294" s="102" t="n">
        <v>22435.5</v>
      </c>
      <c r="H294" s="95" t="n"/>
      <c r="I294" s="95" t="n"/>
      <c r="J294" s="94" t="n"/>
      <c r="K294" s="94" t="inlineStr">
        <is>
          <t>CHMI</t>
        </is>
      </c>
    </row>
    <row r="295" ht="15" customHeight="1" s="82">
      <c r="A295" s="94" t="inlineStr">
        <is>
          <t>סטניסלב נסאר</t>
        </is>
      </c>
      <c r="B295" s="94" t="n"/>
      <c r="C295" s="94" t="inlineStr">
        <is>
          <t>ס. פארם</t>
        </is>
      </c>
      <c r="D295" s="94" t="n"/>
      <c r="E295" s="94" t="inlineStr">
        <is>
          <t>ס.פ.גרנד ב""ש</t>
        </is>
      </c>
      <c r="F295" s="102" t="n"/>
      <c r="G295" s="102" t="n">
        <v>31329.9</v>
      </c>
      <c r="H295" s="95" t="n"/>
      <c r="I295" s="95" t="n"/>
      <c r="J295" s="94" t="n"/>
      <c r="K295" s="94" t="inlineStr">
        <is>
          <t>CHMI</t>
        </is>
      </c>
    </row>
    <row r="296" ht="15" customHeight="1" s="82">
      <c r="A296" s="94" t="inlineStr">
        <is>
          <t>סטניסלב נסאר</t>
        </is>
      </c>
      <c r="B296" s="94" t="n"/>
      <c r="C296" s="94" t="inlineStr">
        <is>
          <t>ס. פארם</t>
        </is>
      </c>
      <c r="D296" s="94" t="n"/>
      <c r="E296" s="94" t="inlineStr">
        <is>
          <t>ס.פ.קניון הנגב תרופות</t>
        </is>
      </c>
      <c r="F296" s="102" t="n"/>
      <c r="G296" s="102" t="n">
        <v>22093.6</v>
      </c>
      <c r="H296" s="95" t="n"/>
      <c r="I296" s="95" t="n"/>
      <c r="J296" s="94" t="n"/>
      <c r="K296" s="94" t="inlineStr">
        <is>
          <t>CHMI</t>
        </is>
      </c>
    </row>
    <row r="297" ht="15" customHeight="1" s="82">
      <c r="A297" s="94" t="inlineStr">
        <is>
          <t>סטניסלב נסאר</t>
        </is>
      </c>
      <c r="B297" s="94" t="n"/>
      <c r="C297" s="94" t="inlineStr">
        <is>
          <t>ס. פארם</t>
        </is>
      </c>
      <c r="D297" s="94" t="n"/>
      <c r="E297" s="94" t="inlineStr">
        <is>
          <t>ס.פ.משחררים ב""ש תרופות</t>
        </is>
      </c>
      <c r="F297" s="102" t="n"/>
      <c r="G297" s="102" t="n">
        <v>18904.6</v>
      </c>
      <c r="H297" s="95" t="n"/>
      <c r="I297" s="95" t="n"/>
      <c r="J297" s="94" t="n"/>
      <c r="K297" s="94" t="inlineStr">
        <is>
          <t>CHMI</t>
        </is>
      </c>
    </row>
    <row r="298" ht="15" customHeight="1" s="82">
      <c r="A298" s="94" t="inlineStr">
        <is>
          <t>סטניסלב נסאר</t>
        </is>
      </c>
      <c r="B298" s="94" t="n"/>
      <c r="C298" s="94" t="inlineStr">
        <is>
          <t>ס. פארם</t>
        </is>
      </c>
      <c r="D298" s="94" t="n"/>
      <c r="E298" s="94" t="inlineStr">
        <is>
          <t>BM ס.פ.קניון שאול המלך</t>
        </is>
      </c>
      <c r="F298" s="102" t="n"/>
      <c r="G298" s="102" t="n">
        <v>9187</v>
      </c>
      <c r="H298" s="95" t="n"/>
      <c r="I298" s="95" t="n"/>
      <c r="J298" s="94" t="n"/>
      <c r="K298" s="94" t="inlineStr">
        <is>
          <t>CHMI</t>
        </is>
      </c>
    </row>
    <row r="299" ht="15" customHeight="1" s="82">
      <c r="A299" s="94" t="inlineStr">
        <is>
          <t>סטניסלב נסאר</t>
        </is>
      </c>
      <c r="B299" s="94" t="n"/>
      <c r="C299" s="94" t="inlineStr">
        <is>
          <t>ס. פארם</t>
        </is>
      </c>
      <c r="D299" s="94" t="n"/>
      <c r="E299" s="94" t="inlineStr">
        <is>
          <t>ס.פ.נחל עשן תרופות</t>
        </is>
      </c>
      <c r="F299" s="102" t="n"/>
      <c r="G299" s="102" t="n">
        <v>12103.5</v>
      </c>
      <c r="H299" s="95" t="n"/>
      <c r="I299" s="95" t="n"/>
      <c r="J299" s="94" t="n"/>
      <c r="K299" s="94" t="inlineStr">
        <is>
          <t>CHMI</t>
        </is>
      </c>
    </row>
    <row r="300" ht="15" customHeight="1" s="82">
      <c r="A300" s="94" t="inlineStr">
        <is>
          <t>סטניסלב נסאר</t>
        </is>
      </c>
      <c r="B300" s="94" t="n"/>
      <c r="C300" s="94" t="inlineStr">
        <is>
          <t>ס. פארם</t>
        </is>
      </c>
      <c r="D300" s="94" t="n"/>
      <c r="E300" s="94" t="inlineStr">
        <is>
          <t>ס.פ.ביג ב""ש תרופות</t>
        </is>
      </c>
      <c r="F300" s="102" t="n"/>
      <c r="G300" s="102" t="n">
        <v>71254.39999999999</v>
      </c>
      <c r="H300" s="95" t="n"/>
      <c r="I300" s="95" t="n"/>
      <c r="J300" s="94" t="n"/>
      <c r="K300" s="94" t="inlineStr">
        <is>
          <t>CHMI</t>
        </is>
      </c>
    </row>
    <row r="301" ht="15" customHeight="1" s="82">
      <c r="A301" s="94" t="inlineStr">
        <is>
          <t>סטניסלב נסאר</t>
        </is>
      </c>
      <c r="B301" s="94" t="n"/>
      <c r="C301" s="94" t="inlineStr">
        <is>
          <t>ס. פארם</t>
        </is>
      </c>
      <c r="D301" s="94" t="n"/>
      <c r="E301" s="94" t="inlineStr">
        <is>
          <t>ס.פ.נווה זאב באר שבע תרופות</t>
        </is>
      </c>
      <c r="F301" s="102" t="n"/>
      <c r="G301" s="102" t="n">
        <v>10190.7</v>
      </c>
      <c r="H301" s="95" t="n"/>
      <c r="I301" s="95" t="n"/>
      <c r="J301" s="94" t="n"/>
      <c r="K301" s="94" t="inlineStr">
        <is>
          <t>CHMI</t>
        </is>
      </c>
    </row>
    <row r="302" ht="15" customHeight="1" s="82">
      <c r="A302" s="94" t="inlineStr">
        <is>
          <t>סטניסלב נסאר</t>
        </is>
      </c>
      <c r="B302" s="94" t="n"/>
      <c r="C302" s="94" t="inlineStr">
        <is>
          <t>ס. פארם</t>
        </is>
      </c>
      <c r="D302" s="94" t="n"/>
      <c r="E302" s="94" t="inlineStr">
        <is>
          <t>ס.פ.חולון שנקר תרופות</t>
        </is>
      </c>
      <c r="F302" s="102" t="n"/>
      <c r="G302" s="102" t="n">
        <v>4956.6</v>
      </c>
      <c r="H302" s="95" t="n"/>
      <c r="I302" s="95" t="n"/>
      <c r="J302" s="94" t="n"/>
      <c r="K302" s="94" t="inlineStr">
        <is>
          <t>CHMI</t>
        </is>
      </c>
    </row>
    <row r="303" ht="15" customHeight="1" s="82">
      <c r="A303" s="94" t="inlineStr">
        <is>
          <t>סטניסלב נסאר</t>
        </is>
      </c>
      <c r="B303" s="94" t="n"/>
      <c r="C303" s="94" t="inlineStr">
        <is>
          <t>ס. פארם</t>
        </is>
      </c>
      <c r="D303" s="94" t="n"/>
      <c r="E303" s="94" t="inlineStr">
        <is>
          <t>ס.פ. שבזי ראש העין תרופות</t>
        </is>
      </c>
      <c r="F303" s="102" t="n"/>
      <c r="G303" s="102" t="n">
        <v>21464.1</v>
      </c>
      <c r="H303" s="95" t="n"/>
      <c r="I303" s="95" t="n"/>
      <c r="J303" s="94" t="n"/>
      <c r="K303" s="94" t="inlineStr">
        <is>
          <t>CHMI</t>
        </is>
      </c>
    </row>
    <row r="304" ht="15" customHeight="1" s="82">
      <c r="A304" s="94" t="inlineStr">
        <is>
          <t>סטניסלב נסאר</t>
        </is>
      </c>
      <c r="B304" s="94" t="n"/>
      <c r="C304" s="94" t="inlineStr">
        <is>
          <t>ס. פארם</t>
        </is>
      </c>
      <c r="D304" s="94" t="n"/>
      <c r="E304" s="94" t="inlineStr">
        <is>
          <t>ס.פ. גן יבנה תרופות</t>
        </is>
      </c>
      <c r="F304" s="102" t="n"/>
      <c r="G304" s="102" t="n">
        <v>14525.9</v>
      </c>
      <c r="H304" s="95" t="n"/>
      <c r="I304" s="95" t="n"/>
      <c r="J304" s="94" t="n"/>
      <c r="K304" s="94" t="inlineStr">
        <is>
          <t>CHMI</t>
        </is>
      </c>
    </row>
    <row r="305" ht="15" customHeight="1" s="82">
      <c r="A305" s="94" t="inlineStr">
        <is>
          <t>סטניסלב נסאר</t>
        </is>
      </c>
      <c r="B305" s="94" t="n"/>
      <c r="C305" s="94" t="inlineStr">
        <is>
          <t>ס. פארם</t>
        </is>
      </c>
      <c r="D305" s="94" t="n"/>
      <c r="E305" s="94" t="inlineStr">
        <is>
          <t>ס.פ. הקישון יבנה תרופות</t>
        </is>
      </c>
      <c r="F305" s="102" t="n"/>
      <c r="G305" s="102" t="n">
        <v>16485.4</v>
      </c>
      <c r="H305" s="95" t="n"/>
      <c r="I305" s="95" t="n"/>
      <c r="J305" s="94" t="n"/>
      <c r="K305" s="94" t="inlineStr">
        <is>
          <t>CHMI</t>
        </is>
      </c>
    </row>
    <row r="306" ht="15" customHeight="1" s="82">
      <c r="A306" s="94" t="inlineStr">
        <is>
          <t>סטניסלב נסאר</t>
        </is>
      </c>
      <c r="B306" s="94" t="n"/>
      <c r="C306" s="94" t="inlineStr">
        <is>
          <t>ס. פארם</t>
        </is>
      </c>
      <c r="D306" s="94" t="n"/>
      <c r="E306" s="94" t="inlineStr">
        <is>
          <t>ס.פ. יבנה הירוקה תרופות</t>
        </is>
      </c>
      <c r="F306" s="102" t="n"/>
      <c r="G306" s="102" t="n">
        <v>13177.5</v>
      </c>
      <c r="H306" s="95" t="n"/>
      <c r="I306" s="95" t="n"/>
      <c r="J306" s="94" t="n"/>
      <c r="K306" s="94" t="inlineStr">
        <is>
          <t>CHMI</t>
        </is>
      </c>
    </row>
    <row r="307" ht="15" customHeight="1" s="82">
      <c r="A307" s="94" t="inlineStr">
        <is>
          <t>סטניסלב נסאר</t>
        </is>
      </c>
      <c r="B307" s="94" t="n"/>
      <c r="C307" s="94" t="inlineStr">
        <is>
          <t>ס. פארם</t>
        </is>
      </c>
      <c r="D307" s="94" t="n"/>
      <c r="E307" s="94" t="inlineStr">
        <is>
          <t>ס.פ.רמות רכס תרופות</t>
        </is>
      </c>
      <c r="F307" s="102" t="n"/>
      <c r="G307" s="102" t="n">
        <v>12729.5</v>
      </c>
      <c r="H307" s="95" t="n"/>
      <c r="I307" s="95" t="n"/>
      <c r="J307" s="94" t="n"/>
      <c r="K307" s="94" t="inlineStr">
        <is>
          <t>CHMI</t>
        </is>
      </c>
    </row>
    <row r="308" ht="15" customHeight="1" s="82">
      <c r="A308" s="94" t="inlineStr">
        <is>
          <t>סטניסלב נסאר</t>
        </is>
      </c>
      <c r="B308" s="94" t="n"/>
      <c r="C308" s="94" t="inlineStr">
        <is>
          <t>ס. פארם</t>
        </is>
      </c>
      <c r="D308" s="94" t="n"/>
      <c r="E308" s="94" t="inlineStr">
        <is>
          <t>ס.פ. ישפרו פלאנט ב""ש</t>
        </is>
      </c>
      <c r="F308" s="102" t="n"/>
      <c r="G308" s="102" t="n">
        <v>4298</v>
      </c>
      <c r="H308" s="95" t="n"/>
      <c r="I308" s="95" t="n"/>
      <c r="J308" s="94" t="n"/>
      <c r="K308" s="94" t="inlineStr">
        <is>
          <t>CHMI</t>
        </is>
      </c>
    </row>
    <row r="309" ht="15" customHeight="1" s="82">
      <c r="A309" s="94" t="inlineStr">
        <is>
          <t>סטניסלב נסאר</t>
        </is>
      </c>
      <c r="B309" s="94" t="n"/>
      <c r="C309" s="94" t="inlineStr">
        <is>
          <t>ס. פארם</t>
        </is>
      </c>
      <c r="D309" s="94" t="n"/>
      <c r="E309" s="94" t="inlineStr">
        <is>
          <t>ס.פ.גבעת שמואל תרופות</t>
        </is>
      </c>
      <c r="F309" s="102" t="n"/>
      <c r="G309" s="102" t="n">
        <v>6026</v>
      </c>
      <c r="H309" s="95" t="n"/>
      <c r="I309" s="95" t="n"/>
      <c r="J309" s="94" t="n"/>
      <c r="K309" s="94" t="inlineStr">
        <is>
          <t>CHMI</t>
        </is>
      </c>
    </row>
    <row r="310" ht="15" customHeight="1" s="82">
      <c r="A310" s="94" t="inlineStr">
        <is>
          <t>סטניסלב נסאר</t>
        </is>
      </c>
      <c r="B310" s="94" t="n"/>
      <c r="C310" s="94" t="inlineStr">
        <is>
          <t>ס. פארם</t>
        </is>
      </c>
      <c r="D310" s="94" t="n"/>
      <c r="E310" s="94" t="inlineStr">
        <is>
          <t>255  ס.פ.מור בני ברק תרופות</t>
        </is>
      </c>
      <c r="F310" s="102" t="n"/>
      <c r="G310" s="102" t="n">
        <v>16295.5</v>
      </c>
      <c r="H310" s="95" t="n"/>
      <c r="I310" s="95" t="n"/>
      <c r="J310" s="94" t="n"/>
      <c r="K310" s="94" t="inlineStr">
        <is>
          <t>CHMI</t>
        </is>
      </c>
    </row>
    <row r="311" ht="15" customHeight="1" s="82">
      <c r="A311" s="94" t="inlineStr">
        <is>
          <t>סטניסלב נסאר</t>
        </is>
      </c>
      <c r="B311" s="94" t="n"/>
      <c r="C311" s="94" t="inlineStr">
        <is>
          <t>ס. פארם</t>
        </is>
      </c>
      <c r="D311" s="94" t="n"/>
      <c r="E311" s="94" t="inlineStr">
        <is>
          <t>ס.פ קרית שרת חולון תרופות</t>
        </is>
      </c>
      <c r="F311" s="102" t="n"/>
      <c r="G311" s="102" t="n">
        <v>10383.2</v>
      </c>
      <c r="H311" s="95" t="n"/>
      <c r="I311" s="95" t="n"/>
      <c r="J311" s="94" t="n"/>
      <c r="K311" s="94" t="inlineStr">
        <is>
          <t>CHMI</t>
        </is>
      </c>
    </row>
    <row r="312" ht="15" customHeight="1" s="82">
      <c r="A312" s="94" t="inlineStr">
        <is>
          <t>סטניסלב נסאר</t>
        </is>
      </c>
      <c r="B312" s="94" t="n"/>
      <c r="C312" s="94" t="inlineStr">
        <is>
          <t>ס. פארם</t>
        </is>
      </c>
      <c r="D312" s="94" t="n"/>
      <c r="E312" s="94" t="inlineStr">
        <is>
          <t>BM ס.פ קניון ביאליק רמת גן</t>
        </is>
      </c>
      <c r="F312" s="102" t="n"/>
      <c r="G312" s="102" t="n">
        <v>6206.9</v>
      </c>
      <c r="H312" s="95" t="n"/>
      <c r="I312" s="95" t="n"/>
      <c r="J312" s="94" t="n"/>
      <c r="K312" s="94" t="inlineStr">
        <is>
          <t>CHMI</t>
        </is>
      </c>
    </row>
    <row r="313" ht="15" customHeight="1" s="82">
      <c r="A313" s="94" t="inlineStr">
        <is>
          <t>סטניסלב נסאר</t>
        </is>
      </c>
      <c r="B313" s="94" t="n"/>
      <c r="C313" s="94" t="inlineStr">
        <is>
          <t>ס. פארם</t>
        </is>
      </c>
      <c r="D313" s="94" t="n"/>
      <c r="E313" s="94" t="inlineStr">
        <is>
          <t>BM ס.פ בורכוב גבעתיים</t>
        </is>
      </c>
      <c r="F313" s="102" t="n"/>
      <c r="G313" s="102" t="n">
        <v>7495.4</v>
      </c>
      <c r="H313" s="95" t="n"/>
      <c r="I313" s="95" t="n"/>
      <c r="J313" s="94" t="n"/>
      <c r="K313" s="94" t="inlineStr">
        <is>
          <t>CHMI</t>
        </is>
      </c>
    </row>
    <row r="314" ht="15" customHeight="1" s="82">
      <c r="A314" s="94" t="inlineStr">
        <is>
          <t>סטניסלב נסאר</t>
        </is>
      </c>
      <c r="B314" s="94" t="n"/>
      <c r="C314" s="94" t="inlineStr">
        <is>
          <t>ס. פארם</t>
        </is>
      </c>
      <c r="D314" s="94" t="n"/>
      <c r="E314" s="94" t="inlineStr">
        <is>
          <t>BM 670 ס.פ עמק חפר</t>
        </is>
      </c>
      <c r="F314" s="102" t="n"/>
      <c r="G314" s="102" t="n">
        <v>14467.2</v>
      </c>
      <c r="H314" s="95" t="n"/>
      <c r="I314" s="95" t="n"/>
      <c r="J314" s="94" t="n"/>
      <c r="K314" s="94" t="inlineStr">
        <is>
          <t>CHMI</t>
        </is>
      </c>
    </row>
    <row r="315" ht="15" customHeight="1" s="82">
      <c r="A315" s="94" t="inlineStr">
        <is>
          <t>סטניסלב נסאר</t>
        </is>
      </c>
      <c r="B315" s="94" t="n"/>
      <c r="C315" s="94" t="inlineStr">
        <is>
          <t>ס. פארם</t>
        </is>
      </c>
      <c r="D315" s="94" t="n"/>
      <c r="E315" s="94" t="inlineStr">
        <is>
          <t>672 BM ס.פ עמק חפר</t>
        </is>
      </c>
      <c r="F315" s="102" t="n"/>
      <c r="G315" s="102" t="n">
        <v>6164</v>
      </c>
      <c r="H315" s="95" t="n"/>
      <c r="I315" s="95" t="n"/>
      <c r="J315" s="94" t="n"/>
      <c r="K315" s="94" t="inlineStr">
        <is>
          <t>CHMI</t>
        </is>
      </c>
    </row>
    <row r="316" ht="15" customHeight="1" s="82">
      <c r="A316" s="94" t="inlineStr">
        <is>
          <t>סטניסלב נסאר</t>
        </is>
      </c>
      <c r="B316" s="94" t="n"/>
      <c r="C316" s="94" t="inlineStr">
        <is>
          <t>ס. פארם</t>
        </is>
      </c>
      <c r="D316" s="94" t="n"/>
      <c r="E316" s="94" t="inlineStr">
        <is>
          <t>ס.פ אור יהודה קניון עזריאלי</t>
        </is>
      </c>
      <c r="F316" s="102" t="n"/>
      <c r="G316" s="102" t="n">
        <v>5566.3</v>
      </c>
      <c r="H316" s="95" t="n"/>
      <c r="I316" s="95" t="n"/>
      <c r="J316" s="94" t="n"/>
      <c r="K316" s="94" t="inlineStr">
        <is>
          <t>CHMI</t>
        </is>
      </c>
    </row>
    <row r="317" ht="15" customHeight="1" s="82">
      <c r="A317" s="94" t="inlineStr">
        <is>
          <t>סטניסלב נסאר</t>
        </is>
      </c>
      <c r="B317" s="94" t="n"/>
      <c r="C317" s="94" t="inlineStr">
        <is>
          <t>ס. פארם</t>
        </is>
      </c>
      <c r="D317" s="94" t="n"/>
      <c r="E317" s="94" t="inlineStr">
        <is>
          <t>ס.פ.אבן יהודה תרופות</t>
        </is>
      </c>
      <c r="F317" s="102" t="n"/>
      <c r="G317" s="102" t="n">
        <v>5591.3</v>
      </c>
      <c r="H317" s="95" t="n"/>
      <c r="I317" s="95" t="n"/>
      <c r="J317" s="94" t="n"/>
      <c r="K317" s="94" t="inlineStr">
        <is>
          <t>CHMI</t>
        </is>
      </c>
    </row>
    <row r="318" ht="15" customHeight="1" s="82">
      <c r="A318" s="94" t="inlineStr">
        <is>
          <t>סטניסלב נסאר</t>
        </is>
      </c>
      <c r="B318" s="94" t="n"/>
      <c r="C318" s="94" t="inlineStr">
        <is>
          <t>ס. פארם</t>
        </is>
      </c>
      <c r="D318" s="94" t="n"/>
      <c r="E318" s="94" t="inlineStr">
        <is>
          <t>BM ס.פ ערערה</t>
        </is>
      </c>
      <c r="F318" s="102" t="n"/>
      <c r="G318" s="102" t="n">
        <v>2447.8</v>
      </c>
      <c r="H318" s="95" t="n"/>
      <c r="I318" s="95" t="n"/>
      <c r="J318" s="94" t="n"/>
      <c r="K318" s="94" t="inlineStr">
        <is>
          <t>CHMI</t>
        </is>
      </c>
    </row>
    <row r="319" ht="15" customHeight="1" s="82">
      <c r="A319" s="94" t="inlineStr">
        <is>
          <t>סטניסלב נסאר</t>
        </is>
      </c>
      <c r="B319" s="94" t="n"/>
      <c r="C319" s="94" t="inlineStr">
        <is>
          <t>ס. פארם</t>
        </is>
      </c>
      <c r="D319" s="94" t="n"/>
      <c r="E319" s="94" t="inlineStr">
        <is>
          <t>273 ס.פ.קניון עזריאלי רמלה</t>
        </is>
      </c>
      <c r="F319" s="102" t="n"/>
      <c r="G319" s="102" t="n">
        <v>10835.7</v>
      </c>
      <c r="H319" s="95" t="n"/>
      <c r="I319" s="95" t="n"/>
      <c r="J319" s="94" t="n"/>
      <c r="K319" s="94" t="inlineStr">
        <is>
          <t>CHMI</t>
        </is>
      </c>
    </row>
    <row r="320" ht="15" customHeight="1" s="82">
      <c r="A320" s="94" t="inlineStr">
        <is>
          <t>סטניסלב נסאר</t>
        </is>
      </c>
      <c r="B320" s="94" t="n"/>
      <c r="C320" s="94" t="inlineStr">
        <is>
          <t>ס. פארם</t>
        </is>
      </c>
      <c r="D320" s="94" t="n"/>
      <c r="E320" s="94" t="inlineStr">
        <is>
          <t>BM ס.פ רמבלס סנטר רמלה</t>
        </is>
      </c>
      <c r="F320" s="102" t="n"/>
      <c r="G320" s="102" t="n">
        <v>5770.4</v>
      </c>
      <c r="H320" s="95" t="n"/>
      <c r="I320" s="95" t="n"/>
      <c r="J320" s="94" t="n"/>
      <c r="K320" s="94" t="inlineStr">
        <is>
          <t>CHMI</t>
        </is>
      </c>
    </row>
    <row r="321" ht="15" customHeight="1" s="82">
      <c r="A321" s="94" t="inlineStr">
        <is>
          <t>סטניסלב נסאר</t>
        </is>
      </c>
      <c r="B321" s="94" t="n"/>
      <c r="C321" s="94" t="inlineStr">
        <is>
          <t>ס. פארם</t>
        </is>
      </c>
      <c r="D321" s="94" t="n"/>
      <c r="E321" s="94" t="inlineStr">
        <is>
          <t>BM ס.פ ביג יהוד</t>
        </is>
      </c>
      <c r="F321" s="102" t="n"/>
      <c r="G321" s="102" t="n">
        <v>12779.4</v>
      </c>
      <c r="H321" s="95" t="n"/>
      <c r="I321" s="95" t="n"/>
      <c r="J321" s="94" t="n"/>
      <c r="K321" s="94" t="inlineStr">
        <is>
          <t>CHMI</t>
        </is>
      </c>
    </row>
    <row r="322" ht="15" customHeight="1" s="82">
      <c r="A322" s="94" t="inlineStr">
        <is>
          <t>סטניסלב נסאר</t>
        </is>
      </c>
      <c r="B322" s="94" t="n"/>
      <c r="C322" s="94" t="inlineStr">
        <is>
          <t>ס. פארם</t>
        </is>
      </c>
      <c r="D322" s="94" t="n"/>
      <c r="E322" s="94" t="inlineStr">
        <is>
          <t>BM ס.פ דרך מצדה ב""ש</t>
        </is>
      </c>
      <c r="F322" s="102" t="n"/>
      <c r="G322" s="102" t="n">
        <v>19336.5</v>
      </c>
      <c r="H322" s="95" t="n"/>
      <c r="I322" s="95" t="n"/>
      <c r="J322" s="94" t="n"/>
      <c r="K322" s="94" t="inlineStr">
        <is>
          <t>CHMI</t>
        </is>
      </c>
    </row>
    <row r="323" ht="15" customHeight="1" s="82">
      <c r="A323" s="94" t="inlineStr">
        <is>
          <t>סטניסלב נסאר</t>
        </is>
      </c>
      <c r="B323" s="94" t="n"/>
      <c r="C323" s="94" t="inlineStr">
        <is>
          <t>ס. פארם</t>
        </is>
      </c>
      <c r="D323" s="94" t="n"/>
      <c r="E323" s="94" t="inlineStr">
        <is>
          <t>BM ס.פ שכונת הפארק בת ים</t>
        </is>
      </c>
      <c r="F323" s="102" t="n"/>
      <c r="G323" s="102" t="n">
        <v>11973.6</v>
      </c>
      <c r="H323" s="95" t="n"/>
      <c r="I323" s="95" t="n"/>
      <c r="J323" s="94" t="n"/>
      <c r="K323" s="94" t="inlineStr">
        <is>
          <t>CHMI</t>
        </is>
      </c>
    </row>
    <row r="324" ht="15" customHeight="1" s="82">
      <c r="A324" s="94" t="inlineStr">
        <is>
          <t>סטניסלב נסאר</t>
        </is>
      </c>
      <c r="B324" s="94" t="n"/>
      <c r="C324" s="94" t="inlineStr">
        <is>
          <t>ס. פארם</t>
        </is>
      </c>
      <c r="D324" s="94" t="n"/>
      <c r="E324" s="94" t="inlineStr">
        <is>
          <t>BM ס.פ פסגת דן רמת גן</t>
        </is>
      </c>
      <c r="F324" s="102" t="n"/>
      <c r="G324" s="102" t="n">
        <v>6747.5</v>
      </c>
      <c r="H324" s="95" t="n"/>
      <c r="I324" s="95" t="n"/>
      <c r="J324" s="94" t="n"/>
      <c r="K324" s="94" t="inlineStr">
        <is>
          <t>CHMI</t>
        </is>
      </c>
    </row>
    <row r="325" ht="15" customHeight="1" s="82">
      <c r="A325" s="94" t="inlineStr">
        <is>
          <t>סטניסלב נסאר</t>
        </is>
      </c>
      <c r="B325" s="94" t="n"/>
      <c r="C325" s="94" t="inlineStr">
        <is>
          <t>ס. פארם</t>
        </is>
      </c>
      <c r="D325" s="94" t="n"/>
      <c r="E325" s="94" t="inlineStr">
        <is>
          <t>BM ס.פ טירה</t>
        </is>
      </c>
      <c r="F325" s="102" t="n"/>
      <c r="G325" s="102" t="n">
        <v>5557.1</v>
      </c>
      <c r="H325" s="95" t="n"/>
      <c r="I325" s="95" t="n"/>
      <c r="J325" s="94" t="n"/>
      <c r="K325" s="94" t="inlineStr">
        <is>
          <t>CHMI</t>
        </is>
      </c>
    </row>
    <row r="326" ht="15" customHeight="1" s="82">
      <c r="A326" s="94" t="inlineStr">
        <is>
          <t>סטניסלב נסאר</t>
        </is>
      </c>
      <c r="B326" s="94" t="n"/>
      <c r="C326" s="94" t="inlineStr">
        <is>
          <t>ס. פארם</t>
        </is>
      </c>
      <c r="D326" s="94" t="n"/>
      <c r="E326" s="94" t="inlineStr">
        <is>
          <t>BM ס.פ צים גני תקווה</t>
        </is>
      </c>
      <c r="F326" s="102" t="n"/>
      <c r="G326" s="102" t="n">
        <v>15782.6</v>
      </c>
      <c r="H326" s="95" t="n"/>
      <c r="I326" s="95" t="n"/>
      <c r="J326" s="94" t="n"/>
      <c r="K326" s="94" t="inlineStr">
        <is>
          <t>CHMI</t>
        </is>
      </c>
    </row>
    <row r="327" ht="15" customHeight="1" s="82">
      <c r="A327" s="94" t="inlineStr">
        <is>
          <t>סטניסלב נסאר</t>
        </is>
      </c>
      <c r="B327" s="94" t="n"/>
      <c r="C327" s="94" t="inlineStr">
        <is>
          <t>ס. פארם</t>
        </is>
      </c>
      <c r="D327" s="94" t="n"/>
      <c r="E327" s="94" t="inlineStr">
        <is>
          <t>BM ס.פ הדר גנים פתח תקווה</t>
        </is>
      </c>
      <c r="F327" s="102" t="n"/>
      <c r="G327" s="102" t="n">
        <v>7905.4</v>
      </c>
      <c r="H327" s="95" t="n"/>
      <c r="I327" s="95" t="n"/>
      <c r="J327" s="94" t="n"/>
      <c r="K327" s="94" t="inlineStr">
        <is>
          <t>CHMI</t>
        </is>
      </c>
    </row>
    <row r="328" ht="15" customHeight="1" s="82">
      <c r="A328" s="94" t="inlineStr">
        <is>
          <t>סטניסלב נסאר</t>
        </is>
      </c>
      <c r="B328" s="94" t="n"/>
      <c r="C328" s="94" t="inlineStr">
        <is>
          <t>ס. פארם</t>
        </is>
      </c>
      <c r="D328" s="94" t="n"/>
      <c r="E328" s="94" t="inlineStr">
        <is>
          <t>BM  ס.פ פארק הנחל ב""ש</t>
        </is>
      </c>
      <c r="F328" s="102" t="n"/>
      <c r="G328" s="102" t="n">
        <v>3479.4</v>
      </c>
      <c r="H328" s="95" t="n"/>
      <c r="I328" s="95" t="n"/>
      <c r="J328" s="94" t="n"/>
      <c r="K328" s="94" t="inlineStr">
        <is>
          <t>CHMI</t>
        </is>
      </c>
    </row>
    <row r="329" ht="15" customHeight="1" s="82">
      <c r="A329" s="94" t="inlineStr">
        <is>
          <t>סטניסלב נסאר</t>
        </is>
      </c>
      <c r="B329" s="94" t="n"/>
      <c r="C329" s="94" t="inlineStr">
        <is>
          <t>ס. פארם</t>
        </is>
      </c>
      <c r="D329" s="94" t="n"/>
      <c r="E329" s="94" t="inlineStr">
        <is>
          <t>BM ס.פ בסר סיטי פתח תקוה</t>
        </is>
      </c>
      <c r="F329" s="102" t="n"/>
      <c r="G329" s="102" t="n">
        <v>4476.1</v>
      </c>
      <c r="H329" s="95" t="n"/>
      <c r="I329" s="95" t="n"/>
      <c r="J329" s="94" t="n"/>
      <c r="K329" s="94" t="inlineStr">
        <is>
          <t>CHMI</t>
        </is>
      </c>
    </row>
    <row r="330" ht="15" customHeight="1" s="82">
      <c r="A330" s="94" t="inlineStr">
        <is>
          <t>סטניסלב נסאר</t>
        </is>
      </c>
      <c r="B330" s="94" t="n"/>
      <c r="C330" s="94" t="inlineStr">
        <is>
          <t>ס. פארם</t>
        </is>
      </c>
      <c r="D330" s="94" t="n"/>
      <c r="E330" s="94" t="inlineStr">
        <is>
          <t>BM ס.פ קרני שומרון</t>
        </is>
      </c>
      <c r="F330" s="102" t="n"/>
      <c r="G330" s="102" t="n">
        <v>6094.9</v>
      </c>
      <c r="H330" s="95" t="n"/>
      <c r="I330" s="95" t="n"/>
      <c r="J330" s="94" t="n"/>
      <c r="K330" s="94" t="inlineStr">
        <is>
          <t>CHMI</t>
        </is>
      </c>
    </row>
    <row r="331" ht="15" customHeight="1" s="82">
      <c r="A331" s="94" t="inlineStr">
        <is>
          <t>סטניסלב נסאר</t>
        </is>
      </c>
      <c r="B331" s="94" t="n"/>
      <c r="C331" s="94" t="inlineStr">
        <is>
          <t>ס. פארם</t>
        </is>
      </c>
      <c r="D331" s="94" t="n"/>
      <c r="E331" s="94" t="inlineStr">
        <is>
          <t>BM ס.פ שפיר סנטר ראש העין</t>
        </is>
      </c>
      <c r="F331" s="102" t="n"/>
      <c r="G331" s="102" t="n">
        <v>14247</v>
      </c>
      <c r="H331" s="95" t="n"/>
      <c r="I331" s="95" t="n"/>
      <c r="J331" s="94" t="n"/>
      <c r="K331" s="94" t="inlineStr">
        <is>
          <t>CHMI</t>
        </is>
      </c>
    </row>
    <row r="332" ht="15" customHeight="1" s="82">
      <c r="A332" s="94" t="inlineStr">
        <is>
          <t>סטניסלב נסאר</t>
        </is>
      </c>
      <c r="B332" s="94" t="n"/>
      <c r="C332" s="94" t="inlineStr">
        <is>
          <t>ס. פארם</t>
        </is>
      </c>
      <c r="D332" s="94" t="n"/>
      <c r="E332" s="94" t="inlineStr">
        <is>
          <t>BM ס.פ חורה</t>
        </is>
      </c>
      <c r="F332" s="102" t="n"/>
      <c r="G332" s="102" t="n">
        <v>4750.5</v>
      </c>
      <c r="H332" s="95" t="n"/>
      <c r="I332" s="95" t="n"/>
      <c r="J332" s="94" t="n"/>
      <c r="K332" s="94" t="inlineStr">
        <is>
          <t>CHMI</t>
        </is>
      </c>
    </row>
    <row r="333" ht="15" customHeight="1" s="82">
      <c r="A333" s="94" t="inlineStr">
        <is>
          <t>סטניסלב נסאר</t>
        </is>
      </c>
      <c r="B333" s="94" t="n"/>
      <c r="C333" s="94" t="inlineStr">
        <is>
          <t>ס. פארם</t>
        </is>
      </c>
      <c r="D333" s="94" t="n"/>
      <c r="E333" s="94" t="inlineStr">
        <is>
          <t>BM ס.פ צים טייבה</t>
        </is>
      </c>
      <c r="F333" s="102" t="n"/>
      <c r="G333" s="102" t="n">
        <v>5981.2</v>
      </c>
      <c r="H333" s="95" t="n"/>
      <c r="I333" s="95" t="n"/>
      <c r="J333" s="94" t="n"/>
      <c r="K333" s="94" t="inlineStr">
        <is>
          <t>CHMI</t>
        </is>
      </c>
    </row>
    <row r="334" ht="15" customHeight="1" s="82">
      <c r="A334" s="94" t="inlineStr">
        <is>
          <t>סטניסלב נסאר</t>
        </is>
      </c>
      <c r="B334" s="94" t="n"/>
      <c r="C334" s="94" t="inlineStr">
        <is>
          <t>ס. פארם</t>
        </is>
      </c>
      <c r="D334" s="94" t="n"/>
      <c r="E334" s="94" t="inlineStr">
        <is>
          <t>BM ס.פ נאות שמיר רמלה</t>
        </is>
      </c>
      <c r="F334" s="102" t="n"/>
      <c r="G334" s="102" t="n">
        <v>2926.2</v>
      </c>
      <c r="H334" s="95" t="n"/>
      <c r="I334" s="95" t="n"/>
      <c r="J334" s="94" t="n"/>
      <c r="K334" s="94" t="inlineStr">
        <is>
          <t>CHMI</t>
        </is>
      </c>
    </row>
    <row r="335" ht="15" customHeight="1" s="82">
      <c r="A335" s="94" t="inlineStr">
        <is>
          <t>סטניסלב נסאר</t>
        </is>
      </c>
      <c r="B335" s="94" t="n"/>
      <c r="C335" s="94" t="inlineStr">
        <is>
          <t>ס. פארם</t>
        </is>
      </c>
      <c r="D335" s="94" t="n"/>
      <c r="E335" s="94" t="inlineStr">
        <is>
          <t>BM ס.פ אונו פארק</t>
        </is>
      </c>
      <c r="F335" s="102" t="n"/>
      <c r="G335" s="102" t="n">
        <v>7816.2</v>
      </c>
      <c r="H335" s="95" t="n"/>
      <c r="I335" s="95" t="n"/>
      <c r="J335" s="94" t="n"/>
      <c r="K335" s="94" t="inlineStr">
        <is>
          <t>CHMI</t>
        </is>
      </c>
    </row>
    <row r="336" ht="15" customHeight="1" s="82">
      <c r="A336" s="94" t="inlineStr">
        <is>
          <t>סטניסלב נסאר</t>
        </is>
      </c>
      <c r="B336" s="94" t="n"/>
      <c r="C336" s="94" t="inlineStr">
        <is>
          <t>ס. פארם</t>
        </is>
      </c>
      <c r="D336" s="94" t="n"/>
      <c r="E336" s="94" t="inlineStr">
        <is>
          <t>BM ס.פ מגדל ספיר</t>
        </is>
      </c>
      <c r="F336" s="102" t="n"/>
      <c r="G336" s="102" t="n">
        <v>15334.8</v>
      </c>
      <c r="H336" s="95" t="n"/>
      <c r="I336" s="95" t="n"/>
      <c r="J336" s="94" t="n"/>
      <c r="K336" s="94" t="inlineStr">
        <is>
          <t>CHMI</t>
        </is>
      </c>
    </row>
    <row r="337" ht="15" customHeight="1" s="82">
      <c r="A337" s="94" t="inlineStr">
        <is>
          <t>סטניסלב נסאר</t>
        </is>
      </c>
      <c r="B337" s="94" t="n"/>
      <c r="C337" s="94" t="inlineStr">
        <is>
          <t>ס. פארם</t>
        </is>
      </c>
      <c r="D337" s="94" t="n"/>
      <c r="E337" s="94" t="inlineStr">
        <is>
          <t>BM ס.פ צים רהט</t>
        </is>
      </c>
      <c r="F337" s="102" t="n"/>
      <c r="G337" s="102" t="n">
        <v>2761</v>
      </c>
      <c r="H337" s="95" t="n"/>
      <c r="I337" s="95" t="n"/>
      <c r="J337" s="94" t="n"/>
      <c r="K337" s="94" t="inlineStr">
        <is>
          <t>CHMI</t>
        </is>
      </c>
    </row>
    <row r="338" ht="15" customHeight="1" s="82">
      <c r="A338" s="94" t="inlineStr">
        <is>
          <t>סטניסלב נסאר</t>
        </is>
      </c>
      <c r="B338" s="94" t="n"/>
      <c r="C338" s="94" t="inlineStr">
        <is>
          <t>ס. פארם</t>
        </is>
      </c>
      <c r="D338" s="94" t="n"/>
      <c r="E338" s="94" t="inlineStr">
        <is>
          <t>BM ס.פ ביג גדרה</t>
        </is>
      </c>
      <c r="F338" s="102" t="n"/>
      <c r="G338" s="102" t="n">
        <v>12516.1</v>
      </c>
      <c r="H338" s="95" t="n"/>
      <c r="I338" s="95" t="n"/>
      <c r="J338" s="94" t="n"/>
      <c r="K338" s="94" t="inlineStr">
        <is>
          <t>CHMI</t>
        </is>
      </c>
    </row>
    <row r="339" ht="15" customHeight="1" s="82">
      <c r="A339" s="94" t="inlineStr">
        <is>
          <t>סטניסלב נסאר</t>
        </is>
      </c>
      <c r="B339" s="94" t="n"/>
      <c r="C339" s="94" t="inlineStr">
        <is>
          <t>שופרסל BE</t>
        </is>
      </c>
      <c r="D339" s="94" t="n"/>
      <c r="E339" s="94" t="inlineStr">
        <is>
          <t>623 סביונים BE</t>
        </is>
      </c>
      <c r="F339" s="102" t="n"/>
      <c r="G339" s="102" t="n">
        <v>13228.2</v>
      </c>
      <c r="H339" s="95" t="n"/>
      <c r="I339" s="95" t="n"/>
      <c r="J339" s="94" t="n"/>
      <c r="K339" s="94" t="inlineStr">
        <is>
          <t>CHMI</t>
        </is>
      </c>
    </row>
    <row r="340" ht="15" customHeight="1" s="82">
      <c r="A340" s="94" t="inlineStr">
        <is>
          <t>סטניסלב נסאר</t>
        </is>
      </c>
      <c r="B340" s="94" t="n"/>
      <c r="C340" s="94" t="inlineStr">
        <is>
          <t>שופרסל BE</t>
        </is>
      </c>
      <c r="D340" s="94" t="n"/>
      <c r="E340" s="94" t="inlineStr">
        <is>
          <t>645  גבעת שמואל BE</t>
        </is>
      </c>
      <c r="F340" s="102" t="n"/>
      <c r="G340" s="102" t="n">
        <v>13938.5</v>
      </c>
      <c r="H340" s="95" t="n"/>
      <c r="I340" s="95" t="n"/>
      <c r="J340" s="94" t="n"/>
      <c r="K340" s="94" t="inlineStr">
        <is>
          <t>CHMI</t>
        </is>
      </c>
    </row>
    <row r="341" ht="15" customHeight="1" s="82">
      <c r="A341" s="94" t="inlineStr">
        <is>
          <t>סטניסלב נסאר</t>
        </is>
      </c>
      <c r="B341" s="94" t="n"/>
      <c r="C341" s="94" t="inlineStr">
        <is>
          <t>שופרסל BE</t>
        </is>
      </c>
      <c r="D341" s="94" t="n"/>
      <c r="E341" s="94" t="inlineStr">
        <is>
          <t>גבעת שמואל זיכויים BE</t>
        </is>
      </c>
      <c r="F341" s="102" t="n"/>
      <c r="G341" s="102" t="n">
        <v>-15.4</v>
      </c>
      <c r="H341" s="95" t="n"/>
      <c r="I341" s="95" t="n"/>
      <c r="J341" s="94" t="n"/>
      <c r="K341" s="94" t="inlineStr">
        <is>
          <t>CHMI</t>
        </is>
      </c>
    </row>
    <row r="342" ht="15" customHeight="1" s="82">
      <c r="A342" s="94" t="inlineStr">
        <is>
          <t>סטניסלב נסאר</t>
        </is>
      </c>
      <c r="B342" s="94" t="n"/>
      <c r="C342" s="94" t="inlineStr">
        <is>
          <t>שופרסל BE</t>
        </is>
      </c>
      <c r="D342" s="94" t="n"/>
      <c r="E342" s="94" t="inlineStr">
        <is>
          <t>634  בת ים BE</t>
        </is>
      </c>
      <c r="F342" s="102" t="n"/>
      <c r="G342" s="102" t="n">
        <v>5456.7</v>
      </c>
      <c r="H342" s="95" t="n"/>
      <c r="I342" s="95" t="n"/>
      <c r="J342" s="94" t="n"/>
      <c r="K342" s="94" t="inlineStr">
        <is>
          <t>CHMI</t>
        </is>
      </c>
    </row>
    <row r="343" ht="15" customHeight="1" s="82">
      <c r="A343" s="94" t="inlineStr">
        <is>
          <t>סטניסלב נסאר</t>
        </is>
      </c>
      <c r="B343" s="94" t="n"/>
      <c r="C343" s="94" t="inlineStr">
        <is>
          <t>שופרסל BE</t>
        </is>
      </c>
      <c r="D343" s="94" t="n"/>
      <c r="E343" s="94" t="inlineStr">
        <is>
          <t>631 וולפסון חולון BE</t>
        </is>
      </c>
      <c r="F343" s="102" t="n"/>
      <c r="G343" s="102" t="n">
        <v>4352.3</v>
      </c>
      <c r="H343" s="95" t="n"/>
      <c r="I343" s="95" t="n"/>
      <c r="J343" s="94" t="n"/>
      <c r="K343" s="94" t="inlineStr">
        <is>
          <t>CHMI</t>
        </is>
      </c>
    </row>
    <row r="344" ht="15" customHeight="1" s="82">
      <c r="A344" s="94" t="inlineStr">
        <is>
          <t>סטניסלב נסאר</t>
        </is>
      </c>
      <c r="B344" s="94" t="n"/>
      <c r="C344" s="94" t="inlineStr">
        <is>
          <t>שופרסל BE</t>
        </is>
      </c>
      <c r="D344" s="94" t="n"/>
      <c r="E344" s="94" t="inlineStr">
        <is>
          <t>681  פארם שוהם BE</t>
        </is>
      </c>
      <c r="F344" s="102" t="n"/>
      <c r="G344" s="102" t="n">
        <v>5533.4</v>
      </c>
      <c r="H344" s="95" t="n"/>
      <c r="I344" s="95" t="n"/>
      <c r="J344" s="94" t="n"/>
      <c r="K344" s="94" t="inlineStr">
        <is>
          <t>CHMI</t>
        </is>
      </c>
    </row>
    <row r="345" ht="15" customHeight="1" s="82">
      <c r="A345" s="94" t="inlineStr">
        <is>
          <t>סטניסלב נסאר</t>
        </is>
      </c>
      <c r="B345" s="94" t="n"/>
      <c r="C345" s="94" t="inlineStr">
        <is>
          <t>שופרסל BE</t>
        </is>
      </c>
      <c r="D345" s="94" t="n"/>
      <c r="E345" s="94" t="inlineStr">
        <is>
          <t>643 פ""ת סירקין BE</t>
        </is>
      </c>
      <c r="F345" s="102" t="n"/>
      <c r="G345" s="102" t="n">
        <v>9895.200000000001</v>
      </c>
      <c r="H345" s="95" t="n"/>
      <c r="I345" s="95" t="n"/>
      <c r="J345" s="94" t="n"/>
      <c r="K345" s="94" t="inlineStr">
        <is>
          <t>CHMI</t>
        </is>
      </c>
    </row>
    <row r="346" ht="15" customHeight="1" s="82">
      <c r="A346" s="94" t="inlineStr">
        <is>
          <t>סטניסלב נסאר</t>
        </is>
      </c>
      <c r="B346" s="94" t="n"/>
      <c r="C346" s="94" t="inlineStr">
        <is>
          <t>שופרסל BE</t>
        </is>
      </c>
      <c r="D346" s="94" t="n"/>
      <c r="E346" s="94" t="inlineStr">
        <is>
          <t>654 אם המושבות BE</t>
        </is>
      </c>
      <c r="F346" s="102" t="n"/>
      <c r="G346" s="102" t="n">
        <v>11655.9</v>
      </c>
      <c r="H346" s="95" t="n"/>
      <c r="I346" s="95" t="n"/>
      <c r="J346" s="94" t="n"/>
      <c r="K346" s="94" t="inlineStr">
        <is>
          <t>CHMI</t>
        </is>
      </c>
    </row>
    <row r="347" ht="15" customHeight="1" s="82">
      <c r="A347" s="94" t="inlineStr">
        <is>
          <t>סטניסלב נסאר</t>
        </is>
      </c>
      <c r="B347" s="94" t="n"/>
      <c r="C347" s="94" t="inlineStr">
        <is>
          <t>שופרסל BE</t>
        </is>
      </c>
      <c r="D347" s="94" t="n"/>
      <c r="E347" s="94" t="inlineStr">
        <is>
          <t>688 מדיקל בלינסון BE</t>
        </is>
      </c>
      <c r="F347" s="102" t="n"/>
      <c r="G347" s="102" t="n">
        <v>26386.7</v>
      </c>
      <c r="H347" s="95" t="n"/>
      <c r="I347" s="95" t="n"/>
      <c r="J347" s="94" t="n"/>
      <c r="K347" s="94" t="inlineStr">
        <is>
          <t>CHMI</t>
        </is>
      </c>
    </row>
    <row r="348" ht="15" customHeight="1" s="82">
      <c r="A348" s="94" t="inlineStr">
        <is>
          <t>סטניסלב נסאר</t>
        </is>
      </c>
      <c r="B348" s="94" t="n"/>
      <c r="C348" s="94" t="inlineStr">
        <is>
          <t>שופרסל BE</t>
        </is>
      </c>
      <c r="D348" s="94" t="n"/>
      <c r="E348" s="94" t="inlineStr">
        <is>
          <t>639  אריאל BE</t>
        </is>
      </c>
      <c r="F348" s="102" t="n"/>
      <c r="G348" s="102" t="n">
        <v>8011.5</v>
      </c>
      <c r="H348" s="95" t="n"/>
      <c r="I348" s="95" t="n"/>
      <c r="J348" s="94" t="n"/>
      <c r="K348" s="94" t="inlineStr">
        <is>
          <t>CHMI</t>
        </is>
      </c>
    </row>
    <row r="349" ht="15" customHeight="1" s="82">
      <c r="A349" s="94" t="inlineStr">
        <is>
          <t>סטניסלב נסאר</t>
        </is>
      </c>
      <c r="B349" s="94" t="n"/>
      <c r="C349" s="94" t="inlineStr">
        <is>
          <t>שופרסל BE</t>
        </is>
      </c>
      <c r="D349" s="94" t="n"/>
      <c r="E349" s="94" t="inlineStr">
        <is>
          <t>696 מדיקל אלעד BE</t>
        </is>
      </c>
      <c r="F349" s="102" t="n"/>
      <c r="G349" s="102" t="n">
        <v>220.4</v>
      </c>
      <c r="H349" s="95" t="n"/>
      <c r="I349" s="95" t="n"/>
      <c r="J349" s="94" t="n"/>
      <c r="K349" s="94" t="inlineStr">
        <is>
          <t>CHMI</t>
        </is>
      </c>
    </row>
    <row r="350" ht="15" customHeight="1" s="82">
      <c r="A350" s="94" t="inlineStr">
        <is>
          <t>סטניסלב נסאר</t>
        </is>
      </c>
      <c r="B350" s="94" t="n"/>
      <c r="C350" s="94" t="inlineStr">
        <is>
          <t>שופרסל BE</t>
        </is>
      </c>
      <c r="D350" s="94" t="n"/>
      <c r="E350" s="94" t="inlineStr">
        <is>
          <t>641  גבעתיים BE</t>
        </is>
      </c>
      <c r="F350" s="102" t="n"/>
      <c r="G350" s="102" t="n">
        <v>2629.5</v>
      </c>
      <c r="H350" s="95" t="n"/>
      <c r="I350" s="95" t="n"/>
      <c r="J350" s="94" t="n"/>
      <c r="K350" s="94" t="inlineStr">
        <is>
          <t>CHMI</t>
        </is>
      </c>
    </row>
    <row r="351" ht="15" customHeight="1" s="82">
      <c r="A351" s="94" t="inlineStr">
        <is>
          <t>סטניסלב נסאר</t>
        </is>
      </c>
      <c r="B351" s="94" t="n"/>
      <c r="C351" s="94" t="inlineStr">
        <is>
          <t>שופרסל BE</t>
        </is>
      </c>
      <c r="D351" s="94" t="n"/>
      <c r="E351" s="94" t="inlineStr">
        <is>
          <t>776 טירה BE</t>
        </is>
      </c>
      <c r="F351" s="102" t="n"/>
      <c r="G351" s="102" t="n">
        <v>11559.5</v>
      </c>
      <c r="H351" s="95" t="n"/>
      <c r="I351" s="95" t="n"/>
      <c r="J351" s="94" t="n"/>
      <c r="K351" s="94" t="inlineStr">
        <is>
          <t>CHMI</t>
        </is>
      </c>
    </row>
    <row r="352" ht="15" customHeight="1" s="82">
      <c r="A352" s="94" t="inlineStr">
        <is>
          <t>סטניסלב נסאר</t>
        </is>
      </c>
      <c r="B352" s="94" t="n"/>
      <c r="C352" s="94" t="inlineStr">
        <is>
          <t>שופרסל BE</t>
        </is>
      </c>
      <c r="D352" s="94" t="n"/>
      <c r="E352" s="94" t="inlineStr">
        <is>
          <t>178 סגולה פ""ת BE</t>
        </is>
      </c>
      <c r="F352" s="102" t="n"/>
      <c r="G352" s="102" t="n">
        <v>1165.8</v>
      </c>
      <c r="H352" s="95" t="n"/>
      <c r="I352" s="95" t="n"/>
      <c r="J352" s="94" t="n"/>
      <c r="K352" s="94" t="inlineStr">
        <is>
          <t>CHMI</t>
        </is>
      </c>
    </row>
    <row r="353" ht="15" customHeight="1" s="82">
      <c r="A353" s="94" t="inlineStr">
        <is>
          <t>סטניסלב נסאר</t>
        </is>
      </c>
      <c r="B353" s="94" t="n"/>
      <c r="C353" s="94" t="inlineStr">
        <is>
          <t>שופרסל BE</t>
        </is>
      </c>
      <c r="D353" s="94" t="n"/>
      <c r="E353" s="94" t="inlineStr">
        <is>
          <t>26 בלוך גבעתיים BE</t>
        </is>
      </c>
      <c r="F353" s="102" t="n"/>
      <c r="G353" s="102" t="n">
        <v>3793.5</v>
      </c>
      <c r="H353" s="95" t="n"/>
      <c r="I353" s="95" t="n"/>
      <c r="J353" s="94" t="n"/>
      <c r="K353" s="94" t="inlineStr">
        <is>
          <t>CHMI</t>
        </is>
      </c>
    </row>
    <row r="354" ht="15" customHeight="1" s="82">
      <c r="A354" s="94" t="inlineStr">
        <is>
          <t>סטניסלב נסאר</t>
        </is>
      </c>
      <c r="B354" s="94" t="n"/>
      <c r="C354" s="94" t="inlineStr">
        <is>
          <t>שופרסל BE</t>
        </is>
      </c>
      <c r="D354" s="94" t="n"/>
      <c r="E354" s="94" t="inlineStr">
        <is>
          <t>218 גרין עפולה</t>
        </is>
      </c>
      <c r="F354" s="102" t="n"/>
      <c r="G354" s="102" t="n">
        <v>262.5</v>
      </c>
      <c r="H354" s="95" t="n"/>
      <c r="I354" s="95" t="n"/>
      <c r="J354" s="94" t="n"/>
      <c r="K354" s="94" t="inlineStr">
        <is>
          <t>CHMI</t>
        </is>
      </c>
    </row>
    <row r="355" ht="15" customHeight="1" s="82">
      <c r="A355" s="94" t="inlineStr">
        <is>
          <t>סטניסלב נסאר</t>
        </is>
      </c>
      <c r="B355" s="94" t="n"/>
      <c r="C355" s="94" t="inlineStr">
        <is>
          <t>שופרסל BE</t>
        </is>
      </c>
      <c r="D355" s="94" t="n"/>
      <c r="E355" s="94" t="inlineStr">
        <is>
          <t>657 קרית שמונה BE</t>
        </is>
      </c>
      <c r="F355" s="102" t="n"/>
      <c r="G355" s="102" t="n">
        <v>5295.3</v>
      </c>
      <c r="H355" s="95" t="n"/>
      <c r="I355" s="95" t="n"/>
      <c r="J355" s="94" t="n"/>
      <c r="K355" s="94" t="inlineStr">
        <is>
          <t>CHMI</t>
        </is>
      </c>
    </row>
    <row r="356" ht="15" customHeight="1" s="82">
      <c r="A356" s="94" t="inlineStr">
        <is>
          <t>סטניסלב נסאר</t>
        </is>
      </c>
      <c r="B356" s="94" t="n"/>
      <c r="C356" s="94" t="inlineStr">
        <is>
          <t>שופרסל BE</t>
        </is>
      </c>
      <c r="D356" s="94" t="n"/>
      <c r="E356" s="94" t="inlineStr">
        <is>
          <t>298 אמות ב""ש BE</t>
        </is>
      </c>
      <c r="F356" s="102" t="n"/>
      <c r="G356" s="102" t="n">
        <v>6886.4</v>
      </c>
      <c r="H356" s="95" t="n"/>
      <c r="I356" s="95" t="n"/>
      <c r="J356" s="94" t="n"/>
      <c r="K356" s="94" t="inlineStr">
        <is>
          <t>CHMI</t>
        </is>
      </c>
    </row>
    <row r="357" ht="15" customHeight="1" s="82">
      <c r="A357" s="94" t="inlineStr">
        <is>
          <t>סטניסלב נסאר</t>
        </is>
      </c>
      <c r="B357" s="94" t="n"/>
      <c r="C357" s="94" t="inlineStr">
        <is>
          <t>שופרסל BE</t>
        </is>
      </c>
      <c r="D357" s="94" t="n"/>
      <c r="E357" s="94" t="inlineStr">
        <is>
          <t>270 תמנע חולון BE</t>
        </is>
      </c>
      <c r="F357" s="102" t="n"/>
      <c r="G357" s="102" t="n">
        <v>4323.2</v>
      </c>
      <c r="H357" s="95" t="n"/>
      <c r="I357" s="95" t="n"/>
      <c r="J357" s="94" t="n"/>
      <c r="K357" s="94" t="inlineStr">
        <is>
          <t>CHMI</t>
        </is>
      </c>
    </row>
    <row r="358" ht="15" customHeight="1" s="82">
      <c r="A358" s="94" t="inlineStr">
        <is>
          <t>סטניסלב נסאר</t>
        </is>
      </c>
      <c r="B358" s="94" t="n"/>
      <c r="C358" s="94" t="inlineStr">
        <is>
          <t>שופרסל BE</t>
        </is>
      </c>
      <c r="D358" s="94" t="n"/>
      <c r="E358" s="94" t="inlineStr">
        <is>
          <t>233 לב הפארק ב""ש BE</t>
        </is>
      </c>
      <c r="F358" s="102" t="n"/>
      <c r="G358" s="102" t="n">
        <v>1787.1</v>
      </c>
      <c r="H358" s="95" t="n"/>
      <c r="I358" s="95" t="n"/>
      <c r="J358" s="94" t="n"/>
      <c r="K358" s="94" t="inlineStr">
        <is>
          <t>CHMI</t>
        </is>
      </c>
    </row>
    <row r="359" ht="15" customHeight="1" s="82">
      <c r="A359" s="94" t="inlineStr">
        <is>
          <t>סטניסלב נסאר</t>
        </is>
      </c>
      <c r="B359" s="94" t="n"/>
      <c r="C359" s="94" t="inlineStr">
        <is>
          <t>שופרסל BE</t>
        </is>
      </c>
      <c r="D359" s="94" t="n"/>
      <c r="E359" s="94" t="inlineStr">
        <is>
          <t>(155) דיל מצפה ספיר BE</t>
        </is>
      </c>
      <c r="F359" s="102" t="n"/>
      <c r="G359" s="102" t="n">
        <v>1309.1</v>
      </c>
      <c r="H359" s="95" t="n"/>
      <c r="I359" s="95" t="n"/>
      <c r="J359" s="94" t="n"/>
      <c r="K359" s="94" t="inlineStr">
        <is>
          <t>CHMI</t>
        </is>
      </c>
    </row>
    <row r="360" ht="15" customHeight="1" s="82">
      <c r="A360" s="94" t="inlineStr">
        <is>
          <t>סטניסלב נסאר</t>
        </is>
      </c>
      <c r="B360" s="94" t="n"/>
      <c r="C360" s="94" t="inlineStr">
        <is>
          <t>שופרסל BE</t>
        </is>
      </c>
      <c r="D360" s="94" t="n"/>
      <c r="E360" s="94" t="inlineStr">
        <is>
          <t>784 כפר גנים BE</t>
        </is>
      </c>
      <c r="F360" s="102" t="n"/>
      <c r="G360" s="102" t="n">
        <v>5753.9</v>
      </c>
      <c r="H360" s="95" t="n"/>
      <c r="I360" s="95" t="n"/>
      <c r="J360" s="94" t="n"/>
      <c r="K360" s="94" t="inlineStr">
        <is>
          <t>CHMI</t>
        </is>
      </c>
    </row>
    <row r="361" ht="15" customHeight="1" s="82">
      <c r="A361" s="94" t="inlineStr">
        <is>
          <t>סטניסלב נסאר</t>
        </is>
      </c>
      <c r="B361" s="94" t="n"/>
      <c r="C361" s="94" t="inlineStr">
        <is>
          <t>שופרסל BE</t>
        </is>
      </c>
      <c r="D361" s="94" t="n"/>
      <c r="E361" s="94" t="inlineStr">
        <is>
          <t>787 חמדת אריאל BE</t>
        </is>
      </c>
      <c r="F361" s="102" t="n"/>
      <c r="G361" s="102" t="n">
        <v>3846</v>
      </c>
      <c r="H361" s="95" t="n"/>
      <c r="I361" s="95" t="n"/>
      <c r="J361" s="94" t="n"/>
      <c r="K361" s="94" t="inlineStr">
        <is>
          <t>CHMI</t>
        </is>
      </c>
    </row>
    <row r="362" ht="15" customHeight="1" s="82">
      <c r="A362" s="94" t="inlineStr">
        <is>
          <t>סטניסלב נסאר</t>
        </is>
      </c>
      <c r="B362" s="94" t="n"/>
      <c r="C362" s="94" t="inlineStr">
        <is>
          <t>שופרסל BE</t>
        </is>
      </c>
      <c r="D362" s="94" t="n"/>
      <c r="E362" s="94" t="inlineStr">
        <is>
          <t>507 נאות שמיר יבנה BE</t>
        </is>
      </c>
      <c r="F362" s="102" t="n"/>
      <c r="G362" s="102" t="n">
        <v>1593.7</v>
      </c>
      <c r="H362" s="95" t="n"/>
      <c r="I362" s="95" t="n"/>
      <c r="J362" s="94" t="n"/>
      <c r="K362" s="94" t="inlineStr">
        <is>
          <t>CHMI</t>
        </is>
      </c>
    </row>
    <row r="363" ht="15" customHeight="1" s="82">
      <c r="A363" s="94" t="inlineStr">
        <is>
          <t>סטניסלב נסאר</t>
        </is>
      </c>
      <c r="B363" s="94" t="n"/>
      <c r="C363" s="94" t="inlineStr">
        <is>
          <t>שופרסל BE</t>
        </is>
      </c>
      <c r="D363" s="94" t="n"/>
      <c r="E363" s="94" t="inlineStr">
        <is>
          <t>716 מול 7 באר שבע BE</t>
        </is>
      </c>
      <c r="F363" s="102" t="n"/>
      <c r="G363" s="102" t="n">
        <v>2474.4</v>
      </c>
      <c r="H363" s="95" t="n"/>
      <c r="I363" s="95" t="n"/>
      <c r="J363" s="94" t="n"/>
      <c r="K363" s="94" t="inlineStr">
        <is>
          <t>CHMI</t>
        </is>
      </c>
    </row>
    <row r="364" ht="15" customHeight="1" s="82">
      <c r="A364" s="94" t="inlineStr">
        <is>
          <t>סטניסלב נסאר</t>
        </is>
      </c>
      <c r="B364" s="94" t="n"/>
      <c r="C364" s="94" t="inlineStr">
        <is>
          <t>שופרסל BE</t>
        </is>
      </c>
      <c r="D364" s="94" t="n"/>
      <c r="E364" s="94" t="inlineStr">
        <is>
          <t>352 טייבה BE</t>
        </is>
      </c>
      <c r="F364" s="102" t="n"/>
      <c r="G364" s="102" t="n">
        <v>7752.1</v>
      </c>
      <c r="H364" s="95" t="n"/>
      <c r="I364" s="95" t="n"/>
      <c r="J364" s="94" t="n"/>
      <c r="K364" s="94" t="inlineStr">
        <is>
          <t>CHMI</t>
        </is>
      </c>
    </row>
    <row r="365" ht="15" customHeight="1" s="82">
      <c r="A365" s="94" t="inlineStr">
        <is>
          <t>סטניסלב נסאר</t>
        </is>
      </c>
      <c r="B365" s="94" t="n"/>
      <c r="C365" s="94" t="inlineStr">
        <is>
          <t>שופרסל BE</t>
        </is>
      </c>
      <c r="D365" s="94" t="n"/>
      <c r="E365" s="94" t="inlineStr">
        <is>
          <t>482 נווה דורון רמלה BE</t>
        </is>
      </c>
      <c r="F365" s="102" t="n"/>
      <c r="G365" s="102" t="n">
        <v>2390.4</v>
      </c>
      <c r="H365" s="95" t="n"/>
      <c r="I365" s="95" t="n"/>
      <c r="J365" s="94" t="n"/>
      <c r="K365" s="94" t="inlineStr">
        <is>
          <t>CHMI</t>
        </is>
      </c>
    </row>
    <row r="366" ht="15" customHeight="1" s="82">
      <c r="A366" s="94" t="n"/>
      <c r="B366" s="94" t="n"/>
      <c r="C366" s="94" t="n"/>
      <c r="D366" s="94" t="n"/>
      <c r="E366" s="94" t="n"/>
      <c r="F366" s="102" t="n"/>
      <c r="G366" s="102" t="n"/>
      <c r="H366" s="95" t="n"/>
      <c r="I366" s="95" t="n"/>
      <c r="J366" s="94" t="n"/>
      <c r="K366" s="94" t="n"/>
    </row>
    <row r="367" ht="15" customHeight="1" s="82">
      <c r="A367" s="94" t="inlineStr">
        <is>
          <t>סטניסלב נסאר</t>
        </is>
      </c>
      <c r="C367" s="94" t="inlineStr">
        <is>
          <t>0קופות חולים</t>
        </is>
      </c>
      <c r="E367" s="94" t="inlineStr">
        <is>
          <t>7106  מאוחדת הדר גנים</t>
        </is>
      </c>
      <c r="G367" s="102" t="n">
        <v>1278.2</v>
      </c>
      <c r="K367" s="94" t="inlineStr">
        <is>
          <t>CHMI</t>
        </is>
      </c>
    </row>
    <row r="368" ht="15" customHeight="1" s="82">
      <c r="A368" s="94" t="inlineStr">
        <is>
          <t>סטניסלב נסאר</t>
        </is>
      </c>
      <c r="C368" s="94" t="inlineStr">
        <is>
          <t>0קופות חולים</t>
        </is>
      </c>
      <c r="E368" s="94" t="inlineStr">
        <is>
          <t>מאוחדת 2 ביתר עילית תמרים</t>
        </is>
      </c>
      <c r="G368" s="102" t="n">
        <v>900.5</v>
      </c>
      <c r="K368" s="94" t="inlineStr">
        <is>
          <t>CHMI</t>
        </is>
      </c>
    </row>
    <row r="369" ht="15" customHeight="1" s="82">
      <c r="A369" s="94" t="inlineStr">
        <is>
          <t>סטניסלב נסאר</t>
        </is>
      </c>
      <c r="C369" s="94" t="inlineStr">
        <is>
          <t>0קופות חולים</t>
        </is>
      </c>
      <c r="E369" s="94" t="inlineStr">
        <is>
          <t>מאוחדת-אלון שבות2516 מחסן</t>
        </is>
      </c>
      <c r="G369" s="102" t="n">
        <v>375.6</v>
      </c>
      <c r="K369" s="94" t="inlineStr">
        <is>
          <t>CHMI</t>
        </is>
      </c>
    </row>
    <row r="370" ht="15" customHeight="1" s="82">
      <c r="A370" s="94" t="inlineStr">
        <is>
          <t>סטניסלב נסאר</t>
        </is>
      </c>
      <c r="C370" s="94" t="inlineStr">
        <is>
          <t>0קופות חולים</t>
        </is>
      </c>
      <c r="E370" s="94" t="inlineStr">
        <is>
          <t>5510 מאוחדת רמת-גן</t>
        </is>
      </c>
      <c r="G370" s="102" t="n">
        <v>874.7</v>
      </c>
      <c r="K370" s="94" t="inlineStr">
        <is>
          <t>CHMI</t>
        </is>
      </c>
    </row>
    <row r="371" ht="15" customHeight="1" s="82">
      <c r="A371" s="94" t="inlineStr">
        <is>
          <t>סטניסלב נסאר</t>
        </is>
      </c>
      <c r="C371" s="94" t="inlineStr">
        <is>
          <t>0קופות חולים</t>
        </is>
      </c>
      <c r="E371" s="94" t="inlineStr">
        <is>
          <t>7509 מאוחדת גן יבנה</t>
        </is>
      </c>
      <c r="G371" s="102" t="n">
        <v>2483</v>
      </c>
      <c r="K371" s="94" t="inlineStr">
        <is>
          <t>CHMI</t>
        </is>
      </c>
    </row>
    <row r="372" ht="15" customHeight="1" s="82">
      <c r="A372" s="94" t="inlineStr">
        <is>
          <t>סטניסלב נסאר</t>
        </is>
      </c>
      <c r="C372" s="94" t="inlineStr">
        <is>
          <t>0קופות חולים</t>
        </is>
      </c>
      <c r="E372" s="94" t="inlineStr">
        <is>
          <t>7507 מאוחדת ב""ש</t>
        </is>
      </c>
      <c r="G372" s="102" t="n">
        <v>1261.8</v>
      </c>
      <c r="K372" s="94" t="inlineStr">
        <is>
          <t>CHMI</t>
        </is>
      </c>
    </row>
    <row r="373" ht="15" customHeight="1" s="82">
      <c r="A373" s="94" t="inlineStr">
        <is>
          <t>סטניסלב נסאר</t>
        </is>
      </c>
      <c r="C373" s="94" t="inlineStr">
        <is>
          <t>0קופות חולים</t>
        </is>
      </c>
      <c r="E373" s="94" t="inlineStr">
        <is>
          <t>7510 מאוחדת חולון</t>
        </is>
      </c>
      <c r="G373" s="102" t="n">
        <v>513.3</v>
      </c>
      <c r="K373" s="94" t="inlineStr">
        <is>
          <t>CHMI</t>
        </is>
      </c>
    </row>
    <row r="374" ht="15" customHeight="1" s="82">
      <c r="A374" s="94" t="inlineStr">
        <is>
          <t>סטניסלב נסאר</t>
        </is>
      </c>
      <c r="C374" s="94" t="inlineStr">
        <is>
          <t>0קופות חולים</t>
        </is>
      </c>
      <c r="E374" s="94" t="inlineStr">
        <is>
          <t>7508 מאוחדת בת ים</t>
        </is>
      </c>
      <c r="G374" s="102" t="n">
        <v>2054.9</v>
      </c>
      <c r="K374" s="94" t="inlineStr">
        <is>
          <t>CHMI</t>
        </is>
      </c>
    </row>
    <row r="375" ht="15" customHeight="1" s="82">
      <c r="A375" s="94" t="inlineStr">
        <is>
          <t>סטניסלב נסאר</t>
        </is>
      </c>
      <c r="C375" s="94" t="inlineStr">
        <is>
          <t>0קופות חולים</t>
        </is>
      </c>
      <c r="E375" s="94" t="inlineStr">
        <is>
          <t>6010 מאוחדת קרית ארבע</t>
        </is>
      </c>
      <c r="G375" s="102" t="n">
        <v>6955.3</v>
      </c>
      <c r="K375" s="94" t="inlineStr">
        <is>
          <t>CHMI</t>
        </is>
      </c>
    </row>
    <row r="376" ht="15" customHeight="1" s="82">
      <c r="A376" s="94" t="inlineStr">
        <is>
          <t>סטניסלב נסאר</t>
        </is>
      </c>
      <c r="C376" s="94" t="inlineStr">
        <is>
          <t>0קופות חולים</t>
        </is>
      </c>
      <c r="E376" s="94" t="inlineStr">
        <is>
          <t>5410 מאוחדת רמלה</t>
        </is>
      </c>
      <c r="G376" s="102" t="n">
        <v>2614.5</v>
      </c>
      <c r="K376" s="94" t="inlineStr">
        <is>
          <t>CHMI</t>
        </is>
      </c>
    </row>
    <row r="377" ht="15" customHeight="1" s="82">
      <c r="A377" s="94" t="inlineStr">
        <is>
          <t>סטניסלב נסאר</t>
        </is>
      </c>
      <c r="C377" s="94" t="inlineStr">
        <is>
          <t>0קופות חולים</t>
        </is>
      </c>
      <c r="E377" s="94" t="inlineStr">
        <is>
          <t>7102 מאוחדת אלעד</t>
        </is>
      </c>
      <c r="G377" s="102" t="n">
        <v>424.7</v>
      </c>
      <c r="K377" s="94" t="inlineStr">
        <is>
          <t>CHMI</t>
        </is>
      </c>
    </row>
    <row r="378" ht="15" customHeight="1" s="82">
      <c r="A378" s="94" t="inlineStr">
        <is>
          <t>סטניסלב נסאר</t>
        </is>
      </c>
      <c r="C378" s="94" t="inlineStr">
        <is>
          <t>0קופות חולים</t>
        </is>
      </c>
      <c r="E378" s="94" t="inlineStr">
        <is>
          <t>7103 מאוחדת אם המושבות פ""ת</t>
        </is>
      </c>
      <c r="G378" s="102" t="n">
        <v>709.9</v>
      </c>
      <c r="K378" s="94" t="inlineStr">
        <is>
          <t>CHMI</t>
        </is>
      </c>
    </row>
    <row r="379" ht="15" customHeight="1" s="82">
      <c r="A379" s="94" t="inlineStr">
        <is>
          <t>סטניסלב נסאר</t>
        </is>
      </c>
      <c r="C379" s="94" t="inlineStr">
        <is>
          <t>0קופות חולים</t>
        </is>
      </c>
      <c r="E379" s="94" t="inlineStr">
        <is>
          <t>מאוחדת בית""ר עילית 5102 מחסן</t>
        </is>
      </c>
      <c r="G379" s="102" t="n">
        <v>2293</v>
      </c>
      <c r="K379" s="94" t="inlineStr">
        <is>
          <t>CHMI</t>
        </is>
      </c>
    </row>
    <row r="380" ht="15" customHeight="1" s="82">
      <c r="A380" s="94" t="inlineStr">
        <is>
          <t>סטניסלב נסאר</t>
        </is>
      </c>
      <c r="C380" s="94" t="inlineStr">
        <is>
          <t>0קופות חולים</t>
        </is>
      </c>
      <c r="E380" s="94" t="inlineStr">
        <is>
          <t>7524 מאוחדת יבנה הירוקה</t>
        </is>
      </c>
      <c r="G380" s="102" t="n">
        <v>2416.2</v>
      </c>
      <c r="K380" s="94" t="inlineStr">
        <is>
          <t>CHMI</t>
        </is>
      </c>
    </row>
    <row r="381" ht="15" customHeight="1" s="82">
      <c r="A381" s="94" t="inlineStr">
        <is>
          <t>סטניסלב נסאר</t>
        </is>
      </c>
      <c r="C381" s="94" t="inlineStr">
        <is>
          <t>0קופות חולים</t>
        </is>
      </c>
      <c r="E381" s="94" t="inlineStr">
        <is>
          <t>7125  מאוחדת ראש העין</t>
        </is>
      </c>
      <c r="G381" s="102" t="n">
        <v>2643.5</v>
      </c>
      <c r="K381" s="94" t="inlineStr">
        <is>
          <t>CHMI</t>
        </is>
      </c>
    </row>
    <row r="382" ht="15" customHeight="1" s="82">
      <c r="A382" s="94" t="inlineStr">
        <is>
          <t>סטניסלב נסאר</t>
        </is>
      </c>
      <c r="C382" s="94" t="inlineStr">
        <is>
          <t>0קופות חולים</t>
        </is>
      </c>
      <c r="E382" s="94" t="inlineStr">
        <is>
          <t>7126 מאוחדת גבעת שמואל</t>
        </is>
      </c>
      <c r="G382" s="102" t="n">
        <v>1369.2</v>
      </c>
      <c r="K382" s="94" t="inlineStr">
        <is>
          <t>CHMI</t>
        </is>
      </c>
    </row>
    <row r="383" ht="15" customHeight="1" s="82">
      <c r="A383" s="94" t="inlineStr">
        <is>
          <t>סטניסלב נסאר</t>
        </is>
      </c>
      <c r="C383" s="94" t="inlineStr">
        <is>
          <t>0קופות חולים</t>
        </is>
      </c>
      <c r="E383" s="94" t="inlineStr">
        <is>
          <t>7527 מאוחדת פארם שגב שלום</t>
        </is>
      </c>
      <c r="G383" s="102" t="n">
        <v>1420.4</v>
      </c>
      <c r="K383" s="94" t="inlineStr">
        <is>
          <t>CHMI</t>
        </is>
      </c>
    </row>
    <row r="384" ht="15" customHeight="1" s="82">
      <c r="A384" s="94" t="inlineStr">
        <is>
          <t>סטניסלב נסאר</t>
        </is>
      </c>
      <c r="C384" s="94" t="inlineStr">
        <is>
          <t>0קופות חולים</t>
        </is>
      </c>
      <c r="E384" s="94" t="inlineStr">
        <is>
          <t>7340 מאוחדת ביתר הר""ן</t>
        </is>
      </c>
      <c r="G384" s="102" t="n">
        <v>3602.6</v>
      </c>
      <c r="K384" s="94" t="inlineStr">
        <is>
          <t>CHMI</t>
        </is>
      </c>
    </row>
    <row r="385" ht="15" customHeight="1" s="82">
      <c r="A385" s="94" t="inlineStr">
        <is>
          <t>סטניסלב נסאר</t>
        </is>
      </c>
      <c r="C385" s="94" t="inlineStr">
        <is>
          <t>0קופות חולים</t>
        </is>
      </c>
      <c r="E385" s="94" t="inlineStr">
        <is>
          <t>7128 מאוחדת פארם טייבה</t>
        </is>
      </c>
      <c r="G385" s="102" t="n">
        <v>825.9</v>
      </c>
      <c r="K385" s="94" t="inlineStr">
        <is>
          <t>CHMI</t>
        </is>
      </c>
    </row>
    <row r="386" ht="15" customHeight="1" s="82">
      <c r="A386" s="94" t="inlineStr">
        <is>
          <t>סטניסלב נסאר</t>
        </is>
      </c>
      <c r="C386" s="94" t="inlineStr">
        <is>
          <t>0קופות חולים</t>
        </is>
      </c>
      <c r="E386" s="94" t="inlineStr">
        <is>
          <t>7531 מאוחדת שער העיר לוד</t>
        </is>
      </c>
      <c r="G386" s="102" t="n">
        <v>1743.1</v>
      </c>
      <c r="K386" s="94" t="inlineStr">
        <is>
          <t>CHMI</t>
        </is>
      </c>
    </row>
    <row r="387" ht="15" customHeight="1" s="82">
      <c r="A387" s="94" t="inlineStr">
        <is>
          <t>סטניסלב נסאר</t>
        </is>
      </c>
      <c r="C387" s="94" t="inlineStr">
        <is>
          <t>0קופות חולים</t>
        </is>
      </c>
      <c r="E387" s="94" t="inlineStr">
        <is>
          <t>7532 מאוחדת פארם לקיה</t>
        </is>
      </c>
      <c r="G387" s="102" t="n">
        <v>421.9</v>
      </c>
      <c r="K387" s="94" t="inlineStr">
        <is>
          <t>CHMI</t>
        </is>
      </c>
    </row>
    <row r="388" ht="15" customHeight="1" s="82">
      <c r="A388" s="94" t="inlineStr">
        <is>
          <t>סטניסלב נסאר</t>
        </is>
      </c>
      <c r="C388" s="94" t="inlineStr">
        <is>
          <t>0קופות חולים</t>
        </is>
      </c>
      <c r="E388" s="94" t="inlineStr">
        <is>
          <t>7535 מאוחדת פארם רהט אלכחמה</t>
        </is>
      </c>
      <c r="G388" s="102" t="n">
        <v>240.4</v>
      </c>
      <c r="K388" s="94" t="inlineStr">
        <is>
          <t>CHMI</t>
        </is>
      </c>
    </row>
    <row r="389" ht="15" customHeight="1" s="82">
      <c r="A389" s="94" t="inlineStr">
        <is>
          <t>סטניסלב נסאר</t>
        </is>
      </c>
      <c r="C389" s="94" t="inlineStr">
        <is>
          <t>0קופות חולים</t>
        </is>
      </c>
      <c r="E389" s="94" t="inlineStr">
        <is>
          <t>7130 מאוחדת פארם רוטשילד פ""ת</t>
        </is>
      </c>
      <c r="G389" s="102" t="n">
        <v>5207.9</v>
      </c>
      <c r="K389" s="94" t="inlineStr">
        <is>
          <t>CHMI</t>
        </is>
      </c>
    </row>
    <row r="390" ht="15" customHeight="1" s="82">
      <c r="A390" s="94" t="inlineStr">
        <is>
          <t>סטניסלב נסאר</t>
        </is>
      </c>
      <c r="C390" s="94" t="inlineStr">
        <is>
          <t>0קופות חולים</t>
        </is>
      </c>
      <c r="E390" s="94" t="inlineStr">
        <is>
          <t>7131 מאוחדת נחלת יצחק אלעד</t>
        </is>
      </c>
      <c r="G390" s="102" t="n">
        <v>45.9</v>
      </c>
      <c r="K390" s="94" t="inlineStr">
        <is>
          <t>CHMI</t>
        </is>
      </c>
    </row>
    <row r="391" ht="15" customHeight="1" s="82">
      <c r="A391" s="94" t="inlineStr">
        <is>
          <t>סטניסלב נסאר</t>
        </is>
      </c>
      <c r="C391" s="94" t="inlineStr">
        <is>
          <t>0קופות חולים</t>
        </is>
      </c>
      <c r="E391" s="94" t="inlineStr">
        <is>
          <t>7346 מאוחדת פארם אפרת</t>
        </is>
      </c>
      <c r="G391" s="102" t="n">
        <v>324.1</v>
      </c>
      <c r="K391" s="94" t="inlineStr">
        <is>
          <t>CHMI</t>
        </is>
      </c>
    </row>
    <row r="392" ht="15" customHeight="1" s="82">
      <c r="A392" s="94" t="inlineStr">
        <is>
          <t>חאזם תלחמי</t>
        </is>
      </c>
      <c r="B392" s="94" t="inlineStr">
        <is>
          <t>102</t>
        </is>
      </c>
      <c r="C392" s="94" t="inlineStr">
        <is>
          <t>102 - Orthopedic institutes</t>
        </is>
      </c>
      <c r="D392" s="94" t="inlineStr">
        <is>
          <t>150005</t>
        </is>
      </c>
      <c r="E392" s="94" t="inlineStr">
        <is>
          <t>150005 אקספרס הנעלה ועור בע"מ</t>
        </is>
      </c>
      <c r="F392" s="102" t="n">
        <v>22318.45</v>
      </c>
      <c r="G392" s="102" t="n">
        <v>22040.24</v>
      </c>
      <c r="H392" s="95" t="n">
        <v>351</v>
      </c>
      <c r="I392" s="95" t="n">
        <v>317</v>
      </c>
      <c r="J392" s="94" t="inlineStr">
        <is>
          <t>normal</t>
        </is>
      </c>
      <c r="K392" s="94" t="inlineStr">
        <is>
          <t>NetSuite</t>
        </is>
      </c>
    </row>
    <row r="393" ht="15" customHeight="1" s="82">
      <c r="A393" s="94" t="inlineStr">
        <is>
          <t>חאזם תלחמי</t>
        </is>
      </c>
      <c r="B393" s="94" t="inlineStr">
        <is>
          <t>102</t>
        </is>
      </c>
      <c r="C393" s="94" t="inlineStr">
        <is>
          <t>102 - Orthopedic institutes</t>
        </is>
      </c>
      <c r="D393" s="94" t="inlineStr">
        <is>
          <t>150010</t>
        </is>
      </c>
      <c r="E393" s="94" t="inlineStr">
        <is>
          <t>150010 אור אורטופדיה</t>
        </is>
      </c>
      <c r="F393" s="102" t="n">
        <v>27346.95</v>
      </c>
      <c r="G393" s="102" t="n">
        <v>20846.97</v>
      </c>
      <c r="H393" s="95" t="n">
        <v>462</v>
      </c>
      <c r="I393" s="95" t="n">
        <v>348</v>
      </c>
      <c r="J393" s="94" t="inlineStr">
        <is>
          <t>normal</t>
        </is>
      </c>
      <c r="K393" s="94" t="inlineStr">
        <is>
          <t>NetSuite</t>
        </is>
      </c>
    </row>
    <row r="394" ht="15" customHeight="1" s="82">
      <c r="A394" s="94" t="inlineStr">
        <is>
          <t>חאזם תלחמי</t>
        </is>
      </c>
      <c r="B394" s="94" t="inlineStr">
        <is>
          <t>102</t>
        </is>
      </c>
      <c r="C394" s="94" t="inlineStr">
        <is>
          <t>102 - Orthopedic institutes</t>
        </is>
      </c>
      <c r="D394" s="94" t="inlineStr">
        <is>
          <t>150013</t>
        </is>
      </c>
      <c r="E394" s="94" t="inlineStr">
        <is>
          <t>150013 גליל אורטופדיה</t>
        </is>
      </c>
      <c r="F394" s="102" t="n">
        <v>17270.19</v>
      </c>
      <c r="G394" s="102" t="n">
        <v>7296.18</v>
      </c>
      <c r="H394" s="95" t="n">
        <v>162</v>
      </c>
      <c r="I394" s="95" t="n">
        <v>67</v>
      </c>
      <c r="J394" s="94" t="inlineStr">
        <is>
          <t>normal</t>
        </is>
      </c>
      <c r="K394" s="94" t="inlineStr">
        <is>
          <t>NetSuite</t>
        </is>
      </c>
    </row>
    <row r="395" ht="15" customHeight="1" s="82">
      <c r="A395" s="94" t="inlineStr">
        <is>
          <t>חאזם תלחמי</t>
        </is>
      </c>
      <c r="B395" s="94" t="inlineStr">
        <is>
          <t>102</t>
        </is>
      </c>
      <c r="C395" s="94" t="inlineStr">
        <is>
          <t>102 - Orthopedic institutes</t>
        </is>
      </c>
      <c r="D395" s="94" t="inlineStr">
        <is>
          <t>150020</t>
        </is>
      </c>
      <c r="E395" s="94" t="inlineStr">
        <is>
          <t>150020 בירו אורטופדיה (יוסי)</t>
        </is>
      </c>
      <c r="F395" s="102" t="n">
        <v>2728.9</v>
      </c>
      <c r="G395" s="102" t="n">
        <v>1425.36</v>
      </c>
      <c r="H395" s="95" t="n">
        <v>24</v>
      </c>
      <c r="I395" s="95" t="n">
        <v>14</v>
      </c>
      <c r="J395" s="94" t="inlineStr">
        <is>
          <t>normal</t>
        </is>
      </c>
      <c r="K395" s="94" t="inlineStr">
        <is>
          <t>NetSuite</t>
        </is>
      </c>
    </row>
    <row r="396" ht="15" customHeight="1" s="82">
      <c r="A396" s="94" t="inlineStr">
        <is>
          <t>חאזם תלחמי</t>
        </is>
      </c>
      <c r="B396" s="94" t="inlineStr">
        <is>
          <t>102</t>
        </is>
      </c>
      <c r="C396" s="94" t="inlineStr">
        <is>
          <t>102 - Orthopedic institutes</t>
        </is>
      </c>
      <c r="D396" s="94" t="inlineStr">
        <is>
          <t>150041</t>
        </is>
      </c>
      <c r="E396" s="94" t="inlineStr">
        <is>
          <t>150041 דן סימון אורטופדיה-פנורמה</t>
        </is>
      </c>
      <c r="F396" s="102" t="n">
        <v>957.3200000000001</v>
      </c>
      <c r="G396" s="102" t="n">
        <v>422.28</v>
      </c>
      <c r="H396" s="95" t="n">
        <v>5</v>
      </c>
      <c r="I396" s="95" t="n">
        <v>2</v>
      </c>
      <c r="J396" s="94" t="inlineStr">
        <is>
          <t>normal</t>
        </is>
      </c>
      <c r="K396" s="94" t="inlineStr">
        <is>
          <t>NetSuite</t>
        </is>
      </c>
    </row>
    <row r="397" ht="15" customHeight="1" s="82">
      <c r="A397" s="94" t="inlineStr">
        <is>
          <t>חאזם תלחמי</t>
        </is>
      </c>
      <c r="B397" s="94" t="inlineStr">
        <is>
          <t>102</t>
        </is>
      </c>
      <c r="C397" s="94" t="inlineStr">
        <is>
          <t>102 - Orthopedic institutes</t>
        </is>
      </c>
      <c r="D397" s="94" t="inlineStr">
        <is>
          <t>150051</t>
        </is>
      </c>
      <c r="E397" s="94" t="inlineStr">
        <is>
          <t>150051 הררי אורטופדיה</t>
        </is>
      </c>
      <c r="F397" s="102" t="n">
        <v>3463.81</v>
      </c>
      <c r="G397" s="102" t="n">
        <v>7057.04</v>
      </c>
      <c r="H397" s="95" t="n">
        <v>23</v>
      </c>
      <c r="I397" s="95" t="n">
        <v>65</v>
      </c>
      <c r="J397" s="94" t="inlineStr">
        <is>
          <t>normal</t>
        </is>
      </c>
      <c r="K397" s="94" t="inlineStr">
        <is>
          <t>NetSuite</t>
        </is>
      </c>
    </row>
    <row r="398" ht="15" customHeight="1" s="82">
      <c r="A398" s="94" t="inlineStr">
        <is>
          <t>חאזם תלחמי</t>
        </is>
      </c>
      <c r="B398" s="94" t="inlineStr">
        <is>
          <t>102</t>
        </is>
      </c>
      <c r="C398" s="94" t="inlineStr">
        <is>
          <t>102 - Orthopedic institutes</t>
        </is>
      </c>
      <c r="D398" s="94" t="inlineStr">
        <is>
          <t>150067</t>
        </is>
      </c>
      <c r="E398" s="94" t="inlineStr">
        <is>
          <t>150067 גרינברג ר.ע.י.ה אורטופדיה</t>
        </is>
      </c>
      <c r="F398" s="102" t="n">
        <v>2892.01</v>
      </c>
      <c r="G398" s="102" t="n">
        <v>0</v>
      </c>
      <c r="H398" s="95" t="n">
        <v>12</v>
      </c>
      <c r="I398" s="95" t="n">
        <v>0</v>
      </c>
      <c r="J398" s="94" t="inlineStr">
        <is>
          <t>normal</t>
        </is>
      </c>
      <c r="K398" s="94" t="inlineStr">
        <is>
          <t>NetSuite</t>
        </is>
      </c>
    </row>
    <row r="399" ht="15" customHeight="1" s="82">
      <c r="A399" s="94" t="inlineStr">
        <is>
          <t>חאזם תלחמי</t>
        </is>
      </c>
      <c r="B399" s="94" t="inlineStr">
        <is>
          <t>102</t>
        </is>
      </c>
      <c r="C399" s="94" t="inlineStr">
        <is>
          <t>102 - Orthopedic institutes</t>
        </is>
      </c>
      <c r="D399" s="94" t="inlineStr">
        <is>
          <t>150136</t>
        </is>
      </c>
      <c r="E399" s="94" t="inlineStr">
        <is>
          <t>150136 מידרך אורטופדיה</t>
        </is>
      </c>
      <c r="F399" s="102" t="n">
        <v>911.25</v>
      </c>
      <c r="G399" s="102" t="n">
        <v>0</v>
      </c>
      <c r="H399" s="95" t="n">
        <v>21</v>
      </c>
      <c r="I399" s="95" t="n">
        <v>0</v>
      </c>
      <c r="J399" s="94" t="inlineStr">
        <is>
          <t>normal</t>
        </is>
      </c>
      <c r="K399" s="94" t="inlineStr">
        <is>
          <t>NetSuite</t>
        </is>
      </c>
    </row>
    <row r="400" ht="15" customHeight="1" s="82">
      <c r="A400" s="94" t="inlineStr">
        <is>
          <t>חאזם תלחמי</t>
        </is>
      </c>
      <c r="B400" s="94" t="inlineStr">
        <is>
          <t>102</t>
        </is>
      </c>
      <c r="C400" s="94" t="inlineStr">
        <is>
          <t>102 - Orthopedic institutes</t>
        </is>
      </c>
      <c r="D400" s="94" t="inlineStr">
        <is>
          <t>150170</t>
        </is>
      </c>
      <c r="E400" s="94" t="inlineStr">
        <is>
          <t>150170 אליאורט אורטופדיה מתקדמת</t>
        </is>
      </c>
      <c r="F400" s="102" t="n">
        <v>8159.39</v>
      </c>
      <c r="G400" s="102" t="n">
        <v>1723.04</v>
      </c>
      <c r="H400" s="95" t="n">
        <v>128</v>
      </c>
      <c r="I400" s="95" t="n">
        <v>15</v>
      </c>
      <c r="J400" s="94" t="inlineStr">
        <is>
          <t>normal</t>
        </is>
      </c>
      <c r="K400" s="94" t="inlineStr">
        <is>
          <t>NetSuite</t>
        </is>
      </c>
    </row>
    <row r="401" ht="15" customHeight="1" s="82">
      <c r="A401" s="94" t="inlineStr">
        <is>
          <t>חאזם תלחמי</t>
        </is>
      </c>
      <c r="B401" s="94" t="inlineStr">
        <is>
          <t>102</t>
        </is>
      </c>
      <c r="C401" s="94" t="inlineStr">
        <is>
          <t>102 - Orthopedic institutes</t>
        </is>
      </c>
      <c r="D401" s="94" t="inlineStr">
        <is>
          <t>150181</t>
        </is>
      </c>
      <c r="E401" s="94" t="inlineStr">
        <is>
          <t>150181 מכון ציון-מרכזים רפואיים</t>
        </is>
      </c>
      <c r="F401" s="102" t="n">
        <v>11173.08</v>
      </c>
      <c r="G401" s="102" t="n">
        <v>5091.86</v>
      </c>
      <c r="H401" s="95" t="n">
        <v>83</v>
      </c>
      <c r="I401" s="95" t="n">
        <v>32</v>
      </c>
      <c r="J401" s="94" t="inlineStr">
        <is>
          <t>normal</t>
        </is>
      </c>
      <c r="K401" s="94" t="inlineStr">
        <is>
          <t>NetSuite</t>
        </is>
      </c>
    </row>
    <row r="402" ht="15" customHeight="1" s="82">
      <c r="A402" s="94" t="inlineStr">
        <is>
          <t>חאזם תלחמי</t>
        </is>
      </c>
      <c r="B402" s="94" t="inlineStr">
        <is>
          <t>102</t>
        </is>
      </c>
      <c r="C402" s="94" t="inlineStr">
        <is>
          <t>102 - Orthopedic institutes</t>
        </is>
      </c>
      <c r="D402" s="94" t="inlineStr">
        <is>
          <t>150202</t>
        </is>
      </c>
      <c r="E402" s="94" t="inlineStr">
        <is>
          <t>150202 רוני אורטופדיה בע"מ</t>
        </is>
      </c>
      <c r="F402" s="102" t="n">
        <v>63875.02</v>
      </c>
      <c r="G402" s="102" t="n">
        <v>35989.62</v>
      </c>
      <c r="H402" s="95" t="n">
        <v>925</v>
      </c>
      <c r="I402" s="95" t="n">
        <v>442</v>
      </c>
      <c r="J402" s="94" t="inlineStr">
        <is>
          <t>normal</t>
        </is>
      </c>
      <c r="K402" s="94" t="inlineStr">
        <is>
          <t>NetSuite</t>
        </is>
      </c>
    </row>
    <row r="403" ht="15" customHeight="1" s="82">
      <c r="A403" s="94" t="inlineStr">
        <is>
          <t>חאזם תלחמי</t>
        </is>
      </c>
      <c r="B403" s="94" t="inlineStr">
        <is>
          <t>102</t>
        </is>
      </c>
      <c r="C403" s="94" t="inlineStr">
        <is>
          <t>102 - Orthopedic institutes</t>
        </is>
      </c>
      <c r="D403" s="94" t="inlineStr">
        <is>
          <t>150208</t>
        </is>
      </c>
      <c r="E403" s="94" t="inlineStr">
        <is>
          <t>150208 בני אורטפדיה קרית שמונ</t>
        </is>
      </c>
      <c r="F403" s="102" t="n">
        <v>1143.27</v>
      </c>
      <c r="G403" s="102" t="n">
        <v>1149.18</v>
      </c>
      <c r="H403" s="95" t="n">
        <v>12</v>
      </c>
      <c r="I403" s="95" t="n">
        <v>11</v>
      </c>
      <c r="J403" s="94" t="inlineStr">
        <is>
          <t>normal</t>
        </is>
      </c>
      <c r="K403" s="94" t="inlineStr">
        <is>
          <t>NetSuite</t>
        </is>
      </c>
    </row>
    <row r="404" ht="15" customHeight="1" s="82">
      <c r="A404" s="94" t="inlineStr">
        <is>
          <t>חאזם תלחמי</t>
        </is>
      </c>
      <c r="B404" s="94" t="inlineStr">
        <is>
          <t>102</t>
        </is>
      </c>
      <c r="C404" s="94" t="inlineStr">
        <is>
          <t>102 - Orthopedic institutes</t>
        </is>
      </c>
      <c r="D404" s="94" t="inlineStr">
        <is>
          <t>150340</t>
        </is>
      </c>
      <c r="E404" s="94" t="inlineStr">
        <is>
          <t>150340 חגי אורטופדיה בע"מ</t>
        </is>
      </c>
      <c r="F404" s="102" t="n">
        <v>24502.71</v>
      </c>
      <c r="G404" s="102" t="n">
        <v>18523.84</v>
      </c>
      <c r="H404" s="95" t="n">
        <v>596</v>
      </c>
      <c r="I404" s="95" t="n">
        <v>387</v>
      </c>
      <c r="J404" s="94" t="inlineStr">
        <is>
          <t>normal</t>
        </is>
      </c>
      <c r="K404" s="94" t="inlineStr">
        <is>
          <t>NetSuite</t>
        </is>
      </c>
    </row>
    <row r="405" ht="15" customHeight="1" s="82">
      <c r="A405" s="94" t="inlineStr">
        <is>
          <t>חאזם תלחמי</t>
        </is>
      </c>
      <c r="B405" s="94" t="inlineStr">
        <is>
          <t>102</t>
        </is>
      </c>
      <c r="C405" s="94" t="inlineStr">
        <is>
          <t>102 - Orthopedic institutes</t>
        </is>
      </c>
      <c r="D405" s="94" t="inlineStr">
        <is>
          <t>151048</t>
        </is>
      </c>
      <c r="E405" s="94" t="inlineStr">
        <is>
          <t>151048 כיאל מדיקל בע"מ</t>
        </is>
      </c>
      <c r="F405" s="102" t="n">
        <v>3743.45</v>
      </c>
      <c r="G405" s="102" t="n">
        <v>0</v>
      </c>
      <c r="H405" s="95" t="n">
        <v>52</v>
      </c>
      <c r="I405" s="95" t="n">
        <v>0</v>
      </c>
      <c r="J405" s="94" t="inlineStr">
        <is>
          <t>normal</t>
        </is>
      </c>
      <c r="K405" s="94" t="inlineStr">
        <is>
          <t>NetSuite</t>
        </is>
      </c>
    </row>
    <row r="406" ht="15" customHeight="1" s="82">
      <c r="A406" s="94" t="inlineStr">
        <is>
          <t>חאזם תלחמי</t>
        </is>
      </c>
      <c r="B406" s="94" t="inlineStr">
        <is>
          <t>102</t>
        </is>
      </c>
      <c r="C406" s="94" t="inlineStr">
        <is>
          <t>102 - Orthopedic institutes</t>
        </is>
      </c>
      <c r="D406" s="94" t="inlineStr">
        <is>
          <t>151083</t>
        </is>
      </c>
      <c r="E406" s="94" t="inlineStr">
        <is>
          <t>151083 גל און קליניק</t>
        </is>
      </c>
      <c r="F406" s="102" t="n">
        <v>352.87</v>
      </c>
      <c r="G406" s="102" t="n">
        <v>0</v>
      </c>
      <c r="H406" s="95" t="n">
        <v>4</v>
      </c>
      <c r="I406" s="95" t="n">
        <v>0</v>
      </c>
      <c r="J406" s="94" t="inlineStr">
        <is>
          <t>normal</t>
        </is>
      </c>
      <c r="K406" s="94" t="inlineStr">
        <is>
          <t>NetSuite</t>
        </is>
      </c>
    </row>
    <row r="407" ht="15" customHeight="1" s="82">
      <c r="A407" s="94" t="inlineStr">
        <is>
          <t>חאזם תלחמי</t>
        </is>
      </c>
      <c r="B407" s="94" t="inlineStr">
        <is>
          <t>102</t>
        </is>
      </c>
      <c r="C407" s="94" t="inlineStr">
        <is>
          <t>102 - Orthopedic institutes</t>
        </is>
      </c>
      <c r="D407" s="94" t="inlineStr">
        <is>
          <t>151092</t>
        </is>
      </c>
      <c r="E407" s="94" t="inlineStr">
        <is>
          <t>151092 נקודת הריפוי</t>
        </is>
      </c>
      <c r="F407" s="102" t="n">
        <v>4494.58</v>
      </c>
      <c r="G407" s="102" t="n">
        <v>0</v>
      </c>
      <c r="H407" s="95" t="n">
        <v>50</v>
      </c>
      <c r="I407" s="95" t="n">
        <v>0</v>
      </c>
      <c r="J407" s="94" t="inlineStr">
        <is>
          <t>normal</t>
        </is>
      </c>
      <c r="K407" s="94" t="inlineStr">
        <is>
          <t>NetSuite</t>
        </is>
      </c>
    </row>
    <row r="408" ht="15" customHeight="1" s="82">
      <c r="A408" s="94" t="inlineStr">
        <is>
          <t>חאזם תלחמי</t>
        </is>
      </c>
      <c r="B408" s="94" t="inlineStr">
        <is>
          <t>102</t>
        </is>
      </c>
      <c r="C408" s="94" t="inlineStr">
        <is>
          <t>102 - Orthopedic institutes</t>
        </is>
      </c>
      <c r="D408" s="94" t="inlineStr">
        <is>
          <t>151136</t>
        </is>
      </c>
      <c r="E408" s="94" t="inlineStr">
        <is>
          <t>151136 אמיר מדיקל פארם בע"מ</t>
        </is>
      </c>
      <c r="F408" s="102" t="n">
        <v>34431.9</v>
      </c>
      <c r="G408" s="102" t="n">
        <v>21083.63</v>
      </c>
      <c r="H408" s="95" t="n">
        <v>564</v>
      </c>
      <c r="I408" s="95" t="n">
        <v>333</v>
      </c>
      <c r="J408" s="94" t="inlineStr">
        <is>
          <t>normal</t>
        </is>
      </c>
      <c r="K408" s="94" t="inlineStr">
        <is>
          <t>NetSuite</t>
        </is>
      </c>
    </row>
    <row r="409" ht="15" customHeight="1" s="82">
      <c r="A409" s="94" t="inlineStr">
        <is>
          <t>חאזם תלחמי</t>
        </is>
      </c>
      <c r="B409" s="94" t="inlineStr">
        <is>
          <t>102</t>
        </is>
      </c>
      <c r="C409" s="94" t="inlineStr">
        <is>
          <t>102 - Orthopedic institutes</t>
        </is>
      </c>
      <c r="D409" s="94" t="inlineStr">
        <is>
          <t>151145</t>
        </is>
      </c>
      <c r="E409" s="94" t="inlineStr">
        <is>
          <t>151145 גל און קליניק אורתופדיה</t>
        </is>
      </c>
      <c r="F409" s="102" t="n">
        <v>435.07</v>
      </c>
      <c r="G409" s="102" t="n">
        <v>1534.52</v>
      </c>
      <c r="H409" s="95" t="n">
        <v>7</v>
      </c>
      <c r="I409" s="95" t="n">
        <v>14</v>
      </c>
      <c r="J409" s="94" t="inlineStr">
        <is>
          <t>normal</t>
        </is>
      </c>
      <c r="K409" s="94" t="inlineStr">
        <is>
          <t>NetSuite</t>
        </is>
      </c>
    </row>
    <row r="410" ht="15" customHeight="1" s="82">
      <c r="A410" s="94" t="inlineStr">
        <is>
          <t>חאזם תלחמי</t>
        </is>
      </c>
      <c r="B410" s="94" t="inlineStr">
        <is>
          <t>102</t>
        </is>
      </c>
      <c r="C410" s="94" t="inlineStr">
        <is>
          <t>102 - Orthopedic institutes</t>
        </is>
      </c>
      <c r="D410" s="94" t="inlineStr">
        <is>
          <t>151170</t>
        </is>
      </c>
      <c r="E410" s="94" t="inlineStr">
        <is>
          <t>151170 נ.ר פתרונות אורתופדים</t>
        </is>
      </c>
      <c r="F410" s="102" t="n">
        <v>677.24</v>
      </c>
      <c r="G410" s="102" t="n">
        <v>469.99</v>
      </c>
      <c r="H410" s="95" t="n">
        <v>6</v>
      </c>
      <c r="I410" s="95" t="n">
        <v>5</v>
      </c>
      <c r="J410" s="94" t="inlineStr">
        <is>
          <t>normal</t>
        </is>
      </c>
      <c r="K410" s="94" t="inlineStr">
        <is>
          <t>NetSuite</t>
        </is>
      </c>
    </row>
    <row r="411" ht="15" customHeight="1" s="82">
      <c r="A411" s="94" t="inlineStr">
        <is>
          <t>חאזם תלחמי</t>
        </is>
      </c>
      <c r="B411" s="94" t="inlineStr">
        <is>
          <t>102</t>
        </is>
      </c>
      <c r="C411" s="94" t="inlineStr">
        <is>
          <t>102 - Orthopedic institutes</t>
        </is>
      </c>
      <c r="D411" s="94" t="inlineStr">
        <is>
          <t>151183</t>
        </is>
      </c>
      <c r="E411" s="94" t="inlineStr">
        <is>
          <t>151183 א.מ אורטופדיה</t>
        </is>
      </c>
      <c r="F411" s="102" t="n">
        <v>3075.73</v>
      </c>
      <c r="G411" s="102" t="n">
        <v>0</v>
      </c>
      <c r="H411" s="95" t="n">
        <v>35</v>
      </c>
      <c r="I411" s="95" t="n">
        <v>0</v>
      </c>
      <c r="J411" s="94" t="inlineStr">
        <is>
          <t>normal</t>
        </is>
      </c>
      <c r="K411" s="94" t="inlineStr">
        <is>
          <t>NetSuite</t>
        </is>
      </c>
    </row>
    <row r="412" ht="15" customHeight="1" s="82">
      <c r="A412" s="94" t="inlineStr">
        <is>
          <t>חאזם תלחמי</t>
        </is>
      </c>
      <c r="B412" s="94" t="inlineStr">
        <is>
          <t>102</t>
        </is>
      </c>
      <c r="C412" s="94" t="inlineStr">
        <is>
          <t>102 - Orthopedic institutes</t>
        </is>
      </c>
      <c r="D412" s="94" t="inlineStr">
        <is>
          <t>151198</t>
        </is>
      </c>
      <c r="E412" s="94" t="inlineStr">
        <is>
          <t>151198 טובא פארם</t>
        </is>
      </c>
      <c r="F412" s="102" t="n">
        <v>5256.45</v>
      </c>
      <c r="G412" s="102" t="n">
        <v>2185.46</v>
      </c>
      <c r="H412" s="95" t="n">
        <v>63</v>
      </c>
      <c r="I412" s="95" t="n">
        <v>39</v>
      </c>
      <c r="J412" s="94" t="inlineStr">
        <is>
          <t>normal</t>
        </is>
      </c>
      <c r="K412" s="94" t="inlineStr">
        <is>
          <t>NetSuite</t>
        </is>
      </c>
    </row>
    <row r="413" ht="15" customHeight="1" s="82">
      <c r="A413" s="94" t="inlineStr">
        <is>
          <t>חאזם תלחמי</t>
        </is>
      </c>
      <c r="B413" s="94" t="inlineStr">
        <is>
          <t>102</t>
        </is>
      </c>
      <c r="C413" s="94" t="inlineStr">
        <is>
          <t>102 - Orthopedic institutes</t>
        </is>
      </c>
      <c r="D413" s="94" t="inlineStr">
        <is>
          <t>151209</t>
        </is>
      </c>
      <c r="E413" s="94" t="inlineStr">
        <is>
          <t>151209 רוני אורטופדיה  בע"מ - רמבם</t>
        </is>
      </c>
      <c r="F413" s="102" t="n">
        <v>54526.13</v>
      </c>
      <c r="G413" s="102" t="n">
        <v>63540.64</v>
      </c>
      <c r="H413" s="95" t="n">
        <v>600</v>
      </c>
      <c r="I413" s="95" t="n">
        <v>502</v>
      </c>
      <c r="J413" s="94" t="inlineStr">
        <is>
          <t>normal</t>
        </is>
      </c>
      <c r="K413" s="94" t="inlineStr">
        <is>
          <t>NetSuite</t>
        </is>
      </c>
    </row>
    <row r="414" ht="15" customHeight="1" s="82">
      <c r="A414" s="94" t="inlineStr">
        <is>
          <t>חאזם תלחמי</t>
        </is>
      </c>
      <c r="B414" s="94" t="inlineStr">
        <is>
          <t>102</t>
        </is>
      </c>
      <c r="C414" s="94" t="inlineStr">
        <is>
          <t>102 - Orthopedic institutes</t>
        </is>
      </c>
      <c r="D414" s="94" t="inlineStr">
        <is>
          <t>151231</t>
        </is>
      </c>
      <c r="E414" s="94" t="inlineStr">
        <is>
          <t>151231 הום פלסט בע"מ</t>
        </is>
      </c>
      <c r="F414" s="102" t="n">
        <v>7952.2</v>
      </c>
      <c r="G414" s="102" t="n">
        <v>100</v>
      </c>
      <c r="H414" s="95" t="n">
        <v>98</v>
      </c>
      <c r="I414" s="95" t="n">
        <v>1</v>
      </c>
      <c r="J414" s="94" t="inlineStr">
        <is>
          <t>normal</t>
        </is>
      </c>
      <c r="K414" s="94" t="inlineStr">
        <is>
          <t>NetSuite</t>
        </is>
      </c>
    </row>
    <row r="415" ht="15" customHeight="1" s="82">
      <c r="A415" s="94" t="inlineStr">
        <is>
          <t>חאזם תלחמי</t>
        </is>
      </c>
      <c r="B415" s="94" t="inlineStr">
        <is>
          <t>102</t>
        </is>
      </c>
      <c r="C415" s="94" t="inlineStr">
        <is>
          <t>102 - Orthopedic institutes</t>
        </is>
      </c>
      <c r="D415" s="94" t="inlineStr">
        <is>
          <t>152031</t>
        </is>
      </c>
      <c r="E415" s="94" t="inlineStr">
        <is>
          <t>152031 גפיים חיפה</t>
        </is>
      </c>
      <c r="F415" s="102" t="n">
        <v>7196.12</v>
      </c>
      <c r="G415" s="102" t="n">
        <v>3231.74</v>
      </c>
      <c r="H415" s="95" t="n">
        <v>90</v>
      </c>
      <c r="I415" s="95" t="n">
        <v>48</v>
      </c>
      <c r="J415" s="94" t="inlineStr">
        <is>
          <t>normal</t>
        </is>
      </c>
      <c r="K415" s="94" t="inlineStr">
        <is>
          <t>NetSuite</t>
        </is>
      </c>
    </row>
    <row r="416" ht="15" customHeight="1" s="82">
      <c r="A416" s="94" t="inlineStr">
        <is>
          <t>חאזם תלחמי</t>
        </is>
      </c>
      <c r="B416" s="94" t="inlineStr">
        <is>
          <t>102</t>
        </is>
      </c>
      <c r="C416" s="94" t="inlineStr">
        <is>
          <t>102 - Orthopedic institutes</t>
        </is>
      </c>
      <c r="D416" s="94" t="inlineStr">
        <is>
          <t>153031</t>
        </is>
      </c>
      <c r="E416" s="94" t="inlineStr">
        <is>
          <t>153031 גרינברג ר.ע.י.ה מדיקל בעמ</t>
        </is>
      </c>
      <c r="F416" s="102" t="n">
        <v>4860</v>
      </c>
      <c r="G416" s="102" t="n">
        <v>4440</v>
      </c>
      <c r="H416" s="95" t="n">
        <v>18</v>
      </c>
      <c r="I416" s="95" t="n">
        <v>20</v>
      </c>
      <c r="J416" s="94" t="inlineStr">
        <is>
          <t>normal</t>
        </is>
      </c>
      <c r="K416" s="94" t="inlineStr">
        <is>
          <t>NetSuite</t>
        </is>
      </c>
    </row>
    <row r="417" ht="15" customHeight="1" s="82">
      <c r="A417" s="94" t="inlineStr">
        <is>
          <t>חאזם תלחמי</t>
        </is>
      </c>
      <c r="B417" s="94" t="inlineStr">
        <is>
          <t>102</t>
        </is>
      </c>
      <c r="C417" s="94" t="inlineStr">
        <is>
          <t>102 - Orthopedic institutes</t>
        </is>
      </c>
      <c r="D417" s="94" t="inlineStr">
        <is>
          <t>153196</t>
        </is>
      </c>
      <c r="E417" s="94" t="inlineStr">
        <is>
          <t>153196 קלפון וילפריד</t>
        </is>
      </c>
      <c r="F417" s="102" t="n">
        <v>0</v>
      </c>
      <c r="G417" s="102" t="n">
        <v>912.99</v>
      </c>
      <c r="H417" s="95" t="n">
        <v>0</v>
      </c>
      <c r="I417" s="95" t="n">
        <v>11</v>
      </c>
      <c r="J417" s="94" t="inlineStr">
        <is>
          <t>normal</t>
        </is>
      </c>
      <c r="K417" s="94" t="inlineStr">
        <is>
          <t>NetSuite</t>
        </is>
      </c>
    </row>
    <row r="418" ht="15" customHeight="1" s="82">
      <c r="A418" s="94" t="inlineStr">
        <is>
          <t>חאזם תלחמי</t>
        </is>
      </c>
      <c r="B418" s="94" t="inlineStr">
        <is>
          <t>102</t>
        </is>
      </c>
      <c r="C418" s="94" t="inlineStr">
        <is>
          <t>102 - Orthopedic institutes</t>
        </is>
      </c>
      <c r="D418" s="94" t="inlineStr">
        <is>
          <t>153248</t>
        </is>
      </c>
      <c r="E418" s="94" t="inlineStr">
        <is>
          <t>153248 א.ק אורטופדיה מתקדמת</t>
        </is>
      </c>
      <c r="F418" s="102" t="n">
        <v>1943.56</v>
      </c>
      <c r="G418" s="102" t="n">
        <v>-536.7</v>
      </c>
      <c r="H418" s="95" t="n">
        <v>38</v>
      </c>
      <c r="I418" s="95" t="n">
        <v>-24</v>
      </c>
      <c r="J418" s="94" t="inlineStr">
        <is>
          <t>normal</t>
        </is>
      </c>
      <c r="K418" s="94" t="inlineStr">
        <is>
          <t>NetSuite</t>
        </is>
      </c>
    </row>
    <row r="419" ht="15" customHeight="1" s="82">
      <c r="A419" s="94" t="inlineStr">
        <is>
          <t>חאזם תלחמי</t>
        </is>
      </c>
      <c r="B419" s="94" t="inlineStr">
        <is>
          <t>102</t>
        </is>
      </c>
      <c r="C419" s="94" t="inlineStr">
        <is>
          <t>102 - Orthopedic institutes</t>
        </is>
      </c>
      <c r="D419" s="94" t="inlineStr">
        <is>
          <t>154142</t>
        </is>
      </c>
      <c r="E419" s="94" t="inlineStr">
        <is>
          <t>154142 מרכז הספורט חצור הגלילית</t>
        </is>
      </c>
      <c r="F419" s="102" t="n">
        <v>1490.09</v>
      </c>
      <c r="G419" s="102" t="n">
        <v>0</v>
      </c>
      <c r="H419" s="95" t="n">
        <v>59</v>
      </c>
      <c r="I419" s="95" t="n">
        <v>0</v>
      </c>
      <c r="J419" s="94" t="inlineStr">
        <is>
          <t>normal</t>
        </is>
      </c>
      <c r="K419" s="94" t="inlineStr">
        <is>
          <t>NetSuite</t>
        </is>
      </c>
    </row>
    <row r="420" ht="15" customHeight="1" s="82">
      <c r="A420" s="94" t="inlineStr">
        <is>
          <t>חאזם תלחמי</t>
        </is>
      </c>
      <c r="B420" s="94" t="inlineStr">
        <is>
          <t>102</t>
        </is>
      </c>
      <c r="C420" s="94" t="inlineStr">
        <is>
          <t>102 - Orthopedic institutes</t>
        </is>
      </c>
      <c r="D420" s="94" t="inlineStr">
        <is>
          <t>157464</t>
        </is>
      </c>
      <c r="E420" s="94" t="inlineStr">
        <is>
          <t>157464 מדיקל הצפון ב.מ-חורי</t>
        </is>
      </c>
      <c r="F420" s="102" t="n">
        <v>46725.38</v>
      </c>
      <c r="G420" s="102" t="n">
        <v>50813.46</v>
      </c>
      <c r="H420" s="95" t="n">
        <v>589</v>
      </c>
      <c r="I420" s="95" t="n">
        <v>617</v>
      </c>
      <c r="J420" s="94" t="inlineStr">
        <is>
          <t>normal</t>
        </is>
      </c>
      <c r="K420" s="94" t="inlineStr">
        <is>
          <t>NetSuite</t>
        </is>
      </c>
    </row>
    <row r="421" ht="15" customHeight="1" s="82">
      <c r="A421" s="94" t="inlineStr">
        <is>
          <t>חאזם תלחמי</t>
        </is>
      </c>
      <c r="B421" s="94" t="inlineStr">
        <is>
          <t>102</t>
        </is>
      </c>
      <c r="C421" s="94" t="inlineStr">
        <is>
          <t>102 - Orthopedic institutes</t>
        </is>
      </c>
      <c r="D421" s="94" t="inlineStr">
        <is>
          <t>157521</t>
        </is>
      </c>
      <c r="E421" s="94" t="inlineStr">
        <is>
          <t>157521 נזרין פארם-ראוי אורתופדיה</t>
        </is>
      </c>
      <c r="F421" s="102" t="n">
        <v>10625.11</v>
      </c>
      <c r="G421" s="102" t="n">
        <v>7588.63</v>
      </c>
      <c r="H421" s="95" t="n">
        <v>231</v>
      </c>
      <c r="I421" s="95" t="n">
        <v>97</v>
      </c>
      <c r="J421" s="94" t="inlineStr">
        <is>
          <t>normal</t>
        </is>
      </c>
      <c r="K421" s="94" t="inlineStr">
        <is>
          <t>NetSuite</t>
        </is>
      </c>
    </row>
    <row r="422" ht="15" customHeight="1" s="82">
      <c r="A422" s="94" t="inlineStr">
        <is>
          <t>חאזם תלחמי</t>
        </is>
      </c>
      <c r="B422" s="94" t="inlineStr">
        <is>
          <t>102</t>
        </is>
      </c>
      <c r="C422" s="94" t="inlineStr">
        <is>
          <t>102 - Orthopedic institutes</t>
        </is>
      </c>
      <c r="D422" s="94" t="inlineStr">
        <is>
          <t>C02279</t>
        </is>
      </c>
      <c r="E422" s="94" t="inlineStr">
        <is>
          <t>C02279 אורטופדיק מדיקל דניאלציק אברהם</t>
        </is>
      </c>
      <c r="F422" s="102" t="n">
        <v>3090.51</v>
      </c>
      <c r="G422" s="102" t="n">
        <v>0</v>
      </c>
      <c r="H422" s="95" t="n">
        <v>25</v>
      </c>
      <c r="I422" s="95" t="n">
        <v>0</v>
      </c>
      <c r="J422" s="94" t="inlineStr">
        <is>
          <t>normal</t>
        </is>
      </c>
      <c r="K422" s="94" t="inlineStr">
        <is>
          <t>NetSuite</t>
        </is>
      </c>
    </row>
    <row r="423" ht="15" customHeight="1" s="82">
      <c r="A423" s="94" t="inlineStr">
        <is>
          <t>חאזם תלחמי</t>
        </is>
      </c>
      <c r="B423" s="94" t="inlineStr">
        <is>
          <t>102</t>
        </is>
      </c>
      <c r="C423" s="94" t="inlineStr">
        <is>
          <t>102 - Orthopedic institutes</t>
        </is>
      </c>
      <c r="D423" s="94" t="inlineStr">
        <is>
          <t>C02286</t>
        </is>
      </c>
      <c r="E423" s="94" t="inlineStr">
        <is>
          <t>C02286 ראם אורטופדיה בע"מ</t>
        </is>
      </c>
      <c r="F423" s="102" t="n">
        <v>2233.57</v>
      </c>
      <c r="G423" s="102" t="n">
        <v>1168.44</v>
      </c>
      <c r="H423" s="95" t="n">
        <v>74</v>
      </c>
      <c r="I423" s="95" t="n">
        <v>44</v>
      </c>
      <c r="J423" s="94" t="inlineStr">
        <is>
          <t>normal</t>
        </is>
      </c>
      <c r="K423" s="94" t="inlineStr">
        <is>
          <t>NetSuite</t>
        </is>
      </c>
    </row>
    <row r="424" ht="15" customHeight="1" s="82">
      <c r="A424" s="94" t="inlineStr">
        <is>
          <t>חאזם תלחמי</t>
        </is>
      </c>
      <c r="B424" s="94" t="inlineStr">
        <is>
          <t>102</t>
        </is>
      </c>
      <c r="C424" s="94" t="inlineStr">
        <is>
          <t>102 - Orthopedic institutes</t>
        </is>
      </c>
      <c r="D424" s="94" t="inlineStr">
        <is>
          <t>C02302</t>
        </is>
      </c>
      <c r="E424" s="94" t="inlineStr">
        <is>
          <t>C02302 רושיטה בע"מ</t>
        </is>
      </c>
      <c r="F424" s="102" t="n">
        <v>0</v>
      </c>
      <c r="G424" s="102" t="n">
        <v>997.6900000000001</v>
      </c>
      <c r="H424" s="95" t="n">
        <v>0</v>
      </c>
      <c r="I424" s="95" t="n">
        <v>15</v>
      </c>
      <c r="J424" s="94" t="inlineStr">
        <is>
          <t>normal</t>
        </is>
      </c>
      <c r="K424" s="94" t="inlineStr">
        <is>
          <t>NetSuite</t>
        </is>
      </c>
    </row>
    <row r="425" ht="15" customHeight="1" s="82">
      <c r="A425" s="94" t="inlineStr">
        <is>
          <t>חאזם תלחמי</t>
        </is>
      </c>
      <c r="B425" s="94" t="inlineStr">
        <is>
          <t>102</t>
        </is>
      </c>
      <c r="C425" s="94" t="inlineStr">
        <is>
          <t>102 - Orthopedic institutes</t>
        </is>
      </c>
      <c r="D425" s="94" t="inlineStr">
        <is>
          <t>C02323</t>
        </is>
      </c>
      <c r="E425" s="94" t="inlineStr">
        <is>
          <t>C02323 ח'טיב ראיד</t>
        </is>
      </c>
      <c r="F425" s="102" t="n">
        <v>0</v>
      </c>
      <c r="G425" s="102" t="n">
        <v>2100.04</v>
      </c>
      <c r="H425" s="95" t="n">
        <v>0</v>
      </c>
      <c r="I425" s="95" t="n">
        <v>15</v>
      </c>
      <c r="J425" s="94" t="inlineStr">
        <is>
          <t>normal</t>
        </is>
      </c>
      <c r="K425" s="94" t="inlineStr">
        <is>
          <t>NetSuite</t>
        </is>
      </c>
    </row>
    <row r="426" ht="15" customHeight="1" s="82">
      <c r="A426" s="94" t="inlineStr">
        <is>
          <t>חאזם תלחמי</t>
        </is>
      </c>
      <c r="B426" s="94" t="inlineStr">
        <is>
          <t>102</t>
        </is>
      </c>
      <c r="C426" s="94" t="inlineStr">
        <is>
          <t>102 - Orthopedic institutes</t>
        </is>
      </c>
      <c r="D426" s="94" t="inlineStr">
        <is>
          <t>C02333</t>
        </is>
      </c>
      <c r="E426" s="94" t="inlineStr">
        <is>
          <t>C02333 רוזלינה 24 בעמ</t>
        </is>
      </c>
      <c r="F426" s="102" t="n">
        <v>0</v>
      </c>
      <c r="G426" s="102" t="n">
        <v>2719.24</v>
      </c>
      <c r="H426" s="95" t="n">
        <v>0</v>
      </c>
      <c r="I426" s="95" t="n">
        <v>36</v>
      </c>
      <c r="J426" s="94" t="inlineStr">
        <is>
          <t>normal</t>
        </is>
      </c>
      <c r="K426" s="94" t="inlineStr">
        <is>
          <t>NetSuite</t>
        </is>
      </c>
    </row>
    <row r="427" ht="15" customHeight="1" s="82">
      <c r="A427" s="94" t="inlineStr">
        <is>
          <t>חאזם תלחמי</t>
        </is>
      </c>
      <c r="B427" s="94" t="inlineStr">
        <is>
          <t>103</t>
        </is>
      </c>
      <c r="C427" s="94" t="inlineStr">
        <is>
          <t>103 - Physiotherapy institutes</t>
        </is>
      </c>
      <c r="D427" s="94" t="inlineStr">
        <is>
          <t>150070</t>
        </is>
      </c>
      <c r="E427" s="94" t="inlineStr">
        <is>
          <t>150070 זריק סקר - מכון פיזיותרפי</t>
        </is>
      </c>
      <c r="F427" s="102" t="n">
        <v>11131.13</v>
      </c>
      <c r="G427" s="102" t="n">
        <v>8946.799999999999</v>
      </c>
      <c r="H427" s="95" t="n">
        <v>166</v>
      </c>
      <c r="I427" s="95" t="n">
        <v>105</v>
      </c>
      <c r="J427" s="94" t="inlineStr">
        <is>
          <t>normal</t>
        </is>
      </c>
      <c r="K427" s="94" t="inlineStr">
        <is>
          <t>NetSuite</t>
        </is>
      </c>
    </row>
    <row r="428" ht="15" customHeight="1" s="82">
      <c r="A428" s="94" t="inlineStr">
        <is>
          <t>חאזם תלחמי</t>
        </is>
      </c>
      <c r="B428" s="94" t="inlineStr">
        <is>
          <t>103</t>
        </is>
      </c>
      <c r="C428" s="94" t="inlineStr">
        <is>
          <t>103 - Physiotherapy institutes</t>
        </is>
      </c>
      <c r="D428" s="94" t="inlineStr">
        <is>
          <t>151039</t>
        </is>
      </c>
      <c r="E428" s="94" t="inlineStr">
        <is>
          <t>151039 פיזיו גב</t>
        </is>
      </c>
      <c r="F428" s="102" t="n">
        <v>5347.74</v>
      </c>
      <c r="G428" s="102" t="n">
        <v>0</v>
      </c>
      <c r="H428" s="95" t="n">
        <v>57</v>
      </c>
      <c r="I428" s="95" t="n">
        <v>0</v>
      </c>
      <c r="J428" s="94" t="inlineStr">
        <is>
          <t>normal</t>
        </is>
      </c>
      <c r="K428" s="94" t="inlineStr">
        <is>
          <t>NetSuite</t>
        </is>
      </c>
    </row>
    <row r="429" ht="15" customHeight="1" s="82">
      <c r="A429" s="94" t="inlineStr">
        <is>
          <t>חאזם תלחמי</t>
        </is>
      </c>
      <c r="B429" s="94" t="inlineStr">
        <is>
          <t>103</t>
        </is>
      </c>
      <c r="C429" s="94" t="inlineStr">
        <is>
          <t>103 - Physiotherapy institutes</t>
        </is>
      </c>
      <c r="D429" s="94" t="inlineStr">
        <is>
          <t>151060</t>
        </is>
      </c>
      <c r="E429" s="94" t="inlineStr">
        <is>
          <t>151060 מכון מילא לפיזיוטרפיה</t>
        </is>
      </c>
      <c r="F429" s="102" t="n">
        <v>3987.14</v>
      </c>
      <c r="G429" s="102" t="n">
        <v>3099.08</v>
      </c>
      <c r="H429" s="95" t="n">
        <v>91</v>
      </c>
      <c r="I429" s="95" t="n">
        <v>72</v>
      </c>
      <c r="J429" s="94" t="inlineStr">
        <is>
          <t>normal</t>
        </is>
      </c>
      <c r="K429" s="94" t="inlineStr">
        <is>
          <t>NetSuite</t>
        </is>
      </c>
    </row>
    <row r="430" ht="15" customHeight="1" s="82">
      <c r="A430" s="94" t="inlineStr">
        <is>
          <t>חאזם תלחמי</t>
        </is>
      </c>
      <c r="B430" s="94" t="inlineStr">
        <is>
          <t>103</t>
        </is>
      </c>
      <c r="C430" s="94" t="inlineStr">
        <is>
          <t>103 - Physiotherapy institutes</t>
        </is>
      </c>
      <c r="D430" s="94" t="inlineStr">
        <is>
          <t>151088</t>
        </is>
      </c>
      <c r="E430" s="94" t="inlineStr">
        <is>
          <t>151088 מכון פיזיוטרפיה פיזיו מנד</t>
        </is>
      </c>
      <c r="F430" s="102" t="n">
        <v>9021.08</v>
      </c>
      <c r="G430" s="102" t="n">
        <v>4935.55</v>
      </c>
      <c r="H430" s="95" t="n">
        <v>81</v>
      </c>
      <c r="I430" s="95" t="n">
        <v>32</v>
      </c>
      <c r="J430" s="94" t="inlineStr">
        <is>
          <t>normal</t>
        </is>
      </c>
      <c r="K430" s="94" t="inlineStr">
        <is>
          <t>NetSuite</t>
        </is>
      </c>
    </row>
    <row r="431" ht="15" customHeight="1" s="82">
      <c r="A431" s="94" t="inlineStr">
        <is>
          <t>חאזם תלחמי</t>
        </is>
      </c>
      <c r="B431" s="94" t="inlineStr">
        <is>
          <t>103</t>
        </is>
      </c>
      <c r="C431" s="94" t="inlineStr">
        <is>
          <t>103 - Physiotherapy institutes</t>
        </is>
      </c>
      <c r="D431" s="94" t="inlineStr">
        <is>
          <t>151100</t>
        </is>
      </c>
      <c r="E431" s="94" t="inlineStr">
        <is>
          <t>151100 ס.ח מרכז בריאות</t>
        </is>
      </c>
      <c r="F431" s="102" t="n">
        <v>1651.96</v>
      </c>
      <c r="G431" s="102" t="n">
        <v>1555.87</v>
      </c>
      <c r="H431" s="95" t="n">
        <v>22</v>
      </c>
      <c r="I431" s="95" t="n">
        <v>20</v>
      </c>
      <c r="J431" s="94" t="inlineStr">
        <is>
          <t>normal</t>
        </is>
      </c>
      <c r="K431" s="94" t="inlineStr">
        <is>
          <t>NetSuite</t>
        </is>
      </c>
    </row>
    <row r="432" ht="15" customHeight="1" s="82">
      <c r="A432" s="94" t="inlineStr">
        <is>
          <t>חאזם תלחמי</t>
        </is>
      </c>
      <c r="B432" s="94" t="inlineStr">
        <is>
          <t>103</t>
        </is>
      </c>
      <c r="C432" s="94" t="inlineStr">
        <is>
          <t>103 - Physiotherapy institutes</t>
        </is>
      </c>
      <c r="D432" s="94" t="inlineStr">
        <is>
          <t>151180</t>
        </is>
      </c>
      <c r="E432" s="94" t="inlineStr">
        <is>
          <t>151180 פיזיו אורטופדיק</t>
        </is>
      </c>
      <c r="F432" s="102" t="n">
        <v>3536.7</v>
      </c>
      <c r="G432" s="102" t="n">
        <v>1925.59</v>
      </c>
      <c r="H432" s="95" t="n">
        <v>60</v>
      </c>
      <c r="I432" s="95" t="n">
        <v>25</v>
      </c>
      <c r="J432" s="94" t="inlineStr">
        <is>
          <t>normal</t>
        </is>
      </c>
      <c r="K432" s="94" t="inlineStr">
        <is>
          <t>NetSuite</t>
        </is>
      </c>
    </row>
    <row r="433" ht="15" customHeight="1" s="82">
      <c r="A433" s="94" t="inlineStr">
        <is>
          <t>חאזם תלחמי</t>
        </is>
      </c>
      <c r="B433" s="94" t="inlineStr">
        <is>
          <t>103</t>
        </is>
      </c>
      <c r="C433" s="94" t="inlineStr">
        <is>
          <t>103 - Physiotherapy institutes</t>
        </is>
      </c>
      <c r="D433" s="94" t="inlineStr">
        <is>
          <t>153209</t>
        </is>
      </c>
      <c r="E433" s="94" t="inlineStr">
        <is>
          <t>153209 מכון פיזיותרפיה בועיינה</t>
        </is>
      </c>
      <c r="F433" s="102" t="n">
        <v>0</v>
      </c>
      <c r="G433" s="102" t="n">
        <v>700</v>
      </c>
      <c r="H433" s="95" t="n">
        <v>0</v>
      </c>
      <c r="I433" s="95" t="n">
        <v>2</v>
      </c>
      <c r="J433" s="94" t="inlineStr">
        <is>
          <t>normal</t>
        </is>
      </c>
      <c r="K433" s="94" t="inlineStr">
        <is>
          <t>NetSuite</t>
        </is>
      </c>
    </row>
    <row r="434" ht="15" customHeight="1" s="82">
      <c r="A434" s="94" t="inlineStr">
        <is>
          <t>חאזם תלחמי</t>
        </is>
      </c>
      <c r="B434" s="94" t="inlineStr">
        <is>
          <t>103</t>
        </is>
      </c>
      <c r="C434" s="94" t="inlineStr">
        <is>
          <t>103 - Physiotherapy institutes</t>
        </is>
      </c>
      <c r="D434" s="94" t="inlineStr">
        <is>
          <t>C02272</t>
        </is>
      </c>
      <c r="E434" s="94" t="inlineStr">
        <is>
          <t>C02272 איי.אם. ריהאפיליתאשן</t>
        </is>
      </c>
      <c r="F434" s="102" t="n">
        <v>1651.73</v>
      </c>
      <c r="G434" s="102" t="n">
        <v>0</v>
      </c>
      <c r="H434" s="95" t="n">
        <v>15</v>
      </c>
      <c r="I434" s="95" t="n">
        <v>0</v>
      </c>
      <c r="J434" s="94" t="inlineStr">
        <is>
          <t>normal</t>
        </is>
      </c>
      <c r="K434" s="94" t="inlineStr">
        <is>
          <t>NetSuite</t>
        </is>
      </c>
    </row>
    <row r="435" ht="15" customHeight="1" s="82">
      <c r="A435" s="94" t="inlineStr">
        <is>
          <t>חאזם תלחמי</t>
        </is>
      </c>
      <c r="B435" s="94" t="inlineStr">
        <is>
          <t>103</t>
        </is>
      </c>
      <c r="C435" s="94" t="inlineStr">
        <is>
          <t>103 - Physiotherapy institutes</t>
        </is>
      </c>
      <c r="D435" s="94" t="inlineStr">
        <is>
          <t>C02278</t>
        </is>
      </c>
      <c r="E435" s="94" t="inlineStr">
        <is>
          <t>C02278 נאסר מוחסן</t>
        </is>
      </c>
      <c r="F435" s="102" t="n">
        <v>1612.18</v>
      </c>
      <c r="G435" s="102" t="n">
        <v>0</v>
      </c>
      <c r="H435" s="95" t="n">
        <v>15</v>
      </c>
      <c r="I435" s="95" t="n">
        <v>0</v>
      </c>
      <c r="J435" s="94" t="inlineStr">
        <is>
          <t>normal</t>
        </is>
      </c>
      <c r="K435" s="94" t="inlineStr">
        <is>
          <t>NetSuite</t>
        </is>
      </c>
    </row>
    <row r="436" ht="15" customHeight="1" s="82">
      <c r="A436" s="94" t="inlineStr">
        <is>
          <t>חאזם תלחמי</t>
        </is>
      </c>
      <c r="B436" s="94" t="inlineStr">
        <is>
          <t>103</t>
        </is>
      </c>
      <c r="C436" s="94" t="inlineStr">
        <is>
          <t>103 - Physiotherapy institutes</t>
        </is>
      </c>
      <c r="D436" s="94" t="inlineStr">
        <is>
          <t>C02288</t>
        </is>
      </c>
      <c r="E436" s="94" t="inlineStr">
        <is>
          <t>C02288 פאעור עלי</t>
        </is>
      </c>
      <c r="F436" s="102" t="n">
        <v>11357.27</v>
      </c>
      <c r="G436" s="102" t="n">
        <v>476.98</v>
      </c>
      <c r="H436" s="95" t="n">
        <v>148</v>
      </c>
      <c r="I436" s="95" t="n">
        <v>5</v>
      </c>
      <c r="J436" s="94" t="inlineStr">
        <is>
          <t>normal</t>
        </is>
      </c>
      <c r="K436" s="94" t="inlineStr">
        <is>
          <t>NetSuite</t>
        </is>
      </c>
    </row>
    <row r="437" ht="15" customHeight="1" s="82">
      <c r="A437" s="94" t="inlineStr">
        <is>
          <t>חאזם תלחמי</t>
        </is>
      </c>
      <c r="B437" s="94" t="inlineStr">
        <is>
          <t>103</t>
        </is>
      </c>
      <c r="C437" s="94" t="inlineStr">
        <is>
          <t>103 - Physiotherapy institutes</t>
        </is>
      </c>
      <c r="D437" s="94" t="inlineStr">
        <is>
          <t>C02292</t>
        </is>
      </c>
      <c r="E437" s="94" t="inlineStr">
        <is>
          <t>C02292 כיאל ויסאם</t>
        </is>
      </c>
      <c r="F437" s="102" t="n">
        <v>5135.4</v>
      </c>
      <c r="G437" s="102" t="n">
        <v>4003.91</v>
      </c>
      <c r="H437" s="95" t="n">
        <v>113</v>
      </c>
      <c r="I437" s="95" t="n">
        <v>59</v>
      </c>
      <c r="J437" s="94" t="inlineStr">
        <is>
          <t>normal</t>
        </is>
      </c>
      <c r="K437" s="94" t="inlineStr">
        <is>
          <t>NetSuite</t>
        </is>
      </c>
    </row>
    <row r="438" ht="15" customHeight="1" s="82">
      <c r="A438" s="94" t="inlineStr">
        <is>
          <t>חאזם תלחמי</t>
        </is>
      </c>
      <c r="B438" s="94" t="inlineStr">
        <is>
          <t>104</t>
        </is>
      </c>
      <c r="C438" s="94" t="inlineStr">
        <is>
          <t>104 - Sports Shop</t>
        </is>
      </c>
      <c r="D438" s="94" t="inlineStr">
        <is>
          <t>150064</t>
        </is>
      </c>
      <c r="E438" s="94" t="inlineStr">
        <is>
          <t>150064 מיקס שופ</t>
        </is>
      </c>
      <c r="F438" s="102" t="n">
        <v>514.2</v>
      </c>
      <c r="G438" s="102" t="n">
        <v>0</v>
      </c>
      <c r="H438" s="95" t="n">
        <v>16</v>
      </c>
      <c r="I438" s="95" t="n">
        <v>0</v>
      </c>
      <c r="J438" s="94" t="inlineStr">
        <is>
          <t>normal</t>
        </is>
      </c>
      <c r="K438" s="94" t="inlineStr">
        <is>
          <t>NetSuite</t>
        </is>
      </c>
    </row>
    <row r="439" ht="15" customHeight="1" s="82">
      <c r="A439" s="94" t="inlineStr">
        <is>
          <t>חאזם תלחמי</t>
        </is>
      </c>
      <c r="B439" s="94" t="inlineStr">
        <is>
          <t>105</t>
        </is>
      </c>
      <c r="C439" s="94" t="inlineStr">
        <is>
          <t>105 - Pedicure Salons</t>
        </is>
      </c>
      <c r="D439" s="94" t="inlineStr">
        <is>
          <t>151082</t>
        </is>
      </c>
      <c r="E439" s="94" t="inlineStr">
        <is>
          <t>151082 טובול מיכל</t>
        </is>
      </c>
      <c r="F439" s="102" t="n">
        <v>498.8</v>
      </c>
      <c r="G439" s="102" t="n">
        <v>0</v>
      </c>
      <c r="H439" s="95" t="n">
        <v>20</v>
      </c>
      <c r="I439" s="95" t="n">
        <v>0</v>
      </c>
      <c r="J439" s="94" t="inlineStr">
        <is>
          <t>merged</t>
        </is>
      </c>
      <c r="K439" s="94" t="inlineStr">
        <is>
          <t>NetSuite</t>
        </is>
      </c>
    </row>
    <row r="440" ht="15" customHeight="1" s="82">
      <c r="A440" s="94" t="inlineStr">
        <is>
          <t>חאזם תלחמי</t>
        </is>
      </c>
      <c r="B440" s="94" t="inlineStr">
        <is>
          <t>107</t>
        </is>
      </c>
      <c r="C440" s="94" t="inlineStr">
        <is>
          <t>107 - Pharmacies</t>
        </is>
      </c>
      <c r="D440" s="94" t="inlineStr">
        <is>
          <t>151178</t>
        </is>
      </c>
      <c r="E440" s="94" t="inlineStr">
        <is>
          <t>151178 ב.מ טוטאל פארם להבות חביב</t>
        </is>
      </c>
      <c r="F440" s="102" t="n">
        <v>16058.16</v>
      </c>
      <c r="G440" s="102" t="n">
        <v>15758.62</v>
      </c>
      <c r="H440" s="95" t="n">
        <v>471</v>
      </c>
      <c r="I440" s="95" t="n">
        <v>319</v>
      </c>
      <c r="J440" s="94" t="inlineStr">
        <is>
          <t>normal</t>
        </is>
      </c>
      <c r="K440" s="94" t="inlineStr">
        <is>
          <t>NetSuite</t>
        </is>
      </c>
    </row>
    <row r="441" ht="15" customHeight="1" s="82">
      <c r="A441" s="94" t="inlineStr">
        <is>
          <t>חאזם תלחמי</t>
        </is>
      </c>
      <c r="B441" s="94" t="inlineStr">
        <is>
          <t>107</t>
        </is>
      </c>
      <c r="C441" s="94" t="inlineStr">
        <is>
          <t>107 - Pharmacies</t>
        </is>
      </c>
      <c r="D441" s="94" t="inlineStr">
        <is>
          <t>156511</t>
        </is>
      </c>
      <c r="E441" s="94" t="inlineStr">
        <is>
          <t>156511 בית מרקחת הקריות בע"מ</t>
        </is>
      </c>
      <c r="F441" s="102" t="n">
        <v>6333.4</v>
      </c>
      <c r="G441" s="102" t="n">
        <v>1213.05</v>
      </c>
      <c r="H441" s="95" t="n">
        <v>60</v>
      </c>
      <c r="I441" s="95" t="n">
        <v>21</v>
      </c>
      <c r="J441" s="94" t="inlineStr">
        <is>
          <t>normal</t>
        </is>
      </c>
      <c r="K441" s="94" t="inlineStr">
        <is>
          <t>NetSuite</t>
        </is>
      </c>
    </row>
    <row r="442" ht="15" customHeight="1" s="82">
      <c r="A442" s="94" t="inlineStr">
        <is>
          <t>חאזם תלחמי</t>
        </is>
      </c>
      <c r="B442" s="94" t="inlineStr">
        <is>
          <t>107</t>
        </is>
      </c>
      <c r="C442" s="94" t="inlineStr">
        <is>
          <t>107 - Pharmacies</t>
        </is>
      </c>
      <c r="D442" s="94" t="inlineStr">
        <is>
          <t>156909</t>
        </is>
      </c>
      <c r="E442" s="94" t="inlineStr">
        <is>
          <t>156909 בית מרקחת עלאדין</t>
        </is>
      </c>
      <c r="F442" s="102" t="n">
        <v>480</v>
      </c>
      <c r="G442" s="102" t="n">
        <v>0</v>
      </c>
      <c r="H442" s="95" t="n">
        <v>4</v>
      </c>
      <c r="I442" s="95" t="n">
        <v>0</v>
      </c>
      <c r="J442" s="94" t="inlineStr">
        <is>
          <t>normal</t>
        </is>
      </c>
      <c r="K442" s="94" t="inlineStr">
        <is>
          <t>NetSuite</t>
        </is>
      </c>
    </row>
    <row r="443" ht="15" customHeight="1" s="82">
      <c r="A443" s="94" t="inlineStr">
        <is>
          <t>חאזם תלחמי</t>
        </is>
      </c>
      <c r="B443" s="94" t="inlineStr">
        <is>
          <t>107</t>
        </is>
      </c>
      <c r="C443" s="94" t="inlineStr">
        <is>
          <t>107 - Pharmacies</t>
        </is>
      </c>
      <c r="D443" s="94" t="inlineStr">
        <is>
          <t>157412</t>
        </is>
      </c>
      <c r="E443" s="94" t="inlineStr">
        <is>
          <t>157412 סופר מדיקה ב.מ.</t>
        </is>
      </c>
      <c r="F443" s="102" t="n">
        <v>3607.47</v>
      </c>
      <c r="G443" s="102" t="n">
        <v>960.1900000000001</v>
      </c>
      <c r="H443" s="95" t="n">
        <v>76</v>
      </c>
      <c r="I443" s="95" t="n">
        <v>6</v>
      </c>
      <c r="J443" s="94" t="inlineStr">
        <is>
          <t>normal</t>
        </is>
      </c>
      <c r="K443" s="94" t="inlineStr">
        <is>
          <t>NetSuite</t>
        </is>
      </c>
    </row>
    <row r="444" ht="15" customHeight="1" s="82">
      <c r="A444" s="94" t="inlineStr">
        <is>
          <t>חאזם תלחמי</t>
        </is>
      </c>
      <c r="B444" s="94" t="inlineStr">
        <is>
          <t>107</t>
        </is>
      </c>
      <c r="C444" s="94" t="inlineStr">
        <is>
          <t>107 - Pharmacies</t>
        </is>
      </c>
      <c r="D444" s="94" t="inlineStr">
        <is>
          <t>C02232</t>
        </is>
      </c>
      <c r="E444" s="94" t="inlineStr">
        <is>
          <t>C02232 בית מרקחת מוקייבלה</t>
        </is>
      </c>
      <c r="F444" s="102" t="n">
        <v>2530.21</v>
      </c>
      <c r="G444" s="102" t="n">
        <v>0</v>
      </c>
      <c r="H444" s="95" t="n">
        <v>58</v>
      </c>
      <c r="I444" s="95" t="n">
        <v>0</v>
      </c>
      <c r="J444" s="94" t="inlineStr">
        <is>
          <t>normal</t>
        </is>
      </c>
      <c r="K444" s="94" t="inlineStr">
        <is>
          <t>NetSuite</t>
        </is>
      </c>
    </row>
    <row r="445" ht="15" customHeight="1" s="82">
      <c r="A445" s="94" t="inlineStr">
        <is>
          <t>חאזם תלחמי</t>
        </is>
      </c>
      <c r="B445" s="94" t="inlineStr">
        <is>
          <t>109</t>
        </is>
      </c>
      <c r="C445" s="94" t="inlineStr">
        <is>
          <t>109 - Private Shops</t>
        </is>
      </c>
      <c r="D445" s="94" t="inlineStr">
        <is>
          <t>151045</t>
        </is>
      </c>
      <c r="E445" s="94" t="inlineStr">
        <is>
          <t>151045 סנדלריית רוממה</t>
        </is>
      </c>
      <c r="F445" s="102" t="n">
        <v>465.91</v>
      </c>
      <c r="G445" s="102" t="n">
        <v>476.77</v>
      </c>
      <c r="H445" s="95" t="n">
        <v>22</v>
      </c>
      <c r="I445" s="95" t="n">
        <v>10</v>
      </c>
      <c r="J445" s="94" t="inlineStr">
        <is>
          <t>normal</t>
        </is>
      </c>
      <c r="K445" s="94" t="inlineStr">
        <is>
          <t>NetSuite</t>
        </is>
      </c>
    </row>
    <row r="446" ht="15" customHeight="1" s="82">
      <c r="A446" s="94" t="inlineStr">
        <is>
          <t>חאזם תלחמי</t>
        </is>
      </c>
      <c r="B446" s="94" t="inlineStr">
        <is>
          <t>109</t>
        </is>
      </c>
      <c r="C446" s="94" t="inlineStr">
        <is>
          <t>109 - Private Shops</t>
        </is>
      </c>
      <c r="D446" s="94" t="inlineStr">
        <is>
          <t>151138</t>
        </is>
      </c>
      <c r="E446" s="94" t="inlineStr">
        <is>
          <t>151138 בורג המפרץ בע"מ</t>
        </is>
      </c>
      <c r="F446" s="102" t="n">
        <v>2036.36</v>
      </c>
      <c r="G446" s="102" t="n">
        <v>8933.35</v>
      </c>
      <c r="H446" s="95" t="n">
        <v>55</v>
      </c>
      <c r="I446" s="95" t="n">
        <v>172</v>
      </c>
      <c r="J446" s="94" t="inlineStr">
        <is>
          <t>normal</t>
        </is>
      </c>
      <c r="K446" s="94" t="inlineStr">
        <is>
          <t>NetSuite</t>
        </is>
      </c>
    </row>
    <row r="447" ht="15" customHeight="1" s="82">
      <c r="A447" s="94" t="inlineStr">
        <is>
          <t>חאזם תלחמי</t>
        </is>
      </c>
      <c r="B447" s="94" t="inlineStr">
        <is>
          <t>109</t>
        </is>
      </c>
      <c r="C447" s="94" t="inlineStr">
        <is>
          <t>109 - Private Shops</t>
        </is>
      </c>
      <c r="D447" s="94" t="inlineStr">
        <is>
          <t>151163</t>
        </is>
      </c>
      <c r="E447" s="94" t="inlineStr">
        <is>
          <t>151163 חידוש נעל</t>
        </is>
      </c>
      <c r="F447" s="102" t="n">
        <v>2146.75</v>
      </c>
      <c r="G447" s="102" t="n">
        <v>1621.34</v>
      </c>
      <c r="H447" s="95" t="n">
        <v>34</v>
      </c>
      <c r="I447" s="95" t="n">
        <v>39</v>
      </c>
      <c r="J447" s="94" t="inlineStr">
        <is>
          <t>normal</t>
        </is>
      </c>
      <c r="K447" s="94" t="inlineStr">
        <is>
          <t>NetSuite</t>
        </is>
      </c>
    </row>
    <row r="448" ht="15" customHeight="1" s="82">
      <c r="A448" s="94" t="inlineStr">
        <is>
          <t>חאזם תלחמי</t>
        </is>
      </c>
      <c r="B448" s="94" t="inlineStr">
        <is>
          <t>109</t>
        </is>
      </c>
      <c r="C448" s="94" t="inlineStr">
        <is>
          <t>109 - Private Shops</t>
        </is>
      </c>
      <c r="D448" s="94" t="inlineStr">
        <is>
          <t>155012</t>
        </is>
      </c>
      <c r="E448" s="94" t="inlineStr">
        <is>
          <t>155012 אמי בע"מ-ביגוד מגן</t>
        </is>
      </c>
      <c r="F448" s="102" t="n">
        <v>922.35</v>
      </c>
      <c r="G448" s="102" t="n">
        <v>0</v>
      </c>
      <c r="H448" s="95" t="n">
        <v>22</v>
      </c>
      <c r="I448" s="95" t="n">
        <v>0</v>
      </c>
      <c r="J448" s="94" t="inlineStr">
        <is>
          <t>normal</t>
        </is>
      </c>
      <c r="K448" s="94" t="inlineStr">
        <is>
          <t>NetSuite</t>
        </is>
      </c>
    </row>
    <row r="449" ht="15" customHeight="1" s="82">
      <c r="A449" s="94" t="inlineStr">
        <is>
          <t>חאזם תלחמי</t>
        </is>
      </c>
      <c r="B449" s="94" t="inlineStr">
        <is>
          <t>109</t>
        </is>
      </c>
      <c r="C449" s="94" t="inlineStr">
        <is>
          <t>109 - Private Shops</t>
        </is>
      </c>
      <c r="D449" s="94" t="inlineStr">
        <is>
          <t>155504</t>
        </is>
      </c>
      <c r="E449" s="94" t="inlineStr">
        <is>
          <t>155504 בית טבע פנצאיה</t>
        </is>
      </c>
      <c r="F449" s="102" t="n">
        <v>4635.08</v>
      </c>
      <c r="G449" s="102" t="n">
        <v>571.6799999999999</v>
      </c>
      <c r="H449" s="95" t="n">
        <v>106</v>
      </c>
      <c r="I449" s="95" t="n">
        <v>4</v>
      </c>
      <c r="J449" s="94" t="inlineStr">
        <is>
          <t>normal</t>
        </is>
      </c>
      <c r="K449" s="94" t="inlineStr">
        <is>
          <t>NetSuite</t>
        </is>
      </c>
    </row>
    <row r="450" ht="15" customHeight="1" s="82">
      <c r="A450" s="94" t="inlineStr">
        <is>
          <t>חאזם תלחמי</t>
        </is>
      </c>
      <c r="B450" s="94" t="inlineStr">
        <is>
          <t>109</t>
        </is>
      </c>
      <c r="C450" s="94" t="inlineStr">
        <is>
          <t>109 - Private Shops</t>
        </is>
      </c>
      <c r="D450" s="94" t="inlineStr">
        <is>
          <t>C02231SC1</t>
        </is>
      </c>
      <c r="E450" s="94" t="inlineStr">
        <is>
          <t>C02231 ש.ל.י. סיירת ציוד בעמ : C02231SC1 ש.ל.י סיירת ציוד חיפה</t>
        </is>
      </c>
      <c r="F450" s="102" t="n">
        <v>1710.83</v>
      </c>
      <c r="G450" s="102" t="n">
        <v>0</v>
      </c>
      <c r="H450" s="95" t="n">
        <v>44</v>
      </c>
      <c r="I450" s="95" t="n">
        <v>0</v>
      </c>
      <c r="J450" s="94" t="inlineStr">
        <is>
          <t>normal</t>
        </is>
      </c>
      <c r="K450" s="94" t="inlineStr">
        <is>
          <t>NetSuite</t>
        </is>
      </c>
    </row>
    <row r="451" ht="15" customHeight="1" s="82">
      <c r="A451" s="94" t="inlineStr">
        <is>
          <t>חאזם תלחמי</t>
        </is>
      </c>
      <c r="B451" s="94" t="inlineStr">
        <is>
          <t>109</t>
        </is>
      </c>
      <c r="C451" s="94" t="inlineStr">
        <is>
          <t>109 - Private Shops</t>
        </is>
      </c>
      <c r="D451" s="94" t="inlineStr">
        <is>
          <t>C02268</t>
        </is>
      </c>
      <c r="E451" s="94" t="inlineStr">
        <is>
          <t>C02268 ר.ת מדיקל גרופ</t>
        </is>
      </c>
      <c r="F451" s="102" t="n">
        <v>0</v>
      </c>
      <c r="G451" s="102" t="n">
        <v>931.4</v>
      </c>
      <c r="H451" s="95" t="n">
        <v>0</v>
      </c>
      <c r="I451" s="95" t="n">
        <v>5</v>
      </c>
      <c r="J451" s="94" t="inlineStr">
        <is>
          <t>normal</t>
        </is>
      </c>
      <c r="K451" s="94" t="inlineStr">
        <is>
          <t>NetSuite</t>
        </is>
      </c>
    </row>
    <row r="452" ht="15" customHeight="1" s="82">
      <c r="A452" s="94" t="inlineStr">
        <is>
          <t>חאזם תלחמי</t>
        </is>
      </c>
      <c r="B452" s="94" t="inlineStr">
        <is>
          <t>109</t>
        </is>
      </c>
      <c r="C452" s="94" t="inlineStr">
        <is>
          <t>109 - Private Shops</t>
        </is>
      </c>
      <c r="D452" s="94" t="inlineStr">
        <is>
          <t>C02276</t>
        </is>
      </c>
      <c r="E452" s="94" t="inlineStr">
        <is>
          <t>C02276 ריאן עלא סלימאן</t>
        </is>
      </c>
      <c r="F452" s="102" t="n">
        <v>427.41</v>
      </c>
      <c r="G452" s="102" t="n">
        <v>0</v>
      </c>
      <c r="H452" s="95" t="n">
        <v>18</v>
      </c>
      <c r="I452" s="95" t="n">
        <v>0</v>
      </c>
      <c r="J452" s="94" t="inlineStr">
        <is>
          <t>normal</t>
        </is>
      </c>
      <c r="K452" s="94" t="inlineStr">
        <is>
          <t>NetSuite</t>
        </is>
      </c>
    </row>
    <row r="453" ht="15" customHeight="1" s="82">
      <c r="A453" s="94" t="inlineStr">
        <is>
          <t>חיים ויצמן</t>
        </is>
      </c>
      <c r="B453" s="94" t="inlineStr">
        <is>
          <t>102</t>
        </is>
      </c>
      <c r="C453" s="94" t="inlineStr">
        <is>
          <t>102 - Orthopedic institutes</t>
        </is>
      </c>
      <c r="D453" s="94" t="inlineStr">
        <is>
          <t>150007</t>
        </is>
      </c>
      <c r="E453" s="94" t="inlineStr">
        <is>
          <t>150007 אבידן אורטופדיה שיקומית ב</t>
        </is>
      </c>
      <c r="F453" s="102" t="n">
        <v>360</v>
      </c>
      <c r="G453" s="102" t="n">
        <v>3412.07</v>
      </c>
      <c r="H453" s="95" t="n">
        <v>3</v>
      </c>
      <c r="I453" s="95" t="n">
        <v>41</v>
      </c>
      <c r="J453" s="94" t="inlineStr">
        <is>
          <t>normal</t>
        </is>
      </c>
      <c r="K453" s="94" t="inlineStr">
        <is>
          <t>NetSuite</t>
        </is>
      </c>
    </row>
    <row r="454" ht="15" customHeight="1" s="82">
      <c r="A454" s="94" t="inlineStr">
        <is>
          <t>חיים ויצמן</t>
        </is>
      </c>
      <c r="B454" s="94" t="inlineStr">
        <is>
          <t>102</t>
        </is>
      </c>
      <c r="C454" s="94" t="inlineStr">
        <is>
          <t>102 - Orthopedic institutes</t>
        </is>
      </c>
      <c r="D454" s="94" t="inlineStr">
        <is>
          <t>150055</t>
        </is>
      </c>
      <c r="E454" s="94" t="inlineStr">
        <is>
          <t>150055 סניוס מדיק בע"מ</t>
        </is>
      </c>
      <c r="F454" s="102" t="n">
        <v>12357.83</v>
      </c>
      <c r="G454" s="102" t="n">
        <v>14282.47</v>
      </c>
      <c r="H454" s="95" t="n">
        <v>239</v>
      </c>
      <c r="I454" s="95" t="n">
        <v>208</v>
      </c>
      <c r="J454" s="94" t="inlineStr">
        <is>
          <t>normal</t>
        </is>
      </c>
      <c r="K454" s="94" t="inlineStr">
        <is>
          <t>NetSuite</t>
        </is>
      </c>
    </row>
    <row r="455" ht="15" customHeight="1" s="82">
      <c r="A455" s="94" t="inlineStr">
        <is>
          <t>חיים ויצמן</t>
        </is>
      </c>
      <c r="B455" s="94" t="inlineStr">
        <is>
          <t>102</t>
        </is>
      </c>
      <c r="C455" s="94" t="inlineStr">
        <is>
          <t>102 - Orthopedic institutes</t>
        </is>
      </c>
      <c r="D455" s="94" t="inlineStr">
        <is>
          <t>150125</t>
        </is>
      </c>
      <c r="E455" s="94" t="inlineStr">
        <is>
          <t>150125 מ.ח. כף רגל וקרסול מ.אורט</t>
        </is>
      </c>
      <c r="F455" s="102" t="n">
        <v>2743.01</v>
      </c>
      <c r="G455" s="102" t="n">
        <v>2140.03</v>
      </c>
      <c r="H455" s="95" t="n">
        <v>19</v>
      </c>
      <c r="I455" s="95" t="n">
        <v>11</v>
      </c>
      <c r="J455" s="94" t="inlineStr">
        <is>
          <t>normal</t>
        </is>
      </c>
      <c r="K455" s="94" t="inlineStr">
        <is>
          <t>NetSuite</t>
        </is>
      </c>
    </row>
    <row r="456" ht="15" customHeight="1" s="82">
      <c r="A456" s="94" t="inlineStr">
        <is>
          <t>חיים ויצמן</t>
        </is>
      </c>
      <c r="B456" s="94" t="inlineStr">
        <is>
          <t>102</t>
        </is>
      </c>
      <c r="C456" s="94" t="inlineStr">
        <is>
          <t>102 - Orthopedic institutes</t>
        </is>
      </c>
      <c r="D456" s="94" t="inlineStr">
        <is>
          <t>150138</t>
        </is>
      </c>
      <c r="E456" s="94" t="inlineStr">
        <is>
          <t>150138 מדיק סנטר ר.א בע"מ</t>
        </is>
      </c>
      <c r="F456" s="102" t="n">
        <v>39708.63</v>
      </c>
      <c r="G456" s="102" t="n">
        <v>31927.9</v>
      </c>
      <c r="H456" s="95" t="n">
        <v>606</v>
      </c>
      <c r="I456" s="95" t="n">
        <v>457</v>
      </c>
      <c r="J456" s="94" t="inlineStr">
        <is>
          <t>normal</t>
        </is>
      </c>
      <c r="K456" s="94" t="inlineStr">
        <is>
          <t>NetSuite</t>
        </is>
      </c>
    </row>
    <row r="457" ht="15" customHeight="1" s="82">
      <c r="A457" s="94" t="inlineStr">
        <is>
          <t>חיים ויצמן</t>
        </is>
      </c>
      <c r="B457" s="94" t="inlineStr">
        <is>
          <t>102</t>
        </is>
      </c>
      <c r="C457" s="94" t="inlineStr">
        <is>
          <t>102 - Orthopedic institutes</t>
        </is>
      </c>
      <c r="D457" s="94" t="inlineStr">
        <is>
          <t>150160</t>
        </is>
      </c>
      <c r="E457" s="94" t="inlineStr">
        <is>
          <t>150160 המ.הבריאותי לרגל בע"מ</t>
        </is>
      </c>
      <c r="F457" s="102" t="n">
        <v>425.32</v>
      </c>
      <c r="G457" s="102" t="n">
        <v>876.14</v>
      </c>
      <c r="H457" s="95" t="n">
        <v>4</v>
      </c>
      <c r="I457" s="95" t="n">
        <v>10</v>
      </c>
      <c r="J457" s="94" t="inlineStr">
        <is>
          <t>normal</t>
        </is>
      </c>
      <c r="K457" s="94" t="inlineStr">
        <is>
          <t>NetSuite</t>
        </is>
      </c>
    </row>
    <row r="458" ht="15" customHeight="1" s="82">
      <c r="A458" s="94" t="inlineStr">
        <is>
          <t>חיים ויצמן</t>
        </is>
      </c>
      <c r="B458" s="94" t="inlineStr">
        <is>
          <t>102</t>
        </is>
      </c>
      <c r="C458" s="94" t="inlineStr">
        <is>
          <t>102 - Orthopedic institutes</t>
        </is>
      </c>
      <c r="D458" s="94" t="inlineStr">
        <is>
          <t>150182</t>
        </is>
      </c>
      <c r="E458" s="94" t="inlineStr">
        <is>
          <t>150182 עטרת מדיפוט נתניה</t>
        </is>
      </c>
      <c r="F458" s="102" t="n">
        <v>11441.84</v>
      </c>
      <c r="G458" s="102" t="n">
        <v>6334.67</v>
      </c>
      <c r="H458" s="95" t="n">
        <v>161</v>
      </c>
      <c r="I458" s="95" t="n">
        <v>156</v>
      </c>
      <c r="J458" s="94" t="inlineStr">
        <is>
          <t>normal</t>
        </is>
      </c>
      <c r="K458" s="94" t="inlineStr">
        <is>
          <t>NetSuite</t>
        </is>
      </c>
    </row>
    <row r="459" ht="15" customHeight="1" s="82">
      <c r="A459" s="94" t="inlineStr">
        <is>
          <t>חיים ויצמן</t>
        </is>
      </c>
      <c r="B459" s="94" t="inlineStr">
        <is>
          <t>102</t>
        </is>
      </c>
      <c r="C459" s="94" t="inlineStr">
        <is>
          <t>102 - Orthopedic institutes</t>
        </is>
      </c>
      <c r="D459" s="94" t="inlineStr">
        <is>
          <t>150221</t>
        </is>
      </c>
      <c r="E459" s="94" t="inlineStr">
        <is>
          <t>150221 רגליים כ"ס אורטופדיה</t>
        </is>
      </c>
      <c r="F459" s="102" t="n">
        <v>461.04</v>
      </c>
      <c r="G459" s="102" t="n">
        <v>0</v>
      </c>
      <c r="H459" s="95" t="n">
        <v>2</v>
      </c>
      <c r="I459" s="95" t="n">
        <v>0</v>
      </c>
      <c r="J459" s="94" t="inlineStr">
        <is>
          <t>normal</t>
        </is>
      </c>
      <c r="K459" s="94" t="inlineStr">
        <is>
          <t>NetSuite</t>
        </is>
      </c>
    </row>
    <row r="460" ht="15" customHeight="1" s="82">
      <c r="A460" s="94" t="inlineStr">
        <is>
          <t>חיים ויצמן</t>
        </is>
      </c>
      <c r="B460" s="94" t="inlineStr">
        <is>
          <t>102</t>
        </is>
      </c>
      <c r="C460" s="94" t="inlineStr">
        <is>
          <t>102 - Orthopedic institutes</t>
        </is>
      </c>
      <c r="D460" s="94" t="inlineStr">
        <is>
          <t>150336</t>
        </is>
      </c>
      <c r="E460" s="94" t="inlineStr">
        <is>
          <t>150336 מרכז לאביזרים אורט' אסותא</t>
        </is>
      </c>
      <c r="F460" s="102" t="n">
        <v>5649.24</v>
      </c>
      <c r="G460" s="102" t="n">
        <v>6243.73</v>
      </c>
      <c r="H460" s="95" t="n">
        <v>44</v>
      </c>
      <c r="I460" s="95" t="n">
        <v>50</v>
      </c>
      <c r="J460" s="94" t="inlineStr">
        <is>
          <t>normal</t>
        </is>
      </c>
      <c r="K460" s="94" t="inlineStr">
        <is>
          <t>NetSuite</t>
        </is>
      </c>
    </row>
    <row r="461" ht="15" customHeight="1" s="82">
      <c r="A461" s="94" t="inlineStr">
        <is>
          <t>חיים ויצמן</t>
        </is>
      </c>
      <c r="B461" s="94" t="inlineStr">
        <is>
          <t>102</t>
        </is>
      </c>
      <c r="C461" s="94" t="inlineStr">
        <is>
          <t>102 - Orthopedic institutes</t>
        </is>
      </c>
      <c r="D461" s="94" t="inlineStr">
        <is>
          <t>150373</t>
        </is>
      </c>
      <c r="E461" s="94" t="inlineStr">
        <is>
          <t>150373 פיזיו קליניק בע"מ</t>
        </is>
      </c>
      <c r="F461" s="102" t="n">
        <v>223.64</v>
      </c>
      <c r="G461" s="102" t="n">
        <v>0</v>
      </c>
      <c r="H461" s="95" t="n">
        <v>4</v>
      </c>
      <c r="I461" s="95" t="n">
        <v>0</v>
      </c>
      <c r="J461" s="94" t="inlineStr">
        <is>
          <t>normal</t>
        </is>
      </c>
      <c r="K461" s="94" t="inlineStr">
        <is>
          <t>NetSuite</t>
        </is>
      </c>
    </row>
    <row r="462" ht="15" customHeight="1" s="82">
      <c r="A462" s="94" t="inlineStr">
        <is>
          <t>חיים ויצמן</t>
        </is>
      </c>
      <c r="B462" s="94" t="inlineStr">
        <is>
          <t>102</t>
        </is>
      </c>
      <c r="C462" s="94" t="inlineStr">
        <is>
          <t>102 - Orthopedic institutes</t>
        </is>
      </c>
      <c r="D462" s="94" t="inlineStr">
        <is>
          <t>151005</t>
        </is>
      </c>
      <c r="E462" s="94" t="inlineStr">
        <is>
          <t>151005 עקב אכילס -מכון אורטופדי</t>
        </is>
      </c>
      <c r="F462" s="102" t="n">
        <v>13619.55</v>
      </c>
      <c r="G462" s="102" t="n">
        <v>7289.88</v>
      </c>
      <c r="H462" s="95" t="n">
        <v>101</v>
      </c>
      <c r="I462" s="95" t="n">
        <v>50</v>
      </c>
      <c r="J462" s="94" t="inlineStr">
        <is>
          <t>normal</t>
        </is>
      </c>
      <c r="K462" s="94" t="inlineStr">
        <is>
          <t>NetSuite</t>
        </is>
      </c>
    </row>
    <row r="463" ht="15" customHeight="1" s="82">
      <c r="A463" s="94" t="inlineStr">
        <is>
          <t>חיים ויצמן</t>
        </is>
      </c>
      <c r="B463" s="94" t="inlineStr">
        <is>
          <t>102</t>
        </is>
      </c>
      <c r="C463" s="94" t="inlineStr">
        <is>
          <t>102 - Orthopedic institutes</t>
        </is>
      </c>
      <c r="D463" s="94" t="inlineStr">
        <is>
          <t>151010</t>
        </is>
      </c>
      <c r="E463" s="94" t="inlineStr">
        <is>
          <t>151010 אסף מדיקל</t>
        </is>
      </c>
      <c r="F463" s="102" t="n">
        <v>3691.02</v>
      </c>
      <c r="G463" s="102" t="n">
        <v>5446.19</v>
      </c>
      <c r="H463" s="95" t="n">
        <v>19</v>
      </c>
      <c r="I463" s="95" t="n">
        <v>27</v>
      </c>
      <c r="J463" s="94" t="inlineStr">
        <is>
          <t>normal</t>
        </is>
      </c>
      <c r="K463" s="94" t="inlineStr">
        <is>
          <t>NetSuite</t>
        </is>
      </c>
    </row>
    <row r="464" ht="15" customHeight="1" s="82">
      <c r="A464" s="94" t="inlineStr">
        <is>
          <t>חיים ויצמן</t>
        </is>
      </c>
      <c r="B464" s="94" t="inlineStr">
        <is>
          <t>102</t>
        </is>
      </c>
      <c r="C464" s="94" t="inlineStr">
        <is>
          <t>102 - Orthopedic institutes</t>
        </is>
      </c>
      <c r="D464" s="94" t="inlineStr">
        <is>
          <t>151057</t>
        </is>
      </c>
      <c r="E464" s="94" t="inlineStr">
        <is>
          <t>151057 מזלטק בע"מ</t>
        </is>
      </c>
      <c r="F464" s="102" t="n">
        <v>981.88</v>
      </c>
      <c r="G464" s="102" t="n">
        <v>485.45</v>
      </c>
      <c r="H464" s="95" t="n">
        <v>6</v>
      </c>
      <c r="I464" s="95" t="n">
        <v>13</v>
      </c>
      <c r="J464" s="94" t="inlineStr">
        <is>
          <t>normal</t>
        </is>
      </c>
      <c r="K464" s="94" t="inlineStr">
        <is>
          <t>NetSuite</t>
        </is>
      </c>
    </row>
    <row r="465" ht="15" customHeight="1" s="82">
      <c r="A465" s="94" t="inlineStr">
        <is>
          <t>חיים ויצמן</t>
        </is>
      </c>
      <c r="B465" s="94" t="inlineStr">
        <is>
          <t>102</t>
        </is>
      </c>
      <c r="C465" s="94" t="inlineStr">
        <is>
          <t>102 - Orthopedic institutes</t>
        </is>
      </c>
      <c r="D465" s="94" t="inlineStr">
        <is>
          <t>151122</t>
        </is>
      </c>
      <c r="E465" s="94" t="inlineStr">
        <is>
          <t>151122 א.ב.רגליים</t>
        </is>
      </c>
      <c r="F465" s="102" t="n">
        <v>548.79</v>
      </c>
      <c r="G465" s="102" t="n">
        <v>0</v>
      </c>
      <c r="H465" s="95" t="n">
        <v>9</v>
      </c>
      <c r="I465" s="95" t="n">
        <v>0</v>
      </c>
      <c r="J465" s="94" t="inlineStr">
        <is>
          <t>normal</t>
        </is>
      </c>
      <c r="K465" s="94" t="inlineStr">
        <is>
          <t>NetSuite</t>
        </is>
      </c>
    </row>
    <row r="466" ht="15" customHeight="1" s="82">
      <c r="A466" s="94" t="inlineStr">
        <is>
          <t>חיים ויצמן</t>
        </is>
      </c>
      <c r="B466" s="94" t="inlineStr">
        <is>
          <t>102</t>
        </is>
      </c>
      <c r="C466" s="94" t="inlineStr">
        <is>
          <t>102 - Orthopedic institutes</t>
        </is>
      </c>
      <c r="D466" s="94" t="inlineStr">
        <is>
          <t>151162</t>
        </is>
      </c>
      <c r="E466" s="94" t="inlineStr">
        <is>
          <t>151162 מרכזים לניתוחים</t>
        </is>
      </c>
      <c r="F466" s="102" t="n">
        <v>3738.75</v>
      </c>
      <c r="G466" s="102" t="n">
        <v>0</v>
      </c>
      <c r="H466" s="95" t="n">
        <v>42</v>
      </c>
      <c r="I466" s="95" t="n">
        <v>0</v>
      </c>
      <c r="J466" s="94" t="inlineStr">
        <is>
          <t>normal</t>
        </is>
      </c>
      <c r="K466" s="94" t="inlineStr">
        <is>
          <t>NetSuite</t>
        </is>
      </c>
    </row>
    <row r="467" ht="15" customHeight="1" s="82">
      <c r="A467" s="94" t="inlineStr">
        <is>
          <t>חיים ויצמן</t>
        </is>
      </c>
      <c r="B467" s="94" t="inlineStr">
        <is>
          <t>102</t>
        </is>
      </c>
      <c r="C467" s="94" t="inlineStr">
        <is>
          <t>102 - Orthopedic institutes</t>
        </is>
      </c>
      <c r="D467" s="94" t="inlineStr">
        <is>
          <t>C02177</t>
        </is>
      </c>
      <c r="E467" s="94" t="inlineStr">
        <is>
          <t>C02177 עולם האורטופדיה והספורט</t>
        </is>
      </c>
      <c r="F467" s="102" t="n">
        <v>6765.43</v>
      </c>
      <c r="G467" s="102" t="n">
        <v>4118.36</v>
      </c>
      <c r="H467" s="95" t="n">
        <v>81</v>
      </c>
      <c r="I467" s="95" t="n">
        <v>53</v>
      </c>
      <c r="J467" s="94" t="inlineStr">
        <is>
          <t>normal</t>
        </is>
      </c>
      <c r="K467" s="94" t="inlineStr">
        <is>
          <t>NetSuite</t>
        </is>
      </c>
    </row>
    <row r="468" ht="15" customHeight="1" s="82">
      <c r="A468" s="94" t="inlineStr">
        <is>
          <t>חיים ויצמן</t>
        </is>
      </c>
      <c r="B468" s="94" t="inlineStr">
        <is>
          <t>102</t>
        </is>
      </c>
      <c r="C468" s="94" t="inlineStr">
        <is>
          <t>102 - Orthopedic institutes</t>
        </is>
      </c>
      <c r="D468" s="94" t="inlineStr">
        <is>
          <t>C02262</t>
        </is>
      </c>
      <c r="E468" s="94" t="inlineStr">
        <is>
          <t>C02262 בני בלאנס ב בלאנס</t>
        </is>
      </c>
      <c r="F468" s="102" t="n">
        <v>252</v>
      </c>
      <c r="G468" s="102" t="n">
        <v>252</v>
      </c>
      <c r="H468" s="95" t="n">
        <v>2</v>
      </c>
      <c r="I468" s="95" t="n">
        <v>2</v>
      </c>
      <c r="J468" s="94" t="inlineStr">
        <is>
          <t>normal</t>
        </is>
      </c>
      <c r="K468" s="94" t="inlineStr">
        <is>
          <t>NetSuite</t>
        </is>
      </c>
    </row>
    <row r="469" ht="15" customHeight="1" s="82">
      <c r="A469" s="94" t="inlineStr">
        <is>
          <t>חיים ויצמן</t>
        </is>
      </c>
      <c r="B469" s="94" t="inlineStr">
        <is>
          <t>102</t>
        </is>
      </c>
      <c r="C469" s="94" t="inlineStr">
        <is>
          <t>102 - Orthopedic institutes</t>
        </is>
      </c>
      <c r="D469" s="94" t="inlineStr">
        <is>
          <t>C02293</t>
        </is>
      </c>
      <c r="E469" s="94" t="inlineStr">
        <is>
          <t>C02293 מבס איתי אורטופדיה קלינית</t>
        </is>
      </c>
      <c r="F469" s="102" t="n">
        <v>254.25</v>
      </c>
      <c r="G469" s="102" t="n">
        <v>0</v>
      </c>
      <c r="H469" s="95" t="n">
        <v>2</v>
      </c>
      <c r="I469" s="95" t="n">
        <v>0</v>
      </c>
      <c r="J469" s="94" t="inlineStr">
        <is>
          <t>normal</t>
        </is>
      </c>
      <c r="K469" s="94" t="inlineStr">
        <is>
          <t>NetSuite</t>
        </is>
      </c>
    </row>
    <row r="470" ht="15" customHeight="1" s="82">
      <c r="A470" s="94" t="inlineStr">
        <is>
          <t>חיים ויצמן</t>
        </is>
      </c>
      <c r="B470" s="94" t="inlineStr">
        <is>
          <t>102</t>
        </is>
      </c>
      <c r="C470" s="94" t="inlineStr">
        <is>
          <t>102 - Orthopedic institutes</t>
        </is>
      </c>
      <c r="D470" s="94" t="inlineStr">
        <is>
          <t>C02294</t>
        </is>
      </c>
      <c r="E470" s="94" t="inlineStr">
        <is>
          <t>C02294 מיקי אורטופדיה בע"מ</t>
        </is>
      </c>
      <c r="F470" s="102" t="n">
        <v>1300.01</v>
      </c>
      <c r="G470" s="102" t="n">
        <v>0</v>
      </c>
      <c r="H470" s="95" t="n">
        <v>5</v>
      </c>
      <c r="I470" s="95" t="n">
        <v>0</v>
      </c>
      <c r="J470" s="94" t="inlineStr">
        <is>
          <t>normal</t>
        </is>
      </c>
      <c r="K470" s="94" t="inlineStr">
        <is>
          <t>NetSuite</t>
        </is>
      </c>
    </row>
    <row r="471" ht="15" customHeight="1" s="82">
      <c r="A471" s="94" t="inlineStr">
        <is>
          <t>חיים ויצמן</t>
        </is>
      </c>
      <c r="B471" s="94" t="inlineStr">
        <is>
          <t>102</t>
        </is>
      </c>
      <c r="C471" s="94" t="inlineStr">
        <is>
          <t>102 - Orthopedic institutes</t>
        </is>
      </c>
      <c r="D471" s="94" t="inlineStr">
        <is>
          <t>C02317</t>
        </is>
      </c>
      <c r="E471" s="94" t="inlineStr">
        <is>
          <t>C02317 אלוש יעקב - תפנית</t>
        </is>
      </c>
      <c r="F471" s="102" t="n">
        <v>0</v>
      </c>
      <c r="G471" s="102" t="n">
        <v>2600</v>
      </c>
      <c r="H471" s="95" t="n">
        <v>0</v>
      </c>
      <c r="I471" s="95" t="n">
        <v>10</v>
      </c>
      <c r="J471" s="94" t="inlineStr">
        <is>
          <t>normal</t>
        </is>
      </c>
      <c r="K471" s="94" t="inlineStr">
        <is>
          <t>NetSuite</t>
        </is>
      </c>
    </row>
    <row r="472" ht="15" customHeight="1" s="82">
      <c r="A472" s="94" t="inlineStr">
        <is>
          <t>חיים ויצמן</t>
        </is>
      </c>
      <c r="B472" s="94" t="inlineStr">
        <is>
          <t>103</t>
        </is>
      </c>
      <c r="C472" s="94" t="inlineStr">
        <is>
          <t>103 - Physiotherapy institutes</t>
        </is>
      </c>
      <c r="D472" s="94" t="inlineStr">
        <is>
          <t>150371</t>
        </is>
      </c>
      <c r="E472" s="94" t="inlineStr">
        <is>
          <t>150371 ספורטרפיה</t>
        </is>
      </c>
      <c r="F472" s="102" t="n">
        <v>1620</v>
      </c>
      <c r="G472" s="102" t="n">
        <v>1350</v>
      </c>
      <c r="H472" s="95" t="n">
        <v>54</v>
      </c>
      <c r="I472" s="95" t="n">
        <v>45</v>
      </c>
      <c r="J472" s="94" t="inlineStr">
        <is>
          <t>normal</t>
        </is>
      </c>
      <c r="K472" s="94" t="inlineStr">
        <is>
          <t>NetSuite</t>
        </is>
      </c>
    </row>
    <row r="473" ht="15" customHeight="1" s="82">
      <c r="A473" s="94" t="inlineStr">
        <is>
          <t>חיים ויצמן</t>
        </is>
      </c>
      <c r="B473" s="94" t="inlineStr">
        <is>
          <t>103</t>
        </is>
      </c>
      <c r="C473" s="94" t="inlineStr">
        <is>
          <t>103 - Physiotherapy institutes</t>
        </is>
      </c>
      <c r="D473" s="94" t="inlineStr">
        <is>
          <t>150392</t>
        </is>
      </c>
      <c r="E473" s="94" t="inlineStr">
        <is>
          <t>150392 פיזיו קליניק בע"מ</t>
        </is>
      </c>
      <c r="F473" s="102" t="n">
        <v>144.57</v>
      </c>
      <c r="G473" s="102" t="n">
        <v>428.65</v>
      </c>
      <c r="H473" s="95" t="n">
        <v>5</v>
      </c>
      <c r="I473" s="95" t="n">
        <v>6</v>
      </c>
      <c r="J473" s="94" t="inlineStr">
        <is>
          <t>normal</t>
        </is>
      </c>
      <c r="K473" s="94" t="inlineStr">
        <is>
          <t>NetSuite</t>
        </is>
      </c>
    </row>
    <row r="474" ht="15" customHeight="1" s="82">
      <c r="A474" s="94" t="inlineStr">
        <is>
          <t>חיים ויצמן</t>
        </is>
      </c>
      <c r="B474" s="94" t="inlineStr">
        <is>
          <t>103</t>
        </is>
      </c>
      <c r="C474" s="94" t="inlineStr">
        <is>
          <t>103 - Physiotherapy institutes</t>
        </is>
      </c>
      <c r="D474" s="94" t="inlineStr">
        <is>
          <t>C02312</t>
        </is>
      </c>
      <c r="E474" s="94" t="inlineStr">
        <is>
          <t>C02312 עאסי האדי</t>
        </is>
      </c>
      <c r="F474" s="102" t="n">
        <v>0</v>
      </c>
      <c r="G474" s="102" t="n">
        <v>3602.06</v>
      </c>
      <c r="H474" s="95" t="n">
        <v>0</v>
      </c>
      <c r="I474" s="95" t="n">
        <v>51</v>
      </c>
      <c r="J474" s="94" t="inlineStr">
        <is>
          <t>normal</t>
        </is>
      </c>
      <c r="K474" s="94" t="inlineStr">
        <is>
          <t>NetSuite</t>
        </is>
      </c>
    </row>
    <row r="475" ht="15" customHeight="1" s="82">
      <c r="A475" s="94" t="inlineStr">
        <is>
          <t>חיים ויצמן</t>
        </is>
      </c>
      <c r="B475" s="94" t="inlineStr">
        <is>
          <t>105</t>
        </is>
      </c>
      <c r="C475" s="94" t="inlineStr">
        <is>
          <t>105 - Pedicure Salons</t>
        </is>
      </c>
      <c r="D475" s="94" t="inlineStr">
        <is>
          <t>150289</t>
        </is>
      </c>
      <c r="E475" s="94" t="inlineStr">
        <is>
          <t>150289 רות אסתטיק</t>
        </is>
      </c>
      <c r="F475" s="102" t="n">
        <v>1633.63</v>
      </c>
      <c r="G475" s="102" t="n">
        <v>2098.57</v>
      </c>
      <c r="H475" s="95" t="n">
        <v>70</v>
      </c>
      <c r="I475" s="95" t="n">
        <v>71</v>
      </c>
      <c r="J475" s="94" t="inlineStr">
        <is>
          <t>normal</t>
        </is>
      </c>
      <c r="K475" s="94" t="inlineStr">
        <is>
          <t>NetSuite</t>
        </is>
      </c>
    </row>
    <row r="476" ht="15" customHeight="1" s="82">
      <c r="A476" s="94" t="inlineStr">
        <is>
          <t>חיים ויצמן</t>
        </is>
      </c>
      <c r="B476" s="94" t="inlineStr">
        <is>
          <t>107</t>
        </is>
      </c>
      <c r="C476" s="94" t="inlineStr">
        <is>
          <t>107 - Pharmacies</t>
        </is>
      </c>
      <c r="D476" s="94" t="inlineStr">
        <is>
          <t>156140</t>
        </is>
      </c>
      <c r="E476" s="94" t="inlineStr">
        <is>
          <t>156140 רימונים פארם בע"מ</t>
        </is>
      </c>
      <c r="F476" s="102" t="n">
        <v>5565.49</v>
      </c>
      <c r="G476" s="102" t="n">
        <v>0</v>
      </c>
      <c r="H476" s="95" t="n">
        <v>145</v>
      </c>
      <c r="I476" s="95" t="n">
        <v>0</v>
      </c>
      <c r="J476" s="94" t="inlineStr">
        <is>
          <t>normal</t>
        </is>
      </c>
      <c r="K476" s="94" t="inlineStr">
        <is>
          <t>NetSuite</t>
        </is>
      </c>
    </row>
    <row r="477" ht="15" customHeight="1" s="82">
      <c r="A477" s="94" t="inlineStr">
        <is>
          <t>חיים ויצמן</t>
        </is>
      </c>
      <c r="B477" s="94" t="inlineStr">
        <is>
          <t>107</t>
        </is>
      </c>
      <c r="C477" s="94" t="inlineStr">
        <is>
          <t>107 - Pharmacies</t>
        </is>
      </c>
      <c r="D477" s="94" t="inlineStr">
        <is>
          <t>156903</t>
        </is>
      </c>
      <c r="E477" s="94" t="inlineStr">
        <is>
          <t>156903 טל שחר ב.מ</t>
        </is>
      </c>
      <c r="F477" s="102" t="n">
        <v>38179.56</v>
      </c>
      <c r="G477" s="102" t="n">
        <v>30643.82</v>
      </c>
      <c r="H477" s="95" t="n">
        <v>547</v>
      </c>
      <c r="I477" s="95" t="n">
        <v>491</v>
      </c>
      <c r="J477" s="94" t="inlineStr">
        <is>
          <t>normal</t>
        </is>
      </c>
      <c r="K477" s="94" t="inlineStr">
        <is>
          <t>NetSuite</t>
        </is>
      </c>
    </row>
    <row r="478" ht="15" customHeight="1" s="82">
      <c r="A478" s="94" t="inlineStr">
        <is>
          <t>חיים ויצמן</t>
        </is>
      </c>
      <c r="B478" s="94" t="inlineStr">
        <is>
          <t>107</t>
        </is>
      </c>
      <c r="C478" s="94" t="inlineStr">
        <is>
          <t>107 - Pharmacies</t>
        </is>
      </c>
      <c r="D478" s="94" t="inlineStr">
        <is>
          <t>156908</t>
        </is>
      </c>
      <c r="E478" s="94" t="inlineStr">
        <is>
          <t>156908 טלפארמה בע"מ</t>
        </is>
      </c>
      <c r="F478" s="102" t="n">
        <v>9396.85</v>
      </c>
      <c r="G478" s="102" t="n">
        <v>15009.76</v>
      </c>
      <c r="H478" s="95" t="n">
        <v>88</v>
      </c>
      <c r="I478" s="95" t="n">
        <v>165</v>
      </c>
      <c r="J478" s="94" t="inlineStr">
        <is>
          <t>normal</t>
        </is>
      </c>
      <c r="K478" s="94" t="inlineStr">
        <is>
          <t>NetSuite</t>
        </is>
      </c>
    </row>
    <row r="479" ht="15" customHeight="1" s="82">
      <c r="A479" s="94" t="inlineStr">
        <is>
          <t>חיים ויצמן</t>
        </is>
      </c>
      <c r="B479" s="94" t="inlineStr">
        <is>
          <t>109</t>
        </is>
      </c>
      <c r="C479" s="94" t="inlineStr">
        <is>
          <t>109 - Private Shops</t>
        </is>
      </c>
      <c r="D479" s="94" t="inlineStr">
        <is>
          <t>150151</t>
        </is>
      </c>
      <c r="E479" s="94" t="inlineStr">
        <is>
          <t>150151 סלון בלומה-בני ברק</t>
        </is>
      </c>
      <c r="F479" s="102" t="n">
        <v>4655.97</v>
      </c>
      <c r="G479" s="102" t="n">
        <v>3751.96</v>
      </c>
      <c r="H479" s="95" t="n">
        <v>20</v>
      </c>
      <c r="I479" s="95" t="n">
        <v>14</v>
      </c>
      <c r="J479" s="94" t="inlineStr">
        <is>
          <t>normal</t>
        </is>
      </c>
      <c r="K479" s="94" t="inlineStr">
        <is>
          <t>NetSuite</t>
        </is>
      </c>
    </row>
    <row r="480" ht="15" customHeight="1" s="82">
      <c r="A480" s="94" t="inlineStr">
        <is>
          <t>חיים ויצמן</t>
        </is>
      </c>
      <c r="B480" s="94" t="inlineStr">
        <is>
          <t>109</t>
        </is>
      </c>
      <c r="C480" s="94" t="inlineStr">
        <is>
          <t>109 - Private Shops</t>
        </is>
      </c>
      <c r="D480" s="94" t="inlineStr">
        <is>
          <t>151240</t>
        </is>
      </c>
      <c r="E480" s="94" t="inlineStr">
        <is>
          <t>151240 קומפורט זון</t>
        </is>
      </c>
      <c r="F480" s="102" t="n">
        <v>761.98</v>
      </c>
      <c r="G480" s="102" t="n">
        <v>0</v>
      </c>
      <c r="H480" s="95" t="n">
        <v>6</v>
      </c>
      <c r="I480" s="95" t="n">
        <v>0</v>
      </c>
      <c r="J480" s="94" t="inlineStr">
        <is>
          <t>normal</t>
        </is>
      </c>
      <c r="K480" s="94" t="inlineStr">
        <is>
          <t>NetSuite</t>
        </is>
      </c>
    </row>
    <row r="481" ht="15" customHeight="1" s="82">
      <c r="A481" s="94" t="inlineStr">
        <is>
          <t>חיים ויצמן</t>
        </is>
      </c>
      <c r="B481" s="94" t="inlineStr">
        <is>
          <t>109</t>
        </is>
      </c>
      <c r="C481" s="94" t="inlineStr">
        <is>
          <t>109 - Private Shops</t>
        </is>
      </c>
      <c r="D481" s="94" t="inlineStr">
        <is>
          <t>C02231</t>
        </is>
      </c>
      <c r="E481" s="94" t="inlineStr">
        <is>
          <t>C02231 ש.ל.י. סיירת ציוד בעמ</t>
        </is>
      </c>
      <c r="F481" s="102" t="n">
        <v>11691.24</v>
      </c>
      <c r="G481" s="102" t="n">
        <v>10102.07</v>
      </c>
      <c r="H481" s="95" t="n">
        <v>408</v>
      </c>
      <c r="I481" s="95" t="n">
        <v>165</v>
      </c>
      <c r="J481" s="94" t="inlineStr">
        <is>
          <t>normal</t>
        </is>
      </c>
      <c r="K481" s="94" t="inlineStr">
        <is>
          <t>NetSuite</t>
        </is>
      </c>
    </row>
    <row r="482" ht="15" customHeight="1" s="82">
      <c r="A482" s="94" t="inlineStr">
        <is>
          <t>חיים ויצמן</t>
        </is>
      </c>
      <c r="B482" s="94" t="inlineStr">
        <is>
          <t>109</t>
        </is>
      </c>
      <c r="C482" s="94" t="inlineStr">
        <is>
          <t>109 - Private Shops</t>
        </is>
      </c>
      <c r="D482" s="94" t="inlineStr">
        <is>
          <t>C02231SC2</t>
        </is>
      </c>
      <c r="E482" s="94" t="inlineStr">
        <is>
          <t>C02231 ש.ל.י. סיירת ציוד בעמ : C02231SC2 ש.ל.י סיירת ציוד ראשון לציון</t>
        </is>
      </c>
      <c r="F482" s="102" t="n">
        <v>1979.24</v>
      </c>
      <c r="G482" s="102" t="n">
        <v>0</v>
      </c>
      <c r="H482" s="95" t="n">
        <v>77</v>
      </c>
      <c r="I482" s="95" t="n">
        <v>0</v>
      </c>
      <c r="J482" s="94" t="inlineStr">
        <is>
          <t>normal</t>
        </is>
      </c>
      <c r="K482" s="94" t="inlineStr">
        <is>
          <t>NetSuite</t>
        </is>
      </c>
    </row>
    <row r="483" ht="15" customHeight="1" s="82">
      <c r="A483" s="94" t="inlineStr">
        <is>
          <t>חיים ויצמן</t>
        </is>
      </c>
      <c r="B483" s="94" t="inlineStr">
        <is>
          <t>109</t>
        </is>
      </c>
      <c r="C483" s="94" t="inlineStr">
        <is>
          <t>109 - Private Shops</t>
        </is>
      </c>
      <c r="D483" s="94" t="inlineStr">
        <is>
          <t>C02270</t>
        </is>
      </c>
      <c r="E483" s="94" t="inlineStr">
        <is>
          <t>C02270 טעם טבע של גיל</t>
        </is>
      </c>
      <c r="F483" s="102" t="n">
        <v>1287</v>
      </c>
      <c r="G483" s="102" t="n">
        <v>6024.15</v>
      </c>
      <c r="H483" s="95" t="n">
        <v>26</v>
      </c>
      <c r="I483" s="95" t="n">
        <v>86</v>
      </c>
      <c r="J483" s="94" t="inlineStr">
        <is>
          <t>normal</t>
        </is>
      </c>
      <c r="K483" s="94" t="inlineStr">
        <is>
          <t>NetSuite</t>
        </is>
      </c>
    </row>
    <row r="484" ht="15" customHeight="1" s="82">
      <c r="A484" s="94" t="inlineStr">
        <is>
          <t>חיים ויצמן</t>
        </is>
      </c>
      <c r="B484" s="94" t="n"/>
      <c r="C484" s="94" t="inlineStr">
        <is>
          <t>0בתי מרקחת</t>
        </is>
      </c>
      <c r="D484" s="94" t="n"/>
      <c r="E484" s="94" t="inlineStr">
        <is>
          <t>בתי מרקחת פרטי</t>
        </is>
      </c>
      <c r="F484" s="102" t="n"/>
      <c r="G484" s="102" t="n">
        <v>77423.2</v>
      </c>
      <c r="H484" s="95" t="n"/>
      <c r="I484" s="95" t="n"/>
      <c r="J484" s="94" t="n"/>
      <c r="K484" s="94" t="inlineStr">
        <is>
          <t>CHMI</t>
        </is>
      </c>
    </row>
    <row r="485" ht="15" customHeight="1" s="82">
      <c r="A485" s="94" t="inlineStr">
        <is>
          <t>חיים ויצמן</t>
        </is>
      </c>
      <c r="B485" s="94" t="n"/>
      <c r="C485" s="94" t="inlineStr">
        <is>
          <t>שור טבצניק</t>
        </is>
      </c>
      <c r="D485" s="94" t="n"/>
      <c r="E485" s="94" t="inlineStr">
        <is>
          <t>שור טבצ'ניק ת""א ב.מ</t>
        </is>
      </c>
      <c r="F485" s="102" t="n"/>
      <c r="G485" s="102" t="n">
        <v>3760</v>
      </c>
      <c r="H485" s="95" t="n"/>
      <c r="I485" s="95" t="n"/>
      <c r="J485" s="94" t="n"/>
      <c r="K485" s="94" t="inlineStr">
        <is>
          <t>CHMI</t>
        </is>
      </c>
    </row>
    <row r="486" ht="15" customHeight="1" s="82">
      <c r="A486" s="94" t="inlineStr">
        <is>
          <t>חיים ויצמן</t>
        </is>
      </c>
      <c r="B486" s="94" t="n"/>
      <c r="C486" s="94" t="inlineStr">
        <is>
          <t>שרם</t>
        </is>
      </c>
      <c r="D486" s="94" t="n"/>
      <c r="E486" s="94" t="inlineStr">
        <is>
          <t>המרקחה ב.מ 03.11 שרמפארם</t>
        </is>
      </c>
      <c r="F486" s="102" t="n"/>
      <c r="G486" s="102" t="n">
        <v>9776.6</v>
      </c>
      <c r="H486" s="95" t="n"/>
      <c r="I486" s="95" t="n"/>
      <c r="J486" s="94" t="n"/>
      <c r="K486" s="94" t="inlineStr">
        <is>
          <t>CHMI</t>
        </is>
      </c>
    </row>
    <row r="487" ht="15" customHeight="1" s="82">
      <c r="A487" s="94" t="inlineStr">
        <is>
          <t>חיים ויצמן</t>
        </is>
      </c>
      <c r="B487" s="94" t="n"/>
      <c r="C487" s="94" t="inlineStr">
        <is>
          <t>שרם</t>
        </is>
      </c>
      <c r="D487" s="94" t="n"/>
      <c r="E487" s="94" t="inlineStr">
        <is>
          <t>טל שחר ת""א ב.מ שרםפארם</t>
        </is>
      </c>
      <c r="F487" s="102" t="n"/>
      <c r="G487" s="102" t="n">
        <v>2020.2</v>
      </c>
      <c r="H487" s="95" t="n"/>
      <c r="I487" s="95" t="n"/>
      <c r="J487" s="94" t="n"/>
      <c r="K487" s="94" t="inlineStr">
        <is>
          <t>CHMI</t>
        </is>
      </c>
    </row>
    <row r="488" ht="15" customHeight="1" s="82">
      <c r="A488" s="94" t="inlineStr">
        <is>
          <t>חיים ויצמן</t>
        </is>
      </c>
      <c r="B488" s="94" t="n"/>
      <c r="C488" s="94" t="inlineStr">
        <is>
          <t>שרם</t>
        </is>
      </c>
      <c r="D488" s="94" t="n"/>
      <c r="E488" s="94" t="inlineStr">
        <is>
          <t>נחמיה ב""ב ב.מ שרםפארם</t>
        </is>
      </c>
      <c r="F488" s="102" t="n"/>
      <c r="G488" s="102" t="n">
        <v>240.7</v>
      </c>
      <c r="H488" s="95" t="n"/>
      <c r="I488" s="95" t="n"/>
      <c r="J488" s="94" t="n"/>
      <c r="K488" s="94" t="inlineStr">
        <is>
          <t>CHMI</t>
        </is>
      </c>
    </row>
    <row r="489" ht="15" customHeight="1" s="82">
      <c r="A489" s="94" t="inlineStr">
        <is>
          <t>חיים ויצמן</t>
        </is>
      </c>
      <c r="B489" s="94" t="n"/>
      <c r="C489" s="94" t="inlineStr">
        <is>
          <t>שרם</t>
        </is>
      </c>
      <c r="D489" s="94" t="n"/>
      <c r="E489" s="94" t="inlineStr">
        <is>
          <t>יהודה הלוי ת""א ב.מ שרםפארם</t>
        </is>
      </c>
      <c r="F489" s="102" t="n"/>
      <c r="G489" s="102" t="n">
        <v>452.2</v>
      </c>
      <c r="H489" s="95" t="n"/>
      <c r="I489" s="95" t="n"/>
      <c r="J489" s="94" t="n"/>
      <c r="K489" s="94" t="inlineStr">
        <is>
          <t>CHMI</t>
        </is>
      </c>
    </row>
    <row r="490" ht="15" customHeight="1" s="82">
      <c r="A490" s="94" t="inlineStr">
        <is>
          <t>חיים ויצמן</t>
        </is>
      </c>
      <c r="B490" s="94" t="n"/>
      <c r="C490" s="94" t="inlineStr">
        <is>
          <t>שרם</t>
        </is>
      </c>
      <c r="D490" s="94" t="n"/>
      <c r="E490" s="94" t="inlineStr">
        <is>
          <t>מרכז צפון ת""א ב.מ שרםפארם</t>
        </is>
      </c>
      <c r="F490" s="102" t="n"/>
      <c r="G490" s="102" t="n">
        <v>1404</v>
      </c>
      <c r="H490" s="95" t="n"/>
      <c r="I490" s="95" t="n"/>
      <c r="J490" s="94" t="n"/>
      <c r="K490" s="94" t="inlineStr">
        <is>
          <t>CHMI</t>
        </is>
      </c>
    </row>
    <row r="491" ht="15" customHeight="1" s="82">
      <c r="A491" s="94" t="inlineStr">
        <is>
          <t>חיים ויצמן</t>
        </is>
      </c>
      <c r="B491" s="94" t="n"/>
      <c r="C491" s="94" t="inlineStr">
        <is>
          <t>שרם</t>
        </is>
      </c>
      <c r="D491" s="94" t="n"/>
      <c r="E491" s="94" t="inlineStr">
        <is>
          <t>בר אילן רעננה ב.מ שרמפארם</t>
        </is>
      </c>
      <c r="F491" s="102" t="n"/>
      <c r="G491" s="102" t="n">
        <v>1061.8</v>
      </c>
      <c r="H491" s="95" t="n"/>
      <c r="I491" s="95" t="n"/>
      <c r="J491" s="94" t="n"/>
      <c r="K491" s="94" t="inlineStr">
        <is>
          <t>CHMI</t>
        </is>
      </c>
    </row>
    <row r="492" ht="15" customHeight="1" s="82">
      <c r="A492" s="94" t="inlineStr">
        <is>
          <t>חיים ויצמן</t>
        </is>
      </c>
      <c r="B492" s="94" t="n"/>
      <c r="C492" s="94" t="inlineStr">
        <is>
          <t>שרם</t>
        </is>
      </c>
      <c r="D492" s="94" t="n"/>
      <c r="E492" s="94" t="inlineStr">
        <is>
          <t>.ברק )י.מ.שרותי רוקחות(ת""א ב.מ</t>
        </is>
      </c>
      <c r="F492" s="102" t="n"/>
      <c r="G492" s="102" t="n">
        <v>3322.6</v>
      </c>
      <c r="H492" s="95" t="n"/>
      <c r="I492" s="95" t="n"/>
      <c r="J492" s="94" t="n"/>
      <c r="K492" s="94" t="inlineStr">
        <is>
          <t>CHMI</t>
        </is>
      </c>
    </row>
    <row r="493" ht="15" customHeight="1" s="82">
      <c r="A493" s="94" t="inlineStr">
        <is>
          <t>חיים ויצמן</t>
        </is>
      </c>
      <c r="B493" s="94" t="n"/>
      <c r="C493" s="94" t="inlineStr">
        <is>
          <t>שרם</t>
        </is>
      </c>
      <c r="D493" s="94" t="n"/>
      <c r="E493" s="94" t="inlineStr">
        <is>
          <t>פריים פארם-יהודה המכבי ב.מ.שרמ</t>
        </is>
      </c>
      <c r="F493" s="102" t="n"/>
      <c r="G493" s="102" t="n">
        <v>8995.4</v>
      </c>
      <c r="H493" s="95" t="n"/>
      <c r="I493" s="95" t="n"/>
      <c r="J493" s="94" t="n"/>
      <c r="K493" s="94" t="inlineStr">
        <is>
          <t>CHMI</t>
        </is>
      </c>
    </row>
    <row r="494" ht="15" customHeight="1" s="82">
      <c r="A494" s="94" t="inlineStr">
        <is>
          <t>חיים ויצמן</t>
        </is>
      </c>
      <c r="B494" s="94" t="n"/>
      <c r="C494" s="94" t="inlineStr">
        <is>
          <t>שרם</t>
        </is>
      </c>
      <c r="D494" s="94" t="n"/>
      <c r="E494" s="94" t="inlineStr">
        <is>
          <t>המרכז נס ציונה ב.מ שרםפארם</t>
        </is>
      </c>
      <c r="F494" s="102" t="n"/>
      <c r="G494" s="102" t="n">
        <v>1844.5</v>
      </c>
      <c r="H494" s="95" t="n"/>
      <c r="I494" s="95" t="n"/>
      <c r="J494" s="94" t="n"/>
      <c r="K494" s="94" t="inlineStr">
        <is>
          <t>CHMI</t>
        </is>
      </c>
    </row>
    <row r="495" ht="15" customHeight="1" s="82">
      <c r="A495" s="94" t="inlineStr">
        <is>
          <t>חיים ויצמן</t>
        </is>
      </c>
      <c r="B495" s="94" t="n"/>
      <c r="C495" s="94" t="inlineStr">
        <is>
          <t>שרם</t>
        </is>
      </c>
      <c r="D495" s="94" t="n"/>
      <c r="E495" s="94" t="inlineStr">
        <is>
          <t>כפר שמריהו ב.מ )חדש( שרמפארם</t>
        </is>
      </c>
      <c r="F495" s="102" t="n"/>
      <c r="G495" s="102" t="n">
        <v>10405.7</v>
      </c>
      <c r="H495" s="95" t="n"/>
      <c r="I495" s="95" t="n"/>
      <c r="J495" s="94" t="n"/>
      <c r="K495" s="94" t="inlineStr">
        <is>
          <t>CHMI</t>
        </is>
      </c>
    </row>
    <row r="496" ht="15" customHeight="1" s="82">
      <c r="A496" s="94" t="inlineStr">
        <is>
          <t>חיים ויצמן</t>
        </is>
      </c>
      <c r="B496" s="94" t="n"/>
      <c r="C496" s="94" t="inlineStr">
        <is>
          <t>שרם</t>
        </is>
      </c>
      <c r="D496" s="94" t="n"/>
      <c r="E496" s="94" t="inlineStr">
        <is>
          <t>לב הרצליה חדש ב.מ שרמפארם</t>
        </is>
      </c>
      <c r="F496" s="102" t="n"/>
      <c r="G496" s="102" t="n">
        <v>344.1</v>
      </c>
      <c r="H496" s="95" t="n"/>
      <c r="I496" s="95" t="n"/>
      <c r="J496" s="94" t="n"/>
      <c r="K496" s="94" t="inlineStr">
        <is>
          <t>CHMI</t>
        </is>
      </c>
    </row>
    <row r="497" ht="15" customHeight="1" s="82">
      <c r="A497" s="94" t="inlineStr">
        <is>
          <t>חיים ויצמן</t>
        </is>
      </c>
      <c r="B497" s="94" t="n"/>
      <c r="C497" s="94" t="inlineStr">
        <is>
          <t>שרם</t>
        </is>
      </c>
      <c r="D497" s="94" t="n"/>
      <c r="E497" s="94" t="inlineStr">
        <is>
          <t>פארמה גנים ראשל""צ ב.מ שרמ</t>
        </is>
      </c>
      <c r="F497" s="102" t="n"/>
      <c r="G497" s="102" t="n">
        <v>485.9</v>
      </c>
      <c r="H497" s="95" t="n"/>
      <c r="I497" s="95" t="n"/>
      <c r="J497" s="94" t="n"/>
      <c r="K497" s="94" t="inlineStr">
        <is>
          <t>CHMI</t>
        </is>
      </c>
    </row>
    <row r="498" ht="15" customHeight="1" s="82">
      <c r="A498" s="94" t="inlineStr">
        <is>
          <t>חיים ויצמן</t>
        </is>
      </c>
      <c r="B498" s="94" t="n"/>
      <c r="C498" s="94" t="inlineStr">
        <is>
          <t>שרם</t>
        </is>
      </c>
      <c r="D498" s="94" t="n"/>
      <c r="E498" s="94" t="inlineStr">
        <is>
          <t>בית מרקחת הרצליה שרמפארם</t>
        </is>
      </c>
      <c r="F498" s="102" t="n"/>
      <c r="G498" s="102" t="n">
        <v>182.6</v>
      </c>
      <c r="H498" s="95" t="n"/>
      <c r="I498" s="95" t="n"/>
      <c r="J498" s="94" t="n"/>
      <c r="K498" s="94" t="inlineStr">
        <is>
          <t>CHMI</t>
        </is>
      </c>
    </row>
    <row r="499" ht="15" customHeight="1" s="82">
      <c r="A499" s="94" t="inlineStr">
        <is>
          <t>חיים ויצמן</t>
        </is>
      </c>
      <c r="B499" s="94" t="n"/>
      <c r="C499" s="94" t="inlineStr">
        <is>
          <t>שרם</t>
        </is>
      </c>
      <c r="D499" s="94" t="n"/>
      <c r="E499" s="94" t="inlineStr">
        <is>
          <t>למד ת""א ב.מ שרםפארם</t>
        </is>
      </c>
      <c r="F499" s="102" t="n"/>
      <c r="G499" s="102" t="n">
        <v>228</v>
      </c>
      <c r="H499" s="95" t="n"/>
      <c r="I499" s="95" t="n"/>
      <c r="J499" s="94" t="n"/>
      <c r="K499" s="94" t="inlineStr">
        <is>
          <t>CHMI</t>
        </is>
      </c>
    </row>
    <row r="500" ht="15" customHeight="1" s="82">
      <c r="A500" s="94" t="inlineStr">
        <is>
          <t>חיים ויצמן</t>
        </is>
      </c>
      <c r="B500" s="94" t="n"/>
      <c r="C500" s="94" t="inlineStr">
        <is>
          <t>שרם</t>
        </is>
      </c>
      <c r="D500" s="94" t="n"/>
      <c r="E500" s="94" t="inlineStr">
        <is>
          <t>יהודה הלוי ת""א ב.מ שרםפארם</t>
        </is>
      </c>
      <c r="F500" s="102" t="n"/>
      <c r="G500" s="102" t="n">
        <v>3023.4</v>
      </c>
      <c r="H500" s="95" t="n"/>
      <c r="I500" s="95" t="n"/>
      <c r="J500" s="94" t="n"/>
      <c r="K500" s="94" t="inlineStr">
        <is>
          <t>CHMI</t>
        </is>
      </c>
    </row>
    <row r="501" ht="15" customHeight="1" s="82">
      <c r="A501" s="94" t="inlineStr">
        <is>
          <t>חיים ויצמן</t>
        </is>
      </c>
      <c r="B501" s="94" t="n"/>
      <c r="C501" s="94" t="inlineStr">
        <is>
          <t>ס. פארם</t>
        </is>
      </c>
      <c r="D501" s="94" t="n"/>
      <c r="E501" s="94" t="inlineStr">
        <is>
          <t>ס.פ.רמת החייל תרופות</t>
        </is>
      </c>
      <c r="F501" s="102" t="n"/>
      <c r="G501" s="102" t="n">
        <v>11788.9</v>
      </c>
      <c r="H501" s="95" t="n"/>
      <c r="I501" s="95" t="n"/>
      <c r="J501" s="94" t="n"/>
      <c r="K501" s="94" t="inlineStr">
        <is>
          <t>CHMI</t>
        </is>
      </c>
    </row>
    <row r="502" ht="15" customHeight="1" s="82">
      <c r="A502" s="94" t="inlineStr">
        <is>
          <t>חיים ויצמן</t>
        </is>
      </c>
      <c r="B502" s="94" t="n"/>
      <c r="C502" s="94" t="inlineStr">
        <is>
          <t>ס. פארם</t>
        </is>
      </c>
      <c r="D502" s="94" t="n"/>
      <c r="E502" s="94" t="inlineStr">
        <is>
          <t>ס.פ.קניון רמת אביב תרופות</t>
        </is>
      </c>
      <c r="F502" s="102" t="n"/>
      <c r="G502" s="102" t="n">
        <v>37290.5</v>
      </c>
      <c r="H502" s="95" t="n"/>
      <c r="I502" s="95" t="n"/>
      <c r="J502" s="94" t="n"/>
      <c r="K502" s="94" t="inlineStr">
        <is>
          <t>CHMI</t>
        </is>
      </c>
    </row>
    <row r="503" ht="15" customHeight="1" s="82">
      <c r="A503" s="94" t="inlineStr">
        <is>
          <t>חיים ויצמן</t>
        </is>
      </c>
      <c r="B503" s="94" t="n"/>
      <c r="C503" s="94" t="inlineStr">
        <is>
          <t>ס. פארם</t>
        </is>
      </c>
      <c r="D503" s="94" t="n"/>
      <c r="E503" s="94" t="inlineStr">
        <is>
          <t>ס.פ.שכון דן תרופות</t>
        </is>
      </c>
      <c r="F503" s="102" t="n"/>
      <c r="G503" s="102" t="n">
        <v>32560.1</v>
      </c>
      <c r="H503" s="95" t="n"/>
      <c r="I503" s="95" t="n"/>
      <c r="J503" s="94" t="n"/>
      <c r="K503" s="94" t="inlineStr">
        <is>
          <t>CHMI</t>
        </is>
      </c>
    </row>
    <row r="504" ht="15" customHeight="1" s="82">
      <c r="A504" s="94" t="inlineStr">
        <is>
          <t>חיים ויצמן</t>
        </is>
      </c>
      <c r="B504" s="94" t="n"/>
      <c r="C504" s="94" t="inlineStr">
        <is>
          <t>ס. פארם</t>
        </is>
      </c>
      <c r="D504" s="94" t="n"/>
      <c r="E504" s="94" t="inlineStr">
        <is>
          <t>ס.פ.אלנבי תרופות</t>
        </is>
      </c>
      <c r="F504" s="102" t="n"/>
      <c r="G504" s="102" t="n">
        <v>13661.8</v>
      </c>
      <c r="H504" s="95" t="n"/>
      <c r="I504" s="95" t="n"/>
      <c r="J504" s="94" t="n"/>
      <c r="K504" s="94" t="inlineStr">
        <is>
          <t>CHMI</t>
        </is>
      </c>
    </row>
    <row r="505" ht="15" customHeight="1" s="82">
      <c r="A505" s="94" t="inlineStr">
        <is>
          <t>חיים ויצמן</t>
        </is>
      </c>
      <c r="B505" s="94" t="n"/>
      <c r="C505" s="94" t="inlineStr">
        <is>
          <t>ס. פארם</t>
        </is>
      </c>
      <c r="D505" s="94" t="n"/>
      <c r="E505" s="94" t="inlineStr">
        <is>
          <t>ס.פ.פלורנטין תרופות</t>
        </is>
      </c>
      <c r="F505" s="102" t="n"/>
      <c r="G505" s="102" t="n">
        <v>1546.3</v>
      </c>
      <c r="H505" s="95" t="n"/>
      <c r="I505" s="95" t="n"/>
      <c r="J505" s="94" t="n"/>
      <c r="K505" s="94" t="inlineStr">
        <is>
          <t>CHMI</t>
        </is>
      </c>
    </row>
    <row r="506" ht="15" customHeight="1" s="82">
      <c r="A506" s="94" t="inlineStr">
        <is>
          <t>חיים ויצמן</t>
        </is>
      </c>
      <c r="B506" s="94" t="n"/>
      <c r="C506" s="94" t="inlineStr">
        <is>
          <t>ס. פארם</t>
        </is>
      </c>
      <c r="D506" s="94" t="n"/>
      <c r="E506" s="94" t="inlineStr">
        <is>
          <t>ס.פ.מגדלי ת""א תרופות</t>
        </is>
      </c>
      <c r="F506" s="102" t="n"/>
      <c r="G506" s="102" t="n">
        <v>5372.3</v>
      </c>
      <c r="H506" s="95" t="n"/>
      <c r="I506" s="95" t="n"/>
      <c r="J506" s="94" t="n"/>
      <c r="K506" s="94" t="inlineStr">
        <is>
          <t>CHMI</t>
        </is>
      </c>
    </row>
    <row r="507" ht="15" customHeight="1" s="82">
      <c r="A507" s="94" t="inlineStr">
        <is>
          <t>חיים ויצמן</t>
        </is>
      </c>
      <c r="B507" s="94" t="n"/>
      <c r="C507" s="94" t="inlineStr">
        <is>
          <t>ס. פארם</t>
        </is>
      </c>
      <c r="D507" s="94" t="n"/>
      <c r="E507" s="94" t="inlineStr">
        <is>
          <t>ס.פ.נמל תל אביב תרופות</t>
        </is>
      </c>
      <c r="F507" s="102" t="n"/>
      <c r="G507" s="102" t="n">
        <v>6993.9</v>
      </c>
      <c r="H507" s="95" t="n"/>
      <c r="I507" s="95" t="n"/>
      <c r="J507" s="94" t="n"/>
      <c r="K507" s="94" t="inlineStr">
        <is>
          <t>CHMI</t>
        </is>
      </c>
    </row>
    <row r="508" ht="15" customHeight="1" s="82">
      <c r="A508" s="94" t="inlineStr">
        <is>
          <t>חיים ויצמן</t>
        </is>
      </c>
      <c r="B508" s="94" t="n"/>
      <c r="C508" s="94" t="inlineStr">
        <is>
          <t>ס. פארם</t>
        </is>
      </c>
      <c r="D508" s="94" t="n"/>
      <c r="E508" s="94" t="inlineStr">
        <is>
          <t>ס.פ.דיזנגוף סנטר תרופות</t>
        </is>
      </c>
      <c r="F508" s="102" t="n"/>
      <c r="G508" s="102" t="n">
        <v>11944.1</v>
      </c>
      <c r="H508" s="95" t="n"/>
      <c r="I508" s="95" t="n"/>
      <c r="J508" s="94" t="n"/>
      <c r="K508" s="94" t="inlineStr">
        <is>
          <t>CHMI</t>
        </is>
      </c>
    </row>
    <row r="509" ht="15" customHeight="1" s="82">
      <c r="A509" s="94" t="inlineStr">
        <is>
          <t>חיים ויצמן</t>
        </is>
      </c>
      <c r="B509" s="94" t="n"/>
      <c r="C509" s="94" t="inlineStr">
        <is>
          <t>ס. פארם</t>
        </is>
      </c>
      <c r="D509" s="94" t="n"/>
      <c r="E509" s="94" t="inlineStr">
        <is>
          <t>ס.פ. איכילוב תרופות</t>
        </is>
      </c>
      <c r="F509" s="102" t="n"/>
      <c r="G509" s="102" t="n">
        <v>36633.4</v>
      </c>
      <c r="H509" s="95" t="n"/>
      <c r="I509" s="95" t="n"/>
      <c r="J509" s="94" t="n"/>
      <c r="K509" s="94" t="inlineStr">
        <is>
          <t>CHMI</t>
        </is>
      </c>
    </row>
    <row r="510" ht="15" customHeight="1" s="82">
      <c r="A510" s="94" t="inlineStr">
        <is>
          <t>חיים ויצמן</t>
        </is>
      </c>
      <c r="B510" s="94" t="n"/>
      <c r="C510" s="94" t="inlineStr">
        <is>
          <t>ס. פארם</t>
        </is>
      </c>
      <c r="D510" s="94" t="n"/>
      <c r="E510" s="94" t="inlineStr">
        <is>
          <t>ס.פ.יד אליהו  תרופות</t>
        </is>
      </c>
      <c r="F510" s="102" t="n"/>
      <c r="G510" s="102" t="n">
        <v>10689.4</v>
      </c>
      <c r="H510" s="95" t="n"/>
      <c r="I510" s="95" t="n"/>
      <c r="J510" s="94" t="n"/>
      <c r="K510" s="94" t="inlineStr">
        <is>
          <t>CHMI</t>
        </is>
      </c>
    </row>
    <row r="511" ht="15" customHeight="1" s="82">
      <c r="A511" s="94" t="inlineStr">
        <is>
          <t>חיים ויצמן</t>
        </is>
      </c>
      <c r="B511" s="94" t="n"/>
      <c r="C511" s="94" t="inlineStr">
        <is>
          <t>ס. פארם</t>
        </is>
      </c>
      <c r="D511" s="94" t="n"/>
      <c r="E511" s="94" t="inlineStr">
        <is>
          <t>ס.פ.ת.מרכזית תא תרופות</t>
        </is>
      </c>
      <c r="F511" s="102" t="n"/>
      <c r="G511" s="102" t="n">
        <v>19531.7</v>
      </c>
      <c r="H511" s="95" t="n"/>
      <c r="I511" s="95" t="n"/>
      <c r="J511" s="94" t="n"/>
      <c r="K511" s="94" t="inlineStr">
        <is>
          <t>CHMI</t>
        </is>
      </c>
    </row>
    <row r="512" ht="15" customHeight="1" s="82">
      <c r="A512" s="94" t="inlineStr">
        <is>
          <t>חיים ויצמן</t>
        </is>
      </c>
      <c r="B512" s="94" t="n"/>
      <c r="C512" s="94" t="inlineStr">
        <is>
          <t>ס. פארם</t>
        </is>
      </c>
      <c r="D512" s="94" t="n"/>
      <c r="E512" s="94" t="inlineStr">
        <is>
          <t>ס.פ.מגדל שלום תרופות</t>
        </is>
      </c>
      <c r="F512" s="102" t="n"/>
      <c r="G512" s="102" t="n">
        <v>17670.5</v>
      </c>
      <c r="H512" s="95" t="n"/>
      <c r="I512" s="95" t="n"/>
      <c r="J512" s="94" t="n"/>
      <c r="K512" s="94" t="inlineStr">
        <is>
          <t>CHMI</t>
        </is>
      </c>
    </row>
    <row r="513" ht="15" customHeight="1" s="82">
      <c r="A513" s="94" t="inlineStr">
        <is>
          <t>חיים ויצמן</t>
        </is>
      </c>
      <c r="B513" s="94" t="n"/>
      <c r="C513" s="94" t="inlineStr">
        <is>
          <t>ס. פארם</t>
        </is>
      </c>
      <c r="D513" s="94" t="n"/>
      <c r="E513" s="94" t="inlineStr">
        <is>
          <t>ס.פ.צמרת ת""א תרופות</t>
        </is>
      </c>
      <c r="F513" s="102" t="n"/>
      <c r="G513" s="102" t="n">
        <v>5586.4</v>
      </c>
      <c r="H513" s="95" t="n"/>
      <c r="I513" s="95" t="n"/>
      <c r="J513" s="94" t="n"/>
      <c r="K513" s="94" t="inlineStr">
        <is>
          <t>CHMI</t>
        </is>
      </c>
    </row>
    <row r="514" ht="15" customHeight="1" s="82">
      <c r="A514" s="94" t="inlineStr">
        <is>
          <t>חיים ויצמן</t>
        </is>
      </c>
      <c r="B514" s="94" t="n"/>
      <c r="C514" s="94" t="inlineStr">
        <is>
          <t>ס. פארם</t>
        </is>
      </c>
      <c r="D514" s="94" t="n"/>
      <c r="E514" s="94" t="inlineStr">
        <is>
          <t>ס.פ.מיניסטור תרופות</t>
        </is>
      </c>
      <c r="F514" s="102" t="n"/>
      <c r="G514" s="102" t="n">
        <v>47848.3</v>
      </c>
      <c r="H514" s="95" t="n"/>
      <c r="I514" s="95" t="n"/>
      <c r="J514" s="94" t="n"/>
      <c r="K514" s="94" t="inlineStr">
        <is>
          <t>CHMI</t>
        </is>
      </c>
    </row>
    <row r="515" ht="15" customHeight="1" s="82">
      <c r="A515" s="94" t="inlineStr">
        <is>
          <t>חיים ויצמן</t>
        </is>
      </c>
      <c r="B515" s="94" t="n"/>
      <c r="C515" s="94" t="inlineStr">
        <is>
          <t>ס. פארם</t>
        </is>
      </c>
      <c r="D515" s="94" t="n"/>
      <c r="E515" s="94" t="inlineStr">
        <is>
          <t>ס.פ מ.השלום )עזריאלי( תרופות</t>
        </is>
      </c>
      <c r="F515" s="102" t="n"/>
      <c r="G515" s="102" t="n">
        <v>20853.9</v>
      </c>
      <c r="H515" s="95" t="n"/>
      <c r="I515" s="95" t="n"/>
      <c r="J515" s="94" t="n"/>
      <c r="K515" s="94" t="inlineStr">
        <is>
          <t>CHMI</t>
        </is>
      </c>
    </row>
    <row r="516" ht="15" customHeight="1" s="82">
      <c r="A516" s="94" t="inlineStr">
        <is>
          <t>חיים ויצמן</t>
        </is>
      </c>
      <c r="B516" s="94" t="n"/>
      <c r="C516" s="94" t="inlineStr">
        <is>
          <t>ס. פארם</t>
        </is>
      </c>
      <c r="D516" s="94" t="n"/>
      <c r="E516" s="94" t="inlineStr">
        <is>
          <t>ס.פ.גורדון תרופות</t>
        </is>
      </c>
      <c r="F516" s="102" t="n"/>
      <c r="G516" s="102" t="n">
        <v>12166.6</v>
      </c>
      <c r="H516" s="95" t="n"/>
      <c r="I516" s="95" t="n"/>
      <c r="J516" s="94" t="n"/>
      <c r="K516" s="94" t="inlineStr">
        <is>
          <t>CHMI</t>
        </is>
      </c>
    </row>
    <row r="517" ht="15" customHeight="1" s="82">
      <c r="A517" s="94" t="inlineStr">
        <is>
          <t>חיים ויצמן</t>
        </is>
      </c>
      <c r="B517" s="94" t="n"/>
      <c r="C517" s="94" t="inlineStr">
        <is>
          <t>ס. פארם</t>
        </is>
      </c>
      <c r="D517" s="94" t="n"/>
      <c r="E517" s="94" t="inlineStr">
        <is>
          <t>ס.פ.אבן גבירול תרופות</t>
        </is>
      </c>
      <c r="F517" s="102" t="n"/>
      <c r="G517" s="102" t="n">
        <v>32455.5</v>
      </c>
      <c r="H517" s="95" t="n"/>
      <c r="I517" s="95" t="n"/>
      <c r="J517" s="94" t="n"/>
      <c r="K517" s="94" t="inlineStr">
        <is>
          <t>CHMI</t>
        </is>
      </c>
    </row>
    <row r="518" ht="15" customHeight="1" s="82">
      <c r="A518" s="94" t="inlineStr">
        <is>
          <t>חיים ויצמן</t>
        </is>
      </c>
      <c r="B518" s="94" t="n"/>
      <c r="C518" s="94" t="inlineStr">
        <is>
          <t>ס. פארם</t>
        </is>
      </c>
      <c r="D518" s="94" t="n"/>
      <c r="E518" s="94" t="inlineStr">
        <is>
          <t>ס.פ.קסטל תל אביב תרופות</t>
        </is>
      </c>
      <c r="F518" s="102" t="n"/>
      <c r="G518" s="102" t="n">
        <v>8935.299999999999</v>
      </c>
      <c r="H518" s="95" t="n"/>
      <c r="I518" s="95" t="n"/>
      <c r="J518" s="94" t="n"/>
      <c r="K518" s="94" t="inlineStr">
        <is>
          <t>CHMI</t>
        </is>
      </c>
    </row>
    <row r="519" ht="15" customHeight="1" s="82">
      <c r="A519" s="94" t="inlineStr">
        <is>
          <t>חיים ויצמן</t>
        </is>
      </c>
      <c r="B519" s="94" t="n"/>
      <c r="C519" s="94" t="inlineStr">
        <is>
          <t>ס. פארם</t>
        </is>
      </c>
      <c r="D519" s="94" t="n"/>
      <c r="E519" s="94" t="inlineStr">
        <is>
          <t>ס.פ.שנקין תרופות</t>
        </is>
      </c>
      <c r="F519" s="102" t="n"/>
      <c r="G519" s="102" t="n">
        <v>16158.5</v>
      </c>
      <c r="H519" s="95" t="n"/>
      <c r="I519" s="95" t="n"/>
      <c r="J519" s="94" t="n"/>
      <c r="K519" s="94" t="inlineStr">
        <is>
          <t>CHMI</t>
        </is>
      </c>
    </row>
    <row r="520" ht="15" customHeight="1" s="82">
      <c r="A520" s="94" t="inlineStr">
        <is>
          <t>חיים ויצמן</t>
        </is>
      </c>
      <c r="B520" s="94" t="n"/>
      <c r="C520" s="94" t="inlineStr">
        <is>
          <t>ס. פארם</t>
        </is>
      </c>
      <c r="D520" s="94" t="n"/>
      <c r="E520" s="94" t="inlineStr">
        <is>
          <t>ס.פ.רעננה מרכז תרופות</t>
        </is>
      </c>
      <c r="F520" s="102" t="n"/>
      <c r="G520" s="102" t="n">
        <v>23919.9</v>
      </c>
      <c r="H520" s="95" t="n"/>
      <c r="I520" s="95" t="n"/>
      <c r="J520" s="94" t="n"/>
      <c r="K520" s="94" t="inlineStr">
        <is>
          <t>CHMI</t>
        </is>
      </c>
    </row>
    <row r="521" ht="15" customHeight="1" s="82">
      <c r="A521" s="94" t="inlineStr">
        <is>
          <t>חיים ויצמן</t>
        </is>
      </c>
      <c r="B521" s="94" t="n"/>
      <c r="C521" s="94" t="inlineStr">
        <is>
          <t>ס. פארם</t>
        </is>
      </c>
      <c r="D521" s="94" t="n"/>
      <c r="E521" s="94" t="inlineStr">
        <is>
          <t>ס.פ.רננים תרופות</t>
        </is>
      </c>
      <c r="F521" s="102" t="n"/>
      <c r="G521" s="102" t="n">
        <v>20531.7</v>
      </c>
      <c r="H521" s="95" t="n"/>
      <c r="I521" s="95" t="n"/>
      <c r="J521" s="94" t="n"/>
      <c r="K521" s="94" t="inlineStr">
        <is>
          <t>CHMI</t>
        </is>
      </c>
    </row>
    <row r="522" ht="15" customHeight="1" s="82">
      <c r="A522" s="94" t="inlineStr">
        <is>
          <t>חיים ויצמן</t>
        </is>
      </c>
      <c r="B522" s="94" t="n"/>
      <c r="C522" s="94" t="inlineStr">
        <is>
          <t>ס. פארם</t>
        </is>
      </c>
      <c r="D522" s="94" t="n"/>
      <c r="E522" s="94" t="inlineStr">
        <is>
          <t>ס.פ.פקר כפר סבא תרופות</t>
        </is>
      </c>
      <c r="F522" s="102" t="n"/>
      <c r="G522" s="102" t="n">
        <v>27155.7</v>
      </c>
      <c r="H522" s="95" t="n"/>
      <c r="I522" s="95" t="n"/>
      <c r="J522" s="94" t="n"/>
      <c r="K522" s="94" t="inlineStr">
        <is>
          <t>CHMI</t>
        </is>
      </c>
    </row>
    <row r="523" ht="15" customHeight="1" s="82">
      <c r="A523" s="94" t="inlineStr">
        <is>
          <t>חיים ויצמן</t>
        </is>
      </c>
      <c r="B523" s="94" t="n"/>
      <c r="C523" s="94" t="inlineStr">
        <is>
          <t>ס. פארם</t>
        </is>
      </c>
      <c r="D523" s="94" t="n"/>
      <c r="E523" s="94" t="inlineStr">
        <is>
          <t>267  ס.פ.פארק מול תרופות</t>
        </is>
      </c>
      <c r="F523" s="102" t="n"/>
      <c r="G523" s="102" t="n">
        <v>24651.5</v>
      </c>
      <c r="H523" s="95" t="n"/>
      <c r="I523" s="95" t="n"/>
      <c r="J523" s="94" t="n"/>
      <c r="K523" s="94" t="inlineStr">
        <is>
          <t>CHMI</t>
        </is>
      </c>
    </row>
    <row r="524" ht="15" customHeight="1" s="82">
      <c r="A524" s="94" t="inlineStr">
        <is>
          <t>חיים ויצמן</t>
        </is>
      </c>
      <c r="B524" s="94" t="n"/>
      <c r="C524" s="94" t="inlineStr">
        <is>
          <t>ס. פארם</t>
        </is>
      </c>
      <c r="D524" s="94" t="n"/>
      <c r="E524" s="94" t="inlineStr">
        <is>
          <t>ס.פ.הוד השרון תרופות</t>
        </is>
      </c>
      <c r="F524" s="102" t="n"/>
      <c r="G524" s="102" t="n">
        <v>24101.1</v>
      </c>
      <c r="H524" s="95" t="n"/>
      <c r="I524" s="95" t="n"/>
      <c r="J524" s="94" t="n"/>
      <c r="K524" s="94" t="inlineStr">
        <is>
          <t>CHMI</t>
        </is>
      </c>
    </row>
    <row r="525" ht="15" customHeight="1" s="82">
      <c r="A525" s="94" t="inlineStr">
        <is>
          <t>חיים ויצמן</t>
        </is>
      </c>
      <c r="B525" s="94" t="n"/>
      <c r="C525" s="94" t="inlineStr">
        <is>
          <t>ס. פארם</t>
        </is>
      </c>
      <c r="D525" s="94" t="n"/>
      <c r="E525" s="94" t="inlineStr">
        <is>
          <t>ס.פ.כפר סבא תרופות</t>
        </is>
      </c>
      <c r="F525" s="102" t="n"/>
      <c r="G525" s="102" t="n">
        <v>6522.2</v>
      </c>
      <c r="H525" s="95" t="n"/>
      <c r="I525" s="95" t="n"/>
      <c r="J525" s="94" t="n"/>
      <c r="K525" s="94" t="inlineStr">
        <is>
          <t>CHMI</t>
        </is>
      </c>
    </row>
    <row r="526" ht="15" customHeight="1" s="82">
      <c r="A526" s="94" t="inlineStr">
        <is>
          <t>חיים ויצמן</t>
        </is>
      </c>
      <c r="B526" s="94" t="n"/>
      <c r="C526" s="94" t="inlineStr">
        <is>
          <t>ס. פארם</t>
        </is>
      </c>
      <c r="D526" s="94" t="n"/>
      <c r="E526" s="94" t="inlineStr">
        <is>
          <t>ס.פ.קניון ערים כ""ס תרופות</t>
        </is>
      </c>
      <c r="F526" s="102" t="n"/>
      <c r="G526" s="102" t="n">
        <v>16442</v>
      </c>
      <c r="H526" s="95" t="n"/>
      <c r="I526" s="95" t="n"/>
      <c r="J526" s="94" t="n"/>
      <c r="K526" s="94" t="inlineStr">
        <is>
          <t>CHMI</t>
        </is>
      </c>
    </row>
    <row r="527" ht="15" customHeight="1" s="82">
      <c r="A527" s="94" t="inlineStr">
        <is>
          <t>חיים ויצמן</t>
        </is>
      </c>
      <c r="B527" s="94" t="n"/>
      <c r="C527" s="94" t="inlineStr">
        <is>
          <t>ס. פארם</t>
        </is>
      </c>
      <c r="D527" s="94" t="n"/>
      <c r="E527" s="94" t="inlineStr">
        <is>
          <t>ס.פ.קניון השרון נתניה תרופות</t>
        </is>
      </c>
      <c r="F527" s="102" t="n"/>
      <c r="G527" s="102" t="n">
        <v>21382.2</v>
      </c>
      <c r="H527" s="95" t="n"/>
      <c r="I527" s="95" t="n"/>
      <c r="J527" s="94" t="n"/>
      <c r="K527" s="94" t="inlineStr">
        <is>
          <t>CHMI</t>
        </is>
      </c>
    </row>
    <row r="528" ht="15" customHeight="1" s="82">
      <c r="A528" s="94" t="inlineStr">
        <is>
          <t>חיים ויצמן</t>
        </is>
      </c>
      <c r="B528" s="94" t="n"/>
      <c r="C528" s="94" t="inlineStr">
        <is>
          <t>ס. פארם</t>
        </is>
      </c>
      <c r="D528" s="94" t="n"/>
      <c r="E528" s="94" t="inlineStr">
        <is>
          <t>ס.פ.ויצמן נתניה תרופות</t>
        </is>
      </c>
      <c r="F528" s="102" t="n"/>
      <c r="G528" s="102" t="n">
        <v>14275.7</v>
      </c>
      <c r="H528" s="95" t="n"/>
      <c r="I528" s="95" t="n"/>
      <c r="J528" s="94" t="n"/>
      <c r="K528" s="94" t="inlineStr">
        <is>
          <t>CHMI</t>
        </is>
      </c>
    </row>
    <row r="529" ht="15" customHeight="1" s="82">
      <c r="A529" s="94" t="inlineStr">
        <is>
          <t>חיים ויצמן</t>
        </is>
      </c>
      <c r="B529" s="94" t="n"/>
      <c r="C529" s="94" t="inlineStr">
        <is>
          <t>ס. פארם</t>
        </is>
      </c>
      <c r="D529" s="94" t="n"/>
      <c r="E529" s="94" t="inlineStr">
        <is>
          <t>ס.פ.קדימה תרופות</t>
        </is>
      </c>
      <c r="F529" s="102" t="n"/>
      <c r="G529" s="102" t="n">
        <v>15066.9</v>
      </c>
      <c r="H529" s="95" t="n"/>
      <c r="I529" s="95" t="n"/>
      <c r="J529" s="94" t="n"/>
      <c r="K529" s="94" t="inlineStr">
        <is>
          <t>CHMI</t>
        </is>
      </c>
    </row>
    <row r="530" ht="15" customHeight="1" s="82">
      <c r="A530" s="94" t="inlineStr">
        <is>
          <t>חיים ויצמן</t>
        </is>
      </c>
      <c r="B530" s="94" t="n"/>
      <c r="C530" s="94" t="inlineStr">
        <is>
          <t>ס. פארם</t>
        </is>
      </c>
      <c r="D530" s="94" t="n"/>
      <c r="E530" s="94" t="inlineStr">
        <is>
          <t>ס.פ.תל מונד תרופות</t>
        </is>
      </c>
      <c r="F530" s="102" t="n"/>
      <c r="G530" s="102" t="n">
        <v>12098.6</v>
      </c>
      <c r="H530" s="95" t="n"/>
      <c r="I530" s="95" t="n"/>
      <c r="J530" s="94" t="n"/>
      <c r="K530" s="94" t="inlineStr">
        <is>
          <t>CHMI</t>
        </is>
      </c>
    </row>
    <row r="531" ht="15" customHeight="1" s="82">
      <c r="A531" s="94" t="inlineStr">
        <is>
          <t>חיים ויצמן</t>
        </is>
      </c>
      <c r="B531" s="94" t="n"/>
      <c r="C531" s="94" t="inlineStr">
        <is>
          <t>ס. פארם</t>
        </is>
      </c>
      <c r="D531" s="94" t="n"/>
      <c r="E531" s="94" t="inlineStr">
        <is>
          <t>ס.פ.ביג פולג תרופות</t>
        </is>
      </c>
      <c r="F531" s="102" t="n"/>
      <c r="G531" s="102" t="n">
        <v>20736.3</v>
      </c>
      <c r="H531" s="95" t="n"/>
      <c r="I531" s="95" t="n"/>
      <c r="J531" s="94" t="n"/>
      <c r="K531" s="94" t="inlineStr">
        <is>
          <t>CHMI</t>
        </is>
      </c>
    </row>
    <row r="532" ht="15" customHeight="1" s="82">
      <c r="A532" s="94" t="inlineStr">
        <is>
          <t>חיים ויצמן</t>
        </is>
      </c>
      <c r="B532" s="94" t="n"/>
      <c r="C532" s="94" t="inlineStr">
        <is>
          <t>ס. פארם</t>
        </is>
      </c>
      <c r="D532" s="94" t="n"/>
      <c r="E532" s="94" t="inlineStr">
        <is>
          <t>ס.פ.הארי נתניה תרופות</t>
        </is>
      </c>
      <c r="F532" s="102" t="n"/>
      <c r="G532" s="102" t="n">
        <v>22369.9</v>
      </c>
      <c r="H532" s="95" t="n"/>
      <c r="I532" s="95" t="n"/>
      <c r="J532" s="94" t="n"/>
      <c r="K532" s="94" t="inlineStr">
        <is>
          <t>CHMI</t>
        </is>
      </c>
    </row>
    <row r="533" ht="15" customHeight="1" s="82">
      <c r="A533" s="94" t="inlineStr">
        <is>
          <t>חיים ויצמן</t>
        </is>
      </c>
      <c r="B533" s="94" t="n"/>
      <c r="C533" s="94" t="inlineStr">
        <is>
          <t>ס. פארם</t>
        </is>
      </c>
      <c r="D533" s="94" t="n"/>
      <c r="E533" s="94" t="inlineStr">
        <is>
          <t>ס.פ.עיר ימים נתניה תרופות</t>
        </is>
      </c>
      <c r="F533" s="102" t="n"/>
      <c r="G533" s="102" t="n">
        <v>24534.9</v>
      </c>
      <c r="H533" s="95" t="n"/>
      <c r="I533" s="95" t="n"/>
      <c r="J533" s="94" t="n"/>
      <c r="K533" s="94" t="inlineStr">
        <is>
          <t>CHMI</t>
        </is>
      </c>
    </row>
    <row r="534" ht="15" customHeight="1" s="82">
      <c r="A534" s="94" t="inlineStr">
        <is>
          <t>חיים ויצמן</t>
        </is>
      </c>
      <c r="B534" s="94" t="n"/>
      <c r="C534" s="94" t="inlineStr">
        <is>
          <t>ס. פארם</t>
        </is>
      </c>
      <c r="D534" s="94" t="n"/>
      <c r="E534" s="94" t="inlineStr">
        <is>
          <t>ס.פ.רמז נתניה תרופות</t>
        </is>
      </c>
      <c r="F534" s="102" t="n"/>
      <c r="G534" s="102" t="n">
        <v>14898.9</v>
      </c>
      <c r="H534" s="95" t="n"/>
      <c r="I534" s="95" t="n"/>
      <c r="J534" s="94" t="n"/>
      <c r="K534" s="94" t="inlineStr">
        <is>
          <t>CHMI</t>
        </is>
      </c>
    </row>
    <row r="535" ht="15" customHeight="1" s="82">
      <c r="A535" s="94" t="inlineStr">
        <is>
          <t>חיים ויצמן</t>
        </is>
      </c>
      <c r="B535" s="94" t="n"/>
      <c r="C535" s="94" t="inlineStr">
        <is>
          <t>ס. פארם</t>
        </is>
      </c>
      <c r="D535" s="94" t="n"/>
      <c r="E535" s="94" t="inlineStr">
        <is>
          <t>ס.פ.הרצל ראשל""צ תרופות</t>
        </is>
      </c>
      <c r="F535" s="102" t="n"/>
      <c r="G535" s="102" t="n">
        <v>2781.9</v>
      </c>
      <c r="H535" s="95" t="n"/>
      <c r="I535" s="95" t="n"/>
      <c r="J535" s="94" t="n"/>
      <c r="K535" s="94" t="inlineStr">
        <is>
          <t>CHMI</t>
        </is>
      </c>
    </row>
    <row r="536" ht="15" customHeight="1" s="82">
      <c r="A536" s="94" t="inlineStr">
        <is>
          <t>חיים ויצמן</t>
        </is>
      </c>
      <c r="B536" s="94" t="n"/>
      <c r="C536" s="94" t="inlineStr">
        <is>
          <t>ס. פארם</t>
        </is>
      </c>
      <c r="D536" s="94" t="n"/>
      <c r="E536" s="94" t="inlineStr">
        <is>
          <t>ס.פ.ישפרו נס ציונה תרופות</t>
        </is>
      </c>
      <c r="F536" s="102" t="n"/>
      <c r="G536" s="102" t="n">
        <v>18633.4</v>
      </c>
      <c r="H536" s="95" t="n"/>
      <c r="I536" s="95" t="n"/>
      <c r="J536" s="94" t="n"/>
      <c r="K536" s="94" t="inlineStr">
        <is>
          <t>CHMI</t>
        </is>
      </c>
    </row>
    <row r="537" ht="15" customHeight="1" s="82">
      <c r="A537" s="94" t="inlineStr">
        <is>
          <t>חיים ויצמן</t>
        </is>
      </c>
      <c r="B537" s="94" t="n"/>
      <c r="C537" s="94" t="inlineStr">
        <is>
          <t>ס. פארם</t>
        </is>
      </c>
      <c r="D537" s="94" t="n"/>
      <c r="E537" s="94" t="inlineStr">
        <is>
          <t>ס.פ.גלרי ראשון לציון</t>
        </is>
      </c>
      <c r="F537" s="102" t="n"/>
      <c r="G537" s="102" t="n">
        <v>21217.3</v>
      </c>
      <c r="H537" s="95" t="n"/>
      <c r="I537" s="95" t="n"/>
      <c r="J537" s="94" t="n"/>
      <c r="K537" s="94" t="inlineStr">
        <is>
          <t>CHMI</t>
        </is>
      </c>
    </row>
    <row r="538" ht="15" customHeight="1" s="82">
      <c r="A538" s="94" t="inlineStr">
        <is>
          <t>חיים ויצמן</t>
        </is>
      </c>
      <c r="B538" s="94" t="n"/>
      <c r="C538" s="94" t="inlineStr">
        <is>
          <t>ס. פארם</t>
        </is>
      </c>
      <c r="D538" s="94" t="n"/>
      <c r="E538" s="94" t="inlineStr">
        <is>
          <t>ס.פ.הזהב תרופות</t>
        </is>
      </c>
      <c r="F538" s="102" t="n"/>
      <c r="G538" s="102" t="n">
        <v>15223.5</v>
      </c>
      <c r="H538" s="95" t="n"/>
      <c r="I538" s="95" t="n"/>
      <c r="J538" s="94" t="n"/>
      <c r="K538" s="94" t="inlineStr">
        <is>
          <t>CHMI</t>
        </is>
      </c>
    </row>
    <row r="539" ht="15" customHeight="1" s="82">
      <c r="A539" s="94" t="inlineStr">
        <is>
          <t>חיים ויצמן</t>
        </is>
      </c>
      <c r="B539" s="94" t="n"/>
      <c r="C539" s="94" t="inlineStr">
        <is>
          <t>ס. פארם</t>
        </is>
      </c>
      <c r="D539" s="94" t="n"/>
      <c r="E539" s="94" t="inlineStr">
        <is>
          <t>ס.פ.שיקמה תרופות ראשון לציון</t>
        </is>
      </c>
      <c r="F539" s="102" t="n"/>
      <c r="G539" s="102" t="n">
        <v>8519.200000000001</v>
      </c>
      <c r="H539" s="95" t="n"/>
      <c r="I539" s="95" t="n"/>
      <c r="J539" s="94" t="n"/>
      <c r="K539" s="94" t="inlineStr">
        <is>
          <t>CHMI</t>
        </is>
      </c>
    </row>
    <row r="540" ht="15" customHeight="1" s="82">
      <c r="A540" s="94" t="inlineStr">
        <is>
          <t>חיים ויצמן</t>
        </is>
      </c>
      <c r="B540" s="94" t="n"/>
      <c r="C540" s="94" t="inlineStr">
        <is>
          <t>ס. פארם</t>
        </is>
      </c>
      <c r="D540" s="94" t="n"/>
      <c r="E540" s="94" t="inlineStr">
        <is>
          <t>ס.פ.רוטישלד תרופות</t>
        </is>
      </c>
      <c r="F540" s="102" t="n"/>
      <c r="G540" s="102" t="n">
        <v>12975.1</v>
      </c>
      <c r="H540" s="95" t="n"/>
      <c r="I540" s="95" t="n"/>
      <c r="J540" s="94" t="n"/>
      <c r="K540" s="94" t="inlineStr">
        <is>
          <t>CHMI</t>
        </is>
      </c>
    </row>
    <row r="541" ht="15" customHeight="1" s="82">
      <c r="A541" s="94" t="inlineStr">
        <is>
          <t>חיים ויצמן</t>
        </is>
      </c>
      <c r="B541" s="94" t="n"/>
      <c r="C541" s="94" t="inlineStr">
        <is>
          <t>ס. פארם</t>
        </is>
      </c>
      <c r="D541" s="94" t="n"/>
      <c r="E541" s="94" t="inlineStr">
        <is>
          <t>ס.פ.לישנסקי תרופות</t>
        </is>
      </c>
      <c r="F541" s="102" t="n"/>
      <c r="G541" s="102" t="n">
        <v>12020.2</v>
      </c>
      <c r="H541" s="95" t="n"/>
      <c r="I541" s="95" t="n"/>
      <c r="J541" s="94" t="n"/>
      <c r="K541" s="94" t="inlineStr">
        <is>
          <t>CHMI</t>
        </is>
      </c>
    </row>
    <row r="542" ht="15" customHeight="1" s="82">
      <c r="A542" s="94" t="inlineStr">
        <is>
          <t>חיים ויצמן</t>
        </is>
      </c>
      <c r="B542" s="94" t="n"/>
      <c r="C542" s="94" t="inlineStr">
        <is>
          <t>ס. פארם</t>
        </is>
      </c>
      <c r="D542" s="94" t="n"/>
      <c r="E542" s="94" t="inlineStr">
        <is>
          <t>ס.פ.קניותר תרופות</t>
        </is>
      </c>
      <c r="F542" s="102" t="n"/>
      <c r="G542" s="102" t="n">
        <v>26211.2</v>
      </c>
      <c r="H542" s="95" t="n"/>
      <c r="I542" s="95" t="n"/>
      <c r="J542" s="94" t="n"/>
      <c r="K542" s="94" t="inlineStr">
        <is>
          <t>CHMI</t>
        </is>
      </c>
    </row>
    <row r="543" ht="15" customHeight="1" s="82">
      <c r="A543" s="94" t="inlineStr">
        <is>
          <t>חיים ויצמן</t>
        </is>
      </c>
      <c r="B543" s="94" t="n"/>
      <c r="C543" s="94" t="inlineStr">
        <is>
          <t>ס. פארם</t>
        </is>
      </c>
      <c r="D543" s="94" t="n"/>
      <c r="E543" s="94" t="inlineStr">
        <is>
          <t>ס.פ.ראשל""צ תרופות</t>
        </is>
      </c>
      <c r="F543" s="102" t="n"/>
      <c r="G543" s="102" t="n">
        <v>29530.3</v>
      </c>
      <c r="H543" s="95" t="n"/>
      <c r="I543" s="95" t="n"/>
      <c r="J543" s="94" t="n"/>
      <c r="K543" s="94" t="inlineStr">
        <is>
          <t>CHMI</t>
        </is>
      </c>
    </row>
    <row r="544" ht="15" customHeight="1" s="82">
      <c r="A544" s="94" t="inlineStr">
        <is>
          <t>חיים ויצמן</t>
        </is>
      </c>
      <c r="B544" s="94" t="n"/>
      <c r="C544" s="94" t="inlineStr">
        <is>
          <t>ס. פארם</t>
        </is>
      </c>
      <c r="D544" s="94" t="n"/>
      <c r="E544" s="94" t="inlineStr">
        <is>
          <t>ס.פ.אוסישקין תרופות רמת השרון</t>
        </is>
      </c>
      <c r="F544" s="102" t="n"/>
      <c r="G544" s="102" t="n">
        <v>19009.4</v>
      </c>
      <c r="H544" s="95" t="n"/>
      <c r="I544" s="95" t="n"/>
      <c r="J544" s="94" t="n"/>
      <c r="K544" s="94" t="inlineStr">
        <is>
          <t>CHMI</t>
        </is>
      </c>
    </row>
    <row r="545" ht="15" customHeight="1" s="82">
      <c r="A545" s="94" t="inlineStr">
        <is>
          <t>חיים ויצמן</t>
        </is>
      </c>
      <c r="B545" s="94" t="n"/>
      <c r="C545" s="94" t="inlineStr">
        <is>
          <t>ס. פארם</t>
        </is>
      </c>
      <c r="D545" s="94" t="n"/>
      <c r="E545" s="94" t="inlineStr">
        <is>
          <t>ס.פ.צמרות תרופות</t>
        </is>
      </c>
      <c r="F545" s="102" t="n"/>
      <c r="G545" s="102" t="n">
        <v>30879.9</v>
      </c>
      <c r="H545" s="95" t="n"/>
      <c r="I545" s="95" t="n"/>
      <c r="J545" s="94" t="n"/>
      <c r="K545" s="94" t="inlineStr">
        <is>
          <t>CHMI</t>
        </is>
      </c>
    </row>
    <row r="546" ht="15" customHeight="1" s="82">
      <c r="A546" s="94" t="inlineStr">
        <is>
          <t>חיים ויצמן</t>
        </is>
      </c>
      <c r="B546" s="94" t="n"/>
      <c r="C546" s="94" t="inlineStr">
        <is>
          <t>ס. פארם</t>
        </is>
      </c>
      <c r="D546" s="94" t="n"/>
      <c r="E546" s="94" t="inlineStr">
        <is>
          <t>ס.פ.הרצליה פיתוח תרופות</t>
        </is>
      </c>
      <c r="F546" s="102" t="n"/>
      <c r="G546" s="102" t="n">
        <v>19731</v>
      </c>
      <c r="H546" s="95" t="n"/>
      <c r="I546" s="95" t="n"/>
      <c r="J546" s="94" t="n"/>
      <c r="K546" s="94" t="inlineStr">
        <is>
          <t>CHMI</t>
        </is>
      </c>
    </row>
    <row r="547" ht="15" customHeight="1" s="82">
      <c r="A547" s="94" t="inlineStr">
        <is>
          <t>חיים ויצמן</t>
        </is>
      </c>
      <c r="B547" s="94" t="n"/>
      <c r="C547" s="94" t="inlineStr">
        <is>
          <t>ס. פארם</t>
        </is>
      </c>
      <c r="D547" s="94" t="n"/>
      <c r="E547" s="94" t="inlineStr">
        <is>
          <t>ס.פ.סוקולוב הרצליה תרופות</t>
        </is>
      </c>
      <c r="F547" s="102" t="n"/>
      <c r="G547" s="102" t="n">
        <v>13579.9</v>
      </c>
      <c r="H547" s="95" t="n"/>
      <c r="I547" s="95" t="n"/>
      <c r="J547" s="94" t="n"/>
      <c r="K547" s="94" t="inlineStr">
        <is>
          <t>CHMI</t>
        </is>
      </c>
    </row>
    <row r="548" ht="15" customHeight="1" s="82">
      <c r="A548" s="94" t="inlineStr">
        <is>
          <t>חיים ויצמן</t>
        </is>
      </c>
      <c r="B548" s="94" t="n"/>
      <c r="C548" s="94" t="inlineStr">
        <is>
          <t>ס. פארם</t>
        </is>
      </c>
      <c r="D548" s="94" t="n"/>
      <c r="E548" s="94" t="inlineStr">
        <is>
          <t>ס.פ.שפיים תרופות</t>
        </is>
      </c>
      <c r="F548" s="102" t="n"/>
      <c r="G548" s="102" t="n">
        <v>14973.4</v>
      </c>
      <c r="H548" s="95" t="n"/>
      <c r="I548" s="95" t="n"/>
      <c r="J548" s="94" t="n"/>
      <c r="K548" s="94" t="inlineStr">
        <is>
          <t>CHMI</t>
        </is>
      </c>
    </row>
    <row r="549" ht="15" customHeight="1" s="82">
      <c r="A549" s="94" t="inlineStr">
        <is>
          <t>חיים ויצמן</t>
        </is>
      </c>
      <c r="B549" s="94" t="n"/>
      <c r="C549" s="94" t="inlineStr">
        <is>
          <t>ס. פארם</t>
        </is>
      </c>
      <c r="D549" s="94" t="n"/>
      <c r="E549" s="94" t="inlineStr">
        <is>
          <t>ס.פ.שבעת הכוכבים תרופות</t>
        </is>
      </c>
      <c r="F549" s="102" t="n"/>
      <c r="G549" s="102" t="n">
        <v>28402.3</v>
      </c>
      <c r="H549" s="95" t="n"/>
      <c r="I549" s="95" t="n"/>
      <c r="J549" s="94" t="n"/>
      <c r="K549" s="94" t="inlineStr">
        <is>
          <t>CHMI</t>
        </is>
      </c>
    </row>
    <row r="550" ht="15" customHeight="1" s="82">
      <c r="A550" s="94" t="inlineStr">
        <is>
          <t>חיים ויצמן</t>
        </is>
      </c>
      <c r="B550" s="94" t="n"/>
      <c r="C550" s="94" t="inlineStr">
        <is>
          <t>ס. פארם</t>
        </is>
      </c>
      <c r="D550" s="94" t="n"/>
      <c r="E550" s="94" t="inlineStr">
        <is>
          <t>ס.פ.ארנה הרצליה תרופות</t>
        </is>
      </c>
      <c r="F550" s="102" t="n"/>
      <c r="G550" s="102" t="n">
        <v>17575.5</v>
      </c>
      <c r="H550" s="95" t="n"/>
      <c r="I550" s="95" t="n"/>
      <c r="J550" s="94" t="n"/>
      <c r="K550" s="94" t="inlineStr">
        <is>
          <t>CHMI</t>
        </is>
      </c>
    </row>
    <row r="551" ht="15" customHeight="1" s="82">
      <c r="A551" s="94" t="inlineStr">
        <is>
          <t>חיים ויצמן</t>
        </is>
      </c>
      <c r="B551" s="94" t="n"/>
      <c r="C551" s="94" t="inlineStr">
        <is>
          <t>ס. פארם</t>
        </is>
      </c>
      <c r="D551" s="94" t="n"/>
      <c r="E551" s="94" t="inlineStr">
        <is>
          <t>ס.פ.כיכר דיזנגוף תרופות</t>
        </is>
      </c>
      <c r="F551" s="102" t="n"/>
      <c r="G551" s="102" t="n">
        <v>15642.4</v>
      </c>
      <c r="H551" s="95" t="n"/>
      <c r="I551" s="95" t="n"/>
      <c r="J551" s="94" t="n"/>
      <c r="K551" s="94" t="inlineStr">
        <is>
          <t>CHMI</t>
        </is>
      </c>
    </row>
    <row r="552" ht="15" customHeight="1" s="82">
      <c r="A552" s="94" t="inlineStr">
        <is>
          <t>חיים ויצמן</t>
        </is>
      </c>
      <c r="B552" s="94" t="n"/>
      <c r="C552" s="94" t="inlineStr">
        <is>
          <t>ס. פארם</t>
        </is>
      </c>
      <c r="D552" s="94" t="n"/>
      <c r="E552" s="94" t="inlineStr">
        <is>
          <t>ס.פ.ארלוזורוב תרופות</t>
        </is>
      </c>
      <c r="F552" s="102" t="n"/>
      <c r="G552" s="102" t="n">
        <v>10308</v>
      </c>
      <c r="H552" s="95" t="n"/>
      <c r="I552" s="95" t="n"/>
      <c r="J552" s="94" t="n"/>
      <c r="K552" s="94" t="inlineStr">
        <is>
          <t>CHMI</t>
        </is>
      </c>
    </row>
    <row r="553" ht="15" customHeight="1" s="82">
      <c r="A553" s="94" t="inlineStr">
        <is>
          <t>חיים ויצמן</t>
        </is>
      </c>
      <c r="B553" s="94" t="n"/>
      <c r="C553" s="94" t="inlineStr">
        <is>
          <t>ס. פארם</t>
        </is>
      </c>
      <c r="D553" s="94" t="n"/>
      <c r="E553" s="94" t="inlineStr">
        <is>
          <t>ס.פ.כפר סבא הירוקה תרופות</t>
        </is>
      </c>
      <c r="F553" s="102" t="n"/>
      <c r="G553" s="102" t="n">
        <v>14927.9</v>
      </c>
      <c r="H553" s="95" t="n"/>
      <c r="I553" s="95" t="n"/>
      <c r="J553" s="94" t="n"/>
      <c r="K553" s="94" t="inlineStr">
        <is>
          <t>CHMI</t>
        </is>
      </c>
    </row>
    <row r="554" ht="15" customHeight="1" s="82">
      <c r="A554" s="94" t="inlineStr">
        <is>
          <t>חיים ויצמן</t>
        </is>
      </c>
      <c r="B554" s="94" t="n"/>
      <c r="C554" s="94" t="inlineStr">
        <is>
          <t>ס. פארם</t>
        </is>
      </c>
      <c r="D554" s="94" t="n"/>
      <c r="E554" s="94" t="inlineStr">
        <is>
          <t>ס.פ.בית הבד תרופות הוד השרון</t>
        </is>
      </c>
      <c r="F554" s="102" t="n"/>
      <c r="G554" s="102" t="n">
        <v>10688.9</v>
      </c>
      <c r="H554" s="95" t="n"/>
      <c r="I554" s="95" t="n"/>
      <c r="J554" s="94" t="n"/>
      <c r="K554" s="94" t="inlineStr">
        <is>
          <t>CHMI</t>
        </is>
      </c>
    </row>
    <row r="555" ht="15" customHeight="1" s="82">
      <c r="A555" s="94" t="inlineStr">
        <is>
          <t>חיים ויצמן</t>
        </is>
      </c>
      <c r="B555" s="94" t="n"/>
      <c r="C555" s="94" t="inlineStr">
        <is>
          <t>ס. פארם</t>
        </is>
      </c>
      <c r="D555" s="94" t="n"/>
      <c r="E555" s="94" t="inlineStr">
        <is>
          <t>ס.פ.אגמים נתניה תרופות</t>
        </is>
      </c>
      <c r="F555" s="102" t="n"/>
      <c r="G555" s="102" t="n">
        <v>13338.6</v>
      </c>
      <c r="H555" s="95" t="n"/>
      <c r="I555" s="95" t="n"/>
      <c r="J555" s="94" t="n"/>
      <c r="K555" s="94" t="inlineStr">
        <is>
          <t>CHMI</t>
        </is>
      </c>
    </row>
    <row r="556" ht="15" customHeight="1" s="82">
      <c r="A556" s="94" t="inlineStr">
        <is>
          <t>חיים ויצמן</t>
        </is>
      </c>
      <c r="B556" s="94" t="n"/>
      <c r="C556" s="94" t="inlineStr">
        <is>
          <t>ס. פארם</t>
        </is>
      </c>
      <c r="D556" s="94" t="n"/>
      <c r="E556" s="94" t="inlineStr">
        <is>
          <t>ס.פ.צייטלין ת""א תרופות</t>
        </is>
      </c>
      <c r="F556" s="102" t="n"/>
      <c r="G556" s="102" t="n">
        <v>4912.1</v>
      </c>
      <c r="H556" s="95" t="n"/>
      <c r="I556" s="95" t="n"/>
      <c r="J556" s="94" t="n"/>
      <c r="K556" s="94" t="inlineStr">
        <is>
          <t>CHMI</t>
        </is>
      </c>
    </row>
    <row r="557" ht="15" customHeight="1" s="82">
      <c r="A557" s="94" t="inlineStr">
        <is>
          <t>חיים ויצמן</t>
        </is>
      </c>
      <c r="B557" s="94" t="n"/>
      <c r="C557" s="94" t="inlineStr">
        <is>
          <t>ס. פארם</t>
        </is>
      </c>
      <c r="D557" s="94" t="n"/>
      <c r="E557" s="94" t="inlineStr">
        <is>
          <t>ס.פ.שרונה ת""א תרופות</t>
        </is>
      </c>
      <c r="F557" s="102" t="n"/>
      <c r="G557" s="102" t="n">
        <v>9085.700000000001</v>
      </c>
      <c r="H557" s="95" t="n"/>
      <c r="I557" s="95" t="n"/>
      <c r="J557" s="94" t="n"/>
      <c r="K557" s="94" t="inlineStr">
        <is>
          <t>CHMI</t>
        </is>
      </c>
    </row>
    <row r="558" ht="15" customHeight="1" s="82">
      <c r="A558" s="94" t="inlineStr">
        <is>
          <t>חיים ויצמן</t>
        </is>
      </c>
      <c r="B558" s="94" t="n"/>
      <c r="C558" s="94" t="inlineStr">
        <is>
          <t>ס. פארם</t>
        </is>
      </c>
      <c r="D558" s="94" t="n"/>
      <c r="E558" s="94" t="inlineStr">
        <is>
          <t>תרופות ת""א TLV ס.פ.קניון</t>
        </is>
      </c>
      <c r="F558" s="102" t="n"/>
      <c r="G558" s="102" t="n">
        <v>14184.4</v>
      </c>
      <c r="H558" s="95" t="n"/>
      <c r="I558" s="95" t="n"/>
      <c r="J558" s="94" t="n"/>
      <c r="K558" s="94" t="inlineStr">
        <is>
          <t>CHMI</t>
        </is>
      </c>
    </row>
    <row r="559" ht="15" customHeight="1" s="82">
      <c r="A559" s="94" t="inlineStr">
        <is>
          <t>חיים ויצמן</t>
        </is>
      </c>
      <c r="B559" s="94" t="n"/>
      <c r="C559" s="94" t="inlineStr">
        <is>
          <t>ס. פארם</t>
        </is>
      </c>
      <c r="D559" s="94" t="n"/>
      <c r="E559" s="94" t="inlineStr">
        <is>
          <t>ס.פ.נופי ים ת""א תרופות</t>
        </is>
      </c>
      <c r="F559" s="102" t="n"/>
      <c r="G559" s="102" t="n">
        <v>11984.1</v>
      </c>
      <c r="H559" s="95" t="n"/>
      <c r="I559" s="95" t="n"/>
      <c r="J559" s="94" t="n"/>
      <c r="K559" s="94" t="inlineStr">
        <is>
          <t>CHMI</t>
        </is>
      </c>
    </row>
    <row r="560" ht="15" customHeight="1" s="82">
      <c r="A560" s="94" t="inlineStr">
        <is>
          <t>חיים ויצמן</t>
        </is>
      </c>
      <c r="B560" s="94" t="n"/>
      <c r="C560" s="94" t="inlineStr">
        <is>
          <t>ס. פארם</t>
        </is>
      </c>
      <c r="D560" s="94" t="n"/>
      <c r="E560" s="94" t="inlineStr">
        <is>
          <t>ס.פ. המכללה ראשל""צ תרופות</t>
        </is>
      </c>
      <c r="F560" s="102" t="n"/>
      <c r="G560" s="102" t="n">
        <v>7012.3</v>
      </c>
      <c r="H560" s="95" t="n"/>
      <c r="I560" s="95" t="n"/>
      <c r="J560" s="94" t="n"/>
      <c r="K560" s="94" t="inlineStr">
        <is>
          <t>CHMI</t>
        </is>
      </c>
    </row>
    <row r="561" ht="15" customHeight="1" s="82">
      <c r="A561" s="94" t="inlineStr">
        <is>
          <t>חיים ויצמן</t>
        </is>
      </c>
      <c r="B561" s="94" t="n"/>
      <c r="C561" s="94" t="inlineStr">
        <is>
          <t>ס. פארם</t>
        </is>
      </c>
      <c r="D561" s="94" t="n"/>
      <c r="E561" s="94" t="inlineStr">
        <is>
          <t>ס.פ.קניון ראשונים תרופות</t>
        </is>
      </c>
      <c r="F561" s="102" t="n"/>
      <c r="G561" s="102" t="n">
        <v>14206.4</v>
      </c>
      <c r="H561" s="95" t="n"/>
      <c r="I561" s="95" t="n"/>
      <c r="J561" s="94" t="n"/>
      <c r="K561" s="94" t="inlineStr">
        <is>
          <t>CHMI</t>
        </is>
      </c>
    </row>
    <row r="562" ht="15" customHeight="1" s="82">
      <c r="A562" s="94" t="inlineStr">
        <is>
          <t>חיים ויצמן</t>
        </is>
      </c>
      <c r="B562" s="94" t="n"/>
      <c r="C562" s="94" t="inlineStr">
        <is>
          <t>ס. פארם</t>
        </is>
      </c>
      <c r="D562" s="94" t="n"/>
      <c r="E562" s="94" t="inlineStr">
        <is>
          <t>ס.פ.אסף הרופא תרופות</t>
        </is>
      </c>
      <c r="F562" s="102" t="n"/>
      <c r="G562" s="102" t="n">
        <v>7275.2</v>
      </c>
      <c r="H562" s="95" t="n"/>
      <c r="I562" s="95" t="n"/>
      <c r="J562" s="94" t="n"/>
      <c r="K562" s="94" t="inlineStr">
        <is>
          <t>CHMI</t>
        </is>
      </c>
    </row>
    <row r="563" ht="15" customHeight="1" s="82">
      <c r="A563" s="94" t="inlineStr">
        <is>
          <t>חיים ויצמן</t>
        </is>
      </c>
      <c r="B563" s="94" t="n"/>
      <c r="C563" s="94" t="inlineStr">
        <is>
          <t>ס. פארם</t>
        </is>
      </c>
      <c r="D563" s="94" t="n"/>
      <c r="E563" s="94" t="inlineStr">
        <is>
          <t>ס.פ.קניון באר יעקב תרופות</t>
        </is>
      </c>
      <c r="F563" s="102" t="n"/>
      <c r="G563" s="102" t="n">
        <v>10556.3</v>
      </c>
      <c r="H563" s="95" t="n"/>
      <c r="I563" s="95" t="n"/>
      <c r="J563" s="94" t="n"/>
      <c r="K563" s="94" t="inlineStr">
        <is>
          <t>CHMI</t>
        </is>
      </c>
    </row>
    <row r="564" ht="15" customHeight="1" s="82">
      <c r="A564" s="94" t="inlineStr">
        <is>
          <t>חיים ויצמן</t>
        </is>
      </c>
      <c r="B564" s="94" t="n"/>
      <c r="C564" s="94" t="inlineStr">
        <is>
          <t>ס. פארם</t>
        </is>
      </c>
      <c r="D564" s="94" t="n"/>
      <c r="E564" s="94" t="inlineStr">
        <is>
          <t>ס.פ נעימי קרית השרון נתניה</t>
        </is>
      </c>
      <c r="F564" s="102" t="n"/>
      <c r="G564" s="102" t="n">
        <v>7596.4</v>
      </c>
      <c r="H564" s="95" t="n"/>
      <c r="I564" s="95" t="n"/>
      <c r="J564" s="94" t="n"/>
      <c r="K564" s="94" t="inlineStr">
        <is>
          <t>CHMI</t>
        </is>
      </c>
    </row>
    <row r="565" ht="15" customHeight="1" s="82">
      <c r="A565" s="94" t="inlineStr">
        <is>
          <t>חיים ויצמן</t>
        </is>
      </c>
      <c r="B565" s="94" t="n"/>
      <c r="C565" s="94" t="inlineStr">
        <is>
          <t>ס. פארם</t>
        </is>
      </c>
      <c r="D565" s="94" t="n"/>
      <c r="E565" s="94" t="inlineStr">
        <is>
          <t>ס.פ.מגדלי אלון ת""א תרופות</t>
        </is>
      </c>
      <c r="F565" s="102" t="n"/>
      <c r="G565" s="102" t="n">
        <v>13044.7</v>
      </c>
      <c r="H565" s="95" t="n"/>
      <c r="I565" s="95" t="n"/>
      <c r="J565" s="94" t="n"/>
      <c r="K565" s="94" t="inlineStr">
        <is>
          <t>CHMI</t>
        </is>
      </c>
    </row>
    <row r="566" ht="15" customHeight="1" s="82">
      <c r="A566" s="94" t="inlineStr">
        <is>
          <t>חיים ויצמן</t>
        </is>
      </c>
      <c r="B566" s="94" t="n"/>
      <c r="C566" s="94" t="inlineStr">
        <is>
          <t>ס. פארם</t>
        </is>
      </c>
      <c r="D566" s="94" t="n"/>
      <c r="E566" s="94" t="inlineStr">
        <is>
          <t>ס.פ.דרך בר לב ת""א</t>
        </is>
      </c>
      <c r="F566" s="102" t="n"/>
      <c r="G566" s="102" t="n">
        <v>8453.799999999999</v>
      </c>
      <c r="H566" s="95" t="n"/>
      <c r="I566" s="95" t="n"/>
      <c r="J566" s="94" t="n"/>
      <c r="K566" s="94" t="inlineStr">
        <is>
          <t>CHMI</t>
        </is>
      </c>
    </row>
    <row r="567" ht="15" customHeight="1" s="82">
      <c r="A567" s="94" t="inlineStr">
        <is>
          <t>חיים ויצמן</t>
        </is>
      </c>
      <c r="B567" s="94" t="n"/>
      <c r="C567" s="94" t="inlineStr">
        <is>
          <t>ס. פארם</t>
        </is>
      </c>
      <c r="D567" s="94" t="n"/>
      <c r="E567" s="94" t="inlineStr">
        <is>
          <t>271 ס.פ. נווה הדרים ראשל""צ</t>
        </is>
      </c>
      <c r="F567" s="102" t="n"/>
      <c r="G567" s="102" t="n">
        <v>4409.6</v>
      </c>
      <c r="H567" s="95" t="n"/>
      <c r="I567" s="95" t="n"/>
      <c r="J567" s="94" t="n"/>
      <c r="K567" s="94" t="inlineStr">
        <is>
          <t>CHMI</t>
        </is>
      </c>
    </row>
    <row r="568" ht="15" customHeight="1" s="82">
      <c r="A568" s="94" t="inlineStr">
        <is>
          <t>חיים ויצמן</t>
        </is>
      </c>
      <c r="B568" s="94" t="n"/>
      <c r="C568" s="94" t="inlineStr">
        <is>
          <t>ס. פארם</t>
        </is>
      </c>
      <c r="D568" s="94" t="n"/>
      <c r="E568" s="94" t="inlineStr">
        <is>
          <t>277 סופר פארם שער ראשון</t>
        </is>
      </c>
      <c r="F568" s="102" t="n"/>
      <c r="G568" s="102" t="n">
        <v>15513.4</v>
      </c>
      <c r="H568" s="95" t="n"/>
      <c r="I568" s="95" t="n"/>
      <c r="J568" s="94" t="n"/>
      <c r="K568" s="94" t="inlineStr">
        <is>
          <t>CHMI</t>
        </is>
      </c>
    </row>
    <row r="569" ht="15" customHeight="1" s="82">
      <c r="A569" s="94" t="inlineStr">
        <is>
          <t>חיים ויצמן</t>
        </is>
      </c>
      <c r="B569" s="94" t="n"/>
      <c r="C569" s="94" t="inlineStr">
        <is>
          <t>ס. פארם</t>
        </is>
      </c>
      <c r="D569" s="94" t="n"/>
      <c r="E569" s="94" t="inlineStr">
        <is>
          <t>BM ס.פ צורן</t>
        </is>
      </c>
      <c r="F569" s="102" t="n"/>
      <c r="G569" s="102" t="n">
        <v>15298</v>
      </c>
      <c r="H569" s="95" t="n"/>
      <c r="I569" s="95" t="n"/>
      <c r="J569" s="94" t="n"/>
      <c r="K569" s="94" t="inlineStr">
        <is>
          <t>CHMI</t>
        </is>
      </c>
    </row>
    <row r="570" ht="15" customHeight="1" s="82">
      <c r="A570" s="94" t="inlineStr">
        <is>
          <t>חיים ויצמן</t>
        </is>
      </c>
      <c r="B570" s="94" t="n"/>
      <c r="C570" s="94" t="inlineStr">
        <is>
          <t>ס. פארם</t>
        </is>
      </c>
      <c r="D570" s="94" t="n"/>
      <c r="E570" s="94" t="inlineStr">
        <is>
          <t>BM ס.פ כפר יונה</t>
        </is>
      </c>
      <c r="F570" s="102" t="n"/>
      <c r="G570" s="102" t="n">
        <v>14023.2</v>
      </c>
      <c r="H570" s="95" t="n"/>
      <c r="I570" s="95" t="n"/>
      <c r="J570" s="94" t="n"/>
      <c r="K570" s="94" t="inlineStr">
        <is>
          <t>CHMI</t>
        </is>
      </c>
    </row>
    <row r="571" ht="15" customHeight="1" s="82">
      <c r="A571" s="94" t="inlineStr">
        <is>
          <t>חיים ויצמן</t>
        </is>
      </c>
      <c r="B571" s="94" t="n"/>
      <c r="C571" s="94" t="inlineStr">
        <is>
          <t>ס. פארם</t>
        </is>
      </c>
      <c r="D571" s="94" t="n"/>
      <c r="E571" s="94" t="inlineStr">
        <is>
          <t>BM ס.פ נווה זמר רעננה</t>
        </is>
      </c>
      <c r="F571" s="102" t="n"/>
      <c r="G571" s="102" t="n">
        <v>10389.8</v>
      </c>
      <c r="H571" s="95" t="n"/>
      <c r="I571" s="95" t="n"/>
      <c r="J571" s="94" t="n"/>
      <c r="K571" s="94" t="inlineStr">
        <is>
          <t>CHMI</t>
        </is>
      </c>
    </row>
    <row r="572" ht="15" customHeight="1" s="82">
      <c r="A572" s="94" t="inlineStr">
        <is>
          <t>חיים ויצמן</t>
        </is>
      </c>
      <c r="B572" s="94" t="n"/>
      <c r="C572" s="94" t="inlineStr">
        <is>
          <t>ס. פארם</t>
        </is>
      </c>
      <c r="D572" s="94" t="n"/>
      <c r="E572" s="94" t="inlineStr">
        <is>
          <t>BM ס.פ הנשיאים הוד השרון</t>
        </is>
      </c>
      <c r="F572" s="102" t="n"/>
      <c r="G572" s="102" t="n">
        <v>10346</v>
      </c>
      <c r="H572" s="95" t="n"/>
      <c r="I572" s="95" t="n"/>
      <c r="J572" s="94" t="n"/>
      <c r="K572" s="94" t="inlineStr">
        <is>
          <t>CHMI</t>
        </is>
      </c>
    </row>
    <row r="573" ht="15" customHeight="1" s="82">
      <c r="A573" s="94" t="inlineStr">
        <is>
          <t>חיים ויצמן</t>
        </is>
      </c>
      <c r="B573" s="94" t="n"/>
      <c r="C573" s="94" t="inlineStr">
        <is>
          <t>ס. פארם</t>
        </is>
      </c>
      <c r="D573" s="94" t="n"/>
      <c r="E573" s="94" t="inlineStr">
        <is>
          <t>BM ס.פ גליל ים הרצליה</t>
        </is>
      </c>
      <c r="F573" s="102" t="n"/>
      <c r="G573" s="102" t="n">
        <v>4083.4</v>
      </c>
      <c r="H573" s="95" t="n"/>
      <c r="I573" s="95" t="n"/>
      <c r="J573" s="94" t="n"/>
      <c r="K573" s="94" t="inlineStr">
        <is>
          <t>CHMI</t>
        </is>
      </c>
    </row>
    <row r="574" ht="15" customHeight="1" s="82">
      <c r="A574" s="94" t="inlineStr">
        <is>
          <t>חיים ויצמן</t>
        </is>
      </c>
      <c r="B574" s="94" t="n"/>
      <c r="C574" s="94" t="inlineStr">
        <is>
          <t>ס. פארם</t>
        </is>
      </c>
      <c r="D574" s="94" t="n"/>
      <c r="E574" s="94" t="inlineStr">
        <is>
          <t>BM ס.פ ר. אביב גימל</t>
        </is>
      </c>
      <c r="F574" s="102" t="n"/>
      <c r="G574" s="102" t="n">
        <v>18519.5</v>
      </c>
      <c r="H574" s="95" t="n"/>
      <c r="I574" s="95" t="n"/>
      <c r="J574" s="94" t="n"/>
      <c r="K574" s="94" t="inlineStr">
        <is>
          <t>CHMI</t>
        </is>
      </c>
    </row>
    <row r="575" ht="15" customHeight="1" s="82">
      <c r="A575" s="94" t="inlineStr">
        <is>
          <t>חיים ויצמן</t>
        </is>
      </c>
      <c r="B575" s="94" t="n"/>
      <c r="C575" s="94" t="inlineStr">
        <is>
          <t>ס. פארם</t>
        </is>
      </c>
      <c r="D575" s="94" t="n"/>
      <c r="E575" s="94" t="inlineStr">
        <is>
          <t>BM ס.פ נרקיסים ראשון לציון</t>
        </is>
      </c>
      <c r="F575" s="102" t="n"/>
      <c r="G575" s="102" t="n">
        <v>10044.3</v>
      </c>
      <c r="H575" s="95" t="n"/>
      <c r="I575" s="95" t="n"/>
      <c r="J575" s="94" t="n"/>
      <c r="K575" s="94" t="inlineStr">
        <is>
          <t>CHMI</t>
        </is>
      </c>
    </row>
    <row r="576" ht="15" customHeight="1" s="82">
      <c r="A576" s="94" t="inlineStr">
        <is>
          <t>חיים ויצמן</t>
        </is>
      </c>
      <c r="B576" s="94" t="n"/>
      <c r="C576" s="94" t="inlineStr">
        <is>
          <t>ס. פארם</t>
        </is>
      </c>
      <c r="D576" s="94" t="n"/>
      <c r="E576" s="94" t="inlineStr">
        <is>
          <t>BM ס.פ גאלרי ביג גלילות</t>
        </is>
      </c>
      <c r="F576" s="102" t="n"/>
      <c r="G576" s="102" t="n">
        <v>39232.4</v>
      </c>
      <c r="H576" s="95" t="n"/>
      <c r="I576" s="95" t="n"/>
      <c r="J576" s="94" t="n"/>
      <c r="K576" s="94" t="inlineStr">
        <is>
          <t>CHMI</t>
        </is>
      </c>
    </row>
    <row r="577" ht="15" customHeight="1" s="82">
      <c r="A577" s="94" t="inlineStr">
        <is>
          <t>חיים ויצמן</t>
        </is>
      </c>
      <c r="B577" s="94" t="n"/>
      <c r="C577" s="94" t="inlineStr">
        <is>
          <t>ס. פארם</t>
        </is>
      </c>
      <c r="D577" s="94" t="n"/>
      <c r="E577" s="94" t="inlineStr">
        <is>
          <t>BM  ס.פ קלנסווה</t>
        </is>
      </c>
      <c r="F577" s="102" t="n"/>
      <c r="G577" s="102" t="n">
        <v>12240.9</v>
      </c>
      <c r="H577" s="95" t="n"/>
      <c r="I577" s="95" t="n"/>
      <c r="J577" s="94" t="n"/>
      <c r="K577" s="94" t="inlineStr">
        <is>
          <t>CHMI</t>
        </is>
      </c>
    </row>
    <row r="578" ht="15" customHeight="1" s="82">
      <c r="A578" s="94" t="inlineStr">
        <is>
          <t>חיים ויצמן</t>
        </is>
      </c>
      <c r="B578" s="94" t="n"/>
      <c r="C578" s="94" t="inlineStr">
        <is>
          <t>שופרסל BE</t>
        </is>
      </c>
      <c r="D578" s="94" t="n"/>
      <c r="E578" s="94" t="inlineStr">
        <is>
          <t>675 שרונים BE</t>
        </is>
      </c>
      <c r="F578" s="102" t="n"/>
      <c r="G578" s="102" t="n">
        <v>3764.1</v>
      </c>
      <c r="H578" s="95" t="n"/>
      <c r="I578" s="95" t="n"/>
      <c r="J578" s="94" t="n"/>
      <c r="K578" s="94" t="inlineStr">
        <is>
          <t>CHMI</t>
        </is>
      </c>
    </row>
    <row r="579" ht="15" customHeight="1" s="82">
      <c r="A579" s="94" t="inlineStr">
        <is>
          <t>חיים ויצמן</t>
        </is>
      </c>
      <c r="B579" s="94" t="n"/>
      <c r="C579" s="94" t="inlineStr">
        <is>
          <t>שופרסל BE</t>
        </is>
      </c>
      <c r="D579" s="94" t="n"/>
      <c r="E579" s="94" t="inlineStr">
        <is>
          <t>615 פארם כפר סבא BE</t>
        </is>
      </c>
      <c r="F579" s="102" t="n"/>
      <c r="G579" s="102" t="n">
        <v>12086.8</v>
      </c>
      <c r="H579" s="95" t="n"/>
      <c r="I579" s="95" t="n"/>
      <c r="J579" s="94" t="n"/>
      <c r="K579" s="94" t="inlineStr">
        <is>
          <t>CHMI</t>
        </is>
      </c>
    </row>
    <row r="580" ht="15" customHeight="1" s="82">
      <c r="A580" s="94" t="inlineStr">
        <is>
          <t>חיים ויצמן</t>
        </is>
      </c>
      <c r="B580" s="94" t="n"/>
      <c r="C580" s="94" t="inlineStr">
        <is>
          <t>שופרסל BE</t>
        </is>
      </c>
      <c r="D580" s="94" t="n"/>
      <c r="E580" s="94" t="inlineStr">
        <is>
          <t>648 מאיר כ""ס BE</t>
        </is>
      </c>
      <c r="F580" s="102" t="n"/>
      <c r="G580" s="102" t="n">
        <v>11663.2</v>
      </c>
      <c r="H580" s="95" t="n"/>
      <c r="I580" s="95" t="n"/>
      <c r="J580" s="94" t="n"/>
      <c r="K580" s="94" t="inlineStr">
        <is>
          <t>CHMI</t>
        </is>
      </c>
    </row>
    <row r="581" ht="15" customHeight="1" s="82">
      <c r="A581" s="94" t="inlineStr">
        <is>
          <t>חיים ויצמן</t>
        </is>
      </c>
      <c r="B581" s="94" t="n"/>
      <c r="C581" s="94" t="inlineStr">
        <is>
          <t>שופרסל BE</t>
        </is>
      </c>
      <c r="D581" s="94" t="n"/>
      <c r="E581" s="94" t="inlineStr">
        <is>
          <t>682  פארם כ""ס צפון ירוקה BE</t>
        </is>
      </c>
      <c r="F581" s="102" t="n"/>
      <c r="G581" s="102" t="n">
        <v>2934.9</v>
      </c>
      <c r="H581" s="95" t="n"/>
      <c r="I581" s="95" t="n"/>
      <c r="J581" s="94" t="n"/>
      <c r="K581" s="94" t="inlineStr">
        <is>
          <t>CHMI</t>
        </is>
      </c>
    </row>
    <row r="582" ht="15" customHeight="1" s="82">
      <c r="A582" s="94" t="inlineStr">
        <is>
          <t>חיים ויצמן</t>
        </is>
      </c>
      <c r="B582" s="94" t="n"/>
      <c r="C582" s="94" t="inlineStr">
        <is>
          <t>שופרסל BE</t>
        </is>
      </c>
      <c r="D582" s="94" t="n"/>
      <c r="E582" s="94" t="inlineStr">
        <is>
          <t>637  פארם רעננה BE</t>
        </is>
      </c>
      <c r="F582" s="102" t="n"/>
      <c r="G582" s="102" t="n">
        <v>8996.9</v>
      </c>
      <c r="H582" s="95" t="n"/>
      <c r="I582" s="95" t="n"/>
      <c r="J582" s="94" t="n"/>
      <c r="K582" s="94" t="inlineStr">
        <is>
          <t>CHMI</t>
        </is>
      </c>
    </row>
    <row r="583" ht="15" customHeight="1" s="82">
      <c r="A583" s="94" t="inlineStr">
        <is>
          <t>חיים ויצמן</t>
        </is>
      </c>
      <c r="B583" s="94" t="n"/>
      <c r="C583" s="94" t="inlineStr">
        <is>
          <t>שופרסל BE</t>
        </is>
      </c>
      <c r="D583" s="94" t="n"/>
      <c r="E583" s="94" t="inlineStr">
        <is>
          <t>668  קרית השרון נתניה BE</t>
        </is>
      </c>
      <c r="F583" s="102" t="n"/>
      <c r="G583" s="102" t="n">
        <v>8221.700000000001</v>
      </c>
      <c r="H583" s="95" t="n"/>
      <c r="I583" s="95" t="n"/>
      <c r="J583" s="94" t="n"/>
      <c r="K583" s="94" t="inlineStr">
        <is>
          <t>CHMI</t>
        </is>
      </c>
    </row>
    <row r="584" ht="15" customHeight="1" s="82">
      <c r="A584" s="94" t="inlineStr">
        <is>
          <t>חיים ויצמן</t>
        </is>
      </c>
      <c r="B584" s="94" t="n"/>
      <c r="C584" s="94" t="inlineStr">
        <is>
          <t>שופרסל BE</t>
        </is>
      </c>
      <c r="D584" s="94" t="n"/>
      <c r="E584" s="94" t="inlineStr">
        <is>
          <t>651 דרורים BE</t>
        </is>
      </c>
      <c r="F584" s="102" t="n"/>
      <c r="G584" s="102" t="n">
        <v>11065.1</v>
      </c>
      <c r="H584" s="95" t="n"/>
      <c r="I584" s="95" t="n"/>
      <c r="J584" s="94" t="n"/>
      <c r="K584" s="94" t="inlineStr">
        <is>
          <t>CHMI</t>
        </is>
      </c>
    </row>
    <row r="585" ht="15" customHeight="1" s="82">
      <c r="A585" s="94" t="inlineStr">
        <is>
          <t>חיים ויצמן</t>
        </is>
      </c>
      <c r="B585" s="94" t="n"/>
      <c r="C585" s="94" t="inlineStr">
        <is>
          <t>שופרסל BE</t>
        </is>
      </c>
      <c r="D585" s="94" t="n"/>
      <c r="E585" s="94" t="inlineStr">
        <is>
          <t>614 פארם נתניה BE</t>
        </is>
      </c>
      <c r="F585" s="102" t="n"/>
      <c r="G585" s="102" t="n">
        <v>4289.7</v>
      </c>
      <c r="H585" s="95" t="n"/>
      <c r="I585" s="95" t="n"/>
      <c r="J585" s="94" t="n"/>
      <c r="K585" s="94" t="inlineStr">
        <is>
          <t>CHMI</t>
        </is>
      </c>
    </row>
    <row r="586" ht="15" customHeight="1" s="82">
      <c r="A586" s="94" t="inlineStr">
        <is>
          <t>חיים ויצמן</t>
        </is>
      </c>
      <c r="B586" s="94" t="n"/>
      <c r="C586" s="94" t="inlineStr">
        <is>
          <t>שופרסל BE</t>
        </is>
      </c>
      <c r="D586" s="94" t="n"/>
      <c r="E586" s="94" t="inlineStr">
        <is>
          <t>618 ראשל""צ BE</t>
        </is>
      </c>
      <c r="F586" s="102" t="n"/>
      <c r="G586" s="102" t="n">
        <v>3920</v>
      </c>
      <c r="H586" s="95" t="n"/>
      <c r="I586" s="95" t="n"/>
      <c r="J586" s="94" t="n"/>
      <c r="K586" s="94" t="inlineStr">
        <is>
          <t>CHMI</t>
        </is>
      </c>
    </row>
    <row r="587" ht="15" customHeight="1" s="82">
      <c r="A587" s="94" t="inlineStr">
        <is>
          <t>חיים ויצמן</t>
        </is>
      </c>
      <c r="B587" s="94" t="n"/>
      <c r="C587" s="94" t="inlineStr">
        <is>
          <t>שופרסל BE</t>
        </is>
      </c>
      <c r="D587" s="94" t="n"/>
      <c r="E587" s="94" t="inlineStr">
        <is>
          <t>674 תל ברוך BE</t>
        </is>
      </c>
      <c r="F587" s="102" t="n"/>
      <c r="G587" s="102" t="n">
        <v>7122.2</v>
      </c>
      <c r="H587" s="95" t="n"/>
      <c r="I587" s="95" t="n"/>
      <c r="J587" s="94" t="n"/>
      <c r="K587" s="94" t="inlineStr">
        <is>
          <t>CHMI</t>
        </is>
      </c>
    </row>
    <row r="588" ht="15" customHeight="1" s="82">
      <c r="A588" s="94" t="inlineStr">
        <is>
          <t>חיים ויצמן</t>
        </is>
      </c>
      <c r="B588" s="94" t="n"/>
      <c r="C588" s="94" t="inlineStr">
        <is>
          <t>שופרסל BE</t>
        </is>
      </c>
      <c r="D588" s="94" t="n"/>
      <c r="E588" s="94" t="inlineStr">
        <is>
          <t>695 אסותא רמת החייל BE</t>
        </is>
      </c>
      <c r="F588" s="102" t="n"/>
      <c r="G588" s="102" t="n">
        <v>264.3</v>
      </c>
      <c r="H588" s="95" t="n"/>
      <c r="I588" s="95" t="n"/>
      <c r="J588" s="94" t="n"/>
      <c r="K588" s="94" t="inlineStr">
        <is>
          <t>CHMI</t>
        </is>
      </c>
    </row>
    <row r="589" ht="15" customHeight="1" s="82">
      <c r="A589" s="94" t="inlineStr">
        <is>
          <t>חיים ויצמן</t>
        </is>
      </c>
      <c r="B589" s="94" t="n"/>
      <c r="C589" s="94" t="inlineStr">
        <is>
          <t>שופרסל BE</t>
        </is>
      </c>
      <c r="D589" s="94" t="n"/>
      <c r="E589" s="94" t="inlineStr">
        <is>
          <t>677 הרצליה BE</t>
        </is>
      </c>
      <c r="F589" s="102" t="n"/>
      <c r="G589" s="102" t="n">
        <v>9802</v>
      </c>
      <c r="H589" s="95" t="n"/>
      <c r="I589" s="95" t="n"/>
      <c r="J589" s="94" t="n"/>
      <c r="K589" s="94" t="inlineStr">
        <is>
          <t>CHMI</t>
        </is>
      </c>
    </row>
    <row r="590" ht="15" customHeight="1" s="82">
      <c r="A590" s="94" t="inlineStr">
        <is>
          <t>חיים ויצמן</t>
        </is>
      </c>
      <c r="B590" s="94" t="n"/>
      <c r="C590" s="94" t="inlineStr">
        <is>
          <t>שופרסל BE</t>
        </is>
      </c>
      <c r="D590" s="94" t="n"/>
      <c r="E590" s="94" t="inlineStr">
        <is>
          <t>660  רמת השרון BE</t>
        </is>
      </c>
      <c r="F590" s="102" t="n"/>
      <c r="G590" s="102" t="n">
        <v>8982.9</v>
      </c>
      <c r="H590" s="95" t="n"/>
      <c r="I590" s="95" t="n"/>
      <c r="J590" s="94" t="n"/>
      <c r="K590" s="94" t="inlineStr">
        <is>
          <t>CHMI</t>
        </is>
      </c>
    </row>
    <row r="591" ht="15" customHeight="1" s="82">
      <c r="A591" s="94" t="inlineStr">
        <is>
          <t>חיים ויצמן</t>
        </is>
      </c>
      <c r="B591" s="94" t="n"/>
      <c r="C591" s="94" t="inlineStr">
        <is>
          <t>שופרסל BE</t>
        </is>
      </c>
      <c r="D591" s="94" t="n"/>
      <c r="E591" s="94" t="inlineStr">
        <is>
          <t>653 בני ברק BE</t>
        </is>
      </c>
      <c r="F591" s="102" t="n"/>
      <c r="G591" s="102" t="n">
        <v>3679.4</v>
      </c>
      <c r="H591" s="95" t="n"/>
      <c r="I591" s="95" t="n"/>
      <c r="J591" s="94" t="n"/>
      <c r="K591" s="94" t="inlineStr">
        <is>
          <t>CHMI</t>
        </is>
      </c>
    </row>
    <row r="592" ht="15" customHeight="1" s="82">
      <c r="A592" s="94" t="inlineStr">
        <is>
          <t>חיים ויצמן</t>
        </is>
      </c>
      <c r="B592" s="94" t="n"/>
      <c r="C592" s="94" t="inlineStr">
        <is>
          <t>שופרסל BE</t>
        </is>
      </c>
      <c r="D592" s="94" t="n"/>
      <c r="E592" s="94" t="inlineStr">
        <is>
          <t>670 איכילוב BE</t>
        </is>
      </c>
      <c r="F592" s="102" t="n"/>
      <c r="G592" s="102" t="n">
        <v>28048.9</v>
      </c>
      <c r="H592" s="95" t="n"/>
      <c r="I592" s="95" t="n"/>
      <c r="J592" s="94" t="n"/>
      <c r="K592" s="94" t="inlineStr">
        <is>
          <t>CHMI</t>
        </is>
      </c>
    </row>
    <row r="593" ht="15" customHeight="1" s="82">
      <c r="A593" s="94" t="inlineStr">
        <is>
          <t>חיים ויצמן</t>
        </is>
      </c>
      <c r="B593" s="94" t="n"/>
      <c r="C593" s="94" t="inlineStr">
        <is>
          <t>שופרסל BE</t>
        </is>
      </c>
      <c r="D593" s="94" t="n"/>
      <c r="E593" s="94" t="inlineStr">
        <is>
          <t>656 בן יהודה ת""א BE</t>
        </is>
      </c>
      <c r="F593" s="102" t="n"/>
      <c r="G593" s="102" t="n">
        <v>488.3</v>
      </c>
      <c r="H593" s="95" t="n"/>
      <c r="I593" s="95" t="n"/>
      <c r="J593" s="94" t="n"/>
      <c r="K593" s="94" t="inlineStr">
        <is>
          <t>CHMI</t>
        </is>
      </c>
    </row>
    <row r="594" ht="15" customHeight="1" s="82">
      <c r="A594" s="94" t="inlineStr">
        <is>
          <t>חיים ויצמן</t>
        </is>
      </c>
      <c r="B594" s="94" t="n"/>
      <c r="C594" s="94" t="inlineStr">
        <is>
          <t>שופרסל BE</t>
        </is>
      </c>
      <c r="D594" s="94" t="n"/>
      <c r="E594" s="94" t="inlineStr">
        <is>
          <t>685 אזורי חן BE</t>
        </is>
      </c>
      <c r="F594" s="102" t="n"/>
      <c r="G594" s="102" t="n">
        <v>246.4</v>
      </c>
      <c r="H594" s="95" t="n"/>
      <c r="I594" s="95" t="n"/>
      <c r="J594" s="94" t="n"/>
      <c r="K594" s="94" t="inlineStr">
        <is>
          <t>CHMI</t>
        </is>
      </c>
    </row>
    <row r="595" ht="15" customHeight="1" s="82">
      <c r="A595" s="94" t="inlineStr">
        <is>
          <t>חיים ויצמן</t>
        </is>
      </c>
      <c r="B595" s="94" t="n"/>
      <c r="C595" s="94" t="inlineStr">
        <is>
          <t>שופרסל BE</t>
        </is>
      </c>
      <c r="D595" s="94" t="n"/>
      <c r="E595" s="94" t="inlineStr">
        <is>
          <t>621 סינמה סיטי נתניה BE</t>
        </is>
      </c>
      <c r="F595" s="102" t="n"/>
      <c r="G595" s="102" t="n">
        <v>3454.2</v>
      </c>
      <c r="H595" s="95" t="n"/>
      <c r="I595" s="95" t="n"/>
      <c r="J595" s="94" t="n"/>
      <c r="K595" s="94" t="inlineStr">
        <is>
          <t>CHMI</t>
        </is>
      </c>
    </row>
    <row r="596" ht="15" customHeight="1" s="82">
      <c r="A596" s="94" t="inlineStr">
        <is>
          <t>חיים ויצמן</t>
        </is>
      </c>
      <c r="B596" s="94" t="n"/>
      <c r="C596" s="94" t="inlineStr">
        <is>
          <t>שופרסל BE</t>
        </is>
      </c>
      <c r="D596" s="94" t="n"/>
      <c r="E596" s="94" t="inlineStr">
        <is>
          <t>201 בריגה נתניה BE</t>
        </is>
      </c>
      <c r="F596" s="102" t="n"/>
      <c r="G596" s="102" t="n">
        <v>6481.7</v>
      </c>
      <c r="H596" s="95" t="n"/>
      <c r="I596" s="95" t="n"/>
      <c r="J596" s="94" t="n"/>
      <c r="K596" s="94" t="inlineStr">
        <is>
          <t>CHMI</t>
        </is>
      </c>
    </row>
    <row r="597" ht="15" customHeight="1" s="82">
      <c r="A597" s="94" t="inlineStr">
        <is>
          <t>חיים ויצמן</t>
        </is>
      </c>
      <c r="B597" s="94" t="n"/>
      <c r="C597" s="94" t="inlineStr">
        <is>
          <t>שופרסל BE</t>
        </is>
      </c>
      <c r="D597" s="94" t="n"/>
      <c r="E597" s="94" t="inlineStr">
        <is>
          <t>665 החשמונאים BE</t>
        </is>
      </c>
      <c r="F597" s="102" t="n"/>
      <c r="G597" s="102" t="n">
        <v>7107.6</v>
      </c>
      <c r="H597" s="95" t="n"/>
      <c r="I597" s="95" t="n"/>
      <c r="J597" s="94" t="n"/>
      <c r="K597" s="94" t="inlineStr">
        <is>
          <t>CHMI</t>
        </is>
      </c>
    </row>
    <row r="598" ht="15" customHeight="1" s="82">
      <c r="A598" s="94" t="inlineStr">
        <is>
          <t>חיים ויצמן</t>
        </is>
      </c>
      <c r="B598" s="94" t="n"/>
      <c r="C598" s="94" t="inlineStr">
        <is>
          <t>שופרסל BE</t>
        </is>
      </c>
      <c r="D598" s="94" t="n"/>
      <c r="E598" s="94" t="inlineStr">
        <is>
          <t>345 מידטאון ת""א BE</t>
        </is>
      </c>
      <c r="F598" s="102" t="n"/>
      <c r="G598" s="102" t="n">
        <v>5126.2</v>
      </c>
      <c r="H598" s="95" t="n"/>
      <c r="I598" s="95" t="n"/>
      <c r="J598" s="94" t="n"/>
      <c r="K598" s="94" t="inlineStr">
        <is>
          <t>CHMI</t>
        </is>
      </c>
    </row>
    <row r="599" ht="15" customHeight="1" s="82">
      <c r="A599" s="94" t="inlineStr">
        <is>
          <t>חיים ויצמן</t>
        </is>
      </c>
      <c r="B599" s="94" t="n"/>
      <c r="C599" s="94" t="inlineStr">
        <is>
          <t>שופרסל BE</t>
        </is>
      </c>
      <c r="D599" s="94" t="n"/>
      <c r="E599" s="94" t="inlineStr">
        <is>
          <t>322 גן העיר ת""א BE</t>
        </is>
      </c>
      <c r="F599" s="102" t="n"/>
      <c r="G599" s="102" t="n">
        <v>9307.6</v>
      </c>
      <c r="H599" s="95" t="n"/>
      <c r="I599" s="95" t="n"/>
      <c r="J599" s="94" t="n"/>
      <c r="K599" s="94" t="inlineStr">
        <is>
          <t>CHMI</t>
        </is>
      </c>
    </row>
    <row r="600" ht="15" customHeight="1" s="82">
      <c r="A600" s="94" t="inlineStr">
        <is>
          <t>חיים ויצמן</t>
        </is>
      </c>
      <c r="B600" s="94" t="n"/>
      <c r="C600" s="94" t="inlineStr">
        <is>
          <t>שופרסל BE</t>
        </is>
      </c>
      <c r="D600" s="94" t="n"/>
      <c r="E600" s="94" t="inlineStr">
        <is>
          <t>41 דיזינגוף סנטר BE</t>
        </is>
      </c>
      <c r="F600" s="102" t="n"/>
      <c r="G600" s="102" t="n">
        <v>8027.1</v>
      </c>
      <c r="H600" s="95" t="n"/>
      <c r="I600" s="95" t="n"/>
      <c r="J600" s="94" t="n"/>
      <c r="K600" s="94" t="inlineStr">
        <is>
          <t>CHMI</t>
        </is>
      </c>
    </row>
    <row r="601" ht="15" customHeight="1" s="82">
      <c r="A601" s="94" t="inlineStr">
        <is>
          <t>חיים ויצמן</t>
        </is>
      </c>
      <c r="B601" s="94" t="n"/>
      <c r="C601" s="94" t="inlineStr">
        <is>
          <t>שופרסל BE</t>
        </is>
      </c>
      <c r="D601" s="94" t="n"/>
      <c r="E601" s="94" t="inlineStr">
        <is>
          <t>256 ישפרו נס ציונה B.</t>
        </is>
      </c>
      <c r="F601" s="102" t="n"/>
      <c r="G601" s="102" t="n">
        <v>3705.3</v>
      </c>
      <c r="H601" s="95" t="n"/>
      <c r="I601" s="95" t="n"/>
      <c r="J601" s="94" t="n"/>
      <c r="K601" s="94" t="inlineStr">
        <is>
          <t>CHMI</t>
        </is>
      </c>
    </row>
    <row r="602" ht="15" customHeight="1" s="82">
      <c r="A602" s="94" t="inlineStr">
        <is>
          <t>חיים ויצמן</t>
        </is>
      </c>
      <c r="B602" s="94" t="n"/>
      <c r="C602" s="94" t="inlineStr">
        <is>
          <t>שופרסל BE</t>
        </is>
      </c>
      <c r="D602" s="94" t="n"/>
      <c r="E602" s="94" t="inlineStr">
        <is>
          <t>476 ככר המושבה הוד השרון BE</t>
        </is>
      </c>
      <c r="F602" s="102" t="n"/>
      <c r="G602" s="102" t="n">
        <v>5744</v>
      </c>
      <c r="H602" s="95" t="n"/>
      <c r="I602" s="95" t="n"/>
      <c r="J602" s="94" t="n"/>
      <c r="K602" s="94" t="inlineStr">
        <is>
          <t>CHMI</t>
        </is>
      </c>
    </row>
    <row r="603" ht="15" customHeight="1" s="82">
      <c r="A603" s="94" t="inlineStr">
        <is>
          <t>חיים ויצמן</t>
        </is>
      </c>
      <c r="B603" s="94" t="n"/>
      <c r="C603" s="94" t="inlineStr">
        <is>
          <t>שופרסל BE</t>
        </is>
      </c>
      <c r="D603" s="94" t="n"/>
      <c r="E603" s="94" t="inlineStr">
        <is>
          <t>782 שיין ראשל""צ BE</t>
        </is>
      </c>
      <c r="F603" s="102" t="n"/>
      <c r="G603" s="102" t="n">
        <v>636</v>
      </c>
      <c r="H603" s="95" t="n"/>
      <c r="I603" s="95" t="n"/>
      <c r="J603" s="94" t="n"/>
      <c r="K603" s="94" t="inlineStr">
        <is>
          <t>CHMI</t>
        </is>
      </c>
    </row>
    <row r="604" ht="15" customHeight="1" s="82">
      <c r="A604" s="94" t="inlineStr">
        <is>
          <t>חיים ויצמן</t>
        </is>
      </c>
      <c r="B604" s="94" t="n"/>
      <c r="C604" s="94" t="inlineStr">
        <is>
          <t>שופרסל BE</t>
        </is>
      </c>
      <c r="D604" s="94" t="n"/>
      <c r="E604" s="94" t="inlineStr">
        <is>
          <t>762 אושיסקין רמת השרון BE</t>
        </is>
      </c>
      <c r="F604" s="102" t="n"/>
      <c r="G604" s="102" t="n">
        <v>4767.1</v>
      </c>
      <c r="H604" s="95" t="n"/>
      <c r="I604" s="95" t="n"/>
      <c r="J604" s="94" t="n"/>
      <c r="K604" s="94" t="inlineStr">
        <is>
          <t>CHMI</t>
        </is>
      </c>
    </row>
    <row r="605" ht="15" customHeight="1" s="82">
      <c r="A605" s="94" t="inlineStr">
        <is>
          <t>חיים ויצמן</t>
        </is>
      </c>
      <c r="B605" s="94" t="n"/>
      <c r="C605" s="94" t="inlineStr">
        <is>
          <t>שופרסל BE</t>
        </is>
      </c>
      <c r="D605" s="94" t="n"/>
      <c r="E605" s="94" t="inlineStr">
        <is>
          <t>781 פרישמן ת""א BE</t>
        </is>
      </c>
      <c r="F605" s="102" t="n"/>
      <c r="G605" s="102" t="n">
        <v>4710.9</v>
      </c>
      <c r="H605" s="95" t="n"/>
      <c r="I605" s="95" t="n"/>
      <c r="J605" s="94" t="n"/>
      <c r="K605" s="94" t="inlineStr">
        <is>
          <t>CHMI</t>
        </is>
      </c>
    </row>
    <row r="606" ht="15" customHeight="1" s="82">
      <c r="A606" s="94" t="inlineStr">
        <is>
          <t>חיים ויצמן</t>
        </is>
      </c>
      <c r="B606" s="94" t="n"/>
      <c r="C606" s="94" t="inlineStr">
        <is>
          <t>שופרסל BE</t>
        </is>
      </c>
      <c r="D606" s="94" t="n"/>
      <c r="E606" s="94" t="inlineStr">
        <is>
          <t>172 באר יעקב BE</t>
        </is>
      </c>
      <c r="F606" s="102" t="n"/>
      <c r="G606" s="102" t="n">
        <v>4129.1</v>
      </c>
      <c r="H606" s="95" t="n"/>
      <c r="I606" s="95" t="n"/>
      <c r="J606" s="94" t="n"/>
      <c r="K606" s="94" t="inlineStr">
        <is>
          <t>CHMI</t>
        </is>
      </c>
    </row>
    <row r="607" ht="15" customHeight="1" s="82">
      <c r="A607" s="94" t="n"/>
      <c r="B607" s="94" t="n"/>
      <c r="C607" s="94" t="n"/>
      <c r="D607" s="94" t="n"/>
      <c r="E607" s="94" t="n"/>
      <c r="F607" s="102" t="n"/>
      <c r="G607" s="102" t="n"/>
      <c r="H607" s="95" t="n"/>
      <c r="I607" s="95" t="n"/>
      <c r="J607" s="94" t="n"/>
      <c r="K607" s="94" t="n"/>
    </row>
    <row r="608" ht="15" customHeight="1" s="82">
      <c r="A608" s="94" t="inlineStr">
        <is>
          <t>חיים ויצמן</t>
        </is>
      </c>
      <c r="C608" s="94" t="inlineStr">
        <is>
          <t>0קופות חולים</t>
        </is>
      </c>
      <c r="E608" s="94" t="inlineStr">
        <is>
          <t>מאוחדת נ.שקמה ראשל""צ</t>
        </is>
      </c>
      <c r="G608" s="102" t="n">
        <v>673.2</v>
      </c>
      <c r="K608" s="94" t="inlineStr">
        <is>
          <t>CHMI</t>
        </is>
      </c>
    </row>
    <row r="609" ht="15" customHeight="1" s="82">
      <c r="A609" s="94" t="inlineStr">
        <is>
          <t>חיים ויצמן</t>
        </is>
      </c>
      <c r="C609" s="94" t="inlineStr">
        <is>
          <t>0קופות חולים</t>
        </is>
      </c>
      <c r="E609" s="94" t="inlineStr">
        <is>
          <t>7123 מאוחדת כפר סבא</t>
        </is>
      </c>
      <c r="G609" s="102" t="n">
        <v>2201.8</v>
      </c>
      <c r="K609" s="94" t="inlineStr">
        <is>
          <t>CHMI</t>
        </is>
      </c>
    </row>
    <row r="610" ht="15" customHeight="1" s="82">
      <c r="A610" s="94" t="inlineStr">
        <is>
          <t>חיים ויצמן</t>
        </is>
      </c>
      <c r="C610" s="94" t="inlineStr">
        <is>
          <t>0קופות חולים</t>
        </is>
      </c>
      <c r="E610" s="94" t="inlineStr">
        <is>
          <t>7101 מאוחדת אבן-יהודה</t>
        </is>
      </c>
      <c r="G610" s="102" t="n">
        <v>182</v>
      </c>
      <c r="K610" s="94" t="inlineStr">
        <is>
          <t>CHMI</t>
        </is>
      </c>
    </row>
    <row r="611" ht="15" customHeight="1" s="82">
      <c r="A611" s="94" t="inlineStr">
        <is>
          <t>חיים ויצמן</t>
        </is>
      </c>
      <c r="C611" s="94" t="inlineStr">
        <is>
          <t>0קופות חולים</t>
        </is>
      </c>
      <c r="E611" s="94" t="inlineStr">
        <is>
          <t>4410 מאוחדת נתניה</t>
        </is>
      </c>
      <c r="G611" s="102" t="n">
        <v>4674.1</v>
      </c>
      <c r="K611" s="94" t="inlineStr">
        <is>
          <t>CHMI</t>
        </is>
      </c>
    </row>
    <row r="612" ht="15" customHeight="1" s="82">
      <c r="A612" s="94" t="inlineStr">
        <is>
          <t>חיים ויצמן</t>
        </is>
      </c>
      <c r="C612" s="94" t="inlineStr">
        <is>
          <t>0קופות חולים</t>
        </is>
      </c>
      <c r="E612" s="94" t="inlineStr">
        <is>
          <t>7108 מאוחדת הרצליה</t>
        </is>
      </c>
      <c r="G612" s="102" t="n">
        <v>2548.5</v>
      </c>
      <c r="K612" s="94" t="inlineStr">
        <is>
          <t>CHMI</t>
        </is>
      </c>
    </row>
    <row r="613" ht="15" customHeight="1" s="82">
      <c r="A613" s="94" t="inlineStr">
        <is>
          <t>חיים ויצמן</t>
        </is>
      </c>
      <c r="C613" s="94" t="inlineStr">
        <is>
          <t>0קופות חולים</t>
        </is>
      </c>
      <c r="E613" s="94" t="inlineStr">
        <is>
          <t>7105 מאוחדת אבני נזר ב""ב</t>
        </is>
      </c>
      <c r="G613" s="102" t="n">
        <v>106</v>
      </c>
      <c r="K613" s="94" t="inlineStr">
        <is>
          <t>CHMI</t>
        </is>
      </c>
    </row>
    <row r="614" ht="15" customHeight="1" s="82">
      <c r="A614" s="94" t="inlineStr">
        <is>
          <t>חיים ויצמן</t>
        </is>
      </c>
      <c r="C614" s="94" t="inlineStr">
        <is>
          <t>0קופות חולים</t>
        </is>
      </c>
      <c r="E614" s="94" t="inlineStr">
        <is>
          <t>7104  מאוחדת בני-ברק</t>
        </is>
      </c>
      <c r="G614" s="102" t="n">
        <v>2456.7</v>
      </c>
      <c r="K614" s="94" t="inlineStr">
        <is>
          <t>CHMI</t>
        </is>
      </c>
    </row>
    <row r="615" ht="15" customHeight="1" s="82">
      <c r="A615" s="94" t="inlineStr">
        <is>
          <t>חיים ויצמן</t>
        </is>
      </c>
      <c r="C615" s="94" t="inlineStr">
        <is>
          <t>0קופות חולים</t>
        </is>
      </c>
      <c r="E615" s="94" t="inlineStr">
        <is>
          <t>5910 מאוחדת תל-אביב</t>
        </is>
      </c>
      <c r="G615" s="102" t="n">
        <v>10879.4</v>
      </c>
      <c r="K615" s="94" t="inlineStr">
        <is>
          <t>CHMI</t>
        </is>
      </c>
    </row>
    <row r="616" ht="15" customHeight="1" s="82">
      <c r="A616" s="94" t="inlineStr">
        <is>
          <t>חיים ויצמן</t>
        </is>
      </c>
      <c r="C616" s="94" t="inlineStr">
        <is>
          <t>0קופות חולים</t>
        </is>
      </c>
      <c r="E616" s="94" t="inlineStr">
        <is>
          <t>מאוחדת צרפתי ראשון לציון</t>
        </is>
      </c>
      <c r="G616" s="102" t="n">
        <v>599</v>
      </c>
      <c r="K616" s="94" t="inlineStr">
        <is>
          <t>CHMI</t>
        </is>
      </c>
    </row>
    <row r="617" ht="15" customHeight="1" s="82">
      <c r="A617" s="94" t="inlineStr">
        <is>
          <t>חיים ויצמן</t>
        </is>
      </c>
      <c r="C617" s="94" t="inlineStr">
        <is>
          <t>0קופות חולים</t>
        </is>
      </c>
      <c r="E617" s="94" t="inlineStr">
        <is>
          <t>5210 (מאוחדת ראשל""צ )פיקא</t>
        </is>
      </c>
      <c r="G617" s="102" t="n">
        <v>3922.3</v>
      </c>
      <c r="K617" s="94" t="inlineStr">
        <is>
          <t>CHMI</t>
        </is>
      </c>
    </row>
    <row r="618" ht="15" customHeight="1" s="82">
      <c r="A618" s="94" t="inlineStr">
        <is>
          <t>חיים ויצמן</t>
        </is>
      </c>
      <c r="C618" s="94" t="inlineStr">
        <is>
          <t>0קופות חולים</t>
        </is>
      </c>
      <c r="E618" s="94" t="inlineStr">
        <is>
          <t>144 מאוחדת קריית השרון נתניה</t>
        </is>
      </c>
      <c r="G618" s="102" t="n">
        <v>378.6</v>
      </c>
      <c r="K618" s="94" t="inlineStr">
        <is>
          <t>CHMI</t>
        </is>
      </c>
    </row>
    <row r="619" ht="15" customHeight="1" s="82">
      <c r="A619" s="94" t="inlineStr">
        <is>
          <t>חיים ויצמן</t>
        </is>
      </c>
      <c r="C619" s="94" t="inlineStr">
        <is>
          <t>0קופות חולים</t>
        </is>
      </c>
      <c r="E619" s="94" t="inlineStr">
        <is>
          <t>מאוחדת רמת אביב חדר תרופות</t>
        </is>
      </c>
      <c r="G619" s="102" t="n">
        <v>1075.7</v>
      </c>
      <c r="K619" s="94" t="inlineStr">
        <is>
          <t>CHMI</t>
        </is>
      </c>
    </row>
    <row r="620" ht="15" customHeight="1" s="82">
      <c r="A620" s="94" t="inlineStr">
        <is>
          <t>חיים ויצמן</t>
        </is>
      </c>
      <c r="C620" s="94" t="inlineStr">
        <is>
          <t>0קופות חולים</t>
        </is>
      </c>
      <c r="E620" s="94" t="inlineStr">
        <is>
          <t>168 מאוחדת רעננה</t>
        </is>
      </c>
      <c r="G620" s="102" t="n">
        <v>643.7</v>
      </c>
      <c r="K620" s="94" t="inlineStr">
        <is>
          <t>CHMI</t>
        </is>
      </c>
    </row>
    <row r="621" ht="15" customHeight="1" s="82">
      <c r="A621" s="94" t="inlineStr">
        <is>
          <t>חיים ויצמן</t>
        </is>
      </c>
      <c r="C621" s="94" t="inlineStr">
        <is>
          <t>0קופות חולים</t>
        </is>
      </c>
      <c r="E621" s="94" t="inlineStr">
        <is>
          <t>7523 מאוחדת כפר חב""ד</t>
        </is>
      </c>
      <c r="G621" s="102" t="n">
        <v>539.4</v>
      </c>
      <c r="K621" s="94" t="inlineStr">
        <is>
          <t>CHMI</t>
        </is>
      </c>
    </row>
    <row r="622" ht="15" customHeight="1" s="82">
      <c r="A622" s="94" t="inlineStr">
        <is>
          <t>חיים ויצמן</t>
        </is>
      </c>
      <c r="C622" s="94" t="inlineStr">
        <is>
          <t>0קופות חולים</t>
        </is>
      </c>
      <c r="E622" s="94" t="inlineStr">
        <is>
          <t>7121 מאוחדת כפר יונה</t>
        </is>
      </c>
      <c r="G622" s="102" t="n">
        <v>2630.1</v>
      </c>
      <c r="K622" s="94" t="inlineStr">
        <is>
          <t>CHMI</t>
        </is>
      </c>
    </row>
    <row r="623" ht="15" customHeight="1" s="82">
      <c r="A623" s="94" t="inlineStr">
        <is>
          <t>חיים ויצמן</t>
        </is>
      </c>
      <c r="C623" s="94" t="inlineStr">
        <is>
          <t>0קופות חולים</t>
        </is>
      </c>
      <c r="E623" s="94" t="inlineStr">
        <is>
          <t>156 מאוחדת נס ציונה</t>
        </is>
      </c>
      <c r="G623" s="102" t="n">
        <v>3713</v>
      </c>
      <c r="K623" s="94" t="inlineStr">
        <is>
          <t>CHMI</t>
        </is>
      </c>
    </row>
    <row r="624" ht="15" customHeight="1" s="82">
      <c r="A624" s="94" t="inlineStr">
        <is>
          <t>חיים ויצמן</t>
        </is>
      </c>
      <c r="C624" s="94" t="inlineStr">
        <is>
          <t>0קופות חולים</t>
        </is>
      </c>
      <c r="E624" s="94" t="inlineStr">
        <is>
          <t>24 מאוחדת ב""ב נורוק קרית הרצוג</t>
        </is>
      </c>
      <c r="G624" s="102" t="n">
        <v>40.2</v>
      </c>
      <c r="K624" s="94" t="inlineStr">
        <is>
          <t>CHMI</t>
        </is>
      </c>
    </row>
    <row r="625" ht="15" customHeight="1" s="82">
      <c r="A625" s="94" t="inlineStr">
        <is>
          <t>חיים ויצמן</t>
        </is>
      </c>
      <c r="C625" s="94" t="inlineStr">
        <is>
          <t>0קופות חולים</t>
        </is>
      </c>
      <c r="E625" s="94" t="inlineStr">
        <is>
          <t>מאוחדת אונליין טלפארמה</t>
        </is>
      </c>
      <c r="G625" s="102" t="n">
        <v>134</v>
      </c>
      <c r="K625" s="94" t="inlineStr">
        <is>
          <t>CHMI</t>
        </is>
      </c>
    </row>
    <row r="626" ht="15" customHeight="1" s="82">
      <c r="A626" s="94" t="inlineStr">
        <is>
          <t>חיים ויצמן</t>
        </is>
      </c>
      <c r="C626" s="94" t="inlineStr">
        <is>
          <t>0קופות חולים</t>
        </is>
      </c>
      <c r="E626" s="94" t="inlineStr">
        <is>
          <t>7127 מאוחדת הקשתות בני ברק</t>
        </is>
      </c>
      <c r="G626" s="102" t="n">
        <v>692.3</v>
      </c>
      <c r="K626" s="94" t="inlineStr">
        <is>
          <t>CHMI</t>
        </is>
      </c>
    </row>
    <row r="627" ht="15" customHeight="1" s="82">
      <c r="A627" s="94" t="inlineStr">
        <is>
          <t>חיים ויצמן</t>
        </is>
      </c>
      <c r="C627" s="94" t="inlineStr">
        <is>
          <t>0קופות חולים</t>
        </is>
      </c>
      <c r="E627" s="94" t="inlineStr">
        <is>
          <t>מאוחדת פארם המושבה הוד השרון</t>
        </is>
      </c>
      <c r="G627" s="102" t="n">
        <v>3259.9</v>
      </c>
      <c r="K627" s="94" t="inlineStr">
        <is>
          <t>CHMI</t>
        </is>
      </c>
    </row>
    <row r="628" ht="15" customHeight="1" s="82">
      <c r="A628" s="94" t="inlineStr">
        <is>
          <t>חאזם תלחמי</t>
        </is>
      </c>
      <c r="B628" s="94" t="n"/>
      <c r="C628" s="94" t="inlineStr">
        <is>
          <t>0בתי מרקחת</t>
        </is>
      </c>
      <c r="D628" s="94" t="n"/>
      <c r="E628" s="94" t="inlineStr">
        <is>
          <t>המרכז אעבלין ב.מ</t>
        </is>
      </c>
      <c r="F628" s="102" t="n"/>
      <c r="G628" s="102" t="n">
        <v>2875.2</v>
      </c>
      <c r="H628" s="95" t="n"/>
      <c r="I628" s="95" t="n"/>
      <c r="J628" s="94" t="n"/>
      <c r="K628" s="94" t="inlineStr">
        <is>
          <t>CHMI</t>
        </is>
      </c>
    </row>
    <row r="629" ht="15" customHeight="1" s="82">
      <c r="A629" s="94" t="inlineStr">
        <is>
          <t>חאזם תלחמי</t>
        </is>
      </c>
      <c r="B629" s="94" t="n"/>
      <c r="C629" s="94" t="inlineStr">
        <is>
          <t>0בתי מרקחת</t>
        </is>
      </c>
      <c r="D629" s="94" t="n"/>
      <c r="E629" s="94" t="inlineStr">
        <is>
          <t>(מדיקל הצפון מעיליה )חורי בע""מ</t>
        </is>
      </c>
      <c r="F629" s="102" t="n"/>
      <c r="G629" s="102" t="n">
        <v>3742.5</v>
      </c>
      <c r="H629" s="95" t="n"/>
      <c r="I629" s="95" t="n"/>
      <c r="J629" s="94" t="n"/>
      <c r="K629" s="94" t="inlineStr">
        <is>
          <t>CHMI</t>
        </is>
      </c>
    </row>
    <row r="630" ht="15" customHeight="1" s="82">
      <c r="A630" s="94" t="inlineStr">
        <is>
          <t>חאזם תלחמי</t>
        </is>
      </c>
      <c r="B630" s="94" t="n"/>
      <c r="C630" s="94" t="inlineStr">
        <is>
          <t>0בתי מרקחת</t>
        </is>
      </c>
      <c r="D630" s="94" t="n"/>
      <c r="E630" s="94" t="inlineStr">
        <is>
          <t>נובו פארם דיר אל אסד ב.מ</t>
        </is>
      </c>
      <c r="F630" s="102" t="n"/>
      <c r="G630" s="102" t="n">
        <v>14900.4</v>
      </c>
      <c r="H630" s="95" t="n"/>
      <c r="I630" s="95" t="n"/>
      <c r="J630" s="94" t="n"/>
      <c r="K630" s="94" t="inlineStr">
        <is>
          <t>CHMI</t>
        </is>
      </c>
    </row>
    <row r="631" ht="15" customHeight="1" s="82">
      <c r="A631" s="94" t="inlineStr">
        <is>
          <t>חאזם תלחמי</t>
        </is>
      </c>
      <c r="B631" s="94" t="n"/>
      <c r="C631" s="94" t="inlineStr">
        <is>
          <t>0בתי מרקחת</t>
        </is>
      </c>
      <c r="D631" s="94" t="n"/>
      <c r="E631" s="94" t="inlineStr">
        <is>
          <t>שביט בע""מ ק.אתא ב.מ</t>
        </is>
      </c>
      <c r="F631" s="102" t="n"/>
      <c r="G631" s="102" t="n">
        <v>429.8</v>
      </c>
      <c r="H631" s="95" t="n"/>
      <c r="I631" s="95" t="n"/>
      <c r="J631" s="94" t="n"/>
      <c r="K631" s="94" t="inlineStr">
        <is>
          <t>CHMI</t>
        </is>
      </c>
    </row>
    <row r="632" ht="15" customHeight="1" s="82">
      <c r="A632" s="94" t="inlineStr">
        <is>
          <t>חאזם תלחמי</t>
        </is>
      </c>
      <c r="B632" s="94" t="n"/>
      <c r="C632" s="94" t="inlineStr">
        <is>
          <t>0בתי מרקחת</t>
        </is>
      </c>
      <c r="D632" s="94" t="n"/>
      <c r="E632" s="94" t="inlineStr">
        <is>
          <t>חידאר פארם ב.מ</t>
        </is>
      </c>
      <c r="F632" s="102" t="n"/>
      <c r="G632" s="102" t="n">
        <v>2601</v>
      </c>
      <c r="H632" s="95" t="n"/>
      <c r="I632" s="95" t="n"/>
      <c r="J632" s="94" t="n"/>
      <c r="K632" s="94" t="inlineStr">
        <is>
          <t>CHMI</t>
        </is>
      </c>
    </row>
    <row r="633" ht="15" customHeight="1" s="82">
      <c r="A633" s="94" t="inlineStr">
        <is>
          <t>חאזם תלחמי</t>
        </is>
      </c>
      <c r="B633" s="94" t="n"/>
      <c r="C633" s="94" t="inlineStr">
        <is>
          <t>0בתי מרקחת</t>
        </is>
      </c>
      <c r="D633" s="94" t="n"/>
      <c r="E633" s="94" t="inlineStr">
        <is>
          <t>-סמי בית שאן בע""מ ב.מ</t>
        </is>
      </c>
      <c r="F633" s="102" t="n"/>
      <c r="G633" s="102" t="n">
        <v>560.9</v>
      </c>
      <c r="H633" s="95" t="n"/>
      <c r="I633" s="95" t="n"/>
      <c r="J633" s="94" t="n"/>
      <c r="K633" s="94" t="inlineStr">
        <is>
          <t>CHMI</t>
        </is>
      </c>
    </row>
    <row r="634" ht="15" customHeight="1" s="82">
      <c r="A634" s="94" t="inlineStr">
        <is>
          <t>חאזם תלחמי</t>
        </is>
      </c>
      <c r="B634" s="94" t="n"/>
      <c r="C634" s="94" t="inlineStr">
        <is>
          <t>0בתי מרקחת</t>
        </is>
      </c>
      <c r="D634" s="94" t="n"/>
      <c r="E634" s="94" t="inlineStr">
        <is>
          <t>רסקו טבריה ב.מ</t>
        </is>
      </c>
      <c r="F634" s="102" t="n"/>
      <c r="G634" s="102" t="n">
        <v>3837.2</v>
      </c>
      <c r="H634" s="95" t="n"/>
      <c r="I634" s="95" t="n"/>
      <c r="J634" s="94" t="n"/>
      <c r="K634" s="94" t="inlineStr">
        <is>
          <t>CHMI</t>
        </is>
      </c>
    </row>
    <row r="635" ht="15" customHeight="1" s="82">
      <c r="A635" s="94" t="inlineStr">
        <is>
          <t>חאזם תלחמי</t>
        </is>
      </c>
      <c r="B635" s="94" t="n"/>
      <c r="C635" s="94" t="inlineStr">
        <is>
          <t>0בתי מרקחת</t>
        </is>
      </c>
      <c r="D635" s="94" t="n"/>
      <c r="E635" s="94" t="inlineStr">
        <is>
          <t>פרמה טבריה ב.מ</t>
        </is>
      </c>
      <c r="F635" s="102" t="n"/>
      <c r="G635" s="102" t="n">
        <v>278</v>
      </c>
      <c r="H635" s="95" t="n"/>
      <c r="I635" s="95" t="n"/>
      <c r="J635" s="94" t="n"/>
      <c r="K635" s="94" t="inlineStr">
        <is>
          <t>CHMI</t>
        </is>
      </c>
    </row>
    <row r="636" ht="15" customHeight="1" s="82">
      <c r="A636" s="94" t="inlineStr">
        <is>
          <t>חאזם תלחמי</t>
        </is>
      </c>
      <c r="B636" s="94" t="n"/>
      <c r="C636" s="94" t="inlineStr">
        <is>
          <t>0בתי מרקחת</t>
        </is>
      </c>
      <c r="D636" s="94" t="n"/>
      <c r="E636" s="94" t="inlineStr">
        <is>
          <t>צפת דרום ב.מ</t>
        </is>
      </c>
      <c r="F636" s="102" t="n"/>
      <c r="G636" s="102" t="n">
        <v>20.1</v>
      </c>
      <c r="H636" s="95" t="n"/>
      <c r="I636" s="95" t="n"/>
      <c r="J636" s="94" t="n"/>
      <c r="K636" s="94" t="inlineStr">
        <is>
          <t>CHMI</t>
        </is>
      </c>
    </row>
    <row r="637" ht="15" customHeight="1" s="82">
      <c r="A637" s="94" t="inlineStr">
        <is>
          <t>חאזם תלחמי</t>
        </is>
      </c>
      <c r="B637" s="94" t="n"/>
      <c r="C637" s="94" t="inlineStr">
        <is>
          <t>0בתי מרקחת</t>
        </is>
      </c>
      <c r="D637" s="94" t="n"/>
      <c r="E637" s="94" t="inlineStr">
        <is>
          <t>.נובו פארם בית שאן ב.מ</t>
        </is>
      </c>
      <c r="F637" s="102" t="n"/>
      <c r="G637" s="102" t="n">
        <v>6926</v>
      </c>
      <c r="H637" s="95" t="n"/>
      <c r="I637" s="95" t="n"/>
      <c r="J637" s="94" t="n"/>
      <c r="K637" s="94" t="inlineStr">
        <is>
          <t>CHMI</t>
        </is>
      </c>
    </row>
    <row r="638" ht="15" customHeight="1" s="82">
      <c r="A638" s="94" t="inlineStr">
        <is>
          <t>חאזם תלחמי</t>
        </is>
      </c>
      <c r="B638" s="94" t="n"/>
      <c r="C638" s="94" t="inlineStr">
        <is>
          <t>0בתי מרקחת</t>
        </is>
      </c>
      <c r="D638" s="94" t="n"/>
      <c r="E638" s="94" t="inlineStr">
        <is>
          <t>גרין ב.מ -גבעת עדה</t>
        </is>
      </c>
      <c r="F638" s="102" t="n"/>
      <c r="G638" s="102" t="n">
        <v>2061.6</v>
      </c>
      <c r="H638" s="95" t="n"/>
      <c r="I638" s="95" t="n"/>
      <c r="J638" s="94" t="n"/>
      <c r="K638" s="94" t="inlineStr">
        <is>
          <t>CHMI</t>
        </is>
      </c>
    </row>
    <row r="639" ht="15" customHeight="1" s="82">
      <c r="A639" s="94" t="inlineStr">
        <is>
          <t>חאזם תלחמי</t>
        </is>
      </c>
      <c r="B639" s="94" t="n"/>
      <c r="C639" s="94" t="inlineStr">
        <is>
          <t>0בתי מרקחת</t>
        </is>
      </c>
      <c r="D639" s="94" t="n"/>
      <c r="E639" s="94" t="inlineStr">
        <is>
          <t>מוראד פארם ב.מ אבו סנאן</t>
        </is>
      </c>
      <c r="F639" s="102" t="n"/>
      <c r="G639" s="102" t="n">
        <v>2578</v>
      </c>
      <c r="H639" s="95" t="n"/>
      <c r="I639" s="95" t="n"/>
      <c r="J639" s="94" t="n"/>
      <c r="K639" s="94" t="inlineStr">
        <is>
          <t>CHMI</t>
        </is>
      </c>
    </row>
    <row r="640" ht="15" customHeight="1" s="82">
      <c r="A640" s="94" t="inlineStr">
        <is>
          <t>חאזם תלחמי</t>
        </is>
      </c>
      <c r="B640" s="94" t="n"/>
      <c r="C640" s="94" t="inlineStr">
        <is>
          <t>0בתי מרקחת</t>
        </is>
      </c>
      <c r="D640" s="94" t="n"/>
      <c r="E640" s="94" t="inlineStr">
        <is>
          <t>נובו פארם דבאח ב.מ</t>
        </is>
      </c>
      <c r="F640" s="102" t="n"/>
      <c r="G640" s="102" t="n">
        <v>4126.8</v>
      </c>
      <c r="H640" s="95" t="n"/>
      <c r="I640" s="95" t="n"/>
      <c r="J640" s="94" t="n"/>
      <c r="K640" s="94" t="inlineStr">
        <is>
          <t>CHMI</t>
        </is>
      </c>
    </row>
    <row r="641" ht="15" customHeight="1" s="82">
      <c r="A641" s="94" t="inlineStr">
        <is>
          <t>חאזם תלחמי</t>
        </is>
      </c>
      <c r="B641" s="94" t="n"/>
      <c r="C641" s="94" t="inlineStr">
        <is>
          <t>0בתי מרקחת</t>
        </is>
      </c>
      <c r="D641" s="94" t="n"/>
      <c r="E641" s="94" t="inlineStr">
        <is>
          <t>.אלבלד אעבלין ב.מ</t>
        </is>
      </c>
      <c r="F641" s="102" t="n"/>
      <c r="G641" s="102" t="n">
        <v>422.1</v>
      </c>
      <c r="H641" s="95" t="n"/>
      <c r="I641" s="95" t="n"/>
      <c r="J641" s="94" t="n"/>
      <c r="K641" s="94" t="inlineStr">
        <is>
          <t>CHMI</t>
        </is>
      </c>
    </row>
    <row r="642" ht="15" customHeight="1" s="82">
      <c r="A642" s="94" t="inlineStr">
        <is>
          <t>חאזם תלחמי</t>
        </is>
      </c>
      <c r="B642" s="94" t="n"/>
      <c r="C642" s="94" t="inlineStr">
        <is>
          <t>0בתי מרקחת</t>
        </is>
      </c>
      <c r="D642" s="94" t="n"/>
      <c r="E642" s="94" t="inlineStr">
        <is>
          <t>עמית נהריה ב.מ</t>
        </is>
      </c>
      <c r="F642" s="102" t="n"/>
      <c r="G642" s="102" t="n">
        <v>3094.2</v>
      </c>
      <c r="H642" s="95" t="n"/>
      <c r="I642" s="95" t="n"/>
      <c r="J642" s="94" t="n"/>
      <c r="K642" s="94" t="inlineStr">
        <is>
          <t>CHMI</t>
        </is>
      </c>
    </row>
    <row r="643" ht="15" customHeight="1" s="82">
      <c r="A643" s="94" t="inlineStr">
        <is>
          <t>חאזם תלחמי</t>
        </is>
      </c>
      <c r="B643" s="94" t="n"/>
      <c r="C643" s="94" t="inlineStr">
        <is>
          <t>0בתי מרקחת</t>
        </is>
      </c>
      <c r="D643" s="94" t="n"/>
      <c r="E643" s="94" t="inlineStr">
        <is>
          <t>בתי מרקחת פרטי</t>
        </is>
      </c>
      <c r="F643" s="102" t="n"/>
      <c r="G643" s="102" t="n">
        <v>223781</v>
      </c>
      <c r="H643" s="95" t="n"/>
      <c r="I643" s="95" t="n"/>
      <c r="J643" s="94" t="n"/>
      <c r="K643" s="94" t="inlineStr">
        <is>
          <t>CHMI</t>
        </is>
      </c>
    </row>
    <row r="644" ht="15" customHeight="1" s="82">
      <c r="A644" s="94" t="inlineStr">
        <is>
          <t>חאזם תלחמי</t>
        </is>
      </c>
      <c r="B644" s="94" t="n"/>
      <c r="C644" s="94" t="inlineStr">
        <is>
          <t>מגזר ערבי</t>
        </is>
      </c>
      <c r="D644" s="94" t="n"/>
      <c r="E644" s="94" t="inlineStr">
        <is>
          <t>כרום פארם ב.מ</t>
        </is>
      </c>
      <c r="F644" s="102" t="n"/>
      <c r="G644" s="102" t="n">
        <v>2789.6</v>
      </c>
      <c r="H644" s="95" t="n"/>
      <c r="I644" s="95" t="n"/>
      <c r="J644" s="94" t="n"/>
      <c r="K644" s="94" t="inlineStr">
        <is>
          <t>CHMI</t>
        </is>
      </c>
    </row>
    <row r="645" ht="15" customHeight="1" s="82">
      <c r="A645" s="94" t="inlineStr">
        <is>
          <t>חאזם תלחמי</t>
        </is>
      </c>
      <c r="B645" s="94" t="n"/>
      <c r="C645" s="94" t="inlineStr">
        <is>
          <t>מגזר ערבי</t>
        </is>
      </c>
      <c r="D645" s="94" t="n"/>
      <c r="E645" s="94" t="inlineStr">
        <is>
          <t>אלבלד פארם ב.מ טמרה</t>
        </is>
      </c>
      <c r="F645" s="102" t="n"/>
      <c r="G645" s="102" t="n">
        <v>3296</v>
      </c>
      <c r="H645" s="95" t="n"/>
      <c r="I645" s="95" t="n"/>
      <c r="J645" s="94" t="n"/>
      <c r="K645" s="94" t="inlineStr">
        <is>
          <t>CHMI</t>
        </is>
      </c>
    </row>
    <row r="646" ht="15" customHeight="1" s="82">
      <c r="A646" s="94" t="inlineStr">
        <is>
          <t>חאזם תלחמי</t>
        </is>
      </c>
      <c r="B646" s="94" t="n"/>
      <c r="C646" s="94" t="inlineStr">
        <is>
          <t>מגזר ערבי</t>
        </is>
      </c>
      <c r="D646" s="94" t="n"/>
      <c r="E646" s="94" t="inlineStr">
        <is>
          <t>אל בלאד שפרעם ב.מ</t>
        </is>
      </c>
      <c r="F646" s="102" t="n"/>
      <c r="G646" s="102" t="n">
        <v>2787.8</v>
      </c>
      <c r="H646" s="95" t="n"/>
      <c r="I646" s="95" t="n"/>
      <c r="J646" s="94" t="n"/>
      <c r="K646" s="94" t="inlineStr">
        <is>
          <t>CHMI</t>
        </is>
      </c>
    </row>
    <row r="647" ht="15" customHeight="1" s="82">
      <c r="A647" s="94" t="inlineStr">
        <is>
          <t>חאזם תלחמי</t>
        </is>
      </c>
      <c r="B647" s="94" t="n"/>
      <c r="C647" s="94" t="inlineStr">
        <is>
          <t>מגזר ערבי</t>
        </is>
      </c>
      <c r="D647" s="94" t="n"/>
      <c r="E647" s="94" t="inlineStr">
        <is>
          <t>אלכאוכב כ.מע'אר ב.מ</t>
        </is>
      </c>
      <c r="F647" s="102" t="n"/>
      <c r="G647" s="102" t="n">
        <v>1593.7</v>
      </c>
      <c r="H647" s="95" t="n"/>
      <c r="I647" s="95" t="n"/>
      <c r="J647" s="94" t="n"/>
      <c r="K647" s="94" t="inlineStr">
        <is>
          <t>CHMI</t>
        </is>
      </c>
    </row>
    <row r="648" ht="15" customHeight="1" s="82">
      <c r="A648" s="94" t="inlineStr">
        <is>
          <t>חאזם תלחמי</t>
        </is>
      </c>
      <c r="B648" s="94" t="n"/>
      <c r="C648" s="94" t="inlineStr">
        <is>
          <t>מגזר ערבי</t>
        </is>
      </c>
      <c r="D648" s="94" t="n"/>
      <c r="E648" s="94" t="inlineStr">
        <is>
          <t>וואן פארם ב.מ מג'ד אל כרום</t>
        </is>
      </c>
      <c r="F648" s="102" t="n"/>
      <c r="G648" s="102" t="n">
        <v>5801.3</v>
      </c>
      <c r="H648" s="95" t="n"/>
      <c r="I648" s="95" t="n"/>
      <c r="J648" s="94" t="n"/>
      <c r="K648" s="94" t="inlineStr">
        <is>
          <t>CHMI</t>
        </is>
      </c>
    </row>
    <row r="649" ht="15" customHeight="1" s="82">
      <c r="A649" s="94" t="inlineStr">
        <is>
          <t>חאזם תלחמי</t>
        </is>
      </c>
      <c r="B649" s="94" t="n"/>
      <c r="C649" s="94" t="inlineStr">
        <is>
          <t>מגזר ערבי</t>
        </is>
      </c>
      <c r="D649" s="94" t="n"/>
      <c r="E649" s="94" t="inlineStr">
        <is>
          <t>חדאד פארם ח.הגלילית ב.מ</t>
        </is>
      </c>
      <c r="F649" s="102" t="n"/>
      <c r="G649" s="102" t="n">
        <v>2040.7</v>
      </c>
      <c r="H649" s="95" t="n"/>
      <c r="I649" s="95" t="n"/>
      <c r="J649" s="94" t="n"/>
      <c r="K649" s="94" t="inlineStr">
        <is>
          <t>CHMI</t>
        </is>
      </c>
    </row>
    <row r="650" ht="15" customHeight="1" s="82">
      <c r="A650" s="94" t="inlineStr">
        <is>
          <t>חאזם תלחמי</t>
        </is>
      </c>
      <c r="B650" s="94" t="n"/>
      <c r="C650" s="94" t="inlineStr">
        <is>
          <t>מגזר ערבי</t>
        </is>
      </c>
      <c r="D650" s="94" t="n"/>
      <c r="E650" s="94" t="inlineStr">
        <is>
          <t>חמדאן פארם ב.מ</t>
        </is>
      </c>
      <c r="F650" s="102" t="n"/>
      <c r="G650" s="102" t="n">
        <v>826.4</v>
      </c>
      <c r="H650" s="95" t="n"/>
      <c r="I650" s="95" t="n"/>
      <c r="J650" s="94" t="n"/>
      <c r="K650" s="94" t="inlineStr">
        <is>
          <t>CHMI</t>
        </is>
      </c>
    </row>
    <row r="651" ht="15" customHeight="1" s="82">
      <c r="A651" s="94" t="inlineStr">
        <is>
          <t>חאזם תלחמי</t>
        </is>
      </c>
      <c r="B651" s="94" t="n"/>
      <c r="C651" s="94" t="inlineStr">
        <is>
          <t>מגזר ערבי</t>
        </is>
      </c>
      <c r="D651" s="94" t="n"/>
      <c r="E651" s="94" t="inlineStr">
        <is>
          <t>הצפון כפר סמיע ב.מ חדש</t>
        </is>
      </c>
      <c r="F651" s="102" t="n"/>
      <c r="G651" s="102" t="n">
        <v>3994.5</v>
      </c>
      <c r="H651" s="95" t="n"/>
      <c r="I651" s="95" t="n"/>
      <c r="J651" s="94" t="n"/>
      <c r="K651" s="94" t="inlineStr">
        <is>
          <t>CHMI</t>
        </is>
      </c>
    </row>
    <row r="652" ht="15" customHeight="1" s="82">
      <c r="A652" s="94" t="inlineStr">
        <is>
          <t>חאזם תלחמי</t>
        </is>
      </c>
      <c r="B652" s="94" t="n"/>
      <c r="C652" s="94" t="inlineStr">
        <is>
          <t>מגזר ערבי</t>
        </is>
      </c>
      <c r="D652" s="94" t="n"/>
      <c r="E652" s="94" t="inlineStr">
        <is>
          <t>מדיקל פארם-ראמה  ב.מ</t>
        </is>
      </c>
      <c r="F652" s="102" t="n"/>
      <c r="G652" s="102" t="n">
        <v>1738.4</v>
      </c>
      <c r="H652" s="95" t="n"/>
      <c r="I652" s="95" t="n"/>
      <c r="J652" s="94" t="n"/>
      <c r="K652" s="94" t="inlineStr">
        <is>
          <t>CHMI</t>
        </is>
      </c>
    </row>
    <row r="653" ht="15" customHeight="1" s="82">
      <c r="A653" s="94" t="inlineStr">
        <is>
          <t>חאזם תלחמי</t>
        </is>
      </c>
      <c r="B653" s="94" t="n"/>
      <c r="C653" s="94" t="inlineStr">
        <is>
          <t>מגזר ערבי</t>
        </is>
      </c>
      <c r="D653" s="94" t="n"/>
      <c r="E653" s="94" t="inlineStr">
        <is>
          <t>ספואן ב.מ שפרעם</t>
        </is>
      </c>
      <c r="F653" s="102" t="n"/>
      <c r="G653" s="102" t="n">
        <v>5267.1</v>
      </c>
      <c r="H653" s="95" t="n"/>
      <c r="I653" s="95" t="n"/>
      <c r="J653" s="94" t="n"/>
      <c r="K653" s="94" t="inlineStr">
        <is>
          <t>CHMI</t>
        </is>
      </c>
    </row>
    <row r="654" ht="15" customHeight="1" s="82">
      <c r="A654" s="94" t="inlineStr">
        <is>
          <t>חאזם תלחמי</t>
        </is>
      </c>
      <c r="B654" s="94" t="n"/>
      <c r="C654" s="94" t="inlineStr">
        <is>
          <t>מגזר ערבי</t>
        </is>
      </c>
      <c r="D654" s="94" t="n"/>
      <c r="E654" s="94" t="inlineStr">
        <is>
          <t>פארמה קואופ יפיע בע""מ ב.מ</t>
        </is>
      </c>
      <c r="F654" s="102" t="n"/>
      <c r="G654" s="102" t="n">
        <v>9334.5</v>
      </c>
      <c r="H654" s="95" t="n"/>
      <c r="I654" s="95" t="n"/>
      <c r="J654" s="94" t="n"/>
      <c r="K654" s="94" t="inlineStr">
        <is>
          <t>CHMI</t>
        </is>
      </c>
    </row>
    <row r="655" ht="15" customHeight="1" s="82">
      <c r="A655" s="94" t="inlineStr">
        <is>
          <t>חאזם תלחמי</t>
        </is>
      </c>
      <c r="B655" s="94" t="n"/>
      <c r="C655" s="94" t="inlineStr">
        <is>
          <t>מגזר ערבי</t>
        </is>
      </c>
      <c r="D655" s="94" t="n"/>
      <c r="E655" s="94" t="inlineStr">
        <is>
          <t>פרמהזול עין מאהל ב.מ</t>
        </is>
      </c>
      <c r="F655" s="102" t="n"/>
      <c r="G655" s="102" t="n">
        <v>1362.5</v>
      </c>
      <c r="H655" s="95" t="n"/>
      <c r="I655" s="95" t="n"/>
      <c r="J655" s="94" t="n"/>
      <c r="K655" s="94" t="inlineStr">
        <is>
          <t>CHMI</t>
        </is>
      </c>
    </row>
    <row r="656" ht="15" customHeight="1" s="82">
      <c r="A656" s="94" t="inlineStr">
        <is>
          <t>חאזם תלחמי</t>
        </is>
      </c>
      <c r="B656" s="94" t="n"/>
      <c r="C656" s="94" t="inlineStr">
        <is>
          <t>מגזר ערבי</t>
        </is>
      </c>
      <c r="D656" s="94" t="n"/>
      <c r="E656" s="94" t="inlineStr">
        <is>
          <t>נידאא פארם תרשיחא ב.מ</t>
        </is>
      </c>
      <c r="F656" s="102" t="n"/>
      <c r="G656" s="102" t="n">
        <v>677.6</v>
      </c>
      <c r="H656" s="95" t="n"/>
      <c r="I656" s="95" t="n"/>
      <c r="J656" s="94" t="n"/>
      <c r="K656" s="94" t="inlineStr">
        <is>
          <t>CHMI</t>
        </is>
      </c>
    </row>
    <row r="657" ht="15" customHeight="1" s="82">
      <c r="A657" s="94" t="inlineStr">
        <is>
          <t>חאזם תלחמי</t>
        </is>
      </c>
      <c r="B657" s="94" t="n"/>
      <c r="C657" s="94" t="inlineStr">
        <is>
          <t>מגזר ערבי</t>
        </is>
      </c>
      <c r="D657" s="94" t="n"/>
      <c r="E657" s="94" t="inlineStr">
        <is>
          <t>קמא פארם כפר קמא ב.מ</t>
        </is>
      </c>
      <c r="F657" s="102" t="n"/>
      <c r="G657" s="102" t="n">
        <v>4303.2</v>
      </c>
      <c r="H657" s="95" t="n"/>
      <c r="I657" s="95" t="n"/>
      <c r="J657" s="94" t="n"/>
      <c r="K657" s="94" t="inlineStr">
        <is>
          <t>CHMI</t>
        </is>
      </c>
    </row>
    <row r="658" ht="15" customHeight="1" s="82">
      <c r="A658" s="94" t="inlineStr">
        <is>
          <t>חאזם תלחמי</t>
        </is>
      </c>
      <c r="B658" s="94" t="n"/>
      <c r="C658" s="94" t="inlineStr">
        <is>
          <t>מגזר ערבי</t>
        </is>
      </c>
      <c r="D658" s="94" t="n"/>
      <c r="E658" s="94" t="inlineStr">
        <is>
          <t>איווה פארם זמר ב.מ</t>
        </is>
      </c>
      <c r="F658" s="102" t="n"/>
      <c r="G658" s="102" t="n">
        <v>11337.4</v>
      </c>
      <c r="H658" s="95" t="n"/>
      <c r="I658" s="95" t="n"/>
      <c r="J658" s="94" t="n"/>
      <c r="K658" s="94" t="inlineStr">
        <is>
          <t>CHMI</t>
        </is>
      </c>
    </row>
    <row r="659" ht="15" customHeight="1" s="82">
      <c r="A659" s="94" t="inlineStr">
        <is>
          <t>חאזם תלחמי</t>
        </is>
      </c>
      <c r="B659" s="94" t="n"/>
      <c r="C659" s="94" t="inlineStr">
        <is>
          <t>מגזר ערבי</t>
        </is>
      </c>
      <c r="D659" s="94" t="n"/>
      <c r="E659" s="94" t="inlineStr">
        <is>
          <t>אל אח'לאס רמת הגולן ב.מ</t>
        </is>
      </c>
      <c r="F659" s="102" t="n"/>
      <c r="G659" s="102" t="n">
        <v>1594.9</v>
      </c>
      <c r="H659" s="95" t="n"/>
      <c r="I659" s="95" t="n"/>
      <c r="J659" s="94" t="n"/>
      <c r="K659" s="94" t="inlineStr">
        <is>
          <t>CHMI</t>
        </is>
      </c>
    </row>
    <row r="660" ht="15" customHeight="1" s="82">
      <c r="A660" s="94" t="inlineStr">
        <is>
          <t>חאזם תלחמי</t>
        </is>
      </c>
      <c r="B660" s="94" t="n"/>
      <c r="C660" s="94" t="inlineStr">
        <is>
          <t>מגזר ערבי</t>
        </is>
      </c>
      <c r="D660" s="94" t="n"/>
      <c r="E660" s="94" t="inlineStr">
        <is>
          <t>.עין קנייה רמת הגולן ב.מ</t>
        </is>
      </c>
      <c r="F660" s="102" t="n"/>
      <c r="G660" s="102" t="n">
        <v>4777.4</v>
      </c>
      <c r="H660" s="95" t="n"/>
      <c r="I660" s="95" t="n"/>
      <c r="J660" s="94" t="n"/>
      <c r="K660" s="94" t="inlineStr">
        <is>
          <t>CHMI</t>
        </is>
      </c>
    </row>
    <row r="661" ht="15" customHeight="1" s="82">
      <c r="A661" s="94" t="inlineStr">
        <is>
          <t>חאזם תלחמי</t>
        </is>
      </c>
      <c r="B661" s="94" t="n"/>
      <c r="C661" s="94" t="inlineStr">
        <is>
          <t>מגזר ערבי</t>
        </is>
      </c>
      <c r="D661" s="94" t="n"/>
      <c r="E661" s="94" t="inlineStr">
        <is>
          <t>אל אסדי ב.מ</t>
        </is>
      </c>
      <c r="F661" s="102" t="n"/>
      <c r="G661" s="102" t="n">
        <v>99.7</v>
      </c>
      <c r="H661" s="95" t="n"/>
      <c r="I661" s="95" t="n"/>
      <c r="J661" s="94" t="n"/>
      <c r="K661" s="94" t="inlineStr">
        <is>
          <t>CHMI</t>
        </is>
      </c>
    </row>
    <row r="662" ht="15" customHeight="1" s="82">
      <c r="A662" s="94" t="inlineStr">
        <is>
          <t>חאזם תלחמי</t>
        </is>
      </c>
      <c r="B662" s="94" t="n"/>
      <c r="C662" s="94" t="inlineStr">
        <is>
          <t>מגזר ערבי</t>
        </is>
      </c>
      <c r="D662" s="94" t="n"/>
      <c r="E662" s="94" t="inlineStr">
        <is>
          <t>אל מרכז ראמה חדש ב.מ</t>
        </is>
      </c>
      <c r="F662" s="102" t="n"/>
      <c r="G662" s="102" t="n">
        <v>160.7</v>
      </c>
      <c r="H662" s="95" t="n"/>
      <c r="I662" s="95" t="n"/>
      <c r="J662" s="94" t="n"/>
      <c r="K662" s="94" t="inlineStr">
        <is>
          <t>CHMI</t>
        </is>
      </c>
    </row>
    <row r="663" ht="15" customHeight="1" s="82">
      <c r="A663" s="94" t="inlineStr">
        <is>
          <t>חאזם תלחמי</t>
        </is>
      </c>
      <c r="B663" s="94" t="n"/>
      <c r="C663" s="94" t="inlineStr">
        <is>
          <t>מגזר ערבי</t>
        </is>
      </c>
      <c r="D663" s="94" t="n"/>
      <c r="E663" s="94" t="inlineStr">
        <is>
          <t>אלעין ב.מ שפרעם</t>
        </is>
      </c>
      <c r="F663" s="102" t="n"/>
      <c r="G663" s="102" t="n">
        <v>995.6</v>
      </c>
      <c r="H663" s="95" t="n"/>
      <c r="I663" s="95" t="n"/>
      <c r="J663" s="94" t="n"/>
      <c r="K663" s="94" t="inlineStr">
        <is>
          <t>CHMI</t>
        </is>
      </c>
    </row>
    <row r="664" ht="15" customHeight="1" s="82">
      <c r="A664" s="94" t="inlineStr">
        <is>
          <t>חאזם תלחמי</t>
        </is>
      </c>
      <c r="B664" s="94" t="n"/>
      <c r="C664" s="94" t="inlineStr">
        <is>
          <t>מגזר ערבי</t>
        </is>
      </c>
      <c r="D664" s="94" t="n"/>
      <c r="E664" s="94" t="inlineStr">
        <is>
          <t>אבן סינא פארם טמרה ב.מ</t>
        </is>
      </c>
      <c r="F664" s="102" t="n"/>
      <c r="G664" s="102" t="n">
        <v>2574.1</v>
      </c>
      <c r="H664" s="95" t="n"/>
      <c r="I664" s="95" t="n"/>
      <c r="J664" s="94" t="n"/>
      <c r="K664" s="94" t="inlineStr">
        <is>
          <t>CHMI</t>
        </is>
      </c>
    </row>
    <row r="665" ht="15" customHeight="1" s="82">
      <c r="A665" s="94" t="inlineStr">
        <is>
          <t>חאזם תלחמי</t>
        </is>
      </c>
      <c r="B665" s="94" t="n"/>
      <c r="C665" s="94" t="inlineStr">
        <is>
          <t>מגזר ערבי</t>
        </is>
      </c>
      <c r="D665" s="94" t="n"/>
      <c r="E665" s="94" t="inlineStr">
        <is>
          <t>נוגידאת פארם ב.מ</t>
        </is>
      </c>
      <c r="F665" s="102" t="n"/>
      <c r="G665" s="102" t="n">
        <v>371.8</v>
      </c>
      <c r="H665" s="95" t="n"/>
      <c r="I665" s="95" t="n"/>
      <c r="J665" s="94" t="n"/>
      <c r="K665" s="94" t="inlineStr">
        <is>
          <t>CHMI</t>
        </is>
      </c>
    </row>
    <row r="666" ht="15" customHeight="1" s="82">
      <c r="A666" s="94" t="inlineStr">
        <is>
          <t>חאזם תלחמי</t>
        </is>
      </c>
      <c r="B666" s="94" t="n"/>
      <c r="C666" s="94" t="inlineStr">
        <is>
          <t>מגזר ערבי</t>
        </is>
      </c>
      <c r="D666" s="94" t="n"/>
      <c r="E666" s="94" t="inlineStr">
        <is>
          <t>איווה פארם ב.אל גרבייה ב.מ</t>
        </is>
      </c>
      <c r="F666" s="102" t="n"/>
      <c r="G666" s="102" t="n">
        <v>2568.8</v>
      </c>
      <c r="H666" s="95" t="n"/>
      <c r="I666" s="95" t="n"/>
      <c r="J666" s="94" t="n"/>
      <c r="K666" s="94" t="inlineStr">
        <is>
          <t>CHMI</t>
        </is>
      </c>
    </row>
    <row r="667" ht="15" customHeight="1" s="82">
      <c r="A667" s="94" t="inlineStr">
        <is>
          <t>חאזם תלחמי</t>
        </is>
      </c>
      <c r="B667" s="94" t="n"/>
      <c r="C667" s="94" t="inlineStr">
        <is>
          <t>מגזר ערבי</t>
        </is>
      </c>
      <c r="D667" s="94" t="n"/>
      <c r="E667" s="94" t="inlineStr">
        <is>
          <t>המרכז טמרה ב.מ</t>
        </is>
      </c>
      <c r="F667" s="102" t="n"/>
      <c r="G667" s="102" t="n">
        <v>117.1</v>
      </c>
      <c r="H667" s="95" t="n"/>
      <c r="I667" s="95" t="n"/>
      <c r="J667" s="94" t="n"/>
      <c r="K667" s="94" t="inlineStr">
        <is>
          <t>CHMI</t>
        </is>
      </c>
    </row>
    <row r="668" ht="15" customHeight="1" s="82">
      <c r="A668" s="94" t="inlineStr">
        <is>
          <t>חאזם תלחמי</t>
        </is>
      </c>
      <c r="B668" s="94" t="n"/>
      <c r="C668" s="94" t="inlineStr">
        <is>
          <t>מגזר ערבי</t>
        </is>
      </c>
      <c r="D668" s="94" t="n"/>
      <c r="E668" s="94" t="inlineStr">
        <is>
          <t>ביג פארם כפר ינוח ב.מ</t>
        </is>
      </c>
      <c r="F668" s="102" t="n"/>
      <c r="G668" s="102" t="n">
        <v>3197.3</v>
      </c>
      <c r="H668" s="95" t="n"/>
      <c r="I668" s="95" t="n"/>
      <c r="J668" s="94" t="n"/>
      <c r="K668" s="94" t="inlineStr">
        <is>
          <t>CHMI</t>
        </is>
      </c>
    </row>
    <row r="669" ht="15" customHeight="1" s="82">
      <c r="A669" s="94" t="inlineStr">
        <is>
          <t>חאזם תלחמי</t>
        </is>
      </c>
      <c r="B669" s="94" t="n"/>
      <c r="C669" s="94" t="inlineStr">
        <is>
          <t>מגזר ערבי</t>
        </is>
      </c>
      <c r="D669" s="94" t="n"/>
      <c r="E669" s="94" t="inlineStr">
        <is>
          <t>אקסטרה פארם בע""מ נצרת ב.מ</t>
        </is>
      </c>
      <c r="F669" s="102" t="n"/>
      <c r="G669" s="102" t="n">
        <v>2489</v>
      </c>
      <c r="H669" s="95" t="n"/>
      <c r="I669" s="95" t="n"/>
      <c r="J669" s="94" t="n"/>
      <c r="K669" s="94" t="inlineStr">
        <is>
          <t>CHMI</t>
        </is>
      </c>
    </row>
    <row r="670" ht="15" customHeight="1" s="82">
      <c r="A670" s="94" t="inlineStr">
        <is>
          <t>חאזם תלחמי</t>
        </is>
      </c>
      <c r="B670" s="94" t="n"/>
      <c r="C670" s="94" t="inlineStr">
        <is>
          <t>מגזר ערבי</t>
        </is>
      </c>
      <c r="D670" s="94" t="n"/>
      <c r="E670" s="94" t="inlineStr">
        <is>
          <t>טופ פארם כפר קרע ב.מ. חדש</t>
        </is>
      </c>
      <c r="F670" s="102" t="n"/>
      <c r="G670" s="102" t="n">
        <v>838.9</v>
      </c>
      <c r="H670" s="95" t="n"/>
      <c r="I670" s="95" t="n"/>
      <c r="J670" s="94" t="n"/>
      <c r="K670" s="94" t="inlineStr">
        <is>
          <t>CHMI</t>
        </is>
      </c>
    </row>
    <row r="671" ht="15" customHeight="1" s="82">
      <c r="A671" s="94" t="inlineStr">
        <is>
          <t>חאזם תלחמי</t>
        </is>
      </c>
      <c r="B671" s="94" t="n"/>
      <c r="C671" s="94" t="inlineStr">
        <is>
          <t>מגזר ערבי</t>
        </is>
      </c>
      <c r="D671" s="94" t="n"/>
      <c r="E671" s="94" t="inlineStr">
        <is>
          <t>איווה פארם אלרחמה בע""מ ב.מ</t>
        </is>
      </c>
      <c r="F671" s="102" t="n"/>
      <c r="G671" s="102" t="n">
        <v>5981.7</v>
      </c>
      <c r="H671" s="95" t="n"/>
      <c r="I671" s="95" t="n"/>
      <c r="J671" s="94" t="n"/>
      <c r="K671" s="94" t="inlineStr">
        <is>
          <t>CHMI</t>
        </is>
      </c>
    </row>
    <row r="672" ht="15" customHeight="1" s="82">
      <c r="A672" s="94" t="inlineStr">
        <is>
          <t>חאזם תלחמי</t>
        </is>
      </c>
      <c r="B672" s="94" t="n"/>
      <c r="C672" s="94" t="inlineStr">
        <is>
          <t>מגזר ערבי</t>
        </is>
      </c>
      <c r="D672" s="94" t="n"/>
      <c r="E672" s="94" t="inlineStr">
        <is>
          <t>ריאד פארם ב.מ ברטעה חדש</t>
        </is>
      </c>
      <c r="F672" s="102" t="n"/>
      <c r="G672" s="102" t="n">
        <v>1095.8</v>
      </c>
      <c r="H672" s="95" t="n"/>
      <c r="I672" s="95" t="n"/>
      <c r="J672" s="94" t="n"/>
      <c r="K672" s="94" t="inlineStr">
        <is>
          <t>CHMI</t>
        </is>
      </c>
    </row>
    <row r="673" ht="15" customHeight="1" s="82">
      <c r="A673" s="94" t="inlineStr">
        <is>
          <t>חאזם תלחמי</t>
        </is>
      </c>
      <c r="B673" s="94" t="n"/>
      <c r="C673" s="94" t="inlineStr">
        <is>
          <t>מגזר ערבי</t>
        </is>
      </c>
      <c r="D673" s="94" t="n"/>
      <c r="E673" s="94" t="inlineStr">
        <is>
          <t>מורינגה פארם בית הבריאות ב.מ מ</t>
        </is>
      </c>
      <c r="F673" s="102" t="n"/>
      <c r="G673" s="102" t="n">
        <v>477.2</v>
      </c>
      <c r="H673" s="95" t="n"/>
      <c r="I673" s="95" t="n"/>
      <c r="J673" s="94" t="n"/>
      <c r="K673" s="94" t="inlineStr">
        <is>
          <t>CHMI</t>
        </is>
      </c>
    </row>
    <row r="674" ht="15" customHeight="1" s="82">
      <c r="A674" s="94" t="inlineStr">
        <is>
          <t>חאזם תלחמי</t>
        </is>
      </c>
      <c r="B674" s="94" t="n"/>
      <c r="C674" s="94" t="inlineStr">
        <is>
          <t>מגזר ערבי</t>
        </is>
      </c>
      <c r="D674" s="94" t="n"/>
      <c r="E674" s="94" t="inlineStr">
        <is>
          <t>סיטי פארם נצרת ב.מ</t>
        </is>
      </c>
      <c r="F674" s="102" t="n"/>
      <c r="G674" s="102" t="n">
        <v>163.4</v>
      </c>
      <c r="H674" s="95" t="n"/>
      <c r="I674" s="95" t="n"/>
      <c r="J674" s="94" t="n"/>
      <c r="K674" s="94" t="inlineStr">
        <is>
          <t>CHMI</t>
        </is>
      </c>
    </row>
    <row r="675" ht="15" customHeight="1" s="82">
      <c r="A675" s="94" t="inlineStr">
        <is>
          <t>חאזם תלחמי</t>
        </is>
      </c>
      <c r="B675" s="94" t="n"/>
      <c r="C675" s="94" t="inlineStr">
        <is>
          <t>מגזר ערבי</t>
        </is>
      </c>
      <c r="D675" s="94" t="n"/>
      <c r="E675" s="94" t="inlineStr">
        <is>
          <t>מדיקל פארם שפרעם ב.מ</t>
        </is>
      </c>
      <c r="F675" s="102" t="n"/>
      <c r="G675" s="102" t="n">
        <v>2868</v>
      </c>
      <c r="H675" s="95" t="n"/>
      <c r="I675" s="95" t="n"/>
      <c r="J675" s="94" t="n"/>
      <c r="K675" s="94" t="inlineStr">
        <is>
          <t>CHMI</t>
        </is>
      </c>
    </row>
    <row r="676" ht="15" customHeight="1" s="82">
      <c r="A676" s="94" t="inlineStr">
        <is>
          <t>חאזם תלחמי</t>
        </is>
      </c>
      <c r="B676" s="94" t="n"/>
      <c r="C676" s="94" t="inlineStr">
        <is>
          <t>מגזר ערבי</t>
        </is>
      </c>
      <c r="D676" s="94" t="n"/>
      <c r="E676" s="94" t="inlineStr">
        <is>
          <t>פארמה שיא ביר אל מכסור ב.מ</t>
        </is>
      </c>
      <c r="F676" s="102" t="n"/>
      <c r="G676" s="102" t="n">
        <v>2356.3</v>
      </c>
      <c r="H676" s="95" t="n"/>
      <c r="I676" s="95" t="n"/>
      <c r="J676" s="94" t="n"/>
      <c r="K676" s="94" t="inlineStr">
        <is>
          <t>CHMI</t>
        </is>
      </c>
    </row>
    <row r="677" ht="15" customHeight="1" s="82">
      <c r="A677" s="94" t="inlineStr">
        <is>
          <t>חאזם תלחמי</t>
        </is>
      </c>
      <c r="B677" s="94" t="n"/>
      <c r="C677" s="94" t="inlineStr">
        <is>
          <t>מגזר ערבי</t>
        </is>
      </c>
      <c r="D677" s="94" t="n"/>
      <c r="E677" s="94" t="inlineStr">
        <is>
          <t>בית מרקחת אוור פארם עוספיא</t>
        </is>
      </c>
      <c r="F677" s="102" t="n"/>
      <c r="G677" s="102" t="n">
        <v>369.9</v>
      </c>
      <c r="H677" s="95" t="n"/>
      <c r="I677" s="95" t="n"/>
      <c r="J677" s="94" t="n"/>
      <c r="K677" s="94" t="inlineStr">
        <is>
          <t>CHMI</t>
        </is>
      </c>
    </row>
    <row r="678" ht="15" customHeight="1" s="82">
      <c r="A678" s="94" t="inlineStr">
        <is>
          <t>חאזם תלחמי</t>
        </is>
      </c>
      <c r="B678" s="94" t="n"/>
      <c r="C678" s="94" t="inlineStr">
        <is>
          <t>מגזר ערבי</t>
        </is>
      </c>
      <c r="D678" s="94" t="n"/>
      <c r="E678" s="94" t="inlineStr">
        <is>
          <t>אלח'רובה ב.מ באקה אל גרבייה</t>
        </is>
      </c>
      <c r="F678" s="102" t="n"/>
      <c r="G678" s="102" t="n">
        <v>1531</v>
      </c>
      <c r="H678" s="95" t="n"/>
      <c r="I678" s="95" t="n"/>
      <c r="J678" s="94" t="n"/>
      <c r="K678" s="94" t="inlineStr">
        <is>
          <t>CHMI</t>
        </is>
      </c>
    </row>
    <row r="679" ht="15" customHeight="1" s="82">
      <c r="A679" s="94" t="inlineStr">
        <is>
          <t>חאזם תלחמי</t>
        </is>
      </c>
      <c r="B679" s="94" t="n"/>
      <c r="C679" s="94" t="inlineStr">
        <is>
          <t>מגזר ערבי</t>
        </is>
      </c>
      <c r="D679" s="94" t="n"/>
      <c r="E679" s="94" t="inlineStr">
        <is>
          <t>רימא פארם כפר יאסיף ב.מ</t>
        </is>
      </c>
      <c r="F679" s="102" t="n"/>
      <c r="G679" s="102" t="n">
        <v>7748.9</v>
      </c>
      <c r="H679" s="95" t="n"/>
      <c r="I679" s="95" t="n"/>
      <c r="J679" s="94" t="n"/>
      <c r="K679" s="94" t="inlineStr">
        <is>
          <t>CHMI</t>
        </is>
      </c>
    </row>
    <row r="680" ht="15" customHeight="1" s="82">
      <c r="A680" s="94" t="inlineStr">
        <is>
          <t>חאזם תלחמי</t>
        </is>
      </c>
      <c r="B680" s="94" t="n"/>
      <c r="C680" s="94" t="inlineStr">
        <is>
          <t>מגזר ערבי</t>
        </is>
      </c>
      <c r="D680" s="94" t="n"/>
      <c r="E680" s="94" t="inlineStr">
        <is>
          <t>.רימא פארם כפר קרע ב.מ</t>
        </is>
      </c>
      <c r="F680" s="102" t="n"/>
      <c r="G680" s="102" t="n">
        <v>210.9</v>
      </c>
      <c r="H680" s="95" t="n"/>
      <c r="I680" s="95" t="n"/>
      <c r="J680" s="94" t="n"/>
      <c r="K680" s="94" t="inlineStr">
        <is>
          <t>CHMI</t>
        </is>
      </c>
    </row>
    <row r="681" ht="15" customHeight="1" s="82">
      <c r="A681" s="94" t="inlineStr">
        <is>
          <t>חאזם תלחמי</t>
        </is>
      </c>
      <c r="B681" s="94" t="n"/>
      <c r="C681" s="94" t="inlineStr">
        <is>
          <t>מגזר ערבי</t>
        </is>
      </c>
      <c r="D681" s="94" t="n"/>
      <c r="E681" s="94" t="inlineStr">
        <is>
          <t>רביע פארם כפר כסרא בימר""ק</t>
        </is>
      </c>
      <c r="F681" s="102" t="n"/>
      <c r="G681" s="102" t="n">
        <v>39.8</v>
      </c>
      <c r="H681" s="95" t="n"/>
      <c r="I681" s="95" t="n"/>
      <c r="J681" s="94" t="n"/>
      <c r="K681" s="94" t="inlineStr">
        <is>
          <t>CHMI</t>
        </is>
      </c>
    </row>
    <row r="682" ht="15" customHeight="1" s="82">
      <c r="A682" s="94" t="inlineStr">
        <is>
          <t>חאזם תלחמי</t>
        </is>
      </c>
      <c r="B682" s="94" t="n"/>
      <c r="C682" s="94" t="inlineStr">
        <is>
          <t>מגזר ערבי</t>
        </is>
      </c>
      <c r="D682" s="94" t="n"/>
      <c r="E682" s="94" t="inlineStr">
        <is>
          <t>פארמה לייף יקנעם עילית ב.מ</t>
        </is>
      </c>
      <c r="F682" s="102" t="n"/>
      <c r="G682" s="102" t="n">
        <v>1212.9</v>
      </c>
      <c r="H682" s="95" t="n"/>
      <c r="I682" s="95" t="n"/>
      <c r="J682" s="94" t="n"/>
      <c r="K682" s="94" t="inlineStr">
        <is>
          <t>CHMI</t>
        </is>
      </c>
    </row>
    <row r="683" ht="15" customHeight="1" s="82">
      <c r="A683" s="94" t="inlineStr">
        <is>
          <t>חאזם תלחמי</t>
        </is>
      </c>
      <c r="B683" s="94" t="n"/>
      <c r="C683" s="94" t="inlineStr">
        <is>
          <t>מגזר ערבי</t>
        </is>
      </c>
      <c r="D683" s="94" t="n"/>
      <c r="E683" s="94" t="inlineStr">
        <is>
          <t>ראפע פארם בע""מ נצרת</t>
        </is>
      </c>
      <c r="F683" s="102" t="n"/>
      <c r="G683" s="102" t="n">
        <v>3176.5</v>
      </c>
      <c r="H683" s="95" t="n"/>
      <c r="I683" s="95" t="n"/>
      <c r="J683" s="94" t="n"/>
      <c r="K683" s="94" t="inlineStr">
        <is>
          <t>CHMI</t>
        </is>
      </c>
    </row>
    <row r="684" ht="15" customHeight="1" s="82">
      <c r="A684" s="94" t="inlineStr">
        <is>
          <t>חאזם תלחמי</t>
        </is>
      </c>
      <c r="B684" s="94" t="n"/>
      <c r="C684" s="94" t="inlineStr">
        <is>
          <t>מגזר ערבי</t>
        </is>
      </c>
      <c r="D684" s="94" t="n"/>
      <c r="E684" s="94" t="inlineStr">
        <is>
          <t>שקד פארם זכרון יעקב ב.מ</t>
        </is>
      </c>
      <c r="F684" s="102" t="n"/>
      <c r="G684" s="102" t="n">
        <v>523</v>
      </c>
      <c r="H684" s="95" t="n"/>
      <c r="I684" s="95" t="n"/>
      <c r="J684" s="94" t="n"/>
      <c r="K684" s="94" t="inlineStr">
        <is>
          <t>CHMI</t>
        </is>
      </c>
    </row>
    <row r="685" ht="15" customHeight="1" s="82">
      <c r="A685" s="94" t="inlineStr">
        <is>
          <t>חאזם תלחמי</t>
        </is>
      </c>
      <c r="B685" s="94" t="n"/>
      <c r="C685" s="94" t="inlineStr">
        <is>
          <t>שרם</t>
        </is>
      </c>
      <c r="D685" s="94" t="n"/>
      <c r="E685" s="94" t="inlineStr">
        <is>
          <t>בלסם פארם בית ג'אן ב.מ שרמפארם</t>
        </is>
      </c>
      <c r="F685" s="102" t="n"/>
      <c r="G685" s="102" t="n">
        <v>2841.2</v>
      </c>
      <c r="H685" s="95" t="n"/>
      <c r="I685" s="95" t="n"/>
      <c r="J685" s="94" t="n"/>
      <c r="K685" s="94" t="inlineStr">
        <is>
          <t>CHMI</t>
        </is>
      </c>
    </row>
    <row r="686" ht="15" customHeight="1" s="82">
      <c r="A686" s="94" t="inlineStr">
        <is>
          <t>חאזם תלחמי</t>
        </is>
      </c>
      <c r="B686" s="94" t="n"/>
      <c r="C686" s="94" t="inlineStr">
        <is>
          <t>שרם</t>
        </is>
      </c>
      <c r="D686" s="94" t="n"/>
      <c r="E686" s="94" t="inlineStr">
        <is>
          <t>הגליל תרשיחא ב.מ שרמפארם</t>
        </is>
      </c>
      <c r="F686" s="102" t="n"/>
      <c r="G686" s="102" t="n">
        <v>14262.8</v>
      </c>
      <c r="H686" s="95" t="n"/>
      <c r="I686" s="95" t="n"/>
      <c r="J686" s="94" t="n"/>
      <c r="K686" s="94" t="inlineStr">
        <is>
          <t>CHMI</t>
        </is>
      </c>
    </row>
    <row r="687" ht="15" customHeight="1" s="82">
      <c r="A687" s="94" t="inlineStr">
        <is>
          <t>חאזם תלחמי</t>
        </is>
      </c>
      <c r="B687" s="94" t="n"/>
      <c r="C687" s="94" t="inlineStr">
        <is>
          <t>שרם</t>
        </is>
      </c>
      <c r="D687" s="94" t="n"/>
      <c r="E687" s="94" t="inlineStr">
        <is>
          <t>מטר פארם ב.מ עכו</t>
        </is>
      </c>
      <c r="F687" s="102" t="n"/>
      <c r="G687" s="102" t="n">
        <v>1412.2</v>
      </c>
      <c r="H687" s="95" t="n"/>
      <c r="I687" s="95" t="n"/>
      <c r="J687" s="94" t="n"/>
      <c r="K687" s="94" t="inlineStr">
        <is>
          <t>CHMI</t>
        </is>
      </c>
    </row>
    <row r="688" ht="15" customHeight="1" s="82">
      <c r="A688" s="94" t="inlineStr">
        <is>
          <t>חאזם תלחמי</t>
        </is>
      </c>
      <c r="B688" s="94" t="n"/>
      <c r="C688" s="94" t="inlineStr">
        <is>
          <t>שרם</t>
        </is>
      </c>
      <c r="D688" s="94" t="n"/>
      <c r="E688" s="94" t="inlineStr">
        <is>
          <t>רקפות מעלות ב.מ שרמפארם</t>
        </is>
      </c>
      <c r="F688" s="102" t="n"/>
      <c r="G688" s="102" t="n">
        <v>5638.6</v>
      </c>
      <c r="H688" s="95" t="n"/>
      <c r="I688" s="95" t="n"/>
      <c r="J688" s="94" t="n"/>
      <c r="K688" s="94" t="inlineStr">
        <is>
          <t>CHMI</t>
        </is>
      </c>
    </row>
    <row r="689" ht="15" customHeight="1" s="82">
      <c r="A689" s="94" t="inlineStr">
        <is>
          <t>חאזם תלחמי</t>
        </is>
      </c>
      <c r="B689" s="94" t="n"/>
      <c r="C689" s="94" t="inlineStr">
        <is>
          <t>שרם</t>
        </is>
      </c>
      <c r="D689" s="94" t="n"/>
      <c r="E689" s="94" t="inlineStr">
        <is>
          <t>מעלות בעמכ-פר ורדים ב.מ. שרמפא</t>
        </is>
      </c>
      <c r="F689" s="102" t="n"/>
      <c r="G689" s="102" t="n">
        <v>2740.7</v>
      </c>
      <c r="H689" s="95" t="n"/>
      <c r="I689" s="95" t="n"/>
      <c r="J689" s="94" t="n"/>
      <c r="K689" s="94" t="inlineStr">
        <is>
          <t>CHMI</t>
        </is>
      </c>
    </row>
    <row r="690" ht="15" customHeight="1" s="82">
      <c r="A690" s="94" t="inlineStr">
        <is>
          <t>חאזם תלחמי</t>
        </is>
      </c>
      <c r="B690" s="94" t="n"/>
      <c r="C690" s="94" t="inlineStr">
        <is>
          <t>שרם</t>
        </is>
      </c>
      <c r="D690" s="94" t="n"/>
      <c r="E690" s="94" t="inlineStr">
        <is>
          <t>נארימאן פארם בע""מ כפר ראמה שרמ</t>
        </is>
      </c>
      <c r="F690" s="102" t="n"/>
      <c r="G690" s="102" t="n">
        <v>6683.7</v>
      </c>
      <c r="H690" s="95" t="n"/>
      <c r="I690" s="95" t="n"/>
      <c r="J690" s="94" t="n"/>
      <c r="K690" s="94" t="inlineStr">
        <is>
          <t>CHMI</t>
        </is>
      </c>
    </row>
    <row r="691" ht="15" customHeight="1" s="82">
      <c r="A691" s="94" t="inlineStr">
        <is>
          <t>חאזם תלחמי</t>
        </is>
      </c>
      <c r="B691" s="94" t="n"/>
      <c r="C691" s="94" t="inlineStr">
        <is>
          <t>שרם</t>
        </is>
      </c>
      <c r="D691" s="94" t="n"/>
      <c r="E691" s="94" t="inlineStr">
        <is>
          <t>ספא פארם נצרת עילית ב.מ שרמפאר</t>
        </is>
      </c>
      <c r="F691" s="102" t="n"/>
      <c r="G691" s="102" t="n">
        <v>1496.4</v>
      </c>
      <c r="H691" s="95" t="n"/>
      <c r="I691" s="95" t="n"/>
      <c r="J691" s="94" t="n"/>
      <c r="K691" s="94" t="inlineStr">
        <is>
          <t>CHMI</t>
        </is>
      </c>
    </row>
    <row r="692" ht="15" customHeight="1" s="82">
      <c r="A692" s="94" t="inlineStr">
        <is>
          <t>חאזם תלחמי</t>
        </is>
      </c>
      <c r="B692" s="94" t="n"/>
      <c r="C692" s="94" t="inlineStr">
        <is>
          <t>שרם</t>
        </is>
      </c>
      <c r="D692" s="94" t="n"/>
      <c r="E692" s="94" t="inlineStr">
        <is>
          <t>טמרה פארם בע""מ  ב.מ שרמפארם</t>
        </is>
      </c>
      <c r="F692" s="102" t="n"/>
      <c r="G692" s="102" t="n">
        <v>7846.8</v>
      </c>
      <c r="H692" s="95" t="n"/>
      <c r="I692" s="95" t="n"/>
      <c r="J692" s="94" t="n"/>
      <c r="K692" s="94" t="inlineStr">
        <is>
          <t>CHMI</t>
        </is>
      </c>
    </row>
    <row r="693" ht="15" customHeight="1" s="82">
      <c r="A693" s="94" t="inlineStr">
        <is>
          <t>חאזם תלחמי</t>
        </is>
      </c>
      <c r="B693" s="94" t="n"/>
      <c r="C693" s="94" t="inlineStr">
        <is>
          <t>שרם</t>
        </is>
      </c>
      <c r="D693" s="94" t="n"/>
      <c r="E693" s="94" t="inlineStr">
        <is>
          <t>אורנים טבעון ב.מ שרמפארם</t>
        </is>
      </c>
      <c r="F693" s="102" t="n"/>
      <c r="G693" s="102" t="n">
        <v>590</v>
      </c>
      <c r="H693" s="95" t="n"/>
      <c r="I693" s="95" t="n"/>
      <c r="J693" s="94" t="n"/>
      <c r="K693" s="94" t="inlineStr">
        <is>
          <t>CHMI</t>
        </is>
      </c>
    </row>
    <row r="694" ht="15" customHeight="1" s="82">
      <c r="A694" s="94" t="inlineStr">
        <is>
          <t>חאזם תלחמי</t>
        </is>
      </c>
      <c r="B694" s="94" t="n"/>
      <c r="C694" s="94" t="inlineStr">
        <is>
          <t>שרם</t>
        </is>
      </c>
      <c r="D694" s="94" t="n"/>
      <c r="E694" s="94" t="inlineStr">
        <is>
          <t>לב כרמל בע""מ ב.מ  שרמפארם</t>
        </is>
      </c>
      <c r="F694" s="102" t="n"/>
      <c r="G694" s="102" t="n">
        <v>3320.8</v>
      </c>
      <c r="H694" s="95" t="n"/>
      <c r="I694" s="95" t="n"/>
      <c r="J694" s="94" t="n"/>
      <c r="K694" s="94" t="inlineStr">
        <is>
          <t>CHMI</t>
        </is>
      </c>
    </row>
    <row r="695" ht="15" customHeight="1" s="82">
      <c r="A695" s="94" t="inlineStr">
        <is>
          <t>חאזם תלחמי</t>
        </is>
      </c>
      <c r="B695" s="94" t="n"/>
      <c r="C695" s="94" t="inlineStr">
        <is>
          <t>שרם</t>
        </is>
      </c>
      <c r="D695" s="94" t="n"/>
      <c r="E695" s="94" t="inlineStr">
        <is>
          <t>העליה השניה בע""מ בימ""ק שרמפארם</t>
        </is>
      </c>
      <c r="F695" s="102" t="n"/>
      <c r="G695" s="102" t="n">
        <v>4596</v>
      </c>
      <c r="H695" s="95" t="n"/>
      <c r="I695" s="95" t="n"/>
      <c r="J695" s="94" t="n"/>
      <c r="K695" s="94" t="inlineStr">
        <is>
          <t>CHMI</t>
        </is>
      </c>
    </row>
    <row r="696" ht="15" customHeight="1" s="82">
      <c r="A696" s="94" t="inlineStr">
        <is>
          <t>חאזם תלחמי</t>
        </is>
      </c>
      <c r="B696" s="94" t="n"/>
      <c r="C696" s="94" t="inlineStr">
        <is>
          <t>שרם</t>
        </is>
      </c>
      <c r="D696" s="94" t="n"/>
      <c r="E696" s="94" t="inlineStr">
        <is>
          <t>צמח פארם ב.מ שרמפארם</t>
        </is>
      </c>
      <c r="F696" s="102" t="n"/>
      <c r="G696" s="102" t="n">
        <v>3440.7</v>
      </c>
      <c r="H696" s="95" t="n"/>
      <c r="I696" s="95" t="n"/>
      <c r="J696" s="94" t="n"/>
      <c r="K696" s="94" t="inlineStr">
        <is>
          <t>CHMI</t>
        </is>
      </c>
    </row>
    <row r="697" ht="15" customHeight="1" s="82">
      <c r="A697" s="94" t="inlineStr">
        <is>
          <t>חאזם תלחמי</t>
        </is>
      </c>
      <c r="B697" s="94" t="n"/>
      <c r="C697" s="94" t="inlineStr">
        <is>
          <t>שרם</t>
        </is>
      </c>
      <c r="D697" s="94" t="n"/>
      <c r="E697" s="94" t="inlineStr">
        <is>
          <t>שבתאי לוי ב.מ  חיפה שרמפארם</t>
        </is>
      </c>
      <c r="F697" s="102" t="n"/>
      <c r="G697" s="102" t="n">
        <v>243.6</v>
      </c>
      <c r="H697" s="95" t="n"/>
      <c r="I697" s="95" t="n"/>
      <c r="J697" s="94" t="n"/>
      <c r="K697" s="94" t="inlineStr">
        <is>
          <t>CHMI</t>
        </is>
      </c>
    </row>
    <row r="698" ht="15" customHeight="1" s="82">
      <c r="A698" s="94" t="inlineStr">
        <is>
          <t>חאזם תלחמי</t>
        </is>
      </c>
      <c r="B698" s="94" t="n"/>
      <c r="C698" s="94" t="inlineStr">
        <is>
          <t>שרם</t>
        </is>
      </c>
      <c r="D698" s="94" t="n"/>
      <c r="E698" s="94" t="inlineStr">
        <is>
          <t>גולן פארם קצרין ב.מ שרמפארם</t>
        </is>
      </c>
      <c r="F698" s="102" t="n"/>
      <c r="G698" s="102" t="n">
        <v>969.2</v>
      </c>
      <c r="H698" s="95" t="n"/>
      <c r="I698" s="95" t="n"/>
      <c r="J698" s="94" t="n"/>
      <c r="K698" s="94" t="inlineStr">
        <is>
          <t>CHMI</t>
        </is>
      </c>
    </row>
    <row r="699" ht="15" customHeight="1" s="82">
      <c r="A699" s="94" t="inlineStr">
        <is>
          <t>חאזם תלחמי</t>
        </is>
      </c>
      <c r="B699" s="94" t="n"/>
      <c r="C699" s="94" t="inlineStr">
        <is>
          <t>שרם</t>
        </is>
      </c>
      <c r="D699" s="94" t="n"/>
      <c r="E699" s="94" t="inlineStr">
        <is>
          <t>נוה גנים ק מוצקין 3178 ב.מ</t>
        </is>
      </c>
      <c r="F699" s="102" t="n"/>
      <c r="G699" s="102" t="n">
        <v>818</v>
      </c>
      <c r="H699" s="95" t="n"/>
      <c r="I699" s="95" t="n"/>
      <c r="J699" s="94" t="n"/>
      <c r="K699" s="94" t="inlineStr">
        <is>
          <t>CHMI</t>
        </is>
      </c>
    </row>
    <row r="700" ht="15" customHeight="1" s="82">
      <c r="A700" s="94" t="inlineStr">
        <is>
          <t>חאזם תלחמי</t>
        </is>
      </c>
      <c r="B700" s="94" t="n"/>
      <c r="C700" s="94" t="inlineStr">
        <is>
          <t>שרם</t>
        </is>
      </c>
      <c r="D700" s="94" t="n"/>
      <c r="E700" s="94" t="inlineStr">
        <is>
          <t>מזרח עכו ב.מ שרמפארם</t>
        </is>
      </c>
      <c r="F700" s="102" t="n"/>
      <c r="G700" s="102" t="n">
        <v>9395.1</v>
      </c>
      <c r="H700" s="95" t="n"/>
      <c r="I700" s="95" t="n"/>
      <c r="J700" s="94" t="n"/>
      <c r="K700" s="94" t="inlineStr">
        <is>
          <t>CHMI</t>
        </is>
      </c>
    </row>
    <row r="701" ht="15" customHeight="1" s="82">
      <c r="A701" s="94" t="inlineStr">
        <is>
          <t>חאזם תלחמי</t>
        </is>
      </c>
      <c r="B701" s="94" t="n"/>
      <c r="C701" s="94" t="inlineStr">
        <is>
          <t>שרם</t>
        </is>
      </c>
      <c r="D701" s="94" t="n"/>
      <c r="E701" s="94" t="inlineStr">
        <is>
          <t>מדיקה ק.ים-אלבוסתן פארם בע""מ ב</t>
        </is>
      </c>
      <c r="F701" s="102" t="n"/>
      <c r="G701" s="102" t="n">
        <v>1079.9</v>
      </c>
      <c r="H701" s="95" t="n"/>
      <c r="I701" s="95" t="n"/>
      <c r="J701" s="94" t="n"/>
      <c r="K701" s="94" t="inlineStr">
        <is>
          <t>CHMI</t>
        </is>
      </c>
    </row>
    <row r="702" ht="15" customHeight="1" s="82">
      <c r="A702" s="94" t="inlineStr">
        <is>
          <t>חאזם תלחמי</t>
        </is>
      </c>
      <c r="B702" s="94" t="n"/>
      <c r="C702" s="94" t="inlineStr">
        <is>
          <t>שרם</t>
        </is>
      </c>
      <c r="D702" s="94" t="n"/>
      <c r="E702" s="94" t="inlineStr">
        <is>
          <t>ב.מ שרה פארם צור יצחק שרמפארם</t>
        </is>
      </c>
      <c r="F702" s="102" t="n"/>
      <c r="G702" s="102" t="n">
        <v>3419.7</v>
      </c>
      <c r="H702" s="95" t="n"/>
      <c r="I702" s="95" t="n"/>
      <c r="J702" s="94" t="n"/>
      <c r="K702" s="94" t="inlineStr">
        <is>
          <t>CHMI</t>
        </is>
      </c>
    </row>
    <row r="703" ht="15" customHeight="1" s="82">
      <c r="A703" s="94" t="inlineStr">
        <is>
          <t>חאזם תלחמי</t>
        </is>
      </c>
      <c r="B703" s="94" t="n"/>
      <c r="C703" s="94" t="inlineStr">
        <is>
          <t>שרם</t>
        </is>
      </c>
      <c r="D703" s="94" t="n"/>
      <c r="E703" s="94" t="inlineStr">
        <is>
          <t>ריינה-אומגה פארם בע""מ שרמפארם</t>
        </is>
      </c>
      <c r="F703" s="102" t="n"/>
      <c r="G703" s="102" t="n">
        <v>2051.3</v>
      </c>
      <c r="H703" s="95" t="n"/>
      <c r="I703" s="95" t="n"/>
      <c r="J703" s="94" t="n"/>
      <c r="K703" s="94" t="inlineStr">
        <is>
          <t>CHMI</t>
        </is>
      </c>
    </row>
    <row r="704" ht="15" customHeight="1" s="82">
      <c r="A704" s="94" t="inlineStr">
        <is>
          <t>חאזם תלחמי</t>
        </is>
      </c>
      <c r="B704" s="94" t="n"/>
      <c r="C704" s="94" t="inlineStr">
        <is>
          <t>שרם</t>
        </is>
      </c>
      <c r="D704" s="94" t="n"/>
      <c r="E704" s="94" t="inlineStr">
        <is>
          <t>רמת רבין ב.מ כרמיאל שרמפארם</t>
        </is>
      </c>
      <c r="F704" s="102" t="n"/>
      <c r="G704" s="102" t="n">
        <v>110.5</v>
      </c>
      <c r="H704" s="95" t="n"/>
      <c r="I704" s="95" t="n"/>
      <c r="J704" s="94" t="n"/>
      <c r="K704" s="94" t="inlineStr">
        <is>
          <t>CHMI</t>
        </is>
      </c>
    </row>
    <row r="705" ht="15" customHeight="1" s="82">
      <c r="A705" s="94" t="inlineStr">
        <is>
          <t>חאזם תלחמי</t>
        </is>
      </c>
      <c r="B705" s="94" t="n"/>
      <c r="C705" s="94" t="inlineStr">
        <is>
          <t>שרם</t>
        </is>
      </c>
      <c r="D705" s="94" t="n"/>
      <c r="E705" s="94" t="inlineStr">
        <is>
          <t>אלאסראא שפרעם ב.מ שרמפארם</t>
        </is>
      </c>
      <c r="F705" s="102" t="n"/>
      <c r="G705" s="102" t="n">
        <v>2808.1</v>
      </c>
      <c r="H705" s="95" t="n"/>
      <c r="I705" s="95" t="n"/>
      <c r="J705" s="94" t="n"/>
      <c r="K705" s="94" t="inlineStr">
        <is>
          <t>CHMI</t>
        </is>
      </c>
    </row>
    <row r="706" ht="15" customHeight="1" s="82">
      <c r="A706" s="94" t="inlineStr">
        <is>
          <t>חאזם תלחמי</t>
        </is>
      </c>
      <c r="B706" s="94" t="n"/>
      <c r="C706" s="94" t="inlineStr">
        <is>
          <t>שרם</t>
        </is>
      </c>
      <c r="D706" s="94" t="n"/>
      <c r="E706" s="94" t="inlineStr">
        <is>
          <t>מרכז עכו ב.מ שרמפארם</t>
        </is>
      </c>
      <c r="F706" s="102" t="n"/>
      <c r="G706" s="102" t="n">
        <v>43.4</v>
      </c>
      <c r="H706" s="95" t="n"/>
      <c r="I706" s="95" t="n"/>
      <c r="J706" s="94" t="n"/>
      <c r="K706" s="94" t="inlineStr">
        <is>
          <t>CHMI</t>
        </is>
      </c>
    </row>
    <row r="707" ht="15" customHeight="1" s="82">
      <c r="A707" s="94" t="inlineStr">
        <is>
          <t>חאזם תלחמי</t>
        </is>
      </c>
      <c r="B707" s="94" t="n"/>
      <c r="C707" s="94" t="inlineStr">
        <is>
          <t>שרם</t>
        </is>
      </c>
      <c r="D707" s="94" t="n"/>
      <c r="E707" s="94" t="inlineStr">
        <is>
          <t>ספא פארם ב.מ סכנין חדש שרמפארם</t>
        </is>
      </c>
      <c r="F707" s="102" t="n"/>
      <c r="G707" s="102" t="n">
        <v>2623.8</v>
      </c>
      <c r="H707" s="95" t="n"/>
      <c r="I707" s="95" t="n"/>
      <c r="J707" s="94" t="n"/>
      <c r="K707" s="94" t="inlineStr">
        <is>
          <t>CHMI</t>
        </is>
      </c>
    </row>
    <row r="708" ht="15" customHeight="1" s="82">
      <c r="A708" s="94" t="inlineStr">
        <is>
          <t>חאזם תלחמי</t>
        </is>
      </c>
      <c r="B708" s="94" t="n"/>
      <c r="C708" s="94" t="inlineStr">
        <is>
          <t>שרם</t>
        </is>
      </c>
      <c r="D708" s="94" t="n"/>
      <c r="E708" s="94" t="inlineStr">
        <is>
          <t>פארמה פלוס שפרעם ב.מ שרמפארם</t>
        </is>
      </c>
      <c r="F708" s="102" t="n"/>
      <c r="G708" s="102" t="n">
        <v>8166.8</v>
      </c>
      <c r="H708" s="95" t="n"/>
      <c r="I708" s="95" t="n"/>
      <c r="J708" s="94" t="n"/>
      <c r="K708" s="94" t="inlineStr">
        <is>
          <t>CHMI</t>
        </is>
      </c>
    </row>
    <row r="709" ht="15" customHeight="1" s="82">
      <c r="A709" s="94" t="inlineStr">
        <is>
          <t>חאזם תלחמי</t>
        </is>
      </c>
      <c r="B709" s="94" t="n"/>
      <c r="C709" s="94" t="inlineStr">
        <is>
          <t>שרם</t>
        </is>
      </c>
      <c r="D709" s="94" t="n"/>
      <c r="E709" s="94" t="inlineStr">
        <is>
          <t>אקספו פארם מכר ב.מ שרמפארם</t>
        </is>
      </c>
      <c r="F709" s="102" t="n"/>
      <c r="G709" s="102" t="n">
        <v>4330.6</v>
      </c>
      <c r="H709" s="95" t="n"/>
      <c r="I709" s="95" t="n"/>
      <c r="J709" s="94" t="n"/>
      <c r="K709" s="94" t="inlineStr">
        <is>
          <t>CHMI</t>
        </is>
      </c>
    </row>
    <row r="710" ht="15" customHeight="1" s="82">
      <c r="A710" s="94" t="inlineStr">
        <is>
          <t>חאזם תלחמי</t>
        </is>
      </c>
      <c r="B710" s="94" t="n"/>
      <c r="C710" s="94" t="inlineStr">
        <is>
          <t>שרם</t>
        </is>
      </c>
      <c r="D710" s="94" t="n"/>
      <c r="E710" s="94" t="inlineStr">
        <is>
          <t>אקופארם ב.מ מעלות שרמפארם</t>
        </is>
      </c>
      <c r="F710" s="102" t="n"/>
      <c r="G710" s="102" t="n">
        <v>4316.5</v>
      </c>
      <c r="H710" s="95" t="n"/>
      <c r="I710" s="95" t="n"/>
      <c r="J710" s="94" t="n"/>
      <c r="K710" s="94" t="inlineStr">
        <is>
          <t>CHMI</t>
        </is>
      </c>
    </row>
    <row r="711" ht="15" customHeight="1" s="82">
      <c r="A711" s="94" t="inlineStr">
        <is>
          <t>חאזם תלחמי</t>
        </is>
      </c>
      <c r="B711" s="94" t="n"/>
      <c r="C711" s="94" t="inlineStr">
        <is>
          <t>שרם</t>
        </is>
      </c>
      <c r="D711" s="94" t="n"/>
      <c r="E711" s="94" t="inlineStr">
        <is>
          <t>אלשיפאא ב.מ כפר עראבה שרמפארם</t>
        </is>
      </c>
      <c r="F711" s="102" t="n"/>
      <c r="G711" s="102" t="n">
        <v>164</v>
      </c>
      <c r="H711" s="95" t="n"/>
      <c r="I711" s="95" t="n"/>
      <c r="J711" s="94" t="n"/>
      <c r="K711" s="94" t="inlineStr">
        <is>
          <t>CHMI</t>
        </is>
      </c>
    </row>
    <row r="712" ht="15" customHeight="1" s="82">
      <c r="A712" s="94" t="inlineStr">
        <is>
          <t>חאזם תלחמי</t>
        </is>
      </c>
      <c r="B712" s="94" t="n"/>
      <c r="C712" s="94" t="inlineStr">
        <is>
          <t>שרם</t>
        </is>
      </c>
      <c r="D712" s="94" t="n"/>
      <c r="E712" s="94" t="inlineStr">
        <is>
          <t>אסף עפולה ב.מ שרמפארם</t>
        </is>
      </c>
      <c r="F712" s="102" t="n"/>
      <c r="G712" s="102" t="n">
        <v>747.2</v>
      </c>
      <c r="H712" s="95" t="n"/>
      <c r="I712" s="95" t="n"/>
      <c r="J712" s="94" t="n"/>
      <c r="K712" s="94" t="inlineStr">
        <is>
          <t>CHMI</t>
        </is>
      </c>
    </row>
    <row r="713" ht="15" customHeight="1" s="82">
      <c r="A713" s="94" t="inlineStr">
        <is>
          <t>חאזם תלחמי</t>
        </is>
      </c>
      <c r="B713" s="94" t="n"/>
      <c r="C713" s="94" t="inlineStr">
        <is>
          <t>שרם</t>
        </is>
      </c>
      <c r="D713" s="94" t="n"/>
      <c r="E713" s="94" t="inlineStr">
        <is>
          <t>השלום כפר מוקבלה ב.מ</t>
        </is>
      </c>
      <c r="F713" s="102" t="n"/>
      <c r="G713" s="102" t="n">
        <v>280.9</v>
      </c>
      <c r="H713" s="95" t="n"/>
      <c r="I713" s="95" t="n"/>
      <c r="J713" s="94" t="n"/>
      <c r="K713" s="94" t="inlineStr">
        <is>
          <t>CHMI</t>
        </is>
      </c>
    </row>
    <row r="714" ht="15" customHeight="1" s="82">
      <c r="A714" s="94" t="inlineStr">
        <is>
          <t>חאזם תלחמי</t>
        </is>
      </c>
      <c r="B714" s="94" t="n"/>
      <c r="C714" s="94" t="inlineStr">
        <is>
          <t>שרם</t>
        </is>
      </c>
      <c r="D714" s="94" t="n"/>
      <c r="E714" s="94" t="inlineStr">
        <is>
          <t>ב.מ CPHARM טשרניחובסקי</t>
        </is>
      </c>
      <c r="F714" s="102" t="n"/>
      <c r="G714" s="102" t="n">
        <v>47.3</v>
      </c>
      <c r="H714" s="95" t="n"/>
      <c r="I714" s="95" t="n"/>
      <c r="J714" s="94" t="n"/>
      <c r="K714" s="94" t="inlineStr">
        <is>
          <t>CHMI</t>
        </is>
      </c>
    </row>
    <row r="715" ht="15" customHeight="1" s="82">
      <c r="A715" s="94" t="inlineStr">
        <is>
          <t>חאזם תלחמי</t>
        </is>
      </c>
      <c r="B715" s="94" t="n"/>
      <c r="C715" s="94" t="inlineStr">
        <is>
          <t>שרם</t>
        </is>
      </c>
      <c r="D715" s="94" t="n"/>
      <c r="E715" s="94" t="inlineStr">
        <is>
          <t>פארם פור יו ב.מ שרמפארם</t>
        </is>
      </c>
      <c r="F715" s="102" t="n"/>
      <c r="G715" s="102" t="n">
        <v>5806.5</v>
      </c>
      <c r="H715" s="95" t="n"/>
      <c r="I715" s="95" t="n"/>
      <c r="J715" s="94" t="n"/>
      <c r="K715" s="94" t="inlineStr">
        <is>
          <t>CHMI</t>
        </is>
      </c>
    </row>
    <row r="716" ht="15" customHeight="1" s="82">
      <c r="A716" s="94" t="inlineStr">
        <is>
          <t>חאזם תלחמי</t>
        </is>
      </c>
      <c r="B716" s="94" t="n"/>
      <c r="C716" s="94" t="inlineStr">
        <is>
          <t>שרם</t>
        </is>
      </c>
      <c r="D716" s="94" t="n"/>
      <c r="E716" s="94" t="inlineStr">
        <is>
          <t>אלשפא בע""מ א.א.פחם ב.מ  שרמפאר</t>
        </is>
      </c>
      <c r="F716" s="102" t="n"/>
      <c r="G716" s="102" t="n">
        <v>701.9</v>
      </c>
      <c r="H716" s="95" t="n"/>
      <c r="I716" s="95" t="n"/>
      <c r="J716" s="94" t="n"/>
      <c r="K716" s="94" t="inlineStr">
        <is>
          <t>CHMI</t>
        </is>
      </c>
    </row>
    <row r="717" ht="15" customHeight="1" s="82">
      <c r="A717" s="94" t="inlineStr">
        <is>
          <t>חאזם תלחמי</t>
        </is>
      </c>
      <c r="B717" s="94" t="n"/>
      <c r="C717" s="94" t="inlineStr">
        <is>
          <t>שרם</t>
        </is>
      </c>
      <c r="D717" s="94" t="n"/>
      <c r="E717" s="94" t="inlineStr">
        <is>
          <t>אלעין פקיעין ב.מ</t>
        </is>
      </c>
      <c r="F717" s="102" t="n"/>
      <c r="G717" s="102" t="n">
        <v>1697</v>
      </c>
      <c r="H717" s="95" t="n"/>
      <c r="I717" s="95" t="n"/>
      <c r="J717" s="94" t="n"/>
      <c r="K717" s="94" t="inlineStr">
        <is>
          <t>CHMI</t>
        </is>
      </c>
    </row>
    <row r="718" ht="15" customHeight="1" s="82">
      <c r="A718" s="94" t="inlineStr">
        <is>
          <t>חאזם תלחמי</t>
        </is>
      </c>
      <c r="B718" s="94" t="n"/>
      <c r="C718" s="94" t="inlineStr">
        <is>
          <t>שרם</t>
        </is>
      </c>
      <c r="D718" s="94" t="n"/>
      <c r="E718" s="94" t="inlineStr">
        <is>
          <t>מירוני חיפה ב.מ שרמפארם</t>
        </is>
      </c>
      <c r="F718" s="102" t="n"/>
      <c r="G718" s="102" t="n">
        <v>126.3</v>
      </c>
      <c r="H718" s="95" t="n"/>
      <c r="I718" s="95" t="n"/>
      <c r="J718" s="94" t="n"/>
      <c r="K718" s="94" t="inlineStr">
        <is>
          <t>CHMI</t>
        </is>
      </c>
    </row>
    <row r="719" ht="15" customHeight="1" s="82">
      <c r="A719" s="94" t="inlineStr">
        <is>
          <t>חאזם תלחמי</t>
        </is>
      </c>
      <c r="B719" s="94" t="n"/>
      <c r="C719" s="94" t="inlineStr">
        <is>
          <t>שרם</t>
        </is>
      </c>
      <c r="D719" s="94" t="n"/>
      <c r="E719" s="94" t="inlineStr">
        <is>
          <t>השושנים ב.מ שרמפארם</t>
        </is>
      </c>
      <c r="F719" s="102" t="n"/>
      <c r="G719" s="102" t="n">
        <v>96.3</v>
      </c>
      <c r="H719" s="95" t="n"/>
      <c r="I719" s="95" t="n"/>
      <c r="J719" s="94" t="n"/>
      <c r="K719" s="94" t="inlineStr">
        <is>
          <t>CHMI</t>
        </is>
      </c>
    </row>
    <row r="720" ht="15" customHeight="1" s="82">
      <c r="A720" s="94" t="inlineStr">
        <is>
          <t>חאזם תלחמי</t>
        </is>
      </c>
      <c r="B720" s="94" t="n"/>
      <c r="C720" s="94" t="inlineStr">
        <is>
          <t>ס. פארם</t>
        </is>
      </c>
      <c r="D720" s="94" t="n"/>
      <c r="E720" s="94" t="inlineStr">
        <is>
          <t>ס.פ. חוצות המפרץ תרופות</t>
        </is>
      </c>
      <c r="F720" s="102" t="n"/>
      <c r="G720" s="102" t="n">
        <v>9018.5</v>
      </c>
      <c r="H720" s="95" t="n"/>
      <c r="I720" s="95" t="n"/>
      <c r="J720" s="94" t="n"/>
      <c r="K720" s="94" t="inlineStr">
        <is>
          <t>CHMI</t>
        </is>
      </c>
    </row>
    <row r="721" ht="15" customHeight="1" s="82">
      <c r="A721" s="94" t="inlineStr">
        <is>
          <t>חאזם תלחמי</t>
        </is>
      </c>
      <c r="B721" s="94" t="n"/>
      <c r="C721" s="94" t="inlineStr">
        <is>
          <t>ס. פארם</t>
        </is>
      </c>
      <c r="D721" s="94" t="n"/>
      <c r="E721" s="94" t="inlineStr">
        <is>
          <t>ס.פ. לב חדרה תרופות</t>
        </is>
      </c>
      <c r="F721" s="102" t="n"/>
      <c r="G721" s="102" t="n">
        <v>13367.9</v>
      </c>
      <c r="H721" s="95" t="n"/>
      <c r="I721" s="95" t="n"/>
      <c r="J721" s="94" t="n"/>
      <c r="K721" s="94" t="inlineStr">
        <is>
          <t>CHMI</t>
        </is>
      </c>
    </row>
    <row r="722" ht="15" customHeight="1" s="82">
      <c r="A722" s="94" t="inlineStr">
        <is>
          <t>חאזם תלחמי</t>
        </is>
      </c>
      <c r="B722" s="94" t="n"/>
      <c r="C722" s="94" t="inlineStr">
        <is>
          <t>ס. פארם</t>
        </is>
      </c>
      <c r="D722" s="94" t="n"/>
      <c r="E722" s="94" t="inlineStr">
        <is>
          <t>ס.פ. קניון נחמיה קרית שמונה</t>
        </is>
      </c>
      <c r="F722" s="102" t="n"/>
      <c r="G722" s="102" t="n">
        <v>11212.1</v>
      </c>
      <c r="H722" s="95" t="n"/>
      <c r="I722" s="95" t="n"/>
      <c r="J722" s="94" t="n"/>
      <c r="K722" s="94" t="inlineStr">
        <is>
          <t>CHMI</t>
        </is>
      </c>
    </row>
    <row r="723" ht="15" customHeight="1" s="82">
      <c r="A723" s="94" t="inlineStr">
        <is>
          <t>חאזם תלחמי</t>
        </is>
      </c>
      <c r="B723" s="94" t="n"/>
      <c r="C723" s="94" t="inlineStr">
        <is>
          <t>ס. פארם</t>
        </is>
      </c>
      <c r="D723" s="94" t="n"/>
      <c r="E723" s="94" t="inlineStr">
        <is>
          <t>ס.פ. ביג עפולה תרופות</t>
        </is>
      </c>
      <c r="F723" s="102" t="n"/>
      <c r="G723" s="102" t="n">
        <v>7619.1</v>
      </c>
      <c r="H723" s="95" t="n"/>
      <c r="I723" s="95" t="n"/>
      <c r="J723" s="94" t="n"/>
      <c r="K723" s="94" t="inlineStr">
        <is>
          <t>CHMI</t>
        </is>
      </c>
    </row>
    <row r="724" ht="15" customHeight="1" s="82">
      <c r="A724" s="94" t="inlineStr">
        <is>
          <t>חאזם תלחמי</t>
        </is>
      </c>
      <c r="B724" s="94" t="n"/>
      <c r="C724" s="94" t="inlineStr">
        <is>
          <t>ס. פארם</t>
        </is>
      </c>
      <c r="D724" s="94" t="n"/>
      <c r="E724" s="94" t="inlineStr">
        <is>
          <t>ס.פ. קרית מוצקין תרופות</t>
        </is>
      </c>
      <c r="F724" s="102" t="n"/>
      <c r="G724" s="102" t="n">
        <v>3216.4</v>
      </c>
      <c r="H724" s="95" t="n"/>
      <c r="I724" s="95" t="n"/>
      <c r="J724" s="94" t="n"/>
      <c r="K724" s="94" t="inlineStr">
        <is>
          <t>CHMI</t>
        </is>
      </c>
    </row>
    <row r="725" ht="15" customHeight="1" s="82">
      <c r="A725" s="94" t="inlineStr">
        <is>
          <t>חאזם תלחמי</t>
        </is>
      </c>
      <c r="B725" s="94" t="n"/>
      <c r="C725" s="94" t="inlineStr">
        <is>
          <t>ס. פארם</t>
        </is>
      </c>
      <c r="D725" s="94" t="n"/>
      <c r="E725" s="94" t="inlineStr">
        <is>
          <t>ס.פ. חורב תרופות</t>
        </is>
      </c>
      <c r="F725" s="102" t="n"/>
      <c r="G725" s="102" t="n">
        <v>50156</v>
      </c>
      <c r="H725" s="95" t="n"/>
      <c r="I725" s="95" t="n"/>
      <c r="J725" s="94" t="n"/>
      <c r="K725" s="94" t="inlineStr">
        <is>
          <t>CHMI</t>
        </is>
      </c>
    </row>
    <row r="726" ht="15" customHeight="1" s="82">
      <c r="A726" s="94" t="inlineStr">
        <is>
          <t>חאזם תלחמי</t>
        </is>
      </c>
      <c r="B726" s="94" t="n"/>
      <c r="C726" s="94" t="inlineStr">
        <is>
          <t>ס. פארם</t>
        </is>
      </c>
      <c r="D726" s="94" t="n"/>
      <c r="E726" s="94" t="inlineStr">
        <is>
          <t>ס.פ. פרדס חנה תרופות</t>
        </is>
      </c>
      <c r="F726" s="102" t="n"/>
      <c r="G726" s="102" t="n">
        <v>13049.1</v>
      </c>
      <c r="H726" s="95" t="n"/>
      <c r="I726" s="95" t="n"/>
      <c r="J726" s="94" t="n"/>
      <c r="K726" s="94" t="inlineStr">
        <is>
          <t>CHMI</t>
        </is>
      </c>
    </row>
    <row r="727" ht="15" customHeight="1" s="82">
      <c r="A727" s="94" t="inlineStr">
        <is>
          <t>חאזם תלחמי</t>
        </is>
      </c>
      <c r="B727" s="94" t="n"/>
      <c r="C727" s="94" t="inlineStr">
        <is>
          <t>ס. פארם</t>
        </is>
      </c>
      <c r="D727" s="94" t="n"/>
      <c r="E727" s="94" t="inlineStr">
        <is>
          <t>ס.פ. ארמון תרופות חיפה</t>
        </is>
      </c>
      <c r="F727" s="102" t="n"/>
      <c r="G727" s="102" t="n">
        <v>4279.8</v>
      </c>
      <c r="H727" s="95" t="n"/>
      <c r="I727" s="95" t="n"/>
      <c r="J727" s="94" t="n"/>
      <c r="K727" s="94" t="inlineStr">
        <is>
          <t>CHMI</t>
        </is>
      </c>
    </row>
    <row r="728" ht="15" customHeight="1" s="82">
      <c r="A728" s="94" t="inlineStr">
        <is>
          <t>חאזם תלחמי</t>
        </is>
      </c>
      <c r="B728" s="94" t="n"/>
      <c r="C728" s="94" t="inlineStr">
        <is>
          <t>ס. פארם</t>
        </is>
      </c>
      <c r="D728" s="94" t="n"/>
      <c r="E728" s="94" t="inlineStr">
        <is>
          <t>ס.פ. גאלרי קריון</t>
        </is>
      </c>
      <c r="F728" s="102" t="n"/>
      <c r="G728" s="102" t="n">
        <v>21144.2</v>
      </c>
      <c r="H728" s="95" t="n"/>
      <c r="I728" s="95" t="n"/>
      <c r="J728" s="94" t="n"/>
      <c r="K728" s="94" t="inlineStr">
        <is>
          <t>CHMI</t>
        </is>
      </c>
    </row>
    <row r="729" ht="15" customHeight="1" s="82">
      <c r="A729" s="94" t="inlineStr">
        <is>
          <t>חאזם תלחמי</t>
        </is>
      </c>
      <c r="B729" s="94" t="n"/>
      <c r="C729" s="94" t="inlineStr">
        <is>
          <t>ס. פארם</t>
        </is>
      </c>
      <c r="D729" s="94" t="n"/>
      <c r="E729" s="94" t="inlineStr">
        <is>
          <t>ס.פ. גן שמואל תרופות</t>
        </is>
      </c>
      <c r="F729" s="102" t="n"/>
      <c r="G729" s="102" t="n">
        <v>19158.8</v>
      </c>
      <c r="H729" s="95" t="n"/>
      <c r="I729" s="95" t="n"/>
      <c r="J729" s="94" t="n"/>
      <c r="K729" s="94" t="inlineStr">
        <is>
          <t>CHMI</t>
        </is>
      </c>
    </row>
    <row r="730" ht="15" customHeight="1" s="82">
      <c r="A730" s="94" t="inlineStr">
        <is>
          <t>חאזם תלחמי</t>
        </is>
      </c>
      <c r="B730" s="94" t="n"/>
      <c r="C730" s="94" t="inlineStr">
        <is>
          <t>ס. פארם</t>
        </is>
      </c>
      <c r="D730" s="94" t="n"/>
      <c r="E730" s="94" t="inlineStr">
        <is>
          <t>ס.פ. סכנין תרופות</t>
        </is>
      </c>
      <c r="F730" s="102" t="n"/>
      <c r="G730" s="102" t="n">
        <v>3568.1</v>
      </c>
      <c r="H730" s="95" t="n"/>
      <c r="I730" s="95" t="n"/>
      <c r="J730" s="94" t="n"/>
      <c r="K730" s="94" t="inlineStr">
        <is>
          <t>CHMI</t>
        </is>
      </c>
    </row>
    <row r="731" ht="15" customHeight="1" s="82">
      <c r="A731" s="94" t="inlineStr">
        <is>
          <t>חאזם תלחמי</t>
        </is>
      </c>
      <c r="B731" s="94" t="n"/>
      <c r="C731" s="94" t="inlineStr">
        <is>
          <t>ס. פארם</t>
        </is>
      </c>
      <c r="D731" s="94" t="n"/>
      <c r="E731" s="94" t="inlineStr">
        <is>
          <t>ס.פ. מול זכרון תרופות</t>
        </is>
      </c>
      <c r="F731" s="102" t="n"/>
      <c r="G731" s="102" t="n">
        <v>13427.6</v>
      </c>
      <c r="H731" s="95" t="n"/>
      <c r="I731" s="95" t="n"/>
      <c r="J731" s="94" t="n"/>
      <c r="K731" s="94" t="inlineStr">
        <is>
          <t>CHMI</t>
        </is>
      </c>
    </row>
    <row r="732" ht="15" customHeight="1" s="82">
      <c r="A732" s="94" t="inlineStr">
        <is>
          <t>חאזם תלחמי</t>
        </is>
      </c>
      <c r="B732" s="94" t="n"/>
      <c r="C732" s="94" t="inlineStr">
        <is>
          <t>ס. פארם</t>
        </is>
      </c>
      <c r="D732" s="94" t="n"/>
      <c r="E732" s="94" t="inlineStr">
        <is>
          <t>ס.פ. עכו תרופות</t>
        </is>
      </c>
      <c r="F732" s="102" t="n"/>
      <c r="G732" s="102" t="n">
        <v>3906.2</v>
      </c>
      <c r="H732" s="95" t="n"/>
      <c r="I732" s="95" t="n"/>
      <c r="J732" s="94" t="n"/>
      <c r="K732" s="94" t="inlineStr">
        <is>
          <t>CHMI</t>
        </is>
      </c>
    </row>
    <row r="733" ht="15" customHeight="1" s="82">
      <c r="A733" s="94" t="inlineStr">
        <is>
          <t>חאזם תלחמי</t>
        </is>
      </c>
      <c r="B733" s="94" t="n"/>
      <c r="C733" s="94" t="inlineStr">
        <is>
          <t>ס. פארם</t>
        </is>
      </c>
      <c r="D733" s="94" t="n"/>
      <c r="E733" s="94" t="inlineStr">
        <is>
          <t>ס.פ.סינמול תרופות חיפה</t>
        </is>
      </c>
      <c r="F733" s="102" t="n"/>
      <c r="G733" s="102" t="n">
        <v>-3933.6</v>
      </c>
      <c r="H733" s="95" t="n"/>
      <c r="I733" s="95" t="n"/>
      <c r="J733" s="94" t="n"/>
      <c r="K733" s="94" t="inlineStr">
        <is>
          <t>CHMI</t>
        </is>
      </c>
    </row>
    <row r="734" ht="15" customHeight="1" s="82">
      <c r="A734" s="94" t="inlineStr">
        <is>
          <t>חאזם תלחמי</t>
        </is>
      </c>
      <c r="B734" s="94" t="n"/>
      <c r="C734" s="94" t="inlineStr">
        <is>
          <t>ס. פארם</t>
        </is>
      </c>
      <c r="D734" s="94" t="n"/>
      <c r="E734" s="94" t="inlineStr">
        <is>
          <t>ס.פ. קרית ים תרופות</t>
        </is>
      </c>
      <c r="F734" s="102" t="n"/>
      <c r="G734" s="102" t="n">
        <v>6737.5</v>
      </c>
      <c r="H734" s="95" t="n"/>
      <c r="I734" s="95" t="n"/>
      <c r="J734" s="94" t="n"/>
      <c r="K734" s="94" t="inlineStr">
        <is>
          <t>CHMI</t>
        </is>
      </c>
    </row>
    <row r="735" ht="15" customHeight="1" s="82">
      <c r="A735" s="94" t="inlineStr">
        <is>
          <t>חאזם תלחמי</t>
        </is>
      </c>
      <c r="B735" s="94" t="n"/>
      <c r="C735" s="94" t="inlineStr">
        <is>
          <t>ס. פארם</t>
        </is>
      </c>
      <c r="D735" s="94" t="n"/>
      <c r="E735" s="94" t="inlineStr">
        <is>
          <t>ס.פ. ביג פוריה תרופות</t>
        </is>
      </c>
      <c r="F735" s="102" t="n"/>
      <c r="G735" s="102" t="n">
        <v>8873</v>
      </c>
      <c r="H735" s="95" t="n"/>
      <c r="I735" s="95" t="n"/>
      <c r="J735" s="94" t="n"/>
      <c r="K735" s="94" t="inlineStr">
        <is>
          <t>CHMI</t>
        </is>
      </c>
    </row>
    <row r="736" ht="15" customHeight="1" s="82">
      <c r="A736" s="94" t="inlineStr">
        <is>
          <t>חאזם תלחמי</t>
        </is>
      </c>
      <c r="B736" s="94" t="n"/>
      <c r="C736" s="94" t="inlineStr">
        <is>
          <t>ס. פארם</t>
        </is>
      </c>
      <c r="D736" s="94" t="n"/>
      <c r="E736" s="94" t="inlineStr">
        <is>
          <t>ס.פ. ביג נצרת תרופות</t>
        </is>
      </c>
      <c r="F736" s="102" t="n"/>
      <c r="G736" s="102" t="n">
        <v>8433.5</v>
      </c>
      <c r="H736" s="95" t="n"/>
      <c r="I736" s="95" t="n"/>
      <c r="J736" s="94" t="n"/>
      <c r="K736" s="94" t="inlineStr">
        <is>
          <t>CHMI</t>
        </is>
      </c>
    </row>
    <row r="737" ht="15" customHeight="1" s="82">
      <c r="A737" s="94" t="inlineStr">
        <is>
          <t>חאזם תלחמי</t>
        </is>
      </c>
      <c r="B737" s="94" t="n"/>
      <c r="C737" s="94" t="inlineStr">
        <is>
          <t>ס. פארם</t>
        </is>
      </c>
      <c r="D737" s="94" t="n"/>
      <c r="E737" s="94" t="inlineStr">
        <is>
          <t>ס.פ. רמת ישי תרופות</t>
        </is>
      </c>
      <c r="F737" s="102" t="n"/>
      <c r="G737" s="102" t="n">
        <v>18932.9</v>
      </c>
      <c r="H737" s="95" t="n"/>
      <c r="I737" s="95" t="n"/>
      <c r="J737" s="94" t="n"/>
      <c r="K737" s="94" t="inlineStr">
        <is>
          <t>CHMI</t>
        </is>
      </c>
    </row>
    <row r="738" ht="15" customHeight="1" s="82">
      <c r="A738" s="94" t="inlineStr">
        <is>
          <t>חאזם תלחמי</t>
        </is>
      </c>
      <c r="B738" s="94" t="n"/>
      <c r="C738" s="94" t="inlineStr">
        <is>
          <t>ס. פארם</t>
        </is>
      </c>
      <c r="D738" s="94" t="n"/>
      <c r="E738" s="94" t="inlineStr">
        <is>
          <t>ס.פ. עפולה תרופות</t>
        </is>
      </c>
      <c r="F738" s="102" t="n"/>
      <c r="G738" s="102" t="n">
        <v>13194.2</v>
      </c>
      <c r="H738" s="95" t="n"/>
      <c r="I738" s="95" t="n"/>
      <c r="J738" s="94" t="n"/>
      <c r="K738" s="94" t="inlineStr">
        <is>
          <t>CHMI</t>
        </is>
      </c>
    </row>
    <row r="739" ht="15" customHeight="1" s="82">
      <c r="A739" s="94" t="inlineStr">
        <is>
          <t>חאזם תלחמי</t>
        </is>
      </c>
      <c r="B739" s="94" t="n"/>
      <c r="C739" s="94" t="inlineStr">
        <is>
          <t>ס. פארם</t>
        </is>
      </c>
      <c r="D739" s="94" t="n"/>
      <c r="E739" s="94" t="inlineStr">
        <is>
          <t>ס.פ. כפר יאסיף-תרופות</t>
        </is>
      </c>
      <c r="F739" s="102" t="n"/>
      <c r="G739" s="102" t="n">
        <v>6314.5</v>
      </c>
      <c r="H739" s="95" t="n"/>
      <c r="I739" s="95" t="n"/>
      <c r="J739" s="94" t="n"/>
      <c r="K739" s="94" t="inlineStr">
        <is>
          <t>CHMI</t>
        </is>
      </c>
    </row>
    <row r="740" ht="15" customHeight="1" s="82">
      <c r="A740" s="94" t="inlineStr">
        <is>
          <t>חאזם תלחמי</t>
        </is>
      </c>
      <c r="B740" s="94" t="n"/>
      <c r="C740" s="94" t="inlineStr">
        <is>
          <t>ס. פארם</t>
        </is>
      </c>
      <c r="D740" s="94" t="n"/>
      <c r="E740" s="94" t="inlineStr">
        <is>
          <t>ס.פ. נוה שאנן תרופות</t>
        </is>
      </c>
      <c r="F740" s="102" t="n"/>
      <c r="G740" s="102" t="n">
        <v>14491.3</v>
      </c>
      <c r="H740" s="95" t="n"/>
      <c r="I740" s="95" t="n"/>
      <c r="J740" s="94" t="n"/>
      <c r="K740" s="94" t="inlineStr">
        <is>
          <t>CHMI</t>
        </is>
      </c>
    </row>
    <row r="741" ht="15" customHeight="1" s="82">
      <c r="A741" s="94" t="inlineStr">
        <is>
          <t>חאזם תלחמי</t>
        </is>
      </c>
      <c r="B741" s="94" t="n"/>
      <c r="C741" s="94" t="inlineStr">
        <is>
          <t>ס. פארם</t>
        </is>
      </c>
      <c r="D741" s="94" t="n"/>
      <c r="E741" s="94" t="inlineStr">
        <is>
          <t>ס.פ. אודיטוריום  תרופות</t>
        </is>
      </c>
      <c r="F741" s="102" t="n"/>
      <c r="G741" s="102" t="n">
        <v>20466.8</v>
      </c>
      <c r="H741" s="95" t="n"/>
      <c r="I741" s="95" t="n"/>
      <c r="J741" s="94" t="n"/>
      <c r="K741" s="94" t="inlineStr">
        <is>
          <t>CHMI</t>
        </is>
      </c>
    </row>
    <row r="742" ht="15" customHeight="1" s="82">
      <c r="A742" s="94" t="inlineStr">
        <is>
          <t>חאזם תלחמי</t>
        </is>
      </c>
      <c r="B742" s="94" t="n"/>
      <c r="C742" s="94" t="inlineStr">
        <is>
          <t>ס. פארם</t>
        </is>
      </c>
      <c r="D742" s="94" t="n"/>
      <c r="E742" s="94" t="inlineStr">
        <is>
          <t>ס.פ. עמק סנטר עפולה תרופות</t>
        </is>
      </c>
      <c r="F742" s="102" t="n"/>
      <c r="G742" s="102" t="n">
        <v>20480.8</v>
      </c>
      <c r="H742" s="95" t="n"/>
      <c r="I742" s="95" t="n"/>
      <c r="J742" s="94" t="n"/>
      <c r="K742" s="94" t="inlineStr">
        <is>
          <t>CHMI</t>
        </is>
      </c>
    </row>
    <row r="743" ht="15" customHeight="1" s="82">
      <c r="A743" s="94" t="inlineStr">
        <is>
          <t>חאזם תלחמי</t>
        </is>
      </c>
      <c r="B743" s="94" t="n"/>
      <c r="C743" s="94" t="inlineStr">
        <is>
          <t>ס. פארם</t>
        </is>
      </c>
      <c r="D743" s="94" t="n"/>
      <c r="E743" s="94" t="inlineStr">
        <is>
          <t>ס.פ. אום אל פחם  תרופות</t>
        </is>
      </c>
      <c r="F743" s="102" t="n"/>
      <c r="G743" s="102" t="n">
        <v>13307.7</v>
      </c>
      <c r="H743" s="95" t="n"/>
      <c r="I743" s="95" t="n"/>
      <c r="J743" s="94" t="n"/>
      <c r="K743" s="94" t="inlineStr">
        <is>
          <t>CHMI</t>
        </is>
      </c>
    </row>
    <row r="744" ht="15" customHeight="1" s="82">
      <c r="A744" s="94" t="inlineStr">
        <is>
          <t>חאזם תלחמי</t>
        </is>
      </c>
      <c r="B744" s="94" t="n"/>
      <c r="C744" s="94" t="inlineStr">
        <is>
          <t>ס. פארם</t>
        </is>
      </c>
      <c r="D744" s="94" t="n"/>
      <c r="E744" s="94" t="inlineStr">
        <is>
          <t>(ס.פ. נוף הגליל )נצרת עילית</t>
        </is>
      </c>
      <c r="F744" s="102" t="n"/>
      <c r="G744" s="102" t="n">
        <v>19466.3</v>
      </c>
      <c r="H744" s="95" t="n"/>
      <c r="I744" s="95" t="n"/>
      <c r="J744" s="94" t="n"/>
      <c r="K744" s="94" t="inlineStr">
        <is>
          <t>CHMI</t>
        </is>
      </c>
    </row>
    <row r="745" ht="15" customHeight="1" s="82">
      <c r="A745" s="94" t="inlineStr">
        <is>
          <t>חאזם תלחמי</t>
        </is>
      </c>
      <c r="B745" s="94" t="n"/>
      <c r="C745" s="94" t="inlineStr">
        <is>
          <t>ס. פארם</t>
        </is>
      </c>
      <c r="D745" s="94" t="n"/>
      <c r="E745" s="94" t="inlineStr">
        <is>
          <t>ס.פ. נצרת תרופות</t>
        </is>
      </c>
      <c r="F745" s="102" t="n"/>
      <c r="G745" s="102" t="n">
        <v>9724.6</v>
      </c>
      <c r="H745" s="95" t="n"/>
      <c r="I745" s="95" t="n"/>
      <c r="J745" s="94" t="n"/>
      <c r="K745" s="94" t="inlineStr">
        <is>
          <t>CHMI</t>
        </is>
      </c>
    </row>
    <row r="746" ht="15" customHeight="1" s="82">
      <c r="A746" s="94" t="inlineStr">
        <is>
          <t>חאזם תלחמי</t>
        </is>
      </c>
      <c r="B746" s="94" t="n"/>
      <c r="C746" s="94" t="inlineStr">
        <is>
          <t>ס. פארם</t>
        </is>
      </c>
      <c r="D746" s="94" t="n"/>
      <c r="E746" s="94" t="inlineStr">
        <is>
          <t>ס.פ. ביג ק.שמונה תרופות</t>
        </is>
      </c>
      <c r="F746" s="102" t="n"/>
      <c r="G746" s="102" t="n">
        <v>16689.7</v>
      </c>
      <c r="H746" s="95" t="n"/>
      <c r="I746" s="95" t="n"/>
      <c r="J746" s="94" t="n"/>
      <c r="K746" s="94" t="inlineStr">
        <is>
          <t>CHMI</t>
        </is>
      </c>
    </row>
    <row r="747" ht="15" customHeight="1" s="82">
      <c r="A747" s="94" t="inlineStr">
        <is>
          <t>חאזם תלחמי</t>
        </is>
      </c>
      <c r="B747" s="94" t="n"/>
      <c r="C747" s="94" t="inlineStr">
        <is>
          <t>ס. פארם</t>
        </is>
      </c>
      <c r="D747" s="94" t="n"/>
      <c r="E747" s="94" t="inlineStr">
        <is>
          <t>ס.פ. טבעון תרופות</t>
        </is>
      </c>
      <c r="F747" s="102" t="n"/>
      <c r="G747" s="102" t="n">
        <v>8155.6</v>
      </c>
      <c r="H747" s="95" t="n"/>
      <c r="I747" s="95" t="n"/>
      <c r="J747" s="94" t="n"/>
      <c r="K747" s="94" t="inlineStr">
        <is>
          <t>CHMI</t>
        </is>
      </c>
    </row>
    <row r="748" ht="15" customHeight="1" s="82">
      <c r="A748" s="94" t="inlineStr">
        <is>
          <t>חאזם תלחמי</t>
        </is>
      </c>
      <c r="B748" s="94" t="n"/>
      <c r="C748" s="94" t="inlineStr">
        <is>
          <t>ס. פארם</t>
        </is>
      </c>
      <c r="D748" s="94" t="n"/>
      <c r="E748" s="94" t="inlineStr">
        <is>
          <t>ס.פ. ביג פרדס חנה תרופות</t>
        </is>
      </c>
      <c r="F748" s="102" t="n"/>
      <c r="G748" s="102" t="n">
        <v>3527.8</v>
      </c>
      <c r="H748" s="95" t="n"/>
      <c r="I748" s="95" t="n"/>
      <c r="J748" s="94" t="n"/>
      <c r="K748" s="94" t="inlineStr">
        <is>
          <t>CHMI</t>
        </is>
      </c>
    </row>
    <row r="749" ht="15" customHeight="1" s="82">
      <c r="A749" s="94" t="inlineStr">
        <is>
          <t>חאזם תלחמי</t>
        </is>
      </c>
      <c r="B749" s="94" t="n"/>
      <c r="C749" s="94" t="inlineStr">
        <is>
          <t>ס. פארם</t>
        </is>
      </c>
      <c r="D749" s="94" t="n"/>
      <c r="E749" s="94" t="inlineStr">
        <is>
          <t>ס.פ. מעלות תרופות</t>
        </is>
      </c>
      <c r="F749" s="102" t="n"/>
      <c r="G749" s="102" t="n">
        <v>10797.7</v>
      </c>
      <c r="H749" s="95" t="n"/>
      <c r="I749" s="95" t="n"/>
      <c r="J749" s="94" t="n"/>
      <c r="K749" s="94" t="inlineStr">
        <is>
          <t>CHMI</t>
        </is>
      </c>
    </row>
    <row r="750" ht="15" customHeight="1" s="82">
      <c r="A750" s="94" t="inlineStr">
        <is>
          <t>חאזם תלחמי</t>
        </is>
      </c>
      <c r="B750" s="94" t="n"/>
      <c r="C750" s="94" t="inlineStr">
        <is>
          <t>ס. פארם</t>
        </is>
      </c>
      <c r="D750" s="94" t="n"/>
      <c r="E750" s="94" t="inlineStr">
        <is>
          <t>ס.פ. זכרון יעקב תרופות</t>
        </is>
      </c>
      <c r="F750" s="102" t="n"/>
      <c r="G750" s="102" t="n">
        <v>8671.6</v>
      </c>
      <c r="H750" s="95" t="n"/>
      <c r="I750" s="95" t="n"/>
      <c r="J750" s="94" t="n"/>
      <c r="K750" s="94" t="inlineStr">
        <is>
          <t>CHMI</t>
        </is>
      </c>
    </row>
    <row r="751" ht="15" customHeight="1" s="82">
      <c r="A751" s="94" t="inlineStr">
        <is>
          <t>חאזם תלחמי</t>
        </is>
      </c>
      <c r="B751" s="94" t="n"/>
      <c r="C751" s="94" t="inlineStr">
        <is>
          <t>ס. פארם</t>
        </is>
      </c>
      <c r="D751" s="94" t="n"/>
      <c r="E751" s="94" t="inlineStr">
        <is>
          <t>ס.פ. ביג כרמיאל תרופות</t>
        </is>
      </c>
      <c r="F751" s="102" t="n"/>
      <c r="G751" s="102" t="n">
        <v>50356.6</v>
      </c>
      <c r="H751" s="95" t="n"/>
      <c r="I751" s="95" t="n"/>
      <c r="J751" s="94" t="n"/>
      <c r="K751" s="94" t="inlineStr">
        <is>
          <t>CHMI</t>
        </is>
      </c>
    </row>
    <row r="752" ht="15" customHeight="1" s="82">
      <c r="A752" s="94" t="inlineStr">
        <is>
          <t>חאזם תלחמי</t>
        </is>
      </c>
      <c r="B752" s="94" t="n"/>
      <c r="C752" s="94" t="inlineStr">
        <is>
          <t>ס. פארם</t>
        </is>
      </c>
      <c r="D752" s="94" t="n"/>
      <c r="E752" s="94" t="inlineStr">
        <is>
          <t>ס.פ. קניון טבריה תרופות</t>
        </is>
      </c>
      <c r="F752" s="102" t="n"/>
      <c r="G752" s="102" t="n">
        <v>8075.4</v>
      </c>
      <c r="H752" s="95" t="n"/>
      <c r="I752" s="95" t="n"/>
      <c r="J752" s="94" t="n"/>
      <c r="K752" s="94" t="inlineStr">
        <is>
          <t>CHMI</t>
        </is>
      </c>
    </row>
    <row r="753" ht="15" customHeight="1" s="82">
      <c r="A753" s="94" t="inlineStr">
        <is>
          <t>חאזם תלחמי</t>
        </is>
      </c>
      <c r="B753" s="94" t="n"/>
      <c r="C753" s="94" t="inlineStr">
        <is>
          <t>ס. פארם</t>
        </is>
      </c>
      <c r="D753" s="94" t="n"/>
      <c r="E753" s="94" t="inlineStr">
        <is>
          <t>ס.פ. כוכב הגעתון תרופות</t>
        </is>
      </c>
      <c r="F753" s="102" t="n"/>
      <c r="G753" s="102" t="n">
        <v>13056.4</v>
      </c>
      <c r="H753" s="95" t="n"/>
      <c r="I753" s="95" t="n"/>
      <c r="J753" s="94" t="n"/>
      <c r="K753" s="94" t="inlineStr">
        <is>
          <t>CHMI</t>
        </is>
      </c>
    </row>
    <row r="754" ht="15" customHeight="1" s="82">
      <c r="A754" s="94" t="inlineStr">
        <is>
          <t>חאזם תלחמי</t>
        </is>
      </c>
      <c r="B754" s="94" t="n"/>
      <c r="C754" s="94" t="inlineStr">
        <is>
          <t>ס. פארם</t>
        </is>
      </c>
      <c r="D754" s="94" t="n"/>
      <c r="E754" s="94" t="inlineStr">
        <is>
          <t>ס.פ. טבריה תרופות</t>
        </is>
      </c>
      <c r="F754" s="102" t="n"/>
      <c r="G754" s="102" t="n">
        <v>11850.6</v>
      </c>
      <c r="H754" s="95" t="n"/>
      <c r="I754" s="95" t="n"/>
      <c r="J754" s="94" t="n"/>
      <c r="K754" s="94" t="inlineStr">
        <is>
          <t>CHMI</t>
        </is>
      </c>
    </row>
    <row r="755" ht="15" customHeight="1" s="82">
      <c r="A755" s="94" t="inlineStr">
        <is>
          <t>חאזם תלחמי</t>
        </is>
      </c>
      <c r="B755" s="94" t="n"/>
      <c r="C755" s="94" t="inlineStr">
        <is>
          <t>ס. פארם</t>
        </is>
      </c>
      <c r="D755" s="94" t="n"/>
      <c r="E755" s="94" t="inlineStr">
        <is>
          <t>ס.פ. טמרה תרופות</t>
        </is>
      </c>
      <c r="F755" s="102" t="n"/>
      <c r="G755" s="102" t="n">
        <v>5188.9</v>
      </c>
      <c r="H755" s="95" t="n"/>
      <c r="I755" s="95" t="n"/>
      <c r="J755" s="94" t="n"/>
      <c r="K755" s="94" t="inlineStr">
        <is>
          <t>CHMI</t>
        </is>
      </c>
    </row>
    <row r="756" ht="15" customHeight="1" s="82">
      <c r="A756" s="94" t="inlineStr">
        <is>
          <t>חאזם תלחמי</t>
        </is>
      </c>
      <c r="B756" s="94" t="n"/>
      <c r="C756" s="94" t="inlineStr">
        <is>
          <t>ס. פארם</t>
        </is>
      </c>
      <c r="D756" s="94" t="n"/>
      <c r="E756" s="94" t="inlineStr">
        <is>
          <t>ס.פ. רגבה  תרופות</t>
        </is>
      </c>
      <c r="F756" s="102" t="n"/>
      <c r="G756" s="102" t="n">
        <v>10900.5</v>
      </c>
      <c r="H756" s="95" t="n"/>
      <c r="I756" s="95" t="n"/>
      <c r="J756" s="94" t="n"/>
      <c r="K756" s="94" t="inlineStr">
        <is>
          <t>CHMI</t>
        </is>
      </c>
    </row>
    <row r="757" ht="15" customHeight="1" s="82">
      <c r="A757" s="94" t="inlineStr">
        <is>
          <t>חאזם תלחמי</t>
        </is>
      </c>
      <c r="B757" s="94" t="n"/>
      <c r="C757" s="94" t="inlineStr">
        <is>
          <t>ס. פארם</t>
        </is>
      </c>
      <c r="D757" s="94" t="n"/>
      <c r="E757" s="94" t="inlineStr">
        <is>
          <t>ס.פ. קרית אתא  תרופות</t>
        </is>
      </c>
      <c r="F757" s="102" t="n"/>
      <c r="G757" s="102" t="n">
        <v>21128.6</v>
      </c>
      <c r="H757" s="95" t="n"/>
      <c r="I757" s="95" t="n"/>
      <c r="J757" s="94" t="n"/>
      <c r="K757" s="94" t="inlineStr">
        <is>
          <t>CHMI</t>
        </is>
      </c>
    </row>
    <row r="758" ht="15" customHeight="1" s="82">
      <c r="A758" s="94" t="inlineStr">
        <is>
          <t>חאזם תלחמי</t>
        </is>
      </c>
      <c r="B758" s="94" t="n"/>
      <c r="C758" s="94" t="inlineStr">
        <is>
          <t>ס. פארם</t>
        </is>
      </c>
      <c r="D758" s="94" t="n"/>
      <c r="E758" s="94" t="inlineStr">
        <is>
          <t>ס.פ. קניון לב כרמיאל</t>
        </is>
      </c>
      <c r="F758" s="102" t="n"/>
      <c r="G758" s="102" t="n">
        <v>17359.8</v>
      </c>
      <c r="H758" s="95" t="n"/>
      <c r="I758" s="95" t="n"/>
      <c r="J758" s="94" t="n"/>
      <c r="K758" s="94" t="inlineStr">
        <is>
          <t>CHMI</t>
        </is>
      </c>
    </row>
    <row r="759" ht="15" customHeight="1" s="82">
      <c r="A759" s="94" t="inlineStr">
        <is>
          <t>חאזם תלחמי</t>
        </is>
      </c>
      <c r="B759" s="94" t="n"/>
      <c r="C759" s="94" t="inlineStr">
        <is>
          <t>ס. פארם</t>
        </is>
      </c>
      <c r="D759" s="94" t="n"/>
      <c r="E759" s="94" t="inlineStr">
        <is>
          <t>ס.פ. גרנד קניון  תרופות</t>
        </is>
      </c>
      <c r="F759" s="102" t="n"/>
      <c r="G759" s="102" t="n">
        <v>42414.2</v>
      </c>
      <c r="H759" s="95" t="n"/>
      <c r="I759" s="95" t="n"/>
      <c r="J759" s="94" t="n"/>
      <c r="K759" s="94" t="inlineStr">
        <is>
          <t>CHMI</t>
        </is>
      </c>
    </row>
    <row r="760" ht="15" customHeight="1" s="82">
      <c r="A760" s="94" t="inlineStr">
        <is>
          <t>חאזם תלחמי</t>
        </is>
      </c>
      <c r="B760" s="94" t="n"/>
      <c r="C760" s="94" t="inlineStr">
        <is>
          <t>ס. פארם</t>
        </is>
      </c>
      <c r="D760" s="94" t="n"/>
      <c r="E760" s="94" t="inlineStr">
        <is>
          <t>ס.פ. מגדל העמק  תרופות</t>
        </is>
      </c>
      <c r="F760" s="102" t="n"/>
      <c r="G760" s="102" t="n">
        <v>8282.5</v>
      </c>
      <c r="H760" s="95" t="n"/>
      <c r="I760" s="95" t="n"/>
      <c r="J760" s="94" t="n"/>
      <c r="K760" s="94" t="inlineStr">
        <is>
          <t>CHMI</t>
        </is>
      </c>
    </row>
    <row r="761" ht="15" customHeight="1" s="82">
      <c r="A761" s="94" t="inlineStr">
        <is>
          <t>חאזם תלחמי</t>
        </is>
      </c>
      <c r="B761" s="94" t="n"/>
      <c r="C761" s="94" t="inlineStr">
        <is>
          <t>ס. פארם</t>
        </is>
      </c>
      <c r="D761" s="94" t="n"/>
      <c r="E761" s="94" t="inlineStr">
        <is>
          <t>ס.פ. העצמאות ק.אתא תרופות</t>
        </is>
      </c>
      <c r="F761" s="102" t="n"/>
      <c r="G761" s="102" t="n">
        <v>6776.3</v>
      </c>
      <c r="H761" s="95" t="n"/>
      <c r="I761" s="95" t="n"/>
      <c r="J761" s="94" t="n"/>
      <c r="K761" s="94" t="inlineStr">
        <is>
          <t>CHMI</t>
        </is>
      </c>
    </row>
    <row r="762" ht="15" customHeight="1" s="82">
      <c r="A762" s="94" t="inlineStr">
        <is>
          <t>חאזם תלחמי</t>
        </is>
      </c>
      <c r="B762" s="94" t="n"/>
      <c r="C762" s="94" t="inlineStr">
        <is>
          <t>ס. פארם</t>
        </is>
      </c>
      <c r="D762" s="94" t="n"/>
      <c r="E762" s="94" t="inlineStr">
        <is>
          <t>ס.פ. שפרעם תרופות</t>
        </is>
      </c>
      <c r="F762" s="102" t="n"/>
      <c r="G762" s="102" t="n">
        <v>14403.6</v>
      </c>
      <c r="H762" s="95" t="n"/>
      <c r="I762" s="95" t="n"/>
      <c r="J762" s="94" t="n"/>
      <c r="K762" s="94" t="inlineStr">
        <is>
          <t>CHMI</t>
        </is>
      </c>
    </row>
    <row r="763" ht="15" customHeight="1" s="82">
      <c r="A763" s="94" t="inlineStr">
        <is>
          <t>חאזם תלחמי</t>
        </is>
      </c>
      <c r="B763" s="94" t="n"/>
      <c r="C763" s="94" t="inlineStr">
        <is>
          <t>ס. פארם</t>
        </is>
      </c>
      <c r="D763" s="94" t="n"/>
      <c r="E763" s="94" t="inlineStr">
        <is>
          <t>ס.פ. ביג יוקנעם תרופות</t>
        </is>
      </c>
      <c r="F763" s="102" t="n"/>
      <c r="G763" s="102" t="n">
        <v>20693.4</v>
      </c>
      <c r="H763" s="95" t="n"/>
      <c r="I763" s="95" t="n"/>
      <c r="J763" s="94" t="n"/>
      <c r="K763" s="94" t="inlineStr">
        <is>
          <t>CHMI</t>
        </is>
      </c>
    </row>
    <row r="764" ht="15" customHeight="1" s="82">
      <c r="A764" s="94" t="inlineStr">
        <is>
          <t>חאזם תלחמי</t>
        </is>
      </c>
      <c r="B764" s="94" t="n"/>
      <c r="C764" s="94" t="inlineStr">
        <is>
          <t>ס. פארם</t>
        </is>
      </c>
      <c r="D764" s="94" t="n"/>
      <c r="E764" s="94" t="inlineStr">
        <is>
          <t>ס.פ. סיטי סנטר חיפה תרופות</t>
        </is>
      </c>
      <c r="F764" s="102" t="n"/>
      <c r="G764" s="102" t="n">
        <v>9688.299999999999</v>
      </c>
      <c r="H764" s="95" t="n"/>
      <c r="I764" s="95" t="n"/>
      <c r="J764" s="94" t="n"/>
      <c r="K764" s="94" t="inlineStr">
        <is>
          <t>CHMI</t>
        </is>
      </c>
    </row>
    <row r="765" ht="15" customHeight="1" s="82">
      <c r="A765" s="94" t="inlineStr">
        <is>
          <t>חאזם תלחמי</t>
        </is>
      </c>
      <c r="B765" s="94" t="n"/>
      <c r="C765" s="94" t="inlineStr">
        <is>
          <t>ס. פארם</t>
        </is>
      </c>
      <c r="D765" s="94" t="n"/>
      <c r="E765" s="94" t="inlineStr">
        <is>
          <t>ס.פ. בית שאן תרופות</t>
        </is>
      </c>
      <c r="F765" s="102" t="n"/>
      <c r="G765" s="102" t="n">
        <v>9631.5</v>
      </c>
      <c r="H765" s="95" t="n"/>
      <c r="I765" s="95" t="n"/>
      <c r="J765" s="94" t="n"/>
      <c r="K765" s="94" t="inlineStr">
        <is>
          <t>CHMI</t>
        </is>
      </c>
    </row>
    <row r="766" ht="15" customHeight="1" s="82">
      <c r="A766" s="94" t="inlineStr">
        <is>
          <t>חאזם תלחמי</t>
        </is>
      </c>
      <c r="B766" s="94" t="n"/>
      <c r="C766" s="94" t="inlineStr">
        <is>
          <t>ס. פארם</t>
        </is>
      </c>
      <c r="D766" s="94" t="n"/>
      <c r="E766" s="94" t="inlineStr">
        <is>
          <t>ס.פ. חדרה מזרח תרופות</t>
        </is>
      </c>
      <c r="F766" s="102" t="n"/>
      <c r="G766" s="102" t="n">
        <v>11217.1</v>
      </c>
      <c r="H766" s="95" t="n"/>
      <c r="I766" s="95" t="n"/>
      <c r="J766" s="94" t="n"/>
      <c r="K766" s="94" t="inlineStr">
        <is>
          <t>CHMI</t>
        </is>
      </c>
    </row>
    <row r="767" ht="15" customHeight="1" s="82">
      <c r="A767" s="94" t="inlineStr">
        <is>
          <t>חאזם תלחמי</t>
        </is>
      </c>
      <c r="B767" s="94" t="n"/>
      <c r="C767" s="94" t="inlineStr">
        <is>
          <t>ס. פארם</t>
        </is>
      </c>
      <c r="D767" s="94" t="n"/>
      <c r="E767" s="94" t="inlineStr">
        <is>
          <t>ס.פ. רמת הנשיא חיפה תרופות</t>
        </is>
      </c>
      <c r="F767" s="102" t="n"/>
      <c r="G767" s="102" t="n">
        <v>11174.6</v>
      </c>
      <c r="H767" s="95" t="n"/>
      <c r="I767" s="95" t="n"/>
      <c r="J767" s="94" t="n"/>
      <c r="K767" s="94" t="inlineStr">
        <is>
          <t>CHMI</t>
        </is>
      </c>
    </row>
    <row r="768" ht="15" customHeight="1" s="82">
      <c r="A768" s="94" t="inlineStr">
        <is>
          <t>חאזם תלחמי</t>
        </is>
      </c>
      <c r="B768" s="94" t="n"/>
      <c r="C768" s="94" t="inlineStr">
        <is>
          <t>ס. פארם</t>
        </is>
      </c>
      <c r="D768" s="94" t="n"/>
      <c r="E768" s="94" t="inlineStr">
        <is>
          <t>ס.פ. טירת הכרמל  תרופות</t>
        </is>
      </c>
      <c r="F768" s="102" t="n"/>
      <c r="G768" s="102" t="n">
        <v>8633.700000000001</v>
      </c>
      <c r="H768" s="95" t="n"/>
      <c r="I768" s="95" t="n"/>
      <c r="J768" s="94" t="n"/>
      <c r="K768" s="94" t="inlineStr">
        <is>
          <t>CHMI</t>
        </is>
      </c>
    </row>
    <row r="769" ht="15" customHeight="1" s="82">
      <c r="A769" s="94" t="inlineStr">
        <is>
          <t>חאזם תלחמי</t>
        </is>
      </c>
      <c r="B769" s="94" t="n"/>
      <c r="C769" s="94" t="inlineStr">
        <is>
          <t>ס. פארם</t>
        </is>
      </c>
      <c r="D769" s="94" t="n"/>
      <c r="E769" s="94" t="inlineStr">
        <is>
          <t>ס.פ. שער צפון קרית אתא תרופות</t>
        </is>
      </c>
      <c r="F769" s="102" t="n"/>
      <c r="G769" s="102" t="n">
        <v>5607.1</v>
      </c>
      <c r="H769" s="95" t="n"/>
      <c r="I769" s="95" t="n"/>
      <c r="J769" s="94" t="n"/>
      <c r="K769" s="94" t="inlineStr">
        <is>
          <t>CHMI</t>
        </is>
      </c>
    </row>
    <row r="770" ht="15" customHeight="1" s="82">
      <c r="A770" s="94" t="inlineStr">
        <is>
          <t>חאזם תלחמי</t>
        </is>
      </c>
      <c r="B770" s="94" t="n"/>
      <c r="C770" s="94" t="inlineStr">
        <is>
          <t>ס. פארם</t>
        </is>
      </c>
      <c r="D770" s="94" t="n"/>
      <c r="E770" s="94" t="inlineStr">
        <is>
          <t>ס.פ. קרית חיים תרופות</t>
        </is>
      </c>
      <c r="F770" s="102" t="n"/>
      <c r="G770" s="102" t="n">
        <v>11554.3</v>
      </c>
      <c r="H770" s="95" t="n"/>
      <c r="I770" s="95" t="n"/>
      <c r="J770" s="94" t="n"/>
      <c r="K770" s="94" t="inlineStr">
        <is>
          <t>CHMI</t>
        </is>
      </c>
    </row>
    <row r="771" ht="15" customHeight="1" s="82">
      <c r="A771" s="94" t="inlineStr">
        <is>
          <t>חאזם תלחמי</t>
        </is>
      </c>
      <c r="B771" s="94" t="n"/>
      <c r="C771" s="94" t="inlineStr">
        <is>
          <t>ס. פארם</t>
        </is>
      </c>
      <c r="D771" s="94" t="n"/>
      <c r="E771" s="94" t="inlineStr">
        <is>
          <t>ס.פ.צפת תרופות</t>
        </is>
      </c>
      <c r="F771" s="102" t="n"/>
      <c r="G771" s="102" t="n">
        <v>6504.5</v>
      </c>
      <c r="H771" s="95" t="n"/>
      <c r="I771" s="95" t="n"/>
      <c r="J771" s="94" t="n"/>
      <c r="K771" s="94" t="inlineStr">
        <is>
          <t>CHMI</t>
        </is>
      </c>
    </row>
    <row r="772" ht="15" customHeight="1" s="82">
      <c r="A772" s="94" t="inlineStr">
        <is>
          <t>חאזם תלחמי</t>
        </is>
      </c>
      <c r="B772" s="94" t="n"/>
      <c r="C772" s="94" t="inlineStr">
        <is>
          <t>ס. פארם</t>
        </is>
      </c>
      <c r="D772" s="94" t="n"/>
      <c r="E772" s="94" t="inlineStr">
        <is>
          <t>ס.פ.ארנה נהריה תרופות</t>
        </is>
      </c>
      <c r="F772" s="102" t="n"/>
      <c r="G772" s="102" t="n">
        <v>6789</v>
      </c>
      <c r="H772" s="95" t="n"/>
      <c r="I772" s="95" t="n"/>
      <c r="J772" s="94" t="n"/>
      <c r="K772" s="94" t="inlineStr">
        <is>
          <t>CHMI</t>
        </is>
      </c>
    </row>
    <row r="773" ht="15" customHeight="1" s="82">
      <c r="A773" s="94" t="inlineStr">
        <is>
          <t>חאזם תלחמי</t>
        </is>
      </c>
      <c r="B773" s="94" t="n"/>
      <c r="C773" s="94" t="inlineStr">
        <is>
          <t>ס. פארם</t>
        </is>
      </c>
      <c r="D773" s="94" t="n"/>
      <c r="E773" s="94" t="inlineStr">
        <is>
          <t>ס.פ.יפיע תרופות</t>
        </is>
      </c>
      <c r="F773" s="102" t="n"/>
      <c r="G773" s="102" t="n">
        <v>5757</v>
      </c>
      <c r="H773" s="95" t="n"/>
      <c r="I773" s="95" t="n"/>
      <c r="J773" s="94" t="n"/>
      <c r="K773" s="94" t="inlineStr">
        <is>
          <t>CHMI</t>
        </is>
      </c>
    </row>
    <row r="774" ht="15" customHeight="1" s="82">
      <c r="A774" s="94" t="inlineStr">
        <is>
          <t>חאזם תלחמי</t>
        </is>
      </c>
      <c r="B774" s="94" t="n"/>
      <c r="C774" s="94" t="inlineStr">
        <is>
          <t>ס. פארם</t>
        </is>
      </c>
      <c r="D774" s="94" t="n"/>
      <c r="E774" s="94" t="inlineStr">
        <is>
          <t>ס.פ. חיפה תרופות</t>
        </is>
      </c>
      <c r="F774" s="102" t="n"/>
      <c r="G774" s="102" t="n">
        <v>16393.1</v>
      </c>
      <c r="H774" s="95" t="n"/>
      <c r="I774" s="95" t="n"/>
      <c r="J774" s="94" t="n"/>
      <c r="K774" s="94" t="inlineStr">
        <is>
          <t>CHMI</t>
        </is>
      </c>
    </row>
    <row r="775" ht="15" customHeight="1" s="82">
      <c r="A775" s="94" t="inlineStr">
        <is>
          <t>חאזם תלחמי</t>
        </is>
      </c>
      <c r="B775" s="94" t="n"/>
      <c r="C775" s="94" t="inlineStr">
        <is>
          <t>ס. פארם</t>
        </is>
      </c>
      <c r="D775" s="94" t="n"/>
      <c r="E775" s="94" t="inlineStr">
        <is>
          <t>ס.פ. ביג צ'ק פוסט תרופות</t>
        </is>
      </c>
      <c r="F775" s="102" t="n"/>
      <c r="G775" s="102" t="n">
        <v>10935.3</v>
      </c>
      <c r="H775" s="95" t="n"/>
      <c r="I775" s="95" t="n"/>
      <c r="J775" s="94" t="n"/>
      <c r="K775" s="94" t="inlineStr">
        <is>
          <t>CHMI</t>
        </is>
      </c>
    </row>
    <row r="776" ht="15" customHeight="1" s="82">
      <c r="A776" s="94" t="inlineStr">
        <is>
          <t>חאזם תלחמי</t>
        </is>
      </c>
      <c r="B776" s="94" t="n"/>
      <c r="C776" s="94" t="inlineStr">
        <is>
          <t>ס. פארם</t>
        </is>
      </c>
      <c r="D776" s="94" t="n"/>
      <c r="E776" s="94" t="inlineStr">
        <is>
          <t>ס.פ.ביג אור עקיבא תרופות</t>
        </is>
      </c>
      <c r="F776" s="102" t="n"/>
      <c r="G776" s="102" t="n">
        <v>11607.5</v>
      </c>
      <c r="H776" s="95" t="n"/>
      <c r="I776" s="95" t="n"/>
      <c r="J776" s="94" t="n"/>
      <c r="K776" s="94" t="inlineStr">
        <is>
          <t>CHMI</t>
        </is>
      </c>
    </row>
    <row r="777" ht="15" customHeight="1" s="82">
      <c r="A777" s="94" t="inlineStr">
        <is>
          <t>חאזם תלחמי</t>
        </is>
      </c>
      <c r="B777" s="94" t="n"/>
      <c r="C777" s="94" t="inlineStr">
        <is>
          <t>ס. פארם</t>
        </is>
      </c>
      <c r="D777" s="94" t="n"/>
      <c r="E777" s="94" t="inlineStr">
        <is>
          <t>ס.פ.איינשטיין חיפה תרופות</t>
        </is>
      </c>
      <c r="F777" s="102" t="n"/>
      <c r="G777" s="102" t="n">
        <v>10056.6</v>
      </c>
      <c r="H777" s="95" t="n"/>
      <c r="I777" s="95" t="n"/>
      <c r="J777" s="94" t="n"/>
      <c r="K777" s="94" t="inlineStr">
        <is>
          <t>CHMI</t>
        </is>
      </c>
    </row>
    <row r="778" ht="15" customHeight="1" s="82">
      <c r="A778" s="94" t="inlineStr">
        <is>
          <t>חאזם תלחמי</t>
        </is>
      </c>
      <c r="B778" s="94" t="n"/>
      <c r="C778" s="94" t="inlineStr">
        <is>
          <t>ס. פארם</t>
        </is>
      </c>
      <c r="D778" s="94" t="n"/>
      <c r="E778" s="94" t="inlineStr">
        <is>
          <t>ס.פ.מול החוף חדרה תרופות</t>
        </is>
      </c>
      <c r="F778" s="102" t="n"/>
      <c r="G778" s="102" t="n">
        <v>5365.9</v>
      </c>
      <c r="H778" s="95" t="n"/>
      <c r="I778" s="95" t="n"/>
      <c r="J778" s="94" t="n"/>
      <c r="K778" s="94" t="inlineStr">
        <is>
          <t>CHMI</t>
        </is>
      </c>
    </row>
    <row r="779" ht="15" customHeight="1" s="82">
      <c r="A779" s="94" t="inlineStr">
        <is>
          <t>חאזם תלחמי</t>
        </is>
      </c>
      <c r="B779" s="94" t="n"/>
      <c r="C779" s="94" t="inlineStr">
        <is>
          <t>ס. פארם</t>
        </is>
      </c>
      <c r="D779" s="94" t="n"/>
      <c r="E779" s="94" t="inlineStr">
        <is>
          <t>BM ס.פ ירכא</t>
        </is>
      </c>
      <c r="F779" s="102" t="n"/>
      <c r="G779" s="102" t="n">
        <v>14103.6</v>
      </c>
      <c r="H779" s="95" t="n"/>
      <c r="I779" s="95" t="n"/>
      <c r="J779" s="94" t="n"/>
      <c r="K779" s="94" t="inlineStr">
        <is>
          <t>CHMI</t>
        </is>
      </c>
    </row>
    <row r="780" ht="15" customHeight="1" s="82">
      <c r="A780" s="94" t="inlineStr">
        <is>
          <t>חאזם תלחמי</t>
        </is>
      </c>
      <c r="B780" s="94" t="n"/>
      <c r="C780" s="94" t="inlineStr">
        <is>
          <t>ס. פארם</t>
        </is>
      </c>
      <c r="D780" s="94" t="n"/>
      <c r="E780" s="94" t="inlineStr">
        <is>
          <t>BM ס.פ חדרה שכונת הפארק</t>
        </is>
      </c>
      <c r="F780" s="102" t="n"/>
      <c r="G780" s="102" t="n">
        <v>8565</v>
      </c>
      <c r="H780" s="95" t="n"/>
      <c r="I780" s="95" t="n"/>
      <c r="J780" s="94" t="n"/>
      <c r="K780" s="94" t="inlineStr">
        <is>
          <t>CHMI</t>
        </is>
      </c>
    </row>
    <row r="781" ht="15" customHeight="1" s="82">
      <c r="A781" s="94" t="inlineStr">
        <is>
          <t>חאזם תלחמי</t>
        </is>
      </c>
      <c r="B781" s="94" t="n"/>
      <c r="C781" s="94" t="inlineStr">
        <is>
          <t>ס. פארם</t>
        </is>
      </c>
      <c r="D781" s="94" t="n"/>
      <c r="E781" s="94" t="inlineStr">
        <is>
          <t>BM ס.פ חריש</t>
        </is>
      </c>
      <c r="F781" s="102" t="n"/>
      <c r="G781" s="102" t="n">
        <v>7057.5</v>
      </c>
      <c r="H781" s="95" t="n"/>
      <c r="I781" s="95" t="n"/>
      <c r="J781" s="94" t="n"/>
      <c r="K781" s="94" t="inlineStr">
        <is>
          <t>CHMI</t>
        </is>
      </c>
    </row>
    <row r="782" ht="15" customHeight="1" s="82">
      <c r="A782" s="94" t="inlineStr">
        <is>
          <t>חאזם תלחמי</t>
        </is>
      </c>
      <c r="B782" s="94" t="n"/>
      <c r="C782" s="94" t="inlineStr">
        <is>
          <t>ס. פארם</t>
        </is>
      </c>
      <c r="D782" s="94" t="n"/>
      <c r="E782" s="94" t="inlineStr">
        <is>
          <t>BM ס.פ הר יונה</t>
        </is>
      </c>
      <c r="F782" s="102" t="n"/>
      <c r="G782" s="102" t="n">
        <v>3506.3</v>
      </c>
      <c r="H782" s="95" t="n"/>
      <c r="I782" s="95" t="n"/>
      <c r="J782" s="94" t="n"/>
      <c r="K782" s="94" t="inlineStr">
        <is>
          <t>CHMI</t>
        </is>
      </c>
    </row>
    <row r="783" ht="15" customHeight="1" s="82">
      <c r="A783" s="94" t="inlineStr">
        <is>
          <t>חאזם תלחמי</t>
        </is>
      </c>
      <c r="B783" s="94" t="n"/>
      <c r="C783" s="94" t="inlineStr">
        <is>
          <t>ס. פארם</t>
        </is>
      </c>
      <c r="D783" s="94" t="n"/>
      <c r="E783" s="94" t="inlineStr">
        <is>
          <t>BM ס.פ ראש פינה</t>
        </is>
      </c>
      <c r="F783" s="102" t="n"/>
      <c r="G783" s="102" t="n">
        <v>4317.2</v>
      </c>
      <c r="H783" s="95" t="n"/>
      <c r="I783" s="95" t="n"/>
      <c r="J783" s="94" t="n"/>
      <c r="K783" s="94" t="inlineStr">
        <is>
          <t>CHMI</t>
        </is>
      </c>
    </row>
    <row r="784" ht="15" customHeight="1" s="82">
      <c r="A784" s="94" t="inlineStr">
        <is>
          <t>חאזם תלחמי</t>
        </is>
      </c>
      <c r="B784" s="94" t="n"/>
      <c r="C784" s="94" t="inlineStr">
        <is>
          <t>ס. פארם</t>
        </is>
      </c>
      <c r="D784" s="94" t="n"/>
      <c r="E784" s="94" t="inlineStr">
        <is>
          <t>BM ס.פ גושן קרית מוצקין</t>
        </is>
      </c>
      <c r="F784" s="102" t="n"/>
      <c r="G784" s="102" t="n">
        <v>5605</v>
      </c>
      <c r="H784" s="95" t="n"/>
      <c r="I784" s="95" t="n"/>
      <c r="J784" s="94" t="n"/>
      <c r="K784" s="94" t="inlineStr">
        <is>
          <t>CHMI</t>
        </is>
      </c>
    </row>
    <row r="785" ht="15" customHeight="1" s="82">
      <c r="A785" s="94" t="inlineStr">
        <is>
          <t>חאזם תלחמי</t>
        </is>
      </c>
      <c r="B785" s="94" t="n"/>
      <c r="C785" s="94" t="inlineStr">
        <is>
          <t>ס. פארם</t>
        </is>
      </c>
      <c r="D785" s="94" t="n"/>
      <c r="E785" s="94" t="inlineStr">
        <is>
          <t>BM ס.פ קניון אורות</t>
        </is>
      </c>
      <c r="F785" s="102" t="n"/>
      <c r="G785" s="102" t="n">
        <v>9877.299999999999</v>
      </c>
      <c r="H785" s="95" t="n"/>
      <c r="I785" s="95" t="n"/>
      <c r="J785" s="94" t="n"/>
      <c r="K785" s="94" t="inlineStr">
        <is>
          <t>CHMI</t>
        </is>
      </c>
    </row>
    <row r="786" ht="15" customHeight="1" s="82">
      <c r="A786" s="94" t="inlineStr">
        <is>
          <t>חאזם תלחמי</t>
        </is>
      </c>
      <c r="B786" s="94" t="n"/>
      <c r="C786" s="94" t="inlineStr">
        <is>
          <t>ס. פארם</t>
        </is>
      </c>
      <c r="D786" s="94" t="n"/>
      <c r="E786" s="94" t="inlineStr">
        <is>
          <t>BM ס.פ רכבת עפולה</t>
        </is>
      </c>
      <c r="F786" s="102" t="n"/>
      <c r="G786" s="102" t="n">
        <v>7471.7</v>
      </c>
      <c r="H786" s="95" t="n"/>
      <c r="I786" s="95" t="n"/>
      <c r="J786" s="94" t="n"/>
      <c r="K786" s="94" t="inlineStr">
        <is>
          <t>CHMI</t>
        </is>
      </c>
    </row>
    <row r="787" ht="15" customHeight="1" s="82">
      <c r="A787" s="94" t="inlineStr">
        <is>
          <t>חאזם תלחמי</t>
        </is>
      </c>
      <c r="B787" s="94" t="n"/>
      <c r="C787" s="94" t="inlineStr">
        <is>
          <t>ס. פארם</t>
        </is>
      </c>
      <c r="D787" s="94" t="n"/>
      <c r="E787" s="94" t="inlineStr">
        <is>
          <t>BM ס.פ דלית אל כרמל</t>
        </is>
      </c>
      <c r="F787" s="102" t="n"/>
      <c r="G787" s="102" t="n">
        <v>7007.4</v>
      </c>
      <c r="H787" s="95" t="n"/>
      <c r="I787" s="95" t="n"/>
      <c r="J787" s="94" t="n"/>
      <c r="K787" s="94" t="inlineStr">
        <is>
          <t>CHMI</t>
        </is>
      </c>
    </row>
    <row r="788" ht="15" customHeight="1" s="82">
      <c r="A788" s="94" t="inlineStr">
        <is>
          <t>חאזם תלחמי</t>
        </is>
      </c>
      <c r="B788" s="94" t="n"/>
      <c r="C788" s="94" t="inlineStr">
        <is>
          <t>ס. פארם</t>
        </is>
      </c>
      <c r="D788" s="94" t="n"/>
      <c r="E788" s="94" t="inlineStr">
        <is>
          <t>BM ס.פ כפר כנא</t>
        </is>
      </c>
      <c r="F788" s="102" t="n"/>
      <c r="G788" s="102" t="n">
        <v>4153</v>
      </c>
      <c r="H788" s="95" t="n"/>
      <c r="I788" s="95" t="n"/>
      <c r="J788" s="94" t="n"/>
      <c r="K788" s="94" t="inlineStr">
        <is>
          <t>CHMI</t>
        </is>
      </c>
    </row>
    <row r="789" ht="15" customHeight="1" s="82">
      <c r="A789" s="94" t="inlineStr">
        <is>
          <t>חאזם תלחמי</t>
        </is>
      </c>
      <c r="B789" s="94" t="n"/>
      <c r="C789" s="94" t="inlineStr">
        <is>
          <t>ס. פארם</t>
        </is>
      </c>
      <c r="D789" s="94" t="n"/>
      <c r="E789" s="94" t="inlineStr">
        <is>
          <t>BM ס.פ באקה סנטר</t>
        </is>
      </c>
      <c r="F789" s="102" t="n"/>
      <c r="G789" s="102" t="n">
        <v>4079.3</v>
      </c>
      <c r="H789" s="95" t="n"/>
      <c r="I789" s="95" t="n"/>
      <c r="J789" s="94" t="n"/>
      <c r="K789" s="94" t="inlineStr">
        <is>
          <t>CHMI</t>
        </is>
      </c>
    </row>
    <row r="790" ht="15" customHeight="1" s="82">
      <c r="A790" s="94" t="inlineStr">
        <is>
          <t>חאזם תלחמי</t>
        </is>
      </c>
      <c r="B790" s="94" t="n"/>
      <c r="C790" s="94" t="inlineStr">
        <is>
          <t>ס. פארם</t>
        </is>
      </c>
      <c r="D790" s="94" t="n"/>
      <c r="E790" s="94" t="inlineStr">
        <is>
          <t>BM ס.פ מול כנרת צמח</t>
        </is>
      </c>
      <c r="F790" s="102" t="n"/>
      <c r="G790" s="102" t="n">
        <v>20586.2</v>
      </c>
      <c r="H790" s="95" t="n"/>
      <c r="I790" s="95" t="n"/>
      <c r="J790" s="94" t="n"/>
      <c r="K790" s="94" t="inlineStr">
        <is>
          <t>CHMI</t>
        </is>
      </c>
    </row>
    <row r="791" ht="15" customHeight="1" s="82">
      <c r="A791" s="94" t="inlineStr">
        <is>
          <t>חאזם תלחמי</t>
        </is>
      </c>
      <c r="B791" s="94" t="n"/>
      <c r="C791" s="94" t="inlineStr">
        <is>
          <t>ס. פארם</t>
        </is>
      </c>
      <c r="D791" s="94" t="n"/>
      <c r="E791" s="94" t="inlineStr">
        <is>
          <t>BM ס.פ דושי סנטר נצרת</t>
        </is>
      </c>
      <c r="F791" s="102" t="n"/>
      <c r="G791" s="102" t="n">
        <v>2816.3</v>
      </c>
      <c r="H791" s="95" t="n"/>
      <c r="I791" s="95" t="n"/>
      <c r="J791" s="94" t="n"/>
      <c r="K791" s="94" t="inlineStr">
        <is>
          <t>CHMI</t>
        </is>
      </c>
    </row>
    <row r="792" ht="15" customHeight="1" s="82">
      <c r="A792" s="94" t="inlineStr">
        <is>
          <t>חאזם תלחמי</t>
        </is>
      </c>
      <c r="B792" s="94" t="n"/>
      <c r="C792" s="94" t="inlineStr">
        <is>
          <t>ס. פארם</t>
        </is>
      </c>
      <c r="D792" s="94" t="n"/>
      <c r="E792" s="94" t="inlineStr">
        <is>
          <t>BM ס.פ כפר קרע</t>
        </is>
      </c>
      <c r="F792" s="102" t="n"/>
      <c r="G792" s="102" t="n">
        <v>6502.8</v>
      </c>
      <c r="H792" s="95" t="n"/>
      <c r="I792" s="95" t="n"/>
      <c r="J792" s="94" t="n"/>
      <c r="K792" s="94" t="inlineStr">
        <is>
          <t>CHMI</t>
        </is>
      </c>
    </row>
    <row r="793" ht="15" customHeight="1" s="82">
      <c r="A793" s="94" t="inlineStr">
        <is>
          <t>חאזם תלחמי</t>
        </is>
      </c>
      <c r="B793" s="94" t="n"/>
      <c r="C793" s="94" t="inlineStr">
        <is>
          <t>ס. פארם</t>
        </is>
      </c>
      <c r="D793" s="94" t="n"/>
      <c r="E793" s="94" t="inlineStr">
        <is>
          <t>BM ס.פ ג'דיידה מכר</t>
        </is>
      </c>
      <c r="F793" s="102" t="n"/>
      <c r="G793" s="102" t="n">
        <v>4360.4</v>
      </c>
      <c r="H793" s="95" t="n"/>
      <c r="I793" s="95" t="n"/>
      <c r="J793" s="94" t="n"/>
      <c r="K793" s="94" t="inlineStr">
        <is>
          <t>CHMI</t>
        </is>
      </c>
    </row>
    <row r="794" ht="15" customHeight="1" s="82">
      <c r="A794" s="94" t="inlineStr">
        <is>
          <t>חאזם תלחמי</t>
        </is>
      </c>
      <c r="B794" s="94" t="n"/>
      <c r="C794" s="94" t="inlineStr">
        <is>
          <t>ס. פארם</t>
        </is>
      </c>
      <c r="D794" s="94" t="n"/>
      <c r="E794" s="94" t="inlineStr">
        <is>
          <t>BM ס.פ יוקלר עפולה</t>
        </is>
      </c>
      <c r="F794" s="102" t="n"/>
      <c r="G794" s="102" t="n">
        <v>2375.5</v>
      </c>
      <c r="H794" s="95" t="n"/>
      <c r="I794" s="95" t="n"/>
      <c r="J794" s="94" t="n"/>
      <c r="K794" s="94" t="inlineStr">
        <is>
          <t>CHMI</t>
        </is>
      </c>
    </row>
    <row r="795" ht="15" customHeight="1" s="82">
      <c r="A795" s="94" t="inlineStr">
        <is>
          <t>חאזם תלחמי</t>
        </is>
      </c>
      <c r="B795" s="94" t="n"/>
      <c r="C795" s="94" t="inlineStr">
        <is>
          <t>ס. פארם</t>
        </is>
      </c>
      <c r="D795" s="94" t="n"/>
      <c r="E795" s="94" t="inlineStr">
        <is>
          <t>BM ס.פ עראבה</t>
        </is>
      </c>
      <c r="F795" s="102" t="n"/>
      <c r="G795" s="102" t="n">
        <v>7884.7</v>
      </c>
      <c r="H795" s="95" t="n"/>
      <c r="I795" s="95" t="n"/>
      <c r="J795" s="94" t="n"/>
      <c r="K795" s="94" t="inlineStr">
        <is>
          <t>CHMI</t>
        </is>
      </c>
    </row>
    <row r="796" ht="15" customHeight="1" s="82">
      <c r="A796" s="94" t="inlineStr">
        <is>
          <t>חאזם תלחמי</t>
        </is>
      </c>
      <c r="B796" s="94" t="n"/>
      <c r="C796" s="94" t="inlineStr">
        <is>
          <t>ס. פארם</t>
        </is>
      </c>
      <c r="D796" s="94" t="n"/>
      <c r="E796" s="94" t="inlineStr">
        <is>
          <t>671 BM ס.פ פבריק עמק חפר</t>
        </is>
      </c>
      <c r="F796" s="102" t="n"/>
      <c r="G796" s="102" t="n">
        <v>41267.4</v>
      </c>
      <c r="H796" s="95" t="n"/>
      <c r="I796" s="95" t="n"/>
      <c r="J796" s="94" t="n"/>
      <c r="K796" s="94" t="inlineStr">
        <is>
          <t>CHMI</t>
        </is>
      </c>
    </row>
    <row r="797" ht="15" customHeight="1" s="82">
      <c r="A797" s="94" t="inlineStr">
        <is>
          <t>חאזם תלחמי</t>
        </is>
      </c>
      <c r="B797" s="94" t="n"/>
      <c r="C797" s="94" t="inlineStr">
        <is>
          <t>ס. פארם</t>
        </is>
      </c>
      <c r="D797" s="94" t="n"/>
      <c r="E797" s="94" t="inlineStr">
        <is>
          <t>BM ס.פ חריש בעיר</t>
        </is>
      </c>
      <c r="F797" s="102" t="n"/>
      <c r="G797" s="102" t="n">
        <v>9129</v>
      </c>
      <c r="H797" s="95" t="n"/>
      <c r="I797" s="95" t="n"/>
      <c r="J797" s="94" t="n"/>
      <c r="K797" s="94" t="inlineStr">
        <is>
          <t>CHMI</t>
        </is>
      </c>
    </row>
    <row r="798" ht="15" customHeight="1" s="82">
      <c r="A798" s="94" t="inlineStr">
        <is>
          <t>חאזם תלחמי</t>
        </is>
      </c>
      <c r="B798" s="94" t="n"/>
      <c r="C798" s="94" t="inlineStr">
        <is>
          <t>ס. פארם</t>
        </is>
      </c>
      <c r="D798" s="94" t="n"/>
      <c r="E798" s="94" t="inlineStr">
        <is>
          <t>BM ק. ים SEA ס.פ</t>
        </is>
      </c>
      <c r="F798" s="102" t="n"/>
      <c r="G798" s="102" t="n">
        <v>5187.3</v>
      </c>
      <c r="H798" s="95" t="n"/>
      <c r="I798" s="95" t="n"/>
      <c r="J798" s="94" t="n"/>
      <c r="K798" s="94" t="inlineStr">
        <is>
          <t>CHMI</t>
        </is>
      </c>
    </row>
    <row r="799" ht="15" customHeight="1" s="82">
      <c r="A799" s="94" t="inlineStr">
        <is>
          <t>חאזם תלחמי</t>
        </is>
      </c>
      <c r="B799" s="94" t="n"/>
      <c r="C799" s="94" t="inlineStr">
        <is>
          <t>ס. פארם</t>
        </is>
      </c>
      <c r="D799" s="94" t="n"/>
      <c r="E799" s="94" t="inlineStr">
        <is>
          <t>BM ס.פ גבעת אלונים</t>
        </is>
      </c>
      <c r="F799" s="102" t="n"/>
      <c r="G799" s="102" t="n">
        <v>1815.5</v>
      </c>
      <c r="H799" s="95" t="n"/>
      <c r="I799" s="95" t="n"/>
      <c r="J799" s="94" t="n"/>
      <c r="K799" s="94" t="inlineStr">
        <is>
          <t>CHMI</t>
        </is>
      </c>
    </row>
    <row r="800" ht="15" customHeight="1" s="82">
      <c r="A800" s="94" t="inlineStr">
        <is>
          <t>חאזם תלחמי</t>
        </is>
      </c>
      <c r="B800" s="94" t="n"/>
      <c r="C800" s="94" t="inlineStr">
        <is>
          <t>ס. פארם</t>
        </is>
      </c>
      <c r="D800" s="94" t="n"/>
      <c r="E800" s="94" t="inlineStr">
        <is>
          <t>BM ס.פ אעבלין</t>
        </is>
      </c>
      <c r="F800" s="102" t="n"/>
      <c r="G800" s="102" t="n">
        <v>3026.2</v>
      </c>
      <c r="H800" s="95" t="n"/>
      <c r="I800" s="95" t="n"/>
      <c r="J800" s="94" t="n"/>
      <c r="K800" s="94" t="inlineStr">
        <is>
          <t>CHMI</t>
        </is>
      </c>
    </row>
    <row r="801" ht="15" customHeight="1" s="82">
      <c r="A801" s="94" t="inlineStr">
        <is>
          <t>חאזם תלחמי</t>
        </is>
      </c>
      <c r="B801" s="94" t="n"/>
      <c r="C801" s="94" t="inlineStr">
        <is>
          <t>ס. פארם</t>
        </is>
      </c>
      <c r="D801" s="94" t="n"/>
      <c r="E801" s="94" t="inlineStr">
        <is>
          <t>BM ס.פ פארק תעשיות עמק חפר</t>
        </is>
      </c>
      <c r="F801" s="102" t="n"/>
      <c r="G801" s="102" t="n">
        <v>-995.5</v>
      </c>
      <c r="H801" s="95" t="n"/>
      <c r="I801" s="95" t="n"/>
      <c r="J801" s="94" t="n"/>
      <c r="K801" s="94" t="inlineStr">
        <is>
          <t>CHMI</t>
        </is>
      </c>
    </row>
    <row r="802" ht="15" customHeight="1" s="82">
      <c r="A802" s="94" t="inlineStr">
        <is>
          <t>חאזם תלחמי</t>
        </is>
      </c>
      <c r="B802" s="94" t="n"/>
      <c r="C802" s="94" t="inlineStr">
        <is>
          <t>ס. פארם</t>
        </is>
      </c>
      <c r="D802" s="94" t="n"/>
      <c r="E802" s="94" t="inlineStr">
        <is>
          <t>BM ס.פ הבנקים חיפה</t>
        </is>
      </c>
      <c r="F802" s="102" t="n"/>
      <c r="G802" s="102" t="n">
        <v>3940.4</v>
      </c>
      <c r="H802" s="95" t="n"/>
      <c r="I802" s="95" t="n"/>
      <c r="J802" s="94" t="n"/>
      <c r="K802" s="94" t="inlineStr">
        <is>
          <t>CHMI</t>
        </is>
      </c>
    </row>
    <row r="803" ht="15" customHeight="1" s="82">
      <c r="A803" s="94" t="inlineStr">
        <is>
          <t>חאזם תלחמי</t>
        </is>
      </c>
      <c r="B803" s="94" t="n"/>
      <c r="C803" s="94" t="inlineStr">
        <is>
          <t>ס. פארם</t>
        </is>
      </c>
      <c r="D803" s="94" t="n"/>
      <c r="E803" s="94" t="inlineStr">
        <is>
          <t>BM ס.פ ביג מגדל העמק</t>
        </is>
      </c>
      <c r="F803" s="102" t="n"/>
      <c r="G803" s="102" t="n">
        <v>6794</v>
      </c>
      <c r="H803" s="95" t="n"/>
      <c r="I803" s="95" t="n"/>
      <c r="J803" s="94" t="n"/>
      <c r="K803" s="94" t="inlineStr">
        <is>
          <t>CHMI</t>
        </is>
      </c>
    </row>
    <row r="804" ht="15" customHeight="1" s="82">
      <c r="A804" s="94" t="inlineStr">
        <is>
          <t>חאזם תלחמי</t>
        </is>
      </c>
      <c r="B804" s="94" t="n"/>
      <c r="C804" s="94" t="inlineStr">
        <is>
          <t>ס. פארם</t>
        </is>
      </c>
      <c r="D804" s="94" t="n"/>
      <c r="E804" s="94" t="inlineStr">
        <is>
          <t>BM ס.פ אפקה קרית ביאליק</t>
        </is>
      </c>
      <c r="F804" s="102" t="n"/>
      <c r="G804" s="102" t="n">
        <v>2209.3</v>
      </c>
      <c r="H804" s="95" t="n"/>
      <c r="I804" s="95" t="n"/>
      <c r="J804" s="94" t="n"/>
      <c r="K804" s="94" t="inlineStr">
        <is>
          <t>CHMI</t>
        </is>
      </c>
    </row>
    <row r="805" ht="15" customHeight="1" s="82">
      <c r="A805" s="94" t="inlineStr">
        <is>
          <t>חאזם תלחמי</t>
        </is>
      </c>
      <c r="B805" s="94" t="n"/>
      <c r="C805" s="94" t="inlineStr">
        <is>
          <t>ס. פארם</t>
        </is>
      </c>
      <c r="D805" s="94" t="n"/>
      <c r="E805" s="94" t="inlineStr">
        <is>
          <t>BM ס.פ צים טמרה</t>
        </is>
      </c>
      <c r="F805" s="102" t="n"/>
      <c r="G805" s="102" t="n">
        <v>4665</v>
      </c>
      <c r="H805" s="95" t="n"/>
      <c r="I805" s="95" t="n"/>
      <c r="J805" s="94" t="n"/>
      <c r="K805" s="94" t="inlineStr">
        <is>
          <t>CHMI</t>
        </is>
      </c>
    </row>
    <row r="806" ht="15" customHeight="1" s="82">
      <c r="A806" s="94" t="inlineStr">
        <is>
          <t>חאזם תלחמי</t>
        </is>
      </c>
      <c r="B806" s="94" t="n"/>
      <c r="C806" s="94" t="inlineStr">
        <is>
          <t>ס. פארם</t>
        </is>
      </c>
      <c r="D806" s="94" t="n"/>
      <c r="E806" s="94" t="inlineStr">
        <is>
          <t>BM ס.פ האומנים קרית מוצקין</t>
        </is>
      </c>
      <c r="F806" s="102" t="n"/>
      <c r="G806" s="102" t="n">
        <v>1149.7</v>
      </c>
      <c r="H806" s="95" t="n"/>
      <c r="I806" s="95" t="n"/>
      <c r="J806" s="94" t="n"/>
      <c r="K806" s="94" t="inlineStr">
        <is>
          <t>CHMI</t>
        </is>
      </c>
    </row>
    <row r="807" ht="15" customHeight="1" s="82">
      <c r="A807" s="94" t="inlineStr">
        <is>
          <t>חאזם תלחמי</t>
        </is>
      </c>
      <c r="B807" s="94" t="n"/>
      <c r="C807" s="94" t="inlineStr">
        <is>
          <t>שופרסל BE</t>
        </is>
      </c>
      <c r="D807" s="94" t="n"/>
      <c r="E807" s="94" t="inlineStr">
        <is>
          <t>650 חיפה BE</t>
        </is>
      </c>
      <c r="F807" s="102" t="n"/>
      <c r="G807" s="102" t="n">
        <v>21263.9</v>
      </c>
      <c r="H807" s="95" t="n"/>
      <c r="I807" s="95" t="n"/>
      <c r="J807" s="94" t="n"/>
      <c r="K807" s="94" t="inlineStr">
        <is>
          <t>CHMI</t>
        </is>
      </c>
    </row>
    <row r="808" ht="15" customHeight="1" s="82">
      <c r="A808" s="94" t="inlineStr">
        <is>
          <t>חאזם תלחמי</t>
        </is>
      </c>
      <c r="B808" s="94" t="n"/>
      <c r="C808" s="94" t="inlineStr">
        <is>
          <t>שופרסל BE</t>
        </is>
      </c>
      <c r="D808" s="94" t="n"/>
      <c r="E808" s="94" t="inlineStr">
        <is>
          <t>659 פארם הדר חיפה BE</t>
        </is>
      </c>
      <c r="F808" s="102" t="n"/>
      <c r="G808" s="102" t="n">
        <v>5019.8</v>
      </c>
      <c r="H808" s="95" t="n"/>
      <c r="I808" s="95" t="n"/>
      <c r="J808" s="94" t="n"/>
      <c r="K808" s="94" t="inlineStr">
        <is>
          <t>CHMI</t>
        </is>
      </c>
    </row>
    <row r="809" ht="15" customHeight="1" s="82">
      <c r="A809" s="94" t="inlineStr">
        <is>
          <t>חאזם תלחמי</t>
        </is>
      </c>
      <c r="B809" s="94" t="n"/>
      <c r="C809" s="94" t="inlineStr">
        <is>
          <t>שופרסל BE</t>
        </is>
      </c>
      <c r="D809" s="94" t="n"/>
      <c r="E809" s="94" t="inlineStr">
        <is>
          <t>633 תל חנן נשר BE</t>
        </is>
      </c>
      <c r="F809" s="102" t="n"/>
      <c r="G809" s="102" t="n">
        <v>7251.7</v>
      </c>
      <c r="H809" s="95" t="n"/>
      <c r="I809" s="95" t="n"/>
      <c r="J809" s="94" t="n"/>
      <c r="K809" s="94" t="inlineStr">
        <is>
          <t>CHMI</t>
        </is>
      </c>
    </row>
    <row r="810" ht="15" customHeight="1" s="82">
      <c r="A810" s="94" t="inlineStr">
        <is>
          <t>חאזם תלחמי</t>
        </is>
      </c>
      <c r="B810" s="94" t="n"/>
      <c r="C810" s="94" t="inlineStr">
        <is>
          <t>שופרסל BE</t>
        </is>
      </c>
      <c r="D810" s="94" t="n"/>
      <c r="E810" s="94" t="inlineStr">
        <is>
          <t>638 משמר השרון BE</t>
        </is>
      </c>
      <c r="F810" s="102" t="n"/>
      <c r="G810" s="102" t="n">
        <v>22837.6</v>
      </c>
      <c r="H810" s="95" t="n"/>
      <c r="I810" s="95" t="n"/>
      <c r="J810" s="94" t="n"/>
      <c r="K810" s="94" t="inlineStr">
        <is>
          <t>CHMI</t>
        </is>
      </c>
    </row>
    <row r="811" ht="15" customHeight="1" s="82">
      <c r="A811" s="94" t="inlineStr">
        <is>
          <t>חאזם תלחמי</t>
        </is>
      </c>
      <c r="B811" s="94" t="n"/>
      <c r="C811" s="94" t="inlineStr">
        <is>
          <t>שופרסל BE</t>
        </is>
      </c>
      <c r="D811" s="94" t="n"/>
      <c r="E811" s="94" t="inlineStr">
        <is>
          <t>640 דלית אל כרמל BE</t>
        </is>
      </c>
      <c r="F811" s="102" t="n"/>
      <c r="G811" s="102" t="n">
        <v>11115.8</v>
      </c>
      <c r="H811" s="95" t="n"/>
      <c r="I811" s="95" t="n"/>
      <c r="J811" s="94" t="n"/>
      <c r="K811" s="94" t="inlineStr">
        <is>
          <t>CHMI</t>
        </is>
      </c>
    </row>
    <row r="812" ht="15" customHeight="1" s="82">
      <c r="A812" s="94" t="inlineStr">
        <is>
          <t>חאזם תלחמי</t>
        </is>
      </c>
      <c r="B812" s="94" t="n"/>
      <c r="C812" s="94" t="inlineStr">
        <is>
          <t>שופרסל BE</t>
        </is>
      </c>
      <c r="D812" s="94" t="n"/>
      <c r="E812" s="94" t="inlineStr">
        <is>
          <t>673 פנורמה חיפה BE</t>
        </is>
      </c>
      <c r="F812" s="102" t="n"/>
      <c r="G812" s="102" t="n">
        <v>1746.6</v>
      </c>
      <c r="H812" s="95" t="n"/>
      <c r="I812" s="95" t="n"/>
      <c r="J812" s="94" t="n"/>
      <c r="K812" s="94" t="inlineStr">
        <is>
          <t>CHMI</t>
        </is>
      </c>
    </row>
    <row r="813" ht="15" customHeight="1" s="82">
      <c r="A813" s="94" t="inlineStr">
        <is>
          <t>חאזם תלחמי</t>
        </is>
      </c>
      <c r="B813" s="94" t="n"/>
      <c r="C813" s="94" t="inlineStr">
        <is>
          <t>שופרסל BE</t>
        </is>
      </c>
      <c r="D813" s="94" t="n"/>
      <c r="E813" s="94" t="inlineStr">
        <is>
          <t>635 ראש פינה BE</t>
        </is>
      </c>
      <c r="F813" s="102" t="n"/>
      <c r="G813" s="102" t="n">
        <v>6157.7</v>
      </c>
      <c r="H813" s="95" t="n"/>
      <c r="I813" s="95" t="n"/>
      <c r="J813" s="94" t="n"/>
      <c r="K813" s="94" t="inlineStr">
        <is>
          <t>CHMI</t>
        </is>
      </c>
    </row>
    <row r="814" ht="15" customHeight="1" s="82">
      <c r="A814" s="94" t="inlineStr">
        <is>
          <t>חאזם תלחמי</t>
        </is>
      </c>
      <c r="B814" s="94" t="n"/>
      <c r="C814" s="94" t="inlineStr">
        <is>
          <t>שופרסל BE</t>
        </is>
      </c>
      <c r="D814" s="94" t="n"/>
      <c r="E814" s="94" t="inlineStr">
        <is>
          <t>658   קרית אתא BE</t>
        </is>
      </c>
      <c r="F814" s="102" t="n"/>
      <c r="G814" s="102" t="n">
        <v>179.4</v>
      </c>
      <c r="H814" s="95" t="n"/>
      <c r="I814" s="95" t="n"/>
      <c r="J814" s="94" t="n"/>
      <c r="K814" s="94" t="inlineStr">
        <is>
          <t>CHMI</t>
        </is>
      </c>
    </row>
    <row r="815" ht="15" customHeight="1" s="82">
      <c r="A815" s="94" t="inlineStr">
        <is>
          <t>חאזם תלחמי</t>
        </is>
      </c>
      <c r="B815" s="94" t="n"/>
      <c r="C815" s="94" t="inlineStr">
        <is>
          <t>שופרסל BE</t>
        </is>
      </c>
      <c r="D815" s="94" t="n"/>
      <c r="E815" s="94" t="inlineStr">
        <is>
          <t>697 ירכא BE</t>
        </is>
      </c>
      <c r="F815" s="102" t="n"/>
      <c r="G815" s="102" t="n">
        <v>10992.7</v>
      </c>
      <c r="H815" s="95" t="n"/>
      <c r="I815" s="95" t="n"/>
      <c r="J815" s="94" t="n"/>
      <c r="K815" s="94" t="inlineStr">
        <is>
          <t>CHMI</t>
        </is>
      </c>
    </row>
    <row r="816" ht="15" customHeight="1" s="82">
      <c r="A816" s="94" t="inlineStr">
        <is>
          <t>חאזם תלחמי</t>
        </is>
      </c>
      <c r="B816" s="94" t="n"/>
      <c r="C816" s="94" t="inlineStr">
        <is>
          <t>שופרסל BE</t>
        </is>
      </c>
      <c r="D816" s="94" t="n"/>
      <c r="E816" s="94" t="inlineStr">
        <is>
          <t>642 אלונים טבעון BE</t>
        </is>
      </c>
      <c r="F816" s="102" t="n"/>
      <c r="G816" s="102" t="n">
        <v>6458.2</v>
      </c>
      <c r="H816" s="95" t="n"/>
      <c r="I816" s="95" t="n"/>
      <c r="J816" s="94" t="n"/>
      <c r="K816" s="94" t="inlineStr">
        <is>
          <t>CHMI</t>
        </is>
      </c>
    </row>
    <row r="817" ht="15" customHeight="1" s="82">
      <c r="A817" s="94" t="inlineStr">
        <is>
          <t>חאזם תלחמי</t>
        </is>
      </c>
      <c r="B817" s="94" t="n"/>
      <c r="C817" s="94" t="inlineStr">
        <is>
          <t>שופרסל BE</t>
        </is>
      </c>
      <c r="D817" s="94" t="n"/>
      <c r="E817" s="94" t="inlineStr">
        <is>
          <t>676   יקנעם BE</t>
        </is>
      </c>
      <c r="F817" s="102" t="n"/>
      <c r="G817" s="102" t="n">
        <v>14554</v>
      </c>
      <c r="H817" s="95" t="n"/>
      <c r="I817" s="95" t="n"/>
      <c r="J817" s="94" t="n"/>
      <c r="K817" s="94" t="inlineStr">
        <is>
          <t>CHMI</t>
        </is>
      </c>
    </row>
    <row r="818" ht="15" customHeight="1" s="82">
      <c r="A818" s="94" t="inlineStr">
        <is>
          <t>חאזם תלחמי</t>
        </is>
      </c>
      <c r="B818" s="94" t="n"/>
      <c r="C818" s="94" t="inlineStr">
        <is>
          <t>שופרסל BE</t>
        </is>
      </c>
      <c r="D818" s="94" t="n"/>
      <c r="E818" s="94" t="inlineStr">
        <is>
          <t>649  פארם עכו BE</t>
        </is>
      </c>
      <c r="F818" s="102" t="n"/>
      <c r="G818" s="102" t="n">
        <v>3983.1</v>
      </c>
      <c r="H818" s="95" t="n"/>
      <c r="I818" s="95" t="n"/>
      <c r="J818" s="94" t="n"/>
      <c r="K818" s="94" t="inlineStr">
        <is>
          <t>CHMI</t>
        </is>
      </c>
    </row>
    <row r="819" ht="15" customHeight="1" s="82">
      <c r="A819" s="94" t="inlineStr">
        <is>
          <t>חאזם תלחמי</t>
        </is>
      </c>
      <c r="B819" s="94" t="n"/>
      <c r="C819" s="94" t="inlineStr">
        <is>
          <t>שופרסל BE</t>
        </is>
      </c>
      <c r="D819" s="94" t="n"/>
      <c r="E819" s="94" t="inlineStr">
        <is>
          <t>617 (נוף הגליל )נצרת BE</t>
        </is>
      </c>
      <c r="F819" s="102" t="n"/>
      <c r="G819" s="102" t="n">
        <v>3160.2</v>
      </c>
      <c r="H819" s="95" t="n"/>
      <c r="I819" s="95" t="n"/>
      <c r="J819" s="94" t="n"/>
      <c r="K819" s="94" t="inlineStr">
        <is>
          <t>CHMI</t>
        </is>
      </c>
    </row>
    <row r="820" ht="15" customHeight="1" s="82">
      <c r="A820" s="94" t="inlineStr">
        <is>
          <t>חאזם תלחמי</t>
        </is>
      </c>
      <c r="B820" s="94" t="n"/>
      <c r="C820" s="94" t="inlineStr">
        <is>
          <t>שופרסל BE</t>
        </is>
      </c>
      <c r="D820" s="94" t="n"/>
      <c r="E820" s="94" t="inlineStr">
        <is>
          <t>678 עפולה BE</t>
        </is>
      </c>
      <c r="F820" s="102" t="n"/>
      <c r="G820" s="102" t="n">
        <v>5883.6</v>
      </c>
      <c r="H820" s="95" t="n"/>
      <c r="I820" s="95" t="n"/>
      <c r="J820" s="94" t="n"/>
      <c r="K820" s="94" t="inlineStr">
        <is>
          <t>CHMI</t>
        </is>
      </c>
    </row>
    <row r="821" ht="15" customHeight="1" s="82">
      <c r="A821" s="94" t="inlineStr">
        <is>
          <t>חאזם תלחמי</t>
        </is>
      </c>
      <c r="B821" s="94" t="n"/>
      <c r="C821" s="94" t="inlineStr">
        <is>
          <t>שופרסל BE</t>
        </is>
      </c>
      <c r="D821" s="94" t="n"/>
      <c r="E821" s="94" t="inlineStr">
        <is>
          <t>613 נהריה BE</t>
        </is>
      </c>
      <c r="F821" s="102" t="n"/>
      <c r="G821" s="102" t="n">
        <v>5446.1</v>
      </c>
      <c r="H821" s="95" t="n"/>
      <c r="I821" s="95" t="n"/>
      <c r="J821" s="94" t="n"/>
      <c r="K821" s="94" t="inlineStr">
        <is>
          <t>CHMI</t>
        </is>
      </c>
    </row>
    <row r="822" ht="15" customHeight="1" s="82">
      <c r="A822" s="94" t="inlineStr">
        <is>
          <t>חאזם תלחמי</t>
        </is>
      </c>
      <c r="B822" s="94" t="n"/>
      <c r="C822" s="94" t="inlineStr">
        <is>
          <t>שופרסל BE</t>
        </is>
      </c>
      <c r="D822" s="94" t="n"/>
      <c r="E822" s="94" t="inlineStr">
        <is>
          <t>698  כרמיאל BE</t>
        </is>
      </c>
      <c r="F822" s="102" t="n"/>
      <c r="G822" s="102" t="n">
        <v>3568.7</v>
      </c>
      <c r="H822" s="95" t="n"/>
      <c r="I822" s="95" t="n"/>
      <c r="J822" s="94" t="n"/>
      <c r="K822" s="94" t="inlineStr">
        <is>
          <t>CHMI</t>
        </is>
      </c>
    </row>
    <row r="823" ht="15" customHeight="1" s="82">
      <c r="A823" s="94" t="inlineStr">
        <is>
          <t>חאזם תלחמי</t>
        </is>
      </c>
      <c r="B823" s="94" t="n"/>
      <c r="C823" s="94" t="inlineStr">
        <is>
          <t>שופרסל BE</t>
        </is>
      </c>
      <c r="D823" s="94" t="n"/>
      <c r="E823" s="94" t="inlineStr">
        <is>
          <t>679 כרכור מדיקל BE</t>
        </is>
      </c>
      <c r="F823" s="102" t="n"/>
      <c r="G823" s="102" t="n">
        <v>6566.1</v>
      </c>
      <c r="H823" s="95" t="n"/>
      <c r="I823" s="95" t="n"/>
      <c r="J823" s="94" t="n"/>
      <c r="K823" s="94" t="inlineStr">
        <is>
          <t>CHMI</t>
        </is>
      </c>
    </row>
    <row r="824" ht="15" customHeight="1" s="82">
      <c r="A824" s="94" t="inlineStr">
        <is>
          <t>חאזם תלחמי</t>
        </is>
      </c>
      <c r="B824" s="94" t="n"/>
      <c r="C824" s="94" t="inlineStr">
        <is>
          <t>שופרסל BE</t>
        </is>
      </c>
      <c r="D824" s="94" t="n"/>
      <c r="E824" s="94" t="inlineStr">
        <is>
          <t>601 פרדס חנה BE</t>
        </is>
      </c>
      <c r="F824" s="102" t="n"/>
      <c r="G824" s="102" t="n">
        <v>2580.6</v>
      </c>
      <c r="H824" s="95" t="n"/>
      <c r="I824" s="95" t="n"/>
      <c r="J824" s="94" t="n"/>
      <c r="K824" s="94" t="inlineStr">
        <is>
          <t>CHMI</t>
        </is>
      </c>
    </row>
    <row r="825" ht="15" customHeight="1" s="82">
      <c r="A825" s="94" t="inlineStr">
        <is>
          <t>חאזם תלחמי</t>
        </is>
      </c>
      <c r="B825" s="94" t="n"/>
      <c r="C825" s="94" t="inlineStr">
        <is>
          <t>שופרסל BE</t>
        </is>
      </c>
      <c r="D825" s="94" t="n"/>
      <c r="E825" s="94" t="inlineStr">
        <is>
          <t>667 הלל יפה חדרה BE</t>
        </is>
      </c>
      <c r="F825" s="102" t="n"/>
      <c r="G825" s="102" t="n">
        <v>10551</v>
      </c>
      <c r="H825" s="95" t="n"/>
      <c r="I825" s="95" t="n"/>
      <c r="J825" s="94" t="n"/>
      <c r="K825" s="94" t="inlineStr">
        <is>
          <t>CHMI</t>
        </is>
      </c>
    </row>
    <row r="826" ht="15" customHeight="1" s="82">
      <c r="A826" s="94" t="inlineStr">
        <is>
          <t>חאזם תלחמי</t>
        </is>
      </c>
      <c r="B826" s="94" t="n"/>
      <c r="C826" s="94" t="inlineStr">
        <is>
          <t>שופרסל BE</t>
        </is>
      </c>
      <c r="D826" s="94" t="n"/>
      <c r="E826" s="94" t="inlineStr">
        <is>
          <t>252 עין שמר BE</t>
        </is>
      </c>
      <c r="F826" s="102" t="n"/>
      <c r="G826" s="102" t="n">
        <v>2289.4</v>
      </c>
      <c r="H826" s="95" t="n"/>
      <c r="I826" s="95" t="n"/>
      <c r="J826" s="94" t="n"/>
      <c r="K826" s="94" t="inlineStr">
        <is>
          <t>CHMI</t>
        </is>
      </c>
    </row>
    <row r="827" ht="15" customHeight="1" s="82">
      <c r="A827" s="94" t="inlineStr">
        <is>
          <t>חאזם תלחמי</t>
        </is>
      </c>
      <c r="B827" s="94" t="n"/>
      <c r="C827" s="94" t="inlineStr">
        <is>
          <t>שופרסל BE</t>
        </is>
      </c>
      <c r="D827" s="94" t="n"/>
      <c r="E827" s="94" t="inlineStr">
        <is>
          <t>דיל עמק חפר BE</t>
        </is>
      </c>
      <c r="F827" s="102" t="n"/>
      <c r="G827" s="102" t="n">
        <v>4261.8</v>
      </c>
      <c r="H827" s="95" t="n"/>
      <c r="I827" s="95" t="n"/>
      <c r="J827" s="94" t="n"/>
      <c r="K827" s="94" t="inlineStr">
        <is>
          <t>CHMI</t>
        </is>
      </c>
    </row>
    <row r="828" ht="15" customHeight="1" s="82">
      <c r="A828" s="94" t="inlineStr">
        <is>
          <t>חאזם תלחמי</t>
        </is>
      </c>
      <c r="B828" s="94" t="n"/>
      <c r="C828" s="94" t="inlineStr">
        <is>
          <t>שופרסל BE</t>
        </is>
      </c>
      <c r="D828" s="94" t="n"/>
      <c r="E828" s="94" t="inlineStr">
        <is>
          <t>242 ויוה חדרה BE</t>
        </is>
      </c>
      <c r="F828" s="102" t="n"/>
      <c r="G828" s="102" t="n">
        <v>3297.8</v>
      </c>
      <c r="H828" s="95" t="n"/>
      <c r="I828" s="95" t="n"/>
      <c r="J828" s="94" t="n"/>
      <c r="K828" s="94" t="inlineStr">
        <is>
          <t>CHMI</t>
        </is>
      </c>
    </row>
    <row r="829" ht="15" customHeight="1" s="82">
      <c r="A829" s="94" t="inlineStr">
        <is>
          <t>חאזם תלחמי</t>
        </is>
      </c>
      <c r="B829" s="94" t="n"/>
      <c r="C829" s="94" t="inlineStr">
        <is>
          <t>שופרסל BE</t>
        </is>
      </c>
      <c r="D829" s="94" t="n"/>
      <c r="E829" s="94" t="inlineStr">
        <is>
          <t>763 שפרעם BE</t>
        </is>
      </c>
      <c r="F829" s="102" t="n"/>
      <c r="G829" s="102" t="n">
        <v>2558.8</v>
      </c>
      <c r="H829" s="95" t="n"/>
      <c r="I829" s="95" t="n"/>
      <c r="J829" s="94" t="n"/>
      <c r="K829" s="94" t="inlineStr">
        <is>
          <t>CHMI</t>
        </is>
      </c>
    </row>
    <row r="830" ht="15" customHeight="1" s="82">
      <c r="A830" s="94" t="inlineStr">
        <is>
          <t>חאזם תלחמי</t>
        </is>
      </c>
      <c r="B830" s="94" t="n"/>
      <c r="C830" s="94" t="inlineStr">
        <is>
          <t>שופרסל BE</t>
        </is>
      </c>
      <c r="D830" s="94" t="n"/>
      <c r="E830" s="94" t="inlineStr">
        <is>
          <t>(128)שופרסל ב. טירת הכרמל BE</t>
        </is>
      </c>
      <c r="F830" s="102" t="n"/>
      <c r="G830" s="102" t="n">
        <v>10499.6</v>
      </c>
      <c r="H830" s="95" t="n"/>
      <c r="I830" s="95" t="n"/>
      <c r="J830" s="94" t="n"/>
      <c r="K830" s="94" t="inlineStr">
        <is>
          <t>CHMI</t>
        </is>
      </c>
    </row>
    <row r="831" ht="15" customHeight="1" s="82">
      <c r="A831" s="94" t="inlineStr">
        <is>
          <t>חאזם תלחמי</t>
        </is>
      </c>
      <c r="B831" s="94" t="n"/>
      <c r="C831" s="94" t="inlineStr">
        <is>
          <t>שופרסל BE</t>
        </is>
      </c>
      <c r="D831" s="94" t="n"/>
      <c r="E831" s="94" t="inlineStr">
        <is>
          <t>713 אור ים אור עקיבא BE</t>
        </is>
      </c>
      <c r="F831" s="102" t="n"/>
      <c r="G831" s="102" t="n">
        <v>2572.5</v>
      </c>
      <c r="H831" s="95" t="n"/>
      <c r="I831" s="95" t="n"/>
      <c r="J831" s="94" t="n"/>
      <c r="K831" s="94" t="inlineStr">
        <is>
          <t>CHMI</t>
        </is>
      </c>
    </row>
    <row r="832" ht="15" customHeight="1" s="82">
      <c r="A832" s="94" t="inlineStr">
        <is>
          <t>חאזם תלחמי</t>
        </is>
      </c>
      <c r="B832" s="94" t="n"/>
      <c r="C832" s="94" t="inlineStr">
        <is>
          <t>שופרסל BE</t>
        </is>
      </c>
      <c r="D832" s="94" t="n"/>
      <c r="E832" s="94" t="inlineStr">
        <is>
          <t>714 סכנין BE</t>
        </is>
      </c>
      <c r="F832" s="102" t="n"/>
      <c r="G832" s="102" t="n">
        <v>5135.7</v>
      </c>
      <c r="H832" s="95" t="n"/>
      <c r="I832" s="95" t="n"/>
      <c r="J832" s="94" t="n"/>
      <c r="K832" s="94" t="inlineStr">
        <is>
          <t>CHMI</t>
        </is>
      </c>
    </row>
    <row r="833" ht="15" customHeight="1" s="82">
      <c r="A833" s="94" t="inlineStr">
        <is>
          <t>חאזם תלחמי</t>
        </is>
      </c>
      <c r="B833" s="94" t="n"/>
      <c r="C833" s="94" t="inlineStr">
        <is>
          <t>שופרסל BE</t>
        </is>
      </c>
      <c r="D833" s="94" t="n"/>
      <c r="E833" s="94" t="inlineStr">
        <is>
          <t>712  עין הים חדרה BE</t>
        </is>
      </c>
      <c r="F833" s="102" t="n"/>
      <c r="G833" s="102" t="n">
        <v>4672.9</v>
      </c>
      <c r="H833" s="95" t="n"/>
      <c r="I833" s="95" t="n"/>
      <c r="J833" s="94" t="n"/>
      <c r="K833" s="94" t="inlineStr">
        <is>
          <t>CHMI</t>
        </is>
      </c>
    </row>
    <row r="834" ht="15" customHeight="1" s="82">
      <c r="A834" s="94" t="inlineStr">
        <is>
          <t>חאזם תלחמי</t>
        </is>
      </c>
      <c r="B834" s="94" t="n"/>
      <c r="C834" s="94" t="inlineStr">
        <is>
          <t>שופרסל BE</t>
        </is>
      </c>
      <c r="D834" s="94" t="n"/>
      <c r="E834" s="94" t="inlineStr">
        <is>
          <t>112 מוצקין BE</t>
        </is>
      </c>
      <c r="F834" s="102" t="n"/>
      <c r="G834" s="102" t="n">
        <v>1459</v>
      </c>
      <c r="H834" s="95" t="n"/>
      <c r="I834" s="95" t="n"/>
      <c r="J834" s="94" t="n"/>
      <c r="K834" s="94" t="inlineStr">
        <is>
          <t>CHMI</t>
        </is>
      </c>
    </row>
    <row r="835" ht="15" customHeight="1" s="82">
      <c r="A835" s="94" t="inlineStr">
        <is>
          <t>חאזם תלחמי</t>
        </is>
      </c>
      <c r="B835" s="94" t="n"/>
      <c r="C835" s="94" t="inlineStr">
        <is>
          <t>שופרסל BE</t>
        </is>
      </c>
      <c r="D835" s="94" t="n"/>
      <c r="E835" s="94" t="inlineStr">
        <is>
          <t>518 כפר קרע BE</t>
        </is>
      </c>
      <c r="F835" s="102" t="n"/>
      <c r="G835" s="102" t="n">
        <v>12160.3</v>
      </c>
      <c r="H835" s="95" t="n"/>
      <c r="I835" s="95" t="n"/>
      <c r="J835" s="94" t="n"/>
      <c r="K835" s="94" t="inlineStr">
        <is>
          <t>CHMI</t>
        </is>
      </c>
    </row>
    <row r="836" ht="15" customHeight="1" s="82">
      <c r="A836" s="94" t="n"/>
      <c r="B836" s="94" t="n"/>
      <c r="C836" s="94" t="n"/>
      <c r="D836" s="94" t="n"/>
      <c r="E836" s="94" t="n"/>
      <c r="F836" s="102" t="n"/>
      <c r="G836" s="102" t="n"/>
      <c r="H836" s="95" t="n"/>
      <c r="I836" s="95" t="n"/>
      <c r="J836" s="94" t="n"/>
      <c r="K836" s="94" t="n"/>
    </row>
    <row r="837" ht="15" customHeight="1" s="82">
      <c r="A837" s="94" t="inlineStr">
        <is>
          <t>חאזם תלחמי</t>
        </is>
      </c>
      <c r="C837" s="94" t="inlineStr">
        <is>
          <t>0קופות חולים</t>
        </is>
      </c>
      <c r="E837" s="94" t="inlineStr">
        <is>
          <t>7407 מאוחדת ירכא</t>
        </is>
      </c>
      <c r="G837" s="102" t="n">
        <v>6527.4</v>
      </c>
      <c r="K837" s="94" t="inlineStr">
        <is>
          <t>CHMI</t>
        </is>
      </c>
    </row>
    <row r="838" ht="15" customHeight="1" s="82">
      <c r="A838" s="94" t="inlineStr">
        <is>
          <t>חאזם תלחמי</t>
        </is>
      </c>
      <c r="C838" s="94" t="inlineStr">
        <is>
          <t>0קופות חולים</t>
        </is>
      </c>
      <c r="E838" s="94" t="inlineStr">
        <is>
          <t>7401  מאוחדת אום אל פחם</t>
        </is>
      </c>
      <c r="G838" s="102" t="n">
        <v>5095.6</v>
      </c>
      <c r="K838" s="94" t="inlineStr">
        <is>
          <t>CHMI</t>
        </is>
      </c>
    </row>
    <row r="839" ht="15" customHeight="1" s="82">
      <c r="A839" s="94" t="inlineStr">
        <is>
          <t>חאזם תלחמי</t>
        </is>
      </c>
      <c r="C839" s="94" t="inlineStr">
        <is>
          <t>0קופות חולים</t>
        </is>
      </c>
      <c r="E839" s="94" t="inlineStr">
        <is>
          <t>7406 מאוחדת טבריה</t>
        </is>
      </c>
      <c r="G839" s="102" t="n">
        <v>1627.6</v>
      </c>
      <c r="K839" s="94" t="inlineStr">
        <is>
          <t>CHMI</t>
        </is>
      </c>
    </row>
    <row r="840" ht="15" customHeight="1" s="82">
      <c r="A840" s="94" t="inlineStr">
        <is>
          <t>חאזם תלחמי</t>
        </is>
      </c>
      <c r="C840" s="94" t="inlineStr">
        <is>
          <t>0קופות חולים</t>
        </is>
      </c>
      <c r="E840" s="94" t="inlineStr">
        <is>
          <t>7411  מאוחדת כרמיאל</t>
        </is>
      </c>
      <c r="G840" s="102" t="n">
        <v>944.2</v>
      </c>
      <c r="K840" s="94" t="inlineStr">
        <is>
          <t>CHMI</t>
        </is>
      </c>
    </row>
    <row r="841" ht="15" customHeight="1" s="82">
      <c r="A841" s="94" t="inlineStr">
        <is>
          <t>חאזם תלחמי</t>
        </is>
      </c>
      <c r="C841" s="94" t="inlineStr">
        <is>
          <t>0קופות חולים</t>
        </is>
      </c>
      <c r="E841" s="94" t="inlineStr">
        <is>
          <t>7408 מאוחדת כפר חסידים</t>
        </is>
      </c>
      <c r="G841" s="102" t="n">
        <v>479.9</v>
      </c>
      <c r="K841" s="94" t="inlineStr">
        <is>
          <t>CHMI</t>
        </is>
      </c>
    </row>
    <row r="842" ht="15" customHeight="1" s="82">
      <c r="A842" s="94" t="inlineStr">
        <is>
          <t>חאזם תלחמי</t>
        </is>
      </c>
      <c r="C842" s="94" t="inlineStr">
        <is>
          <t>0קופות חולים</t>
        </is>
      </c>
      <c r="E842" s="94" t="inlineStr">
        <is>
          <t>7405 מאוחדת חיפה</t>
        </is>
      </c>
      <c r="G842" s="102" t="n">
        <v>4501.9</v>
      </c>
      <c r="K842" s="94" t="inlineStr">
        <is>
          <t>CHMI</t>
        </is>
      </c>
    </row>
    <row r="843" ht="15" customHeight="1" s="82">
      <c r="A843" s="94" t="inlineStr">
        <is>
          <t>חאזם תלחמי</t>
        </is>
      </c>
      <c r="C843" s="94" t="inlineStr">
        <is>
          <t>0קופות חולים</t>
        </is>
      </c>
      <c r="E843" s="94" t="inlineStr">
        <is>
          <t>7403 מאוחדת חדרה</t>
        </is>
      </c>
      <c r="G843" s="102" t="n">
        <v>2849.2</v>
      </c>
      <c r="K843" s="94" t="inlineStr">
        <is>
          <t>CHMI</t>
        </is>
      </c>
    </row>
    <row r="844" ht="15" customHeight="1" s="82">
      <c r="A844" s="94" t="inlineStr">
        <is>
          <t>חאזם תלחמי</t>
        </is>
      </c>
      <c r="C844" s="94" t="inlineStr">
        <is>
          <t>0קופות חולים</t>
        </is>
      </c>
      <c r="E844" s="94" t="inlineStr">
        <is>
          <t>מאוחדת מגדלי נצרת</t>
        </is>
      </c>
      <c r="G844" s="102" t="n">
        <v>447</v>
      </c>
      <c r="K844" s="94" t="inlineStr">
        <is>
          <t>CHMI</t>
        </is>
      </c>
    </row>
    <row r="845" ht="15" customHeight="1" s="82">
      <c r="A845" s="94" t="inlineStr">
        <is>
          <t>חאזם תלחמי</t>
        </is>
      </c>
      <c r="C845" s="94" t="inlineStr">
        <is>
          <t>0קופות חולים</t>
        </is>
      </c>
      <c r="E845" s="94" t="inlineStr">
        <is>
          <t>מאוחדת נצרת-סניף המרכז הלבן)פא</t>
        </is>
      </c>
      <c r="G845" s="102" t="n">
        <v>181.5</v>
      </c>
      <c r="K845" s="94" t="inlineStr">
        <is>
          <t>CHMI</t>
        </is>
      </c>
    </row>
    <row r="846" ht="15" customHeight="1" s="82">
      <c r="A846" s="94" t="inlineStr">
        <is>
          <t>חאזם תלחמי</t>
        </is>
      </c>
      <c r="C846" s="94" t="inlineStr">
        <is>
          <t>0קופות חולים</t>
        </is>
      </c>
      <c r="E846" s="94" t="inlineStr">
        <is>
          <t>7409   מאוחדת כפר כנא</t>
        </is>
      </c>
      <c r="G846" s="102" t="n">
        <v>1505.7</v>
      </c>
      <c r="K846" s="94" t="inlineStr">
        <is>
          <t>CHMI</t>
        </is>
      </c>
    </row>
    <row r="847" ht="15" customHeight="1" s="82">
      <c r="A847" s="94" t="inlineStr">
        <is>
          <t>חאזם תלחמי</t>
        </is>
      </c>
      <c r="C847" s="94" t="inlineStr">
        <is>
          <t>0קופות חולים</t>
        </is>
      </c>
      <c r="E847" s="94" t="inlineStr">
        <is>
          <t>7410  מאוחדת כפר קרע</t>
        </is>
      </c>
      <c r="G847" s="102" t="n">
        <v>795.1</v>
      </c>
      <c r="K847" s="94" t="inlineStr">
        <is>
          <t>CHMI</t>
        </is>
      </c>
    </row>
    <row r="848" ht="15" customHeight="1" s="82">
      <c r="A848" s="94" t="inlineStr">
        <is>
          <t>חאזם תלחמי</t>
        </is>
      </c>
      <c r="C848" s="94" t="inlineStr">
        <is>
          <t>0קופות חולים</t>
        </is>
      </c>
      <c r="E848" s="94" t="inlineStr">
        <is>
          <t>מאוחדת צפת</t>
        </is>
      </c>
      <c r="G848" s="102" t="n">
        <v>1189.9</v>
      </c>
      <c r="K848" s="94" t="inlineStr">
        <is>
          <t>CHMI</t>
        </is>
      </c>
    </row>
    <row r="849" ht="15" customHeight="1" s="82">
      <c r="A849" s="94" t="inlineStr">
        <is>
          <t>חאזם תלחמי</t>
        </is>
      </c>
      <c r="C849" s="94" t="inlineStr">
        <is>
          <t>0קופות חולים</t>
        </is>
      </c>
      <c r="E849" s="94" t="inlineStr">
        <is>
          <t>7402 מאוחדת אור עקיבא</t>
        </is>
      </c>
      <c r="G849" s="102" t="n">
        <v>541.8</v>
      </c>
      <c r="K849" s="94" t="inlineStr">
        <is>
          <t>CHMI</t>
        </is>
      </c>
    </row>
    <row r="850" ht="15" customHeight="1" s="82">
      <c r="A850" s="94" t="inlineStr">
        <is>
          <t>חאזם תלחמי</t>
        </is>
      </c>
      <c r="C850" s="94" t="inlineStr">
        <is>
          <t>0קופות חולים</t>
        </is>
      </c>
      <c r="E850" s="94" t="inlineStr">
        <is>
          <t>150 מאוחדת חדר תרופות סכנין</t>
        </is>
      </c>
      <c r="G850" s="102" t="n">
        <v>610.6</v>
      </c>
      <c r="K850" s="94" t="inlineStr">
        <is>
          <t>CHMI</t>
        </is>
      </c>
    </row>
    <row r="851" ht="15" customHeight="1" s="82">
      <c r="A851" s="94" t="inlineStr">
        <is>
          <t>חאזם תלחמי</t>
        </is>
      </c>
      <c r="C851" s="94" t="inlineStr">
        <is>
          <t>0קופות חולים</t>
        </is>
      </c>
      <c r="E851" s="94" t="inlineStr">
        <is>
          <t>163 מאוחדת עוספיא</t>
        </is>
      </c>
      <c r="G851" s="102" t="n">
        <v>1533.1</v>
      </c>
      <c r="K851" s="94" t="inlineStr">
        <is>
          <t>CHMI</t>
        </is>
      </c>
    </row>
    <row r="852" ht="15" customHeight="1" s="82">
      <c r="A852" s="94" t="inlineStr">
        <is>
          <t>חאזם תלחמי</t>
        </is>
      </c>
      <c r="C852" s="94" t="inlineStr">
        <is>
          <t>0קופות חולים</t>
        </is>
      </c>
      <c r="E852" s="94" t="inlineStr">
        <is>
          <t>7418  מאוחדת עכו</t>
        </is>
      </c>
      <c r="G852" s="102" t="n">
        <v>2975.3</v>
      </c>
      <c r="K852" s="94" t="inlineStr">
        <is>
          <t>CHMI</t>
        </is>
      </c>
    </row>
    <row r="853" ht="15" customHeight="1" s="82">
      <c r="A853" s="94" t="inlineStr">
        <is>
          <t>חאזם תלחמי</t>
        </is>
      </c>
      <c r="C853" s="94" t="inlineStr">
        <is>
          <t>0קופות חולים</t>
        </is>
      </c>
      <c r="E853" s="94" t="inlineStr">
        <is>
          <t>164 מאוחדת פרדס חנה</t>
        </is>
      </c>
      <c r="G853" s="102" t="n">
        <v>1123.6</v>
      </c>
      <c r="K853" s="94" t="inlineStr">
        <is>
          <t>CHMI</t>
        </is>
      </c>
    </row>
    <row r="854" ht="15" customHeight="1" s="82">
      <c r="A854" s="94" t="inlineStr">
        <is>
          <t>חאזם תלחמי</t>
        </is>
      </c>
      <c r="C854" s="94" t="inlineStr">
        <is>
          <t>0קופות חולים</t>
        </is>
      </c>
      <c r="E854" s="94" t="inlineStr">
        <is>
          <t>7420 מאוחדת טבריה עילית</t>
        </is>
      </c>
      <c r="G854" s="102" t="n">
        <v>142.8</v>
      </c>
      <c r="K854" s="94" t="inlineStr">
        <is>
          <t>CHMI</t>
        </is>
      </c>
    </row>
    <row r="855" ht="15" customHeight="1" s="82">
      <c r="A855" s="94" t="inlineStr">
        <is>
          <t>חאזם תלחמי</t>
        </is>
      </c>
      <c r="C855" s="94" t="inlineStr">
        <is>
          <t>0קופות חולים</t>
        </is>
      </c>
      <c r="E855" s="94" t="inlineStr">
        <is>
          <t>7421 מאוחדת נהריה</t>
        </is>
      </c>
      <c r="G855" s="102" t="n">
        <v>1271.2</v>
      </c>
      <c r="K855" s="94" t="inlineStr">
        <is>
          <t>CHMI</t>
        </is>
      </c>
    </row>
    <row r="856" ht="15" customHeight="1" s="82">
      <c r="A856" s="94" t="inlineStr">
        <is>
          <t>חאזם תלחמי</t>
        </is>
      </c>
      <c r="C856" s="94" t="inlineStr">
        <is>
          <t>0קופות חולים</t>
        </is>
      </c>
      <c r="E856" s="94" t="inlineStr">
        <is>
          <t>7422 מאוחדת חריש</t>
        </is>
      </c>
      <c r="G856" s="102" t="n">
        <v>2329</v>
      </c>
      <c r="K856" s="94" t="inlineStr">
        <is>
          <t>CHMI</t>
        </is>
      </c>
    </row>
    <row r="857" ht="15" customHeight="1" s="82">
      <c r="A857" s="94" t="inlineStr">
        <is>
          <t>חאזם תלחמי</t>
        </is>
      </c>
      <c r="C857" s="94" t="inlineStr">
        <is>
          <t>0קופות חולים</t>
        </is>
      </c>
      <c r="E857" s="94" t="inlineStr">
        <is>
          <t>7419 מאוחדת פארם זכרון יעקב</t>
        </is>
      </c>
      <c r="G857" s="102" t="n">
        <v>1536.6</v>
      </c>
      <c r="K857" s="94" t="inlineStr">
        <is>
          <t>CHMI</t>
        </is>
      </c>
    </row>
    <row r="858" ht="15" customHeight="1" s="82">
      <c r="A858" s="94" t="inlineStr">
        <is>
          <t>חאזם תלחמי</t>
        </is>
      </c>
      <c r="C858" s="94" t="inlineStr">
        <is>
          <t>0קופות חולים</t>
        </is>
      </c>
      <c r="E858" s="94" t="inlineStr">
        <is>
          <t>מאוחדת בר כוכבא חיפה</t>
        </is>
      </c>
      <c r="G858" s="102" t="n">
        <v>496.4</v>
      </c>
      <c r="K858" s="94" t="inlineStr">
        <is>
          <t>CHMI</t>
        </is>
      </c>
    </row>
    <row r="859" ht="15" customHeight="1" s="82">
      <c r="A859" s="94" t="inlineStr">
        <is>
          <t>חאזם תלחמי</t>
        </is>
      </c>
      <c r="C859" s="94" t="inlineStr">
        <is>
          <t>0קופות חולים</t>
        </is>
      </c>
      <c r="E859" s="94" t="inlineStr">
        <is>
          <t>7424 מאוחדת פארם פסגות ים</t>
        </is>
      </c>
      <c r="G859" s="102" t="n">
        <v>2072.6</v>
      </c>
      <c r="K859" s="94" t="inlineStr">
        <is>
          <t>CHMI</t>
        </is>
      </c>
    </row>
    <row r="860" ht="15" customHeight="1" s="82">
      <c r="A860" s="94" t="inlineStr">
        <is>
          <t>חאזם תלחמי</t>
        </is>
      </c>
      <c r="C860" s="94" t="inlineStr">
        <is>
          <t>0קופות חולים</t>
        </is>
      </c>
      <c r="E860" s="94" t="inlineStr">
        <is>
          <t>7427 מאוחדת קרית אתא</t>
        </is>
      </c>
      <c r="G860" s="102" t="n">
        <v>1049.4</v>
      </c>
      <c r="K860" s="94" t="inlineStr">
        <is>
          <t>CHMI</t>
        </is>
      </c>
    </row>
    <row r="861" ht="15" customHeight="1" s="82">
      <c r="A861" s="94" t="inlineStr">
        <is>
          <t>חאזם תלחמי</t>
        </is>
      </c>
      <c r="C861" s="94" t="inlineStr">
        <is>
          <t>0קופות חולים</t>
        </is>
      </c>
      <c r="E861" s="94" t="inlineStr">
        <is>
          <t>7426 מאוחדת פארם ויוה חדרה</t>
        </is>
      </c>
      <c r="G861" s="102" t="n">
        <v>8138.5</v>
      </c>
      <c r="K861" s="94" t="inlineStr">
        <is>
          <t>CHMI</t>
        </is>
      </c>
    </row>
    <row r="862" ht="15" customHeight="1" s="82">
      <c r="A862" s="94" t="inlineStr">
        <is>
          <t>חאזם תלחמי</t>
        </is>
      </c>
      <c r="C862" s="94" t="inlineStr">
        <is>
          <t>0קופות חולים</t>
        </is>
      </c>
      <c r="E862" s="94" t="inlineStr">
        <is>
          <t>7434 מאוחדת פארם שפרעם</t>
        </is>
      </c>
      <c r="G862" s="102" t="n">
        <v>1519.4</v>
      </c>
      <c r="K862" s="94" t="inlineStr">
        <is>
          <t>CHMI</t>
        </is>
      </c>
    </row>
    <row r="863" ht="15" customHeight="1" s="82">
      <c r="A863" s="94" t="inlineStr">
        <is>
          <t>חאזם תלחמי</t>
        </is>
      </c>
      <c r="B863" s="94" t="n"/>
      <c r="C863" s="94" t="inlineStr">
        <is>
          <t>0קופות חולים</t>
        </is>
      </c>
      <c r="D863" s="94" t="n"/>
      <c r="E863" s="94" t="inlineStr">
        <is>
          <t>7433 מאוחדת פארם לב כרמיאל</t>
        </is>
      </c>
      <c r="F863" s="102" t="n"/>
      <c r="G863" s="102" t="n">
        <v>660.9</v>
      </c>
      <c r="H863" s="95" t="n"/>
      <c r="I863" s="95" t="n"/>
      <c r="J863" s="94" t="n"/>
      <c r="K863" s="94" t="inlineStr">
        <is>
          <t>CHMI</t>
        </is>
      </c>
    </row>
    <row r="864" ht="15" customHeight="1" s="82">
      <c r="A864" s="94" t="inlineStr">
        <is>
          <t>חאזם תלחמי</t>
        </is>
      </c>
      <c r="B864" s="94" t="n"/>
      <c r="C864" s="94" t="inlineStr">
        <is>
          <t>0קופות חולים</t>
        </is>
      </c>
      <c r="D864" s="94" t="n"/>
      <c r="E864" s="94" t="inlineStr">
        <is>
          <t>7435 מאוחדת פארם כאבול</t>
        </is>
      </c>
      <c r="F864" s="102" t="n"/>
      <c r="G864" s="102" t="n">
        <v>926.3</v>
      </c>
      <c r="H864" s="95" t="n"/>
      <c r="I864" s="95" t="n"/>
      <c r="J864" s="94" t="n"/>
      <c r="K864" s="94" t="inlineStr">
        <is>
          <t>CHMI</t>
        </is>
      </c>
    </row>
    <row r="865" ht="15" customHeight="1" s="82">
      <c r="A865" s="94" t="inlineStr">
        <is>
          <t>חאזם תלחמי</t>
        </is>
      </c>
      <c r="C865" s="94" t="inlineStr">
        <is>
          <t>0קופות חולים</t>
        </is>
      </c>
      <c r="E865" s="94" t="inlineStr">
        <is>
          <t>מאוחדת פארם עפולה עילית</t>
        </is>
      </c>
      <c r="G865" s="102" t="n">
        <v>294.6</v>
      </c>
      <c r="K865" s="94" t="inlineStr">
        <is>
          <t>CHMI</t>
        </is>
      </c>
    </row>
    <row r="866" ht="15" customHeight="1" s="82">
      <c r="A866" s="94" t="inlineStr">
        <is>
          <t>עיסא</t>
        </is>
      </c>
      <c r="C866" s="94" t="inlineStr">
        <is>
          <t>שופרסל BE</t>
        </is>
      </c>
      <c r="E866" s="94" t="inlineStr">
        <is>
          <t>824  אונליין לונג פ""ת BE</t>
        </is>
      </c>
      <c r="G866" s="102" t="n">
        <v>15621.3</v>
      </c>
      <c r="K866" s="94" t="inlineStr">
        <is>
          <t>CHMI</t>
        </is>
      </c>
    </row>
    <row r="867" ht="15" customHeight="1" s="82">
      <c r="A867" s="94" t="inlineStr">
        <is>
          <t>עיסא</t>
        </is>
      </c>
      <c r="C867" s="94" t="inlineStr">
        <is>
          <t>0קופות חולים</t>
        </is>
      </c>
      <c r="E867" s="94" t="inlineStr">
        <is>
          <t>ק.חולים מכבי</t>
        </is>
      </c>
      <c r="G867" s="102" t="n">
        <v>586.8</v>
      </c>
      <c r="K867" s="94" t="inlineStr">
        <is>
          <t>CHMI</t>
        </is>
      </c>
    </row>
    <row r="868" ht="15" customHeight="1" s="82"/>
    <row r="869" ht="15" customHeight="1" s="82"/>
    <row r="870" ht="15" customHeight="1" s="82"/>
    <row r="871" ht="15" customHeight="1" s="82"/>
    <row r="872" ht="15" customHeight="1" s="82"/>
    <row r="873" ht="15" customHeight="1" s="82"/>
    <row r="874" ht="15" customHeight="1" s="82"/>
    <row r="875" ht="15" customHeight="1" s="82"/>
    <row r="876" ht="15" customHeight="1" s="82"/>
    <row r="877" ht="15" customHeight="1" s="82"/>
    <row r="878" ht="15" customHeight="1" s="82"/>
    <row r="879" ht="15" customHeight="1" s="82"/>
    <row r="880" ht="15" customHeight="1" s="82"/>
    <row r="881" ht="15" customHeight="1" s="82"/>
    <row r="882" ht="15" customHeight="1" s="82"/>
    <row r="883" ht="15" customHeight="1" s="82"/>
    <row r="884" ht="15" customHeight="1" s="8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 filterMode="0">
    <tabColor rgb="FFED7D31"/>
    <outlinePr summaryBelow="0"/>
    <pageSetUpPr fitToPage="0"/>
  </sheetPr>
  <dimension ref="A1:I877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E560" activeCellId="0" sqref="E560"/>
    </sheetView>
  </sheetViews>
  <sheetFormatPr baseColWidth="8" defaultColWidth="8.57421875" defaultRowHeight="15" zeroHeight="0" outlineLevelRow="1"/>
  <cols>
    <col width="20" customWidth="1" style="81" min="1" max="1"/>
    <col width="28" customWidth="1" style="81" min="2" max="2"/>
    <col width="32" customWidth="1" style="122" min="3" max="3"/>
    <col width="14" customWidth="1" style="81" min="4" max="6"/>
    <col width="11" customWidth="1" style="81" min="7" max="8"/>
    <col width="20" customWidth="1" style="81" min="9" max="9"/>
  </cols>
  <sheetData>
    <row r="1" ht="16.5" customHeight="1" s="82">
      <c r="A1" s="83" t="inlineStr">
        <is>
          <t>לקוחות לפי סוכן וערוץ — רשימה מלאה לכל חנות (2025 לעומת 2026)</t>
        </is>
      </c>
    </row>
    <row r="3" ht="15" customHeight="1" s="82">
      <c r="A3" s="110" t="inlineStr">
        <is>
          <t>סוכן</t>
        </is>
      </c>
      <c r="B3" s="110" t="inlineStr">
        <is>
          <t>ערוץ (קוד+שם)</t>
        </is>
      </c>
      <c r="C3" s="123" t="inlineStr">
        <is>
          <t>שם הלקוח/חנות</t>
        </is>
      </c>
      <c r="D3" s="110" t="inlineStr">
        <is>
          <t>מכר 2025 (₪)</t>
        </is>
      </c>
      <c r="E3" s="110" t="inlineStr">
        <is>
          <t>מכר 2026 (₪)</t>
        </is>
      </c>
      <c r="F3" s="110" t="inlineStr">
        <is>
          <t>קוד לקוח</t>
        </is>
      </c>
      <c r="G3" s="110" t="inlineStr">
        <is>
          <t>כמות 2025</t>
        </is>
      </c>
      <c r="H3" s="110" t="inlineStr">
        <is>
          <t>כמות 2026</t>
        </is>
      </c>
      <c r="I3" s="110" t="inlineStr">
        <is>
          <t>מקור הנתון</t>
        </is>
      </c>
    </row>
    <row r="4" ht="15" customHeight="1" s="82">
      <c r="A4" s="96" t="inlineStr">
        <is>
          <t>אמזלג × מירב שירה</t>
        </is>
      </c>
      <c r="B4" s="96" t="n"/>
      <c r="C4" s="124" t="inlineStr">
        <is>
          <t>סה"כ 15 חנויות</t>
        </is>
      </c>
      <c r="D4" s="125">
        <f>SUMIF('לקוחות לפי סוכן - מקור'!$A$2:$A$867,$A4,'לקוחות לפי סוכן - מקור'!$F$2:$F$867)</f>
        <v/>
      </c>
      <c r="E4" s="125">
        <f>SUMIF('לקוחות לפי סוכן - מקור'!$A$2:$A$867,$A4,'לקוחות לפי סוכן - מקור'!$G$2:$G$867)</f>
        <v/>
      </c>
      <c r="F4" s="96" t="n"/>
      <c r="G4" s="97">
        <f>SUMIF('לקוחות לפי סוכן - מקור'!$A$2:$A$867,$A4,'לקוחות לפי סוכן - מקור'!$H$2:$H$867)</f>
        <v/>
      </c>
      <c r="H4" s="97">
        <f>SUMIF('לקוחות לפי סוכן - מקור'!$A$2:$A$867,$A4,'לקוחות לפי סוכן - מקור'!$I$2:$I$867)</f>
        <v/>
      </c>
      <c r="I4" s="96" t="inlineStr">
        <is>
          <t>NetSuite</t>
        </is>
      </c>
    </row>
    <row r="5" outlineLevel="1" ht="15" customHeight="1" s="82">
      <c r="A5" s="94">
        <f>'לקוחות לפי סוכן - מקור'!A2</f>
        <v/>
      </c>
      <c r="B5" s="94">
        <f>'לקוחות לפי סוכן - מקור'!C2</f>
        <v/>
      </c>
      <c r="C5" s="126">
        <f>'לקוחות לפי סוכן - מקור'!E2</f>
        <v/>
      </c>
      <c r="D5" s="102">
        <f>'לקוחות לפי סוכן - מקור'!F2</f>
        <v/>
      </c>
      <c r="E5" s="102">
        <f>'לקוחות לפי סוכן - מקור'!G2</f>
        <v/>
      </c>
      <c r="F5" s="94">
        <f>'לקוחות לפי סוכן - מקור'!D2</f>
        <v/>
      </c>
      <c r="G5" s="95">
        <f>'לקוחות לפי סוכן - מקור'!H2</f>
        <v/>
      </c>
      <c r="H5" s="95">
        <f>'לקוחות לפי סוכן - מקור'!I2</f>
        <v/>
      </c>
      <c r="I5" s="94">
        <f>'לקוחות לפי סוכן - מקור'!K2</f>
        <v/>
      </c>
    </row>
    <row r="6" outlineLevel="1" ht="15" customHeight="1" s="82">
      <c r="A6" s="94">
        <f>'לקוחות לפי סוכן - מקור'!A3</f>
        <v/>
      </c>
      <c r="B6" s="94">
        <f>'לקוחות לפי סוכן - מקור'!C3</f>
        <v/>
      </c>
      <c r="C6" s="126">
        <f>'לקוחות לפי סוכן - מקור'!E3</f>
        <v/>
      </c>
      <c r="D6" s="102">
        <f>'לקוחות לפי סוכן - מקור'!F3</f>
        <v/>
      </c>
      <c r="E6" s="102">
        <f>'לקוחות לפי סוכן - מקור'!G3</f>
        <v/>
      </c>
      <c r="F6" s="94">
        <f>'לקוחות לפי סוכן - מקור'!D3</f>
        <v/>
      </c>
      <c r="G6" s="95">
        <f>'לקוחות לפי סוכן - מקור'!H3</f>
        <v/>
      </c>
      <c r="H6" s="95">
        <f>'לקוחות לפי סוכן - מקור'!I3</f>
        <v/>
      </c>
      <c r="I6" s="94">
        <f>'לקוחות לפי סוכן - מקור'!K3</f>
        <v/>
      </c>
    </row>
    <row r="7" outlineLevel="1" ht="15" customHeight="1" s="82">
      <c r="A7" s="94">
        <f>'לקוחות לפי סוכן - מקור'!A4</f>
        <v/>
      </c>
      <c r="B7" s="94">
        <f>'לקוחות לפי סוכן - מקור'!C4</f>
        <v/>
      </c>
      <c r="C7" s="126">
        <f>'לקוחות לפי סוכן - מקור'!E4</f>
        <v/>
      </c>
      <c r="D7" s="102">
        <f>'לקוחות לפי סוכן - מקור'!F4</f>
        <v/>
      </c>
      <c r="E7" s="102">
        <f>'לקוחות לפי סוכן - מקור'!G4</f>
        <v/>
      </c>
      <c r="F7" s="94">
        <f>'לקוחות לפי סוכן - מקור'!D4</f>
        <v/>
      </c>
      <c r="G7" s="95">
        <f>'לקוחות לפי סוכן - מקור'!H4</f>
        <v/>
      </c>
      <c r="H7" s="95">
        <f>'לקוחות לפי סוכן - מקור'!I4</f>
        <v/>
      </c>
      <c r="I7" s="94">
        <f>'לקוחות לפי סוכן - מקור'!K4</f>
        <v/>
      </c>
    </row>
    <row r="8" outlineLevel="1" ht="15" customHeight="1" s="82">
      <c r="A8" s="94">
        <f>'לקוחות לפי סוכן - מקור'!A5</f>
        <v/>
      </c>
      <c r="B8" s="94">
        <f>'לקוחות לפי סוכן - מקור'!C5</f>
        <v/>
      </c>
      <c r="C8" s="126">
        <f>'לקוחות לפי סוכן - מקור'!E5</f>
        <v/>
      </c>
      <c r="D8" s="102">
        <f>'לקוחות לפי סוכן - מקור'!F5</f>
        <v/>
      </c>
      <c r="E8" s="102">
        <f>'לקוחות לפי סוכן - מקור'!G5</f>
        <v/>
      </c>
      <c r="F8" s="94">
        <f>'לקוחות לפי סוכן - מקור'!D5</f>
        <v/>
      </c>
      <c r="G8" s="95">
        <f>'לקוחות לפי סוכן - מקור'!H5</f>
        <v/>
      </c>
      <c r="H8" s="95">
        <f>'לקוחות לפי סוכן - מקור'!I5</f>
        <v/>
      </c>
      <c r="I8" s="94">
        <f>'לקוחות לפי סוכן - מקור'!K5</f>
        <v/>
      </c>
    </row>
    <row r="9" outlineLevel="1" ht="15" customHeight="1" s="82">
      <c r="A9" s="94">
        <f>'לקוחות לפי סוכן - מקור'!A6</f>
        <v/>
      </c>
      <c r="B9" s="94">
        <f>'לקוחות לפי סוכן - מקור'!C6</f>
        <v/>
      </c>
      <c r="C9" s="126">
        <f>'לקוחות לפי סוכן - מקור'!E6</f>
        <v/>
      </c>
      <c r="D9" s="102">
        <f>'לקוחות לפי סוכן - מקור'!F6</f>
        <v/>
      </c>
      <c r="E9" s="102">
        <f>'לקוחות לפי סוכן - מקור'!G6</f>
        <v/>
      </c>
      <c r="F9" s="94">
        <f>'לקוחות לפי סוכן - מקור'!D6</f>
        <v/>
      </c>
      <c r="G9" s="95">
        <f>'לקוחות לפי סוכן - מקור'!H6</f>
        <v/>
      </c>
      <c r="H9" s="95">
        <f>'לקוחות לפי סוכן - מקור'!I6</f>
        <v/>
      </c>
      <c r="I9" s="94">
        <f>'לקוחות לפי סוכן - מקור'!K6</f>
        <v/>
      </c>
    </row>
    <row r="10" outlineLevel="1" ht="15" customHeight="1" s="82">
      <c r="A10" s="94">
        <f>'לקוחות לפי סוכן - מקור'!A7</f>
        <v/>
      </c>
      <c r="B10" s="94">
        <f>'לקוחות לפי סוכן - מקור'!C7</f>
        <v/>
      </c>
      <c r="C10" s="126">
        <f>'לקוחות לפי סוכן - מקור'!E7</f>
        <v/>
      </c>
      <c r="D10" s="102">
        <f>'לקוחות לפי סוכן - מקור'!F7</f>
        <v/>
      </c>
      <c r="E10" s="102">
        <f>'לקוחות לפי סוכן - מקור'!G7</f>
        <v/>
      </c>
      <c r="F10" s="94">
        <f>'לקוחות לפי סוכן - מקור'!D7</f>
        <v/>
      </c>
      <c r="G10" s="95">
        <f>'לקוחות לפי סוכן - מקור'!H7</f>
        <v/>
      </c>
      <c r="H10" s="95">
        <f>'לקוחות לפי סוכן - מקור'!I7</f>
        <v/>
      </c>
      <c r="I10" s="94">
        <f>'לקוחות לפי סוכן - מקור'!K7</f>
        <v/>
      </c>
    </row>
    <row r="11" outlineLevel="1" ht="15" customHeight="1" s="82">
      <c r="A11" s="94">
        <f>'לקוחות לפי סוכן - מקור'!A8</f>
        <v/>
      </c>
      <c r="B11" s="94">
        <f>'לקוחות לפי סוכן - מקור'!C8</f>
        <v/>
      </c>
      <c r="C11" s="126">
        <f>'לקוחות לפי סוכן - מקור'!E8</f>
        <v/>
      </c>
      <c r="D11" s="102">
        <f>'לקוחות לפי סוכן - מקור'!F8</f>
        <v/>
      </c>
      <c r="E11" s="102">
        <f>'לקוחות לפי סוכן - מקור'!G8</f>
        <v/>
      </c>
      <c r="F11" s="94">
        <f>'לקוחות לפי סוכן - מקור'!D8</f>
        <v/>
      </c>
      <c r="G11" s="95">
        <f>'לקוחות לפי סוכן - מקור'!H8</f>
        <v/>
      </c>
      <c r="H11" s="95">
        <f>'לקוחות לפי סוכן - מקור'!I8</f>
        <v/>
      </c>
      <c r="I11" s="94">
        <f>'לקוחות לפי סוכן - מקור'!K8</f>
        <v/>
      </c>
    </row>
    <row r="12" outlineLevel="1" ht="15" customHeight="1" s="82">
      <c r="A12" s="94">
        <f>'לקוחות לפי סוכן - מקור'!A9</f>
        <v/>
      </c>
      <c r="B12" s="94">
        <f>'לקוחות לפי סוכן - מקור'!C9</f>
        <v/>
      </c>
      <c r="C12" s="126">
        <f>'לקוחות לפי סוכן - מקור'!E9</f>
        <v/>
      </c>
      <c r="D12" s="102">
        <f>'לקוחות לפי סוכן - מקור'!F9</f>
        <v/>
      </c>
      <c r="E12" s="102">
        <f>'לקוחות לפי סוכן - מקור'!G9</f>
        <v/>
      </c>
      <c r="F12" s="94">
        <f>'לקוחות לפי סוכן - מקור'!D9</f>
        <v/>
      </c>
      <c r="G12" s="95">
        <f>'לקוחות לפי סוכן - מקור'!H9</f>
        <v/>
      </c>
      <c r="H12" s="95">
        <f>'לקוחות לפי סוכן - מקור'!I9</f>
        <v/>
      </c>
      <c r="I12" s="94">
        <f>'לקוחות לפי סוכן - מקור'!K9</f>
        <v/>
      </c>
    </row>
    <row r="13" outlineLevel="1" ht="15" customHeight="1" s="82">
      <c r="A13" s="94">
        <f>'לקוחות לפי סוכן - מקור'!A10</f>
        <v/>
      </c>
      <c r="B13" s="94">
        <f>'לקוחות לפי סוכן - מקור'!C10</f>
        <v/>
      </c>
      <c r="C13" s="126">
        <f>'לקוחות לפי סוכן - מקור'!E10</f>
        <v/>
      </c>
      <c r="D13" s="102">
        <f>'לקוחות לפי סוכן - מקור'!F10</f>
        <v/>
      </c>
      <c r="E13" s="102">
        <f>'לקוחות לפי סוכן - מקור'!G10</f>
        <v/>
      </c>
      <c r="F13" s="94">
        <f>'לקוחות לפי סוכן - מקור'!D10</f>
        <v/>
      </c>
      <c r="G13" s="95">
        <f>'לקוחות לפי סוכן - מקור'!H10</f>
        <v/>
      </c>
      <c r="H13" s="95">
        <f>'לקוחות לפי סוכן - מקור'!I10</f>
        <v/>
      </c>
      <c r="I13" s="94">
        <f>'לקוחות לפי סוכן - מקור'!K10</f>
        <v/>
      </c>
    </row>
    <row r="14" outlineLevel="1" ht="15" customHeight="1" s="82">
      <c r="A14" s="94">
        <f>'לקוחות לפי סוכן - מקור'!A11</f>
        <v/>
      </c>
      <c r="B14" s="94">
        <f>'לקוחות לפי סוכן - מקור'!C11</f>
        <v/>
      </c>
      <c r="C14" s="126">
        <f>'לקוחות לפי סוכן - מקור'!E11</f>
        <v/>
      </c>
      <c r="D14" s="102">
        <f>'לקוחות לפי סוכן - מקור'!F11</f>
        <v/>
      </c>
      <c r="E14" s="102">
        <f>'לקוחות לפי סוכן - מקור'!G11</f>
        <v/>
      </c>
      <c r="F14" s="94">
        <f>'לקוחות לפי סוכן - מקור'!D11</f>
        <v/>
      </c>
      <c r="G14" s="95">
        <f>'לקוחות לפי סוכן - מקור'!H11</f>
        <v/>
      </c>
      <c r="H14" s="95">
        <f>'לקוחות לפי סוכן - מקור'!I11</f>
        <v/>
      </c>
      <c r="I14" s="94">
        <f>'לקוחות לפי סוכן - מקור'!K11</f>
        <v/>
      </c>
    </row>
    <row r="15" outlineLevel="1" ht="15" customHeight="1" s="82">
      <c r="A15" s="94">
        <f>'לקוחות לפי סוכן - מקור'!A12</f>
        <v/>
      </c>
      <c r="B15" s="94">
        <f>'לקוחות לפי סוכן - מקור'!C12</f>
        <v/>
      </c>
      <c r="C15" s="126">
        <f>'לקוחות לפי סוכן - מקור'!E12</f>
        <v/>
      </c>
      <c r="D15" s="102">
        <f>'לקוחות לפי סוכן - מקור'!F12</f>
        <v/>
      </c>
      <c r="E15" s="102">
        <f>'לקוחות לפי סוכן - מקור'!G12</f>
        <v/>
      </c>
      <c r="F15" s="94">
        <f>'לקוחות לפי סוכן - מקור'!D12</f>
        <v/>
      </c>
      <c r="G15" s="95">
        <f>'לקוחות לפי סוכן - מקור'!H12</f>
        <v/>
      </c>
      <c r="H15" s="95">
        <f>'לקוחות לפי סוכן - מקור'!I12</f>
        <v/>
      </c>
      <c r="I15" s="94">
        <f>'לקוחות לפי סוכן - מקור'!K12</f>
        <v/>
      </c>
    </row>
    <row r="16" outlineLevel="1" ht="15" customHeight="1" s="82">
      <c r="A16" s="94">
        <f>'לקוחות לפי סוכן - מקור'!A13</f>
        <v/>
      </c>
      <c r="B16" s="94">
        <f>'לקוחות לפי סוכן - מקור'!C13</f>
        <v/>
      </c>
      <c r="C16" s="126">
        <f>'לקוחות לפי סוכן - מקור'!E13</f>
        <v/>
      </c>
      <c r="D16" s="102">
        <f>'לקוחות לפי סוכן - מקור'!F13</f>
        <v/>
      </c>
      <c r="E16" s="102">
        <f>'לקוחות לפי סוכן - מקור'!G13</f>
        <v/>
      </c>
      <c r="F16" s="94">
        <f>'לקוחות לפי סוכן - מקור'!D13</f>
        <v/>
      </c>
      <c r="G16" s="95">
        <f>'לקוחות לפי סוכן - מקור'!H13</f>
        <v/>
      </c>
      <c r="H16" s="95">
        <f>'לקוחות לפי סוכן - מקור'!I13</f>
        <v/>
      </c>
      <c r="I16" s="94">
        <f>'לקוחות לפי סוכן - מקור'!K13</f>
        <v/>
      </c>
    </row>
    <row r="17" outlineLevel="1" ht="15" customHeight="1" s="82">
      <c r="A17" s="94">
        <f>'לקוחות לפי סוכן - מקור'!A14</f>
        <v/>
      </c>
      <c r="B17" s="94">
        <f>'לקוחות לפי סוכן - מקור'!C14</f>
        <v/>
      </c>
      <c r="C17" s="126">
        <f>'לקוחות לפי סוכן - מקור'!E14</f>
        <v/>
      </c>
      <c r="D17" s="102">
        <f>'לקוחות לפי סוכן - מקור'!F14</f>
        <v/>
      </c>
      <c r="E17" s="102">
        <f>'לקוחות לפי סוכן - מקור'!G14</f>
        <v/>
      </c>
      <c r="F17" s="94">
        <f>'לקוחות לפי סוכן - מקור'!D14</f>
        <v/>
      </c>
      <c r="G17" s="95">
        <f>'לקוחות לפי סוכן - מקור'!H14</f>
        <v/>
      </c>
      <c r="H17" s="95">
        <f>'לקוחות לפי סוכן - מקור'!I14</f>
        <v/>
      </c>
      <c r="I17" s="94">
        <f>'לקוחות לפי סוכן - מקור'!K14</f>
        <v/>
      </c>
    </row>
    <row r="18" outlineLevel="1" ht="15" customHeight="1" s="82">
      <c r="A18" s="94">
        <f>'לקוחות לפי סוכן - מקור'!A15</f>
        <v/>
      </c>
      <c r="B18" s="94">
        <f>'לקוחות לפי סוכן - מקור'!C15</f>
        <v/>
      </c>
      <c r="C18" s="126">
        <f>'לקוחות לפי סוכן - מקור'!E15</f>
        <v/>
      </c>
      <c r="D18" s="102">
        <f>'לקוחות לפי סוכן - מקור'!F15</f>
        <v/>
      </c>
      <c r="E18" s="102">
        <f>'לקוחות לפי סוכן - מקור'!G15</f>
        <v/>
      </c>
      <c r="F18" s="94">
        <f>'לקוחות לפי סוכן - מקור'!D15</f>
        <v/>
      </c>
      <c r="G18" s="95">
        <f>'לקוחות לפי סוכן - מקור'!H15</f>
        <v/>
      </c>
      <c r="H18" s="95">
        <f>'לקוחות לפי סוכן - מקור'!I15</f>
        <v/>
      </c>
      <c r="I18" s="94">
        <f>'לקוחות לפי סוכן - מקור'!K15</f>
        <v/>
      </c>
    </row>
    <row r="19" outlineLevel="1" ht="15" customHeight="1" s="82">
      <c r="A19" s="94">
        <f>'לקוחות לפי סוכן - מקור'!A16</f>
        <v/>
      </c>
      <c r="B19" s="94">
        <f>'לקוחות לפי סוכן - מקור'!C16</f>
        <v/>
      </c>
      <c r="C19" s="126">
        <f>'לקוחות לפי סוכן - מקור'!E16</f>
        <v/>
      </c>
      <c r="D19" s="102">
        <f>'לקוחות לפי סוכן - מקור'!F16</f>
        <v/>
      </c>
      <c r="E19" s="102">
        <f>'לקוחות לפי סוכן - מקור'!G16</f>
        <v/>
      </c>
      <c r="F19" s="94">
        <f>'לקוחות לפי סוכן - מקור'!D16</f>
        <v/>
      </c>
      <c r="G19" s="95">
        <f>'לקוחות לפי סוכן - מקור'!H16</f>
        <v/>
      </c>
      <c r="H19" s="95">
        <f>'לקוחות לפי סוכן - מקור'!I16</f>
        <v/>
      </c>
      <c r="I19" s="94">
        <f>'לקוחות לפי סוכן - מקור'!K16</f>
        <v/>
      </c>
    </row>
    <row r="21" ht="15" customHeight="1" s="82">
      <c r="A21" s="96" t="inlineStr">
        <is>
          <t>אזולאי דוד</t>
        </is>
      </c>
      <c r="B21" s="96" t="n"/>
      <c r="C21" s="124" t="inlineStr">
        <is>
          <t>סה"כ 196 חנויות</t>
        </is>
      </c>
      <c r="D21" s="125">
        <f>SUMIF('לקוחות לפי סוכן - מקור'!$A$2:$A$867,$A21,'לקוחות לפי סוכן - מקור'!$F$2:$F$867)</f>
        <v/>
      </c>
      <c r="E21" s="125">
        <f>SUMIF('לקוחות לפי סוכן - מקור'!$A$2:$A$867,$A21,'לקוחות לפי סוכן - מקור'!$G$2:$G$867)</f>
        <v/>
      </c>
      <c r="F21" s="96" t="n"/>
      <c r="G21" s="97">
        <f>SUMIF('לקוחות לפי סוכן - מקור'!$A$2:$A$867,$A21,'לקוחות לפי סוכן - מקור'!$H$2:$H$867)</f>
        <v/>
      </c>
      <c r="H21" s="97">
        <f>SUMIF('לקוחות לפי סוכן - מקור'!$A$2:$A$867,$A21,'לקוחות לפי סוכן - מקור'!$I$2:$I$867)</f>
        <v/>
      </c>
      <c r="I21" s="96" t="inlineStr">
        <is>
          <t>NetSuite+CHMI (39+157)</t>
        </is>
      </c>
    </row>
    <row r="22" outlineLevel="1" ht="15" customHeight="1" s="82">
      <c r="A22" s="94">
        <f>'לקוחות לפי סוכן - מקור'!A17</f>
        <v/>
      </c>
      <c r="B22" s="94">
        <f>'לקוחות לפי סוכן - מקור'!C17</f>
        <v/>
      </c>
      <c r="C22" s="126">
        <f>'לקוחות לפי סוכן - מקור'!E17</f>
        <v/>
      </c>
      <c r="D22" s="102">
        <f>'לקוחות לפי סוכן - מקור'!F17</f>
        <v/>
      </c>
      <c r="E22" s="102">
        <f>'לקוחות לפי סוכן - מקור'!G17</f>
        <v/>
      </c>
      <c r="F22" s="94">
        <f>'לקוחות לפי סוכן - מקור'!D17</f>
        <v/>
      </c>
      <c r="G22" s="95">
        <f>'לקוחות לפי סוכן - מקור'!H17</f>
        <v/>
      </c>
      <c r="H22" s="95">
        <f>'לקוחות לפי סוכן - מקור'!I17</f>
        <v/>
      </c>
      <c r="I22" s="94">
        <f>'לקוחות לפי סוכן - מקור'!K17</f>
        <v/>
      </c>
    </row>
    <row r="23" outlineLevel="1" ht="15" customHeight="1" s="82">
      <c r="A23" s="94">
        <f>'לקוחות לפי סוכן - מקור'!A18</f>
        <v/>
      </c>
      <c r="B23" s="94">
        <f>'לקוחות לפי סוכן - מקור'!C18</f>
        <v/>
      </c>
      <c r="C23" s="126">
        <f>'לקוחות לפי סוכן - מקור'!E18</f>
        <v/>
      </c>
      <c r="D23" s="102">
        <f>'לקוחות לפי סוכן - מקור'!F18</f>
        <v/>
      </c>
      <c r="E23" s="102">
        <f>'לקוחות לפי סוכן - מקור'!G18</f>
        <v/>
      </c>
      <c r="F23" s="94">
        <f>'לקוחות לפי סוכן - מקור'!D18</f>
        <v/>
      </c>
      <c r="G23" s="95">
        <f>'לקוחות לפי סוכן - מקור'!H18</f>
        <v/>
      </c>
      <c r="H23" s="95">
        <f>'לקוחות לפי סוכן - מקור'!I18</f>
        <v/>
      </c>
      <c r="I23" s="94">
        <f>'לקוחות לפי סוכן - מקור'!K18</f>
        <v/>
      </c>
    </row>
    <row r="24" outlineLevel="1" ht="15" customHeight="1" s="82">
      <c r="A24" s="94">
        <f>'לקוחות לפי סוכן - מקור'!A19</f>
        <v/>
      </c>
      <c r="B24" s="94">
        <f>'לקוחות לפי סוכן - מקור'!C19</f>
        <v/>
      </c>
      <c r="C24" s="126">
        <f>'לקוחות לפי סוכן - מקור'!E19</f>
        <v/>
      </c>
      <c r="D24" s="102">
        <f>'לקוחות לפי סוכן - מקור'!F19</f>
        <v/>
      </c>
      <c r="E24" s="102">
        <f>'לקוחות לפי סוכן - מקור'!G19</f>
        <v/>
      </c>
      <c r="F24" s="94">
        <f>'לקוחות לפי סוכן - מקור'!D19</f>
        <v/>
      </c>
      <c r="G24" s="95">
        <f>'לקוחות לפי סוכן - מקור'!H19</f>
        <v/>
      </c>
      <c r="H24" s="95">
        <f>'לקוחות לפי סוכן - מקור'!I19</f>
        <v/>
      </c>
      <c r="I24" s="94">
        <f>'לקוחות לפי סוכן - מקור'!K19</f>
        <v/>
      </c>
    </row>
    <row r="25" outlineLevel="1" ht="15" customHeight="1" s="82">
      <c r="A25" s="94">
        <f>'לקוחות לפי סוכן - מקור'!A20</f>
        <v/>
      </c>
      <c r="B25" s="94">
        <f>'לקוחות לפי סוכן - מקור'!C20</f>
        <v/>
      </c>
      <c r="C25" s="126">
        <f>'לקוחות לפי סוכן - מקור'!E20</f>
        <v/>
      </c>
      <c r="D25" s="102">
        <f>'לקוחות לפי סוכן - מקור'!F20</f>
        <v/>
      </c>
      <c r="E25" s="102">
        <f>'לקוחות לפי סוכן - מקור'!G20</f>
        <v/>
      </c>
      <c r="F25" s="94">
        <f>'לקוחות לפי סוכן - מקור'!D20</f>
        <v/>
      </c>
      <c r="G25" s="95">
        <f>'לקוחות לפי סוכן - מקור'!H20</f>
        <v/>
      </c>
      <c r="H25" s="95">
        <f>'לקוחות לפי סוכן - מקור'!I20</f>
        <v/>
      </c>
      <c r="I25" s="94">
        <f>'לקוחות לפי סוכן - מקור'!K20</f>
        <v/>
      </c>
    </row>
    <row r="26" outlineLevel="1" ht="15" customHeight="1" s="82">
      <c r="A26" s="94">
        <f>'לקוחות לפי סוכן - מקור'!A21</f>
        <v/>
      </c>
      <c r="B26" s="94">
        <f>'לקוחות לפי סוכן - מקור'!C21</f>
        <v/>
      </c>
      <c r="C26" s="126">
        <f>'לקוחות לפי סוכן - מקור'!E21</f>
        <v/>
      </c>
      <c r="D26" s="102">
        <f>'לקוחות לפי סוכן - מקור'!F21</f>
        <v/>
      </c>
      <c r="E26" s="102">
        <f>'לקוחות לפי סוכן - מקור'!G21</f>
        <v/>
      </c>
      <c r="F26" s="94">
        <f>'לקוחות לפי סוכן - מקור'!D21</f>
        <v/>
      </c>
      <c r="G26" s="95">
        <f>'לקוחות לפי סוכן - מקור'!H21</f>
        <v/>
      </c>
      <c r="H26" s="95">
        <f>'לקוחות לפי סוכן - מקור'!I21</f>
        <v/>
      </c>
      <c r="I26" s="94">
        <f>'לקוחות לפי סוכן - מקור'!K21</f>
        <v/>
      </c>
    </row>
    <row r="27" outlineLevel="1" ht="15" customHeight="1" s="82">
      <c r="A27" s="94">
        <f>'לקוחות לפי סוכן - מקור'!A22</f>
        <v/>
      </c>
      <c r="B27" s="94">
        <f>'לקוחות לפי סוכן - מקור'!C22</f>
        <v/>
      </c>
      <c r="C27" s="126">
        <f>'לקוחות לפי סוכן - מקור'!E22</f>
        <v/>
      </c>
      <c r="D27" s="102">
        <f>'לקוחות לפי סוכן - מקור'!F22</f>
        <v/>
      </c>
      <c r="E27" s="102">
        <f>'לקוחות לפי סוכן - מקור'!G22</f>
        <v/>
      </c>
      <c r="F27" s="94">
        <f>'לקוחות לפי סוכן - מקור'!D22</f>
        <v/>
      </c>
      <c r="G27" s="95">
        <f>'לקוחות לפי סוכן - מקור'!H22</f>
        <v/>
      </c>
      <c r="H27" s="95">
        <f>'לקוחות לפי סוכן - מקור'!I22</f>
        <v/>
      </c>
      <c r="I27" s="94">
        <f>'לקוחות לפי סוכן - מקור'!K22</f>
        <v/>
      </c>
    </row>
    <row r="28" outlineLevel="1" ht="15" customHeight="1" s="82">
      <c r="A28" s="94">
        <f>'לקוחות לפי סוכן - מקור'!A23</f>
        <v/>
      </c>
      <c r="B28" s="94">
        <f>'לקוחות לפי סוכן - מקור'!C23</f>
        <v/>
      </c>
      <c r="C28" s="126">
        <f>'לקוחות לפי סוכן - מקור'!E23</f>
        <v/>
      </c>
      <c r="D28" s="102">
        <f>'לקוחות לפי סוכן - מקור'!F23</f>
        <v/>
      </c>
      <c r="E28" s="102">
        <f>'לקוחות לפי סוכן - מקור'!G23</f>
        <v/>
      </c>
      <c r="F28" s="94">
        <f>'לקוחות לפי סוכן - מקור'!D23</f>
        <v/>
      </c>
      <c r="G28" s="95">
        <f>'לקוחות לפי סוכן - מקור'!H23</f>
        <v/>
      </c>
      <c r="H28" s="95">
        <f>'לקוחות לפי סוכן - מקור'!I23</f>
        <v/>
      </c>
      <c r="I28" s="94">
        <f>'לקוחות לפי סוכן - מקור'!K23</f>
        <v/>
      </c>
    </row>
    <row r="29" outlineLevel="1" ht="15" customHeight="1" s="82">
      <c r="A29" s="94">
        <f>'לקוחות לפי סוכן - מקור'!A24</f>
        <v/>
      </c>
      <c r="B29" s="94">
        <f>'לקוחות לפי סוכן - מקור'!C24</f>
        <v/>
      </c>
      <c r="C29" s="126">
        <f>'לקוחות לפי סוכן - מקור'!E24</f>
        <v/>
      </c>
      <c r="D29" s="102">
        <f>'לקוחות לפי סוכן - מקור'!F24</f>
        <v/>
      </c>
      <c r="E29" s="102">
        <f>'לקוחות לפי סוכן - מקור'!G24</f>
        <v/>
      </c>
      <c r="F29" s="94">
        <f>'לקוחות לפי סוכן - מקור'!D24</f>
        <v/>
      </c>
      <c r="G29" s="95">
        <f>'לקוחות לפי סוכן - מקור'!H24</f>
        <v/>
      </c>
      <c r="H29" s="95">
        <f>'לקוחות לפי סוכן - מקור'!I24</f>
        <v/>
      </c>
      <c r="I29" s="94">
        <f>'לקוחות לפי סוכן - מקור'!K24</f>
        <v/>
      </c>
    </row>
    <row r="30" outlineLevel="1" ht="15" customHeight="1" s="82">
      <c r="A30" s="94">
        <f>'לקוחות לפי סוכן - מקור'!A25</f>
        <v/>
      </c>
      <c r="B30" s="94">
        <f>'לקוחות לפי סוכן - מקור'!C25</f>
        <v/>
      </c>
      <c r="C30" s="126">
        <f>'לקוחות לפי סוכן - מקור'!E25</f>
        <v/>
      </c>
      <c r="D30" s="102">
        <f>'לקוחות לפי סוכן - מקור'!F25</f>
        <v/>
      </c>
      <c r="E30" s="102">
        <f>'לקוחות לפי סוכן - מקור'!G25</f>
        <v/>
      </c>
      <c r="F30" s="94">
        <f>'לקוחות לפי סוכן - מקור'!D25</f>
        <v/>
      </c>
      <c r="G30" s="95">
        <f>'לקוחות לפי סוכן - מקור'!H25</f>
        <v/>
      </c>
      <c r="H30" s="95">
        <f>'לקוחות לפי סוכן - מקור'!I25</f>
        <v/>
      </c>
      <c r="I30" s="94">
        <f>'לקוחות לפי סוכן - מקור'!K25</f>
        <v/>
      </c>
    </row>
    <row r="31" outlineLevel="1" ht="15" customHeight="1" s="82">
      <c r="A31" s="94">
        <f>'לקוחות לפי סוכן - מקור'!A26</f>
        <v/>
      </c>
      <c r="B31" s="94">
        <f>'לקוחות לפי סוכן - מקור'!C26</f>
        <v/>
      </c>
      <c r="C31" s="126">
        <f>'לקוחות לפי סוכן - מקור'!E26</f>
        <v/>
      </c>
      <c r="D31" s="102">
        <f>'לקוחות לפי סוכן - מקור'!F26</f>
        <v/>
      </c>
      <c r="E31" s="102">
        <f>'לקוחות לפי סוכן - מקור'!G26</f>
        <v/>
      </c>
      <c r="F31" s="94">
        <f>'לקוחות לפי סוכן - מקור'!D26</f>
        <v/>
      </c>
      <c r="G31" s="95">
        <f>'לקוחות לפי סוכן - מקור'!H26</f>
        <v/>
      </c>
      <c r="H31" s="95">
        <f>'לקוחות לפי סוכן - מקור'!I26</f>
        <v/>
      </c>
      <c r="I31" s="94">
        <f>'לקוחות לפי סוכן - מקור'!K26</f>
        <v/>
      </c>
    </row>
    <row r="32" outlineLevel="1" ht="15" customHeight="1" s="82">
      <c r="A32" s="94">
        <f>'לקוחות לפי סוכן - מקור'!A27</f>
        <v/>
      </c>
      <c r="B32" s="94">
        <f>'לקוחות לפי סוכן - מקור'!C27</f>
        <v/>
      </c>
      <c r="C32" s="126">
        <f>'לקוחות לפי סוכן - מקור'!E27</f>
        <v/>
      </c>
      <c r="D32" s="102">
        <f>'לקוחות לפי סוכן - מקור'!F27</f>
        <v/>
      </c>
      <c r="E32" s="102">
        <f>'לקוחות לפי סוכן - מקור'!G27</f>
        <v/>
      </c>
      <c r="F32" s="94">
        <f>'לקוחות לפי סוכן - מקור'!D27</f>
        <v/>
      </c>
      <c r="G32" s="95">
        <f>'לקוחות לפי סוכן - מקור'!H27</f>
        <v/>
      </c>
      <c r="H32" s="95">
        <f>'לקוחות לפי סוכן - מקור'!I27</f>
        <v/>
      </c>
      <c r="I32" s="94">
        <f>'לקוחות לפי סוכן - מקור'!K27</f>
        <v/>
      </c>
    </row>
    <row r="33" outlineLevel="1" ht="15" customHeight="1" s="82">
      <c r="A33" s="94">
        <f>'לקוחות לפי סוכן - מקור'!A28</f>
        <v/>
      </c>
      <c r="B33" s="94">
        <f>'לקוחות לפי סוכן - מקור'!C28</f>
        <v/>
      </c>
      <c r="C33" s="126">
        <f>'לקוחות לפי סוכן - מקור'!E28</f>
        <v/>
      </c>
      <c r="D33" s="102">
        <f>'לקוחות לפי סוכן - מקור'!F28</f>
        <v/>
      </c>
      <c r="E33" s="102">
        <f>'לקוחות לפי סוכן - מקור'!G28</f>
        <v/>
      </c>
      <c r="F33" s="94">
        <f>'לקוחות לפי סוכן - מקור'!D28</f>
        <v/>
      </c>
      <c r="G33" s="95">
        <f>'לקוחות לפי סוכן - מקור'!H28</f>
        <v/>
      </c>
      <c r="H33" s="95">
        <f>'לקוחות לפי סוכן - מקור'!I28</f>
        <v/>
      </c>
      <c r="I33" s="94">
        <f>'לקוחות לפי סוכן - מקור'!K28</f>
        <v/>
      </c>
    </row>
    <row r="34" outlineLevel="1" ht="15" customHeight="1" s="82">
      <c r="A34" s="94">
        <f>'לקוחות לפי סוכן - מקור'!A29</f>
        <v/>
      </c>
      <c r="B34" s="94">
        <f>'לקוחות לפי סוכן - מקור'!C29</f>
        <v/>
      </c>
      <c r="C34" s="126">
        <f>'לקוחות לפי סוכן - מקור'!E29</f>
        <v/>
      </c>
      <c r="D34" s="102">
        <f>'לקוחות לפי סוכן - מקור'!F29</f>
        <v/>
      </c>
      <c r="E34" s="102">
        <f>'לקוחות לפי סוכן - מקור'!G29</f>
        <v/>
      </c>
      <c r="F34" s="94">
        <f>'לקוחות לפי סוכן - מקור'!D29</f>
        <v/>
      </c>
      <c r="G34" s="95">
        <f>'לקוחות לפי סוכן - מקור'!H29</f>
        <v/>
      </c>
      <c r="H34" s="95">
        <f>'לקוחות לפי סוכן - מקור'!I29</f>
        <v/>
      </c>
      <c r="I34" s="94">
        <f>'לקוחות לפי סוכן - מקור'!K29</f>
        <v/>
      </c>
    </row>
    <row r="35" outlineLevel="1" ht="15" customHeight="1" s="82">
      <c r="A35" s="94">
        <f>'לקוחות לפי סוכן - מקור'!A30</f>
        <v/>
      </c>
      <c r="B35" s="94">
        <f>'לקוחות לפי סוכן - מקור'!C30</f>
        <v/>
      </c>
      <c r="C35" s="126">
        <f>'לקוחות לפי סוכן - מקור'!E30</f>
        <v/>
      </c>
      <c r="D35" s="102">
        <f>'לקוחות לפי סוכן - מקור'!F30</f>
        <v/>
      </c>
      <c r="E35" s="102">
        <f>'לקוחות לפי סוכן - מקור'!G30</f>
        <v/>
      </c>
      <c r="F35" s="94">
        <f>'לקוחות לפי סוכן - מקור'!D30</f>
        <v/>
      </c>
      <c r="G35" s="95">
        <f>'לקוחות לפי סוכן - מקור'!H30</f>
        <v/>
      </c>
      <c r="H35" s="95">
        <f>'לקוחות לפי סוכן - מקור'!I30</f>
        <v/>
      </c>
      <c r="I35" s="94">
        <f>'לקוחות לפי סוכן - מקור'!K30</f>
        <v/>
      </c>
    </row>
    <row r="36" outlineLevel="1" ht="15" customHeight="1" s="82">
      <c r="A36" s="94">
        <f>'לקוחות לפי סוכן - מקור'!A31</f>
        <v/>
      </c>
      <c r="B36" s="94">
        <f>'לקוחות לפי סוכן - מקור'!C31</f>
        <v/>
      </c>
      <c r="C36" s="126">
        <f>'לקוחות לפי סוכן - מקור'!E31</f>
        <v/>
      </c>
      <c r="D36" s="102">
        <f>'לקוחות לפי סוכן - מקור'!F31</f>
        <v/>
      </c>
      <c r="E36" s="102">
        <f>'לקוחות לפי סוכן - מקור'!G31</f>
        <v/>
      </c>
      <c r="F36" s="94">
        <f>'לקוחות לפי סוכן - מקור'!D31</f>
        <v/>
      </c>
      <c r="G36" s="95">
        <f>'לקוחות לפי סוכן - מקור'!H31</f>
        <v/>
      </c>
      <c r="H36" s="95">
        <f>'לקוחות לפי סוכן - מקור'!I31</f>
        <v/>
      </c>
      <c r="I36" s="94">
        <f>'לקוחות לפי סוכן - מקור'!K31</f>
        <v/>
      </c>
    </row>
    <row r="37" outlineLevel="1" ht="15" customHeight="1" s="82">
      <c r="A37" s="94">
        <f>'לקוחות לפי סוכן - מקור'!A32</f>
        <v/>
      </c>
      <c r="B37" s="94">
        <f>'לקוחות לפי סוכן - מקור'!C32</f>
        <v/>
      </c>
      <c r="C37" s="126">
        <f>'לקוחות לפי סוכן - מקור'!E32</f>
        <v/>
      </c>
      <c r="D37" s="102">
        <f>'לקוחות לפי סוכן - מקור'!F32</f>
        <v/>
      </c>
      <c r="E37" s="102">
        <f>'לקוחות לפי סוכן - מקור'!G32</f>
        <v/>
      </c>
      <c r="F37" s="94">
        <f>'לקוחות לפי סוכן - מקור'!D32</f>
        <v/>
      </c>
      <c r="G37" s="95">
        <f>'לקוחות לפי סוכן - מקור'!H32</f>
        <v/>
      </c>
      <c r="H37" s="95">
        <f>'לקוחות לפי סוכן - מקור'!I32</f>
        <v/>
      </c>
      <c r="I37" s="94">
        <f>'לקוחות לפי סוכן - מקור'!K32</f>
        <v/>
      </c>
    </row>
    <row r="38" outlineLevel="1" ht="15" customHeight="1" s="82">
      <c r="A38" s="94">
        <f>'לקוחות לפי סוכן - מקור'!A33</f>
        <v/>
      </c>
      <c r="B38" s="94">
        <f>'לקוחות לפי סוכן - מקור'!C33</f>
        <v/>
      </c>
      <c r="C38" s="126">
        <f>'לקוחות לפי סוכן - מקור'!E33</f>
        <v/>
      </c>
      <c r="D38" s="102">
        <f>'לקוחות לפי סוכן - מקור'!F33</f>
        <v/>
      </c>
      <c r="E38" s="102">
        <f>'לקוחות לפי סוכן - מקור'!G33</f>
        <v/>
      </c>
      <c r="F38" s="94">
        <f>'לקוחות לפי סוכן - מקור'!D33</f>
        <v/>
      </c>
      <c r="G38" s="95">
        <f>'לקוחות לפי סוכן - מקור'!H33</f>
        <v/>
      </c>
      <c r="H38" s="95">
        <f>'לקוחות לפי סוכן - מקור'!I33</f>
        <v/>
      </c>
      <c r="I38" s="94">
        <f>'לקוחות לפי סוכן - מקור'!K33</f>
        <v/>
      </c>
    </row>
    <row r="39" outlineLevel="1" ht="15" customHeight="1" s="82">
      <c r="A39" s="94">
        <f>'לקוחות לפי סוכן - מקור'!A34</f>
        <v/>
      </c>
      <c r="B39" s="94">
        <f>'לקוחות לפי סוכן - מקור'!C34</f>
        <v/>
      </c>
      <c r="C39" s="126">
        <f>'לקוחות לפי סוכן - מקור'!E34</f>
        <v/>
      </c>
      <c r="D39" s="102">
        <f>'לקוחות לפי סוכן - מקור'!F34</f>
        <v/>
      </c>
      <c r="E39" s="102">
        <f>'לקוחות לפי סוכן - מקור'!G34</f>
        <v/>
      </c>
      <c r="F39" s="94">
        <f>'לקוחות לפי סוכן - מקור'!D34</f>
        <v/>
      </c>
      <c r="G39" s="95">
        <f>'לקוחות לפי סוכן - מקור'!H34</f>
        <v/>
      </c>
      <c r="H39" s="95">
        <f>'לקוחות לפי סוכן - מקור'!I34</f>
        <v/>
      </c>
      <c r="I39" s="94">
        <f>'לקוחות לפי סוכן - מקור'!K34</f>
        <v/>
      </c>
    </row>
    <row r="40" outlineLevel="1" ht="15" customHeight="1" s="82">
      <c r="A40" s="94">
        <f>'לקוחות לפי סוכן - מקור'!A35</f>
        <v/>
      </c>
      <c r="B40" s="94">
        <f>'לקוחות לפי סוכן - מקור'!C35</f>
        <v/>
      </c>
      <c r="C40" s="126">
        <f>'לקוחות לפי סוכן - מקור'!E35</f>
        <v/>
      </c>
      <c r="D40" s="102">
        <f>'לקוחות לפי סוכן - מקור'!F35</f>
        <v/>
      </c>
      <c r="E40" s="102">
        <f>'לקוחות לפי סוכן - מקור'!G35</f>
        <v/>
      </c>
      <c r="F40" s="94">
        <f>'לקוחות לפי סוכן - מקור'!D35</f>
        <v/>
      </c>
      <c r="G40" s="95">
        <f>'לקוחות לפי סוכן - מקור'!H35</f>
        <v/>
      </c>
      <c r="H40" s="95">
        <f>'לקוחות לפי סוכן - מקור'!I35</f>
        <v/>
      </c>
      <c r="I40" s="94">
        <f>'לקוחות לפי סוכן - מקור'!K35</f>
        <v/>
      </c>
    </row>
    <row r="41" outlineLevel="1" ht="15" customHeight="1" s="82">
      <c r="A41" s="94">
        <f>'לקוחות לפי סוכן - מקור'!A36</f>
        <v/>
      </c>
      <c r="B41" s="94">
        <f>'לקוחות לפי סוכן - מקור'!C36</f>
        <v/>
      </c>
      <c r="C41" s="126">
        <f>'לקוחות לפי סוכן - מקור'!E36</f>
        <v/>
      </c>
      <c r="D41" s="102">
        <f>'לקוחות לפי סוכן - מקור'!F36</f>
        <v/>
      </c>
      <c r="E41" s="102">
        <f>'לקוחות לפי סוכן - מקור'!G36</f>
        <v/>
      </c>
      <c r="F41" s="94">
        <f>'לקוחות לפי סוכן - מקור'!D36</f>
        <v/>
      </c>
      <c r="G41" s="95">
        <f>'לקוחות לפי סוכן - מקור'!H36</f>
        <v/>
      </c>
      <c r="H41" s="95">
        <f>'לקוחות לפי סוכן - מקור'!I36</f>
        <v/>
      </c>
      <c r="I41" s="94">
        <f>'לקוחות לפי סוכן - מקור'!K36</f>
        <v/>
      </c>
    </row>
    <row r="42" outlineLevel="1" ht="15" customHeight="1" s="82">
      <c r="A42" s="94">
        <f>'לקוחות לפי סוכן - מקור'!A37</f>
        <v/>
      </c>
      <c r="B42" s="94">
        <f>'לקוחות לפי סוכן - מקור'!C37</f>
        <v/>
      </c>
      <c r="C42" s="126">
        <f>'לקוחות לפי סוכן - מקור'!E37</f>
        <v/>
      </c>
      <c r="D42" s="102">
        <f>'לקוחות לפי סוכן - מקור'!F37</f>
        <v/>
      </c>
      <c r="E42" s="102">
        <f>'לקוחות לפי סוכן - מקור'!G37</f>
        <v/>
      </c>
      <c r="F42" s="94">
        <f>'לקוחות לפי סוכן - מקור'!D37</f>
        <v/>
      </c>
      <c r="G42" s="95">
        <f>'לקוחות לפי סוכן - מקור'!H37</f>
        <v/>
      </c>
      <c r="H42" s="95">
        <f>'לקוחות לפי סוכן - מקור'!I37</f>
        <v/>
      </c>
      <c r="I42" s="94">
        <f>'לקוחות לפי סוכן - מקור'!K37</f>
        <v/>
      </c>
    </row>
    <row r="43" outlineLevel="1" ht="15" customHeight="1" s="82">
      <c r="A43" s="94">
        <f>'לקוחות לפי סוכן - מקור'!A38</f>
        <v/>
      </c>
      <c r="B43" s="94">
        <f>'לקוחות לפי סוכן - מקור'!C38</f>
        <v/>
      </c>
      <c r="C43" s="126">
        <f>'לקוחות לפי סוכן - מקור'!E38</f>
        <v/>
      </c>
      <c r="D43" s="102">
        <f>'לקוחות לפי סוכן - מקור'!F38</f>
        <v/>
      </c>
      <c r="E43" s="102">
        <f>'לקוחות לפי סוכן - מקור'!G38</f>
        <v/>
      </c>
      <c r="F43" s="94">
        <f>'לקוחות לפי סוכן - מקור'!D38</f>
        <v/>
      </c>
      <c r="G43" s="95">
        <f>'לקוחות לפי סוכן - מקור'!H38</f>
        <v/>
      </c>
      <c r="H43" s="95">
        <f>'לקוחות לפי סוכן - מקור'!I38</f>
        <v/>
      </c>
      <c r="I43" s="94">
        <f>'לקוחות לפי סוכן - מקור'!K38</f>
        <v/>
      </c>
    </row>
    <row r="44" outlineLevel="1" ht="15" customHeight="1" s="82">
      <c r="A44" s="94">
        <f>'לקוחות לפי סוכן - מקור'!A39</f>
        <v/>
      </c>
      <c r="B44" s="94">
        <f>'לקוחות לפי סוכן - מקור'!C39</f>
        <v/>
      </c>
      <c r="C44" s="126">
        <f>'לקוחות לפי סוכן - מקור'!E39</f>
        <v/>
      </c>
      <c r="D44" s="102">
        <f>'לקוחות לפי סוכן - מקור'!F39</f>
        <v/>
      </c>
      <c r="E44" s="102">
        <f>'לקוחות לפי סוכן - מקור'!G39</f>
        <v/>
      </c>
      <c r="F44" s="94">
        <f>'לקוחות לפי סוכן - מקור'!D39</f>
        <v/>
      </c>
      <c r="G44" s="95">
        <f>'לקוחות לפי סוכן - מקור'!H39</f>
        <v/>
      </c>
      <c r="H44" s="95">
        <f>'לקוחות לפי סוכן - מקור'!I39</f>
        <v/>
      </c>
      <c r="I44" s="94">
        <f>'לקוחות לפי סוכן - מקור'!K39</f>
        <v/>
      </c>
    </row>
    <row r="45" outlineLevel="1" ht="15" customHeight="1" s="82">
      <c r="A45" s="94">
        <f>'לקוחות לפי סוכן - מקור'!A40</f>
        <v/>
      </c>
      <c r="B45" s="94">
        <f>'לקוחות לפי סוכן - מקור'!C40</f>
        <v/>
      </c>
      <c r="C45" s="126">
        <f>'לקוחות לפי סוכן - מקור'!E40</f>
        <v/>
      </c>
      <c r="D45" s="102">
        <f>'לקוחות לפי סוכן - מקור'!F40</f>
        <v/>
      </c>
      <c r="E45" s="102">
        <f>'לקוחות לפי סוכן - מקור'!G40</f>
        <v/>
      </c>
      <c r="F45" s="94">
        <f>'לקוחות לפי סוכן - מקור'!D40</f>
        <v/>
      </c>
      <c r="G45" s="95">
        <f>'לקוחות לפי סוכן - מקור'!H40</f>
        <v/>
      </c>
      <c r="H45" s="95">
        <f>'לקוחות לפי סוכן - מקור'!I40</f>
        <v/>
      </c>
      <c r="I45" s="94">
        <f>'לקוחות לפי סוכן - מקור'!K40</f>
        <v/>
      </c>
    </row>
    <row r="46" outlineLevel="1" ht="15" customHeight="1" s="82">
      <c r="A46" s="94">
        <f>'לקוחות לפי סוכן - מקור'!A41</f>
        <v/>
      </c>
      <c r="B46" s="94">
        <f>'לקוחות לפי סוכן - מקור'!C41</f>
        <v/>
      </c>
      <c r="C46" s="126">
        <f>'לקוחות לפי סוכן - מקור'!E41</f>
        <v/>
      </c>
      <c r="D46" s="102">
        <f>'לקוחות לפי סוכן - מקור'!F41</f>
        <v/>
      </c>
      <c r="E46" s="102">
        <f>'לקוחות לפי סוכן - מקור'!G41</f>
        <v/>
      </c>
      <c r="F46" s="94">
        <f>'לקוחות לפי סוכן - מקור'!D41</f>
        <v/>
      </c>
      <c r="G46" s="95">
        <f>'לקוחות לפי סוכן - מקור'!H41</f>
        <v/>
      </c>
      <c r="H46" s="95">
        <f>'לקוחות לפי סוכן - מקור'!I41</f>
        <v/>
      </c>
      <c r="I46" s="94">
        <f>'לקוחות לפי סוכן - מקור'!K41</f>
        <v/>
      </c>
    </row>
    <row r="47" outlineLevel="1" ht="15" customHeight="1" s="82">
      <c r="A47" s="94">
        <f>'לקוחות לפי סוכן - מקור'!A42</f>
        <v/>
      </c>
      <c r="B47" s="94">
        <f>'לקוחות לפי סוכן - מקור'!C42</f>
        <v/>
      </c>
      <c r="C47" s="126">
        <f>'לקוחות לפי סוכן - מקור'!E42</f>
        <v/>
      </c>
      <c r="D47" s="102">
        <f>'לקוחות לפי סוכן - מקור'!F42</f>
        <v/>
      </c>
      <c r="E47" s="102">
        <f>'לקוחות לפי סוכן - מקור'!G42</f>
        <v/>
      </c>
      <c r="F47" s="94">
        <f>'לקוחות לפי סוכן - מקור'!D42</f>
        <v/>
      </c>
      <c r="G47" s="95">
        <f>'לקוחות לפי סוכן - מקור'!H42</f>
        <v/>
      </c>
      <c r="H47" s="95">
        <f>'לקוחות לפי סוכן - מקור'!I42</f>
        <v/>
      </c>
      <c r="I47" s="94">
        <f>'לקוחות לפי סוכן - מקור'!K42</f>
        <v/>
      </c>
    </row>
    <row r="48" outlineLevel="1" ht="15" customHeight="1" s="82">
      <c r="A48" s="94">
        <f>'לקוחות לפי סוכן - מקור'!A43</f>
        <v/>
      </c>
      <c r="B48" s="94">
        <f>'לקוחות לפי סוכן - מקור'!C43</f>
        <v/>
      </c>
      <c r="C48" s="126">
        <f>'לקוחות לפי סוכן - מקור'!E43</f>
        <v/>
      </c>
      <c r="D48" s="102">
        <f>'לקוחות לפי סוכן - מקור'!F43</f>
        <v/>
      </c>
      <c r="E48" s="102">
        <f>'לקוחות לפי סוכן - מקור'!G43</f>
        <v/>
      </c>
      <c r="F48" s="94">
        <f>'לקוחות לפי סוכן - מקור'!D43</f>
        <v/>
      </c>
      <c r="G48" s="95">
        <f>'לקוחות לפי סוכן - מקור'!H43</f>
        <v/>
      </c>
      <c r="H48" s="95">
        <f>'לקוחות לפי סוכן - מקור'!I43</f>
        <v/>
      </c>
      <c r="I48" s="94">
        <f>'לקוחות לפי סוכן - מקור'!K43</f>
        <v/>
      </c>
    </row>
    <row r="49" outlineLevel="1" ht="15" customHeight="1" s="82">
      <c r="A49" s="94">
        <f>'לקוחות לפי סוכן - מקור'!A44</f>
        <v/>
      </c>
      <c r="B49" s="94">
        <f>'לקוחות לפי סוכן - מקור'!C44</f>
        <v/>
      </c>
      <c r="C49" s="126">
        <f>'לקוחות לפי סוכן - מקור'!E44</f>
        <v/>
      </c>
      <c r="D49" s="102">
        <f>'לקוחות לפי סוכן - מקור'!F44</f>
        <v/>
      </c>
      <c r="E49" s="102">
        <f>'לקוחות לפי סוכן - מקור'!G44</f>
        <v/>
      </c>
      <c r="F49" s="94">
        <f>'לקוחות לפי סוכן - מקור'!D44</f>
        <v/>
      </c>
      <c r="G49" s="95">
        <f>'לקוחות לפי סוכן - מקור'!H44</f>
        <v/>
      </c>
      <c r="H49" s="95">
        <f>'לקוחות לפי סוכן - מקור'!I44</f>
        <v/>
      </c>
      <c r="I49" s="94">
        <f>'לקוחות לפי סוכן - מקור'!K44</f>
        <v/>
      </c>
    </row>
    <row r="50" outlineLevel="1" ht="15" customHeight="1" s="82">
      <c r="A50" s="94">
        <f>'לקוחות לפי סוכן - מקור'!A45</f>
        <v/>
      </c>
      <c r="B50" s="94">
        <f>'לקוחות לפי סוכן - מקור'!C45</f>
        <v/>
      </c>
      <c r="C50" s="126">
        <f>'לקוחות לפי סוכן - מקור'!E45</f>
        <v/>
      </c>
      <c r="D50" s="102">
        <f>'לקוחות לפי סוכן - מקור'!F45</f>
        <v/>
      </c>
      <c r="E50" s="102">
        <f>'לקוחות לפי סוכן - מקור'!G45</f>
        <v/>
      </c>
      <c r="F50" s="94">
        <f>'לקוחות לפי סוכן - מקור'!D45</f>
        <v/>
      </c>
      <c r="G50" s="95">
        <f>'לקוחות לפי סוכן - מקור'!H45</f>
        <v/>
      </c>
      <c r="H50" s="95">
        <f>'לקוחות לפי סוכן - מקור'!I45</f>
        <v/>
      </c>
      <c r="I50" s="94">
        <f>'לקוחות לפי סוכן - מקור'!K45</f>
        <v/>
      </c>
    </row>
    <row r="51" outlineLevel="1" ht="15" customHeight="1" s="82">
      <c r="A51" s="94">
        <f>'לקוחות לפי סוכן - מקור'!A46</f>
        <v/>
      </c>
      <c r="B51" s="94">
        <f>'לקוחות לפי סוכן - מקור'!C46</f>
        <v/>
      </c>
      <c r="C51" s="126">
        <f>'לקוחות לפי סוכן - מקור'!E46</f>
        <v/>
      </c>
      <c r="D51" s="102">
        <f>'לקוחות לפי סוכן - מקור'!F46</f>
        <v/>
      </c>
      <c r="E51" s="102">
        <f>'לקוחות לפי סוכן - מקור'!G46</f>
        <v/>
      </c>
      <c r="F51" s="94">
        <f>'לקוחות לפי סוכן - מקור'!D46</f>
        <v/>
      </c>
      <c r="G51" s="95">
        <f>'לקוחות לפי סוכן - מקור'!H46</f>
        <v/>
      </c>
      <c r="H51" s="95">
        <f>'לקוחות לפי סוכן - מקור'!I46</f>
        <v/>
      </c>
      <c r="I51" s="94">
        <f>'לקוחות לפי סוכן - מקור'!K46</f>
        <v/>
      </c>
    </row>
    <row r="52" outlineLevel="1" ht="15" customHeight="1" s="82">
      <c r="A52" s="94">
        <f>'לקוחות לפי סוכן - מקור'!A47</f>
        <v/>
      </c>
      <c r="B52" s="94">
        <f>'לקוחות לפי סוכן - מקור'!C47</f>
        <v/>
      </c>
      <c r="C52" s="126">
        <f>'לקוחות לפי סוכן - מקור'!E47</f>
        <v/>
      </c>
      <c r="D52" s="102">
        <f>'לקוחות לפי סוכן - מקור'!F47</f>
        <v/>
      </c>
      <c r="E52" s="102">
        <f>'לקוחות לפי סוכן - מקור'!G47</f>
        <v/>
      </c>
      <c r="F52" s="94">
        <f>'לקוחות לפי סוכן - מקור'!D47</f>
        <v/>
      </c>
      <c r="G52" s="95">
        <f>'לקוחות לפי סוכן - מקור'!H47</f>
        <v/>
      </c>
      <c r="H52" s="95">
        <f>'לקוחות לפי סוכן - מקור'!I47</f>
        <v/>
      </c>
      <c r="I52" s="94">
        <f>'לקוחות לפי סוכן - מקור'!K47</f>
        <v/>
      </c>
    </row>
    <row r="53" outlineLevel="1" ht="15" customHeight="1" s="82">
      <c r="A53" s="94">
        <f>'לקוחות לפי סוכן - מקור'!A48</f>
        <v/>
      </c>
      <c r="B53" s="94">
        <f>'לקוחות לפי סוכן - מקור'!C48</f>
        <v/>
      </c>
      <c r="C53" s="126">
        <f>'לקוחות לפי סוכן - מקור'!E48</f>
        <v/>
      </c>
      <c r="D53" s="102">
        <f>'לקוחות לפי סוכן - מקור'!F48</f>
        <v/>
      </c>
      <c r="E53" s="102">
        <f>'לקוחות לפי סוכן - מקור'!G48</f>
        <v/>
      </c>
      <c r="F53" s="94">
        <f>'לקוחות לפי סוכן - מקור'!D48</f>
        <v/>
      </c>
      <c r="G53" s="95">
        <f>'לקוחות לפי סוכן - מקור'!H48</f>
        <v/>
      </c>
      <c r="H53" s="95">
        <f>'לקוחות לפי סוכן - מקור'!I48</f>
        <v/>
      </c>
      <c r="I53" s="94">
        <f>'לקוחות לפי סוכן - מקור'!K48</f>
        <v/>
      </c>
    </row>
    <row r="54" outlineLevel="1" ht="15" customHeight="1" s="82">
      <c r="A54" s="94">
        <f>'לקוחות לפי סוכן - מקור'!A49</f>
        <v/>
      </c>
      <c r="B54" s="94">
        <f>'לקוחות לפי סוכן - מקור'!C49</f>
        <v/>
      </c>
      <c r="C54" s="126">
        <f>'לקוחות לפי סוכן - מקור'!E49</f>
        <v/>
      </c>
      <c r="D54" s="102">
        <f>'לקוחות לפי סוכן - מקור'!F49</f>
        <v/>
      </c>
      <c r="E54" s="102">
        <f>'לקוחות לפי סוכן - מקור'!G49</f>
        <v/>
      </c>
      <c r="F54" s="94">
        <f>'לקוחות לפי סוכן - מקור'!D49</f>
        <v/>
      </c>
      <c r="G54" s="95">
        <f>'לקוחות לפי סוכן - מקור'!H49</f>
        <v/>
      </c>
      <c r="H54" s="95">
        <f>'לקוחות לפי סוכן - מקור'!I49</f>
        <v/>
      </c>
      <c r="I54" s="94">
        <f>'לקוחות לפי סוכן - מקור'!K49</f>
        <v/>
      </c>
    </row>
    <row r="55" outlineLevel="1" ht="15" customHeight="1" s="82">
      <c r="A55" s="94">
        <f>'לקוחות לפי סוכן - מקור'!A50</f>
        <v/>
      </c>
      <c r="B55" s="94">
        <f>'לקוחות לפי סוכן - מקור'!C50</f>
        <v/>
      </c>
      <c r="C55" s="126">
        <f>'לקוחות לפי סוכן - מקור'!E50</f>
        <v/>
      </c>
      <c r="D55" s="102">
        <f>'לקוחות לפי סוכן - מקור'!F50</f>
        <v/>
      </c>
      <c r="E55" s="102">
        <f>'לקוחות לפי סוכן - מקור'!G50</f>
        <v/>
      </c>
      <c r="F55" s="94">
        <f>'לקוחות לפי סוכן - מקור'!D50</f>
        <v/>
      </c>
      <c r="G55" s="95">
        <f>'לקוחות לפי סוכן - מקור'!H50</f>
        <v/>
      </c>
      <c r="H55" s="95">
        <f>'לקוחות לפי סוכן - מקור'!I50</f>
        <v/>
      </c>
      <c r="I55" s="94">
        <f>'לקוחות לפי סוכן - מקור'!K50</f>
        <v/>
      </c>
    </row>
    <row r="56" outlineLevel="1" ht="15" customHeight="1" s="82">
      <c r="A56" s="94">
        <f>'לקוחות לפי סוכן - מקור'!A51</f>
        <v/>
      </c>
      <c r="B56" s="94">
        <f>'לקוחות לפי סוכן - מקור'!C51</f>
        <v/>
      </c>
      <c r="C56" s="126">
        <f>'לקוחות לפי סוכן - מקור'!E51</f>
        <v/>
      </c>
      <c r="D56" s="102">
        <f>'לקוחות לפי סוכן - מקור'!F51</f>
        <v/>
      </c>
      <c r="E56" s="102">
        <f>'לקוחות לפי סוכן - מקור'!G51</f>
        <v/>
      </c>
      <c r="F56" s="94">
        <f>'לקוחות לפי סוכן - מקור'!D51</f>
        <v/>
      </c>
      <c r="G56" s="95">
        <f>'לקוחות לפי סוכן - מקור'!H51</f>
        <v/>
      </c>
      <c r="H56" s="95">
        <f>'לקוחות לפי סוכן - מקור'!I51</f>
        <v/>
      </c>
      <c r="I56" s="94">
        <f>'לקוחות לפי סוכן - מקור'!K51</f>
        <v/>
      </c>
    </row>
    <row r="57" outlineLevel="1" ht="15" customHeight="1" s="82">
      <c r="A57" s="94">
        <f>'לקוחות לפי סוכן - מקור'!A52</f>
        <v/>
      </c>
      <c r="B57" s="94">
        <f>'לקוחות לפי סוכן - מקור'!C52</f>
        <v/>
      </c>
      <c r="C57" s="126">
        <f>'לקוחות לפי סוכן - מקור'!E52</f>
        <v/>
      </c>
      <c r="D57" s="102">
        <f>'לקוחות לפי סוכן - מקור'!F52</f>
        <v/>
      </c>
      <c r="E57" s="102">
        <f>'לקוחות לפי סוכן - מקור'!G52</f>
        <v/>
      </c>
      <c r="F57" s="94">
        <f>'לקוחות לפי סוכן - מקור'!D52</f>
        <v/>
      </c>
      <c r="G57" s="95">
        <f>'לקוחות לפי סוכן - מקור'!H52</f>
        <v/>
      </c>
      <c r="H57" s="95">
        <f>'לקוחות לפי סוכן - מקור'!I52</f>
        <v/>
      </c>
      <c r="I57" s="94">
        <f>'לקוחות לפי סוכן - מקור'!K52</f>
        <v/>
      </c>
    </row>
    <row r="58" outlineLevel="1" ht="15" customHeight="1" s="82">
      <c r="A58" s="94">
        <f>'לקוחות לפי סוכן - מקור'!A53</f>
        <v/>
      </c>
      <c r="B58" s="94">
        <f>'לקוחות לפי סוכן - מקור'!C53</f>
        <v/>
      </c>
      <c r="C58" s="126">
        <f>'לקוחות לפי סוכן - מקור'!E53</f>
        <v/>
      </c>
      <c r="D58" s="102">
        <f>'לקוחות לפי סוכן - מקור'!F53</f>
        <v/>
      </c>
      <c r="E58" s="102">
        <f>'לקוחות לפי סוכן - מקור'!G53</f>
        <v/>
      </c>
      <c r="F58" s="94">
        <f>'לקוחות לפי סוכן - מקור'!D53</f>
        <v/>
      </c>
      <c r="G58" s="95">
        <f>'לקוחות לפי סוכן - מקור'!H53</f>
        <v/>
      </c>
      <c r="H58" s="95">
        <f>'לקוחות לפי סוכן - מקור'!I53</f>
        <v/>
      </c>
      <c r="I58" s="94">
        <f>'לקוחות לפי סוכן - מקור'!K53</f>
        <v/>
      </c>
    </row>
    <row r="59" outlineLevel="1" ht="15" customHeight="1" s="82">
      <c r="A59" s="94">
        <f>'לקוחות לפי סוכן - מקור'!A54</f>
        <v/>
      </c>
      <c r="B59" s="94">
        <f>'לקוחות לפי סוכן - מקור'!C54</f>
        <v/>
      </c>
      <c r="C59" s="126">
        <f>'לקוחות לפי סוכן - מקור'!E54</f>
        <v/>
      </c>
      <c r="D59" s="102">
        <f>'לקוחות לפי סוכן - מקור'!F54</f>
        <v/>
      </c>
      <c r="E59" s="102">
        <f>'לקוחות לפי סוכן - מקור'!G54</f>
        <v/>
      </c>
      <c r="F59" s="94">
        <f>'לקוחות לפי סוכן - מקור'!D54</f>
        <v/>
      </c>
      <c r="G59" s="95">
        <f>'לקוחות לפי סוכן - מקור'!H54</f>
        <v/>
      </c>
      <c r="H59" s="95">
        <f>'לקוחות לפי סוכן - מקור'!I54</f>
        <v/>
      </c>
      <c r="I59" s="94">
        <f>'לקוחות לפי סוכן - מקור'!K54</f>
        <v/>
      </c>
    </row>
    <row r="60" outlineLevel="1" ht="15" customHeight="1" s="82">
      <c r="A60" s="94">
        <f>'לקוחות לפי סוכן - מקור'!A55</f>
        <v/>
      </c>
      <c r="B60" s="94">
        <f>'לקוחות לפי סוכן - מקור'!C55</f>
        <v/>
      </c>
      <c r="C60" s="126">
        <f>'לקוחות לפי סוכן - מקור'!E55</f>
        <v/>
      </c>
      <c r="D60" s="102">
        <f>'לקוחות לפי סוכן - מקור'!F55</f>
        <v/>
      </c>
      <c r="E60" s="102">
        <f>'לקוחות לפי סוכן - מקור'!G55</f>
        <v/>
      </c>
      <c r="F60" s="94">
        <f>'לקוחות לפי סוכן - מקור'!D55</f>
        <v/>
      </c>
      <c r="G60" s="95">
        <f>'לקוחות לפי סוכן - מקור'!H55</f>
        <v/>
      </c>
      <c r="H60" s="95">
        <f>'לקוחות לפי סוכן - מקור'!I55</f>
        <v/>
      </c>
      <c r="I60" s="94">
        <f>'לקוחות לפי סוכן - מקור'!K55</f>
        <v/>
      </c>
    </row>
    <row r="61" outlineLevel="1" ht="15" customHeight="1" s="82">
      <c r="A61" s="94">
        <f>'לקוחות לפי סוכן - מקור'!A56</f>
        <v/>
      </c>
      <c r="B61" s="94">
        <f>'לקוחות לפי סוכן - מקור'!C56</f>
        <v/>
      </c>
      <c r="C61" s="126">
        <f>'לקוחות לפי סוכן - מקור'!E56</f>
        <v/>
      </c>
      <c r="D61" s="102">
        <f>'לקוחות לפי סוכן - מקור'!F56</f>
        <v/>
      </c>
      <c r="E61" s="102">
        <f>'לקוחות לפי סוכן - מקור'!G56</f>
        <v/>
      </c>
      <c r="F61" s="94">
        <f>'לקוחות לפי סוכן - מקור'!D56</f>
        <v/>
      </c>
      <c r="G61" s="95">
        <f>'לקוחות לפי סוכן - מקור'!H56</f>
        <v/>
      </c>
      <c r="H61" s="95">
        <f>'לקוחות לפי סוכן - מקור'!I56</f>
        <v/>
      </c>
      <c r="I61" s="94">
        <f>'לקוחות לפי סוכן - מקור'!K56</f>
        <v/>
      </c>
    </row>
    <row r="62" outlineLevel="1" ht="15" customHeight="1" s="82">
      <c r="A62" s="94">
        <f>'לקוחות לפי סוכן - מקור'!A57</f>
        <v/>
      </c>
      <c r="B62" s="94">
        <f>'לקוחות לפי סוכן - מקור'!C57</f>
        <v/>
      </c>
      <c r="C62" s="126">
        <f>'לקוחות לפי סוכן - מקור'!E57</f>
        <v/>
      </c>
      <c r="D62" s="102">
        <f>'לקוחות לפי סוכן - מקור'!F57</f>
        <v/>
      </c>
      <c r="E62" s="102">
        <f>'לקוחות לפי סוכן - מקור'!G57</f>
        <v/>
      </c>
      <c r="F62" s="94">
        <f>'לקוחות לפי סוכן - מקור'!D57</f>
        <v/>
      </c>
      <c r="G62" s="95">
        <f>'לקוחות לפי סוכן - מקור'!H57</f>
        <v/>
      </c>
      <c r="H62" s="95">
        <f>'לקוחות לפי סוכן - מקור'!I57</f>
        <v/>
      </c>
      <c r="I62" s="94">
        <f>'לקוחות לפי סוכן - מקור'!K57</f>
        <v/>
      </c>
    </row>
    <row r="63" outlineLevel="1" ht="15" customHeight="1" s="82">
      <c r="A63" s="94">
        <f>'לקוחות לפי סוכן - מקור'!A58</f>
        <v/>
      </c>
      <c r="B63" s="94">
        <f>'לקוחות לפי סוכן - מקור'!C58</f>
        <v/>
      </c>
      <c r="C63" s="126">
        <f>'לקוחות לפי סוכן - מקור'!E58</f>
        <v/>
      </c>
      <c r="D63" s="102">
        <f>'לקוחות לפי סוכן - מקור'!F58</f>
        <v/>
      </c>
      <c r="E63" s="102">
        <f>'לקוחות לפי סוכן - מקור'!G58</f>
        <v/>
      </c>
      <c r="F63" s="94">
        <f>'לקוחות לפי סוכן - מקור'!D58</f>
        <v/>
      </c>
      <c r="G63" s="95">
        <f>'לקוחות לפי סוכן - מקור'!H58</f>
        <v/>
      </c>
      <c r="H63" s="95">
        <f>'לקוחות לפי סוכן - מקור'!I58</f>
        <v/>
      </c>
      <c r="I63" s="94">
        <f>'לקוחות לפי סוכן - מקור'!K58</f>
        <v/>
      </c>
    </row>
    <row r="64" outlineLevel="1" ht="15" customHeight="1" s="82">
      <c r="A64" s="94">
        <f>'לקוחות לפי סוכן - מקור'!A59</f>
        <v/>
      </c>
      <c r="B64" s="94">
        <f>'לקוחות לפי סוכן - מקור'!C59</f>
        <v/>
      </c>
      <c r="C64" s="126">
        <f>'לקוחות לפי סוכן - מקור'!E59</f>
        <v/>
      </c>
      <c r="D64" s="102">
        <f>'לקוחות לפי סוכן - מקור'!F59</f>
        <v/>
      </c>
      <c r="E64" s="102">
        <f>'לקוחות לפי סוכן - מקור'!G59</f>
        <v/>
      </c>
      <c r="F64" s="94">
        <f>'לקוחות לפי סוכן - מקור'!D59</f>
        <v/>
      </c>
      <c r="G64" s="95">
        <f>'לקוחות לפי סוכן - מקור'!H59</f>
        <v/>
      </c>
      <c r="H64" s="95">
        <f>'לקוחות לפי סוכן - מקור'!I59</f>
        <v/>
      </c>
      <c r="I64" s="94">
        <f>'לקוחות לפי סוכן - מקור'!K59</f>
        <v/>
      </c>
    </row>
    <row r="65" outlineLevel="1" ht="15" customHeight="1" s="82">
      <c r="A65" s="94">
        <f>'לקוחות לפי סוכן - מקור'!A60</f>
        <v/>
      </c>
      <c r="B65" s="94">
        <f>'לקוחות לפי סוכן - מקור'!C60</f>
        <v/>
      </c>
      <c r="C65" s="126">
        <f>'לקוחות לפי סוכן - מקור'!E60</f>
        <v/>
      </c>
      <c r="D65" s="102">
        <f>'לקוחות לפי סוכן - מקור'!F60</f>
        <v/>
      </c>
      <c r="E65" s="102">
        <f>'לקוחות לפי סוכן - מקור'!G60</f>
        <v/>
      </c>
      <c r="F65" s="94">
        <f>'לקוחות לפי סוכן - מקור'!D60</f>
        <v/>
      </c>
      <c r="G65" s="95">
        <f>'לקוחות לפי סוכן - מקור'!H60</f>
        <v/>
      </c>
      <c r="H65" s="95">
        <f>'לקוחות לפי סוכן - מקור'!I60</f>
        <v/>
      </c>
      <c r="I65" s="94">
        <f>'לקוחות לפי סוכן - מקור'!K60</f>
        <v/>
      </c>
    </row>
    <row r="66" outlineLevel="1" ht="15" customHeight="1" s="82">
      <c r="A66" s="94">
        <f>'לקוחות לפי סוכן - מקור'!A61</f>
        <v/>
      </c>
      <c r="B66" s="94">
        <f>'לקוחות לפי סוכן - מקור'!C61</f>
        <v/>
      </c>
      <c r="C66" s="126">
        <f>'לקוחות לפי סוכן - מקור'!E61</f>
        <v/>
      </c>
      <c r="D66" s="102">
        <f>'לקוחות לפי סוכן - מקור'!F61</f>
        <v/>
      </c>
      <c r="E66" s="102">
        <f>'לקוחות לפי סוכן - מקור'!G61</f>
        <v/>
      </c>
      <c r="F66" s="94">
        <f>'לקוחות לפי סוכן - מקור'!D61</f>
        <v/>
      </c>
      <c r="G66" s="95">
        <f>'לקוחות לפי סוכן - מקור'!H61</f>
        <v/>
      </c>
      <c r="H66" s="95">
        <f>'לקוחות לפי סוכן - מקור'!I61</f>
        <v/>
      </c>
      <c r="I66" s="94">
        <f>'לקוחות לפי סוכן - מקור'!K61</f>
        <v/>
      </c>
    </row>
    <row r="67" outlineLevel="1" ht="15" customHeight="1" s="82">
      <c r="A67" s="94">
        <f>'לקוחות לפי סוכן - מקור'!A62</f>
        <v/>
      </c>
      <c r="B67" s="94">
        <f>'לקוחות לפי סוכן - מקור'!C62</f>
        <v/>
      </c>
      <c r="C67" s="126">
        <f>'לקוחות לפי סוכן - מקור'!E62</f>
        <v/>
      </c>
      <c r="D67" s="102">
        <f>'לקוחות לפי סוכן - מקור'!F62</f>
        <v/>
      </c>
      <c r="E67" s="102">
        <f>'לקוחות לפי סוכן - מקור'!G62</f>
        <v/>
      </c>
      <c r="F67" s="94">
        <f>'לקוחות לפי סוכן - מקור'!D62</f>
        <v/>
      </c>
      <c r="G67" s="95">
        <f>'לקוחות לפי סוכן - מקור'!H62</f>
        <v/>
      </c>
      <c r="H67" s="95">
        <f>'לקוחות לפי סוכן - מקור'!I62</f>
        <v/>
      </c>
      <c r="I67" s="94">
        <f>'לקוחות לפי סוכן - מקור'!K62</f>
        <v/>
      </c>
    </row>
    <row r="68" outlineLevel="1" ht="15" customHeight="1" s="82">
      <c r="A68" s="94">
        <f>'לקוחות לפי סוכן - מקור'!A63</f>
        <v/>
      </c>
      <c r="B68" s="94">
        <f>'לקוחות לפי סוכן - מקור'!C63</f>
        <v/>
      </c>
      <c r="C68" s="126">
        <f>'לקוחות לפי סוכן - מקור'!E63</f>
        <v/>
      </c>
      <c r="D68" s="102">
        <f>'לקוחות לפי סוכן - מקור'!F63</f>
        <v/>
      </c>
      <c r="E68" s="102">
        <f>'לקוחות לפי סוכן - מקור'!G63</f>
        <v/>
      </c>
      <c r="F68" s="94">
        <f>'לקוחות לפי סוכן - מקור'!D63</f>
        <v/>
      </c>
      <c r="G68" s="95">
        <f>'לקוחות לפי סוכן - מקור'!H63</f>
        <v/>
      </c>
      <c r="H68" s="95">
        <f>'לקוחות לפי סוכן - מקור'!I63</f>
        <v/>
      </c>
      <c r="I68" s="94">
        <f>'לקוחות לפי סוכן - מקור'!K63</f>
        <v/>
      </c>
    </row>
    <row r="69" outlineLevel="1" ht="15" customHeight="1" s="82">
      <c r="A69" s="94">
        <f>'לקוחות לפי סוכן - מקור'!A64</f>
        <v/>
      </c>
      <c r="B69" s="94">
        <f>'לקוחות לפי סוכן - מקור'!C64</f>
        <v/>
      </c>
      <c r="C69" s="126">
        <f>'לקוחות לפי סוכן - מקור'!E64</f>
        <v/>
      </c>
      <c r="D69" s="102">
        <f>'לקוחות לפי סוכן - מקור'!F64</f>
        <v/>
      </c>
      <c r="E69" s="102">
        <f>'לקוחות לפי סוכן - מקור'!G64</f>
        <v/>
      </c>
      <c r="F69" s="94">
        <f>'לקוחות לפי סוכן - מקור'!D64</f>
        <v/>
      </c>
      <c r="G69" s="95">
        <f>'לקוחות לפי סוכן - מקור'!H64</f>
        <v/>
      </c>
      <c r="H69" s="95">
        <f>'לקוחות לפי סוכן - מקור'!I64</f>
        <v/>
      </c>
      <c r="I69" s="94">
        <f>'לקוחות לפי סוכן - מקור'!K64</f>
        <v/>
      </c>
    </row>
    <row r="70" outlineLevel="1" ht="15" customHeight="1" s="82">
      <c r="A70" s="94">
        <f>'לקוחות לפי סוכן - מקור'!A65</f>
        <v/>
      </c>
      <c r="B70" s="94">
        <f>'לקוחות לפי סוכן - מקור'!C65</f>
        <v/>
      </c>
      <c r="C70" s="126">
        <f>'לקוחות לפי סוכן - מקור'!E65</f>
        <v/>
      </c>
      <c r="D70" s="102">
        <f>'לקוחות לפי סוכן - מקור'!F65</f>
        <v/>
      </c>
      <c r="E70" s="102">
        <f>'לקוחות לפי סוכן - מקור'!G65</f>
        <v/>
      </c>
      <c r="F70" s="94">
        <f>'לקוחות לפי סוכן - מקור'!D65</f>
        <v/>
      </c>
      <c r="G70" s="95">
        <f>'לקוחות לפי סוכן - מקור'!H65</f>
        <v/>
      </c>
      <c r="H70" s="95">
        <f>'לקוחות לפי סוכן - מקור'!I65</f>
        <v/>
      </c>
      <c r="I70" s="94">
        <f>'לקוחות לפי סוכן - מקור'!K65</f>
        <v/>
      </c>
    </row>
    <row r="71" outlineLevel="1" ht="15" customHeight="1" s="82">
      <c r="A71" s="94">
        <f>'לקוחות לפי סוכן - מקור'!A66</f>
        <v/>
      </c>
      <c r="B71" s="94">
        <f>'לקוחות לפי סוכן - מקור'!C66</f>
        <v/>
      </c>
      <c r="C71" s="126">
        <f>'לקוחות לפי סוכן - מקור'!E66</f>
        <v/>
      </c>
      <c r="D71" s="102">
        <f>'לקוחות לפי סוכן - מקור'!F66</f>
        <v/>
      </c>
      <c r="E71" s="102">
        <f>'לקוחות לפי סוכן - מקור'!G66</f>
        <v/>
      </c>
      <c r="F71" s="94">
        <f>'לקוחות לפי סוכן - מקור'!D66</f>
        <v/>
      </c>
      <c r="G71" s="95">
        <f>'לקוחות לפי סוכן - מקור'!H66</f>
        <v/>
      </c>
      <c r="H71" s="95">
        <f>'לקוחות לפי סוכן - מקור'!I66</f>
        <v/>
      </c>
      <c r="I71" s="94">
        <f>'לקוחות לפי סוכן - מקור'!K66</f>
        <v/>
      </c>
    </row>
    <row r="72" outlineLevel="1" ht="15" customHeight="1" s="82">
      <c r="A72" s="94">
        <f>'לקוחות לפי סוכן - מקור'!A67</f>
        <v/>
      </c>
      <c r="B72" s="94">
        <f>'לקוחות לפי סוכן - מקור'!C67</f>
        <v/>
      </c>
      <c r="C72" s="126">
        <f>'לקוחות לפי סוכן - מקור'!E67</f>
        <v/>
      </c>
      <c r="D72" s="102">
        <f>'לקוחות לפי סוכן - מקור'!F67</f>
        <v/>
      </c>
      <c r="E72" s="102">
        <f>'לקוחות לפי סוכן - מקור'!G67</f>
        <v/>
      </c>
      <c r="F72" s="94">
        <f>'לקוחות לפי סוכן - מקור'!D67</f>
        <v/>
      </c>
      <c r="G72" s="95">
        <f>'לקוחות לפי סוכן - מקור'!H67</f>
        <v/>
      </c>
      <c r="H72" s="95">
        <f>'לקוחות לפי סוכן - מקור'!I67</f>
        <v/>
      </c>
      <c r="I72" s="94">
        <f>'לקוחות לפי סוכן - מקור'!K67</f>
        <v/>
      </c>
    </row>
    <row r="73" outlineLevel="1" ht="15" customHeight="1" s="82">
      <c r="A73" s="94">
        <f>'לקוחות לפי סוכן - מקור'!A68</f>
        <v/>
      </c>
      <c r="B73" s="94">
        <f>'לקוחות לפי סוכן - מקור'!C68</f>
        <v/>
      </c>
      <c r="C73" s="126">
        <f>'לקוחות לפי סוכן - מקור'!E68</f>
        <v/>
      </c>
      <c r="D73" s="102">
        <f>'לקוחות לפי סוכן - מקור'!F68</f>
        <v/>
      </c>
      <c r="E73" s="102">
        <f>'לקוחות לפי סוכן - מקור'!G68</f>
        <v/>
      </c>
      <c r="F73" s="94">
        <f>'לקוחות לפי סוכן - מקור'!D68</f>
        <v/>
      </c>
      <c r="G73" s="95">
        <f>'לקוחות לפי סוכן - מקור'!H68</f>
        <v/>
      </c>
      <c r="H73" s="95">
        <f>'לקוחות לפי סוכן - מקור'!I68</f>
        <v/>
      </c>
      <c r="I73" s="94">
        <f>'לקוחות לפי סוכן - מקור'!K68</f>
        <v/>
      </c>
    </row>
    <row r="74" outlineLevel="1" ht="15" customHeight="1" s="82">
      <c r="A74" s="94">
        <f>'לקוחות לפי סוכן - מקור'!A69</f>
        <v/>
      </c>
      <c r="B74" s="94">
        <f>'לקוחות לפי סוכן - מקור'!C69</f>
        <v/>
      </c>
      <c r="C74" s="126">
        <f>'לקוחות לפי סוכן - מקור'!E69</f>
        <v/>
      </c>
      <c r="D74" s="102">
        <f>'לקוחות לפי סוכן - מקור'!F69</f>
        <v/>
      </c>
      <c r="E74" s="102">
        <f>'לקוחות לפי סוכן - מקור'!G69</f>
        <v/>
      </c>
      <c r="F74" s="94">
        <f>'לקוחות לפי סוכן - מקור'!D69</f>
        <v/>
      </c>
      <c r="G74" s="95">
        <f>'לקוחות לפי סוכן - מקור'!H69</f>
        <v/>
      </c>
      <c r="H74" s="95">
        <f>'לקוחות לפי סוכן - מקור'!I69</f>
        <v/>
      </c>
      <c r="I74" s="94">
        <f>'לקוחות לפי סוכן - מקור'!K69</f>
        <v/>
      </c>
    </row>
    <row r="75" outlineLevel="1" ht="15" customHeight="1" s="82">
      <c r="A75" s="94">
        <f>'לקוחות לפי סוכן - מקור'!A70</f>
        <v/>
      </c>
      <c r="B75" s="94">
        <f>'לקוחות לפי סוכן - מקור'!C70</f>
        <v/>
      </c>
      <c r="C75" s="126">
        <f>'לקוחות לפי סוכן - מקור'!E70</f>
        <v/>
      </c>
      <c r="D75" s="102">
        <f>'לקוחות לפי סוכן - מקור'!F70</f>
        <v/>
      </c>
      <c r="E75" s="102">
        <f>'לקוחות לפי סוכן - מקור'!G70</f>
        <v/>
      </c>
      <c r="F75" s="94">
        <f>'לקוחות לפי סוכן - מקור'!D70</f>
        <v/>
      </c>
      <c r="G75" s="95">
        <f>'לקוחות לפי סוכן - מקור'!H70</f>
        <v/>
      </c>
      <c r="H75" s="95">
        <f>'לקוחות לפי סוכן - מקור'!I70</f>
        <v/>
      </c>
      <c r="I75" s="94">
        <f>'לקוחות לפי סוכן - מקור'!K70</f>
        <v/>
      </c>
    </row>
    <row r="76" outlineLevel="1" ht="15" customHeight="1" s="82">
      <c r="A76" s="94">
        <f>'לקוחות לפי סוכן - מקור'!A71</f>
        <v/>
      </c>
      <c r="B76" s="94">
        <f>'לקוחות לפי סוכן - מקור'!C71</f>
        <v/>
      </c>
      <c r="C76" s="126">
        <f>'לקוחות לפי סוכן - מקור'!E71</f>
        <v/>
      </c>
      <c r="D76" s="102">
        <f>'לקוחות לפי סוכן - מקור'!F71</f>
        <v/>
      </c>
      <c r="E76" s="102">
        <f>'לקוחות לפי סוכן - מקור'!G71</f>
        <v/>
      </c>
      <c r="F76" s="94">
        <f>'לקוחות לפי סוכן - מקור'!D71</f>
        <v/>
      </c>
      <c r="G76" s="95">
        <f>'לקוחות לפי סוכן - מקור'!H71</f>
        <v/>
      </c>
      <c r="H76" s="95">
        <f>'לקוחות לפי סוכן - מקור'!I71</f>
        <v/>
      </c>
      <c r="I76" s="94">
        <f>'לקוחות לפי סוכן - מקור'!K71</f>
        <v/>
      </c>
    </row>
    <row r="77" outlineLevel="1" ht="15" customHeight="1" s="82">
      <c r="A77" s="94">
        <f>'לקוחות לפי סוכן - מקור'!A72</f>
        <v/>
      </c>
      <c r="B77" s="94">
        <f>'לקוחות לפי סוכן - מקור'!C72</f>
        <v/>
      </c>
      <c r="C77" s="126">
        <f>'לקוחות לפי סוכן - מקור'!E72</f>
        <v/>
      </c>
      <c r="D77" s="102">
        <f>'לקוחות לפי סוכן - מקור'!F72</f>
        <v/>
      </c>
      <c r="E77" s="102">
        <f>'לקוחות לפי סוכן - מקור'!G72</f>
        <v/>
      </c>
      <c r="F77" s="94">
        <f>'לקוחות לפי סוכן - מקור'!D72</f>
        <v/>
      </c>
      <c r="G77" s="95">
        <f>'לקוחות לפי סוכן - מקור'!H72</f>
        <v/>
      </c>
      <c r="H77" s="95">
        <f>'לקוחות לפי סוכן - מקור'!I72</f>
        <v/>
      </c>
      <c r="I77" s="94">
        <f>'לקוחות לפי סוכן - מקור'!K72</f>
        <v/>
      </c>
    </row>
    <row r="78" outlineLevel="1" ht="15" customHeight="1" s="82">
      <c r="A78" s="94">
        <f>'לקוחות לפי סוכן - מקור'!A73</f>
        <v/>
      </c>
      <c r="B78" s="94">
        <f>'לקוחות לפי סוכן - מקור'!C73</f>
        <v/>
      </c>
      <c r="C78" s="126">
        <f>'לקוחות לפי סוכן - מקור'!E73</f>
        <v/>
      </c>
      <c r="D78" s="102">
        <f>'לקוחות לפי סוכן - מקור'!F73</f>
        <v/>
      </c>
      <c r="E78" s="102">
        <f>'לקוחות לפי סוכן - מקור'!G73</f>
        <v/>
      </c>
      <c r="F78" s="94">
        <f>'לקוחות לפי סוכן - מקור'!D73</f>
        <v/>
      </c>
      <c r="G78" s="95">
        <f>'לקוחות לפי סוכן - מקור'!H73</f>
        <v/>
      </c>
      <c r="H78" s="95">
        <f>'לקוחות לפי סוכן - מקור'!I73</f>
        <v/>
      </c>
      <c r="I78" s="94">
        <f>'לקוחות לפי סוכן - מקור'!K73</f>
        <v/>
      </c>
    </row>
    <row r="79" outlineLevel="1" ht="15" customHeight="1" s="82">
      <c r="A79" s="94">
        <f>'לקוחות לפי סוכן - מקור'!A74</f>
        <v/>
      </c>
      <c r="B79" s="94">
        <f>'לקוחות לפי סוכן - מקור'!C74</f>
        <v/>
      </c>
      <c r="C79" s="126">
        <f>'לקוחות לפי סוכן - מקור'!E74</f>
        <v/>
      </c>
      <c r="D79" s="102">
        <f>'לקוחות לפי סוכן - מקור'!F74</f>
        <v/>
      </c>
      <c r="E79" s="102">
        <f>'לקוחות לפי סוכן - מקור'!G74</f>
        <v/>
      </c>
      <c r="F79" s="94">
        <f>'לקוחות לפי סוכן - מקור'!D74</f>
        <v/>
      </c>
      <c r="G79" s="95">
        <f>'לקוחות לפי סוכן - מקור'!H74</f>
        <v/>
      </c>
      <c r="H79" s="95">
        <f>'לקוחות לפי סוכן - מקור'!I74</f>
        <v/>
      </c>
      <c r="I79" s="94">
        <f>'לקוחות לפי סוכן - מקור'!K74</f>
        <v/>
      </c>
    </row>
    <row r="80" outlineLevel="1" ht="15" customHeight="1" s="82">
      <c r="A80" s="94">
        <f>'לקוחות לפי סוכן - מקור'!A75</f>
        <v/>
      </c>
      <c r="B80" s="94">
        <f>'לקוחות לפי סוכן - מקור'!C75</f>
        <v/>
      </c>
      <c r="C80" s="126">
        <f>'לקוחות לפי סוכן - מקור'!E75</f>
        <v/>
      </c>
      <c r="D80" s="102">
        <f>'לקוחות לפי סוכן - מקור'!F75</f>
        <v/>
      </c>
      <c r="E80" s="102">
        <f>'לקוחות לפי סוכן - מקור'!G75</f>
        <v/>
      </c>
      <c r="F80" s="94">
        <f>'לקוחות לפי סוכן - מקור'!D75</f>
        <v/>
      </c>
      <c r="G80" s="95">
        <f>'לקוחות לפי סוכן - מקור'!H75</f>
        <v/>
      </c>
      <c r="H80" s="95">
        <f>'לקוחות לפי סוכן - מקור'!I75</f>
        <v/>
      </c>
      <c r="I80" s="94">
        <f>'לקוחות לפי סוכן - מקור'!K75</f>
        <v/>
      </c>
    </row>
    <row r="81" outlineLevel="1" ht="15" customHeight="1" s="82">
      <c r="A81" s="94">
        <f>'לקוחות לפי סוכן - מקור'!A76</f>
        <v/>
      </c>
      <c r="B81" s="94">
        <f>'לקוחות לפי סוכן - מקור'!C76</f>
        <v/>
      </c>
      <c r="C81" s="126">
        <f>'לקוחות לפי סוכן - מקור'!E76</f>
        <v/>
      </c>
      <c r="D81" s="102">
        <f>'לקוחות לפי סוכן - מקור'!F76</f>
        <v/>
      </c>
      <c r="E81" s="102">
        <f>'לקוחות לפי סוכן - מקור'!G76</f>
        <v/>
      </c>
      <c r="F81" s="94">
        <f>'לקוחות לפי סוכן - מקור'!D76</f>
        <v/>
      </c>
      <c r="G81" s="95">
        <f>'לקוחות לפי סוכן - מקור'!H76</f>
        <v/>
      </c>
      <c r="H81" s="95">
        <f>'לקוחות לפי סוכן - מקור'!I76</f>
        <v/>
      </c>
      <c r="I81" s="94">
        <f>'לקוחות לפי סוכן - מקור'!K76</f>
        <v/>
      </c>
    </row>
    <row r="82" outlineLevel="1" ht="15" customHeight="1" s="82">
      <c r="A82" s="94">
        <f>'לקוחות לפי סוכן - מקור'!A77</f>
        <v/>
      </c>
      <c r="B82" s="94">
        <f>'לקוחות לפי סוכן - מקור'!C77</f>
        <v/>
      </c>
      <c r="C82" s="126">
        <f>'לקוחות לפי סוכן - מקור'!E77</f>
        <v/>
      </c>
      <c r="D82" s="102">
        <f>'לקוחות לפי סוכן - מקור'!F77</f>
        <v/>
      </c>
      <c r="E82" s="102">
        <f>'לקוחות לפי סוכן - מקור'!G77</f>
        <v/>
      </c>
      <c r="F82" s="94">
        <f>'לקוחות לפי סוכן - מקור'!D77</f>
        <v/>
      </c>
      <c r="G82" s="95">
        <f>'לקוחות לפי סוכן - מקור'!H77</f>
        <v/>
      </c>
      <c r="H82" s="95">
        <f>'לקוחות לפי סוכן - מקור'!I77</f>
        <v/>
      </c>
      <c r="I82" s="94">
        <f>'לקוחות לפי סוכן - מקור'!K77</f>
        <v/>
      </c>
    </row>
    <row r="83" outlineLevel="1" ht="15" customHeight="1" s="82">
      <c r="A83" s="94">
        <f>'לקוחות לפי סוכן - מקור'!A78</f>
        <v/>
      </c>
      <c r="B83" s="94">
        <f>'לקוחות לפי סוכן - מקור'!C78</f>
        <v/>
      </c>
      <c r="C83" s="126">
        <f>'לקוחות לפי סוכן - מקור'!E78</f>
        <v/>
      </c>
      <c r="D83" s="102">
        <f>'לקוחות לפי סוכן - מקור'!F78</f>
        <v/>
      </c>
      <c r="E83" s="102">
        <f>'לקוחות לפי סוכן - מקור'!G78</f>
        <v/>
      </c>
      <c r="F83" s="94">
        <f>'לקוחות לפי סוכן - מקור'!D78</f>
        <v/>
      </c>
      <c r="G83" s="95">
        <f>'לקוחות לפי סוכן - מקור'!H78</f>
        <v/>
      </c>
      <c r="H83" s="95">
        <f>'לקוחות לפי סוכן - מקור'!I78</f>
        <v/>
      </c>
      <c r="I83" s="94">
        <f>'לקוחות לפי סוכן - מקור'!K78</f>
        <v/>
      </c>
    </row>
    <row r="84" outlineLevel="1" ht="15" customHeight="1" s="82">
      <c r="A84" s="94">
        <f>'לקוחות לפי סוכן - מקור'!A79</f>
        <v/>
      </c>
      <c r="B84" s="94">
        <f>'לקוחות לפי סוכן - מקור'!C79</f>
        <v/>
      </c>
      <c r="C84" s="126">
        <f>'לקוחות לפי סוכן - מקור'!E79</f>
        <v/>
      </c>
      <c r="D84" s="102">
        <f>'לקוחות לפי סוכן - מקור'!F79</f>
        <v/>
      </c>
      <c r="E84" s="102">
        <f>'לקוחות לפי סוכן - מקור'!G79</f>
        <v/>
      </c>
      <c r="F84" s="94">
        <f>'לקוחות לפי סוכן - מקור'!D79</f>
        <v/>
      </c>
      <c r="G84" s="95">
        <f>'לקוחות לפי סוכן - מקור'!H79</f>
        <v/>
      </c>
      <c r="H84" s="95">
        <f>'לקוחות לפי סוכן - מקור'!I79</f>
        <v/>
      </c>
      <c r="I84" s="94">
        <f>'לקוחות לפי סוכן - מקור'!K79</f>
        <v/>
      </c>
    </row>
    <row r="85" outlineLevel="1" ht="15" customHeight="1" s="82">
      <c r="A85" s="94">
        <f>'לקוחות לפי סוכן - מקור'!A80</f>
        <v/>
      </c>
      <c r="B85" s="94">
        <f>'לקוחות לפי סוכן - מקור'!C80</f>
        <v/>
      </c>
      <c r="C85" s="126">
        <f>'לקוחות לפי סוכן - מקור'!E80</f>
        <v/>
      </c>
      <c r="D85" s="102">
        <f>'לקוחות לפי סוכן - מקור'!F80</f>
        <v/>
      </c>
      <c r="E85" s="102">
        <f>'לקוחות לפי סוכן - מקור'!G80</f>
        <v/>
      </c>
      <c r="F85" s="94">
        <f>'לקוחות לפי סוכן - מקור'!D80</f>
        <v/>
      </c>
      <c r="G85" s="95">
        <f>'לקוחות לפי סוכן - מקור'!H80</f>
        <v/>
      </c>
      <c r="H85" s="95">
        <f>'לקוחות לפי סוכן - מקור'!I80</f>
        <v/>
      </c>
      <c r="I85" s="94">
        <f>'לקוחות לפי סוכן - מקור'!K80</f>
        <v/>
      </c>
    </row>
    <row r="86" outlineLevel="1" ht="15" customHeight="1" s="82">
      <c r="A86" s="94">
        <f>'לקוחות לפי סוכן - מקור'!A81</f>
        <v/>
      </c>
      <c r="B86" s="94">
        <f>'לקוחות לפי סוכן - מקור'!C81</f>
        <v/>
      </c>
      <c r="C86" s="126">
        <f>'לקוחות לפי סוכן - מקור'!E81</f>
        <v/>
      </c>
      <c r="D86" s="102">
        <f>'לקוחות לפי סוכן - מקור'!F81</f>
        <v/>
      </c>
      <c r="E86" s="102">
        <f>'לקוחות לפי סוכן - מקור'!G81</f>
        <v/>
      </c>
      <c r="F86" s="94">
        <f>'לקוחות לפי סוכן - מקור'!D81</f>
        <v/>
      </c>
      <c r="G86" s="95">
        <f>'לקוחות לפי סוכן - מקור'!H81</f>
        <v/>
      </c>
      <c r="H86" s="95">
        <f>'לקוחות לפי סוכן - מקור'!I81</f>
        <v/>
      </c>
      <c r="I86" s="94">
        <f>'לקוחות לפי סוכן - מקור'!K81</f>
        <v/>
      </c>
    </row>
    <row r="87" outlineLevel="1" ht="15" customHeight="1" s="82">
      <c r="A87" s="94">
        <f>'לקוחות לפי סוכן - מקור'!A82</f>
        <v/>
      </c>
      <c r="B87" s="94">
        <f>'לקוחות לפי סוכן - מקור'!C82</f>
        <v/>
      </c>
      <c r="C87" s="126">
        <f>'לקוחות לפי סוכן - מקור'!E82</f>
        <v/>
      </c>
      <c r="D87" s="102">
        <f>'לקוחות לפי סוכן - מקור'!F82</f>
        <v/>
      </c>
      <c r="E87" s="102">
        <f>'לקוחות לפי סוכן - מקור'!G82</f>
        <v/>
      </c>
      <c r="F87" s="94">
        <f>'לקוחות לפי סוכן - מקור'!D82</f>
        <v/>
      </c>
      <c r="G87" s="95">
        <f>'לקוחות לפי סוכן - מקור'!H82</f>
        <v/>
      </c>
      <c r="H87" s="95">
        <f>'לקוחות לפי סוכן - מקור'!I82</f>
        <v/>
      </c>
      <c r="I87" s="94">
        <f>'לקוחות לפי סוכן - מקור'!K82</f>
        <v/>
      </c>
    </row>
    <row r="88" outlineLevel="1" ht="15" customHeight="1" s="82">
      <c r="A88" s="94">
        <f>'לקוחות לפי סוכן - מקור'!A83</f>
        <v/>
      </c>
      <c r="B88" s="94">
        <f>'לקוחות לפי סוכן - מקור'!C83</f>
        <v/>
      </c>
      <c r="C88" s="126">
        <f>'לקוחות לפי סוכן - מקור'!E83</f>
        <v/>
      </c>
      <c r="D88" s="102">
        <f>'לקוחות לפי סוכן - מקור'!F83</f>
        <v/>
      </c>
      <c r="E88" s="102">
        <f>'לקוחות לפי סוכן - מקור'!G83</f>
        <v/>
      </c>
      <c r="F88" s="94">
        <f>'לקוחות לפי סוכן - מקור'!D83</f>
        <v/>
      </c>
      <c r="G88" s="95">
        <f>'לקוחות לפי סוכן - מקור'!H83</f>
        <v/>
      </c>
      <c r="H88" s="95">
        <f>'לקוחות לפי סוכן - מקור'!I83</f>
        <v/>
      </c>
      <c r="I88" s="94">
        <f>'לקוחות לפי סוכן - מקור'!K83</f>
        <v/>
      </c>
    </row>
    <row r="89" outlineLevel="1" ht="15" customHeight="1" s="82">
      <c r="A89" s="94">
        <f>'לקוחות לפי סוכן - מקור'!A84</f>
        <v/>
      </c>
      <c r="B89" s="94">
        <f>'לקוחות לפי סוכן - מקור'!C84</f>
        <v/>
      </c>
      <c r="C89" s="126">
        <f>'לקוחות לפי סוכן - מקור'!E84</f>
        <v/>
      </c>
      <c r="D89" s="102">
        <f>'לקוחות לפי סוכן - מקור'!F84</f>
        <v/>
      </c>
      <c r="E89" s="102">
        <f>'לקוחות לפי סוכן - מקור'!G84</f>
        <v/>
      </c>
      <c r="F89" s="94">
        <f>'לקוחות לפי סוכן - מקור'!D84</f>
        <v/>
      </c>
      <c r="G89" s="95">
        <f>'לקוחות לפי סוכן - מקור'!H84</f>
        <v/>
      </c>
      <c r="H89" s="95">
        <f>'לקוחות לפי סוכן - מקור'!I84</f>
        <v/>
      </c>
      <c r="I89" s="94">
        <f>'לקוחות לפי סוכן - מקור'!K84</f>
        <v/>
      </c>
    </row>
    <row r="90" outlineLevel="1" ht="15" customHeight="1" s="82">
      <c r="A90" s="94">
        <f>'לקוחות לפי סוכן - מקור'!A85</f>
        <v/>
      </c>
      <c r="B90" s="94">
        <f>'לקוחות לפי סוכן - מקור'!C85</f>
        <v/>
      </c>
      <c r="C90" s="126">
        <f>'לקוחות לפי סוכן - מקור'!E85</f>
        <v/>
      </c>
      <c r="D90" s="102">
        <f>'לקוחות לפי סוכן - מקור'!F85</f>
        <v/>
      </c>
      <c r="E90" s="102">
        <f>'לקוחות לפי סוכן - מקור'!G85</f>
        <v/>
      </c>
      <c r="F90" s="94">
        <f>'לקוחות לפי סוכן - מקור'!D85</f>
        <v/>
      </c>
      <c r="G90" s="95">
        <f>'לקוחות לפי סוכן - מקור'!H85</f>
        <v/>
      </c>
      <c r="H90" s="95">
        <f>'לקוחות לפי סוכן - מקור'!I85</f>
        <v/>
      </c>
      <c r="I90" s="94">
        <f>'לקוחות לפי סוכן - מקור'!K85</f>
        <v/>
      </c>
    </row>
    <row r="91" outlineLevel="1" ht="15" customHeight="1" s="82">
      <c r="A91" s="94">
        <f>'לקוחות לפי סוכן - מקור'!A86</f>
        <v/>
      </c>
      <c r="B91" s="94">
        <f>'לקוחות לפי סוכן - מקור'!C86</f>
        <v/>
      </c>
      <c r="C91" s="126">
        <f>'לקוחות לפי סוכן - מקור'!E86</f>
        <v/>
      </c>
      <c r="D91" s="102">
        <f>'לקוחות לפי סוכן - מקור'!F86</f>
        <v/>
      </c>
      <c r="E91" s="102">
        <f>'לקוחות לפי סוכן - מקור'!G86</f>
        <v/>
      </c>
      <c r="F91" s="94">
        <f>'לקוחות לפי סוכן - מקור'!D86</f>
        <v/>
      </c>
      <c r="G91" s="95">
        <f>'לקוחות לפי סוכן - מקור'!H86</f>
        <v/>
      </c>
      <c r="H91" s="95">
        <f>'לקוחות לפי סוכן - מקור'!I86</f>
        <v/>
      </c>
      <c r="I91" s="94">
        <f>'לקוחות לפי סוכן - מקור'!K86</f>
        <v/>
      </c>
    </row>
    <row r="92" outlineLevel="1" ht="15" customHeight="1" s="82">
      <c r="A92" s="94">
        <f>'לקוחות לפי סוכן - מקור'!A87</f>
        <v/>
      </c>
      <c r="B92" s="94">
        <f>'לקוחות לפי סוכן - מקור'!C87</f>
        <v/>
      </c>
      <c r="C92" s="126">
        <f>'לקוחות לפי סוכן - מקור'!E87</f>
        <v/>
      </c>
      <c r="D92" s="102">
        <f>'לקוחות לפי סוכן - מקור'!F87</f>
        <v/>
      </c>
      <c r="E92" s="102">
        <f>'לקוחות לפי סוכן - מקור'!G87</f>
        <v/>
      </c>
      <c r="F92" s="94">
        <f>'לקוחות לפי סוכן - מקור'!D87</f>
        <v/>
      </c>
      <c r="G92" s="95">
        <f>'לקוחות לפי סוכן - מקור'!H87</f>
        <v/>
      </c>
      <c r="H92" s="95">
        <f>'לקוחות לפי סוכן - מקור'!I87</f>
        <v/>
      </c>
      <c r="I92" s="94">
        <f>'לקוחות לפי סוכן - מקור'!K87</f>
        <v/>
      </c>
    </row>
    <row r="93" outlineLevel="1" ht="15" customHeight="1" s="82">
      <c r="A93" s="94">
        <f>'לקוחות לפי סוכן - מקור'!A88</f>
        <v/>
      </c>
      <c r="B93" s="94">
        <f>'לקוחות לפי סוכן - מקור'!C88</f>
        <v/>
      </c>
      <c r="C93" s="126">
        <f>'לקוחות לפי סוכן - מקור'!E88</f>
        <v/>
      </c>
      <c r="D93" s="102">
        <f>'לקוחות לפי סוכן - מקור'!F88</f>
        <v/>
      </c>
      <c r="E93" s="102">
        <f>'לקוחות לפי סוכן - מקור'!G88</f>
        <v/>
      </c>
      <c r="F93" s="94">
        <f>'לקוחות לפי סוכן - מקור'!D88</f>
        <v/>
      </c>
      <c r="G93" s="95">
        <f>'לקוחות לפי סוכן - מקור'!H88</f>
        <v/>
      </c>
      <c r="H93" s="95">
        <f>'לקוחות לפי סוכן - מקור'!I88</f>
        <v/>
      </c>
      <c r="I93" s="94">
        <f>'לקוחות לפי סוכן - מקור'!K88</f>
        <v/>
      </c>
    </row>
    <row r="94" outlineLevel="1" ht="15" customHeight="1" s="82">
      <c r="A94" s="94">
        <f>'לקוחות לפי סוכן - מקור'!A89</f>
        <v/>
      </c>
      <c r="B94" s="94">
        <f>'לקוחות לפי סוכן - מקור'!C89</f>
        <v/>
      </c>
      <c r="C94" s="126">
        <f>'לקוחות לפי סוכן - מקור'!E89</f>
        <v/>
      </c>
      <c r="D94" s="102">
        <f>'לקוחות לפי סוכן - מקור'!F89</f>
        <v/>
      </c>
      <c r="E94" s="102">
        <f>'לקוחות לפי סוכן - מקור'!G89</f>
        <v/>
      </c>
      <c r="F94" s="94">
        <f>'לקוחות לפי סוכן - מקור'!D89</f>
        <v/>
      </c>
      <c r="G94" s="95">
        <f>'לקוחות לפי סוכן - מקור'!H89</f>
        <v/>
      </c>
      <c r="H94" s="95">
        <f>'לקוחות לפי סוכן - מקור'!I89</f>
        <v/>
      </c>
      <c r="I94" s="94">
        <f>'לקוחות לפי סוכן - מקור'!K89</f>
        <v/>
      </c>
    </row>
    <row r="95" outlineLevel="1" ht="15" customHeight="1" s="82">
      <c r="A95" s="94">
        <f>'לקוחות לפי סוכן - מקור'!A90</f>
        <v/>
      </c>
      <c r="B95" s="94">
        <f>'לקוחות לפי סוכן - מקור'!C90</f>
        <v/>
      </c>
      <c r="C95" s="126">
        <f>'לקוחות לפי סוכן - מקור'!E90</f>
        <v/>
      </c>
      <c r="D95" s="102">
        <f>'לקוחות לפי סוכן - מקור'!F90</f>
        <v/>
      </c>
      <c r="E95" s="102">
        <f>'לקוחות לפי סוכן - מקור'!G90</f>
        <v/>
      </c>
      <c r="F95" s="94">
        <f>'לקוחות לפי סוכן - מקור'!D90</f>
        <v/>
      </c>
      <c r="G95" s="95">
        <f>'לקוחות לפי סוכן - מקור'!H90</f>
        <v/>
      </c>
      <c r="H95" s="95">
        <f>'לקוחות לפי סוכן - מקור'!I90</f>
        <v/>
      </c>
      <c r="I95" s="94">
        <f>'לקוחות לפי סוכן - מקור'!K90</f>
        <v/>
      </c>
    </row>
    <row r="96" outlineLevel="1" ht="15" customHeight="1" s="82">
      <c r="A96" s="94">
        <f>'לקוחות לפי סוכן - מקור'!A91</f>
        <v/>
      </c>
      <c r="B96" s="94">
        <f>'לקוחות לפי סוכן - מקור'!C91</f>
        <v/>
      </c>
      <c r="C96" s="126">
        <f>'לקוחות לפי סוכן - מקור'!E91</f>
        <v/>
      </c>
      <c r="D96" s="102">
        <f>'לקוחות לפי סוכן - מקור'!F91</f>
        <v/>
      </c>
      <c r="E96" s="102">
        <f>'לקוחות לפי סוכן - מקור'!G91</f>
        <v/>
      </c>
      <c r="F96" s="94">
        <f>'לקוחות לפי סוכן - מקור'!D91</f>
        <v/>
      </c>
      <c r="G96" s="95">
        <f>'לקוחות לפי סוכן - מקור'!H91</f>
        <v/>
      </c>
      <c r="H96" s="95">
        <f>'לקוחות לפי סוכן - מקור'!I91</f>
        <v/>
      </c>
      <c r="I96" s="94">
        <f>'לקוחות לפי סוכן - מקור'!K91</f>
        <v/>
      </c>
    </row>
    <row r="97" outlineLevel="1" ht="15" customHeight="1" s="82">
      <c r="A97" s="94">
        <f>'לקוחות לפי סוכן - מקור'!A92</f>
        <v/>
      </c>
      <c r="B97" s="94">
        <f>'לקוחות לפי סוכן - מקור'!C92</f>
        <v/>
      </c>
      <c r="C97" s="126">
        <f>'לקוחות לפי סוכן - מקור'!E92</f>
        <v/>
      </c>
      <c r="D97" s="102">
        <f>'לקוחות לפי סוכן - מקור'!F92</f>
        <v/>
      </c>
      <c r="E97" s="102">
        <f>'לקוחות לפי סוכן - מקור'!G92</f>
        <v/>
      </c>
      <c r="F97" s="94">
        <f>'לקוחות לפי סוכן - מקור'!D92</f>
        <v/>
      </c>
      <c r="G97" s="95">
        <f>'לקוחות לפי סוכן - מקור'!H92</f>
        <v/>
      </c>
      <c r="H97" s="95">
        <f>'לקוחות לפי סוכן - מקור'!I92</f>
        <v/>
      </c>
      <c r="I97" s="94">
        <f>'לקוחות לפי סוכן - מקור'!K92</f>
        <v/>
      </c>
    </row>
    <row r="98" outlineLevel="1" ht="15" customHeight="1" s="82">
      <c r="A98" s="94">
        <f>'לקוחות לפי סוכן - מקור'!A93</f>
        <v/>
      </c>
      <c r="B98" s="94">
        <f>'לקוחות לפי סוכן - מקור'!C93</f>
        <v/>
      </c>
      <c r="C98" s="126">
        <f>'לקוחות לפי סוכן - מקור'!E93</f>
        <v/>
      </c>
      <c r="D98" s="102">
        <f>'לקוחות לפי סוכן - מקור'!F93</f>
        <v/>
      </c>
      <c r="E98" s="102">
        <f>'לקוחות לפי סוכן - מקור'!G93</f>
        <v/>
      </c>
      <c r="F98" s="94">
        <f>'לקוחות לפי סוכן - מקור'!D93</f>
        <v/>
      </c>
      <c r="G98" s="95">
        <f>'לקוחות לפי סוכן - מקור'!H93</f>
        <v/>
      </c>
      <c r="H98" s="95">
        <f>'לקוחות לפי סוכן - מקור'!I93</f>
        <v/>
      </c>
      <c r="I98" s="94">
        <f>'לקוחות לפי סוכן - מקור'!K93</f>
        <v/>
      </c>
    </row>
    <row r="99" outlineLevel="1" ht="15" customHeight="1" s="82">
      <c r="A99" s="94">
        <f>'לקוחות לפי סוכן - מקור'!A94</f>
        <v/>
      </c>
      <c r="B99" s="94">
        <f>'לקוחות לפי סוכן - מקור'!C94</f>
        <v/>
      </c>
      <c r="C99" s="126">
        <f>'לקוחות לפי סוכן - מקור'!E94</f>
        <v/>
      </c>
      <c r="D99" s="102">
        <f>'לקוחות לפי סוכן - מקור'!F94</f>
        <v/>
      </c>
      <c r="E99" s="102">
        <f>'לקוחות לפי סוכן - מקור'!G94</f>
        <v/>
      </c>
      <c r="F99" s="94">
        <f>'לקוחות לפי סוכן - מקור'!D94</f>
        <v/>
      </c>
      <c r="G99" s="95">
        <f>'לקוחות לפי סוכן - מקור'!H94</f>
        <v/>
      </c>
      <c r="H99" s="95">
        <f>'לקוחות לפי סוכן - מקור'!I94</f>
        <v/>
      </c>
      <c r="I99" s="94">
        <f>'לקוחות לפי סוכן - מקור'!K94</f>
        <v/>
      </c>
    </row>
    <row r="100" outlineLevel="1" ht="15" customHeight="1" s="82">
      <c r="A100" s="94">
        <f>'לקוחות לפי סוכן - מקור'!A95</f>
        <v/>
      </c>
      <c r="B100" s="94">
        <f>'לקוחות לפי סוכן - מקור'!C95</f>
        <v/>
      </c>
      <c r="C100" s="126">
        <f>'לקוחות לפי סוכן - מקור'!E95</f>
        <v/>
      </c>
      <c r="D100" s="102">
        <f>'לקוחות לפי סוכן - מקור'!F95</f>
        <v/>
      </c>
      <c r="E100" s="102">
        <f>'לקוחות לפי סוכן - מקור'!G95</f>
        <v/>
      </c>
      <c r="F100" s="94">
        <f>'לקוחות לפי סוכן - מקור'!D95</f>
        <v/>
      </c>
      <c r="G100" s="95">
        <f>'לקוחות לפי סוכן - מקור'!H95</f>
        <v/>
      </c>
      <c r="H100" s="95">
        <f>'לקוחות לפי סוכן - מקור'!I95</f>
        <v/>
      </c>
      <c r="I100" s="94">
        <f>'לקוחות לפי סוכן - מקור'!K95</f>
        <v/>
      </c>
    </row>
    <row r="101" outlineLevel="1" ht="15" customHeight="1" s="82">
      <c r="A101" s="94">
        <f>'לקוחות לפי סוכן - מקור'!A96</f>
        <v/>
      </c>
      <c r="B101" s="94">
        <f>'לקוחות לפי סוכן - מקור'!C96</f>
        <v/>
      </c>
      <c r="C101" s="126">
        <f>'לקוחות לפי סוכן - מקור'!E96</f>
        <v/>
      </c>
      <c r="D101" s="102">
        <f>'לקוחות לפי סוכן - מקור'!F96</f>
        <v/>
      </c>
      <c r="E101" s="102">
        <f>'לקוחות לפי סוכן - מקור'!G96</f>
        <v/>
      </c>
      <c r="F101" s="94">
        <f>'לקוחות לפי סוכן - מקור'!D96</f>
        <v/>
      </c>
      <c r="G101" s="95">
        <f>'לקוחות לפי סוכן - מקור'!H96</f>
        <v/>
      </c>
      <c r="H101" s="95">
        <f>'לקוחות לפי סוכן - מקור'!I96</f>
        <v/>
      </c>
      <c r="I101" s="94">
        <f>'לקוחות לפי סוכן - מקור'!K96</f>
        <v/>
      </c>
    </row>
    <row r="102" outlineLevel="1" ht="15" customHeight="1" s="82">
      <c r="A102" s="94">
        <f>'לקוחות לפי סוכן - מקור'!A97</f>
        <v/>
      </c>
      <c r="B102" s="94">
        <f>'לקוחות לפי סוכן - מקור'!C97</f>
        <v/>
      </c>
      <c r="C102" s="126">
        <f>'לקוחות לפי סוכן - מקור'!E97</f>
        <v/>
      </c>
      <c r="D102" s="102">
        <f>'לקוחות לפי סוכן - מקור'!F97</f>
        <v/>
      </c>
      <c r="E102" s="102">
        <f>'לקוחות לפי סוכן - מקור'!G97</f>
        <v/>
      </c>
      <c r="F102" s="94">
        <f>'לקוחות לפי סוכן - מקור'!D97</f>
        <v/>
      </c>
      <c r="G102" s="95">
        <f>'לקוחות לפי סוכן - מקור'!H97</f>
        <v/>
      </c>
      <c r="H102" s="95">
        <f>'לקוחות לפי סוכן - מקור'!I97</f>
        <v/>
      </c>
      <c r="I102" s="94">
        <f>'לקוחות לפי סוכן - מקור'!K97</f>
        <v/>
      </c>
    </row>
    <row r="103" outlineLevel="1" ht="15" customHeight="1" s="82">
      <c r="A103" s="94">
        <f>'לקוחות לפי סוכן - מקור'!A98</f>
        <v/>
      </c>
      <c r="B103" s="94">
        <f>'לקוחות לפי סוכן - מקור'!C98</f>
        <v/>
      </c>
      <c r="C103" s="126">
        <f>'לקוחות לפי סוכן - מקור'!E98</f>
        <v/>
      </c>
      <c r="D103" s="102">
        <f>'לקוחות לפי סוכן - מקור'!F98</f>
        <v/>
      </c>
      <c r="E103" s="102">
        <f>'לקוחות לפי סוכן - מקור'!G98</f>
        <v/>
      </c>
      <c r="F103" s="94">
        <f>'לקוחות לפי סוכן - מקור'!D98</f>
        <v/>
      </c>
      <c r="G103" s="95">
        <f>'לקוחות לפי סוכן - מקור'!H98</f>
        <v/>
      </c>
      <c r="H103" s="95">
        <f>'לקוחות לפי סוכן - מקור'!I98</f>
        <v/>
      </c>
      <c r="I103" s="94">
        <f>'לקוחות לפי סוכן - מקור'!K98</f>
        <v/>
      </c>
    </row>
    <row r="104" outlineLevel="1" ht="15" customHeight="1" s="82">
      <c r="A104" s="94">
        <f>'לקוחות לפי סוכן - מקור'!A99</f>
        <v/>
      </c>
      <c r="B104" s="94">
        <f>'לקוחות לפי סוכן - מקור'!C99</f>
        <v/>
      </c>
      <c r="C104" s="126">
        <f>'לקוחות לפי סוכן - מקור'!E99</f>
        <v/>
      </c>
      <c r="D104" s="102">
        <f>'לקוחות לפי סוכן - מקור'!F99</f>
        <v/>
      </c>
      <c r="E104" s="102">
        <f>'לקוחות לפי סוכן - מקור'!G99</f>
        <v/>
      </c>
      <c r="F104" s="94">
        <f>'לקוחות לפי סוכן - מקור'!D99</f>
        <v/>
      </c>
      <c r="G104" s="95">
        <f>'לקוחות לפי סוכן - מקור'!H99</f>
        <v/>
      </c>
      <c r="H104" s="95">
        <f>'לקוחות לפי סוכן - מקור'!I99</f>
        <v/>
      </c>
      <c r="I104" s="94">
        <f>'לקוחות לפי סוכן - מקור'!K99</f>
        <v/>
      </c>
    </row>
    <row r="105" outlineLevel="1" ht="15" customHeight="1" s="82">
      <c r="A105" s="94">
        <f>'לקוחות לפי סוכן - מקור'!A100</f>
        <v/>
      </c>
      <c r="B105" s="94">
        <f>'לקוחות לפי סוכן - מקור'!C100</f>
        <v/>
      </c>
      <c r="C105" s="126">
        <f>'לקוחות לפי סוכן - מקור'!E100</f>
        <v/>
      </c>
      <c r="D105" s="102">
        <f>'לקוחות לפי סוכן - מקור'!F100</f>
        <v/>
      </c>
      <c r="E105" s="102">
        <f>'לקוחות לפי סוכן - מקור'!G100</f>
        <v/>
      </c>
      <c r="F105" s="94">
        <f>'לקוחות לפי סוכן - מקור'!D100</f>
        <v/>
      </c>
      <c r="G105" s="95">
        <f>'לקוחות לפי סוכן - מקור'!H100</f>
        <v/>
      </c>
      <c r="H105" s="95">
        <f>'לקוחות לפי סוכן - מקור'!I100</f>
        <v/>
      </c>
      <c r="I105" s="94">
        <f>'לקוחות לפי סוכן - מקור'!K100</f>
        <v/>
      </c>
    </row>
    <row r="106" outlineLevel="1" ht="15" customHeight="1" s="82">
      <c r="A106" s="94">
        <f>'לקוחות לפי סוכן - מקור'!A101</f>
        <v/>
      </c>
      <c r="B106" s="94">
        <f>'לקוחות לפי סוכן - מקור'!C101</f>
        <v/>
      </c>
      <c r="C106" s="126">
        <f>'לקוחות לפי סוכן - מקור'!E101</f>
        <v/>
      </c>
      <c r="D106" s="102">
        <f>'לקוחות לפי סוכן - מקור'!F101</f>
        <v/>
      </c>
      <c r="E106" s="102">
        <f>'לקוחות לפי סוכן - מקור'!G101</f>
        <v/>
      </c>
      <c r="F106" s="94">
        <f>'לקוחות לפי סוכן - מקור'!D101</f>
        <v/>
      </c>
      <c r="G106" s="95">
        <f>'לקוחות לפי סוכן - מקור'!H101</f>
        <v/>
      </c>
      <c r="H106" s="95">
        <f>'לקוחות לפי סוכן - מקור'!I101</f>
        <v/>
      </c>
      <c r="I106" s="94">
        <f>'לקוחות לפי סוכן - מקור'!K101</f>
        <v/>
      </c>
    </row>
    <row r="107" outlineLevel="1" ht="15" customHeight="1" s="82">
      <c r="A107" s="94">
        <f>'לקוחות לפי סוכן - מקור'!A102</f>
        <v/>
      </c>
      <c r="B107" s="94">
        <f>'לקוחות לפי סוכן - מקור'!C102</f>
        <v/>
      </c>
      <c r="C107" s="126">
        <f>'לקוחות לפי סוכן - מקור'!E102</f>
        <v/>
      </c>
      <c r="D107" s="102">
        <f>'לקוחות לפי סוכן - מקור'!F102</f>
        <v/>
      </c>
      <c r="E107" s="102">
        <f>'לקוחות לפי סוכן - מקור'!G102</f>
        <v/>
      </c>
      <c r="F107" s="94">
        <f>'לקוחות לפי סוכן - מקור'!D102</f>
        <v/>
      </c>
      <c r="G107" s="95">
        <f>'לקוחות לפי סוכן - מקור'!H102</f>
        <v/>
      </c>
      <c r="H107" s="95">
        <f>'לקוחות לפי סוכן - מקור'!I102</f>
        <v/>
      </c>
      <c r="I107" s="94">
        <f>'לקוחות לפי סוכן - מקור'!K102</f>
        <v/>
      </c>
    </row>
    <row r="108" outlineLevel="1" ht="15" customHeight="1" s="82">
      <c r="A108" s="94">
        <f>'לקוחות לפי סוכן - מקור'!A103</f>
        <v/>
      </c>
      <c r="B108" s="94">
        <f>'לקוחות לפי סוכן - מקור'!C103</f>
        <v/>
      </c>
      <c r="C108" s="126">
        <f>'לקוחות לפי סוכן - מקור'!E103</f>
        <v/>
      </c>
      <c r="D108" s="102">
        <f>'לקוחות לפי סוכן - מקור'!F103</f>
        <v/>
      </c>
      <c r="E108" s="102">
        <f>'לקוחות לפי סוכן - מקור'!G103</f>
        <v/>
      </c>
      <c r="F108" s="94">
        <f>'לקוחות לפי סוכן - מקור'!D103</f>
        <v/>
      </c>
      <c r="G108" s="95">
        <f>'לקוחות לפי סוכן - מקור'!H103</f>
        <v/>
      </c>
      <c r="H108" s="95">
        <f>'לקוחות לפי סוכן - מקור'!I103</f>
        <v/>
      </c>
      <c r="I108" s="94">
        <f>'לקוחות לפי סוכן - מקור'!K103</f>
        <v/>
      </c>
    </row>
    <row r="109" outlineLevel="1" ht="15" customHeight="1" s="82">
      <c r="A109" s="94">
        <f>'לקוחות לפי סוכן - מקור'!A104</f>
        <v/>
      </c>
      <c r="B109" s="94">
        <f>'לקוחות לפי סוכן - מקור'!C104</f>
        <v/>
      </c>
      <c r="C109" s="126">
        <f>'לקוחות לפי סוכן - מקור'!E104</f>
        <v/>
      </c>
      <c r="D109" s="102">
        <f>'לקוחות לפי סוכן - מקור'!F104</f>
        <v/>
      </c>
      <c r="E109" s="102">
        <f>'לקוחות לפי סוכן - מקור'!G104</f>
        <v/>
      </c>
      <c r="F109" s="94">
        <f>'לקוחות לפי סוכן - מקור'!D104</f>
        <v/>
      </c>
      <c r="G109" s="95">
        <f>'לקוחות לפי סוכן - מקור'!H104</f>
        <v/>
      </c>
      <c r="H109" s="95">
        <f>'לקוחות לפי סוכן - מקור'!I104</f>
        <v/>
      </c>
      <c r="I109" s="94">
        <f>'לקוחות לפי סוכן - מקור'!K104</f>
        <v/>
      </c>
    </row>
    <row r="110" outlineLevel="1" ht="15" customHeight="1" s="82">
      <c r="A110" s="94">
        <f>'לקוחות לפי סוכן - מקור'!A105</f>
        <v/>
      </c>
      <c r="B110" s="94">
        <f>'לקוחות לפי סוכן - מקור'!C105</f>
        <v/>
      </c>
      <c r="C110" s="126">
        <f>'לקוחות לפי סוכן - מקור'!E105</f>
        <v/>
      </c>
      <c r="D110" s="102">
        <f>'לקוחות לפי סוכן - מקור'!F105</f>
        <v/>
      </c>
      <c r="E110" s="102">
        <f>'לקוחות לפי סוכן - מקור'!G105</f>
        <v/>
      </c>
      <c r="F110" s="94">
        <f>'לקוחות לפי סוכן - מקור'!D105</f>
        <v/>
      </c>
      <c r="G110" s="95">
        <f>'לקוחות לפי סוכן - מקור'!H105</f>
        <v/>
      </c>
      <c r="H110" s="95">
        <f>'לקוחות לפי סוכן - מקור'!I105</f>
        <v/>
      </c>
      <c r="I110" s="94">
        <f>'לקוחות לפי סוכן - מקור'!K105</f>
        <v/>
      </c>
    </row>
    <row r="111" outlineLevel="1" ht="15" customHeight="1" s="82">
      <c r="A111" s="94">
        <f>'לקוחות לפי סוכן - מקור'!A106</f>
        <v/>
      </c>
      <c r="B111" s="94">
        <f>'לקוחות לפי סוכן - מקור'!C106</f>
        <v/>
      </c>
      <c r="C111" s="126">
        <f>'לקוחות לפי סוכן - מקור'!E106</f>
        <v/>
      </c>
      <c r="D111" s="102">
        <f>'לקוחות לפי סוכן - מקור'!F106</f>
        <v/>
      </c>
      <c r="E111" s="102">
        <f>'לקוחות לפי סוכן - מקור'!G106</f>
        <v/>
      </c>
      <c r="F111" s="94">
        <f>'לקוחות לפי סוכן - מקור'!D106</f>
        <v/>
      </c>
      <c r="G111" s="95">
        <f>'לקוחות לפי סוכן - מקור'!H106</f>
        <v/>
      </c>
      <c r="H111" s="95">
        <f>'לקוחות לפי סוכן - מקור'!I106</f>
        <v/>
      </c>
      <c r="I111" s="94">
        <f>'לקוחות לפי סוכן - מקור'!K106</f>
        <v/>
      </c>
    </row>
    <row r="112" outlineLevel="1" ht="15" customHeight="1" s="82">
      <c r="A112" s="94">
        <f>'לקוחות לפי סוכן - מקור'!A107</f>
        <v/>
      </c>
      <c r="B112" s="94">
        <f>'לקוחות לפי סוכן - מקור'!C107</f>
        <v/>
      </c>
      <c r="C112" s="126">
        <f>'לקוחות לפי סוכן - מקור'!E107</f>
        <v/>
      </c>
      <c r="D112" s="102">
        <f>'לקוחות לפי סוכן - מקור'!F107</f>
        <v/>
      </c>
      <c r="E112" s="102">
        <f>'לקוחות לפי סוכן - מקור'!G107</f>
        <v/>
      </c>
      <c r="F112" s="94">
        <f>'לקוחות לפי סוכן - מקור'!D107</f>
        <v/>
      </c>
      <c r="G112" s="95">
        <f>'לקוחות לפי סוכן - מקור'!H107</f>
        <v/>
      </c>
      <c r="H112" s="95">
        <f>'לקוחות לפי סוכן - מקור'!I107</f>
        <v/>
      </c>
      <c r="I112" s="94">
        <f>'לקוחות לפי סוכן - מקור'!K107</f>
        <v/>
      </c>
    </row>
    <row r="113" outlineLevel="1" ht="15" customHeight="1" s="82">
      <c r="A113" s="94">
        <f>'לקוחות לפי סוכן - מקור'!A108</f>
        <v/>
      </c>
      <c r="B113" s="94">
        <f>'לקוחות לפי סוכן - מקור'!C108</f>
        <v/>
      </c>
      <c r="C113" s="126">
        <f>'לקוחות לפי סוכן - מקור'!E108</f>
        <v/>
      </c>
      <c r="D113" s="102">
        <f>'לקוחות לפי סוכן - מקור'!F108</f>
        <v/>
      </c>
      <c r="E113" s="102">
        <f>'לקוחות לפי סוכן - מקור'!G108</f>
        <v/>
      </c>
      <c r="F113" s="94">
        <f>'לקוחות לפי סוכן - מקור'!D108</f>
        <v/>
      </c>
      <c r="G113" s="95">
        <f>'לקוחות לפי סוכן - מקור'!H108</f>
        <v/>
      </c>
      <c r="H113" s="95">
        <f>'לקוחות לפי סוכן - מקור'!I108</f>
        <v/>
      </c>
      <c r="I113" s="94">
        <f>'לקוחות לפי סוכן - מקור'!K108</f>
        <v/>
      </c>
    </row>
    <row r="114" outlineLevel="1" ht="15" customHeight="1" s="82">
      <c r="A114" s="94">
        <f>'לקוחות לפי סוכן - מקור'!A109</f>
        <v/>
      </c>
      <c r="B114" s="94">
        <f>'לקוחות לפי סוכן - מקור'!C109</f>
        <v/>
      </c>
      <c r="C114" s="126">
        <f>'לקוחות לפי סוכן - מקור'!E109</f>
        <v/>
      </c>
      <c r="D114" s="102">
        <f>'לקוחות לפי סוכן - מקור'!F109</f>
        <v/>
      </c>
      <c r="E114" s="102">
        <f>'לקוחות לפי סוכן - מקור'!G109</f>
        <v/>
      </c>
      <c r="F114" s="94">
        <f>'לקוחות לפי סוכן - מקור'!D109</f>
        <v/>
      </c>
      <c r="G114" s="95">
        <f>'לקוחות לפי סוכן - מקור'!H109</f>
        <v/>
      </c>
      <c r="H114" s="95">
        <f>'לקוחות לפי סוכן - מקור'!I109</f>
        <v/>
      </c>
      <c r="I114" s="94">
        <f>'לקוחות לפי סוכן - מקור'!K109</f>
        <v/>
      </c>
    </row>
    <row r="115" outlineLevel="1" ht="15" customHeight="1" s="82">
      <c r="A115" s="94">
        <f>'לקוחות לפי סוכן - מקור'!A110</f>
        <v/>
      </c>
      <c r="B115" s="94">
        <f>'לקוחות לפי סוכן - מקור'!C110</f>
        <v/>
      </c>
      <c r="C115" s="126">
        <f>'לקוחות לפי סוכן - מקור'!E110</f>
        <v/>
      </c>
      <c r="D115" s="102">
        <f>'לקוחות לפי סוכן - מקור'!F110</f>
        <v/>
      </c>
      <c r="E115" s="102">
        <f>'לקוחות לפי סוכן - מקור'!G110</f>
        <v/>
      </c>
      <c r="F115" s="94">
        <f>'לקוחות לפי סוכן - מקור'!D110</f>
        <v/>
      </c>
      <c r="G115" s="95">
        <f>'לקוחות לפי סוכן - מקור'!H110</f>
        <v/>
      </c>
      <c r="H115" s="95">
        <f>'לקוחות לפי סוכן - מקור'!I110</f>
        <v/>
      </c>
      <c r="I115" s="94">
        <f>'לקוחות לפי סוכן - מקור'!K110</f>
        <v/>
      </c>
    </row>
    <row r="116" outlineLevel="1" ht="15" customHeight="1" s="82">
      <c r="A116" s="94">
        <f>'לקוחות לפי סוכן - מקור'!A111</f>
        <v/>
      </c>
      <c r="B116" s="94">
        <f>'לקוחות לפי סוכן - מקור'!C111</f>
        <v/>
      </c>
      <c r="C116" s="126">
        <f>'לקוחות לפי סוכן - מקור'!E111</f>
        <v/>
      </c>
      <c r="D116" s="102">
        <f>'לקוחות לפי סוכן - מקור'!F111</f>
        <v/>
      </c>
      <c r="E116" s="102">
        <f>'לקוחות לפי סוכן - מקור'!G111</f>
        <v/>
      </c>
      <c r="F116" s="94">
        <f>'לקוחות לפי סוכן - מקור'!D111</f>
        <v/>
      </c>
      <c r="G116" s="95">
        <f>'לקוחות לפי סוכן - מקור'!H111</f>
        <v/>
      </c>
      <c r="H116" s="95">
        <f>'לקוחות לפי סוכן - מקור'!I111</f>
        <v/>
      </c>
      <c r="I116" s="94">
        <f>'לקוחות לפי סוכן - מקור'!K111</f>
        <v/>
      </c>
    </row>
    <row r="117" outlineLevel="1" ht="15" customHeight="1" s="82">
      <c r="A117" s="94">
        <f>'לקוחות לפי סוכן - מקור'!A112</f>
        <v/>
      </c>
      <c r="B117" s="94">
        <f>'לקוחות לפי סוכן - מקור'!C112</f>
        <v/>
      </c>
      <c r="C117" s="126">
        <f>'לקוחות לפי סוכן - מקור'!E112</f>
        <v/>
      </c>
      <c r="D117" s="102">
        <f>'לקוחות לפי סוכן - מקור'!F112</f>
        <v/>
      </c>
      <c r="E117" s="102">
        <f>'לקוחות לפי סוכן - מקור'!G112</f>
        <v/>
      </c>
      <c r="F117" s="94">
        <f>'לקוחות לפי סוכן - מקור'!D112</f>
        <v/>
      </c>
      <c r="G117" s="95">
        <f>'לקוחות לפי סוכן - מקור'!H112</f>
        <v/>
      </c>
      <c r="H117" s="95">
        <f>'לקוחות לפי סוכן - מקור'!I112</f>
        <v/>
      </c>
      <c r="I117" s="94">
        <f>'לקוחות לפי סוכן - מקור'!K112</f>
        <v/>
      </c>
    </row>
    <row r="118" outlineLevel="1" ht="15" customHeight="1" s="82">
      <c r="A118" s="94">
        <f>'לקוחות לפי סוכן - מקור'!A113</f>
        <v/>
      </c>
      <c r="B118" s="94">
        <f>'לקוחות לפי סוכן - מקור'!C113</f>
        <v/>
      </c>
      <c r="C118" s="126">
        <f>'לקוחות לפי סוכן - מקור'!E113</f>
        <v/>
      </c>
      <c r="D118" s="102">
        <f>'לקוחות לפי סוכן - מקור'!F113</f>
        <v/>
      </c>
      <c r="E118" s="102">
        <f>'לקוחות לפי סוכן - מקור'!G113</f>
        <v/>
      </c>
      <c r="F118" s="94">
        <f>'לקוחות לפי סוכן - מקור'!D113</f>
        <v/>
      </c>
      <c r="G118" s="95">
        <f>'לקוחות לפי סוכן - מקור'!H113</f>
        <v/>
      </c>
      <c r="H118" s="95">
        <f>'לקוחות לפי סוכן - מקור'!I113</f>
        <v/>
      </c>
      <c r="I118" s="94">
        <f>'לקוחות לפי סוכן - מקור'!K113</f>
        <v/>
      </c>
    </row>
    <row r="119" outlineLevel="1" ht="15" customHeight="1" s="82">
      <c r="A119" s="94">
        <f>'לקוחות לפי סוכן - מקור'!A114</f>
        <v/>
      </c>
      <c r="B119" s="94">
        <f>'לקוחות לפי סוכן - מקור'!C114</f>
        <v/>
      </c>
      <c r="C119" s="126">
        <f>'לקוחות לפי סוכן - מקור'!E114</f>
        <v/>
      </c>
      <c r="D119" s="102">
        <f>'לקוחות לפי סוכן - מקור'!F114</f>
        <v/>
      </c>
      <c r="E119" s="102">
        <f>'לקוחות לפי סוכן - מקור'!G114</f>
        <v/>
      </c>
      <c r="F119" s="94">
        <f>'לקוחות לפי סוכן - מקור'!D114</f>
        <v/>
      </c>
      <c r="G119" s="95">
        <f>'לקוחות לפי סוכן - מקור'!H114</f>
        <v/>
      </c>
      <c r="H119" s="95">
        <f>'לקוחות לפי סוכן - מקור'!I114</f>
        <v/>
      </c>
      <c r="I119" s="94">
        <f>'לקוחות לפי סוכן - מקור'!K114</f>
        <v/>
      </c>
    </row>
    <row r="120" outlineLevel="1" ht="15" customHeight="1" s="82">
      <c r="A120" s="94">
        <f>'לקוחות לפי סוכן - מקור'!A115</f>
        <v/>
      </c>
      <c r="B120" s="94">
        <f>'לקוחות לפי סוכן - מקור'!C115</f>
        <v/>
      </c>
      <c r="C120" s="126">
        <f>'לקוחות לפי סוכן - מקור'!E115</f>
        <v/>
      </c>
      <c r="D120" s="102">
        <f>'לקוחות לפי סוכן - מקור'!F115</f>
        <v/>
      </c>
      <c r="E120" s="102">
        <f>'לקוחות לפי סוכן - מקור'!G115</f>
        <v/>
      </c>
      <c r="F120" s="94">
        <f>'לקוחות לפי סוכן - מקור'!D115</f>
        <v/>
      </c>
      <c r="G120" s="95">
        <f>'לקוחות לפי סוכן - מקור'!H115</f>
        <v/>
      </c>
      <c r="H120" s="95">
        <f>'לקוחות לפי סוכן - מקור'!I115</f>
        <v/>
      </c>
      <c r="I120" s="94">
        <f>'לקוחות לפי סוכן - מקור'!K115</f>
        <v/>
      </c>
    </row>
    <row r="121" outlineLevel="1" ht="15" customHeight="1" s="82">
      <c r="A121" s="94">
        <f>'לקוחות לפי סוכן - מקור'!A116</f>
        <v/>
      </c>
      <c r="B121" s="94">
        <f>'לקוחות לפי סוכן - מקור'!C116</f>
        <v/>
      </c>
      <c r="C121" s="126">
        <f>'לקוחות לפי סוכן - מקור'!E116</f>
        <v/>
      </c>
      <c r="D121" s="102">
        <f>'לקוחות לפי סוכן - מקור'!F116</f>
        <v/>
      </c>
      <c r="E121" s="102">
        <f>'לקוחות לפי סוכן - מקור'!G116</f>
        <v/>
      </c>
      <c r="F121" s="94">
        <f>'לקוחות לפי סוכן - מקור'!D116</f>
        <v/>
      </c>
      <c r="G121" s="95">
        <f>'לקוחות לפי סוכן - מקור'!H116</f>
        <v/>
      </c>
      <c r="H121" s="95">
        <f>'לקוחות לפי סוכן - מקור'!I116</f>
        <v/>
      </c>
      <c r="I121" s="94">
        <f>'לקוחות לפי סוכן - מקור'!K116</f>
        <v/>
      </c>
    </row>
    <row r="122" outlineLevel="1" ht="15" customHeight="1" s="82">
      <c r="A122" s="94">
        <f>'לקוחות לפי סוכן - מקור'!A117</f>
        <v/>
      </c>
      <c r="B122" s="94">
        <f>'לקוחות לפי סוכן - מקור'!C117</f>
        <v/>
      </c>
      <c r="C122" s="126">
        <f>'לקוחות לפי סוכן - מקור'!E117</f>
        <v/>
      </c>
      <c r="D122" s="102">
        <f>'לקוחות לפי סוכן - מקור'!F117</f>
        <v/>
      </c>
      <c r="E122" s="102">
        <f>'לקוחות לפי סוכן - מקור'!G117</f>
        <v/>
      </c>
      <c r="F122" s="94">
        <f>'לקוחות לפי סוכן - מקור'!D117</f>
        <v/>
      </c>
      <c r="G122" s="95">
        <f>'לקוחות לפי סוכן - מקור'!H117</f>
        <v/>
      </c>
      <c r="H122" s="95">
        <f>'לקוחות לפי סוכן - מקור'!I117</f>
        <v/>
      </c>
      <c r="I122" s="94">
        <f>'לקוחות לפי סוכן - מקור'!K117</f>
        <v/>
      </c>
    </row>
    <row r="123" outlineLevel="1" ht="15" customHeight="1" s="82">
      <c r="A123" s="94">
        <f>'לקוחות לפי סוכן - מקור'!A118</f>
        <v/>
      </c>
      <c r="B123" s="94">
        <f>'לקוחות לפי סוכן - מקור'!C118</f>
        <v/>
      </c>
      <c r="C123" s="126">
        <f>'לקוחות לפי סוכן - מקור'!E118</f>
        <v/>
      </c>
      <c r="D123" s="102">
        <f>'לקוחות לפי סוכן - מקור'!F118</f>
        <v/>
      </c>
      <c r="E123" s="102">
        <f>'לקוחות לפי סוכן - מקור'!G118</f>
        <v/>
      </c>
      <c r="F123" s="94">
        <f>'לקוחות לפי סוכן - מקור'!D118</f>
        <v/>
      </c>
      <c r="G123" s="95">
        <f>'לקוחות לפי סוכן - מקור'!H118</f>
        <v/>
      </c>
      <c r="H123" s="95">
        <f>'לקוחות לפי סוכן - מקור'!I118</f>
        <v/>
      </c>
      <c r="I123" s="94">
        <f>'לקוחות לפי סוכן - מקור'!K118</f>
        <v/>
      </c>
    </row>
    <row r="124" outlineLevel="1" ht="15" customHeight="1" s="82">
      <c r="A124" s="94">
        <f>'לקוחות לפי סוכן - מקור'!A119</f>
        <v/>
      </c>
      <c r="B124" s="94">
        <f>'לקוחות לפי סוכן - מקור'!C119</f>
        <v/>
      </c>
      <c r="C124" s="126">
        <f>'לקוחות לפי סוכן - מקור'!E119</f>
        <v/>
      </c>
      <c r="D124" s="102">
        <f>'לקוחות לפי סוכן - מקור'!F119</f>
        <v/>
      </c>
      <c r="E124" s="102">
        <f>'לקוחות לפי סוכן - מקור'!G119</f>
        <v/>
      </c>
      <c r="F124" s="94">
        <f>'לקוחות לפי סוכן - מקור'!D119</f>
        <v/>
      </c>
      <c r="G124" s="95">
        <f>'לקוחות לפי סוכן - מקור'!H119</f>
        <v/>
      </c>
      <c r="H124" s="95">
        <f>'לקוחות לפי סוכן - מקור'!I119</f>
        <v/>
      </c>
      <c r="I124" s="94">
        <f>'לקוחות לפי סוכן - מקור'!K119</f>
        <v/>
      </c>
    </row>
    <row r="125" outlineLevel="1" ht="15" customHeight="1" s="82">
      <c r="A125" s="94">
        <f>'לקוחות לפי סוכן - מקור'!A120</f>
        <v/>
      </c>
      <c r="B125" s="94">
        <f>'לקוחות לפי סוכן - מקור'!C120</f>
        <v/>
      </c>
      <c r="C125" s="126">
        <f>'לקוחות לפי סוכן - מקור'!E120</f>
        <v/>
      </c>
      <c r="D125" s="102">
        <f>'לקוחות לפי סוכן - מקור'!F120</f>
        <v/>
      </c>
      <c r="E125" s="102">
        <f>'לקוחות לפי סוכן - מקור'!G120</f>
        <v/>
      </c>
      <c r="F125" s="94">
        <f>'לקוחות לפי סוכן - מקור'!D120</f>
        <v/>
      </c>
      <c r="G125" s="95">
        <f>'לקוחות לפי סוכן - מקור'!H120</f>
        <v/>
      </c>
      <c r="H125" s="95">
        <f>'לקוחות לפי סוכן - מקור'!I120</f>
        <v/>
      </c>
      <c r="I125" s="94">
        <f>'לקוחות לפי סוכן - מקור'!K120</f>
        <v/>
      </c>
    </row>
    <row r="126" outlineLevel="1" ht="15" customHeight="1" s="82">
      <c r="A126" s="94">
        <f>'לקוחות לפי סוכן - מקור'!A121</f>
        <v/>
      </c>
      <c r="B126" s="94">
        <f>'לקוחות לפי סוכן - מקור'!C121</f>
        <v/>
      </c>
      <c r="C126" s="126">
        <f>'לקוחות לפי סוכן - מקור'!E121</f>
        <v/>
      </c>
      <c r="D126" s="102">
        <f>'לקוחות לפי סוכן - מקור'!F121</f>
        <v/>
      </c>
      <c r="E126" s="102">
        <f>'לקוחות לפי סוכן - מקור'!G121</f>
        <v/>
      </c>
      <c r="F126" s="94">
        <f>'לקוחות לפי סוכן - מקור'!D121</f>
        <v/>
      </c>
      <c r="G126" s="95">
        <f>'לקוחות לפי סוכן - מקור'!H121</f>
        <v/>
      </c>
      <c r="H126" s="95">
        <f>'לקוחות לפי סוכן - מקור'!I121</f>
        <v/>
      </c>
      <c r="I126" s="94">
        <f>'לקוחות לפי סוכן - מקור'!K121</f>
        <v/>
      </c>
    </row>
    <row r="127" outlineLevel="1" ht="15" customHeight="1" s="82">
      <c r="A127" s="94">
        <f>'לקוחות לפי סוכן - מקור'!A122</f>
        <v/>
      </c>
      <c r="B127" s="94">
        <f>'לקוחות לפי סוכן - מקור'!C122</f>
        <v/>
      </c>
      <c r="C127" s="126">
        <f>'לקוחות לפי סוכן - מקור'!E122</f>
        <v/>
      </c>
      <c r="D127" s="102">
        <f>'לקוחות לפי סוכן - מקור'!F122</f>
        <v/>
      </c>
      <c r="E127" s="102">
        <f>'לקוחות לפי סוכן - מקור'!G122</f>
        <v/>
      </c>
      <c r="F127" s="94">
        <f>'לקוחות לפי סוכן - מקור'!D122</f>
        <v/>
      </c>
      <c r="G127" s="95">
        <f>'לקוחות לפי סוכן - מקור'!H122</f>
        <v/>
      </c>
      <c r="H127" s="95">
        <f>'לקוחות לפי סוכן - מקור'!I122</f>
        <v/>
      </c>
      <c r="I127" s="94">
        <f>'לקוחות לפי סוכן - מקור'!K122</f>
        <v/>
      </c>
    </row>
    <row r="128" outlineLevel="1" ht="15" customHeight="1" s="82">
      <c r="A128" s="94">
        <f>'לקוחות לפי סוכן - מקור'!A123</f>
        <v/>
      </c>
      <c r="B128" s="94">
        <f>'לקוחות לפי סוכן - מקור'!C123</f>
        <v/>
      </c>
      <c r="C128" s="126">
        <f>'לקוחות לפי סוכן - מקור'!E123</f>
        <v/>
      </c>
      <c r="D128" s="102">
        <f>'לקוחות לפי סוכן - מקור'!F123</f>
        <v/>
      </c>
      <c r="E128" s="102">
        <f>'לקוחות לפי סוכן - מקור'!G123</f>
        <v/>
      </c>
      <c r="F128" s="94">
        <f>'לקוחות לפי סוכן - מקור'!D123</f>
        <v/>
      </c>
      <c r="G128" s="95">
        <f>'לקוחות לפי סוכן - מקור'!H123</f>
        <v/>
      </c>
      <c r="H128" s="95">
        <f>'לקוחות לפי סוכן - מקור'!I123</f>
        <v/>
      </c>
      <c r="I128" s="94">
        <f>'לקוחות לפי סוכן - מקור'!K123</f>
        <v/>
      </c>
    </row>
    <row r="129" outlineLevel="1" ht="15" customHeight="1" s="82">
      <c r="A129" s="94">
        <f>'לקוחות לפי סוכן - מקור'!A124</f>
        <v/>
      </c>
      <c r="B129" s="94">
        <f>'לקוחות לפי סוכן - מקור'!C124</f>
        <v/>
      </c>
      <c r="C129" s="126">
        <f>'לקוחות לפי סוכן - מקור'!E124</f>
        <v/>
      </c>
      <c r="D129" s="102">
        <f>'לקוחות לפי סוכן - מקור'!F124</f>
        <v/>
      </c>
      <c r="E129" s="102">
        <f>'לקוחות לפי סוכן - מקור'!G124</f>
        <v/>
      </c>
      <c r="F129" s="94">
        <f>'לקוחות לפי סוכן - מקור'!D124</f>
        <v/>
      </c>
      <c r="G129" s="95">
        <f>'לקוחות לפי סוכן - מקור'!H124</f>
        <v/>
      </c>
      <c r="H129" s="95">
        <f>'לקוחות לפי סוכן - מקור'!I124</f>
        <v/>
      </c>
      <c r="I129" s="94">
        <f>'לקוחות לפי סוכן - מקור'!K124</f>
        <v/>
      </c>
    </row>
    <row r="130" outlineLevel="1" ht="15" customHeight="1" s="82">
      <c r="A130" s="94">
        <f>'לקוחות לפי סוכן - מקור'!A125</f>
        <v/>
      </c>
      <c r="B130" s="94">
        <f>'לקוחות לפי סוכן - מקור'!C125</f>
        <v/>
      </c>
      <c r="C130" s="126">
        <f>'לקוחות לפי סוכן - מקור'!E125</f>
        <v/>
      </c>
      <c r="D130" s="102">
        <f>'לקוחות לפי סוכן - מקור'!F125</f>
        <v/>
      </c>
      <c r="E130" s="102">
        <f>'לקוחות לפי סוכן - מקור'!G125</f>
        <v/>
      </c>
      <c r="F130" s="94">
        <f>'לקוחות לפי סוכן - מקור'!D125</f>
        <v/>
      </c>
      <c r="G130" s="95">
        <f>'לקוחות לפי סוכן - מקור'!H125</f>
        <v/>
      </c>
      <c r="H130" s="95">
        <f>'לקוחות לפי סוכן - מקור'!I125</f>
        <v/>
      </c>
      <c r="I130" s="94">
        <f>'לקוחות לפי סוכן - מקור'!K125</f>
        <v/>
      </c>
    </row>
    <row r="131" outlineLevel="1" ht="15" customHeight="1" s="82">
      <c r="A131" s="94">
        <f>'לקוחות לפי סוכן - מקור'!A126</f>
        <v/>
      </c>
      <c r="B131" s="94">
        <f>'לקוחות לפי סוכן - מקור'!C126</f>
        <v/>
      </c>
      <c r="C131" s="126">
        <f>'לקוחות לפי סוכן - מקור'!E126</f>
        <v/>
      </c>
      <c r="D131" s="102">
        <f>'לקוחות לפי סוכן - מקור'!F126</f>
        <v/>
      </c>
      <c r="E131" s="102">
        <f>'לקוחות לפי סוכן - מקור'!G126</f>
        <v/>
      </c>
      <c r="F131" s="94">
        <f>'לקוחות לפי סוכן - מקור'!D126</f>
        <v/>
      </c>
      <c r="G131" s="95">
        <f>'לקוחות לפי סוכן - מקור'!H126</f>
        <v/>
      </c>
      <c r="H131" s="95">
        <f>'לקוחות לפי סוכן - מקור'!I126</f>
        <v/>
      </c>
      <c r="I131" s="94">
        <f>'לקוחות לפי סוכן - מקור'!K126</f>
        <v/>
      </c>
    </row>
    <row r="132" outlineLevel="1" ht="15" customHeight="1" s="82">
      <c r="A132" s="94">
        <f>'לקוחות לפי סוכן - מקור'!A127</f>
        <v/>
      </c>
      <c r="B132" s="94">
        <f>'לקוחות לפי סוכן - מקור'!C127</f>
        <v/>
      </c>
      <c r="C132" s="126">
        <f>'לקוחות לפי סוכן - מקור'!E127</f>
        <v/>
      </c>
      <c r="D132" s="102">
        <f>'לקוחות לפי סוכן - מקור'!F127</f>
        <v/>
      </c>
      <c r="E132" s="102">
        <f>'לקוחות לפי סוכן - מקור'!G127</f>
        <v/>
      </c>
      <c r="F132" s="94">
        <f>'לקוחות לפי סוכן - מקור'!D127</f>
        <v/>
      </c>
      <c r="G132" s="95">
        <f>'לקוחות לפי סוכן - מקור'!H127</f>
        <v/>
      </c>
      <c r="H132" s="95">
        <f>'לקוחות לפי סוכן - מקור'!I127</f>
        <v/>
      </c>
      <c r="I132" s="94">
        <f>'לקוחות לפי סוכן - מקור'!K127</f>
        <v/>
      </c>
    </row>
    <row r="133" outlineLevel="1" ht="15" customHeight="1" s="82">
      <c r="A133" s="94">
        <f>'לקוחות לפי סוכן - מקור'!A128</f>
        <v/>
      </c>
      <c r="B133" s="94">
        <f>'לקוחות לפי סוכן - מקור'!C128</f>
        <v/>
      </c>
      <c r="C133" s="126">
        <f>'לקוחות לפי סוכן - מקור'!E128</f>
        <v/>
      </c>
      <c r="D133" s="102">
        <f>'לקוחות לפי סוכן - מקור'!F128</f>
        <v/>
      </c>
      <c r="E133" s="102">
        <f>'לקוחות לפי סוכן - מקור'!G128</f>
        <v/>
      </c>
      <c r="F133" s="94">
        <f>'לקוחות לפי סוכן - מקור'!D128</f>
        <v/>
      </c>
      <c r="G133" s="95">
        <f>'לקוחות לפי סוכן - מקור'!H128</f>
        <v/>
      </c>
      <c r="H133" s="95">
        <f>'לקוחות לפי סוכן - מקור'!I128</f>
        <v/>
      </c>
      <c r="I133" s="94">
        <f>'לקוחות לפי סוכן - מקור'!K128</f>
        <v/>
      </c>
    </row>
    <row r="134" outlineLevel="1" ht="15" customHeight="1" s="82">
      <c r="A134" s="94">
        <f>'לקוחות לפי סוכן - מקור'!A129</f>
        <v/>
      </c>
      <c r="B134" s="94">
        <f>'לקוחות לפי סוכן - מקור'!C129</f>
        <v/>
      </c>
      <c r="C134" s="126">
        <f>'לקוחות לפי סוכן - מקור'!E129</f>
        <v/>
      </c>
      <c r="D134" s="102">
        <f>'לקוחות לפי סוכן - מקור'!F129</f>
        <v/>
      </c>
      <c r="E134" s="102">
        <f>'לקוחות לפי סוכן - מקור'!G129</f>
        <v/>
      </c>
      <c r="F134" s="94">
        <f>'לקוחות לפי סוכן - מקור'!D129</f>
        <v/>
      </c>
      <c r="G134" s="95">
        <f>'לקוחות לפי סוכן - מקור'!H129</f>
        <v/>
      </c>
      <c r="H134" s="95">
        <f>'לקוחות לפי סוכן - מקור'!I129</f>
        <v/>
      </c>
      <c r="I134" s="94">
        <f>'לקוחות לפי סוכן - מקור'!K129</f>
        <v/>
      </c>
    </row>
    <row r="135" outlineLevel="1" ht="15" customHeight="1" s="82">
      <c r="A135" s="94">
        <f>'לקוחות לפי סוכן - מקור'!A130</f>
        <v/>
      </c>
      <c r="B135" s="94">
        <f>'לקוחות לפי סוכן - מקור'!C130</f>
        <v/>
      </c>
      <c r="C135" s="126">
        <f>'לקוחות לפי סוכן - מקור'!E130</f>
        <v/>
      </c>
      <c r="D135" s="102">
        <f>'לקוחות לפי סוכן - מקור'!F130</f>
        <v/>
      </c>
      <c r="E135" s="102">
        <f>'לקוחות לפי סוכן - מקור'!G130</f>
        <v/>
      </c>
      <c r="F135" s="94">
        <f>'לקוחות לפי סוכן - מקור'!D130</f>
        <v/>
      </c>
      <c r="G135" s="95">
        <f>'לקוחות לפי סוכן - מקור'!H130</f>
        <v/>
      </c>
      <c r="H135" s="95">
        <f>'לקוחות לפי סוכן - מקור'!I130</f>
        <v/>
      </c>
      <c r="I135" s="94">
        <f>'לקוחות לפי סוכן - מקור'!K130</f>
        <v/>
      </c>
    </row>
    <row r="136" outlineLevel="1" ht="15" customHeight="1" s="82">
      <c r="A136" s="94">
        <f>'לקוחות לפי סוכן - מקור'!A131</f>
        <v/>
      </c>
      <c r="B136" s="94">
        <f>'לקוחות לפי סוכן - מקור'!C131</f>
        <v/>
      </c>
      <c r="C136" s="126">
        <f>'לקוחות לפי סוכן - מקור'!E131</f>
        <v/>
      </c>
      <c r="D136" s="102">
        <f>'לקוחות לפי סוכן - מקור'!F131</f>
        <v/>
      </c>
      <c r="E136" s="102">
        <f>'לקוחות לפי סוכן - מקור'!G131</f>
        <v/>
      </c>
      <c r="F136" s="94">
        <f>'לקוחות לפי סוכן - מקור'!D131</f>
        <v/>
      </c>
      <c r="G136" s="95">
        <f>'לקוחות לפי סוכן - מקור'!H131</f>
        <v/>
      </c>
      <c r="H136" s="95">
        <f>'לקוחות לפי סוכן - מקור'!I131</f>
        <v/>
      </c>
      <c r="I136" s="94">
        <f>'לקוחות לפי סוכן - מקור'!K131</f>
        <v/>
      </c>
    </row>
    <row r="137" outlineLevel="1" ht="15" customHeight="1" s="82">
      <c r="A137" s="94">
        <f>'לקוחות לפי סוכן - מקור'!A132</f>
        <v/>
      </c>
      <c r="B137" s="94">
        <f>'לקוחות לפי סוכן - מקור'!C132</f>
        <v/>
      </c>
      <c r="C137" s="126">
        <f>'לקוחות לפי סוכן - מקור'!E132</f>
        <v/>
      </c>
      <c r="D137" s="102">
        <f>'לקוחות לפי סוכן - מקור'!F132</f>
        <v/>
      </c>
      <c r="E137" s="102">
        <f>'לקוחות לפי סוכן - מקור'!G132</f>
        <v/>
      </c>
      <c r="F137" s="94">
        <f>'לקוחות לפי סוכן - מקור'!D132</f>
        <v/>
      </c>
      <c r="G137" s="95">
        <f>'לקוחות לפי סוכן - מקור'!H132</f>
        <v/>
      </c>
      <c r="H137" s="95">
        <f>'לקוחות לפי סוכן - מקור'!I132</f>
        <v/>
      </c>
      <c r="I137" s="94">
        <f>'לקוחות לפי סוכן - מקור'!K132</f>
        <v/>
      </c>
    </row>
    <row r="138" outlineLevel="1" ht="15" customHeight="1" s="82">
      <c r="A138" s="94">
        <f>'לקוחות לפי סוכן - מקור'!A133</f>
        <v/>
      </c>
      <c r="B138" s="94">
        <f>'לקוחות לפי סוכן - מקור'!C133</f>
        <v/>
      </c>
      <c r="C138" s="126">
        <f>'לקוחות לפי סוכן - מקור'!E133</f>
        <v/>
      </c>
      <c r="D138" s="102">
        <f>'לקוחות לפי סוכן - מקור'!F133</f>
        <v/>
      </c>
      <c r="E138" s="102">
        <f>'לקוחות לפי סוכן - מקור'!G133</f>
        <v/>
      </c>
      <c r="F138" s="94">
        <f>'לקוחות לפי סוכן - מקור'!D133</f>
        <v/>
      </c>
      <c r="G138" s="95">
        <f>'לקוחות לפי סוכן - מקור'!H133</f>
        <v/>
      </c>
      <c r="H138" s="95">
        <f>'לקוחות לפי סוכן - מקור'!I133</f>
        <v/>
      </c>
      <c r="I138" s="94">
        <f>'לקוחות לפי סוכן - מקור'!K133</f>
        <v/>
      </c>
    </row>
    <row r="139" outlineLevel="1" ht="15" customHeight="1" s="82">
      <c r="A139" s="94">
        <f>'לקוחות לפי סוכן - מקור'!A134</f>
        <v/>
      </c>
      <c r="B139" s="94">
        <f>'לקוחות לפי סוכן - מקור'!C134</f>
        <v/>
      </c>
      <c r="C139" s="126">
        <f>'לקוחות לפי סוכן - מקור'!E134</f>
        <v/>
      </c>
      <c r="D139" s="102">
        <f>'לקוחות לפי סוכן - מקור'!F134</f>
        <v/>
      </c>
      <c r="E139" s="102">
        <f>'לקוחות לפי סוכן - מקור'!G134</f>
        <v/>
      </c>
      <c r="F139" s="94">
        <f>'לקוחות לפי סוכן - מקור'!D134</f>
        <v/>
      </c>
      <c r="G139" s="95">
        <f>'לקוחות לפי סוכן - מקור'!H134</f>
        <v/>
      </c>
      <c r="H139" s="95">
        <f>'לקוחות לפי סוכן - מקור'!I134</f>
        <v/>
      </c>
      <c r="I139" s="94">
        <f>'לקוחות לפי סוכן - מקור'!K134</f>
        <v/>
      </c>
    </row>
    <row r="140" outlineLevel="1" ht="15" customHeight="1" s="82">
      <c r="A140" s="94">
        <f>'לקוחות לפי סוכן - מקור'!A135</f>
        <v/>
      </c>
      <c r="B140" s="94">
        <f>'לקוחות לפי סוכן - מקור'!C135</f>
        <v/>
      </c>
      <c r="C140" s="126">
        <f>'לקוחות לפי סוכן - מקור'!E135</f>
        <v/>
      </c>
      <c r="D140" s="102">
        <f>'לקוחות לפי סוכן - מקור'!F135</f>
        <v/>
      </c>
      <c r="E140" s="102">
        <f>'לקוחות לפי סוכן - מקור'!G135</f>
        <v/>
      </c>
      <c r="F140" s="94">
        <f>'לקוחות לפי סוכן - מקור'!D135</f>
        <v/>
      </c>
      <c r="G140" s="95">
        <f>'לקוחות לפי סוכן - מקור'!H135</f>
        <v/>
      </c>
      <c r="H140" s="95">
        <f>'לקוחות לפי סוכן - מקור'!I135</f>
        <v/>
      </c>
      <c r="I140" s="94">
        <f>'לקוחות לפי סוכן - מקור'!K135</f>
        <v/>
      </c>
    </row>
    <row r="141" outlineLevel="1" ht="15" customHeight="1" s="82">
      <c r="A141" s="94">
        <f>'לקוחות לפי סוכן - מקור'!A136</f>
        <v/>
      </c>
      <c r="B141" s="94">
        <f>'לקוחות לפי סוכן - מקור'!C136</f>
        <v/>
      </c>
      <c r="C141" s="126">
        <f>'לקוחות לפי סוכן - מקור'!E136</f>
        <v/>
      </c>
      <c r="D141" s="102">
        <f>'לקוחות לפי סוכן - מקור'!F136</f>
        <v/>
      </c>
      <c r="E141" s="102">
        <f>'לקוחות לפי סוכן - מקור'!G136</f>
        <v/>
      </c>
      <c r="F141" s="94">
        <f>'לקוחות לפי סוכן - מקור'!D136</f>
        <v/>
      </c>
      <c r="G141" s="95">
        <f>'לקוחות לפי סוכן - מקור'!H136</f>
        <v/>
      </c>
      <c r="H141" s="95">
        <f>'לקוחות לפי סוכן - מקור'!I136</f>
        <v/>
      </c>
      <c r="I141" s="94">
        <f>'לקוחות לפי סוכן - מקור'!K136</f>
        <v/>
      </c>
    </row>
    <row r="142" outlineLevel="1" ht="15" customHeight="1" s="82">
      <c r="A142" s="94">
        <f>'לקוחות לפי סוכן - מקור'!A137</f>
        <v/>
      </c>
      <c r="B142" s="94">
        <f>'לקוחות לפי סוכן - מקור'!C137</f>
        <v/>
      </c>
      <c r="C142" s="126">
        <f>'לקוחות לפי סוכן - מקור'!E137</f>
        <v/>
      </c>
      <c r="D142" s="102">
        <f>'לקוחות לפי סוכן - מקור'!F137</f>
        <v/>
      </c>
      <c r="E142" s="102">
        <f>'לקוחות לפי סוכן - מקור'!G137</f>
        <v/>
      </c>
      <c r="F142" s="94">
        <f>'לקוחות לפי סוכן - מקור'!D137</f>
        <v/>
      </c>
      <c r="G142" s="95">
        <f>'לקוחות לפי סוכן - מקור'!H137</f>
        <v/>
      </c>
      <c r="H142" s="95">
        <f>'לקוחות לפי סוכן - מקור'!I137</f>
        <v/>
      </c>
      <c r="I142" s="94">
        <f>'לקוחות לפי סוכן - מקור'!K137</f>
        <v/>
      </c>
    </row>
    <row r="143" outlineLevel="1" ht="15" customHeight="1" s="82">
      <c r="A143" s="94">
        <f>'לקוחות לפי סוכן - מקור'!A138</f>
        <v/>
      </c>
      <c r="B143" s="94">
        <f>'לקוחות לפי סוכן - מקור'!C138</f>
        <v/>
      </c>
      <c r="C143" s="126">
        <f>'לקוחות לפי סוכן - מקור'!E138</f>
        <v/>
      </c>
      <c r="D143" s="102">
        <f>'לקוחות לפי סוכן - מקור'!F138</f>
        <v/>
      </c>
      <c r="E143" s="102">
        <f>'לקוחות לפי סוכן - מקור'!G138</f>
        <v/>
      </c>
      <c r="F143" s="94">
        <f>'לקוחות לפי סוכן - מקור'!D138</f>
        <v/>
      </c>
      <c r="G143" s="95">
        <f>'לקוחות לפי סוכן - מקור'!H138</f>
        <v/>
      </c>
      <c r="H143" s="95">
        <f>'לקוחות לפי סוכן - מקור'!I138</f>
        <v/>
      </c>
      <c r="I143" s="94">
        <f>'לקוחות לפי סוכן - מקור'!K138</f>
        <v/>
      </c>
    </row>
    <row r="144" outlineLevel="1" ht="15" customHeight="1" s="82">
      <c r="A144" s="94">
        <f>'לקוחות לפי סוכן - מקור'!A139</f>
        <v/>
      </c>
      <c r="B144" s="94">
        <f>'לקוחות לפי סוכן - מקור'!C139</f>
        <v/>
      </c>
      <c r="C144" s="126">
        <f>'לקוחות לפי סוכן - מקור'!E139</f>
        <v/>
      </c>
      <c r="D144" s="102">
        <f>'לקוחות לפי סוכן - מקור'!F139</f>
        <v/>
      </c>
      <c r="E144" s="102">
        <f>'לקוחות לפי סוכן - מקור'!G139</f>
        <v/>
      </c>
      <c r="F144" s="94">
        <f>'לקוחות לפי סוכן - מקור'!D139</f>
        <v/>
      </c>
      <c r="G144" s="95">
        <f>'לקוחות לפי סוכן - מקור'!H139</f>
        <v/>
      </c>
      <c r="H144" s="95">
        <f>'לקוחות לפי סוכן - מקור'!I139</f>
        <v/>
      </c>
      <c r="I144" s="94">
        <f>'לקוחות לפי סוכן - מקור'!K139</f>
        <v/>
      </c>
    </row>
    <row r="145" outlineLevel="1" ht="15" customHeight="1" s="82">
      <c r="A145" s="94">
        <f>'לקוחות לפי סוכן - מקור'!A140</f>
        <v/>
      </c>
      <c r="B145" s="94">
        <f>'לקוחות לפי סוכן - מקור'!C140</f>
        <v/>
      </c>
      <c r="C145" s="126">
        <f>'לקוחות לפי סוכן - מקור'!E140</f>
        <v/>
      </c>
      <c r="D145" s="102">
        <f>'לקוחות לפי סוכן - מקור'!F140</f>
        <v/>
      </c>
      <c r="E145" s="102">
        <f>'לקוחות לפי סוכן - מקור'!G140</f>
        <v/>
      </c>
      <c r="F145" s="94">
        <f>'לקוחות לפי סוכן - מקור'!D140</f>
        <v/>
      </c>
      <c r="G145" s="95">
        <f>'לקוחות לפי סוכן - מקור'!H140</f>
        <v/>
      </c>
      <c r="H145" s="95">
        <f>'לקוחות לפי סוכן - מקור'!I140</f>
        <v/>
      </c>
      <c r="I145" s="94">
        <f>'לקוחות לפי סוכן - מקור'!K140</f>
        <v/>
      </c>
    </row>
    <row r="146" outlineLevel="1" ht="15" customHeight="1" s="82">
      <c r="A146" s="94">
        <f>'לקוחות לפי סוכן - מקור'!A141</f>
        <v/>
      </c>
      <c r="B146" s="94">
        <f>'לקוחות לפי סוכן - מקור'!C141</f>
        <v/>
      </c>
      <c r="C146" s="126">
        <f>'לקוחות לפי סוכן - מקור'!E141</f>
        <v/>
      </c>
      <c r="D146" s="102">
        <f>'לקוחות לפי סוכן - מקור'!F141</f>
        <v/>
      </c>
      <c r="E146" s="102">
        <f>'לקוחות לפי סוכן - מקור'!G141</f>
        <v/>
      </c>
      <c r="F146" s="94">
        <f>'לקוחות לפי סוכן - מקור'!D141</f>
        <v/>
      </c>
      <c r="G146" s="95">
        <f>'לקוחות לפי סוכן - מקור'!H141</f>
        <v/>
      </c>
      <c r="H146" s="95">
        <f>'לקוחות לפי סוכן - מקור'!I141</f>
        <v/>
      </c>
      <c r="I146" s="94">
        <f>'לקוחות לפי סוכן - מקור'!K141</f>
        <v/>
      </c>
    </row>
    <row r="147" outlineLevel="1" ht="15" customHeight="1" s="82">
      <c r="A147" s="94">
        <f>'לקוחות לפי סוכן - מקור'!A142</f>
        <v/>
      </c>
      <c r="B147" s="94">
        <f>'לקוחות לפי סוכן - מקור'!C142</f>
        <v/>
      </c>
      <c r="C147" s="126">
        <f>'לקוחות לפי סוכן - מקור'!E142</f>
        <v/>
      </c>
      <c r="D147" s="102">
        <f>'לקוחות לפי סוכן - מקור'!F142</f>
        <v/>
      </c>
      <c r="E147" s="102">
        <f>'לקוחות לפי סוכן - מקור'!G142</f>
        <v/>
      </c>
      <c r="F147" s="94">
        <f>'לקוחות לפי סוכן - מקור'!D142</f>
        <v/>
      </c>
      <c r="G147" s="95">
        <f>'לקוחות לפי סוכן - מקור'!H142</f>
        <v/>
      </c>
      <c r="H147" s="95">
        <f>'לקוחות לפי סוכן - מקור'!I142</f>
        <v/>
      </c>
      <c r="I147" s="94">
        <f>'לקוחות לפי סוכן - מקור'!K142</f>
        <v/>
      </c>
    </row>
    <row r="148" outlineLevel="1" ht="15" customHeight="1" s="82">
      <c r="A148" s="94">
        <f>'לקוחות לפי סוכן - מקור'!A143</f>
        <v/>
      </c>
      <c r="B148" s="94">
        <f>'לקוחות לפי סוכן - מקור'!C143</f>
        <v/>
      </c>
      <c r="C148" s="126">
        <f>'לקוחות לפי סוכן - מקור'!E143</f>
        <v/>
      </c>
      <c r="D148" s="102">
        <f>'לקוחות לפי סוכן - מקור'!F143</f>
        <v/>
      </c>
      <c r="E148" s="102">
        <f>'לקוחות לפי סוכן - מקור'!G143</f>
        <v/>
      </c>
      <c r="F148" s="94">
        <f>'לקוחות לפי סוכן - מקור'!D143</f>
        <v/>
      </c>
      <c r="G148" s="95">
        <f>'לקוחות לפי סוכן - מקור'!H143</f>
        <v/>
      </c>
      <c r="H148" s="95">
        <f>'לקוחות לפי סוכן - מקור'!I143</f>
        <v/>
      </c>
      <c r="I148" s="94">
        <f>'לקוחות לפי סוכן - מקור'!K143</f>
        <v/>
      </c>
    </row>
    <row r="149" outlineLevel="1" ht="15" customHeight="1" s="82">
      <c r="A149" s="94">
        <f>'לקוחות לפי סוכן - מקור'!A144</f>
        <v/>
      </c>
      <c r="B149" s="94">
        <f>'לקוחות לפי סוכן - מקור'!C144</f>
        <v/>
      </c>
      <c r="C149" s="126">
        <f>'לקוחות לפי סוכן - מקור'!E144</f>
        <v/>
      </c>
      <c r="D149" s="102">
        <f>'לקוחות לפי סוכן - מקור'!F144</f>
        <v/>
      </c>
      <c r="E149" s="102">
        <f>'לקוחות לפי סוכן - מקור'!G144</f>
        <v/>
      </c>
      <c r="F149" s="94">
        <f>'לקוחות לפי סוכן - מקור'!D144</f>
        <v/>
      </c>
      <c r="G149" s="95">
        <f>'לקוחות לפי סוכן - מקור'!H144</f>
        <v/>
      </c>
      <c r="H149" s="95">
        <f>'לקוחות לפי סוכן - מקור'!I144</f>
        <v/>
      </c>
      <c r="I149" s="94">
        <f>'לקוחות לפי סוכן - מקור'!K144</f>
        <v/>
      </c>
    </row>
    <row r="150" outlineLevel="1" ht="15" customHeight="1" s="82">
      <c r="A150" s="94">
        <f>'לקוחות לפי סוכן - מקור'!A145</f>
        <v/>
      </c>
      <c r="B150" s="94">
        <f>'לקוחות לפי סוכן - מקור'!C145</f>
        <v/>
      </c>
      <c r="C150" s="126">
        <f>'לקוחות לפי סוכן - מקור'!E145</f>
        <v/>
      </c>
      <c r="D150" s="102">
        <f>'לקוחות לפי סוכן - מקור'!F145</f>
        <v/>
      </c>
      <c r="E150" s="102">
        <f>'לקוחות לפי סוכן - מקור'!G145</f>
        <v/>
      </c>
      <c r="F150" s="94">
        <f>'לקוחות לפי סוכן - מקור'!D145</f>
        <v/>
      </c>
      <c r="G150" s="95">
        <f>'לקוחות לפי סוכן - מקור'!H145</f>
        <v/>
      </c>
      <c r="H150" s="95">
        <f>'לקוחות לפי סוכן - מקור'!I145</f>
        <v/>
      </c>
      <c r="I150" s="94">
        <f>'לקוחות לפי סוכן - מקור'!K145</f>
        <v/>
      </c>
    </row>
    <row r="151" outlineLevel="1" ht="15" customHeight="1" s="82">
      <c r="A151" s="94">
        <f>'לקוחות לפי סוכן - מקור'!A146</f>
        <v/>
      </c>
      <c r="B151" s="94">
        <f>'לקוחות לפי סוכן - מקור'!C146</f>
        <v/>
      </c>
      <c r="C151" s="126">
        <f>'לקוחות לפי סוכן - מקור'!E146</f>
        <v/>
      </c>
      <c r="D151" s="102">
        <f>'לקוחות לפי סוכן - מקור'!F146</f>
        <v/>
      </c>
      <c r="E151" s="102">
        <f>'לקוחות לפי סוכן - מקור'!G146</f>
        <v/>
      </c>
      <c r="F151" s="94">
        <f>'לקוחות לפי סוכן - מקור'!D146</f>
        <v/>
      </c>
      <c r="G151" s="95">
        <f>'לקוחות לפי סוכן - מקור'!H146</f>
        <v/>
      </c>
      <c r="H151" s="95">
        <f>'לקוחות לפי סוכן - מקור'!I146</f>
        <v/>
      </c>
      <c r="I151" s="94">
        <f>'לקוחות לפי סוכן - מקור'!K146</f>
        <v/>
      </c>
    </row>
    <row r="152" outlineLevel="1" ht="15" customHeight="1" s="82">
      <c r="A152" s="94">
        <f>'לקוחות לפי סוכן - מקור'!A147</f>
        <v/>
      </c>
      <c r="B152" s="94">
        <f>'לקוחות לפי סוכן - מקור'!C147</f>
        <v/>
      </c>
      <c r="C152" s="126">
        <f>'לקוחות לפי סוכן - מקור'!E147</f>
        <v/>
      </c>
      <c r="D152" s="102">
        <f>'לקוחות לפי סוכן - מקור'!F147</f>
        <v/>
      </c>
      <c r="E152" s="102">
        <f>'לקוחות לפי סוכן - מקור'!G147</f>
        <v/>
      </c>
      <c r="F152" s="94">
        <f>'לקוחות לפי סוכן - מקור'!D147</f>
        <v/>
      </c>
      <c r="G152" s="95">
        <f>'לקוחות לפי סוכן - מקור'!H147</f>
        <v/>
      </c>
      <c r="H152" s="95">
        <f>'לקוחות לפי סוכן - מקור'!I147</f>
        <v/>
      </c>
      <c r="I152" s="94">
        <f>'לקוחות לפי סוכן - מקור'!K147</f>
        <v/>
      </c>
    </row>
    <row r="153" outlineLevel="1" ht="15" customHeight="1" s="82">
      <c r="A153" s="94">
        <f>'לקוחות לפי סוכן - מקור'!A148</f>
        <v/>
      </c>
      <c r="B153" s="94">
        <f>'לקוחות לפי סוכן - מקור'!C148</f>
        <v/>
      </c>
      <c r="C153" s="126">
        <f>'לקוחות לפי סוכן - מקור'!E148</f>
        <v/>
      </c>
      <c r="D153" s="102">
        <f>'לקוחות לפי סוכן - מקור'!F148</f>
        <v/>
      </c>
      <c r="E153" s="102">
        <f>'לקוחות לפי סוכן - מקור'!G148</f>
        <v/>
      </c>
      <c r="F153" s="94">
        <f>'לקוחות לפי סוכן - מקור'!D148</f>
        <v/>
      </c>
      <c r="G153" s="95">
        <f>'לקוחות לפי סוכן - מקור'!H148</f>
        <v/>
      </c>
      <c r="H153" s="95">
        <f>'לקוחות לפי סוכן - מקור'!I148</f>
        <v/>
      </c>
      <c r="I153" s="94">
        <f>'לקוחות לפי סוכן - מקור'!K148</f>
        <v/>
      </c>
    </row>
    <row r="154" outlineLevel="1" ht="15" customHeight="1" s="82">
      <c r="A154" s="94">
        <f>'לקוחות לפי סוכן - מקור'!A149</f>
        <v/>
      </c>
      <c r="B154" s="94">
        <f>'לקוחות לפי סוכן - מקור'!C149</f>
        <v/>
      </c>
      <c r="C154" s="126">
        <f>'לקוחות לפי סוכן - מקור'!E149</f>
        <v/>
      </c>
      <c r="D154" s="102">
        <f>'לקוחות לפי סוכן - מקור'!F149</f>
        <v/>
      </c>
      <c r="E154" s="102">
        <f>'לקוחות לפי סוכן - מקור'!G149</f>
        <v/>
      </c>
      <c r="F154" s="94">
        <f>'לקוחות לפי סוכן - מקור'!D149</f>
        <v/>
      </c>
      <c r="G154" s="95">
        <f>'לקוחות לפי סוכן - מקור'!H149</f>
        <v/>
      </c>
      <c r="H154" s="95">
        <f>'לקוחות לפי סוכן - מקור'!I149</f>
        <v/>
      </c>
      <c r="I154" s="94">
        <f>'לקוחות לפי סוכן - מקור'!K149</f>
        <v/>
      </c>
    </row>
    <row r="155" outlineLevel="1" ht="15" customHeight="1" s="82">
      <c r="A155" s="94">
        <f>'לקוחות לפי סוכן - מקור'!A150</f>
        <v/>
      </c>
      <c r="B155" s="94">
        <f>'לקוחות לפי סוכן - מקור'!C150</f>
        <v/>
      </c>
      <c r="C155" s="126">
        <f>'לקוחות לפי סוכן - מקור'!E150</f>
        <v/>
      </c>
      <c r="D155" s="102">
        <f>'לקוחות לפי סוכן - מקור'!F150</f>
        <v/>
      </c>
      <c r="E155" s="102">
        <f>'לקוחות לפי סוכן - מקור'!G150</f>
        <v/>
      </c>
      <c r="F155" s="94">
        <f>'לקוחות לפי סוכן - מקור'!D150</f>
        <v/>
      </c>
      <c r="G155" s="95">
        <f>'לקוחות לפי סוכן - מקור'!H150</f>
        <v/>
      </c>
      <c r="H155" s="95">
        <f>'לקוחות לפי סוכן - מקור'!I150</f>
        <v/>
      </c>
      <c r="I155" s="94">
        <f>'לקוחות לפי סוכן - מקור'!K150</f>
        <v/>
      </c>
    </row>
    <row r="156" outlineLevel="1" ht="15" customHeight="1" s="82">
      <c r="A156" s="94">
        <f>'לקוחות לפי סוכן - מקור'!A151</f>
        <v/>
      </c>
      <c r="B156" s="94">
        <f>'לקוחות לפי סוכן - מקור'!C151</f>
        <v/>
      </c>
      <c r="C156" s="126">
        <f>'לקוחות לפי סוכן - מקור'!E151</f>
        <v/>
      </c>
      <c r="D156" s="102">
        <f>'לקוחות לפי סוכן - מקור'!F151</f>
        <v/>
      </c>
      <c r="E156" s="102">
        <f>'לקוחות לפי סוכן - מקור'!G151</f>
        <v/>
      </c>
      <c r="F156" s="94">
        <f>'לקוחות לפי סוכן - מקור'!D151</f>
        <v/>
      </c>
      <c r="G156" s="95">
        <f>'לקוחות לפי סוכן - מקור'!H151</f>
        <v/>
      </c>
      <c r="H156" s="95">
        <f>'לקוחות לפי סוכן - מקור'!I151</f>
        <v/>
      </c>
      <c r="I156" s="94">
        <f>'לקוחות לפי סוכן - מקור'!K151</f>
        <v/>
      </c>
    </row>
    <row r="157" outlineLevel="1" ht="15" customHeight="1" s="82">
      <c r="A157" s="94">
        <f>'לקוחות לפי סוכן - מקור'!A152</f>
        <v/>
      </c>
      <c r="B157" s="94">
        <f>'לקוחות לפי סוכן - מקור'!C152</f>
        <v/>
      </c>
      <c r="C157" s="126">
        <f>'לקוחות לפי סוכן - מקור'!E152</f>
        <v/>
      </c>
      <c r="D157" s="102">
        <f>'לקוחות לפי סוכן - מקור'!F152</f>
        <v/>
      </c>
      <c r="E157" s="102">
        <f>'לקוחות לפי סוכן - מקור'!G152</f>
        <v/>
      </c>
      <c r="F157" s="94">
        <f>'לקוחות לפי סוכן - מקור'!D152</f>
        <v/>
      </c>
      <c r="G157" s="95">
        <f>'לקוחות לפי סוכן - מקור'!H152</f>
        <v/>
      </c>
      <c r="H157" s="95">
        <f>'לקוחות לפי סוכן - מקור'!I152</f>
        <v/>
      </c>
      <c r="I157" s="94">
        <f>'לקוחות לפי סוכן - מקור'!K152</f>
        <v/>
      </c>
    </row>
    <row r="158" outlineLevel="1" ht="15" customHeight="1" s="82">
      <c r="A158" s="94">
        <f>'לקוחות לפי סוכן - מקור'!A153</f>
        <v/>
      </c>
      <c r="B158" s="94">
        <f>'לקוחות לפי סוכן - מקור'!C153</f>
        <v/>
      </c>
      <c r="C158" s="126">
        <f>'לקוחות לפי סוכן - מקור'!E153</f>
        <v/>
      </c>
      <c r="D158" s="102">
        <f>'לקוחות לפי סוכן - מקור'!F153</f>
        <v/>
      </c>
      <c r="E158" s="102">
        <f>'לקוחות לפי סוכן - מקור'!G153</f>
        <v/>
      </c>
      <c r="F158" s="94">
        <f>'לקוחות לפי סוכן - מקור'!D153</f>
        <v/>
      </c>
      <c r="G158" s="95">
        <f>'לקוחות לפי סוכן - מקור'!H153</f>
        <v/>
      </c>
      <c r="H158" s="95">
        <f>'לקוחות לפי סוכן - מקור'!I153</f>
        <v/>
      </c>
      <c r="I158" s="94">
        <f>'לקוחות לפי סוכן - מקור'!K153</f>
        <v/>
      </c>
    </row>
    <row r="159" outlineLevel="1" ht="15" customHeight="1" s="82">
      <c r="A159" s="94">
        <f>'לקוחות לפי סוכן - מקור'!A154</f>
        <v/>
      </c>
      <c r="B159" s="94">
        <f>'לקוחות לפי סוכן - מקור'!C154</f>
        <v/>
      </c>
      <c r="C159" s="126">
        <f>'לקוחות לפי סוכן - מקור'!E154</f>
        <v/>
      </c>
      <c r="D159" s="102">
        <f>'לקוחות לפי סוכן - מקור'!F154</f>
        <v/>
      </c>
      <c r="E159" s="102">
        <f>'לקוחות לפי סוכן - מקור'!G154</f>
        <v/>
      </c>
      <c r="F159" s="94">
        <f>'לקוחות לפי סוכן - מקור'!D154</f>
        <v/>
      </c>
      <c r="G159" s="95">
        <f>'לקוחות לפי סוכן - מקור'!H154</f>
        <v/>
      </c>
      <c r="H159" s="95">
        <f>'לקוחות לפי סוכן - מקור'!I154</f>
        <v/>
      </c>
      <c r="I159" s="94">
        <f>'לקוחות לפי סוכן - מקור'!K154</f>
        <v/>
      </c>
    </row>
    <row r="160" outlineLevel="1" ht="15" customHeight="1" s="82">
      <c r="A160" s="94">
        <f>'לקוחות לפי סוכן - מקור'!A155</f>
        <v/>
      </c>
      <c r="B160" s="94">
        <f>'לקוחות לפי סוכן - מקור'!C155</f>
        <v/>
      </c>
      <c r="C160" s="126">
        <f>'לקוחות לפי סוכן - מקור'!E155</f>
        <v/>
      </c>
      <c r="D160" s="102">
        <f>'לקוחות לפי סוכן - מקור'!F155</f>
        <v/>
      </c>
      <c r="E160" s="102">
        <f>'לקוחות לפי סוכן - מקור'!G155</f>
        <v/>
      </c>
      <c r="F160" s="94">
        <f>'לקוחות לפי סוכן - מקור'!D155</f>
        <v/>
      </c>
      <c r="G160" s="95">
        <f>'לקוחות לפי סוכן - מקור'!H155</f>
        <v/>
      </c>
      <c r="H160" s="95">
        <f>'לקוחות לפי סוכן - מקור'!I155</f>
        <v/>
      </c>
      <c r="I160" s="94">
        <f>'לקוחות לפי סוכן - מקור'!K155</f>
        <v/>
      </c>
    </row>
    <row r="161" outlineLevel="1" ht="15" customHeight="1" s="82">
      <c r="A161" s="94">
        <f>'לקוחות לפי סוכן - מקור'!A156</f>
        <v/>
      </c>
      <c r="B161" s="94">
        <f>'לקוחות לפי סוכן - מקור'!C156</f>
        <v/>
      </c>
      <c r="C161" s="126">
        <f>'לקוחות לפי סוכן - מקור'!E156</f>
        <v/>
      </c>
      <c r="D161" s="102">
        <f>'לקוחות לפי סוכן - מקור'!F156</f>
        <v/>
      </c>
      <c r="E161" s="102">
        <f>'לקוחות לפי סוכן - מקור'!G156</f>
        <v/>
      </c>
      <c r="F161" s="94">
        <f>'לקוחות לפי סוכן - מקור'!D156</f>
        <v/>
      </c>
      <c r="G161" s="95">
        <f>'לקוחות לפי סוכן - מקור'!H156</f>
        <v/>
      </c>
      <c r="H161" s="95">
        <f>'לקוחות לפי סוכן - מקור'!I156</f>
        <v/>
      </c>
      <c r="I161" s="94">
        <f>'לקוחות לפי סוכן - מקור'!K156</f>
        <v/>
      </c>
    </row>
    <row r="162" outlineLevel="1" ht="15" customHeight="1" s="82">
      <c r="A162" s="94">
        <f>'לקוחות לפי סוכן - מקור'!A157</f>
        <v/>
      </c>
      <c r="B162" s="94">
        <f>'לקוחות לפי סוכן - מקור'!C157</f>
        <v/>
      </c>
      <c r="C162" s="126">
        <f>'לקוחות לפי סוכן - מקור'!E157</f>
        <v/>
      </c>
      <c r="D162" s="102">
        <f>'לקוחות לפי סוכן - מקור'!F157</f>
        <v/>
      </c>
      <c r="E162" s="102">
        <f>'לקוחות לפי סוכן - מקור'!G157</f>
        <v/>
      </c>
      <c r="F162" s="94">
        <f>'לקוחות לפי סוכן - מקור'!D157</f>
        <v/>
      </c>
      <c r="G162" s="95">
        <f>'לקוחות לפי סוכן - מקור'!H157</f>
        <v/>
      </c>
      <c r="H162" s="95">
        <f>'לקוחות לפי סוכן - מקור'!I157</f>
        <v/>
      </c>
      <c r="I162" s="94">
        <f>'לקוחות לפי סוכן - מקור'!K157</f>
        <v/>
      </c>
    </row>
    <row r="163" outlineLevel="1" ht="15" customHeight="1" s="82">
      <c r="A163" s="94">
        <f>'לקוחות לפי סוכן - מקור'!A158</f>
        <v/>
      </c>
      <c r="B163" s="94">
        <f>'לקוחות לפי סוכן - מקור'!C158</f>
        <v/>
      </c>
      <c r="C163" s="126">
        <f>'לקוחות לפי סוכן - מקור'!E158</f>
        <v/>
      </c>
      <c r="D163" s="102">
        <f>'לקוחות לפי סוכן - מקור'!F158</f>
        <v/>
      </c>
      <c r="E163" s="102">
        <f>'לקוחות לפי סוכן - מקור'!G158</f>
        <v/>
      </c>
      <c r="F163" s="94">
        <f>'לקוחות לפי סוכן - מקור'!D158</f>
        <v/>
      </c>
      <c r="G163" s="95">
        <f>'לקוחות לפי סוכן - מקור'!H158</f>
        <v/>
      </c>
      <c r="H163" s="95">
        <f>'לקוחות לפי סוכן - מקור'!I158</f>
        <v/>
      </c>
      <c r="I163" s="94">
        <f>'לקוחות לפי סוכן - מקור'!K158</f>
        <v/>
      </c>
    </row>
    <row r="164" outlineLevel="1" ht="15" customHeight="1" s="82">
      <c r="A164" s="94">
        <f>'לקוחות לפי סוכן - מקור'!A159</f>
        <v/>
      </c>
      <c r="B164" s="94">
        <f>'לקוחות לפי סוכן - מקור'!C159</f>
        <v/>
      </c>
      <c r="C164" s="126">
        <f>'לקוחות לפי סוכן - מקור'!E159</f>
        <v/>
      </c>
      <c r="D164" s="102">
        <f>'לקוחות לפי סוכן - מקור'!F159</f>
        <v/>
      </c>
      <c r="E164" s="102">
        <f>'לקוחות לפי סוכן - מקור'!G159</f>
        <v/>
      </c>
      <c r="F164" s="94">
        <f>'לקוחות לפי סוכן - מקור'!D159</f>
        <v/>
      </c>
      <c r="G164" s="95">
        <f>'לקוחות לפי סוכן - מקור'!H159</f>
        <v/>
      </c>
      <c r="H164" s="95">
        <f>'לקוחות לפי סוכן - מקור'!I159</f>
        <v/>
      </c>
      <c r="I164" s="94">
        <f>'לקוחות לפי סוכן - מקור'!K159</f>
        <v/>
      </c>
    </row>
    <row r="165" outlineLevel="1" ht="15" customHeight="1" s="82">
      <c r="A165" s="94">
        <f>'לקוחות לפי סוכן - מקור'!A160</f>
        <v/>
      </c>
      <c r="B165" s="94">
        <f>'לקוחות לפי סוכן - מקור'!C160</f>
        <v/>
      </c>
      <c r="C165" s="126">
        <f>'לקוחות לפי סוכן - מקור'!E160</f>
        <v/>
      </c>
      <c r="D165" s="102">
        <f>'לקוחות לפי סוכן - מקור'!F160</f>
        <v/>
      </c>
      <c r="E165" s="102">
        <f>'לקוחות לפי סוכן - מקור'!G160</f>
        <v/>
      </c>
      <c r="F165" s="94">
        <f>'לקוחות לפי סוכן - מקור'!D160</f>
        <v/>
      </c>
      <c r="G165" s="95">
        <f>'לקוחות לפי סוכן - מקור'!H160</f>
        <v/>
      </c>
      <c r="H165" s="95">
        <f>'לקוחות לפי סוכן - מקור'!I160</f>
        <v/>
      </c>
      <c r="I165" s="94">
        <f>'לקוחות לפי סוכן - מקור'!K160</f>
        <v/>
      </c>
    </row>
    <row r="166" outlineLevel="1" ht="15" customHeight="1" s="82">
      <c r="A166" s="94">
        <f>'לקוחות לפי סוכן - מקור'!A161</f>
        <v/>
      </c>
      <c r="B166" s="94">
        <f>'לקוחות לפי סוכן - מקור'!C161</f>
        <v/>
      </c>
      <c r="C166" s="126">
        <f>'לקוחות לפי סוכן - מקור'!E161</f>
        <v/>
      </c>
      <c r="D166" s="102">
        <f>'לקוחות לפי סוכן - מקור'!F161</f>
        <v/>
      </c>
      <c r="E166" s="102">
        <f>'לקוחות לפי סוכן - מקור'!G161</f>
        <v/>
      </c>
      <c r="F166" s="94">
        <f>'לקוחות לפי סוכן - מקור'!D161</f>
        <v/>
      </c>
      <c r="G166" s="95">
        <f>'לקוחות לפי סוכן - מקור'!H161</f>
        <v/>
      </c>
      <c r="H166" s="95">
        <f>'לקוחות לפי סוכן - מקור'!I161</f>
        <v/>
      </c>
      <c r="I166" s="94">
        <f>'לקוחות לפי סוכן - מקור'!K161</f>
        <v/>
      </c>
    </row>
    <row r="167" outlineLevel="1" ht="15" customHeight="1" s="82">
      <c r="A167" s="94">
        <f>'לקוחות לפי סוכן - מקור'!A162</f>
        <v/>
      </c>
      <c r="B167" s="94">
        <f>'לקוחות לפי סוכן - מקור'!C162</f>
        <v/>
      </c>
      <c r="C167" s="126">
        <f>'לקוחות לפי סוכן - מקור'!E162</f>
        <v/>
      </c>
      <c r="D167" s="102">
        <f>'לקוחות לפי סוכן - מקור'!F162</f>
        <v/>
      </c>
      <c r="E167" s="102">
        <f>'לקוחות לפי סוכן - מקור'!G162</f>
        <v/>
      </c>
      <c r="F167" s="94">
        <f>'לקוחות לפי סוכן - מקור'!D162</f>
        <v/>
      </c>
      <c r="G167" s="95">
        <f>'לקוחות לפי סוכן - מקור'!H162</f>
        <v/>
      </c>
      <c r="H167" s="95">
        <f>'לקוחות לפי סוכן - מקור'!I162</f>
        <v/>
      </c>
      <c r="I167" s="94">
        <f>'לקוחות לפי סוכן - מקור'!K162</f>
        <v/>
      </c>
    </row>
    <row r="168" outlineLevel="1" ht="15" customHeight="1" s="82">
      <c r="A168" s="94">
        <f>'לקוחות לפי סוכן - מקור'!A164</f>
        <v/>
      </c>
      <c r="B168" s="94">
        <f>'לקוחות לפי סוכן - מקור'!C164</f>
        <v/>
      </c>
      <c r="C168" s="126">
        <f>'לקוחות לפי סוכן - מקור'!E164</f>
        <v/>
      </c>
      <c r="D168" s="102">
        <f>'לקוחות לפי סוכן - מקור'!F164</f>
        <v/>
      </c>
      <c r="E168" s="102">
        <f>'לקוחות לפי סוכן - מקור'!G164</f>
        <v/>
      </c>
      <c r="F168" s="94">
        <f>'לקוחות לפי סוכן - מקור'!D164</f>
        <v/>
      </c>
      <c r="G168" s="95">
        <f>'לקוחות לפי סוכן - מקור'!H164</f>
        <v/>
      </c>
      <c r="H168" s="95">
        <f>'לקוחות לפי סוכן - מקור'!I164</f>
        <v/>
      </c>
      <c r="I168" s="94">
        <f>'לקוחות לפי סוכן - מקור'!K164</f>
        <v/>
      </c>
    </row>
    <row r="169" outlineLevel="1" ht="15" customHeight="1" s="82">
      <c r="A169" s="94">
        <f>'לקוחות לפי סוכן - מקור'!A165</f>
        <v/>
      </c>
      <c r="B169" s="94">
        <f>'לקוחות לפי סוכן - מקור'!C165</f>
        <v/>
      </c>
      <c r="C169" s="126">
        <f>'לקוחות לפי סוכן - מקור'!E165</f>
        <v/>
      </c>
      <c r="D169" s="102">
        <f>'לקוחות לפי סוכן - מקור'!F165</f>
        <v/>
      </c>
      <c r="E169" s="102">
        <f>'לקוחות לפי סוכן - מקור'!G165</f>
        <v/>
      </c>
      <c r="F169" s="94">
        <f>'לקוחות לפי סוכן - מקור'!D165</f>
        <v/>
      </c>
      <c r="G169" s="95">
        <f>'לקוחות לפי סוכן - מקור'!H165</f>
        <v/>
      </c>
      <c r="H169" s="95">
        <f>'לקוחות לפי סוכן - מקור'!I165</f>
        <v/>
      </c>
      <c r="I169" s="94">
        <f>'לקוחות לפי סוכן - מקור'!K165</f>
        <v/>
      </c>
    </row>
    <row r="170" outlineLevel="1" ht="15" customHeight="1" s="82">
      <c r="A170" s="94">
        <f>'לקוחות לפי סוכן - מקור'!A166</f>
        <v/>
      </c>
      <c r="B170" s="94">
        <f>'לקוחות לפי סוכן - מקור'!C166</f>
        <v/>
      </c>
      <c r="C170" s="126">
        <f>'לקוחות לפי סוכן - מקור'!E166</f>
        <v/>
      </c>
      <c r="D170" s="102">
        <f>'לקוחות לפי סוכן - מקור'!F166</f>
        <v/>
      </c>
      <c r="E170" s="102">
        <f>'לקוחות לפי סוכן - מקור'!G166</f>
        <v/>
      </c>
      <c r="F170" s="94">
        <f>'לקוחות לפי סוכן - מקור'!D166</f>
        <v/>
      </c>
      <c r="G170" s="95">
        <f>'לקוחות לפי סוכן - מקור'!H166</f>
        <v/>
      </c>
      <c r="H170" s="95">
        <f>'לקוחות לפי סוכן - מקור'!I166</f>
        <v/>
      </c>
      <c r="I170" s="94">
        <f>'לקוחות לפי סוכן - מקור'!K166</f>
        <v/>
      </c>
    </row>
    <row r="171" outlineLevel="1" ht="15" customHeight="1" s="82">
      <c r="A171" s="94">
        <f>'לקוחות לפי סוכן - מקור'!A167</f>
        <v/>
      </c>
      <c r="B171" s="94">
        <f>'לקוחות לפי סוכן - מקור'!C167</f>
        <v/>
      </c>
      <c r="C171" s="126">
        <f>'לקוחות לפי סוכן - מקור'!E167</f>
        <v/>
      </c>
      <c r="D171" s="102">
        <f>'לקוחות לפי סוכן - מקור'!F167</f>
        <v/>
      </c>
      <c r="E171" s="102">
        <f>'לקוחות לפי סוכן - מקור'!G167</f>
        <v/>
      </c>
      <c r="F171" s="94">
        <f>'לקוחות לפי סוכן - מקור'!D167</f>
        <v/>
      </c>
      <c r="G171" s="95">
        <f>'לקוחות לפי סוכן - מקור'!H167</f>
        <v/>
      </c>
      <c r="H171" s="95">
        <f>'לקוחות לפי סוכן - מקור'!I167</f>
        <v/>
      </c>
      <c r="I171" s="94">
        <f>'לקוחות לפי סוכן - מקור'!K167</f>
        <v/>
      </c>
    </row>
    <row r="172" outlineLevel="1" ht="15" customHeight="1" s="82">
      <c r="A172" s="94">
        <f>'לקוחות לפי סוכן - מקור'!A168</f>
        <v/>
      </c>
      <c r="B172" s="94">
        <f>'לקוחות לפי סוכן - מקור'!C168</f>
        <v/>
      </c>
      <c r="C172" s="126">
        <f>'לקוחות לפי סוכן - מקור'!E168</f>
        <v/>
      </c>
      <c r="D172" s="102">
        <f>'לקוחות לפי סוכן - מקור'!F168</f>
        <v/>
      </c>
      <c r="E172" s="102">
        <f>'לקוחות לפי סוכן - מקור'!G168</f>
        <v/>
      </c>
      <c r="F172" s="94">
        <f>'לקוחות לפי סוכן - מקור'!D168</f>
        <v/>
      </c>
      <c r="G172" s="95">
        <f>'לקוחות לפי סוכן - מקור'!H168</f>
        <v/>
      </c>
      <c r="H172" s="95">
        <f>'לקוחות לפי סוכן - מקור'!I168</f>
        <v/>
      </c>
      <c r="I172" s="94">
        <f>'לקוחות לפי סוכן - מקור'!K168</f>
        <v/>
      </c>
    </row>
    <row r="173" outlineLevel="1" ht="15" customHeight="1" s="82">
      <c r="A173" s="94">
        <f>'לקוחות לפי סוכן - מקור'!A169</f>
        <v/>
      </c>
      <c r="B173" s="94">
        <f>'לקוחות לפי סוכן - מקור'!C169</f>
        <v/>
      </c>
      <c r="C173" s="126">
        <f>'לקוחות לפי סוכן - מקור'!E169</f>
        <v/>
      </c>
      <c r="D173" s="102">
        <f>'לקוחות לפי סוכן - מקור'!F169</f>
        <v/>
      </c>
      <c r="E173" s="102">
        <f>'לקוחות לפי סוכן - מקור'!G169</f>
        <v/>
      </c>
      <c r="F173" s="94">
        <f>'לקוחות לפי סוכן - מקור'!D169</f>
        <v/>
      </c>
      <c r="G173" s="95">
        <f>'לקוחות לפי סוכן - מקור'!H169</f>
        <v/>
      </c>
      <c r="H173" s="95">
        <f>'לקוחות לפי סוכן - מקור'!I169</f>
        <v/>
      </c>
      <c r="I173" s="94">
        <f>'לקוחות לפי סוכן - מקור'!K169</f>
        <v/>
      </c>
    </row>
    <row r="174" outlineLevel="1" ht="15" customHeight="1" s="82">
      <c r="A174" s="94">
        <f>'לקוחות לפי סוכן - מקור'!A170</f>
        <v/>
      </c>
      <c r="B174" s="94">
        <f>'לקוחות לפי סוכן - מקור'!C170</f>
        <v/>
      </c>
      <c r="C174" s="126">
        <f>'לקוחות לפי סוכן - מקור'!E170</f>
        <v/>
      </c>
      <c r="D174" s="102">
        <f>'לקוחות לפי סוכן - מקור'!F170</f>
        <v/>
      </c>
      <c r="E174" s="102">
        <f>'לקוחות לפי סוכן - מקור'!G170</f>
        <v/>
      </c>
      <c r="F174" s="94">
        <f>'לקוחות לפי סוכן - מקור'!D170</f>
        <v/>
      </c>
      <c r="G174" s="95">
        <f>'לקוחות לפי סוכן - מקור'!H170</f>
        <v/>
      </c>
      <c r="H174" s="95">
        <f>'לקוחות לפי סוכן - מקור'!I170</f>
        <v/>
      </c>
      <c r="I174" s="94">
        <f>'לקוחות לפי סוכן - מקור'!K170</f>
        <v/>
      </c>
    </row>
    <row r="175" outlineLevel="1" ht="15" customHeight="1" s="82">
      <c r="A175" s="94">
        <f>'לקוחות לפי סוכן - מקור'!A171</f>
        <v/>
      </c>
      <c r="B175" s="94">
        <f>'לקוחות לפי סוכן - מקור'!C171</f>
        <v/>
      </c>
      <c r="C175" s="126">
        <f>'לקוחות לפי סוכן - מקור'!E171</f>
        <v/>
      </c>
      <c r="D175" s="102">
        <f>'לקוחות לפי סוכן - מקור'!F171</f>
        <v/>
      </c>
      <c r="E175" s="102">
        <f>'לקוחות לפי סוכן - מקור'!G171</f>
        <v/>
      </c>
      <c r="F175" s="94">
        <f>'לקוחות לפי סוכן - מקור'!D171</f>
        <v/>
      </c>
      <c r="G175" s="95">
        <f>'לקוחות לפי סוכן - מקור'!H171</f>
        <v/>
      </c>
      <c r="H175" s="95">
        <f>'לקוחות לפי סוכן - מקור'!I171</f>
        <v/>
      </c>
      <c r="I175" s="94">
        <f>'לקוחות לפי סוכן - מקור'!K171</f>
        <v/>
      </c>
    </row>
    <row r="176" outlineLevel="1" ht="15" customHeight="1" s="82">
      <c r="A176" s="94">
        <f>'לקוחות לפי סוכן - מקור'!A172</f>
        <v/>
      </c>
      <c r="B176" s="94">
        <f>'לקוחות לפי סוכן - מקור'!C172</f>
        <v/>
      </c>
      <c r="C176" s="126">
        <f>'לקוחות לפי סוכן - מקור'!E172</f>
        <v/>
      </c>
      <c r="D176" s="102">
        <f>'לקוחות לפי סוכן - מקור'!F172</f>
        <v/>
      </c>
      <c r="E176" s="102">
        <f>'לקוחות לפי סוכן - מקור'!G172</f>
        <v/>
      </c>
      <c r="F176" s="94">
        <f>'לקוחות לפי סוכן - מקור'!D172</f>
        <v/>
      </c>
      <c r="G176" s="95">
        <f>'לקוחות לפי סוכן - מקור'!H172</f>
        <v/>
      </c>
      <c r="H176" s="95">
        <f>'לקוחות לפי סוכן - מקור'!I172</f>
        <v/>
      </c>
      <c r="I176" s="94">
        <f>'לקוחות לפי סוכן - מקור'!K172</f>
        <v/>
      </c>
    </row>
    <row r="177" outlineLevel="1" ht="15" customHeight="1" s="82">
      <c r="A177" s="94">
        <f>'לקוחות לפי סוכן - מקור'!A173</f>
        <v/>
      </c>
      <c r="B177" s="94">
        <f>'לקוחות לפי סוכן - מקור'!C173</f>
        <v/>
      </c>
      <c r="C177" s="126">
        <f>'לקוחות לפי סוכן - מקור'!E173</f>
        <v/>
      </c>
      <c r="D177" s="102">
        <f>'לקוחות לפי סוכן - מקור'!F173</f>
        <v/>
      </c>
      <c r="E177" s="102">
        <f>'לקוחות לפי סוכן - מקור'!G173</f>
        <v/>
      </c>
      <c r="F177" s="94">
        <f>'לקוחות לפי סוכן - מקור'!D173</f>
        <v/>
      </c>
      <c r="G177" s="95">
        <f>'לקוחות לפי סוכן - מקור'!H173</f>
        <v/>
      </c>
      <c r="H177" s="95">
        <f>'לקוחות לפי סוכן - מקור'!I173</f>
        <v/>
      </c>
      <c r="I177" s="94">
        <f>'לקוחות לפי סוכן - מקור'!K173</f>
        <v/>
      </c>
    </row>
    <row r="178" outlineLevel="1" ht="15" customHeight="1" s="82">
      <c r="A178" s="94">
        <f>'לקוחות לפי סוכן - מקור'!A174</f>
        <v/>
      </c>
      <c r="B178" s="94">
        <f>'לקוחות לפי סוכן - מקור'!C174</f>
        <v/>
      </c>
      <c r="C178" s="126">
        <f>'לקוחות לפי סוכן - מקור'!E174</f>
        <v/>
      </c>
      <c r="D178" s="102">
        <f>'לקוחות לפי סוכן - מקור'!F174</f>
        <v/>
      </c>
      <c r="E178" s="102">
        <f>'לקוחות לפי סוכן - מקור'!G174</f>
        <v/>
      </c>
      <c r="F178" s="94">
        <f>'לקוחות לפי סוכן - מקור'!D174</f>
        <v/>
      </c>
      <c r="G178" s="95">
        <f>'לקוחות לפי סוכן - מקור'!H174</f>
        <v/>
      </c>
      <c r="H178" s="95">
        <f>'לקוחות לפי סוכן - מקור'!I174</f>
        <v/>
      </c>
      <c r="I178" s="94">
        <f>'לקוחות לפי סוכן - מקור'!K174</f>
        <v/>
      </c>
    </row>
    <row r="179" outlineLevel="1" ht="15" customHeight="1" s="82">
      <c r="A179" s="94">
        <f>'לקוחות לפי סוכן - מקור'!A175</f>
        <v/>
      </c>
      <c r="B179" s="94">
        <f>'לקוחות לפי סוכן - מקור'!C175</f>
        <v/>
      </c>
      <c r="C179" s="126">
        <f>'לקוחות לפי סוכן - מקור'!E175</f>
        <v/>
      </c>
      <c r="D179" s="102">
        <f>'לקוחות לפי סוכן - מקור'!F175</f>
        <v/>
      </c>
      <c r="E179" s="102">
        <f>'לקוחות לפי סוכן - מקור'!G175</f>
        <v/>
      </c>
      <c r="F179" s="94">
        <f>'לקוחות לפי סוכן - מקור'!D175</f>
        <v/>
      </c>
      <c r="G179" s="95">
        <f>'לקוחות לפי סוכן - מקור'!H175</f>
        <v/>
      </c>
      <c r="H179" s="95">
        <f>'לקוחות לפי סוכן - מקור'!I175</f>
        <v/>
      </c>
      <c r="I179" s="94">
        <f>'לקוחות לפי סוכן - מקור'!K175</f>
        <v/>
      </c>
    </row>
    <row r="180" outlineLevel="1" ht="15" customHeight="1" s="82">
      <c r="A180" s="94">
        <f>'לקוחות לפי סוכן - מקור'!A176</f>
        <v/>
      </c>
      <c r="B180" s="94">
        <f>'לקוחות לפי סוכן - מקור'!C176</f>
        <v/>
      </c>
      <c r="C180" s="126">
        <f>'לקוחות לפי סוכן - מקור'!E176</f>
        <v/>
      </c>
      <c r="D180" s="102">
        <f>'לקוחות לפי סוכן - מקור'!F176</f>
        <v/>
      </c>
      <c r="E180" s="102">
        <f>'לקוחות לפי סוכן - מקור'!G176</f>
        <v/>
      </c>
      <c r="F180" s="94">
        <f>'לקוחות לפי סוכן - מקור'!D176</f>
        <v/>
      </c>
      <c r="G180" s="95">
        <f>'לקוחות לפי סוכן - מקור'!H176</f>
        <v/>
      </c>
      <c r="H180" s="95">
        <f>'לקוחות לפי סוכן - מקור'!I176</f>
        <v/>
      </c>
      <c r="I180" s="94">
        <f>'לקוחות לפי סוכן - מקור'!K176</f>
        <v/>
      </c>
    </row>
    <row r="181" outlineLevel="1" ht="15" customHeight="1" s="82">
      <c r="A181" s="94">
        <f>'לקוחות לפי סוכן - מקור'!A177</f>
        <v/>
      </c>
      <c r="B181" s="94">
        <f>'לקוחות לפי סוכן - מקור'!C177</f>
        <v/>
      </c>
      <c r="C181" s="126">
        <f>'לקוחות לפי סוכן - מקור'!E177</f>
        <v/>
      </c>
      <c r="D181" s="102">
        <f>'לקוחות לפי סוכן - מקור'!F177</f>
        <v/>
      </c>
      <c r="E181" s="102">
        <f>'לקוחות לפי סוכן - מקור'!G177</f>
        <v/>
      </c>
      <c r="F181" s="94">
        <f>'לקוחות לפי סוכן - מקור'!D177</f>
        <v/>
      </c>
      <c r="G181" s="95">
        <f>'לקוחות לפי סוכן - מקור'!H177</f>
        <v/>
      </c>
      <c r="H181" s="95">
        <f>'לקוחות לפי סוכן - מקור'!I177</f>
        <v/>
      </c>
      <c r="I181" s="94">
        <f>'לקוחות לפי סוכן - מקור'!K177</f>
        <v/>
      </c>
    </row>
    <row r="182" outlineLevel="1" ht="15" customHeight="1" s="82">
      <c r="A182" s="94">
        <f>'לקוחות לפי סוכן - מקור'!A178</f>
        <v/>
      </c>
      <c r="B182" s="94">
        <f>'לקוחות לפי סוכן - מקור'!C178</f>
        <v/>
      </c>
      <c r="C182" s="126">
        <f>'לקוחות לפי סוכן - מקור'!E178</f>
        <v/>
      </c>
      <c r="D182" s="102">
        <f>'לקוחות לפי סוכן - מקור'!F178</f>
        <v/>
      </c>
      <c r="E182" s="102">
        <f>'לקוחות לפי סוכן - מקור'!G178</f>
        <v/>
      </c>
      <c r="F182" s="94">
        <f>'לקוחות לפי סוכן - מקור'!D178</f>
        <v/>
      </c>
      <c r="G182" s="95">
        <f>'לקוחות לפי סוכן - מקור'!H178</f>
        <v/>
      </c>
      <c r="H182" s="95">
        <f>'לקוחות לפי סוכן - מקור'!I178</f>
        <v/>
      </c>
      <c r="I182" s="94">
        <f>'לקוחות לפי סוכן - מקור'!K178</f>
        <v/>
      </c>
    </row>
    <row r="183" outlineLevel="1" ht="15" customHeight="1" s="82">
      <c r="A183" s="94">
        <f>'לקוחות לפי סוכן - מקור'!A179</f>
        <v/>
      </c>
      <c r="B183" s="94">
        <f>'לקוחות לפי סוכן - מקור'!C179</f>
        <v/>
      </c>
      <c r="C183" s="126">
        <f>'לקוחות לפי סוכן - מקור'!E179</f>
        <v/>
      </c>
      <c r="D183" s="102">
        <f>'לקוחות לפי סוכן - מקור'!F179</f>
        <v/>
      </c>
      <c r="E183" s="102">
        <f>'לקוחות לפי סוכן - מקור'!G179</f>
        <v/>
      </c>
      <c r="F183" s="94">
        <f>'לקוחות לפי סוכן - מקור'!D179</f>
        <v/>
      </c>
      <c r="G183" s="95">
        <f>'לקוחות לפי סוכן - מקור'!H179</f>
        <v/>
      </c>
      <c r="H183" s="95">
        <f>'לקוחות לפי סוכן - מקור'!I179</f>
        <v/>
      </c>
      <c r="I183" s="94">
        <f>'לקוחות לפי סוכן - מקור'!K179</f>
        <v/>
      </c>
    </row>
    <row r="184" outlineLevel="1" ht="15" customHeight="1" s="82">
      <c r="A184" s="94">
        <f>'לקוחות לפי סוכן - מקור'!A180</f>
        <v/>
      </c>
      <c r="B184" s="94">
        <f>'לקוחות לפי סוכן - מקור'!C180</f>
        <v/>
      </c>
      <c r="C184" s="126">
        <f>'לקוחות לפי סוכן - מקור'!E180</f>
        <v/>
      </c>
      <c r="D184" s="102">
        <f>'לקוחות לפי סוכן - מקור'!F180</f>
        <v/>
      </c>
      <c r="E184" s="102">
        <f>'לקוחות לפי סוכן - מקור'!G180</f>
        <v/>
      </c>
      <c r="F184" s="94">
        <f>'לקוחות לפי סוכן - מקור'!D180</f>
        <v/>
      </c>
      <c r="G184" s="95">
        <f>'לקוחות לפי סוכן - מקור'!H180</f>
        <v/>
      </c>
      <c r="H184" s="95">
        <f>'לקוחות לפי סוכן - מקור'!I180</f>
        <v/>
      </c>
      <c r="I184" s="94">
        <f>'לקוחות לפי סוכן - מקור'!K180</f>
        <v/>
      </c>
    </row>
    <row r="185" outlineLevel="1" ht="15" customHeight="1" s="82">
      <c r="A185" s="94">
        <f>'לקוחות לפי סוכן - מקור'!A181</f>
        <v/>
      </c>
      <c r="B185" s="94">
        <f>'לקוחות לפי סוכן - מקור'!C181</f>
        <v/>
      </c>
      <c r="C185" s="126">
        <f>'לקוחות לפי סוכן - מקור'!E181</f>
        <v/>
      </c>
      <c r="D185" s="102">
        <f>'לקוחות לפי סוכן - מקור'!F181</f>
        <v/>
      </c>
      <c r="E185" s="102">
        <f>'לקוחות לפי סוכן - מקור'!G181</f>
        <v/>
      </c>
      <c r="F185" s="94">
        <f>'לקוחות לפי סוכן - מקור'!D181</f>
        <v/>
      </c>
      <c r="G185" s="95">
        <f>'לקוחות לפי סוכן - מקור'!H181</f>
        <v/>
      </c>
      <c r="H185" s="95">
        <f>'לקוחות לפי סוכן - מקור'!I181</f>
        <v/>
      </c>
      <c r="I185" s="94">
        <f>'לקוחות לפי סוכן - מקור'!K181</f>
        <v/>
      </c>
    </row>
    <row r="186" outlineLevel="1" ht="15" customHeight="1" s="82">
      <c r="A186" s="94">
        <f>'לקוחות לפי סוכן - מקור'!A182</f>
        <v/>
      </c>
      <c r="B186" s="94">
        <f>'לקוחות לפי סוכן - מקור'!C182</f>
        <v/>
      </c>
      <c r="C186" s="126">
        <f>'לקוחות לפי סוכן - מקור'!E182</f>
        <v/>
      </c>
      <c r="D186" s="102">
        <f>'לקוחות לפי סוכן - מקור'!F182</f>
        <v/>
      </c>
      <c r="E186" s="102">
        <f>'לקוחות לפי סוכן - מקור'!G182</f>
        <v/>
      </c>
      <c r="F186" s="94">
        <f>'לקוחות לפי סוכן - מקור'!D182</f>
        <v/>
      </c>
      <c r="G186" s="95">
        <f>'לקוחות לפי סוכן - מקור'!H182</f>
        <v/>
      </c>
      <c r="H186" s="95">
        <f>'לקוחות לפי סוכן - מקור'!I182</f>
        <v/>
      </c>
      <c r="I186" s="94">
        <f>'לקוחות לפי סוכן - מקור'!K182</f>
        <v/>
      </c>
    </row>
    <row r="187" outlineLevel="1" ht="15" customHeight="1" s="82">
      <c r="A187" s="94">
        <f>'לקוחות לפי סוכן - מקור'!A183</f>
        <v/>
      </c>
      <c r="B187" s="94">
        <f>'לקוחות לפי סוכן - מקור'!C183</f>
        <v/>
      </c>
      <c r="C187" s="126">
        <f>'לקוחות לפי סוכן - מקור'!E183</f>
        <v/>
      </c>
      <c r="D187" s="102">
        <f>'לקוחות לפי סוכן - מקור'!F183</f>
        <v/>
      </c>
      <c r="E187" s="102">
        <f>'לקוחות לפי סוכן - מקור'!G183</f>
        <v/>
      </c>
      <c r="F187" s="94">
        <f>'לקוחות לפי סוכן - מקור'!D183</f>
        <v/>
      </c>
      <c r="G187" s="95">
        <f>'לקוחות לפי סוכן - מקור'!H183</f>
        <v/>
      </c>
      <c r="H187" s="95">
        <f>'לקוחות לפי סוכן - מקור'!I183</f>
        <v/>
      </c>
      <c r="I187" s="94">
        <f>'לקוחות לפי סוכן - מקור'!K183</f>
        <v/>
      </c>
    </row>
    <row r="188" outlineLevel="1" ht="15" customHeight="1" s="82">
      <c r="A188" s="94">
        <f>'לקוחות לפי סוכן - מקור'!A184</f>
        <v/>
      </c>
      <c r="B188" s="94">
        <f>'לקוחות לפי סוכן - מקור'!C184</f>
        <v/>
      </c>
      <c r="C188" s="126">
        <f>'לקוחות לפי סוכן - מקור'!E184</f>
        <v/>
      </c>
      <c r="D188" s="102">
        <f>'לקוחות לפי סוכן - מקור'!F184</f>
        <v/>
      </c>
      <c r="E188" s="102">
        <f>'לקוחות לפי סוכן - מקור'!G184</f>
        <v/>
      </c>
      <c r="F188" s="94">
        <f>'לקוחות לפי סוכן - מקור'!D184</f>
        <v/>
      </c>
      <c r="G188" s="95">
        <f>'לקוחות לפי סוכן - מקור'!H184</f>
        <v/>
      </c>
      <c r="H188" s="95">
        <f>'לקוחות לפי סוכן - מקור'!I184</f>
        <v/>
      </c>
      <c r="I188" s="94">
        <f>'לקוחות לפי סוכן - מקור'!K184</f>
        <v/>
      </c>
    </row>
    <row r="189" outlineLevel="1" ht="15" customHeight="1" s="82">
      <c r="A189" s="94">
        <f>'לקוחות לפי סוכן - מקור'!A185</f>
        <v/>
      </c>
      <c r="B189" s="94">
        <f>'לקוחות לפי סוכן - מקור'!C185</f>
        <v/>
      </c>
      <c r="C189" s="126">
        <f>'לקוחות לפי סוכן - מקור'!E185</f>
        <v/>
      </c>
      <c r="D189" s="102">
        <f>'לקוחות לפי סוכן - מקור'!F185</f>
        <v/>
      </c>
      <c r="E189" s="102">
        <f>'לקוחות לפי סוכן - מקור'!G185</f>
        <v/>
      </c>
      <c r="F189" s="94">
        <f>'לקוחות לפי סוכן - מקור'!D185</f>
        <v/>
      </c>
      <c r="G189" s="95">
        <f>'לקוחות לפי סוכן - מקור'!H185</f>
        <v/>
      </c>
      <c r="H189" s="95">
        <f>'לקוחות לפי סוכן - מקור'!I185</f>
        <v/>
      </c>
      <c r="I189" s="94">
        <f>'לקוחות לפי סוכן - מקור'!K185</f>
        <v/>
      </c>
    </row>
    <row r="190" outlineLevel="1" ht="15" customHeight="1" s="82">
      <c r="A190" s="94">
        <f>'לקוחות לפי סוכן - מקור'!A186</f>
        <v/>
      </c>
      <c r="B190" s="94">
        <f>'לקוחות לפי סוכן - מקור'!C186</f>
        <v/>
      </c>
      <c r="C190" s="126">
        <f>'לקוחות לפי סוכן - מקור'!E186</f>
        <v/>
      </c>
      <c r="D190" s="102">
        <f>'לקוחות לפי סוכן - מקור'!F186</f>
        <v/>
      </c>
      <c r="E190" s="102">
        <f>'לקוחות לפי סוכן - מקור'!G186</f>
        <v/>
      </c>
      <c r="F190" s="94">
        <f>'לקוחות לפי סוכן - מקור'!D186</f>
        <v/>
      </c>
      <c r="G190" s="95">
        <f>'לקוחות לפי סוכן - מקור'!H186</f>
        <v/>
      </c>
      <c r="H190" s="95">
        <f>'לקוחות לפי סוכן - מקור'!I186</f>
        <v/>
      </c>
      <c r="I190" s="94">
        <f>'לקוחות לפי סוכן - מקור'!K186</f>
        <v/>
      </c>
    </row>
    <row r="191" outlineLevel="1" ht="15" customHeight="1" s="82">
      <c r="A191" s="94">
        <f>'לקוחות לפי סוכן - מקור'!A187</f>
        <v/>
      </c>
      <c r="B191" s="94">
        <f>'לקוחות לפי סוכן - מקור'!C187</f>
        <v/>
      </c>
      <c r="C191" s="126">
        <f>'לקוחות לפי סוכן - מקור'!E187</f>
        <v/>
      </c>
      <c r="D191" s="102">
        <f>'לקוחות לפי סוכן - מקור'!F187</f>
        <v/>
      </c>
      <c r="E191" s="102">
        <f>'לקוחות לפי סוכן - מקור'!G187</f>
        <v/>
      </c>
      <c r="F191" s="94">
        <f>'לקוחות לפי סוכן - מקור'!D187</f>
        <v/>
      </c>
      <c r="G191" s="95">
        <f>'לקוחות לפי סוכן - מקור'!H187</f>
        <v/>
      </c>
      <c r="H191" s="95">
        <f>'לקוחות לפי סוכן - מקור'!I187</f>
        <v/>
      </c>
      <c r="I191" s="94">
        <f>'לקוחות לפי סוכן - מקור'!K187</f>
        <v/>
      </c>
    </row>
    <row r="192" outlineLevel="1" ht="15" customHeight="1" s="82">
      <c r="A192" s="94">
        <f>'לקוחות לפי סוכן - מקור'!A188</f>
        <v/>
      </c>
      <c r="B192" s="94">
        <f>'לקוחות לפי סוכן - מקור'!C188</f>
        <v/>
      </c>
      <c r="C192" s="126">
        <f>'לקוחות לפי סוכן - מקור'!E188</f>
        <v/>
      </c>
      <c r="D192" s="102">
        <f>'לקוחות לפי סוכן - מקור'!F188</f>
        <v/>
      </c>
      <c r="E192" s="102">
        <f>'לקוחות לפי סוכן - מקור'!G188</f>
        <v/>
      </c>
      <c r="F192" s="94">
        <f>'לקוחות לפי סוכן - מקור'!D188</f>
        <v/>
      </c>
      <c r="G192" s="95">
        <f>'לקוחות לפי סוכן - מקור'!H188</f>
        <v/>
      </c>
      <c r="H192" s="95">
        <f>'לקוחות לפי סוכן - מקור'!I188</f>
        <v/>
      </c>
      <c r="I192" s="94">
        <f>'לקוחות לפי סוכן - מקור'!K188</f>
        <v/>
      </c>
    </row>
    <row r="193" outlineLevel="1" ht="15" customHeight="1" s="82">
      <c r="A193" s="94">
        <f>'לקוחות לפי סוכן - מקור'!A189</f>
        <v/>
      </c>
      <c r="B193" s="94">
        <f>'לקוחות לפי סוכן - מקור'!C189</f>
        <v/>
      </c>
      <c r="C193" s="126">
        <f>'לקוחות לפי סוכן - מקור'!E189</f>
        <v/>
      </c>
      <c r="D193" s="102">
        <f>'לקוחות לפי סוכן - מקור'!F189</f>
        <v/>
      </c>
      <c r="E193" s="102">
        <f>'לקוחות לפי סוכן - מקור'!G189</f>
        <v/>
      </c>
      <c r="F193" s="94">
        <f>'לקוחות לפי סוכן - מקור'!D189</f>
        <v/>
      </c>
      <c r="G193" s="95">
        <f>'לקוחות לפי סוכן - מקור'!H189</f>
        <v/>
      </c>
      <c r="H193" s="95">
        <f>'לקוחות לפי סוכן - מקור'!I189</f>
        <v/>
      </c>
      <c r="I193" s="94">
        <f>'לקוחות לפי סוכן - מקור'!K189</f>
        <v/>
      </c>
    </row>
    <row r="194" outlineLevel="1" ht="15" customHeight="1" s="82">
      <c r="A194" s="94">
        <f>'לקוחות לפי סוכן - מקור'!A190</f>
        <v/>
      </c>
      <c r="B194" s="94">
        <f>'לקוחות לפי סוכן - מקור'!C190</f>
        <v/>
      </c>
      <c r="C194" s="126">
        <f>'לקוחות לפי סוכן - מקור'!E190</f>
        <v/>
      </c>
      <c r="D194" s="102">
        <f>'לקוחות לפי סוכן - מקור'!F190</f>
        <v/>
      </c>
      <c r="E194" s="102">
        <f>'לקוחות לפי סוכן - מקור'!G190</f>
        <v/>
      </c>
      <c r="F194" s="94">
        <f>'לקוחות לפי סוכן - מקור'!D190</f>
        <v/>
      </c>
      <c r="G194" s="95">
        <f>'לקוחות לפי סוכן - מקור'!H190</f>
        <v/>
      </c>
      <c r="H194" s="95">
        <f>'לקוחות לפי סוכן - מקור'!I190</f>
        <v/>
      </c>
      <c r="I194" s="94">
        <f>'לקוחות לפי סוכן - מקור'!K190</f>
        <v/>
      </c>
    </row>
    <row r="195" outlineLevel="1" ht="15" customHeight="1" s="82">
      <c r="A195" s="94">
        <f>'לקוחות לפי סוכן - מקור'!A191</f>
        <v/>
      </c>
      <c r="B195" s="94">
        <f>'לקוחות לפי סוכן - מקור'!C191</f>
        <v/>
      </c>
      <c r="C195" s="126">
        <f>'לקוחות לפי סוכן - מקור'!E191</f>
        <v/>
      </c>
      <c r="D195" s="102">
        <f>'לקוחות לפי סוכן - מקור'!F191</f>
        <v/>
      </c>
      <c r="E195" s="102">
        <f>'לקוחות לפי סוכן - מקור'!G191</f>
        <v/>
      </c>
      <c r="F195" s="94">
        <f>'לקוחות לפי סוכן - מקור'!D191</f>
        <v/>
      </c>
      <c r="G195" s="95">
        <f>'לקוחות לפי סוכן - מקור'!H191</f>
        <v/>
      </c>
      <c r="H195" s="95">
        <f>'לקוחות לפי סוכן - מקור'!I191</f>
        <v/>
      </c>
      <c r="I195" s="94">
        <f>'לקוחות לפי סוכן - מקור'!K191</f>
        <v/>
      </c>
    </row>
    <row r="196" outlineLevel="1" ht="15" customHeight="1" s="82">
      <c r="A196" s="94">
        <f>'לקוחות לפי סוכן - מקור'!A192</f>
        <v/>
      </c>
      <c r="B196" s="94">
        <f>'לקוחות לפי סוכן - מקור'!C192</f>
        <v/>
      </c>
      <c r="C196" s="126">
        <f>'לקוחות לפי סוכן - מקור'!E192</f>
        <v/>
      </c>
      <c r="D196" s="102">
        <f>'לקוחות לפי סוכן - מקור'!F192</f>
        <v/>
      </c>
      <c r="E196" s="102">
        <f>'לקוחות לפי סוכן - מקור'!G192</f>
        <v/>
      </c>
      <c r="F196" s="94">
        <f>'לקוחות לפי סוכן - מקור'!D192</f>
        <v/>
      </c>
      <c r="G196" s="95">
        <f>'לקוחות לפי סוכן - מקור'!H192</f>
        <v/>
      </c>
      <c r="H196" s="95">
        <f>'לקוחות לפי סוכן - מקור'!I192</f>
        <v/>
      </c>
      <c r="I196" s="94">
        <f>'לקוחות לפי סוכן - מקור'!K192</f>
        <v/>
      </c>
    </row>
    <row r="197" outlineLevel="1" ht="15" customHeight="1" s="82">
      <c r="A197" s="94">
        <f>'לקוחות לפי סוכן - מקור'!A193</f>
        <v/>
      </c>
      <c r="B197" s="94">
        <f>'לקוחות לפי סוכן - מקור'!C193</f>
        <v/>
      </c>
      <c r="C197" s="126">
        <f>'לקוחות לפי סוכן - מקור'!E193</f>
        <v/>
      </c>
      <c r="D197" s="102">
        <f>'לקוחות לפי סוכן - מקור'!F193</f>
        <v/>
      </c>
      <c r="E197" s="102">
        <f>'לקוחות לפי סוכן - מקור'!G193</f>
        <v/>
      </c>
      <c r="F197" s="94">
        <f>'לקוחות לפי סוכן - מקור'!D193</f>
        <v/>
      </c>
      <c r="G197" s="95">
        <f>'לקוחות לפי סוכן - מקור'!H193</f>
        <v/>
      </c>
      <c r="H197" s="95">
        <f>'לקוחות לפי סוכן - מקור'!I193</f>
        <v/>
      </c>
      <c r="I197" s="94">
        <f>'לקוחות לפי סוכן - מקור'!K193</f>
        <v/>
      </c>
    </row>
    <row r="198" outlineLevel="1" ht="15" customHeight="1" s="82">
      <c r="A198" s="94">
        <f>'לקוחות לפי סוכן - מקור'!A194</f>
        <v/>
      </c>
      <c r="B198" s="94">
        <f>'לקוחות לפי סוכן - מקור'!C194</f>
        <v/>
      </c>
      <c r="C198" s="126">
        <f>'לקוחות לפי סוכן - מקור'!E194</f>
        <v/>
      </c>
      <c r="D198" s="102">
        <f>'לקוחות לפי סוכן - מקור'!F194</f>
        <v/>
      </c>
      <c r="E198" s="102">
        <f>'לקוחות לפי סוכן - מקור'!G194</f>
        <v/>
      </c>
      <c r="F198" s="94">
        <f>'לקוחות לפי סוכן - מקור'!D194</f>
        <v/>
      </c>
      <c r="G198" s="95">
        <f>'לקוחות לפי סוכן - מקור'!H194</f>
        <v/>
      </c>
      <c r="H198" s="95">
        <f>'לקוחות לפי סוכן - מקור'!I194</f>
        <v/>
      </c>
      <c r="I198" s="94">
        <f>'לקוחות לפי סוכן - מקור'!K194</f>
        <v/>
      </c>
    </row>
    <row r="199" outlineLevel="1" ht="15" customHeight="1" s="82">
      <c r="A199" s="94">
        <f>'לקוחות לפי סוכן - מקור'!A195</f>
        <v/>
      </c>
      <c r="B199" s="94">
        <f>'לקוחות לפי סוכן - מקור'!C195</f>
        <v/>
      </c>
      <c r="C199" s="126">
        <f>'לקוחות לפי סוכן - מקור'!E195</f>
        <v/>
      </c>
      <c r="D199" s="102">
        <f>'לקוחות לפי סוכן - מקור'!F195</f>
        <v/>
      </c>
      <c r="E199" s="102">
        <f>'לקוחות לפי סוכן - מקור'!G195</f>
        <v/>
      </c>
      <c r="F199" s="94">
        <f>'לקוחות לפי סוכן - מקור'!D195</f>
        <v/>
      </c>
      <c r="G199" s="95">
        <f>'לקוחות לפי סוכן - מקור'!H195</f>
        <v/>
      </c>
      <c r="H199" s="95">
        <f>'לקוחות לפי סוכן - מקור'!I195</f>
        <v/>
      </c>
      <c r="I199" s="94">
        <f>'לקוחות לפי סוכן - מקור'!K195</f>
        <v/>
      </c>
    </row>
    <row r="200" outlineLevel="1" ht="15" customHeight="1" s="82">
      <c r="A200" s="94">
        <f>'לקוחות לפי סוכן - מקור'!A196</f>
        <v/>
      </c>
      <c r="B200" s="94">
        <f>'לקוחות לפי סוכן - מקור'!C196</f>
        <v/>
      </c>
      <c r="C200" s="126">
        <f>'לקוחות לפי סוכן - מקור'!E196</f>
        <v/>
      </c>
      <c r="D200" s="102">
        <f>'לקוחות לפי סוכן - מקור'!F196</f>
        <v/>
      </c>
      <c r="E200" s="102">
        <f>'לקוחות לפי סוכן - מקור'!G196</f>
        <v/>
      </c>
      <c r="F200" s="94">
        <f>'לקוחות לפי סוכן - מקור'!D196</f>
        <v/>
      </c>
      <c r="G200" s="95">
        <f>'לקוחות לפי סוכן - מקור'!H196</f>
        <v/>
      </c>
      <c r="H200" s="95">
        <f>'לקוחות לפי סוכן - מקור'!I196</f>
        <v/>
      </c>
      <c r="I200" s="94">
        <f>'לקוחות לפי סוכן - מקור'!K196</f>
        <v/>
      </c>
    </row>
    <row r="201" outlineLevel="1" ht="15" customHeight="1" s="82">
      <c r="A201" s="94">
        <f>'לקוחות לפי סוכן - מקור'!A197</f>
        <v/>
      </c>
      <c r="B201" s="94">
        <f>'לקוחות לפי סוכן - מקור'!C197</f>
        <v/>
      </c>
      <c r="C201" s="126">
        <f>'לקוחות לפי סוכן - מקור'!E197</f>
        <v/>
      </c>
      <c r="D201" s="102">
        <f>'לקוחות לפי סוכן - מקור'!F197</f>
        <v/>
      </c>
      <c r="E201" s="102">
        <f>'לקוחות לפי סוכן - מקור'!G197</f>
        <v/>
      </c>
      <c r="F201" s="94">
        <f>'לקוחות לפי סוכן - מקור'!D197</f>
        <v/>
      </c>
      <c r="G201" s="95">
        <f>'לקוחות לפי סוכן - מקור'!H197</f>
        <v/>
      </c>
      <c r="H201" s="95">
        <f>'לקוחות לפי סוכן - מקור'!I197</f>
        <v/>
      </c>
      <c r="I201" s="94">
        <f>'לקוחות לפי סוכן - מקור'!K197</f>
        <v/>
      </c>
    </row>
    <row r="202" outlineLevel="1" ht="15" customHeight="1" s="82">
      <c r="A202" s="94">
        <f>'לקוחות לפי סוכן - מקור'!A198</f>
        <v/>
      </c>
      <c r="B202" s="94">
        <f>'לקוחות לפי סוכן - מקור'!C198</f>
        <v/>
      </c>
      <c r="C202" s="126">
        <f>'לקוחות לפי סוכן - מקור'!E198</f>
        <v/>
      </c>
      <c r="D202" s="102">
        <f>'לקוחות לפי סוכן - מקור'!F198</f>
        <v/>
      </c>
      <c r="E202" s="102">
        <f>'לקוחות לפי סוכן - מקור'!G198</f>
        <v/>
      </c>
      <c r="F202" s="94">
        <f>'לקוחות לפי סוכן - מקור'!D198</f>
        <v/>
      </c>
      <c r="G202" s="95">
        <f>'לקוחות לפי סוכן - מקור'!H198</f>
        <v/>
      </c>
      <c r="H202" s="95">
        <f>'לקוחות לפי סוכן - מקור'!I198</f>
        <v/>
      </c>
      <c r="I202" s="94">
        <f>'לקוחות לפי סוכן - מקור'!K198</f>
        <v/>
      </c>
    </row>
    <row r="203" outlineLevel="1" ht="15" customHeight="1" s="82">
      <c r="A203" s="94">
        <f>'לקוחות לפי סוכן - מקור'!A199</f>
        <v/>
      </c>
      <c r="B203" s="94">
        <f>'לקוחות לפי סוכן - מקור'!C199</f>
        <v/>
      </c>
      <c r="C203" s="126">
        <f>'לקוחות לפי סוכן - מקור'!E199</f>
        <v/>
      </c>
      <c r="D203" s="102">
        <f>'לקוחות לפי סוכן - מקור'!F199</f>
        <v/>
      </c>
      <c r="E203" s="102">
        <f>'לקוחות לפי סוכן - מקור'!G199</f>
        <v/>
      </c>
      <c r="F203" s="94">
        <f>'לקוחות לפי סוכן - מקור'!D199</f>
        <v/>
      </c>
      <c r="G203" s="95">
        <f>'לקוחות לפי סוכן - מקור'!H199</f>
        <v/>
      </c>
      <c r="H203" s="95">
        <f>'לקוחות לפי סוכן - מקור'!I199</f>
        <v/>
      </c>
      <c r="I203" s="94">
        <f>'לקוחות לפי סוכן - מקור'!K199</f>
        <v/>
      </c>
    </row>
    <row r="204" outlineLevel="1" ht="15" customHeight="1" s="82">
      <c r="A204" s="94">
        <f>'לקוחות לפי סוכן - מקור'!A200</f>
        <v/>
      </c>
      <c r="B204" s="94">
        <f>'לקוחות לפי סוכן - מקור'!C200</f>
        <v/>
      </c>
      <c r="C204" s="126">
        <f>'לקוחות לפי סוכן - מקור'!E200</f>
        <v/>
      </c>
      <c r="D204" s="102">
        <f>'לקוחות לפי סוכן - מקור'!F200</f>
        <v/>
      </c>
      <c r="E204" s="102">
        <f>'לקוחות לפי סוכן - מקור'!G200</f>
        <v/>
      </c>
      <c r="F204" s="94">
        <f>'לקוחות לפי סוכן - מקור'!D200</f>
        <v/>
      </c>
      <c r="G204" s="95">
        <f>'לקוחות לפי סוכן - מקור'!H200</f>
        <v/>
      </c>
      <c r="H204" s="95">
        <f>'לקוחות לפי סוכן - מקור'!I200</f>
        <v/>
      </c>
      <c r="I204" s="94">
        <f>'לקוחות לפי סוכן - מקור'!K200</f>
        <v/>
      </c>
    </row>
    <row r="205" outlineLevel="1" ht="15" customHeight="1" s="82">
      <c r="A205" s="94">
        <f>'לקוחות לפי סוכן - מקור'!A201</f>
        <v/>
      </c>
      <c r="B205" s="94">
        <f>'לקוחות לפי סוכן - מקור'!C201</f>
        <v/>
      </c>
      <c r="C205" s="126">
        <f>'לקוחות לפי סוכן - מקור'!E201</f>
        <v/>
      </c>
      <c r="D205" s="102">
        <f>'לקוחות לפי סוכן - מקור'!F201</f>
        <v/>
      </c>
      <c r="E205" s="102">
        <f>'לקוחות לפי סוכן - מקור'!G201</f>
        <v/>
      </c>
      <c r="F205" s="94">
        <f>'לקוחות לפי סוכן - מקור'!D201</f>
        <v/>
      </c>
      <c r="G205" s="95">
        <f>'לקוחות לפי סוכן - מקור'!H201</f>
        <v/>
      </c>
      <c r="H205" s="95">
        <f>'לקוחות לפי סוכן - מקור'!I201</f>
        <v/>
      </c>
      <c r="I205" s="94">
        <f>'לקוחות לפי סוכן - מקור'!K201</f>
        <v/>
      </c>
    </row>
    <row r="206" outlineLevel="1" ht="15" customHeight="1" s="82">
      <c r="A206" s="94">
        <f>'לקוחות לפי סוכן - מקור'!A202</f>
        <v/>
      </c>
      <c r="B206" s="94">
        <f>'לקוחות לפי סוכן - מקור'!C202</f>
        <v/>
      </c>
      <c r="C206" s="126">
        <f>'לקוחות לפי סוכן - מקור'!E202</f>
        <v/>
      </c>
      <c r="D206" s="102">
        <f>'לקוחות לפי סוכן - מקור'!F202</f>
        <v/>
      </c>
      <c r="E206" s="102">
        <f>'לקוחות לפי סוכן - מקור'!G202</f>
        <v/>
      </c>
      <c r="F206" s="94">
        <f>'לקוחות לפי סוכן - מקור'!D202</f>
        <v/>
      </c>
      <c r="G206" s="95">
        <f>'לקוחות לפי סוכן - מקור'!H202</f>
        <v/>
      </c>
      <c r="H206" s="95">
        <f>'לקוחות לפי סוכן - מקור'!I202</f>
        <v/>
      </c>
      <c r="I206" s="94">
        <f>'לקוחות לפי סוכן - מקור'!K202</f>
        <v/>
      </c>
    </row>
    <row r="207" outlineLevel="1" ht="15" customHeight="1" s="82">
      <c r="A207" s="94">
        <f>'לקוחות לפי סוכן - מקור'!A203</f>
        <v/>
      </c>
      <c r="B207" s="94">
        <f>'לקוחות לפי סוכן - מקור'!C203</f>
        <v/>
      </c>
      <c r="C207" s="126">
        <f>'לקוחות לפי סוכן - מקור'!E203</f>
        <v/>
      </c>
      <c r="D207" s="102">
        <f>'לקוחות לפי סוכן - מקור'!F203</f>
        <v/>
      </c>
      <c r="E207" s="102">
        <f>'לקוחות לפי סוכן - מקור'!G203</f>
        <v/>
      </c>
      <c r="F207" s="94">
        <f>'לקוחות לפי סוכן - מקור'!D203</f>
        <v/>
      </c>
      <c r="G207" s="95">
        <f>'לקוחות לפי סוכן - מקור'!H203</f>
        <v/>
      </c>
      <c r="H207" s="95">
        <f>'לקוחות לפי סוכן - מקור'!I203</f>
        <v/>
      </c>
      <c r="I207" s="94">
        <f>'לקוחות לפי סוכן - מקור'!K203</f>
        <v/>
      </c>
    </row>
    <row r="208" outlineLevel="1" ht="15" customHeight="1" s="82">
      <c r="A208" s="94">
        <f>'לקוחות לפי סוכן - מקור'!A204</f>
        <v/>
      </c>
      <c r="B208" s="94">
        <f>'לקוחות לפי סוכן - מקור'!C204</f>
        <v/>
      </c>
      <c r="C208" s="126">
        <f>'לקוחות לפי סוכן - מקור'!E204</f>
        <v/>
      </c>
      <c r="D208" s="102">
        <f>'לקוחות לפי סוכן - מקור'!F204</f>
        <v/>
      </c>
      <c r="E208" s="102">
        <f>'לקוחות לפי סוכן - מקור'!G204</f>
        <v/>
      </c>
      <c r="F208" s="94">
        <f>'לקוחות לפי סוכן - מקור'!D204</f>
        <v/>
      </c>
      <c r="G208" s="95">
        <f>'לקוחות לפי סוכן - מקור'!H204</f>
        <v/>
      </c>
      <c r="H208" s="95">
        <f>'לקוחות לפי סוכן - מקור'!I204</f>
        <v/>
      </c>
      <c r="I208" s="94">
        <f>'לקוחות לפי סוכן - מקור'!K204</f>
        <v/>
      </c>
    </row>
    <row r="209" outlineLevel="1" ht="15" customHeight="1" s="82">
      <c r="A209" s="94">
        <f>'לקוחות לפי סוכן - מקור'!A205</f>
        <v/>
      </c>
      <c r="B209" s="94">
        <f>'לקוחות לפי סוכן - מקור'!C205</f>
        <v/>
      </c>
      <c r="C209" s="126">
        <f>'לקוחות לפי סוכן - מקור'!E205</f>
        <v/>
      </c>
      <c r="D209" s="102">
        <f>'לקוחות לפי סוכן - מקור'!F205</f>
        <v/>
      </c>
      <c r="E209" s="102">
        <f>'לקוחות לפי סוכן - מקור'!G205</f>
        <v/>
      </c>
      <c r="F209" s="94">
        <f>'לקוחות לפי סוכן - מקור'!D205</f>
        <v/>
      </c>
      <c r="G209" s="95">
        <f>'לקוחות לפי סוכן - מקור'!H205</f>
        <v/>
      </c>
      <c r="H209" s="95">
        <f>'לקוחות לפי סוכן - מקור'!I205</f>
        <v/>
      </c>
      <c r="I209" s="94">
        <f>'לקוחות לפי סוכן - מקור'!K205</f>
        <v/>
      </c>
    </row>
    <row r="210" outlineLevel="1" ht="15" customHeight="1" s="82">
      <c r="A210" s="94">
        <f>'לקוחות לפי סוכן - מקור'!A206</f>
        <v/>
      </c>
      <c r="B210" s="94">
        <f>'לקוחות לפי סוכן - מקור'!C206</f>
        <v/>
      </c>
      <c r="C210" s="126">
        <f>'לקוחות לפי סוכן - מקור'!E206</f>
        <v/>
      </c>
      <c r="D210" s="102">
        <f>'לקוחות לפי סוכן - מקור'!F206</f>
        <v/>
      </c>
      <c r="E210" s="102">
        <f>'לקוחות לפי סוכן - מקור'!G206</f>
        <v/>
      </c>
      <c r="F210" s="94">
        <f>'לקוחות לפי סוכן - מקור'!D206</f>
        <v/>
      </c>
      <c r="G210" s="95">
        <f>'לקוחות לפי סוכן - מקור'!H206</f>
        <v/>
      </c>
      <c r="H210" s="95">
        <f>'לקוחות לפי סוכן - מקור'!I206</f>
        <v/>
      </c>
      <c r="I210" s="94">
        <f>'לקוחות לפי סוכן - מקור'!K206</f>
        <v/>
      </c>
    </row>
    <row r="211" outlineLevel="1" ht="15" customHeight="1" s="82">
      <c r="A211" s="94">
        <f>'לקוחות לפי סוכן - מקור'!A207</f>
        <v/>
      </c>
      <c r="B211" s="94">
        <f>'לקוחות לפי סוכן - מקור'!C207</f>
        <v/>
      </c>
      <c r="C211" s="126">
        <f>'לקוחות לפי סוכן - מקור'!E207</f>
        <v/>
      </c>
      <c r="D211" s="102">
        <f>'לקוחות לפי סוכן - מקור'!F207</f>
        <v/>
      </c>
      <c r="E211" s="102">
        <f>'לקוחות לפי סוכן - מקור'!G207</f>
        <v/>
      </c>
      <c r="F211" s="94">
        <f>'לקוחות לפי סוכן - מקור'!D207</f>
        <v/>
      </c>
      <c r="G211" s="95">
        <f>'לקוחות לפי סוכן - מקור'!H207</f>
        <v/>
      </c>
      <c r="H211" s="95">
        <f>'לקוחות לפי סוכן - מקור'!I207</f>
        <v/>
      </c>
      <c r="I211" s="94">
        <f>'לקוחות לפי סוכן - מקור'!K207</f>
        <v/>
      </c>
    </row>
    <row r="212" outlineLevel="1" ht="15" customHeight="1" s="82">
      <c r="A212" s="94">
        <f>'לקוחות לפי סוכן - מקור'!A208</f>
        <v/>
      </c>
      <c r="B212" s="94">
        <f>'לקוחות לפי סוכן - מקור'!C208</f>
        <v/>
      </c>
      <c r="C212" s="126">
        <f>'לקוחות לפי סוכן - מקור'!E208</f>
        <v/>
      </c>
      <c r="D212" s="102">
        <f>'לקוחות לפי סוכן - מקור'!F208</f>
        <v/>
      </c>
      <c r="E212" s="102">
        <f>'לקוחות לפי סוכן - מקור'!G208</f>
        <v/>
      </c>
      <c r="F212" s="94">
        <f>'לקוחות לפי סוכן - מקור'!D208</f>
        <v/>
      </c>
      <c r="G212" s="95">
        <f>'לקוחות לפי סוכן - מקור'!H208</f>
        <v/>
      </c>
      <c r="H212" s="95">
        <f>'לקוחות לפי סוכן - מקור'!I208</f>
        <v/>
      </c>
      <c r="I212" s="94">
        <f>'לקוחות לפי סוכן - מקור'!K208</f>
        <v/>
      </c>
    </row>
    <row r="213" outlineLevel="1" ht="15" customHeight="1" s="82">
      <c r="A213" s="94">
        <f>'לקוחות לפי סוכן - מקור'!A209</f>
        <v/>
      </c>
      <c r="B213" s="94">
        <f>'לקוחות לפי סוכן - מקור'!C209</f>
        <v/>
      </c>
      <c r="C213" s="126">
        <f>'לקוחות לפי סוכן - מקור'!E209</f>
        <v/>
      </c>
      <c r="D213" s="102">
        <f>'לקוחות לפי סוכן - מקור'!F209</f>
        <v/>
      </c>
      <c r="E213" s="102">
        <f>'לקוחות לפי סוכן - מקור'!G209</f>
        <v/>
      </c>
      <c r="F213" s="94">
        <f>'לקוחות לפי סוכן - מקור'!D209</f>
        <v/>
      </c>
      <c r="G213" s="95">
        <f>'לקוחות לפי סוכן - מקור'!H209</f>
        <v/>
      </c>
      <c r="H213" s="95">
        <f>'לקוחות לפי סוכן - מקור'!I209</f>
        <v/>
      </c>
      <c r="I213" s="94">
        <f>'לקוחות לפי סוכן - מקור'!K209</f>
        <v/>
      </c>
    </row>
    <row r="214" outlineLevel="1" ht="15" customHeight="1" s="82">
      <c r="A214" s="94">
        <f>'לקוחות לפי סוכן - מקור'!A210</f>
        <v/>
      </c>
      <c r="B214" s="94">
        <f>'לקוחות לפי סוכן - מקור'!C210</f>
        <v/>
      </c>
      <c r="C214" s="126">
        <f>'לקוחות לפי סוכן - מקור'!E210</f>
        <v/>
      </c>
      <c r="D214" s="102">
        <f>'לקוחות לפי סוכן - מקור'!F210</f>
        <v/>
      </c>
      <c r="E214" s="102">
        <f>'לקוחות לפי סוכן - מקור'!G210</f>
        <v/>
      </c>
      <c r="F214" s="94">
        <f>'לקוחות לפי סוכן - מקור'!D210</f>
        <v/>
      </c>
      <c r="G214" s="95">
        <f>'לקוחות לפי סוכן - מקור'!H210</f>
        <v/>
      </c>
      <c r="H214" s="95">
        <f>'לקוחות לפי סוכן - מקור'!I210</f>
        <v/>
      </c>
      <c r="I214" s="94">
        <f>'לקוחות לפי סוכן - מקור'!K210</f>
        <v/>
      </c>
    </row>
    <row r="215" outlineLevel="1" ht="15" customHeight="1" s="82">
      <c r="A215" s="94">
        <f>'לקוחות לפי סוכן - מקור'!A211</f>
        <v/>
      </c>
      <c r="B215" s="94">
        <f>'לקוחות לפי סוכן - מקור'!C211</f>
        <v/>
      </c>
      <c r="C215" s="126">
        <f>'לקוחות לפי סוכן - מקור'!E211</f>
        <v/>
      </c>
      <c r="D215" s="102">
        <f>'לקוחות לפי סוכן - מקור'!F211</f>
        <v/>
      </c>
      <c r="E215" s="102">
        <f>'לקוחות לפי סוכן - מקור'!G211</f>
        <v/>
      </c>
      <c r="F215" s="94">
        <f>'לקוחות לפי סוכן - מקור'!D211</f>
        <v/>
      </c>
      <c r="G215" s="95">
        <f>'לקוחות לפי סוכן - מקור'!H211</f>
        <v/>
      </c>
      <c r="H215" s="95">
        <f>'לקוחות לפי סוכן - מקור'!I211</f>
        <v/>
      </c>
      <c r="I215" s="94">
        <f>'לקוחות לפי סוכן - מקור'!K211</f>
        <v/>
      </c>
    </row>
    <row r="216" outlineLevel="1" ht="15" customHeight="1" s="82">
      <c r="A216" s="94">
        <f>'לקוחות לפי סוכן - מקור'!A212</f>
        <v/>
      </c>
      <c r="B216" s="94">
        <f>'לקוחות לפי סוכן - מקור'!C212</f>
        <v/>
      </c>
      <c r="C216" s="126">
        <f>'לקוחות לפי סוכן - מקור'!E212</f>
        <v/>
      </c>
      <c r="D216" s="102">
        <f>'לקוחות לפי סוכן - מקור'!F212</f>
        <v/>
      </c>
      <c r="E216" s="102">
        <f>'לקוחות לפי סוכן - מקור'!G212</f>
        <v/>
      </c>
      <c r="F216" s="94">
        <f>'לקוחות לפי סוכן - מקור'!D212</f>
        <v/>
      </c>
      <c r="G216" s="95">
        <f>'לקוחות לפי סוכן - מקור'!H212</f>
        <v/>
      </c>
      <c r="H216" s="95">
        <f>'לקוחות לפי סוכן - מקור'!I212</f>
        <v/>
      </c>
      <c r="I216" s="94">
        <f>'לקוחות לפי סוכן - מקור'!K212</f>
        <v/>
      </c>
    </row>
    <row r="217" outlineLevel="1" ht="15" customHeight="1" s="82">
      <c r="A217" s="94">
        <f>'לקוחות לפי סוכן - מקור'!A213</f>
        <v/>
      </c>
      <c r="B217" s="94">
        <f>'לקוחות לפי סוכן - מקור'!C213</f>
        <v/>
      </c>
      <c r="C217" s="126">
        <f>'לקוחות לפי סוכן - מקור'!E213</f>
        <v/>
      </c>
      <c r="D217" s="102">
        <f>'לקוחות לפי סוכן - מקור'!F213</f>
        <v/>
      </c>
      <c r="E217" s="102">
        <f>'לקוחות לפי סוכן - מקור'!G213</f>
        <v/>
      </c>
      <c r="F217" s="94">
        <f>'לקוחות לפי סוכן - מקור'!D213</f>
        <v/>
      </c>
      <c r="G217" s="95">
        <f>'לקוחות לפי סוכן - מקור'!H213</f>
        <v/>
      </c>
      <c r="H217" s="95">
        <f>'לקוחות לפי סוכן - מקור'!I213</f>
        <v/>
      </c>
      <c r="I217" s="94">
        <f>'לקוחות לפי סוכן - מקור'!K213</f>
        <v/>
      </c>
    </row>
    <row r="218" ht="15" customHeight="1" s="82">
      <c r="A218" s="94" t="n"/>
      <c r="B218" s="94" t="n"/>
      <c r="C218" s="126" t="n"/>
      <c r="D218" s="102" t="n"/>
      <c r="E218" s="102" t="n"/>
      <c r="F218" s="94" t="n"/>
      <c r="G218" s="95" t="n"/>
      <c r="H218" s="95" t="n"/>
    </row>
    <row r="219" ht="15" customHeight="1" s="82">
      <c r="A219" s="96" t="inlineStr">
        <is>
          <t>סטניסלב נסאר</t>
        </is>
      </c>
      <c r="B219" s="96" t="n"/>
      <c r="C219" s="124" t="inlineStr">
        <is>
          <t>סה"כ 177 חנויות</t>
        </is>
      </c>
      <c r="D219" s="125">
        <f>SUMIF('לקוחות לפי סוכן - מקור'!$A$2:$A$867,$A219,'לקוחות לפי סוכן - מקור'!$F$2:$F$867)</f>
        <v/>
      </c>
      <c r="E219" s="125">
        <f>SUMIF('לקוחות לפי סוכן - מקור'!$A$2:$A$867,$A219,'לקוחות לפי סוכן - מקור'!$G$2:$G$867)</f>
        <v/>
      </c>
      <c r="F219" s="96" t="n"/>
      <c r="G219" s="97">
        <f>SUMIF('לקוחות לפי סוכן - מקור'!$A$2:$A$867,$A219,'לקוחות לפי סוכן - מקור'!$H$2:$H$867)</f>
        <v/>
      </c>
      <c r="H219" s="97">
        <f>SUMIF('לקוחות לפי סוכן - מקור'!$A$2:$A$867,$A219,'לקוחות לפי סוכן - מקור'!$I$2:$I$867)</f>
        <v/>
      </c>
      <c r="I219" s="96" t="inlineStr">
        <is>
          <t>NetSuite+CHMI (26+151)</t>
        </is>
      </c>
    </row>
    <row r="220" outlineLevel="1" ht="15" customHeight="1" s="82">
      <c r="A220" s="94">
        <f>'לקוחות לפי סוכן - מקור'!A214</f>
        <v/>
      </c>
      <c r="B220" s="94">
        <f>'לקוחות לפי סוכן - מקור'!C214</f>
        <v/>
      </c>
      <c r="C220" s="126">
        <f>'לקוחות לפי סוכן - מקור'!E214</f>
        <v/>
      </c>
      <c r="D220" s="102">
        <f>'לקוחות לפי סוכן - מקור'!F214</f>
        <v/>
      </c>
      <c r="E220" s="102">
        <f>'לקוחות לפי סוכן - מקור'!G214</f>
        <v/>
      </c>
      <c r="F220" s="94">
        <f>'לקוחות לפי סוכן - מקור'!D214</f>
        <v/>
      </c>
      <c r="G220" s="95">
        <f>'לקוחות לפי סוכן - מקור'!H214</f>
        <v/>
      </c>
      <c r="H220" s="95">
        <f>'לקוחות לפי סוכן - מקור'!I214</f>
        <v/>
      </c>
      <c r="I220" s="94">
        <f>'לקוחות לפי סוכן - מקור'!K214</f>
        <v/>
      </c>
    </row>
    <row r="221" outlineLevel="1" ht="15" customHeight="1" s="82">
      <c r="A221" s="94">
        <f>'לקוחות לפי סוכן - מקור'!A215</f>
        <v/>
      </c>
      <c r="B221" s="94">
        <f>'לקוחות לפי סוכן - מקור'!C215</f>
        <v/>
      </c>
      <c r="C221" s="126">
        <f>'לקוחות לפי סוכן - מקור'!E215</f>
        <v/>
      </c>
      <c r="D221" s="102">
        <f>'לקוחות לפי סוכן - מקור'!F215</f>
        <v/>
      </c>
      <c r="E221" s="102">
        <f>'לקוחות לפי סוכן - מקור'!G215</f>
        <v/>
      </c>
      <c r="F221" s="94">
        <f>'לקוחות לפי סוכן - מקור'!D215</f>
        <v/>
      </c>
      <c r="G221" s="95">
        <f>'לקוחות לפי סוכן - מקור'!H215</f>
        <v/>
      </c>
      <c r="H221" s="95">
        <f>'לקוחות לפי סוכן - מקור'!I215</f>
        <v/>
      </c>
      <c r="I221" s="94">
        <f>'לקוחות לפי סוכן - מקור'!K215</f>
        <v/>
      </c>
    </row>
    <row r="222" outlineLevel="1" ht="15" customHeight="1" s="82">
      <c r="A222" s="94">
        <f>'לקוחות לפי סוכן - מקור'!A216</f>
        <v/>
      </c>
      <c r="B222" s="94">
        <f>'לקוחות לפי סוכן - מקור'!C216</f>
        <v/>
      </c>
      <c r="C222" s="126">
        <f>'לקוחות לפי סוכן - מקור'!E216</f>
        <v/>
      </c>
      <c r="D222" s="102">
        <f>'לקוחות לפי סוכן - מקור'!F216</f>
        <v/>
      </c>
      <c r="E222" s="102">
        <f>'לקוחות לפי סוכן - מקור'!G216</f>
        <v/>
      </c>
      <c r="F222" s="94">
        <f>'לקוחות לפי סוכן - מקור'!D216</f>
        <v/>
      </c>
      <c r="G222" s="95">
        <f>'לקוחות לפי סוכן - מקור'!H216</f>
        <v/>
      </c>
      <c r="H222" s="95">
        <f>'לקוחות לפי סוכן - מקור'!I216</f>
        <v/>
      </c>
      <c r="I222" s="94">
        <f>'לקוחות לפי סוכן - מקור'!K216</f>
        <v/>
      </c>
    </row>
    <row r="223" outlineLevel="1" ht="15" customHeight="1" s="82">
      <c r="A223" s="94">
        <f>'לקוחות לפי סוכן - מקור'!A217</f>
        <v/>
      </c>
      <c r="B223" s="94">
        <f>'לקוחות לפי סוכן - מקור'!C217</f>
        <v/>
      </c>
      <c r="C223" s="126">
        <f>'לקוחות לפי סוכן - מקור'!E217</f>
        <v/>
      </c>
      <c r="D223" s="102">
        <f>'לקוחות לפי סוכן - מקור'!F217</f>
        <v/>
      </c>
      <c r="E223" s="102">
        <f>'לקוחות לפי סוכן - מקור'!G217</f>
        <v/>
      </c>
      <c r="F223" s="94">
        <f>'לקוחות לפי סוכן - מקור'!D217</f>
        <v/>
      </c>
      <c r="G223" s="95">
        <f>'לקוחות לפי סוכן - מקור'!H217</f>
        <v/>
      </c>
      <c r="H223" s="95">
        <f>'לקוחות לפי סוכן - מקור'!I217</f>
        <v/>
      </c>
      <c r="I223" s="94">
        <f>'לקוחות לפי סוכן - מקור'!K217</f>
        <v/>
      </c>
    </row>
    <row r="224" outlineLevel="1" ht="15" customHeight="1" s="82">
      <c r="A224" s="94">
        <f>'לקוחות לפי סוכן - מקור'!A218</f>
        <v/>
      </c>
      <c r="B224" s="94">
        <f>'לקוחות לפי סוכן - מקור'!C218</f>
        <v/>
      </c>
      <c r="C224" s="126">
        <f>'לקוחות לפי סוכן - מקור'!E218</f>
        <v/>
      </c>
      <c r="D224" s="102">
        <f>'לקוחות לפי סוכן - מקור'!F218</f>
        <v/>
      </c>
      <c r="E224" s="102">
        <f>'לקוחות לפי סוכן - מקור'!G218</f>
        <v/>
      </c>
      <c r="F224" s="94">
        <f>'לקוחות לפי סוכן - מקור'!D218</f>
        <v/>
      </c>
      <c r="G224" s="95">
        <f>'לקוחות לפי סוכן - מקור'!H218</f>
        <v/>
      </c>
      <c r="H224" s="95">
        <f>'לקוחות לפי סוכן - מקור'!I218</f>
        <v/>
      </c>
      <c r="I224" s="94">
        <f>'לקוחות לפי סוכן - מקור'!K218</f>
        <v/>
      </c>
    </row>
    <row r="225" outlineLevel="1" ht="15" customHeight="1" s="82">
      <c r="A225" s="94">
        <f>'לקוחות לפי סוכן - מקור'!A219</f>
        <v/>
      </c>
      <c r="B225" s="94">
        <f>'לקוחות לפי סוכן - מקור'!C219</f>
        <v/>
      </c>
      <c r="C225" s="126">
        <f>'לקוחות לפי סוכן - מקור'!E219</f>
        <v/>
      </c>
      <c r="D225" s="102">
        <f>'לקוחות לפי סוכן - מקור'!F219</f>
        <v/>
      </c>
      <c r="E225" s="102">
        <f>'לקוחות לפי סוכן - מקור'!G219</f>
        <v/>
      </c>
      <c r="F225" s="94">
        <f>'לקוחות לפי סוכן - מקור'!D219</f>
        <v/>
      </c>
      <c r="G225" s="95">
        <f>'לקוחות לפי סוכן - מקור'!H219</f>
        <v/>
      </c>
      <c r="H225" s="95">
        <f>'לקוחות לפי סוכן - מקור'!I219</f>
        <v/>
      </c>
      <c r="I225" s="94">
        <f>'לקוחות לפי סוכן - מקור'!K219</f>
        <v/>
      </c>
    </row>
    <row r="226" outlineLevel="1" ht="15" customHeight="1" s="82">
      <c r="A226" s="94">
        <f>'לקוחות לפי סוכן - מקור'!A220</f>
        <v/>
      </c>
      <c r="B226" s="94">
        <f>'לקוחות לפי סוכן - מקור'!C220</f>
        <v/>
      </c>
      <c r="C226" s="126">
        <f>'לקוחות לפי סוכן - מקור'!E220</f>
        <v/>
      </c>
      <c r="D226" s="102">
        <f>'לקוחות לפי סוכן - מקור'!F220</f>
        <v/>
      </c>
      <c r="E226" s="102">
        <f>'לקוחות לפי סוכן - מקור'!G220</f>
        <v/>
      </c>
      <c r="F226" s="94">
        <f>'לקוחות לפי סוכן - מקור'!D220</f>
        <v/>
      </c>
      <c r="G226" s="95">
        <f>'לקוחות לפי סוכן - מקור'!H220</f>
        <v/>
      </c>
      <c r="H226" s="95">
        <f>'לקוחות לפי סוכן - מקור'!I220</f>
        <v/>
      </c>
      <c r="I226" s="94">
        <f>'לקוחות לפי סוכן - מקור'!K220</f>
        <v/>
      </c>
    </row>
    <row r="227" outlineLevel="1" ht="15" customHeight="1" s="82">
      <c r="A227" s="94">
        <f>'לקוחות לפי סוכן - מקור'!A221</f>
        <v/>
      </c>
      <c r="B227" s="94">
        <f>'לקוחות לפי סוכן - מקור'!C221</f>
        <v/>
      </c>
      <c r="C227" s="126">
        <f>'לקוחות לפי סוכן - מקור'!E221</f>
        <v/>
      </c>
      <c r="D227" s="102">
        <f>'לקוחות לפי סוכן - מקור'!F221</f>
        <v/>
      </c>
      <c r="E227" s="102">
        <f>'לקוחות לפי סוכן - מקור'!G221</f>
        <v/>
      </c>
      <c r="F227" s="94">
        <f>'לקוחות לפי סוכן - מקור'!D221</f>
        <v/>
      </c>
      <c r="G227" s="95">
        <f>'לקוחות לפי סוכן - מקור'!H221</f>
        <v/>
      </c>
      <c r="H227" s="95">
        <f>'לקוחות לפי סוכן - מקור'!I221</f>
        <v/>
      </c>
      <c r="I227" s="94">
        <f>'לקוחות לפי סוכן - מקור'!K221</f>
        <v/>
      </c>
    </row>
    <row r="228" outlineLevel="1" ht="15" customHeight="1" s="82">
      <c r="A228" s="94">
        <f>'לקוחות לפי סוכן - מקור'!A222</f>
        <v/>
      </c>
      <c r="B228" s="94">
        <f>'לקוחות לפי סוכן - מקור'!C222</f>
        <v/>
      </c>
      <c r="C228" s="126">
        <f>'לקוחות לפי סוכן - מקור'!E222</f>
        <v/>
      </c>
      <c r="D228" s="102">
        <f>'לקוחות לפי סוכן - מקור'!F222</f>
        <v/>
      </c>
      <c r="E228" s="102">
        <f>'לקוחות לפי סוכן - מקור'!G222</f>
        <v/>
      </c>
      <c r="F228" s="94">
        <f>'לקוחות לפי סוכן - מקור'!D222</f>
        <v/>
      </c>
      <c r="G228" s="95">
        <f>'לקוחות לפי סוכן - מקור'!H222</f>
        <v/>
      </c>
      <c r="H228" s="95">
        <f>'לקוחות לפי סוכן - מקור'!I222</f>
        <v/>
      </c>
      <c r="I228" s="94">
        <f>'לקוחות לפי סוכן - מקור'!K222</f>
        <v/>
      </c>
    </row>
    <row r="229" outlineLevel="1" ht="15" customHeight="1" s="82">
      <c r="A229" s="94">
        <f>'לקוחות לפי סוכן - מקור'!A223</f>
        <v/>
      </c>
      <c r="B229" s="94">
        <f>'לקוחות לפי סוכן - מקור'!C223</f>
        <v/>
      </c>
      <c r="C229" s="126">
        <f>'לקוחות לפי סוכן - מקור'!E223</f>
        <v/>
      </c>
      <c r="D229" s="102">
        <f>'לקוחות לפי סוכן - מקור'!F223</f>
        <v/>
      </c>
      <c r="E229" s="102">
        <f>'לקוחות לפי סוכן - מקור'!G223</f>
        <v/>
      </c>
      <c r="F229" s="94">
        <f>'לקוחות לפי סוכן - מקור'!D223</f>
        <v/>
      </c>
      <c r="G229" s="95">
        <f>'לקוחות לפי סוכן - מקור'!H223</f>
        <v/>
      </c>
      <c r="H229" s="95">
        <f>'לקוחות לפי סוכן - מקור'!I223</f>
        <v/>
      </c>
      <c r="I229" s="94">
        <f>'לקוחות לפי סוכן - מקור'!K223</f>
        <v/>
      </c>
    </row>
    <row r="230" outlineLevel="1" ht="15" customHeight="1" s="82">
      <c r="A230" s="94">
        <f>'לקוחות לפי סוכן - מקור'!A224</f>
        <v/>
      </c>
      <c r="B230" s="94">
        <f>'לקוחות לפי סוכן - מקור'!C224</f>
        <v/>
      </c>
      <c r="C230" s="126">
        <f>'לקוחות לפי סוכן - מקור'!E224</f>
        <v/>
      </c>
      <c r="D230" s="102">
        <f>'לקוחות לפי סוכן - מקור'!F224</f>
        <v/>
      </c>
      <c r="E230" s="102">
        <f>'לקוחות לפי סוכן - מקור'!G224</f>
        <v/>
      </c>
      <c r="F230" s="94">
        <f>'לקוחות לפי סוכן - מקור'!D224</f>
        <v/>
      </c>
      <c r="G230" s="95">
        <f>'לקוחות לפי סוכן - מקור'!H224</f>
        <v/>
      </c>
      <c r="H230" s="95">
        <f>'לקוחות לפי סוכן - מקור'!I224</f>
        <v/>
      </c>
      <c r="I230" s="94">
        <f>'לקוחות לפי סוכן - מקור'!K224</f>
        <v/>
      </c>
    </row>
    <row r="231" outlineLevel="1" ht="15" customHeight="1" s="82">
      <c r="A231" s="94">
        <f>'לקוחות לפי סוכן - מקור'!A225</f>
        <v/>
      </c>
      <c r="B231" s="94">
        <f>'לקוחות לפי סוכן - מקור'!C225</f>
        <v/>
      </c>
      <c r="C231" s="126">
        <f>'לקוחות לפי סוכן - מקור'!E225</f>
        <v/>
      </c>
      <c r="D231" s="102">
        <f>'לקוחות לפי סוכן - מקור'!F225</f>
        <v/>
      </c>
      <c r="E231" s="102">
        <f>'לקוחות לפי סוכן - מקור'!G225</f>
        <v/>
      </c>
      <c r="F231" s="94">
        <f>'לקוחות לפי סוכן - מקור'!D225</f>
        <v/>
      </c>
      <c r="G231" s="95">
        <f>'לקוחות לפי סוכן - מקור'!H225</f>
        <v/>
      </c>
      <c r="H231" s="95">
        <f>'לקוחות לפי סוכן - מקור'!I225</f>
        <v/>
      </c>
      <c r="I231" s="94">
        <f>'לקוחות לפי סוכן - מקור'!K225</f>
        <v/>
      </c>
    </row>
    <row r="232" outlineLevel="1" ht="15" customHeight="1" s="82">
      <c r="A232" s="94">
        <f>'לקוחות לפי סוכן - מקור'!A226</f>
        <v/>
      </c>
      <c r="B232" s="94">
        <f>'לקוחות לפי סוכן - מקור'!C226</f>
        <v/>
      </c>
      <c r="C232" s="126">
        <f>'לקוחות לפי סוכן - מקור'!E226</f>
        <v/>
      </c>
      <c r="D232" s="102">
        <f>'לקוחות לפי סוכן - מקור'!F226</f>
        <v/>
      </c>
      <c r="E232" s="102">
        <f>'לקוחות לפי סוכן - מקור'!G226</f>
        <v/>
      </c>
      <c r="F232" s="94">
        <f>'לקוחות לפי סוכן - מקור'!D226</f>
        <v/>
      </c>
      <c r="G232" s="95">
        <f>'לקוחות לפי סוכן - מקור'!H226</f>
        <v/>
      </c>
      <c r="H232" s="95">
        <f>'לקוחות לפי סוכן - מקור'!I226</f>
        <v/>
      </c>
      <c r="I232" s="94">
        <f>'לקוחות לפי סוכן - מקור'!K226</f>
        <v/>
      </c>
    </row>
    <row r="233" outlineLevel="1" ht="15" customHeight="1" s="82">
      <c r="A233" s="94">
        <f>'לקוחות לפי סוכן - מקור'!A227</f>
        <v/>
      </c>
      <c r="B233" s="94">
        <f>'לקוחות לפי סוכן - מקור'!C227</f>
        <v/>
      </c>
      <c r="C233" s="126">
        <f>'לקוחות לפי סוכן - מקור'!E227</f>
        <v/>
      </c>
      <c r="D233" s="102">
        <f>'לקוחות לפי סוכן - מקור'!F227</f>
        <v/>
      </c>
      <c r="E233" s="102">
        <f>'לקוחות לפי סוכן - מקור'!G227</f>
        <v/>
      </c>
      <c r="F233" s="94">
        <f>'לקוחות לפי סוכן - מקור'!D227</f>
        <v/>
      </c>
      <c r="G233" s="95">
        <f>'לקוחות לפי סוכן - מקור'!H227</f>
        <v/>
      </c>
      <c r="H233" s="95">
        <f>'לקוחות לפי סוכן - מקור'!I227</f>
        <v/>
      </c>
      <c r="I233" s="94">
        <f>'לקוחות לפי סוכן - מקור'!K227</f>
        <v/>
      </c>
    </row>
    <row r="234" outlineLevel="1" ht="15" customHeight="1" s="82">
      <c r="A234" s="94">
        <f>'לקוחות לפי סוכן - מקור'!A228</f>
        <v/>
      </c>
      <c r="B234" s="94">
        <f>'לקוחות לפי סוכן - מקור'!C228</f>
        <v/>
      </c>
      <c r="C234" s="126">
        <f>'לקוחות לפי סוכן - מקור'!E228</f>
        <v/>
      </c>
      <c r="D234" s="102">
        <f>'לקוחות לפי סוכן - מקור'!F228</f>
        <v/>
      </c>
      <c r="E234" s="102">
        <f>'לקוחות לפי סוכן - מקור'!G228</f>
        <v/>
      </c>
      <c r="F234" s="94">
        <f>'לקוחות לפי סוכן - מקור'!D228</f>
        <v/>
      </c>
      <c r="G234" s="95">
        <f>'לקוחות לפי סוכן - מקור'!H228</f>
        <v/>
      </c>
      <c r="H234" s="95">
        <f>'לקוחות לפי סוכן - מקור'!I228</f>
        <v/>
      </c>
      <c r="I234" s="94">
        <f>'לקוחות לפי סוכן - מקור'!K228</f>
        <v/>
      </c>
    </row>
    <row r="235" outlineLevel="1" ht="15" customHeight="1" s="82">
      <c r="A235" s="94">
        <f>'לקוחות לפי סוכן - מקור'!A229</f>
        <v/>
      </c>
      <c r="B235" s="94">
        <f>'לקוחות לפי סוכן - מקור'!C229</f>
        <v/>
      </c>
      <c r="C235" s="126">
        <f>'לקוחות לפי סוכן - מקור'!E229</f>
        <v/>
      </c>
      <c r="D235" s="102">
        <f>'לקוחות לפי סוכן - מקור'!F229</f>
        <v/>
      </c>
      <c r="E235" s="102">
        <f>'לקוחות לפי סוכן - מקור'!G229</f>
        <v/>
      </c>
      <c r="F235" s="94">
        <f>'לקוחות לפי סוכן - מקור'!D229</f>
        <v/>
      </c>
      <c r="G235" s="95">
        <f>'לקוחות לפי סוכן - מקור'!H229</f>
        <v/>
      </c>
      <c r="H235" s="95">
        <f>'לקוחות לפי סוכן - מקור'!I229</f>
        <v/>
      </c>
      <c r="I235" s="94">
        <f>'לקוחות לפי סוכן - מקור'!K229</f>
        <v/>
      </c>
    </row>
    <row r="236" outlineLevel="1" ht="15" customHeight="1" s="82">
      <c r="A236" s="94">
        <f>'לקוחות לפי סוכן - מקור'!A230</f>
        <v/>
      </c>
      <c r="B236" s="94">
        <f>'לקוחות לפי סוכן - מקור'!C230</f>
        <v/>
      </c>
      <c r="C236" s="126">
        <f>'לקוחות לפי סוכן - מקור'!E230</f>
        <v/>
      </c>
      <c r="D236" s="102">
        <f>'לקוחות לפי סוכן - מקור'!F230</f>
        <v/>
      </c>
      <c r="E236" s="102">
        <f>'לקוחות לפי סוכן - מקור'!G230</f>
        <v/>
      </c>
      <c r="F236" s="94">
        <f>'לקוחות לפי סוכן - מקור'!D230</f>
        <v/>
      </c>
      <c r="G236" s="95">
        <f>'לקוחות לפי סוכן - מקור'!H230</f>
        <v/>
      </c>
      <c r="H236" s="95">
        <f>'לקוחות לפי סוכן - מקור'!I230</f>
        <v/>
      </c>
      <c r="I236" s="94">
        <f>'לקוחות לפי סוכן - מקור'!K230</f>
        <v/>
      </c>
    </row>
    <row r="237" outlineLevel="1" ht="15" customHeight="1" s="82">
      <c r="A237" s="94">
        <f>'לקוחות לפי סוכן - מקור'!A231</f>
        <v/>
      </c>
      <c r="B237" s="94">
        <f>'לקוחות לפי סוכן - מקור'!C231</f>
        <v/>
      </c>
      <c r="C237" s="126">
        <f>'לקוחות לפי סוכן - מקור'!E231</f>
        <v/>
      </c>
      <c r="D237" s="102">
        <f>'לקוחות לפי סוכן - מקור'!F231</f>
        <v/>
      </c>
      <c r="E237" s="102">
        <f>'לקוחות לפי סוכן - מקור'!G231</f>
        <v/>
      </c>
      <c r="F237" s="94">
        <f>'לקוחות לפי סוכן - מקור'!D231</f>
        <v/>
      </c>
      <c r="G237" s="95">
        <f>'לקוחות לפי סוכן - מקור'!H231</f>
        <v/>
      </c>
      <c r="H237" s="95">
        <f>'לקוחות לפי סוכן - מקור'!I231</f>
        <v/>
      </c>
      <c r="I237" s="94">
        <f>'לקוחות לפי סוכן - מקור'!K231</f>
        <v/>
      </c>
    </row>
    <row r="238" outlineLevel="1" ht="15" customHeight="1" s="82">
      <c r="A238" s="94">
        <f>'לקוחות לפי סוכן - מקור'!A232</f>
        <v/>
      </c>
      <c r="B238" s="94">
        <f>'לקוחות לפי סוכן - מקור'!C232</f>
        <v/>
      </c>
      <c r="C238" s="126">
        <f>'לקוחות לפי סוכן - מקור'!E232</f>
        <v/>
      </c>
      <c r="D238" s="102">
        <f>'לקוחות לפי סוכן - מקור'!F232</f>
        <v/>
      </c>
      <c r="E238" s="102">
        <f>'לקוחות לפי סוכן - מקור'!G232</f>
        <v/>
      </c>
      <c r="F238" s="94">
        <f>'לקוחות לפי סוכן - מקור'!D232</f>
        <v/>
      </c>
      <c r="G238" s="95">
        <f>'לקוחות לפי סוכן - מקור'!H232</f>
        <v/>
      </c>
      <c r="H238" s="95">
        <f>'לקוחות לפי סוכן - מקור'!I232</f>
        <v/>
      </c>
      <c r="I238" s="94">
        <f>'לקוחות לפי סוכן - מקור'!K232</f>
        <v/>
      </c>
    </row>
    <row r="239" outlineLevel="1" ht="15" customHeight="1" s="82">
      <c r="A239" s="94">
        <f>'לקוחות לפי סוכן - מקור'!A233</f>
        <v/>
      </c>
      <c r="B239" s="94">
        <f>'לקוחות לפי סוכן - מקור'!C233</f>
        <v/>
      </c>
      <c r="C239" s="126">
        <f>'לקוחות לפי סוכן - מקור'!E233</f>
        <v/>
      </c>
      <c r="D239" s="102">
        <f>'לקוחות לפי סוכן - מקור'!F233</f>
        <v/>
      </c>
      <c r="E239" s="102">
        <f>'לקוחות לפי סוכן - מקור'!G233</f>
        <v/>
      </c>
      <c r="F239" s="94">
        <f>'לקוחות לפי סוכן - מקור'!D233</f>
        <v/>
      </c>
      <c r="G239" s="95">
        <f>'לקוחות לפי סוכן - מקור'!H233</f>
        <v/>
      </c>
      <c r="H239" s="95">
        <f>'לקוחות לפי סוכן - מקור'!I233</f>
        <v/>
      </c>
      <c r="I239" s="94">
        <f>'לקוחות לפי סוכן - מקור'!K233</f>
        <v/>
      </c>
    </row>
    <row r="240" outlineLevel="1" ht="15" customHeight="1" s="82">
      <c r="A240" s="94">
        <f>'לקוחות לפי סוכן - מקור'!A234</f>
        <v/>
      </c>
      <c r="B240" s="94">
        <f>'לקוחות לפי סוכן - מקור'!C234</f>
        <v/>
      </c>
      <c r="C240" s="126">
        <f>'לקוחות לפי סוכן - מקור'!E234</f>
        <v/>
      </c>
      <c r="D240" s="102">
        <f>'לקוחות לפי סוכן - מקור'!F234</f>
        <v/>
      </c>
      <c r="E240" s="102">
        <f>'לקוחות לפי סוכן - מקור'!G234</f>
        <v/>
      </c>
      <c r="F240" s="94">
        <f>'לקוחות לפי סוכן - מקור'!D234</f>
        <v/>
      </c>
      <c r="G240" s="95">
        <f>'לקוחות לפי סוכן - מקור'!H234</f>
        <v/>
      </c>
      <c r="H240" s="95">
        <f>'לקוחות לפי סוכן - מקור'!I234</f>
        <v/>
      </c>
      <c r="I240" s="94">
        <f>'לקוחות לפי סוכן - מקור'!K234</f>
        <v/>
      </c>
    </row>
    <row r="241" outlineLevel="1" ht="15" customHeight="1" s="82">
      <c r="A241" s="94">
        <f>'לקוחות לפי סוכן - מקור'!A235</f>
        <v/>
      </c>
      <c r="B241" s="94">
        <f>'לקוחות לפי סוכן - מקור'!C235</f>
        <v/>
      </c>
      <c r="C241" s="126">
        <f>'לקוחות לפי סוכן - מקור'!E235</f>
        <v/>
      </c>
      <c r="D241" s="102">
        <f>'לקוחות לפי סוכן - מקור'!F235</f>
        <v/>
      </c>
      <c r="E241" s="102">
        <f>'לקוחות לפי סוכן - מקור'!G235</f>
        <v/>
      </c>
      <c r="F241" s="94">
        <f>'לקוחות לפי סוכן - מקור'!D235</f>
        <v/>
      </c>
      <c r="G241" s="95">
        <f>'לקוחות לפי סוכן - מקור'!H235</f>
        <v/>
      </c>
      <c r="H241" s="95">
        <f>'לקוחות לפי סוכן - מקור'!I235</f>
        <v/>
      </c>
      <c r="I241" s="94">
        <f>'לקוחות לפי סוכן - מקור'!K235</f>
        <v/>
      </c>
    </row>
    <row r="242" outlineLevel="1" ht="15" customHeight="1" s="82">
      <c r="A242" s="94">
        <f>'לקוחות לפי סוכן - מקור'!A236</f>
        <v/>
      </c>
      <c r="B242" s="94">
        <f>'לקוחות לפי סוכן - מקור'!C236</f>
        <v/>
      </c>
      <c r="C242" s="126">
        <f>'לקוחות לפי סוכן - מקור'!E236</f>
        <v/>
      </c>
      <c r="D242" s="102">
        <f>'לקוחות לפי סוכן - מקור'!F236</f>
        <v/>
      </c>
      <c r="E242" s="102">
        <f>'לקוחות לפי סוכן - מקור'!G236</f>
        <v/>
      </c>
      <c r="F242" s="94">
        <f>'לקוחות לפי סוכן - מקור'!D236</f>
        <v/>
      </c>
      <c r="G242" s="95">
        <f>'לקוחות לפי סוכן - מקור'!H236</f>
        <v/>
      </c>
      <c r="H242" s="95">
        <f>'לקוחות לפי סוכן - מקור'!I236</f>
        <v/>
      </c>
      <c r="I242" s="94">
        <f>'לקוחות לפי סוכן - מקור'!K236</f>
        <v/>
      </c>
    </row>
    <row r="243" outlineLevel="1" ht="15" customHeight="1" s="82">
      <c r="A243" s="94">
        <f>'לקוחות לפי סוכן - מקור'!A237</f>
        <v/>
      </c>
      <c r="B243" s="94">
        <f>'לקוחות לפי סוכן - מקור'!C237</f>
        <v/>
      </c>
      <c r="C243" s="126">
        <f>'לקוחות לפי סוכן - מקור'!E237</f>
        <v/>
      </c>
      <c r="D243" s="102">
        <f>'לקוחות לפי סוכן - מקור'!F237</f>
        <v/>
      </c>
      <c r="E243" s="102">
        <f>'לקוחות לפי סוכן - מקור'!G237</f>
        <v/>
      </c>
      <c r="F243" s="94">
        <f>'לקוחות לפי סוכן - מקור'!D237</f>
        <v/>
      </c>
      <c r="G243" s="95">
        <f>'לקוחות לפי סוכן - מקור'!H237</f>
        <v/>
      </c>
      <c r="H243" s="95">
        <f>'לקוחות לפי סוכן - מקור'!I237</f>
        <v/>
      </c>
      <c r="I243" s="94">
        <f>'לקוחות לפי סוכן - מקור'!K237</f>
        <v/>
      </c>
    </row>
    <row r="244" outlineLevel="1" ht="15" customHeight="1" s="82">
      <c r="A244" s="94">
        <f>'לקוחות לפי סוכן - מקור'!A238</f>
        <v/>
      </c>
      <c r="B244" s="94">
        <f>'לקוחות לפי סוכן - מקור'!C238</f>
        <v/>
      </c>
      <c r="C244" s="126">
        <f>'לקוחות לפי סוכן - מקור'!E238</f>
        <v/>
      </c>
      <c r="D244" s="102">
        <f>'לקוחות לפי סוכן - מקור'!F238</f>
        <v/>
      </c>
      <c r="E244" s="102">
        <f>'לקוחות לפי סוכן - מקור'!G238</f>
        <v/>
      </c>
      <c r="F244" s="94">
        <f>'לקוחות לפי סוכן - מקור'!D238</f>
        <v/>
      </c>
      <c r="G244" s="95">
        <f>'לקוחות לפי סוכן - מקור'!H238</f>
        <v/>
      </c>
      <c r="H244" s="95">
        <f>'לקוחות לפי סוכן - מקור'!I238</f>
        <v/>
      </c>
      <c r="I244" s="94">
        <f>'לקוחות לפי סוכן - מקור'!K238</f>
        <v/>
      </c>
    </row>
    <row r="245" outlineLevel="1" ht="15" customHeight="1" s="82">
      <c r="A245" s="94">
        <f>'לקוחות לפי סוכן - מקור'!A239</f>
        <v/>
      </c>
      <c r="B245" s="94">
        <f>'לקוחות לפי סוכן - מקור'!C239</f>
        <v/>
      </c>
      <c r="C245" s="126">
        <f>'לקוחות לפי סוכן - מקור'!E239</f>
        <v/>
      </c>
      <c r="D245" s="102">
        <f>'לקוחות לפי סוכן - מקור'!F239</f>
        <v/>
      </c>
      <c r="E245" s="102">
        <f>'לקוחות לפי סוכן - מקור'!G239</f>
        <v/>
      </c>
      <c r="F245" s="94">
        <f>'לקוחות לפי סוכן - מקור'!D239</f>
        <v/>
      </c>
      <c r="G245" s="95">
        <f>'לקוחות לפי סוכן - מקור'!H239</f>
        <v/>
      </c>
      <c r="H245" s="95">
        <f>'לקוחות לפי סוכן - מקור'!I239</f>
        <v/>
      </c>
      <c r="I245" s="94">
        <f>'לקוחות לפי סוכן - מקור'!K239</f>
        <v/>
      </c>
    </row>
    <row r="246" outlineLevel="1" ht="15" customHeight="1" s="82">
      <c r="A246" s="94">
        <f>'לקוחות לפי סוכן - מקור'!A240</f>
        <v/>
      </c>
      <c r="B246" s="94">
        <f>'לקוחות לפי סוכן - מקור'!C240</f>
        <v/>
      </c>
      <c r="C246" s="126">
        <f>'לקוחות לפי סוכן - מקור'!E240</f>
        <v/>
      </c>
      <c r="D246" s="102">
        <f>'לקוחות לפי סוכן - מקור'!F240</f>
        <v/>
      </c>
      <c r="E246" s="102">
        <f>'לקוחות לפי סוכן - מקור'!G240</f>
        <v/>
      </c>
      <c r="F246" s="94">
        <f>'לקוחות לפי סוכן - מקור'!D240</f>
        <v/>
      </c>
      <c r="G246" s="95">
        <f>'לקוחות לפי סוכן - מקור'!H240</f>
        <v/>
      </c>
      <c r="H246" s="95">
        <f>'לקוחות לפי סוכן - מקור'!I240</f>
        <v/>
      </c>
      <c r="I246" s="94">
        <f>'לקוחות לפי סוכן - מקור'!K240</f>
        <v/>
      </c>
    </row>
    <row r="247" outlineLevel="1" ht="15" customHeight="1" s="82">
      <c r="A247" s="94">
        <f>'לקוחות לפי סוכן - מקור'!A241</f>
        <v/>
      </c>
      <c r="B247" s="94">
        <f>'לקוחות לפי סוכן - מקור'!C241</f>
        <v/>
      </c>
      <c r="C247" s="126">
        <f>'לקוחות לפי סוכן - מקור'!E241</f>
        <v/>
      </c>
      <c r="D247" s="102">
        <f>'לקוחות לפי סוכן - מקור'!F241</f>
        <v/>
      </c>
      <c r="E247" s="102">
        <f>'לקוחות לפי סוכן - מקור'!G241</f>
        <v/>
      </c>
      <c r="F247" s="94">
        <f>'לקוחות לפי סוכן - מקור'!D241</f>
        <v/>
      </c>
      <c r="G247" s="95">
        <f>'לקוחות לפי סוכן - מקור'!H241</f>
        <v/>
      </c>
      <c r="H247" s="95">
        <f>'לקוחות לפי סוכן - מקור'!I241</f>
        <v/>
      </c>
      <c r="I247" s="94">
        <f>'לקוחות לפי סוכן - מקור'!K241</f>
        <v/>
      </c>
    </row>
    <row r="248" outlineLevel="1" ht="15" customHeight="1" s="82">
      <c r="A248" s="94">
        <f>'לקוחות לפי סוכן - מקור'!A242</f>
        <v/>
      </c>
      <c r="B248" s="94">
        <f>'לקוחות לפי סוכן - מקור'!C242</f>
        <v/>
      </c>
      <c r="C248" s="126">
        <f>'לקוחות לפי סוכן - מקור'!E242</f>
        <v/>
      </c>
      <c r="D248" s="102">
        <f>'לקוחות לפי סוכן - מקור'!F242</f>
        <v/>
      </c>
      <c r="E248" s="102">
        <f>'לקוחות לפי סוכן - מקור'!G242</f>
        <v/>
      </c>
      <c r="F248" s="94">
        <f>'לקוחות לפי סוכן - מקור'!D242</f>
        <v/>
      </c>
      <c r="G248" s="95">
        <f>'לקוחות לפי סוכן - מקור'!H242</f>
        <v/>
      </c>
      <c r="H248" s="95">
        <f>'לקוחות לפי סוכן - מקור'!I242</f>
        <v/>
      </c>
      <c r="I248" s="94">
        <f>'לקוחות לפי סוכן - מקור'!K242</f>
        <v/>
      </c>
    </row>
    <row r="249" outlineLevel="1" ht="15" customHeight="1" s="82">
      <c r="A249" s="94">
        <f>'לקוחות לפי סוכן - מקור'!A243</f>
        <v/>
      </c>
      <c r="B249" s="94">
        <f>'לקוחות לפי סוכן - מקור'!C243</f>
        <v/>
      </c>
      <c r="C249" s="126">
        <f>'לקוחות לפי סוכן - מקור'!E243</f>
        <v/>
      </c>
      <c r="D249" s="102">
        <f>'לקוחות לפי סוכן - מקור'!F243</f>
        <v/>
      </c>
      <c r="E249" s="102">
        <f>'לקוחות לפי סוכן - מקור'!G243</f>
        <v/>
      </c>
      <c r="F249" s="94">
        <f>'לקוחות לפי סוכן - מקור'!D243</f>
        <v/>
      </c>
      <c r="G249" s="95">
        <f>'לקוחות לפי סוכן - מקור'!H243</f>
        <v/>
      </c>
      <c r="H249" s="95">
        <f>'לקוחות לפי סוכן - מקור'!I243</f>
        <v/>
      </c>
      <c r="I249" s="94">
        <f>'לקוחות לפי סוכן - מקור'!K243</f>
        <v/>
      </c>
    </row>
    <row r="250" outlineLevel="1" ht="15" customHeight="1" s="82">
      <c r="A250" s="94">
        <f>'לקוחות לפי סוכן - מקור'!A244</f>
        <v/>
      </c>
      <c r="B250" s="94">
        <f>'לקוחות לפי סוכן - מקור'!C244</f>
        <v/>
      </c>
      <c r="C250" s="126">
        <f>'לקוחות לפי סוכן - מקור'!E244</f>
        <v/>
      </c>
      <c r="D250" s="102">
        <f>'לקוחות לפי סוכן - מקור'!F244</f>
        <v/>
      </c>
      <c r="E250" s="102">
        <f>'לקוחות לפי סוכן - מקור'!G244</f>
        <v/>
      </c>
      <c r="F250" s="94">
        <f>'לקוחות לפי סוכן - מקור'!D244</f>
        <v/>
      </c>
      <c r="G250" s="95">
        <f>'לקוחות לפי סוכן - מקור'!H244</f>
        <v/>
      </c>
      <c r="H250" s="95">
        <f>'לקוחות לפי סוכן - מקור'!I244</f>
        <v/>
      </c>
      <c r="I250" s="94">
        <f>'לקוחות לפי סוכן - מקור'!K244</f>
        <v/>
      </c>
    </row>
    <row r="251" outlineLevel="1" ht="15" customHeight="1" s="82">
      <c r="A251" s="94">
        <f>'לקוחות לפי סוכן - מקור'!A245</f>
        <v/>
      </c>
      <c r="B251" s="94">
        <f>'לקוחות לפי סוכן - מקור'!C245</f>
        <v/>
      </c>
      <c r="C251" s="126">
        <f>'לקוחות לפי סוכן - מקור'!E245</f>
        <v/>
      </c>
      <c r="D251" s="102">
        <f>'לקוחות לפי סוכן - מקור'!F245</f>
        <v/>
      </c>
      <c r="E251" s="102">
        <f>'לקוחות לפי סוכן - מקור'!G245</f>
        <v/>
      </c>
      <c r="F251" s="94">
        <f>'לקוחות לפי סוכן - מקור'!D245</f>
        <v/>
      </c>
      <c r="G251" s="95">
        <f>'לקוחות לפי סוכן - מקור'!H245</f>
        <v/>
      </c>
      <c r="H251" s="95">
        <f>'לקוחות לפי סוכן - מקור'!I245</f>
        <v/>
      </c>
      <c r="I251" s="94">
        <f>'לקוחות לפי סוכן - מקור'!K245</f>
        <v/>
      </c>
    </row>
    <row r="252" outlineLevel="1" ht="15" customHeight="1" s="82">
      <c r="A252" s="94">
        <f>'לקוחות לפי סוכן - מקור'!A246</f>
        <v/>
      </c>
      <c r="B252" s="94">
        <f>'לקוחות לפי סוכן - מקור'!C246</f>
        <v/>
      </c>
      <c r="C252" s="126">
        <f>'לקוחות לפי סוכן - מקור'!E246</f>
        <v/>
      </c>
      <c r="D252" s="102">
        <f>'לקוחות לפי סוכן - מקור'!F246</f>
        <v/>
      </c>
      <c r="E252" s="102">
        <f>'לקוחות לפי סוכן - מקור'!G246</f>
        <v/>
      </c>
      <c r="F252" s="94">
        <f>'לקוחות לפי סוכן - מקור'!D246</f>
        <v/>
      </c>
      <c r="G252" s="95">
        <f>'לקוחות לפי סוכן - מקור'!H246</f>
        <v/>
      </c>
      <c r="H252" s="95">
        <f>'לקוחות לפי סוכן - מקור'!I246</f>
        <v/>
      </c>
      <c r="I252" s="94">
        <f>'לקוחות לפי סוכן - מקור'!K246</f>
        <v/>
      </c>
    </row>
    <row r="253" outlineLevel="1" ht="15" customHeight="1" s="82">
      <c r="A253" s="94">
        <f>'לקוחות לפי סוכן - מקור'!A247</f>
        <v/>
      </c>
      <c r="B253" s="94">
        <f>'לקוחות לפי סוכן - מקור'!C247</f>
        <v/>
      </c>
      <c r="C253" s="126">
        <f>'לקוחות לפי סוכן - מקור'!E247</f>
        <v/>
      </c>
      <c r="D253" s="102">
        <f>'לקוחות לפי סוכן - מקור'!F247</f>
        <v/>
      </c>
      <c r="E253" s="102">
        <f>'לקוחות לפי סוכן - מקור'!G247</f>
        <v/>
      </c>
      <c r="F253" s="94">
        <f>'לקוחות לפי סוכן - מקור'!D247</f>
        <v/>
      </c>
      <c r="G253" s="95">
        <f>'לקוחות לפי סוכן - מקור'!H247</f>
        <v/>
      </c>
      <c r="H253" s="95">
        <f>'לקוחות לפי סוכן - מקור'!I247</f>
        <v/>
      </c>
      <c r="I253" s="94">
        <f>'לקוחות לפי סוכן - מקור'!K247</f>
        <v/>
      </c>
    </row>
    <row r="254" outlineLevel="1" ht="15" customHeight="1" s="82">
      <c r="A254" s="94">
        <f>'לקוחות לפי סוכן - מקור'!A248</f>
        <v/>
      </c>
      <c r="B254" s="94">
        <f>'לקוחות לפי סוכן - מקור'!C248</f>
        <v/>
      </c>
      <c r="C254" s="126">
        <f>'לקוחות לפי סוכן - מקור'!E248</f>
        <v/>
      </c>
      <c r="D254" s="102">
        <f>'לקוחות לפי סוכן - מקור'!F248</f>
        <v/>
      </c>
      <c r="E254" s="102">
        <f>'לקוחות לפי סוכן - מקור'!G248</f>
        <v/>
      </c>
      <c r="F254" s="94">
        <f>'לקוחות לפי סוכן - מקור'!D248</f>
        <v/>
      </c>
      <c r="G254" s="95">
        <f>'לקוחות לפי סוכן - מקור'!H248</f>
        <v/>
      </c>
      <c r="H254" s="95">
        <f>'לקוחות לפי סוכן - מקור'!I248</f>
        <v/>
      </c>
      <c r="I254" s="94">
        <f>'לקוחות לפי סוכן - מקור'!K248</f>
        <v/>
      </c>
    </row>
    <row r="255" outlineLevel="1" ht="15" customHeight="1" s="82">
      <c r="A255" s="94">
        <f>'לקוחות לפי סוכן - מקור'!A249</f>
        <v/>
      </c>
      <c r="B255" s="94">
        <f>'לקוחות לפי סוכן - מקור'!C249</f>
        <v/>
      </c>
      <c r="C255" s="126">
        <f>'לקוחות לפי סוכן - מקור'!E249</f>
        <v/>
      </c>
      <c r="D255" s="102">
        <f>'לקוחות לפי סוכן - מקור'!F249</f>
        <v/>
      </c>
      <c r="E255" s="102">
        <f>'לקוחות לפי סוכן - מקור'!G249</f>
        <v/>
      </c>
      <c r="F255" s="94">
        <f>'לקוחות לפי סוכן - מקור'!D249</f>
        <v/>
      </c>
      <c r="G255" s="95">
        <f>'לקוחות לפי סוכן - מקור'!H249</f>
        <v/>
      </c>
      <c r="H255" s="95">
        <f>'לקוחות לפי סוכן - מקור'!I249</f>
        <v/>
      </c>
      <c r="I255" s="94">
        <f>'לקוחות לפי סוכן - מקור'!K249</f>
        <v/>
      </c>
    </row>
    <row r="256" outlineLevel="1" ht="15" customHeight="1" s="82">
      <c r="A256" s="94">
        <f>'לקוחות לפי סוכן - מקור'!A250</f>
        <v/>
      </c>
      <c r="B256" s="94">
        <f>'לקוחות לפי סוכן - מקור'!C250</f>
        <v/>
      </c>
      <c r="C256" s="126">
        <f>'לקוחות לפי סוכן - מקור'!E250</f>
        <v/>
      </c>
      <c r="D256" s="102">
        <f>'לקוחות לפי סוכן - מקור'!F250</f>
        <v/>
      </c>
      <c r="E256" s="102">
        <f>'לקוחות לפי סוכן - מקור'!G250</f>
        <v/>
      </c>
      <c r="F256" s="94">
        <f>'לקוחות לפי סוכן - מקור'!D250</f>
        <v/>
      </c>
      <c r="G256" s="95">
        <f>'לקוחות לפי סוכן - מקור'!H250</f>
        <v/>
      </c>
      <c r="H256" s="95">
        <f>'לקוחות לפי סוכן - מקור'!I250</f>
        <v/>
      </c>
      <c r="I256" s="94">
        <f>'לקוחות לפי סוכן - מקור'!K250</f>
        <v/>
      </c>
    </row>
    <row r="257" outlineLevel="1" ht="15" customHeight="1" s="82">
      <c r="A257" s="94">
        <f>'לקוחות לפי סוכן - מקור'!A251</f>
        <v/>
      </c>
      <c r="B257" s="94">
        <f>'לקוחות לפי סוכן - מקור'!C251</f>
        <v/>
      </c>
      <c r="C257" s="126">
        <f>'לקוחות לפי סוכן - מקור'!E251</f>
        <v/>
      </c>
      <c r="D257" s="102">
        <f>'לקוחות לפי סוכן - מקור'!F251</f>
        <v/>
      </c>
      <c r="E257" s="102">
        <f>'לקוחות לפי סוכן - מקור'!G251</f>
        <v/>
      </c>
      <c r="F257" s="94">
        <f>'לקוחות לפי סוכן - מקור'!D251</f>
        <v/>
      </c>
      <c r="G257" s="95">
        <f>'לקוחות לפי סוכן - מקור'!H251</f>
        <v/>
      </c>
      <c r="H257" s="95">
        <f>'לקוחות לפי סוכן - מקור'!I251</f>
        <v/>
      </c>
      <c r="I257" s="94">
        <f>'לקוחות לפי סוכן - מקור'!K251</f>
        <v/>
      </c>
    </row>
    <row r="258" outlineLevel="1" ht="15" customHeight="1" s="82">
      <c r="A258" s="94">
        <f>'לקוחות לפי סוכן - מקור'!A252</f>
        <v/>
      </c>
      <c r="B258" s="94">
        <f>'לקוחות לפי סוכן - מקור'!C252</f>
        <v/>
      </c>
      <c r="C258" s="126">
        <f>'לקוחות לפי סוכן - מקור'!E252</f>
        <v/>
      </c>
      <c r="D258" s="102">
        <f>'לקוחות לפי סוכן - מקור'!F252</f>
        <v/>
      </c>
      <c r="E258" s="102">
        <f>'לקוחות לפי סוכן - מקור'!G252</f>
        <v/>
      </c>
      <c r="F258" s="94">
        <f>'לקוחות לפי סוכן - מקור'!D252</f>
        <v/>
      </c>
      <c r="G258" s="95">
        <f>'לקוחות לפי סוכן - מקור'!H252</f>
        <v/>
      </c>
      <c r="H258" s="95">
        <f>'לקוחות לפי סוכן - מקור'!I252</f>
        <v/>
      </c>
      <c r="I258" s="94">
        <f>'לקוחות לפי סוכן - מקור'!K252</f>
        <v/>
      </c>
    </row>
    <row r="259" outlineLevel="1" ht="15" customHeight="1" s="82">
      <c r="A259" s="94">
        <f>'לקוחות לפי סוכן - מקור'!A253</f>
        <v/>
      </c>
      <c r="B259" s="94">
        <f>'לקוחות לפי סוכן - מקור'!C253</f>
        <v/>
      </c>
      <c r="C259" s="126">
        <f>'לקוחות לפי סוכן - מקור'!E253</f>
        <v/>
      </c>
      <c r="D259" s="102">
        <f>'לקוחות לפי סוכן - מקור'!F253</f>
        <v/>
      </c>
      <c r="E259" s="102">
        <f>'לקוחות לפי סוכן - מקור'!G253</f>
        <v/>
      </c>
      <c r="F259" s="94">
        <f>'לקוחות לפי סוכן - מקור'!D253</f>
        <v/>
      </c>
      <c r="G259" s="95">
        <f>'לקוחות לפי סוכן - מקור'!H253</f>
        <v/>
      </c>
      <c r="H259" s="95">
        <f>'לקוחות לפי סוכן - מקור'!I253</f>
        <v/>
      </c>
      <c r="I259" s="94">
        <f>'לקוחות לפי סוכן - מקור'!K253</f>
        <v/>
      </c>
    </row>
    <row r="260" outlineLevel="1" ht="15" customHeight="1" s="82">
      <c r="A260" s="94">
        <f>'לקוחות לפי סוכן - מקור'!A254</f>
        <v/>
      </c>
      <c r="B260" s="94">
        <f>'לקוחות לפי סוכן - מקור'!C254</f>
        <v/>
      </c>
      <c r="C260" s="126">
        <f>'לקוחות לפי סוכן - מקור'!E254</f>
        <v/>
      </c>
      <c r="D260" s="102">
        <f>'לקוחות לפי סוכן - מקור'!F254</f>
        <v/>
      </c>
      <c r="E260" s="102">
        <f>'לקוחות לפי סוכן - מקור'!G254</f>
        <v/>
      </c>
      <c r="F260" s="94">
        <f>'לקוחות לפי סוכן - מקור'!D254</f>
        <v/>
      </c>
      <c r="G260" s="95">
        <f>'לקוחות לפי סוכן - מקור'!H254</f>
        <v/>
      </c>
      <c r="H260" s="95">
        <f>'לקוחות לפי סוכן - מקור'!I254</f>
        <v/>
      </c>
      <c r="I260" s="94">
        <f>'לקוחות לפי סוכן - מקור'!K254</f>
        <v/>
      </c>
    </row>
    <row r="261" outlineLevel="1" ht="15" customHeight="1" s="82">
      <c r="A261" s="94">
        <f>'לקוחות לפי סוכן - מקור'!A255</f>
        <v/>
      </c>
      <c r="B261" s="94">
        <f>'לקוחות לפי סוכן - מקור'!C255</f>
        <v/>
      </c>
      <c r="C261" s="126">
        <f>'לקוחות לפי סוכן - מקור'!E255</f>
        <v/>
      </c>
      <c r="D261" s="102">
        <f>'לקוחות לפי סוכן - מקור'!F255</f>
        <v/>
      </c>
      <c r="E261" s="102">
        <f>'לקוחות לפי סוכן - מקור'!G255</f>
        <v/>
      </c>
      <c r="F261" s="94">
        <f>'לקוחות לפי סוכן - מקור'!D255</f>
        <v/>
      </c>
      <c r="G261" s="95">
        <f>'לקוחות לפי סוכן - מקור'!H255</f>
        <v/>
      </c>
      <c r="H261" s="95">
        <f>'לקוחות לפי סוכן - מקור'!I255</f>
        <v/>
      </c>
      <c r="I261" s="94">
        <f>'לקוחות לפי סוכן - מקור'!K255</f>
        <v/>
      </c>
    </row>
    <row r="262" outlineLevel="1" ht="15" customHeight="1" s="82">
      <c r="A262" s="94">
        <f>'לקוחות לפי סוכן - מקור'!A256</f>
        <v/>
      </c>
      <c r="B262" s="94">
        <f>'לקוחות לפי סוכן - מקור'!C256</f>
        <v/>
      </c>
      <c r="C262" s="126">
        <f>'לקוחות לפי סוכן - מקור'!E256</f>
        <v/>
      </c>
      <c r="D262" s="102">
        <f>'לקוחות לפי סוכן - מקור'!F256</f>
        <v/>
      </c>
      <c r="E262" s="102">
        <f>'לקוחות לפי סוכן - מקור'!G256</f>
        <v/>
      </c>
      <c r="F262" s="94">
        <f>'לקוחות לפי סוכן - מקור'!D256</f>
        <v/>
      </c>
      <c r="G262" s="95">
        <f>'לקוחות לפי סוכן - מקור'!H256</f>
        <v/>
      </c>
      <c r="H262" s="95">
        <f>'לקוחות לפי סוכן - מקור'!I256</f>
        <v/>
      </c>
      <c r="I262" s="94">
        <f>'לקוחות לפי סוכן - מקור'!K256</f>
        <v/>
      </c>
    </row>
    <row r="263" outlineLevel="1" ht="15" customHeight="1" s="82">
      <c r="A263" s="94">
        <f>'לקוחות לפי סוכן - מקור'!A257</f>
        <v/>
      </c>
      <c r="B263" s="94">
        <f>'לקוחות לפי סוכן - מקור'!C257</f>
        <v/>
      </c>
      <c r="C263" s="126">
        <f>'לקוחות לפי סוכן - מקור'!E257</f>
        <v/>
      </c>
      <c r="D263" s="102">
        <f>'לקוחות לפי סוכן - מקור'!F257</f>
        <v/>
      </c>
      <c r="E263" s="102">
        <f>'לקוחות לפי סוכן - מקור'!G257</f>
        <v/>
      </c>
      <c r="F263" s="94">
        <f>'לקוחות לפי סוכן - מקור'!D257</f>
        <v/>
      </c>
      <c r="G263" s="95">
        <f>'לקוחות לפי סוכן - מקור'!H257</f>
        <v/>
      </c>
      <c r="H263" s="95">
        <f>'לקוחות לפי סוכן - מקור'!I257</f>
        <v/>
      </c>
      <c r="I263" s="94">
        <f>'לקוחות לפי סוכן - מקור'!K257</f>
        <v/>
      </c>
    </row>
    <row r="264" outlineLevel="1" ht="15" customHeight="1" s="82">
      <c r="A264" s="94">
        <f>'לקוחות לפי סוכן - מקור'!A258</f>
        <v/>
      </c>
      <c r="B264" s="94">
        <f>'לקוחות לפי סוכן - מקור'!C258</f>
        <v/>
      </c>
      <c r="C264" s="126">
        <f>'לקוחות לפי סוכן - מקור'!E258</f>
        <v/>
      </c>
      <c r="D264" s="102">
        <f>'לקוחות לפי סוכן - מקור'!F258</f>
        <v/>
      </c>
      <c r="E264" s="102">
        <f>'לקוחות לפי סוכן - מקור'!G258</f>
        <v/>
      </c>
      <c r="F264" s="94">
        <f>'לקוחות לפי סוכן - מקור'!D258</f>
        <v/>
      </c>
      <c r="G264" s="95">
        <f>'לקוחות לפי סוכן - מקור'!H258</f>
        <v/>
      </c>
      <c r="H264" s="95">
        <f>'לקוחות לפי סוכן - מקור'!I258</f>
        <v/>
      </c>
      <c r="I264" s="94">
        <f>'לקוחות לפי סוכן - מקור'!K258</f>
        <v/>
      </c>
    </row>
    <row r="265" outlineLevel="1" ht="15" customHeight="1" s="82">
      <c r="A265" s="94">
        <f>'לקוחות לפי סוכן - מקור'!A259</f>
        <v/>
      </c>
      <c r="B265" s="94">
        <f>'לקוחות לפי סוכן - מקור'!C259</f>
        <v/>
      </c>
      <c r="C265" s="126">
        <f>'לקוחות לפי סוכן - מקור'!E259</f>
        <v/>
      </c>
      <c r="D265" s="102">
        <f>'לקוחות לפי סוכן - מקור'!F259</f>
        <v/>
      </c>
      <c r="E265" s="102">
        <f>'לקוחות לפי סוכן - מקור'!G259</f>
        <v/>
      </c>
      <c r="F265" s="94">
        <f>'לקוחות לפי סוכן - מקור'!D259</f>
        <v/>
      </c>
      <c r="G265" s="95">
        <f>'לקוחות לפי סוכן - מקור'!H259</f>
        <v/>
      </c>
      <c r="H265" s="95">
        <f>'לקוחות לפי סוכן - מקור'!I259</f>
        <v/>
      </c>
      <c r="I265" s="94">
        <f>'לקוחות לפי סוכן - מקור'!K259</f>
        <v/>
      </c>
    </row>
    <row r="266" outlineLevel="1" ht="15" customHeight="1" s="82">
      <c r="A266" s="94">
        <f>'לקוחות לפי סוכן - מקור'!A260</f>
        <v/>
      </c>
      <c r="B266" s="94">
        <f>'לקוחות לפי סוכן - מקור'!C260</f>
        <v/>
      </c>
      <c r="C266" s="126">
        <f>'לקוחות לפי סוכן - מקור'!E260</f>
        <v/>
      </c>
      <c r="D266" s="102">
        <f>'לקוחות לפי סוכן - מקור'!F260</f>
        <v/>
      </c>
      <c r="E266" s="102">
        <f>'לקוחות לפי סוכן - מקור'!G260</f>
        <v/>
      </c>
      <c r="F266" s="94">
        <f>'לקוחות לפי סוכן - מקור'!D260</f>
        <v/>
      </c>
      <c r="G266" s="95">
        <f>'לקוחות לפי סוכן - מקור'!H260</f>
        <v/>
      </c>
      <c r="H266" s="95">
        <f>'לקוחות לפי סוכן - מקור'!I260</f>
        <v/>
      </c>
      <c r="I266" s="94">
        <f>'לקוחות לפי סוכן - מקור'!K260</f>
        <v/>
      </c>
    </row>
    <row r="267" outlineLevel="1" ht="15" customHeight="1" s="82">
      <c r="A267" s="94">
        <f>'לקוחות לפי סוכן - מקור'!A261</f>
        <v/>
      </c>
      <c r="B267" s="94">
        <f>'לקוחות לפי סוכן - מקור'!C261</f>
        <v/>
      </c>
      <c r="C267" s="126">
        <f>'לקוחות לפי סוכן - מקור'!E261</f>
        <v/>
      </c>
      <c r="D267" s="102">
        <f>'לקוחות לפי סוכן - מקור'!F261</f>
        <v/>
      </c>
      <c r="E267" s="102">
        <f>'לקוחות לפי סוכן - מקור'!G261</f>
        <v/>
      </c>
      <c r="F267" s="94">
        <f>'לקוחות לפי סוכן - מקור'!D261</f>
        <v/>
      </c>
      <c r="G267" s="95">
        <f>'לקוחות לפי סוכן - מקור'!H261</f>
        <v/>
      </c>
      <c r="H267" s="95">
        <f>'לקוחות לפי סוכן - מקור'!I261</f>
        <v/>
      </c>
      <c r="I267" s="94">
        <f>'לקוחות לפי סוכן - מקור'!K261</f>
        <v/>
      </c>
    </row>
    <row r="268" outlineLevel="1" ht="15" customHeight="1" s="82">
      <c r="A268" s="94">
        <f>'לקוחות לפי סוכן - מקור'!A262</f>
        <v/>
      </c>
      <c r="B268" s="94">
        <f>'לקוחות לפי סוכן - מקור'!C262</f>
        <v/>
      </c>
      <c r="C268" s="126">
        <f>'לקוחות לפי סוכן - מקור'!E262</f>
        <v/>
      </c>
      <c r="D268" s="102">
        <f>'לקוחות לפי סוכן - מקור'!F262</f>
        <v/>
      </c>
      <c r="E268" s="102">
        <f>'לקוחות לפי סוכן - מקור'!G262</f>
        <v/>
      </c>
      <c r="F268" s="94">
        <f>'לקוחות לפי סוכן - מקור'!D262</f>
        <v/>
      </c>
      <c r="G268" s="95">
        <f>'לקוחות לפי סוכן - מקור'!H262</f>
        <v/>
      </c>
      <c r="H268" s="95">
        <f>'לקוחות לפי סוכן - מקור'!I262</f>
        <v/>
      </c>
      <c r="I268" s="94">
        <f>'לקוחות לפי סוכן - מקור'!K262</f>
        <v/>
      </c>
    </row>
    <row r="269" outlineLevel="1" ht="15" customHeight="1" s="82">
      <c r="A269" s="94">
        <f>'לקוחות לפי סוכן - מקור'!A263</f>
        <v/>
      </c>
      <c r="B269" s="94">
        <f>'לקוחות לפי סוכן - מקור'!C263</f>
        <v/>
      </c>
      <c r="C269" s="126">
        <f>'לקוחות לפי סוכן - מקור'!E263</f>
        <v/>
      </c>
      <c r="D269" s="102">
        <f>'לקוחות לפי סוכן - מקור'!F263</f>
        <v/>
      </c>
      <c r="E269" s="102">
        <f>'לקוחות לפי סוכן - מקור'!G263</f>
        <v/>
      </c>
      <c r="F269" s="94">
        <f>'לקוחות לפי סוכן - מקור'!D263</f>
        <v/>
      </c>
      <c r="G269" s="95">
        <f>'לקוחות לפי סוכן - מקור'!H263</f>
        <v/>
      </c>
      <c r="H269" s="95">
        <f>'לקוחות לפי סוכן - מקור'!I263</f>
        <v/>
      </c>
      <c r="I269" s="94">
        <f>'לקוחות לפי סוכן - מקור'!K263</f>
        <v/>
      </c>
    </row>
    <row r="270" outlineLevel="1" ht="15" customHeight="1" s="82">
      <c r="A270" s="94">
        <f>'לקוחות לפי סוכן - מקור'!A264</f>
        <v/>
      </c>
      <c r="B270" s="94">
        <f>'לקוחות לפי סוכן - מקור'!C264</f>
        <v/>
      </c>
      <c r="C270" s="126">
        <f>'לקוחות לפי סוכן - מקור'!E264</f>
        <v/>
      </c>
      <c r="D270" s="102">
        <f>'לקוחות לפי סוכן - מקור'!F264</f>
        <v/>
      </c>
      <c r="E270" s="102">
        <f>'לקוחות לפי סוכן - מקור'!G264</f>
        <v/>
      </c>
      <c r="F270" s="94">
        <f>'לקוחות לפי סוכן - מקור'!D264</f>
        <v/>
      </c>
      <c r="G270" s="95">
        <f>'לקוחות לפי סוכן - מקור'!H264</f>
        <v/>
      </c>
      <c r="H270" s="95">
        <f>'לקוחות לפי סוכן - מקור'!I264</f>
        <v/>
      </c>
      <c r="I270" s="94">
        <f>'לקוחות לפי סוכן - מקור'!K264</f>
        <v/>
      </c>
    </row>
    <row r="271" outlineLevel="1" ht="15" customHeight="1" s="82">
      <c r="A271" s="94">
        <f>'לקוחות לפי סוכן - מקור'!A265</f>
        <v/>
      </c>
      <c r="B271" s="94">
        <f>'לקוחות לפי סוכן - מקור'!C265</f>
        <v/>
      </c>
      <c r="C271" s="126">
        <f>'לקוחות לפי סוכן - מקור'!E265</f>
        <v/>
      </c>
      <c r="D271" s="102">
        <f>'לקוחות לפי סוכן - מקור'!F265</f>
        <v/>
      </c>
      <c r="E271" s="102">
        <f>'לקוחות לפי סוכן - מקור'!G265</f>
        <v/>
      </c>
      <c r="F271" s="94">
        <f>'לקוחות לפי סוכן - מקור'!D265</f>
        <v/>
      </c>
      <c r="G271" s="95">
        <f>'לקוחות לפי סוכן - מקור'!H265</f>
        <v/>
      </c>
      <c r="H271" s="95">
        <f>'לקוחות לפי סוכן - מקור'!I265</f>
        <v/>
      </c>
      <c r="I271" s="94">
        <f>'לקוחות לפי סוכן - מקור'!K265</f>
        <v/>
      </c>
    </row>
    <row r="272" outlineLevel="1" ht="15" customHeight="1" s="82">
      <c r="A272" s="94">
        <f>'לקוחות לפי סוכן - מקור'!A266</f>
        <v/>
      </c>
      <c r="B272" s="94">
        <f>'לקוחות לפי סוכן - מקור'!C266</f>
        <v/>
      </c>
      <c r="C272" s="126">
        <f>'לקוחות לפי סוכן - מקור'!E266</f>
        <v/>
      </c>
      <c r="D272" s="102">
        <f>'לקוחות לפי סוכן - מקור'!F266</f>
        <v/>
      </c>
      <c r="E272" s="102">
        <f>'לקוחות לפי סוכן - מקור'!G266</f>
        <v/>
      </c>
      <c r="F272" s="94">
        <f>'לקוחות לפי סוכן - מקור'!D266</f>
        <v/>
      </c>
      <c r="G272" s="95">
        <f>'לקוחות לפי סוכן - מקור'!H266</f>
        <v/>
      </c>
      <c r="H272" s="95">
        <f>'לקוחות לפי סוכן - מקור'!I266</f>
        <v/>
      </c>
      <c r="I272" s="94">
        <f>'לקוחות לפי סוכן - מקור'!K266</f>
        <v/>
      </c>
    </row>
    <row r="273" outlineLevel="1" ht="15" customHeight="1" s="82">
      <c r="A273" s="94">
        <f>'לקוחות לפי סוכן - מקור'!A267</f>
        <v/>
      </c>
      <c r="B273" s="94">
        <f>'לקוחות לפי סוכן - מקור'!C267</f>
        <v/>
      </c>
      <c r="C273" s="126">
        <f>'לקוחות לפי סוכן - מקור'!E267</f>
        <v/>
      </c>
      <c r="D273" s="102">
        <f>'לקוחות לפי סוכן - מקור'!F267</f>
        <v/>
      </c>
      <c r="E273" s="102">
        <f>'לקוחות לפי סוכן - מקור'!G267</f>
        <v/>
      </c>
      <c r="F273" s="94">
        <f>'לקוחות לפי סוכן - מקור'!D267</f>
        <v/>
      </c>
      <c r="G273" s="95">
        <f>'לקוחות לפי סוכן - מקור'!H267</f>
        <v/>
      </c>
      <c r="H273" s="95">
        <f>'לקוחות לפי סוכן - מקור'!I267</f>
        <v/>
      </c>
      <c r="I273" s="94">
        <f>'לקוחות לפי סוכן - מקור'!K267</f>
        <v/>
      </c>
    </row>
    <row r="274" outlineLevel="1" ht="15" customHeight="1" s="82">
      <c r="A274" s="94">
        <f>'לקוחות לפי סוכן - מקור'!A268</f>
        <v/>
      </c>
      <c r="B274" s="94">
        <f>'לקוחות לפי סוכן - מקור'!C268</f>
        <v/>
      </c>
      <c r="C274" s="126">
        <f>'לקוחות לפי סוכן - מקור'!E268</f>
        <v/>
      </c>
      <c r="D274" s="102">
        <f>'לקוחות לפי סוכן - מקור'!F268</f>
        <v/>
      </c>
      <c r="E274" s="102">
        <f>'לקוחות לפי סוכן - מקור'!G268</f>
        <v/>
      </c>
      <c r="F274" s="94">
        <f>'לקוחות לפי סוכן - מקור'!D268</f>
        <v/>
      </c>
      <c r="G274" s="95">
        <f>'לקוחות לפי סוכן - מקור'!H268</f>
        <v/>
      </c>
      <c r="H274" s="95">
        <f>'לקוחות לפי סוכן - מקור'!I268</f>
        <v/>
      </c>
      <c r="I274" s="94">
        <f>'לקוחות לפי סוכן - מקור'!K268</f>
        <v/>
      </c>
    </row>
    <row r="275" outlineLevel="1" ht="15" customHeight="1" s="82">
      <c r="A275" s="94">
        <f>'לקוחות לפי סוכן - מקור'!A269</f>
        <v/>
      </c>
      <c r="B275" s="94">
        <f>'לקוחות לפי סוכן - מקור'!C269</f>
        <v/>
      </c>
      <c r="C275" s="126">
        <f>'לקוחות לפי סוכן - מקור'!E269</f>
        <v/>
      </c>
      <c r="D275" s="102">
        <f>'לקוחות לפי סוכן - מקור'!F269</f>
        <v/>
      </c>
      <c r="E275" s="102">
        <f>'לקוחות לפי סוכן - מקור'!G269</f>
        <v/>
      </c>
      <c r="F275" s="94">
        <f>'לקוחות לפי סוכן - מקור'!D269</f>
        <v/>
      </c>
      <c r="G275" s="95">
        <f>'לקוחות לפי סוכן - מקור'!H269</f>
        <v/>
      </c>
      <c r="H275" s="95">
        <f>'לקוחות לפי סוכן - מקור'!I269</f>
        <v/>
      </c>
      <c r="I275" s="94">
        <f>'לקוחות לפי סוכן - מקור'!K269</f>
        <v/>
      </c>
    </row>
    <row r="276" outlineLevel="1" ht="15" customHeight="1" s="82">
      <c r="A276" s="94">
        <f>'לקוחות לפי סוכן - מקור'!A270</f>
        <v/>
      </c>
      <c r="B276" s="94">
        <f>'לקוחות לפי סוכן - מקור'!C270</f>
        <v/>
      </c>
      <c r="C276" s="126">
        <f>'לקוחות לפי סוכן - מקור'!E270</f>
        <v/>
      </c>
      <c r="D276" s="102">
        <f>'לקוחות לפי סוכן - מקור'!F270</f>
        <v/>
      </c>
      <c r="E276" s="102">
        <f>'לקוחות לפי סוכן - מקור'!G270</f>
        <v/>
      </c>
      <c r="F276" s="94">
        <f>'לקוחות לפי סוכן - מקור'!D270</f>
        <v/>
      </c>
      <c r="G276" s="95">
        <f>'לקוחות לפי סוכן - מקור'!H270</f>
        <v/>
      </c>
      <c r="H276" s="95">
        <f>'לקוחות לפי סוכן - מקור'!I270</f>
        <v/>
      </c>
      <c r="I276" s="94">
        <f>'לקוחות לפי סוכן - מקור'!K270</f>
        <v/>
      </c>
    </row>
    <row r="277" outlineLevel="1" ht="15" customHeight="1" s="82">
      <c r="A277" s="94">
        <f>'לקוחות לפי סוכן - מקור'!A271</f>
        <v/>
      </c>
      <c r="B277" s="94">
        <f>'לקוחות לפי סוכן - מקור'!C271</f>
        <v/>
      </c>
      <c r="C277" s="126">
        <f>'לקוחות לפי סוכן - מקור'!E271</f>
        <v/>
      </c>
      <c r="D277" s="102">
        <f>'לקוחות לפי סוכן - מקור'!F271</f>
        <v/>
      </c>
      <c r="E277" s="102">
        <f>'לקוחות לפי סוכן - מקור'!G271</f>
        <v/>
      </c>
      <c r="F277" s="94">
        <f>'לקוחות לפי סוכן - מקור'!D271</f>
        <v/>
      </c>
      <c r="G277" s="95">
        <f>'לקוחות לפי סוכן - מקור'!H271</f>
        <v/>
      </c>
      <c r="H277" s="95">
        <f>'לקוחות לפי סוכן - מקור'!I271</f>
        <v/>
      </c>
      <c r="I277" s="94">
        <f>'לקוחות לפי סוכן - מקור'!K271</f>
        <v/>
      </c>
    </row>
    <row r="278" outlineLevel="1" ht="15" customHeight="1" s="82">
      <c r="A278" s="94">
        <f>'לקוחות לפי סוכן - מקור'!A272</f>
        <v/>
      </c>
      <c r="B278" s="94">
        <f>'לקוחות לפי סוכן - מקור'!C272</f>
        <v/>
      </c>
      <c r="C278" s="126">
        <f>'לקוחות לפי סוכן - מקור'!E272</f>
        <v/>
      </c>
      <c r="D278" s="102">
        <f>'לקוחות לפי סוכן - מקור'!F272</f>
        <v/>
      </c>
      <c r="E278" s="102">
        <f>'לקוחות לפי סוכן - מקור'!G272</f>
        <v/>
      </c>
      <c r="F278" s="94">
        <f>'לקוחות לפי סוכן - מקור'!D272</f>
        <v/>
      </c>
      <c r="G278" s="95">
        <f>'לקוחות לפי סוכן - מקור'!H272</f>
        <v/>
      </c>
      <c r="H278" s="95">
        <f>'לקוחות לפי סוכן - מקור'!I272</f>
        <v/>
      </c>
      <c r="I278" s="94">
        <f>'לקוחות לפי סוכן - מקור'!K272</f>
        <v/>
      </c>
    </row>
    <row r="279" outlineLevel="1" ht="15" customHeight="1" s="82">
      <c r="A279" s="94">
        <f>'לקוחות לפי סוכן - מקור'!A273</f>
        <v/>
      </c>
      <c r="B279" s="94">
        <f>'לקוחות לפי סוכן - מקור'!C273</f>
        <v/>
      </c>
      <c r="C279" s="126">
        <f>'לקוחות לפי סוכן - מקור'!E273</f>
        <v/>
      </c>
      <c r="D279" s="102">
        <f>'לקוחות לפי סוכן - מקור'!F273</f>
        <v/>
      </c>
      <c r="E279" s="102">
        <f>'לקוחות לפי סוכן - מקור'!G273</f>
        <v/>
      </c>
      <c r="F279" s="94">
        <f>'לקוחות לפי סוכן - מקור'!D273</f>
        <v/>
      </c>
      <c r="G279" s="95">
        <f>'לקוחות לפי סוכן - מקור'!H273</f>
        <v/>
      </c>
      <c r="H279" s="95">
        <f>'לקוחות לפי סוכן - מקור'!I273</f>
        <v/>
      </c>
      <c r="I279" s="94">
        <f>'לקוחות לפי סוכן - מקור'!K273</f>
        <v/>
      </c>
    </row>
    <row r="280" outlineLevel="1" ht="15" customHeight="1" s="82">
      <c r="A280" s="94">
        <f>'לקוחות לפי סוכן - מקור'!A274</f>
        <v/>
      </c>
      <c r="B280" s="94">
        <f>'לקוחות לפי סוכן - מקור'!C274</f>
        <v/>
      </c>
      <c r="C280" s="126">
        <f>'לקוחות לפי סוכן - מקור'!E274</f>
        <v/>
      </c>
      <c r="D280" s="102">
        <f>'לקוחות לפי סוכן - מקור'!F274</f>
        <v/>
      </c>
      <c r="E280" s="102">
        <f>'לקוחות לפי סוכן - מקור'!G274</f>
        <v/>
      </c>
      <c r="F280" s="94">
        <f>'לקוחות לפי סוכן - מקור'!D274</f>
        <v/>
      </c>
      <c r="G280" s="95">
        <f>'לקוחות לפי סוכן - מקור'!H274</f>
        <v/>
      </c>
      <c r="H280" s="95">
        <f>'לקוחות לפי סוכן - מקור'!I274</f>
        <v/>
      </c>
      <c r="I280" s="94">
        <f>'לקוחות לפי סוכן - מקור'!K274</f>
        <v/>
      </c>
    </row>
    <row r="281" outlineLevel="1" ht="15" customHeight="1" s="82">
      <c r="A281" s="94">
        <f>'לקוחות לפי סוכן - מקור'!A275</f>
        <v/>
      </c>
      <c r="B281" s="94">
        <f>'לקוחות לפי סוכן - מקור'!C275</f>
        <v/>
      </c>
      <c r="C281" s="126">
        <f>'לקוחות לפי סוכן - מקור'!E275</f>
        <v/>
      </c>
      <c r="D281" s="102">
        <f>'לקוחות לפי סוכן - מקור'!F275</f>
        <v/>
      </c>
      <c r="E281" s="102">
        <f>'לקוחות לפי סוכן - מקור'!G275</f>
        <v/>
      </c>
      <c r="F281" s="94">
        <f>'לקוחות לפי סוכן - מקור'!D275</f>
        <v/>
      </c>
      <c r="G281" s="95">
        <f>'לקוחות לפי סוכן - מקור'!H275</f>
        <v/>
      </c>
      <c r="H281" s="95">
        <f>'לקוחות לפי סוכן - מקור'!I275</f>
        <v/>
      </c>
      <c r="I281" s="94">
        <f>'לקוחות לפי סוכן - מקור'!K275</f>
        <v/>
      </c>
    </row>
    <row r="282" outlineLevel="1" ht="15" customHeight="1" s="82">
      <c r="A282" s="94">
        <f>'לקוחות לפי סוכן - מקור'!A276</f>
        <v/>
      </c>
      <c r="B282" s="94">
        <f>'לקוחות לפי סוכן - מקור'!C276</f>
        <v/>
      </c>
      <c r="C282" s="126">
        <f>'לקוחות לפי סוכן - מקור'!E276</f>
        <v/>
      </c>
      <c r="D282" s="102">
        <f>'לקוחות לפי סוכן - מקור'!F276</f>
        <v/>
      </c>
      <c r="E282" s="102">
        <f>'לקוחות לפי סוכן - מקור'!G276</f>
        <v/>
      </c>
      <c r="F282" s="94">
        <f>'לקוחות לפי סוכן - מקור'!D276</f>
        <v/>
      </c>
      <c r="G282" s="95">
        <f>'לקוחות לפי סוכן - מקור'!H276</f>
        <v/>
      </c>
      <c r="H282" s="95">
        <f>'לקוחות לפי סוכן - מקור'!I276</f>
        <v/>
      </c>
      <c r="I282" s="94">
        <f>'לקוחות לפי סוכן - מקור'!K276</f>
        <v/>
      </c>
    </row>
    <row r="283" outlineLevel="1" ht="15" customHeight="1" s="82">
      <c r="A283" s="94">
        <f>'לקוחות לפי סוכן - מקור'!A277</f>
        <v/>
      </c>
      <c r="B283" s="94">
        <f>'לקוחות לפי סוכן - מקור'!C277</f>
        <v/>
      </c>
      <c r="C283" s="126">
        <f>'לקוחות לפי סוכן - מקור'!E277</f>
        <v/>
      </c>
      <c r="D283" s="102">
        <f>'לקוחות לפי סוכן - מקור'!F277</f>
        <v/>
      </c>
      <c r="E283" s="102">
        <f>'לקוחות לפי סוכן - מקור'!G277</f>
        <v/>
      </c>
      <c r="F283" s="94">
        <f>'לקוחות לפי סוכן - מקור'!D277</f>
        <v/>
      </c>
      <c r="G283" s="95">
        <f>'לקוחות לפי סוכן - מקור'!H277</f>
        <v/>
      </c>
      <c r="H283" s="95">
        <f>'לקוחות לפי סוכן - מקור'!I277</f>
        <v/>
      </c>
      <c r="I283" s="94">
        <f>'לקוחות לפי סוכן - מקור'!K277</f>
        <v/>
      </c>
    </row>
    <row r="284" outlineLevel="1" ht="15" customHeight="1" s="82">
      <c r="A284" s="94">
        <f>'לקוחות לפי סוכן - מקור'!A278</f>
        <v/>
      </c>
      <c r="B284" s="94">
        <f>'לקוחות לפי סוכן - מקור'!C278</f>
        <v/>
      </c>
      <c r="C284" s="126">
        <f>'לקוחות לפי סוכן - מקור'!E278</f>
        <v/>
      </c>
      <c r="D284" s="102">
        <f>'לקוחות לפי סוכן - מקור'!F278</f>
        <v/>
      </c>
      <c r="E284" s="102">
        <f>'לקוחות לפי סוכן - מקור'!G278</f>
        <v/>
      </c>
      <c r="F284" s="94">
        <f>'לקוחות לפי סוכן - מקור'!D278</f>
        <v/>
      </c>
      <c r="G284" s="95">
        <f>'לקוחות לפי סוכן - מקור'!H278</f>
        <v/>
      </c>
      <c r="H284" s="95">
        <f>'לקוחות לפי סוכן - מקור'!I278</f>
        <v/>
      </c>
      <c r="I284" s="94">
        <f>'לקוחות לפי סוכן - מקור'!K278</f>
        <v/>
      </c>
    </row>
    <row r="285" outlineLevel="1" ht="15" customHeight="1" s="82">
      <c r="A285" s="94">
        <f>'לקוחות לפי סוכן - מקור'!A279</f>
        <v/>
      </c>
      <c r="B285" s="94">
        <f>'לקוחות לפי סוכן - מקור'!C279</f>
        <v/>
      </c>
      <c r="C285" s="126">
        <f>'לקוחות לפי סוכן - מקור'!E279</f>
        <v/>
      </c>
      <c r="D285" s="102">
        <f>'לקוחות לפי סוכן - מקור'!F279</f>
        <v/>
      </c>
      <c r="E285" s="102">
        <f>'לקוחות לפי סוכן - מקור'!G279</f>
        <v/>
      </c>
      <c r="F285" s="94">
        <f>'לקוחות לפי סוכן - מקור'!D279</f>
        <v/>
      </c>
      <c r="G285" s="95">
        <f>'לקוחות לפי סוכן - מקור'!H279</f>
        <v/>
      </c>
      <c r="H285" s="95">
        <f>'לקוחות לפי סוכן - מקור'!I279</f>
        <v/>
      </c>
      <c r="I285" s="94">
        <f>'לקוחות לפי סוכן - מקור'!K279</f>
        <v/>
      </c>
    </row>
    <row r="286" outlineLevel="1" ht="15" customHeight="1" s="82">
      <c r="A286" s="94">
        <f>'לקוחות לפי סוכן - מקור'!A280</f>
        <v/>
      </c>
      <c r="B286" s="94">
        <f>'לקוחות לפי סוכן - מקור'!C280</f>
        <v/>
      </c>
      <c r="C286" s="126">
        <f>'לקוחות לפי סוכן - מקור'!E280</f>
        <v/>
      </c>
      <c r="D286" s="102">
        <f>'לקוחות לפי סוכן - מקור'!F280</f>
        <v/>
      </c>
      <c r="E286" s="102">
        <f>'לקוחות לפי סוכן - מקור'!G280</f>
        <v/>
      </c>
      <c r="F286" s="94">
        <f>'לקוחות לפי סוכן - מקור'!D280</f>
        <v/>
      </c>
      <c r="G286" s="95">
        <f>'לקוחות לפי סוכן - מקור'!H280</f>
        <v/>
      </c>
      <c r="H286" s="95">
        <f>'לקוחות לפי סוכן - מקור'!I280</f>
        <v/>
      </c>
      <c r="I286" s="94">
        <f>'לקוחות לפי סוכן - מקור'!K280</f>
        <v/>
      </c>
    </row>
    <row r="287" outlineLevel="1" ht="15" customHeight="1" s="82">
      <c r="A287" s="94">
        <f>'לקוחות לפי סוכן - מקור'!A281</f>
        <v/>
      </c>
      <c r="B287" s="94">
        <f>'לקוחות לפי סוכן - מקור'!C281</f>
        <v/>
      </c>
      <c r="C287" s="126">
        <f>'לקוחות לפי סוכן - מקור'!E281</f>
        <v/>
      </c>
      <c r="D287" s="102">
        <f>'לקוחות לפי סוכן - מקור'!F281</f>
        <v/>
      </c>
      <c r="E287" s="102">
        <f>'לקוחות לפי סוכן - מקור'!G281</f>
        <v/>
      </c>
      <c r="F287" s="94">
        <f>'לקוחות לפי סוכן - מקור'!D281</f>
        <v/>
      </c>
      <c r="G287" s="95">
        <f>'לקוחות לפי סוכן - מקור'!H281</f>
        <v/>
      </c>
      <c r="H287" s="95">
        <f>'לקוחות לפי סוכן - מקור'!I281</f>
        <v/>
      </c>
      <c r="I287" s="94">
        <f>'לקוחות לפי סוכן - מקור'!K281</f>
        <v/>
      </c>
    </row>
    <row r="288" outlineLevel="1" ht="15" customHeight="1" s="82">
      <c r="A288" s="94">
        <f>'לקוחות לפי סוכן - מקור'!A282</f>
        <v/>
      </c>
      <c r="B288" s="94">
        <f>'לקוחות לפי סוכן - מקור'!C282</f>
        <v/>
      </c>
      <c r="C288" s="126">
        <f>'לקוחות לפי סוכן - מקור'!E282</f>
        <v/>
      </c>
      <c r="D288" s="102">
        <f>'לקוחות לפי סוכן - מקור'!F282</f>
        <v/>
      </c>
      <c r="E288" s="102">
        <f>'לקוחות לפי סוכן - מקור'!G282</f>
        <v/>
      </c>
      <c r="F288" s="94">
        <f>'לקוחות לפי סוכן - מקור'!D282</f>
        <v/>
      </c>
      <c r="G288" s="95">
        <f>'לקוחות לפי סוכן - מקור'!H282</f>
        <v/>
      </c>
      <c r="H288" s="95">
        <f>'לקוחות לפי סוכן - מקור'!I282</f>
        <v/>
      </c>
      <c r="I288" s="94">
        <f>'לקוחות לפי סוכן - מקור'!K282</f>
        <v/>
      </c>
    </row>
    <row r="289" outlineLevel="1" ht="15" customHeight="1" s="82">
      <c r="A289" s="94">
        <f>'לקוחות לפי סוכן - מקור'!A283</f>
        <v/>
      </c>
      <c r="B289" s="94">
        <f>'לקוחות לפי סוכן - מקור'!C283</f>
        <v/>
      </c>
      <c r="C289" s="126">
        <f>'לקוחות לפי סוכן - מקור'!E283</f>
        <v/>
      </c>
      <c r="D289" s="102">
        <f>'לקוחות לפי סוכן - מקור'!F283</f>
        <v/>
      </c>
      <c r="E289" s="102">
        <f>'לקוחות לפי סוכן - מקור'!G283</f>
        <v/>
      </c>
      <c r="F289" s="94">
        <f>'לקוחות לפי סוכן - מקור'!D283</f>
        <v/>
      </c>
      <c r="G289" s="95">
        <f>'לקוחות לפי סוכן - מקור'!H283</f>
        <v/>
      </c>
      <c r="H289" s="95">
        <f>'לקוחות לפי סוכן - מקור'!I283</f>
        <v/>
      </c>
      <c r="I289" s="94">
        <f>'לקוחות לפי סוכן - מקור'!K283</f>
        <v/>
      </c>
    </row>
    <row r="290" outlineLevel="1" ht="15" customHeight="1" s="82">
      <c r="A290" s="94">
        <f>'לקוחות לפי סוכן - מקור'!A284</f>
        <v/>
      </c>
      <c r="B290" s="94">
        <f>'לקוחות לפי סוכן - מקור'!C284</f>
        <v/>
      </c>
      <c r="C290" s="126">
        <f>'לקוחות לפי סוכן - מקור'!E284</f>
        <v/>
      </c>
      <c r="D290" s="102">
        <f>'לקוחות לפי סוכן - מקור'!F284</f>
        <v/>
      </c>
      <c r="E290" s="102">
        <f>'לקוחות לפי סוכן - מקור'!G284</f>
        <v/>
      </c>
      <c r="F290" s="94">
        <f>'לקוחות לפי סוכן - מקור'!D284</f>
        <v/>
      </c>
      <c r="G290" s="95">
        <f>'לקוחות לפי סוכן - מקור'!H284</f>
        <v/>
      </c>
      <c r="H290" s="95">
        <f>'לקוחות לפי סוכן - מקור'!I284</f>
        <v/>
      </c>
      <c r="I290" s="94">
        <f>'לקוחות לפי סוכן - מקור'!K284</f>
        <v/>
      </c>
    </row>
    <row r="291" outlineLevel="1" ht="15" customHeight="1" s="82">
      <c r="A291" s="94">
        <f>'לקוחות לפי סוכן - מקור'!A285</f>
        <v/>
      </c>
      <c r="B291" s="94">
        <f>'לקוחות לפי סוכן - מקור'!C285</f>
        <v/>
      </c>
      <c r="C291" s="126">
        <f>'לקוחות לפי סוכן - מקור'!E285</f>
        <v/>
      </c>
      <c r="D291" s="102">
        <f>'לקוחות לפי סוכן - מקור'!F285</f>
        <v/>
      </c>
      <c r="E291" s="102">
        <f>'לקוחות לפי סוכן - מקור'!G285</f>
        <v/>
      </c>
      <c r="F291" s="94">
        <f>'לקוחות לפי סוכן - מקור'!D285</f>
        <v/>
      </c>
      <c r="G291" s="95">
        <f>'לקוחות לפי סוכן - מקור'!H285</f>
        <v/>
      </c>
      <c r="H291" s="95">
        <f>'לקוחות לפי סוכן - מקור'!I285</f>
        <v/>
      </c>
      <c r="I291" s="94">
        <f>'לקוחות לפי סוכן - מקור'!K285</f>
        <v/>
      </c>
    </row>
    <row r="292" outlineLevel="1" ht="15" customHeight="1" s="82">
      <c r="A292" s="94">
        <f>'לקוחות לפי סוכן - מקור'!A286</f>
        <v/>
      </c>
      <c r="B292" s="94">
        <f>'לקוחות לפי סוכן - מקור'!C286</f>
        <v/>
      </c>
      <c r="C292" s="126">
        <f>'לקוחות לפי סוכן - מקור'!E286</f>
        <v/>
      </c>
      <c r="D292" s="102">
        <f>'לקוחות לפי סוכן - מקור'!F286</f>
        <v/>
      </c>
      <c r="E292" s="102">
        <f>'לקוחות לפי סוכן - מקור'!G286</f>
        <v/>
      </c>
      <c r="F292" s="94">
        <f>'לקוחות לפי סוכן - מקור'!D286</f>
        <v/>
      </c>
      <c r="G292" s="95">
        <f>'לקוחות לפי סוכן - מקור'!H286</f>
        <v/>
      </c>
      <c r="H292" s="95">
        <f>'לקוחות לפי סוכן - מקור'!I286</f>
        <v/>
      </c>
      <c r="I292" s="94">
        <f>'לקוחות לפי סוכן - מקור'!K286</f>
        <v/>
      </c>
    </row>
    <row r="293" outlineLevel="1" ht="15" customHeight="1" s="82">
      <c r="A293" s="94">
        <f>'לקוחות לפי סוכן - מקור'!A287</f>
        <v/>
      </c>
      <c r="B293" s="94">
        <f>'לקוחות לפי סוכן - מקור'!C287</f>
        <v/>
      </c>
      <c r="C293" s="126">
        <f>'לקוחות לפי סוכן - מקור'!E287</f>
        <v/>
      </c>
      <c r="D293" s="102">
        <f>'לקוחות לפי סוכן - מקור'!F287</f>
        <v/>
      </c>
      <c r="E293" s="102">
        <f>'לקוחות לפי סוכן - מקור'!G287</f>
        <v/>
      </c>
      <c r="F293" s="94">
        <f>'לקוחות לפי סוכן - מקור'!D287</f>
        <v/>
      </c>
      <c r="G293" s="95">
        <f>'לקוחות לפי סוכן - מקור'!H287</f>
        <v/>
      </c>
      <c r="H293" s="95">
        <f>'לקוחות לפי סוכן - מקור'!I287</f>
        <v/>
      </c>
      <c r="I293" s="94">
        <f>'לקוחות לפי סוכן - מקור'!K287</f>
        <v/>
      </c>
    </row>
    <row r="294" outlineLevel="1" ht="15" customHeight="1" s="82">
      <c r="A294" s="94">
        <f>'לקוחות לפי סוכן - מקור'!A288</f>
        <v/>
      </c>
      <c r="B294" s="94">
        <f>'לקוחות לפי סוכן - מקור'!C288</f>
        <v/>
      </c>
      <c r="C294" s="126">
        <f>'לקוחות לפי סוכן - מקור'!E288</f>
        <v/>
      </c>
      <c r="D294" s="102">
        <f>'לקוחות לפי סוכן - מקור'!F288</f>
        <v/>
      </c>
      <c r="E294" s="102">
        <f>'לקוחות לפי סוכן - מקור'!G288</f>
        <v/>
      </c>
      <c r="F294" s="94">
        <f>'לקוחות לפי סוכן - מקור'!D288</f>
        <v/>
      </c>
      <c r="G294" s="95">
        <f>'לקוחות לפי סוכן - מקור'!H288</f>
        <v/>
      </c>
      <c r="H294" s="95">
        <f>'לקוחות לפי סוכן - מקור'!I288</f>
        <v/>
      </c>
      <c r="I294" s="94">
        <f>'לקוחות לפי סוכן - מקור'!K288</f>
        <v/>
      </c>
    </row>
    <row r="295" outlineLevel="1" ht="15" customHeight="1" s="82">
      <c r="A295" s="94">
        <f>'לקוחות לפי סוכן - מקור'!A289</f>
        <v/>
      </c>
      <c r="B295" s="94">
        <f>'לקוחות לפי סוכן - מקור'!C289</f>
        <v/>
      </c>
      <c r="C295" s="126">
        <f>'לקוחות לפי סוכן - מקור'!E289</f>
        <v/>
      </c>
      <c r="D295" s="102">
        <f>'לקוחות לפי סוכן - מקור'!F289</f>
        <v/>
      </c>
      <c r="E295" s="102">
        <f>'לקוחות לפי סוכן - מקור'!G289</f>
        <v/>
      </c>
      <c r="F295" s="94">
        <f>'לקוחות לפי סוכן - מקור'!D289</f>
        <v/>
      </c>
      <c r="G295" s="95">
        <f>'לקוחות לפי סוכן - מקור'!H289</f>
        <v/>
      </c>
      <c r="H295" s="95">
        <f>'לקוחות לפי סוכן - מקור'!I289</f>
        <v/>
      </c>
      <c r="I295" s="94">
        <f>'לקוחות לפי סוכן - מקור'!K289</f>
        <v/>
      </c>
    </row>
    <row r="296" outlineLevel="1" ht="15" customHeight="1" s="82">
      <c r="A296" s="94">
        <f>'לקוחות לפי סוכן - מקור'!A290</f>
        <v/>
      </c>
      <c r="B296" s="94">
        <f>'לקוחות לפי סוכן - מקור'!C290</f>
        <v/>
      </c>
      <c r="C296" s="126">
        <f>'לקוחות לפי סוכן - מקור'!E290</f>
        <v/>
      </c>
      <c r="D296" s="102">
        <f>'לקוחות לפי סוכן - מקור'!F290</f>
        <v/>
      </c>
      <c r="E296" s="102">
        <f>'לקוחות לפי סוכן - מקור'!G290</f>
        <v/>
      </c>
      <c r="F296" s="94">
        <f>'לקוחות לפי סוכן - מקור'!D290</f>
        <v/>
      </c>
      <c r="G296" s="95">
        <f>'לקוחות לפי סוכן - מקור'!H290</f>
        <v/>
      </c>
      <c r="H296" s="95">
        <f>'לקוחות לפי סוכן - מקור'!I290</f>
        <v/>
      </c>
      <c r="I296" s="94">
        <f>'לקוחות לפי סוכן - מקור'!K290</f>
        <v/>
      </c>
    </row>
    <row r="297" outlineLevel="1" ht="15" customHeight="1" s="82">
      <c r="A297" s="94">
        <f>'לקוחות לפי סוכן - מקור'!A291</f>
        <v/>
      </c>
      <c r="B297" s="94">
        <f>'לקוחות לפי סוכן - מקור'!C291</f>
        <v/>
      </c>
      <c r="C297" s="126">
        <f>'לקוחות לפי סוכן - מקור'!E291</f>
        <v/>
      </c>
      <c r="D297" s="102">
        <f>'לקוחות לפי סוכן - מקור'!F291</f>
        <v/>
      </c>
      <c r="E297" s="102">
        <f>'לקוחות לפי סוכן - מקור'!G291</f>
        <v/>
      </c>
      <c r="F297" s="94">
        <f>'לקוחות לפי סוכן - מקור'!D291</f>
        <v/>
      </c>
      <c r="G297" s="95">
        <f>'לקוחות לפי סוכן - מקור'!H291</f>
        <v/>
      </c>
      <c r="H297" s="95">
        <f>'לקוחות לפי סוכן - מקור'!I291</f>
        <v/>
      </c>
      <c r="I297" s="94">
        <f>'לקוחות לפי סוכן - מקור'!K291</f>
        <v/>
      </c>
    </row>
    <row r="298" outlineLevel="1" ht="15" customHeight="1" s="82">
      <c r="A298" s="94">
        <f>'לקוחות לפי סוכן - מקור'!A292</f>
        <v/>
      </c>
      <c r="B298" s="94">
        <f>'לקוחות לפי סוכן - מקור'!C292</f>
        <v/>
      </c>
      <c r="C298" s="126">
        <f>'לקוחות לפי סוכן - מקור'!E292</f>
        <v/>
      </c>
      <c r="D298" s="102">
        <f>'לקוחות לפי סוכן - מקור'!F292</f>
        <v/>
      </c>
      <c r="E298" s="102">
        <f>'לקוחות לפי סוכן - מקור'!G292</f>
        <v/>
      </c>
      <c r="F298" s="94">
        <f>'לקוחות לפי סוכן - מקור'!D292</f>
        <v/>
      </c>
      <c r="G298" s="95">
        <f>'לקוחות לפי סוכן - מקור'!H292</f>
        <v/>
      </c>
      <c r="H298" s="95">
        <f>'לקוחות לפי סוכן - מקור'!I292</f>
        <v/>
      </c>
      <c r="I298" s="94">
        <f>'לקוחות לפי סוכן - מקור'!K292</f>
        <v/>
      </c>
    </row>
    <row r="299" outlineLevel="1" ht="15" customHeight="1" s="82">
      <c r="A299" s="94">
        <f>'לקוחות לפי סוכן - מקור'!A293</f>
        <v/>
      </c>
      <c r="B299" s="94">
        <f>'לקוחות לפי סוכן - מקור'!C293</f>
        <v/>
      </c>
      <c r="C299" s="126">
        <f>'לקוחות לפי סוכן - מקור'!E293</f>
        <v/>
      </c>
      <c r="D299" s="102">
        <f>'לקוחות לפי סוכן - מקור'!F293</f>
        <v/>
      </c>
      <c r="E299" s="102">
        <f>'לקוחות לפי סוכן - מקור'!G293</f>
        <v/>
      </c>
      <c r="F299" s="94">
        <f>'לקוחות לפי סוכן - מקור'!D293</f>
        <v/>
      </c>
      <c r="G299" s="95">
        <f>'לקוחות לפי סוכן - מקור'!H293</f>
        <v/>
      </c>
      <c r="H299" s="95">
        <f>'לקוחות לפי סוכן - מקור'!I293</f>
        <v/>
      </c>
      <c r="I299" s="94">
        <f>'לקוחות לפי סוכן - מקור'!K293</f>
        <v/>
      </c>
    </row>
    <row r="300" outlineLevel="1" ht="15" customHeight="1" s="82">
      <c r="A300" s="94">
        <f>'לקוחות לפי סוכן - מקור'!A294</f>
        <v/>
      </c>
      <c r="B300" s="94">
        <f>'לקוחות לפי סוכן - מקור'!C294</f>
        <v/>
      </c>
      <c r="C300" s="126">
        <f>'לקוחות לפי סוכן - מקור'!E294</f>
        <v/>
      </c>
      <c r="D300" s="102">
        <f>'לקוחות לפי סוכן - מקור'!F294</f>
        <v/>
      </c>
      <c r="E300" s="102">
        <f>'לקוחות לפי סוכן - מקור'!G294</f>
        <v/>
      </c>
      <c r="F300" s="94">
        <f>'לקוחות לפי סוכן - מקור'!D294</f>
        <v/>
      </c>
      <c r="G300" s="95">
        <f>'לקוחות לפי סוכן - מקור'!H294</f>
        <v/>
      </c>
      <c r="H300" s="95">
        <f>'לקוחות לפי סוכן - מקור'!I294</f>
        <v/>
      </c>
      <c r="I300" s="94">
        <f>'לקוחות לפי סוכן - מקור'!K294</f>
        <v/>
      </c>
    </row>
    <row r="301" outlineLevel="1" ht="15" customHeight="1" s="82">
      <c r="A301" s="94">
        <f>'לקוחות לפי סוכן - מקור'!A295</f>
        <v/>
      </c>
      <c r="B301" s="94">
        <f>'לקוחות לפי סוכן - מקור'!C295</f>
        <v/>
      </c>
      <c r="C301" s="126">
        <f>'לקוחות לפי סוכן - מקור'!E295</f>
        <v/>
      </c>
      <c r="D301" s="102">
        <f>'לקוחות לפי סוכן - מקור'!F295</f>
        <v/>
      </c>
      <c r="E301" s="102">
        <f>'לקוחות לפי סוכן - מקור'!G295</f>
        <v/>
      </c>
      <c r="F301" s="94">
        <f>'לקוחות לפי סוכן - מקור'!D295</f>
        <v/>
      </c>
      <c r="G301" s="95">
        <f>'לקוחות לפי סוכן - מקור'!H295</f>
        <v/>
      </c>
      <c r="H301" s="95">
        <f>'לקוחות לפי סוכן - מקור'!I295</f>
        <v/>
      </c>
      <c r="I301" s="94">
        <f>'לקוחות לפי סוכן - מקור'!K295</f>
        <v/>
      </c>
    </row>
    <row r="302" outlineLevel="1" ht="15" customHeight="1" s="82">
      <c r="A302" s="94">
        <f>'לקוחות לפי סוכן - מקור'!A296</f>
        <v/>
      </c>
      <c r="B302" s="94">
        <f>'לקוחות לפי סוכן - מקור'!C296</f>
        <v/>
      </c>
      <c r="C302" s="126">
        <f>'לקוחות לפי סוכן - מקור'!E296</f>
        <v/>
      </c>
      <c r="D302" s="102">
        <f>'לקוחות לפי סוכן - מקור'!F296</f>
        <v/>
      </c>
      <c r="E302" s="102">
        <f>'לקוחות לפי סוכן - מקור'!G296</f>
        <v/>
      </c>
      <c r="F302" s="94">
        <f>'לקוחות לפי סוכן - מקור'!D296</f>
        <v/>
      </c>
      <c r="G302" s="95">
        <f>'לקוחות לפי סוכן - מקור'!H296</f>
        <v/>
      </c>
      <c r="H302" s="95">
        <f>'לקוחות לפי סוכן - מקור'!I296</f>
        <v/>
      </c>
      <c r="I302" s="94">
        <f>'לקוחות לפי סוכן - מקור'!K296</f>
        <v/>
      </c>
    </row>
    <row r="303" outlineLevel="1" ht="15" customHeight="1" s="82">
      <c r="A303" s="94">
        <f>'לקוחות לפי סוכן - מקור'!A297</f>
        <v/>
      </c>
      <c r="B303" s="94">
        <f>'לקוחות לפי סוכן - מקור'!C297</f>
        <v/>
      </c>
      <c r="C303" s="126">
        <f>'לקוחות לפי סוכן - מקור'!E297</f>
        <v/>
      </c>
      <c r="D303" s="102">
        <f>'לקוחות לפי סוכן - מקור'!F297</f>
        <v/>
      </c>
      <c r="E303" s="102">
        <f>'לקוחות לפי סוכן - מקור'!G297</f>
        <v/>
      </c>
      <c r="F303" s="94">
        <f>'לקוחות לפי סוכן - מקור'!D297</f>
        <v/>
      </c>
      <c r="G303" s="95">
        <f>'לקוחות לפי סוכן - מקור'!H297</f>
        <v/>
      </c>
      <c r="H303" s="95">
        <f>'לקוחות לפי סוכן - מקור'!I297</f>
        <v/>
      </c>
      <c r="I303" s="94">
        <f>'לקוחות לפי סוכן - מקור'!K297</f>
        <v/>
      </c>
    </row>
    <row r="304" outlineLevel="1" ht="15" customHeight="1" s="82">
      <c r="A304" s="94">
        <f>'לקוחות לפי סוכן - מקור'!A298</f>
        <v/>
      </c>
      <c r="B304" s="94">
        <f>'לקוחות לפי סוכן - מקור'!C298</f>
        <v/>
      </c>
      <c r="C304" s="126">
        <f>'לקוחות לפי סוכן - מקור'!E298</f>
        <v/>
      </c>
      <c r="D304" s="102">
        <f>'לקוחות לפי סוכן - מקור'!F298</f>
        <v/>
      </c>
      <c r="E304" s="102">
        <f>'לקוחות לפי סוכן - מקור'!G298</f>
        <v/>
      </c>
      <c r="F304" s="94">
        <f>'לקוחות לפי סוכן - מקור'!D298</f>
        <v/>
      </c>
      <c r="G304" s="95">
        <f>'לקוחות לפי סוכן - מקור'!H298</f>
        <v/>
      </c>
      <c r="H304" s="95">
        <f>'לקוחות לפי סוכן - מקור'!I298</f>
        <v/>
      </c>
      <c r="I304" s="94">
        <f>'לקוחות לפי סוכן - מקור'!K298</f>
        <v/>
      </c>
    </row>
    <row r="305" outlineLevel="1" ht="15" customHeight="1" s="82">
      <c r="A305" s="94">
        <f>'לקוחות לפי סוכן - מקור'!A299</f>
        <v/>
      </c>
      <c r="B305" s="94">
        <f>'לקוחות לפי סוכן - מקור'!C299</f>
        <v/>
      </c>
      <c r="C305" s="126">
        <f>'לקוחות לפי סוכן - מקור'!E299</f>
        <v/>
      </c>
      <c r="D305" s="102">
        <f>'לקוחות לפי סוכן - מקור'!F299</f>
        <v/>
      </c>
      <c r="E305" s="102">
        <f>'לקוחות לפי סוכן - מקור'!G299</f>
        <v/>
      </c>
      <c r="F305" s="94">
        <f>'לקוחות לפי סוכן - מקור'!D299</f>
        <v/>
      </c>
      <c r="G305" s="95">
        <f>'לקוחות לפי סוכן - מקור'!H299</f>
        <v/>
      </c>
      <c r="H305" s="95">
        <f>'לקוחות לפי סוכן - מקור'!I299</f>
        <v/>
      </c>
      <c r="I305" s="94">
        <f>'לקוחות לפי סוכן - מקור'!K299</f>
        <v/>
      </c>
    </row>
    <row r="306" outlineLevel="1" ht="15" customHeight="1" s="82">
      <c r="A306" s="94">
        <f>'לקוחות לפי סוכן - מקור'!A300</f>
        <v/>
      </c>
      <c r="B306" s="94">
        <f>'לקוחות לפי סוכן - מקור'!C300</f>
        <v/>
      </c>
      <c r="C306" s="126">
        <f>'לקוחות לפי סוכן - מקור'!E300</f>
        <v/>
      </c>
      <c r="D306" s="102">
        <f>'לקוחות לפי סוכן - מקור'!F300</f>
        <v/>
      </c>
      <c r="E306" s="102">
        <f>'לקוחות לפי סוכן - מקור'!G300</f>
        <v/>
      </c>
      <c r="F306" s="94">
        <f>'לקוחות לפי סוכן - מקור'!D300</f>
        <v/>
      </c>
      <c r="G306" s="95">
        <f>'לקוחות לפי סוכן - מקור'!H300</f>
        <v/>
      </c>
      <c r="H306" s="95">
        <f>'לקוחות לפי סוכן - מקור'!I300</f>
        <v/>
      </c>
      <c r="I306" s="94">
        <f>'לקוחות לפי סוכן - מקור'!K300</f>
        <v/>
      </c>
    </row>
    <row r="307" outlineLevel="1" ht="15" customHeight="1" s="82">
      <c r="A307" s="94">
        <f>'לקוחות לפי סוכן - מקור'!A301</f>
        <v/>
      </c>
      <c r="B307" s="94">
        <f>'לקוחות לפי סוכן - מקור'!C301</f>
        <v/>
      </c>
      <c r="C307" s="126">
        <f>'לקוחות לפי סוכן - מקור'!E301</f>
        <v/>
      </c>
      <c r="D307" s="102">
        <f>'לקוחות לפי סוכן - מקור'!F301</f>
        <v/>
      </c>
      <c r="E307" s="102">
        <f>'לקוחות לפי סוכן - מקור'!G301</f>
        <v/>
      </c>
      <c r="F307" s="94">
        <f>'לקוחות לפי סוכן - מקור'!D301</f>
        <v/>
      </c>
      <c r="G307" s="95">
        <f>'לקוחות לפי סוכן - מקור'!H301</f>
        <v/>
      </c>
      <c r="H307" s="95">
        <f>'לקוחות לפי סוכן - מקור'!I301</f>
        <v/>
      </c>
      <c r="I307" s="94">
        <f>'לקוחות לפי סוכן - מקור'!K301</f>
        <v/>
      </c>
    </row>
    <row r="308" outlineLevel="1" ht="15" customHeight="1" s="82">
      <c r="A308" s="94">
        <f>'לקוחות לפי סוכן - מקור'!A302</f>
        <v/>
      </c>
      <c r="B308" s="94">
        <f>'לקוחות לפי סוכן - מקור'!C302</f>
        <v/>
      </c>
      <c r="C308" s="126">
        <f>'לקוחות לפי סוכן - מקור'!E302</f>
        <v/>
      </c>
      <c r="D308" s="102">
        <f>'לקוחות לפי סוכן - מקור'!F302</f>
        <v/>
      </c>
      <c r="E308" s="102">
        <f>'לקוחות לפי סוכן - מקור'!G302</f>
        <v/>
      </c>
      <c r="F308" s="94">
        <f>'לקוחות לפי סוכן - מקור'!D302</f>
        <v/>
      </c>
      <c r="G308" s="95">
        <f>'לקוחות לפי סוכן - מקור'!H302</f>
        <v/>
      </c>
      <c r="H308" s="95">
        <f>'לקוחות לפי סוכן - מקור'!I302</f>
        <v/>
      </c>
      <c r="I308" s="94">
        <f>'לקוחות לפי סוכן - מקור'!K302</f>
        <v/>
      </c>
    </row>
    <row r="309" outlineLevel="1" ht="15" customHeight="1" s="82">
      <c r="A309" s="94">
        <f>'לקוחות לפי סוכן - מקור'!A303</f>
        <v/>
      </c>
      <c r="B309" s="94">
        <f>'לקוחות לפי סוכן - מקור'!C303</f>
        <v/>
      </c>
      <c r="C309" s="126">
        <f>'לקוחות לפי סוכן - מקור'!E303</f>
        <v/>
      </c>
      <c r="D309" s="102">
        <f>'לקוחות לפי סוכן - מקור'!F303</f>
        <v/>
      </c>
      <c r="E309" s="102">
        <f>'לקוחות לפי סוכן - מקור'!G303</f>
        <v/>
      </c>
      <c r="F309" s="94">
        <f>'לקוחות לפי סוכן - מקור'!D303</f>
        <v/>
      </c>
      <c r="G309" s="95">
        <f>'לקוחות לפי סוכן - מקור'!H303</f>
        <v/>
      </c>
      <c r="H309" s="95">
        <f>'לקוחות לפי סוכן - מקור'!I303</f>
        <v/>
      </c>
      <c r="I309" s="94">
        <f>'לקוחות לפי סוכן - מקור'!K303</f>
        <v/>
      </c>
    </row>
    <row r="310" outlineLevel="1" ht="15" customHeight="1" s="82">
      <c r="A310" s="94">
        <f>'לקוחות לפי סוכן - מקור'!A304</f>
        <v/>
      </c>
      <c r="B310" s="94">
        <f>'לקוחות לפי סוכן - מקור'!C304</f>
        <v/>
      </c>
      <c r="C310" s="126">
        <f>'לקוחות לפי סוכן - מקור'!E304</f>
        <v/>
      </c>
      <c r="D310" s="102">
        <f>'לקוחות לפי סוכן - מקור'!F304</f>
        <v/>
      </c>
      <c r="E310" s="102">
        <f>'לקוחות לפי סוכן - מקור'!G304</f>
        <v/>
      </c>
      <c r="F310" s="94">
        <f>'לקוחות לפי סוכן - מקור'!D304</f>
        <v/>
      </c>
      <c r="G310" s="95">
        <f>'לקוחות לפי סוכן - מקור'!H304</f>
        <v/>
      </c>
      <c r="H310" s="95">
        <f>'לקוחות לפי סוכן - מקור'!I304</f>
        <v/>
      </c>
      <c r="I310" s="94">
        <f>'לקוחות לפי סוכן - מקור'!K304</f>
        <v/>
      </c>
    </row>
    <row r="311" outlineLevel="1" ht="15" customHeight="1" s="82">
      <c r="A311" s="94">
        <f>'לקוחות לפי סוכן - מקור'!A305</f>
        <v/>
      </c>
      <c r="B311" s="94">
        <f>'לקוחות לפי סוכן - מקור'!C305</f>
        <v/>
      </c>
      <c r="C311" s="126">
        <f>'לקוחות לפי סוכן - מקור'!E305</f>
        <v/>
      </c>
      <c r="D311" s="102">
        <f>'לקוחות לפי סוכן - מקור'!F305</f>
        <v/>
      </c>
      <c r="E311" s="102">
        <f>'לקוחות לפי סוכן - מקור'!G305</f>
        <v/>
      </c>
      <c r="F311" s="94">
        <f>'לקוחות לפי סוכן - מקור'!D305</f>
        <v/>
      </c>
      <c r="G311" s="95">
        <f>'לקוחות לפי סוכן - מקור'!H305</f>
        <v/>
      </c>
      <c r="H311" s="95">
        <f>'לקוחות לפי סוכן - מקור'!I305</f>
        <v/>
      </c>
      <c r="I311" s="94">
        <f>'לקוחות לפי סוכן - מקור'!K305</f>
        <v/>
      </c>
    </row>
    <row r="312" outlineLevel="1" ht="15" customHeight="1" s="82">
      <c r="A312" s="94">
        <f>'לקוחות לפי סוכן - מקור'!A306</f>
        <v/>
      </c>
      <c r="B312" s="94">
        <f>'לקוחות לפי סוכן - מקור'!C306</f>
        <v/>
      </c>
      <c r="C312" s="126">
        <f>'לקוחות לפי סוכן - מקור'!E306</f>
        <v/>
      </c>
      <c r="D312" s="102">
        <f>'לקוחות לפי סוכן - מקור'!F306</f>
        <v/>
      </c>
      <c r="E312" s="102">
        <f>'לקוחות לפי סוכן - מקור'!G306</f>
        <v/>
      </c>
      <c r="F312" s="94">
        <f>'לקוחות לפי סוכן - מקור'!D306</f>
        <v/>
      </c>
      <c r="G312" s="95">
        <f>'לקוחות לפי סוכן - מקור'!H306</f>
        <v/>
      </c>
      <c r="H312" s="95">
        <f>'לקוחות לפי סוכן - מקור'!I306</f>
        <v/>
      </c>
      <c r="I312" s="94">
        <f>'לקוחות לפי סוכן - מקור'!K306</f>
        <v/>
      </c>
    </row>
    <row r="313" outlineLevel="1" ht="15" customHeight="1" s="82">
      <c r="A313" s="94">
        <f>'לקוחות לפי סוכן - מקור'!A307</f>
        <v/>
      </c>
      <c r="B313" s="94">
        <f>'לקוחות לפי סוכן - מקור'!C307</f>
        <v/>
      </c>
      <c r="C313" s="126">
        <f>'לקוחות לפי סוכן - מקור'!E307</f>
        <v/>
      </c>
      <c r="D313" s="102">
        <f>'לקוחות לפי סוכן - מקור'!F307</f>
        <v/>
      </c>
      <c r="E313" s="102">
        <f>'לקוחות לפי סוכן - מקור'!G307</f>
        <v/>
      </c>
      <c r="F313" s="94">
        <f>'לקוחות לפי סוכן - מקור'!D307</f>
        <v/>
      </c>
      <c r="G313" s="95">
        <f>'לקוחות לפי סוכן - מקור'!H307</f>
        <v/>
      </c>
      <c r="H313" s="95">
        <f>'לקוחות לפי סוכן - מקור'!I307</f>
        <v/>
      </c>
      <c r="I313" s="94">
        <f>'לקוחות לפי סוכן - מקור'!K307</f>
        <v/>
      </c>
    </row>
    <row r="314" outlineLevel="1" ht="15" customHeight="1" s="82">
      <c r="A314" s="94">
        <f>'לקוחות לפי סוכן - מקור'!A308</f>
        <v/>
      </c>
      <c r="B314" s="94">
        <f>'לקוחות לפי סוכן - מקור'!C308</f>
        <v/>
      </c>
      <c r="C314" s="126">
        <f>'לקוחות לפי סוכן - מקור'!E308</f>
        <v/>
      </c>
      <c r="D314" s="102">
        <f>'לקוחות לפי סוכן - מקור'!F308</f>
        <v/>
      </c>
      <c r="E314" s="102">
        <f>'לקוחות לפי סוכן - מקור'!G308</f>
        <v/>
      </c>
      <c r="F314" s="94">
        <f>'לקוחות לפי סוכן - מקור'!D308</f>
        <v/>
      </c>
      <c r="G314" s="95">
        <f>'לקוחות לפי סוכן - מקור'!H308</f>
        <v/>
      </c>
      <c r="H314" s="95">
        <f>'לקוחות לפי סוכן - מקור'!I308</f>
        <v/>
      </c>
      <c r="I314" s="94">
        <f>'לקוחות לפי סוכן - מקור'!K308</f>
        <v/>
      </c>
    </row>
    <row r="315" outlineLevel="1" ht="15" customHeight="1" s="82">
      <c r="A315" s="94">
        <f>'לקוחות לפי סוכן - מקור'!A309</f>
        <v/>
      </c>
      <c r="B315" s="94">
        <f>'לקוחות לפי סוכן - מקור'!C309</f>
        <v/>
      </c>
      <c r="C315" s="126">
        <f>'לקוחות לפי סוכן - מקור'!E309</f>
        <v/>
      </c>
      <c r="D315" s="102">
        <f>'לקוחות לפי סוכן - מקור'!F309</f>
        <v/>
      </c>
      <c r="E315" s="102">
        <f>'לקוחות לפי סוכן - מקור'!G309</f>
        <v/>
      </c>
      <c r="F315" s="94">
        <f>'לקוחות לפי סוכן - מקור'!D309</f>
        <v/>
      </c>
      <c r="G315" s="95">
        <f>'לקוחות לפי סוכן - מקור'!H309</f>
        <v/>
      </c>
      <c r="H315" s="95">
        <f>'לקוחות לפי סוכן - מקור'!I309</f>
        <v/>
      </c>
      <c r="I315" s="94">
        <f>'לקוחות לפי סוכן - מקור'!K309</f>
        <v/>
      </c>
    </row>
    <row r="316" outlineLevel="1" ht="15" customHeight="1" s="82">
      <c r="A316" s="94">
        <f>'לקוחות לפי סוכן - מקור'!A310</f>
        <v/>
      </c>
      <c r="B316" s="94">
        <f>'לקוחות לפי סוכן - מקור'!C310</f>
        <v/>
      </c>
      <c r="C316" s="126">
        <f>'לקוחות לפי סוכן - מקור'!E310</f>
        <v/>
      </c>
      <c r="D316" s="102">
        <f>'לקוחות לפי סוכן - מקור'!F310</f>
        <v/>
      </c>
      <c r="E316" s="102">
        <f>'לקוחות לפי סוכן - מקור'!G310</f>
        <v/>
      </c>
      <c r="F316" s="94">
        <f>'לקוחות לפי סוכן - מקור'!D310</f>
        <v/>
      </c>
      <c r="G316" s="95">
        <f>'לקוחות לפי סוכן - מקור'!H310</f>
        <v/>
      </c>
      <c r="H316" s="95">
        <f>'לקוחות לפי סוכן - מקור'!I310</f>
        <v/>
      </c>
      <c r="I316" s="94">
        <f>'לקוחות לפי סוכן - מקור'!K310</f>
        <v/>
      </c>
    </row>
    <row r="317" outlineLevel="1" ht="15" customHeight="1" s="82">
      <c r="A317" s="94">
        <f>'לקוחות לפי סוכן - מקור'!A311</f>
        <v/>
      </c>
      <c r="B317" s="94">
        <f>'לקוחות לפי סוכן - מקור'!C311</f>
        <v/>
      </c>
      <c r="C317" s="126">
        <f>'לקוחות לפי סוכן - מקור'!E311</f>
        <v/>
      </c>
      <c r="D317" s="102">
        <f>'לקוחות לפי סוכן - מקור'!F311</f>
        <v/>
      </c>
      <c r="E317" s="102">
        <f>'לקוחות לפי סוכן - מקור'!G311</f>
        <v/>
      </c>
      <c r="F317" s="94">
        <f>'לקוחות לפי סוכן - מקור'!D311</f>
        <v/>
      </c>
      <c r="G317" s="95">
        <f>'לקוחות לפי סוכן - מקור'!H311</f>
        <v/>
      </c>
      <c r="H317" s="95">
        <f>'לקוחות לפי סוכן - מקור'!I311</f>
        <v/>
      </c>
      <c r="I317" s="94">
        <f>'לקוחות לפי סוכן - מקור'!K311</f>
        <v/>
      </c>
    </row>
    <row r="318" outlineLevel="1" ht="15" customHeight="1" s="82">
      <c r="A318" s="94">
        <f>'לקוחות לפי סוכן - מקור'!A312</f>
        <v/>
      </c>
      <c r="B318" s="94">
        <f>'לקוחות לפי סוכן - מקור'!C312</f>
        <v/>
      </c>
      <c r="C318" s="126">
        <f>'לקוחות לפי סוכן - מקור'!E312</f>
        <v/>
      </c>
      <c r="D318" s="102">
        <f>'לקוחות לפי סוכן - מקור'!F312</f>
        <v/>
      </c>
      <c r="E318" s="102">
        <f>'לקוחות לפי סוכן - מקור'!G312</f>
        <v/>
      </c>
      <c r="F318" s="94">
        <f>'לקוחות לפי סוכן - מקור'!D312</f>
        <v/>
      </c>
      <c r="G318" s="95">
        <f>'לקוחות לפי סוכן - מקור'!H312</f>
        <v/>
      </c>
      <c r="H318" s="95">
        <f>'לקוחות לפי סוכן - מקור'!I312</f>
        <v/>
      </c>
      <c r="I318" s="94">
        <f>'לקוחות לפי סוכן - מקור'!K312</f>
        <v/>
      </c>
    </row>
    <row r="319" outlineLevel="1" ht="15" customHeight="1" s="82">
      <c r="A319" s="94">
        <f>'לקוחות לפי סוכן - מקור'!A313</f>
        <v/>
      </c>
      <c r="B319" s="94">
        <f>'לקוחות לפי סוכן - מקור'!C313</f>
        <v/>
      </c>
      <c r="C319" s="126">
        <f>'לקוחות לפי סוכן - מקור'!E313</f>
        <v/>
      </c>
      <c r="D319" s="102">
        <f>'לקוחות לפי סוכן - מקור'!F313</f>
        <v/>
      </c>
      <c r="E319" s="102">
        <f>'לקוחות לפי סוכן - מקור'!G313</f>
        <v/>
      </c>
      <c r="F319" s="94">
        <f>'לקוחות לפי סוכן - מקור'!D313</f>
        <v/>
      </c>
      <c r="G319" s="95">
        <f>'לקוחות לפי סוכן - מקור'!H313</f>
        <v/>
      </c>
      <c r="H319" s="95">
        <f>'לקוחות לפי סוכן - מקור'!I313</f>
        <v/>
      </c>
      <c r="I319" s="94">
        <f>'לקוחות לפי סוכן - מקור'!K313</f>
        <v/>
      </c>
    </row>
    <row r="320" outlineLevel="1" ht="15" customHeight="1" s="82">
      <c r="A320" s="94">
        <f>'לקוחות לפי סוכן - מקור'!A314</f>
        <v/>
      </c>
      <c r="B320" s="94">
        <f>'לקוחות לפי סוכן - מקור'!C314</f>
        <v/>
      </c>
      <c r="C320" s="126">
        <f>'לקוחות לפי סוכן - מקור'!E314</f>
        <v/>
      </c>
      <c r="D320" s="102">
        <f>'לקוחות לפי סוכן - מקור'!F314</f>
        <v/>
      </c>
      <c r="E320" s="102">
        <f>'לקוחות לפי סוכן - מקור'!G314</f>
        <v/>
      </c>
      <c r="F320" s="94">
        <f>'לקוחות לפי סוכן - מקור'!D314</f>
        <v/>
      </c>
      <c r="G320" s="95">
        <f>'לקוחות לפי סוכן - מקור'!H314</f>
        <v/>
      </c>
      <c r="H320" s="95">
        <f>'לקוחות לפי סוכן - מקור'!I314</f>
        <v/>
      </c>
      <c r="I320" s="94">
        <f>'לקוחות לפי סוכן - מקור'!K314</f>
        <v/>
      </c>
    </row>
    <row r="321" outlineLevel="1" ht="15" customHeight="1" s="82">
      <c r="A321" s="94">
        <f>'לקוחות לפי סוכן - מקור'!A315</f>
        <v/>
      </c>
      <c r="B321" s="94">
        <f>'לקוחות לפי סוכן - מקור'!C315</f>
        <v/>
      </c>
      <c r="C321" s="126">
        <f>'לקוחות לפי סוכן - מקור'!E315</f>
        <v/>
      </c>
      <c r="D321" s="102">
        <f>'לקוחות לפי סוכן - מקור'!F315</f>
        <v/>
      </c>
      <c r="E321" s="102">
        <f>'לקוחות לפי סוכן - מקור'!G315</f>
        <v/>
      </c>
      <c r="F321" s="94">
        <f>'לקוחות לפי סוכן - מקור'!D315</f>
        <v/>
      </c>
      <c r="G321" s="95">
        <f>'לקוחות לפי סוכן - מקור'!H315</f>
        <v/>
      </c>
      <c r="H321" s="95">
        <f>'לקוחות לפי סוכן - מקור'!I315</f>
        <v/>
      </c>
      <c r="I321" s="94">
        <f>'לקוחות לפי סוכן - מקור'!K315</f>
        <v/>
      </c>
    </row>
    <row r="322" outlineLevel="1" ht="15" customHeight="1" s="82">
      <c r="A322" s="94">
        <f>'לקוחות לפי סוכן - מקור'!A316</f>
        <v/>
      </c>
      <c r="B322" s="94">
        <f>'לקוחות לפי סוכן - מקור'!C316</f>
        <v/>
      </c>
      <c r="C322" s="126">
        <f>'לקוחות לפי סוכן - מקור'!E316</f>
        <v/>
      </c>
      <c r="D322" s="102">
        <f>'לקוחות לפי סוכן - מקור'!F316</f>
        <v/>
      </c>
      <c r="E322" s="102">
        <f>'לקוחות לפי סוכן - מקור'!G316</f>
        <v/>
      </c>
      <c r="F322" s="94">
        <f>'לקוחות לפי סוכן - מקור'!D316</f>
        <v/>
      </c>
      <c r="G322" s="95">
        <f>'לקוחות לפי סוכן - מקור'!H316</f>
        <v/>
      </c>
      <c r="H322" s="95">
        <f>'לקוחות לפי סוכן - מקור'!I316</f>
        <v/>
      </c>
      <c r="I322" s="94">
        <f>'לקוחות לפי סוכן - מקור'!K316</f>
        <v/>
      </c>
    </row>
    <row r="323" outlineLevel="1" ht="15" customHeight="1" s="82">
      <c r="A323" s="94">
        <f>'לקוחות לפי סוכן - מקור'!A317</f>
        <v/>
      </c>
      <c r="B323" s="94">
        <f>'לקוחות לפי סוכן - מקור'!C317</f>
        <v/>
      </c>
      <c r="C323" s="126">
        <f>'לקוחות לפי סוכן - מקור'!E317</f>
        <v/>
      </c>
      <c r="D323" s="102">
        <f>'לקוחות לפי סוכן - מקור'!F317</f>
        <v/>
      </c>
      <c r="E323" s="102">
        <f>'לקוחות לפי סוכן - מקור'!G317</f>
        <v/>
      </c>
      <c r="F323" s="94">
        <f>'לקוחות לפי סוכן - מקור'!D317</f>
        <v/>
      </c>
      <c r="G323" s="95">
        <f>'לקוחות לפי סוכן - מקור'!H317</f>
        <v/>
      </c>
      <c r="H323" s="95">
        <f>'לקוחות לפי סוכן - מקור'!I317</f>
        <v/>
      </c>
      <c r="I323" s="94">
        <f>'לקוחות לפי סוכן - מקור'!K317</f>
        <v/>
      </c>
    </row>
    <row r="324" outlineLevel="1" ht="15" customHeight="1" s="82">
      <c r="A324" s="94">
        <f>'לקוחות לפי סוכן - מקור'!A318</f>
        <v/>
      </c>
      <c r="B324" s="94">
        <f>'לקוחות לפי סוכן - מקור'!C318</f>
        <v/>
      </c>
      <c r="C324" s="126">
        <f>'לקוחות לפי סוכן - מקור'!E318</f>
        <v/>
      </c>
      <c r="D324" s="102">
        <f>'לקוחות לפי סוכן - מקור'!F318</f>
        <v/>
      </c>
      <c r="E324" s="102">
        <f>'לקוחות לפי סוכן - מקור'!G318</f>
        <v/>
      </c>
      <c r="F324" s="94">
        <f>'לקוחות לפי סוכן - מקור'!D318</f>
        <v/>
      </c>
      <c r="G324" s="95">
        <f>'לקוחות לפי סוכן - מקור'!H318</f>
        <v/>
      </c>
      <c r="H324" s="95">
        <f>'לקוחות לפי סוכן - מקור'!I318</f>
        <v/>
      </c>
      <c r="I324" s="94">
        <f>'לקוחות לפי סוכן - מקור'!K318</f>
        <v/>
      </c>
    </row>
    <row r="325" outlineLevel="1" ht="15" customHeight="1" s="82">
      <c r="A325" s="94">
        <f>'לקוחות לפי סוכן - מקור'!A319</f>
        <v/>
      </c>
      <c r="B325" s="94">
        <f>'לקוחות לפי סוכן - מקור'!C319</f>
        <v/>
      </c>
      <c r="C325" s="126">
        <f>'לקוחות לפי סוכן - מקור'!E319</f>
        <v/>
      </c>
      <c r="D325" s="102">
        <f>'לקוחות לפי סוכן - מקור'!F319</f>
        <v/>
      </c>
      <c r="E325" s="102">
        <f>'לקוחות לפי סוכן - מקור'!G319</f>
        <v/>
      </c>
      <c r="F325" s="94">
        <f>'לקוחות לפי סוכן - מקור'!D319</f>
        <v/>
      </c>
      <c r="G325" s="95">
        <f>'לקוחות לפי סוכן - מקור'!H319</f>
        <v/>
      </c>
      <c r="H325" s="95">
        <f>'לקוחות לפי סוכן - מקור'!I319</f>
        <v/>
      </c>
      <c r="I325" s="94">
        <f>'לקוחות לפי סוכן - מקור'!K319</f>
        <v/>
      </c>
    </row>
    <row r="326" outlineLevel="1" ht="15" customHeight="1" s="82">
      <c r="A326" s="94">
        <f>'לקוחות לפי סוכן - מקור'!A320</f>
        <v/>
      </c>
      <c r="B326" s="94">
        <f>'לקוחות לפי סוכן - מקור'!C320</f>
        <v/>
      </c>
      <c r="C326" s="126">
        <f>'לקוחות לפי סוכן - מקור'!E320</f>
        <v/>
      </c>
      <c r="D326" s="102">
        <f>'לקוחות לפי סוכן - מקור'!F320</f>
        <v/>
      </c>
      <c r="E326" s="102">
        <f>'לקוחות לפי סוכן - מקור'!G320</f>
        <v/>
      </c>
      <c r="F326" s="94">
        <f>'לקוחות לפי סוכן - מקור'!D320</f>
        <v/>
      </c>
      <c r="G326" s="95">
        <f>'לקוחות לפי סוכן - מקור'!H320</f>
        <v/>
      </c>
      <c r="H326" s="95">
        <f>'לקוחות לפי סוכן - מקור'!I320</f>
        <v/>
      </c>
      <c r="I326" s="94">
        <f>'לקוחות לפי סוכן - מקור'!K320</f>
        <v/>
      </c>
    </row>
    <row r="327" outlineLevel="1" ht="15" customHeight="1" s="82">
      <c r="A327" s="94">
        <f>'לקוחות לפי סוכן - מקור'!A321</f>
        <v/>
      </c>
      <c r="B327" s="94">
        <f>'לקוחות לפי סוכן - מקור'!C321</f>
        <v/>
      </c>
      <c r="C327" s="126">
        <f>'לקוחות לפי סוכן - מקור'!E321</f>
        <v/>
      </c>
      <c r="D327" s="102">
        <f>'לקוחות לפי סוכן - מקור'!F321</f>
        <v/>
      </c>
      <c r="E327" s="102">
        <f>'לקוחות לפי סוכן - מקור'!G321</f>
        <v/>
      </c>
      <c r="F327" s="94">
        <f>'לקוחות לפי סוכן - מקור'!D321</f>
        <v/>
      </c>
      <c r="G327" s="95">
        <f>'לקוחות לפי סוכן - מקור'!H321</f>
        <v/>
      </c>
      <c r="H327" s="95">
        <f>'לקוחות לפי סוכן - מקור'!I321</f>
        <v/>
      </c>
      <c r="I327" s="94">
        <f>'לקוחות לפי סוכן - מקור'!K321</f>
        <v/>
      </c>
    </row>
    <row r="328" outlineLevel="1" ht="15" customHeight="1" s="82">
      <c r="A328" s="94">
        <f>'לקוחות לפי סוכן - מקור'!A322</f>
        <v/>
      </c>
      <c r="B328" s="94">
        <f>'לקוחות לפי סוכן - מקור'!C322</f>
        <v/>
      </c>
      <c r="C328" s="126">
        <f>'לקוחות לפי סוכן - מקור'!E322</f>
        <v/>
      </c>
      <c r="D328" s="102">
        <f>'לקוחות לפי סוכן - מקור'!F322</f>
        <v/>
      </c>
      <c r="E328" s="102">
        <f>'לקוחות לפי סוכן - מקור'!G322</f>
        <v/>
      </c>
      <c r="F328" s="94">
        <f>'לקוחות לפי סוכן - מקור'!D322</f>
        <v/>
      </c>
      <c r="G328" s="95">
        <f>'לקוחות לפי סוכן - מקור'!H322</f>
        <v/>
      </c>
      <c r="H328" s="95">
        <f>'לקוחות לפי סוכן - מקור'!I322</f>
        <v/>
      </c>
      <c r="I328" s="94">
        <f>'לקוחות לפי סוכן - מקור'!K322</f>
        <v/>
      </c>
    </row>
    <row r="329" outlineLevel="1" ht="15" customHeight="1" s="82">
      <c r="A329" s="94">
        <f>'לקוחות לפי סוכן - מקור'!A323</f>
        <v/>
      </c>
      <c r="B329" s="94">
        <f>'לקוחות לפי סוכן - מקור'!C323</f>
        <v/>
      </c>
      <c r="C329" s="126">
        <f>'לקוחות לפי סוכן - מקור'!E323</f>
        <v/>
      </c>
      <c r="D329" s="102">
        <f>'לקוחות לפי סוכן - מקור'!F323</f>
        <v/>
      </c>
      <c r="E329" s="102">
        <f>'לקוחות לפי סוכן - מקור'!G323</f>
        <v/>
      </c>
      <c r="F329" s="94">
        <f>'לקוחות לפי סוכן - מקור'!D323</f>
        <v/>
      </c>
      <c r="G329" s="95">
        <f>'לקוחות לפי סוכן - מקור'!H323</f>
        <v/>
      </c>
      <c r="H329" s="95">
        <f>'לקוחות לפי סוכן - מקור'!I323</f>
        <v/>
      </c>
      <c r="I329" s="94">
        <f>'לקוחות לפי סוכן - מקור'!K323</f>
        <v/>
      </c>
    </row>
    <row r="330" outlineLevel="1" ht="15" customHeight="1" s="82">
      <c r="A330" s="94">
        <f>'לקוחות לפי סוכן - מקור'!A324</f>
        <v/>
      </c>
      <c r="B330" s="94">
        <f>'לקוחות לפי סוכן - מקור'!C324</f>
        <v/>
      </c>
      <c r="C330" s="126">
        <f>'לקוחות לפי סוכן - מקור'!E324</f>
        <v/>
      </c>
      <c r="D330" s="102">
        <f>'לקוחות לפי סוכן - מקור'!F324</f>
        <v/>
      </c>
      <c r="E330" s="102">
        <f>'לקוחות לפי סוכן - מקור'!G324</f>
        <v/>
      </c>
      <c r="F330" s="94">
        <f>'לקוחות לפי סוכן - מקור'!D324</f>
        <v/>
      </c>
      <c r="G330" s="95">
        <f>'לקוחות לפי סוכן - מקור'!H324</f>
        <v/>
      </c>
      <c r="H330" s="95">
        <f>'לקוחות לפי סוכן - מקור'!I324</f>
        <v/>
      </c>
      <c r="I330" s="94">
        <f>'לקוחות לפי סוכן - מקור'!K324</f>
        <v/>
      </c>
    </row>
    <row r="331" outlineLevel="1" ht="15" customHeight="1" s="82">
      <c r="A331" s="94">
        <f>'לקוחות לפי סוכן - מקור'!A325</f>
        <v/>
      </c>
      <c r="B331" s="94">
        <f>'לקוחות לפי סוכן - מקור'!C325</f>
        <v/>
      </c>
      <c r="C331" s="126">
        <f>'לקוחות לפי סוכן - מקור'!E325</f>
        <v/>
      </c>
      <c r="D331" s="102">
        <f>'לקוחות לפי סוכן - מקור'!F325</f>
        <v/>
      </c>
      <c r="E331" s="102">
        <f>'לקוחות לפי סוכן - מקור'!G325</f>
        <v/>
      </c>
      <c r="F331" s="94">
        <f>'לקוחות לפי סוכן - מקור'!D325</f>
        <v/>
      </c>
      <c r="G331" s="95">
        <f>'לקוחות לפי סוכן - מקור'!H325</f>
        <v/>
      </c>
      <c r="H331" s="95">
        <f>'לקוחות לפי סוכן - מקור'!I325</f>
        <v/>
      </c>
      <c r="I331" s="94">
        <f>'לקוחות לפי סוכן - מקור'!K325</f>
        <v/>
      </c>
    </row>
    <row r="332" outlineLevel="1" ht="15" customHeight="1" s="82">
      <c r="A332" s="94">
        <f>'לקוחות לפי סוכן - מקור'!A326</f>
        <v/>
      </c>
      <c r="B332" s="94">
        <f>'לקוחות לפי סוכן - מקור'!C326</f>
        <v/>
      </c>
      <c r="C332" s="126">
        <f>'לקוחות לפי סוכן - מקור'!E326</f>
        <v/>
      </c>
      <c r="D332" s="102">
        <f>'לקוחות לפי סוכן - מקור'!F326</f>
        <v/>
      </c>
      <c r="E332" s="102">
        <f>'לקוחות לפי סוכן - מקור'!G326</f>
        <v/>
      </c>
      <c r="F332" s="94">
        <f>'לקוחות לפי סוכן - מקור'!D326</f>
        <v/>
      </c>
      <c r="G332" s="95">
        <f>'לקוחות לפי סוכן - מקור'!H326</f>
        <v/>
      </c>
      <c r="H332" s="95">
        <f>'לקוחות לפי סוכן - מקור'!I326</f>
        <v/>
      </c>
      <c r="I332" s="94">
        <f>'לקוחות לפי סוכן - מקור'!K326</f>
        <v/>
      </c>
    </row>
    <row r="333" outlineLevel="1" ht="15" customHeight="1" s="82">
      <c r="A333" s="94">
        <f>'לקוחות לפי סוכן - מקור'!A327</f>
        <v/>
      </c>
      <c r="B333" s="94">
        <f>'לקוחות לפי סוכן - מקור'!C327</f>
        <v/>
      </c>
      <c r="C333" s="126">
        <f>'לקוחות לפי סוכן - מקור'!E327</f>
        <v/>
      </c>
      <c r="D333" s="102">
        <f>'לקוחות לפי סוכן - מקור'!F327</f>
        <v/>
      </c>
      <c r="E333" s="102">
        <f>'לקוחות לפי סוכן - מקור'!G327</f>
        <v/>
      </c>
      <c r="F333" s="94">
        <f>'לקוחות לפי סוכן - מקור'!D327</f>
        <v/>
      </c>
      <c r="G333" s="95">
        <f>'לקוחות לפי סוכן - מקור'!H327</f>
        <v/>
      </c>
      <c r="H333" s="95">
        <f>'לקוחות לפי סוכן - מקור'!I327</f>
        <v/>
      </c>
      <c r="I333" s="94">
        <f>'לקוחות לפי סוכן - מקור'!K327</f>
        <v/>
      </c>
    </row>
    <row r="334" outlineLevel="1" ht="15" customHeight="1" s="82">
      <c r="A334" s="94">
        <f>'לקוחות לפי סוכן - מקור'!A328</f>
        <v/>
      </c>
      <c r="B334" s="94">
        <f>'לקוחות לפי סוכן - מקור'!C328</f>
        <v/>
      </c>
      <c r="C334" s="126">
        <f>'לקוחות לפי סוכן - מקור'!E328</f>
        <v/>
      </c>
      <c r="D334" s="102">
        <f>'לקוחות לפי סוכן - מקור'!F328</f>
        <v/>
      </c>
      <c r="E334" s="102">
        <f>'לקוחות לפי סוכן - מקור'!G328</f>
        <v/>
      </c>
      <c r="F334" s="94">
        <f>'לקוחות לפי סוכן - מקור'!D328</f>
        <v/>
      </c>
      <c r="G334" s="95">
        <f>'לקוחות לפי סוכן - מקור'!H328</f>
        <v/>
      </c>
      <c r="H334" s="95">
        <f>'לקוחות לפי סוכן - מקור'!I328</f>
        <v/>
      </c>
      <c r="I334" s="94">
        <f>'לקוחות לפי סוכן - מקור'!K328</f>
        <v/>
      </c>
    </row>
    <row r="335" outlineLevel="1" ht="15" customHeight="1" s="82">
      <c r="A335" s="94">
        <f>'לקוחות לפי סוכן - מקור'!A329</f>
        <v/>
      </c>
      <c r="B335" s="94">
        <f>'לקוחות לפי סוכן - מקור'!C329</f>
        <v/>
      </c>
      <c r="C335" s="126">
        <f>'לקוחות לפי סוכן - מקור'!E329</f>
        <v/>
      </c>
      <c r="D335" s="102">
        <f>'לקוחות לפי סוכן - מקור'!F329</f>
        <v/>
      </c>
      <c r="E335" s="102">
        <f>'לקוחות לפי סוכן - מקור'!G329</f>
        <v/>
      </c>
      <c r="F335" s="94">
        <f>'לקוחות לפי סוכן - מקור'!D329</f>
        <v/>
      </c>
      <c r="G335" s="95">
        <f>'לקוחות לפי סוכן - מקור'!H329</f>
        <v/>
      </c>
      <c r="H335" s="95">
        <f>'לקוחות לפי סוכן - מקור'!I329</f>
        <v/>
      </c>
      <c r="I335" s="94">
        <f>'לקוחות לפי סוכן - מקור'!K329</f>
        <v/>
      </c>
    </row>
    <row r="336" outlineLevel="1" ht="15" customHeight="1" s="82">
      <c r="A336" s="94">
        <f>'לקוחות לפי סוכן - מקור'!A330</f>
        <v/>
      </c>
      <c r="B336" s="94">
        <f>'לקוחות לפי סוכן - מקור'!C330</f>
        <v/>
      </c>
      <c r="C336" s="126">
        <f>'לקוחות לפי סוכן - מקור'!E330</f>
        <v/>
      </c>
      <c r="D336" s="102">
        <f>'לקוחות לפי סוכן - מקור'!F330</f>
        <v/>
      </c>
      <c r="E336" s="102">
        <f>'לקוחות לפי סוכן - מקור'!G330</f>
        <v/>
      </c>
      <c r="F336" s="94">
        <f>'לקוחות לפי סוכן - מקור'!D330</f>
        <v/>
      </c>
      <c r="G336" s="95">
        <f>'לקוחות לפי סוכן - מקור'!H330</f>
        <v/>
      </c>
      <c r="H336" s="95">
        <f>'לקוחות לפי סוכן - מקור'!I330</f>
        <v/>
      </c>
      <c r="I336" s="94">
        <f>'לקוחות לפי סוכן - מקור'!K330</f>
        <v/>
      </c>
    </row>
    <row r="337" outlineLevel="1" ht="15" customHeight="1" s="82">
      <c r="A337" s="94">
        <f>'לקוחות לפי סוכן - מקור'!A331</f>
        <v/>
      </c>
      <c r="B337" s="94">
        <f>'לקוחות לפי סוכן - מקור'!C331</f>
        <v/>
      </c>
      <c r="C337" s="126">
        <f>'לקוחות לפי סוכן - מקור'!E331</f>
        <v/>
      </c>
      <c r="D337" s="102">
        <f>'לקוחות לפי סוכן - מקור'!F331</f>
        <v/>
      </c>
      <c r="E337" s="102">
        <f>'לקוחות לפי סוכן - מקור'!G331</f>
        <v/>
      </c>
      <c r="F337" s="94">
        <f>'לקוחות לפי סוכן - מקור'!D331</f>
        <v/>
      </c>
      <c r="G337" s="95">
        <f>'לקוחות לפי סוכן - מקור'!H331</f>
        <v/>
      </c>
      <c r="H337" s="95">
        <f>'לקוחות לפי סוכן - מקור'!I331</f>
        <v/>
      </c>
      <c r="I337" s="94">
        <f>'לקוחות לפי סוכן - מקור'!K331</f>
        <v/>
      </c>
    </row>
    <row r="338" outlineLevel="1" ht="15" customHeight="1" s="82">
      <c r="A338" s="94">
        <f>'לקוחות לפי סוכן - מקור'!A332</f>
        <v/>
      </c>
      <c r="B338" s="94">
        <f>'לקוחות לפי סוכן - מקור'!C332</f>
        <v/>
      </c>
      <c r="C338" s="126">
        <f>'לקוחות לפי סוכן - מקור'!E332</f>
        <v/>
      </c>
      <c r="D338" s="102">
        <f>'לקוחות לפי סוכן - מקור'!F332</f>
        <v/>
      </c>
      <c r="E338" s="102">
        <f>'לקוחות לפי סוכן - מקור'!G332</f>
        <v/>
      </c>
      <c r="F338" s="94">
        <f>'לקוחות לפי סוכן - מקור'!D332</f>
        <v/>
      </c>
      <c r="G338" s="95">
        <f>'לקוחות לפי סוכן - מקור'!H332</f>
        <v/>
      </c>
      <c r="H338" s="95">
        <f>'לקוחות לפי סוכן - מקור'!I332</f>
        <v/>
      </c>
      <c r="I338" s="94">
        <f>'לקוחות לפי סוכן - מקור'!K332</f>
        <v/>
      </c>
    </row>
    <row r="339" outlineLevel="1" ht="15" customHeight="1" s="82">
      <c r="A339" s="94">
        <f>'לקוחות לפי סוכן - מקור'!A333</f>
        <v/>
      </c>
      <c r="B339" s="94">
        <f>'לקוחות לפי סוכן - מקור'!C333</f>
        <v/>
      </c>
      <c r="C339" s="126">
        <f>'לקוחות לפי סוכן - מקור'!E333</f>
        <v/>
      </c>
      <c r="D339" s="102">
        <f>'לקוחות לפי סוכן - מקור'!F333</f>
        <v/>
      </c>
      <c r="E339" s="102">
        <f>'לקוחות לפי סוכן - מקור'!G333</f>
        <v/>
      </c>
      <c r="F339" s="94">
        <f>'לקוחות לפי סוכן - מקור'!D333</f>
        <v/>
      </c>
      <c r="G339" s="95">
        <f>'לקוחות לפי סוכן - מקור'!H333</f>
        <v/>
      </c>
      <c r="H339" s="95">
        <f>'לקוחות לפי סוכן - מקור'!I333</f>
        <v/>
      </c>
      <c r="I339" s="94">
        <f>'לקוחות לפי סוכן - מקור'!K333</f>
        <v/>
      </c>
    </row>
    <row r="340" outlineLevel="1" ht="15" customHeight="1" s="82">
      <c r="A340" s="94">
        <f>'לקוחות לפי סוכן - מקור'!A334</f>
        <v/>
      </c>
      <c r="B340" s="94">
        <f>'לקוחות לפי סוכן - מקור'!C334</f>
        <v/>
      </c>
      <c r="C340" s="126">
        <f>'לקוחות לפי סוכן - מקור'!E334</f>
        <v/>
      </c>
      <c r="D340" s="102">
        <f>'לקוחות לפי סוכן - מקור'!F334</f>
        <v/>
      </c>
      <c r="E340" s="102">
        <f>'לקוחות לפי סוכן - מקור'!G334</f>
        <v/>
      </c>
      <c r="F340" s="94">
        <f>'לקוחות לפי סוכן - מקור'!D334</f>
        <v/>
      </c>
      <c r="G340" s="95">
        <f>'לקוחות לפי סוכן - מקור'!H334</f>
        <v/>
      </c>
      <c r="H340" s="95">
        <f>'לקוחות לפי סוכן - מקור'!I334</f>
        <v/>
      </c>
      <c r="I340" s="94">
        <f>'לקוחות לפי סוכן - מקור'!K334</f>
        <v/>
      </c>
    </row>
    <row r="341" outlineLevel="1" ht="15" customHeight="1" s="82">
      <c r="A341" s="94">
        <f>'לקוחות לפי סוכן - מקור'!A335</f>
        <v/>
      </c>
      <c r="B341" s="94">
        <f>'לקוחות לפי סוכן - מקור'!C335</f>
        <v/>
      </c>
      <c r="C341" s="126">
        <f>'לקוחות לפי סוכן - מקור'!E335</f>
        <v/>
      </c>
      <c r="D341" s="102">
        <f>'לקוחות לפי סוכן - מקור'!F335</f>
        <v/>
      </c>
      <c r="E341" s="102">
        <f>'לקוחות לפי סוכן - מקור'!G335</f>
        <v/>
      </c>
      <c r="F341" s="94">
        <f>'לקוחות לפי סוכן - מקור'!D335</f>
        <v/>
      </c>
      <c r="G341" s="95">
        <f>'לקוחות לפי סוכן - מקור'!H335</f>
        <v/>
      </c>
      <c r="H341" s="95">
        <f>'לקוחות לפי סוכן - מקור'!I335</f>
        <v/>
      </c>
      <c r="I341" s="94">
        <f>'לקוחות לפי סוכן - מקור'!K335</f>
        <v/>
      </c>
    </row>
    <row r="342" outlineLevel="1" ht="15" customHeight="1" s="82">
      <c r="A342" s="94">
        <f>'לקוחות לפי סוכן - מקור'!A336</f>
        <v/>
      </c>
      <c r="B342" s="94">
        <f>'לקוחות לפי סוכן - מקור'!C336</f>
        <v/>
      </c>
      <c r="C342" s="126">
        <f>'לקוחות לפי סוכן - מקור'!E336</f>
        <v/>
      </c>
      <c r="D342" s="102">
        <f>'לקוחות לפי סוכן - מקור'!F336</f>
        <v/>
      </c>
      <c r="E342" s="102">
        <f>'לקוחות לפי סוכן - מקור'!G336</f>
        <v/>
      </c>
      <c r="F342" s="94">
        <f>'לקוחות לפי סוכן - מקור'!D336</f>
        <v/>
      </c>
      <c r="G342" s="95">
        <f>'לקוחות לפי סוכן - מקור'!H336</f>
        <v/>
      </c>
      <c r="H342" s="95">
        <f>'לקוחות לפי סוכן - מקור'!I336</f>
        <v/>
      </c>
      <c r="I342" s="94">
        <f>'לקוחות לפי סוכן - מקור'!K336</f>
        <v/>
      </c>
    </row>
    <row r="343" outlineLevel="1" ht="15" customHeight="1" s="82">
      <c r="A343" s="94">
        <f>'לקוחות לפי סוכן - מקור'!A337</f>
        <v/>
      </c>
      <c r="B343" s="94">
        <f>'לקוחות לפי סוכן - מקור'!C337</f>
        <v/>
      </c>
      <c r="C343" s="126">
        <f>'לקוחות לפי סוכן - מקור'!E337</f>
        <v/>
      </c>
      <c r="D343" s="102">
        <f>'לקוחות לפי סוכן - מקור'!F337</f>
        <v/>
      </c>
      <c r="E343" s="102">
        <f>'לקוחות לפי סוכן - מקור'!G337</f>
        <v/>
      </c>
      <c r="F343" s="94">
        <f>'לקוחות לפי סוכן - מקור'!D337</f>
        <v/>
      </c>
      <c r="G343" s="95">
        <f>'לקוחות לפי סוכן - מקור'!H337</f>
        <v/>
      </c>
      <c r="H343" s="95">
        <f>'לקוחות לפי סוכן - מקור'!I337</f>
        <v/>
      </c>
      <c r="I343" s="94">
        <f>'לקוחות לפי סוכן - מקור'!K337</f>
        <v/>
      </c>
    </row>
    <row r="344" outlineLevel="1" ht="15" customHeight="1" s="82">
      <c r="A344" s="94">
        <f>'לקוחות לפי סוכן - מקור'!A338</f>
        <v/>
      </c>
      <c r="B344" s="94">
        <f>'לקוחות לפי סוכן - מקור'!C338</f>
        <v/>
      </c>
      <c r="C344" s="126">
        <f>'לקוחות לפי סוכן - מקור'!E338</f>
        <v/>
      </c>
      <c r="D344" s="102">
        <f>'לקוחות לפי סוכן - מקור'!F338</f>
        <v/>
      </c>
      <c r="E344" s="102">
        <f>'לקוחות לפי סוכן - מקור'!G338</f>
        <v/>
      </c>
      <c r="F344" s="94">
        <f>'לקוחות לפי סוכן - מקור'!D338</f>
        <v/>
      </c>
      <c r="G344" s="95">
        <f>'לקוחות לפי סוכן - מקור'!H338</f>
        <v/>
      </c>
      <c r="H344" s="95">
        <f>'לקוחות לפי סוכן - מקור'!I338</f>
        <v/>
      </c>
      <c r="I344" s="94">
        <f>'לקוחות לפי סוכן - מקור'!K338</f>
        <v/>
      </c>
    </row>
    <row r="345" outlineLevel="1" ht="15" customHeight="1" s="82">
      <c r="A345" s="94">
        <f>'לקוחות לפי סוכן - מקור'!A339</f>
        <v/>
      </c>
      <c r="B345" s="94">
        <f>'לקוחות לפי סוכן - מקור'!C339</f>
        <v/>
      </c>
      <c r="C345" s="126">
        <f>'לקוחות לפי סוכן - מקור'!E339</f>
        <v/>
      </c>
      <c r="D345" s="102">
        <f>'לקוחות לפי סוכן - מקור'!F339</f>
        <v/>
      </c>
      <c r="E345" s="102">
        <f>'לקוחות לפי סוכן - מקור'!G339</f>
        <v/>
      </c>
      <c r="F345" s="94">
        <f>'לקוחות לפי סוכן - מקור'!D339</f>
        <v/>
      </c>
      <c r="G345" s="95">
        <f>'לקוחות לפי סוכן - מקור'!H339</f>
        <v/>
      </c>
      <c r="H345" s="95">
        <f>'לקוחות לפי סוכן - מקור'!I339</f>
        <v/>
      </c>
      <c r="I345" s="94">
        <f>'לקוחות לפי סוכן - מקור'!K339</f>
        <v/>
      </c>
    </row>
    <row r="346" outlineLevel="1" ht="15" customHeight="1" s="82">
      <c r="A346" s="94">
        <f>'לקוחות לפי סוכן - מקור'!A340</f>
        <v/>
      </c>
      <c r="B346" s="94">
        <f>'לקוחות לפי סוכן - מקור'!C340</f>
        <v/>
      </c>
      <c r="C346" s="126">
        <f>'לקוחות לפי סוכן - מקור'!E340</f>
        <v/>
      </c>
      <c r="D346" s="102">
        <f>'לקוחות לפי סוכן - מקור'!F340</f>
        <v/>
      </c>
      <c r="E346" s="102">
        <f>'לקוחות לפי סוכן - מקור'!G340</f>
        <v/>
      </c>
      <c r="F346" s="94">
        <f>'לקוחות לפי סוכן - מקור'!D340</f>
        <v/>
      </c>
      <c r="G346" s="95">
        <f>'לקוחות לפי סוכן - מקור'!H340</f>
        <v/>
      </c>
      <c r="H346" s="95">
        <f>'לקוחות לפי סוכן - מקור'!I340</f>
        <v/>
      </c>
      <c r="I346" s="94">
        <f>'לקוחות לפי סוכן - מקור'!K340</f>
        <v/>
      </c>
    </row>
    <row r="347" outlineLevel="1" ht="15" customHeight="1" s="82">
      <c r="A347" s="94">
        <f>'לקוחות לפי סוכן - מקור'!A341</f>
        <v/>
      </c>
      <c r="B347" s="94">
        <f>'לקוחות לפי סוכן - מקור'!C341</f>
        <v/>
      </c>
      <c r="C347" s="126">
        <f>'לקוחות לפי סוכן - מקור'!E341</f>
        <v/>
      </c>
      <c r="D347" s="102">
        <f>'לקוחות לפי סוכן - מקור'!F341</f>
        <v/>
      </c>
      <c r="E347" s="102">
        <f>'לקוחות לפי סוכן - מקור'!G341</f>
        <v/>
      </c>
      <c r="F347" s="94">
        <f>'לקוחות לפי סוכן - מקור'!D341</f>
        <v/>
      </c>
      <c r="G347" s="95">
        <f>'לקוחות לפי סוכן - מקור'!H341</f>
        <v/>
      </c>
      <c r="H347" s="95">
        <f>'לקוחות לפי סוכן - מקור'!I341</f>
        <v/>
      </c>
      <c r="I347" s="94">
        <f>'לקוחות לפי סוכן - מקור'!K341</f>
        <v/>
      </c>
    </row>
    <row r="348" outlineLevel="1" ht="15" customHeight="1" s="82">
      <c r="A348" s="94">
        <f>'לקוחות לפי סוכן - מקור'!A342</f>
        <v/>
      </c>
      <c r="B348" s="94">
        <f>'לקוחות לפי סוכן - מקור'!C342</f>
        <v/>
      </c>
      <c r="C348" s="126">
        <f>'לקוחות לפי סוכן - מקור'!E342</f>
        <v/>
      </c>
      <c r="D348" s="102">
        <f>'לקוחות לפי סוכן - מקור'!F342</f>
        <v/>
      </c>
      <c r="E348" s="102">
        <f>'לקוחות לפי סוכן - מקור'!G342</f>
        <v/>
      </c>
      <c r="F348" s="94">
        <f>'לקוחות לפי סוכן - מקור'!D342</f>
        <v/>
      </c>
      <c r="G348" s="95">
        <f>'לקוחות לפי סוכן - מקור'!H342</f>
        <v/>
      </c>
      <c r="H348" s="95">
        <f>'לקוחות לפי סוכן - מקור'!I342</f>
        <v/>
      </c>
      <c r="I348" s="94">
        <f>'לקוחות לפי סוכן - מקור'!K342</f>
        <v/>
      </c>
    </row>
    <row r="349" outlineLevel="1" ht="15" customHeight="1" s="82">
      <c r="A349" s="94">
        <f>'לקוחות לפי סוכן - מקור'!A343</f>
        <v/>
      </c>
      <c r="B349" s="94">
        <f>'לקוחות לפי סוכן - מקור'!C343</f>
        <v/>
      </c>
      <c r="C349" s="126">
        <f>'לקוחות לפי סוכן - מקור'!E343</f>
        <v/>
      </c>
      <c r="D349" s="102">
        <f>'לקוחות לפי סוכן - מקור'!F343</f>
        <v/>
      </c>
      <c r="E349" s="102">
        <f>'לקוחות לפי סוכן - מקור'!G343</f>
        <v/>
      </c>
      <c r="F349" s="94">
        <f>'לקוחות לפי סוכן - מקור'!D343</f>
        <v/>
      </c>
      <c r="G349" s="95">
        <f>'לקוחות לפי סוכן - מקור'!H343</f>
        <v/>
      </c>
      <c r="H349" s="95">
        <f>'לקוחות לפי סוכן - מקור'!I343</f>
        <v/>
      </c>
      <c r="I349" s="94">
        <f>'לקוחות לפי סוכן - מקור'!K343</f>
        <v/>
      </c>
    </row>
    <row r="350" outlineLevel="1" ht="15" customHeight="1" s="82">
      <c r="A350" s="94">
        <f>'לקוחות לפי סוכן - מקור'!A344</f>
        <v/>
      </c>
      <c r="B350" s="94">
        <f>'לקוחות לפי סוכן - מקור'!C344</f>
        <v/>
      </c>
      <c r="C350" s="126">
        <f>'לקוחות לפי סוכן - מקור'!E344</f>
        <v/>
      </c>
      <c r="D350" s="102">
        <f>'לקוחות לפי סוכן - מקור'!F344</f>
        <v/>
      </c>
      <c r="E350" s="102">
        <f>'לקוחות לפי סוכן - מקור'!G344</f>
        <v/>
      </c>
      <c r="F350" s="94">
        <f>'לקוחות לפי סוכן - מקור'!D344</f>
        <v/>
      </c>
      <c r="G350" s="95">
        <f>'לקוחות לפי סוכן - מקור'!H344</f>
        <v/>
      </c>
      <c r="H350" s="95">
        <f>'לקוחות לפי סוכן - מקור'!I344</f>
        <v/>
      </c>
      <c r="I350" s="94">
        <f>'לקוחות לפי סוכן - מקור'!K344</f>
        <v/>
      </c>
    </row>
    <row r="351" outlineLevel="1" ht="15" customHeight="1" s="82">
      <c r="A351" s="94">
        <f>'לקוחות לפי סוכן - מקור'!A345</f>
        <v/>
      </c>
      <c r="B351" s="94">
        <f>'לקוחות לפי סוכן - מקור'!C345</f>
        <v/>
      </c>
      <c r="C351" s="126">
        <f>'לקוחות לפי סוכן - מקור'!E345</f>
        <v/>
      </c>
      <c r="D351" s="102">
        <f>'לקוחות לפי סוכן - מקור'!F345</f>
        <v/>
      </c>
      <c r="E351" s="102">
        <f>'לקוחות לפי סוכן - מקור'!G345</f>
        <v/>
      </c>
      <c r="F351" s="94">
        <f>'לקוחות לפי סוכן - מקור'!D345</f>
        <v/>
      </c>
      <c r="G351" s="95">
        <f>'לקוחות לפי סוכן - מקור'!H345</f>
        <v/>
      </c>
      <c r="H351" s="95">
        <f>'לקוחות לפי סוכן - מקור'!I345</f>
        <v/>
      </c>
      <c r="I351" s="94">
        <f>'לקוחות לפי סוכן - מקור'!K345</f>
        <v/>
      </c>
    </row>
    <row r="352" outlineLevel="1" ht="15" customHeight="1" s="82">
      <c r="A352" s="94">
        <f>'לקוחות לפי סוכן - מקור'!A346</f>
        <v/>
      </c>
      <c r="B352" s="94">
        <f>'לקוחות לפי סוכן - מקור'!C346</f>
        <v/>
      </c>
      <c r="C352" s="126">
        <f>'לקוחות לפי סוכן - מקור'!E346</f>
        <v/>
      </c>
      <c r="D352" s="102">
        <f>'לקוחות לפי סוכן - מקור'!F346</f>
        <v/>
      </c>
      <c r="E352" s="102">
        <f>'לקוחות לפי סוכן - מקור'!G346</f>
        <v/>
      </c>
      <c r="F352" s="94">
        <f>'לקוחות לפי סוכן - מקור'!D346</f>
        <v/>
      </c>
      <c r="G352" s="95">
        <f>'לקוחות לפי סוכן - מקור'!H346</f>
        <v/>
      </c>
      <c r="H352" s="95">
        <f>'לקוחות לפי סוכן - מקור'!I346</f>
        <v/>
      </c>
      <c r="I352" s="94">
        <f>'לקוחות לפי סוכן - מקור'!K346</f>
        <v/>
      </c>
    </row>
    <row r="353" outlineLevel="1" ht="15" customHeight="1" s="82">
      <c r="A353" s="94">
        <f>'לקוחות לפי סוכן - מקור'!A347</f>
        <v/>
      </c>
      <c r="B353" s="94">
        <f>'לקוחות לפי סוכן - מקור'!C347</f>
        <v/>
      </c>
      <c r="C353" s="126">
        <f>'לקוחות לפי סוכן - מקור'!E347</f>
        <v/>
      </c>
      <c r="D353" s="102">
        <f>'לקוחות לפי סוכן - מקור'!F347</f>
        <v/>
      </c>
      <c r="E353" s="102">
        <f>'לקוחות לפי סוכן - מקור'!G347</f>
        <v/>
      </c>
      <c r="F353" s="94">
        <f>'לקוחות לפי סוכן - מקור'!D347</f>
        <v/>
      </c>
      <c r="G353" s="95">
        <f>'לקוחות לפי סוכן - מקור'!H347</f>
        <v/>
      </c>
      <c r="H353" s="95">
        <f>'לקוחות לפי סוכן - מקור'!I347</f>
        <v/>
      </c>
      <c r="I353" s="94">
        <f>'לקוחות לפי סוכן - מקור'!K347</f>
        <v/>
      </c>
    </row>
    <row r="354" outlineLevel="1" ht="15" customHeight="1" s="82">
      <c r="A354" s="94">
        <f>'לקוחות לפי סוכן - מקור'!A348</f>
        <v/>
      </c>
      <c r="B354" s="94">
        <f>'לקוחות לפי סוכן - מקור'!C348</f>
        <v/>
      </c>
      <c r="C354" s="126">
        <f>'לקוחות לפי סוכן - מקור'!E348</f>
        <v/>
      </c>
      <c r="D354" s="102">
        <f>'לקוחות לפי סוכן - מקור'!F348</f>
        <v/>
      </c>
      <c r="E354" s="102">
        <f>'לקוחות לפי סוכן - מקור'!G348</f>
        <v/>
      </c>
      <c r="F354" s="94">
        <f>'לקוחות לפי סוכן - מקור'!D348</f>
        <v/>
      </c>
      <c r="G354" s="95">
        <f>'לקוחות לפי סוכן - מקור'!H348</f>
        <v/>
      </c>
      <c r="H354" s="95">
        <f>'לקוחות לפי סוכן - מקור'!I348</f>
        <v/>
      </c>
      <c r="I354" s="94">
        <f>'לקוחות לפי סוכן - מקור'!K348</f>
        <v/>
      </c>
    </row>
    <row r="355" outlineLevel="1" ht="15" customHeight="1" s="82">
      <c r="A355" s="94">
        <f>'לקוחות לפי סוכן - מקור'!A349</f>
        <v/>
      </c>
      <c r="B355" s="94">
        <f>'לקוחות לפי סוכן - מקור'!C349</f>
        <v/>
      </c>
      <c r="C355" s="126">
        <f>'לקוחות לפי סוכן - מקור'!E349</f>
        <v/>
      </c>
      <c r="D355" s="102">
        <f>'לקוחות לפי סוכן - מקור'!F349</f>
        <v/>
      </c>
      <c r="E355" s="102">
        <f>'לקוחות לפי סוכן - מקור'!G349</f>
        <v/>
      </c>
      <c r="F355" s="94">
        <f>'לקוחות לפי סוכן - מקור'!D349</f>
        <v/>
      </c>
      <c r="G355" s="95">
        <f>'לקוחות לפי סוכן - מקור'!H349</f>
        <v/>
      </c>
      <c r="H355" s="95">
        <f>'לקוחות לפי סוכן - מקור'!I349</f>
        <v/>
      </c>
      <c r="I355" s="94">
        <f>'לקוחות לפי סוכן - מקור'!K349</f>
        <v/>
      </c>
    </row>
    <row r="356" outlineLevel="1" ht="15" customHeight="1" s="82">
      <c r="A356" s="94">
        <f>'לקוחות לפי סוכן - מקור'!A350</f>
        <v/>
      </c>
      <c r="B356" s="94">
        <f>'לקוחות לפי סוכן - מקור'!C350</f>
        <v/>
      </c>
      <c r="C356" s="126">
        <f>'לקוחות לפי סוכן - מקור'!E350</f>
        <v/>
      </c>
      <c r="D356" s="102">
        <f>'לקוחות לפי סוכן - מקור'!F350</f>
        <v/>
      </c>
      <c r="E356" s="102">
        <f>'לקוחות לפי סוכן - מקור'!G350</f>
        <v/>
      </c>
      <c r="F356" s="94">
        <f>'לקוחות לפי סוכן - מקור'!D350</f>
        <v/>
      </c>
      <c r="G356" s="95">
        <f>'לקוחות לפי סוכן - מקור'!H350</f>
        <v/>
      </c>
      <c r="H356" s="95">
        <f>'לקוחות לפי סוכן - מקור'!I350</f>
        <v/>
      </c>
      <c r="I356" s="94">
        <f>'לקוחות לפי סוכן - מקור'!K350</f>
        <v/>
      </c>
    </row>
    <row r="357" outlineLevel="1" ht="15" customHeight="1" s="82">
      <c r="A357" s="94">
        <f>'לקוחות לפי סוכן - מקור'!A351</f>
        <v/>
      </c>
      <c r="B357" s="94">
        <f>'לקוחות לפי סוכן - מקור'!C351</f>
        <v/>
      </c>
      <c r="C357" s="126">
        <f>'לקוחות לפי סוכן - מקור'!E351</f>
        <v/>
      </c>
      <c r="D357" s="102">
        <f>'לקוחות לפי סוכן - מקור'!F351</f>
        <v/>
      </c>
      <c r="E357" s="102">
        <f>'לקוחות לפי סוכן - מקור'!G351</f>
        <v/>
      </c>
      <c r="F357" s="94">
        <f>'לקוחות לפי סוכן - מקור'!D351</f>
        <v/>
      </c>
      <c r="G357" s="95">
        <f>'לקוחות לפי סוכן - מקור'!H351</f>
        <v/>
      </c>
      <c r="H357" s="95">
        <f>'לקוחות לפי סוכן - מקור'!I351</f>
        <v/>
      </c>
      <c r="I357" s="94">
        <f>'לקוחות לפי סוכן - מקור'!K351</f>
        <v/>
      </c>
    </row>
    <row r="358" outlineLevel="1" ht="15" customHeight="1" s="82">
      <c r="A358" s="94">
        <f>'לקוחות לפי סוכן - מקור'!A352</f>
        <v/>
      </c>
      <c r="B358" s="94">
        <f>'לקוחות לפי סוכן - מקור'!C352</f>
        <v/>
      </c>
      <c r="C358" s="126">
        <f>'לקוחות לפי סוכן - מקור'!E352</f>
        <v/>
      </c>
      <c r="D358" s="102">
        <f>'לקוחות לפי סוכן - מקור'!F352</f>
        <v/>
      </c>
      <c r="E358" s="102">
        <f>'לקוחות לפי סוכן - מקור'!G352</f>
        <v/>
      </c>
      <c r="F358" s="94">
        <f>'לקוחות לפי סוכן - מקור'!D352</f>
        <v/>
      </c>
      <c r="G358" s="95">
        <f>'לקוחות לפי סוכן - מקור'!H352</f>
        <v/>
      </c>
      <c r="H358" s="95">
        <f>'לקוחות לפי סוכן - מקור'!I352</f>
        <v/>
      </c>
      <c r="I358" s="94">
        <f>'לקוחות לפי סוכן - מקור'!K352</f>
        <v/>
      </c>
    </row>
    <row r="359" outlineLevel="1" ht="15" customHeight="1" s="82">
      <c r="A359" s="94">
        <f>'לקוחות לפי סוכן - מקור'!A353</f>
        <v/>
      </c>
      <c r="B359" s="94">
        <f>'לקוחות לפי סוכן - מקור'!C353</f>
        <v/>
      </c>
      <c r="C359" s="126">
        <f>'לקוחות לפי סוכן - מקור'!E353</f>
        <v/>
      </c>
      <c r="D359" s="102">
        <f>'לקוחות לפי סוכן - מקור'!F353</f>
        <v/>
      </c>
      <c r="E359" s="102">
        <f>'לקוחות לפי סוכן - מקור'!G353</f>
        <v/>
      </c>
      <c r="F359" s="94">
        <f>'לקוחות לפי סוכן - מקור'!D353</f>
        <v/>
      </c>
      <c r="G359" s="95">
        <f>'לקוחות לפי סוכן - מקור'!H353</f>
        <v/>
      </c>
      <c r="H359" s="95">
        <f>'לקוחות לפי סוכן - מקור'!I353</f>
        <v/>
      </c>
      <c r="I359" s="94">
        <f>'לקוחות לפי סוכן - מקור'!K353</f>
        <v/>
      </c>
    </row>
    <row r="360" outlineLevel="1" ht="15" customHeight="1" s="82">
      <c r="A360" s="94">
        <f>'לקוחות לפי סוכן - מקור'!A354</f>
        <v/>
      </c>
      <c r="B360" s="94">
        <f>'לקוחות לפי סוכן - מקור'!C354</f>
        <v/>
      </c>
      <c r="C360" s="126">
        <f>'לקוחות לפי סוכן - מקור'!E354</f>
        <v/>
      </c>
      <c r="D360" s="102">
        <f>'לקוחות לפי סוכן - מקור'!F354</f>
        <v/>
      </c>
      <c r="E360" s="102">
        <f>'לקוחות לפי סוכן - מקור'!G354</f>
        <v/>
      </c>
      <c r="F360" s="94">
        <f>'לקוחות לפי סוכן - מקור'!D354</f>
        <v/>
      </c>
      <c r="G360" s="95">
        <f>'לקוחות לפי סוכן - מקור'!H354</f>
        <v/>
      </c>
      <c r="H360" s="95">
        <f>'לקוחות לפי סוכן - מקור'!I354</f>
        <v/>
      </c>
      <c r="I360" s="94">
        <f>'לקוחות לפי סוכן - מקור'!K354</f>
        <v/>
      </c>
    </row>
    <row r="361" outlineLevel="1" ht="15" customHeight="1" s="82">
      <c r="A361" s="94">
        <f>'לקוחות לפי סוכן - מקור'!A355</f>
        <v/>
      </c>
      <c r="B361" s="94">
        <f>'לקוחות לפי סוכן - מקור'!C355</f>
        <v/>
      </c>
      <c r="C361" s="126">
        <f>'לקוחות לפי סוכן - מקור'!E355</f>
        <v/>
      </c>
      <c r="D361" s="102">
        <f>'לקוחות לפי סוכן - מקור'!F355</f>
        <v/>
      </c>
      <c r="E361" s="102">
        <f>'לקוחות לפי סוכן - מקור'!G355</f>
        <v/>
      </c>
      <c r="F361" s="94">
        <f>'לקוחות לפי סוכן - מקור'!D355</f>
        <v/>
      </c>
      <c r="G361" s="95">
        <f>'לקוחות לפי סוכן - מקור'!H355</f>
        <v/>
      </c>
      <c r="H361" s="95">
        <f>'לקוחות לפי סוכן - מקור'!I355</f>
        <v/>
      </c>
      <c r="I361" s="94">
        <f>'לקוחות לפי סוכן - מקור'!K355</f>
        <v/>
      </c>
    </row>
    <row r="362" outlineLevel="1" ht="15" customHeight="1" s="82">
      <c r="A362" s="94">
        <f>'לקוחות לפי סוכן - מקור'!A356</f>
        <v/>
      </c>
      <c r="B362" s="94">
        <f>'לקוחות לפי סוכן - מקור'!C356</f>
        <v/>
      </c>
      <c r="C362" s="126">
        <f>'לקוחות לפי סוכן - מקור'!E356</f>
        <v/>
      </c>
      <c r="D362" s="102">
        <f>'לקוחות לפי סוכן - מקור'!F356</f>
        <v/>
      </c>
      <c r="E362" s="102">
        <f>'לקוחות לפי סוכן - מקור'!G356</f>
        <v/>
      </c>
      <c r="F362" s="94">
        <f>'לקוחות לפי סוכן - מקור'!D356</f>
        <v/>
      </c>
      <c r="G362" s="95">
        <f>'לקוחות לפי סוכן - מקור'!H356</f>
        <v/>
      </c>
      <c r="H362" s="95">
        <f>'לקוחות לפי סוכן - מקור'!I356</f>
        <v/>
      </c>
      <c r="I362" s="94">
        <f>'לקוחות לפי סוכן - מקור'!K356</f>
        <v/>
      </c>
    </row>
    <row r="363" outlineLevel="1" ht="15" customHeight="1" s="82">
      <c r="A363" s="94">
        <f>'לקוחות לפי סוכן - מקור'!A357</f>
        <v/>
      </c>
      <c r="B363" s="94">
        <f>'לקוחות לפי סוכן - מקור'!C357</f>
        <v/>
      </c>
      <c r="C363" s="126">
        <f>'לקוחות לפי סוכן - מקור'!E357</f>
        <v/>
      </c>
      <c r="D363" s="102">
        <f>'לקוחות לפי סוכן - מקור'!F357</f>
        <v/>
      </c>
      <c r="E363" s="102">
        <f>'לקוחות לפי סוכן - מקור'!G357</f>
        <v/>
      </c>
      <c r="F363" s="94">
        <f>'לקוחות לפי סוכן - מקור'!D357</f>
        <v/>
      </c>
      <c r="G363" s="95">
        <f>'לקוחות לפי סוכן - מקור'!H357</f>
        <v/>
      </c>
      <c r="H363" s="95">
        <f>'לקוחות לפי סוכן - מקור'!I357</f>
        <v/>
      </c>
      <c r="I363" s="94">
        <f>'לקוחות לפי סוכן - מקור'!K357</f>
        <v/>
      </c>
    </row>
    <row r="364" outlineLevel="1" ht="15" customHeight="1" s="82">
      <c r="A364" s="94">
        <f>'לקוחות לפי סוכן - מקור'!A358</f>
        <v/>
      </c>
      <c r="B364" s="94">
        <f>'לקוחות לפי סוכן - מקור'!C358</f>
        <v/>
      </c>
      <c r="C364" s="126">
        <f>'לקוחות לפי סוכן - מקור'!E358</f>
        <v/>
      </c>
      <c r="D364" s="102">
        <f>'לקוחות לפי סוכן - מקור'!F358</f>
        <v/>
      </c>
      <c r="E364" s="102">
        <f>'לקוחות לפי סוכן - מקור'!G358</f>
        <v/>
      </c>
      <c r="F364" s="94">
        <f>'לקוחות לפי סוכן - מקור'!D358</f>
        <v/>
      </c>
      <c r="G364" s="95">
        <f>'לקוחות לפי סוכן - מקור'!H358</f>
        <v/>
      </c>
      <c r="H364" s="95">
        <f>'לקוחות לפי סוכן - מקור'!I358</f>
        <v/>
      </c>
      <c r="I364" s="94">
        <f>'לקוחות לפי סוכן - מקור'!K358</f>
        <v/>
      </c>
    </row>
    <row r="365" outlineLevel="1" ht="15" customHeight="1" s="82">
      <c r="A365" s="94">
        <f>'לקוחות לפי סוכן - מקור'!A359</f>
        <v/>
      </c>
      <c r="B365" s="94">
        <f>'לקוחות לפי סוכן - מקור'!C359</f>
        <v/>
      </c>
      <c r="C365" s="126">
        <f>'לקוחות לפי סוכן - מקור'!E359</f>
        <v/>
      </c>
      <c r="D365" s="102">
        <f>'לקוחות לפי סוכן - מקור'!F359</f>
        <v/>
      </c>
      <c r="E365" s="102">
        <f>'לקוחות לפי סוכן - מקור'!G359</f>
        <v/>
      </c>
      <c r="F365" s="94">
        <f>'לקוחות לפי סוכן - מקור'!D359</f>
        <v/>
      </c>
      <c r="G365" s="95">
        <f>'לקוחות לפי סוכן - מקור'!H359</f>
        <v/>
      </c>
      <c r="H365" s="95">
        <f>'לקוחות לפי סוכן - מקור'!I359</f>
        <v/>
      </c>
      <c r="I365" s="94">
        <f>'לקוחות לפי סוכן - מקור'!K359</f>
        <v/>
      </c>
    </row>
    <row r="366" outlineLevel="1" ht="15" customHeight="1" s="82">
      <c r="A366" s="94">
        <f>'לקוחות לפי סוכן - מקור'!A360</f>
        <v/>
      </c>
      <c r="B366" s="94">
        <f>'לקוחות לפי סוכן - מקור'!C360</f>
        <v/>
      </c>
      <c r="C366" s="126">
        <f>'לקוחות לפי סוכן - מקור'!E360</f>
        <v/>
      </c>
      <c r="D366" s="102">
        <f>'לקוחות לפי סוכן - מקור'!F360</f>
        <v/>
      </c>
      <c r="E366" s="102">
        <f>'לקוחות לפי סוכן - מקור'!G360</f>
        <v/>
      </c>
      <c r="F366" s="94">
        <f>'לקוחות לפי סוכן - מקור'!D360</f>
        <v/>
      </c>
      <c r="G366" s="95">
        <f>'לקוחות לפי סוכן - מקור'!H360</f>
        <v/>
      </c>
      <c r="H366" s="95">
        <f>'לקוחות לפי סוכן - מקור'!I360</f>
        <v/>
      </c>
      <c r="I366" s="94">
        <f>'לקוחות לפי סוכן - מקור'!K360</f>
        <v/>
      </c>
    </row>
    <row r="367" outlineLevel="1" ht="15" customHeight="1" s="82">
      <c r="A367" s="94">
        <f>'לקוחות לפי סוכן - מקור'!A361</f>
        <v/>
      </c>
      <c r="B367" s="94">
        <f>'לקוחות לפי סוכן - מקור'!C361</f>
        <v/>
      </c>
      <c r="C367" s="126">
        <f>'לקוחות לפי סוכן - מקור'!E361</f>
        <v/>
      </c>
      <c r="D367" s="102">
        <f>'לקוחות לפי סוכן - מקור'!F361</f>
        <v/>
      </c>
      <c r="E367" s="102">
        <f>'לקוחות לפי סוכן - מקור'!G361</f>
        <v/>
      </c>
      <c r="F367" s="94">
        <f>'לקוחות לפי סוכן - מקור'!D361</f>
        <v/>
      </c>
      <c r="G367" s="95">
        <f>'לקוחות לפי סוכן - מקור'!H361</f>
        <v/>
      </c>
      <c r="H367" s="95">
        <f>'לקוחות לפי סוכן - מקור'!I361</f>
        <v/>
      </c>
      <c r="I367" s="94">
        <f>'לקוחות לפי סוכן - מקור'!K361</f>
        <v/>
      </c>
    </row>
    <row r="368" outlineLevel="1" ht="15" customHeight="1" s="82">
      <c r="A368" s="94">
        <f>'לקוחות לפי סוכן - מקור'!A362</f>
        <v/>
      </c>
      <c r="B368" s="94">
        <f>'לקוחות לפי סוכן - מקור'!C362</f>
        <v/>
      </c>
      <c r="C368" s="126">
        <f>'לקוחות לפי סוכן - מקור'!E362</f>
        <v/>
      </c>
      <c r="D368" s="102">
        <f>'לקוחות לפי סוכן - מקור'!F362</f>
        <v/>
      </c>
      <c r="E368" s="102">
        <f>'לקוחות לפי סוכן - מקור'!G362</f>
        <v/>
      </c>
      <c r="F368" s="94">
        <f>'לקוחות לפי סוכן - מקור'!D362</f>
        <v/>
      </c>
      <c r="G368" s="95">
        <f>'לקוחות לפי סוכן - מקור'!H362</f>
        <v/>
      </c>
      <c r="H368" s="95">
        <f>'לקוחות לפי סוכן - מקור'!I362</f>
        <v/>
      </c>
      <c r="I368" s="94">
        <f>'לקוחות לפי סוכן - מקור'!K362</f>
        <v/>
      </c>
    </row>
    <row r="369" outlineLevel="1" ht="15" customHeight="1" s="82">
      <c r="A369" s="94">
        <f>'לקוחות לפי סוכן - מקור'!A363</f>
        <v/>
      </c>
      <c r="B369" s="94">
        <f>'לקוחות לפי סוכן - מקור'!C363</f>
        <v/>
      </c>
      <c r="C369" s="126">
        <f>'לקוחות לפי סוכן - מקור'!E363</f>
        <v/>
      </c>
      <c r="D369" s="102">
        <f>'לקוחות לפי סוכן - מקור'!F363</f>
        <v/>
      </c>
      <c r="E369" s="102">
        <f>'לקוחות לפי סוכן - מקור'!G363</f>
        <v/>
      </c>
      <c r="F369" s="94">
        <f>'לקוחות לפי סוכן - מקור'!D363</f>
        <v/>
      </c>
      <c r="G369" s="95">
        <f>'לקוחות לפי סוכן - מקור'!H363</f>
        <v/>
      </c>
      <c r="H369" s="95">
        <f>'לקוחות לפי סוכן - מקור'!I363</f>
        <v/>
      </c>
      <c r="I369" s="94">
        <f>'לקוחות לפי סוכן - מקור'!K363</f>
        <v/>
      </c>
    </row>
    <row r="370" outlineLevel="1" ht="15" customHeight="1" s="82">
      <c r="A370" s="94">
        <f>'לקוחות לפי סוכן - מקור'!A364</f>
        <v/>
      </c>
      <c r="B370" s="94">
        <f>'לקוחות לפי סוכן - מקור'!C364</f>
        <v/>
      </c>
      <c r="C370" s="126">
        <f>'לקוחות לפי סוכן - מקור'!E364</f>
        <v/>
      </c>
      <c r="D370" s="102">
        <f>'לקוחות לפי סוכן - מקור'!F364</f>
        <v/>
      </c>
      <c r="E370" s="102">
        <f>'לקוחות לפי סוכן - מקור'!G364</f>
        <v/>
      </c>
      <c r="F370" s="94">
        <f>'לקוחות לפי סוכן - מקור'!D364</f>
        <v/>
      </c>
      <c r="G370" s="95">
        <f>'לקוחות לפי סוכן - מקור'!H364</f>
        <v/>
      </c>
      <c r="H370" s="95">
        <f>'לקוחות לפי סוכן - מקור'!I364</f>
        <v/>
      </c>
      <c r="I370" s="94">
        <f>'לקוחות לפי סוכן - מקור'!K364</f>
        <v/>
      </c>
    </row>
    <row r="371" outlineLevel="1" ht="15" customHeight="1" s="82">
      <c r="A371" s="94">
        <f>'לקוחות לפי סוכן - מקור'!A365</f>
        <v/>
      </c>
      <c r="B371" s="94">
        <f>'לקוחות לפי סוכן - מקור'!C365</f>
        <v/>
      </c>
      <c r="C371" s="126">
        <f>'לקוחות לפי סוכן - מקור'!E365</f>
        <v/>
      </c>
      <c r="D371" s="102">
        <f>'לקוחות לפי סוכן - מקור'!F365</f>
        <v/>
      </c>
      <c r="E371" s="102">
        <f>'לקוחות לפי סוכן - מקור'!G365</f>
        <v/>
      </c>
      <c r="F371" s="94">
        <f>'לקוחות לפי סוכן - מקור'!D365</f>
        <v/>
      </c>
      <c r="G371" s="95">
        <f>'לקוחות לפי סוכן - מקור'!H365</f>
        <v/>
      </c>
      <c r="H371" s="95">
        <f>'לקוחות לפי סוכן - מקור'!I365</f>
        <v/>
      </c>
      <c r="I371" s="94">
        <f>'לקוחות לפי סוכן - מקור'!K365</f>
        <v/>
      </c>
    </row>
    <row r="372" outlineLevel="1" ht="15" customHeight="1" s="82">
      <c r="A372" s="94">
        <f>'לקוחות לפי סוכן - מקור'!A367</f>
        <v/>
      </c>
      <c r="B372" s="94">
        <f>'לקוחות לפי סוכן - מקור'!C367</f>
        <v/>
      </c>
      <c r="C372" s="126">
        <f>'לקוחות לפי סוכן - מקור'!E367</f>
        <v/>
      </c>
      <c r="D372" s="102">
        <f>'לקוחות לפי סוכן - מקור'!F367</f>
        <v/>
      </c>
      <c r="E372" s="102">
        <f>'לקוחות לפי סוכן - מקור'!G367</f>
        <v/>
      </c>
      <c r="F372" s="94">
        <f>'לקוחות לפי סוכן - מקור'!D367</f>
        <v/>
      </c>
      <c r="G372" s="95">
        <f>'לקוחות לפי סוכן - מקור'!H367</f>
        <v/>
      </c>
      <c r="H372" s="95">
        <f>'לקוחות לפי סוכן - מקור'!I367</f>
        <v/>
      </c>
      <c r="I372" s="94">
        <f>'לקוחות לפי סוכן - מקור'!K367</f>
        <v/>
      </c>
    </row>
    <row r="373" outlineLevel="1" ht="15" customHeight="1" s="82">
      <c r="A373" s="94">
        <f>'לקוחות לפי סוכן - מקור'!A368</f>
        <v/>
      </c>
      <c r="B373" s="94">
        <f>'לקוחות לפי סוכן - מקור'!C368</f>
        <v/>
      </c>
      <c r="C373" s="126">
        <f>'לקוחות לפי סוכן - מקור'!E368</f>
        <v/>
      </c>
      <c r="D373" s="102">
        <f>'לקוחות לפי סוכן - מקור'!F368</f>
        <v/>
      </c>
      <c r="E373" s="102">
        <f>'לקוחות לפי סוכן - מקור'!G368</f>
        <v/>
      </c>
      <c r="F373" s="94">
        <f>'לקוחות לפי סוכן - מקור'!D368</f>
        <v/>
      </c>
      <c r="G373" s="95">
        <f>'לקוחות לפי סוכן - מקור'!H368</f>
        <v/>
      </c>
      <c r="H373" s="95">
        <f>'לקוחות לפי סוכן - מקור'!I368</f>
        <v/>
      </c>
      <c r="I373" s="94">
        <f>'לקוחות לפי סוכן - מקור'!K368</f>
        <v/>
      </c>
    </row>
    <row r="374" outlineLevel="1" ht="15" customHeight="1" s="82">
      <c r="A374" s="94">
        <f>'לקוחות לפי סוכן - מקור'!A369</f>
        <v/>
      </c>
      <c r="B374" s="94">
        <f>'לקוחות לפי סוכן - מקור'!C369</f>
        <v/>
      </c>
      <c r="C374" s="126">
        <f>'לקוחות לפי סוכן - מקור'!E369</f>
        <v/>
      </c>
      <c r="D374" s="102">
        <f>'לקוחות לפי סוכן - מקור'!F369</f>
        <v/>
      </c>
      <c r="E374" s="102">
        <f>'לקוחות לפי סוכן - מקור'!G369</f>
        <v/>
      </c>
      <c r="F374" s="94">
        <f>'לקוחות לפי סוכן - מקור'!D369</f>
        <v/>
      </c>
      <c r="G374" s="95">
        <f>'לקוחות לפי סוכן - מקור'!H369</f>
        <v/>
      </c>
      <c r="H374" s="95">
        <f>'לקוחות לפי סוכן - מקור'!I369</f>
        <v/>
      </c>
      <c r="I374" s="94">
        <f>'לקוחות לפי סוכן - מקור'!K369</f>
        <v/>
      </c>
    </row>
    <row r="375" outlineLevel="1" ht="15" customHeight="1" s="82">
      <c r="A375" s="94">
        <f>'לקוחות לפי סוכן - מקור'!A370</f>
        <v/>
      </c>
      <c r="B375" s="94">
        <f>'לקוחות לפי סוכן - מקור'!C370</f>
        <v/>
      </c>
      <c r="C375" s="126">
        <f>'לקוחות לפי סוכן - מקור'!E370</f>
        <v/>
      </c>
      <c r="D375" s="102">
        <f>'לקוחות לפי סוכן - מקור'!F370</f>
        <v/>
      </c>
      <c r="E375" s="102">
        <f>'לקוחות לפי סוכן - מקור'!G370</f>
        <v/>
      </c>
      <c r="F375" s="94">
        <f>'לקוחות לפי סוכן - מקור'!D370</f>
        <v/>
      </c>
      <c r="G375" s="95">
        <f>'לקוחות לפי סוכן - מקור'!H370</f>
        <v/>
      </c>
      <c r="H375" s="95">
        <f>'לקוחות לפי סוכן - מקור'!I370</f>
        <v/>
      </c>
      <c r="I375" s="94">
        <f>'לקוחות לפי סוכן - מקור'!K370</f>
        <v/>
      </c>
    </row>
    <row r="376" outlineLevel="1" ht="15" customHeight="1" s="82">
      <c r="A376" s="94">
        <f>'לקוחות לפי סוכן - מקור'!A371</f>
        <v/>
      </c>
      <c r="B376" s="94">
        <f>'לקוחות לפי סוכן - מקור'!C371</f>
        <v/>
      </c>
      <c r="C376" s="126">
        <f>'לקוחות לפי סוכן - מקור'!E371</f>
        <v/>
      </c>
      <c r="D376" s="102">
        <f>'לקוחות לפי סוכן - מקור'!F371</f>
        <v/>
      </c>
      <c r="E376" s="102">
        <f>'לקוחות לפי סוכן - מקור'!G371</f>
        <v/>
      </c>
      <c r="F376" s="94">
        <f>'לקוחות לפי סוכן - מקור'!D371</f>
        <v/>
      </c>
      <c r="G376" s="95">
        <f>'לקוחות לפי סוכן - מקור'!H371</f>
        <v/>
      </c>
      <c r="H376" s="95">
        <f>'לקוחות לפי סוכן - מקור'!I371</f>
        <v/>
      </c>
      <c r="I376" s="94">
        <f>'לקוחות לפי סוכן - מקור'!K371</f>
        <v/>
      </c>
    </row>
    <row r="377" outlineLevel="1" ht="15" customHeight="1" s="82">
      <c r="A377" s="94">
        <f>'לקוחות לפי סוכן - מקור'!A372</f>
        <v/>
      </c>
      <c r="B377" s="94">
        <f>'לקוחות לפי סוכן - מקור'!C372</f>
        <v/>
      </c>
      <c r="C377" s="126">
        <f>'לקוחות לפי סוכן - מקור'!E372</f>
        <v/>
      </c>
      <c r="D377" s="102">
        <f>'לקוחות לפי סוכן - מקור'!F372</f>
        <v/>
      </c>
      <c r="E377" s="102">
        <f>'לקוחות לפי סוכן - מקור'!G372</f>
        <v/>
      </c>
      <c r="F377" s="94">
        <f>'לקוחות לפי סוכן - מקור'!D372</f>
        <v/>
      </c>
      <c r="G377" s="95">
        <f>'לקוחות לפי סוכן - מקור'!H372</f>
        <v/>
      </c>
      <c r="H377" s="95">
        <f>'לקוחות לפי סוכן - מקור'!I372</f>
        <v/>
      </c>
      <c r="I377" s="94">
        <f>'לקוחות לפי סוכן - מקור'!K372</f>
        <v/>
      </c>
    </row>
    <row r="378" outlineLevel="1" ht="15" customHeight="1" s="82">
      <c r="A378" s="94">
        <f>'לקוחות לפי סוכן - מקור'!A373</f>
        <v/>
      </c>
      <c r="B378" s="94">
        <f>'לקוחות לפי סוכן - מקור'!C373</f>
        <v/>
      </c>
      <c r="C378" s="126">
        <f>'לקוחות לפי סוכן - מקור'!E373</f>
        <v/>
      </c>
      <c r="D378" s="102">
        <f>'לקוחות לפי סוכן - מקור'!F373</f>
        <v/>
      </c>
      <c r="E378" s="102">
        <f>'לקוחות לפי סוכן - מקור'!G373</f>
        <v/>
      </c>
      <c r="F378" s="94">
        <f>'לקוחות לפי סוכן - מקור'!D373</f>
        <v/>
      </c>
      <c r="G378" s="95">
        <f>'לקוחות לפי סוכן - מקור'!H373</f>
        <v/>
      </c>
      <c r="H378" s="95">
        <f>'לקוחות לפי סוכן - מקור'!I373</f>
        <v/>
      </c>
      <c r="I378" s="94">
        <f>'לקוחות לפי סוכן - מקור'!K373</f>
        <v/>
      </c>
    </row>
    <row r="379" outlineLevel="1" ht="15" customHeight="1" s="82">
      <c r="A379" s="94">
        <f>'לקוחות לפי סוכן - מקור'!A374</f>
        <v/>
      </c>
      <c r="B379" s="94">
        <f>'לקוחות לפי סוכן - מקור'!C374</f>
        <v/>
      </c>
      <c r="C379" s="126">
        <f>'לקוחות לפי סוכן - מקור'!E374</f>
        <v/>
      </c>
      <c r="D379" s="102">
        <f>'לקוחות לפי סוכן - מקור'!F374</f>
        <v/>
      </c>
      <c r="E379" s="102">
        <f>'לקוחות לפי סוכן - מקור'!G374</f>
        <v/>
      </c>
      <c r="F379" s="94">
        <f>'לקוחות לפי סוכן - מקור'!D374</f>
        <v/>
      </c>
      <c r="G379" s="95">
        <f>'לקוחות לפי סוכן - מקור'!H374</f>
        <v/>
      </c>
      <c r="H379" s="95">
        <f>'לקוחות לפי סוכן - מקור'!I374</f>
        <v/>
      </c>
      <c r="I379" s="94">
        <f>'לקוחות לפי סוכן - מקור'!K374</f>
        <v/>
      </c>
    </row>
    <row r="380" outlineLevel="1" ht="15" customHeight="1" s="82">
      <c r="A380" s="94">
        <f>'לקוחות לפי סוכן - מקור'!A375</f>
        <v/>
      </c>
      <c r="B380" s="94">
        <f>'לקוחות לפי סוכן - מקור'!C375</f>
        <v/>
      </c>
      <c r="C380" s="126">
        <f>'לקוחות לפי סוכן - מקור'!E375</f>
        <v/>
      </c>
      <c r="D380" s="102">
        <f>'לקוחות לפי סוכן - מקור'!F375</f>
        <v/>
      </c>
      <c r="E380" s="102">
        <f>'לקוחות לפי סוכן - מקור'!G375</f>
        <v/>
      </c>
      <c r="F380" s="94">
        <f>'לקוחות לפי סוכן - מקור'!D375</f>
        <v/>
      </c>
      <c r="G380" s="95">
        <f>'לקוחות לפי סוכן - מקור'!H375</f>
        <v/>
      </c>
      <c r="H380" s="95">
        <f>'לקוחות לפי סוכן - מקור'!I375</f>
        <v/>
      </c>
      <c r="I380" s="94">
        <f>'לקוחות לפי סוכן - מקור'!K375</f>
        <v/>
      </c>
    </row>
    <row r="381" outlineLevel="1" ht="15" customHeight="1" s="82">
      <c r="A381" s="94">
        <f>'לקוחות לפי סוכן - מקור'!A376</f>
        <v/>
      </c>
      <c r="B381" s="94">
        <f>'לקוחות לפי סוכן - מקור'!C376</f>
        <v/>
      </c>
      <c r="C381" s="126">
        <f>'לקוחות לפי סוכן - מקור'!E376</f>
        <v/>
      </c>
      <c r="D381" s="102">
        <f>'לקוחות לפי סוכן - מקור'!F376</f>
        <v/>
      </c>
      <c r="E381" s="102">
        <f>'לקוחות לפי סוכן - מקור'!G376</f>
        <v/>
      </c>
      <c r="F381" s="94">
        <f>'לקוחות לפי סוכן - מקור'!D376</f>
        <v/>
      </c>
      <c r="G381" s="95">
        <f>'לקוחות לפי סוכן - מקור'!H376</f>
        <v/>
      </c>
      <c r="H381" s="95">
        <f>'לקוחות לפי סוכן - מקור'!I376</f>
        <v/>
      </c>
      <c r="I381" s="94">
        <f>'לקוחות לפי סוכן - מקור'!K376</f>
        <v/>
      </c>
    </row>
    <row r="382" outlineLevel="1" ht="15" customHeight="1" s="82">
      <c r="A382" s="94">
        <f>'לקוחות לפי סוכן - מקור'!A377</f>
        <v/>
      </c>
      <c r="B382" s="94">
        <f>'לקוחות לפי סוכן - מקור'!C377</f>
        <v/>
      </c>
      <c r="C382" s="126">
        <f>'לקוחות לפי סוכן - מקור'!E377</f>
        <v/>
      </c>
      <c r="D382" s="102">
        <f>'לקוחות לפי סוכן - מקור'!F377</f>
        <v/>
      </c>
      <c r="E382" s="102">
        <f>'לקוחות לפי סוכן - מקור'!G377</f>
        <v/>
      </c>
      <c r="F382" s="94">
        <f>'לקוחות לפי סוכן - מקור'!D377</f>
        <v/>
      </c>
      <c r="G382" s="95">
        <f>'לקוחות לפי סוכן - מקור'!H377</f>
        <v/>
      </c>
      <c r="H382" s="95">
        <f>'לקוחות לפי סוכן - מקור'!I377</f>
        <v/>
      </c>
      <c r="I382" s="94">
        <f>'לקוחות לפי סוכן - מקור'!K377</f>
        <v/>
      </c>
    </row>
    <row r="383" outlineLevel="1" ht="15" customHeight="1" s="82">
      <c r="A383" s="94">
        <f>'לקוחות לפי סוכן - מקור'!A378</f>
        <v/>
      </c>
      <c r="B383" s="94">
        <f>'לקוחות לפי סוכן - מקור'!C378</f>
        <v/>
      </c>
      <c r="C383" s="126">
        <f>'לקוחות לפי סוכן - מקור'!E378</f>
        <v/>
      </c>
      <c r="D383" s="102">
        <f>'לקוחות לפי סוכן - מקור'!F378</f>
        <v/>
      </c>
      <c r="E383" s="102">
        <f>'לקוחות לפי סוכן - מקור'!G378</f>
        <v/>
      </c>
      <c r="F383" s="94">
        <f>'לקוחות לפי סוכן - מקור'!D378</f>
        <v/>
      </c>
      <c r="G383" s="95">
        <f>'לקוחות לפי סוכן - מקור'!H378</f>
        <v/>
      </c>
      <c r="H383" s="95">
        <f>'לקוחות לפי סוכן - מקור'!I378</f>
        <v/>
      </c>
      <c r="I383" s="94">
        <f>'לקוחות לפי סוכן - מקור'!K378</f>
        <v/>
      </c>
    </row>
    <row r="384" outlineLevel="1" ht="15" customHeight="1" s="82">
      <c r="A384" s="94">
        <f>'לקוחות לפי סוכן - מקור'!A379</f>
        <v/>
      </c>
      <c r="B384" s="94">
        <f>'לקוחות לפי סוכן - מקור'!C379</f>
        <v/>
      </c>
      <c r="C384" s="126">
        <f>'לקוחות לפי סוכן - מקור'!E379</f>
        <v/>
      </c>
      <c r="D384" s="102">
        <f>'לקוחות לפי סוכן - מקור'!F379</f>
        <v/>
      </c>
      <c r="E384" s="102">
        <f>'לקוחות לפי סוכן - מקור'!G379</f>
        <v/>
      </c>
      <c r="F384" s="94">
        <f>'לקוחות לפי סוכן - מקור'!D379</f>
        <v/>
      </c>
      <c r="G384" s="95">
        <f>'לקוחות לפי סוכן - מקור'!H379</f>
        <v/>
      </c>
      <c r="H384" s="95">
        <f>'לקוחות לפי סוכן - מקור'!I379</f>
        <v/>
      </c>
      <c r="I384" s="94">
        <f>'לקוחות לפי סוכן - מקור'!K379</f>
        <v/>
      </c>
    </row>
    <row r="385" outlineLevel="1" ht="15" customHeight="1" s="82">
      <c r="A385" s="94">
        <f>'לקוחות לפי סוכן - מקור'!A380</f>
        <v/>
      </c>
      <c r="B385" s="94">
        <f>'לקוחות לפי סוכן - מקור'!C380</f>
        <v/>
      </c>
      <c r="C385" s="126">
        <f>'לקוחות לפי סוכן - מקור'!E380</f>
        <v/>
      </c>
      <c r="D385" s="102">
        <f>'לקוחות לפי סוכן - מקור'!F380</f>
        <v/>
      </c>
      <c r="E385" s="102">
        <f>'לקוחות לפי סוכן - מקור'!G380</f>
        <v/>
      </c>
      <c r="F385" s="94">
        <f>'לקוחות לפי סוכן - מקור'!D380</f>
        <v/>
      </c>
      <c r="G385" s="95">
        <f>'לקוחות לפי סוכן - מקור'!H380</f>
        <v/>
      </c>
      <c r="H385" s="95">
        <f>'לקוחות לפי סוכן - מקור'!I380</f>
        <v/>
      </c>
      <c r="I385" s="94">
        <f>'לקוחות לפי סוכן - מקור'!K380</f>
        <v/>
      </c>
    </row>
    <row r="386" outlineLevel="1" ht="15" customHeight="1" s="82">
      <c r="A386" s="94">
        <f>'לקוחות לפי סוכן - מקור'!A381</f>
        <v/>
      </c>
      <c r="B386" s="94">
        <f>'לקוחות לפי סוכן - מקור'!C381</f>
        <v/>
      </c>
      <c r="C386" s="126">
        <f>'לקוחות לפי סוכן - מקור'!E381</f>
        <v/>
      </c>
      <c r="D386" s="102">
        <f>'לקוחות לפי סוכן - מקור'!F381</f>
        <v/>
      </c>
      <c r="E386" s="102">
        <f>'לקוחות לפי סוכן - מקור'!G381</f>
        <v/>
      </c>
      <c r="F386" s="94">
        <f>'לקוחות לפי סוכן - מקור'!D381</f>
        <v/>
      </c>
      <c r="G386" s="95">
        <f>'לקוחות לפי סוכן - מקור'!H381</f>
        <v/>
      </c>
      <c r="H386" s="95">
        <f>'לקוחות לפי סוכן - מקור'!I381</f>
        <v/>
      </c>
      <c r="I386" s="94">
        <f>'לקוחות לפי סוכן - מקור'!K381</f>
        <v/>
      </c>
    </row>
    <row r="387" outlineLevel="1" ht="15" customHeight="1" s="82">
      <c r="A387" s="94">
        <f>'לקוחות לפי סוכן - מקור'!A382</f>
        <v/>
      </c>
      <c r="B387" s="94">
        <f>'לקוחות לפי סוכן - מקור'!C382</f>
        <v/>
      </c>
      <c r="C387" s="126">
        <f>'לקוחות לפי סוכן - מקור'!E382</f>
        <v/>
      </c>
      <c r="D387" s="102">
        <f>'לקוחות לפי סוכן - מקור'!F382</f>
        <v/>
      </c>
      <c r="E387" s="102">
        <f>'לקוחות לפי סוכן - מקור'!G382</f>
        <v/>
      </c>
      <c r="F387" s="94">
        <f>'לקוחות לפי סוכן - מקור'!D382</f>
        <v/>
      </c>
      <c r="G387" s="95">
        <f>'לקוחות לפי סוכן - מקור'!H382</f>
        <v/>
      </c>
      <c r="H387" s="95">
        <f>'לקוחות לפי סוכן - מקור'!I382</f>
        <v/>
      </c>
      <c r="I387" s="94">
        <f>'לקוחות לפי סוכן - מקור'!K382</f>
        <v/>
      </c>
    </row>
    <row r="388" outlineLevel="1" ht="15" customHeight="1" s="82">
      <c r="A388" s="94">
        <f>'לקוחות לפי סוכן - מקור'!A383</f>
        <v/>
      </c>
      <c r="B388" s="94">
        <f>'לקוחות לפי סוכן - מקור'!C383</f>
        <v/>
      </c>
      <c r="C388" s="126">
        <f>'לקוחות לפי סוכן - מקור'!E383</f>
        <v/>
      </c>
      <c r="D388" s="102">
        <f>'לקוחות לפי סוכן - מקור'!F383</f>
        <v/>
      </c>
      <c r="E388" s="102">
        <f>'לקוחות לפי סוכן - מקור'!G383</f>
        <v/>
      </c>
      <c r="F388" s="94">
        <f>'לקוחות לפי סוכן - מקור'!D383</f>
        <v/>
      </c>
      <c r="G388" s="95">
        <f>'לקוחות לפי סוכן - מקור'!H383</f>
        <v/>
      </c>
      <c r="H388" s="95">
        <f>'לקוחות לפי סוכן - מקור'!I383</f>
        <v/>
      </c>
      <c r="I388" s="94">
        <f>'לקוחות לפי סוכן - מקור'!K383</f>
        <v/>
      </c>
    </row>
    <row r="389" outlineLevel="1" ht="15" customHeight="1" s="82">
      <c r="A389" s="94">
        <f>'לקוחות לפי סוכן - מקור'!A384</f>
        <v/>
      </c>
      <c r="B389" s="94">
        <f>'לקוחות לפי סוכן - מקור'!C384</f>
        <v/>
      </c>
      <c r="C389" s="126">
        <f>'לקוחות לפי סוכן - מקור'!E384</f>
        <v/>
      </c>
      <c r="D389" s="102">
        <f>'לקוחות לפי סוכן - מקור'!F384</f>
        <v/>
      </c>
      <c r="E389" s="102">
        <f>'לקוחות לפי סוכן - מקור'!G384</f>
        <v/>
      </c>
      <c r="F389" s="94">
        <f>'לקוחות לפי סוכן - מקור'!D384</f>
        <v/>
      </c>
      <c r="G389" s="95">
        <f>'לקוחות לפי סוכן - מקור'!H384</f>
        <v/>
      </c>
      <c r="H389" s="95">
        <f>'לקוחות לפי סוכן - מקור'!I384</f>
        <v/>
      </c>
      <c r="I389" s="94">
        <f>'לקוחות לפי סוכן - מקור'!K384</f>
        <v/>
      </c>
    </row>
    <row r="390" outlineLevel="1" ht="15" customHeight="1" s="82">
      <c r="A390" s="94">
        <f>'לקוחות לפי סוכן - מקור'!A385</f>
        <v/>
      </c>
      <c r="B390" s="94">
        <f>'לקוחות לפי סוכן - מקור'!C385</f>
        <v/>
      </c>
      <c r="C390" s="126">
        <f>'לקוחות לפי סוכן - מקור'!E385</f>
        <v/>
      </c>
      <c r="D390" s="102">
        <f>'לקוחות לפי סוכן - מקור'!F385</f>
        <v/>
      </c>
      <c r="E390" s="102">
        <f>'לקוחות לפי סוכן - מקור'!G385</f>
        <v/>
      </c>
      <c r="F390" s="94">
        <f>'לקוחות לפי סוכן - מקור'!D385</f>
        <v/>
      </c>
      <c r="G390" s="95">
        <f>'לקוחות לפי סוכן - מקור'!H385</f>
        <v/>
      </c>
      <c r="H390" s="95">
        <f>'לקוחות לפי סוכן - מקור'!I385</f>
        <v/>
      </c>
      <c r="I390" s="94">
        <f>'לקוחות לפי סוכן - מקור'!K385</f>
        <v/>
      </c>
    </row>
    <row r="391" outlineLevel="1" ht="15" customHeight="1" s="82">
      <c r="A391" s="94">
        <f>'לקוחות לפי סוכן - מקור'!A386</f>
        <v/>
      </c>
      <c r="B391" s="94">
        <f>'לקוחות לפי סוכן - מקור'!C386</f>
        <v/>
      </c>
      <c r="C391" s="126">
        <f>'לקוחות לפי סוכן - מקור'!E386</f>
        <v/>
      </c>
      <c r="D391" s="102">
        <f>'לקוחות לפי סוכן - מקור'!F386</f>
        <v/>
      </c>
      <c r="E391" s="102">
        <f>'לקוחות לפי סוכן - מקור'!G386</f>
        <v/>
      </c>
      <c r="F391" s="94">
        <f>'לקוחות לפי סוכן - מקור'!D386</f>
        <v/>
      </c>
      <c r="G391" s="95">
        <f>'לקוחות לפי סוכן - מקור'!H386</f>
        <v/>
      </c>
      <c r="H391" s="95">
        <f>'לקוחות לפי סוכן - מקור'!I386</f>
        <v/>
      </c>
      <c r="I391" s="94">
        <f>'לקוחות לפי סוכן - מקור'!K386</f>
        <v/>
      </c>
    </row>
    <row r="392" outlineLevel="1" ht="15" customHeight="1" s="82">
      <c r="A392" s="94">
        <f>'לקוחות לפי סוכן - מקור'!A387</f>
        <v/>
      </c>
      <c r="B392" s="94">
        <f>'לקוחות לפי סוכן - מקור'!C387</f>
        <v/>
      </c>
      <c r="C392" s="126">
        <f>'לקוחות לפי סוכן - מקור'!E387</f>
        <v/>
      </c>
      <c r="D392" s="102">
        <f>'לקוחות לפי סוכן - מקור'!F387</f>
        <v/>
      </c>
      <c r="E392" s="102">
        <f>'לקוחות לפי סוכן - מקור'!G387</f>
        <v/>
      </c>
      <c r="F392" s="94">
        <f>'לקוחות לפי סוכן - מקור'!D387</f>
        <v/>
      </c>
      <c r="G392" s="95">
        <f>'לקוחות לפי סוכן - מקור'!H387</f>
        <v/>
      </c>
      <c r="H392" s="95">
        <f>'לקוחות לפי סוכן - מקור'!I387</f>
        <v/>
      </c>
      <c r="I392" s="94">
        <f>'לקוחות לפי סוכן - מקור'!K387</f>
        <v/>
      </c>
    </row>
    <row r="393" outlineLevel="1" ht="15" customHeight="1" s="82">
      <c r="A393" s="94">
        <f>'לקוחות לפי סוכן - מקור'!A388</f>
        <v/>
      </c>
      <c r="B393" s="94">
        <f>'לקוחות לפי סוכן - מקור'!C388</f>
        <v/>
      </c>
      <c r="C393" s="126">
        <f>'לקוחות לפי סוכן - מקור'!E388</f>
        <v/>
      </c>
      <c r="D393" s="102">
        <f>'לקוחות לפי סוכן - מקור'!F388</f>
        <v/>
      </c>
      <c r="E393" s="102">
        <f>'לקוחות לפי סוכן - מקור'!G388</f>
        <v/>
      </c>
      <c r="F393" s="94">
        <f>'לקוחות לפי סוכן - מקור'!D388</f>
        <v/>
      </c>
      <c r="G393" s="95">
        <f>'לקוחות לפי סוכן - מקור'!H388</f>
        <v/>
      </c>
      <c r="H393" s="95">
        <f>'לקוחות לפי סוכן - מקור'!I388</f>
        <v/>
      </c>
      <c r="I393" s="94">
        <f>'לקוחות לפי סוכן - מקור'!K388</f>
        <v/>
      </c>
    </row>
    <row r="394" outlineLevel="1" ht="15" customHeight="1" s="82">
      <c r="A394" s="94">
        <f>'לקוחות לפי סוכן - מקור'!A389</f>
        <v/>
      </c>
      <c r="B394" s="94">
        <f>'לקוחות לפי סוכן - מקור'!C389</f>
        <v/>
      </c>
      <c r="C394" s="126">
        <f>'לקוחות לפי סוכן - מקור'!E389</f>
        <v/>
      </c>
      <c r="D394" s="102">
        <f>'לקוחות לפי סוכן - מקור'!F389</f>
        <v/>
      </c>
      <c r="E394" s="102">
        <f>'לקוחות לפי סוכן - מקור'!G389</f>
        <v/>
      </c>
      <c r="F394" s="94">
        <f>'לקוחות לפי סוכן - מקור'!D389</f>
        <v/>
      </c>
      <c r="G394" s="95">
        <f>'לקוחות לפי סוכן - מקור'!H389</f>
        <v/>
      </c>
      <c r="H394" s="95">
        <f>'לקוחות לפי סוכן - מקור'!I389</f>
        <v/>
      </c>
      <c r="I394" s="94">
        <f>'לקוחות לפי סוכן - מקור'!K389</f>
        <v/>
      </c>
    </row>
    <row r="395" outlineLevel="1" ht="15" customHeight="1" s="82">
      <c r="A395" s="94">
        <f>'לקוחות לפי סוכן - מקור'!A390</f>
        <v/>
      </c>
      <c r="B395" s="94">
        <f>'לקוחות לפי סוכן - מקור'!C390</f>
        <v/>
      </c>
      <c r="C395" s="126">
        <f>'לקוחות לפי סוכן - מקור'!E390</f>
        <v/>
      </c>
      <c r="D395" s="102">
        <f>'לקוחות לפי סוכן - מקור'!F390</f>
        <v/>
      </c>
      <c r="E395" s="102">
        <f>'לקוחות לפי סוכן - מקור'!G390</f>
        <v/>
      </c>
      <c r="F395" s="94">
        <f>'לקוחות לפי סוכן - מקור'!D390</f>
        <v/>
      </c>
      <c r="G395" s="95">
        <f>'לקוחות לפי סוכן - מקור'!H390</f>
        <v/>
      </c>
      <c r="H395" s="95">
        <f>'לקוחות לפי סוכן - מקור'!I390</f>
        <v/>
      </c>
      <c r="I395" s="94">
        <f>'לקוחות לפי סוכן - מקור'!K390</f>
        <v/>
      </c>
    </row>
    <row r="396" outlineLevel="1" ht="15" customHeight="1" s="82">
      <c r="A396" s="94">
        <f>'לקוחות לפי סוכן - מקור'!A391</f>
        <v/>
      </c>
      <c r="B396" s="94">
        <f>'לקוחות לפי סוכן - מקור'!C391</f>
        <v/>
      </c>
      <c r="C396" s="126">
        <f>'לקוחות לפי סוכן - מקור'!E391</f>
        <v/>
      </c>
      <c r="D396" s="102">
        <f>'לקוחות לפי סוכן - מקור'!F391</f>
        <v/>
      </c>
      <c r="E396" s="102">
        <f>'לקוחות לפי סוכן - מקור'!G391</f>
        <v/>
      </c>
      <c r="F396" s="94">
        <f>'לקוחות לפי סוכן - מקור'!D391</f>
        <v/>
      </c>
      <c r="G396" s="95">
        <f>'לקוחות לפי סוכן - מקור'!H391</f>
        <v/>
      </c>
      <c r="H396" s="95">
        <f>'לקוחות לפי סוכן - מקור'!I391</f>
        <v/>
      </c>
      <c r="I396" s="94">
        <f>'לקוחות לפי סוכן - מקור'!K391</f>
        <v/>
      </c>
    </row>
    <row r="397" ht="15" customHeight="1" s="82">
      <c r="A397" s="96" t="inlineStr">
        <is>
          <t>חיים ויצמן</t>
        </is>
      </c>
      <c r="B397" s="96" t="n"/>
      <c r="C397" s="124" t="inlineStr">
        <is>
          <t>סה"כ 174 חנויות</t>
        </is>
      </c>
      <c r="D397" s="125">
        <f>SUMIF('לקוחות לפי סוכן - מקור'!$A$2:$A$867,$A397,'לקוחות לפי סוכן - מקור'!$F$2:$F$867)</f>
        <v/>
      </c>
      <c r="E397" s="125">
        <f>SUMIF('לקוחות לפי סוכן - מקור'!$A$2:$A$867,$A397,'לקוחות לפי סוכן - מקור'!$G$2:$G$867)</f>
        <v/>
      </c>
      <c r="F397" s="96" t="n"/>
      <c r="G397" s="97">
        <f>SUMIF('לקוחות לפי סוכן - מקור'!$A$2:$A$867,$A397,'לקוחות לפי סוכן - מקור'!$H$2:$H$867)</f>
        <v/>
      </c>
      <c r="H397" s="97">
        <f>SUMIF('לקוחות לפי סוכן - מקור'!$A$2:$A$867,$A397,'לקוחות לפי סוכן - מקור'!$I$2:$I$867)</f>
        <v/>
      </c>
      <c r="I397" s="96" t="inlineStr">
        <is>
          <t>NetSuite+CHMI (31+143)</t>
        </is>
      </c>
    </row>
    <row r="398" outlineLevel="1" ht="15" customHeight="1" s="82">
      <c r="A398" s="94">
        <f>'לקוחות לפי סוכן - מקור'!A453</f>
        <v/>
      </c>
      <c r="B398" s="94">
        <f>'לקוחות לפי סוכן - מקור'!C453</f>
        <v/>
      </c>
      <c r="C398" s="126">
        <f>'לקוחות לפי סוכן - מקור'!E453</f>
        <v/>
      </c>
      <c r="D398" s="102">
        <f>'לקוחות לפי סוכן - מקור'!F453</f>
        <v/>
      </c>
      <c r="E398" s="102">
        <f>'לקוחות לפי סוכן - מקור'!G453</f>
        <v/>
      </c>
      <c r="F398" s="94">
        <f>'לקוחות לפי סוכן - מקור'!D453</f>
        <v/>
      </c>
      <c r="G398" s="95">
        <f>'לקוחות לפי סוכן - מקור'!H453</f>
        <v/>
      </c>
      <c r="H398" s="95">
        <f>'לקוחות לפי סוכן - מקור'!I453</f>
        <v/>
      </c>
      <c r="I398" s="94">
        <f>'לקוחות לפי סוכן - מקור'!K453</f>
        <v/>
      </c>
    </row>
    <row r="399" outlineLevel="1" ht="15" customHeight="1" s="82">
      <c r="A399" s="94">
        <f>'לקוחות לפי סוכן - מקור'!A454</f>
        <v/>
      </c>
      <c r="B399" s="94">
        <f>'לקוחות לפי סוכן - מקור'!C454</f>
        <v/>
      </c>
      <c r="C399" s="126">
        <f>'לקוחות לפי סוכן - מקור'!E454</f>
        <v/>
      </c>
      <c r="D399" s="102">
        <f>'לקוחות לפי סוכן - מקור'!F454</f>
        <v/>
      </c>
      <c r="E399" s="102">
        <f>'לקוחות לפי סוכן - מקור'!G454</f>
        <v/>
      </c>
      <c r="F399" s="94">
        <f>'לקוחות לפי סוכן - מקור'!D454</f>
        <v/>
      </c>
      <c r="G399" s="95">
        <f>'לקוחות לפי סוכן - מקור'!H454</f>
        <v/>
      </c>
      <c r="H399" s="95">
        <f>'לקוחות לפי סוכן - מקור'!I454</f>
        <v/>
      </c>
      <c r="I399" s="94">
        <f>'לקוחות לפי סוכן - מקור'!K454</f>
        <v/>
      </c>
    </row>
    <row r="400" outlineLevel="1" ht="15" customHeight="1" s="82">
      <c r="A400" s="94">
        <f>'לקוחות לפי סוכן - מקור'!A455</f>
        <v/>
      </c>
      <c r="B400" s="94">
        <f>'לקוחות לפי סוכן - מקור'!C455</f>
        <v/>
      </c>
      <c r="C400" s="126">
        <f>'לקוחות לפי סוכן - מקור'!E455</f>
        <v/>
      </c>
      <c r="D400" s="102">
        <f>'לקוחות לפי סוכן - מקור'!F455</f>
        <v/>
      </c>
      <c r="E400" s="102">
        <f>'לקוחות לפי סוכן - מקור'!G455</f>
        <v/>
      </c>
      <c r="F400" s="94">
        <f>'לקוחות לפי סוכן - מקור'!D455</f>
        <v/>
      </c>
      <c r="G400" s="95">
        <f>'לקוחות לפי סוכן - מקור'!H455</f>
        <v/>
      </c>
      <c r="H400" s="95">
        <f>'לקוחות לפי סוכן - מקור'!I455</f>
        <v/>
      </c>
      <c r="I400" s="94">
        <f>'לקוחות לפי סוכן - מקור'!K455</f>
        <v/>
      </c>
    </row>
    <row r="401" outlineLevel="1" ht="15" customHeight="1" s="82">
      <c r="A401" s="94">
        <f>'לקוחות לפי סוכן - מקור'!A456</f>
        <v/>
      </c>
      <c r="B401" s="94">
        <f>'לקוחות לפי סוכן - מקור'!C456</f>
        <v/>
      </c>
      <c r="C401" s="126">
        <f>'לקוחות לפי סוכן - מקור'!E456</f>
        <v/>
      </c>
      <c r="D401" s="102">
        <f>'לקוחות לפי סוכן - מקור'!F456</f>
        <v/>
      </c>
      <c r="E401" s="102">
        <f>'לקוחות לפי סוכן - מקור'!G456</f>
        <v/>
      </c>
      <c r="F401" s="94">
        <f>'לקוחות לפי סוכן - מקור'!D456</f>
        <v/>
      </c>
      <c r="G401" s="95">
        <f>'לקוחות לפי סוכן - מקור'!H456</f>
        <v/>
      </c>
      <c r="H401" s="95">
        <f>'לקוחות לפי סוכן - מקור'!I456</f>
        <v/>
      </c>
      <c r="I401" s="94">
        <f>'לקוחות לפי סוכן - מקור'!K456</f>
        <v/>
      </c>
    </row>
    <row r="402" outlineLevel="1" ht="15" customHeight="1" s="82">
      <c r="A402" s="94">
        <f>'לקוחות לפי סוכן - מקור'!A457</f>
        <v/>
      </c>
      <c r="B402" s="94">
        <f>'לקוחות לפי סוכן - מקור'!C457</f>
        <v/>
      </c>
      <c r="C402" s="126">
        <f>'לקוחות לפי סוכן - מקור'!E457</f>
        <v/>
      </c>
      <c r="D402" s="102">
        <f>'לקוחות לפי סוכן - מקור'!F457</f>
        <v/>
      </c>
      <c r="E402" s="102">
        <f>'לקוחות לפי סוכן - מקור'!G457</f>
        <v/>
      </c>
      <c r="F402" s="94">
        <f>'לקוחות לפי סוכן - מקור'!D457</f>
        <v/>
      </c>
      <c r="G402" s="95">
        <f>'לקוחות לפי סוכן - מקור'!H457</f>
        <v/>
      </c>
      <c r="H402" s="95">
        <f>'לקוחות לפי סוכן - מקור'!I457</f>
        <v/>
      </c>
      <c r="I402" s="94">
        <f>'לקוחות לפי סוכן - מקור'!K457</f>
        <v/>
      </c>
    </row>
    <row r="403" outlineLevel="1" ht="15" customHeight="1" s="82">
      <c r="A403" s="94">
        <f>'לקוחות לפי סוכן - מקור'!A458</f>
        <v/>
      </c>
      <c r="B403" s="94">
        <f>'לקוחות לפי סוכן - מקור'!C458</f>
        <v/>
      </c>
      <c r="C403" s="126">
        <f>'לקוחות לפי סוכן - מקור'!E458</f>
        <v/>
      </c>
      <c r="D403" s="102">
        <f>'לקוחות לפי סוכן - מקור'!F458</f>
        <v/>
      </c>
      <c r="E403" s="102">
        <f>'לקוחות לפי סוכן - מקור'!G458</f>
        <v/>
      </c>
      <c r="F403" s="94">
        <f>'לקוחות לפי סוכן - מקור'!D458</f>
        <v/>
      </c>
      <c r="G403" s="95">
        <f>'לקוחות לפי סוכן - מקור'!H458</f>
        <v/>
      </c>
      <c r="H403" s="95">
        <f>'לקוחות לפי סוכן - מקור'!I458</f>
        <v/>
      </c>
      <c r="I403" s="94">
        <f>'לקוחות לפי סוכן - מקור'!K458</f>
        <v/>
      </c>
    </row>
    <row r="404" outlineLevel="1" ht="15" customHeight="1" s="82">
      <c r="A404" s="94">
        <f>'לקוחות לפי סוכן - מקור'!A459</f>
        <v/>
      </c>
      <c r="B404" s="94">
        <f>'לקוחות לפי סוכן - מקור'!C459</f>
        <v/>
      </c>
      <c r="C404" s="126">
        <f>'לקוחות לפי סוכן - מקור'!E459</f>
        <v/>
      </c>
      <c r="D404" s="102">
        <f>'לקוחות לפי סוכן - מקור'!F459</f>
        <v/>
      </c>
      <c r="E404" s="102">
        <f>'לקוחות לפי סוכן - מקור'!G459</f>
        <v/>
      </c>
      <c r="F404" s="94">
        <f>'לקוחות לפי סוכן - מקור'!D459</f>
        <v/>
      </c>
      <c r="G404" s="95">
        <f>'לקוחות לפי סוכן - מקור'!H459</f>
        <v/>
      </c>
      <c r="H404" s="95">
        <f>'לקוחות לפי סוכן - מקור'!I459</f>
        <v/>
      </c>
      <c r="I404" s="94">
        <f>'לקוחות לפי סוכן - מקור'!K459</f>
        <v/>
      </c>
    </row>
    <row r="405" outlineLevel="1" ht="15" customHeight="1" s="82">
      <c r="A405" s="94">
        <f>'לקוחות לפי סוכן - מקור'!A460</f>
        <v/>
      </c>
      <c r="B405" s="94">
        <f>'לקוחות לפי סוכן - מקור'!C460</f>
        <v/>
      </c>
      <c r="C405" s="126">
        <f>'לקוחות לפי סוכן - מקור'!E460</f>
        <v/>
      </c>
      <c r="D405" s="102">
        <f>'לקוחות לפי סוכן - מקור'!F460</f>
        <v/>
      </c>
      <c r="E405" s="102">
        <f>'לקוחות לפי סוכן - מקור'!G460</f>
        <v/>
      </c>
      <c r="F405" s="94">
        <f>'לקוחות לפי סוכן - מקור'!D460</f>
        <v/>
      </c>
      <c r="G405" s="95">
        <f>'לקוחות לפי סוכן - מקור'!H460</f>
        <v/>
      </c>
      <c r="H405" s="95">
        <f>'לקוחות לפי סוכן - מקור'!I460</f>
        <v/>
      </c>
      <c r="I405" s="94">
        <f>'לקוחות לפי סוכן - מקור'!K460</f>
        <v/>
      </c>
    </row>
    <row r="406" outlineLevel="1" ht="15" customHeight="1" s="82">
      <c r="A406" s="94">
        <f>'לקוחות לפי סוכן - מקור'!A461</f>
        <v/>
      </c>
      <c r="B406" s="94">
        <f>'לקוחות לפי סוכן - מקור'!C461</f>
        <v/>
      </c>
      <c r="C406" s="126">
        <f>'לקוחות לפי סוכן - מקור'!E461</f>
        <v/>
      </c>
      <c r="D406" s="102">
        <f>'לקוחות לפי סוכן - מקור'!F461</f>
        <v/>
      </c>
      <c r="E406" s="102">
        <f>'לקוחות לפי סוכן - מקור'!G461</f>
        <v/>
      </c>
      <c r="F406" s="94">
        <f>'לקוחות לפי סוכן - מקור'!D461</f>
        <v/>
      </c>
      <c r="G406" s="95">
        <f>'לקוחות לפי סוכן - מקור'!H461</f>
        <v/>
      </c>
      <c r="H406" s="95">
        <f>'לקוחות לפי סוכן - מקור'!I461</f>
        <v/>
      </c>
      <c r="I406" s="94">
        <f>'לקוחות לפי סוכן - מקור'!K461</f>
        <v/>
      </c>
    </row>
    <row r="407" outlineLevel="1" ht="15" customHeight="1" s="82">
      <c r="A407" s="94">
        <f>'לקוחות לפי סוכן - מקור'!A462</f>
        <v/>
      </c>
      <c r="B407" s="94">
        <f>'לקוחות לפי סוכן - מקור'!C462</f>
        <v/>
      </c>
      <c r="C407" s="126">
        <f>'לקוחות לפי סוכן - מקור'!E462</f>
        <v/>
      </c>
      <c r="D407" s="102">
        <f>'לקוחות לפי סוכן - מקור'!F462</f>
        <v/>
      </c>
      <c r="E407" s="102">
        <f>'לקוחות לפי סוכן - מקור'!G462</f>
        <v/>
      </c>
      <c r="F407" s="94">
        <f>'לקוחות לפי סוכן - מקור'!D462</f>
        <v/>
      </c>
      <c r="G407" s="95">
        <f>'לקוחות לפי סוכן - מקור'!H462</f>
        <v/>
      </c>
      <c r="H407" s="95">
        <f>'לקוחות לפי סוכן - מקור'!I462</f>
        <v/>
      </c>
      <c r="I407" s="94">
        <f>'לקוחות לפי סוכן - מקור'!K462</f>
        <v/>
      </c>
    </row>
    <row r="408" outlineLevel="1" ht="15" customHeight="1" s="82">
      <c r="A408" s="94">
        <f>'לקוחות לפי סוכן - מקור'!A463</f>
        <v/>
      </c>
      <c r="B408" s="94">
        <f>'לקוחות לפי סוכן - מקור'!C463</f>
        <v/>
      </c>
      <c r="C408" s="126">
        <f>'לקוחות לפי סוכן - מקור'!E463</f>
        <v/>
      </c>
      <c r="D408" s="102">
        <f>'לקוחות לפי סוכן - מקור'!F463</f>
        <v/>
      </c>
      <c r="E408" s="102">
        <f>'לקוחות לפי סוכן - מקור'!G463</f>
        <v/>
      </c>
      <c r="F408" s="94">
        <f>'לקוחות לפי סוכן - מקור'!D463</f>
        <v/>
      </c>
      <c r="G408" s="95">
        <f>'לקוחות לפי סוכן - מקור'!H463</f>
        <v/>
      </c>
      <c r="H408" s="95">
        <f>'לקוחות לפי סוכן - מקור'!I463</f>
        <v/>
      </c>
      <c r="I408" s="94">
        <f>'לקוחות לפי סוכן - מקור'!K463</f>
        <v/>
      </c>
    </row>
    <row r="409" outlineLevel="1" ht="15" customHeight="1" s="82">
      <c r="A409" s="94">
        <f>'לקוחות לפי סוכן - מקור'!A464</f>
        <v/>
      </c>
      <c r="B409" s="94">
        <f>'לקוחות לפי סוכן - מקור'!C464</f>
        <v/>
      </c>
      <c r="C409" s="126">
        <f>'לקוחות לפי סוכן - מקור'!E464</f>
        <v/>
      </c>
      <c r="D409" s="102">
        <f>'לקוחות לפי סוכן - מקור'!F464</f>
        <v/>
      </c>
      <c r="E409" s="102">
        <f>'לקוחות לפי סוכן - מקור'!G464</f>
        <v/>
      </c>
      <c r="F409" s="94">
        <f>'לקוחות לפי סוכן - מקור'!D464</f>
        <v/>
      </c>
      <c r="G409" s="95">
        <f>'לקוחות לפי סוכן - מקור'!H464</f>
        <v/>
      </c>
      <c r="H409" s="95">
        <f>'לקוחות לפי סוכן - מקור'!I464</f>
        <v/>
      </c>
      <c r="I409" s="94">
        <f>'לקוחות לפי סוכן - מקור'!K464</f>
        <v/>
      </c>
    </row>
    <row r="410" outlineLevel="1" ht="15" customHeight="1" s="82">
      <c r="A410" s="94">
        <f>'לקוחות לפי סוכן - מקור'!A465</f>
        <v/>
      </c>
      <c r="B410" s="94">
        <f>'לקוחות לפי סוכן - מקור'!C465</f>
        <v/>
      </c>
      <c r="C410" s="126">
        <f>'לקוחות לפי סוכן - מקור'!E465</f>
        <v/>
      </c>
      <c r="D410" s="102">
        <f>'לקוחות לפי סוכן - מקור'!F465</f>
        <v/>
      </c>
      <c r="E410" s="102">
        <f>'לקוחות לפי סוכן - מקור'!G465</f>
        <v/>
      </c>
      <c r="F410" s="94">
        <f>'לקוחות לפי סוכן - מקור'!D465</f>
        <v/>
      </c>
      <c r="G410" s="95">
        <f>'לקוחות לפי סוכן - מקור'!H465</f>
        <v/>
      </c>
      <c r="H410" s="95">
        <f>'לקוחות לפי סוכן - מקור'!I465</f>
        <v/>
      </c>
      <c r="I410" s="94">
        <f>'לקוחות לפי סוכן - מקור'!K465</f>
        <v/>
      </c>
    </row>
    <row r="411" outlineLevel="1" ht="15" customHeight="1" s="82">
      <c r="A411" s="94">
        <f>'לקוחות לפי סוכן - מקור'!A466</f>
        <v/>
      </c>
      <c r="B411" s="94">
        <f>'לקוחות לפי סוכן - מקור'!C466</f>
        <v/>
      </c>
      <c r="C411" s="126">
        <f>'לקוחות לפי סוכן - מקור'!E466</f>
        <v/>
      </c>
      <c r="D411" s="102">
        <f>'לקוחות לפי סוכן - מקור'!F466</f>
        <v/>
      </c>
      <c r="E411" s="102">
        <f>'לקוחות לפי סוכן - מקור'!G466</f>
        <v/>
      </c>
      <c r="F411" s="94">
        <f>'לקוחות לפי סוכן - מקור'!D466</f>
        <v/>
      </c>
      <c r="G411" s="95">
        <f>'לקוחות לפי סוכן - מקור'!H466</f>
        <v/>
      </c>
      <c r="H411" s="95">
        <f>'לקוחות לפי סוכן - מקור'!I466</f>
        <v/>
      </c>
      <c r="I411" s="94">
        <f>'לקוחות לפי סוכן - מקור'!K466</f>
        <v/>
      </c>
    </row>
    <row r="412" outlineLevel="1" ht="15" customHeight="1" s="82">
      <c r="A412" s="94">
        <f>'לקוחות לפי סוכן - מקור'!A467</f>
        <v/>
      </c>
      <c r="B412" s="94">
        <f>'לקוחות לפי סוכן - מקור'!C467</f>
        <v/>
      </c>
      <c r="C412" s="126">
        <f>'לקוחות לפי סוכן - מקור'!E467</f>
        <v/>
      </c>
      <c r="D412" s="102">
        <f>'לקוחות לפי סוכן - מקור'!F467</f>
        <v/>
      </c>
      <c r="E412" s="102">
        <f>'לקוחות לפי סוכן - מקור'!G467</f>
        <v/>
      </c>
      <c r="F412" s="94">
        <f>'לקוחות לפי סוכן - מקור'!D467</f>
        <v/>
      </c>
      <c r="G412" s="95">
        <f>'לקוחות לפי סוכן - מקור'!H467</f>
        <v/>
      </c>
      <c r="H412" s="95">
        <f>'לקוחות לפי סוכן - מקור'!I467</f>
        <v/>
      </c>
      <c r="I412" s="94">
        <f>'לקוחות לפי סוכן - מקור'!K467</f>
        <v/>
      </c>
    </row>
    <row r="413" outlineLevel="1" ht="15" customHeight="1" s="82">
      <c r="A413" s="94">
        <f>'לקוחות לפי סוכן - מקור'!A468</f>
        <v/>
      </c>
      <c r="B413" s="94">
        <f>'לקוחות לפי סוכן - מקור'!C468</f>
        <v/>
      </c>
      <c r="C413" s="126">
        <f>'לקוחות לפי סוכן - מקור'!E468</f>
        <v/>
      </c>
      <c r="D413" s="102">
        <f>'לקוחות לפי סוכן - מקור'!F468</f>
        <v/>
      </c>
      <c r="E413" s="102">
        <f>'לקוחות לפי סוכן - מקור'!G468</f>
        <v/>
      </c>
      <c r="F413" s="94">
        <f>'לקוחות לפי סוכן - מקור'!D468</f>
        <v/>
      </c>
      <c r="G413" s="95">
        <f>'לקוחות לפי סוכן - מקור'!H468</f>
        <v/>
      </c>
      <c r="H413" s="95">
        <f>'לקוחות לפי סוכן - מקור'!I468</f>
        <v/>
      </c>
      <c r="I413" s="94">
        <f>'לקוחות לפי סוכן - מקור'!K468</f>
        <v/>
      </c>
    </row>
    <row r="414" outlineLevel="1" ht="15" customHeight="1" s="82">
      <c r="A414" s="94">
        <f>'לקוחות לפי סוכן - מקור'!A469</f>
        <v/>
      </c>
      <c r="B414" s="94">
        <f>'לקוחות לפי סוכן - מקור'!C469</f>
        <v/>
      </c>
      <c r="C414" s="126">
        <f>'לקוחות לפי סוכן - מקור'!E469</f>
        <v/>
      </c>
      <c r="D414" s="102">
        <f>'לקוחות לפי סוכן - מקור'!F469</f>
        <v/>
      </c>
      <c r="E414" s="102">
        <f>'לקוחות לפי סוכן - מקור'!G469</f>
        <v/>
      </c>
      <c r="F414" s="94">
        <f>'לקוחות לפי סוכן - מקור'!D469</f>
        <v/>
      </c>
      <c r="G414" s="95">
        <f>'לקוחות לפי סוכן - מקור'!H469</f>
        <v/>
      </c>
      <c r="H414" s="95">
        <f>'לקוחות לפי סוכן - מקור'!I469</f>
        <v/>
      </c>
      <c r="I414" s="94">
        <f>'לקוחות לפי סוכן - מקור'!K469</f>
        <v/>
      </c>
    </row>
    <row r="415" outlineLevel="1" ht="15" customHeight="1" s="82">
      <c r="A415" s="94">
        <f>'לקוחות לפי סוכן - מקור'!A470</f>
        <v/>
      </c>
      <c r="B415" s="94">
        <f>'לקוחות לפי סוכן - מקור'!C470</f>
        <v/>
      </c>
      <c r="C415" s="126">
        <f>'לקוחות לפי סוכן - מקור'!E470</f>
        <v/>
      </c>
      <c r="D415" s="102">
        <f>'לקוחות לפי סוכן - מקור'!F470</f>
        <v/>
      </c>
      <c r="E415" s="102">
        <f>'לקוחות לפי סוכן - מקור'!G470</f>
        <v/>
      </c>
      <c r="F415" s="94">
        <f>'לקוחות לפי סוכן - מקור'!D470</f>
        <v/>
      </c>
      <c r="G415" s="95">
        <f>'לקוחות לפי סוכן - מקור'!H470</f>
        <v/>
      </c>
      <c r="H415" s="95">
        <f>'לקוחות לפי סוכן - מקור'!I470</f>
        <v/>
      </c>
      <c r="I415" s="94">
        <f>'לקוחות לפי סוכן - מקור'!K470</f>
        <v/>
      </c>
    </row>
    <row r="416" outlineLevel="1" ht="15" customHeight="1" s="82">
      <c r="A416" s="94">
        <f>'לקוחות לפי סוכן - מקור'!A471</f>
        <v/>
      </c>
      <c r="B416" s="94">
        <f>'לקוחות לפי סוכן - מקור'!C471</f>
        <v/>
      </c>
      <c r="C416" s="126">
        <f>'לקוחות לפי סוכן - מקור'!E471</f>
        <v/>
      </c>
      <c r="D416" s="102">
        <f>'לקוחות לפי סוכן - מקור'!F471</f>
        <v/>
      </c>
      <c r="E416" s="102">
        <f>'לקוחות לפי סוכן - מקור'!G471</f>
        <v/>
      </c>
      <c r="F416" s="94">
        <f>'לקוחות לפי סוכן - מקור'!D471</f>
        <v/>
      </c>
      <c r="G416" s="95">
        <f>'לקוחות לפי סוכן - מקור'!H471</f>
        <v/>
      </c>
      <c r="H416" s="95">
        <f>'לקוחות לפי סוכן - מקור'!I471</f>
        <v/>
      </c>
      <c r="I416" s="94">
        <f>'לקוחות לפי סוכן - מקור'!K471</f>
        <v/>
      </c>
    </row>
    <row r="417" outlineLevel="1" ht="15" customHeight="1" s="82">
      <c r="A417" s="94">
        <f>'לקוחות לפי סוכן - מקור'!A472</f>
        <v/>
      </c>
      <c r="B417" s="94">
        <f>'לקוחות לפי סוכן - מקור'!C472</f>
        <v/>
      </c>
      <c r="C417" s="126">
        <f>'לקוחות לפי סוכן - מקור'!E472</f>
        <v/>
      </c>
      <c r="D417" s="102">
        <f>'לקוחות לפי סוכן - מקור'!F472</f>
        <v/>
      </c>
      <c r="E417" s="102">
        <f>'לקוחות לפי סוכן - מקור'!G472</f>
        <v/>
      </c>
      <c r="F417" s="94">
        <f>'לקוחות לפי סוכן - מקור'!D472</f>
        <v/>
      </c>
      <c r="G417" s="95">
        <f>'לקוחות לפי סוכן - מקור'!H472</f>
        <v/>
      </c>
      <c r="H417" s="95">
        <f>'לקוחות לפי סוכן - מקור'!I472</f>
        <v/>
      </c>
      <c r="I417" s="94">
        <f>'לקוחות לפי סוכן - מקור'!K472</f>
        <v/>
      </c>
    </row>
    <row r="418" outlineLevel="1" ht="15" customHeight="1" s="82">
      <c r="A418" s="94">
        <f>'לקוחות לפי סוכן - מקור'!A473</f>
        <v/>
      </c>
      <c r="B418" s="94">
        <f>'לקוחות לפי סוכן - מקור'!C473</f>
        <v/>
      </c>
      <c r="C418" s="126">
        <f>'לקוחות לפי סוכן - מקור'!E473</f>
        <v/>
      </c>
      <c r="D418" s="102">
        <f>'לקוחות לפי סוכן - מקור'!F473</f>
        <v/>
      </c>
      <c r="E418" s="102">
        <f>'לקוחות לפי סוכן - מקור'!G473</f>
        <v/>
      </c>
      <c r="F418" s="94">
        <f>'לקוחות לפי סוכן - מקור'!D473</f>
        <v/>
      </c>
      <c r="G418" s="95">
        <f>'לקוחות לפי סוכן - מקור'!H473</f>
        <v/>
      </c>
      <c r="H418" s="95">
        <f>'לקוחות לפי סוכן - מקור'!I473</f>
        <v/>
      </c>
      <c r="I418" s="94">
        <f>'לקוחות לפי סוכן - מקור'!K473</f>
        <v/>
      </c>
    </row>
    <row r="419" outlineLevel="1" ht="15" customHeight="1" s="82">
      <c r="A419" s="94">
        <f>'לקוחות לפי סוכן - מקור'!A474</f>
        <v/>
      </c>
      <c r="B419" s="94">
        <f>'לקוחות לפי סוכן - מקור'!C474</f>
        <v/>
      </c>
      <c r="C419" s="126">
        <f>'לקוחות לפי סוכן - מקור'!E474</f>
        <v/>
      </c>
      <c r="D419" s="102">
        <f>'לקוחות לפי סוכן - מקור'!F474</f>
        <v/>
      </c>
      <c r="E419" s="102">
        <f>'לקוחות לפי סוכן - מקור'!G474</f>
        <v/>
      </c>
      <c r="F419" s="94">
        <f>'לקוחות לפי סוכן - מקור'!D474</f>
        <v/>
      </c>
      <c r="G419" s="95">
        <f>'לקוחות לפי סוכן - מקור'!H474</f>
        <v/>
      </c>
      <c r="H419" s="95">
        <f>'לקוחות לפי סוכן - מקור'!I474</f>
        <v/>
      </c>
      <c r="I419" s="94">
        <f>'לקוחות לפי סוכן - מקור'!K474</f>
        <v/>
      </c>
    </row>
    <row r="420" outlineLevel="1" ht="15" customHeight="1" s="82">
      <c r="A420" s="94">
        <f>'לקוחות לפי סוכן - מקור'!A475</f>
        <v/>
      </c>
      <c r="B420" s="94">
        <f>'לקוחות לפי סוכן - מקור'!C475</f>
        <v/>
      </c>
      <c r="C420" s="126">
        <f>'לקוחות לפי סוכן - מקור'!E475</f>
        <v/>
      </c>
      <c r="D420" s="102">
        <f>'לקוחות לפי סוכן - מקור'!F475</f>
        <v/>
      </c>
      <c r="E420" s="102">
        <f>'לקוחות לפי סוכן - מקור'!G475</f>
        <v/>
      </c>
      <c r="F420" s="94">
        <f>'לקוחות לפי סוכן - מקור'!D475</f>
        <v/>
      </c>
      <c r="G420" s="95">
        <f>'לקוחות לפי סוכן - מקור'!H475</f>
        <v/>
      </c>
      <c r="H420" s="95">
        <f>'לקוחות לפי סוכן - מקור'!I475</f>
        <v/>
      </c>
      <c r="I420" s="94">
        <f>'לקוחות לפי סוכן - מקור'!K475</f>
        <v/>
      </c>
    </row>
    <row r="421" outlineLevel="1" ht="15" customHeight="1" s="82">
      <c r="A421" s="94">
        <f>'לקוחות לפי סוכן - מקור'!A476</f>
        <v/>
      </c>
      <c r="B421" s="94">
        <f>'לקוחות לפי סוכן - מקור'!C476</f>
        <v/>
      </c>
      <c r="C421" s="126">
        <f>'לקוחות לפי סוכן - מקור'!E476</f>
        <v/>
      </c>
      <c r="D421" s="102">
        <f>'לקוחות לפי סוכן - מקור'!F476</f>
        <v/>
      </c>
      <c r="E421" s="102">
        <f>'לקוחות לפי סוכן - מקור'!G476</f>
        <v/>
      </c>
      <c r="F421" s="94">
        <f>'לקוחות לפי סוכן - מקור'!D476</f>
        <v/>
      </c>
      <c r="G421" s="95">
        <f>'לקוחות לפי סוכן - מקור'!H476</f>
        <v/>
      </c>
      <c r="H421" s="95">
        <f>'לקוחות לפי סוכן - מקור'!I476</f>
        <v/>
      </c>
      <c r="I421" s="94">
        <f>'לקוחות לפי סוכן - מקור'!K476</f>
        <v/>
      </c>
    </row>
    <row r="422" outlineLevel="1" ht="15" customHeight="1" s="82">
      <c r="A422" s="94">
        <f>'לקוחות לפי סוכן - מקור'!A477</f>
        <v/>
      </c>
      <c r="B422" s="94">
        <f>'לקוחות לפי סוכן - מקור'!C477</f>
        <v/>
      </c>
      <c r="C422" s="126">
        <f>'לקוחות לפי סוכן - מקור'!E477</f>
        <v/>
      </c>
      <c r="D422" s="102">
        <f>'לקוחות לפי סוכן - מקור'!F477</f>
        <v/>
      </c>
      <c r="E422" s="102">
        <f>'לקוחות לפי סוכן - מקור'!G477</f>
        <v/>
      </c>
      <c r="F422" s="94">
        <f>'לקוחות לפי סוכן - מקור'!D477</f>
        <v/>
      </c>
      <c r="G422" s="95">
        <f>'לקוחות לפי סוכן - מקור'!H477</f>
        <v/>
      </c>
      <c r="H422" s="95">
        <f>'לקוחות לפי סוכן - מקור'!I477</f>
        <v/>
      </c>
      <c r="I422" s="94">
        <f>'לקוחות לפי סוכן - מקור'!K477</f>
        <v/>
      </c>
    </row>
    <row r="423" outlineLevel="1" ht="15" customHeight="1" s="82">
      <c r="A423" s="94">
        <f>'לקוחות לפי סוכן - מקור'!A478</f>
        <v/>
      </c>
      <c r="B423" s="94">
        <f>'לקוחות לפי סוכן - מקור'!C478</f>
        <v/>
      </c>
      <c r="C423" s="126">
        <f>'לקוחות לפי סוכן - מקור'!E478</f>
        <v/>
      </c>
      <c r="D423" s="102">
        <f>'לקוחות לפי סוכן - מקור'!F478</f>
        <v/>
      </c>
      <c r="E423" s="102">
        <f>'לקוחות לפי סוכן - מקור'!G478</f>
        <v/>
      </c>
      <c r="F423" s="94">
        <f>'לקוחות לפי סוכן - מקור'!D478</f>
        <v/>
      </c>
      <c r="G423" s="95">
        <f>'לקוחות לפי סוכן - מקור'!H478</f>
        <v/>
      </c>
      <c r="H423" s="95">
        <f>'לקוחות לפי סוכן - מקור'!I478</f>
        <v/>
      </c>
      <c r="I423" s="94">
        <f>'לקוחות לפי סוכן - מקור'!K478</f>
        <v/>
      </c>
    </row>
    <row r="424" outlineLevel="1" ht="15" customHeight="1" s="82">
      <c r="A424" s="94">
        <f>'לקוחות לפי סוכן - מקור'!A479</f>
        <v/>
      </c>
      <c r="B424" s="94">
        <f>'לקוחות לפי סוכן - מקור'!C479</f>
        <v/>
      </c>
      <c r="C424" s="126">
        <f>'לקוחות לפי סוכן - מקור'!E479</f>
        <v/>
      </c>
      <c r="D424" s="102">
        <f>'לקוחות לפי סוכן - מקור'!F479</f>
        <v/>
      </c>
      <c r="E424" s="102">
        <f>'לקוחות לפי סוכן - מקור'!G479</f>
        <v/>
      </c>
      <c r="F424" s="94">
        <f>'לקוחות לפי סוכן - מקור'!D479</f>
        <v/>
      </c>
      <c r="G424" s="95">
        <f>'לקוחות לפי סוכן - מקור'!H479</f>
        <v/>
      </c>
      <c r="H424" s="95">
        <f>'לקוחות לפי סוכן - מקור'!I479</f>
        <v/>
      </c>
      <c r="I424" s="94">
        <f>'לקוחות לפי סוכן - מקור'!K479</f>
        <v/>
      </c>
    </row>
    <row r="425" outlineLevel="1" ht="15" customHeight="1" s="82">
      <c r="A425" s="94">
        <f>'לקוחות לפי סוכן - מקור'!A480</f>
        <v/>
      </c>
      <c r="B425" s="94">
        <f>'לקוחות לפי סוכן - מקור'!C480</f>
        <v/>
      </c>
      <c r="C425" s="126">
        <f>'לקוחות לפי סוכן - מקור'!E480</f>
        <v/>
      </c>
      <c r="D425" s="102">
        <f>'לקוחות לפי סוכן - מקור'!F480</f>
        <v/>
      </c>
      <c r="E425" s="102">
        <f>'לקוחות לפי סוכן - מקור'!G480</f>
        <v/>
      </c>
      <c r="F425" s="94">
        <f>'לקוחות לפי סוכן - מקור'!D480</f>
        <v/>
      </c>
      <c r="G425" s="95">
        <f>'לקוחות לפי סוכן - מקור'!H480</f>
        <v/>
      </c>
      <c r="H425" s="95">
        <f>'לקוחות לפי סוכן - מקור'!I480</f>
        <v/>
      </c>
      <c r="I425" s="94">
        <f>'לקוחות לפי סוכן - מקור'!K480</f>
        <v/>
      </c>
    </row>
    <row r="426" outlineLevel="1" ht="15" customHeight="1" s="82">
      <c r="A426" s="94">
        <f>'לקוחות לפי סוכן - מקור'!A481</f>
        <v/>
      </c>
      <c r="B426" s="94">
        <f>'לקוחות לפי סוכן - מקור'!C481</f>
        <v/>
      </c>
      <c r="C426" s="126">
        <f>'לקוחות לפי סוכן - מקור'!E481</f>
        <v/>
      </c>
      <c r="D426" s="102">
        <f>'לקוחות לפי סוכן - מקור'!F481</f>
        <v/>
      </c>
      <c r="E426" s="102">
        <f>'לקוחות לפי סוכן - מקור'!G481</f>
        <v/>
      </c>
      <c r="F426" s="94">
        <f>'לקוחות לפי סוכן - מקור'!D481</f>
        <v/>
      </c>
      <c r="G426" s="95">
        <f>'לקוחות לפי סוכן - מקור'!H481</f>
        <v/>
      </c>
      <c r="H426" s="95">
        <f>'לקוחות לפי סוכן - מקור'!I481</f>
        <v/>
      </c>
      <c r="I426" s="94">
        <f>'לקוחות לפי סוכן - מקור'!K481</f>
        <v/>
      </c>
    </row>
    <row r="427" outlineLevel="1" ht="15" customHeight="1" s="82">
      <c r="A427" s="94">
        <f>'לקוחות לפי סוכן - מקור'!A482</f>
        <v/>
      </c>
      <c r="B427" s="94">
        <f>'לקוחות לפי סוכן - מקור'!C482</f>
        <v/>
      </c>
      <c r="C427" s="126">
        <f>'לקוחות לפי סוכן - מקור'!E482</f>
        <v/>
      </c>
      <c r="D427" s="102">
        <f>'לקוחות לפי סוכן - מקור'!F482</f>
        <v/>
      </c>
      <c r="E427" s="102">
        <f>'לקוחות לפי סוכן - מקור'!G482</f>
        <v/>
      </c>
      <c r="F427" s="94">
        <f>'לקוחות לפי סוכן - מקור'!D482</f>
        <v/>
      </c>
      <c r="G427" s="95">
        <f>'לקוחות לפי סוכן - מקור'!H482</f>
        <v/>
      </c>
      <c r="H427" s="95">
        <f>'לקוחות לפי סוכן - מקור'!I482</f>
        <v/>
      </c>
      <c r="I427" s="94">
        <f>'לקוחות לפי סוכן - מקור'!K482</f>
        <v/>
      </c>
    </row>
    <row r="428" outlineLevel="1" ht="15" customHeight="1" s="82">
      <c r="A428" s="94">
        <f>'לקוחות לפי סוכן - מקור'!A483</f>
        <v/>
      </c>
      <c r="B428" s="94">
        <f>'לקוחות לפי סוכן - מקור'!C483</f>
        <v/>
      </c>
      <c r="C428" s="126">
        <f>'לקוחות לפי סוכן - מקור'!E483</f>
        <v/>
      </c>
      <c r="D428" s="102">
        <f>'לקוחות לפי סוכן - מקור'!F483</f>
        <v/>
      </c>
      <c r="E428" s="102">
        <f>'לקוחות לפי סוכן - מקור'!G483</f>
        <v/>
      </c>
      <c r="F428" s="94">
        <f>'לקוחות לפי סוכן - מקור'!D483</f>
        <v/>
      </c>
      <c r="G428" s="95">
        <f>'לקוחות לפי סוכן - מקור'!H483</f>
        <v/>
      </c>
      <c r="H428" s="95">
        <f>'לקוחות לפי סוכן - מקור'!I483</f>
        <v/>
      </c>
      <c r="I428" s="94">
        <f>'לקוחות לפי סוכן - מקור'!K483</f>
        <v/>
      </c>
    </row>
    <row r="429" outlineLevel="1" ht="15" customHeight="1" s="82">
      <c r="A429" s="94">
        <f>'לקוחות לפי סוכן - מקור'!A484</f>
        <v/>
      </c>
      <c r="B429" s="94">
        <f>'לקוחות לפי סוכן - מקור'!C484</f>
        <v/>
      </c>
      <c r="C429" s="126">
        <f>'לקוחות לפי סוכן - מקור'!E484</f>
        <v/>
      </c>
      <c r="D429" s="102">
        <f>'לקוחות לפי סוכן - מקור'!F484</f>
        <v/>
      </c>
      <c r="E429" s="102">
        <f>'לקוחות לפי סוכן - מקור'!G484</f>
        <v/>
      </c>
      <c r="F429" s="94">
        <f>'לקוחות לפי סוכן - מקור'!D484</f>
        <v/>
      </c>
      <c r="G429" s="95">
        <f>'לקוחות לפי סוכן - מקור'!H484</f>
        <v/>
      </c>
      <c r="H429" s="95">
        <f>'לקוחות לפי סוכן - מקור'!I484</f>
        <v/>
      </c>
      <c r="I429" s="94">
        <f>'לקוחות לפי סוכן - מקור'!K484</f>
        <v/>
      </c>
    </row>
    <row r="430" outlineLevel="1" ht="15" customHeight="1" s="82">
      <c r="A430" s="94">
        <f>'לקוחות לפי סוכן - מקור'!A485</f>
        <v/>
      </c>
      <c r="B430" s="94">
        <f>'לקוחות לפי סוכן - מקור'!C485</f>
        <v/>
      </c>
      <c r="C430" s="126">
        <f>'לקוחות לפי סוכן - מקור'!E485</f>
        <v/>
      </c>
      <c r="D430" s="102">
        <f>'לקוחות לפי סוכן - מקור'!F485</f>
        <v/>
      </c>
      <c r="E430" s="102">
        <f>'לקוחות לפי סוכן - מקור'!G485</f>
        <v/>
      </c>
      <c r="F430" s="94">
        <f>'לקוחות לפי סוכן - מקור'!D485</f>
        <v/>
      </c>
      <c r="G430" s="95">
        <f>'לקוחות לפי סוכן - מקור'!H485</f>
        <v/>
      </c>
      <c r="H430" s="95">
        <f>'לקוחות לפי סוכן - מקור'!I485</f>
        <v/>
      </c>
      <c r="I430" s="94">
        <f>'לקוחות לפי סוכן - מקור'!K485</f>
        <v/>
      </c>
    </row>
    <row r="431" outlineLevel="1" ht="15" customHeight="1" s="82">
      <c r="A431" s="94">
        <f>'לקוחות לפי סוכן - מקור'!A486</f>
        <v/>
      </c>
      <c r="B431" s="94">
        <f>'לקוחות לפי סוכן - מקור'!C486</f>
        <v/>
      </c>
      <c r="C431" s="126">
        <f>'לקוחות לפי סוכן - מקור'!E486</f>
        <v/>
      </c>
      <c r="D431" s="102">
        <f>'לקוחות לפי סוכן - מקור'!F486</f>
        <v/>
      </c>
      <c r="E431" s="102">
        <f>'לקוחות לפי סוכן - מקור'!G486</f>
        <v/>
      </c>
      <c r="F431" s="94">
        <f>'לקוחות לפי סוכן - מקור'!D486</f>
        <v/>
      </c>
      <c r="G431" s="95">
        <f>'לקוחות לפי סוכן - מקור'!H486</f>
        <v/>
      </c>
      <c r="H431" s="95">
        <f>'לקוחות לפי סוכן - מקור'!I486</f>
        <v/>
      </c>
      <c r="I431" s="94">
        <f>'לקוחות לפי סוכן - מקור'!K486</f>
        <v/>
      </c>
    </row>
    <row r="432" outlineLevel="1" ht="15" customHeight="1" s="82">
      <c r="A432" s="94">
        <f>'לקוחות לפי סוכן - מקור'!A487</f>
        <v/>
      </c>
      <c r="B432" s="94">
        <f>'לקוחות לפי סוכן - מקור'!C487</f>
        <v/>
      </c>
      <c r="C432" s="126">
        <f>'לקוחות לפי סוכן - מקור'!E487</f>
        <v/>
      </c>
      <c r="D432" s="102">
        <f>'לקוחות לפי סוכן - מקור'!F487</f>
        <v/>
      </c>
      <c r="E432" s="102">
        <f>'לקוחות לפי סוכן - מקור'!G487</f>
        <v/>
      </c>
      <c r="F432" s="94">
        <f>'לקוחות לפי סוכן - מקור'!D487</f>
        <v/>
      </c>
      <c r="G432" s="95">
        <f>'לקוחות לפי סוכן - מקור'!H487</f>
        <v/>
      </c>
      <c r="H432" s="95">
        <f>'לקוחות לפי סוכן - מקור'!I487</f>
        <v/>
      </c>
      <c r="I432" s="94">
        <f>'לקוחות לפי סוכן - מקור'!K487</f>
        <v/>
      </c>
    </row>
    <row r="433" outlineLevel="1" ht="15" customHeight="1" s="82">
      <c r="A433" s="94">
        <f>'לקוחות לפי סוכן - מקור'!A488</f>
        <v/>
      </c>
      <c r="B433" s="94">
        <f>'לקוחות לפי סוכן - מקור'!C488</f>
        <v/>
      </c>
      <c r="C433" s="126">
        <f>'לקוחות לפי סוכן - מקור'!E488</f>
        <v/>
      </c>
      <c r="D433" s="102">
        <f>'לקוחות לפי סוכן - מקור'!F488</f>
        <v/>
      </c>
      <c r="E433" s="102">
        <f>'לקוחות לפי סוכן - מקור'!G488</f>
        <v/>
      </c>
      <c r="F433" s="94">
        <f>'לקוחות לפי סוכן - מקור'!D488</f>
        <v/>
      </c>
      <c r="G433" s="95">
        <f>'לקוחות לפי סוכן - מקור'!H488</f>
        <v/>
      </c>
      <c r="H433" s="95">
        <f>'לקוחות לפי סוכן - מקור'!I488</f>
        <v/>
      </c>
      <c r="I433" s="94">
        <f>'לקוחות לפי סוכן - מקור'!K488</f>
        <v/>
      </c>
    </row>
    <row r="434" outlineLevel="1" ht="15" customHeight="1" s="82">
      <c r="A434" s="94">
        <f>'לקוחות לפי סוכן - מקור'!A489</f>
        <v/>
      </c>
      <c r="B434" s="94">
        <f>'לקוחות לפי סוכן - מקור'!C489</f>
        <v/>
      </c>
      <c r="C434" s="126">
        <f>'לקוחות לפי סוכן - מקור'!E489</f>
        <v/>
      </c>
      <c r="D434" s="102">
        <f>'לקוחות לפי סוכן - מקור'!F489</f>
        <v/>
      </c>
      <c r="E434" s="102">
        <f>'לקוחות לפי סוכן - מקור'!G489</f>
        <v/>
      </c>
      <c r="F434" s="94">
        <f>'לקוחות לפי סוכן - מקור'!D489</f>
        <v/>
      </c>
      <c r="G434" s="95">
        <f>'לקוחות לפי סוכן - מקור'!H489</f>
        <v/>
      </c>
      <c r="H434" s="95">
        <f>'לקוחות לפי סוכן - מקור'!I489</f>
        <v/>
      </c>
      <c r="I434" s="94">
        <f>'לקוחות לפי סוכן - מקור'!K489</f>
        <v/>
      </c>
    </row>
    <row r="435" outlineLevel="1" ht="15" customHeight="1" s="82">
      <c r="A435" s="94">
        <f>'לקוחות לפי סוכן - מקור'!A490</f>
        <v/>
      </c>
      <c r="B435" s="94">
        <f>'לקוחות לפי סוכן - מקור'!C490</f>
        <v/>
      </c>
      <c r="C435" s="126">
        <f>'לקוחות לפי סוכן - מקור'!E490</f>
        <v/>
      </c>
      <c r="D435" s="102">
        <f>'לקוחות לפי סוכן - מקור'!F490</f>
        <v/>
      </c>
      <c r="E435" s="102">
        <f>'לקוחות לפי סוכן - מקור'!G490</f>
        <v/>
      </c>
      <c r="F435" s="94">
        <f>'לקוחות לפי סוכן - מקור'!D490</f>
        <v/>
      </c>
      <c r="G435" s="95">
        <f>'לקוחות לפי סוכן - מקור'!H490</f>
        <v/>
      </c>
      <c r="H435" s="95">
        <f>'לקוחות לפי סוכן - מקור'!I490</f>
        <v/>
      </c>
      <c r="I435" s="94">
        <f>'לקוחות לפי סוכן - מקור'!K490</f>
        <v/>
      </c>
    </row>
    <row r="436" outlineLevel="1" ht="15" customHeight="1" s="82">
      <c r="A436" s="94">
        <f>'לקוחות לפי סוכן - מקור'!A491</f>
        <v/>
      </c>
      <c r="B436" s="94">
        <f>'לקוחות לפי סוכן - מקור'!C491</f>
        <v/>
      </c>
      <c r="C436" s="126">
        <f>'לקוחות לפי סוכן - מקור'!E491</f>
        <v/>
      </c>
      <c r="D436" s="102">
        <f>'לקוחות לפי סוכן - מקור'!F491</f>
        <v/>
      </c>
      <c r="E436" s="102">
        <f>'לקוחות לפי סוכן - מקור'!G491</f>
        <v/>
      </c>
      <c r="F436" s="94">
        <f>'לקוחות לפי סוכן - מקור'!D491</f>
        <v/>
      </c>
      <c r="G436" s="95">
        <f>'לקוחות לפי סוכן - מקור'!H491</f>
        <v/>
      </c>
      <c r="H436" s="95">
        <f>'לקוחות לפי סוכן - מקור'!I491</f>
        <v/>
      </c>
      <c r="I436" s="94">
        <f>'לקוחות לפי סוכן - מקור'!K491</f>
        <v/>
      </c>
    </row>
    <row r="437" outlineLevel="1" ht="15" customHeight="1" s="82">
      <c r="A437" s="94">
        <f>'לקוחות לפי סוכן - מקור'!A492</f>
        <v/>
      </c>
      <c r="B437" s="94">
        <f>'לקוחות לפי סוכן - מקור'!C492</f>
        <v/>
      </c>
      <c r="C437" s="126">
        <f>'לקוחות לפי סוכן - מקור'!E492</f>
        <v/>
      </c>
      <c r="D437" s="102">
        <f>'לקוחות לפי סוכן - מקור'!F492</f>
        <v/>
      </c>
      <c r="E437" s="102">
        <f>'לקוחות לפי סוכן - מקור'!G492</f>
        <v/>
      </c>
      <c r="F437" s="94">
        <f>'לקוחות לפי סוכן - מקור'!D492</f>
        <v/>
      </c>
      <c r="G437" s="95">
        <f>'לקוחות לפי סוכן - מקור'!H492</f>
        <v/>
      </c>
      <c r="H437" s="95">
        <f>'לקוחות לפי סוכן - מקור'!I492</f>
        <v/>
      </c>
      <c r="I437" s="94">
        <f>'לקוחות לפי סוכן - מקור'!K492</f>
        <v/>
      </c>
    </row>
    <row r="438" outlineLevel="1" ht="15" customHeight="1" s="82">
      <c r="A438" s="94">
        <f>'לקוחות לפי סוכן - מקור'!A493</f>
        <v/>
      </c>
      <c r="B438" s="94">
        <f>'לקוחות לפי סוכן - מקור'!C493</f>
        <v/>
      </c>
      <c r="C438" s="126">
        <f>'לקוחות לפי סוכן - מקור'!E493</f>
        <v/>
      </c>
      <c r="D438" s="102">
        <f>'לקוחות לפי סוכן - מקור'!F493</f>
        <v/>
      </c>
      <c r="E438" s="102">
        <f>'לקוחות לפי סוכן - מקור'!G493</f>
        <v/>
      </c>
      <c r="F438" s="94">
        <f>'לקוחות לפי סוכן - מקור'!D493</f>
        <v/>
      </c>
      <c r="G438" s="95">
        <f>'לקוחות לפי סוכן - מקור'!H493</f>
        <v/>
      </c>
      <c r="H438" s="95">
        <f>'לקוחות לפי סוכן - מקור'!I493</f>
        <v/>
      </c>
      <c r="I438" s="94">
        <f>'לקוחות לפי סוכן - מקור'!K493</f>
        <v/>
      </c>
    </row>
    <row r="439" outlineLevel="1" ht="15" customHeight="1" s="82">
      <c r="A439" s="94">
        <f>'לקוחות לפי סוכן - מקור'!A494</f>
        <v/>
      </c>
      <c r="B439" s="94">
        <f>'לקוחות לפי סוכן - מקור'!C494</f>
        <v/>
      </c>
      <c r="C439" s="126">
        <f>'לקוחות לפי סוכן - מקור'!E494</f>
        <v/>
      </c>
      <c r="D439" s="102">
        <f>'לקוחות לפי סוכן - מקור'!F494</f>
        <v/>
      </c>
      <c r="E439" s="102">
        <f>'לקוחות לפי סוכן - מקור'!G494</f>
        <v/>
      </c>
      <c r="F439" s="94">
        <f>'לקוחות לפי סוכן - מקור'!D494</f>
        <v/>
      </c>
      <c r="G439" s="95">
        <f>'לקוחות לפי סוכן - מקור'!H494</f>
        <v/>
      </c>
      <c r="H439" s="95">
        <f>'לקוחות לפי סוכן - מקור'!I494</f>
        <v/>
      </c>
      <c r="I439" s="94">
        <f>'לקוחות לפי סוכן - מקור'!K494</f>
        <v/>
      </c>
    </row>
    <row r="440" outlineLevel="1" ht="15" customHeight="1" s="82">
      <c r="A440" s="94">
        <f>'לקוחות לפי סוכן - מקור'!A495</f>
        <v/>
      </c>
      <c r="B440" s="94">
        <f>'לקוחות לפי סוכן - מקור'!C495</f>
        <v/>
      </c>
      <c r="C440" s="126">
        <f>'לקוחות לפי סוכן - מקור'!E495</f>
        <v/>
      </c>
      <c r="D440" s="102">
        <f>'לקוחות לפי סוכן - מקור'!F495</f>
        <v/>
      </c>
      <c r="E440" s="102">
        <f>'לקוחות לפי סוכן - מקור'!G495</f>
        <v/>
      </c>
      <c r="F440" s="94">
        <f>'לקוחות לפי סוכן - מקור'!D495</f>
        <v/>
      </c>
      <c r="G440" s="95">
        <f>'לקוחות לפי סוכן - מקור'!H495</f>
        <v/>
      </c>
      <c r="H440" s="95">
        <f>'לקוחות לפי סוכן - מקור'!I495</f>
        <v/>
      </c>
      <c r="I440" s="94">
        <f>'לקוחות לפי סוכן - מקור'!K495</f>
        <v/>
      </c>
    </row>
    <row r="441" outlineLevel="1" ht="15" customHeight="1" s="82">
      <c r="A441" s="94">
        <f>'לקוחות לפי סוכן - מקור'!A496</f>
        <v/>
      </c>
      <c r="B441" s="94">
        <f>'לקוחות לפי סוכן - מקור'!C496</f>
        <v/>
      </c>
      <c r="C441" s="126">
        <f>'לקוחות לפי סוכן - מקור'!E496</f>
        <v/>
      </c>
      <c r="D441" s="102">
        <f>'לקוחות לפי סוכן - מקור'!F496</f>
        <v/>
      </c>
      <c r="E441" s="102">
        <f>'לקוחות לפי סוכן - מקור'!G496</f>
        <v/>
      </c>
      <c r="F441" s="94">
        <f>'לקוחות לפי סוכן - מקור'!D496</f>
        <v/>
      </c>
      <c r="G441" s="95">
        <f>'לקוחות לפי סוכן - מקור'!H496</f>
        <v/>
      </c>
      <c r="H441" s="95">
        <f>'לקוחות לפי סוכן - מקור'!I496</f>
        <v/>
      </c>
      <c r="I441" s="94">
        <f>'לקוחות לפי סוכן - מקור'!K496</f>
        <v/>
      </c>
    </row>
    <row r="442" outlineLevel="1" ht="15" customHeight="1" s="82">
      <c r="A442" s="94">
        <f>'לקוחות לפי סוכן - מקור'!A497</f>
        <v/>
      </c>
      <c r="B442" s="94">
        <f>'לקוחות לפי סוכן - מקור'!C497</f>
        <v/>
      </c>
      <c r="C442" s="126">
        <f>'לקוחות לפי סוכן - מקור'!E497</f>
        <v/>
      </c>
      <c r="D442" s="102">
        <f>'לקוחות לפי סוכן - מקור'!F497</f>
        <v/>
      </c>
      <c r="E442" s="102">
        <f>'לקוחות לפי סוכן - מקור'!G497</f>
        <v/>
      </c>
      <c r="F442" s="94">
        <f>'לקוחות לפי סוכן - מקור'!D497</f>
        <v/>
      </c>
      <c r="G442" s="95">
        <f>'לקוחות לפי סוכן - מקור'!H497</f>
        <v/>
      </c>
      <c r="H442" s="95">
        <f>'לקוחות לפי סוכן - מקור'!I497</f>
        <v/>
      </c>
      <c r="I442" s="94">
        <f>'לקוחות לפי סוכן - מקור'!K497</f>
        <v/>
      </c>
    </row>
    <row r="443" outlineLevel="1" ht="15" customHeight="1" s="82">
      <c r="A443" s="94">
        <f>'לקוחות לפי סוכן - מקור'!A498</f>
        <v/>
      </c>
      <c r="B443" s="94">
        <f>'לקוחות לפי סוכן - מקור'!C498</f>
        <v/>
      </c>
      <c r="C443" s="126">
        <f>'לקוחות לפי סוכן - מקור'!E498</f>
        <v/>
      </c>
      <c r="D443" s="102">
        <f>'לקוחות לפי סוכן - מקור'!F498</f>
        <v/>
      </c>
      <c r="E443" s="102">
        <f>'לקוחות לפי סוכן - מקור'!G498</f>
        <v/>
      </c>
      <c r="F443" s="94">
        <f>'לקוחות לפי סוכן - מקור'!D498</f>
        <v/>
      </c>
      <c r="G443" s="95">
        <f>'לקוחות לפי סוכן - מקור'!H498</f>
        <v/>
      </c>
      <c r="H443" s="95">
        <f>'לקוחות לפי סוכן - מקור'!I498</f>
        <v/>
      </c>
      <c r="I443" s="94">
        <f>'לקוחות לפי סוכן - מקור'!K498</f>
        <v/>
      </c>
    </row>
    <row r="444" outlineLevel="1" ht="15" customHeight="1" s="82">
      <c r="A444" s="94">
        <f>'לקוחות לפי סוכן - מקור'!A499</f>
        <v/>
      </c>
      <c r="B444" s="94">
        <f>'לקוחות לפי סוכן - מקור'!C499</f>
        <v/>
      </c>
      <c r="C444" s="126">
        <f>'לקוחות לפי סוכן - מקור'!E499</f>
        <v/>
      </c>
      <c r="D444" s="102">
        <f>'לקוחות לפי סוכן - מקור'!F499</f>
        <v/>
      </c>
      <c r="E444" s="102">
        <f>'לקוחות לפי סוכן - מקור'!G499</f>
        <v/>
      </c>
      <c r="F444" s="94">
        <f>'לקוחות לפי סוכן - מקור'!D499</f>
        <v/>
      </c>
      <c r="G444" s="95">
        <f>'לקוחות לפי סוכן - מקור'!H499</f>
        <v/>
      </c>
      <c r="H444" s="95">
        <f>'לקוחות לפי סוכן - מקור'!I499</f>
        <v/>
      </c>
      <c r="I444" s="94">
        <f>'לקוחות לפי סוכן - מקור'!K499</f>
        <v/>
      </c>
    </row>
    <row r="445" outlineLevel="1" ht="15" customHeight="1" s="82">
      <c r="A445" s="94">
        <f>'לקוחות לפי סוכן - מקור'!A500</f>
        <v/>
      </c>
      <c r="B445" s="94">
        <f>'לקוחות לפי סוכן - מקור'!C500</f>
        <v/>
      </c>
      <c r="C445" s="126">
        <f>'לקוחות לפי סוכן - מקור'!E500</f>
        <v/>
      </c>
      <c r="D445" s="102">
        <f>'לקוחות לפי סוכן - מקור'!F500</f>
        <v/>
      </c>
      <c r="E445" s="102">
        <f>'לקוחות לפי סוכן - מקור'!G500</f>
        <v/>
      </c>
      <c r="F445" s="94">
        <f>'לקוחות לפי סוכן - מקור'!D500</f>
        <v/>
      </c>
      <c r="G445" s="95">
        <f>'לקוחות לפי סוכן - מקור'!H500</f>
        <v/>
      </c>
      <c r="H445" s="95">
        <f>'לקוחות לפי סוכן - מקור'!I500</f>
        <v/>
      </c>
      <c r="I445" s="94">
        <f>'לקוחות לפי סוכן - מקור'!K500</f>
        <v/>
      </c>
    </row>
    <row r="446" outlineLevel="1" ht="15" customHeight="1" s="82">
      <c r="A446" s="94">
        <f>'לקוחות לפי סוכן - מקור'!A501</f>
        <v/>
      </c>
      <c r="B446" s="94">
        <f>'לקוחות לפי סוכן - מקור'!C501</f>
        <v/>
      </c>
      <c r="C446" s="126">
        <f>'לקוחות לפי סוכן - מקור'!E501</f>
        <v/>
      </c>
      <c r="D446" s="102">
        <f>'לקוחות לפי סוכן - מקור'!F501</f>
        <v/>
      </c>
      <c r="E446" s="102">
        <f>'לקוחות לפי סוכן - מקור'!G501</f>
        <v/>
      </c>
      <c r="F446" s="94">
        <f>'לקוחות לפי סוכן - מקור'!D501</f>
        <v/>
      </c>
      <c r="G446" s="95">
        <f>'לקוחות לפי סוכן - מקור'!H501</f>
        <v/>
      </c>
      <c r="H446" s="95">
        <f>'לקוחות לפי סוכן - מקור'!I501</f>
        <v/>
      </c>
      <c r="I446" s="94">
        <f>'לקוחות לפי סוכן - מקור'!K501</f>
        <v/>
      </c>
    </row>
    <row r="447" outlineLevel="1" ht="15" customHeight="1" s="82">
      <c r="A447" s="94">
        <f>'לקוחות לפי סוכן - מקור'!A502</f>
        <v/>
      </c>
      <c r="B447" s="94">
        <f>'לקוחות לפי סוכן - מקור'!C502</f>
        <v/>
      </c>
      <c r="C447" s="126">
        <f>'לקוחות לפי סוכן - מקור'!E502</f>
        <v/>
      </c>
      <c r="D447" s="102">
        <f>'לקוחות לפי סוכן - מקור'!F502</f>
        <v/>
      </c>
      <c r="E447" s="102">
        <f>'לקוחות לפי סוכן - מקור'!G502</f>
        <v/>
      </c>
      <c r="F447" s="94">
        <f>'לקוחות לפי סוכן - מקור'!D502</f>
        <v/>
      </c>
      <c r="G447" s="95">
        <f>'לקוחות לפי סוכן - מקור'!H502</f>
        <v/>
      </c>
      <c r="H447" s="95">
        <f>'לקוחות לפי סוכן - מקור'!I502</f>
        <v/>
      </c>
      <c r="I447" s="94">
        <f>'לקוחות לפי סוכן - מקור'!K502</f>
        <v/>
      </c>
    </row>
    <row r="448" outlineLevel="1" ht="15" customHeight="1" s="82">
      <c r="A448" s="94">
        <f>'לקוחות לפי סוכן - מקור'!A503</f>
        <v/>
      </c>
      <c r="B448" s="94">
        <f>'לקוחות לפי סוכן - מקור'!C503</f>
        <v/>
      </c>
      <c r="C448" s="126">
        <f>'לקוחות לפי סוכן - מקור'!E503</f>
        <v/>
      </c>
      <c r="D448" s="102">
        <f>'לקוחות לפי סוכן - מקור'!F503</f>
        <v/>
      </c>
      <c r="E448" s="102">
        <f>'לקוחות לפי סוכן - מקור'!G503</f>
        <v/>
      </c>
      <c r="F448" s="94">
        <f>'לקוחות לפי סוכן - מקור'!D503</f>
        <v/>
      </c>
      <c r="G448" s="95">
        <f>'לקוחות לפי סוכן - מקור'!H503</f>
        <v/>
      </c>
      <c r="H448" s="95">
        <f>'לקוחות לפי סוכן - מקור'!I503</f>
        <v/>
      </c>
      <c r="I448" s="94">
        <f>'לקוחות לפי סוכן - מקור'!K503</f>
        <v/>
      </c>
    </row>
    <row r="449" outlineLevel="1" ht="15" customHeight="1" s="82">
      <c r="A449" s="94">
        <f>'לקוחות לפי סוכן - מקור'!A504</f>
        <v/>
      </c>
      <c r="B449" s="94">
        <f>'לקוחות לפי סוכן - מקור'!C504</f>
        <v/>
      </c>
      <c r="C449" s="126">
        <f>'לקוחות לפי סוכן - מקור'!E504</f>
        <v/>
      </c>
      <c r="D449" s="102">
        <f>'לקוחות לפי סוכן - מקור'!F504</f>
        <v/>
      </c>
      <c r="E449" s="102">
        <f>'לקוחות לפי סוכן - מקור'!G504</f>
        <v/>
      </c>
      <c r="F449" s="94">
        <f>'לקוחות לפי סוכן - מקור'!D504</f>
        <v/>
      </c>
      <c r="G449" s="95">
        <f>'לקוחות לפי סוכן - מקור'!H504</f>
        <v/>
      </c>
      <c r="H449" s="95">
        <f>'לקוחות לפי סוכן - מקור'!I504</f>
        <v/>
      </c>
      <c r="I449" s="94">
        <f>'לקוחות לפי סוכן - מקור'!K504</f>
        <v/>
      </c>
    </row>
    <row r="450" outlineLevel="1" ht="15" customHeight="1" s="82">
      <c r="A450" s="94">
        <f>'לקוחות לפי סוכן - מקור'!A505</f>
        <v/>
      </c>
      <c r="B450" s="94">
        <f>'לקוחות לפי סוכן - מקור'!C505</f>
        <v/>
      </c>
      <c r="C450" s="126">
        <f>'לקוחות לפי סוכן - מקור'!E505</f>
        <v/>
      </c>
      <c r="D450" s="102">
        <f>'לקוחות לפי סוכן - מקור'!F505</f>
        <v/>
      </c>
      <c r="E450" s="102">
        <f>'לקוחות לפי סוכן - מקור'!G505</f>
        <v/>
      </c>
      <c r="F450" s="94">
        <f>'לקוחות לפי סוכן - מקור'!D505</f>
        <v/>
      </c>
      <c r="G450" s="95">
        <f>'לקוחות לפי סוכן - מקור'!H505</f>
        <v/>
      </c>
      <c r="H450" s="95">
        <f>'לקוחות לפי סוכן - מקור'!I505</f>
        <v/>
      </c>
      <c r="I450" s="94">
        <f>'לקוחות לפי סוכן - מקור'!K505</f>
        <v/>
      </c>
    </row>
    <row r="451" outlineLevel="1" ht="15" customHeight="1" s="82">
      <c r="A451" s="94">
        <f>'לקוחות לפי סוכן - מקור'!A506</f>
        <v/>
      </c>
      <c r="B451" s="94">
        <f>'לקוחות לפי סוכן - מקור'!C506</f>
        <v/>
      </c>
      <c r="C451" s="126">
        <f>'לקוחות לפי סוכן - מקור'!E506</f>
        <v/>
      </c>
      <c r="D451" s="102">
        <f>'לקוחות לפי סוכן - מקור'!F506</f>
        <v/>
      </c>
      <c r="E451" s="102">
        <f>'לקוחות לפי סוכן - מקור'!G506</f>
        <v/>
      </c>
      <c r="F451" s="94">
        <f>'לקוחות לפי סוכן - מקור'!D506</f>
        <v/>
      </c>
      <c r="G451" s="95">
        <f>'לקוחות לפי סוכן - מקור'!H506</f>
        <v/>
      </c>
      <c r="H451" s="95">
        <f>'לקוחות לפי סוכן - מקור'!I506</f>
        <v/>
      </c>
      <c r="I451" s="94">
        <f>'לקוחות לפי סוכן - מקור'!K506</f>
        <v/>
      </c>
    </row>
    <row r="452" outlineLevel="1" ht="15" customHeight="1" s="82">
      <c r="A452" s="94">
        <f>'לקוחות לפי סוכן - מקור'!A507</f>
        <v/>
      </c>
      <c r="B452" s="94">
        <f>'לקוחות לפי סוכן - מקור'!C507</f>
        <v/>
      </c>
      <c r="C452" s="126">
        <f>'לקוחות לפי סוכן - מקור'!E507</f>
        <v/>
      </c>
      <c r="D452" s="102">
        <f>'לקוחות לפי סוכן - מקור'!F507</f>
        <v/>
      </c>
      <c r="E452" s="102">
        <f>'לקוחות לפי סוכן - מקור'!G507</f>
        <v/>
      </c>
      <c r="F452" s="94">
        <f>'לקוחות לפי סוכן - מקור'!D507</f>
        <v/>
      </c>
      <c r="G452" s="95">
        <f>'לקוחות לפי סוכן - מקור'!H507</f>
        <v/>
      </c>
      <c r="H452" s="95">
        <f>'לקוחות לפי סוכן - מקור'!I507</f>
        <v/>
      </c>
      <c r="I452" s="94">
        <f>'לקוחות לפי סוכן - מקור'!K507</f>
        <v/>
      </c>
    </row>
    <row r="453" outlineLevel="1" ht="15" customHeight="1" s="82">
      <c r="A453" s="94">
        <f>'לקוחות לפי סוכן - מקור'!A508</f>
        <v/>
      </c>
      <c r="B453" s="94">
        <f>'לקוחות לפי סוכן - מקור'!C508</f>
        <v/>
      </c>
      <c r="C453" s="126">
        <f>'לקוחות לפי סוכן - מקור'!E508</f>
        <v/>
      </c>
      <c r="D453" s="102">
        <f>'לקוחות לפי סוכן - מקור'!F508</f>
        <v/>
      </c>
      <c r="E453" s="102">
        <f>'לקוחות לפי סוכן - מקור'!G508</f>
        <v/>
      </c>
      <c r="F453" s="94">
        <f>'לקוחות לפי סוכן - מקור'!D508</f>
        <v/>
      </c>
      <c r="G453" s="95">
        <f>'לקוחות לפי סוכן - מקור'!H508</f>
        <v/>
      </c>
      <c r="H453" s="95">
        <f>'לקוחות לפי סוכן - מקור'!I508</f>
        <v/>
      </c>
      <c r="I453" s="94">
        <f>'לקוחות לפי סוכן - מקור'!K508</f>
        <v/>
      </c>
    </row>
    <row r="454" outlineLevel="1" ht="15" customHeight="1" s="82">
      <c r="A454" s="94">
        <f>'לקוחות לפי סוכן - מקור'!A509</f>
        <v/>
      </c>
      <c r="B454" s="94">
        <f>'לקוחות לפי סוכן - מקור'!C509</f>
        <v/>
      </c>
      <c r="C454" s="126">
        <f>'לקוחות לפי סוכן - מקור'!E509</f>
        <v/>
      </c>
      <c r="D454" s="102">
        <f>'לקוחות לפי סוכן - מקור'!F509</f>
        <v/>
      </c>
      <c r="E454" s="102">
        <f>'לקוחות לפי סוכן - מקור'!G509</f>
        <v/>
      </c>
      <c r="F454" s="94">
        <f>'לקוחות לפי סוכן - מקור'!D509</f>
        <v/>
      </c>
      <c r="G454" s="95">
        <f>'לקוחות לפי סוכן - מקור'!H509</f>
        <v/>
      </c>
      <c r="H454" s="95">
        <f>'לקוחות לפי סוכן - מקור'!I509</f>
        <v/>
      </c>
      <c r="I454" s="94">
        <f>'לקוחות לפי סוכן - מקור'!K509</f>
        <v/>
      </c>
    </row>
    <row r="455" outlineLevel="1" ht="15" customHeight="1" s="82">
      <c r="A455" s="94">
        <f>'לקוחות לפי סוכן - מקור'!A510</f>
        <v/>
      </c>
      <c r="B455" s="94">
        <f>'לקוחות לפי סוכן - מקור'!C510</f>
        <v/>
      </c>
      <c r="C455" s="126">
        <f>'לקוחות לפי סוכן - מקור'!E510</f>
        <v/>
      </c>
      <c r="D455" s="102">
        <f>'לקוחות לפי סוכן - מקור'!F510</f>
        <v/>
      </c>
      <c r="E455" s="102">
        <f>'לקוחות לפי סוכן - מקור'!G510</f>
        <v/>
      </c>
      <c r="F455" s="94">
        <f>'לקוחות לפי סוכן - מקור'!D510</f>
        <v/>
      </c>
      <c r="G455" s="95">
        <f>'לקוחות לפי סוכן - מקור'!H510</f>
        <v/>
      </c>
      <c r="H455" s="95">
        <f>'לקוחות לפי סוכן - מקור'!I510</f>
        <v/>
      </c>
      <c r="I455" s="94">
        <f>'לקוחות לפי סוכן - מקור'!K510</f>
        <v/>
      </c>
    </row>
    <row r="456" outlineLevel="1" ht="15" customHeight="1" s="82">
      <c r="A456" s="94">
        <f>'לקוחות לפי סוכן - מקור'!A511</f>
        <v/>
      </c>
      <c r="B456" s="94">
        <f>'לקוחות לפי סוכן - מקור'!C511</f>
        <v/>
      </c>
      <c r="C456" s="126">
        <f>'לקוחות לפי סוכן - מקור'!E511</f>
        <v/>
      </c>
      <c r="D456" s="102">
        <f>'לקוחות לפי סוכן - מקור'!F511</f>
        <v/>
      </c>
      <c r="E456" s="102">
        <f>'לקוחות לפי סוכן - מקור'!G511</f>
        <v/>
      </c>
      <c r="F456" s="94">
        <f>'לקוחות לפי סוכן - מקור'!D511</f>
        <v/>
      </c>
      <c r="G456" s="95">
        <f>'לקוחות לפי סוכן - מקור'!H511</f>
        <v/>
      </c>
      <c r="H456" s="95">
        <f>'לקוחות לפי סוכן - מקור'!I511</f>
        <v/>
      </c>
      <c r="I456" s="94">
        <f>'לקוחות לפי סוכן - מקור'!K511</f>
        <v/>
      </c>
    </row>
    <row r="457" outlineLevel="1" ht="15" customHeight="1" s="82">
      <c r="A457" s="94">
        <f>'לקוחות לפי סוכן - מקור'!A512</f>
        <v/>
      </c>
      <c r="B457" s="94">
        <f>'לקוחות לפי סוכן - מקור'!C512</f>
        <v/>
      </c>
      <c r="C457" s="126">
        <f>'לקוחות לפי סוכן - מקור'!E512</f>
        <v/>
      </c>
      <c r="D457" s="102">
        <f>'לקוחות לפי סוכן - מקור'!F512</f>
        <v/>
      </c>
      <c r="E457" s="102">
        <f>'לקוחות לפי סוכן - מקור'!G512</f>
        <v/>
      </c>
      <c r="F457" s="94">
        <f>'לקוחות לפי סוכן - מקור'!D512</f>
        <v/>
      </c>
      <c r="G457" s="95">
        <f>'לקוחות לפי סוכן - מקור'!H512</f>
        <v/>
      </c>
      <c r="H457" s="95">
        <f>'לקוחות לפי סוכן - מקור'!I512</f>
        <v/>
      </c>
      <c r="I457" s="94">
        <f>'לקוחות לפי סוכן - מקור'!K512</f>
        <v/>
      </c>
    </row>
    <row r="458" outlineLevel="1" ht="15" customHeight="1" s="82">
      <c r="A458" s="94">
        <f>'לקוחות לפי סוכן - מקור'!A513</f>
        <v/>
      </c>
      <c r="B458" s="94">
        <f>'לקוחות לפי סוכן - מקור'!C513</f>
        <v/>
      </c>
      <c r="C458" s="126">
        <f>'לקוחות לפי סוכן - מקור'!E513</f>
        <v/>
      </c>
      <c r="D458" s="102">
        <f>'לקוחות לפי סוכן - מקור'!F513</f>
        <v/>
      </c>
      <c r="E458" s="102">
        <f>'לקוחות לפי סוכן - מקור'!G513</f>
        <v/>
      </c>
      <c r="F458" s="94">
        <f>'לקוחות לפי סוכן - מקור'!D513</f>
        <v/>
      </c>
      <c r="G458" s="95">
        <f>'לקוחות לפי סוכן - מקור'!H513</f>
        <v/>
      </c>
      <c r="H458" s="95">
        <f>'לקוחות לפי סוכן - מקור'!I513</f>
        <v/>
      </c>
      <c r="I458" s="94">
        <f>'לקוחות לפי סוכן - מקור'!K513</f>
        <v/>
      </c>
    </row>
    <row r="459" outlineLevel="1" ht="15" customHeight="1" s="82">
      <c r="A459" s="94">
        <f>'לקוחות לפי סוכן - מקור'!A514</f>
        <v/>
      </c>
      <c r="B459" s="94">
        <f>'לקוחות לפי סוכן - מקור'!C514</f>
        <v/>
      </c>
      <c r="C459" s="126">
        <f>'לקוחות לפי סוכן - מקור'!E514</f>
        <v/>
      </c>
      <c r="D459" s="102">
        <f>'לקוחות לפי סוכן - מקור'!F514</f>
        <v/>
      </c>
      <c r="E459" s="102">
        <f>'לקוחות לפי סוכן - מקור'!G514</f>
        <v/>
      </c>
      <c r="F459" s="94">
        <f>'לקוחות לפי סוכן - מקור'!D514</f>
        <v/>
      </c>
      <c r="G459" s="95">
        <f>'לקוחות לפי סוכן - מקור'!H514</f>
        <v/>
      </c>
      <c r="H459" s="95">
        <f>'לקוחות לפי סוכן - מקור'!I514</f>
        <v/>
      </c>
      <c r="I459" s="94">
        <f>'לקוחות לפי סוכן - מקור'!K514</f>
        <v/>
      </c>
    </row>
    <row r="460" outlineLevel="1" ht="15" customHeight="1" s="82">
      <c r="A460" s="94">
        <f>'לקוחות לפי סוכן - מקור'!A515</f>
        <v/>
      </c>
      <c r="B460" s="94">
        <f>'לקוחות לפי סוכן - מקור'!C515</f>
        <v/>
      </c>
      <c r="C460" s="126">
        <f>'לקוחות לפי סוכן - מקור'!E515</f>
        <v/>
      </c>
      <c r="D460" s="102">
        <f>'לקוחות לפי סוכן - מקור'!F515</f>
        <v/>
      </c>
      <c r="E460" s="102">
        <f>'לקוחות לפי סוכן - מקור'!G515</f>
        <v/>
      </c>
      <c r="F460" s="94">
        <f>'לקוחות לפי סוכן - מקור'!D515</f>
        <v/>
      </c>
      <c r="G460" s="95">
        <f>'לקוחות לפי סוכן - מקור'!H515</f>
        <v/>
      </c>
      <c r="H460" s="95">
        <f>'לקוחות לפי סוכן - מקור'!I515</f>
        <v/>
      </c>
      <c r="I460" s="94">
        <f>'לקוחות לפי סוכן - מקור'!K515</f>
        <v/>
      </c>
    </row>
    <row r="461" outlineLevel="1" ht="15" customHeight="1" s="82">
      <c r="A461" s="94">
        <f>'לקוחות לפי סוכן - מקור'!A516</f>
        <v/>
      </c>
      <c r="B461" s="94">
        <f>'לקוחות לפי סוכן - מקור'!C516</f>
        <v/>
      </c>
      <c r="C461" s="126">
        <f>'לקוחות לפי סוכן - מקור'!E516</f>
        <v/>
      </c>
      <c r="D461" s="102">
        <f>'לקוחות לפי סוכן - מקור'!F516</f>
        <v/>
      </c>
      <c r="E461" s="102">
        <f>'לקוחות לפי סוכן - מקור'!G516</f>
        <v/>
      </c>
      <c r="F461" s="94">
        <f>'לקוחות לפי סוכן - מקור'!D516</f>
        <v/>
      </c>
      <c r="G461" s="95">
        <f>'לקוחות לפי סוכן - מקור'!H516</f>
        <v/>
      </c>
      <c r="H461" s="95">
        <f>'לקוחות לפי סוכן - מקור'!I516</f>
        <v/>
      </c>
      <c r="I461" s="94">
        <f>'לקוחות לפי סוכן - מקור'!K516</f>
        <v/>
      </c>
    </row>
    <row r="462" outlineLevel="1" ht="15" customHeight="1" s="82">
      <c r="A462" s="94">
        <f>'לקוחות לפי סוכן - מקור'!A517</f>
        <v/>
      </c>
      <c r="B462" s="94">
        <f>'לקוחות לפי סוכן - מקור'!C517</f>
        <v/>
      </c>
      <c r="C462" s="126">
        <f>'לקוחות לפי סוכן - מקור'!E517</f>
        <v/>
      </c>
      <c r="D462" s="102">
        <f>'לקוחות לפי סוכן - מקור'!F517</f>
        <v/>
      </c>
      <c r="E462" s="102">
        <f>'לקוחות לפי סוכן - מקור'!G517</f>
        <v/>
      </c>
      <c r="F462" s="94">
        <f>'לקוחות לפי סוכן - מקור'!D517</f>
        <v/>
      </c>
      <c r="G462" s="95">
        <f>'לקוחות לפי סוכן - מקור'!H517</f>
        <v/>
      </c>
      <c r="H462" s="95">
        <f>'לקוחות לפי סוכן - מקור'!I517</f>
        <v/>
      </c>
      <c r="I462" s="94">
        <f>'לקוחות לפי סוכן - מקור'!K517</f>
        <v/>
      </c>
    </row>
    <row r="463" outlineLevel="1" ht="15" customHeight="1" s="82">
      <c r="A463" s="94">
        <f>'לקוחות לפי סוכן - מקור'!A518</f>
        <v/>
      </c>
      <c r="B463" s="94">
        <f>'לקוחות לפי סוכן - מקור'!C518</f>
        <v/>
      </c>
      <c r="C463" s="126">
        <f>'לקוחות לפי סוכן - מקור'!E518</f>
        <v/>
      </c>
      <c r="D463" s="102">
        <f>'לקוחות לפי סוכן - מקור'!F518</f>
        <v/>
      </c>
      <c r="E463" s="102">
        <f>'לקוחות לפי סוכן - מקור'!G518</f>
        <v/>
      </c>
      <c r="F463" s="94">
        <f>'לקוחות לפי סוכן - מקור'!D518</f>
        <v/>
      </c>
      <c r="G463" s="95">
        <f>'לקוחות לפי סוכן - מקור'!H518</f>
        <v/>
      </c>
      <c r="H463" s="95">
        <f>'לקוחות לפי סוכן - מקור'!I518</f>
        <v/>
      </c>
      <c r="I463" s="94">
        <f>'לקוחות לפי סוכן - מקור'!K518</f>
        <v/>
      </c>
    </row>
    <row r="464" outlineLevel="1" ht="15" customHeight="1" s="82">
      <c r="A464" s="94">
        <f>'לקוחות לפי סוכן - מקור'!A519</f>
        <v/>
      </c>
      <c r="B464" s="94">
        <f>'לקוחות לפי סוכן - מקור'!C519</f>
        <v/>
      </c>
      <c r="C464" s="126">
        <f>'לקוחות לפי סוכן - מקור'!E519</f>
        <v/>
      </c>
      <c r="D464" s="102">
        <f>'לקוחות לפי סוכן - מקור'!F519</f>
        <v/>
      </c>
      <c r="E464" s="102">
        <f>'לקוחות לפי סוכן - מקור'!G519</f>
        <v/>
      </c>
      <c r="F464" s="94">
        <f>'לקוחות לפי סוכן - מקור'!D519</f>
        <v/>
      </c>
      <c r="G464" s="95">
        <f>'לקוחות לפי סוכן - מקור'!H519</f>
        <v/>
      </c>
      <c r="H464" s="95">
        <f>'לקוחות לפי סוכן - מקור'!I519</f>
        <v/>
      </c>
      <c r="I464" s="94">
        <f>'לקוחות לפי סוכן - מקור'!K519</f>
        <v/>
      </c>
    </row>
    <row r="465" outlineLevel="1" ht="15" customHeight="1" s="82">
      <c r="A465" s="94">
        <f>'לקוחות לפי סוכן - מקור'!A520</f>
        <v/>
      </c>
      <c r="B465" s="94">
        <f>'לקוחות לפי סוכן - מקור'!C520</f>
        <v/>
      </c>
      <c r="C465" s="126">
        <f>'לקוחות לפי סוכן - מקור'!E520</f>
        <v/>
      </c>
      <c r="D465" s="102">
        <f>'לקוחות לפי סוכן - מקור'!F520</f>
        <v/>
      </c>
      <c r="E465" s="102">
        <f>'לקוחות לפי סוכן - מקור'!G520</f>
        <v/>
      </c>
      <c r="F465" s="94">
        <f>'לקוחות לפי סוכן - מקור'!D520</f>
        <v/>
      </c>
      <c r="G465" s="95">
        <f>'לקוחות לפי סוכן - מקור'!H520</f>
        <v/>
      </c>
      <c r="H465" s="95">
        <f>'לקוחות לפי סוכן - מקור'!I520</f>
        <v/>
      </c>
      <c r="I465" s="94">
        <f>'לקוחות לפי סוכן - מקור'!K520</f>
        <v/>
      </c>
    </row>
    <row r="466" outlineLevel="1" ht="15" customHeight="1" s="82">
      <c r="A466" s="94">
        <f>'לקוחות לפי סוכן - מקור'!A521</f>
        <v/>
      </c>
      <c r="B466" s="94">
        <f>'לקוחות לפי סוכן - מקור'!C521</f>
        <v/>
      </c>
      <c r="C466" s="126">
        <f>'לקוחות לפי סוכן - מקור'!E521</f>
        <v/>
      </c>
      <c r="D466" s="102">
        <f>'לקוחות לפי סוכן - מקור'!F521</f>
        <v/>
      </c>
      <c r="E466" s="102">
        <f>'לקוחות לפי סוכן - מקור'!G521</f>
        <v/>
      </c>
      <c r="F466" s="94">
        <f>'לקוחות לפי סוכן - מקור'!D521</f>
        <v/>
      </c>
      <c r="G466" s="95">
        <f>'לקוחות לפי סוכן - מקור'!H521</f>
        <v/>
      </c>
      <c r="H466" s="95">
        <f>'לקוחות לפי סוכן - מקור'!I521</f>
        <v/>
      </c>
      <c r="I466" s="94">
        <f>'לקוחות לפי סוכן - מקור'!K521</f>
        <v/>
      </c>
    </row>
    <row r="467" outlineLevel="1" ht="15" customHeight="1" s="82">
      <c r="A467" s="94">
        <f>'לקוחות לפי סוכן - מקור'!A522</f>
        <v/>
      </c>
      <c r="B467" s="94">
        <f>'לקוחות לפי סוכן - מקור'!C522</f>
        <v/>
      </c>
      <c r="C467" s="126">
        <f>'לקוחות לפי סוכן - מקור'!E522</f>
        <v/>
      </c>
      <c r="D467" s="102">
        <f>'לקוחות לפי סוכן - מקור'!F522</f>
        <v/>
      </c>
      <c r="E467" s="102">
        <f>'לקוחות לפי סוכן - מקור'!G522</f>
        <v/>
      </c>
      <c r="F467" s="94">
        <f>'לקוחות לפי סוכן - מקור'!D522</f>
        <v/>
      </c>
      <c r="G467" s="95">
        <f>'לקוחות לפי סוכן - מקור'!H522</f>
        <v/>
      </c>
      <c r="H467" s="95">
        <f>'לקוחות לפי סוכן - מקור'!I522</f>
        <v/>
      </c>
      <c r="I467" s="94">
        <f>'לקוחות לפי סוכן - מקור'!K522</f>
        <v/>
      </c>
    </row>
    <row r="468" outlineLevel="1" ht="15" customHeight="1" s="82">
      <c r="A468" s="94">
        <f>'לקוחות לפי סוכן - מקור'!A523</f>
        <v/>
      </c>
      <c r="B468" s="94">
        <f>'לקוחות לפי סוכן - מקור'!C523</f>
        <v/>
      </c>
      <c r="C468" s="126">
        <f>'לקוחות לפי סוכן - מקור'!E523</f>
        <v/>
      </c>
      <c r="D468" s="102">
        <f>'לקוחות לפי סוכן - מקור'!F523</f>
        <v/>
      </c>
      <c r="E468" s="102">
        <f>'לקוחות לפי סוכן - מקור'!G523</f>
        <v/>
      </c>
      <c r="F468" s="94">
        <f>'לקוחות לפי סוכן - מקור'!D523</f>
        <v/>
      </c>
      <c r="G468" s="95">
        <f>'לקוחות לפי סוכן - מקור'!H523</f>
        <v/>
      </c>
      <c r="H468" s="95">
        <f>'לקוחות לפי סוכן - מקור'!I523</f>
        <v/>
      </c>
      <c r="I468" s="94">
        <f>'לקוחות לפי סוכן - מקור'!K523</f>
        <v/>
      </c>
    </row>
    <row r="469" outlineLevel="1" ht="15" customHeight="1" s="82">
      <c r="A469" s="94">
        <f>'לקוחות לפי סוכן - מקור'!A524</f>
        <v/>
      </c>
      <c r="B469" s="94">
        <f>'לקוחות לפי סוכן - מקור'!C524</f>
        <v/>
      </c>
      <c r="C469" s="126">
        <f>'לקוחות לפי סוכן - מקור'!E524</f>
        <v/>
      </c>
      <c r="D469" s="102">
        <f>'לקוחות לפי סוכן - מקור'!F524</f>
        <v/>
      </c>
      <c r="E469" s="102">
        <f>'לקוחות לפי סוכן - מקור'!G524</f>
        <v/>
      </c>
      <c r="F469" s="94">
        <f>'לקוחות לפי סוכן - מקור'!D524</f>
        <v/>
      </c>
      <c r="G469" s="95">
        <f>'לקוחות לפי סוכן - מקור'!H524</f>
        <v/>
      </c>
      <c r="H469" s="95">
        <f>'לקוחות לפי סוכן - מקור'!I524</f>
        <v/>
      </c>
      <c r="I469" s="94">
        <f>'לקוחות לפי סוכן - מקור'!K524</f>
        <v/>
      </c>
    </row>
    <row r="470" outlineLevel="1" ht="15" customHeight="1" s="82">
      <c r="A470" s="94">
        <f>'לקוחות לפי סוכן - מקור'!A525</f>
        <v/>
      </c>
      <c r="B470" s="94">
        <f>'לקוחות לפי סוכן - מקור'!C525</f>
        <v/>
      </c>
      <c r="C470" s="126">
        <f>'לקוחות לפי סוכן - מקור'!E525</f>
        <v/>
      </c>
      <c r="D470" s="102">
        <f>'לקוחות לפי סוכן - מקור'!F525</f>
        <v/>
      </c>
      <c r="E470" s="102">
        <f>'לקוחות לפי סוכן - מקור'!G525</f>
        <v/>
      </c>
      <c r="F470" s="94">
        <f>'לקוחות לפי סוכן - מקור'!D525</f>
        <v/>
      </c>
      <c r="G470" s="95">
        <f>'לקוחות לפי סוכן - מקור'!H525</f>
        <v/>
      </c>
      <c r="H470" s="95">
        <f>'לקוחות לפי סוכן - מקור'!I525</f>
        <v/>
      </c>
      <c r="I470" s="94">
        <f>'לקוחות לפי סוכן - מקור'!K525</f>
        <v/>
      </c>
    </row>
    <row r="471" outlineLevel="1" ht="15" customHeight="1" s="82">
      <c r="A471" s="94">
        <f>'לקוחות לפי סוכן - מקור'!A526</f>
        <v/>
      </c>
      <c r="B471" s="94">
        <f>'לקוחות לפי סוכן - מקור'!C526</f>
        <v/>
      </c>
      <c r="C471" s="126">
        <f>'לקוחות לפי סוכן - מקור'!E526</f>
        <v/>
      </c>
      <c r="D471" s="102">
        <f>'לקוחות לפי סוכן - מקור'!F526</f>
        <v/>
      </c>
      <c r="E471" s="102">
        <f>'לקוחות לפי סוכן - מקור'!G526</f>
        <v/>
      </c>
      <c r="F471" s="94">
        <f>'לקוחות לפי סוכן - מקור'!D526</f>
        <v/>
      </c>
      <c r="G471" s="95">
        <f>'לקוחות לפי סוכן - מקור'!H526</f>
        <v/>
      </c>
      <c r="H471" s="95">
        <f>'לקוחות לפי סוכן - מקור'!I526</f>
        <v/>
      </c>
      <c r="I471" s="94">
        <f>'לקוחות לפי סוכן - מקור'!K526</f>
        <v/>
      </c>
    </row>
    <row r="472" outlineLevel="1" ht="15" customHeight="1" s="82">
      <c r="A472" s="94">
        <f>'לקוחות לפי סוכן - מקור'!A527</f>
        <v/>
      </c>
      <c r="B472" s="94">
        <f>'לקוחות לפי סוכן - מקור'!C527</f>
        <v/>
      </c>
      <c r="C472" s="126">
        <f>'לקוחות לפי סוכן - מקור'!E527</f>
        <v/>
      </c>
      <c r="D472" s="102">
        <f>'לקוחות לפי סוכן - מקור'!F527</f>
        <v/>
      </c>
      <c r="E472" s="102">
        <f>'לקוחות לפי סוכן - מקור'!G527</f>
        <v/>
      </c>
      <c r="F472" s="94">
        <f>'לקוחות לפי סוכן - מקור'!D527</f>
        <v/>
      </c>
      <c r="G472" s="95">
        <f>'לקוחות לפי סוכן - מקור'!H527</f>
        <v/>
      </c>
      <c r="H472" s="95">
        <f>'לקוחות לפי סוכן - מקור'!I527</f>
        <v/>
      </c>
      <c r="I472" s="94">
        <f>'לקוחות לפי סוכן - מקור'!K527</f>
        <v/>
      </c>
    </row>
    <row r="473" outlineLevel="1" ht="15" customHeight="1" s="82">
      <c r="A473" s="94">
        <f>'לקוחות לפי סוכן - מקור'!A528</f>
        <v/>
      </c>
      <c r="B473" s="94">
        <f>'לקוחות לפי סוכן - מקור'!C528</f>
        <v/>
      </c>
      <c r="C473" s="126">
        <f>'לקוחות לפי סוכן - מקור'!E528</f>
        <v/>
      </c>
      <c r="D473" s="102">
        <f>'לקוחות לפי סוכן - מקור'!F528</f>
        <v/>
      </c>
      <c r="E473" s="102">
        <f>'לקוחות לפי סוכן - מקור'!G528</f>
        <v/>
      </c>
      <c r="F473" s="94">
        <f>'לקוחות לפי סוכן - מקור'!D528</f>
        <v/>
      </c>
      <c r="G473" s="95">
        <f>'לקוחות לפי סוכן - מקור'!H528</f>
        <v/>
      </c>
      <c r="H473" s="95">
        <f>'לקוחות לפי סוכן - מקור'!I528</f>
        <v/>
      </c>
      <c r="I473" s="94">
        <f>'לקוחות לפי סוכן - מקור'!K528</f>
        <v/>
      </c>
    </row>
    <row r="474" outlineLevel="1" ht="15" customHeight="1" s="82">
      <c r="A474" s="94">
        <f>'לקוחות לפי סוכן - מקור'!A529</f>
        <v/>
      </c>
      <c r="B474" s="94">
        <f>'לקוחות לפי סוכן - מקור'!C529</f>
        <v/>
      </c>
      <c r="C474" s="126">
        <f>'לקוחות לפי סוכן - מקור'!E529</f>
        <v/>
      </c>
      <c r="D474" s="102">
        <f>'לקוחות לפי סוכן - מקור'!F529</f>
        <v/>
      </c>
      <c r="E474" s="102">
        <f>'לקוחות לפי סוכן - מקור'!G529</f>
        <v/>
      </c>
      <c r="F474" s="94">
        <f>'לקוחות לפי סוכן - מקור'!D529</f>
        <v/>
      </c>
      <c r="G474" s="95">
        <f>'לקוחות לפי סוכן - מקור'!H529</f>
        <v/>
      </c>
      <c r="H474" s="95">
        <f>'לקוחות לפי סוכן - מקור'!I529</f>
        <v/>
      </c>
      <c r="I474" s="94">
        <f>'לקוחות לפי סוכן - מקור'!K529</f>
        <v/>
      </c>
    </row>
    <row r="475" outlineLevel="1" ht="15" customHeight="1" s="82">
      <c r="A475" s="94">
        <f>'לקוחות לפי סוכן - מקור'!A530</f>
        <v/>
      </c>
      <c r="B475" s="94">
        <f>'לקוחות לפי סוכן - מקור'!C530</f>
        <v/>
      </c>
      <c r="C475" s="126">
        <f>'לקוחות לפי סוכן - מקור'!E530</f>
        <v/>
      </c>
      <c r="D475" s="102">
        <f>'לקוחות לפי סוכן - מקור'!F530</f>
        <v/>
      </c>
      <c r="E475" s="102">
        <f>'לקוחות לפי סוכן - מקור'!G530</f>
        <v/>
      </c>
      <c r="F475" s="94">
        <f>'לקוחות לפי סוכן - מקור'!D530</f>
        <v/>
      </c>
      <c r="G475" s="95">
        <f>'לקוחות לפי סוכן - מקור'!H530</f>
        <v/>
      </c>
      <c r="H475" s="95">
        <f>'לקוחות לפי סוכן - מקור'!I530</f>
        <v/>
      </c>
      <c r="I475" s="94">
        <f>'לקוחות לפי סוכן - מקור'!K530</f>
        <v/>
      </c>
    </row>
    <row r="476" outlineLevel="1" ht="15" customHeight="1" s="82">
      <c r="A476" s="94">
        <f>'לקוחות לפי סוכן - מקור'!A531</f>
        <v/>
      </c>
      <c r="B476" s="94">
        <f>'לקוחות לפי סוכן - מקור'!C531</f>
        <v/>
      </c>
      <c r="C476" s="126">
        <f>'לקוחות לפי סוכן - מקור'!E531</f>
        <v/>
      </c>
      <c r="D476" s="102">
        <f>'לקוחות לפי סוכן - מקור'!F531</f>
        <v/>
      </c>
      <c r="E476" s="102">
        <f>'לקוחות לפי סוכן - מקור'!G531</f>
        <v/>
      </c>
      <c r="F476" s="94">
        <f>'לקוחות לפי סוכן - מקור'!D531</f>
        <v/>
      </c>
      <c r="G476" s="95">
        <f>'לקוחות לפי סוכן - מקור'!H531</f>
        <v/>
      </c>
      <c r="H476" s="95">
        <f>'לקוחות לפי סוכן - מקור'!I531</f>
        <v/>
      </c>
      <c r="I476" s="94">
        <f>'לקוחות לפי סוכן - מקור'!K531</f>
        <v/>
      </c>
    </row>
    <row r="477" outlineLevel="1" ht="15" customHeight="1" s="82">
      <c r="A477" s="94">
        <f>'לקוחות לפי סוכן - מקור'!A532</f>
        <v/>
      </c>
      <c r="B477" s="94">
        <f>'לקוחות לפי סוכן - מקור'!C532</f>
        <v/>
      </c>
      <c r="C477" s="126">
        <f>'לקוחות לפי סוכן - מקור'!E532</f>
        <v/>
      </c>
      <c r="D477" s="102">
        <f>'לקוחות לפי סוכן - מקור'!F532</f>
        <v/>
      </c>
      <c r="E477" s="102">
        <f>'לקוחות לפי סוכן - מקור'!G532</f>
        <v/>
      </c>
      <c r="F477" s="94">
        <f>'לקוחות לפי סוכן - מקור'!D532</f>
        <v/>
      </c>
      <c r="G477" s="95">
        <f>'לקוחות לפי סוכן - מקור'!H532</f>
        <v/>
      </c>
      <c r="H477" s="95">
        <f>'לקוחות לפי סוכן - מקור'!I532</f>
        <v/>
      </c>
      <c r="I477" s="94">
        <f>'לקוחות לפי סוכן - מקור'!K532</f>
        <v/>
      </c>
    </row>
    <row r="478" outlineLevel="1" ht="15" customHeight="1" s="82">
      <c r="A478" s="94">
        <f>'לקוחות לפי סוכן - מקור'!A533</f>
        <v/>
      </c>
      <c r="B478" s="94">
        <f>'לקוחות לפי סוכן - מקור'!C533</f>
        <v/>
      </c>
      <c r="C478" s="126">
        <f>'לקוחות לפי סוכן - מקור'!E533</f>
        <v/>
      </c>
      <c r="D478" s="102">
        <f>'לקוחות לפי סוכן - מקור'!F533</f>
        <v/>
      </c>
      <c r="E478" s="102">
        <f>'לקוחות לפי סוכן - מקור'!G533</f>
        <v/>
      </c>
      <c r="F478" s="94">
        <f>'לקוחות לפי סוכן - מקור'!D533</f>
        <v/>
      </c>
      <c r="G478" s="95">
        <f>'לקוחות לפי סוכן - מקור'!H533</f>
        <v/>
      </c>
      <c r="H478" s="95">
        <f>'לקוחות לפי סוכן - מקור'!I533</f>
        <v/>
      </c>
      <c r="I478" s="94">
        <f>'לקוחות לפי סוכן - מקור'!K533</f>
        <v/>
      </c>
    </row>
    <row r="479" outlineLevel="1" ht="15" customHeight="1" s="82">
      <c r="A479" s="94">
        <f>'לקוחות לפי סוכן - מקור'!A534</f>
        <v/>
      </c>
      <c r="B479" s="94">
        <f>'לקוחות לפי סוכן - מקור'!C534</f>
        <v/>
      </c>
      <c r="C479" s="126">
        <f>'לקוחות לפי סוכן - מקור'!E534</f>
        <v/>
      </c>
      <c r="D479" s="102">
        <f>'לקוחות לפי סוכן - מקור'!F534</f>
        <v/>
      </c>
      <c r="E479" s="102">
        <f>'לקוחות לפי סוכן - מקור'!G534</f>
        <v/>
      </c>
      <c r="F479" s="94">
        <f>'לקוחות לפי סוכן - מקור'!D534</f>
        <v/>
      </c>
      <c r="G479" s="95">
        <f>'לקוחות לפי סוכן - מקור'!H534</f>
        <v/>
      </c>
      <c r="H479" s="95">
        <f>'לקוחות לפי סוכן - מקור'!I534</f>
        <v/>
      </c>
      <c r="I479" s="94">
        <f>'לקוחות לפי סוכן - מקור'!K534</f>
        <v/>
      </c>
    </row>
    <row r="480" outlineLevel="1" ht="15" customHeight="1" s="82">
      <c r="A480" s="94">
        <f>'לקוחות לפי סוכן - מקור'!A535</f>
        <v/>
      </c>
      <c r="B480" s="94">
        <f>'לקוחות לפי סוכן - מקור'!C535</f>
        <v/>
      </c>
      <c r="C480" s="126">
        <f>'לקוחות לפי סוכן - מקור'!E535</f>
        <v/>
      </c>
      <c r="D480" s="102">
        <f>'לקוחות לפי סוכן - מקור'!F535</f>
        <v/>
      </c>
      <c r="E480" s="102">
        <f>'לקוחות לפי סוכן - מקור'!G535</f>
        <v/>
      </c>
      <c r="F480" s="94">
        <f>'לקוחות לפי סוכן - מקור'!D535</f>
        <v/>
      </c>
      <c r="G480" s="95">
        <f>'לקוחות לפי סוכן - מקור'!H535</f>
        <v/>
      </c>
      <c r="H480" s="95">
        <f>'לקוחות לפי סוכן - מקור'!I535</f>
        <v/>
      </c>
      <c r="I480" s="94">
        <f>'לקוחות לפי סוכן - מקור'!K535</f>
        <v/>
      </c>
    </row>
    <row r="481" outlineLevel="1" ht="15" customHeight="1" s="82">
      <c r="A481" s="94">
        <f>'לקוחות לפי סוכן - מקור'!A536</f>
        <v/>
      </c>
      <c r="B481" s="94">
        <f>'לקוחות לפי סוכן - מקור'!C536</f>
        <v/>
      </c>
      <c r="C481" s="126">
        <f>'לקוחות לפי סוכן - מקור'!E536</f>
        <v/>
      </c>
      <c r="D481" s="102">
        <f>'לקוחות לפי סוכן - מקור'!F536</f>
        <v/>
      </c>
      <c r="E481" s="102">
        <f>'לקוחות לפי סוכן - מקור'!G536</f>
        <v/>
      </c>
      <c r="F481" s="94">
        <f>'לקוחות לפי סוכן - מקור'!D536</f>
        <v/>
      </c>
      <c r="G481" s="95">
        <f>'לקוחות לפי סוכן - מקור'!H536</f>
        <v/>
      </c>
      <c r="H481" s="95">
        <f>'לקוחות לפי סוכן - מקור'!I536</f>
        <v/>
      </c>
      <c r="I481" s="94">
        <f>'לקוחות לפי סוכן - מקור'!K536</f>
        <v/>
      </c>
    </row>
    <row r="482" outlineLevel="1" ht="15" customHeight="1" s="82">
      <c r="A482" s="94">
        <f>'לקוחות לפי סוכן - מקור'!A537</f>
        <v/>
      </c>
      <c r="B482" s="94">
        <f>'לקוחות לפי סוכן - מקור'!C537</f>
        <v/>
      </c>
      <c r="C482" s="126">
        <f>'לקוחות לפי סוכן - מקור'!E537</f>
        <v/>
      </c>
      <c r="D482" s="102">
        <f>'לקוחות לפי סוכן - מקור'!F537</f>
        <v/>
      </c>
      <c r="E482" s="102">
        <f>'לקוחות לפי סוכן - מקור'!G537</f>
        <v/>
      </c>
      <c r="F482" s="94">
        <f>'לקוחות לפי סוכן - מקור'!D537</f>
        <v/>
      </c>
      <c r="G482" s="95">
        <f>'לקוחות לפי סוכן - מקור'!H537</f>
        <v/>
      </c>
      <c r="H482" s="95">
        <f>'לקוחות לפי סוכן - מקור'!I537</f>
        <v/>
      </c>
      <c r="I482" s="94">
        <f>'לקוחות לפי סוכן - מקור'!K537</f>
        <v/>
      </c>
    </row>
    <row r="483" outlineLevel="1" ht="15" customHeight="1" s="82">
      <c r="A483" s="94">
        <f>'לקוחות לפי סוכן - מקור'!A538</f>
        <v/>
      </c>
      <c r="B483" s="94">
        <f>'לקוחות לפי סוכן - מקור'!C538</f>
        <v/>
      </c>
      <c r="C483" s="126">
        <f>'לקוחות לפי סוכן - מקור'!E538</f>
        <v/>
      </c>
      <c r="D483" s="102">
        <f>'לקוחות לפי סוכן - מקור'!F538</f>
        <v/>
      </c>
      <c r="E483" s="102">
        <f>'לקוחות לפי סוכן - מקור'!G538</f>
        <v/>
      </c>
      <c r="F483" s="94">
        <f>'לקוחות לפי סוכן - מקור'!D538</f>
        <v/>
      </c>
      <c r="G483" s="95">
        <f>'לקוחות לפי סוכן - מקור'!H538</f>
        <v/>
      </c>
      <c r="H483" s="95">
        <f>'לקוחות לפי סוכן - מקור'!I538</f>
        <v/>
      </c>
      <c r="I483" s="94">
        <f>'לקוחות לפי סוכן - מקור'!K538</f>
        <v/>
      </c>
    </row>
    <row r="484" outlineLevel="1" ht="15" customHeight="1" s="82">
      <c r="A484" s="94">
        <f>'לקוחות לפי סוכן - מקור'!A539</f>
        <v/>
      </c>
      <c r="B484" s="94">
        <f>'לקוחות לפי סוכן - מקור'!C539</f>
        <v/>
      </c>
      <c r="C484" s="126">
        <f>'לקוחות לפי סוכן - מקור'!E539</f>
        <v/>
      </c>
      <c r="D484" s="102">
        <f>'לקוחות לפי סוכן - מקור'!F539</f>
        <v/>
      </c>
      <c r="E484" s="102">
        <f>'לקוחות לפי סוכן - מקור'!G539</f>
        <v/>
      </c>
      <c r="F484" s="94">
        <f>'לקוחות לפי סוכן - מקור'!D539</f>
        <v/>
      </c>
      <c r="G484" s="95">
        <f>'לקוחות לפי סוכן - מקור'!H539</f>
        <v/>
      </c>
      <c r="H484" s="95">
        <f>'לקוחות לפי סוכן - מקור'!I539</f>
        <v/>
      </c>
      <c r="I484" s="94">
        <f>'לקוחות לפי סוכן - מקור'!K539</f>
        <v/>
      </c>
    </row>
    <row r="485" outlineLevel="1" ht="15" customHeight="1" s="82">
      <c r="A485" s="94">
        <f>'לקוחות לפי סוכן - מקור'!A540</f>
        <v/>
      </c>
      <c r="B485" s="94">
        <f>'לקוחות לפי סוכן - מקור'!C540</f>
        <v/>
      </c>
      <c r="C485" s="126">
        <f>'לקוחות לפי סוכן - מקור'!E540</f>
        <v/>
      </c>
      <c r="D485" s="102">
        <f>'לקוחות לפי סוכן - מקור'!F540</f>
        <v/>
      </c>
      <c r="E485" s="102">
        <f>'לקוחות לפי סוכן - מקור'!G540</f>
        <v/>
      </c>
      <c r="F485" s="94">
        <f>'לקוחות לפי סוכן - מקור'!D540</f>
        <v/>
      </c>
      <c r="G485" s="95">
        <f>'לקוחות לפי סוכן - מקור'!H540</f>
        <v/>
      </c>
      <c r="H485" s="95">
        <f>'לקוחות לפי סוכן - מקור'!I540</f>
        <v/>
      </c>
      <c r="I485" s="94">
        <f>'לקוחות לפי סוכן - מקור'!K540</f>
        <v/>
      </c>
    </row>
    <row r="486" outlineLevel="1" ht="15" customHeight="1" s="82">
      <c r="A486" s="94">
        <f>'לקוחות לפי סוכן - מקור'!A541</f>
        <v/>
      </c>
      <c r="B486" s="94">
        <f>'לקוחות לפי סוכן - מקור'!C541</f>
        <v/>
      </c>
      <c r="C486" s="126">
        <f>'לקוחות לפי סוכן - מקור'!E541</f>
        <v/>
      </c>
      <c r="D486" s="102">
        <f>'לקוחות לפי סוכן - מקור'!F541</f>
        <v/>
      </c>
      <c r="E486" s="102">
        <f>'לקוחות לפי סוכן - מקור'!G541</f>
        <v/>
      </c>
      <c r="F486" s="94">
        <f>'לקוחות לפי סוכן - מקור'!D541</f>
        <v/>
      </c>
      <c r="G486" s="95">
        <f>'לקוחות לפי סוכן - מקור'!H541</f>
        <v/>
      </c>
      <c r="H486" s="95">
        <f>'לקוחות לפי סוכן - מקור'!I541</f>
        <v/>
      </c>
      <c r="I486" s="94">
        <f>'לקוחות לפי סוכן - מקור'!K541</f>
        <v/>
      </c>
    </row>
    <row r="487" outlineLevel="1" ht="15" customHeight="1" s="82">
      <c r="A487" s="94">
        <f>'לקוחות לפי סוכן - מקור'!A542</f>
        <v/>
      </c>
      <c r="B487" s="94">
        <f>'לקוחות לפי סוכן - מקור'!C542</f>
        <v/>
      </c>
      <c r="C487" s="126">
        <f>'לקוחות לפי סוכן - מקור'!E542</f>
        <v/>
      </c>
      <c r="D487" s="102">
        <f>'לקוחות לפי סוכן - מקור'!F542</f>
        <v/>
      </c>
      <c r="E487" s="102">
        <f>'לקוחות לפי סוכן - מקור'!G542</f>
        <v/>
      </c>
      <c r="F487" s="94">
        <f>'לקוחות לפי סוכן - מקור'!D542</f>
        <v/>
      </c>
      <c r="G487" s="95">
        <f>'לקוחות לפי סוכן - מקור'!H542</f>
        <v/>
      </c>
      <c r="H487" s="95">
        <f>'לקוחות לפי סוכן - מקור'!I542</f>
        <v/>
      </c>
      <c r="I487" s="94">
        <f>'לקוחות לפי סוכן - מקור'!K542</f>
        <v/>
      </c>
    </row>
    <row r="488" outlineLevel="1" ht="15" customHeight="1" s="82">
      <c r="A488" s="94">
        <f>'לקוחות לפי סוכן - מקור'!A543</f>
        <v/>
      </c>
      <c r="B488" s="94">
        <f>'לקוחות לפי סוכן - מקור'!C543</f>
        <v/>
      </c>
      <c r="C488" s="126">
        <f>'לקוחות לפי סוכן - מקור'!E543</f>
        <v/>
      </c>
      <c r="D488" s="102">
        <f>'לקוחות לפי סוכן - מקור'!F543</f>
        <v/>
      </c>
      <c r="E488" s="102">
        <f>'לקוחות לפי סוכן - מקור'!G543</f>
        <v/>
      </c>
      <c r="F488" s="94">
        <f>'לקוחות לפי סוכן - מקור'!D543</f>
        <v/>
      </c>
      <c r="G488" s="95">
        <f>'לקוחות לפי סוכן - מקור'!H543</f>
        <v/>
      </c>
      <c r="H488" s="95">
        <f>'לקוחות לפי סוכן - מקור'!I543</f>
        <v/>
      </c>
      <c r="I488" s="94">
        <f>'לקוחות לפי סוכן - מקור'!K543</f>
        <v/>
      </c>
    </row>
    <row r="489" outlineLevel="1" ht="15" customHeight="1" s="82">
      <c r="A489" s="94">
        <f>'לקוחות לפי סוכן - מקור'!A544</f>
        <v/>
      </c>
      <c r="B489" s="94">
        <f>'לקוחות לפי סוכן - מקור'!C544</f>
        <v/>
      </c>
      <c r="C489" s="126">
        <f>'לקוחות לפי סוכן - מקור'!E544</f>
        <v/>
      </c>
      <c r="D489" s="102">
        <f>'לקוחות לפי סוכן - מקור'!F544</f>
        <v/>
      </c>
      <c r="E489" s="102">
        <f>'לקוחות לפי סוכן - מקור'!G544</f>
        <v/>
      </c>
      <c r="F489" s="94">
        <f>'לקוחות לפי סוכן - מקור'!D544</f>
        <v/>
      </c>
      <c r="G489" s="95">
        <f>'לקוחות לפי סוכן - מקור'!H544</f>
        <v/>
      </c>
      <c r="H489" s="95">
        <f>'לקוחות לפי סוכן - מקור'!I544</f>
        <v/>
      </c>
      <c r="I489" s="94">
        <f>'לקוחות לפי סוכן - מקור'!K544</f>
        <v/>
      </c>
    </row>
    <row r="490" outlineLevel="1" ht="15" customHeight="1" s="82">
      <c r="A490" s="94">
        <f>'לקוחות לפי סוכן - מקור'!A545</f>
        <v/>
      </c>
      <c r="B490" s="94">
        <f>'לקוחות לפי סוכן - מקור'!C545</f>
        <v/>
      </c>
      <c r="C490" s="126">
        <f>'לקוחות לפי סוכן - מקור'!E545</f>
        <v/>
      </c>
      <c r="D490" s="102">
        <f>'לקוחות לפי סוכן - מקור'!F545</f>
        <v/>
      </c>
      <c r="E490" s="102">
        <f>'לקוחות לפי סוכן - מקור'!G545</f>
        <v/>
      </c>
      <c r="F490" s="94">
        <f>'לקוחות לפי סוכן - מקור'!D545</f>
        <v/>
      </c>
      <c r="G490" s="95">
        <f>'לקוחות לפי סוכן - מקור'!H545</f>
        <v/>
      </c>
      <c r="H490" s="95">
        <f>'לקוחות לפי סוכן - מקור'!I545</f>
        <v/>
      </c>
      <c r="I490" s="94">
        <f>'לקוחות לפי סוכן - מקור'!K545</f>
        <v/>
      </c>
    </row>
    <row r="491" outlineLevel="1" ht="15" customHeight="1" s="82">
      <c r="A491" s="94">
        <f>'לקוחות לפי סוכן - מקור'!A546</f>
        <v/>
      </c>
      <c r="B491" s="94">
        <f>'לקוחות לפי סוכן - מקור'!C546</f>
        <v/>
      </c>
      <c r="C491" s="126">
        <f>'לקוחות לפי סוכן - מקור'!E546</f>
        <v/>
      </c>
      <c r="D491" s="102">
        <f>'לקוחות לפי סוכן - מקור'!F546</f>
        <v/>
      </c>
      <c r="E491" s="102">
        <f>'לקוחות לפי סוכן - מקור'!G546</f>
        <v/>
      </c>
      <c r="F491" s="94">
        <f>'לקוחות לפי סוכן - מקור'!D546</f>
        <v/>
      </c>
      <c r="G491" s="95">
        <f>'לקוחות לפי סוכן - מקור'!H546</f>
        <v/>
      </c>
      <c r="H491" s="95">
        <f>'לקוחות לפי סוכן - מקור'!I546</f>
        <v/>
      </c>
      <c r="I491" s="94">
        <f>'לקוחות לפי סוכן - מקור'!K546</f>
        <v/>
      </c>
    </row>
    <row r="492" outlineLevel="1" ht="15" customHeight="1" s="82">
      <c r="A492" s="94">
        <f>'לקוחות לפי סוכן - מקור'!A547</f>
        <v/>
      </c>
      <c r="B492" s="94">
        <f>'לקוחות לפי סוכן - מקור'!C547</f>
        <v/>
      </c>
      <c r="C492" s="126">
        <f>'לקוחות לפי סוכן - מקור'!E547</f>
        <v/>
      </c>
      <c r="D492" s="102">
        <f>'לקוחות לפי סוכן - מקור'!F547</f>
        <v/>
      </c>
      <c r="E492" s="102">
        <f>'לקוחות לפי סוכן - מקור'!G547</f>
        <v/>
      </c>
      <c r="F492" s="94">
        <f>'לקוחות לפי סוכן - מקור'!D547</f>
        <v/>
      </c>
      <c r="G492" s="95">
        <f>'לקוחות לפי סוכן - מקור'!H547</f>
        <v/>
      </c>
      <c r="H492" s="95">
        <f>'לקוחות לפי סוכן - מקור'!I547</f>
        <v/>
      </c>
      <c r="I492" s="94">
        <f>'לקוחות לפי סוכן - מקור'!K547</f>
        <v/>
      </c>
    </row>
    <row r="493" outlineLevel="1" ht="15" customHeight="1" s="82">
      <c r="A493" s="94">
        <f>'לקוחות לפי סוכן - מקור'!A548</f>
        <v/>
      </c>
      <c r="B493" s="94">
        <f>'לקוחות לפי סוכן - מקור'!C548</f>
        <v/>
      </c>
      <c r="C493" s="126">
        <f>'לקוחות לפי סוכן - מקור'!E548</f>
        <v/>
      </c>
      <c r="D493" s="102">
        <f>'לקוחות לפי סוכן - מקור'!F548</f>
        <v/>
      </c>
      <c r="E493" s="102">
        <f>'לקוחות לפי סוכן - מקור'!G548</f>
        <v/>
      </c>
      <c r="F493" s="94">
        <f>'לקוחות לפי סוכן - מקור'!D548</f>
        <v/>
      </c>
      <c r="G493" s="95">
        <f>'לקוחות לפי סוכן - מקור'!H548</f>
        <v/>
      </c>
      <c r="H493" s="95">
        <f>'לקוחות לפי סוכן - מקור'!I548</f>
        <v/>
      </c>
      <c r="I493" s="94">
        <f>'לקוחות לפי סוכן - מקור'!K548</f>
        <v/>
      </c>
    </row>
    <row r="494" outlineLevel="1" ht="15" customHeight="1" s="82">
      <c r="A494" s="94">
        <f>'לקוחות לפי סוכן - מקור'!A549</f>
        <v/>
      </c>
      <c r="B494" s="94">
        <f>'לקוחות לפי סוכן - מקור'!C549</f>
        <v/>
      </c>
      <c r="C494" s="126">
        <f>'לקוחות לפי סוכן - מקור'!E549</f>
        <v/>
      </c>
      <c r="D494" s="102">
        <f>'לקוחות לפי סוכן - מקור'!F549</f>
        <v/>
      </c>
      <c r="E494" s="102">
        <f>'לקוחות לפי סוכן - מקור'!G549</f>
        <v/>
      </c>
      <c r="F494" s="94">
        <f>'לקוחות לפי סוכן - מקור'!D549</f>
        <v/>
      </c>
      <c r="G494" s="95">
        <f>'לקוחות לפי סוכן - מקור'!H549</f>
        <v/>
      </c>
      <c r="H494" s="95">
        <f>'לקוחות לפי סוכן - מקור'!I549</f>
        <v/>
      </c>
      <c r="I494" s="94">
        <f>'לקוחות לפי סוכן - מקור'!K549</f>
        <v/>
      </c>
    </row>
    <row r="495" outlineLevel="1" ht="15" customHeight="1" s="82">
      <c r="A495" s="94">
        <f>'לקוחות לפי סוכן - מקור'!A550</f>
        <v/>
      </c>
      <c r="B495" s="94">
        <f>'לקוחות לפי סוכן - מקור'!C550</f>
        <v/>
      </c>
      <c r="C495" s="126">
        <f>'לקוחות לפי סוכן - מקור'!E550</f>
        <v/>
      </c>
      <c r="D495" s="102">
        <f>'לקוחות לפי סוכן - מקור'!F550</f>
        <v/>
      </c>
      <c r="E495" s="102">
        <f>'לקוחות לפי סוכן - מקור'!G550</f>
        <v/>
      </c>
      <c r="F495" s="94">
        <f>'לקוחות לפי סוכן - מקור'!D550</f>
        <v/>
      </c>
      <c r="G495" s="95">
        <f>'לקוחות לפי סוכן - מקור'!H550</f>
        <v/>
      </c>
      <c r="H495" s="95">
        <f>'לקוחות לפי סוכן - מקור'!I550</f>
        <v/>
      </c>
      <c r="I495" s="94">
        <f>'לקוחות לפי סוכן - מקור'!K550</f>
        <v/>
      </c>
    </row>
    <row r="496" outlineLevel="1" ht="15" customHeight="1" s="82">
      <c r="A496" s="94">
        <f>'לקוחות לפי סוכן - מקור'!A551</f>
        <v/>
      </c>
      <c r="B496" s="94">
        <f>'לקוחות לפי סוכן - מקור'!C551</f>
        <v/>
      </c>
      <c r="C496" s="126">
        <f>'לקוחות לפי סוכן - מקור'!E551</f>
        <v/>
      </c>
      <c r="D496" s="102">
        <f>'לקוחות לפי סוכן - מקור'!F551</f>
        <v/>
      </c>
      <c r="E496" s="102">
        <f>'לקוחות לפי סוכן - מקור'!G551</f>
        <v/>
      </c>
      <c r="F496" s="94">
        <f>'לקוחות לפי סוכן - מקור'!D551</f>
        <v/>
      </c>
      <c r="G496" s="95">
        <f>'לקוחות לפי סוכן - מקור'!H551</f>
        <v/>
      </c>
      <c r="H496" s="95">
        <f>'לקוחות לפי סוכן - מקור'!I551</f>
        <v/>
      </c>
      <c r="I496" s="94">
        <f>'לקוחות לפי סוכן - מקור'!K551</f>
        <v/>
      </c>
    </row>
    <row r="497" outlineLevel="1" ht="15" customHeight="1" s="82">
      <c r="A497" s="94">
        <f>'לקוחות לפי סוכן - מקור'!A552</f>
        <v/>
      </c>
      <c r="B497" s="94">
        <f>'לקוחות לפי סוכן - מקור'!C552</f>
        <v/>
      </c>
      <c r="C497" s="126">
        <f>'לקוחות לפי סוכן - מקור'!E552</f>
        <v/>
      </c>
      <c r="D497" s="102">
        <f>'לקוחות לפי סוכן - מקור'!F552</f>
        <v/>
      </c>
      <c r="E497" s="102">
        <f>'לקוחות לפי סוכן - מקור'!G552</f>
        <v/>
      </c>
      <c r="F497" s="94">
        <f>'לקוחות לפי סוכן - מקור'!D552</f>
        <v/>
      </c>
      <c r="G497" s="95">
        <f>'לקוחות לפי סוכן - מקור'!H552</f>
        <v/>
      </c>
      <c r="H497" s="95">
        <f>'לקוחות לפי סוכן - מקור'!I552</f>
        <v/>
      </c>
      <c r="I497" s="94">
        <f>'לקוחות לפי סוכן - מקור'!K552</f>
        <v/>
      </c>
    </row>
    <row r="498" outlineLevel="1" ht="15" customHeight="1" s="82">
      <c r="A498" s="94">
        <f>'לקוחות לפי סוכן - מקור'!A553</f>
        <v/>
      </c>
      <c r="B498" s="94">
        <f>'לקוחות לפי סוכן - מקור'!C553</f>
        <v/>
      </c>
      <c r="C498" s="126">
        <f>'לקוחות לפי סוכן - מקור'!E553</f>
        <v/>
      </c>
      <c r="D498" s="102">
        <f>'לקוחות לפי סוכן - מקור'!F553</f>
        <v/>
      </c>
      <c r="E498" s="102">
        <f>'לקוחות לפי סוכן - מקור'!G553</f>
        <v/>
      </c>
      <c r="F498" s="94">
        <f>'לקוחות לפי סוכן - מקור'!D553</f>
        <v/>
      </c>
      <c r="G498" s="95">
        <f>'לקוחות לפי סוכן - מקור'!H553</f>
        <v/>
      </c>
      <c r="H498" s="95">
        <f>'לקוחות לפי סוכן - מקור'!I553</f>
        <v/>
      </c>
      <c r="I498" s="94">
        <f>'לקוחות לפי סוכן - מקור'!K553</f>
        <v/>
      </c>
    </row>
    <row r="499" outlineLevel="1" ht="15" customHeight="1" s="82">
      <c r="A499" s="94">
        <f>'לקוחות לפי סוכן - מקור'!A554</f>
        <v/>
      </c>
      <c r="B499" s="94">
        <f>'לקוחות לפי סוכן - מקור'!C554</f>
        <v/>
      </c>
      <c r="C499" s="126">
        <f>'לקוחות לפי סוכן - מקור'!E554</f>
        <v/>
      </c>
      <c r="D499" s="102">
        <f>'לקוחות לפי סוכן - מקור'!F554</f>
        <v/>
      </c>
      <c r="E499" s="102">
        <f>'לקוחות לפי סוכן - מקור'!G554</f>
        <v/>
      </c>
      <c r="F499" s="94">
        <f>'לקוחות לפי סוכן - מקור'!D554</f>
        <v/>
      </c>
      <c r="G499" s="95">
        <f>'לקוחות לפי סוכן - מקור'!H554</f>
        <v/>
      </c>
      <c r="H499" s="95">
        <f>'לקוחות לפי סוכן - מקור'!I554</f>
        <v/>
      </c>
      <c r="I499" s="94">
        <f>'לקוחות לפי סוכן - מקור'!K554</f>
        <v/>
      </c>
    </row>
    <row r="500" outlineLevel="1" ht="15" customHeight="1" s="82">
      <c r="A500" s="94">
        <f>'לקוחות לפי סוכן - מקור'!A555</f>
        <v/>
      </c>
      <c r="B500" s="94">
        <f>'לקוחות לפי סוכן - מקור'!C555</f>
        <v/>
      </c>
      <c r="C500" s="126">
        <f>'לקוחות לפי סוכן - מקור'!E555</f>
        <v/>
      </c>
      <c r="D500" s="102">
        <f>'לקוחות לפי סוכן - מקור'!F555</f>
        <v/>
      </c>
      <c r="E500" s="102">
        <f>'לקוחות לפי סוכן - מקור'!G555</f>
        <v/>
      </c>
      <c r="F500" s="94">
        <f>'לקוחות לפי סוכן - מקור'!D555</f>
        <v/>
      </c>
      <c r="G500" s="95">
        <f>'לקוחות לפי סוכן - מקור'!H555</f>
        <v/>
      </c>
      <c r="H500" s="95">
        <f>'לקוחות לפי סוכן - מקור'!I555</f>
        <v/>
      </c>
      <c r="I500" s="94">
        <f>'לקוחות לפי סוכן - מקור'!K555</f>
        <v/>
      </c>
    </row>
    <row r="501" outlineLevel="1" ht="15" customHeight="1" s="82">
      <c r="A501" s="94">
        <f>'לקוחות לפי סוכן - מקור'!A556</f>
        <v/>
      </c>
      <c r="B501" s="94">
        <f>'לקוחות לפי סוכן - מקור'!C556</f>
        <v/>
      </c>
      <c r="C501" s="126">
        <f>'לקוחות לפי סוכן - מקור'!E556</f>
        <v/>
      </c>
      <c r="D501" s="102">
        <f>'לקוחות לפי סוכן - מקור'!F556</f>
        <v/>
      </c>
      <c r="E501" s="102">
        <f>'לקוחות לפי סוכן - מקור'!G556</f>
        <v/>
      </c>
      <c r="F501" s="94">
        <f>'לקוחות לפי סוכן - מקור'!D556</f>
        <v/>
      </c>
      <c r="G501" s="95">
        <f>'לקוחות לפי סוכן - מקור'!H556</f>
        <v/>
      </c>
      <c r="H501" s="95">
        <f>'לקוחות לפי סוכן - מקור'!I556</f>
        <v/>
      </c>
      <c r="I501" s="94">
        <f>'לקוחות לפי סוכן - מקור'!K556</f>
        <v/>
      </c>
    </row>
    <row r="502" outlineLevel="1" ht="15" customHeight="1" s="82">
      <c r="A502" s="94">
        <f>'לקוחות לפי סוכן - מקור'!A557</f>
        <v/>
      </c>
      <c r="B502" s="94">
        <f>'לקוחות לפי סוכן - מקור'!C557</f>
        <v/>
      </c>
      <c r="C502" s="126">
        <f>'לקוחות לפי סוכן - מקור'!E557</f>
        <v/>
      </c>
      <c r="D502" s="102">
        <f>'לקוחות לפי סוכן - מקור'!F557</f>
        <v/>
      </c>
      <c r="E502" s="102">
        <f>'לקוחות לפי סוכן - מקור'!G557</f>
        <v/>
      </c>
      <c r="F502" s="94">
        <f>'לקוחות לפי סוכן - מקור'!D557</f>
        <v/>
      </c>
      <c r="G502" s="95">
        <f>'לקוחות לפי סוכן - מקור'!H557</f>
        <v/>
      </c>
      <c r="H502" s="95">
        <f>'לקוחות לפי סוכן - מקור'!I557</f>
        <v/>
      </c>
      <c r="I502" s="94">
        <f>'לקוחות לפי סוכן - מקור'!K557</f>
        <v/>
      </c>
    </row>
    <row r="503" outlineLevel="1" ht="15" customHeight="1" s="82">
      <c r="A503" s="94">
        <f>'לקוחות לפי סוכן - מקור'!A558</f>
        <v/>
      </c>
      <c r="B503" s="94">
        <f>'לקוחות לפי סוכן - מקור'!C558</f>
        <v/>
      </c>
      <c r="C503" s="126">
        <f>'לקוחות לפי סוכן - מקור'!E558</f>
        <v/>
      </c>
      <c r="D503" s="102">
        <f>'לקוחות לפי סוכן - מקור'!F558</f>
        <v/>
      </c>
      <c r="E503" s="102">
        <f>'לקוחות לפי סוכן - מקור'!G558</f>
        <v/>
      </c>
      <c r="F503" s="94">
        <f>'לקוחות לפי סוכן - מקור'!D558</f>
        <v/>
      </c>
      <c r="G503" s="95">
        <f>'לקוחות לפי סוכן - מקור'!H558</f>
        <v/>
      </c>
      <c r="H503" s="95">
        <f>'לקוחות לפי סוכן - מקור'!I558</f>
        <v/>
      </c>
      <c r="I503" s="94">
        <f>'לקוחות לפי סוכן - מקור'!K558</f>
        <v/>
      </c>
    </row>
    <row r="504" outlineLevel="1" ht="15" customHeight="1" s="82">
      <c r="A504" s="94">
        <f>'לקוחות לפי סוכן - מקור'!A559</f>
        <v/>
      </c>
      <c r="B504" s="94">
        <f>'לקוחות לפי סוכן - מקור'!C559</f>
        <v/>
      </c>
      <c r="C504" s="126">
        <f>'לקוחות לפי סוכן - מקור'!E559</f>
        <v/>
      </c>
      <c r="D504" s="102">
        <f>'לקוחות לפי סוכן - מקור'!F559</f>
        <v/>
      </c>
      <c r="E504" s="102">
        <f>'לקוחות לפי סוכן - מקור'!G559</f>
        <v/>
      </c>
      <c r="F504" s="94">
        <f>'לקוחות לפי סוכן - מקור'!D559</f>
        <v/>
      </c>
      <c r="G504" s="95">
        <f>'לקוחות לפי סוכן - מקור'!H559</f>
        <v/>
      </c>
      <c r="H504" s="95">
        <f>'לקוחות לפי סוכן - מקור'!I559</f>
        <v/>
      </c>
      <c r="I504" s="94">
        <f>'לקוחות לפי סוכן - מקור'!K559</f>
        <v/>
      </c>
    </row>
    <row r="505" outlineLevel="1" ht="15" customHeight="1" s="82">
      <c r="A505" s="94">
        <f>'לקוחות לפי סוכן - מקור'!A560</f>
        <v/>
      </c>
      <c r="B505" s="94">
        <f>'לקוחות לפי סוכן - מקור'!C560</f>
        <v/>
      </c>
      <c r="C505" s="126">
        <f>'לקוחות לפי סוכן - מקור'!E560</f>
        <v/>
      </c>
      <c r="D505" s="102">
        <f>'לקוחות לפי סוכן - מקור'!F560</f>
        <v/>
      </c>
      <c r="E505" s="102">
        <f>'לקוחות לפי סוכן - מקור'!G560</f>
        <v/>
      </c>
      <c r="F505" s="94">
        <f>'לקוחות לפי סוכן - מקור'!D560</f>
        <v/>
      </c>
      <c r="G505" s="95">
        <f>'לקוחות לפי סוכן - מקור'!H560</f>
        <v/>
      </c>
      <c r="H505" s="95">
        <f>'לקוחות לפי סוכן - מקור'!I560</f>
        <v/>
      </c>
      <c r="I505" s="94">
        <f>'לקוחות לפי סוכן - מקור'!K560</f>
        <v/>
      </c>
    </row>
    <row r="506" outlineLevel="1" ht="15" customHeight="1" s="82">
      <c r="A506" s="94">
        <f>'לקוחות לפי סוכן - מקור'!A561</f>
        <v/>
      </c>
      <c r="B506" s="94">
        <f>'לקוחות לפי סוכן - מקור'!C561</f>
        <v/>
      </c>
      <c r="C506" s="126">
        <f>'לקוחות לפי סוכן - מקור'!E561</f>
        <v/>
      </c>
      <c r="D506" s="102">
        <f>'לקוחות לפי סוכן - מקור'!F561</f>
        <v/>
      </c>
      <c r="E506" s="102">
        <f>'לקוחות לפי סוכן - מקור'!G561</f>
        <v/>
      </c>
      <c r="F506" s="94">
        <f>'לקוחות לפי סוכן - מקור'!D561</f>
        <v/>
      </c>
      <c r="G506" s="95">
        <f>'לקוחות לפי סוכן - מקור'!H561</f>
        <v/>
      </c>
      <c r="H506" s="95">
        <f>'לקוחות לפי סוכן - מקור'!I561</f>
        <v/>
      </c>
      <c r="I506" s="94">
        <f>'לקוחות לפי סוכן - מקור'!K561</f>
        <v/>
      </c>
    </row>
    <row r="507" outlineLevel="1" ht="15" customHeight="1" s="82">
      <c r="A507" s="94">
        <f>'לקוחות לפי סוכן - מקור'!A562</f>
        <v/>
      </c>
      <c r="B507" s="94">
        <f>'לקוחות לפי סוכן - מקור'!C562</f>
        <v/>
      </c>
      <c r="C507" s="126">
        <f>'לקוחות לפי סוכן - מקור'!E562</f>
        <v/>
      </c>
      <c r="D507" s="102">
        <f>'לקוחות לפי סוכן - מקור'!F562</f>
        <v/>
      </c>
      <c r="E507" s="102">
        <f>'לקוחות לפי סוכן - מקור'!G562</f>
        <v/>
      </c>
      <c r="F507" s="94">
        <f>'לקוחות לפי סוכן - מקור'!D562</f>
        <v/>
      </c>
      <c r="G507" s="95">
        <f>'לקוחות לפי סוכן - מקור'!H562</f>
        <v/>
      </c>
      <c r="H507" s="95">
        <f>'לקוחות לפי סוכן - מקור'!I562</f>
        <v/>
      </c>
      <c r="I507" s="94">
        <f>'לקוחות לפי סוכן - מקור'!K562</f>
        <v/>
      </c>
    </row>
    <row r="508" outlineLevel="1" ht="15" customHeight="1" s="82">
      <c r="A508" s="94">
        <f>'לקוחות לפי סוכן - מקור'!A563</f>
        <v/>
      </c>
      <c r="B508" s="94">
        <f>'לקוחות לפי סוכן - מקור'!C563</f>
        <v/>
      </c>
      <c r="C508" s="126">
        <f>'לקוחות לפי סוכן - מקור'!E563</f>
        <v/>
      </c>
      <c r="D508" s="102">
        <f>'לקוחות לפי סוכן - מקור'!F563</f>
        <v/>
      </c>
      <c r="E508" s="102">
        <f>'לקוחות לפי סוכן - מקור'!G563</f>
        <v/>
      </c>
      <c r="F508" s="94">
        <f>'לקוחות לפי סוכן - מקור'!D563</f>
        <v/>
      </c>
      <c r="G508" s="95">
        <f>'לקוחות לפי סוכן - מקור'!H563</f>
        <v/>
      </c>
      <c r="H508" s="95">
        <f>'לקוחות לפי סוכן - מקור'!I563</f>
        <v/>
      </c>
      <c r="I508" s="94">
        <f>'לקוחות לפי סוכן - מקור'!K563</f>
        <v/>
      </c>
    </row>
    <row r="509" outlineLevel="1" ht="15" customHeight="1" s="82">
      <c r="A509" s="94">
        <f>'לקוחות לפי סוכן - מקור'!A564</f>
        <v/>
      </c>
      <c r="B509" s="94">
        <f>'לקוחות לפי סוכן - מקור'!C564</f>
        <v/>
      </c>
      <c r="C509" s="126">
        <f>'לקוחות לפי סוכן - מקור'!E564</f>
        <v/>
      </c>
      <c r="D509" s="102">
        <f>'לקוחות לפי סוכן - מקור'!F564</f>
        <v/>
      </c>
      <c r="E509" s="102">
        <f>'לקוחות לפי סוכן - מקור'!G564</f>
        <v/>
      </c>
      <c r="F509" s="94">
        <f>'לקוחות לפי סוכן - מקור'!D564</f>
        <v/>
      </c>
      <c r="G509" s="95">
        <f>'לקוחות לפי סוכן - מקור'!H564</f>
        <v/>
      </c>
      <c r="H509" s="95">
        <f>'לקוחות לפי סוכן - מקור'!I564</f>
        <v/>
      </c>
      <c r="I509" s="94">
        <f>'לקוחות לפי סוכן - מקור'!K564</f>
        <v/>
      </c>
    </row>
    <row r="510" outlineLevel="1" ht="15" customHeight="1" s="82">
      <c r="A510" s="94">
        <f>'לקוחות לפי סוכן - מקור'!A565</f>
        <v/>
      </c>
      <c r="B510" s="94">
        <f>'לקוחות לפי סוכן - מקור'!C565</f>
        <v/>
      </c>
      <c r="C510" s="126">
        <f>'לקוחות לפי סוכן - מקור'!E565</f>
        <v/>
      </c>
      <c r="D510" s="102">
        <f>'לקוחות לפי סוכן - מקור'!F565</f>
        <v/>
      </c>
      <c r="E510" s="102">
        <f>'לקוחות לפי סוכן - מקור'!G565</f>
        <v/>
      </c>
      <c r="F510" s="94">
        <f>'לקוחות לפי סוכן - מקור'!D565</f>
        <v/>
      </c>
      <c r="G510" s="95">
        <f>'לקוחות לפי סוכן - מקור'!H565</f>
        <v/>
      </c>
      <c r="H510" s="95">
        <f>'לקוחות לפי סוכן - מקור'!I565</f>
        <v/>
      </c>
      <c r="I510" s="94">
        <f>'לקוחות לפי סוכן - מקור'!K565</f>
        <v/>
      </c>
    </row>
    <row r="511" outlineLevel="1" ht="15" customHeight="1" s="82">
      <c r="A511" s="94">
        <f>'לקוחות לפי סוכן - מקור'!A566</f>
        <v/>
      </c>
      <c r="B511" s="94">
        <f>'לקוחות לפי סוכן - מקור'!C566</f>
        <v/>
      </c>
      <c r="C511" s="126">
        <f>'לקוחות לפי סוכן - מקור'!E566</f>
        <v/>
      </c>
      <c r="D511" s="102">
        <f>'לקוחות לפי סוכן - מקור'!F566</f>
        <v/>
      </c>
      <c r="E511" s="102">
        <f>'לקוחות לפי סוכן - מקור'!G566</f>
        <v/>
      </c>
      <c r="F511" s="94">
        <f>'לקוחות לפי סוכן - מקור'!D566</f>
        <v/>
      </c>
      <c r="G511" s="95">
        <f>'לקוחות לפי סוכן - מקור'!H566</f>
        <v/>
      </c>
      <c r="H511" s="95">
        <f>'לקוחות לפי סוכן - מקור'!I566</f>
        <v/>
      </c>
      <c r="I511" s="94">
        <f>'לקוחות לפי סוכן - מקור'!K566</f>
        <v/>
      </c>
    </row>
    <row r="512" outlineLevel="1" ht="15" customHeight="1" s="82">
      <c r="A512" s="94">
        <f>'לקוחות לפי סוכן - מקור'!A567</f>
        <v/>
      </c>
      <c r="B512" s="94">
        <f>'לקוחות לפי סוכן - מקור'!C567</f>
        <v/>
      </c>
      <c r="C512" s="126">
        <f>'לקוחות לפי סוכן - מקור'!E567</f>
        <v/>
      </c>
      <c r="D512" s="102">
        <f>'לקוחות לפי סוכן - מקור'!F567</f>
        <v/>
      </c>
      <c r="E512" s="102">
        <f>'לקוחות לפי סוכן - מקור'!G567</f>
        <v/>
      </c>
      <c r="F512" s="94">
        <f>'לקוחות לפי סוכן - מקור'!D567</f>
        <v/>
      </c>
      <c r="G512" s="95">
        <f>'לקוחות לפי סוכן - מקור'!H567</f>
        <v/>
      </c>
      <c r="H512" s="95">
        <f>'לקוחות לפי סוכן - מקור'!I567</f>
        <v/>
      </c>
      <c r="I512" s="94">
        <f>'לקוחות לפי סוכן - מקור'!K567</f>
        <v/>
      </c>
    </row>
    <row r="513" outlineLevel="1" ht="15" customHeight="1" s="82">
      <c r="A513" s="94">
        <f>'לקוחות לפי סוכן - מקור'!A568</f>
        <v/>
      </c>
      <c r="B513" s="94">
        <f>'לקוחות לפי סוכן - מקור'!C568</f>
        <v/>
      </c>
      <c r="C513" s="126">
        <f>'לקוחות לפי סוכן - מקור'!E568</f>
        <v/>
      </c>
      <c r="D513" s="102">
        <f>'לקוחות לפי סוכן - מקור'!F568</f>
        <v/>
      </c>
      <c r="E513" s="102">
        <f>'לקוחות לפי סוכן - מקור'!G568</f>
        <v/>
      </c>
      <c r="F513" s="94">
        <f>'לקוחות לפי סוכן - מקור'!D568</f>
        <v/>
      </c>
      <c r="G513" s="95">
        <f>'לקוחות לפי סוכן - מקור'!H568</f>
        <v/>
      </c>
      <c r="H513" s="95">
        <f>'לקוחות לפי סוכן - מקור'!I568</f>
        <v/>
      </c>
      <c r="I513" s="94">
        <f>'לקוחות לפי סוכן - מקור'!K568</f>
        <v/>
      </c>
    </row>
    <row r="514" outlineLevel="1" ht="15" customHeight="1" s="82">
      <c r="A514" s="94">
        <f>'לקוחות לפי סוכן - מקור'!A569</f>
        <v/>
      </c>
      <c r="B514" s="94">
        <f>'לקוחות לפי סוכן - מקור'!C569</f>
        <v/>
      </c>
      <c r="C514" s="126">
        <f>'לקוחות לפי סוכן - מקור'!E569</f>
        <v/>
      </c>
      <c r="D514" s="102">
        <f>'לקוחות לפי סוכן - מקור'!F569</f>
        <v/>
      </c>
      <c r="E514" s="102">
        <f>'לקוחות לפי סוכן - מקור'!G569</f>
        <v/>
      </c>
      <c r="F514" s="94">
        <f>'לקוחות לפי סוכן - מקור'!D569</f>
        <v/>
      </c>
      <c r="G514" s="95">
        <f>'לקוחות לפי סוכן - מקור'!H569</f>
        <v/>
      </c>
      <c r="H514" s="95">
        <f>'לקוחות לפי סוכן - מקור'!I569</f>
        <v/>
      </c>
      <c r="I514" s="94">
        <f>'לקוחות לפי סוכן - מקור'!K569</f>
        <v/>
      </c>
    </row>
    <row r="515" outlineLevel="1" ht="15" customHeight="1" s="82">
      <c r="A515" s="94">
        <f>'לקוחות לפי סוכן - מקור'!A570</f>
        <v/>
      </c>
      <c r="B515" s="94">
        <f>'לקוחות לפי סוכן - מקור'!C570</f>
        <v/>
      </c>
      <c r="C515" s="126">
        <f>'לקוחות לפי סוכן - מקור'!E570</f>
        <v/>
      </c>
      <c r="D515" s="102">
        <f>'לקוחות לפי סוכן - מקור'!F570</f>
        <v/>
      </c>
      <c r="E515" s="102">
        <f>'לקוחות לפי סוכן - מקור'!G570</f>
        <v/>
      </c>
      <c r="F515" s="94">
        <f>'לקוחות לפי סוכן - מקור'!D570</f>
        <v/>
      </c>
      <c r="G515" s="95">
        <f>'לקוחות לפי סוכן - מקור'!H570</f>
        <v/>
      </c>
      <c r="H515" s="95">
        <f>'לקוחות לפי סוכן - מקור'!I570</f>
        <v/>
      </c>
      <c r="I515" s="94">
        <f>'לקוחות לפי סוכן - מקור'!K570</f>
        <v/>
      </c>
    </row>
    <row r="516" outlineLevel="1" ht="15" customHeight="1" s="82">
      <c r="A516" s="94">
        <f>'לקוחות לפי סוכן - מקור'!A571</f>
        <v/>
      </c>
      <c r="B516" s="94">
        <f>'לקוחות לפי סוכן - מקור'!C571</f>
        <v/>
      </c>
      <c r="C516" s="126">
        <f>'לקוחות לפי סוכן - מקור'!E571</f>
        <v/>
      </c>
      <c r="D516" s="102">
        <f>'לקוחות לפי סוכן - מקור'!F571</f>
        <v/>
      </c>
      <c r="E516" s="102">
        <f>'לקוחות לפי סוכן - מקור'!G571</f>
        <v/>
      </c>
      <c r="F516" s="94">
        <f>'לקוחות לפי סוכן - מקור'!D571</f>
        <v/>
      </c>
      <c r="G516" s="95">
        <f>'לקוחות לפי סוכן - מקור'!H571</f>
        <v/>
      </c>
      <c r="H516" s="95">
        <f>'לקוחות לפי סוכן - מקור'!I571</f>
        <v/>
      </c>
      <c r="I516" s="94">
        <f>'לקוחות לפי סוכן - מקור'!K571</f>
        <v/>
      </c>
    </row>
    <row r="517" outlineLevel="1" ht="15" customHeight="1" s="82">
      <c r="A517" s="94">
        <f>'לקוחות לפי סוכן - מקור'!A572</f>
        <v/>
      </c>
      <c r="B517" s="94">
        <f>'לקוחות לפי סוכן - מקור'!C572</f>
        <v/>
      </c>
      <c r="C517" s="126">
        <f>'לקוחות לפי סוכן - מקור'!E572</f>
        <v/>
      </c>
      <c r="D517" s="102">
        <f>'לקוחות לפי סוכן - מקור'!F572</f>
        <v/>
      </c>
      <c r="E517" s="102">
        <f>'לקוחות לפי סוכן - מקור'!G572</f>
        <v/>
      </c>
      <c r="F517" s="94">
        <f>'לקוחות לפי סוכן - מקור'!D572</f>
        <v/>
      </c>
      <c r="G517" s="95">
        <f>'לקוחות לפי סוכן - מקור'!H572</f>
        <v/>
      </c>
      <c r="H517" s="95">
        <f>'לקוחות לפי סוכן - מקור'!I572</f>
        <v/>
      </c>
      <c r="I517" s="94">
        <f>'לקוחות לפי סוכן - מקור'!K572</f>
        <v/>
      </c>
    </row>
    <row r="518" outlineLevel="1" ht="15" customHeight="1" s="82">
      <c r="A518" s="94">
        <f>'לקוחות לפי סוכן - מקור'!A573</f>
        <v/>
      </c>
      <c r="B518" s="94">
        <f>'לקוחות לפי סוכן - מקור'!C573</f>
        <v/>
      </c>
      <c r="C518" s="126">
        <f>'לקוחות לפי סוכן - מקור'!E573</f>
        <v/>
      </c>
      <c r="D518" s="102">
        <f>'לקוחות לפי סוכן - מקור'!F573</f>
        <v/>
      </c>
      <c r="E518" s="102">
        <f>'לקוחות לפי סוכן - מקור'!G573</f>
        <v/>
      </c>
      <c r="F518" s="94">
        <f>'לקוחות לפי סוכן - מקור'!D573</f>
        <v/>
      </c>
      <c r="G518" s="95">
        <f>'לקוחות לפי סוכן - מקור'!H573</f>
        <v/>
      </c>
      <c r="H518" s="95">
        <f>'לקוחות לפי סוכן - מקור'!I573</f>
        <v/>
      </c>
      <c r="I518" s="94">
        <f>'לקוחות לפי סוכן - מקור'!K573</f>
        <v/>
      </c>
    </row>
    <row r="519" outlineLevel="1" ht="15" customHeight="1" s="82">
      <c r="A519" s="94">
        <f>'לקוחות לפי סוכן - מקור'!A574</f>
        <v/>
      </c>
      <c r="B519" s="94">
        <f>'לקוחות לפי סוכן - מקור'!C574</f>
        <v/>
      </c>
      <c r="C519" s="126">
        <f>'לקוחות לפי סוכן - מקור'!E574</f>
        <v/>
      </c>
      <c r="D519" s="102">
        <f>'לקוחות לפי סוכן - מקור'!F574</f>
        <v/>
      </c>
      <c r="E519" s="102">
        <f>'לקוחות לפי סוכן - מקור'!G574</f>
        <v/>
      </c>
      <c r="F519" s="94">
        <f>'לקוחות לפי סוכן - מקור'!D574</f>
        <v/>
      </c>
      <c r="G519" s="95">
        <f>'לקוחות לפי סוכן - מקור'!H574</f>
        <v/>
      </c>
      <c r="H519" s="95">
        <f>'לקוחות לפי סוכן - מקור'!I574</f>
        <v/>
      </c>
      <c r="I519" s="94">
        <f>'לקוחות לפי סוכן - מקור'!K574</f>
        <v/>
      </c>
    </row>
    <row r="520" outlineLevel="1" ht="15" customHeight="1" s="82">
      <c r="A520" s="94">
        <f>'לקוחות לפי סוכן - מקור'!A575</f>
        <v/>
      </c>
      <c r="B520" s="94">
        <f>'לקוחות לפי סוכן - מקור'!C575</f>
        <v/>
      </c>
      <c r="C520" s="126">
        <f>'לקוחות לפי סוכן - מקור'!E575</f>
        <v/>
      </c>
      <c r="D520" s="102">
        <f>'לקוחות לפי סוכן - מקור'!F575</f>
        <v/>
      </c>
      <c r="E520" s="102">
        <f>'לקוחות לפי סוכן - מקור'!G575</f>
        <v/>
      </c>
      <c r="F520" s="94">
        <f>'לקוחות לפי סוכן - מקור'!D575</f>
        <v/>
      </c>
      <c r="G520" s="95">
        <f>'לקוחות לפי סוכן - מקור'!H575</f>
        <v/>
      </c>
      <c r="H520" s="95">
        <f>'לקוחות לפי סוכן - מקור'!I575</f>
        <v/>
      </c>
      <c r="I520" s="94">
        <f>'לקוחות לפי סוכן - מקור'!K575</f>
        <v/>
      </c>
    </row>
    <row r="521" outlineLevel="1" ht="15" customHeight="1" s="82">
      <c r="A521" s="94">
        <f>'לקוחות לפי סוכן - מקור'!A576</f>
        <v/>
      </c>
      <c r="B521" s="94">
        <f>'לקוחות לפי סוכן - מקור'!C576</f>
        <v/>
      </c>
      <c r="C521" s="126">
        <f>'לקוחות לפי סוכן - מקור'!E576</f>
        <v/>
      </c>
      <c r="D521" s="102">
        <f>'לקוחות לפי סוכן - מקור'!F576</f>
        <v/>
      </c>
      <c r="E521" s="102">
        <f>'לקוחות לפי סוכן - מקור'!G576</f>
        <v/>
      </c>
      <c r="F521" s="94">
        <f>'לקוחות לפי סוכן - מקור'!D576</f>
        <v/>
      </c>
      <c r="G521" s="95">
        <f>'לקוחות לפי סוכן - מקור'!H576</f>
        <v/>
      </c>
      <c r="H521" s="95">
        <f>'לקוחות לפי סוכן - מקור'!I576</f>
        <v/>
      </c>
      <c r="I521" s="94">
        <f>'לקוחות לפי סוכן - מקור'!K576</f>
        <v/>
      </c>
    </row>
    <row r="522" outlineLevel="1" ht="15" customHeight="1" s="82">
      <c r="A522" s="94">
        <f>'לקוחות לפי סוכן - מקור'!A577</f>
        <v/>
      </c>
      <c r="B522" s="94">
        <f>'לקוחות לפי סוכן - מקור'!C577</f>
        <v/>
      </c>
      <c r="C522" s="126">
        <f>'לקוחות לפי סוכן - מקור'!E577</f>
        <v/>
      </c>
      <c r="D522" s="102">
        <f>'לקוחות לפי סוכן - מקור'!F577</f>
        <v/>
      </c>
      <c r="E522" s="102">
        <f>'לקוחות לפי סוכן - מקור'!G577</f>
        <v/>
      </c>
      <c r="F522" s="94">
        <f>'לקוחות לפי סוכן - מקור'!D577</f>
        <v/>
      </c>
      <c r="G522" s="95">
        <f>'לקוחות לפי סוכן - מקור'!H577</f>
        <v/>
      </c>
      <c r="H522" s="95">
        <f>'לקוחות לפי סוכן - מקור'!I577</f>
        <v/>
      </c>
      <c r="I522" s="94">
        <f>'לקוחות לפי סוכן - מקור'!K577</f>
        <v/>
      </c>
    </row>
    <row r="523" outlineLevel="1" ht="15" customHeight="1" s="82">
      <c r="A523" s="94">
        <f>'לקוחות לפי סוכן - מקור'!A578</f>
        <v/>
      </c>
      <c r="B523" s="94">
        <f>'לקוחות לפי סוכן - מקור'!C578</f>
        <v/>
      </c>
      <c r="C523" s="126">
        <f>'לקוחות לפי סוכן - מקור'!E578</f>
        <v/>
      </c>
      <c r="D523" s="102">
        <f>'לקוחות לפי סוכן - מקור'!F578</f>
        <v/>
      </c>
      <c r="E523" s="102">
        <f>'לקוחות לפי סוכן - מקור'!G578</f>
        <v/>
      </c>
      <c r="F523" s="94">
        <f>'לקוחות לפי סוכן - מקור'!D578</f>
        <v/>
      </c>
      <c r="G523" s="95">
        <f>'לקוחות לפי סוכן - מקור'!H578</f>
        <v/>
      </c>
      <c r="H523" s="95">
        <f>'לקוחות לפי סוכן - מקור'!I578</f>
        <v/>
      </c>
      <c r="I523" s="94">
        <f>'לקוחות לפי סוכן - מקור'!K578</f>
        <v/>
      </c>
    </row>
    <row r="524" outlineLevel="1" ht="15" customHeight="1" s="82">
      <c r="A524" s="94">
        <f>'לקוחות לפי סוכן - מקור'!A579</f>
        <v/>
      </c>
      <c r="B524" s="94">
        <f>'לקוחות לפי סוכן - מקור'!C579</f>
        <v/>
      </c>
      <c r="C524" s="126">
        <f>'לקוחות לפי סוכן - מקור'!E579</f>
        <v/>
      </c>
      <c r="D524" s="102">
        <f>'לקוחות לפי סוכן - מקור'!F579</f>
        <v/>
      </c>
      <c r="E524" s="102">
        <f>'לקוחות לפי סוכן - מקור'!G579</f>
        <v/>
      </c>
      <c r="F524" s="94">
        <f>'לקוחות לפי סוכן - מקור'!D579</f>
        <v/>
      </c>
      <c r="G524" s="95">
        <f>'לקוחות לפי סוכן - מקור'!H579</f>
        <v/>
      </c>
      <c r="H524" s="95">
        <f>'לקוחות לפי סוכן - מקור'!I579</f>
        <v/>
      </c>
      <c r="I524" s="94">
        <f>'לקוחות לפי סוכן - מקור'!K579</f>
        <v/>
      </c>
    </row>
    <row r="525" outlineLevel="1" ht="15" customHeight="1" s="82">
      <c r="A525" s="94">
        <f>'לקוחות לפי סוכן - מקור'!A580</f>
        <v/>
      </c>
      <c r="B525" s="94">
        <f>'לקוחות לפי סוכן - מקור'!C580</f>
        <v/>
      </c>
      <c r="C525" s="126">
        <f>'לקוחות לפי סוכן - מקור'!E580</f>
        <v/>
      </c>
      <c r="D525" s="102">
        <f>'לקוחות לפי סוכן - מקור'!F580</f>
        <v/>
      </c>
      <c r="E525" s="102">
        <f>'לקוחות לפי סוכן - מקור'!G580</f>
        <v/>
      </c>
      <c r="F525" s="94">
        <f>'לקוחות לפי סוכן - מקור'!D580</f>
        <v/>
      </c>
      <c r="G525" s="95">
        <f>'לקוחות לפי סוכן - מקור'!H580</f>
        <v/>
      </c>
      <c r="H525" s="95">
        <f>'לקוחות לפי סוכן - מקור'!I580</f>
        <v/>
      </c>
      <c r="I525" s="94">
        <f>'לקוחות לפי סוכן - מקור'!K580</f>
        <v/>
      </c>
    </row>
    <row r="526" outlineLevel="1" ht="15" customHeight="1" s="82">
      <c r="A526" s="94">
        <f>'לקוחות לפי סוכן - מקור'!A581</f>
        <v/>
      </c>
      <c r="B526" s="94">
        <f>'לקוחות לפי סוכן - מקור'!C581</f>
        <v/>
      </c>
      <c r="C526" s="126">
        <f>'לקוחות לפי סוכן - מקור'!E581</f>
        <v/>
      </c>
      <c r="D526" s="102">
        <f>'לקוחות לפי סוכן - מקור'!F581</f>
        <v/>
      </c>
      <c r="E526" s="102">
        <f>'לקוחות לפי סוכן - מקור'!G581</f>
        <v/>
      </c>
      <c r="F526" s="94">
        <f>'לקוחות לפי סוכן - מקור'!D581</f>
        <v/>
      </c>
      <c r="G526" s="95">
        <f>'לקוחות לפי סוכן - מקור'!H581</f>
        <v/>
      </c>
      <c r="H526" s="95">
        <f>'לקוחות לפי סוכן - מקור'!I581</f>
        <v/>
      </c>
      <c r="I526" s="94">
        <f>'לקוחות לפי סוכן - מקור'!K581</f>
        <v/>
      </c>
    </row>
    <row r="527" outlineLevel="1" ht="15" customHeight="1" s="82">
      <c r="A527" s="94">
        <f>'לקוחות לפי סוכן - מקור'!A582</f>
        <v/>
      </c>
      <c r="B527" s="94">
        <f>'לקוחות לפי סוכן - מקור'!C582</f>
        <v/>
      </c>
      <c r="C527" s="126">
        <f>'לקוחות לפי סוכן - מקור'!E582</f>
        <v/>
      </c>
      <c r="D527" s="102">
        <f>'לקוחות לפי סוכן - מקור'!F582</f>
        <v/>
      </c>
      <c r="E527" s="102">
        <f>'לקוחות לפי סוכן - מקור'!G582</f>
        <v/>
      </c>
      <c r="F527" s="94">
        <f>'לקוחות לפי סוכן - מקור'!D582</f>
        <v/>
      </c>
      <c r="G527" s="95">
        <f>'לקוחות לפי סוכן - מקור'!H582</f>
        <v/>
      </c>
      <c r="H527" s="95">
        <f>'לקוחות לפי סוכן - מקור'!I582</f>
        <v/>
      </c>
      <c r="I527" s="94">
        <f>'לקוחות לפי סוכן - מקור'!K582</f>
        <v/>
      </c>
    </row>
    <row r="528" outlineLevel="1" ht="15" customHeight="1" s="82">
      <c r="A528" s="94">
        <f>'לקוחות לפי סוכן - מקור'!A583</f>
        <v/>
      </c>
      <c r="B528" s="94">
        <f>'לקוחות לפי סוכן - מקור'!C583</f>
        <v/>
      </c>
      <c r="C528" s="126">
        <f>'לקוחות לפי סוכן - מקור'!E583</f>
        <v/>
      </c>
      <c r="D528" s="102">
        <f>'לקוחות לפי סוכן - מקור'!F583</f>
        <v/>
      </c>
      <c r="E528" s="102">
        <f>'לקוחות לפי סוכן - מקור'!G583</f>
        <v/>
      </c>
      <c r="F528" s="94">
        <f>'לקוחות לפי סוכן - מקור'!D583</f>
        <v/>
      </c>
      <c r="G528" s="95">
        <f>'לקוחות לפי סוכן - מקור'!H583</f>
        <v/>
      </c>
      <c r="H528" s="95">
        <f>'לקוחות לפי סוכן - מקור'!I583</f>
        <v/>
      </c>
      <c r="I528" s="94">
        <f>'לקוחות לפי סוכן - מקור'!K583</f>
        <v/>
      </c>
    </row>
    <row r="529" outlineLevel="1" ht="15" customHeight="1" s="82">
      <c r="A529" s="94">
        <f>'לקוחות לפי סוכן - מקור'!A584</f>
        <v/>
      </c>
      <c r="B529" s="94">
        <f>'לקוחות לפי סוכן - מקור'!C584</f>
        <v/>
      </c>
      <c r="C529" s="126">
        <f>'לקוחות לפי סוכן - מקור'!E584</f>
        <v/>
      </c>
      <c r="D529" s="102">
        <f>'לקוחות לפי סוכן - מקור'!F584</f>
        <v/>
      </c>
      <c r="E529" s="102">
        <f>'לקוחות לפי סוכן - מקור'!G584</f>
        <v/>
      </c>
      <c r="F529" s="94">
        <f>'לקוחות לפי סוכן - מקור'!D584</f>
        <v/>
      </c>
      <c r="G529" s="95">
        <f>'לקוחות לפי סוכן - מקור'!H584</f>
        <v/>
      </c>
      <c r="H529" s="95">
        <f>'לקוחות לפי סוכן - מקור'!I584</f>
        <v/>
      </c>
      <c r="I529" s="94">
        <f>'לקוחות לפי סוכן - מקור'!K584</f>
        <v/>
      </c>
    </row>
    <row r="530" outlineLevel="1" ht="15" customHeight="1" s="82">
      <c r="A530" s="94">
        <f>'לקוחות לפי סוכן - מקור'!A585</f>
        <v/>
      </c>
      <c r="B530" s="94">
        <f>'לקוחות לפי סוכן - מקור'!C585</f>
        <v/>
      </c>
      <c r="C530" s="126">
        <f>'לקוחות לפי סוכן - מקור'!E585</f>
        <v/>
      </c>
      <c r="D530" s="102">
        <f>'לקוחות לפי סוכן - מקור'!F585</f>
        <v/>
      </c>
      <c r="E530" s="102">
        <f>'לקוחות לפי סוכן - מקור'!G585</f>
        <v/>
      </c>
      <c r="F530" s="94">
        <f>'לקוחות לפי סוכן - מקור'!D585</f>
        <v/>
      </c>
      <c r="G530" s="95">
        <f>'לקוחות לפי סוכן - מקור'!H585</f>
        <v/>
      </c>
      <c r="H530" s="95">
        <f>'לקוחות לפי סוכן - מקור'!I585</f>
        <v/>
      </c>
      <c r="I530" s="94">
        <f>'לקוחות לפי סוכן - מקור'!K585</f>
        <v/>
      </c>
    </row>
    <row r="531" outlineLevel="1" ht="15" customHeight="1" s="82">
      <c r="A531" s="94">
        <f>'לקוחות לפי סוכן - מקור'!A586</f>
        <v/>
      </c>
      <c r="B531" s="94">
        <f>'לקוחות לפי סוכן - מקור'!C586</f>
        <v/>
      </c>
      <c r="C531" s="126">
        <f>'לקוחות לפי סוכן - מקור'!E586</f>
        <v/>
      </c>
      <c r="D531" s="102">
        <f>'לקוחות לפי סוכן - מקור'!F586</f>
        <v/>
      </c>
      <c r="E531" s="102">
        <f>'לקוחות לפי סוכן - מקור'!G586</f>
        <v/>
      </c>
      <c r="F531" s="94">
        <f>'לקוחות לפי סוכן - מקור'!D586</f>
        <v/>
      </c>
      <c r="G531" s="95">
        <f>'לקוחות לפי סוכן - מקור'!H586</f>
        <v/>
      </c>
      <c r="H531" s="95">
        <f>'לקוחות לפי סוכן - מקור'!I586</f>
        <v/>
      </c>
      <c r="I531" s="94">
        <f>'לקוחות לפי סוכן - מקור'!K586</f>
        <v/>
      </c>
    </row>
    <row r="532" outlineLevel="1" ht="15" customHeight="1" s="82">
      <c r="A532" s="94">
        <f>'לקוחות לפי סוכן - מקור'!A587</f>
        <v/>
      </c>
      <c r="B532" s="94">
        <f>'לקוחות לפי סוכן - מקור'!C587</f>
        <v/>
      </c>
      <c r="C532" s="126">
        <f>'לקוחות לפי סוכן - מקור'!E587</f>
        <v/>
      </c>
      <c r="D532" s="102">
        <f>'לקוחות לפי סוכן - מקור'!F587</f>
        <v/>
      </c>
      <c r="E532" s="102">
        <f>'לקוחות לפי סוכן - מקור'!G587</f>
        <v/>
      </c>
      <c r="F532" s="94">
        <f>'לקוחות לפי סוכן - מקור'!D587</f>
        <v/>
      </c>
      <c r="G532" s="95">
        <f>'לקוחות לפי סוכן - מקור'!H587</f>
        <v/>
      </c>
      <c r="H532" s="95">
        <f>'לקוחות לפי סוכן - מקור'!I587</f>
        <v/>
      </c>
      <c r="I532" s="94">
        <f>'לקוחות לפי סוכן - מקור'!K587</f>
        <v/>
      </c>
    </row>
    <row r="533" outlineLevel="1" ht="15" customHeight="1" s="82">
      <c r="A533" s="94">
        <f>'לקוחות לפי סוכן - מקור'!A588</f>
        <v/>
      </c>
      <c r="B533" s="94">
        <f>'לקוחות לפי סוכן - מקור'!C588</f>
        <v/>
      </c>
      <c r="C533" s="126">
        <f>'לקוחות לפי סוכן - מקור'!E588</f>
        <v/>
      </c>
      <c r="D533" s="102">
        <f>'לקוחות לפי סוכן - מקור'!F588</f>
        <v/>
      </c>
      <c r="E533" s="102">
        <f>'לקוחות לפי סוכן - מקור'!G588</f>
        <v/>
      </c>
      <c r="F533" s="94">
        <f>'לקוחות לפי סוכן - מקור'!D588</f>
        <v/>
      </c>
      <c r="G533" s="95">
        <f>'לקוחות לפי סוכן - מקור'!H588</f>
        <v/>
      </c>
      <c r="H533" s="95">
        <f>'לקוחות לפי סוכן - מקור'!I588</f>
        <v/>
      </c>
      <c r="I533" s="94">
        <f>'לקוחות לפי סוכן - מקור'!K588</f>
        <v/>
      </c>
    </row>
    <row r="534" outlineLevel="1" ht="15" customHeight="1" s="82">
      <c r="A534" s="94">
        <f>'לקוחות לפי סוכן - מקור'!A589</f>
        <v/>
      </c>
      <c r="B534" s="94">
        <f>'לקוחות לפי סוכן - מקור'!C589</f>
        <v/>
      </c>
      <c r="C534" s="126">
        <f>'לקוחות לפי סוכן - מקור'!E589</f>
        <v/>
      </c>
      <c r="D534" s="102">
        <f>'לקוחות לפי סוכן - מקור'!F589</f>
        <v/>
      </c>
      <c r="E534" s="102">
        <f>'לקוחות לפי סוכן - מקור'!G589</f>
        <v/>
      </c>
      <c r="F534" s="94">
        <f>'לקוחות לפי סוכן - מקור'!D589</f>
        <v/>
      </c>
      <c r="G534" s="95">
        <f>'לקוחות לפי סוכן - מקור'!H589</f>
        <v/>
      </c>
      <c r="H534" s="95">
        <f>'לקוחות לפי סוכן - מקור'!I589</f>
        <v/>
      </c>
      <c r="I534" s="94">
        <f>'לקוחות לפי סוכן - מקור'!K589</f>
        <v/>
      </c>
    </row>
    <row r="535" outlineLevel="1" ht="15" customHeight="1" s="82">
      <c r="A535" s="94">
        <f>'לקוחות לפי סוכן - מקור'!A590</f>
        <v/>
      </c>
      <c r="B535" s="94">
        <f>'לקוחות לפי סוכן - מקור'!C590</f>
        <v/>
      </c>
      <c r="C535" s="126">
        <f>'לקוחות לפי סוכן - מקור'!E590</f>
        <v/>
      </c>
      <c r="D535" s="102">
        <f>'לקוחות לפי סוכן - מקור'!F590</f>
        <v/>
      </c>
      <c r="E535" s="102">
        <f>'לקוחות לפי סוכן - מקור'!G590</f>
        <v/>
      </c>
      <c r="F535" s="94">
        <f>'לקוחות לפי סוכן - מקור'!D590</f>
        <v/>
      </c>
      <c r="G535" s="95">
        <f>'לקוחות לפי סוכן - מקור'!H590</f>
        <v/>
      </c>
      <c r="H535" s="95">
        <f>'לקוחות לפי סוכן - מקור'!I590</f>
        <v/>
      </c>
      <c r="I535" s="94">
        <f>'לקוחות לפי סוכן - מקור'!K590</f>
        <v/>
      </c>
    </row>
    <row r="536" outlineLevel="1" ht="15" customHeight="1" s="82">
      <c r="A536" s="94">
        <f>'לקוחות לפי סוכן - מקור'!A591</f>
        <v/>
      </c>
      <c r="B536" s="94">
        <f>'לקוחות לפי סוכן - מקור'!C591</f>
        <v/>
      </c>
      <c r="C536" s="126">
        <f>'לקוחות לפי סוכן - מקור'!E591</f>
        <v/>
      </c>
      <c r="D536" s="102">
        <f>'לקוחות לפי סוכן - מקור'!F591</f>
        <v/>
      </c>
      <c r="E536" s="102">
        <f>'לקוחות לפי סוכן - מקור'!G591</f>
        <v/>
      </c>
      <c r="F536" s="94">
        <f>'לקוחות לפי סוכן - מקור'!D591</f>
        <v/>
      </c>
      <c r="G536" s="95">
        <f>'לקוחות לפי סוכן - מקור'!H591</f>
        <v/>
      </c>
      <c r="H536" s="95">
        <f>'לקוחות לפי סוכן - מקור'!I591</f>
        <v/>
      </c>
      <c r="I536" s="94">
        <f>'לקוחות לפי סוכן - מקור'!K591</f>
        <v/>
      </c>
    </row>
    <row r="537" outlineLevel="1" ht="15" customHeight="1" s="82">
      <c r="A537" s="94">
        <f>'לקוחות לפי סוכן - מקור'!A592</f>
        <v/>
      </c>
      <c r="B537" s="94">
        <f>'לקוחות לפי סוכן - מקור'!C592</f>
        <v/>
      </c>
      <c r="C537" s="126">
        <f>'לקוחות לפי סוכן - מקור'!E592</f>
        <v/>
      </c>
      <c r="D537" s="102">
        <f>'לקוחות לפי סוכן - מקור'!F592</f>
        <v/>
      </c>
      <c r="E537" s="102">
        <f>'לקוחות לפי סוכן - מקור'!G592</f>
        <v/>
      </c>
      <c r="F537" s="94">
        <f>'לקוחות לפי סוכן - מקור'!D592</f>
        <v/>
      </c>
      <c r="G537" s="95">
        <f>'לקוחות לפי סוכן - מקור'!H592</f>
        <v/>
      </c>
      <c r="H537" s="95">
        <f>'לקוחות לפי סוכן - מקור'!I592</f>
        <v/>
      </c>
      <c r="I537" s="94">
        <f>'לקוחות לפי סוכן - מקור'!K592</f>
        <v/>
      </c>
    </row>
    <row r="538" outlineLevel="1" ht="15" customHeight="1" s="82">
      <c r="A538" s="94">
        <f>'לקוחות לפי סוכן - מקור'!A593</f>
        <v/>
      </c>
      <c r="B538" s="94">
        <f>'לקוחות לפי סוכן - מקור'!C593</f>
        <v/>
      </c>
      <c r="C538" s="126">
        <f>'לקוחות לפי סוכן - מקור'!E593</f>
        <v/>
      </c>
      <c r="D538" s="102">
        <f>'לקוחות לפי סוכן - מקור'!F593</f>
        <v/>
      </c>
      <c r="E538" s="102">
        <f>'לקוחות לפי סוכן - מקור'!G593</f>
        <v/>
      </c>
      <c r="F538" s="94">
        <f>'לקוחות לפי סוכן - מקור'!D593</f>
        <v/>
      </c>
      <c r="G538" s="95">
        <f>'לקוחות לפי סוכן - מקור'!H593</f>
        <v/>
      </c>
      <c r="H538" s="95">
        <f>'לקוחות לפי סוכן - מקור'!I593</f>
        <v/>
      </c>
      <c r="I538" s="94">
        <f>'לקוחות לפי סוכן - מקור'!K593</f>
        <v/>
      </c>
    </row>
    <row r="539" outlineLevel="1" ht="15" customHeight="1" s="82">
      <c r="A539" s="94">
        <f>'לקוחות לפי סוכן - מקור'!A594</f>
        <v/>
      </c>
      <c r="B539" s="94">
        <f>'לקוחות לפי סוכן - מקור'!C594</f>
        <v/>
      </c>
      <c r="C539" s="126">
        <f>'לקוחות לפי סוכן - מקור'!E594</f>
        <v/>
      </c>
      <c r="D539" s="102">
        <f>'לקוחות לפי סוכן - מקור'!F594</f>
        <v/>
      </c>
      <c r="E539" s="102">
        <f>'לקוחות לפי סוכן - מקור'!G594</f>
        <v/>
      </c>
      <c r="F539" s="94">
        <f>'לקוחות לפי סוכן - מקור'!D594</f>
        <v/>
      </c>
      <c r="G539" s="95">
        <f>'לקוחות לפי סוכן - מקור'!H594</f>
        <v/>
      </c>
      <c r="H539" s="95">
        <f>'לקוחות לפי סוכן - מקור'!I594</f>
        <v/>
      </c>
      <c r="I539" s="94">
        <f>'לקוחות לפי סוכן - מקור'!K594</f>
        <v/>
      </c>
    </row>
    <row r="540" outlineLevel="1" ht="15" customHeight="1" s="82">
      <c r="A540" s="94">
        <f>'לקוחות לפי סוכן - מקור'!A595</f>
        <v/>
      </c>
      <c r="B540" s="94">
        <f>'לקוחות לפי סוכן - מקור'!C595</f>
        <v/>
      </c>
      <c r="C540" s="126">
        <f>'לקוחות לפי סוכן - מקור'!E595</f>
        <v/>
      </c>
      <c r="D540" s="102">
        <f>'לקוחות לפי סוכן - מקור'!F595</f>
        <v/>
      </c>
      <c r="E540" s="102">
        <f>'לקוחות לפי סוכן - מקור'!G595</f>
        <v/>
      </c>
      <c r="F540" s="94">
        <f>'לקוחות לפי סוכן - מקור'!D595</f>
        <v/>
      </c>
      <c r="G540" s="95">
        <f>'לקוחות לפי סוכן - מקור'!H595</f>
        <v/>
      </c>
      <c r="H540" s="95">
        <f>'לקוחות לפי סוכן - מקור'!I595</f>
        <v/>
      </c>
      <c r="I540" s="94">
        <f>'לקוחות לפי סוכן - מקור'!K595</f>
        <v/>
      </c>
    </row>
    <row r="541" outlineLevel="1" ht="15" customHeight="1" s="82">
      <c r="A541" s="94">
        <f>'לקוחות לפי סוכן - מקור'!A596</f>
        <v/>
      </c>
      <c r="B541" s="94">
        <f>'לקוחות לפי סוכן - מקור'!C596</f>
        <v/>
      </c>
      <c r="C541" s="126">
        <f>'לקוחות לפי סוכן - מקור'!E596</f>
        <v/>
      </c>
      <c r="D541" s="102">
        <f>'לקוחות לפי סוכן - מקור'!F596</f>
        <v/>
      </c>
      <c r="E541" s="102">
        <f>'לקוחות לפי סוכן - מקור'!G596</f>
        <v/>
      </c>
      <c r="F541" s="94">
        <f>'לקוחות לפי סוכן - מקור'!D596</f>
        <v/>
      </c>
      <c r="G541" s="95">
        <f>'לקוחות לפי סוכן - מקור'!H596</f>
        <v/>
      </c>
      <c r="H541" s="95">
        <f>'לקוחות לפי סוכן - מקור'!I596</f>
        <v/>
      </c>
      <c r="I541" s="94">
        <f>'לקוחות לפי סוכן - מקור'!K596</f>
        <v/>
      </c>
    </row>
    <row r="542" outlineLevel="1" ht="15" customHeight="1" s="82">
      <c r="A542" s="94">
        <f>'לקוחות לפי סוכן - מקור'!A597</f>
        <v/>
      </c>
      <c r="B542" s="94">
        <f>'לקוחות לפי סוכן - מקור'!C597</f>
        <v/>
      </c>
      <c r="C542" s="126">
        <f>'לקוחות לפי סוכן - מקור'!E597</f>
        <v/>
      </c>
      <c r="D542" s="102">
        <f>'לקוחות לפי סוכן - מקור'!F597</f>
        <v/>
      </c>
      <c r="E542" s="102">
        <f>'לקוחות לפי סוכן - מקור'!G597</f>
        <v/>
      </c>
      <c r="F542" s="94">
        <f>'לקוחות לפי סוכן - מקור'!D597</f>
        <v/>
      </c>
      <c r="G542" s="95">
        <f>'לקוחות לפי סוכן - מקור'!H597</f>
        <v/>
      </c>
      <c r="H542" s="95">
        <f>'לקוחות לפי סוכן - מקור'!I597</f>
        <v/>
      </c>
      <c r="I542" s="94">
        <f>'לקוחות לפי סוכן - מקור'!K597</f>
        <v/>
      </c>
    </row>
    <row r="543" outlineLevel="1" ht="15" customHeight="1" s="82">
      <c r="A543" s="94">
        <f>'לקוחות לפי סוכן - מקור'!A598</f>
        <v/>
      </c>
      <c r="B543" s="94">
        <f>'לקוחות לפי סוכן - מקור'!C598</f>
        <v/>
      </c>
      <c r="C543" s="126">
        <f>'לקוחות לפי סוכן - מקור'!E598</f>
        <v/>
      </c>
      <c r="D543" s="102">
        <f>'לקוחות לפי סוכן - מקור'!F598</f>
        <v/>
      </c>
      <c r="E543" s="102">
        <f>'לקוחות לפי סוכן - מקור'!G598</f>
        <v/>
      </c>
      <c r="F543" s="94">
        <f>'לקוחות לפי סוכן - מקור'!D598</f>
        <v/>
      </c>
      <c r="G543" s="95">
        <f>'לקוחות לפי סוכן - מקור'!H598</f>
        <v/>
      </c>
      <c r="H543" s="95">
        <f>'לקוחות לפי סוכן - מקור'!I598</f>
        <v/>
      </c>
      <c r="I543" s="94">
        <f>'לקוחות לפי סוכן - מקור'!K598</f>
        <v/>
      </c>
    </row>
    <row r="544" outlineLevel="1" ht="15" customHeight="1" s="82">
      <c r="A544" s="94">
        <f>'לקוחות לפי סוכן - מקור'!A599</f>
        <v/>
      </c>
      <c r="B544" s="94">
        <f>'לקוחות לפי סוכן - מקור'!C599</f>
        <v/>
      </c>
      <c r="C544" s="126">
        <f>'לקוחות לפי סוכן - מקור'!E599</f>
        <v/>
      </c>
      <c r="D544" s="102">
        <f>'לקוחות לפי סוכן - מקור'!F599</f>
        <v/>
      </c>
      <c r="E544" s="102">
        <f>'לקוחות לפי סוכן - מקור'!G599</f>
        <v/>
      </c>
      <c r="F544" s="94">
        <f>'לקוחות לפי סוכן - מקור'!D599</f>
        <v/>
      </c>
      <c r="G544" s="95">
        <f>'לקוחות לפי סוכן - מקור'!H599</f>
        <v/>
      </c>
      <c r="H544" s="95">
        <f>'לקוחות לפי סוכן - מקור'!I599</f>
        <v/>
      </c>
      <c r="I544" s="94">
        <f>'לקוחות לפי סוכן - מקור'!K599</f>
        <v/>
      </c>
    </row>
    <row r="545" outlineLevel="1" ht="15" customHeight="1" s="82">
      <c r="A545" s="94">
        <f>'לקוחות לפי סוכן - מקור'!A600</f>
        <v/>
      </c>
      <c r="B545" s="94">
        <f>'לקוחות לפי סוכן - מקור'!C600</f>
        <v/>
      </c>
      <c r="C545" s="126">
        <f>'לקוחות לפי סוכן - מקור'!E600</f>
        <v/>
      </c>
      <c r="D545" s="102">
        <f>'לקוחות לפי סוכן - מקור'!F600</f>
        <v/>
      </c>
      <c r="E545" s="102">
        <f>'לקוחות לפי סוכן - מקור'!G600</f>
        <v/>
      </c>
      <c r="F545" s="94">
        <f>'לקוחות לפי סוכן - מקור'!D600</f>
        <v/>
      </c>
      <c r="G545" s="95">
        <f>'לקוחות לפי סוכן - מקור'!H600</f>
        <v/>
      </c>
      <c r="H545" s="95">
        <f>'לקוחות לפי סוכן - מקור'!I600</f>
        <v/>
      </c>
      <c r="I545" s="94">
        <f>'לקוחות לפי סוכן - מקור'!K600</f>
        <v/>
      </c>
    </row>
    <row r="546" outlineLevel="1" ht="15" customHeight="1" s="82">
      <c r="A546" s="94">
        <f>'לקוחות לפי סוכן - מקור'!A601</f>
        <v/>
      </c>
      <c r="B546" s="94">
        <f>'לקוחות לפי סוכן - מקור'!C601</f>
        <v/>
      </c>
      <c r="C546" s="126">
        <f>'לקוחות לפי סוכן - מקור'!E601</f>
        <v/>
      </c>
      <c r="D546" s="102">
        <f>'לקוחות לפי סוכן - מקור'!F601</f>
        <v/>
      </c>
      <c r="E546" s="102">
        <f>'לקוחות לפי סוכן - מקור'!G601</f>
        <v/>
      </c>
      <c r="F546" s="94">
        <f>'לקוחות לפי סוכן - מקור'!D601</f>
        <v/>
      </c>
      <c r="G546" s="95">
        <f>'לקוחות לפי סוכן - מקור'!H601</f>
        <v/>
      </c>
      <c r="H546" s="95">
        <f>'לקוחות לפי סוכן - מקור'!I601</f>
        <v/>
      </c>
      <c r="I546" s="94">
        <f>'לקוחות לפי סוכן - מקור'!K601</f>
        <v/>
      </c>
    </row>
    <row r="547" outlineLevel="1" ht="15" customHeight="1" s="82">
      <c r="A547" s="94">
        <f>'לקוחות לפי סוכן - מקור'!A602</f>
        <v/>
      </c>
      <c r="B547" s="94">
        <f>'לקוחות לפי סוכן - מקור'!C602</f>
        <v/>
      </c>
      <c r="C547" s="126">
        <f>'לקוחות לפי סוכן - מקור'!E602</f>
        <v/>
      </c>
      <c r="D547" s="102">
        <f>'לקוחות לפי סוכן - מקור'!F602</f>
        <v/>
      </c>
      <c r="E547" s="102">
        <f>'לקוחות לפי סוכן - מקור'!G602</f>
        <v/>
      </c>
      <c r="F547" s="94">
        <f>'לקוחות לפי סוכן - מקור'!D602</f>
        <v/>
      </c>
      <c r="G547" s="95">
        <f>'לקוחות לפי סוכן - מקור'!H602</f>
        <v/>
      </c>
      <c r="H547" s="95">
        <f>'לקוחות לפי סוכן - מקור'!I602</f>
        <v/>
      </c>
      <c r="I547" s="94">
        <f>'לקוחות לפי סוכן - מקור'!K602</f>
        <v/>
      </c>
    </row>
    <row r="548" outlineLevel="1" ht="15" customHeight="1" s="82">
      <c r="A548" s="94">
        <f>'לקוחות לפי סוכן - מקור'!A603</f>
        <v/>
      </c>
      <c r="B548" s="94">
        <f>'לקוחות לפי סוכן - מקור'!C603</f>
        <v/>
      </c>
      <c r="C548" s="126">
        <f>'לקוחות לפי סוכן - מקור'!E603</f>
        <v/>
      </c>
      <c r="D548" s="102">
        <f>'לקוחות לפי סוכן - מקור'!F603</f>
        <v/>
      </c>
      <c r="E548" s="102">
        <f>'לקוחות לפי סוכן - מקור'!G603</f>
        <v/>
      </c>
      <c r="F548" s="94">
        <f>'לקוחות לפי סוכן - מקור'!D603</f>
        <v/>
      </c>
      <c r="G548" s="95">
        <f>'לקוחות לפי סוכן - מקור'!H603</f>
        <v/>
      </c>
      <c r="H548" s="95">
        <f>'לקוחות לפי סוכן - מקור'!I603</f>
        <v/>
      </c>
      <c r="I548" s="94">
        <f>'לקוחות לפי סוכן - מקור'!K603</f>
        <v/>
      </c>
    </row>
    <row r="549" outlineLevel="1" ht="15" customHeight="1" s="82">
      <c r="A549" s="94">
        <f>'לקוחות לפי סוכן - מקור'!A604</f>
        <v/>
      </c>
      <c r="B549" s="94">
        <f>'לקוחות לפי סוכן - מקור'!C604</f>
        <v/>
      </c>
      <c r="C549" s="126">
        <f>'לקוחות לפי סוכן - מקור'!E604</f>
        <v/>
      </c>
      <c r="D549" s="102">
        <f>'לקוחות לפי סוכן - מקור'!F604</f>
        <v/>
      </c>
      <c r="E549" s="102">
        <f>'לקוחות לפי סוכן - מקור'!G604</f>
        <v/>
      </c>
      <c r="F549" s="94">
        <f>'לקוחות לפי סוכן - מקור'!D604</f>
        <v/>
      </c>
      <c r="G549" s="95">
        <f>'לקוחות לפי סוכן - מקור'!H604</f>
        <v/>
      </c>
      <c r="H549" s="95">
        <f>'לקוחות לפי סוכן - מקור'!I604</f>
        <v/>
      </c>
      <c r="I549" s="94">
        <f>'לקוחות לפי סוכן - מקור'!K604</f>
        <v/>
      </c>
    </row>
    <row r="550" outlineLevel="1" ht="15" customHeight="1" s="82">
      <c r="A550" s="94">
        <f>'לקוחות לפי סוכן - מקור'!A605</f>
        <v/>
      </c>
      <c r="B550" s="94">
        <f>'לקוחות לפי סוכן - מקור'!C605</f>
        <v/>
      </c>
      <c r="C550" s="126">
        <f>'לקוחות לפי סוכן - מקור'!E605</f>
        <v/>
      </c>
      <c r="D550" s="102">
        <f>'לקוחות לפי סוכן - מקור'!F605</f>
        <v/>
      </c>
      <c r="E550" s="102">
        <f>'לקוחות לפי סוכן - מקור'!G605</f>
        <v/>
      </c>
      <c r="F550" s="94">
        <f>'לקוחות לפי סוכן - מקור'!D605</f>
        <v/>
      </c>
      <c r="G550" s="95">
        <f>'לקוחות לפי סוכן - מקור'!H605</f>
        <v/>
      </c>
      <c r="H550" s="95">
        <f>'לקוחות לפי סוכן - מקור'!I605</f>
        <v/>
      </c>
      <c r="I550" s="94">
        <f>'לקוחות לפי סוכן - מקור'!K605</f>
        <v/>
      </c>
    </row>
    <row r="551" outlineLevel="1" ht="15" customHeight="1" s="82">
      <c r="A551" s="94">
        <f>'לקוחות לפי סוכן - מקור'!A606</f>
        <v/>
      </c>
      <c r="B551" s="94">
        <f>'לקוחות לפי סוכן - מקור'!C606</f>
        <v/>
      </c>
      <c r="C551" s="126">
        <f>'לקוחות לפי סוכן - מקור'!E606</f>
        <v/>
      </c>
      <c r="D551" s="102">
        <f>'לקוחות לפי סוכן - מקור'!F606</f>
        <v/>
      </c>
      <c r="E551" s="102">
        <f>'לקוחות לפי סוכן - מקור'!G606</f>
        <v/>
      </c>
      <c r="F551" s="94">
        <f>'לקוחות לפי סוכן - מקור'!D606</f>
        <v/>
      </c>
      <c r="G551" s="95">
        <f>'לקוחות לפי סוכן - מקור'!H606</f>
        <v/>
      </c>
      <c r="H551" s="95">
        <f>'לקוחות לפי סוכן - מקור'!I606</f>
        <v/>
      </c>
      <c r="I551" s="94">
        <f>'לקוחות לפי סוכן - מקור'!K606</f>
        <v/>
      </c>
    </row>
    <row r="552" outlineLevel="1" ht="15" customHeight="1" s="82">
      <c r="A552" s="94">
        <f>'לקוחות לפי סוכן - מקור'!A608</f>
        <v/>
      </c>
      <c r="B552" s="94">
        <f>'לקוחות לפי סוכן - מקור'!C608</f>
        <v/>
      </c>
      <c r="C552" s="126">
        <f>'לקוחות לפי סוכן - מקור'!E608</f>
        <v/>
      </c>
      <c r="D552" s="102">
        <f>'לקוחות לפי סוכן - מקור'!F608</f>
        <v/>
      </c>
      <c r="E552" s="102">
        <f>'לקוחות לפי סוכן - מקור'!G608</f>
        <v/>
      </c>
      <c r="F552" s="94">
        <f>'לקוחות לפי סוכן - מקור'!D608</f>
        <v/>
      </c>
      <c r="G552" s="95">
        <f>'לקוחות לפי סוכן - מקור'!H608</f>
        <v/>
      </c>
      <c r="H552" s="95">
        <f>'לקוחות לפי סוכן - מקור'!I608</f>
        <v/>
      </c>
      <c r="I552" s="94">
        <f>'לקוחות לפי סוכן - מקור'!K608</f>
        <v/>
      </c>
    </row>
    <row r="553" outlineLevel="1" ht="15" customHeight="1" s="82">
      <c r="A553" s="94">
        <f>'לקוחות לפי סוכן - מקור'!A609</f>
        <v/>
      </c>
      <c r="B553" s="94">
        <f>'לקוחות לפי סוכן - מקור'!C609</f>
        <v/>
      </c>
      <c r="C553" s="126">
        <f>'לקוחות לפי סוכן - מקור'!E609</f>
        <v/>
      </c>
      <c r="D553" s="102">
        <f>'לקוחות לפי סוכן - מקור'!F609</f>
        <v/>
      </c>
      <c r="E553" s="102">
        <f>'לקוחות לפי סוכן - מקור'!G609</f>
        <v/>
      </c>
      <c r="F553" s="94">
        <f>'לקוחות לפי סוכן - מקור'!D609</f>
        <v/>
      </c>
      <c r="G553" s="95">
        <f>'לקוחות לפי סוכן - מקור'!H609</f>
        <v/>
      </c>
      <c r="H553" s="95">
        <f>'לקוחות לפי סוכן - מקור'!I609</f>
        <v/>
      </c>
      <c r="I553" s="94">
        <f>'לקוחות לפי סוכן - מקור'!K609</f>
        <v/>
      </c>
    </row>
    <row r="554" outlineLevel="1" ht="15" customHeight="1" s="82">
      <c r="A554" s="94">
        <f>'לקוחות לפי סוכן - מקור'!A610</f>
        <v/>
      </c>
      <c r="B554" s="94">
        <f>'לקוחות לפי סוכן - מקור'!C610</f>
        <v/>
      </c>
      <c r="C554" s="126">
        <f>'לקוחות לפי סוכן - מקור'!E610</f>
        <v/>
      </c>
      <c r="D554" s="102">
        <f>'לקוחות לפי סוכן - מקור'!F610</f>
        <v/>
      </c>
      <c r="E554" s="102">
        <f>'לקוחות לפי סוכן - מקור'!G610</f>
        <v/>
      </c>
      <c r="F554" s="94">
        <f>'לקוחות לפי סוכן - מקור'!D610</f>
        <v/>
      </c>
      <c r="G554" s="95">
        <f>'לקוחות לפי סוכן - מקור'!H610</f>
        <v/>
      </c>
      <c r="H554" s="95">
        <f>'לקוחות לפי סוכן - מקור'!I610</f>
        <v/>
      </c>
      <c r="I554" s="94">
        <f>'לקוחות לפי סוכן - מקור'!K610</f>
        <v/>
      </c>
    </row>
    <row r="555" outlineLevel="1" ht="15" customHeight="1" s="82">
      <c r="A555" s="94">
        <f>'לקוחות לפי סוכן - מקור'!A611</f>
        <v/>
      </c>
      <c r="B555" s="94">
        <f>'לקוחות לפי סוכן - מקור'!C611</f>
        <v/>
      </c>
      <c r="C555" s="126">
        <f>'לקוחות לפי סוכן - מקור'!E611</f>
        <v/>
      </c>
      <c r="D555" s="102">
        <f>'לקוחות לפי סוכן - מקור'!F611</f>
        <v/>
      </c>
      <c r="E555" s="102">
        <f>'לקוחות לפי סוכן - מקור'!G611</f>
        <v/>
      </c>
      <c r="F555" s="94">
        <f>'לקוחות לפי סוכן - מקור'!D611</f>
        <v/>
      </c>
      <c r="G555" s="95">
        <f>'לקוחות לפי סוכן - מקור'!H611</f>
        <v/>
      </c>
      <c r="H555" s="95">
        <f>'לקוחות לפי סוכן - מקור'!I611</f>
        <v/>
      </c>
      <c r="I555" s="94">
        <f>'לקוחות לפי סוכן - מקור'!K611</f>
        <v/>
      </c>
    </row>
    <row r="556" outlineLevel="1" ht="15" customHeight="1" s="82">
      <c r="A556" s="94">
        <f>'לקוחות לפי סוכן - מקור'!A612</f>
        <v/>
      </c>
      <c r="B556" s="94">
        <f>'לקוחות לפי סוכן - מקור'!C612</f>
        <v/>
      </c>
      <c r="C556" s="126">
        <f>'לקוחות לפי סוכן - מקור'!E612</f>
        <v/>
      </c>
      <c r="D556" s="102">
        <f>'לקוחות לפי סוכן - מקור'!F612</f>
        <v/>
      </c>
      <c r="E556" s="102">
        <f>'לקוחות לפי סוכן - מקור'!G612</f>
        <v/>
      </c>
      <c r="F556" s="94">
        <f>'לקוחות לפי סוכן - מקור'!D612</f>
        <v/>
      </c>
      <c r="G556" s="95">
        <f>'לקוחות לפי סוכן - מקור'!H612</f>
        <v/>
      </c>
      <c r="H556" s="95">
        <f>'לקוחות לפי סוכן - מקור'!I612</f>
        <v/>
      </c>
      <c r="I556" s="94">
        <f>'לקוחות לפי סוכן - מקור'!K612</f>
        <v/>
      </c>
    </row>
    <row r="557" outlineLevel="1" ht="15" customHeight="1" s="82">
      <c r="A557" s="94">
        <f>'לקוחות לפי סוכן - מקור'!A613</f>
        <v/>
      </c>
      <c r="B557" s="94">
        <f>'לקוחות לפי סוכן - מקור'!C613</f>
        <v/>
      </c>
      <c r="C557" s="126">
        <f>'לקוחות לפי סוכן - מקור'!E613</f>
        <v/>
      </c>
      <c r="D557" s="102">
        <f>'לקוחות לפי סוכן - מקור'!F613</f>
        <v/>
      </c>
      <c r="E557" s="102">
        <f>'לקוחות לפי סוכן - מקור'!G613</f>
        <v/>
      </c>
      <c r="F557" s="94">
        <f>'לקוחות לפי סוכן - מקור'!D613</f>
        <v/>
      </c>
      <c r="G557" s="95">
        <f>'לקוחות לפי סוכן - מקור'!H613</f>
        <v/>
      </c>
      <c r="H557" s="95">
        <f>'לקוחות לפי סוכן - מקור'!I613</f>
        <v/>
      </c>
      <c r="I557" s="94">
        <f>'לקוחות לפי סוכן - מקור'!K613</f>
        <v/>
      </c>
    </row>
    <row r="558" outlineLevel="1" ht="15" customHeight="1" s="82">
      <c r="A558" s="94">
        <f>'לקוחות לפי סוכן - מקור'!A614</f>
        <v/>
      </c>
      <c r="B558" s="94">
        <f>'לקוחות לפי סוכן - מקור'!C614</f>
        <v/>
      </c>
      <c r="C558" s="126">
        <f>'לקוחות לפי סוכן - מקור'!E614</f>
        <v/>
      </c>
      <c r="D558" s="102">
        <f>'לקוחות לפי סוכן - מקור'!F614</f>
        <v/>
      </c>
      <c r="E558" s="102">
        <f>'לקוחות לפי סוכן - מקור'!G614</f>
        <v/>
      </c>
      <c r="F558" s="94">
        <f>'לקוחות לפי סוכן - מקור'!D614</f>
        <v/>
      </c>
      <c r="G558" s="95">
        <f>'לקוחות לפי סוכן - מקור'!H614</f>
        <v/>
      </c>
      <c r="H558" s="95">
        <f>'לקוחות לפי סוכן - מקור'!I614</f>
        <v/>
      </c>
      <c r="I558" s="94">
        <f>'לקוחות לפי סוכן - מקור'!K614</f>
        <v/>
      </c>
    </row>
    <row r="559" outlineLevel="1" ht="15" customHeight="1" s="82">
      <c r="A559" s="94">
        <f>'לקוחות לפי סוכן - מקור'!A615</f>
        <v/>
      </c>
      <c r="B559" s="94">
        <f>'לקוחות לפי סוכן - מקור'!C615</f>
        <v/>
      </c>
      <c r="C559" s="126">
        <f>'לקוחות לפי סוכן - מקור'!E615</f>
        <v/>
      </c>
      <c r="D559" s="102">
        <f>'לקוחות לפי סוכן - מקור'!F615</f>
        <v/>
      </c>
      <c r="E559" s="102">
        <f>'לקוחות לפי סוכן - מקור'!G615</f>
        <v/>
      </c>
      <c r="F559" s="94">
        <f>'לקוחות לפי סוכן - מקור'!D615</f>
        <v/>
      </c>
      <c r="G559" s="95">
        <f>'לקוחות לפי סוכן - מקור'!H615</f>
        <v/>
      </c>
      <c r="H559" s="95">
        <f>'לקוחות לפי סוכן - מקור'!I615</f>
        <v/>
      </c>
      <c r="I559" s="94">
        <f>'לקוחות לפי סוכן - מקור'!K615</f>
        <v/>
      </c>
    </row>
    <row r="560" outlineLevel="1" ht="15" customHeight="1" s="82">
      <c r="A560" s="94">
        <f>'לקוחות לפי סוכן - מקור'!A616</f>
        <v/>
      </c>
      <c r="B560" s="94">
        <f>'לקוחות לפי סוכן - מקור'!C616</f>
        <v/>
      </c>
      <c r="C560" s="126">
        <f>'לקוחות לפי סוכן - מקור'!E616</f>
        <v/>
      </c>
      <c r="D560" s="102">
        <f>'לקוחות לפי סוכן - מקור'!F616</f>
        <v/>
      </c>
      <c r="E560" s="102">
        <f>'לקוחות לפי סוכן - מקור'!G616</f>
        <v/>
      </c>
      <c r="F560" s="94">
        <f>'לקוחות לפי סוכן - מקור'!D616</f>
        <v/>
      </c>
      <c r="G560" s="95">
        <f>'לקוחות לפי סוכן - מקור'!H616</f>
        <v/>
      </c>
      <c r="H560" s="95">
        <f>'לקוחות לפי סוכן - מקור'!I616</f>
        <v/>
      </c>
      <c r="I560" s="94">
        <f>'לקוחות לפי סוכן - מקור'!K616</f>
        <v/>
      </c>
    </row>
    <row r="561" outlineLevel="1" ht="15" customHeight="1" s="82">
      <c r="A561" s="94">
        <f>'לקוחות לפי סוכן - מקור'!A617</f>
        <v/>
      </c>
      <c r="B561" s="94">
        <f>'לקוחות לפי סוכן - מקור'!C617</f>
        <v/>
      </c>
      <c r="C561" s="126">
        <f>'לקוחות לפי סוכן - מקור'!E617</f>
        <v/>
      </c>
      <c r="D561" s="102">
        <f>'לקוחות לפי סוכן - מקור'!F617</f>
        <v/>
      </c>
      <c r="E561" s="102">
        <f>'לקוחות לפי סוכן - מקור'!G617</f>
        <v/>
      </c>
      <c r="F561" s="94">
        <f>'לקוחות לפי סוכן - מקור'!D617</f>
        <v/>
      </c>
      <c r="G561" s="95">
        <f>'לקוחות לפי סוכן - מקור'!H617</f>
        <v/>
      </c>
      <c r="H561" s="95">
        <f>'לקוחות לפי סוכן - מקור'!I617</f>
        <v/>
      </c>
      <c r="I561" s="94">
        <f>'לקוחות לפי סוכן - מקור'!K617</f>
        <v/>
      </c>
    </row>
    <row r="562" outlineLevel="1" ht="15" customHeight="1" s="82">
      <c r="A562" s="94">
        <f>'לקוחות לפי סוכן - מקור'!A618</f>
        <v/>
      </c>
      <c r="B562" s="94">
        <f>'לקוחות לפי סוכן - מקור'!C618</f>
        <v/>
      </c>
      <c r="C562" s="126">
        <f>'לקוחות לפי סוכן - מקור'!E618</f>
        <v/>
      </c>
      <c r="D562" s="102">
        <f>'לקוחות לפי סוכן - מקור'!F618</f>
        <v/>
      </c>
      <c r="E562" s="102">
        <f>'לקוחות לפי סוכן - מקור'!G618</f>
        <v/>
      </c>
      <c r="F562" s="94">
        <f>'לקוחות לפי סוכן - מקור'!D618</f>
        <v/>
      </c>
      <c r="G562" s="95">
        <f>'לקוחות לפי סוכן - מקור'!H618</f>
        <v/>
      </c>
      <c r="H562" s="95">
        <f>'לקוחות לפי סוכן - מקור'!I618</f>
        <v/>
      </c>
      <c r="I562" s="94">
        <f>'לקוחות לפי סוכן - מקור'!K618</f>
        <v/>
      </c>
    </row>
    <row r="563" outlineLevel="1" ht="15" customHeight="1" s="82">
      <c r="A563" s="94">
        <f>'לקוחות לפי סוכן - מקור'!A619</f>
        <v/>
      </c>
      <c r="B563" s="94">
        <f>'לקוחות לפי סוכן - מקור'!C619</f>
        <v/>
      </c>
      <c r="C563" s="126">
        <f>'לקוחות לפי סוכן - מקור'!E619</f>
        <v/>
      </c>
      <c r="D563" s="102">
        <f>'לקוחות לפי סוכן - מקור'!F619</f>
        <v/>
      </c>
      <c r="E563" s="102">
        <f>'לקוחות לפי סוכן - מקור'!G619</f>
        <v/>
      </c>
      <c r="F563" s="94">
        <f>'לקוחות לפי סוכן - מקור'!D619</f>
        <v/>
      </c>
      <c r="G563" s="95">
        <f>'לקוחות לפי סוכן - מקור'!H619</f>
        <v/>
      </c>
      <c r="H563" s="95">
        <f>'לקוחות לפי סוכן - מקור'!I619</f>
        <v/>
      </c>
      <c r="I563" s="94">
        <f>'לקוחות לפי סוכן - מקור'!K619</f>
        <v/>
      </c>
    </row>
    <row r="564" outlineLevel="1" ht="15" customHeight="1" s="82">
      <c r="A564" s="94">
        <f>'לקוחות לפי סוכן - מקור'!A620</f>
        <v/>
      </c>
      <c r="B564" s="94">
        <f>'לקוחות לפי סוכן - מקור'!C620</f>
        <v/>
      </c>
      <c r="C564" s="126">
        <f>'לקוחות לפי סוכן - מקור'!E620</f>
        <v/>
      </c>
      <c r="D564" s="102">
        <f>'לקוחות לפי סוכן - מקור'!F620</f>
        <v/>
      </c>
      <c r="E564" s="102">
        <f>'לקוחות לפי סוכן - מקור'!G620</f>
        <v/>
      </c>
      <c r="F564" s="94">
        <f>'לקוחות לפי סוכן - מקור'!D620</f>
        <v/>
      </c>
      <c r="G564" s="95">
        <f>'לקוחות לפי סוכן - מקור'!H620</f>
        <v/>
      </c>
      <c r="H564" s="95">
        <f>'לקוחות לפי סוכן - מקור'!I620</f>
        <v/>
      </c>
      <c r="I564" s="94">
        <f>'לקוחות לפי סוכן - מקור'!K620</f>
        <v/>
      </c>
    </row>
    <row r="565" outlineLevel="1" ht="15" customHeight="1" s="82">
      <c r="A565" s="94">
        <f>'לקוחות לפי סוכן - מקור'!A621</f>
        <v/>
      </c>
      <c r="B565" s="94">
        <f>'לקוחות לפי סוכן - מקור'!C621</f>
        <v/>
      </c>
      <c r="C565" s="126">
        <f>'לקוחות לפי סוכן - מקור'!E621</f>
        <v/>
      </c>
      <c r="D565" s="102">
        <f>'לקוחות לפי סוכן - מקור'!F621</f>
        <v/>
      </c>
      <c r="E565" s="102">
        <f>'לקוחות לפי סוכן - מקור'!G621</f>
        <v/>
      </c>
      <c r="F565" s="94">
        <f>'לקוחות לפי סוכן - מקור'!D621</f>
        <v/>
      </c>
      <c r="G565" s="95">
        <f>'לקוחות לפי סוכן - מקור'!H621</f>
        <v/>
      </c>
      <c r="H565" s="95">
        <f>'לקוחות לפי סוכן - מקור'!I621</f>
        <v/>
      </c>
      <c r="I565" s="94">
        <f>'לקוחות לפי סוכן - מקור'!K621</f>
        <v/>
      </c>
    </row>
    <row r="566" outlineLevel="1" ht="15" customHeight="1" s="82">
      <c r="A566" s="94">
        <f>'לקוחות לפי סוכן - מקור'!A622</f>
        <v/>
      </c>
      <c r="B566" s="94">
        <f>'לקוחות לפי סוכן - מקור'!C622</f>
        <v/>
      </c>
      <c r="C566" s="126">
        <f>'לקוחות לפי סוכן - מקור'!E622</f>
        <v/>
      </c>
      <c r="D566" s="102">
        <f>'לקוחות לפי סוכן - מקור'!F622</f>
        <v/>
      </c>
      <c r="E566" s="102">
        <f>'לקוחות לפי סוכן - מקור'!G622</f>
        <v/>
      </c>
      <c r="F566" s="94">
        <f>'לקוחות לפי סוכן - מקור'!D622</f>
        <v/>
      </c>
      <c r="G566" s="95">
        <f>'לקוחות לפי סוכן - מקור'!H622</f>
        <v/>
      </c>
      <c r="H566" s="95">
        <f>'לקוחות לפי סוכן - מקור'!I622</f>
        <v/>
      </c>
      <c r="I566" s="94">
        <f>'לקוחות לפי סוכן - מקור'!K622</f>
        <v/>
      </c>
    </row>
    <row r="567" outlineLevel="1" ht="15" customHeight="1" s="82">
      <c r="A567" s="94">
        <f>'לקוחות לפי סוכן - מקור'!A623</f>
        <v/>
      </c>
      <c r="B567" s="94">
        <f>'לקוחות לפי סוכן - מקור'!C623</f>
        <v/>
      </c>
      <c r="C567" s="126">
        <f>'לקוחות לפי סוכן - מקור'!E623</f>
        <v/>
      </c>
      <c r="D567" s="102">
        <f>'לקוחות לפי סוכן - מקור'!F623</f>
        <v/>
      </c>
      <c r="E567" s="102">
        <f>'לקוחות לפי סוכן - מקור'!G623</f>
        <v/>
      </c>
      <c r="F567" s="94">
        <f>'לקוחות לפי סוכן - מקור'!D623</f>
        <v/>
      </c>
      <c r="G567" s="95">
        <f>'לקוחות לפי סוכן - מקור'!H623</f>
        <v/>
      </c>
      <c r="H567" s="95">
        <f>'לקוחות לפי סוכן - מקור'!I623</f>
        <v/>
      </c>
      <c r="I567" s="94">
        <f>'לקוחות לפי סוכן - מקור'!K623</f>
        <v/>
      </c>
    </row>
    <row r="568" outlineLevel="1" ht="15" customHeight="1" s="82">
      <c r="A568" s="94">
        <f>'לקוחות לפי סוכן - מקור'!A624</f>
        <v/>
      </c>
      <c r="B568" s="94">
        <f>'לקוחות לפי סוכן - מקור'!C624</f>
        <v/>
      </c>
      <c r="C568" s="126">
        <f>'לקוחות לפי סוכן - מקור'!E624</f>
        <v/>
      </c>
      <c r="D568" s="102">
        <f>'לקוחות לפי סוכן - מקור'!F624</f>
        <v/>
      </c>
      <c r="E568" s="102">
        <f>'לקוחות לפי סוכן - מקור'!G624</f>
        <v/>
      </c>
      <c r="F568" s="94">
        <f>'לקוחות לפי סוכן - מקור'!D624</f>
        <v/>
      </c>
      <c r="G568" s="95">
        <f>'לקוחות לפי סוכן - מקור'!H624</f>
        <v/>
      </c>
      <c r="H568" s="95">
        <f>'לקוחות לפי סוכן - מקור'!I624</f>
        <v/>
      </c>
      <c r="I568" s="94">
        <f>'לקוחות לפי סוכן - מקור'!K624</f>
        <v/>
      </c>
    </row>
    <row r="569" outlineLevel="1" ht="15" customHeight="1" s="82">
      <c r="A569" s="94">
        <f>'לקוחות לפי סוכן - מקור'!A625</f>
        <v/>
      </c>
      <c r="B569" s="94">
        <f>'לקוחות לפי סוכן - מקור'!C625</f>
        <v/>
      </c>
      <c r="C569" s="126">
        <f>'לקוחות לפי סוכן - מקור'!E625</f>
        <v/>
      </c>
      <c r="D569" s="102">
        <f>'לקוחות לפי סוכן - מקור'!F625</f>
        <v/>
      </c>
      <c r="E569" s="102">
        <f>'לקוחות לפי סוכן - מקור'!G625</f>
        <v/>
      </c>
      <c r="F569" s="94">
        <f>'לקוחות לפי סוכן - מקור'!D625</f>
        <v/>
      </c>
      <c r="G569" s="95">
        <f>'לקוחות לפי סוכן - מקור'!H625</f>
        <v/>
      </c>
      <c r="H569" s="95">
        <f>'לקוחות לפי סוכן - מקור'!I625</f>
        <v/>
      </c>
      <c r="I569" s="94">
        <f>'לקוחות לפי סוכן - מקור'!K625</f>
        <v/>
      </c>
    </row>
    <row r="570" outlineLevel="1" ht="15" customHeight="1" s="82">
      <c r="A570" s="94">
        <f>'לקוחות לפי סוכן - מקור'!A626</f>
        <v/>
      </c>
      <c r="B570" s="94">
        <f>'לקוחות לפי סוכן - מקור'!C626</f>
        <v/>
      </c>
      <c r="C570" s="126">
        <f>'לקוחות לפי סוכן - מקור'!E626</f>
        <v/>
      </c>
      <c r="D570" s="102">
        <f>'לקוחות לפי סוכן - מקור'!F626</f>
        <v/>
      </c>
      <c r="E570" s="102">
        <f>'לקוחות לפי סוכן - מקור'!G626</f>
        <v/>
      </c>
      <c r="F570" s="94">
        <f>'לקוחות לפי סוכן - מקור'!D626</f>
        <v/>
      </c>
      <c r="G570" s="95">
        <f>'לקוחות לפי סוכן - מקור'!H626</f>
        <v/>
      </c>
      <c r="H570" s="95">
        <f>'לקוחות לפי סוכן - מקור'!I626</f>
        <v/>
      </c>
      <c r="I570" s="94">
        <f>'לקוחות לפי סוכן - מקור'!K626</f>
        <v/>
      </c>
    </row>
    <row r="571" outlineLevel="1" ht="15" customHeight="1" s="82">
      <c r="A571" s="94">
        <f>'לקוחות לפי סוכן - מקור'!A627</f>
        <v/>
      </c>
      <c r="B571" s="94">
        <f>'לקוחות לפי סוכן - מקור'!C627</f>
        <v/>
      </c>
      <c r="C571" s="126">
        <f>'לקוחות לפי סוכן - מקור'!E627</f>
        <v/>
      </c>
      <c r="D571" s="102">
        <f>'לקוחות לפי סוכן - מקור'!F627</f>
        <v/>
      </c>
      <c r="E571" s="102">
        <f>'לקוחות לפי סוכן - מקור'!G627</f>
        <v/>
      </c>
      <c r="F571" s="94">
        <f>'לקוחות לפי סוכן - מקור'!D627</f>
        <v/>
      </c>
      <c r="G571" s="95">
        <f>'לקוחות לפי סוכן - מקור'!H627</f>
        <v/>
      </c>
      <c r="H571" s="95">
        <f>'לקוחות לפי סוכן - מקור'!I627</f>
        <v/>
      </c>
      <c r="I571" s="94">
        <f>'לקוחות לפי סוכן - מקור'!K627</f>
        <v/>
      </c>
    </row>
    <row r="572" ht="15" customHeight="1" s="82"/>
    <row r="573" ht="15" customHeight="1" s="82">
      <c r="A573" s="96" t="inlineStr">
        <is>
          <t>חאזם תלחמי</t>
        </is>
      </c>
      <c r="B573" s="96" t="n"/>
      <c r="C573" s="124" t="inlineStr">
        <is>
          <t>סה"כ 298 חנויות</t>
        </is>
      </c>
      <c r="D573" s="125">
        <f>SUMIF('לקוחות לפי סוכן - מקור'!$A$2:$A$867,$A573,'לקוחות לפי סוכן - מקור'!$F$2:$F$867)</f>
        <v/>
      </c>
      <c r="E573" s="125">
        <f>SUMIF('לקוחות לפי סוכן - מקור'!$A$2:$A$867,$A573,'לקוחות לפי סוכן - מקור'!$G$2:$G$867)</f>
        <v/>
      </c>
      <c r="F573" s="96" t="n"/>
      <c r="G573" s="97">
        <f>SUMIF('לקוחות לפי סוכן - מקור'!$A$2:$A$867,$A573,'לקוחות לפי סוכן - מקור'!$H$2:$H$867)</f>
        <v/>
      </c>
      <c r="H573" s="97">
        <f>SUMIF('לקוחות לפי סוכן - מקור'!$A$2:$A$867,$A573,'לקוחות לפי סוכן - מקור'!$I$2:$I$867)</f>
        <v/>
      </c>
      <c r="I573" s="96" t="inlineStr">
        <is>
          <t>NetSuite+CHMI (61+237)</t>
        </is>
      </c>
    </row>
    <row r="574" outlineLevel="1" ht="15" customHeight="1" s="82">
      <c r="A574" s="94">
        <f>'לקוחות לפי סוכן - מקור'!A628</f>
        <v/>
      </c>
      <c r="B574" s="94">
        <f>'לקוחות לפי סוכן - מקור'!C628</f>
        <v/>
      </c>
      <c r="C574" s="126">
        <f>'לקוחות לפי סוכן - מקור'!E628</f>
        <v/>
      </c>
      <c r="D574" s="102">
        <f>'לקוחות לפי סוכן - מקור'!F628</f>
        <v/>
      </c>
      <c r="E574" s="102">
        <f>'לקוחות לפי סוכן - מקור'!G628</f>
        <v/>
      </c>
      <c r="F574" s="94">
        <f>'לקוחות לפי סוכן - מקור'!D628</f>
        <v/>
      </c>
      <c r="G574" s="95">
        <f>'לקוחות לפי סוכן - מקור'!H628</f>
        <v/>
      </c>
      <c r="H574" s="95">
        <f>'לקוחות לפי סוכן - מקור'!I628</f>
        <v/>
      </c>
      <c r="I574" s="94">
        <f>'לקוחות לפי סוכן - מקור'!K628</f>
        <v/>
      </c>
    </row>
    <row r="575" outlineLevel="1" ht="15" customHeight="1" s="82">
      <c r="A575" s="94">
        <f>'לקוחות לפי סוכן - מקור'!A629</f>
        <v/>
      </c>
      <c r="B575" s="94">
        <f>'לקוחות לפי סוכן - מקור'!C629</f>
        <v/>
      </c>
      <c r="C575" s="126">
        <f>'לקוחות לפי סוכן - מקור'!E629</f>
        <v/>
      </c>
      <c r="D575" s="102">
        <f>'לקוחות לפי סוכן - מקור'!F629</f>
        <v/>
      </c>
      <c r="E575" s="102">
        <f>'לקוחות לפי סוכן - מקור'!G629</f>
        <v/>
      </c>
      <c r="F575" s="94">
        <f>'לקוחות לפי סוכן - מקור'!D629</f>
        <v/>
      </c>
      <c r="G575" s="95">
        <f>'לקוחות לפי סוכן - מקור'!H629</f>
        <v/>
      </c>
      <c r="H575" s="95">
        <f>'לקוחות לפי סוכן - מקור'!I629</f>
        <v/>
      </c>
      <c r="I575" s="94">
        <f>'לקוחות לפי סוכן - מקור'!K629</f>
        <v/>
      </c>
    </row>
    <row r="576" outlineLevel="1" ht="15" customHeight="1" s="82">
      <c r="A576" s="94">
        <f>'לקוחות לפי סוכן - מקור'!A630</f>
        <v/>
      </c>
      <c r="B576" s="94">
        <f>'לקוחות לפי סוכן - מקור'!C630</f>
        <v/>
      </c>
      <c r="C576" s="126">
        <f>'לקוחות לפי סוכן - מקור'!E630</f>
        <v/>
      </c>
      <c r="D576" s="102">
        <f>'לקוחות לפי סוכן - מקור'!F630</f>
        <v/>
      </c>
      <c r="E576" s="102">
        <f>'לקוחות לפי סוכן - מקור'!G630</f>
        <v/>
      </c>
      <c r="F576" s="94">
        <f>'לקוחות לפי סוכן - מקור'!D630</f>
        <v/>
      </c>
      <c r="G576" s="95">
        <f>'לקוחות לפי סוכן - מקור'!H630</f>
        <v/>
      </c>
      <c r="H576" s="95">
        <f>'לקוחות לפי סוכן - מקור'!I630</f>
        <v/>
      </c>
      <c r="I576" s="94">
        <f>'לקוחות לפי סוכן - מקור'!K630</f>
        <v/>
      </c>
    </row>
    <row r="577" outlineLevel="1" ht="15" customHeight="1" s="82">
      <c r="A577" s="94">
        <f>'לקוחות לפי סוכן - מקור'!A631</f>
        <v/>
      </c>
      <c r="B577" s="94">
        <f>'לקוחות לפי סוכן - מקור'!C631</f>
        <v/>
      </c>
      <c r="C577" s="126">
        <f>'לקוחות לפי סוכן - מקור'!E631</f>
        <v/>
      </c>
      <c r="D577" s="102">
        <f>'לקוחות לפי סוכן - מקור'!F631</f>
        <v/>
      </c>
      <c r="E577" s="102">
        <f>'לקוחות לפי סוכן - מקור'!G631</f>
        <v/>
      </c>
      <c r="F577" s="94">
        <f>'לקוחות לפי סוכן - מקור'!D631</f>
        <v/>
      </c>
      <c r="G577" s="95">
        <f>'לקוחות לפי סוכן - מקור'!H631</f>
        <v/>
      </c>
      <c r="H577" s="95">
        <f>'לקוחות לפי סוכן - מקור'!I631</f>
        <v/>
      </c>
      <c r="I577" s="94">
        <f>'לקוחות לפי סוכן - מקור'!K631</f>
        <v/>
      </c>
    </row>
    <row r="578" outlineLevel="1" ht="15" customHeight="1" s="82">
      <c r="A578" s="94">
        <f>'לקוחות לפי סוכן - מקור'!A632</f>
        <v/>
      </c>
      <c r="B578" s="94">
        <f>'לקוחות לפי סוכן - מקור'!C632</f>
        <v/>
      </c>
      <c r="C578" s="126">
        <f>'לקוחות לפי סוכן - מקור'!E632</f>
        <v/>
      </c>
      <c r="D578" s="102">
        <f>'לקוחות לפי סוכן - מקור'!F632</f>
        <v/>
      </c>
      <c r="E578" s="102">
        <f>'לקוחות לפי סוכן - מקור'!G632</f>
        <v/>
      </c>
      <c r="F578" s="94">
        <f>'לקוחות לפי סוכן - מקור'!D632</f>
        <v/>
      </c>
      <c r="G578" s="95">
        <f>'לקוחות לפי סוכן - מקור'!H632</f>
        <v/>
      </c>
      <c r="H578" s="95">
        <f>'לקוחות לפי סוכן - מקור'!I632</f>
        <v/>
      </c>
      <c r="I578" s="94">
        <f>'לקוחות לפי סוכן - מקור'!K632</f>
        <v/>
      </c>
    </row>
    <row r="579" outlineLevel="1" ht="15" customHeight="1" s="82">
      <c r="A579" s="94">
        <f>'לקוחות לפי סוכן - מקור'!A633</f>
        <v/>
      </c>
      <c r="B579" s="94">
        <f>'לקוחות לפי סוכן - מקור'!C633</f>
        <v/>
      </c>
      <c r="C579" s="126">
        <f>'לקוחות לפי סוכן - מקור'!E633</f>
        <v/>
      </c>
      <c r="D579" s="102">
        <f>'לקוחות לפי סוכן - מקור'!F633</f>
        <v/>
      </c>
      <c r="E579" s="102">
        <f>'לקוחות לפי סוכן - מקור'!G633</f>
        <v/>
      </c>
      <c r="F579" s="94">
        <f>'לקוחות לפי סוכן - מקור'!D633</f>
        <v/>
      </c>
      <c r="G579" s="95">
        <f>'לקוחות לפי סוכן - מקור'!H633</f>
        <v/>
      </c>
      <c r="H579" s="95">
        <f>'לקוחות לפי סוכן - מקור'!I633</f>
        <v/>
      </c>
      <c r="I579" s="94">
        <f>'לקוחות לפי סוכן - מקור'!K633</f>
        <v/>
      </c>
    </row>
    <row r="580" outlineLevel="1" ht="15" customHeight="1" s="82">
      <c r="A580" s="94">
        <f>'לקוחות לפי סוכן - מקור'!A634</f>
        <v/>
      </c>
      <c r="B580" s="94">
        <f>'לקוחות לפי סוכן - מקור'!C634</f>
        <v/>
      </c>
      <c r="C580" s="126">
        <f>'לקוחות לפי סוכן - מקור'!E634</f>
        <v/>
      </c>
      <c r="D580" s="102">
        <f>'לקוחות לפי סוכן - מקור'!F634</f>
        <v/>
      </c>
      <c r="E580" s="102">
        <f>'לקוחות לפי סוכן - מקור'!G634</f>
        <v/>
      </c>
      <c r="F580" s="94">
        <f>'לקוחות לפי סוכן - מקור'!D634</f>
        <v/>
      </c>
      <c r="G580" s="95">
        <f>'לקוחות לפי סוכן - מקור'!H634</f>
        <v/>
      </c>
      <c r="H580" s="95">
        <f>'לקוחות לפי סוכן - מקור'!I634</f>
        <v/>
      </c>
      <c r="I580" s="94">
        <f>'לקוחות לפי סוכן - מקור'!K634</f>
        <v/>
      </c>
    </row>
    <row r="581" outlineLevel="1" ht="15" customHeight="1" s="82">
      <c r="A581" s="94">
        <f>'לקוחות לפי סוכן - מקור'!A635</f>
        <v/>
      </c>
      <c r="B581" s="94">
        <f>'לקוחות לפי סוכן - מקור'!C635</f>
        <v/>
      </c>
      <c r="C581" s="126">
        <f>'לקוחות לפי סוכן - מקור'!E635</f>
        <v/>
      </c>
      <c r="D581" s="102">
        <f>'לקוחות לפי סוכן - מקור'!F635</f>
        <v/>
      </c>
      <c r="E581" s="102">
        <f>'לקוחות לפי סוכן - מקור'!G635</f>
        <v/>
      </c>
      <c r="F581" s="94">
        <f>'לקוחות לפי סוכן - מקור'!D635</f>
        <v/>
      </c>
      <c r="G581" s="95">
        <f>'לקוחות לפי סוכן - מקור'!H635</f>
        <v/>
      </c>
      <c r="H581" s="95">
        <f>'לקוחות לפי סוכן - מקור'!I635</f>
        <v/>
      </c>
      <c r="I581" s="94">
        <f>'לקוחות לפי סוכן - מקור'!K635</f>
        <v/>
      </c>
    </row>
    <row r="582" outlineLevel="1" ht="15" customHeight="1" s="82">
      <c r="A582" s="94">
        <f>'לקוחות לפי סוכן - מקור'!A636</f>
        <v/>
      </c>
      <c r="B582" s="94">
        <f>'לקוחות לפי סוכן - מקור'!C636</f>
        <v/>
      </c>
      <c r="C582" s="126">
        <f>'לקוחות לפי סוכן - מקור'!E636</f>
        <v/>
      </c>
      <c r="D582" s="102">
        <f>'לקוחות לפי סוכן - מקור'!F636</f>
        <v/>
      </c>
      <c r="E582" s="102">
        <f>'לקוחות לפי סוכן - מקור'!G636</f>
        <v/>
      </c>
      <c r="F582" s="94">
        <f>'לקוחות לפי סוכן - מקור'!D636</f>
        <v/>
      </c>
      <c r="G582" s="95">
        <f>'לקוחות לפי סוכן - מקור'!H636</f>
        <v/>
      </c>
      <c r="H582" s="95">
        <f>'לקוחות לפי סוכן - מקור'!I636</f>
        <v/>
      </c>
      <c r="I582" s="94">
        <f>'לקוחות לפי סוכן - מקור'!K636</f>
        <v/>
      </c>
    </row>
    <row r="583" outlineLevel="1" ht="15" customHeight="1" s="82">
      <c r="A583" s="94">
        <f>'לקוחות לפי סוכן - מקור'!A637</f>
        <v/>
      </c>
      <c r="B583" s="94">
        <f>'לקוחות לפי סוכן - מקור'!C637</f>
        <v/>
      </c>
      <c r="C583" s="126">
        <f>'לקוחות לפי סוכן - מקור'!E637</f>
        <v/>
      </c>
      <c r="D583" s="102">
        <f>'לקוחות לפי סוכן - מקור'!F637</f>
        <v/>
      </c>
      <c r="E583" s="102">
        <f>'לקוחות לפי סוכן - מקור'!G637</f>
        <v/>
      </c>
      <c r="F583" s="94">
        <f>'לקוחות לפי סוכן - מקור'!D637</f>
        <v/>
      </c>
      <c r="G583" s="95">
        <f>'לקוחות לפי סוכן - מקור'!H637</f>
        <v/>
      </c>
      <c r="H583" s="95">
        <f>'לקוחות לפי סוכן - מקור'!I637</f>
        <v/>
      </c>
      <c r="I583" s="94">
        <f>'לקוחות לפי סוכן - מקור'!K637</f>
        <v/>
      </c>
    </row>
    <row r="584" outlineLevel="1" ht="15" customHeight="1" s="82">
      <c r="A584" s="94">
        <f>'לקוחות לפי סוכן - מקור'!A638</f>
        <v/>
      </c>
      <c r="B584" s="94">
        <f>'לקוחות לפי סוכן - מקור'!C638</f>
        <v/>
      </c>
      <c r="C584" s="126">
        <f>'לקוחות לפי סוכן - מקור'!E638</f>
        <v/>
      </c>
      <c r="D584" s="102">
        <f>'לקוחות לפי סוכן - מקור'!F638</f>
        <v/>
      </c>
      <c r="E584" s="102">
        <f>'לקוחות לפי סוכן - מקור'!G638</f>
        <v/>
      </c>
      <c r="F584" s="94">
        <f>'לקוחות לפי סוכן - מקור'!D638</f>
        <v/>
      </c>
      <c r="G584" s="95">
        <f>'לקוחות לפי סוכן - מקור'!H638</f>
        <v/>
      </c>
      <c r="H584" s="95">
        <f>'לקוחות לפי סוכן - מקור'!I638</f>
        <v/>
      </c>
      <c r="I584" s="94">
        <f>'לקוחות לפי סוכן - מקור'!K638</f>
        <v/>
      </c>
    </row>
    <row r="585" outlineLevel="1" ht="15" customHeight="1" s="82">
      <c r="A585" s="94">
        <f>'לקוחות לפי סוכן - מקור'!A639</f>
        <v/>
      </c>
      <c r="B585" s="94">
        <f>'לקוחות לפי סוכן - מקור'!C639</f>
        <v/>
      </c>
      <c r="C585" s="126">
        <f>'לקוחות לפי סוכן - מקור'!E639</f>
        <v/>
      </c>
      <c r="D585" s="102">
        <f>'לקוחות לפי סוכן - מקור'!F639</f>
        <v/>
      </c>
      <c r="E585" s="102">
        <f>'לקוחות לפי סוכן - מקור'!G639</f>
        <v/>
      </c>
      <c r="F585" s="94">
        <f>'לקוחות לפי סוכן - מקור'!D639</f>
        <v/>
      </c>
      <c r="G585" s="95">
        <f>'לקוחות לפי סוכן - מקור'!H639</f>
        <v/>
      </c>
      <c r="H585" s="95">
        <f>'לקוחות לפי סוכן - מקור'!I639</f>
        <v/>
      </c>
      <c r="I585" s="94">
        <f>'לקוחות לפי סוכן - מקור'!K639</f>
        <v/>
      </c>
    </row>
    <row r="586" outlineLevel="1" ht="15" customHeight="1" s="82">
      <c r="A586" s="94">
        <f>'לקוחות לפי סוכן - מקור'!A640</f>
        <v/>
      </c>
      <c r="B586" s="94">
        <f>'לקוחות לפי סוכן - מקור'!C640</f>
        <v/>
      </c>
      <c r="C586" s="126">
        <f>'לקוחות לפי סוכן - מקור'!E640</f>
        <v/>
      </c>
      <c r="D586" s="102">
        <f>'לקוחות לפי סוכן - מקור'!F640</f>
        <v/>
      </c>
      <c r="E586" s="102">
        <f>'לקוחות לפי סוכן - מקור'!G640</f>
        <v/>
      </c>
      <c r="F586" s="94">
        <f>'לקוחות לפי סוכן - מקור'!D640</f>
        <v/>
      </c>
      <c r="G586" s="95">
        <f>'לקוחות לפי סוכן - מקור'!H640</f>
        <v/>
      </c>
      <c r="H586" s="95">
        <f>'לקוחות לפי סוכן - מקור'!I640</f>
        <v/>
      </c>
      <c r="I586" s="94">
        <f>'לקוחות לפי סוכן - מקור'!K640</f>
        <v/>
      </c>
    </row>
    <row r="587" outlineLevel="1" ht="15" customHeight="1" s="82">
      <c r="A587" s="94">
        <f>'לקוחות לפי סוכן - מקור'!A641</f>
        <v/>
      </c>
      <c r="B587" s="94">
        <f>'לקוחות לפי סוכן - מקור'!C641</f>
        <v/>
      </c>
      <c r="C587" s="126">
        <f>'לקוחות לפי סוכן - מקור'!E641</f>
        <v/>
      </c>
      <c r="D587" s="102">
        <f>'לקוחות לפי סוכן - מקור'!F641</f>
        <v/>
      </c>
      <c r="E587" s="102">
        <f>'לקוחות לפי סוכן - מקור'!G641</f>
        <v/>
      </c>
      <c r="F587" s="94">
        <f>'לקוחות לפי סוכן - מקור'!D641</f>
        <v/>
      </c>
      <c r="G587" s="95">
        <f>'לקוחות לפי סוכן - מקור'!H641</f>
        <v/>
      </c>
      <c r="H587" s="95">
        <f>'לקוחות לפי סוכן - מקור'!I641</f>
        <v/>
      </c>
      <c r="I587" s="94">
        <f>'לקוחות לפי סוכן - מקור'!K641</f>
        <v/>
      </c>
    </row>
    <row r="588" outlineLevel="1" ht="15" customHeight="1" s="82">
      <c r="A588" s="94">
        <f>'לקוחות לפי סוכן - מקור'!A642</f>
        <v/>
      </c>
      <c r="B588" s="94">
        <f>'לקוחות לפי סוכן - מקור'!C642</f>
        <v/>
      </c>
      <c r="C588" s="126">
        <f>'לקוחות לפי סוכן - מקור'!E642</f>
        <v/>
      </c>
      <c r="D588" s="102">
        <f>'לקוחות לפי סוכן - מקור'!F642</f>
        <v/>
      </c>
      <c r="E588" s="102">
        <f>'לקוחות לפי סוכן - מקור'!G642</f>
        <v/>
      </c>
      <c r="F588" s="94">
        <f>'לקוחות לפי סוכן - מקור'!D642</f>
        <v/>
      </c>
      <c r="G588" s="95">
        <f>'לקוחות לפי סוכן - מקור'!H642</f>
        <v/>
      </c>
      <c r="H588" s="95">
        <f>'לקוחות לפי סוכן - מקור'!I642</f>
        <v/>
      </c>
      <c r="I588" s="94">
        <f>'לקוחות לפי סוכן - מקור'!K642</f>
        <v/>
      </c>
    </row>
    <row r="589" outlineLevel="1" ht="15" customHeight="1" s="82">
      <c r="A589" s="94">
        <f>'לקוחות לפי סוכן - מקור'!A643</f>
        <v/>
      </c>
      <c r="B589" s="94">
        <f>'לקוחות לפי סוכן - מקור'!C643</f>
        <v/>
      </c>
      <c r="C589" s="126">
        <f>'לקוחות לפי סוכן - מקור'!E643</f>
        <v/>
      </c>
      <c r="D589" s="102">
        <f>'לקוחות לפי סוכן - מקור'!F643</f>
        <v/>
      </c>
      <c r="E589" s="102">
        <f>'לקוחות לפי סוכן - מקור'!G643</f>
        <v/>
      </c>
      <c r="F589" s="94">
        <f>'לקוחות לפי סוכן - מקור'!D643</f>
        <v/>
      </c>
      <c r="G589" s="95">
        <f>'לקוחות לפי סוכן - מקור'!H643</f>
        <v/>
      </c>
      <c r="H589" s="95">
        <f>'לקוחות לפי סוכן - מקור'!I643</f>
        <v/>
      </c>
      <c r="I589" s="94">
        <f>'לקוחות לפי סוכן - מקור'!K643</f>
        <v/>
      </c>
    </row>
    <row r="590" outlineLevel="1" ht="15" customHeight="1" s="82">
      <c r="A590" s="94">
        <f>'לקוחות לפי סוכן - מקור'!A644</f>
        <v/>
      </c>
      <c r="B590" s="94">
        <f>'לקוחות לפי סוכן - מקור'!C644</f>
        <v/>
      </c>
      <c r="C590" s="126">
        <f>'לקוחות לפי סוכן - מקור'!E644</f>
        <v/>
      </c>
      <c r="D590" s="102">
        <f>'לקוחות לפי סוכן - מקור'!F644</f>
        <v/>
      </c>
      <c r="E590" s="102">
        <f>'לקוחות לפי סוכן - מקור'!G644</f>
        <v/>
      </c>
      <c r="F590" s="94">
        <f>'לקוחות לפי סוכן - מקור'!D644</f>
        <v/>
      </c>
      <c r="G590" s="95">
        <f>'לקוחות לפי סוכן - מקור'!H644</f>
        <v/>
      </c>
      <c r="H590" s="95">
        <f>'לקוחות לפי סוכן - מקור'!I644</f>
        <v/>
      </c>
      <c r="I590" s="94">
        <f>'לקוחות לפי סוכן - מקור'!K644</f>
        <v/>
      </c>
    </row>
    <row r="591" outlineLevel="1" ht="15" customHeight="1" s="82">
      <c r="A591" s="94">
        <f>'לקוחות לפי סוכן - מקור'!A645</f>
        <v/>
      </c>
      <c r="B591" s="94">
        <f>'לקוחות לפי סוכן - מקור'!C645</f>
        <v/>
      </c>
      <c r="C591" s="126">
        <f>'לקוחות לפי סוכן - מקור'!E645</f>
        <v/>
      </c>
      <c r="D591" s="102">
        <f>'לקוחות לפי סוכן - מקור'!F645</f>
        <v/>
      </c>
      <c r="E591" s="102">
        <f>'לקוחות לפי סוכן - מקור'!G645</f>
        <v/>
      </c>
      <c r="F591" s="94">
        <f>'לקוחות לפי סוכן - מקור'!D645</f>
        <v/>
      </c>
      <c r="G591" s="95">
        <f>'לקוחות לפי סוכן - מקור'!H645</f>
        <v/>
      </c>
      <c r="H591" s="95">
        <f>'לקוחות לפי סוכן - מקור'!I645</f>
        <v/>
      </c>
      <c r="I591" s="94">
        <f>'לקוחות לפי סוכן - מקור'!K645</f>
        <v/>
      </c>
    </row>
    <row r="592" outlineLevel="1" ht="15" customHeight="1" s="82">
      <c r="A592" s="94">
        <f>'לקוחות לפי סוכן - מקור'!A646</f>
        <v/>
      </c>
      <c r="B592" s="94">
        <f>'לקוחות לפי סוכן - מקור'!C646</f>
        <v/>
      </c>
      <c r="C592" s="126">
        <f>'לקוחות לפי סוכן - מקור'!E646</f>
        <v/>
      </c>
      <c r="D592" s="102">
        <f>'לקוחות לפי סוכן - מקור'!F646</f>
        <v/>
      </c>
      <c r="E592" s="102">
        <f>'לקוחות לפי סוכן - מקור'!G646</f>
        <v/>
      </c>
      <c r="F592" s="94">
        <f>'לקוחות לפי סוכן - מקור'!D646</f>
        <v/>
      </c>
      <c r="G592" s="95">
        <f>'לקוחות לפי סוכן - מקור'!H646</f>
        <v/>
      </c>
      <c r="H592" s="95">
        <f>'לקוחות לפי סוכן - מקור'!I646</f>
        <v/>
      </c>
      <c r="I592" s="94">
        <f>'לקוחות לפי סוכן - מקור'!K646</f>
        <v/>
      </c>
    </row>
    <row r="593" outlineLevel="1" ht="15" customHeight="1" s="82">
      <c r="A593" s="94">
        <f>'לקוחות לפי סוכן - מקור'!A647</f>
        <v/>
      </c>
      <c r="B593" s="94">
        <f>'לקוחות לפי סוכן - מקור'!C647</f>
        <v/>
      </c>
      <c r="C593" s="126">
        <f>'לקוחות לפי סוכן - מקור'!E647</f>
        <v/>
      </c>
      <c r="D593" s="102">
        <f>'לקוחות לפי סוכן - מקור'!F647</f>
        <v/>
      </c>
      <c r="E593" s="102">
        <f>'לקוחות לפי סוכן - מקור'!G647</f>
        <v/>
      </c>
      <c r="F593" s="94">
        <f>'לקוחות לפי סוכן - מקור'!D647</f>
        <v/>
      </c>
      <c r="G593" s="95">
        <f>'לקוחות לפי סוכן - מקור'!H647</f>
        <v/>
      </c>
      <c r="H593" s="95">
        <f>'לקוחות לפי סוכן - מקור'!I647</f>
        <v/>
      </c>
      <c r="I593" s="94">
        <f>'לקוחות לפי סוכן - מקור'!K647</f>
        <v/>
      </c>
    </row>
    <row r="594" outlineLevel="1" ht="15" customHeight="1" s="82">
      <c r="A594" s="94">
        <f>'לקוחות לפי סוכן - מקור'!A648</f>
        <v/>
      </c>
      <c r="B594" s="94">
        <f>'לקוחות לפי סוכן - מקור'!C648</f>
        <v/>
      </c>
      <c r="C594" s="126">
        <f>'לקוחות לפי סוכן - מקור'!E648</f>
        <v/>
      </c>
      <c r="D594" s="102">
        <f>'לקוחות לפי סוכן - מקור'!F648</f>
        <v/>
      </c>
      <c r="E594" s="102">
        <f>'לקוחות לפי סוכן - מקור'!G648</f>
        <v/>
      </c>
      <c r="F594" s="94">
        <f>'לקוחות לפי סוכן - מקור'!D648</f>
        <v/>
      </c>
      <c r="G594" s="95">
        <f>'לקוחות לפי סוכן - מקור'!H648</f>
        <v/>
      </c>
      <c r="H594" s="95">
        <f>'לקוחות לפי סוכן - מקור'!I648</f>
        <v/>
      </c>
      <c r="I594" s="94">
        <f>'לקוחות לפי סוכן - מקור'!K648</f>
        <v/>
      </c>
    </row>
    <row r="595" outlineLevel="1" ht="15" customHeight="1" s="82">
      <c r="A595" s="94">
        <f>'לקוחות לפי סוכן - מקור'!A649</f>
        <v/>
      </c>
      <c r="B595" s="94">
        <f>'לקוחות לפי סוכן - מקור'!C649</f>
        <v/>
      </c>
      <c r="C595" s="126">
        <f>'לקוחות לפי סוכן - מקור'!E649</f>
        <v/>
      </c>
      <c r="D595" s="102">
        <f>'לקוחות לפי סוכן - מקור'!F649</f>
        <v/>
      </c>
      <c r="E595" s="102">
        <f>'לקוחות לפי סוכן - מקור'!G649</f>
        <v/>
      </c>
      <c r="F595" s="94">
        <f>'לקוחות לפי סוכן - מקור'!D649</f>
        <v/>
      </c>
      <c r="G595" s="95">
        <f>'לקוחות לפי סוכן - מקור'!H649</f>
        <v/>
      </c>
      <c r="H595" s="95">
        <f>'לקוחות לפי סוכן - מקור'!I649</f>
        <v/>
      </c>
      <c r="I595" s="94">
        <f>'לקוחות לפי סוכן - מקור'!K649</f>
        <v/>
      </c>
    </row>
    <row r="596" outlineLevel="1" ht="15" customHeight="1" s="82">
      <c r="A596" s="94">
        <f>'לקוחות לפי סוכן - מקור'!A650</f>
        <v/>
      </c>
      <c r="B596" s="94">
        <f>'לקוחות לפי סוכן - מקור'!C650</f>
        <v/>
      </c>
      <c r="C596" s="126">
        <f>'לקוחות לפי סוכן - מקור'!E650</f>
        <v/>
      </c>
      <c r="D596" s="102">
        <f>'לקוחות לפי סוכן - מקור'!F650</f>
        <v/>
      </c>
      <c r="E596" s="102">
        <f>'לקוחות לפי סוכן - מקור'!G650</f>
        <v/>
      </c>
      <c r="F596" s="94">
        <f>'לקוחות לפי סוכן - מקור'!D650</f>
        <v/>
      </c>
      <c r="G596" s="95">
        <f>'לקוחות לפי סוכן - מקור'!H650</f>
        <v/>
      </c>
      <c r="H596" s="95">
        <f>'לקוחות לפי סוכן - מקור'!I650</f>
        <v/>
      </c>
      <c r="I596" s="94">
        <f>'לקוחות לפי סוכן - מקור'!K650</f>
        <v/>
      </c>
    </row>
    <row r="597" outlineLevel="1" ht="15" customHeight="1" s="82">
      <c r="A597" s="94">
        <f>'לקוחות לפי סוכן - מקור'!A651</f>
        <v/>
      </c>
      <c r="B597" s="94">
        <f>'לקוחות לפי סוכן - מקור'!C651</f>
        <v/>
      </c>
      <c r="C597" s="126">
        <f>'לקוחות לפי סוכן - מקור'!E651</f>
        <v/>
      </c>
      <c r="D597" s="102">
        <f>'לקוחות לפי סוכן - מקור'!F651</f>
        <v/>
      </c>
      <c r="E597" s="102">
        <f>'לקוחות לפי סוכן - מקור'!G651</f>
        <v/>
      </c>
      <c r="F597" s="94">
        <f>'לקוחות לפי סוכן - מקור'!D651</f>
        <v/>
      </c>
      <c r="G597" s="95">
        <f>'לקוחות לפי סוכן - מקור'!H651</f>
        <v/>
      </c>
      <c r="H597" s="95">
        <f>'לקוחות לפי סוכן - מקור'!I651</f>
        <v/>
      </c>
      <c r="I597" s="94">
        <f>'לקוחות לפי סוכן - מקור'!K651</f>
        <v/>
      </c>
    </row>
    <row r="598" outlineLevel="1" ht="15" customHeight="1" s="82">
      <c r="A598" s="94">
        <f>'לקוחות לפי סוכן - מקור'!A652</f>
        <v/>
      </c>
      <c r="B598" s="94">
        <f>'לקוחות לפי סוכן - מקור'!C652</f>
        <v/>
      </c>
      <c r="C598" s="126">
        <f>'לקוחות לפי סוכן - מקור'!E652</f>
        <v/>
      </c>
      <c r="D598" s="102">
        <f>'לקוחות לפי סוכן - מקור'!F652</f>
        <v/>
      </c>
      <c r="E598" s="102">
        <f>'לקוחות לפי סוכן - מקור'!G652</f>
        <v/>
      </c>
      <c r="F598" s="94">
        <f>'לקוחות לפי סוכן - מקור'!D652</f>
        <v/>
      </c>
      <c r="G598" s="95">
        <f>'לקוחות לפי סוכן - מקור'!H652</f>
        <v/>
      </c>
      <c r="H598" s="95">
        <f>'לקוחות לפי סוכן - מקור'!I652</f>
        <v/>
      </c>
      <c r="I598" s="94">
        <f>'לקוחות לפי סוכן - מקור'!K652</f>
        <v/>
      </c>
    </row>
    <row r="599" outlineLevel="1" ht="15" customHeight="1" s="82">
      <c r="A599" s="94">
        <f>'לקוחות לפי סוכן - מקור'!A653</f>
        <v/>
      </c>
      <c r="B599" s="94">
        <f>'לקוחות לפי סוכן - מקור'!C653</f>
        <v/>
      </c>
      <c r="C599" s="126">
        <f>'לקוחות לפי סוכן - מקור'!E653</f>
        <v/>
      </c>
      <c r="D599" s="102">
        <f>'לקוחות לפי סוכן - מקור'!F653</f>
        <v/>
      </c>
      <c r="E599" s="102">
        <f>'לקוחות לפי סוכן - מקור'!G653</f>
        <v/>
      </c>
      <c r="F599" s="94">
        <f>'לקוחות לפי סוכן - מקור'!D653</f>
        <v/>
      </c>
      <c r="G599" s="95">
        <f>'לקוחות לפי סוכן - מקור'!H653</f>
        <v/>
      </c>
      <c r="H599" s="95">
        <f>'לקוחות לפי סוכן - מקור'!I653</f>
        <v/>
      </c>
      <c r="I599" s="94">
        <f>'לקוחות לפי סוכן - מקור'!K653</f>
        <v/>
      </c>
    </row>
    <row r="600" outlineLevel="1" ht="15" customHeight="1" s="82">
      <c r="A600" s="94">
        <f>'לקוחות לפי סוכן - מקור'!A654</f>
        <v/>
      </c>
      <c r="B600" s="94">
        <f>'לקוחות לפי סוכן - מקור'!C654</f>
        <v/>
      </c>
      <c r="C600" s="126">
        <f>'לקוחות לפי סוכן - מקור'!E654</f>
        <v/>
      </c>
      <c r="D600" s="102">
        <f>'לקוחות לפי סוכן - מקור'!F654</f>
        <v/>
      </c>
      <c r="E600" s="102">
        <f>'לקוחות לפי סוכן - מקור'!G654</f>
        <v/>
      </c>
      <c r="F600" s="94">
        <f>'לקוחות לפי סוכן - מקור'!D654</f>
        <v/>
      </c>
      <c r="G600" s="95">
        <f>'לקוחות לפי סוכן - מקור'!H654</f>
        <v/>
      </c>
      <c r="H600" s="95">
        <f>'לקוחות לפי סוכן - מקור'!I654</f>
        <v/>
      </c>
      <c r="I600" s="94">
        <f>'לקוחות לפי סוכן - מקור'!K654</f>
        <v/>
      </c>
    </row>
    <row r="601" outlineLevel="1" ht="15" customHeight="1" s="82">
      <c r="A601" s="94">
        <f>'לקוחות לפי סוכן - מקור'!A655</f>
        <v/>
      </c>
      <c r="B601" s="94">
        <f>'לקוחות לפי סוכן - מקור'!C655</f>
        <v/>
      </c>
      <c r="C601" s="126">
        <f>'לקוחות לפי סוכן - מקור'!E655</f>
        <v/>
      </c>
      <c r="D601" s="102">
        <f>'לקוחות לפי סוכן - מקור'!F655</f>
        <v/>
      </c>
      <c r="E601" s="102">
        <f>'לקוחות לפי סוכן - מקור'!G655</f>
        <v/>
      </c>
      <c r="F601" s="94">
        <f>'לקוחות לפי סוכן - מקור'!D655</f>
        <v/>
      </c>
      <c r="G601" s="95">
        <f>'לקוחות לפי סוכן - מקור'!H655</f>
        <v/>
      </c>
      <c r="H601" s="95">
        <f>'לקוחות לפי סוכן - מקור'!I655</f>
        <v/>
      </c>
      <c r="I601" s="94">
        <f>'לקוחות לפי סוכן - מקור'!K655</f>
        <v/>
      </c>
    </row>
    <row r="602" outlineLevel="1" ht="15" customHeight="1" s="82">
      <c r="A602" s="94">
        <f>'לקוחות לפי סוכן - מקור'!A656</f>
        <v/>
      </c>
      <c r="B602" s="94">
        <f>'לקוחות לפי סוכן - מקור'!C656</f>
        <v/>
      </c>
      <c r="C602" s="126">
        <f>'לקוחות לפי סוכן - מקור'!E656</f>
        <v/>
      </c>
      <c r="D602" s="102">
        <f>'לקוחות לפי סוכן - מקור'!F656</f>
        <v/>
      </c>
      <c r="E602" s="102">
        <f>'לקוחות לפי סוכן - מקור'!G656</f>
        <v/>
      </c>
      <c r="F602" s="94">
        <f>'לקוחות לפי סוכן - מקור'!D656</f>
        <v/>
      </c>
      <c r="G602" s="95">
        <f>'לקוחות לפי סוכן - מקור'!H656</f>
        <v/>
      </c>
      <c r="H602" s="95">
        <f>'לקוחות לפי סוכן - מקור'!I656</f>
        <v/>
      </c>
      <c r="I602" s="94">
        <f>'לקוחות לפי סוכן - מקור'!K656</f>
        <v/>
      </c>
    </row>
    <row r="603" outlineLevel="1" ht="15" customHeight="1" s="82">
      <c r="A603" s="94">
        <f>'לקוחות לפי סוכן - מקור'!A657</f>
        <v/>
      </c>
      <c r="B603" s="94">
        <f>'לקוחות לפי סוכן - מקור'!C657</f>
        <v/>
      </c>
      <c r="C603" s="126">
        <f>'לקוחות לפי סוכן - מקור'!E657</f>
        <v/>
      </c>
      <c r="D603" s="102">
        <f>'לקוחות לפי סוכן - מקור'!F657</f>
        <v/>
      </c>
      <c r="E603" s="102">
        <f>'לקוחות לפי סוכן - מקור'!G657</f>
        <v/>
      </c>
      <c r="F603" s="94">
        <f>'לקוחות לפי סוכן - מקור'!D657</f>
        <v/>
      </c>
      <c r="G603" s="95">
        <f>'לקוחות לפי סוכן - מקור'!H657</f>
        <v/>
      </c>
      <c r="H603" s="95">
        <f>'לקוחות לפי סוכן - מקור'!I657</f>
        <v/>
      </c>
      <c r="I603" s="94">
        <f>'לקוחות לפי סוכן - מקור'!K657</f>
        <v/>
      </c>
    </row>
    <row r="604" outlineLevel="1" ht="15" customHeight="1" s="82">
      <c r="A604" s="94">
        <f>'לקוחות לפי סוכן - מקור'!A658</f>
        <v/>
      </c>
      <c r="B604" s="94">
        <f>'לקוחות לפי סוכן - מקור'!C658</f>
        <v/>
      </c>
      <c r="C604" s="126">
        <f>'לקוחות לפי סוכן - מקור'!E658</f>
        <v/>
      </c>
      <c r="D604" s="102">
        <f>'לקוחות לפי סוכן - מקור'!F658</f>
        <v/>
      </c>
      <c r="E604" s="102">
        <f>'לקוחות לפי סוכן - מקור'!G658</f>
        <v/>
      </c>
      <c r="F604" s="94">
        <f>'לקוחות לפי סוכן - מקור'!D658</f>
        <v/>
      </c>
      <c r="G604" s="95">
        <f>'לקוחות לפי סוכן - מקור'!H658</f>
        <v/>
      </c>
      <c r="H604" s="95">
        <f>'לקוחות לפי סוכן - מקור'!I658</f>
        <v/>
      </c>
      <c r="I604" s="94">
        <f>'לקוחות לפי סוכן - מקור'!K658</f>
        <v/>
      </c>
    </row>
    <row r="605" outlineLevel="1" ht="15" customHeight="1" s="82">
      <c r="A605" s="94">
        <f>'לקוחות לפי סוכן - מקור'!A659</f>
        <v/>
      </c>
      <c r="B605" s="94">
        <f>'לקוחות לפי סוכן - מקור'!C659</f>
        <v/>
      </c>
      <c r="C605" s="126">
        <f>'לקוחות לפי סוכן - מקור'!E659</f>
        <v/>
      </c>
      <c r="D605" s="102">
        <f>'לקוחות לפי סוכן - מקור'!F659</f>
        <v/>
      </c>
      <c r="E605" s="102">
        <f>'לקוחות לפי סוכן - מקור'!G659</f>
        <v/>
      </c>
      <c r="F605" s="94">
        <f>'לקוחות לפי סוכן - מקור'!D659</f>
        <v/>
      </c>
      <c r="G605" s="95">
        <f>'לקוחות לפי סוכן - מקור'!H659</f>
        <v/>
      </c>
      <c r="H605" s="95">
        <f>'לקוחות לפי סוכן - מקור'!I659</f>
        <v/>
      </c>
      <c r="I605" s="94">
        <f>'לקוחות לפי סוכן - מקור'!K659</f>
        <v/>
      </c>
    </row>
    <row r="606" outlineLevel="1" ht="15" customHeight="1" s="82">
      <c r="A606" s="94">
        <f>'לקוחות לפי סוכן - מקור'!A660</f>
        <v/>
      </c>
      <c r="B606" s="94">
        <f>'לקוחות לפי סוכן - מקור'!C660</f>
        <v/>
      </c>
      <c r="C606" s="126">
        <f>'לקוחות לפי סוכן - מקור'!E660</f>
        <v/>
      </c>
      <c r="D606" s="102">
        <f>'לקוחות לפי סוכן - מקור'!F660</f>
        <v/>
      </c>
      <c r="E606" s="102">
        <f>'לקוחות לפי סוכן - מקור'!G660</f>
        <v/>
      </c>
      <c r="F606" s="94">
        <f>'לקוחות לפי סוכן - מקור'!D660</f>
        <v/>
      </c>
      <c r="G606" s="95">
        <f>'לקוחות לפי סוכן - מקור'!H660</f>
        <v/>
      </c>
      <c r="H606" s="95">
        <f>'לקוחות לפי סוכן - מקור'!I660</f>
        <v/>
      </c>
      <c r="I606" s="94">
        <f>'לקוחות לפי סוכן - מקור'!K660</f>
        <v/>
      </c>
    </row>
    <row r="607" outlineLevel="1" ht="15" customHeight="1" s="82">
      <c r="A607" s="94">
        <f>'לקוחות לפי סוכן - מקור'!A661</f>
        <v/>
      </c>
      <c r="B607" s="94">
        <f>'לקוחות לפי סוכן - מקור'!C661</f>
        <v/>
      </c>
      <c r="C607" s="126">
        <f>'לקוחות לפי סוכן - מקור'!E661</f>
        <v/>
      </c>
      <c r="D607" s="102">
        <f>'לקוחות לפי סוכן - מקור'!F661</f>
        <v/>
      </c>
      <c r="E607" s="102">
        <f>'לקוחות לפי סוכן - מקור'!G661</f>
        <v/>
      </c>
      <c r="F607" s="94">
        <f>'לקוחות לפי סוכן - מקור'!D661</f>
        <v/>
      </c>
      <c r="G607" s="95">
        <f>'לקוחות לפי סוכן - מקור'!H661</f>
        <v/>
      </c>
      <c r="H607" s="95">
        <f>'לקוחות לפי סוכן - מקור'!I661</f>
        <v/>
      </c>
      <c r="I607" s="94">
        <f>'לקוחות לפי סוכן - מקור'!K661</f>
        <v/>
      </c>
    </row>
    <row r="608" outlineLevel="1" ht="15" customHeight="1" s="82">
      <c r="A608" s="94">
        <f>'לקוחות לפי סוכן - מקור'!A662</f>
        <v/>
      </c>
      <c r="B608" s="94">
        <f>'לקוחות לפי סוכן - מקור'!C662</f>
        <v/>
      </c>
      <c r="C608" s="126">
        <f>'לקוחות לפי סוכן - מקור'!E662</f>
        <v/>
      </c>
      <c r="D608" s="102">
        <f>'לקוחות לפי סוכן - מקור'!F662</f>
        <v/>
      </c>
      <c r="E608" s="102">
        <f>'לקוחות לפי סוכן - מקור'!G662</f>
        <v/>
      </c>
      <c r="F608" s="94">
        <f>'לקוחות לפי סוכן - מקור'!D662</f>
        <v/>
      </c>
      <c r="G608" s="95">
        <f>'לקוחות לפי סוכן - מקור'!H662</f>
        <v/>
      </c>
      <c r="H608" s="95">
        <f>'לקוחות לפי סוכן - מקור'!I662</f>
        <v/>
      </c>
      <c r="I608" s="94">
        <f>'לקוחות לפי סוכן - מקור'!K662</f>
        <v/>
      </c>
    </row>
    <row r="609" outlineLevel="1" ht="15" customHeight="1" s="82">
      <c r="A609" s="94">
        <f>'לקוחות לפי סוכן - מקור'!A663</f>
        <v/>
      </c>
      <c r="B609" s="94">
        <f>'לקוחות לפי סוכן - מקור'!C663</f>
        <v/>
      </c>
      <c r="C609" s="126">
        <f>'לקוחות לפי סוכן - מקור'!E663</f>
        <v/>
      </c>
      <c r="D609" s="102">
        <f>'לקוחות לפי סוכן - מקור'!F663</f>
        <v/>
      </c>
      <c r="E609" s="102">
        <f>'לקוחות לפי סוכן - מקור'!G663</f>
        <v/>
      </c>
      <c r="F609" s="94">
        <f>'לקוחות לפי סוכן - מקור'!D663</f>
        <v/>
      </c>
      <c r="G609" s="95">
        <f>'לקוחות לפי סוכן - מקור'!H663</f>
        <v/>
      </c>
      <c r="H609" s="95">
        <f>'לקוחות לפי סוכן - מקור'!I663</f>
        <v/>
      </c>
      <c r="I609" s="94">
        <f>'לקוחות לפי סוכן - מקור'!K663</f>
        <v/>
      </c>
    </row>
    <row r="610" outlineLevel="1" ht="15" customHeight="1" s="82">
      <c r="A610" s="94">
        <f>'לקוחות לפי סוכן - מקור'!A664</f>
        <v/>
      </c>
      <c r="B610" s="94">
        <f>'לקוחות לפי סוכן - מקור'!C664</f>
        <v/>
      </c>
      <c r="C610" s="126">
        <f>'לקוחות לפי סוכן - מקור'!E664</f>
        <v/>
      </c>
      <c r="D610" s="102">
        <f>'לקוחות לפי סוכן - מקור'!F664</f>
        <v/>
      </c>
      <c r="E610" s="102">
        <f>'לקוחות לפי סוכן - מקור'!G664</f>
        <v/>
      </c>
      <c r="F610" s="94">
        <f>'לקוחות לפי סוכן - מקור'!D664</f>
        <v/>
      </c>
      <c r="G610" s="95">
        <f>'לקוחות לפי סוכן - מקור'!H664</f>
        <v/>
      </c>
      <c r="H610" s="95">
        <f>'לקוחות לפי סוכן - מקור'!I664</f>
        <v/>
      </c>
      <c r="I610" s="94">
        <f>'לקוחות לפי סוכן - מקור'!K664</f>
        <v/>
      </c>
    </row>
    <row r="611" outlineLevel="1" ht="15" customHeight="1" s="82">
      <c r="A611" s="94">
        <f>'לקוחות לפי סוכן - מקור'!A665</f>
        <v/>
      </c>
      <c r="B611" s="94">
        <f>'לקוחות לפי סוכן - מקור'!C665</f>
        <v/>
      </c>
      <c r="C611" s="126">
        <f>'לקוחות לפי סוכן - מקור'!E665</f>
        <v/>
      </c>
      <c r="D611" s="102">
        <f>'לקוחות לפי סוכן - מקור'!F665</f>
        <v/>
      </c>
      <c r="E611" s="102">
        <f>'לקוחות לפי סוכן - מקור'!G665</f>
        <v/>
      </c>
      <c r="F611" s="94">
        <f>'לקוחות לפי סוכן - מקור'!D665</f>
        <v/>
      </c>
      <c r="G611" s="95">
        <f>'לקוחות לפי סוכן - מקור'!H665</f>
        <v/>
      </c>
      <c r="H611" s="95">
        <f>'לקוחות לפי סוכן - מקור'!I665</f>
        <v/>
      </c>
      <c r="I611" s="94">
        <f>'לקוחות לפי סוכן - מקור'!K665</f>
        <v/>
      </c>
    </row>
    <row r="612" outlineLevel="1" ht="15" customHeight="1" s="82">
      <c r="A612" s="94">
        <f>'לקוחות לפי סוכן - מקור'!A666</f>
        <v/>
      </c>
      <c r="B612" s="94">
        <f>'לקוחות לפי סוכן - מקור'!C666</f>
        <v/>
      </c>
      <c r="C612" s="126">
        <f>'לקוחות לפי סוכן - מקור'!E666</f>
        <v/>
      </c>
      <c r="D612" s="102">
        <f>'לקוחות לפי סוכן - מקור'!F666</f>
        <v/>
      </c>
      <c r="E612" s="102">
        <f>'לקוחות לפי סוכן - מקור'!G666</f>
        <v/>
      </c>
      <c r="F612" s="94">
        <f>'לקוחות לפי סוכן - מקור'!D666</f>
        <v/>
      </c>
      <c r="G612" s="95">
        <f>'לקוחות לפי סוכן - מקור'!H666</f>
        <v/>
      </c>
      <c r="H612" s="95">
        <f>'לקוחות לפי סוכן - מקור'!I666</f>
        <v/>
      </c>
      <c r="I612" s="94">
        <f>'לקוחות לפי סוכן - מקור'!K666</f>
        <v/>
      </c>
    </row>
    <row r="613" outlineLevel="1" ht="15" customHeight="1" s="82">
      <c r="A613" s="94">
        <f>'לקוחות לפי סוכן - מקור'!A667</f>
        <v/>
      </c>
      <c r="B613" s="94">
        <f>'לקוחות לפי סוכן - מקור'!C667</f>
        <v/>
      </c>
      <c r="C613" s="126">
        <f>'לקוחות לפי סוכן - מקור'!E667</f>
        <v/>
      </c>
      <c r="D613" s="102">
        <f>'לקוחות לפי סוכן - מקור'!F667</f>
        <v/>
      </c>
      <c r="E613" s="102">
        <f>'לקוחות לפי סוכן - מקור'!G667</f>
        <v/>
      </c>
      <c r="F613" s="94">
        <f>'לקוחות לפי סוכן - מקור'!D667</f>
        <v/>
      </c>
      <c r="G613" s="95">
        <f>'לקוחות לפי סוכן - מקור'!H667</f>
        <v/>
      </c>
      <c r="H613" s="95">
        <f>'לקוחות לפי סוכן - מקור'!I667</f>
        <v/>
      </c>
      <c r="I613" s="94">
        <f>'לקוחות לפי סוכן - מקור'!K667</f>
        <v/>
      </c>
    </row>
    <row r="614" outlineLevel="1" ht="15" customHeight="1" s="82">
      <c r="A614" s="94">
        <f>'לקוחות לפי סוכן - מקור'!A668</f>
        <v/>
      </c>
      <c r="B614" s="94">
        <f>'לקוחות לפי סוכן - מקור'!C668</f>
        <v/>
      </c>
      <c r="C614" s="126">
        <f>'לקוחות לפי סוכן - מקור'!E668</f>
        <v/>
      </c>
      <c r="D614" s="102">
        <f>'לקוחות לפי סוכן - מקור'!F668</f>
        <v/>
      </c>
      <c r="E614" s="102">
        <f>'לקוחות לפי סוכן - מקור'!G668</f>
        <v/>
      </c>
      <c r="F614" s="94">
        <f>'לקוחות לפי סוכן - מקור'!D668</f>
        <v/>
      </c>
      <c r="G614" s="95">
        <f>'לקוחות לפי סוכן - מקור'!H668</f>
        <v/>
      </c>
      <c r="H614" s="95">
        <f>'לקוחות לפי סוכן - מקור'!I668</f>
        <v/>
      </c>
      <c r="I614" s="94">
        <f>'לקוחות לפי סוכן - מקור'!K668</f>
        <v/>
      </c>
    </row>
    <row r="615" outlineLevel="1" ht="15" customHeight="1" s="82">
      <c r="A615" s="94">
        <f>'לקוחות לפי סוכן - מקור'!A669</f>
        <v/>
      </c>
      <c r="B615" s="94">
        <f>'לקוחות לפי סוכן - מקור'!C669</f>
        <v/>
      </c>
      <c r="C615" s="126">
        <f>'לקוחות לפי סוכן - מקור'!E669</f>
        <v/>
      </c>
      <c r="D615" s="102">
        <f>'לקוחות לפי סוכן - מקור'!F669</f>
        <v/>
      </c>
      <c r="E615" s="102">
        <f>'לקוחות לפי סוכן - מקור'!G669</f>
        <v/>
      </c>
      <c r="F615" s="94">
        <f>'לקוחות לפי סוכן - מקור'!D669</f>
        <v/>
      </c>
      <c r="G615" s="95">
        <f>'לקוחות לפי סוכן - מקור'!H669</f>
        <v/>
      </c>
      <c r="H615" s="95">
        <f>'לקוחות לפי סוכן - מקור'!I669</f>
        <v/>
      </c>
      <c r="I615" s="94">
        <f>'לקוחות לפי סוכן - מקור'!K669</f>
        <v/>
      </c>
    </row>
    <row r="616" outlineLevel="1" ht="15" customHeight="1" s="82">
      <c r="A616" s="94">
        <f>'לקוחות לפי סוכן - מקור'!A670</f>
        <v/>
      </c>
      <c r="B616" s="94">
        <f>'לקוחות לפי סוכן - מקור'!C670</f>
        <v/>
      </c>
      <c r="C616" s="126">
        <f>'לקוחות לפי סוכן - מקור'!E670</f>
        <v/>
      </c>
      <c r="D616" s="102">
        <f>'לקוחות לפי סוכן - מקור'!F670</f>
        <v/>
      </c>
      <c r="E616" s="102">
        <f>'לקוחות לפי סוכן - מקור'!G670</f>
        <v/>
      </c>
      <c r="F616" s="94">
        <f>'לקוחות לפי סוכן - מקור'!D670</f>
        <v/>
      </c>
      <c r="G616" s="95">
        <f>'לקוחות לפי סוכן - מקור'!H670</f>
        <v/>
      </c>
      <c r="H616" s="95">
        <f>'לקוחות לפי סוכן - מקור'!I670</f>
        <v/>
      </c>
      <c r="I616" s="94">
        <f>'לקוחות לפי סוכן - מקור'!K670</f>
        <v/>
      </c>
    </row>
    <row r="617" outlineLevel="1" ht="15" customHeight="1" s="82">
      <c r="A617" s="94">
        <f>'לקוחות לפי סוכן - מקור'!A671</f>
        <v/>
      </c>
      <c r="B617" s="94">
        <f>'לקוחות לפי סוכן - מקור'!C671</f>
        <v/>
      </c>
      <c r="C617" s="126">
        <f>'לקוחות לפי סוכן - מקור'!E671</f>
        <v/>
      </c>
      <c r="D617" s="102">
        <f>'לקוחות לפי סוכן - מקור'!F671</f>
        <v/>
      </c>
      <c r="E617" s="102">
        <f>'לקוחות לפי סוכן - מקור'!G671</f>
        <v/>
      </c>
      <c r="F617" s="94">
        <f>'לקוחות לפי סוכן - מקור'!D671</f>
        <v/>
      </c>
      <c r="G617" s="95">
        <f>'לקוחות לפי סוכן - מקור'!H671</f>
        <v/>
      </c>
      <c r="H617" s="95">
        <f>'לקוחות לפי סוכן - מקור'!I671</f>
        <v/>
      </c>
      <c r="I617" s="94">
        <f>'לקוחות לפי סוכן - מקור'!K671</f>
        <v/>
      </c>
    </row>
    <row r="618" outlineLevel="1" ht="15" customHeight="1" s="82">
      <c r="A618" s="94">
        <f>'לקוחות לפי סוכן - מקור'!A672</f>
        <v/>
      </c>
      <c r="B618" s="94">
        <f>'לקוחות לפי סוכן - מקור'!C672</f>
        <v/>
      </c>
      <c r="C618" s="126">
        <f>'לקוחות לפי סוכן - מקור'!E672</f>
        <v/>
      </c>
      <c r="D618" s="102">
        <f>'לקוחות לפי סוכן - מקור'!F672</f>
        <v/>
      </c>
      <c r="E618" s="102">
        <f>'לקוחות לפי סוכן - מקור'!G672</f>
        <v/>
      </c>
      <c r="F618" s="94">
        <f>'לקוחות לפי סוכן - מקור'!D672</f>
        <v/>
      </c>
      <c r="G618" s="95">
        <f>'לקוחות לפי סוכן - מקור'!H672</f>
        <v/>
      </c>
      <c r="H618" s="95">
        <f>'לקוחות לפי סוכן - מקור'!I672</f>
        <v/>
      </c>
      <c r="I618" s="94">
        <f>'לקוחות לפי סוכן - מקור'!K672</f>
        <v/>
      </c>
    </row>
    <row r="619" outlineLevel="1" ht="15" customHeight="1" s="82">
      <c r="A619" s="94">
        <f>'לקוחות לפי סוכן - מקור'!A673</f>
        <v/>
      </c>
      <c r="B619" s="94">
        <f>'לקוחות לפי סוכן - מקור'!C673</f>
        <v/>
      </c>
      <c r="C619" s="126">
        <f>'לקוחות לפי סוכן - מקור'!E673</f>
        <v/>
      </c>
      <c r="D619" s="102">
        <f>'לקוחות לפי סוכן - מקור'!F673</f>
        <v/>
      </c>
      <c r="E619" s="102">
        <f>'לקוחות לפי סוכן - מקור'!G673</f>
        <v/>
      </c>
      <c r="F619" s="94">
        <f>'לקוחות לפי סוכן - מקור'!D673</f>
        <v/>
      </c>
      <c r="G619" s="95">
        <f>'לקוחות לפי סוכן - מקור'!H673</f>
        <v/>
      </c>
      <c r="H619" s="95">
        <f>'לקוחות לפי סוכן - מקור'!I673</f>
        <v/>
      </c>
      <c r="I619" s="94">
        <f>'לקוחות לפי סוכן - מקור'!K673</f>
        <v/>
      </c>
    </row>
    <row r="620" outlineLevel="1" ht="15" customHeight="1" s="82">
      <c r="A620" s="94">
        <f>'לקוחות לפי סוכן - מקור'!A674</f>
        <v/>
      </c>
      <c r="B620" s="94">
        <f>'לקוחות לפי סוכן - מקור'!C674</f>
        <v/>
      </c>
      <c r="C620" s="126">
        <f>'לקוחות לפי סוכן - מקור'!E674</f>
        <v/>
      </c>
      <c r="D620" s="102">
        <f>'לקוחות לפי סוכן - מקור'!F674</f>
        <v/>
      </c>
      <c r="E620" s="102">
        <f>'לקוחות לפי סוכן - מקור'!G674</f>
        <v/>
      </c>
      <c r="F620" s="94">
        <f>'לקוחות לפי סוכן - מקור'!D674</f>
        <v/>
      </c>
      <c r="G620" s="95">
        <f>'לקוחות לפי סוכן - מקור'!H674</f>
        <v/>
      </c>
      <c r="H620" s="95">
        <f>'לקוחות לפי סוכן - מקור'!I674</f>
        <v/>
      </c>
      <c r="I620" s="94">
        <f>'לקוחות לפי סוכן - מקור'!K674</f>
        <v/>
      </c>
    </row>
    <row r="621" outlineLevel="1" ht="15" customHeight="1" s="82">
      <c r="A621" s="94">
        <f>'לקוחות לפי סוכן - מקור'!A675</f>
        <v/>
      </c>
      <c r="B621" s="94">
        <f>'לקוחות לפי סוכן - מקור'!C675</f>
        <v/>
      </c>
      <c r="C621" s="126">
        <f>'לקוחות לפי סוכן - מקור'!E675</f>
        <v/>
      </c>
      <c r="D621" s="102">
        <f>'לקוחות לפי סוכן - מקור'!F675</f>
        <v/>
      </c>
      <c r="E621" s="102">
        <f>'לקוחות לפי סוכן - מקור'!G675</f>
        <v/>
      </c>
      <c r="F621" s="94">
        <f>'לקוחות לפי סוכן - מקור'!D675</f>
        <v/>
      </c>
      <c r="G621" s="95">
        <f>'לקוחות לפי סוכן - מקור'!H675</f>
        <v/>
      </c>
      <c r="H621" s="95">
        <f>'לקוחות לפי סוכן - מקור'!I675</f>
        <v/>
      </c>
      <c r="I621" s="94">
        <f>'לקוחות לפי סוכן - מקור'!K675</f>
        <v/>
      </c>
    </row>
    <row r="622" outlineLevel="1" ht="15" customHeight="1" s="82">
      <c r="A622" s="94">
        <f>'לקוחות לפי סוכן - מקור'!A676</f>
        <v/>
      </c>
      <c r="B622" s="94">
        <f>'לקוחות לפי סוכן - מקור'!C676</f>
        <v/>
      </c>
      <c r="C622" s="126">
        <f>'לקוחות לפי סוכן - מקור'!E676</f>
        <v/>
      </c>
      <c r="D622" s="102">
        <f>'לקוחות לפי סוכן - מקור'!F676</f>
        <v/>
      </c>
      <c r="E622" s="102">
        <f>'לקוחות לפי סוכן - מקור'!G676</f>
        <v/>
      </c>
      <c r="F622" s="94">
        <f>'לקוחות לפי סוכן - מקור'!D676</f>
        <v/>
      </c>
      <c r="G622" s="95">
        <f>'לקוחות לפי סוכן - מקור'!H676</f>
        <v/>
      </c>
      <c r="H622" s="95">
        <f>'לקוחות לפי סוכן - מקור'!I676</f>
        <v/>
      </c>
      <c r="I622" s="94">
        <f>'לקוחות לפי סוכן - מקור'!K676</f>
        <v/>
      </c>
    </row>
    <row r="623" outlineLevel="1" ht="15" customHeight="1" s="82">
      <c r="A623" s="94">
        <f>'לקוחות לפי סוכן - מקור'!A677</f>
        <v/>
      </c>
      <c r="B623" s="94">
        <f>'לקוחות לפי סוכן - מקור'!C677</f>
        <v/>
      </c>
      <c r="C623" s="126">
        <f>'לקוחות לפי סוכן - מקור'!E677</f>
        <v/>
      </c>
      <c r="D623" s="102">
        <f>'לקוחות לפי סוכן - מקור'!F677</f>
        <v/>
      </c>
      <c r="E623" s="102">
        <f>'לקוחות לפי סוכן - מקור'!G677</f>
        <v/>
      </c>
      <c r="F623" s="94">
        <f>'לקוחות לפי סוכן - מקור'!D677</f>
        <v/>
      </c>
      <c r="G623" s="95">
        <f>'לקוחות לפי סוכן - מקור'!H677</f>
        <v/>
      </c>
      <c r="H623" s="95">
        <f>'לקוחות לפי סוכן - מקור'!I677</f>
        <v/>
      </c>
      <c r="I623" s="94">
        <f>'לקוחות לפי סוכן - מקור'!K677</f>
        <v/>
      </c>
    </row>
    <row r="624" outlineLevel="1" ht="15" customHeight="1" s="82">
      <c r="A624" s="94">
        <f>'לקוחות לפי סוכן - מקור'!A678</f>
        <v/>
      </c>
      <c r="B624" s="94">
        <f>'לקוחות לפי סוכן - מקור'!C678</f>
        <v/>
      </c>
      <c r="C624" s="126">
        <f>'לקוחות לפי סוכן - מקור'!E678</f>
        <v/>
      </c>
      <c r="D624" s="102">
        <f>'לקוחות לפי סוכן - מקור'!F678</f>
        <v/>
      </c>
      <c r="E624" s="102">
        <f>'לקוחות לפי סוכן - מקור'!G678</f>
        <v/>
      </c>
      <c r="F624" s="94">
        <f>'לקוחות לפי סוכן - מקור'!D678</f>
        <v/>
      </c>
      <c r="G624" s="95">
        <f>'לקוחות לפי סוכן - מקור'!H678</f>
        <v/>
      </c>
      <c r="H624" s="95">
        <f>'לקוחות לפי סוכן - מקור'!I678</f>
        <v/>
      </c>
      <c r="I624" s="94">
        <f>'לקוחות לפי סוכן - מקור'!K678</f>
        <v/>
      </c>
    </row>
    <row r="625" outlineLevel="1" ht="15" customHeight="1" s="82">
      <c r="A625" s="94">
        <f>'לקוחות לפי סוכן - מקור'!A679</f>
        <v/>
      </c>
      <c r="B625" s="94">
        <f>'לקוחות לפי סוכן - מקור'!C679</f>
        <v/>
      </c>
      <c r="C625" s="126">
        <f>'לקוחות לפי סוכן - מקור'!E679</f>
        <v/>
      </c>
      <c r="D625" s="102">
        <f>'לקוחות לפי סוכן - מקור'!F679</f>
        <v/>
      </c>
      <c r="E625" s="102">
        <f>'לקוחות לפי סוכן - מקור'!G679</f>
        <v/>
      </c>
      <c r="F625" s="94">
        <f>'לקוחות לפי סוכן - מקור'!D679</f>
        <v/>
      </c>
      <c r="G625" s="95">
        <f>'לקוחות לפי סוכן - מקור'!H679</f>
        <v/>
      </c>
      <c r="H625" s="95">
        <f>'לקוחות לפי סוכן - מקור'!I679</f>
        <v/>
      </c>
      <c r="I625" s="94">
        <f>'לקוחות לפי סוכן - מקור'!K679</f>
        <v/>
      </c>
    </row>
    <row r="626" outlineLevel="1" ht="15" customHeight="1" s="82">
      <c r="A626" s="94">
        <f>'לקוחות לפי סוכן - מקור'!A680</f>
        <v/>
      </c>
      <c r="B626" s="94">
        <f>'לקוחות לפי סוכן - מקור'!C680</f>
        <v/>
      </c>
      <c r="C626" s="126">
        <f>'לקוחות לפי סוכן - מקור'!E680</f>
        <v/>
      </c>
      <c r="D626" s="102">
        <f>'לקוחות לפי סוכן - מקור'!F680</f>
        <v/>
      </c>
      <c r="E626" s="102">
        <f>'לקוחות לפי סוכן - מקור'!G680</f>
        <v/>
      </c>
      <c r="F626" s="94">
        <f>'לקוחות לפי סוכן - מקור'!D680</f>
        <v/>
      </c>
      <c r="G626" s="95">
        <f>'לקוחות לפי סוכן - מקור'!H680</f>
        <v/>
      </c>
      <c r="H626" s="95">
        <f>'לקוחות לפי סוכן - מקור'!I680</f>
        <v/>
      </c>
      <c r="I626" s="94">
        <f>'לקוחות לפי סוכן - מקור'!K680</f>
        <v/>
      </c>
    </row>
    <row r="627" outlineLevel="1" ht="15" customHeight="1" s="82">
      <c r="A627" s="94">
        <f>'לקוחות לפי סוכן - מקור'!A681</f>
        <v/>
      </c>
      <c r="B627" s="94">
        <f>'לקוחות לפי סוכן - מקור'!C681</f>
        <v/>
      </c>
      <c r="C627" s="126">
        <f>'לקוחות לפי סוכן - מקור'!E681</f>
        <v/>
      </c>
      <c r="D627" s="102">
        <f>'לקוחות לפי סוכן - מקור'!F681</f>
        <v/>
      </c>
      <c r="E627" s="102">
        <f>'לקוחות לפי סוכן - מקור'!G681</f>
        <v/>
      </c>
      <c r="F627" s="94">
        <f>'לקוחות לפי סוכן - מקור'!D681</f>
        <v/>
      </c>
      <c r="G627" s="95">
        <f>'לקוחות לפי סוכן - מקור'!H681</f>
        <v/>
      </c>
      <c r="H627" s="95">
        <f>'לקוחות לפי סוכן - מקור'!I681</f>
        <v/>
      </c>
      <c r="I627" s="94">
        <f>'לקוחות לפי סוכן - מקור'!K681</f>
        <v/>
      </c>
    </row>
    <row r="628" outlineLevel="1" ht="15" customHeight="1" s="82">
      <c r="A628" s="94">
        <f>'לקוחות לפי סוכן - מקור'!A682</f>
        <v/>
      </c>
      <c r="B628" s="94">
        <f>'לקוחות לפי סוכן - מקור'!C682</f>
        <v/>
      </c>
      <c r="C628" s="126">
        <f>'לקוחות לפי סוכן - מקור'!E682</f>
        <v/>
      </c>
      <c r="D628" s="102">
        <f>'לקוחות לפי סוכן - מקור'!F682</f>
        <v/>
      </c>
      <c r="E628" s="102">
        <f>'לקוחות לפי סוכן - מקור'!G682</f>
        <v/>
      </c>
      <c r="F628" s="94">
        <f>'לקוחות לפי סוכן - מקור'!D682</f>
        <v/>
      </c>
      <c r="G628" s="95">
        <f>'לקוחות לפי סוכן - מקור'!H682</f>
        <v/>
      </c>
      <c r="H628" s="95">
        <f>'לקוחות לפי סוכן - מקור'!I682</f>
        <v/>
      </c>
      <c r="I628" s="94">
        <f>'לקוחות לפי סוכן - מקור'!K682</f>
        <v/>
      </c>
    </row>
    <row r="629" outlineLevel="1" ht="15" customHeight="1" s="82">
      <c r="A629" s="94">
        <f>'לקוחות לפי סוכן - מקור'!A683</f>
        <v/>
      </c>
      <c r="B629" s="94">
        <f>'לקוחות לפי סוכן - מקור'!C683</f>
        <v/>
      </c>
      <c r="C629" s="126">
        <f>'לקוחות לפי סוכן - מקור'!E683</f>
        <v/>
      </c>
      <c r="D629" s="102">
        <f>'לקוחות לפי סוכן - מקור'!F683</f>
        <v/>
      </c>
      <c r="E629" s="102">
        <f>'לקוחות לפי סוכן - מקור'!G683</f>
        <v/>
      </c>
      <c r="F629" s="94">
        <f>'לקוחות לפי סוכן - מקור'!D683</f>
        <v/>
      </c>
      <c r="G629" s="95">
        <f>'לקוחות לפי סוכן - מקור'!H683</f>
        <v/>
      </c>
      <c r="H629" s="95">
        <f>'לקוחות לפי סוכן - מקור'!I683</f>
        <v/>
      </c>
      <c r="I629" s="94">
        <f>'לקוחות לפי סוכן - מקור'!K683</f>
        <v/>
      </c>
    </row>
    <row r="630" outlineLevel="1" ht="15" customHeight="1" s="82">
      <c r="A630" s="94">
        <f>'לקוחות לפי סוכן - מקור'!A684</f>
        <v/>
      </c>
      <c r="B630" s="94">
        <f>'לקוחות לפי סוכן - מקור'!C684</f>
        <v/>
      </c>
      <c r="C630" s="126">
        <f>'לקוחות לפי סוכן - מקור'!E684</f>
        <v/>
      </c>
      <c r="D630" s="102">
        <f>'לקוחות לפי סוכן - מקור'!F684</f>
        <v/>
      </c>
      <c r="E630" s="102">
        <f>'לקוחות לפי סוכן - מקור'!G684</f>
        <v/>
      </c>
      <c r="F630" s="94">
        <f>'לקוחות לפי סוכן - מקור'!D684</f>
        <v/>
      </c>
      <c r="G630" s="95">
        <f>'לקוחות לפי סוכן - מקור'!H684</f>
        <v/>
      </c>
      <c r="H630" s="95">
        <f>'לקוחות לפי סוכן - מקור'!I684</f>
        <v/>
      </c>
      <c r="I630" s="94">
        <f>'לקוחות לפי סוכן - מקור'!K684</f>
        <v/>
      </c>
    </row>
    <row r="631" outlineLevel="1" ht="15" customHeight="1" s="82">
      <c r="A631" s="94">
        <f>'לקוחות לפי סוכן - מקור'!A685</f>
        <v/>
      </c>
      <c r="B631" s="94">
        <f>'לקוחות לפי סוכן - מקור'!C685</f>
        <v/>
      </c>
      <c r="C631" s="126">
        <f>'לקוחות לפי סוכן - מקור'!E685</f>
        <v/>
      </c>
      <c r="D631" s="102">
        <f>'לקוחות לפי סוכן - מקור'!F685</f>
        <v/>
      </c>
      <c r="E631" s="102">
        <f>'לקוחות לפי סוכן - מקור'!G685</f>
        <v/>
      </c>
      <c r="F631" s="94">
        <f>'לקוחות לפי סוכן - מקור'!D685</f>
        <v/>
      </c>
      <c r="G631" s="95">
        <f>'לקוחות לפי סוכן - מקור'!H685</f>
        <v/>
      </c>
      <c r="H631" s="95">
        <f>'לקוחות לפי סוכן - מקור'!I685</f>
        <v/>
      </c>
      <c r="I631" s="94">
        <f>'לקוחות לפי סוכן - מקור'!K685</f>
        <v/>
      </c>
    </row>
    <row r="632" outlineLevel="1" ht="15" customHeight="1" s="82">
      <c r="A632" s="94">
        <f>'לקוחות לפי סוכן - מקור'!A686</f>
        <v/>
      </c>
      <c r="B632" s="94">
        <f>'לקוחות לפי סוכן - מקור'!C686</f>
        <v/>
      </c>
      <c r="C632" s="126">
        <f>'לקוחות לפי סוכן - מקור'!E686</f>
        <v/>
      </c>
      <c r="D632" s="102">
        <f>'לקוחות לפי סוכן - מקור'!F686</f>
        <v/>
      </c>
      <c r="E632" s="102">
        <f>'לקוחות לפי סוכן - מקור'!G686</f>
        <v/>
      </c>
      <c r="F632" s="94">
        <f>'לקוחות לפי סוכן - מקור'!D686</f>
        <v/>
      </c>
      <c r="G632" s="95">
        <f>'לקוחות לפי סוכן - מקור'!H686</f>
        <v/>
      </c>
      <c r="H632" s="95">
        <f>'לקוחות לפי סוכן - מקור'!I686</f>
        <v/>
      </c>
      <c r="I632" s="94">
        <f>'לקוחות לפי סוכן - מקור'!K686</f>
        <v/>
      </c>
    </row>
    <row r="633" outlineLevel="1" ht="15" customHeight="1" s="82">
      <c r="A633" s="94">
        <f>'לקוחות לפי סוכן - מקור'!A687</f>
        <v/>
      </c>
      <c r="B633" s="94">
        <f>'לקוחות לפי סוכן - מקור'!C687</f>
        <v/>
      </c>
      <c r="C633" s="126">
        <f>'לקוחות לפי סוכן - מקור'!E687</f>
        <v/>
      </c>
      <c r="D633" s="102">
        <f>'לקוחות לפי סוכן - מקור'!F687</f>
        <v/>
      </c>
      <c r="E633" s="102">
        <f>'לקוחות לפי סוכן - מקור'!G687</f>
        <v/>
      </c>
      <c r="F633" s="94">
        <f>'לקוחות לפי סוכן - מקור'!D687</f>
        <v/>
      </c>
      <c r="G633" s="95">
        <f>'לקוחות לפי סוכן - מקור'!H687</f>
        <v/>
      </c>
      <c r="H633" s="95">
        <f>'לקוחות לפי סוכן - מקור'!I687</f>
        <v/>
      </c>
      <c r="I633" s="94">
        <f>'לקוחות לפי סוכן - מקור'!K687</f>
        <v/>
      </c>
    </row>
    <row r="634" outlineLevel="1" ht="15" customHeight="1" s="82">
      <c r="A634" s="94">
        <f>'לקוחות לפי סוכן - מקור'!A688</f>
        <v/>
      </c>
      <c r="B634" s="94">
        <f>'לקוחות לפי סוכן - מקור'!C688</f>
        <v/>
      </c>
      <c r="C634" s="126">
        <f>'לקוחות לפי סוכן - מקור'!E688</f>
        <v/>
      </c>
      <c r="D634" s="102">
        <f>'לקוחות לפי סוכן - מקור'!F688</f>
        <v/>
      </c>
      <c r="E634" s="102">
        <f>'לקוחות לפי סוכן - מקור'!G688</f>
        <v/>
      </c>
      <c r="F634" s="94">
        <f>'לקוחות לפי סוכן - מקור'!D688</f>
        <v/>
      </c>
      <c r="G634" s="95">
        <f>'לקוחות לפי סוכן - מקור'!H688</f>
        <v/>
      </c>
      <c r="H634" s="95">
        <f>'לקוחות לפי סוכן - מקור'!I688</f>
        <v/>
      </c>
      <c r="I634" s="94">
        <f>'לקוחות לפי סוכן - מקור'!K688</f>
        <v/>
      </c>
    </row>
    <row r="635" outlineLevel="1" ht="15" customHeight="1" s="82">
      <c r="A635" s="94">
        <f>'לקוחות לפי סוכן - מקור'!A689</f>
        <v/>
      </c>
      <c r="B635" s="94">
        <f>'לקוחות לפי סוכן - מקור'!C689</f>
        <v/>
      </c>
      <c r="C635" s="126">
        <f>'לקוחות לפי סוכן - מקור'!E689</f>
        <v/>
      </c>
      <c r="D635" s="102">
        <f>'לקוחות לפי סוכן - מקור'!F689</f>
        <v/>
      </c>
      <c r="E635" s="102">
        <f>'לקוחות לפי סוכן - מקור'!G689</f>
        <v/>
      </c>
      <c r="F635" s="94">
        <f>'לקוחות לפי סוכן - מקור'!D689</f>
        <v/>
      </c>
      <c r="G635" s="95">
        <f>'לקוחות לפי סוכן - מקור'!H689</f>
        <v/>
      </c>
      <c r="H635" s="95">
        <f>'לקוחות לפי סוכן - מקור'!I689</f>
        <v/>
      </c>
      <c r="I635" s="94">
        <f>'לקוחות לפי סוכן - מקור'!K689</f>
        <v/>
      </c>
    </row>
    <row r="636" outlineLevel="1" ht="15" customHeight="1" s="82">
      <c r="A636" s="94">
        <f>'לקוחות לפי סוכן - מקור'!A690</f>
        <v/>
      </c>
      <c r="B636" s="94">
        <f>'לקוחות לפי סוכן - מקור'!C690</f>
        <v/>
      </c>
      <c r="C636" s="126">
        <f>'לקוחות לפי סוכן - מקור'!E690</f>
        <v/>
      </c>
      <c r="D636" s="102">
        <f>'לקוחות לפי סוכן - מקור'!F690</f>
        <v/>
      </c>
      <c r="E636" s="102">
        <f>'לקוחות לפי סוכן - מקור'!G690</f>
        <v/>
      </c>
      <c r="F636" s="94">
        <f>'לקוחות לפי סוכן - מקור'!D690</f>
        <v/>
      </c>
      <c r="G636" s="95">
        <f>'לקוחות לפי סוכן - מקור'!H690</f>
        <v/>
      </c>
      <c r="H636" s="95">
        <f>'לקוחות לפי סוכן - מקור'!I690</f>
        <v/>
      </c>
      <c r="I636" s="94">
        <f>'לקוחות לפי סוכן - מקור'!K690</f>
        <v/>
      </c>
    </row>
    <row r="637" outlineLevel="1" ht="15" customHeight="1" s="82">
      <c r="A637" s="94">
        <f>'לקוחות לפי סוכן - מקור'!A691</f>
        <v/>
      </c>
      <c r="B637" s="94">
        <f>'לקוחות לפי סוכן - מקור'!C691</f>
        <v/>
      </c>
      <c r="C637" s="126">
        <f>'לקוחות לפי סוכן - מקור'!E691</f>
        <v/>
      </c>
      <c r="D637" s="102">
        <f>'לקוחות לפי סוכן - מקור'!F691</f>
        <v/>
      </c>
      <c r="E637" s="102">
        <f>'לקוחות לפי סוכן - מקור'!G691</f>
        <v/>
      </c>
      <c r="F637" s="94">
        <f>'לקוחות לפי סוכן - מקור'!D691</f>
        <v/>
      </c>
      <c r="G637" s="95">
        <f>'לקוחות לפי סוכן - מקור'!H691</f>
        <v/>
      </c>
      <c r="H637" s="95">
        <f>'לקוחות לפי סוכן - מקור'!I691</f>
        <v/>
      </c>
      <c r="I637" s="94">
        <f>'לקוחות לפי סוכן - מקור'!K691</f>
        <v/>
      </c>
    </row>
    <row r="638" outlineLevel="1" ht="15" customHeight="1" s="82">
      <c r="A638" s="94">
        <f>'לקוחות לפי סוכן - מקור'!A692</f>
        <v/>
      </c>
      <c r="B638" s="94">
        <f>'לקוחות לפי סוכן - מקור'!C692</f>
        <v/>
      </c>
      <c r="C638" s="126">
        <f>'לקוחות לפי סוכן - מקור'!E692</f>
        <v/>
      </c>
      <c r="D638" s="102">
        <f>'לקוחות לפי סוכן - מקור'!F692</f>
        <v/>
      </c>
      <c r="E638" s="102">
        <f>'לקוחות לפי סוכן - מקור'!G692</f>
        <v/>
      </c>
      <c r="F638" s="94">
        <f>'לקוחות לפי סוכן - מקור'!D692</f>
        <v/>
      </c>
      <c r="G638" s="95">
        <f>'לקוחות לפי סוכן - מקור'!H692</f>
        <v/>
      </c>
      <c r="H638" s="95">
        <f>'לקוחות לפי סוכן - מקור'!I692</f>
        <v/>
      </c>
      <c r="I638" s="94">
        <f>'לקוחות לפי סוכן - מקור'!K692</f>
        <v/>
      </c>
    </row>
    <row r="639" outlineLevel="1" ht="15" customHeight="1" s="82">
      <c r="A639" s="94">
        <f>'לקוחות לפי סוכן - מקור'!A693</f>
        <v/>
      </c>
      <c r="B639" s="94">
        <f>'לקוחות לפי סוכן - מקור'!C693</f>
        <v/>
      </c>
      <c r="C639" s="126">
        <f>'לקוחות לפי סוכן - מקור'!E693</f>
        <v/>
      </c>
      <c r="D639" s="102">
        <f>'לקוחות לפי סוכן - מקור'!F693</f>
        <v/>
      </c>
      <c r="E639" s="102">
        <f>'לקוחות לפי סוכן - מקור'!G693</f>
        <v/>
      </c>
      <c r="F639" s="94">
        <f>'לקוחות לפי סוכן - מקור'!D693</f>
        <v/>
      </c>
      <c r="G639" s="95">
        <f>'לקוחות לפי סוכן - מקור'!H693</f>
        <v/>
      </c>
      <c r="H639" s="95">
        <f>'לקוחות לפי סוכן - מקור'!I693</f>
        <v/>
      </c>
      <c r="I639" s="94">
        <f>'לקוחות לפי סוכן - מקור'!K693</f>
        <v/>
      </c>
    </row>
    <row r="640" outlineLevel="1" ht="15" customHeight="1" s="82">
      <c r="A640" s="94">
        <f>'לקוחות לפי סוכן - מקור'!A694</f>
        <v/>
      </c>
      <c r="B640" s="94">
        <f>'לקוחות לפי סוכן - מקור'!C694</f>
        <v/>
      </c>
      <c r="C640" s="126">
        <f>'לקוחות לפי סוכן - מקור'!E694</f>
        <v/>
      </c>
      <c r="D640" s="102">
        <f>'לקוחות לפי סוכן - מקור'!F694</f>
        <v/>
      </c>
      <c r="E640" s="102">
        <f>'לקוחות לפי סוכן - מקור'!G694</f>
        <v/>
      </c>
      <c r="F640" s="94">
        <f>'לקוחות לפי סוכן - מקור'!D694</f>
        <v/>
      </c>
      <c r="G640" s="95">
        <f>'לקוחות לפי סוכן - מקור'!H694</f>
        <v/>
      </c>
      <c r="H640" s="95">
        <f>'לקוחות לפי סוכן - מקור'!I694</f>
        <v/>
      </c>
      <c r="I640" s="94">
        <f>'לקוחות לפי סוכן - מקור'!K694</f>
        <v/>
      </c>
    </row>
    <row r="641" outlineLevel="1" ht="15" customHeight="1" s="82">
      <c r="A641" s="94">
        <f>'לקוחות לפי סוכן - מקור'!A695</f>
        <v/>
      </c>
      <c r="B641" s="94">
        <f>'לקוחות לפי סוכן - מקור'!C695</f>
        <v/>
      </c>
      <c r="C641" s="126">
        <f>'לקוחות לפי סוכן - מקור'!E695</f>
        <v/>
      </c>
      <c r="D641" s="102">
        <f>'לקוחות לפי סוכן - מקור'!F695</f>
        <v/>
      </c>
      <c r="E641" s="102">
        <f>'לקוחות לפי סוכן - מקור'!G695</f>
        <v/>
      </c>
      <c r="F641" s="94">
        <f>'לקוחות לפי סוכן - מקור'!D695</f>
        <v/>
      </c>
      <c r="G641" s="95">
        <f>'לקוחות לפי סוכן - מקור'!H695</f>
        <v/>
      </c>
      <c r="H641" s="95">
        <f>'לקוחות לפי סוכן - מקור'!I695</f>
        <v/>
      </c>
      <c r="I641" s="94">
        <f>'לקוחות לפי סוכן - מקור'!K695</f>
        <v/>
      </c>
    </row>
    <row r="642" outlineLevel="1" ht="15" customHeight="1" s="82">
      <c r="A642" s="94">
        <f>'לקוחות לפי סוכן - מקור'!A696</f>
        <v/>
      </c>
      <c r="B642" s="94">
        <f>'לקוחות לפי סוכן - מקור'!C696</f>
        <v/>
      </c>
      <c r="C642" s="126">
        <f>'לקוחות לפי סוכן - מקור'!E696</f>
        <v/>
      </c>
      <c r="D642" s="102">
        <f>'לקוחות לפי סוכן - מקור'!F696</f>
        <v/>
      </c>
      <c r="E642" s="102">
        <f>'לקוחות לפי סוכן - מקור'!G696</f>
        <v/>
      </c>
      <c r="F642" s="94">
        <f>'לקוחות לפי סוכן - מקור'!D696</f>
        <v/>
      </c>
      <c r="G642" s="95">
        <f>'לקוחות לפי סוכן - מקור'!H696</f>
        <v/>
      </c>
      <c r="H642" s="95">
        <f>'לקוחות לפי סוכן - מקור'!I696</f>
        <v/>
      </c>
      <c r="I642" s="94">
        <f>'לקוחות לפי סוכן - מקור'!K696</f>
        <v/>
      </c>
    </row>
    <row r="643" outlineLevel="1" ht="15" customHeight="1" s="82">
      <c r="A643" s="94">
        <f>'לקוחות לפי סוכן - מקור'!A697</f>
        <v/>
      </c>
      <c r="B643" s="94">
        <f>'לקוחות לפי סוכן - מקור'!C697</f>
        <v/>
      </c>
      <c r="C643" s="126">
        <f>'לקוחות לפי סוכן - מקור'!E697</f>
        <v/>
      </c>
      <c r="D643" s="102">
        <f>'לקוחות לפי סוכן - מקור'!F697</f>
        <v/>
      </c>
      <c r="E643" s="102">
        <f>'לקוחות לפי סוכן - מקור'!G697</f>
        <v/>
      </c>
      <c r="F643" s="94">
        <f>'לקוחות לפי סוכן - מקור'!D697</f>
        <v/>
      </c>
      <c r="G643" s="95">
        <f>'לקוחות לפי סוכן - מקור'!H697</f>
        <v/>
      </c>
      <c r="H643" s="95">
        <f>'לקוחות לפי סוכן - מקור'!I697</f>
        <v/>
      </c>
      <c r="I643" s="94">
        <f>'לקוחות לפי סוכן - מקור'!K697</f>
        <v/>
      </c>
    </row>
    <row r="644" outlineLevel="1" ht="15" customHeight="1" s="82">
      <c r="A644" s="94">
        <f>'לקוחות לפי סוכן - מקור'!A698</f>
        <v/>
      </c>
      <c r="B644" s="94">
        <f>'לקוחות לפי סוכן - מקור'!C698</f>
        <v/>
      </c>
      <c r="C644" s="126">
        <f>'לקוחות לפי סוכן - מקור'!E698</f>
        <v/>
      </c>
      <c r="D644" s="102">
        <f>'לקוחות לפי סוכן - מקור'!F698</f>
        <v/>
      </c>
      <c r="E644" s="102">
        <f>'לקוחות לפי סוכן - מקור'!G698</f>
        <v/>
      </c>
      <c r="F644" s="94">
        <f>'לקוחות לפי סוכן - מקור'!D698</f>
        <v/>
      </c>
      <c r="G644" s="95">
        <f>'לקוחות לפי סוכן - מקור'!H698</f>
        <v/>
      </c>
      <c r="H644" s="95">
        <f>'לקוחות לפי סוכן - מקור'!I698</f>
        <v/>
      </c>
      <c r="I644" s="94">
        <f>'לקוחות לפי סוכן - מקור'!K698</f>
        <v/>
      </c>
    </row>
    <row r="645" outlineLevel="1" ht="15" customHeight="1" s="82">
      <c r="A645" s="94">
        <f>'לקוחות לפי סוכן - מקור'!A699</f>
        <v/>
      </c>
      <c r="B645" s="94">
        <f>'לקוחות לפי סוכן - מקור'!C699</f>
        <v/>
      </c>
      <c r="C645" s="126">
        <f>'לקוחות לפי סוכן - מקור'!E699</f>
        <v/>
      </c>
      <c r="D645" s="102">
        <f>'לקוחות לפי סוכן - מקור'!F699</f>
        <v/>
      </c>
      <c r="E645" s="102">
        <f>'לקוחות לפי סוכן - מקור'!G699</f>
        <v/>
      </c>
      <c r="F645" s="94">
        <f>'לקוחות לפי סוכן - מקור'!D699</f>
        <v/>
      </c>
      <c r="G645" s="95">
        <f>'לקוחות לפי סוכן - מקור'!H699</f>
        <v/>
      </c>
      <c r="H645" s="95">
        <f>'לקוחות לפי סוכן - מקור'!I699</f>
        <v/>
      </c>
      <c r="I645" s="94">
        <f>'לקוחות לפי סוכן - מקור'!K699</f>
        <v/>
      </c>
    </row>
    <row r="646" outlineLevel="1" ht="15" customHeight="1" s="82">
      <c r="A646" s="94">
        <f>'לקוחות לפי סוכן - מקור'!A700</f>
        <v/>
      </c>
      <c r="B646" s="94">
        <f>'לקוחות לפי סוכן - מקור'!C700</f>
        <v/>
      </c>
      <c r="C646" s="126">
        <f>'לקוחות לפי סוכן - מקור'!E700</f>
        <v/>
      </c>
      <c r="D646" s="102">
        <f>'לקוחות לפי סוכן - מקור'!F700</f>
        <v/>
      </c>
      <c r="E646" s="102">
        <f>'לקוחות לפי סוכן - מקור'!G700</f>
        <v/>
      </c>
      <c r="F646" s="94">
        <f>'לקוחות לפי סוכן - מקור'!D700</f>
        <v/>
      </c>
      <c r="G646" s="95">
        <f>'לקוחות לפי סוכן - מקור'!H700</f>
        <v/>
      </c>
      <c r="H646" s="95">
        <f>'לקוחות לפי סוכן - מקור'!I700</f>
        <v/>
      </c>
      <c r="I646" s="94">
        <f>'לקוחות לפי סוכן - מקור'!K700</f>
        <v/>
      </c>
    </row>
    <row r="647" outlineLevel="1" ht="15" customHeight="1" s="82">
      <c r="A647" s="94">
        <f>'לקוחות לפי סוכן - מקור'!A701</f>
        <v/>
      </c>
      <c r="B647" s="94">
        <f>'לקוחות לפי סוכן - מקור'!C701</f>
        <v/>
      </c>
      <c r="C647" s="126">
        <f>'לקוחות לפי סוכן - מקור'!E701</f>
        <v/>
      </c>
      <c r="D647" s="102">
        <f>'לקוחות לפי סוכן - מקור'!F701</f>
        <v/>
      </c>
      <c r="E647" s="102">
        <f>'לקוחות לפי סוכן - מקור'!G701</f>
        <v/>
      </c>
      <c r="F647" s="94">
        <f>'לקוחות לפי סוכן - מקור'!D701</f>
        <v/>
      </c>
      <c r="G647" s="95">
        <f>'לקוחות לפי סוכן - מקור'!H701</f>
        <v/>
      </c>
      <c r="H647" s="95">
        <f>'לקוחות לפי סוכן - מקור'!I701</f>
        <v/>
      </c>
      <c r="I647" s="94">
        <f>'לקוחות לפי סוכן - מקור'!K701</f>
        <v/>
      </c>
    </row>
    <row r="648" outlineLevel="1" ht="15" customHeight="1" s="82">
      <c r="A648" s="94">
        <f>'לקוחות לפי סוכן - מקור'!A702</f>
        <v/>
      </c>
      <c r="B648" s="94">
        <f>'לקוחות לפי סוכן - מקור'!C702</f>
        <v/>
      </c>
      <c r="C648" s="126">
        <f>'לקוחות לפי סוכן - מקור'!E702</f>
        <v/>
      </c>
      <c r="D648" s="102">
        <f>'לקוחות לפי סוכן - מקור'!F702</f>
        <v/>
      </c>
      <c r="E648" s="102">
        <f>'לקוחות לפי סוכן - מקור'!G702</f>
        <v/>
      </c>
      <c r="F648" s="94">
        <f>'לקוחות לפי סוכן - מקור'!D702</f>
        <v/>
      </c>
      <c r="G648" s="95">
        <f>'לקוחות לפי סוכן - מקור'!H702</f>
        <v/>
      </c>
      <c r="H648" s="95">
        <f>'לקוחות לפי סוכן - מקור'!I702</f>
        <v/>
      </c>
      <c r="I648" s="94">
        <f>'לקוחות לפי סוכן - מקור'!K702</f>
        <v/>
      </c>
    </row>
    <row r="649" outlineLevel="1" ht="15" customHeight="1" s="82">
      <c r="A649" s="94">
        <f>'לקוחות לפי סוכן - מקור'!A703</f>
        <v/>
      </c>
      <c r="B649" s="94">
        <f>'לקוחות לפי סוכן - מקור'!C703</f>
        <v/>
      </c>
      <c r="C649" s="126">
        <f>'לקוחות לפי סוכן - מקור'!E703</f>
        <v/>
      </c>
      <c r="D649" s="102">
        <f>'לקוחות לפי סוכן - מקור'!F703</f>
        <v/>
      </c>
      <c r="E649" s="102">
        <f>'לקוחות לפי סוכן - מקור'!G703</f>
        <v/>
      </c>
      <c r="F649" s="94">
        <f>'לקוחות לפי סוכן - מקור'!D703</f>
        <v/>
      </c>
      <c r="G649" s="95">
        <f>'לקוחות לפי סוכן - מקור'!H703</f>
        <v/>
      </c>
      <c r="H649" s="95">
        <f>'לקוחות לפי סוכן - מקור'!I703</f>
        <v/>
      </c>
      <c r="I649" s="94">
        <f>'לקוחות לפי סוכן - מקור'!K703</f>
        <v/>
      </c>
    </row>
    <row r="650" outlineLevel="1" ht="15" customHeight="1" s="82">
      <c r="A650" s="94">
        <f>'לקוחות לפי סוכן - מקור'!A704</f>
        <v/>
      </c>
      <c r="B650" s="94">
        <f>'לקוחות לפי סוכן - מקור'!C704</f>
        <v/>
      </c>
      <c r="C650" s="126">
        <f>'לקוחות לפי סוכן - מקור'!E704</f>
        <v/>
      </c>
      <c r="D650" s="102">
        <f>'לקוחות לפי סוכן - מקור'!F704</f>
        <v/>
      </c>
      <c r="E650" s="102">
        <f>'לקוחות לפי סוכן - מקור'!G704</f>
        <v/>
      </c>
      <c r="F650" s="94">
        <f>'לקוחות לפי סוכן - מקור'!D704</f>
        <v/>
      </c>
      <c r="G650" s="95">
        <f>'לקוחות לפי סוכן - מקור'!H704</f>
        <v/>
      </c>
      <c r="H650" s="95">
        <f>'לקוחות לפי סוכן - מקור'!I704</f>
        <v/>
      </c>
      <c r="I650" s="94">
        <f>'לקוחות לפי סוכן - מקור'!K704</f>
        <v/>
      </c>
    </row>
    <row r="651" outlineLevel="1" ht="15" customHeight="1" s="82">
      <c r="A651" s="94">
        <f>'לקוחות לפי סוכן - מקור'!A705</f>
        <v/>
      </c>
      <c r="B651" s="94">
        <f>'לקוחות לפי סוכן - מקור'!C705</f>
        <v/>
      </c>
      <c r="C651" s="126">
        <f>'לקוחות לפי סוכן - מקור'!E705</f>
        <v/>
      </c>
      <c r="D651" s="102">
        <f>'לקוחות לפי סוכן - מקור'!F705</f>
        <v/>
      </c>
      <c r="E651" s="102">
        <f>'לקוחות לפי סוכן - מקור'!G705</f>
        <v/>
      </c>
      <c r="F651" s="94">
        <f>'לקוחות לפי סוכן - מקור'!D705</f>
        <v/>
      </c>
      <c r="G651" s="95">
        <f>'לקוחות לפי סוכן - מקור'!H705</f>
        <v/>
      </c>
      <c r="H651" s="95">
        <f>'לקוחות לפי סוכן - מקור'!I705</f>
        <v/>
      </c>
      <c r="I651" s="94">
        <f>'לקוחות לפי סוכן - מקור'!K705</f>
        <v/>
      </c>
    </row>
    <row r="652" outlineLevel="1" ht="15" customHeight="1" s="82">
      <c r="A652" s="94">
        <f>'לקוחות לפי סוכן - מקור'!A706</f>
        <v/>
      </c>
      <c r="B652" s="94">
        <f>'לקוחות לפי סוכן - מקור'!C706</f>
        <v/>
      </c>
      <c r="C652" s="126">
        <f>'לקוחות לפי סוכן - מקור'!E706</f>
        <v/>
      </c>
      <c r="D652" s="102">
        <f>'לקוחות לפי סוכן - מקור'!F706</f>
        <v/>
      </c>
      <c r="E652" s="102">
        <f>'לקוחות לפי סוכן - מקור'!G706</f>
        <v/>
      </c>
      <c r="F652" s="94">
        <f>'לקוחות לפי סוכן - מקור'!D706</f>
        <v/>
      </c>
      <c r="G652" s="95">
        <f>'לקוחות לפי סוכן - מקור'!H706</f>
        <v/>
      </c>
      <c r="H652" s="95">
        <f>'לקוחות לפי סוכן - מקור'!I706</f>
        <v/>
      </c>
      <c r="I652" s="94">
        <f>'לקוחות לפי סוכן - מקור'!K706</f>
        <v/>
      </c>
    </row>
    <row r="653" outlineLevel="1" ht="15" customHeight="1" s="82">
      <c r="A653" s="94">
        <f>'לקוחות לפי סוכן - מקור'!A707</f>
        <v/>
      </c>
      <c r="B653" s="94">
        <f>'לקוחות לפי סוכן - מקור'!C707</f>
        <v/>
      </c>
      <c r="C653" s="126">
        <f>'לקוחות לפי סוכן - מקור'!E707</f>
        <v/>
      </c>
      <c r="D653" s="102">
        <f>'לקוחות לפי סוכן - מקור'!F707</f>
        <v/>
      </c>
      <c r="E653" s="102">
        <f>'לקוחות לפי סוכן - מקור'!G707</f>
        <v/>
      </c>
      <c r="F653" s="94">
        <f>'לקוחות לפי סוכן - מקור'!D707</f>
        <v/>
      </c>
      <c r="G653" s="95">
        <f>'לקוחות לפי סוכן - מקור'!H707</f>
        <v/>
      </c>
      <c r="H653" s="95">
        <f>'לקוחות לפי סוכן - מקור'!I707</f>
        <v/>
      </c>
      <c r="I653" s="94">
        <f>'לקוחות לפי סוכן - מקור'!K707</f>
        <v/>
      </c>
    </row>
    <row r="654" outlineLevel="1" ht="15" customHeight="1" s="82">
      <c r="A654" s="94">
        <f>'לקוחות לפי סוכן - מקור'!A708</f>
        <v/>
      </c>
      <c r="B654" s="94">
        <f>'לקוחות לפי סוכן - מקור'!C708</f>
        <v/>
      </c>
      <c r="C654" s="126">
        <f>'לקוחות לפי סוכן - מקור'!E708</f>
        <v/>
      </c>
      <c r="D654" s="102">
        <f>'לקוחות לפי סוכן - מקור'!F708</f>
        <v/>
      </c>
      <c r="E654" s="102">
        <f>'לקוחות לפי סוכן - מקור'!G708</f>
        <v/>
      </c>
      <c r="F654" s="94">
        <f>'לקוחות לפי סוכן - מקור'!D708</f>
        <v/>
      </c>
      <c r="G654" s="95">
        <f>'לקוחות לפי סוכן - מקור'!H708</f>
        <v/>
      </c>
      <c r="H654" s="95">
        <f>'לקוחות לפי סוכן - מקור'!I708</f>
        <v/>
      </c>
      <c r="I654" s="94">
        <f>'לקוחות לפי סוכן - מקור'!K708</f>
        <v/>
      </c>
    </row>
    <row r="655" outlineLevel="1" ht="15" customHeight="1" s="82">
      <c r="A655" s="94">
        <f>'לקוחות לפי סוכן - מקור'!A709</f>
        <v/>
      </c>
      <c r="B655" s="94">
        <f>'לקוחות לפי סוכן - מקור'!C709</f>
        <v/>
      </c>
      <c r="C655" s="126">
        <f>'לקוחות לפי סוכן - מקור'!E709</f>
        <v/>
      </c>
      <c r="D655" s="102">
        <f>'לקוחות לפי סוכן - מקור'!F709</f>
        <v/>
      </c>
      <c r="E655" s="102">
        <f>'לקוחות לפי סוכן - מקור'!G709</f>
        <v/>
      </c>
      <c r="F655" s="94">
        <f>'לקוחות לפי סוכן - מקור'!D709</f>
        <v/>
      </c>
      <c r="G655" s="95">
        <f>'לקוחות לפי סוכן - מקור'!H709</f>
        <v/>
      </c>
      <c r="H655" s="95">
        <f>'לקוחות לפי סוכן - מקור'!I709</f>
        <v/>
      </c>
      <c r="I655" s="94">
        <f>'לקוחות לפי סוכן - מקור'!K709</f>
        <v/>
      </c>
    </row>
    <row r="656" outlineLevel="1" ht="15" customHeight="1" s="82">
      <c r="A656" s="94">
        <f>'לקוחות לפי סוכן - מקור'!A710</f>
        <v/>
      </c>
      <c r="B656" s="94">
        <f>'לקוחות לפי סוכן - מקור'!C710</f>
        <v/>
      </c>
      <c r="C656" s="126">
        <f>'לקוחות לפי סוכן - מקור'!E710</f>
        <v/>
      </c>
      <c r="D656" s="102">
        <f>'לקוחות לפי סוכן - מקור'!F710</f>
        <v/>
      </c>
      <c r="E656" s="102">
        <f>'לקוחות לפי סוכן - מקור'!G710</f>
        <v/>
      </c>
      <c r="F656" s="94">
        <f>'לקוחות לפי סוכן - מקור'!D710</f>
        <v/>
      </c>
      <c r="G656" s="95">
        <f>'לקוחות לפי סוכן - מקור'!H710</f>
        <v/>
      </c>
      <c r="H656" s="95">
        <f>'לקוחות לפי סוכן - מקור'!I710</f>
        <v/>
      </c>
      <c r="I656" s="94">
        <f>'לקוחות לפי סוכן - מקור'!K710</f>
        <v/>
      </c>
    </row>
    <row r="657" outlineLevel="1" ht="15" customHeight="1" s="82">
      <c r="A657" s="94">
        <f>'לקוחות לפי סוכן - מקור'!A711</f>
        <v/>
      </c>
      <c r="B657" s="94">
        <f>'לקוחות לפי סוכן - מקור'!C711</f>
        <v/>
      </c>
      <c r="C657" s="126">
        <f>'לקוחות לפי סוכן - מקור'!E711</f>
        <v/>
      </c>
      <c r="D657" s="102">
        <f>'לקוחות לפי סוכן - מקור'!F711</f>
        <v/>
      </c>
      <c r="E657" s="102">
        <f>'לקוחות לפי סוכן - מקור'!G711</f>
        <v/>
      </c>
      <c r="F657" s="94">
        <f>'לקוחות לפי סוכן - מקור'!D711</f>
        <v/>
      </c>
      <c r="G657" s="95">
        <f>'לקוחות לפי סוכן - מקור'!H711</f>
        <v/>
      </c>
      <c r="H657" s="95">
        <f>'לקוחות לפי סוכן - מקור'!I711</f>
        <v/>
      </c>
      <c r="I657" s="94">
        <f>'לקוחות לפי סוכן - מקור'!K711</f>
        <v/>
      </c>
    </row>
    <row r="658" outlineLevel="1" ht="15" customHeight="1" s="82">
      <c r="A658" s="94">
        <f>'לקוחות לפי סוכן - מקור'!A712</f>
        <v/>
      </c>
      <c r="B658" s="94">
        <f>'לקוחות לפי סוכן - מקור'!C712</f>
        <v/>
      </c>
      <c r="C658" s="126">
        <f>'לקוחות לפי סוכן - מקור'!E712</f>
        <v/>
      </c>
      <c r="D658" s="102">
        <f>'לקוחות לפי סוכן - מקור'!F712</f>
        <v/>
      </c>
      <c r="E658" s="102">
        <f>'לקוחות לפי סוכן - מקור'!G712</f>
        <v/>
      </c>
      <c r="F658" s="94">
        <f>'לקוחות לפי סוכן - מקור'!D712</f>
        <v/>
      </c>
      <c r="G658" s="95">
        <f>'לקוחות לפי סוכן - מקור'!H712</f>
        <v/>
      </c>
      <c r="H658" s="95">
        <f>'לקוחות לפי סוכן - מקור'!I712</f>
        <v/>
      </c>
      <c r="I658" s="94">
        <f>'לקוחות לפי סוכן - מקור'!K712</f>
        <v/>
      </c>
    </row>
    <row r="659" outlineLevel="1" ht="15" customHeight="1" s="82">
      <c r="A659" s="94">
        <f>'לקוחות לפי סוכן - מקור'!A713</f>
        <v/>
      </c>
      <c r="B659" s="94">
        <f>'לקוחות לפי סוכן - מקור'!C713</f>
        <v/>
      </c>
      <c r="C659" s="126">
        <f>'לקוחות לפי סוכן - מקור'!E713</f>
        <v/>
      </c>
      <c r="D659" s="102">
        <f>'לקוחות לפי סוכן - מקור'!F713</f>
        <v/>
      </c>
      <c r="E659" s="102">
        <f>'לקוחות לפי סוכן - מקור'!G713</f>
        <v/>
      </c>
      <c r="F659" s="94">
        <f>'לקוחות לפי סוכן - מקור'!D713</f>
        <v/>
      </c>
      <c r="G659" s="95">
        <f>'לקוחות לפי סוכן - מקור'!H713</f>
        <v/>
      </c>
      <c r="H659" s="95">
        <f>'לקוחות לפי סוכן - מקור'!I713</f>
        <v/>
      </c>
      <c r="I659" s="94">
        <f>'לקוחות לפי סוכן - מקור'!K713</f>
        <v/>
      </c>
    </row>
    <row r="660" outlineLevel="1" ht="15" customHeight="1" s="82">
      <c r="A660" s="94">
        <f>'לקוחות לפי סוכן - מקור'!A714</f>
        <v/>
      </c>
      <c r="B660" s="94">
        <f>'לקוחות לפי סוכן - מקור'!C714</f>
        <v/>
      </c>
      <c r="C660" s="126">
        <f>'לקוחות לפי סוכן - מקור'!E714</f>
        <v/>
      </c>
      <c r="D660" s="102">
        <f>'לקוחות לפי סוכן - מקור'!F714</f>
        <v/>
      </c>
      <c r="E660" s="102">
        <f>'לקוחות לפי סוכן - מקור'!G714</f>
        <v/>
      </c>
      <c r="F660" s="94">
        <f>'לקוחות לפי סוכן - מקור'!D714</f>
        <v/>
      </c>
      <c r="G660" s="95">
        <f>'לקוחות לפי סוכן - מקור'!H714</f>
        <v/>
      </c>
      <c r="H660" s="95">
        <f>'לקוחות לפי סוכן - מקור'!I714</f>
        <v/>
      </c>
      <c r="I660" s="94">
        <f>'לקוחות לפי סוכן - מקור'!K714</f>
        <v/>
      </c>
    </row>
    <row r="661" outlineLevel="1" ht="15" customHeight="1" s="82">
      <c r="A661" s="94">
        <f>'לקוחות לפי סוכן - מקור'!A715</f>
        <v/>
      </c>
      <c r="B661" s="94">
        <f>'לקוחות לפי סוכן - מקור'!C715</f>
        <v/>
      </c>
      <c r="C661" s="126">
        <f>'לקוחות לפי סוכן - מקור'!E715</f>
        <v/>
      </c>
      <c r="D661" s="102">
        <f>'לקוחות לפי סוכן - מקור'!F715</f>
        <v/>
      </c>
      <c r="E661" s="102">
        <f>'לקוחות לפי סוכן - מקור'!G715</f>
        <v/>
      </c>
      <c r="F661" s="94">
        <f>'לקוחות לפי סוכן - מקור'!D715</f>
        <v/>
      </c>
      <c r="G661" s="95">
        <f>'לקוחות לפי סוכן - מקור'!H715</f>
        <v/>
      </c>
      <c r="H661" s="95">
        <f>'לקוחות לפי סוכן - מקור'!I715</f>
        <v/>
      </c>
      <c r="I661" s="94">
        <f>'לקוחות לפי סוכן - מקור'!K715</f>
        <v/>
      </c>
    </row>
    <row r="662" outlineLevel="1" ht="15" customHeight="1" s="82">
      <c r="A662" s="94">
        <f>'לקוחות לפי סוכן - מקור'!A716</f>
        <v/>
      </c>
      <c r="B662" s="94">
        <f>'לקוחות לפי סוכן - מקור'!C716</f>
        <v/>
      </c>
      <c r="C662" s="126">
        <f>'לקוחות לפי סוכן - מקור'!E716</f>
        <v/>
      </c>
      <c r="D662" s="102">
        <f>'לקוחות לפי סוכן - מקור'!F716</f>
        <v/>
      </c>
      <c r="E662" s="102">
        <f>'לקוחות לפי סוכן - מקור'!G716</f>
        <v/>
      </c>
      <c r="F662" s="94">
        <f>'לקוחות לפי סוכן - מקור'!D716</f>
        <v/>
      </c>
      <c r="G662" s="95">
        <f>'לקוחות לפי סוכן - מקור'!H716</f>
        <v/>
      </c>
      <c r="H662" s="95">
        <f>'לקוחות לפי סוכן - מקור'!I716</f>
        <v/>
      </c>
      <c r="I662" s="94">
        <f>'לקוחות לפי סוכן - מקור'!K716</f>
        <v/>
      </c>
    </row>
    <row r="663" outlineLevel="1" ht="15" customHeight="1" s="82">
      <c r="A663" s="94">
        <f>'לקוחות לפי סוכן - מקור'!A717</f>
        <v/>
      </c>
      <c r="B663" s="94">
        <f>'לקוחות לפי סוכן - מקור'!C717</f>
        <v/>
      </c>
      <c r="C663" s="126">
        <f>'לקוחות לפי סוכן - מקור'!E717</f>
        <v/>
      </c>
      <c r="D663" s="102">
        <f>'לקוחות לפי סוכן - מקור'!F717</f>
        <v/>
      </c>
      <c r="E663" s="102">
        <f>'לקוחות לפי סוכן - מקור'!G717</f>
        <v/>
      </c>
      <c r="F663" s="94">
        <f>'לקוחות לפי סוכן - מקור'!D717</f>
        <v/>
      </c>
      <c r="G663" s="95">
        <f>'לקוחות לפי סוכן - מקור'!H717</f>
        <v/>
      </c>
      <c r="H663" s="95">
        <f>'לקוחות לפי סוכן - מקור'!I717</f>
        <v/>
      </c>
      <c r="I663" s="94">
        <f>'לקוחות לפי סוכן - מקור'!K717</f>
        <v/>
      </c>
    </row>
    <row r="664" outlineLevel="1" ht="15" customHeight="1" s="82">
      <c r="A664" s="94">
        <f>'לקוחות לפי סוכן - מקור'!A718</f>
        <v/>
      </c>
      <c r="B664" s="94">
        <f>'לקוחות לפי סוכן - מקור'!C718</f>
        <v/>
      </c>
      <c r="C664" s="126">
        <f>'לקוחות לפי סוכן - מקור'!E718</f>
        <v/>
      </c>
      <c r="D664" s="102">
        <f>'לקוחות לפי סוכן - מקור'!F718</f>
        <v/>
      </c>
      <c r="E664" s="102">
        <f>'לקוחות לפי סוכן - מקור'!G718</f>
        <v/>
      </c>
      <c r="F664" s="94">
        <f>'לקוחות לפי סוכן - מקור'!D718</f>
        <v/>
      </c>
      <c r="G664" s="95">
        <f>'לקוחות לפי סוכן - מקור'!H718</f>
        <v/>
      </c>
      <c r="H664" s="95">
        <f>'לקוחות לפי סוכן - מקור'!I718</f>
        <v/>
      </c>
      <c r="I664" s="94">
        <f>'לקוחות לפי סוכן - מקור'!K718</f>
        <v/>
      </c>
    </row>
    <row r="665" outlineLevel="1" ht="15" customHeight="1" s="82">
      <c r="A665" s="94">
        <f>'לקוחות לפי סוכן - מקור'!A719</f>
        <v/>
      </c>
      <c r="B665" s="94">
        <f>'לקוחות לפי סוכן - מקור'!C719</f>
        <v/>
      </c>
      <c r="C665" s="126">
        <f>'לקוחות לפי סוכן - מקור'!E719</f>
        <v/>
      </c>
      <c r="D665" s="102">
        <f>'לקוחות לפי סוכן - מקור'!F719</f>
        <v/>
      </c>
      <c r="E665" s="102">
        <f>'לקוחות לפי סוכן - מקור'!G719</f>
        <v/>
      </c>
      <c r="F665" s="94">
        <f>'לקוחות לפי סוכן - מקור'!D719</f>
        <v/>
      </c>
      <c r="G665" s="95">
        <f>'לקוחות לפי סוכן - מקור'!H719</f>
        <v/>
      </c>
      <c r="H665" s="95">
        <f>'לקוחות לפי סוכן - מקור'!I719</f>
        <v/>
      </c>
      <c r="I665" s="94">
        <f>'לקוחות לפי סוכן - מקור'!K719</f>
        <v/>
      </c>
    </row>
    <row r="666" outlineLevel="1" ht="15" customHeight="1" s="82">
      <c r="A666" s="94">
        <f>'לקוחות לפי סוכן - מקור'!A720</f>
        <v/>
      </c>
      <c r="B666" s="94">
        <f>'לקוחות לפי סוכן - מקור'!C720</f>
        <v/>
      </c>
      <c r="C666" s="126">
        <f>'לקוחות לפי סוכן - מקור'!E720</f>
        <v/>
      </c>
      <c r="D666" s="102">
        <f>'לקוחות לפי סוכן - מקור'!F720</f>
        <v/>
      </c>
      <c r="E666" s="102">
        <f>'לקוחות לפי סוכן - מקור'!G720</f>
        <v/>
      </c>
      <c r="F666" s="94">
        <f>'לקוחות לפי סוכן - מקור'!D720</f>
        <v/>
      </c>
      <c r="G666" s="95">
        <f>'לקוחות לפי סוכן - מקור'!H720</f>
        <v/>
      </c>
      <c r="H666" s="95">
        <f>'לקוחות לפי סוכן - מקור'!I720</f>
        <v/>
      </c>
      <c r="I666" s="94">
        <f>'לקוחות לפי סוכן - מקור'!K720</f>
        <v/>
      </c>
    </row>
    <row r="667" outlineLevel="1" ht="15" customHeight="1" s="82">
      <c r="A667" s="94">
        <f>'לקוחות לפי סוכן - מקור'!A721</f>
        <v/>
      </c>
      <c r="B667" s="94">
        <f>'לקוחות לפי סוכן - מקור'!C721</f>
        <v/>
      </c>
      <c r="C667" s="126">
        <f>'לקוחות לפי סוכן - מקור'!E721</f>
        <v/>
      </c>
      <c r="D667" s="102">
        <f>'לקוחות לפי סוכן - מקור'!F721</f>
        <v/>
      </c>
      <c r="E667" s="102">
        <f>'לקוחות לפי סוכן - מקור'!G721</f>
        <v/>
      </c>
      <c r="F667" s="94">
        <f>'לקוחות לפי סוכן - מקור'!D721</f>
        <v/>
      </c>
      <c r="G667" s="95">
        <f>'לקוחות לפי סוכן - מקור'!H721</f>
        <v/>
      </c>
      <c r="H667" s="95">
        <f>'לקוחות לפי סוכן - מקור'!I721</f>
        <v/>
      </c>
      <c r="I667" s="94">
        <f>'לקוחות לפי סוכן - מקור'!K721</f>
        <v/>
      </c>
    </row>
    <row r="668" outlineLevel="1" ht="15" customHeight="1" s="82">
      <c r="A668" s="94">
        <f>'לקוחות לפי סוכן - מקור'!A722</f>
        <v/>
      </c>
      <c r="B668" s="94">
        <f>'לקוחות לפי סוכן - מקור'!C722</f>
        <v/>
      </c>
      <c r="C668" s="126">
        <f>'לקוחות לפי סוכן - מקור'!E722</f>
        <v/>
      </c>
      <c r="D668" s="102">
        <f>'לקוחות לפי סוכן - מקור'!F722</f>
        <v/>
      </c>
      <c r="E668" s="102">
        <f>'לקוחות לפי סוכן - מקור'!G722</f>
        <v/>
      </c>
      <c r="F668" s="94">
        <f>'לקוחות לפי סוכן - מקור'!D722</f>
        <v/>
      </c>
      <c r="G668" s="95">
        <f>'לקוחות לפי סוכן - מקור'!H722</f>
        <v/>
      </c>
      <c r="H668" s="95">
        <f>'לקוחות לפי סוכן - מקור'!I722</f>
        <v/>
      </c>
      <c r="I668" s="94">
        <f>'לקוחות לפי סוכן - מקור'!K722</f>
        <v/>
      </c>
    </row>
    <row r="669" outlineLevel="1" ht="15" customHeight="1" s="82">
      <c r="A669" s="94">
        <f>'לקוחות לפי סוכן - מקור'!A723</f>
        <v/>
      </c>
      <c r="B669" s="94">
        <f>'לקוחות לפי סוכן - מקור'!C723</f>
        <v/>
      </c>
      <c r="C669" s="126">
        <f>'לקוחות לפי סוכן - מקור'!E723</f>
        <v/>
      </c>
      <c r="D669" s="102">
        <f>'לקוחות לפי סוכן - מקור'!F723</f>
        <v/>
      </c>
      <c r="E669" s="102">
        <f>'לקוחות לפי סוכן - מקור'!G723</f>
        <v/>
      </c>
      <c r="F669" s="94">
        <f>'לקוחות לפי סוכן - מקור'!D723</f>
        <v/>
      </c>
      <c r="G669" s="95">
        <f>'לקוחות לפי סוכן - מקור'!H723</f>
        <v/>
      </c>
      <c r="H669" s="95">
        <f>'לקוחות לפי סוכן - מקור'!I723</f>
        <v/>
      </c>
      <c r="I669" s="94">
        <f>'לקוחות לפי סוכן - מקור'!K723</f>
        <v/>
      </c>
    </row>
    <row r="670" outlineLevel="1" ht="15" customHeight="1" s="82">
      <c r="A670" s="94">
        <f>'לקוחות לפי סוכן - מקור'!A724</f>
        <v/>
      </c>
      <c r="B670" s="94">
        <f>'לקוחות לפי סוכן - מקור'!C724</f>
        <v/>
      </c>
      <c r="C670" s="126">
        <f>'לקוחות לפי סוכן - מקור'!E724</f>
        <v/>
      </c>
      <c r="D670" s="102">
        <f>'לקוחות לפי סוכן - מקור'!F724</f>
        <v/>
      </c>
      <c r="E670" s="102">
        <f>'לקוחות לפי סוכן - מקור'!G724</f>
        <v/>
      </c>
      <c r="F670" s="94">
        <f>'לקוחות לפי סוכן - מקור'!D724</f>
        <v/>
      </c>
      <c r="G670" s="95">
        <f>'לקוחות לפי סוכן - מקור'!H724</f>
        <v/>
      </c>
      <c r="H670" s="95">
        <f>'לקוחות לפי סוכן - מקור'!I724</f>
        <v/>
      </c>
      <c r="I670" s="94">
        <f>'לקוחות לפי סוכן - מקור'!K724</f>
        <v/>
      </c>
    </row>
    <row r="671" outlineLevel="1" ht="15" customHeight="1" s="82">
      <c r="A671" s="94">
        <f>'לקוחות לפי סוכן - מקור'!A725</f>
        <v/>
      </c>
      <c r="B671" s="94">
        <f>'לקוחות לפי סוכן - מקור'!C725</f>
        <v/>
      </c>
      <c r="C671" s="126">
        <f>'לקוחות לפי סוכן - מקור'!E725</f>
        <v/>
      </c>
      <c r="D671" s="102">
        <f>'לקוחות לפי סוכן - מקור'!F725</f>
        <v/>
      </c>
      <c r="E671" s="102">
        <f>'לקוחות לפי סוכן - מקור'!G725</f>
        <v/>
      </c>
      <c r="F671" s="94">
        <f>'לקוחות לפי סוכן - מקור'!D725</f>
        <v/>
      </c>
      <c r="G671" s="95">
        <f>'לקוחות לפי סוכן - מקור'!H725</f>
        <v/>
      </c>
      <c r="H671" s="95">
        <f>'לקוחות לפי סוכן - מקור'!I725</f>
        <v/>
      </c>
      <c r="I671" s="94">
        <f>'לקוחות לפי סוכן - מקור'!K725</f>
        <v/>
      </c>
    </row>
    <row r="672" outlineLevel="1" ht="15" customHeight="1" s="82">
      <c r="A672" s="94">
        <f>'לקוחות לפי סוכן - מקור'!A726</f>
        <v/>
      </c>
      <c r="B672" s="94">
        <f>'לקוחות לפי סוכן - מקור'!C726</f>
        <v/>
      </c>
      <c r="C672" s="126">
        <f>'לקוחות לפי סוכן - מקור'!E726</f>
        <v/>
      </c>
      <c r="D672" s="102">
        <f>'לקוחות לפי סוכן - מקור'!F726</f>
        <v/>
      </c>
      <c r="E672" s="102">
        <f>'לקוחות לפי סוכן - מקור'!G726</f>
        <v/>
      </c>
      <c r="F672" s="94">
        <f>'לקוחות לפי סוכן - מקור'!D726</f>
        <v/>
      </c>
      <c r="G672" s="95">
        <f>'לקוחות לפי סוכן - מקור'!H726</f>
        <v/>
      </c>
      <c r="H672" s="95">
        <f>'לקוחות לפי סוכן - מקור'!I726</f>
        <v/>
      </c>
      <c r="I672" s="94">
        <f>'לקוחות לפי סוכן - מקור'!K726</f>
        <v/>
      </c>
    </row>
    <row r="673" outlineLevel="1" ht="15" customHeight="1" s="82">
      <c r="A673" s="94">
        <f>'לקוחות לפי סוכן - מקור'!A727</f>
        <v/>
      </c>
      <c r="B673" s="94">
        <f>'לקוחות לפי סוכן - מקור'!C727</f>
        <v/>
      </c>
      <c r="C673" s="126">
        <f>'לקוחות לפי סוכן - מקור'!E727</f>
        <v/>
      </c>
      <c r="D673" s="102">
        <f>'לקוחות לפי סוכן - מקור'!F727</f>
        <v/>
      </c>
      <c r="E673" s="102">
        <f>'לקוחות לפי סוכן - מקור'!G727</f>
        <v/>
      </c>
      <c r="F673" s="94">
        <f>'לקוחות לפי סוכן - מקור'!D727</f>
        <v/>
      </c>
      <c r="G673" s="95">
        <f>'לקוחות לפי סוכן - מקור'!H727</f>
        <v/>
      </c>
      <c r="H673" s="95">
        <f>'לקוחות לפי סוכן - מקור'!I727</f>
        <v/>
      </c>
      <c r="I673" s="94">
        <f>'לקוחות לפי סוכן - מקור'!K727</f>
        <v/>
      </c>
    </row>
    <row r="674" outlineLevel="1" ht="15" customHeight="1" s="82">
      <c r="A674" s="94">
        <f>'לקוחות לפי סוכן - מקור'!A728</f>
        <v/>
      </c>
      <c r="B674" s="94">
        <f>'לקוחות לפי סוכן - מקור'!C728</f>
        <v/>
      </c>
      <c r="C674" s="126">
        <f>'לקוחות לפי סוכן - מקור'!E728</f>
        <v/>
      </c>
      <c r="D674" s="102">
        <f>'לקוחות לפי סוכן - מקור'!F728</f>
        <v/>
      </c>
      <c r="E674" s="102">
        <f>'לקוחות לפי סוכן - מקור'!G728</f>
        <v/>
      </c>
      <c r="F674" s="94">
        <f>'לקוחות לפי סוכן - מקור'!D728</f>
        <v/>
      </c>
      <c r="G674" s="95">
        <f>'לקוחות לפי סוכן - מקור'!H728</f>
        <v/>
      </c>
      <c r="H674" s="95">
        <f>'לקוחות לפי סוכן - מקור'!I728</f>
        <v/>
      </c>
      <c r="I674" s="94">
        <f>'לקוחות לפי סוכן - מקור'!K728</f>
        <v/>
      </c>
    </row>
    <row r="675" outlineLevel="1" ht="15" customHeight="1" s="82">
      <c r="A675" s="94">
        <f>'לקוחות לפי סוכן - מקור'!A729</f>
        <v/>
      </c>
      <c r="B675" s="94">
        <f>'לקוחות לפי סוכן - מקור'!C729</f>
        <v/>
      </c>
      <c r="C675" s="126">
        <f>'לקוחות לפי סוכן - מקור'!E729</f>
        <v/>
      </c>
      <c r="D675" s="102">
        <f>'לקוחות לפי סוכן - מקור'!F729</f>
        <v/>
      </c>
      <c r="E675" s="102">
        <f>'לקוחות לפי סוכן - מקור'!G729</f>
        <v/>
      </c>
      <c r="F675" s="94">
        <f>'לקוחות לפי סוכן - מקור'!D729</f>
        <v/>
      </c>
      <c r="G675" s="95">
        <f>'לקוחות לפי סוכן - מקור'!H729</f>
        <v/>
      </c>
      <c r="H675" s="95">
        <f>'לקוחות לפי סוכן - מקור'!I729</f>
        <v/>
      </c>
      <c r="I675" s="94">
        <f>'לקוחות לפי סוכן - מקור'!K729</f>
        <v/>
      </c>
    </row>
    <row r="676" outlineLevel="1" ht="15" customHeight="1" s="82">
      <c r="A676" s="94">
        <f>'לקוחות לפי סוכן - מקור'!A730</f>
        <v/>
      </c>
      <c r="B676" s="94">
        <f>'לקוחות לפי סוכן - מקור'!C730</f>
        <v/>
      </c>
      <c r="C676" s="126">
        <f>'לקוחות לפי סוכן - מקור'!E730</f>
        <v/>
      </c>
      <c r="D676" s="102">
        <f>'לקוחות לפי סוכן - מקור'!F730</f>
        <v/>
      </c>
      <c r="E676" s="102">
        <f>'לקוחות לפי סוכן - מקור'!G730</f>
        <v/>
      </c>
      <c r="F676" s="94">
        <f>'לקוחות לפי סוכן - מקור'!D730</f>
        <v/>
      </c>
      <c r="G676" s="95">
        <f>'לקוחות לפי סוכן - מקור'!H730</f>
        <v/>
      </c>
      <c r="H676" s="95">
        <f>'לקוחות לפי סוכן - מקור'!I730</f>
        <v/>
      </c>
      <c r="I676" s="94">
        <f>'לקוחות לפי סוכן - מקור'!K730</f>
        <v/>
      </c>
    </row>
    <row r="677" outlineLevel="1" ht="15" customHeight="1" s="82">
      <c r="A677" s="94">
        <f>'לקוחות לפי סוכן - מקור'!A731</f>
        <v/>
      </c>
      <c r="B677" s="94">
        <f>'לקוחות לפי סוכן - מקור'!C731</f>
        <v/>
      </c>
      <c r="C677" s="126">
        <f>'לקוחות לפי סוכן - מקור'!E731</f>
        <v/>
      </c>
      <c r="D677" s="102">
        <f>'לקוחות לפי סוכן - מקור'!F731</f>
        <v/>
      </c>
      <c r="E677" s="102">
        <f>'לקוחות לפי סוכן - מקור'!G731</f>
        <v/>
      </c>
      <c r="F677" s="94">
        <f>'לקוחות לפי סוכן - מקור'!D731</f>
        <v/>
      </c>
      <c r="G677" s="95">
        <f>'לקוחות לפי סוכן - מקור'!H731</f>
        <v/>
      </c>
      <c r="H677" s="95">
        <f>'לקוחות לפי סוכן - מקור'!I731</f>
        <v/>
      </c>
      <c r="I677" s="94">
        <f>'לקוחות לפי סוכן - מקור'!K731</f>
        <v/>
      </c>
    </row>
    <row r="678" outlineLevel="1" ht="15" customHeight="1" s="82">
      <c r="A678" s="94">
        <f>'לקוחות לפי סוכן - מקור'!A732</f>
        <v/>
      </c>
      <c r="B678" s="94">
        <f>'לקוחות לפי סוכן - מקור'!C732</f>
        <v/>
      </c>
      <c r="C678" s="126">
        <f>'לקוחות לפי סוכן - מקור'!E732</f>
        <v/>
      </c>
      <c r="D678" s="102">
        <f>'לקוחות לפי סוכן - מקור'!F732</f>
        <v/>
      </c>
      <c r="E678" s="102">
        <f>'לקוחות לפי סוכן - מקור'!G732</f>
        <v/>
      </c>
      <c r="F678" s="94">
        <f>'לקוחות לפי סוכן - מקור'!D732</f>
        <v/>
      </c>
      <c r="G678" s="95">
        <f>'לקוחות לפי סוכן - מקור'!H732</f>
        <v/>
      </c>
      <c r="H678" s="95">
        <f>'לקוחות לפי סוכן - מקור'!I732</f>
        <v/>
      </c>
      <c r="I678" s="94">
        <f>'לקוחות לפי סוכן - מקור'!K732</f>
        <v/>
      </c>
    </row>
    <row r="679" outlineLevel="1" ht="15" customHeight="1" s="82">
      <c r="A679" s="94">
        <f>'לקוחות לפי סוכן - מקור'!A733</f>
        <v/>
      </c>
      <c r="B679" s="94">
        <f>'לקוחות לפי סוכן - מקור'!C733</f>
        <v/>
      </c>
      <c r="C679" s="126">
        <f>'לקוחות לפי סוכן - מקור'!E733</f>
        <v/>
      </c>
      <c r="D679" s="102">
        <f>'לקוחות לפי סוכן - מקור'!F733</f>
        <v/>
      </c>
      <c r="E679" s="102">
        <f>'לקוחות לפי סוכן - מקור'!G733</f>
        <v/>
      </c>
      <c r="F679" s="94">
        <f>'לקוחות לפי סוכן - מקור'!D733</f>
        <v/>
      </c>
      <c r="G679" s="95">
        <f>'לקוחות לפי סוכן - מקור'!H733</f>
        <v/>
      </c>
      <c r="H679" s="95">
        <f>'לקוחות לפי סוכן - מקור'!I733</f>
        <v/>
      </c>
      <c r="I679" s="94">
        <f>'לקוחות לפי סוכן - מקור'!K733</f>
        <v/>
      </c>
    </row>
    <row r="680" outlineLevel="1" ht="15" customHeight="1" s="82">
      <c r="A680" s="94">
        <f>'לקוחות לפי סוכן - מקור'!A734</f>
        <v/>
      </c>
      <c r="B680" s="94">
        <f>'לקוחות לפי סוכן - מקור'!C734</f>
        <v/>
      </c>
      <c r="C680" s="126">
        <f>'לקוחות לפי סוכן - מקור'!E734</f>
        <v/>
      </c>
      <c r="D680" s="102">
        <f>'לקוחות לפי סוכן - מקור'!F734</f>
        <v/>
      </c>
      <c r="E680" s="102">
        <f>'לקוחות לפי סוכן - מקור'!G734</f>
        <v/>
      </c>
      <c r="F680" s="94">
        <f>'לקוחות לפי סוכן - מקור'!D734</f>
        <v/>
      </c>
      <c r="G680" s="95">
        <f>'לקוחות לפי סוכן - מקור'!H734</f>
        <v/>
      </c>
      <c r="H680" s="95">
        <f>'לקוחות לפי סוכן - מקור'!I734</f>
        <v/>
      </c>
      <c r="I680" s="94">
        <f>'לקוחות לפי סוכן - מקור'!K734</f>
        <v/>
      </c>
    </row>
    <row r="681" outlineLevel="1" ht="15" customHeight="1" s="82">
      <c r="A681" s="94">
        <f>'לקוחות לפי סוכן - מקור'!A735</f>
        <v/>
      </c>
      <c r="B681" s="94">
        <f>'לקוחות לפי סוכן - מקור'!C735</f>
        <v/>
      </c>
      <c r="C681" s="126">
        <f>'לקוחות לפי סוכן - מקור'!E735</f>
        <v/>
      </c>
      <c r="D681" s="102">
        <f>'לקוחות לפי סוכן - מקור'!F735</f>
        <v/>
      </c>
      <c r="E681" s="102">
        <f>'לקוחות לפי סוכן - מקור'!G735</f>
        <v/>
      </c>
      <c r="F681" s="94">
        <f>'לקוחות לפי סוכן - מקור'!D735</f>
        <v/>
      </c>
      <c r="G681" s="95">
        <f>'לקוחות לפי סוכן - מקור'!H735</f>
        <v/>
      </c>
      <c r="H681" s="95">
        <f>'לקוחות לפי סוכן - מקור'!I735</f>
        <v/>
      </c>
      <c r="I681" s="94">
        <f>'לקוחות לפי סוכן - מקור'!K735</f>
        <v/>
      </c>
    </row>
    <row r="682" outlineLevel="1" ht="15" customHeight="1" s="82">
      <c r="A682" s="94">
        <f>'לקוחות לפי סוכן - מקור'!A736</f>
        <v/>
      </c>
      <c r="B682" s="94">
        <f>'לקוחות לפי סוכן - מקור'!C736</f>
        <v/>
      </c>
      <c r="C682" s="126">
        <f>'לקוחות לפי סוכן - מקור'!E736</f>
        <v/>
      </c>
      <c r="D682" s="102">
        <f>'לקוחות לפי סוכן - מקור'!F736</f>
        <v/>
      </c>
      <c r="E682" s="102">
        <f>'לקוחות לפי סוכן - מקור'!G736</f>
        <v/>
      </c>
      <c r="F682" s="94">
        <f>'לקוחות לפי סוכן - מקור'!D736</f>
        <v/>
      </c>
      <c r="G682" s="95">
        <f>'לקוחות לפי סוכן - מקור'!H736</f>
        <v/>
      </c>
      <c r="H682" s="95">
        <f>'לקוחות לפי סוכן - מקור'!I736</f>
        <v/>
      </c>
      <c r="I682" s="94">
        <f>'לקוחות לפי סוכן - מקור'!K736</f>
        <v/>
      </c>
    </row>
    <row r="683" outlineLevel="1" ht="15" customHeight="1" s="82">
      <c r="A683" s="94">
        <f>'לקוחות לפי סוכן - מקור'!A737</f>
        <v/>
      </c>
      <c r="B683" s="94">
        <f>'לקוחות לפי סוכן - מקור'!C737</f>
        <v/>
      </c>
      <c r="C683" s="126">
        <f>'לקוחות לפי סוכן - מקור'!E737</f>
        <v/>
      </c>
      <c r="D683" s="102">
        <f>'לקוחות לפי סוכן - מקור'!F737</f>
        <v/>
      </c>
      <c r="E683" s="102">
        <f>'לקוחות לפי סוכן - מקור'!G737</f>
        <v/>
      </c>
      <c r="F683" s="94">
        <f>'לקוחות לפי סוכן - מקור'!D737</f>
        <v/>
      </c>
      <c r="G683" s="95">
        <f>'לקוחות לפי סוכן - מקור'!H737</f>
        <v/>
      </c>
      <c r="H683" s="95">
        <f>'לקוחות לפי סוכן - מקור'!I737</f>
        <v/>
      </c>
      <c r="I683" s="94">
        <f>'לקוחות לפי סוכן - מקור'!K737</f>
        <v/>
      </c>
    </row>
    <row r="684" outlineLevel="1" ht="15" customHeight="1" s="82">
      <c r="A684" s="94">
        <f>'לקוחות לפי סוכן - מקור'!A738</f>
        <v/>
      </c>
      <c r="B684" s="94">
        <f>'לקוחות לפי סוכן - מקור'!C738</f>
        <v/>
      </c>
      <c r="C684" s="126">
        <f>'לקוחות לפי סוכן - מקור'!E738</f>
        <v/>
      </c>
      <c r="D684" s="102">
        <f>'לקוחות לפי סוכן - מקור'!F738</f>
        <v/>
      </c>
      <c r="E684" s="102">
        <f>'לקוחות לפי סוכן - מקור'!G738</f>
        <v/>
      </c>
      <c r="F684" s="94">
        <f>'לקוחות לפי סוכן - מקור'!D738</f>
        <v/>
      </c>
      <c r="G684" s="95">
        <f>'לקוחות לפי סוכן - מקור'!H738</f>
        <v/>
      </c>
      <c r="H684" s="95">
        <f>'לקוחות לפי סוכן - מקור'!I738</f>
        <v/>
      </c>
      <c r="I684" s="94">
        <f>'לקוחות לפי סוכן - מקור'!K738</f>
        <v/>
      </c>
    </row>
    <row r="685" outlineLevel="1" ht="15" customHeight="1" s="82">
      <c r="A685" s="94">
        <f>'לקוחות לפי סוכן - מקור'!A739</f>
        <v/>
      </c>
      <c r="B685" s="94">
        <f>'לקוחות לפי סוכן - מקור'!C739</f>
        <v/>
      </c>
      <c r="C685" s="126">
        <f>'לקוחות לפי סוכן - מקור'!E739</f>
        <v/>
      </c>
      <c r="D685" s="102">
        <f>'לקוחות לפי סוכן - מקור'!F739</f>
        <v/>
      </c>
      <c r="E685" s="102">
        <f>'לקוחות לפי סוכן - מקור'!G739</f>
        <v/>
      </c>
      <c r="F685" s="94">
        <f>'לקוחות לפי סוכן - מקור'!D739</f>
        <v/>
      </c>
      <c r="G685" s="95">
        <f>'לקוחות לפי סוכן - מקור'!H739</f>
        <v/>
      </c>
      <c r="H685" s="95">
        <f>'לקוחות לפי סוכן - מקור'!I739</f>
        <v/>
      </c>
      <c r="I685" s="94">
        <f>'לקוחות לפי סוכן - מקור'!K739</f>
        <v/>
      </c>
    </row>
    <row r="686" outlineLevel="1" ht="15" customHeight="1" s="82">
      <c r="A686" s="94">
        <f>'לקוחות לפי סוכן - מקור'!A740</f>
        <v/>
      </c>
      <c r="B686" s="94">
        <f>'לקוחות לפי סוכן - מקור'!C740</f>
        <v/>
      </c>
      <c r="C686" s="126">
        <f>'לקוחות לפי סוכן - מקור'!E740</f>
        <v/>
      </c>
      <c r="D686" s="102">
        <f>'לקוחות לפי סוכן - מקור'!F740</f>
        <v/>
      </c>
      <c r="E686" s="102">
        <f>'לקוחות לפי סוכן - מקור'!G740</f>
        <v/>
      </c>
      <c r="F686" s="94">
        <f>'לקוחות לפי סוכן - מקור'!D740</f>
        <v/>
      </c>
      <c r="G686" s="95">
        <f>'לקוחות לפי סוכן - מקור'!H740</f>
        <v/>
      </c>
      <c r="H686" s="95">
        <f>'לקוחות לפי סוכן - מקור'!I740</f>
        <v/>
      </c>
      <c r="I686" s="94">
        <f>'לקוחות לפי סוכן - מקור'!K740</f>
        <v/>
      </c>
    </row>
    <row r="687" outlineLevel="1" ht="15" customHeight="1" s="82">
      <c r="A687" s="94">
        <f>'לקוחות לפי סוכן - מקור'!A741</f>
        <v/>
      </c>
      <c r="B687" s="94">
        <f>'לקוחות לפי סוכן - מקור'!C741</f>
        <v/>
      </c>
      <c r="C687" s="126">
        <f>'לקוחות לפי סוכן - מקור'!E741</f>
        <v/>
      </c>
      <c r="D687" s="102">
        <f>'לקוחות לפי סוכן - מקור'!F741</f>
        <v/>
      </c>
      <c r="E687" s="102">
        <f>'לקוחות לפי סוכן - מקור'!G741</f>
        <v/>
      </c>
      <c r="F687" s="94">
        <f>'לקוחות לפי סוכן - מקור'!D741</f>
        <v/>
      </c>
      <c r="G687" s="95">
        <f>'לקוחות לפי סוכן - מקור'!H741</f>
        <v/>
      </c>
      <c r="H687" s="95">
        <f>'לקוחות לפי סוכן - מקור'!I741</f>
        <v/>
      </c>
      <c r="I687" s="94">
        <f>'לקוחות לפי סוכן - מקור'!K741</f>
        <v/>
      </c>
    </row>
    <row r="688" outlineLevel="1" ht="15" customHeight="1" s="82">
      <c r="A688" s="94">
        <f>'לקוחות לפי סוכן - מקור'!A742</f>
        <v/>
      </c>
      <c r="B688" s="94">
        <f>'לקוחות לפי סוכן - מקור'!C742</f>
        <v/>
      </c>
      <c r="C688" s="126">
        <f>'לקוחות לפי סוכן - מקור'!E742</f>
        <v/>
      </c>
      <c r="D688" s="102">
        <f>'לקוחות לפי סוכן - מקור'!F742</f>
        <v/>
      </c>
      <c r="E688" s="102">
        <f>'לקוחות לפי סוכן - מקור'!G742</f>
        <v/>
      </c>
      <c r="F688" s="94">
        <f>'לקוחות לפי סוכן - מקור'!D742</f>
        <v/>
      </c>
      <c r="G688" s="95">
        <f>'לקוחות לפי סוכן - מקור'!H742</f>
        <v/>
      </c>
      <c r="H688" s="95">
        <f>'לקוחות לפי סוכן - מקור'!I742</f>
        <v/>
      </c>
      <c r="I688" s="94">
        <f>'לקוחות לפי סוכן - מקור'!K742</f>
        <v/>
      </c>
    </row>
    <row r="689" outlineLevel="1" ht="15" customHeight="1" s="82">
      <c r="A689" s="94">
        <f>'לקוחות לפי סוכן - מקור'!A743</f>
        <v/>
      </c>
      <c r="B689" s="94">
        <f>'לקוחות לפי סוכן - מקור'!C743</f>
        <v/>
      </c>
      <c r="C689" s="126">
        <f>'לקוחות לפי סוכן - מקור'!E743</f>
        <v/>
      </c>
      <c r="D689" s="102">
        <f>'לקוחות לפי סוכן - מקור'!F743</f>
        <v/>
      </c>
      <c r="E689" s="102">
        <f>'לקוחות לפי סוכן - מקור'!G743</f>
        <v/>
      </c>
      <c r="F689" s="94">
        <f>'לקוחות לפי סוכן - מקור'!D743</f>
        <v/>
      </c>
      <c r="G689" s="95">
        <f>'לקוחות לפי סוכן - מקור'!H743</f>
        <v/>
      </c>
      <c r="H689" s="95">
        <f>'לקוחות לפי סוכן - מקור'!I743</f>
        <v/>
      </c>
      <c r="I689" s="94">
        <f>'לקוחות לפי סוכן - מקור'!K743</f>
        <v/>
      </c>
    </row>
    <row r="690" outlineLevel="1" ht="15" customHeight="1" s="82">
      <c r="A690" s="94">
        <f>'לקוחות לפי סוכן - מקור'!A744</f>
        <v/>
      </c>
      <c r="B690" s="94">
        <f>'לקוחות לפי סוכן - מקור'!C744</f>
        <v/>
      </c>
      <c r="C690" s="126">
        <f>'לקוחות לפי סוכן - מקור'!E744</f>
        <v/>
      </c>
      <c r="D690" s="102">
        <f>'לקוחות לפי סוכן - מקור'!F744</f>
        <v/>
      </c>
      <c r="E690" s="102">
        <f>'לקוחות לפי סוכן - מקור'!G744</f>
        <v/>
      </c>
      <c r="F690" s="94">
        <f>'לקוחות לפי סוכן - מקור'!D744</f>
        <v/>
      </c>
      <c r="G690" s="95">
        <f>'לקוחות לפי סוכן - מקור'!H744</f>
        <v/>
      </c>
      <c r="H690" s="95">
        <f>'לקוחות לפי סוכן - מקור'!I744</f>
        <v/>
      </c>
      <c r="I690" s="94">
        <f>'לקוחות לפי סוכן - מקור'!K744</f>
        <v/>
      </c>
    </row>
    <row r="691" outlineLevel="1" ht="15" customHeight="1" s="82">
      <c r="A691" s="94">
        <f>'לקוחות לפי סוכן - מקור'!A745</f>
        <v/>
      </c>
      <c r="B691" s="94">
        <f>'לקוחות לפי סוכן - מקור'!C745</f>
        <v/>
      </c>
      <c r="C691" s="126">
        <f>'לקוחות לפי סוכן - מקור'!E745</f>
        <v/>
      </c>
      <c r="D691" s="102">
        <f>'לקוחות לפי סוכן - מקור'!F745</f>
        <v/>
      </c>
      <c r="E691" s="102">
        <f>'לקוחות לפי סוכן - מקור'!G745</f>
        <v/>
      </c>
      <c r="F691" s="94">
        <f>'לקוחות לפי סוכן - מקור'!D745</f>
        <v/>
      </c>
      <c r="G691" s="95">
        <f>'לקוחות לפי סוכן - מקור'!H745</f>
        <v/>
      </c>
      <c r="H691" s="95">
        <f>'לקוחות לפי סוכן - מקור'!I745</f>
        <v/>
      </c>
      <c r="I691" s="94">
        <f>'לקוחות לפי סוכן - מקור'!K745</f>
        <v/>
      </c>
    </row>
    <row r="692" outlineLevel="1" ht="15" customHeight="1" s="82">
      <c r="A692" s="94">
        <f>'לקוחות לפי סוכן - מקור'!A746</f>
        <v/>
      </c>
      <c r="B692" s="94">
        <f>'לקוחות לפי סוכן - מקור'!C746</f>
        <v/>
      </c>
      <c r="C692" s="126">
        <f>'לקוחות לפי סוכן - מקור'!E746</f>
        <v/>
      </c>
      <c r="D692" s="102">
        <f>'לקוחות לפי סוכן - מקור'!F746</f>
        <v/>
      </c>
      <c r="E692" s="102">
        <f>'לקוחות לפי סוכן - מקור'!G746</f>
        <v/>
      </c>
      <c r="F692" s="94">
        <f>'לקוחות לפי סוכן - מקור'!D746</f>
        <v/>
      </c>
      <c r="G692" s="95">
        <f>'לקוחות לפי סוכן - מקור'!H746</f>
        <v/>
      </c>
      <c r="H692" s="95">
        <f>'לקוחות לפי סוכן - מקור'!I746</f>
        <v/>
      </c>
      <c r="I692" s="94">
        <f>'לקוחות לפי סוכן - מקור'!K746</f>
        <v/>
      </c>
    </row>
    <row r="693" outlineLevel="1" ht="15" customHeight="1" s="82">
      <c r="A693" s="94">
        <f>'לקוחות לפי סוכן - מקור'!A747</f>
        <v/>
      </c>
      <c r="B693" s="94">
        <f>'לקוחות לפי סוכן - מקור'!C747</f>
        <v/>
      </c>
      <c r="C693" s="126">
        <f>'לקוחות לפי סוכן - מקור'!E747</f>
        <v/>
      </c>
      <c r="D693" s="102">
        <f>'לקוחות לפי סוכן - מקור'!F747</f>
        <v/>
      </c>
      <c r="E693" s="102">
        <f>'לקוחות לפי סוכן - מקור'!G747</f>
        <v/>
      </c>
      <c r="F693" s="94">
        <f>'לקוחות לפי סוכן - מקור'!D747</f>
        <v/>
      </c>
      <c r="G693" s="95">
        <f>'לקוחות לפי סוכן - מקור'!H747</f>
        <v/>
      </c>
      <c r="H693" s="95">
        <f>'לקוחות לפי סוכן - מקור'!I747</f>
        <v/>
      </c>
      <c r="I693" s="94">
        <f>'לקוחות לפי סוכן - מקור'!K747</f>
        <v/>
      </c>
    </row>
    <row r="694" outlineLevel="1" ht="15" customHeight="1" s="82">
      <c r="A694" s="94">
        <f>'לקוחות לפי סוכן - מקור'!A748</f>
        <v/>
      </c>
      <c r="B694" s="94">
        <f>'לקוחות לפי סוכן - מקור'!C748</f>
        <v/>
      </c>
      <c r="C694" s="126">
        <f>'לקוחות לפי סוכן - מקור'!E748</f>
        <v/>
      </c>
      <c r="D694" s="102">
        <f>'לקוחות לפי סוכן - מקור'!F748</f>
        <v/>
      </c>
      <c r="E694" s="102">
        <f>'לקוחות לפי סוכן - מקור'!G748</f>
        <v/>
      </c>
      <c r="F694" s="94">
        <f>'לקוחות לפי סוכן - מקור'!D748</f>
        <v/>
      </c>
      <c r="G694" s="95">
        <f>'לקוחות לפי סוכן - מקור'!H748</f>
        <v/>
      </c>
      <c r="H694" s="95">
        <f>'לקוחות לפי סוכן - מקור'!I748</f>
        <v/>
      </c>
      <c r="I694" s="94">
        <f>'לקוחות לפי סוכן - מקור'!K748</f>
        <v/>
      </c>
    </row>
    <row r="695" outlineLevel="1" ht="15" customHeight="1" s="82">
      <c r="A695" s="94">
        <f>'לקוחות לפי סוכן - מקור'!A749</f>
        <v/>
      </c>
      <c r="B695" s="94">
        <f>'לקוחות לפי סוכן - מקור'!C749</f>
        <v/>
      </c>
      <c r="C695" s="126">
        <f>'לקוחות לפי סוכן - מקור'!E749</f>
        <v/>
      </c>
      <c r="D695" s="102">
        <f>'לקוחות לפי סוכן - מקור'!F749</f>
        <v/>
      </c>
      <c r="E695" s="102">
        <f>'לקוחות לפי סוכן - מקור'!G749</f>
        <v/>
      </c>
      <c r="F695" s="94">
        <f>'לקוחות לפי סוכן - מקור'!D749</f>
        <v/>
      </c>
      <c r="G695" s="95">
        <f>'לקוחות לפי סוכן - מקור'!H749</f>
        <v/>
      </c>
      <c r="H695" s="95">
        <f>'לקוחות לפי סוכן - מקור'!I749</f>
        <v/>
      </c>
      <c r="I695" s="94">
        <f>'לקוחות לפי סוכן - מקור'!K749</f>
        <v/>
      </c>
    </row>
    <row r="696" outlineLevel="1" ht="15" customHeight="1" s="82">
      <c r="A696" s="94">
        <f>'לקוחות לפי סוכן - מקור'!A750</f>
        <v/>
      </c>
      <c r="B696" s="94">
        <f>'לקוחות לפי סוכן - מקור'!C750</f>
        <v/>
      </c>
      <c r="C696" s="126">
        <f>'לקוחות לפי סוכן - מקור'!E750</f>
        <v/>
      </c>
      <c r="D696" s="102">
        <f>'לקוחות לפי סוכן - מקור'!F750</f>
        <v/>
      </c>
      <c r="E696" s="102">
        <f>'לקוחות לפי סוכן - מקור'!G750</f>
        <v/>
      </c>
      <c r="F696" s="94">
        <f>'לקוחות לפי סוכן - מקור'!D750</f>
        <v/>
      </c>
      <c r="G696" s="95">
        <f>'לקוחות לפי סוכן - מקור'!H750</f>
        <v/>
      </c>
      <c r="H696" s="95">
        <f>'לקוחות לפי סוכן - מקור'!I750</f>
        <v/>
      </c>
      <c r="I696" s="94">
        <f>'לקוחות לפי סוכן - מקור'!K750</f>
        <v/>
      </c>
    </row>
    <row r="697" outlineLevel="1" ht="15" customHeight="1" s="82">
      <c r="A697" s="94">
        <f>'לקוחות לפי סוכן - מקור'!A751</f>
        <v/>
      </c>
      <c r="B697" s="94">
        <f>'לקוחות לפי סוכן - מקור'!C751</f>
        <v/>
      </c>
      <c r="C697" s="126">
        <f>'לקוחות לפי סוכן - מקור'!E751</f>
        <v/>
      </c>
      <c r="D697" s="102">
        <f>'לקוחות לפי סוכן - מקור'!F751</f>
        <v/>
      </c>
      <c r="E697" s="102">
        <f>'לקוחות לפי סוכן - מקור'!G751</f>
        <v/>
      </c>
      <c r="F697" s="94">
        <f>'לקוחות לפי סוכן - מקור'!D751</f>
        <v/>
      </c>
      <c r="G697" s="95">
        <f>'לקוחות לפי סוכן - מקור'!H751</f>
        <v/>
      </c>
      <c r="H697" s="95">
        <f>'לקוחות לפי סוכן - מקור'!I751</f>
        <v/>
      </c>
      <c r="I697" s="94">
        <f>'לקוחות לפי סוכן - מקור'!K751</f>
        <v/>
      </c>
    </row>
    <row r="698" outlineLevel="1" ht="15" customHeight="1" s="82">
      <c r="A698" s="94">
        <f>'לקוחות לפי סוכן - מקור'!A752</f>
        <v/>
      </c>
      <c r="B698" s="94">
        <f>'לקוחות לפי סוכן - מקור'!C752</f>
        <v/>
      </c>
      <c r="C698" s="126">
        <f>'לקוחות לפי סוכן - מקור'!E752</f>
        <v/>
      </c>
      <c r="D698" s="102">
        <f>'לקוחות לפי סוכן - מקור'!F752</f>
        <v/>
      </c>
      <c r="E698" s="102">
        <f>'לקוחות לפי סוכן - מקור'!G752</f>
        <v/>
      </c>
      <c r="F698" s="94">
        <f>'לקוחות לפי סוכן - מקור'!D752</f>
        <v/>
      </c>
      <c r="G698" s="95">
        <f>'לקוחות לפי סוכן - מקור'!H752</f>
        <v/>
      </c>
      <c r="H698" s="95">
        <f>'לקוחות לפי סוכן - מקור'!I752</f>
        <v/>
      </c>
      <c r="I698" s="94">
        <f>'לקוחות לפי סוכן - מקור'!K752</f>
        <v/>
      </c>
    </row>
    <row r="699" outlineLevel="1" ht="15" customHeight="1" s="82">
      <c r="A699" s="94">
        <f>'לקוחות לפי סוכן - מקור'!A753</f>
        <v/>
      </c>
      <c r="B699" s="94">
        <f>'לקוחות לפי סוכן - מקור'!C753</f>
        <v/>
      </c>
      <c r="C699" s="126">
        <f>'לקוחות לפי סוכן - מקור'!E753</f>
        <v/>
      </c>
      <c r="D699" s="102">
        <f>'לקוחות לפי סוכן - מקור'!F753</f>
        <v/>
      </c>
      <c r="E699" s="102">
        <f>'לקוחות לפי סוכן - מקור'!G753</f>
        <v/>
      </c>
      <c r="F699" s="94">
        <f>'לקוחות לפי סוכן - מקור'!D753</f>
        <v/>
      </c>
      <c r="G699" s="95">
        <f>'לקוחות לפי סוכן - מקור'!H753</f>
        <v/>
      </c>
      <c r="H699" s="95">
        <f>'לקוחות לפי סוכן - מקור'!I753</f>
        <v/>
      </c>
      <c r="I699" s="94">
        <f>'לקוחות לפי סוכן - מקור'!K753</f>
        <v/>
      </c>
    </row>
    <row r="700" outlineLevel="1" ht="15" customHeight="1" s="82">
      <c r="A700" s="94">
        <f>'לקוחות לפי סוכן - מקור'!A754</f>
        <v/>
      </c>
      <c r="B700" s="94">
        <f>'לקוחות לפי סוכן - מקור'!C754</f>
        <v/>
      </c>
      <c r="C700" s="126">
        <f>'לקוחות לפי סוכן - מקור'!E754</f>
        <v/>
      </c>
      <c r="D700" s="102">
        <f>'לקוחות לפי סוכן - מקור'!F754</f>
        <v/>
      </c>
      <c r="E700" s="102">
        <f>'לקוחות לפי סוכן - מקור'!G754</f>
        <v/>
      </c>
      <c r="F700" s="94">
        <f>'לקוחות לפי סוכן - מקור'!D754</f>
        <v/>
      </c>
      <c r="G700" s="95">
        <f>'לקוחות לפי סוכן - מקור'!H754</f>
        <v/>
      </c>
      <c r="H700" s="95">
        <f>'לקוחות לפי סוכן - מקור'!I754</f>
        <v/>
      </c>
      <c r="I700" s="94">
        <f>'לקוחות לפי סוכן - מקור'!K754</f>
        <v/>
      </c>
    </row>
    <row r="701" outlineLevel="1" ht="15" customHeight="1" s="82">
      <c r="A701" s="94">
        <f>'לקוחות לפי סוכן - מקור'!A755</f>
        <v/>
      </c>
      <c r="B701" s="94">
        <f>'לקוחות לפי סוכן - מקור'!C755</f>
        <v/>
      </c>
      <c r="C701" s="126">
        <f>'לקוחות לפי סוכן - מקור'!E755</f>
        <v/>
      </c>
      <c r="D701" s="102">
        <f>'לקוחות לפי סוכן - מקור'!F755</f>
        <v/>
      </c>
      <c r="E701" s="102">
        <f>'לקוחות לפי סוכן - מקור'!G755</f>
        <v/>
      </c>
      <c r="F701" s="94">
        <f>'לקוחות לפי סוכן - מקור'!D755</f>
        <v/>
      </c>
      <c r="G701" s="95">
        <f>'לקוחות לפי סוכן - מקור'!H755</f>
        <v/>
      </c>
      <c r="H701" s="95">
        <f>'לקוחות לפי סוכן - מקור'!I755</f>
        <v/>
      </c>
      <c r="I701" s="94">
        <f>'לקוחות לפי סוכן - מקור'!K755</f>
        <v/>
      </c>
    </row>
    <row r="702" outlineLevel="1" ht="15" customHeight="1" s="82">
      <c r="A702" s="94">
        <f>'לקוחות לפי סוכן - מקור'!A756</f>
        <v/>
      </c>
      <c r="B702" s="94">
        <f>'לקוחות לפי סוכן - מקור'!C756</f>
        <v/>
      </c>
      <c r="C702" s="126">
        <f>'לקוחות לפי סוכן - מקור'!E756</f>
        <v/>
      </c>
      <c r="D702" s="102">
        <f>'לקוחות לפי סוכן - מקור'!F756</f>
        <v/>
      </c>
      <c r="E702" s="102">
        <f>'לקוחות לפי סוכן - מקור'!G756</f>
        <v/>
      </c>
      <c r="F702" s="94">
        <f>'לקוחות לפי סוכן - מקור'!D756</f>
        <v/>
      </c>
      <c r="G702" s="95">
        <f>'לקוחות לפי סוכן - מקור'!H756</f>
        <v/>
      </c>
      <c r="H702" s="95">
        <f>'לקוחות לפי סוכן - מקור'!I756</f>
        <v/>
      </c>
      <c r="I702" s="94">
        <f>'לקוחות לפי סוכן - מקור'!K756</f>
        <v/>
      </c>
    </row>
    <row r="703" outlineLevel="1" ht="15" customHeight="1" s="82">
      <c r="A703" s="94">
        <f>'לקוחות לפי סוכן - מקור'!A757</f>
        <v/>
      </c>
      <c r="B703" s="94">
        <f>'לקוחות לפי סוכן - מקור'!C757</f>
        <v/>
      </c>
      <c r="C703" s="126">
        <f>'לקוחות לפי סוכן - מקור'!E757</f>
        <v/>
      </c>
      <c r="D703" s="102">
        <f>'לקוחות לפי סוכן - מקור'!F757</f>
        <v/>
      </c>
      <c r="E703" s="102">
        <f>'לקוחות לפי סוכן - מקור'!G757</f>
        <v/>
      </c>
      <c r="F703" s="94">
        <f>'לקוחות לפי סוכן - מקור'!D757</f>
        <v/>
      </c>
      <c r="G703" s="95">
        <f>'לקוחות לפי סוכן - מקור'!H757</f>
        <v/>
      </c>
      <c r="H703" s="95">
        <f>'לקוחות לפי סוכן - מקור'!I757</f>
        <v/>
      </c>
      <c r="I703" s="94">
        <f>'לקוחות לפי סוכן - מקור'!K757</f>
        <v/>
      </c>
    </row>
    <row r="704" outlineLevel="1" ht="15" customHeight="1" s="82">
      <c r="A704" s="94">
        <f>'לקוחות לפי סוכן - מקור'!A758</f>
        <v/>
      </c>
      <c r="B704" s="94">
        <f>'לקוחות לפי סוכן - מקור'!C758</f>
        <v/>
      </c>
      <c r="C704" s="126">
        <f>'לקוחות לפי סוכן - מקור'!E758</f>
        <v/>
      </c>
      <c r="D704" s="102">
        <f>'לקוחות לפי סוכן - מקור'!F758</f>
        <v/>
      </c>
      <c r="E704" s="102">
        <f>'לקוחות לפי סוכן - מקור'!G758</f>
        <v/>
      </c>
      <c r="F704" s="94">
        <f>'לקוחות לפי סוכן - מקור'!D758</f>
        <v/>
      </c>
      <c r="G704" s="95">
        <f>'לקוחות לפי סוכן - מקור'!H758</f>
        <v/>
      </c>
      <c r="H704" s="95">
        <f>'לקוחות לפי סוכן - מקור'!I758</f>
        <v/>
      </c>
      <c r="I704" s="94">
        <f>'לקוחות לפי סוכן - מקור'!K758</f>
        <v/>
      </c>
    </row>
    <row r="705" outlineLevel="1" ht="15" customHeight="1" s="82">
      <c r="A705" s="94">
        <f>'לקוחות לפי סוכן - מקור'!A759</f>
        <v/>
      </c>
      <c r="B705" s="94">
        <f>'לקוחות לפי סוכן - מקור'!C759</f>
        <v/>
      </c>
      <c r="C705" s="126">
        <f>'לקוחות לפי סוכן - מקור'!E759</f>
        <v/>
      </c>
      <c r="D705" s="102">
        <f>'לקוחות לפי סוכן - מקור'!F759</f>
        <v/>
      </c>
      <c r="E705" s="102">
        <f>'לקוחות לפי סוכן - מקור'!G759</f>
        <v/>
      </c>
      <c r="F705" s="94">
        <f>'לקוחות לפי סוכן - מקור'!D759</f>
        <v/>
      </c>
      <c r="G705" s="95">
        <f>'לקוחות לפי סוכן - מקור'!H759</f>
        <v/>
      </c>
      <c r="H705" s="95">
        <f>'לקוחות לפי סוכן - מקור'!I759</f>
        <v/>
      </c>
      <c r="I705" s="94">
        <f>'לקוחות לפי סוכן - מקור'!K759</f>
        <v/>
      </c>
    </row>
    <row r="706" outlineLevel="1" ht="15" customHeight="1" s="82">
      <c r="A706" s="94">
        <f>'לקוחות לפי סוכן - מקור'!A760</f>
        <v/>
      </c>
      <c r="B706" s="94">
        <f>'לקוחות לפי סוכן - מקור'!C760</f>
        <v/>
      </c>
      <c r="C706" s="126">
        <f>'לקוחות לפי סוכן - מקור'!E760</f>
        <v/>
      </c>
      <c r="D706" s="102">
        <f>'לקוחות לפי סוכן - מקור'!F760</f>
        <v/>
      </c>
      <c r="E706" s="102">
        <f>'לקוחות לפי סוכן - מקור'!G760</f>
        <v/>
      </c>
      <c r="F706" s="94">
        <f>'לקוחות לפי סוכן - מקור'!D760</f>
        <v/>
      </c>
      <c r="G706" s="95">
        <f>'לקוחות לפי סוכן - מקור'!H760</f>
        <v/>
      </c>
      <c r="H706" s="95">
        <f>'לקוחות לפי סוכן - מקור'!I760</f>
        <v/>
      </c>
      <c r="I706" s="94">
        <f>'לקוחות לפי סוכן - מקור'!K760</f>
        <v/>
      </c>
    </row>
    <row r="707" outlineLevel="1" ht="15" customHeight="1" s="82">
      <c r="A707" s="94">
        <f>'לקוחות לפי סוכן - מקור'!A761</f>
        <v/>
      </c>
      <c r="B707" s="94">
        <f>'לקוחות לפי סוכן - מקור'!C761</f>
        <v/>
      </c>
      <c r="C707" s="126">
        <f>'לקוחות לפי סוכן - מקור'!E761</f>
        <v/>
      </c>
      <c r="D707" s="102">
        <f>'לקוחות לפי סוכן - מקור'!F761</f>
        <v/>
      </c>
      <c r="E707" s="102">
        <f>'לקוחות לפי סוכן - מקור'!G761</f>
        <v/>
      </c>
      <c r="F707" s="94">
        <f>'לקוחות לפי סוכן - מקור'!D761</f>
        <v/>
      </c>
      <c r="G707" s="95">
        <f>'לקוחות לפי סוכן - מקור'!H761</f>
        <v/>
      </c>
      <c r="H707" s="95">
        <f>'לקוחות לפי סוכן - מקור'!I761</f>
        <v/>
      </c>
      <c r="I707" s="94">
        <f>'לקוחות לפי סוכן - מקור'!K761</f>
        <v/>
      </c>
    </row>
    <row r="708" outlineLevel="1" ht="15" customHeight="1" s="82">
      <c r="A708" s="94">
        <f>'לקוחות לפי סוכן - מקור'!A762</f>
        <v/>
      </c>
      <c r="B708" s="94">
        <f>'לקוחות לפי סוכן - מקור'!C762</f>
        <v/>
      </c>
      <c r="C708" s="126">
        <f>'לקוחות לפי סוכן - מקור'!E762</f>
        <v/>
      </c>
      <c r="D708" s="102">
        <f>'לקוחות לפי סוכן - מקור'!F762</f>
        <v/>
      </c>
      <c r="E708" s="102">
        <f>'לקוחות לפי סוכן - מקור'!G762</f>
        <v/>
      </c>
      <c r="F708" s="94">
        <f>'לקוחות לפי סוכן - מקור'!D762</f>
        <v/>
      </c>
      <c r="G708" s="95">
        <f>'לקוחות לפי סוכן - מקור'!H762</f>
        <v/>
      </c>
      <c r="H708" s="95">
        <f>'לקוחות לפי סוכן - מקור'!I762</f>
        <v/>
      </c>
      <c r="I708" s="94">
        <f>'לקוחות לפי סוכן - מקור'!K762</f>
        <v/>
      </c>
    </row>
    <row r="709" outlineLevel="1" ht="15" customHeight="1" s="82">
      <c r="A709" s="94">
        <f>'לקוחות לפי סוכן - מקור'!A763</f>
        <v/>
      </c>
      <c r="B709" s="94">
        <f>'לקוחות לפי סוכן - מקור'!C763</f>
        <v/>
      </c>
      <c r="C709" s="126">
        <f>'לקוחות לפי סוכן - מקור'!E763</f>
        <v/>
      </c>
      <c r="D709" s="102">
        <f>'לקוחות לפי סוכן - מקור'!F763</f>
        <v/>
      </c>
      <c r="E709" s="102">
        <f>'לקוחות לפי סוכן - מקור'!G763</f>
        <v/>
      </c>
      <c r="F709" s="94">
        <f>'לקוחות לפי סוכן - מקור'!D763</f>
        <v/>
      </c>
      <c r="G709" s="95">
        <f>'לקוחות לפי סוכן - מקור'!H763</f>
        <v/>
      </c>
      <c r="H709" s="95">
        <f>'לקוחות לפי סוכן - מקור'!I763</f>
        <v/>
      </c>
      <c r="I709" s="94">
        <f>'לקוחות לפי סוכן - מקור'!K763</f>
        <v/>
      </c>
    </row>
    <row r="710" outlineLevel="1" ht="15" customHeight="1" s="82">
      <c r="A710" s="94">
        <f>'לקוחות לפי סוכן - מקור'!A764</f>
        <v/>
      </c>
      <c r="B710" s="94">
        <f>'לקוחות לפי סוכן - מקור'!C764</f>
        <v/>
      </c>
      <c r="C710" s="126">
        <f>'לקוחות לפי סוכן - מקור'!E764</f>
        <v/>
      </c>
      <c r="D710" s="102">
        <f>'לקוחות לפי סוכן - מקור'!F764</f>
        <v/>
      </c>
      <c r="E710" s="102">
        <f>'לקוחות לפי סוכן - מקור'!G764</f>
        <v/>
      </c>
      <c r="F710" s="94">
        <f>'לקוחות לפי סוכן - מקור'!D764</f>
        <v/>
      </c>
      <c r="G710" s="95">
        <f>'לקוחות לפי סוכן - מקור'!H764</f>
        <v/>
      </c>
      <c r="H710" s="95">
        <f>'לקוחות לפי סוכן - מקור'!I764</f>
        <v/>
      </c>
      <c r="I710" s="94">
        <f>'לקוחות לפי סוכן - מקור'!K764</f>
        <v/>
      </c>
    </row>
    <row r="711" outlineLevel="1" ht="15" customHeight="1" s="82">
      <c r="A711" s="94">
        <f>'לקוחות לפי סוכן - מקור'!A765</f>
        <v/>
      </c>
      <c r="B711" s="94">
        <f>'לקוחות לפי סוכן - מקור'!C765</f>
        <v/>
      </c>
      <c r="C711" s="126">
        <f>'לקוחות לפי סוכן - מקור'!E765</f>
        <v/>
      </c>
      <c r="D711" s="102">
        <f>'לקוחות לפי סוכן - מקור'!F765</f>
        <v/>
      </c>
      <c r="E711" s="102">
        <f>'לקוחות לפי סוכן - מקור'!G765</f>
        <v/>
      </c>
      <c r="F711" s="94">
        <f>'לקוחות לפי סוכן - מקור'!D765</f>
        <v/>
      </c>
      <c r="G711" s="95">
        <f>'לקוחות לפי סוכן - מקור'!H765</f>
        <v/>
      </c>
      <c r="H711" s="95">
        <f>'לקוחות לפי סוכן - מקור'!I765</f>
        <v/>
      </c>
      <c r="I711" s="94">
        <f>'לקוחות לפי סוכן - מקור'!K765</f>
        <v/>
      </c>
    </row>
    <row r="712" outlineLevel="1" ht="15" customHeight="1" s="82">
      <c r="A712" s="94">
        <f>'לקוחות לפי סוכן - מקור'!A766</f>
        <v/>
      </c>
      <c r="B712" s="94">
        <f>'לקוחות לפי סוכן - מקור'!C766</f>
        <v/>
      </c>
      <c r="C712" s="126">
        <f>'לקוחות לפי סוכן - מקור'!E766</f>
        <v/>
      </c>
      <c r="D712" s="102">
        <f>'לקוחות לפי סוכן - מקור'!F766</f>
        <v/>
      </c>
      <c r="E712" s="102">
        <f>'לקוחות לפי סוכן - מקור'!G766</f>
        <v/>
      </c>
      <c r="F712" s="94">
        <f>'לקוחות לפי סוכן - מקור'!D766</f>
        <v/>
      </c>
      <c r="G712" s="95">
        <f>'לקוחות לפי סוכן - מקור'!H766</f>
        <v/>
      </c>
      <c r="H712" s="95">
        <f>'לקוחות לפי סוכן - מקור'!I766</f>
        <v/>
      </c>
      <c r="I712" s="94">
        <f>'לקוחות לפי סוכן - מקור'!K766</f>
        <v/>
      </c>
    </row>
    <row r="713" outlineLevel="1" ht="15" customHeight="1" s="82">
      <c r="A713" s="94">
        <f>'לקוחות לפי סוכן - מקור'!A767</f>
        <v/>
      </c>
      <c r="B713" s="94">
        <f>'לקוחות לפי סוכן - מקור'!C767</f>
        <v/>
      </c>
      <c r="C713" s="126">
        <f>'לקוחות לפי סוכן - מקור'!E767</f>
        <v/>
      </c>
      <c r="D713" s="102">
        <f>'לקוחות לפי סוכן - מקור'!F767</f>
        <v/>
      </c>
      <c r="E713" s="102">
        <f>'לקוחות לפי סוכן - מקור'!G767</f>
        <v/>
      </c>
      <c r="F713" s="94">
        <f>'לקוחות לפי סוכן - מקור'!D767</f>
        <v/>
      </c>
      <c r="G713" s="95">
        <f>'לקוחות לפי סוכן - מקור'!H767</f>
        <v/>
      </c>
      <c r="H713" s="95">
        <f>'לקוחות לפי סוכן - מקור'!I767</f>
        <v/>
      </c>
      <c r="I713" s="94">
        <f>'לקוחות לפי סוכן - מקור'!K767</f>
        <v/>
      </c>
    </row>
    <row r="714" outlineLevel="1" ht="15" customHeight="1" s="82">
      <c r="A714" s="94">
        <f>'לקוחות לפי סוכן - מקור'!A768</f>
        <v/>
      </c>
      <c r="B714" s="94">
        <f>'לקוחות לפי סוכן - מקור'!C768</f>
        <v/>
      </c>
      <c r="C714" s="126">
        <f>'לקוחות לפי סוכן - מקור'!E768</f>
        <v/>
      </c>
      <c r="D714" s="102">
        <f>'לקוחות לפי סוכן - מקור'!F768</f>
        <v/>
      </c>
      <c r="E714" s="102">
        <f>'לקוחות לפי סוכן - מקור'!G768</f>
        <v/>
      </c>
      <c r="F714" s="94">
        <f>'לקוחות לפי סוכן - מקור'!D768</f>
        <v/>
      </c>
      <c r="G714" s="95">
        <f>'לקוחות לפי סוכן - מקור'!H768</f>
        <v/>
      </c>
      <c r="H714" s="95">
        <f>'לקוחות לפי סוכן - מקור'!I768</f>
        <v/>
      </c>
      <c r="I714" s="94">
        <f>'לקוחות לפי סוכן - מקור'!K768</f>
        <v/>
      </c>
    </row>
    <row r="715" outlineLevel="1" ht="15" customHeight="1" s="82">
      <c r="A715" s="94">
        <f>'לקוחות לפי סוכן - מקור'!A769</f>
        <v/>
      </c>
      <c r="B715" s="94">
        <f>'לקוחות לפי סוכן - מקור'!C769</f>
        <v/>
      </c>
      <c r="C715" s="126">
        <f>'לקוחות לפי סוכן - מקור'!E769</f>
        <v/>
      </c>
      <c r="D715" s="102">
        <f>'לקוחות לפי סוכן - מקור'!F769</f>
        <v/>
      </c>
      <c r="E715" s="102">
        <f>'לקוחות לפי סוכן - מקור'!G769</f>
        <v/>
      </c>
      <c r="F715" s="94">
        <f>'לקוחות לפי סוכן - מקור'!D769</f>
        <v/>
      </c>
      <c r="G715" s="95">
        <f>'לקוחות לפי סוכן - מקור'!H769</f>
        <v/>
      </c>
      <c r="H715" s="95">
        <f>'לקוחות לפי סוכן - מקור'!I769</f>
        <v/>
      </c>
      <c r="I715" s="94">
        <f>'לקוחות לפי סוכן - מקור'!K769</f>
        <v/>
      </c>
    </row>
    <row r="716" outlineLevel="1" ht="15" customHeight="1" s="82">
      <c r="A716" s="94">
        <f>'לקוחות לפי סוכן - מקור'!A770</f>
        <v/>
      </c>
      <c r="B716" s="94">
        <f>'לקוחות לפי סוכן - מקור'!C770</f>
        <v/>
      </c>
      <c r="C716" s="126">
        <f>'לקוחות לפי סוכן - מקור'!E770</f>
        <v/>
      </c>
      <c r="D716" s="102">
        <f>'לקוחות לפי סוכן - מקור'!F770</f>
        <v/>
      </c>
      <c r="E716" s="102">
        <f>'לקוחות לפי סוכן - מקור'!G770</f>
        <v/>
      </c>
      <c r="F716" s="94">
        <f>'לקוחות לפי סוכן - מקור'!D770</f>
        <v/>
      </c>
      <c r="G716" s="95">
        <f>'לקוחות לפי סוכן - מקור'!H770</f>
        <v/>
      </c>
      <c r="H716" s="95">
        <f>'לקוחות לפי סוכן - מקור'!I770</f>
        <v/>
      </c>
      <c r="I716" s="94">
        <f>'לקוחות לפי סוכן - מקור'!K770</f>
        <v/>
      </c>
    </row>
    <row r="717" outlineLevel="1" ht="15" customHeight="1" s="82">
      <c r="A717" s="94">
        <f>'לקוחות לפי סוכן - מקור'!A771</f>
        <v/>
      </c>
      <c r="B717" s="94">
        <f>'לקוחות לפי סוכן - מקור'!C771</f>
        <v/>
      </c>
      <c r="C717" s="126">
        <f>'לקוחות לפי סוכן - מקור'!E771</f>
        <v/>
      </c>
      <c r="D717" s="102">
        <f>'לקוחות לפי סוכן - מקור'!F771</f>
        <v/>
      </c>
      <c r="E717" s="102">
        <f>'לקוחות לפי סוכן - מקור'!G771</f>
        <v/>
      </c>
      <c r="F717" s="94">
        <f>'לקוחות לפי סוכן - מקור'!D771</f>
        <v/>
      </c>
      <c r="G717" s="95">
        <f>'לקוחות לפי סוכן - מקור'!H771</f>
        <v/>
      </c>
      <c r="H717" s="95">
        <f>'לקוחות לפי סוכן - מקור'!I771</f>
        <v/>
      </c>
      <c r="I717" s="94">
        <f>'לקוחות לפי סוכן - מקור'!K771</f>
        <v/>
      </c>
    </row>
    <row r="718" outlineLevel="1" ht="15" customHeight="1" s="82">
      <c r="A718" s="94">
        <f>'לקוחות לפי סוכן - מקור'!A772</f>
        <v/>
      </c>
      <c r="B718" s="94">
        <f>'לקוחות לפי סוכן - מקור'!C772</f>
        <v/>
      </c>
      <c r="C718" s="126">
        <f>'לקוחות לפי סוכן - מקור'!E772</f>
        <v/>
      </c>
      <c r="D718" s="102">
        <f>'לקוחות לפי סוכן - מקור'!F772</f>
        <v/>
      </c>
      <c r="E718" s="102">
        <f>'לקוחות לפי סוכן - מקור'!G772</f>
        <v/>
      </c>
      <c r="F718" s="94">
        <f>'לקוחות לפי סוכן - מקור'!D772</f>
        <v/>
      </c>
      <c r="G718" s="95">
        <f>'לקוחות לפי סוכן - מקור'!H772</f>
        <v/>
      </c>
      <c r="H718" s="95">
        <f>'לקוחות לפי סוכן - מקור'!I772</f>
        <v/>
      </c>
      <c r="I718" s="94">
        <f>'לקוחות לפי סוכן - מקור'!K772</f>
        <v/>
      </c>
    </row>
    <row r="719" outlineLevel="1" ht="15" customHeight="1" s="82">
      <c r="A719" s="94">
        <f>'לקוחות לפי סוכן - מקור'!A773</f>
        <v/>
      </c>
      <c r="B719" s="94">
        <f>'לקוחות לפי סוכן - מקור'!C773</f>
        <v/>
      </c>
      <c r="C719" s="126">
        <f>'לקוחות לפי סוכן - מקור'!E773</f>
        <v/>
      </c>
      <c r="D719" s="102">
        <f>'לקוחות לפי סוכן - מקור'!F773</f>
        <v/>
      </c>
      <c r="E719" s="102">
        <f>'לקוחות לפי סוכן - מקור'!G773</f>
        <v/>
      </c>
      <c r="F719" s="94">
        <f>'לקוחות לפי סוכן - מקור'!D773</f>
        <v/>
      </c>
      <c r="G719" s="95">
        <f>'לקוחות לפי סוכן - מקור'!H773</f>
        <v/>
      </c>
      <c r="H719" s="95">
        <f>'לקוחות לפי סוכן - מקור'!I773</f>
        <v/>
      </c>
      <c r="I719" s="94">
        <f>'לקוחות לפי סוכן - מקור'!K773</f>
        <v/>
      </c>
    </row>
    <row r="720" outlineLevel="1" ht="15" customHeight="1" s="82">
      <c r="A720" s="94">
        <f>'לקוחות לפי סוכן - מקור'!A774</f>
        <v/>
      </c>
      <c r="B720" s="94">
        <f>'לקוחות לפי סוכן - מקור'!C774</f>
        <v/>
      </c>
      <c r="C720" s="126">
        <f>'לקוחות לפי סוכן - מקור'!E774</f>
        <v/>
      </c>
      <c r="D720" s="102">
        <f>'לקוחות לפי סוכן - מקור'!F774</f>
        <v/>
      </c>
      <c r="E720" s="102">
        <f>'לקוחות לפי סוכן - מקור'!G774</f>
        <v/>
      </c>
      <c r="F720" s="94">
        <f>'לקוחות לפי סוכן - מקור'!D774</f>
        <v/>
      </c>
      <c r="G720" s="95">
        <f>'לקוחות לפי סוכן - מקור'!H774</f>
        <v/>
      </c>
      <c r="H720" s="95">
        <f>'לקוחות לפי סוכן - מקור'!I774</f>
        <v/>
      </c>
      <c r="I720" s="94">
        <f>'לקוחות לפי סוכן - מקור'!K774</f>
        <v/>
      </c>
    </row>
    <row r="721" outlineLevel="1" ht="15" customHeight="1" s="82">
      <c r="A721" s="94">
        <f>'לקוחות לפי סוכן - מקור'!A775</f>
        <v/>
      </c>
      <c r="B721" s="94">
        <f>'לקוחות לפי סוכן - מקור'!C775</f>
        <v/>
      </c>
      <c r="C721" s="126">
        <f>'לקוחות לפי סוכן - מקור'!E775</f>
        <v/>
      </c>
      <c r="D721" s="102">
        <f>'לקוחות לפי סוכן - מקור'!F775</f>
        <v/>
      </c>
      <c r="E721" s="102">
        <f>'לקוחות לפי סוכן - מקור'!G775</f>
        <v/>
      </c>
      <c r="F721" s="94">
        <f>'לקוחות לפי סוכן - מקור'!D775</f>
        <v/>
      </c>
      <c r="G721" s="95">
        <f>'לקוחות לפי סוכן - מקור'!H775</f>
        <v/>
      </c>
      <c r="H721" s="95">
        <f>'לקוחות לפי סוכן - מקור'!I775</f>
        <v/>
      </c>
      <c r="I721" s="94">
        <f>'לקוחות לפי סוכן - מקור'!K775</f>
        <v/>
      </c>
    </row>
    <row r="722" outlineLevel="1" ht="15" customHeight="1" s="82">
      <c r="A722" s="94">
        <f>'לקוחות לפי סוכן - מקור'!A776</f>
        <v/>
      </c>
      <c r="B722" s="94">
        <f>'לקוחות לפי סוכן - מקור'!C776</f>
        <v/>
      </c>
      <c r="C722" s="126">
        <f>'לקוחות לפי סוכן - מקור'!E776</f>
        <v/>
      </c>
      <c r="D722" s="102">
        <f>'לקוחות לפי סוכן - מקור'!F776</f>
        <v/>
      </c>
      <c r="E722" s="102">
        <f>'לקוחות לפי סוכן - מקור'!G776</f>
        <v/>
      </c>
      <c r="F722" s="94">
        <f>'לקוחות לפי סוכן - מקור'!D776</f>
        <v/>
      </c>
      <c r="G722" s="95">
        <f>'לקוחות לפי סוכן - מקור'!H776</f>
        <v/>
      </c>
      <c r="H722" s="95">
        <f>'לקוחות לפי סוכן - מקור'!I776</f>
        <v/>
      </c>
      <c r="I722" s="94">
        <f>'לקוחות לפי סוכן - מקור'!K776</f>
        <v/>
      </c>
    </row>
    <row r="723" outlineLevel="1" ht="15" customHeight="1" s="82">
      <c r="A723" s="94">
        <f>'לקוחות לפי סוכן - מקור'!A777</f>
        <v/>
      </c>
      <c r="B723" s="94">
        <f>'לקוחות לפי סוכן - מקור'!C777</f>
        <v/>
      </c>
      <c r="C723" s="126">
        <f>'לקוחות לפי סוכן - מקור'!E777</f>
        <v/>
      </c>
      <c r="D723" s="102">
        <f>'לקוחות לפי סוכן - מקור'!F777</f>
        <v/>
      </c>
      <c r="E723" s="102">
        <f>'לקוחות לפי סוכן - מקור'!G777</f>
        <v/>
      </c>
      <c r="F723" s="94">
        <f>'לקוחות לפי סוכן - מקור'!D777</f>
        <v/>
      </c>
      <c r="G723" s="95">
        <f>'לקוחות לפי סוכן - מקור'!H777</f>
        <v/>
      </c>
      <c r="H723" s="95">
        <f>'לקוחות לפי סוכן - מקור'!I777</f>
        <v/>
      </c>
      <c r="I723" s="94">
        <f>'לקוחות לפי סוכן - מקור'!K777</f>
        <v/>
      </c>
    </row>
    <row r="724" outlineLevel="1" ht="15" customHeight="1" s="82">
      <c r="A724" s="94">
        <f>'לקוחות לפי סוכן - מקור'!A778</f>
        <v/>
      </c>
      <c r="B724" s="94">
        <f>'לקוחות לפי סוכן - מקור'!C778</f>
        <v/>
      </c>
      <c r="C724" s="126">
        <f>'לקוחות לפי סוכן - מקור'!E778</f>
        <v/>
      </c>
      <c r="D724" s="102">
        <f>'לקוחות לפי סוכן - מקור'!F778</f>
        <v/>
      </c>
      <c r="E724" s="102">
        <f>'לקוחות לפי סוכן - מקור'!G778</f>
        <v/>
      </c>
      <c r="F724" s="94">
        <f>'לקוחות לפי סוכן - מקור'!D778</f>
        <v/>
      </c>
      <c r="G724" s="95">
        <f>'לקוחות לפי סוכן - מקור'!H778</f>
        <v/>
      </c>
      <c r="H724" s="95">
        <f>'לקוחות לפי סוכן - מקור'!I778</f>
        <v/>
      </c>
      <c r="I724" s="94">
        <f>'לקוחות לפי סוכן - מקור'!K778</f>
        <v/>
      </c>
    </row>
    <row r="725" outlineLevel="1" ht="15" customHeight="1" s="82">
      <c r="A725" s="94">
        <f>'לקוחות לפי סוכן - מקור'!A779</f>
        <v/>
      </c>
      <c r="B725" s="94">
        <f>'לקוחות לפי סוכן - מקור'!C779</f>
        <v/>
      </c>
      <c r="C725" s="126">
        <f>'לקוחות לפי סוכן - מקור'!E779</f>
        <v/>
      </c>
      <c r="D725" s="102">
        <f>'לקוחות לפי סוכן - מקור'!F779</f>
        <v/>
      </c>
      <c r="E725" s="102">
        <f>'לקוחות לפי סוכן - מקור'!G779</f>
        <v/>
      </c>
      <c r="F725" s="94">
        <f>'לקוחות לפי סוכן - מקור'!D779</f>
        <v/>
      </c>
      <c r="G725" s="95">
        <f>'לקוחות לפי סוכן - מקור'!H779</f>
        <v/>
      </c>
      <c r="H725" s="95">
        <f>'לקוחות לפי סוכן - מקור'!I779</f>
        <v/>
      </c>
      <c r="I725" s="94">
        <f>'לקוחות לפי סוכן - מקור'!K779</f>
        <v/>
      </c>
    </row>
    <row r="726" outlineLevel="1" ht="15" customHeight="1" s="82">
      <c r="A726" s="94">
        <f>'לקוחות לפי סוכן - מקור'!A780</f>
        <v/>
      </c>
      <c r="B726" s="94">
        <f>'לקוחות לפי סוכן - מקור'!C780</f>
        <v/>
      </c>
      <c r="C726" s="126">
        <f>'לקוחות לפי סוכן - מקור'!E780</f>
        <v/>
      </c>
      <c r="D726" s="102">
        <f>'לקוחות לפי סוכן - מקור'!F780</f>
        <v/>
      </c>
      <c r="E726" s="102">
        <f>'לקוחות לפי סוכן - מקור'!G780</f>
        <v/>
      </c>
      <c r="F726" s="94">
        <f>'לקוחות לפי סוכן - מקור'!D780</f>
        <v/>
      </c>
      <c r="G726" s="95">
        <f>'לקוחות לפי סוכן - מקור'!H780</f>
        <v/>
      </c>
      <c r="H726" s="95">
        <f>'לקוחות לפי סוכן - מקור'!I780</f>
        <v/>
      </c>
      <c r="I726" s="94">
        <f>'לקוחות לפי סוכן - מקור'!K780</f>
        <v/>
      </c>
    </row>
    <row r="727" outlineLevel="1" ht="15" customHeight="1" s="82">
      <c r="A727" s="94">
        <f>'לקוחות לפי סוכן - מקור'!A781</f>
        <v/>
      </c>
      <c r="B727" s="94">
        <f>'לקוחות לפי סוכן - מקור'!C781</f>
        <v/>
      </c>
      <c r="C727" s="126">
        <f>'לקוחות לפי סוכן - מקור'!E781</f>
        <v/>
      </c>
      <c r="D727" s="102">
        <f>'לקוחות לפי סוכן - מקור'!F781</f>
        <v/>
      </c>
      <c r="E727" s="102">
        <f>'לקוחות לפי סוכן - מקור'!G781</f>
        <v/>
      </c>
      <c r="F727" s="94">
        <f>'לקוחות לפי סוכן - מקור'!D781</f>
        <v/>
      </c>
      <c r="G727" s="95">
        <f>'לקוחות לפי סוכן - מקור'!H781</f>
        <v/>
      </c>
      <c r="H727" s="95">
        <f>'לקוחות לפי סוכן - מקור'!I781</f>
        <v/>
      </c>
      <c r="I727" s="94">
        <f>'לקוחות לפי סוכן - מקור'!K781</f>
        <v/>
      </c>
    </row>
    <row r="728" outlineLevel="1" ht="15" customHeight="1" s="82">
      <c r="A728" s="94">
        <f>'לקוחות לפי סוכן - מקור'!A782</f>
        <v/>
      </c>
      <c r="B728" s="94">
        <f>'לקוחות לפי סוכן - מקור'!C782</f>
        <v/>
      </c>
      <c r="C728" s="126">
        <f>'לקוחות לפי סוכן - מקור'!E782</f>
        <v/>
      </c>
      <c r="D728" s="102">
        <f>'לקוחות לפי סוכן - מקור'!F782</f>
        <v/>
      </c>
      <c r="E728" s="102">
        <f>'לקוחות לפי סוכן - מקור'!G782</f>
        <v/>
      </c>
      <c r="F728" s="94">
        <f>'לקוחות לפי סוכן - מקור'!D782</f>
        <v/>
      </c>
      <c r="G728" s="95">
        <f>'לקוחות לפי סוכן - מקור'!H782</f>
        <v/>
      </c>
      <c r="H728" s="95">
        <f>'לקוחות לפי סוכן - מקור'!I782</f>
        <v/>
      </c>
      <c r="I728" s="94">
        <f>'לקוחות לפי סוכן - מקור'!K782</f>
        <v/>
      </c>
    </row>
    <row r="729" outlineLevel="1" ht="15" customHeight="1" s="82">
      <c r="A729" s="94">
        <f>'לקוחות לפי סוכן - מקור'!A783</f>
        <v/>
      </c>
      <c r="B729" s="94">
        <f>'לקוחות לפי סוכן - מקור'!C783</f>
        <v/>
      </c>
      <c r="C729" s="126">
        <f>'לקוחות לפי סוכן - מקור'!E783</f>
        <v/>
      </c>
      <c r="D729" s="102">
        <f>'לקוחות לפי סוכן - מקור'!F783</f>
        <v/>
      </c>
      <c r="E729" s="102">
        <f>'לקוחות לפי סוכן - מקור'!G783</f>
        <v/>
      </c>
      <c r="F729" s="94">
        <f>'לקוחות לפי סוכן - מקור'!D783</f>
        <v/>
      </c>
      <c r="G729" s="95">
        <f>'לקוחות לפי סוכן - מקור'!H783</f>
        <v/>
      </c>
      <c r="H729" s="95">
        <f>'לקוחות לפי סוכן - מקור'!I783</f>
        <v/>
      </c>
      <c r="I729" s="94">
        <f>'לקוחות לפי סוכן - מקור'!K783</f>
        <v/>
      </c>
    </row>
    <row r="730" outlineLevel="1" ht="15" customHeight="1" s="82">
      <c r="A730" s="94">
        <f>'לקוחות לפי סוכן - מקור'!A784</f>
        <v/>
      </c>
      <c r="B730" s="94">
        <f>'לקוחות לפי סוכן - מקור'!C784</f>
        <v/>
      </c>
      <c r="C730" s="126">
        <f>'לקוחות לפי סוכן - מקור'!E784</f>
        <v/>
      </c>
      <c r="D730" s="102">
        <f>'לקוחות לפי סוכן - מקור'!F784</f>
        <v/>
      </c>
      <c r="E730" s="102">
        <f>'לקוחות לפי סוכן - מקור'!G784</f>
        <v/>
      </c>
      <c r="F730" s="94">
        <f>'לקוחות לפי סוכן - מקור'!D784</f>
        <v/>
      </c>
      <c r="G730" s="95">
        <f>'לקוחות לפי סוכן - מקור'!H784</f>
        <v/>
      </c>
      <c r="H730" s="95">
        <f>'לקוחות לפי סוכן - מקור'!I784</f>
        <v/>
      </c>
      <c r="I730" s="94">
        <f>'לקוחות לפי סוכן - מקור'!K784</f>
        <v/>
      </c>
    </row>
    <row r="731" outlineLevel="1" ht="15" customHeight="1" s="82">
      <c r="A731" s="94">
        <f>'לקוחות לפי סוכן - מקור'!A785</f>
        <v/>
      </c>
      <c r="B731" s="94">
        <f>'לקוחות לפי סוכן - מקור'!C785</f>
        <v/>
      </c>
      <c r="C731" s="126">
        <f>'לקוחות לפי סוכן - מקור'!E785</f>
        <v/>
      </c>
      <c r="D731" s="102">
        <f>'לקוחות לפי סוכן - מקור'!F785</f>
        <v/>
      </c>
      <c r="E731" s="102">
        <f>'לקוחות לפי סוכן - מקור'!G785</f>
        <v/>
      </c>
      <c r="F731" s="94">
        <f>'לקוחות לפי סוכן - מקור'!D785</f>
        <v/>
      </c>
      <c r="G731" s="95">
        <f>'לקוחות לפי סוכן - מקור'!H785</f>
        <v/>
      </c>
      <c r="H731" s="95">
        <f>'לקוחות לפי סוכן - מקור'!I785</f>
        <v/>
      </c>
      <c r="I731" s="94">
        <f>'לקוחות לפי סוכן - מקור'!K785</f>
        <v/>
      </c>
    </row>
    <row r="732" outlineLevel="1" ht="15" customHeight="1" s="82">
      <c r="A732" s="94">
        <f>'לקוחות לפי סוכן - מקור'!A786</f>
        <v/>
      </c>
      <c r="B732" s="94">
        <f>'לקוחות לפי סוכן - מקור'!C786</f>
        <v/>
      </c>
      <c r="C732" s="126">
        <f>'לקוחות לפי סוכן - מקור'!E786</f>
        <v/>
      </c>
      <c r="D732" s="102">
        <f>'לקוחות לפי סוכן - מקור'!F786</f>
        <v/>
      </c>
      <c r="E732" s="102">
        <f>'לקוחות לפי סוכן - מקור'!G786</f>
        <v/>
      </c>
      <c r="F732" s="94">
        <f>'לקוחות לפי סוכן - מקור'!D786</f>
        <v/>
      </c>
      <c r="G732" s="95">
        <f>'לקוחות לפי סוכן - מקור'!H786</f>
        <v/>
      </c>
      <c r="H732" s="95">
        <f>'לקוחות לפי סוכן - מקור'!I786</f>
        <v/>
      </c>
      <c r="I732" s="94">
        <f>'לקוחות לפי סוכן - מקור'!K786</f>
        <v/>
      </c>
    </row>
    <row r="733" outlineLevel="1" ht="15" customHeight="1" s="82">
      <c r="A733" s="94">
        <f>'לקוחות לפי סוכן - מקור'!A787</f>
        <v/>
      </c>
      <c r="B733" s="94">
        <f>'לקוחות לפי סוכן - מקור'!C787</f>
        <v/>
      </c>
      <c r="C733" s="126">
        <f>'לקוחות לפי סוכן - מקור'!E787</f>
        <v/>
      </c>
      <c r="D733" s="102">
        <f>'לקוחות לפי סוכן - מקור'!F787</f>
        <v/>
      </c>
      <c r="E733" s="102">
        <f>'לקוחות לפי סוכן - מקור'!G787</f>
        <v/>
      </c>
      <c r="F733" s="94">
        <f>'לקוחות לפי סוכן - מקור'!D787</f>
        <v/>
      </c>
      <c r="G733" s="95">
        <f>'לקוחות לפי סוכן - מקור'!H787</f>
        <v/>
      </c>
      <c r="H733" s="95">
        <f>'לקוחות לפי סוכן - מקור'!I787</f>
        <v/>
      </c>
      <c r="I733" s="94">
        <f>'לקוחות לפי סוכן - מקור'!K787</f>
        <v/>
      </c>
    </row>
    <row r="734" outlineLevel="1" ht="15" customHeight="1" s="82">
      <c r="A734" s="94">
        <f>'לקוחות לפי סוכן - מקור'!A788</f>
        <v/>
      </c>
      <c r="B734" s="94">
        <f>'לקוחות לפי סוכן - מקור'!C788</f>
        <v/>
      </c>
      <c r="C734" s="126">
        <f>'לקוחות לפי סוכן - מקור'!E788</f>
        <v/>
      </c>
      <c r="D734" s="102">
        <f>'לקוחות לפי סוכן - מקור'!F788</f>
        <v/>
      </c>
      <c r="E734" s="102">
        <f>'לקוחות לפי סוכן - מקור'!G788</f>
        <v/>
      </c>
      <c r="F734" s="94">
        <f>'לקוחות לפי סוכן - מקור'!D788</f>
        <v/>
      </c>
      <c r="G734" s="95">
        <f>'לקוחות לפי סוכן - מקור'!H788</f>
        <v/>
      </c>
      <c r="H734" s="95">
        <f>'לקוחות לפי סוכן - מקור'!I788</f>
        <v/>
      </c>
      <c r="I734" s="94">
        <f>'לקוחות לפי סוכן - מקור'!K788</f>
        <v/>
      </c>
    </row>
    <row r="735" outlineLevel="1" ht="15" customHeight="1" s="82">
      <c r="A735" s="94">
        <f>'לקוחות לפי סוכן - מקור'!A789</f>
        <v/>
      </c>
      <c r="B735" s="94">
        <f>'לקוחות לפי סוכן - מקור'!C789</f>
        <v/>
      </c>
      <c r="C735" s="126">
        <f>'לקוחות לפי סוכן - מקור'!E789</f>
        <v/>
      </c>
      <c r="D735" s="102">
        <f>'לקוחות לפי סוכן - מקור'!F789</f>
        <v/>
      </c>
      <c r="E735" s="102">
        <f>'לקוחות לפי סוכן - מקור'!G789</f>
        <v/>
      </c>
      <c r="F735" s="94">
        <f>'לקוחות לפי סוכן - מקור'!D789</f>
        <v/>
      </c>
      <c r="G735" s="95">
        <f>'לקוחות לפי סוכן - מקור'!H789</f>
        <v/>
      </c>
      <c r="H735" s="95">
        <f>'לקוחות לפי סוכן - מקור'!I789</f>
        <v/>
      </c>
      <c r="I735" s="94">
        <f>'לקוחות לפי סוכן - מקור'!K789</f>
        <v/>
      </c>
    </row>
    <row r="736" outlineLevel="1" ht="15" customHeight="1" s="82">
      <c r="A736" s="94">
        <f>'לקוחות לפי סוכן - מקור'!A790</f>
        <v/>
      </c>
      <c r="B736" s="94">
        <f>'לקוחות לפי סוכן - מקור'!C790</f>
        <v/>
      </c>
      <c r="C736" s="126">
        <f>'לקוחות לפי סוכן - מקור'!E790</f>
        <v/>
      </c>
      <c r="D736" s="102">
        <f>'לקוחות לפי סוכן - מקור'!F790</f>
        <v/>
      </c>
      <c r="E736" s="102">
        <f>'לקוחות לפי סוכן - מקור'!G790</f>
        <v/>
      </c>
      <c r="F736" s="94">
        <f>'לקוחות לפי סוכן - מקור'!D790</f>
        <v/>
      </c>
      <c r="G736" s="95">
        <f>'לקוחות לפי סוכן - מקור'!H790</f>
        <v/>
      </c>
      <c r="H736" s="95">
        <f>'לקוחות לפי סוכן - מקור'!I790</f>
        <v/>
      </c>
      <c r="I736" s="94">
        <f>'לקוחות לפי סוכן - מקור'!K790</f>
        <v/>
      </c>
    </row>
    <row r="737" outlineLevel="1" ht="15" customHeight="1" s="82">
      <c r="A737" s="94">
        <f>'לקוחות לפי סוכן - מקור'!A791</f>
        <v/>
      </c>
      <c r="B737" s="94">
        <f>'לקוחות לפי סוכן - מקור'!C791</f>
        <v/>
      </c>
      <c r="C737" s="126">
        <f>'לקוחות לפי סוכן - מקור'!E791</f>
        <v/>
      </c>
      <c r="D737" s="102">
        <f>'לקוחות לפי סוכן - מקור'!F791</f>
        <v/>
      </c>
      <c r="E737" s="102">
        <f>'לקוחות לפי סוכן - מקור'!G791</f>
        <v/>
      </c>
      <c r="F737" s="94">
        <f>'לקוחות לפי סוכן - מקור'!D791</f>
        <v/>
      </c>
      <c r="G737" s="95">
        <f>'לקוחות לפי סוכן - מקור'!H791</f>
        <v/>
      </c>
      <c r="H737" s="95">
        <f>'לקוחות לפי סוכן - מקור'!I791</f>
        <v/>
      </c>
      <c r="I737" s="94">
        <f>'לקוחות לפי סוכן - מקור'!K791</f>
        <v/>
      </c>
    </row>
    <row r="738" outlineLevel="1" ht="15" customHeight="1" s="82">
      <c r="A738" s="94">
        <f>'לקוחות לפי סוכן - מקור'!A792</f>
        <v/>
      </c>
      <c r="B738" s="94">
        <f>'לקוחות לפי סוכן - מקור'!C792</f>
        <v/>
      </c>
      <c r="C738" s="126">
        <f>'לקוחות לפי סוכן - מקור'!E792</f>
        <v/>
      </c>
      <c r="D738" s="102">
        <f>'לקוחות לפי סוכן - מקור'!F792</f>
        <v/>
      </c>
      <c r="E738" s="102">
        <f>'לקוחות לפי סוכן - מקור'!G792</f>
        <v/>
      </c>
      <c r="F738" s="94">
        <f>'לקוחות לפי סוכן - מקור'!D792</f>
        <v/>
      </c>
      <c r="G738" s="95">
        <f>'לקוחות לפי סוכן - מקור'!H792</f>
        <v/>
      </c>
      <c r="H738" s="95">
        <f>'לקוחות לפי סוכן - מקור'!I792</f>
        <v/>
      </c>
      <c r="I738" s="94">
        <f>'לקוחות לפי סוכן - מקור'!K792</f>
        <v/>
      </c>
    </row>
    <row r="739" outlineLevel="1" ht="15" customHeight="1" s="82">
      <c r="A739" s="94">
        <f>'לקוחות לפי סוכן - מקור'!A793</f>
        <v/>
      </c>
      <c r="B739" s="94">
        <f>'לקוחות לפי סוכן - מקור'!C793</f>
        <v/>
      </c>
      <c r="C739" s="126">
        <f>'לקוחות לפי סוכן - מקור'!E793</f>
        <v/>
      </c>
      <c r="D739" s="102">
        <f>'לקוחות לפי סוכן - מקור'!F793</f>
        <v/>
      </c>
      <c r="E739" s="102">
        <f>'לקוחות לפי סוכן - מקור'!G793</f>
        <v/>
      </c>
      <c r="F739" s="94">
        <f>'לקוחות לפי סוכן - מקור'!D793</f>
        <v/>
      </c>
      <c r="G739" s="95">
        <f>'לקוחות לפי סוכן - מקור'!H793</f>
        <v/>
      </c>
      <c r="H739" s="95">
        <f>'לקוחות לפי סוכן - מקור'!I793</f>
        <v/>
      </c>
      <c r="I739" s="94">
        <f>'לקוחות לפי סוכן - מקור'!K793</f>
        <v/>
      </c>
    </row>
    <row r="740" outlineLevel="1" ht="15" customHeight="1" s="82">
      <c r="A740" s="94">
        <f>'לקוחות לפי סוכן - מקור'!A794</f>
        <v/>
      </c>
      <c r="B740" s="94">
        <f>'לקוחות לפי סוכן - מקור'!C794</f>
        <v/>
      </c>
      <c r="C740" s="126">
        <f>'לקוחות לפי סוכן - מקור'!E794</f>
        <v/>
      </c>
      <c r="D740" s="102">
        <f>'לקוחות לפי סוכן - מקור'!F794</f>
        <v/>
      </c>
      <c r="E740" s="102">
        <f>'לקוחות לפי סוכן - מקור'!G794</f>
        <v/>
      </c>
      <c r="F740" s="94">
        <f>'לקוחות לפי סוכן - מקור'!D794</f>
        <v/>
      </c>
      <c r="G740" s="95">
        <f>'לקוחות לפי סוכן - מקור'!H794</f>
        <v/>
      </c>
      <c r="H740" s="95">
        <f>'לקוחות לפי סוכן - מקור'!I794</f>
        <v/>
      </c>
      <c r="I740" s="94">
        <f>'לקוחות לפי סוכן - מקור'!K794</f>
        <v/>
      </c>
    </row>
    <row r="741" outlineLevel="1" ht="15" customHeight="1" s="82">
      <c r="A741" s="94">
        <f>'לקוחות לפי סוכן - מקור'!A795</f>
        <v/>
      </c>
      <c r="B741" s="94">
        <f>'לקוחות לפי סוכן - מקור'!C795</f>
        <v/>
      </c>
      <c r="C741" s="126">
        <f>'לקוחות לפי סוכן - מקור'!E795</f>
        <v/>
      </c>
      <c r="D741" s="102">
        <f>'לקוחות לפי סוכן - מקור'!F795</f>
        <v/>
      </c>
      <c r="E741" s="102">
        <f>'לקוחות לפי סוכן - מקור'!G795</f>
        <v/>
      </c>
      <c r="F741" s="94">
        <f>'לקוחות לפי סוכן - מקור'!D795</f>
        <v/>
      </c>
      <c r="G741" s="95">
        <f>'לקוחות לפי סוכן - מקור'!H795</f>
        <v/>
      </c>
      <c r="H741" s="95">
        <f>'לקוחות לפי סוכן - מקור'!I795</f>
        <v/>
      </c>
      <c r="I741" s="94">
        <f>'לקוחות לפי סוכן - מקור'!K795</f>
        <v/>
      </c>
    </row>
    <row r="742" outlineLevel="1" ht="15" customHeight="1" s="82">
      <c r="A742" s="94">
        <f>'לקוחות לפי סוכן - מקור'!A796</f>
        <v/>
      </c>
      <c r="B742" s="94">
        <f>'לקוחות לפי סוכן - מקור'!C796</f>
        <v/>
      </c>
      <c r="C742" s="126">
        <f>'לקוחות לפי סוכן - מקור'!E796</f>
        <v/>
      </c>
      <c r="D742" s="102">
        <f>'לקוחות לפי סוכן - מקור'!F796</f>
        <v/>
      </c>
      <c r="E742" s="102">
        <f>'לקוחות לפי סוכן - מקור'!G796</f>
        <v/>
      </c>
      <c r="F742" s="94">
        <f>'לקוחות לפי סוכן - מקור'!D796</f>
        <v/>
      </c>
      <c r="G742" s="95">
        <f>'לקוחות לפי סוכן - מקור'!H796</f>
        <v/>
      </c>
      <c r="H742" s="95">
        <f>'לקוחות לפי סוכן - מקור'!I796</f>
        <v/>
      </c>
      <c r="I742" s="94">
        <f>'לקוחות לפי סוכן - מקור'!K796</f>
        <v/>
      </c>
    </row>
    <row r="743" outlineLevel="1" ht="15" customHeight="1" s="82">
      <c r="A743" s="94">
        <f>'לקוחות לפי סוכן - מקור'!A797</f>
        <v/>
      </c>
      <c r="B743" s="94">
        <f>'לקוחות לפי סוכן - מקור'!C797</f>
        <v/>
      </c>
      <c r="C743" s="126">
        <f>'לקוחות לפי סוכן - מקור'!E797</f>
        <v/>
      </c>
      <c r="D743" s="102">
        <f>'לקוחות לפי סוכן - מקור'!F797</f>
        <v/>
      </c>
      <c r="E743" s="102">
        <f>'לקוחות לפי סוכן - מקור'!G797</f>
        <v/>
      </c>
      <c r="F743" s="94">
        <f>'לקוחות לפי סוכן - מקור'!D797</f>
        <v/>
      </c>
      <c r="G743" s="95">
        <f>'לקוחות לפי סוכן - מקור'!H797</f>
        <v/>
      </c>
      <c r="H743" s="95">
        <f>'לקוחות לפי סוכן - מקור'!I797</f>
        <v/>
      </c>
      <c r="I743" s="94">
        <f>'לקוחות לפי סוכן - מקור'!K797</f>
        <v/>
      </c>
    </row>
    <row r="744" outlineLevel="1" ht="15" customHeight="1" s="82">
      <c r="A744" s="94">
        <f>'לקוחות לפי סוכן - מקור'!A798</f>
        <v/>
      </c>
      <c r="B744" s="94">
        <f>'לקוחות לפי סוכן - מקור'!C798</f>
        <v/>
      </c>
      <c r="C744" s="126">
        <f>'לקוחות לפי סוכן - מקור'!E798</f>
        <v/>
      </c>
      <c r="D744" s="102">
        <f>'לקוחות לפי סוכן - מקור'!F798</f>
        <v/>
      </c>
      <c r="E744" s="102">
        <f>'לקוחות לפי סוכן - מקור'!G798</f>
        <v/>
      </c>
      <c r="F744" s="94">
        <f>'לקוחות לפי סוכן - מקור'!D798</f>
        <v/>
      </c>
      <c r="G744" s="95">
        <f>'לקוחות לפי סוכן - מקור'!H798</f>
        <v/>
      </c>
      <c r="H744" s="95">
        <f>'לקוחות לפי סוכן - מקור'!I798</f>
        <v/>
      </c>
      <c r="I744" s="94">
        <f>'לקוחות לפי סוכן - מקור'!K798</f>
        <v/>
      </c>
    </row>
    <row r="745" outlineLevel="1" ht="15" customHeight="1" s="82">
      <c r="A745" s="94">
        <f>'לקוחות לפי סוכן - מקור'!A799</f>
        <v/>
      </c>
      <c r="B745" s="94">
        <f>'לקוחות לפי סוכן - מקור'!C799</f>
        <v/>
      </c>
      <c r="C745" s="126">
        <f>'לקוחות לפי סוכן - מקור'!E799</f>
        <v/>
      </c>
      <c r="D745" s="102">
        <f>'לקוחות לפי סוכן - מקור'!F799</f>
        <v/>
      </c>
      <c r="E745" s="102">
        <f>'לקוחות לפי סוכן - מקור'!G799</f>
        <v/>
      </c>
      <c r="F745" s="94">
        <f>'לקוחות לפי סוכן - מקור'!D799</f>
        <v/>
      </c>
      <c r="G745" s="95">
        <f>'לקוחות לפי סוכן - מקור'!H799</f>
        <v/>
      </c>
      <c r="H745" s="95">
        <f>'לקוחות לפי סוכן - מקור'!I799</f>
        <v/>
      </c>
      <c r="I745" s="94">
        <f>'לקוחות לפי סוכן - מקור'!K799</f>
        <v/>
      </c>
    </row>
    <row r="746" outlineLevel="1" ht="15" customHeight="1" s="82">
      <c r="A746" s="94">
        <f>'לקוחות לפי סוכן - מקור'!A800</f>
        <v/>
      </c>
      <c r="B746" s="94">
        <f>'לקוחות לפי סוכן - מקור'!C800</f>
        <v/>
      </c>
      <c r="C746" s="126">
        <f>'לקוחות לפי סוכן - מקור'!E800</f>
        <v/>
      </c>
      <c r="D746" s="102">
        <f>'לקוחות לפי סוכן - מקור'!F800</f>
        <v/>
      </c>
      <c r="E746" s="102">
        <f>'לקוחות לפי סוכן - מקור'!G800</f>
        <v/>
      </c>
      <c r="F746" s="94">
        <f>'לקוחות לפי סוכן - מקור'!D800</f>
        <v/>
      </c>
      <c r="G746" s="95">
        <f>'לקוחות לפי סוכן - מקור'!H800</f>
        <v/>
      </c>
      <c r="H746" s="95">
        <f>'לקוחות לפי סוכן - מקור'!I800</f>
        <v/>
      </c>
      <c r="I746" s="94">
        <f>'לקוחות לפי סוכן - מקור'!K800</f>
        <v/>
      </c>
    </row>
    <row r="747" outlineLevel="1" ht="15" customHeight="1" s="82">
      <c r="A747" s="94">
        <f>'לקוחות לפי סוכן - מקור'!A801</f>
        <v/>
      </c>
      <c r="B747" s="94">
        <f>'לקוחות לפי סוכן - מקור'!C801</f>
        <v/>
      </c>
      <c r="C747" s="126">
        <f>'לקוחות לפי סוכן - מקור'!E801</f>
        <v/>
      </c>
      <c r="D747" s="102">
        <f>'לקוחות לפי סוכן - מקור'!F801</f>
        <v/>
      </c>
      <c r="E747" s="102">
        <f>'לקוחות לפי סוכן - מקור'!G801</f>
        <v/>
      </c>
      <c r="F747" s="94">
        <f>'לקוחות לפי סוכן - מקור'!D801</f>
        <v/>
      </c>
      <c r="G747" s="95">
        <f>'לקוחות לפי סוכן - מקור'!H801</f>
        <v/>
      </c>
      <c r="H747" s="95">
        <f>'לקוחות לפי סוכן - מקור'!I801</f>
        <v/>
      </c>
      <c r="I747" s="94">
        <f>'לקוחות לפי סוכן - מקור'!K801</f>
        <v/>
      </c>
    </row>
    <row r="748" outlineLevel="1" ht="15" customHeight="1" s="82">
      <c r="A748" s="94">
        <f>'לקוחות לפי סוכן - מקור'!A802</f>
        <v/>
      </c>
      <c r="B748" s="94">
        <f>'לקוחות לפי סוכן - מקור'!C802</f>
        <v/>
      </c>
      <c r="C748" s="126">
        <f>'לקוחות לפי סוכן - מקור'!E802</f>
        <v/>
      </c>
      <c r="D748" s="102">
        <f>'לקוחות לפי סוכן - מקור'!F802</f>
        <v/>
      </c>
      <c r="E748" s="102">
        <f>'לקוחות לפי סוכן - מקור'!G802</f>
        <v/>
      </c>
      <c r="F748" s="94">
        <f>'לקוחות לפי סוכן - מקור'!D802</f>
        <v/>
      </c>
      <c r="G748" s="95">
        <f>'לקוחות לפי סוכן - מקור'!H802</f>
        <v/>
      </c>
      <c r="H748" s="95">
        <f>'לקוחות לפי סוכן - מקור'!I802</f>
        <v/>
      </c>
      <c r="I748" s="94">
        <f>'לקוחות לפי סוכן - מקור'!K802</f>
        <v/>
      </c>
    </row>
    <row r="749" outlineLevel="1" ht="15" customHeight="1" s="82">
      <c r="A749" s="94">
        <f>'לקוחות לפי סוכן - מקור'!A803</f>
        <v/>
      </c>
      <c r="B749" s="94">
        <f>'לקוחות לפי סוכן - מקור'!C803</f>
        <v/>
      </c>
      <c r="C749" s="126">
        <f>'לקוחות לפי סוכן - מקור'!E803</f>
        <v/>
      </c>
      <c r="D749" s="102">
        <f>'לקוחות לפי סוכן - מקור'!F803</f>
        <v/>
      </c>
      <c r="E749" s="102">
        <f>'לקוחות לפי סוכן - מקור'!G803</f>
        <v/>
      </c>
      <c r="F749" s="94">
        <f>'לקוחות לפי סוכן - מקור'!D803</f>
        <v/>
      </c>
      <c r="G749" s="95">
        <f>'לקוחות לפי סוכן - מקור'!H803</f>
        <v/>
      </c>
      <c r="H749" s="95">
        <f>'לקוחות לפי סוכן - מקור'!I803</f>
        <v/>
      </c>
      <c r="I749" s="94">
        <f>'לקוחות לפי סוכן - מקור'!K803</f>
        <v/>
      </c>
    </row>
    <row r="750" outlineLevel="1" ht="15" customHeight="1" s="82">
      <c r="A750" s="94">
        <f>'לקוחות לפי סוכן - מקור'!A804</f>
        <v/>
      </c>
      <c r="B750" s="94">
        <f>'לקוחות לפי סוכן - מקור'!C804</f>
        <v/>
      </c>
      <c r="C750" s="126">
        <f>'לקוחות לפי סוכן - מקור'!E804</f>
        <v/>
      </c>
      <c r="D750" s="102">
        <f>'לקוחות לפי סוכן - מקור'!F804</f>
        <v/>
      </c>
      <c r="E750" s="102">
        <f>'לקוחות לפי סוכן - מקור'!G804</f>
        <v/>
      </c>
      <c r="F750" s="94">
        <f>'לקוחות לפי סוכן - מקור'!D804</f>
        <v/>
      </c>
      <c r="G750" s="95">
        <f>'לקוחות לפי סוכן - מקור'!H804</f>
        <v/>
      </c>
      <c r="H750" s="95">
        <f>'לקוחות לפי סוכן - מקור'!I804</f>
        <v/>
      </c>
      <c r="I750" s="94">
        <f>'לקוחות לפי סוכן - מקור'!K804</f>
        <v/>
      </c>
    </row>
    <row r="751" outlineLevel="1" ht="15" customHeight="1" s="82">
      <c r="A751" s="94">
        <f>'לקוחות לפי סוכן - מקור'!A805</f>
        <v/>
      </c>
      <c r="B751" s="94">
        <f>'לקוחות לפי סוכן - מקור'!C805</f>
        <v/>
      </c>
      <c r="C751" s="126">
        <f>'לקוחות לפי סוכן - מקור'!E805</f>
        <v/>
      </c>
      <c r="D751" s="102">
        <f>'לקוחות לפי סוכן - מקור'!F805</f>
        <v/>
      </c>
      <c r="E751" s="102">
        <f>'לקוחות לפי סוכן - מקור'!G805</f>
        <v/>
      </c>
      <c r="F751" s="94">
        <f>'לקוחות לפי סוכן - מקור'!D805</f>
        <v/>
      </c>
      <c r="G751" s="95">
        <f>'לקוחות לפי סוכן - מקור'!H805</f>
        <v/>
      </c>
      <c r="H751" s="95">
        <f>'לקוחות לפי סוכן - מקור'!I805</f>
        <v/>
      </c>
      <c r="I751" s="94">
        <f>'לקוחות לפי סוכן - מקור'!K805</f>
        <v/>
      </c>
    </row>
    <row r="752" outlineLevel="1" ht="15" customHeight="1" s="82">
      <c r="A752" s="94">
        <f>'לקוחות לפי סוכן - מקור'!A806</f>
        <v/>
      </c>
      <c r="B752" s="94">
        <f>'לקוחות לפי סוכן - מקור'!C806</f>
        <v/>
      </c>
      <c r="C752" s="126">
        <f>'לקוחות לפי סוכן - מקור'!E806</f>
        <v/>
      </c>
      <c r="D752" s="102">
        <f>'לקוחות לפי סוכן - מקור'!F806</f>
        <v/>
      </c>
      <c r="E752" s="102">
        <f>'לקוחות לפי סוכן - מקור'!G806</f>
        <v/>
      </c>
      <c r="F752" s="94">
        <f>'לקוחות לפי סוכן - מקור'!D806</f>
        <v/>
      </c>
      <c r="G752" s="95">
        <f>'לקוחות לפי סוכן - מקור'!H806</f>
        <v/>
      </c>
      <c r="H752" s="95">
        <f>'לקוחות לפי סוכן - מקור'!I806</f>
        <v/>
      </c>
      <c r="I752" s="94">
        <f>'לקוחות לפי סוכן - מקור'!K806</f>
        <v/>
      </c>
    </row>
    <row r="753" outlineLevel="1" ht="15" customHeight="1" s="82">
      <c r="A753" s="94">
        <f>'לקוחות לפי סוכן - מקור'!A807</f>
        <v/>
      </c>
      <c r="B753" s="94">
        <f>'לקוחות לפי סוכן - מקור'!C807</f>
        <v/>
      </c>
      <c r="C753" s="126">
        <f>'לקוחות לפי סוכן - מקור'!E807</f>
        <v/>
      </c>
      <c r="D753" s="102">
        <f>'לקוחות לפי סוכן - מקור'!F807</f>
        <v/>
      </c>
      <c r="E753" s="102">
        <f>'לקוחות לפי סוכן - מקור'!G807</f>
        <v/>
      </c>
      <c r="F753" s="94">
        <f>'לקוחות לפי סוכן - מקור'!D807</f>
        <v/>
      </c>
      <c r="G753" s="95">
        <f>'לקוחות לפי סוכן - מקור'!H807</f>
        <v/>
      </c>
      <c r="H753" s="95">
        <f>'לקוחות לפי סוכן - מקור'!I807</f>
        <v/>
      </c>
      <c r="I753" s="94">
        <f>'לקוחות לפי סוכן - מקור'!K807</f>
        <v/>
      </c>
    </row>
    <row r="754" outlineLevel="1" ht="15" customHeight="1" s="82">
      <c r="A754" s="94">
        <f>'לקוחות לפי סוכן - מקור'!A808</f>
        <v/>
      </c>
      <c r="B754" s="94">
        <f>'לקוחות לפי סוכן - מקור'!C808</f>
        <v/>
      </c>
      <c r="C754" s="126">
        <f>'לקוחות לפי סוכן - מקור'!E808</f>
        <v/>
      </c>
      <c r="D754" s="102">
        <f>'לקוחות לפי סוכן - מקור'!F808</f>
        <v/>
      </c>
      <c r="E754" s="102">
        <f>'לקוחות לפי סוכן - מקור'!G808</f>
        <v/>
      </c>
      <c r="F754" s="94">
        <f>'לקוחות לפי סוכן - מקור'!D808</f>
        <v/>
      </c>
      <c r="G754" s="95">
        <f>'לקוחות לפי סוכן - מקור'!H808</f>
        <v/>
      </c>
      <c r="H754" s="95">
        <f>'לקוחות לפי סוכן - מקור'!I808</f>
        <v/>
      </c>
      <c r="I754" s="94">
        <f>'לקוחות לפי סוכן - מקור'!K808</f>
        <v/>
      </c>
    </row>
    <row r="755" outlineLevel="1" ht="15" customHeight="1" s="82">
      <c r="A755" s="94">
        <f>'לקוחות לפי סוכן - מקור'!A809</f>
        <v/>
      </c>
      <c r="B755" s="94">
        <f>'לקוחות לפי סוכן - מקור'!C809</f>
        <v/>
      </c>
      <c r="C755" s="126">
        <f>'לקוחות לפי סוכן - מקור'!E809</f>
        <v/>
      </c>
      <c r="D755" s="102">
        <f>'לקוחות לפי סוכן - מקור'!F809</f>
        <v/>
      </c>
      <c r="E755" s="102">
        <f>'לקוחות לפי סוכן - מקור'!G809</f>
        <v/>
      </c>
      <c r="F755" s="94">
        <f>'לקוחות לפי סוכן - מקור'!D809</f>
        <v/>
      </c>
      <c r="G755" s="95">
        <f>'לקוחות לפי סוכן - מקור'!H809</f>
        <v/>
      </c>
      <c r="H755" s="95">
        <f>'לקוחות לפי סוכן - מקור'!I809</f>
        <v/>
      </c>
      <c r="I755" s="94">
        <f>'לקוחות לפי סוכן - מקור'!K809</f>
        <v/>
      </c>
    </row>
    <row r="756" outlineLevel="1" ht="15" customHeight="1" s="82">
      <c r="A756" s="94">
        <f>'לקוחות לפי סוכן - מקור'!A810</f>
        <v/>
      </c>
      <c r="B756" s="94">
        <f>'לקוחות לפי סוכן - מקור'!C810</f>
        <v/>
      </c>
      <c r="C756" s="126">
        <f>'לקוחות לפי סוכן - מקור'!E810</f>
        <v/>
      </c>
      <c r="D756" s="102">
        <f>'לקוחות לפי סוכן - מקור'!F810</f>
        <v/>
      </c>
      <c r="E756" s="102">
        <f>'לקוחות לפי סוכן - מקור'!G810</f>
        <v/>
      </c>
      <c r="F756" s="94">
        <f>'לקוחות לפי סוכן - מקור'!D810</f>
        <v/>
      </c>
      <c r="G756" s="95">
        <f>'לקוחות לפי סוכן - מקור'!H810</f>
        <v/>
      </c>
      <c r="H756" s="95">
        <f>'לקוחות לפי סוכן - מקור'!I810</f>
        <v/>
      </c>
      <c r="I756" s="94">
        <f>'לקוחות לפי סוכן - מקור'!K810</f>
        <v/>
      </c>
    </row>
    <row r="757" outlineLevel="1" ht="15" customHeight="1" s="82">
      <c r="A757" s="94">
        <f>'לקוחות לפי סוכן - מקור'!A811</f>
        <v/>
      </c>
      <c r="B757" s="94">
        <f>'לקוחות לפי סוכן - מקור'!C811</f>
        <v/>
      </c>
      <c r="C757" s="126">
        <f>'לקוחות לפי סוכן - מקור'!E811</f>
        <v/>
      </c>
      <c r="D757" s="102">
        <f>'לקוחות לפי סוכן - מקור'!F811</f>
        <v/>
      </c>
      <c r="E757" s="102">
        <f>'לקוחות לפי סוכן - מקור'!G811</f>
        <v/>
      </c>
      <c r="F757" s="94">
        <f>'לקוחות לפי סוכן - מקור'!D811</f>
        <v/>
      </c>
      <c r="G757" s="95">
        <f>'לקוחות לפי סוכן - מקור'!H811</f>
        <v/>
      </c>
      <c r="H757" s="95">
        <f>'לקוחות לפי סוכן - מקור'!I811</f>
        <v/>
      </c>
      <c r="I757" s="94">
        <f>'לקוחות לפי סוכן - מקור'!K811</f>
        <v/>
      </c>
    </row>
    <row r="758" outlineLevel="1" ht="15" customHeight="1" s="82">
      <c r="A758" s="94">
        <f>'לקוחות לפי סוכן - מקור'!A812</f>
        <v/>
      </c>
      <c r="B758" s="94">
        <f>'לקוחות לפי סוכן - מקור'!C812</f>
        <v/>
      </c>
      <c r="C758" s="126">
        <f>'לקוחות לפי סוכן - מקור'!E812</f>
        <v/>
      </c>
      <c r="D758" s="102">
        <f>'לקוחות לפי סוכן - מקור'!F812</f>
        <v/>
      </c>
      <c r="E758" s="102">
        <f>'לקוחות לפי סוכן - מקור'!G812</f>
        <v/>
      </c>
      <c r="F758" s="94">
        <f>'לקוחות לפי סוכן - מקור'!D812</f>
        <v/>
      </c>
      <c r="G758" s="95">
        <f>'לקוחות לפי סוכן - מקור'!H812</f>
        <v/>
      </c>
      <c r="H758" s="95">
        <f>'לקוחות לפי סוכן - מקור'!I812</f>
        <v/>
      </c>
      <c r="I758" s="94">
        <f>'לקוחות לפי סוכן - מקור'!K812</f>
        <v/>
      </c>
    </row>
    <row r="759" outlineLevel="1" ht="15" customHeight="1" s="82">
      <c r="A759" s="94">
        <f>'לקוחות לפי סוכן - מקור'!A813</f>
        <v/>
      </c>
      <c r="B759" s="94">
        <f>'לקוחות לפי סוכן - מקור'!C813</f>
        <v/>
      </c>
      <c r="C759" s="126">
        <f>'לקוחות לפי סוכן - מקור'!E813</f>
        <v/>
      </c>
      <c r="D759" s="102">
        <f>'לקוחות לפי סוכן - מקור'!F813</f>
        <v/>
      </c>
      <c r="E759" s="102">
        <f>'לקוחות לפי סוכן - מקור'!G813</f>
        <v/>
      </c>
      <c r="F759" s="94">
        <f>'לקוחות לפי סוכן - מקור'!D813</f>
        <v/>
      </c>
      <c r="G759" s="95">
        <f>'לקוחות לפי סוכן - מקור'!H813</f>
        <v/>
      </c>
      <c r="H759" s="95">
        <f>'לקוחות לפי סוכן - מקור'!I813</f>
        <v/>
      </c>
      <c r="I759" s="94">
        <f>'לקוחות לפי סוכן - מקור'!K813</f>
        <v/>
      </c>
    </row>
    <row r="760" outlineLevel="1" ht="15" customHeight="1" s="82">
      <c r="A760" s="94">
        <f>'לקוחות לפי סוכן - מקור'!A814</f>
        <v/>
      </c>
      <c r="B760" s="94">
        <f>'לקוחות לפי סוכן - מקור'!C814</f>
        <v/>
      </c>
      <c r="C760" s="126">
        <f>'לקוחות לפי סוכן - מקור'!E814</f>
        <v/>
      </c>
      <c r="D760" s="102">
        <f>'לקוחות לפי סוכן - מקור'!F814</f>
        <v/>
      </c>
      <c r="E760" s="102">
        <f>'לקוחות לפי סוכן - מקור'!G814</f>
        <v/>
      </c>
      <c r="F760" s="94">
        <f>'לקוחות לפי סוכן - מקור'!D814</f>
        <v/>
      </c>
      <c r="G760" s="95">
        <f>'לקוחות לפי סוכן - מקור'!H814</f>
        <v/>
      </c>
      <c r="H760" s="95">
        <f>'לקוחות לפי סוכן - מקור'!I814</f>
        <v/>
      </c>
      <c r="I760" s="94">
        <f>'לקוחות לפי סוכן - מקור'!K814</f>
        <v/>
      </c>
    </row>
    <row r="761" outlineLevel="1" ht="15" customHeight="1" s="82">
      <c r="A761" s="94">
        <f>'לקוחות לפי סוכן - מקור'!A815</f>
        <v/>
      </c>
      <c r="B761" s="94">
        <f>'לקוחות לפי סוכן - מקור'!C815</f>
        <v/>
      </c>
      <c r="C761" s="126">
        <f>'לקוחות לפי סוכן - מקור'!E815</f>
        <v/>
      </c>
      <c r="D761" s="102">
        <f>'לקוחות לפי סוכן - מקור'!F815</f>
        <v/>
      </c>
      <c r="E761" s="102">
        <f>'לקוחות לפי סוכן - מקור'!G815</f>
        <v/>
      </c>
      <c r="F761" s="94">
        <f>'לקוחות לפי סוכן - מקור'!D815</f>
        <v/>
      </c>
      <c r="G761" s="95">
        <f>'לקוחות לפי סוכן - מקור'!H815</f>
        <v/>
      </c>
      <c r="H761" s="95">
        <f>'לקוחות לפי סוכן - מקור'!I815</f>
        <v/>
      </c>
      <c r="I761" s="94">
        <f>'לקוחות לפי סוכן - מקור'!K815</f>
        <v/>
      </c>
    </row>
    <row r="762" outlineLevel="1" ht="15" customHeight="1" s="82">
      <c r="A762" s="94">
        <f>'לקוחות לפי סוכן - מקור'!A816</f>
        <v/>
      </c>
      <c r="B762" s="94">
        <f>'לקוחות לפי סוכן - מקור'!C816</f>
        <v/>
      </c>
      <c r="C762" s="126">
        <f>'לקוחות לפי סוכן - מקור'!E816</f>
        <v/>
      </c>
      <c r="D762" s="102">
        <f>'לקוחות לפי סוכן - מקור'!F816</f>
        <v/>
      </c>
      <c r="E762" s="102">
        <f>'לקוחות לפי סוכן - מקור'!G816</f>
        <v/>
      </c>
      <c r="F762" s="94">
        <f>'לקוחות לפי סוכן - מקור'!D816</f>
        <v/>
      </c>
      <c r="G762" s="95">
        <f>'לקוחות לפי סוכן - מקור'!H816</f>
        <v/>
      </c>
      <c r="H762" s="95">
        <f>'לקוחות לפי סוכן - מקור'!I816</f>
        <v/>
      </c>
      <c r="I762" s="94">
        <f>'לקוחות לפי סוכן - מקור'!K816</f>
        <v/>
      </c>
    </row>
    <row r="763" outlineLevel="1" ht="15" customHeight="1" s="82">
      <c r="A763" s="94">
        <f>'לקוחות לפי סוכן - מקור'!A817</f>
        <v/>
      </c>
      <c r="B763" s="94">
        <f>'לקוחות לפי סוכן - מקור'!C817</f>
        <v/>
      </c>
      <c r="C763" s="126">
        <f>'לקוחות לפי סוכן - מקור'!E817</f>
        <v/>
      </c>
      <c r="D763" s="102">
        <f>'לקוחות לפי סוכן - מקור'!F817</f>
        <v/>
      </c>
      <c r="E763" s="102">
        <f>'לקוחות לפי סוכן - מקור'!G817</f>
        <v/>
      </c>
      <c r="F763" s="94">
        <f>'לקוחות לפי סוכן - מקור'!D817</f>
        <v/>
      </c>
      <c r="G763" s="95">
        <f>'לקוחות לפי סוכן - מקור'!H817</f>
        <v/>
      </c>
      <c r="H763" s="95">
        <f>'לקוחות לפי סוכן - מקור'!I817</f>
        <v/>
      </c>
      <c r="I763" s="94">
        <f>'לקוחות לפי סוכן - מקור'!K817</f>
        <v/>
      </c>
    </row>
    <row r="764" outlineLevel="1" ht="15" customHeight="1" s="82">
      <c r="A764" s="94">
        <f>'לקוחות לפי סוכן - מקור'!A818</f>
        <v/>
      </c>
      <c r="B764" s="94">
        <f>'לקוחות לפי סוכן - מקור'!C818</f>
        <v/>
      </c>
      <c r="C764" s="126">
        <f>'לקוחות לפי סוכן - מקור'!E818</f>
        <v/>
      </c>
      <c r="D764" s="102">
        <f>'לקוחות לפי סוכן - מקור'!F818</f>
        <v/>
      </c>
      <c r="E764" s="102">
        <f>'לקוחות לפי סוכן - מקור'!G818</f>
        <v/>
      </c>
      <c r="F764" s="94">
        <f>'לקוחות לפי סוכן - מקור'!D818</f>
        <v/>
      </c>
      <c r="G764" s="95">
        <f>'לקוחות לפי סוכן - מקור'!H818</f>
        <v/>
      </c>
      <c r="H764" s="95">
        <f>'לקוחות לפי סוכן - מקור'!I818</f>
        <v/>
      </c>
      <c r="I764" s="94">
        <f>'לקוחות לפי סוכן - מקור'!K818</f>
        <v/>
      </c>
    </row>
    <row r="765" outlineLevel="1" ht="15" customHeight="1" s="82">
      <c r="A765" s="94">
        <f>'לקוחות לפי סוכן - מקור'!A819</f>
        <v/>
      </c>
      <c r="B765" s="94">
        <f>'לקוחות לפי סוכן - מקור'!C819</f>
        <v/>
      </c>
      <c r="C765" s="126">
        <f>'לקוחות לפי סוכן - מקור'!E819</f>
        <v/>
      </c>
      <c r="D765" s="102">
        <f>'לקוחות לפי סוכן - מקור'!F819</f>
        <v/>
      </c>
      <c r="E765" s="102">
        <f>'לקוחות לפי סוכן - מקור'!G819</f>
        <v/>
      </c>
      <c r="F765" s="94">
        <f>'לקוחות לפי סוכן - מקור'!D819</f>
        <v/>
      </c>
      <c r="G765" s="95">
        <f>'לקוחות לפי סוכן - מקור'!H819</f>
        <v/>
      </c>
      <c r="H765" s="95">
        <f>'לקוחות לפי סוכן - מקור'!I819</f>
        <v/>
      </c>
      <c r="I765" s="94">
        <f>'לקוחות לפי סוכן - מקור'!K819</f>
        <v/>
      </c>
    </row>
    <row r="766" outlineLevel="1" ht="15" customHeight="1" s="82">
      <c r="A766" s="94">
        <f>'לקוחות לפי סוכן - מקור'!A820</f>
        <v/>
      </c>
      <c r="B766" s="94">
        <f>'לקוחות לפי סוכן - מקור'!C820</f>
        <v/>
      </c>
      <c r="C766" s="126">
        <f>'לקוחות לפי סוכן - מקור'!E820</f>
        <v/>
      </c>
      <c r="D766" s="102">
        <f>'לקוחות לפי סוכן - מקור'!F820</f>
        <v/>
      </c>
      <c r="E766" s="102">
        <f>'לקוחות לפי סוכן - מקור'!G820</f>
        <v/>
      </c>
      <c r="F766" s="94">
        <f>'לקוחות לפי סוכן - מקור'!D820</f>
        <v/>
      </c>
      <c r="G766" s="95">
        <f>'לקוחות לפי סוכן - מקור'!H820</f>
        <v/>
      </c>
      <c r="H766" s="95">
        <f>'לקוחות לפי סוכן - מקור'!I820</f>
        <v/>
      </c>
      <c r="I766" s="94">
        <f>'לקוחות לפי סוכן - מקור'!K820</f>
        <v/>
      </c>
    </row>
    <row r="767" outlineLevel="1" ht="15" customHeight="1" s="82">
      <c r="A767" s="94">
        <f>'לקוחות לפי סוכן - מקור'!A821</f>
        <v/>
      </c>
      <c r="B767" s="94">
        <f>'לקוחות לפי סוכן - מקור'!C821</f>
        <v/>
      </c>
      <c r="C767" s="126">
        <f>'לקוחות לפי סוכן - מקור'!E821</f>
        <v/>
      </c>
      <c r="D767" s="102">
        <f>'לקוחות לפי סוכן - מקור'!F821</f>
        <v/>
      </c>
      <c r="E767" s="102">
        <f>'לקוחות לפי סוכן - מקור'!G821</f>
        <v/>
      </c>
      <c r="F767" s="94">
        <f>'לקוחות לפי סוכן - מקור'!D821</f>
        <v/>
      </c>
      <c r="G767" s="95">
        <f>'לקוחות לפי סוכן - מקור'!H821</f>
        <v/>
      </c>
      <c r="H767" s="95">
        <f>'לקוחות לפי סוכן - מקור'!I821</f>
        <v/>
      </c>
      <c r="I767" s="94">
        <f>'לקוחות לפי סוכן - מקור'!K821</f>
        <v/>
      </c>
    </row>
    <row r="768" outlineLevel="1" ht="15" customHeight="1" s="82">
      <c r="A768" s="94">
        <f>'לקוחות לפי סוכן - מקור'!A822</f>
        <v/>
      </c>
      <c r="B768" s="94">
        <f>'לקוחות לפי סוכן - מקור'!C822</f>
        <v/>
      </c>
      <c r="C768" s="126">
        <f>'לקוחות לפי סוכן - מקור'!E822</f>
        <v/>
      </c>
      <c r="D768" s="102">
        <f>'לקוחות לפי סוכן - מקור'!F822</f>
        <v/>
      </c>
      <c r="E768" s="102">
        <f>'לקוחות לפי סוכן - מקור'!G822</f>
        <v/>
      </c>
      <c r="F768" s="94">
        <f>'לקוחות לפי סוכן - מקור'!D822</f>
        <v/>
      </c>
      <c r="G768" s="95">
        <f>'לקוחות לפי סוכן - מקור'!H822</f>
        <v/>
      </c>
      <c r="H768" s="95">
        <f>'לקוחות לפי סוכן - מקור'!I822</f>
        <v/>
      </c>
      <c r="I768" s="94">
        <f>'לקוחות לפי סוכן - מקור'!K822</f>
        <v/>
      </c>
    </row>
    <row r="769" outlineLevel="1" ht="15" customHeight="1" s="82">
      <c r="A769" s="94">
        <f>'לקוחות לפי סוכן - מקור'!A823</f>
        <v/>
      </c>
      <c r="B769" s="94">
        <f>'לקוחות לפי סוכן - מקור'!C823</f>
        <v/>
      </c>
      <c r="C769" s="126">
        <f>'לקוחות לפי סוכן - מקור'!E823</f>
        <v/>
      </c>
      <c r="D769" s="102">
        <f>'לקוחות לפי סוכן - מקור'!F823</f>
        <v/>
      </c>
      <c r="E769" s="102">
        <f>'לקוחות לפי סוכן - מקור'!G823</f>
        <v/>
      </c>
      <c r="F769" s="94">
        <f>'לקוחות לפי סוכן - מקור'!D823</f>
        <v/>
      </c>
      <c r="G769" s="95">
        <f>'לקוחות לפי סוכן - מקור'!H823</f>
        <v/>
      </c>
      <c r="H769" s="95">
        <f>'לקוחות לפי סוכן - מקור'!I823</f>
        <v/>
      </c>
      <c r="I769" s="94">
        <f>'לקוחות לפי סוכן - מקור'!K823</f>
        <v/>
      </c>
    </row>
    <row r="770" outlineLevel="1" ht="15" customHeight="1" s="82">
      <c r="A770" s="94">
        <f>'לקוחות לפי סוכן - מקור'!A824</f>
        <v/>
      </c>
      <c r="B770" s="94">
        <f>'לקוחות לפי סוכן - מקור'!C824</f>
        <v/>
      </c>
      <c r="C770" s="126">
        <f>'לקוחות לפי סוכן - מקור'!E824</f>
        <v/>
      </c>
      <c r="D770" s="102">
        <f>'לקוחות לפי סוכן - מקור'!F824</f>
        <v/>
      </c>
      <c r="E770" s="102">
        <f>'לקוחות לפי סוכן - מקור'!G824</f>
        <v/>
      </c>
      <c r="F770" s="94">
        <f>'לקוחות לפי סוכן - מקור'!D824</f>
        <v/>
      </c>
      <c r="G770" s="95">
        <f>'לקוחות לפי סוכן - מקור'!H824</f>
        <v/>
      </c>
      <c r="H770" s="95">
        <f>'לקוחות לפי סוכן - מקור'!I824</f>
        <v/>
      </c>
      <c r="I770" s="94">
        <f>'לקוחות לפי סוכן - מקור'!K824</f>
        <v/>
      </c>
    </row>
    <row r="771" outlineLevel="1" ht="15" customHeight="1" s="82">
      <c r="A771" s="94">
        <f>'לקוחות לפי סוכן - מקור'!A825</f>
        <v/>
      </c>
      <c r="B771" s="94">
        <f>'לקוחות לפי סוכן - מקור'!C825</f>
        <v/>
      </c>
      <c r="C771" s="126">
        <f>'לקוחות לפי סוכן - מקור'!E825</f>
        <v/>
      </c>
      <c r="D771" s="102">
        <f>'לקוחות לפי סוכן - מקור'!F825</f>
        <v/>
      </c>
      <c r="E771" s="102">
        <f>'לקוחות לפי סוכן - מקור'!G825</f>
        <v/>
      </c>
      <c r="F771" s="94">
        <f>'לקוחות לפי סוכן - מקור'!D825</f>
        <v/>
      </c>
      <c r="G771" s="95">
        <f>'לקוחות לפי סוכן - מקור'!H825</f>
        <v/>
      </c>
      <c r="H771" s="95">
        <f>'לקוחות לפי סוכן - מקור'!I825</f>
        <v/>
      </c>
      <c r="I771" s="94">
        <f>'לקוחות לפי סוכן - מקור'!K825</f>
        <v/>
      </c>
    </row>
    <row r="772" outlineLevel="1" ht="15" customHeight="1" s="82">
      <c r="A772" s="94">
        <f>'לקוחות לפי סוכן - מקור'!A826</f>
        <v/>
      </c>
      <c r="B772" s="94">
        <f>'לקוחות לפי סוכן - מקור'!C826</f>
        <v/>
      </c>
      <c r="C772" s="126">
        <f>'לקוחות לפי סוכן - מקור'!E826</f>
        <v/>
      </c>
      <c r="D772" s="102">
        <f>'לקוחות לפי סוכן - מקור'!F826</f>
        <v/>
      </c>
      <c r="E772" s="102">
        <f>'לקוחות לפי סוכן - מקור'!G826</f>
        <v/>
      </c>
      <c r="F772" s="94">
        <f>'לקוחות לפי סוכן - מקור'!D826</f>
        <v/>
      </c>
      <c r="G772" s="95">
        <f>'לקוחות לפי סוכן - מקור'!H826</f>
        <v/>
      </c>
      <c r="H772" s="95">
        <f>'לקוחות לפי סוכן - מקור'!I826</f>
        <v/>
      </c>
      <c r="I772" s="94">
        <f>'לקוחות לפי סוכן - מקור'!K826</f>
        <v/>
      </c>
    </row>
    <row r="773" outlineLevel="1" ht="15" customHeight="1" s="82">
      <c r="A773" s="94">
        <f>'לקוחות לפי סוכן - מקור'!A827</f>
        <v/>
      </c>
      <c r="B773" s="94">
        <f>'לקוחות לפי סוכן - מקור'!C827</f>
        <v/>
      </c>
      <c r="C773" s="126">
        <f>'לקוחות לפי סוכן - מקור'!E827</f>
        <v/>
      </c>
      <c r="D773" s="102">
        <f>'לקוחות לפי סוכן - מקור'!F827</f>
        <v/>
      </c>
      <c r="E773" s="102">
        <f>'לקוחות לפי סוכן - מקור'!G827</f>
        <v/>
      </c>
      <c r="F773" s="94">
        <f>'לקוחות לפי סוכן - מקור'!D827</f>
        <v/>
      </c>
      <c r="G773" s="95">
        <f>'לקוחות לפי סוכן - מקור'!H827</f>
        <v/>
      </c>
      <c r="H773" s="95">
        <f>'לקוחות לפי סוכן - מקור'!I827</f>
        <v/>
      </c>
      <c r="I773" s="94">
        <f>'לקוחות לפי סוכן - מקור'!K827</f>
        <v/>
      </c>
    </row>
    <row r="774" outlineLevel="1" ht="15" customHeight="1" s="82">
      <c r="A774" s="94">
        <f>'לקוחות לפי סוכן - מקור'!A828</f>
        <v/>
      </c>
      <c r="B774" s="94">
        <f>'לקוחות לפי סוכן - מקור'!C828</f>
        <v/>
      </c>
      <c r="C774" s="126">
        <f>'לקוחות לפי סוכן - מקור'!E828</f>
        <v/>
      </c>
      <c r="D774" s="102">
        <f>'לקוחות לפי סוכן - מקור'!F828</f>
        <v/>
      </c>
      <c r="E774" s="102">
        <f>'לקוחות לפי סוכן - מקור'!G828</f>
        <v/>
      </c>
      <c r="F774" s="94">
        <f>'לקוחות לפי סוכן - מקור'!D828</f>
        <v/>
      </c>
      <c r="G774" s="95">
        <f>'לקוחות לפי סוכן - מקור'!H828</f>
        <v/>
      </c>
      <c r="H774" s="95">
        <f>'לקוחות לפי סוכן - מקור'!I828</f>
        <v/>
      </c>
      <c r="I774" s="94">
        <f>'לקוחות לפי סוכן - מקור'!K828</f>
        <v/>
      </c>
    </row>
    <row r="775" outlineLevel="1" ht="15" customHeight="1" s="82">
      <c r="A775" s="94">
        <f>'לקוחות לפי סוכן - מקור'!A829</f>
        <v/>
      </c>
      <c r="B775" s="94">
        <f>'לקוחות לפי סוכן - מקור'!C829</f>
        <v/>
      </c>
      <c r="C775" s="126">
        <f>'לקוחות לפי סוכן - מקור'!E829</f>
        <v/>
      </c>
      <c r="D775" s="102">
        <f>'לקוחות לפי סוכן - מקור'!F829</f>
        <v/>
      </c>
      <c r="E775" s="102">
        <f>'לקוחות לפי סוכן - מקור'!G829</f>
        <v/>
      </c>
      <c r="F775" s="94">
        <f>'לקוחות לפי סוכן - מקור'!D829</f>
        <v/>
      </c>
      <c r="G775" s="95">
        <f>'לקוחות לפי סוכן - מקור'!H829</f>
        <v/>
      </c>
      <c r="H775" s="95">
        <f>'לקוחות לפי סוכן - מקור'!I829</f>
        <v/>
      </c>
      <c r="I775" s="94">
        <f>'לקוחות לפי סוכן - מקור'!K829</f>
        <v/>
      </c>
    </row>
    <row r="776" outlineLevel="1" ht="15" customHeight="1" s="82">
      <c r="A776" s="94">
        <f>'לקוחות לפי סוכן - מקור'!A830</f>
        <v/>
      </c>
      <c r="B776" s="94">
        <f>'לקוחות לפי סוכן - מקור'!C830</f>
        <v/>
      </c>
      <c r="C776" s="126">
        <f>'לקוחות לפי סוכן - מקור'!E830</f>
        <v/>
      </c>
      <c r="D776" s="102">
        <f>'לקוחות לפי סוכן - מקור'!F830</f>
        <v/>
      </c>
      <c r="E776" s="102">
        <f>'לקוחות לפי סוכן - מקור'!G830</f>
        <v/>
      </c>
      <c r="F776" s="94">
        <f>'לקוחות לפי סוכן - מקור'!D830</f>
        <v/>
      </c>
      <c r="G776" s="95">
        <f>'לקוחות לפי סוכן - מקור'!H830</f>
        <v/>
      </c>
      <c r="H776" s="95">
        <f>'לקוחות לפי סוכן - מקור'!I830</f>
        <v/>
      </c>
      <c r="I776" s="94">
        <f>'לקוחות לפי סוכן - מקור'!K830</f>
        <v/>
      </c>
    </row>
    <row r="777" outlineLevel="1" ht="15" customHeight="1" s="82">
      <c r="A777" s="94">
        <f>'לקוחות לפי סוכן - מקור'!A831</f>
        <v/>
      </c>
      <c r="B777" s="94">
        <f>'לקוחות לפי סוכן - מקור'!C831</f>
        <v/>
      </c>
      <c r="C777" s="126">
        <f>'לקוחות לפי סוכן - מקור'!E831</f>
        <v/>
      </c>
      <c r="D777" s="102">
        <f>'לקוחות לפי סוכן - מקור'!F831</f>
        <v/>
      </c>
      <c r="E777" s="102">
        <f>'לקוחות לפי סוכן - מקור'!G831</f>
        <v/>
      </c>
      <c r="F777" s="94">
        <f>'לקוחות לפי סוכן - מקור'!D831</f>
        <v/>
      </c>
      <c r="G777" s="95">
        <f>'לקוחות לפי סוכן - מקור'!H831</f>
        <v/>
      </c>
      <c r="H777" s="95">
        <f>'לקוחות לפי סוכן - מקור'!I831</f>
        <v/>
      </c>
      <c r="I777" s="94">
        <f>'לקוחות לפי סוכן - מקור'!K831</f>
        <v/>
      </c>
    </row>
    <row r="778" outlineLevel="1" ht="15" customHeight="1" s="82">
      <c r="A778" s="94">
        <f>'לקוחות לפי סוכן - מקור'!A832</f>
        <v/>
      </c>
      <c r="B778" s="94">
        <f>'לקוחות לפי סוכן - מקור'!C832</f>
        <v/>
      </c>
      <c r="C778" s="126">
        <f>'לקוחות לפי סוכן - מקור'!E832</f>
        <v/>
      </c>
      <c r="D778" s="102">
        <f>'לקוחות לפי סוכן - מקור'!F832</f>
        <v/>
      </c>
      <c r="E778" s="102">
        <f>'לקוחות לפי סוכן - מקור'!G832</f>
        <v/>
      </c>
      <c r="F778" s="94">
        <f>'לקוחות לפי סוכן - מקור'!D832</f>
        <v/>
      </c>
      <c r="G778" s="95">
        <f>'לקוחות לפי סוכן - מקור'!H832</f>
        <v/>
      </c>
      <c r="H778" s="95">
        <f>'לקוחות לפי סוכן - מקור'!I832</f>
        <v/>
      </c>
      <c r="I778" s="94">
        <f>'לקוחות לפי סוכן - מקור'!K832</f>
        <v/>
      </c>
    </row>
    <row r="779" outlineLevel="1" ht="15" customHeight="1" s="82">
      <c r="A779" s="94">
        <f>'לקוחות לפי סוכן - מקור'!A833</f>
        <v/>
      </c>
      <c r="B779" s="94">
        <f>'לקוחות לפי סוכן - מקור'!C833</f>
        <v/>
      </c>
      <c r="C779" s="126">
        <f>'לקוחות לפי סוכן - מקור'!E833</f>
        <v/>
      </c>
      <c r="D779" s="102">
        <f>'לקוחות לפי סוכן - מקור'!F833</f>
        <v/>
      </c>
      <c r="E779" s="102">
        <f>'לקוחות לפי סוכן - מקור'!G833</f>
        <v/>
      </c>
      <c r="F779" s="94">
        <f>'לקוחות לפי סוכן - מקור'!D833</f>
        <v/>
      </c>
      <c r="G779" s="95">
        <f>'לקוחות לפי סוכן - מקור'!H833</f>
        <v/>
      </c>
      <c r="H779" s="95">
        <f>'לקוחות לפי סוכן - מקור'!I833</f>
        <v/>
      </c>
      <c r="I779" s="94">
        <f>'לקוחות לפי סוכן - מקור'!K833</f>
        <v/>
      </c>
    </row>
    <row r="780" outlineLevel="1" ht="15" customHeight="1" s="82">
      <c r="A780" s="94">
        <f>'לקוחות לפי סוכן - מקור'!A834</f>
        <v/>
      </c>
      <c r="B780" s="94">
        <f>'לקוחות לפי סוכן - מקור'!C834</f>
        <v/>
      </c>
      <c r="C780" s="126">
        <f>'לקוחות לפי סוכן - מקור'!E834</f>
        <v/>
      </c>
      <c r="D780" s="102">
        <f>'לקוחות לפי סוכן - מקור'!F834</f>
        <v/>
      </c>
      <c r="E780" s="102">
        <f>'לקוחות לפי סוכן - מקור'!G834</f>
        <v/>
      </c>
      <c r="F780" s="94">
        <f>'לקוחות לפי סוכן - מקור'!D834</f>
        <v/>
      </c>
      <c r="G780" s="95">
        <f>'לקוחות לפי סוכן - מקור'!H834</f>
        <v/>
      </c>
      <c r="H780" s="95">
        <f>'לקוחות לפי סוכן - מקור'!I834</f>
        <v/>
      </c>
      <c r="I780" s="94">
        <f>'לקוחות לפי סוכן - מקור'!K834</f>
        <v/>
      </c>
    </row>
    <row r="781" outlineLevel="1" ht="15" customHeight="1" s="82">
      <c r="A781" s="94">
        <f>'לקוחות לפי סוכן - מקור'!A835</f>
        <v/>
      </c>
      <c r="B781" s="94">
        <f>'לקוחות לפי סוכן - מקור'!C835</f>
        <v/>
      </c>
      <c r="C781" s="126">
        <f>'לקוחות לפי סוכן - מקור'!E835</f>
        <v/>
      </c>
      <c r="D781" s="102">
        <f>'לקוחות לפי סוכן - מקור'!F835</f>
        <v/>
      </c>
      <c r="E781" s="102">
        <f>'לקוחות לפי סוכן - מקור'!G835</f>
        <v/>
      </c>
      <c r="F781" s="94">
        <f>'לקוחות לפי סוכן - מקור'!D835</f>
        <v/>
      </c>
      <c r="G781" s="95">
        <f>'לקוחות לפי סוכן - מקור'!H835</f>
        <v/>
      </c>
      <c r="H781" s="95">
        <f>'לקוחות לפי סוכן - מקור'!I835</f>
        <v/>
      </c>
      <c r="I781" s="94">
        <f>'לקוחות לפי סוכן - מקור'!K835</f>
        <v/>
      </c>
    </row>
    <row r="782" outlineLevel="1" ht="15" customHeight="1" s="82">
      <c r="A782" s="94">
        <f>'לקוחות לפי סוכן - מקור'!A837</f>
        <v/>
      </c>
      <c r="B782" s="94">
        <f>'לקוחות לפי סוכן - מקור'!C837</f>
        <v/>
      </c>
      <c r="C782" s="126">
        <f>'לקוחות לפי סוכן - מקור'!E837</f>
        <v/>
      </c>
      <c r="D782" s="102">
        <f>'לקוחות לפי סוכן - מקור'!F837</f>
        <v/>
      </c>
      <c r="E782" s="102">
        <f>'לקוחות לפי סוכן - מקור'!G837</f>
        <v/>
      </c>
      <c r="F782" s="94">
        <f>'לקוחות לפי סוכן - מקור'!D837</f>
        <v/>
      </c>
      <c r="G782" s="95">
        <f>'לקוחות לפי סוכן - מקור'!H837</f>
        <v/>
      </c>
      <c r="H782" s="95">
        <f>'לקוחות לפי סוכן - מקור'!I837</f>
        <v/>
      </c>
      <c r="I782" s="94">
        <f>'לקוחות לפי סוכן - מקור'!K837</f>
        <v/>
      </c>
    </row>
    <row r="783" outlineLevel="1" ht="15" customHeight="1" s="82">
      <c r="A783" s="94">
        <f>'לקוחות לפי סוכן - מקור'!A838</f>
        <v/>
      </c>
      <c r="B783" s="94">
        <f>'לקוחות לפי סוכן - מקור'!C838</f>
        <v/>
      </c>
      <c r="C783" s="126">
        <f>'לקוחות לפי סוכן - מקור'!E838</f>
        <v/>
      </c>
      <c r="D783" s="102">
        <f>'לקוחות לפי סוכן - מקור'!F838</f>
        <v/>
      </c>
      <c r="E783" s="102">
        <f>'לקוחות לפי סוכן - מקור'!G838</f>
        <v/>
      </c>
      <c r="F783" s="94">
        <f>'לקוחות לפי סוכן - מקור'!D838</f>
        <v/>
      </c>
      <c r="G783" s="95">
        <f>'לקוחות לפי סוכן - מקור'!H838</f>
        <v/>
      </c>
      <c r="H783" s="95">
        <f>'לקוחות לפי סוכן - מקור'!I838</f>
        <v/>
      </c>
      <c r="I783" s="94">
        <f>'לקוחות לפי סוכן - מקור'!K838</f>
        <v/>
      </c>
    </row>
    <row r="784" outlineLevel="1" ht="15" customHeight="1" s="82">
      <c r="A784" s="94">
        <f>'לקוחות לפי סוכן - מקור'!A839</f>
        <v/>
      </c>
      <c r="B784" s="94">
        <f>'לקוחות לפי סוכן - מקור'!C839</f>
        <v/>
      </c>
      <c r="C784" s="126">
        <f>'לקוחות לפי סוכן - מקור'!E839</f>
        <v/>
      </c>
      <c r="D784" s="102">
        <f>'לקוחות לפי סוכן - מקור'!F839</f>
        <v/>
      </c>
      <c r="E784" s="102">
        <f>'לקוחות לפי סוכן - מקור'!G839</f>
        <v/>
      </c>
      <c r="F784" s="94">
        <f>'לקוחות לפי סוכן - מקור'!D839</f>
        <v/>
      </c>
      <c r="G784" s="95">
        <f>'לקוחות לפי סוכן - מקור'!H839</f>
        <v/>
      </c>
      <c r="H784" s="95">
        <f>'לקוחות לפי סוכן - מקור'!I839</f>
        <v/>
      </c>
      <c r="I784" s="94">
        <f>'לקוחות לפי סוכן - מקור'!K839</f>
        <v/>
      </c>
    </row>
    <row r="785" outlineLevel="1" ht="15" customHeight="1" s="82">
      <c r="A785" s="94">
        <f>'לקוחות לפי סוכן - מקור'!A840</f>
        <v/>
      </c>
      <c r="B785" s="94">
        <f>'לקוחות לפי סוכן - מקור'!C840</f>
        <v/>
      </c>
      <c r="C785" s="126">
        <f>'לקוחות לפי סוכן - מקור'!E840</f>
        <v/>
      </c>
      <c r="D785" s="102">
        <f>'לקוחות לפי סוכן - מקור'!F840</f>
        <v/>
      </c>
      <c r="E785" s="102">
        <f>'לקוחות לפי סוכן - מקור'!G840</f>
        <v/>
      </c>
      <c r="F785" s="94">
        <f>'לקוחות לפי סוכן - מקור'!D840</f>
        <v/>
      </c>
      <c r="G785" s="95">
        <f>'לקוחות לפי סוכן - מקור'!H840</f>
        <v/>
      </c>
      <c r="H785" s="95">
        <f>'לקוחות לפי סוכן - מקור'!I840</f>
        <v/>
      </c>
      <c r="I785" s="94">
        <f>'לקוחות לפי סוכן - מקור'!K840</f>
        <v/>
      </c>
    </row>
    <row r="786" outlineLevel="1" ht="15" customHeight="1" s="82">
      <c r="A786" s="94">
        <f>'לקוחות לפי סוכן - מקור'!A841</f>
        <v/>
      </c>
      <c r="B786" s="94">
        <f>'לקוחות לפי סוכן - מקור'!C841</f>
        <v/>
      </c>
      <c r="C786" s="126">
        <f>'לקוחות לפי סוכן - מקור'!E841</f>
        <v/>
      </c>
      <c r="D786" s="102">
        <f>'לקוחות לפי סוכן - מקור'!F841</f>
        <v/>
      </c>
      <c r="E786" s="102">
        <f>'לקוחות לפי סוכן - מקור'!G841</f>
        <v/>
      </c>
      <c r="F786" s="94">
        <f>'לקוחות לפי סוכן - מקור'!D841</f>
        <v/>
      </c>
      <c r="G786" s="95">
        <f>'לקוחות לפי סוכן - מקור'!H841</f>
        <v/>
      </c>
      <c r="H786" s="95">
        <f>'לקוחות לפי סוכן - מקור'!I841</f>
        <v/>
      </c>
      <c r="I786" s="94">
        <f>'לקוחות לפי סוכן - מקור'!K841</f>
        <v/>
      </c>
    </row>
    <row r="787" outlineLevel="1" ht="15" customHeight="1" s="82">
      <c r="A787" s="94">
        <f>'לקוחות לפי סוכן - מקור'!A842</f>
        <v/>
      </c>
      <c r="B787" s="94">
        <f>'לקוחות לפי סוכן - מקור'!C842</f>
        <v/>
      </c>
      <c r="C787" s="126">
        <f>'לקוחות לפי סוכן - מקור'!E842</f>
        <v/>
      </c>
      <c r="D787" s="102">
        <f>'לקוחות לפי סוכן - מקור'!F842</f>
        <v/>
      </c>
      <c r="E787" s="102">
        <f>'לקוחות לפי סוכן - מקור'!G842</f>
        <v/>
      </c>
      <c r="F787" s="94">
        <f>'לקוחות לפי סוכן - מקור'!D842</f>
        <v/>
      </c>
      <c r="G787" s="95">
        <f>'לקוחות לפי סוכן - מקור'!H842</f>
        <v/>
      </c>
      <c r="H787" s="95">
        <f>'לקוחות לפי סוכן - מקור'!I842</f>
        <v/>
      </c>
      <c r="I787" s="94">
        <f>'לקוחות לפי סוכן - מקור'!K842</f>
        <v/>
      </c>
    </row>
    <row r="788" outlineLevel="1" ht="15" customHeight="1" s="82">
      <c r="A788" s="94">
        <f>'לקוחות לפי סוכן - מקור'!A843</f>
        <v/>
      </c>
      <c r="B788" s="94">
        <f>'לקוחות לפי סוכן - מקור'!C843</f>
        <v/>
      </c>
      <c r="C788" s="126">
        <f>'לקוחות לפי סוכן - מקור'!E843</f>
        <v/>
      </c>
      <c r="D788" s="102">
        <f>'לקוחות לפי סוכן - מקור'!F843</f>
        <v/>
      </c>
      <c r="E788" s="102">
        <f>'לקוחות לפי סוכן - מקור'!G843</f>
        <v/>
      </c>
      <c r="F788" s="94">
        <f>'לקוחות לפי סוכן - מקור'!D843</f>
        <v/>
      </c>
      <c r="G788" s="95">
        <f>'לקוחות לפי סוכן - מקור'!H843</f>
        <v/>
      </c>
      <c r="H788" s="95">
        <f>'לקוחות לפי סוכן - מקור'!I843</f>
        <v/>
      </c>
      <c r="I788" s="94">
        <f>'לקוחות לפי סוכן - מקור'!K843</f>
        <v/>
      </c>
    </row>
    <row r="789" outlineLevel="1" ht="15" customHeight="1" s="82">
      <c r="A789" s="94">
        <f>'לקוחות לפי סוכן - מקור'!A844</f>
        <v/>
      </c>
      <c r="B789" s="94">
        <f>'לקוחות לפי סוכן - מקור'!C844</f>
        <v/>
      </c>
      <c r="C789" s="126">
        <f>'לקוחות לפי סוכן - מקור'!E844</f>
        <v/>
      </c>
      <c r="D789" s="102">
        <f>'לקוחות לפי סוכן - מקור'!F844</f>
        <v/>
      </c>
      <c r="E789" s="102">
        <f>'לקוחות לפי סוכן - מקור'!G844</f>
        <v/>
      </c>
      <c r="F789" s="94">
        <f>'לקוחות לפי סוכן - מקור'!D844</f>
        <v/>
      </c>
      <c r="G789" s="95">
        <f>'לקוחות לפי סוכן - מקור'!H844</f>
        <v/>
      </c>
      <c r="H789" s="95">
        <f>'לקוחות לפי סוכן - מקור'!I844</f>
        <v/>
      </c>
      <c r="I789" s="94">
        <f>'לקוחות לפי סוכן - מקור'!K844</f>
        <v/>
      </c>
    </row>
    <row r="790" outlineLevel="1" ht="15" customHeight="1" s="82">
      <c r="A790" s="94">
        <f>'לקוחות לפי סוכן - מקור'!A845</f>
        <v/>
      </c>
      <c r="B790" s="94">
        <f>'לקוחות לפי סוכן - מקור'!C845</f>
        <v/>
      </c>
      <c r="C790" s="126">
        <f>'לקוחות לפי סוכן - מקור'!E845</f>
        <v/>
      </c>
      <c r="D790" s="102">
        <f>'לקוחות לפי סוכן - מקור'!F845</f>
        <v/>
      </c>
      <c r="E790" s="102">
        <f>'לקוחות לפי סוכן - מקור'!G845</f>
        <v/>
      </c>
      <c r="F790" s="94">
        <f>'לקוחות לפי סוכן - מקור'!D845</f>
        <v/>
      </c>
      <c r="G790" s="95">
        <f>'לקוחות לפי סוכן - מקור'!H845</f>
        <v/>
      </c>
      <c r="H790" s="95">
        <f>'לקוחות לפי סוכן - מקור'!I845</f>
        <v/>
      </c>
      <c r="I790" s="94">
        <f>'לקוחות לפי סוכן - מקור'!K845</f>
        <v/>
      </c>
    </row>
    <row r="791" outlineLevel="1" ht="15" customHeight="1" s="82">
      <c r="A791" s="94">
        <f>'לקוחות לפי סוכן - מקור'!A846</f>
        <v/>
      </c>
      <c r="B791" s="94">
        <f>'לקוחות לפי סוכן - מקור'!C846</f>
        <v/>
      </c>
      <c r="C791" s="126">
        <f>'לקוחות לפי סוכן - מקור'!E846</f>
        <v/>
      </c>
      <c r="D791" s="102">
        <f>'לקוחות לפי סוכן - מקור'!F846</f>
        <v/>
      </c>
      <c r="E791" s="102">
        <f>'לקוחות לפי סוכן - מקור'!G846</f>
        <v/>
      </c>
      <c r="F791" s="94">
        <f>'לקוחות לפי סוכן - מקור'!D846</f>
        <v/>
      </c>
      <c r="G791" s="95">
        <f>'לקוחות לפי סוכן - מקור'!H846</f>
        <v/>
      </c>
      <c r="H791" s="95">
        <f>'לקוחות לפי סוכן - מקור'!I846</f>
        <v/>
      </c>
      <c r="I791" s="94">
        <f>'לקוחות לפי סוכן - מקור'!K846</f>
        <v/>
      </c>
    </row>
    <row r="792" outlineLevel="1" ht="15" customHeight="1" s="82">
      <c r="A792" s="94">
        <f>'לקוחות לפי סוכן - מקור'!A847</f>
        <v/>
      </c>
      <c r="B792" s="94">
        <f>'לקוחות לפי סוכן - מקור'!C847</f>
        <v/>
      </c>
      <c r="C792" s="126">
        <f>'לקוחות לפי סוכן - מקור'!E847</f>
        <v/>
      </c>
      <c r="D792" s="102">
        <f>'לקוחות לפי סוכן - מקור'!F847</f>
        <v/>
      </c>
      <c r="E792" s="102">
        <f>'לקוחות לפי סוכן - מקור'!G847</f>
        <v/>
      </c>
      <c r="F792" s="94">
        <f>'לקוחות לפי סוכן - מקור'!D847</f>
        <v/>
      </c>
      <c r="G792" s="95">
        <f>'לקוחות לפי סוכן - מקור'!H847</f>
        <v/>
      </c>
      <c r="H792" s="95">
        <f>'לקוחות לפי סוכן - מקור'!I847</f>
        <v/>
      </c>
      <c r="I792" s="94">
        <f>'לקוחות לפי סוכן - מקור'!K847</f>
        <v/>
      </c>
    </row>
    <row r="793" outlineLevel="1" ht="15" customHeight="1" s="82">
      <c r="A793" s="94">
        <f>'לקוחות לפי סוכן - מקור'!A848</f>
        <v/>
      </c>
      <c r="B793" s="94">
        <f>'לקוחות לפי סוכן - מקור'!C848</f>
        <v/>
      </c>
      <c r="C793" s="126">
        <f>'לקוחות לפי סוכן - מקור'!E848</f>
        <v/>
      </c>
      <c r="D793" s="102">
        <f>'לקוחות לפי סוכן - מקור'!F848</f>
        <v/>
      </c>
      <c r="E793" s="102">
        <f>'לקוחות לפי סוכן - מקור'!G848</f>
        <v/>
      </c>
      <c r="F793" s="94">
        <f>'לקוחות לפי סוכן - מקור'!D848</f>
        <v/>
      </c>
      <c r="G793" s="95">
        <f>'לקוחות לפי סוכן - מקור'!H848</f>
        <v/>
      </c>
      <c r="H793" s="95">
        <f>'לקוחות לפי סוכן - מקור'!I848</f>
        <v/>
      </c>
      <c r="I793" s="94">
        <f>'לקוחות לפי סוכן - מקור'!K848</f>
        <v/>
      </c>
    </row>
    <row r="794" outlineLevel="1" ht="15" customHeight="1" s="82">
      <c r="A794" s="94">
        <f>'לקוחות לפי סוכן - מקור'!A849</f>
        <v/>
      </c>
      <c r="B794" s="94">
        <f>'לקוחות לפי סוכן - מקור'!C849</f>
        <v/>
      </c>
      <c r="C794" s="126">
        <f>'לקוחות לפי סוכן - מקור'!E849</f>
        <v/>
      </c>
      <c r="D794" s="102">
        <f>'לקוחות לפי סוכן - מקור'!F849</f>
        <v/>
      </c>
      <c r="E794" s="102">
        <f>'לקוחות לפי סוכן - מקור'!G849</f>
        <v/>
      </c>
      <c r="F794" s="94">
        <f>'לקוחות לפי סוכן - מקור'!D849</f>
        <v/>
      </c>
      <c r="G794" s="95">
        <f>'לקוחות לפי סוכן - מקור'!H849</f>
        <v/>
      </c>
      <c r="H794" s="95">
        <f>'לקוחות לפי סוכן - מקור'!I849</f>
        <v/>
      </c>
      <c r="I794" s="94">
        <f>'לקוחות לפי סוכן - מקור'!K849</f>
        <v/>
      </c>
    </row>
    <row r="795" outlineLevel="1" ht="15" customHeight="1" s="82">
      <c r="A795" s="94">
        <f>'לקוחות לפי סוכן - מקור'!A850</f>
        <v/>
      </c>
      <c r="B795" s="94">
        <f>'לקוחות לפי סוכן - מקור'!C850</f>
        <v/>
      </c>
      <c r="C795" s="126">
        <f>'לקוחות לפי סוכן - מקור'!E850</f>
        <v/>
      </c>
      <c r="D795" s="102">
        <f>'לקוחות לפי סוכן - מקור'!F850</f>
        <v/>
      </c>
      <c r="E795" s="102">
        <f>'לקוחות לפי סוכן - מקור'!G850</f>
        <v/>
      </c>
      <c r="F795" s="94">
        <f>'לקוחות לפי סוכן - מקור'!D850</f>
        <v/>
      </c>
      <c r="G795" s="95">
        <f>'לקוחות לפי סוכן - מקור'!H850</f>
        <v/>
      </c>
      <c r="H795" s="95">
        <f>'לקוחות לפי סוכן - מקור'!I850</f>
        <v/>
      </c>
      <c r="I795" s="94">
        <f>'לקוחות לפי סוכן - מקור'!K850</f>
        <v/>
      </c>
    </row>
    <row r="796" outlineLevel="1" ht="15" customHeight="1" s="82">
      <c r="A796" s="94">
        <f>'לקוחות לפי סוכן - מקור'!A851</f>
        <v/>
      </c>
      <c r="B796" s="94">
        <f>'לקוחות לפי סוכן - מקור'!C851</f>
        <v/>
      </c>
      <c r="C796" s="126">
        <f>'לקוחות לפי סוכן - מקור'!E851</f>
        <v/>
      </c>
      <c r="D796" s="102">
        <f>'לקוחות לפי סוכן - מקור'!F851</f>
        <v/>
      </c>
      <c r="E796" s="102">
        <f>'לקוחות לפי סוכן - מקור'!G851</f>
        <v/>
      </c>
      <c r="F796" s="94">
        <f>'לקוחות לפי סוכן - מקור'!D851</f>
        <v/>
      </c>
      <c r="G796" s="95">
        <f>'לקוחות לפי סוכן - מקור'!H851</f>
        <v/>
      </c>
      <c r="H796" s="95">
        <f>'לקוחות לפי סוכן - מקור'!I851</f>
        <v/>
      </c>
      <c r="I796" s="94">
        <f>'לקוחות לפי סוכן - מקור'!K851</f>
        <v/>
      </c>
    </row>
    <row r="797" outlineLevel="1" ht="15" customHeight="1" s="82">
      <c r="A797" s="94">
        <f>'לקוחות לפי סוכן - מקור'!A852</f>
        <v/>
      </c>
      <c r="B797" s="94">
        <f>'לקוחות לפי סוכן - מקור'!C852</f>
        <v/>
      </c>
      <c r="C797" s="126">
        <f>'לקוחות לפי סוכן - מקור'!E852</f>
        <v/>
      </c>
      <c r="D797" s="102">
        <f>'לקוחות לפי סוכן - מקור'!F852</f>
        <v/>
      </c>
      <c r="E797" s="102">
        <f>'לקוחות לפי סוכן - מקור'!G852</f>
        <v/>
      </c>
      <c r="F797" s="94">
        <f>'לקוחות לפי סוכן - מקור'!D852</f>
        <v/>
      </c>
      <c r="G797" s="95">
        <f>'לקוחות לפי סוכן - מקור'!H852</f>
        <v/>
      </c>
      <c r="H797" s="95">
        <f>'לקוחות לפי סוכן - מקור'!I852</f>
        <v/>
      </c>
      <c r="I797" s="94">
        <f>'לקוחות לפי סוכן - מקור'!K852</f>
        <v/>
      </c>
    </row>
    <row r="798" outlineLevel="1" ht="15" customHeight="1" s="82">
      <c r="A798" s="94">
        <f>'לקוחות לפי סוכן - מקור'!A853</f>
        <v/>
      </c>
      <c r="B798" s="94">
        <f>'לקוחות לפי סוכן - מקור'!C853</f>
        <v/>
      </c>
      <c r="C798" s="126">
        <f>'לקוחות לפי סוכן - מקור'!E853</f>
        <v/>
      </c>
      <c r="D798" s="102">
        <f>'לקוחות לפי סוכן - מקור'!F853</f>
        <v/>
      </c>
      <c r="E798" s="102">
        <f>'לקוחות לפי סוכן - מקור'!G853</f>
        <v/>
      </c>
      <c r="F798" s="94">
        <f>'לקוחות לפי סוכן - מקור'!D853</f>
        <v/>
      </c>
      <c r="G798" s="95">
        <f>'לקוחות לפי סוכן - מקור'!H853</f>
        <v/>
      </c>
      <c r="H798" s="95">
        <f>'לקוחות לפי סוכן - מקור'!I853</f>
        <v/>
      </c>
      <c r="I798" s="94">
        <f>'לקוחות לפי סוכן - מקור'!K853</f>
        <v/>
      </c>
    </row>
    <row r="799" outlineLevel="1" ht="15" customHeight="1" s="82">
      <c r="A799" s="94">
        <f>'לקוחות לפי סוכן - מקור'!A854</f>
        <v/>
      </c>
      <c r="B799" s="94">
        <f>'לקוחות לפי סוכן - מקור'!C854</f>
        <v/>
      </c>
      <c r="C799" s="126">
        <f>'לקוחות לפי סוכן - מקור'!E854</f>
        <v/>
      </c>
      <c r="D799" s="102">
        <f>'לקוחות לפי סוכן - מקור'!F854</f>
        <v/>
      </c>
      <c r="E799" s="102">
        <f>'לקוחות לפי סוכן - מקור'!G854</f>
        <v/>
      </c>
      <c r="F799" s="94">
        <f>'לקוחות לפי סוכן - מקור'!D854</f>
        <v/>
      </c>
      <c r="G799" s="95">
        <f>'לקוחות לפי סוכן - מקור'!H854</f>
        <v/>
      </c>
      <c r="H799" s="95">
        <f>'לקוחות לפי סוכן - מקור'!I854</f>
        <v/>
      </c>
      <c r="I799" s="94">
        <f>'לקוחות לפי סוכן - מקור'!K854</f>
        <v/>
      </c>
    </row>
    <row r="800" outlineLevel="1" ht="15" customHeight="1" s="82">
      <c r="A800" s="94">
        <f>'לקוחות לפי סוכן - מקור'!A855</f>
        <v/>
      </c>
      <c r="B800" s="94">
        <f>'לקוחות לפי סוכן - מקור'!C855</f>
        <v/>
      </c>
      <c r="C800" s="126">
        <f>'לקוחות לפי סוכן - מקור'!E855</f>
        <v/>
      </c>
      <c r="D800" s="102">
        <f>'לקוחות לפי סוכן - מקור'!F855</f>
        <v/>
      </c>
      <c r="E800" s="102">
        <f>'לקוחות לפי סוכן - מקור'!G855</f>
        <v/>
      </c>
      <c r="F800" s="94">
        <f>'לקוחות לפי סוכן - מקור'!D855</f>
        <v/>
      </c>
      <c r="G800" s="95">
        <f>'לקוחות לפי סוכן - מקור'!H855</f>
        <v/>
      </c>
      <c r="H800" s="95">
        <f>'לקוחות לפי סוכן - מקור'!I855</f>
        <v/>
      </c>
      <c r="I800" s="94">
        <f>'לקוחות לפי סוכן - מקור'!K855</f>
        <v/>
      </c>
    </row>
    <row r="801" outlineLevel="1" ht="15" customHeight="1" s="82">
      <c r="A801" s="94">
        <f>'לקוחות לפי סוכן - מקור'!A856</f>
        <v/>
      </c>
      <c r="B801" s="94">
        <f>'לקוחות לפי סוכן - מקור'!C856</f>
        <v/>
      </c>
      <c r="C801" s="126">
        <f>'לקוחות לפי סוכן - מקור'!E856</f>
        <v/>
      </c>
      <c r="D801" s="102">
        <f>'לקוחות לפי סוכן - מקור'!F856</f>
        <v/>
      </c>
      <c r="E801" s="102">
        <f>'לקוחות לפי סוכן - מקור'!G856</f>
        <v/>
      </c>
      <c r="F801" s="94">
        <f>'לקוחות לפי סוכן - מקור'!D856</f>
        <v/>
      </c>
      <c r="G801" s="95">
        <f>'לקוחות לפי סוכן - מקור'!H856</f>
        <v/>
      </c>
      <c r="H801" s="95">
        <f>'לקוחות לפי סוכן - מקור'!I856</f>
        <v/>
      </c>
      <c r="I801" s="94">
        <f>'לקוחות לפי סוכן - מקור'!K856</f>
        <v/>
      </c>
    </row>
    <row r="802" outlineLevel="1" ht="15" customHeight="1" s="82">
      <c r="A802" s="94">
        <f>'לקוחות לפי סוכן - מקור'!A857</f>
        <v/>
      </c>
      <c r="B802" s="94">
        <f>'לקוחות לפי סוכן - מקור'!C857</f>
        <v/>
      </c>
      <c r="C802" s="126">
        <f>'לקוחות לפי סוכן - מקור'!E857</f>
        <v/>
      </c>
      <c r="D802" s="102">
        <f>'לקוחות לפי סוכן - מקור'!F857</f>
        <v/>
      </c>
      <c r="E802" s="102">
        <f>'לקוחות לפי סוכן - מקור'!G857</f>
        <v/>
      </c>
      <c r="F802" s="94">
        <f>'לקוחות לפי סוכן - מקור'!D857</f>
        <v/>
      </c>
      <c r="G802" s="95">
        <f>'לקוחות לפי סוכן - מקור'!H857</f>
        <v/>
      </c>
      <c r="H802" s="95">
        <f>'לקוחות לפי סוכן - מקור'!I857</f>
        <v/>
      </c>
      <c r="I802" s="94">
        <f>'לקוחות לפי סוכן - מקור'!K857</f>
        <v/>
      </c>
    </row>
    <row r="803" outlineLevel="1" ht="15" customHeight="1" s="82">
      <c r="A803" s="94">
        <f>'לקוחות לפי סוכן - מקור'!A858</f>
        <v/>
      </c>
      <c r="B803" s="94">
        <f>'לקוחות לפי סוכן - מקור'!C858</f>
        <v/>
      </c>
      <c r="C803" s="126">
        <f>'לקוחות לפי סוכן - מקור'!E858</f>
        <v/>
      </c>
      <c r="D803" s="102">
        <f>'לקוחות לפי סוכן - מקור'!F858</f>
        <v/>
      </c>
      <c r="E803" s="102">
        <f>'לקוחות לפי סוכן - מקור'!G858</f>
        <v/>
      </c>
      <c r="F803" s="94">
        <f>'לקוחות לפי סוכן - מקור'!D858</f>
        <v/>
      </c>
      <c r="G803" s="95">
        <f>'לקוחות לפי סוכן - מקור'!H858</f>
        <v/>
      </c>
      <c r="H803" s="95">
        <f>'לקוחות לפי סוכן - מקור'!I858</f>
        <v/>
      </c>
      <c r="I803" s="94">
        <f>'לקוחות לפי סוכן - מקור'!K858</f>
        <v/>
      </c>
    </row>
    <row r="804" outlineLevel="1" ht="15" customHeight="1" s="82">
      <c r="A804" s="94">
        <f>'לקוחות לפי סוכן - מקור'!A859</f>
        <v/>
      </c>
      <c r="B804" s="94">
        <f>'לקוחות לפי סוכן - מקור'!C859</f>
        <v/>
      </c>
      <c r="C804" s="126">
        <f>'לקוחות לפי סוכן - מקור'!E859</f>
        <v/>
      </c>
      <c r="D804" s="102">
        <f>'לקוחות לפי סוכן - מקור'!F859</f>
        <v/>
      </c>
      <c r="E804" s="102">
        <f>'לקוחות לפי סוכן - מקור'!G859</f>
        <v/>
      </c>
      <c r="F804" s="94">
        <f>'לקוחות לפי סוכן - מקור'!D859</f>
        <v/>
      </c>
      <c r="G804" s="95">
        <f>'לקוחות לפי סוכן - מקור'!H859</f>
        <v/>
      </c>
      <c r="H804" s="95">
        <f>'לקוחות לפי סוכן - מקור'!I859</f>
        <v/>
      </c>
      <c r="I804" s="94">
        <f>'לקוחות לפי סוכן - מקור'!K859</f>
        <v/>
      </c>
    </row>
    <row r="805" outlineLevel="1" ht="15" customHeight="1" s="82">
      <c r="A805" s="94">
        <f>'לקוחות לפי סוכן - מקור'!A860</f>
        <v/>
      </c>
      <c r="B805" s="94">
        <f>'לקוחות לפי סוכן - מקור'!C860</f>
        <v/>
      </c>
      <c r="C805" s="126">
        <f>'לקוחות לפי סוכן - מקור'!E860</f>
        <v/>
      </c>
      <c r="D805" s="102">
        <f>'לקוחות לפי סוכן - מקור'!F860</f>
        <v/>
      </c>
      <c r="E805" s="102">
        <f>'לקוחות לפי סוכן - מקור'!G860</f>
        <v/>
      </c>
      <c r="F805" s="94">
        <f>'לקוחות לפי סוכן - מקור'!D860</f>
        <v/>
      </c>
      <c r="G805" s="95">
        <f>'לקוחות לפי סוכן - מקור'!H860</f>
        <v/>
      </c>
      <c r="H805" s="95">
        <f>'לקוחות לפי סוכן - מקור'!I860</f>
        <v/>
      </c>
      <c r="I805" s="94">
        <f>'לקוחות לפי סוכן - מקור'!K860</f>
        <v/>
      </c>
    </row>
    <row r="806" outlineLevel="1" ht="15" customHeight="1" s="82">
      <c r="A806" s="94">
        <f>'לקוחות לפי סוכן - מקור'!A861</f>
        <v/>
      </c>
      <c r="B806" s="94">
        <f>'לקוחות לפי סוכן - מקור'!C861</f>
        <v/>
      </c>
      <c r="C806" s="126">
        <f>'לקוחות לפי סוכן - מקור'!E861</f>
        <v/>
      </c>
      <c r="D806" s="102">
        <f>'לקוחות לפי סוכן - מקור'!F861</f>
        <v/>
      </c>
      <c r="E806" s="102">
        <f>'לקוחות לפי סוכן - מקור'!G861</f>
        <v/>
      </c>
      <c r="F806" s="94">
        <f>'לקוחות לפי סוכן - מקור'!D861</f>
        <v/>
      </c>
      <c r="G806" s="95">
        <f>'לקוחות לפי סוכן - מקור'!H861</f>
        <v/>
      </c>
      <c r="H806" s="95">
        <f>'לקוחות לפי סוכן - מקור'!I861</f>
        <v/>
      </c>
      <c r="I806" s="94">
        <f>'לקוחות לפי סוכן - מקור'!K861</f>
        <v/>
      </c>
    </row>
    <row r="807" outlineLevel="1" ht="15" customHeight="1" s="82">
      <c r="A807" s="94">
        <f>'לקוחות לפי סוכן - מקור'!A862</f>
        <v/>
      </c>
      <c r="B807" s="94">
        <f>'לקוחות לפי סוכן - מקור'!C862</f>
        <v/>
      </c>
      <c r="C807" s="126">
        <f>'לקוחות לפי סוכן - מקור'!E862</f>
        <v/>
      </c>
      <c r="D807" s="102">
        <f>'לקוחות לפי סוכן - מקור'!F862</f>
        <v/>
      </c>
      <c r="E807" s="102">
        <f>'לקוחות לפי סוכן - מקור'!G862</f>
        <v/>
      </c>
      <c r="F807" s="94">
        <f>'לקוחות לפי סוכן - מקור'!D862</f>
        <v/>
      </c>
      <c r="G807" s="95">
        <f>'לקוחות לפי סוכן - מקור'!H862</f>
        <v/>
      </c>
      <c r="H807" s="95">
        <f>'לקוחות לפי סוכן - מקור'!I862</f>
        <v/>
      </c>
      <c r="I807" s="94">
        <f>'לקוחות לפי סוכן - מקור'!K862</f>
        <v/>
      </c>
    </row>
    <row r="808" outlineLevel="1" ht="15" customHeight="1" s="82">
      <c r="A808" s="94">
        <f>'לקוחות לפי סוכן - מקור'!A863</f>
        <v/>
      </c>
      <c r="B808" s="94">
        <f>'לקוחות לפי סוכן - מקור'!C863</f>
        <v/>
      </c>
      <c r="C808" s="126">
        <f>'לקוחות לפי סוכן - מקור'!E863</f>
        <v/>
      </c>
      <c r="D808" s="102">
        <f>'לקוחות לפי סוכן - מקור'!F863</f>
        <v/>
      </c>
      <c r="E808" s="102">
        <f>'לקוחות לפי סוכן - מקור'!G863</f>
        <v/>
      </c>
      <c r="F808" s="94">
        <f>'לקוחות לפי סוכן - מקור'!D863</f>
        <v/>
      </c>
      <c r="G808" s="95">
        <f>'לקוחות לפי סוכן - מקור'!H863</f>
        <v/>
      </c>
      <c r="H808" s="95">
        <f>'לקוחות לפי סוכן - מקור'!I863</f>
        <v/>
      </c>
      <c r="I808" s="94">
        <f>'לקוחות לפי סוכן - מקור'!K863</f>
        <v/>
      </c>
    </row>
    <row r="809" outlineLevel="1" ht="15" customHeight="1" s="82">
      <c r="A809" s="94">
        <f>'לקוחות לפי סוכן - מקור'!A864</f>
        <v/>
      </c>
      <c r="B809" s="94">
        <f>'לקוחות לפי סוכן - מקור'!C864</f>
        <v/>
      </c>
      <c r="C809" s="126">
        <f>'לקוחות לפי סוכן - מקור'!E864</f>
        <v/>
      </c>
      <c r="D809" s="102">
        <f>'לקוחות לפי סוכן - מקור'!F864</f>
        <v/>
      </c>
      <c r="E809" s="102">
        <f>'לקוחות לפי סוכן - מקור'!G864</f>
        <v/>
      </c>
      <c r="F809" s="94">
        <f>'לקוחות לפי סוכן - מקור'!D864</f>
        <v/>
      </c>
      <c r="G809" s="95">
        <f>'לקוחות לפי סוכן - מקור'!H864</f>
        <v/>
      </c>
      <c r="H809" s="95">
        <f>'לקוחות לפי סוכן - מקור'!I864</f>
        <v/>
      </c>
      <c r="I809" s="94">
        <f>'לקוחות לפי סוכן - מקור'!K864</f>
        <v/>
      </c>
    </row>
    <row r="810" outlineLevel="1" ht="15" customHeight="1" s="82">
      <c r="A810" s="94">
        <f>'לקוחות לפי סוכן - מקור'!A865</f>
        <v/>
      </c>
      <c r="B810" s="94">
        <f>'לקוחות לפי סוכן - מקור'!C865</f>
        <v/>
      </c>
      <c r="C810" s="126">
        <f>'לקוחות לפי סוכן - מקור'!E865</f>
        <v/>
      </c>
      <c r="D810" s="102">
        <f>'לקוחות לפי סוכן - מקור'!F865</f>
        <v/>
      </c>
      <c r="E810" s="102">
        <f>'לקוחות לפי סוכן - מקור'!G865</f>
        <v/>
      </c>
      <c r="F810" s="94">
        <f>'לקוחות לפי סוכן - מקור'!D865</f>
        <v/>
      </c>
      <c r="G810" s="95">
        <f>'לקוחות לפי סוכן - מקור'!H865</f>
        <v/>
      </c>
      <c r="H810" s="95">
        <f>'לקוחות לפי סוכן - מקור'!I865</f>
        <v/>
      </c>
      <c r="I810" s="94">
        <f>'לקוחות לפי סוכן - מקור'!K865</f>
        <v/>
      </c>
    </row>
    <row r="811" outlineLevel="1" ht="15" customHeight="1" s="82">
      <c r="A811" s="94">
        <f>'לקוחות לפי סוכן - מקור'!A392</f>
        <v/>
      </c>
      <c r="B811" s="94">
        <f>'לקוחות לפי סוכן - מקור'!C392</f>
        <v/>
      </c>
      <c r="C811" s="126">
        <f>'לקוחות לפי סוכן - מקור'!E392</f>
        <v/>
      </c>
      <c r="D811" s="102">
        <f>'לקוחות לפי סוכן - מקור'!F392</f>
        <v/>
      </c>
      <c r="E811" s="102">
        <f>'לקוחות לפי סוכן - מקור'!G392</f>
        <v/>
      </c>
      <c r="F811" s="94">
        <f>'לקוחות לפי סוכן - מקור'!D392</f>
        <v/>
      </c>
      <c r="G811" s="95">
        <f>'לקוחות לפי סוכן - מקור'!H392</f>
        <v/>
      </c>
      <c r="H811" s="95">
        <f>'לקוחות לפי סוכן - מקור'!I392</f>
        <v/>
      </c>
      <c r="I811" s="94">
        <f>'לקוחות לפי סוכן - מקור'!K392</f>
        <v/>
      </c>
    </row>
    <row r="812" outlineLevel="1" ht="15" customHeight="1" s="82">
      <c r="A812" s="94">
        <f>'לקוחות לפי סוכן - מקור'!A393</f>
        <v/>
      </c>
      <c r="B812" s="94">
        <f>'לקוחות לפי סוכן - מקור'!C393</f>
        <v/>
      </c>
      <c r="C812" s="126">
        <f>'לקוחות לפי סוכן - מקור'!E393</f>
        <v/>
      </c>
      <c r="D812" s="102">
        <f>'לקוחות לפי סוכן - מקור'!F393</f>
        <v/>
      </c>
      <c r="E812" s="102">
        <f>'לקוחות לפי סוכן - מקור'!G393</f>
        <v/>
      </c>
      <c r="F812" s="94">
        <f>'לקוחות לפי סוכן - מקור'!D393</f>
        <v/>
      </c>
      <c r="G812" s="95">
        <f>'לקוחות לפי סוכן - מקור'!H393</f>
        <v/>
      </c>
      <c r="H812" s="95">
        <f>'לקוחות לפי סוכן - מקור'!I393</f>
        <v/>
      </c>
      <c r="I812" s="94">
        <f>'לקוחות לפי סוכן - מקור'!K393</f>
        <v/>
      </c>
    </row>
    <row r="813" outlineLevel="1" ht="15" customHeight="1" s="82">
      <c r="A813" s="94">
        <f>'לקוחות לפי סוכן - מקור'!A394</f>
        <v/>
      </c>
      <c r="B813" s="94">
        <f>'לקוחות לפי סוכן - מקור'!C394</f>
        <v/>
      </c>
      <c r="C813" s="126">
        <f>'לקוחות לפי סוכן - מקור'!E394</f>
        <v/>
      </c>
      <c r="D813" s="102">
        <f>'לקוחות לפי סוכן - מקור'!F394</f>
        <v/>
      </c>
      <c r="E813" s="102">
        <f>'לקוחות לפי סוכן - מקור'!G394</f>
        <v/>
      </c>
      <c r="F813" s="94">
        <f>'לקוחות לפי סוכן - מקור'!D394</f>
        <v/>
      </c>
      <c r="G813" s="95">
        <f>'לקוחות לפי סוכן - מקור'!H394</f>
        <v/>
      </c>
      <c r="H813" s="95">
        <f>'לקוחות לפי סוכן - מקור'!I394</f>
        <v/>
      </c>
      <c r="I813" s="94">
        <f>'לקוחות לפי סוכן - מקור'!K394</f>
        <v/>
      </c>
    </row>
    <row r="814" outlineLevel="1" ht="15" customHeight="1" s="82">
      <c r="A814" s="94">
        <f>'לקוחות לפי סוכן - מקור'!A395</f>
        <v/>
      </c>
      <c r="B814" s="94">
        <f>'לקוחות לפי סוכן - מקור'!C395</f>
        <v/>
      </c>
      <c r="C814" s="126">
        <f>'לקוחות לפי סוכן - מקור'!E395</f>
        <v/>
      </c>
      <c r="D814" s="102">
        <f>'לקוחות לפי סוכן - מקור'!F395</f>
        <v/>
      </c>
      <c r="E814" s="102">
        <f>'לקוחות לפי סוכן - מקור'!G395</f>
        <v/>
      </c>
      <c r="F814" s="94">
        <f>'לקוחות לפי סוכן - מקור'!D395</f>
        <v/>
      </c>
      <c r="G814" s="95">
        <f>'לקוחות לפי סוכן - מקור'!H395</f>
        <v/>
      </c>
      <c r="H814" s="95">
        <f>'לקוחות לפי סוכן - מקור'!I395</f>
        <v/>
      </c>
      <c r="I814" s="94">
        <f>'לקוחות לפי סוכן - מקור'!K395</f>
        <v/>
      </c>
    </row>
    <row r="815" outlineLevel="1" ht="15" customHeight="1" s="82">
      <c r="A815" s="94">
        <f>'לקוחות לפי סוכן - מקור'!A396</f>
        <v/>
      </c>
      <c r="B815" s="94">
        <f>'לקוחות לפי סוכן - מקור'!C396</f>
        <v/>
      </c>
      <c r="C815" s="126">
        <f>'לקוחות לפי סוכן - מקור'!E396</f>
        <v/>
      </c>
      <c r="D815" s="102">
        <f>'לקוחות לפי סוכן - מקור'!F396</f>
        <v/>
      </c>
      <c r="E815" s="102">
        <f>'לקוחות לפי סוכן - מקור'!G396</f>
        <v/>
      </c>
      <c r="F815" s="94">
        <f>'לקוחות לפי סוכן - מקור'!D396</f>
        <v/>
      </c>
      <c r="G815" s="95">
        <f>'לקוחות לפי סוכן - מקור'!H396</f>
        <v/>
      </c>
      <c r="H815" s="95">
        <f>'לקוחות לפי סוכן - מקור'!I396</f>
        <v/>
      </c>
      <c r="I815" s="94">
        <f>'לקוחות לפי סוכן - מקור'!K396</f>
        <v/>
      </c>
    </row>
    <row r="816" outlineLevel="1" ht="15" customHeight="1" s="82">
      <c r="A816" s="94">
        <f>'לקוחות לפי סוכן - מקור'!A397</f>
        <v/>
      </c>
      <c r="B816" s="94">
        <f>'לקוחות לפי סוכן - מקור'!C397</f>
        <v/>
      </c>
      <c r="C816" s="126">
        <f>'לקוחות לפי סוכן - מקור'!E397</f>
        <v/>
      </c>
      <c r="D816" s="102">
        <f>'לקוחות לפי סוכן - מקור'!F397</f>
        <v/>
      </c>
      <c r="E816" s="102">
        <f>'לקוחות לפי סוכן - מקור'!G397</f>
        <v/>
      </c>
      <c r="F816" s="94">
        <f>'לקוחות לפי סוכן - מקור'!D397</f>
        <v/>
      </c>
      <c r="G816" s="95">
        <f>'לקוחות לפי סוכן - מקור'!H397</f>
        <v/>
      </c>
      <c r="H816" s="95">
        <f>'לקוחות לפי סוכן - מקור'!I397</f>
        <v/>
      </c>
      <c r="I816" s="94">
        <f>'לקוחות לפי סוכן - מקור'!K397</f>
        <v/>
      </c>
    </row>
    <row r="817" outlineLevel="1" ht="15" customHeight="1" s="82">
      <c r="A817" s="94">
        <f>'לקוחות לפי סוכן - מקור'!A398</f>
        <v/>
      </c>
      <c r="B817" s="94">
        <f>'לקוחות לפי סוכן - מקור'!C398</f>
        <v/>
      </c>
      <c r="C817" s="126">
        <f>'לקוחות לפי סוכן - מקור'!E398</f>
        <v/>
      </c>
      <c r="D817" s="102">
        <f>'לקוחות לפי סוכן - מקור'!F398</f>
        <v/>
      </c>
      <c r="E817" s="102">
        <f>'לקוחות לפי סוכן - מקור'!G398</f>
        <v/>
      </c>
      <c r="F817" s="94">
        <f>'לקוחות לפי סוכן - מקור'!D398</f>
        <v/>
      </c>
      <c r="G817" s="95">
        <f>'לקוחות לפי סוכן - מקור'!H398</f>
        <v/>
      </c>
      <c r="H817" s="95">
        <f>'לקוחות לפי סוכן - מקור'!I398</f>
        <v/>
      </c>
      <c r="I817" s="94">
        <f>'לקוחות לפי סוכן - מקור'!K398</f>
        <v/>
      </c>
    </row>
    <row r="818" outlineLevel="1" ht="15" customHeight="1" s="82">
      <c r="A818" s="94">
        <f>'לקוחות לפי סוכן - מקור'!A399</f>
        <v/>
      </c>
      <c r="B818" s="94">
        <f>'לקוחות לפי סוכן - מקור'!C399</f>
        <v/>
      </c>
      <c r="C818" s="126">
        <f>'לקוחות לפי סוכן - מקור'!E399</f>
        <v/>
      </c>
      <c r="D818" s="102">
        <f>'לקוחות לפי סוכן - מקור'!F399</f>
        <v/>
      </c>
      <c r="E818" s="102">
        <f>'לקוחות לפי סוכן - מקור'!G399</f>
        <v/>
      </c>
      <c r="F818" s="94">
        <f>'לקוחות לפי סוכן - מקור'!D399</f>
        <v/>
      </c>
      <c r="G818" s="95">
        <f>'לקוחות לפי סוכן - מקור'!H399</f>
        <v/>
      </c>
      <c r="H818" s="95">
        <f>'לקוחות לפי סוכן - מקור'!I399</f>
        <v/>
      </c>
      <c r="I818" s="94">
        <f>'לקוחות לפי סוכן - מקור'!K399</f>
        <v/>
      </c>
    </row>
    <row r="819" outlineLevel="1" ht="15" customHeight="1" s="82">
      <c r="A819" s="94">
        <f>'לקוחות לפי סוכן - מקור'!A400</f>
        <v/>
      </c>
      <c r="B819" s="94">
        <f>'לקוחות לפי סוכן - מקור'!C400</f>
        <v/>
      </c>
      <c r="C819" s="126">
        <f>'לקוחות לפי סוכן - מקור'!E400</f>
        <v/>
      </c>
      <c r="D819" s="102">
        <f>'לקוחות לפי סוכן - מקור'!F400</f>
        <v/>
      </c>
      <c r="E819" s="102">
        <f>'לקוחות לפי סוכן - מקור'!G400</f>
        <v/>
      </c>
      <c r="F819" s="94">
        <f>'לקוחות לפי סוכן - מקור'!D400</f>
        <v/>
      </c>
      <c r="G819" s="95">
        <f>'לקוחות לפי סוכן - מקור'!H400</f>
        <v/>
      </c>
      <c r="H819" s="95">
        <f>'לקוחות לפי סוכן - מקור'!I400</f>
        <v/>
      </c>
      <c r="I819" s="94">
        <f>'לקוחות לפי סוכן - מקור'!K400</f>
        <v/>
      </c>
    </row>
    <row r="820" outlineLevel="1" ht="15" customHeight="1" s="82">
      <c r="A820" s="94">
        <f>'לקוחות לפי סוכן - מקור'!A401</f>
        <v/>
      </c>
      <c r="B820" s="94">
        <f>'לקוחות לפי סוכן - מקור'!C401</f>
        <v/>
      </c>
      <c r="C820" s="126">
        <f>'לקוחות לפי סוכן - מקור'!E401</f>
        <v/>
      </c>
      <c r="D820" s="102">
        <f>'לקוחות לפי סוכן - מקור'!F401</f>
        <v/>
      </c>
      <c r="E820" s="102">
        <f>'לקוחות לפי סוכן - מקור'!G401</f>
        <v/>
      </c>
      <c r="F820" s="94">
        <f>'לקוחות לפי סוכן - מקור'!D401</f>
        <v/>
      </c>
      <c r="G820" s="95">
        <f>'לקוחות לפי סוכן - מקור'!H401</f>
        <v/>
      </c>
      <c r="H820" s="95">
        <f>'לקוחות לפי סוכן - מקור'!I401</f>
        <v/>
      </c>
      <c r="I820" s="94">
        <f>'לקוחות לפי סוכן - מקור'!K401</f>
        <v/>
      </c>
    </row>
    <row r="821" outlineLevel="1" ht="15" customHeight="1" s="82">
      <c r="A821" s="94">
        <f>'לקוחות לפי סוכן - מקור'!A402</f>
        <v/>
      </c>
      <c r="B821" s="94">
        <f>'לקוחות לפי סוכן - מקור'!C402</f>
        <v/>
      </c>
      <c r="C821" s="126">
        <f>'לקוחות לפי סוכן - מקור'!E402</f>
        <v/>
      </c>
      <c r="D821" s="102">
        <f>'לקוחות לפי סוכן - מקור'!F402</f>
        <v/>
      </c>
      <c r="E821" s="102">
        <f>'לקוחות לפי סוכן - מקור'!G402</f>
        <v/>
      </c>
      <c r="F821" s="94">
        <f>'לקוחות לפי סוכן - מקור'!D402</f>
        <v/>
      </c>
      <c r="G821" s="95">
        <f>'לקוחות לפי סוכן - מקור'!H402</f>
        <v/>
      </c>
      <c r="H821" s="95">
        <f>'לקוחות לפי סוכן - מקור'!I402</f>
        <v/>
      </c>
      <c r="I821" s="94">
        <f>'לקוחות לפי סוכן - מקור'!K402</f>
        <v/>
      </c>
    </row>
    <row r="822" outlineLevel="1" ht="15" customHeight="1" s="82">
      <c r="A822" s="94">
        <f>'לקוחות לפי סוכן - מקור'!A403</f>
        <v/>
      </c>
      <c r="B822" s="94">
        <f>'לקוחות לפי סוכן - מקור'!C403</f>
        <v/>
      </c>
      <c r="C822" s="126">
        <f>'לקוחות לפי סוכן - מקור'!E403</f>
        <v/>
      </c>
      <c r="D822" s="102">
        <f>'לקוחות לפי סוכן - מקור'!F403</f>
        <v/>
      </c>
      <c r="E822" s="102">
        <f>'לקוחות לפי סוכן - מקור'!G403</f>
        <v/>
      </c>
      <c r="F822" s="94">
        <f>'לקוחות לפי סוכן - מקור'!D403</f>
        <v/>
      </c>
      <c r="G822" s="95">
        <f>'לקוחות לפי סוכן - מקור'!H403</f>
        <v/>
      </c>
      <c r="H822" s="95">
        <f>'לקוחות לפי סוכן - מקור'!I403</f>
        <v/>
      </c>
      <c r="I822" s="94">
        <f>'לקוחות לפי סוכן - מקור'!K403</f>
        <v/>
      </c>
    </row>
    <row r="823" outlineLevel="1" ht="15" customHeight="1" s="82">
      <c r="A823" s="94">
        <f>'לקוחות לפי סוכן - מקור'!A404</f>
        <v/>
      </c>
      <c r="B823" s="94">
        <f>'לקוחות לפי סוכן - מקור'!C404</f>
        <v/>
      </c>
      <c r="C823" s="126">
        <f>'לקוחות לפי סוכן - מקור'!E404</f>
        <v/>
      </c>
      <c r="D823" s="102">
        <f>'לקוחות לפי סוכן - מקור'!F404</f>
        <v/>
      </c>
      <c r="E823" s="102">
        <f>'לקוחות לפי סוכן - מקור'!G404</f>
        <v/>
      </c>
      <c r="F823" s="94">
        <f>'לקוחות לפי סוכן - מקור'!D404</f>
        <v/>
      </c>
      <c r="G823" s="95">
        <f>'לקוחות לפי סוכן - מקור'!H404</f>
        <v/>
      </c>
      <c r="H823" s="95">
        <f>'לקוחות לפי סוכן - מקור'!I404</f>
        <v/>
      </c>
      <c r="I823" s="94">
        <f>'לקוחות לפי סוכן - מקור'!K404</f>
        <v/>
      </c>
    </row>
    <row r="824" outlineLevel="1" ht="15" customHeight="1" s="82">
      <c r="A824" s="94">
        <f>'לקוחות לפי סוכן - מקור'!A405</f>
        <v/>
      </c>
      <c r="B824" s="94">
        <f>'לקוחות לפי סוכן - מקור'!C405</f>
        <v/>
      </c>
      <c r="C824" s="126">
        <f>'לקוחות לפי סוכן - מקור'!E405</f>
        <v/>
      </c>
      <c r="D824" s="102">
        <f>'לקוחות לפי סוכן - מקור'!F405</f>
        <v/>
      </c>
      <c r="E824" s="102">
        <f>'לקוחות לפי סוכן - מקור'!G405</f>
        <v/>
      </c>
      <c r="F824" s="94">
        <f>'לקוחות לפי סוכן - מקור'!D405</f>
        <v/>
      </c>
      <c r="G824" s="95">
        <f>'לקוחות לפי סוכן - מקור'!H405</f>
        <v/>
      </c>
      <c r="H824" s="95">
        <f>'לקוחות לפי סוכן - מקור'!I405</f>
        <v/>
      </c>
      <c r="I824" s="94">
        <f>'לקוחות לפי סוכן - מקור'!K405</f>
        <v/>
      </c>
    </row>
    <row r="825" outlineLevel="1" ht="15" customHeight="1" s="82">
      <c r="A825" s="94">
        <f>'לקוחות לפי סוכן - מקור'!A406</f>
        <v/>
      </c>
      <c r="B825" s="94">
        <f>'לקוחות לפי סוכן - מקור'!C406</f>
        <v/>
      </c>
      <c r="C825" s="126">
        <f>'לקוחות לפי סוכן - מקור'!E406</f>
        <v/>
      </c>
      <c r="D825" s="102">
        <f>'לקוחות לפי סוכן - מקור'!F406</f>
        <v/>
      </c>
      <c r="E825" s="102">
        <f>'לקוחות לפי סוכן - מקור'!G406</f>
        <v/>
      </c>
      <c r="F825" s="94">
        <f>'לקוחות לפי סוכן - מקור'!D406</f>
        <v/>
      </c>
      <c r="G825" s="95">
        <f>'לקוחות לפי סוכן - מקור'!H406</f>
        <v/>
      </c>
      <c r="H825" s="95">
        <f>'לקוחות לפי סוכן - מקור'!I406</f>
        <v/>
      </c>
      <c r="I825" s="94">
        <f>'לקוחות לפי סוכן - מקור'!K406</f>
        <v/>
      </c>
    </row>
    <row r="826" outlineLevel="1" ht="15" customHeight="1" s="82">
      <c r="A826" s="94">
        <f>'לקוחות לפי סוכן - מקור'!A407</f>
        <v/>
      </c>
      <c r="B826" s="94">
        <f>'לקוחות לפי סוכן - מקור'!C407</f>
        <v/>
      </c>
      <c r="C826" s="126">
        <f>'לקוחות לפי סוכן - מקור'!E407</f>
        <v/>
      </c>
      <c r="D826" s="102">
        <f>'לקוחות לפי סוכן - מקור'!F407</f>
        <v/>
      </c>
      <c r="E826" s="102">
        <f>'לקוחות לפי סוכן - מקור'!G407</f>
        <v/>
      </c>
      <c r="F826" s="94">
        <f>'לקוחות לפי סוכן - מקור'!D407</f>
        <v/>
      </c>
      <c r="G826" s="95">
        <f>'לקוחות לפי סוכן - מקור'!H407</f>
        <v/>
      </c>
      <c r="H826" s="95">
        <f>'לקוחות לפי סוכן - מקור'!I407</f>
        <v/>
      </c>
      <c r="I826" s="94">
        <f>'לקוחות לפי סוכן - מקור'!K407</f>
        <v/>
      </c>
    </row>
    <row r="827" outlineLevel="1" ht="15" customHeight="1" s="82">
      <c r="A827" s="94">
        <f>'לקוחות לפי סוכן - מקור'!A408</f>
        <v/>
      </c>
      <c r="B827" s="94">
        <f>'לקוחות לפי סוכן - מקור'!C408</f>
        <v/>
      </c>
      <c r="C827" s="126">
        <f>'לקוחות לפי סוכן - מקור'!E408</f>
        <v/>
      </c>
      <c r="D827" s="102">
        <f>'לקוחות לפי סוכן - מקור'!F408</f>
        <v/>
      </c>
      <c r="E827" s="102">
        <f>'לקוחות לפי סוכן - מקור'!G408</f>
        <v/>
      </c>
      <c r="F827" s="94">
        <f>'לקוחות לפי סוכן - מקור'!D408</f>
        <v/>
      </c>
      <c r="G827" s="95">
        <f>'לקוחות לפי סוכן - מקור'!H408</f>
        <v/>
      </c>
      <c r="H827" s="95">
        <f>'לקוחות לפי סוכן - מקור'!I408</f>
        <v/>
      </c>
      <c r="I827" s="94">
        <f>'לקוחות לפי סוכן - מקור'!K408</f>
        <v/>
      </c>
    </row>
    <row r="828" outlineLevel="1" ht="15" customHeight="1" s="82">
      <c r="A828" s="94">
        <f>'לקוחות לפי סוכן - מקור'!A409</f>
        <v/>
      </c>
      <c r="B828" s="94">
        <f>'לקוחות לפי סוכן - מקור'!C409</f>
        <v/>
      </c>
      <c r="C828" s="126">
        <f>'לקוחות לפי סוכן - מקור'!E409</f>
        <v/>
      </c>
      <c r="D828" s="102">
        <f>'לקוחות לפי סוכן - מקור'!F409</f>
        <v/>
      </c>
      <c r="E828" s="102">
        <f>'לקוחות לפי סוכן - מקור'!G409</f>
        <v/>
      </c>
      <c r="F828" s="94">
        <f>'לקוחות לפי סוכן - מקור'!D409</f>
        <v/>
      </c>
      <c r="G828" s="95">
        <f>'לקוחות לפי סוכן - מקור'!H409</f>
        <v/>
      </c>
      <c r="H828" s="95">
        <f>'לקוחות לפי סוכן - מקור'!I409</f>
        <v/>
      </c>
      <c r="I828" s="94">
        <f>'לקוחות לפי סוכן - מקור'!K409</f>
        <v/>
      </c>
    </row>
    <row r="829" outlineLevel="1" ht="15" customHeight="1" s="82">
      <c r="A829" s="94">
        <f>'לקוחות לפי סוכן - מקור'!A410</f>
        <v/>
      </c>
      <c r="B829" s="94">
        <f>'לקוחות לפי סוכן - מקור'!C410</f>
        <v/>
      </c>
      <c r="C829" s="126">
        <f>'לקוחות לפי סוכן - מקור'!E410</f>
        <v/>
      </c>
      <c r="D829" s="102">
        <f>'לקוחות לפי סוכן - מקור'!F410</f>
        <v/>
      </c>
      <c r="E829" s="102">
        <f>'לקוחות לפי סוכן - מקור'!G410</f>
        <v/>
      </c>
      <c r="F829" s="94">
        <f>'לקוחות לפי סוכן - מקור'!D410</f>
        <v/>
      </c>
      <c r="G829" s="95">
        <f>'לקוחות לפי סוכן - מקור'!H410</f>
        <v/>
      </c>
      <c r="H829" s="95">
        <f>'לקוחות לפי סוכן - מקור'!I410</f>
        <v/>
      </c>
      <c r="I829" s="94">
        <f>'לקוחות לפי סוכן - מקור'!K410</f>
        <v/>
      </c>
    </row>
    <row r="830" outlineLevel="1" ht="15" customHeight="1" s="82">
      <c r="A830" s="94">
        <f>'לקוחות לפי סוכן - מקור'!A411</f>
        <v/>
      </c>
      <c r="B830" s="94">
        <f>'לקוחות לפי סוכן - מקור'!C411</f>
        <v/>
      </c>
      <c r="C830" s="126">
        <f>'לקוחות לפי סוכן - מקור'!E411</f>
        <v/>
      </c>
      <c r="D830" s="102">
        <f>'לקוחות לפי סוכן - מקור'!F411</f>
        <v/>
      </c>
      <c r="E830" s="102">
        <f>'לקוחות לפי סוכן - מקור'!G411</f>
        <v/>
      </c>
      <c r="F830" s="94">
        <f>'לקוחות לפי סוכן - מקור'!D411</f>
        <v/>
      </c>
      <c r="G830" s="95">
        <f>'לקוחות לפי סוכן - מקור'!H411</f>
        <v/>
      </c>
      <c r="H830" s="95">
        <f>'לקוחות לפי סוכן - מקור'!I411</f>
        <v/>
      </c>
      <c r="I830" s="94">
        <f>'לקוחות לפי סוכן - מקור'!K411</f>
        <v/>
      </c>
    </row>
    <row r="831" outlineLevel="1" ht="15" customHeight="1" s="82">
      <c r="A831" s="94">
        <f>'לקוחות לפי סוכן - מקור'!A412</f>
        <v/>
      </c>
      <c r="B831" s="94">
        <f>'לקוחות לפי סוכן - מקור'!C412</f>
        <v/>
      </c>
      <c r="C831" s="126">
        <f>'לקוחות לפי סוכן - מקור'!E412</f>
        <v/>
      </c>
      <c r="D831" s="102">
        <f>'לקוחות לפי סוכן - מקור'!F412</f>
        <v/>
      </c>
      <c r="E831" s="102">
        <f>'לקוחות לפי סוכן - מקור'!G412</f>
        <v/>
      </c>
      <c r="F831" s="94">
        <f>'לקוחות לפי סוכן - מקור'!D412</f>
        <v/>
      </c>
      <c r="G831" s="95">
        <f>'לקוחות לפי סוכן - מקור'!H412</f>
        <v/>
      </c>
      <c r="H831" s="95">
        <f>'לקוחות לפי סוכן - מקור'!I412</f>
        <v/>
      </c>
      <c r="I831" s="94">
        <f>'לקוחות לפי סוכן - מקור'!K412</f>
        <v/>
      </c>
    </row>
    <row r="832" outlineLevel="1" ht="15" customHeight="1" s="82">
      <c r="A832" s="94">
        <f>'לקוחות לפי סוכן - מקור'!A413</f>
        <v/>
      </c>
      <c r="B832" s="94">
        <f>'לקוחות לפי סוכן - מקור'!C413</f>
        <v/>
      </c>
      <c r="C832" s="126">
        <f>'לקוחות לפי סוכן - מקור'!E413</f>
        <v/>
      </c>
      <c r="D832" s="102">
        <f>'לקוחות לפי סוכן - מקור'!F413</f>
        <v/>
      </c>
      <c r="E832" s="102">
        <f>'לקוחות לפי סוכן - מקור'!G413</f>
        <v/>
      </c>
      <c r="F832" s="94">
        <f>'לקוחות לפי סוכן - מקור'!D413</f>
        <v/>
      </c>
      <c r="G832" s="95">
        <f>'לקוחות לפי סוכן - מקור'!H413</f>
        <v/>
      </c>
      <c r="H832" s="95">
        <f>'לקוחות לפי סוכן - מקור'!I413</f>
        <v/>
      </c>
      <c r="I832" s="94">
        <f>'לקוחות לפי סוכן - מקור'!K413</f>
        <v/>
      </c>
    </row>
    <row r="833" outlineLevel="1" ht="15" customHeight="1" s="82">
      <c r="A833" s="94">
        <f>'לקוחות לפי סוכן - מקור'!A414</f>
        <v/>
      </c>
      <c r="B833" s="94">
        <f>'לקוחות לפי סוכן - מקור'!C414</f>
        <v/>
      </c>
      <c r="C833" s="126">
        <f>'לקוחות לפי סוכן - מקור'!E414</f>
        <v/>
      </c>
      <c r="D833" s="102">
        <f>'לקוחות לפי סוכן - מקור'!F414</f>
        <v/>
      </c>
      <c r="E833" s="102">
        <f>'לקוחות לפי סוכן - מקור'!G414</f>
        <v/>
      </c>
      <c r="F833" s="94">
        <f>'לקוחות לפי סוכן - מקור'!D414</f>
        <v/>
      </c>
      <c r="G833" s="95">
        <f>'לקוחות לפי סוכן - מקור'!H414</f>
        <v/>
      </c>
      <c r="H833" s="95">
        <f>'לקוחות לפי סוכן - מקור'!I414</f>
        <v/>
      </c>
      <c r="I833" s="94">
        <f>'לקוחות לפי סוכן - מקור'!K414</f>
        <v/>
      </c>
    </row>
    <row r="834" outlineLevel="1" ht="15" customHeight="1" s="82">
      <c r="A834" s="94">
        <f>'לקוחות לפי סוכן - מקור'!A415</f>
        <v/>
      </c>
      <c r="B834" s="94">
        <f>'לקוחות לפי סוכן - מקור'!C415</f>
        <v/>
      </c>
      <c r="C834" s="126">
        <f>'לקוחות לפי סוכן - מקור'!E415</f>
        <v/>
      </c>
      <c r="D834" s="102">
        <f>'לקוחות לפי סוכן - מקור'!F415</f>
        <v/>
      </c>
      <c r="E834" s="102">
        <f>'לקוחות לפי סוכן - מקור'!G415</f>
        <v/>
      </c>
      <c r="F834" s="94">
        <f>'לקוחות לפי סוכן - מקור'!D415</f>
        <v/>
      </c>
      <c r="G834" s="95">
        <f>'לקוחות לפי סוכן - מקור'!H415</f>
        <v/>
      </c>
      <c r="H834" s="95">
        <f>'לקוחות לפי סוכן - מקור'!I415</f>
        <v/>
      </c>
      <c r="I834" s="94">
        <f>'לקוחות לפי סוכן - מקור'!K415</f>
        <v/>
      </c>
    </row>
    <row r="835" outlineLevel="1" ht="15" customHeight="1" s="82">
      <c r="A835" s="94">
        <f>'לקוחות לפי סוכן - מקור'!A416</f>
        <v/>
      </c>
      <c r="B835" s="94">
        <f>'לקוחות לפי סוכן - מקור'!C416</f>
        <v/>
      </c>
      <c r="C835" s="126">
        <f>'לקוחות לפי סוכן - מקור'!E416</f>
        <v/>
      </c>
      <c r="D835" s="102">
        <f>'לקוחות לפי סוכן - מקור'!F416</f>
        <v/>
      </c>
      <c r="E835" s="102">
        <f>'לקוחות לפי סוכן - מקור'!G416</f>
        <v/>
      </c>
      <c r="F835" s="94">
        <f>'לקוחות לפי סוכן - מקור'!D416</f>
        <v/>
      </c>
      <c r="G835" s="95">
        <f>'לקוחות לפי סוכן - מקור'!H416</f>
        <v/>
      </c>
      <c r="H835" s="95">
        <f>'לקוחות לפי סוכן - מקור'!I416</f>
        <v/>
      </c>
      <c r="I835" s="94">
        <f>'לקוחות לפי סוכן - מקור'!K416</f>
        <v/>
      </c>
    </row>
    <row r="836" outlineLevel="1" ht="15" customHeight="1" s="82">
      <c r="A836" s="94">
        <f>'לקוחות לפי סוכן - מקור'!A417</f>
        <v/>
      </c>
      <c r="B836" s="94">
        <f>'לקוחות לפי סוכן - מקור'!C417</f>
        <v/>
      </c>
      <c r="C836" s="126">
        <f>'לקוחות לפי סוכן - מקור'!E417</f>
        <v/>
      </c>
      <c r="D836" s="102">
        <f>'לקוחות לפי סוכן - מקור'!F417</f>
        <v/>
      </c>
      <c r="E836" s="102">
        <f>'לקוחות לפי סוכן - מקור'!G417</f>
        <v/>
      </c>
      <c r="F836" s="94">
        <f>'לקוחות לפי סוכן - מקור'!D417</f>
        <v/>
      </c>
      <c r="G836" s="95">
        <f>'לקוחות לפי סוכן - מקור'!H417</f>
        <v/>
      </c>
      <c r="H836" s="95">
        <f>'לקוחות לפי סוכן - מקור'!I417</f>
        <v/>
      </c>
      <c r="I836" s="94">
        <f>'לקוחות לפי סוכן - מקור'!K417</f>
        <v/>
      </c>
    </row>
    <row r="837" outlineLevel="1" ht="15" customHeight="1" s="82">
      <c r="A837" s="94">
        <f>'לקוחות לפי סוכן - מקור'!A418</f>
        <v/>
      </c>
      <c r="B837" s="94">
        <f>'לקוחות לפי סוכן - מקור'!C418</f>
        <v/>
      </c>
      <c r="C837" s="126">
        <f>'לקוחות לפי סוכן - מקור'!E418</f>
        <v/>
      </c>
      <c r="D837" s="102">
        <f>'לקוחות לפי סוכן - מקור'!F418</f>
        <v/>
      </c>
      <c r="E837" s="102">
        <f>'לקוחות לפי סוכן - מקור'!G418</f>
        <v/>
      </c>
      <c r="F837" s="94">
        <f>'לקוחות לפי סוכן - מקור'!D418</f>
        <v/>
      </c>
      <c r="G837" s="95">
        <f>'לקוחות לפי סוכן - מקור'!H418</f>
        <v/>
      </c>
      <c r="H837" s="95">
        <f>'לקוחות לפי סוכן - מקור'!I418</f>
        <v/>
      </c>
      <c r="I837" s="94">
        <f>'לקוחות לפי סוכן - מקור'!K418</f>
        <v/>
      </c>
    </row>
    <row r="838" outlineLevel="1" ht="15" customHeight="1" s="82">
      <c r="A838" s="94">
        <f>'לקוחות לפי סוכן - מקור'!A419</f>
        <v/>
      </c>
      <c r="B838" s="94">
        <f>'לקוחות לפי סוכן - מקור'!C419</f>
        <v/>
      </c>
      <c r="C838" s="126">
        <f>'לקוחות לפי סוכן - מקור'!E419</f>
        <v/>
      </c>
      <c r="D838" s="102">
        <f>'לקוחות לפי סוכן - מקור'!F419</f>
        <v/>
      </c>
      <c r="E838" s="102">
        <f>'לקוחות לפי סוכן - מקור'!G419</f>
        <v/>
      </c>
      <c r="F838" s="94">
        <f>'לקוחות לפי סוכן - מקור'!D419</f>
        <v/>
      </c>
      <c r="G838" s="95">
        <f>'לקוחות לפי סוכן - מקור'!H419</f>
        <v/>
      </c>
      <c r="H838" s="95">
        <f>'לקוחות לפי סוכן - מקור'!I419</f>
        <v/>
      </c>
      <c r="I838" s="94">
        <f>'לקוחות לפי סוכן - מקור'!K419</f>
        <v/>
      </c>
    </row>
    <row r="839" outlineLevel="1" ht="15" customHeight="1" s="82">
      <c r="A839" s="94">
        <f>'לקוחות לפי סוכן - מקור'!A420</f>
        <v/>
      </c>
      <c r="B839" s="94">
        <f>'לקוחות לפי סוכן - מקור'!C420</f>
        <v/>
      </c>
      <c r="C839" s="126">
        <f>'לקוחות לפי סוכן - מקור'!E420</f>
        <v/>
      </c>
      <c r="D839" s="102">
        <f>'לקוחות לפי סוכן - מקור'!F420</f>
        <v/>
      </c>
      <c r="E839" s="102">
        <f>'לקוחות לפי סוכן - מקור'!G420</f>
        <v/>
      </c>
      <c r="F839" s="94">
        <f>'לקוחות לפי סוכן - מקור'!D420</f>
        <v/>
      </c>
      <c r="G839" s="95">
        <f>'לקוחות לפי סוכן - מקור'!H420</f>
        <v/>
      </c>
      <c r="H839" s="95">
        <f>'לקוחות לפי סוכן - מקור'!I420</f>
        <v/>
      </c>
      <c r="I839" s="94">
        <f>'לקוחות לפי סוכן - מקור'!K420</f>
        <v/>
      </c>
    </row>
    <row r="840" outlineLevel="1" ht="15" customHeight="1" s="82">
      <c r="A840" s="94">
        <f>'לקוחות לפי סוכן - מקור'!A421</f>
        <v/>
      </c>
      <c r="B840" s="94">
        <f>'לקוחות לפי סוכן - מקור'!C421</f>
        <v/>
      </c>
      <c r="C840" s="126">
        <f>'לקוחות לפי סוכן - מקור'!E421</f>
        <v/>
      </c>
      <c r="D840" s="102">
        <f>'לקוחות לפי סוכן - מקור'!F421</f>
        <v/>
      </c>
      <c r="E840" s="102">
        <f>'לקוחות לפי סוכן - מקור'!G421</f>
        <v/>
      </c>
      <c r="F840" s="94">
        <f>'לקוחות לפי סוכן - מקור'!D421</f>
        <v/>
      </c>
      <c r="G840" s="95">
        <f>'לקוחות לפי סוכן - מקור'!H421</f>
        <v/>
      </c>
      <c r="H840" s="95">
        <f>'לקוחות לפי סוכן - מקור'!I421</f>
        <v/>
      </c>
      <c r="I840" s="94">
        <f>'לקוחות לפי סוכן - מקור'!K421</f>
        <v/>
      </c>
    </row>
    <row r="841" outlineLevel="1" ht="15" customHeight="1" s="82">
      <c r="A841" s="94">
        <f>'לקוחות לפי סוכן - מקור'!A422</f>
        <v/>
      </c>
      <c r="B841" s="94">
        <f>'לקוחות לפי סוכן - מקור'!C422</f>
        <v/>
      </c>
      <c r="C841" s="126">
        <f>'לקוחות לפי סוכן - מקור'!E422</f>
        <v/>
      </c>
      <c r="D841" s="102">
        <f>'לקוחות לפי סוכן - מקור'!F422</f>
        <v/>
      </c>
      <c r="E841" s="102">
        <f>'לקוחות לפי סוכן - מקור'!G422</f>
        <v/>
      </c>
      <c r="F841" s="94">
        <f>'לקוחות לפי סוכן - מקור'!D422</f>
        <v/>
      </c>
      <c r="G841" s="95">
        <f>'לקוחות לפי סוכן - מקור'!H422</f>
        <v/>
      </c>
      <c r="H841" s="95">
        <f>'לקוחות לפי סוכן - מקור'!I422</f>
        <v/>
      </c>
      <c r="I841" s="94">
        <f>'לקוחות לפי סוכן - מקור'!K422</f>
        <v/>
      </c>
    </row>
    <row r="842" outlineLevel="1" ht="15" customHeight="1" s="82">
      <c r="A842" s="94">
        <f>'לקוחות לפי סוכן - מקור'!A423</f>
        <v/>
      </c>
      <c r="B842" s="94">
        <f>'לקוחות לפי סוכן - מקור'!C423</f>
        <v/>
      </c>
      <c r="C842" s="126">
        <f>'לקוחות לפי סוכן - מקור'!E423</f>
        <v/>
      </c>
      <c r="D842" s="102">
        <f>'לקוחות לפי סוכן - מקור'!F423</f>
        <v/>
      </c>
      <c r="E842" s="102">
        <f>'לקוחות לפי סוכן - מקור'!G423</f>
        <v/>
      </c>
      <c r="F842" s="94">
        <f>'לקוחות לפי סוכן - מקור'!D423</f>
        <v/>
      </c>
      <c r="G842" s="95">
        <f>'לקוחות לפי סוכן - מקור'!H423</f>
        <v/>
      </c>
      <c r="H842" s="95">
        <f>'לקוחות לפי סוכן - מקור'!I423</f>
        <v/>
      </c>
      <c r="I842" s="94">
        <f>'לקוחות לפי סוכן - מקור'!K423</f>
        <v/>
      </c>
    </row>
    <row r="843" outlineLevel="1" ht="15" customHeight="1" s="82">
      <c r="A843" s="94">
        <f>'לקוחות לפי סוכן - מקור'!A424</f>
        <v/>
      </c>
      <c r="B843" s="94">
        <f>'לקוחות לפי סוכן - מקור'!C424</f>
        <v/>
      </c>
      <c r="C843" s="126">
        <f>'לקוחות לפי סוכן - מקור'!E424</f>
        <v/>
      </c>
      <c r="D843" s="102">
        <f>'לקוחות לפי סוכן - מקור'!F424</f>
        <v/>
      </c>
      <c r="E843" s="102">
        <f>'לקוחות לפי סוכן - מקור'!G424</f>
        <v/>
      </c>
      <c r="F843" s="94">
        <f>'לקוחות לפי סוכן - מקור'!D424</f>
        <v/>
      </c>
      <c r="G843" s="95">
        <f>'לקוחות לפי סוכן - מקור'!H424</f>
        <v/>
      </c>
      <c r="H843" s="95">
        <f>'לקוחות לפי סוכן - מקור'!I424</f>
        <v/>
      </c>
      <c r="I843" s="94">
        <f>'לקוחות לפי סוכן - מקור'!K424</f>
        <v/>
      </c>
    </row>
    <row r="844" outlineLevel="1" ht="15" customHeight="1" s="82">
      <c r="A844" s="94">
        <f>'לקוחות לפי סוכן - מקור'!A425</f>
        <v/>
      </c>
      <c r="B844" s="94">
        <f>'לקוחות לפי סוכן - מקור'!C425</f>
        <v/>
      </c>
      <c r="C844" s="126">
        <f>'לקוחות לפי סוכן - מקור'!E425</f>
        <v/>
      </c>
      <c r="D844" s="102">
        <f>'לקוחות לפי סוכן - מקור'!F425</f>
        <v/>
      </c>
      <c r="E844" s="102">
        <f>'לקוחות לפי סוכן - מקור'!G425</f>
        <v/>
      </c>
      <c r="F844" s="94">
        <f>'לקוחות לפי סוכן - מקור'!D425</f>
        <v/>
      </c>
      <c r="G844" s="95">
        <f>'לקוחות לפי סוכן - מקור'!H425</f>
        <v/>
      </c>
      <c r="H844" s="95">
        <f>'לקוחות לפי סוכן - מקור'!I425</f>
        <v/>
      </c>
      <c r="I844" s="94">
        <f>'לקוחות לפי סוכן - מקור'!K425</f>
        <v/>
      </c>
    </row>
    <row r="845" outlineLevel="1" ht="15" customHeight="1" s="82">
      <c r="A845" s="94">
        <f>'לקוחות לפי סוכן - מקור'!A426</f>
        <v/>
      </c>
      <c r="B845" s="94">
        <f>'לקוחות לפי סוכן - מקור'!C426</f>
        <v/>
      </c>
      <c r="C845" s="126">
        <f>'לקוחות לפי סוכן - מקור'!E426</f>
        <v/>
      </c>
      <c r="D845" s="102">
        <f>'לקוחות לפי סוכן - מקור'!F426</f>
        <v/>
      </c>
      <c r="E845" s="102">
        <f>'לקוחות לפי סוכן - מקור'!G426</f>
        <v/>
      </c>
      <c r="F845" s="94">
        <f>'לקוחות לפי סוכן - מקור'!D426</f>
        <v/>
      </c>
      <c r="G845" s="95">
        <f>'לקוחות לפי סוכן - מקור'!H426</f>
        <v/>
      </c>
      <c r="H845" s="95">
        <f>'לקוחות לפי סוכן - מקור'!I426</f>
        <v/>
      </c>
      <c r="I845" s="94">
        <f>'לקוחות לפי סוכן - מקור'!K426</f>
        <v/>
      </c>
    </row>
    <row r="846" outlineLevel="1" ht="15" customHeight="1" s="82">
      <c r="A846" s="94">
        <f>'לקוחות לפי סוכן - מקור'!A427</f>
        <v/>
      </c>
      <c r="B846" s="94">
        <f>'לקוחות לפי סוכן - מקור'!C427</f>
        <v/>
      </c>
      <c r="C846" s="126">
        <f>'לקוחות לפי סוכן - מקור'!E427</f>
        <v/>
      </c>
      <c r="D846" s="102">
        <f>'לקוחות לפי סוכן - מקור'!F427</f>
        <v/>
      </c>
      <c r="E846" s="102">
        <f>'לקוחות לפי סוכן - מקור'!G427</f>
        <v/>
      </c>
      <c r="F846" s="94">
        <f>'לקוחות לפי סוכן - מקור'!D427</f>
        <v/>
      </c>
      <c r="G846" s="95">
        <f>'לקוחות לפי סוכן - מקור'!H427</f>
        <v/>
      </c>
      <c r="H846" s="95">
        <f>'לקוחות לפי סוכן - מקור'!I427</f>
        <v/>
      </c>
      <c r="I846" s="94">
        <f>'לקוחות לפי סוכן - מקור'!K427</f>
        <v/>
      </c>
    </row>
    <row r="847" outlineLevel="1" ht="15" customHeight="1" s="82">
      <c r="A847" s="94">
        <f>'לקוחות לפי סוכן - מקור'!A428</f>
        <v/>
      </c>
      <c r="B847" s="94">
        <f>'לקוחות לפי סוכן - מקור'!C428</f>
        <v/>
      </c>
      <c r="C847" s="126">
        <f>'לקוחות לפי סוכן - מקור'!E428</f>
        <v/>
      </c>
      <c r="D847" s="102">
        <f>'לקוחות לפי סוכן - מקור'!F428</f>
        <v/>
      </c>
      <c r="E847" s="102">
        <f>'לקוחות לפי סוכן - מקור'!G428</f>
        <v/>
      </c>
      <c r="F847" s="94">
        <f>'לקוחות לפי סוכן - מקור'!D428</f>
        <v/>
      </c>
      <c r="G847" s="95">
        <f>'לקוחות לפי סוכן - מקור'!H428</f>
        <v/>
      </c>
      <c r="H847" s="95">
        <f>'לקוחות לפי סוכן - מקור'!I428</f>
        <v/>
      </c>
      <c r="I847" s="94">
        <f>'לקוחות לפי סוכן - מקור'!K428</f>
        <v/>
      </c>
    </row>
    <row r="848" outlineLevel="1" ht="15" customHeight="1" s="82">
      <c r="A848" s="94">
        <f>'לקוחות לפי סוכן - מקור'!A429</f>
        <v/>
      </c>
      <c r="B848" s="94">
        <f>'לקוחות לפי סוכן - מקור'!C429</f>
        <v/>
      </c>
      <c r="C848" s="126">
        <f>'לקוחות לפי סוכן - מקור'!E429</f>
        <v/>
      </c>
      <c r="D848" s="102">
        <f>'לקוחות לפי סוכן - מקור'!F429</f>
        <v/>
      </c>
      <c r="E848" s="102">
        <f>'לקוחות לפי סוכן - מקור'!G429</f>
        <v/>
      </c>
      <c r="F848" s="94">
        <f>'לקוחות לפי סוכן - מקור'!D429</f>
        <v/>
      </c>
      <c r="G848" s="95">
        <f>'לקוחות לפי סוכן - מקור'!H429</f>
        <v/>
      </c>
      <c r="H848" s="95">
        <f>'לקוחות לפי סוכן - מקור'!I429</f>
        <v/>
      </c>
      <c r="I848" s="94">
        <f>'לקוחות לפי סוכן - מקור'!K429</f>
        <v/>
      </c>
    </row>
    <row r="849" outlineLevel="1" ht="15" customHeight="1" s="82">
      <c r="A849" s="94">
        <f>'לקוחות לפי סוכן - מקור'!A430</f>
        <v/>
      </c>
      <c r="B849" s="94">
        <f>'לקוחות לפי סוכן - מקור'!C430</f>
        <v/>
      </c>
      <c r="C849" s="126">
        <f>'לקוחות לפי סוכן - מקור'!E430</f>
        <v/>
      </c>
      <c r="D849" s="102">
        <f>'לקוחות לפי סוכן - מקור'!F430</f>
        <v/>
      </c>
      <c r="E849" s="102">
        <f>'לקוחות לפי סוכן - מקור'!G430</f>
        <v/>
      </c>
      <c r="F849" s="94">
        <f>'לקוחות לפי סוכן - מקור'!D430</f>
        <v/>
      </c>
      <c r="G849" s="95">
        <f>'לקוחות לפי סוכן - מקור'!H430</f>
        <v/>
      </c>
      <c r="H849" s="95">
        <f>'לקוחות לפי סוכן - מקור'!I430</f>
        <v/>
      </c>
      <c r="I849" s="94">
        <f>'לקוחות לפי סוכן - מקור'!K430</f>
        <v/>
      </c>
    </row>
    <row r="850" outlineLevel="1" ht="15" customHeight="1" s="82">
      <c r="A850" s="94">
        <f>'לקוחות לפי סוכן - מקור'!A431</f>
        <v/>
      </c>
      <c r="B850" s="94">
        <f>'לקוחות לפי סוכן - מקור'!C431</f>
        <v/>
      </c>
      <c r="C850" s="126">
        <f>'לקוחות לפי סוכן - מקור'!E431</f>
        <v/>
      </c>
      <c r="D850" s="102">
        <f>'לקוחות לפי סוכן - מקור'!F431</f>
        <v/>
      </c>
      <c r="E850" s="102">
        <f>'לקוחות לפי סוכן - מקור'!G431</f>
        <v/>
      </c>
      <c r="F850" s="94">
        <f>'לקוחות לפי סוכן - מקור'!D431</f>
        <v/>
      </c>
      <c r="G850" s="95">
        <f>'לקוחות לפי סוכן - מקור'!H431</f>
        <v/>
      </c>
      <c r="H850" s="95">
        <f>'לקוחות לפי סוכן - מקור'!I431</f>
        <v/>
      </c>
      <c r="I850" s="94">
        <f>'לקוחות לפי סוכן - מקור'!K431</f>
        <v/>
      </c>
    </row>
    <row r="851" outlineLevel="1" ht="15" customHeight="1" s="82">
      <c r="A851" s="94">
        <f>'לקוחות לפי סוכן - מקור'!A432</f>
        <v/>
      </c>
      <c r="B851" s="94">
        <f>'לקוחות לפי סוכן - מקור'!C432</f>
        <v/>
      </c>
      <c r="C851" s="126">
        <f>'לקוחות לפי סוכן - מקור'!E432</f>
        <v/>
      </c>
      <c r="D851" s="102">
        <f>'לקוחות לפי סוכן - מקור'!F432</f>
        <v/>
      </c>
      <c r="E851" s="102">
        <f>'לקוחות לפי סוכן - מקור'!G432</f>
        <v/>
      </c>
      <c r="F851" s="94">
        <f>'לקוחות לפי סוכן - מקור'!D432</f>
        <v/>
      </c>
      <c r="G851" s="95">
        <f>'לקוחות לפי סוכן - מקור'!H432</f>
        <v/>
      </c>
      <c r="H851" s="95">
        <f>'לקוחות לפי סוכן - מקור'!I432</f>
        <v/>
      </c>
      <c r="I851" s="94">
        <f>'לקוחות לפי סוכן - מקור'!K432</f>
        <v/>
      </c>
    </row>
    <row r="852" outlineLevel="1" ht="15" customHeight="1" s="82">
      <c r="A852" s="94">
        <f>'לקוחות לפי סוכן - מקור'!A433</f>
        <v/>
      </c>
      <c r="B852" s="94">
        <f>'לקוחות לפי סוכן - מקור'!C433</f>
        <v/>
      </c>
      <c r="C852" s="126">
        <f>'לקוחות לפי סוכן - מקור'!E433</f>
        <v/>
      </c>
      <c r="D852" s="102">
        <f>'לקוחות לפי סוכן - מקור'!F433</f>
        <v/>
      </c>
      <c r="E852" s="102">
        <f>'לקוחות לפי סוכן - מקור'!G433</f>
        <v/>
      </c>
      <c r="F852" s="94">
        <f>'לקוחות לפי סוכן - מקור'!D433</f>
        <v/>
      </c>
      <c r="G852" s="95">
        <f>'לקוחות לפי סוכן - מקור'!H433</f>
        <v/>
      </c>
      <c r="H852" s="95">
        <f>'לקוחות לפי סוכן - מקור'!I433</f>
        <v/>
      </c>
      <c r="I852" s="94">
        <f>'לקוחות לפי סוכן - מקור'!K433</f>
        <v/>
      </c>
    </row>
    <row r="853" outlineLevel="1" ht="15" customHeight="1" s="82">
      <c r="A853" s="94">
        <f>'לקוחות לפי סוכן - מקור'!A434</f>
        <v/>
      </c>
      <c r="B853" s="94">
        <f>'לקוחות לפי סוכן - מקור'!C434</f>
        <v/>
      </c>
      <c r="C853" s="126">
        <f>'לקוחות לפי סוכן - מקור'!E434</f>
        <v/>
      </c>
      <c r="D853" s="102">
        <f>'לקוחות לפי סוכן - מקור'!F434</f>
        <v/>
      </c>
      <c r="E853" s="102">
        <f>'לקוחות לפי סוכן - מקור'!G434</f>
        <v/>
      </c>
      <c r="F853" s="94">
        <f>'לקוחות לפי סוכן - מקור'!D434</f>
        <v/>
      </c>
      <c r="G853" s="95">
        <f>'לקוחות לפי סוכן - מקור'!H434</f>
        <v/>
      </c>
      <c r="H853" s="95">
        <f>'לקוחות לפי סוכן - מקור'!I434</f>
        <v/>
      </c>
      <c r="I853" s="94">
        <f>'לקוחות לפי סוכן - מקור'!K434</f>
        <v/>
      </c>
    </row>
    <row r="854" outlineLevel="1" ht="15" customHeight="1" s="82">
      <c r="A854" s="94">
        <f>'לקוחות לפי סוכן - מקור'!A435</f>
        <v/>
      </c>
      <c r="B854" s="94">
        <f>'לקוחות לפי סוכן - מקור'!C435</f>
        <v/>
      </c>
      <c r="C854" s="126">
        <f>'לקוחות לפי סוכן - מקור'!E435</f>
        <v/>
      </c>
      <c r="D854" s="102">
        <f>'לקוחות לפי סוכן - מקור'!F435</f>
        <v/>
      </c>
      <c r="E854" s="102">
        <f>'לקוחות לפי סוכן - מקור'!G435</f>
        <v/>
      </c>
      <c r="F854" s="94">
        <f>'לקוחות לפי סוכן - מקור'!D435</f>
        <v/>
      </c>
      <c r="G854" s="95">
        <f>'לקוחות לפי סוכן - מקור'!H435</f>
        <v/>
      </c>
      <c r="H854" s="95">
        <f>'לקוחות לפי סוכן - מקור'!I435</f>
        <v/>
      </c>
      <c r="I854" s="94">
        <f>'לקוחות לפי סוכן - מקור'!K435</f>
        <v/>
      </c>
    </row>
    <row r="855" outlineLevel="1" ht="15" customHeight="1" s="82">
      <c r="A855" s="94">
        <f>'לקוחות לפי סוכן - מקור'!A436</f>
        <v/>
      </c>
      <c r="B855" s="94">
        <f>'לקוחות לפי סוכן - מקור'!C436</f>
        <v/>
      </c>
      <c r="C855" s="126">
        <f>'לקוחות לפי סוכן - מקור'!E436</f>
        <v/>
      </c>
      <c r="D855" s="102">
        <f>'לקוחות לפי סוכן - מקור'!F436</f>
        <v/>
      </c>
      <c r="E855" s="102">
        <f>'לקוחות לפי סוכן - מקור'!G436</f>
        <v/>
      </c>
      <c r="F855" s="94">
        <f>'לקוחות לפי סוכן - מקור'!D436</f>
        <v/>
      </c>
      <c r="G855" s="95">
        <f>'לקוחות לפי סוכן - מקור'!H436</f>
        <v/>
      </c>
      <c r="H855" s="95">
        <f>'לקוחות לפי סוכן - מקור'!I436</f>
        <v/>
      </c>
      <c r="I855" s="94">
        <f>'לקוחות לפי סוכן - מקור'!K436</f>
        <v/>
      </c>
    </row>
    <row r="856" outlineLevel="1" ht="15" customHeight="1" s="82">
      <c r="A856" s="94">
        <f>'לקוחות לפי סוכן - מקור'!A437</f>
        <v/>
      </c>
      <c r="B856" s="94">
        <f>'לקוחות לפי סוכן - מקור'!C437</f>
        <v/>
      </c>
      <c r="C856" s="126">
        <f>'לקוחות לפי סוכן - מקור'!E437</f>
        <v/>
      </c>
      <c r="D856" s="102">
        <f>'לקוחות לפי סוכן - מקור'!F437</f>
        <v/>
      </c>
      <c r="E856" s="102">
        <f>'לקוחות לפי סוכן - מקור'!G437</f>
        <v/>
      </c>
      <c r="F856" s="94">
        <f>'לקוחות לפי סוכן - מקור'!D437</f>
        <v/>
      </c>
      <c r="G856" s="95">
        <f>'לקוחות לפי סוכן - מקור'!H437</f>
        <v/>
      </c>
      <c r="H856" s="95">
        <f>'לקוחות לפי סוכן - מקור'!I437</f>
        <v/>
      </c>
      <c r="I856" s="94">
        <f>'לקוחות לפי סוכן - מקור'!K437</f>
        <v/>
      </c>
    </row>
    <row r="857" outlineLevel="1" ht="15" customHeight="1" s="82">
      <c r="A857" s="94">
        <f>'לקוחות לפי סוכן - מקור'!A438</f>
        <v/>
      </c>
      <c r="B857" s="94">
        <f>'לקוחות לפי סוכן - מקור'!C438</f>
        <v/>
      </c>
      <c r="C857" s="126">
        <f>'לקוחות לפי סוכן - מקור'!E438</f>
        <v/>
      </c>
      <c r="D857" s="102">
        <f>'לקוחות לפי סוכן - מקור'!F438</f>
        <v/>
      </c>
      <c r="E857" s="102">
        <f>'לקוחות לפי סוכן - מקור'!G438</f>
        <v/>
      </c>
      <c r="F857" s="94">
        <f>'לקוחות לפי סוכן - מקור'!D438</f>
        <v/>
      </c>
      <c r="G857" s="95">
        <f>'לקוחות לפי סוכן - מקור'!H438</f>
        <v/>
      </c>
      <c r="H857" s="95">
        <f>'לקוחות לפי סוכן - מקור'!I438</f>
        <v/>
      </c>
      <c r="I857" s="94">
        <f>'לקוחות לפי סוכן - מקור'!K438</f>
        <v/>
      </c>
    </row>
    <row r="858" outlineLevel="1" ht="15" customHeight="1" s="82">
      <c r="A858" s="94">
        <f>'לקוחות לפי סוכן - מקור'!A439</f>
        <v/>
      </c>
      <c r="B858" s="94">
        <f>'לקוחות לפי סוכן - מקור'!C439</f>
        <v/>
      </c>
      <c r="C858" s="126">
        <f>'לקוחות לפי סוכן - מקור'!E439</f>
        <v/>
      </c>
      <c r="D858" s="102">
        <f>'לקוחות לפי סוכן - מקור'!F439</f>
        <v/>
      </c>
      <c r="E858" s="102">
        <f>'לקוחות לפי סוכן - מקור'!G439</f>
        <v/>
      </c>
      <c r="F858" s="94">
        <f>'לקוחות לפי סוכן - מקור'!D439</f>
        <v/>
      </c>
      <c r="G858" s="95">
        <f>'לקוחות לפי סוכן - מקור'!H439</f>
        <v/>
      </c>
      <c r="H858" s="95">
        <f>'לקוחות לפי סוכן - מקור'!I439</f>
        <v/>
      </c>
      <c r="I858" s="94">
        <f>'לקוחות לפי סוכן - מקור'!K439</f>
        <v/>
      </c>
    </row>
    <row r="859" outlineLevel="1" ht="15" customHeight="1" s="82">
      <c r="A859" s="94">
        <f>'לקוחות לפי סוכן - מקור'!A440</f>
        <v/>
      </c>
      <c r="B859" s="94">
        <f>'לקוחות לפי סוכן - מקור'!C440</f>
        <v/>
      </c>
      <c r="C859" s="126">
        <f>'לקוחות לפי סוכן - מקור'!E440</f>
        <v/>
      </c>
      <c r="D859" s="102">
        <f>'לקוחות לפי סוכן - מקור'!F440</f>
        <v/>
      </c>
      <c r="E859" s="102">
        <f>'לקוחות לפי סוכן - מקור'!G440</f>
        <v/>
      </c>
      <c r="F859" s="94">
        <f>'לקוחות לפי סוכן - מקור'!D440</f>
        <v/>
      </c>
      <c r="G859" s="95">
        <f>'לקוחות לפי סוכן - מקור'!H440</f>
        <v/>
      </c>
      <c r="H859" s="95">
        <f>'לקוחות לפי סוכן - מקור'!I440</f>
        <v/>
      </c>
      <c r="I859" s="94">
        <f>'לקוחות לפי סוכן - מקור'!K440</f>
        <v/>
      </c>
    </row>
    <row r="860" outlineLevel="1" ht="15" customHeight="1" s="82">
      <c r="A860" s="94">
        <f>'לקוחות לפי סוכן - מקור'!A441</f>
        <v/>
      </c>
      <c r="B860" s="94">
        <f>'לקוחות לפי סוכן - מקור'!C441</f>
        <v/>
      </c>
      <c r="C860" s="126">
        <f>'לקוחות לפי סוכן - מקור'!E441</f>
        <v/>
      </c>
      <c r="D860" s="102">
        <f>'לקוחות לפי סוכן - מקור'!F441</f>
        <v/>
      </c>
      <c r="E860" s="102">
        <f>'לקוחות לפי סוכן - מקור'!G441</f>
        <v/>
      </c>
      <c r="F860" s="94">
        <f>'לקוחות לפי סוכן - מקור'!D441</f>
        <v/>
      </c>
      <c r="G860" s="95">
        <f>'לקוחות לפי סוכן - מקור'!H441</f>
        <v/>
      </c>
      <c r="H860" s="95">
        <f>'לקוחות לפי סוכן - מקור'!I441</f>
        <v/>
      </c>
      <c r="I860" s="94">
        <f>'לקוחות לפי סוכן - מקור'!K441</f>
        <v/>
      </c>
    </row>
    <row r="861" outlineLevel="1" ht="15" customHeight="1" s="82">
      <c r="A861" s="94">
        <f>'לקוחות לפי סוכן - מקור'!A442</f>
        <v/>
      </c>
      <c r="B861" s="94">
        <f>'לקוחות לפי סוכן - מקור'!C442</f>
        <v/>
      </c>
      <c r="C861" s="126">
        <f>'לקוחות לפי סוכן - מקור'!E442</f>
        <v/>
      </c>
      <c r="D861" s="102">
        <f>'לקוחות לפי סוכן - מקור'!F442</f>
        <v/>
      </c>
      <c r="E861" s="102">
        <f>'לקוחות לפי סוכן - מקור'!G442</f>
        <v/>
      </c>
      <c r="F861" s="94">
        <f>'לקוחות לפי סוכן - מקור'!D442</f>
        <v/>
      </c>
      <c r="G861" s="95">
        <f>'לקוחות לפי סוכן - מקור'!H442</f>
        <v/>
      </c>
      <c r="H861" s="95">
        <f>'לקוחות לפי סוכן - מקור'!I442</f>
        <v/>
      </c>
      <c r="I861" s="94">
        <f>'לקוחות לפי סוכן - מקור'!K442</f>
        <v/>
      </c>
    </row>
    <row r="862" outlineLevel="1" ht="15" customHeight="1" s="82">
      <c r="A862" s="94">
        <f>'לקוחות לפי סוכן - מקור'!A443</f>
        <v/>
      </c>
      <c r="B862" s="94">
        <f>'לקוחות לפי סוכן - מקור'!C443</f>
        <v/>
      </c>
      <c r="C862" s="126">
        <f>'לקוחות לפי סוכן - מקור'!E443</f>
        <v/>
      </c>
      <c r="D862" s="102">
        <f>'לקוחות לפי סוכן - מקור'!F443</f>
        <v/>
      </c>
      <c r="E862" s="102">
        <f>'לקוחות לפי סוכן - מקור'!G443</f>
        <v/>
      </c>
      <c r="F862" s="94">
        <f>'לקוחות לפי סוכן - מקור'!D443</f>
        <v/>
      </c>
      <c r="G862" s="95">
        <f>'לקוחות לפי סוכן - מקור'!H443</f>
        <v/>
      </c>
      <c r="H862" s="95">
        <f>'לקוחות לפי סוכן - מקור'!I443</f>
        <v/>
      </c>
      <c r="I862" s="94">
        <f>'לקוחות לפי סוכן - מקור'!K443</f>
        <v/>
      </c>
    </row>
    <row r="863" outlineLevel="1" ht="15" customHeight="1" s="82">
      <c r="A863" s="94">
        <f>'לקוחות לפי סוכן - מקור'!A444</f>
        <v/>
      </c>
      <c r="B863" s="94">
        <f>'לקוחות לפי סוכן - מקור'!C444</f>
        <v/>
      </c>
      <c r="C863" s="126">
        <f>'לקוחות לפי סוכן - מקור'!E444</f>
        <v/>
      </c>
      <c r="D863" s="102">
        <f>'לקוחות לפי סוכן - מקור'!F444</f>
        <v/>
      </c>
      <c r="E863" s="102">
        <f>'לקוחות לפי סוכן - מקור'!G444</f>
        <v/>
      </c>
      <c r="F863" s="94">
        <f>'לקוחות לפי סוכן - מקור'!D444</f>
        <v/>
      </c>
      <c r="G863" s="95">
        <f>'לקוחות לפי סוכן - מקור'!H444</f>
        <v/>
      </c>
      <c r="H863" s="95">
        <f>'לקוחות לפי סוכן - מקור'!I444</f>
        <v/>
      </c>
      <c r="I863" s="94">
        <f>'לקוחות לפי סוכן - מקור'!K444</f>
        <v/>
      </c>
    </row>
    <row r="864" outlineLevel="1" ht="15" customHeight="1" s="82">
      <c r="A864" s="94">
        <f>'לקוחות לפי סוכן - מקור'!A445</f>
        <v/>
      </c>
      <c r="B864" s="94">
        <f>'לקוחות לפי סוכן - מקור'!C445</f>
        <v/>
      </c>
      <c r="C864" s="126">
        <f>'לקוחות לפי סוכן - מקור'!E445</f>
        <v/>
      </c>
      <c r="D864" s="102">
        <f>'לקוחות לפי סוכן - מקור'!F445</f>
        <v/>
      </c>
      <c r="E864" s="102">
        <f>'לקוחות לפי סוכן - מקור'!G445</f>
        <v/>
      </c>
      <c r="F864" s="94">
        <f>'לקוחות לפי סוכן - מקור'!D445</f>
        <v/>
      </c>
      <c r="G864" s="95">
        <f>'לקוחות לפי סוכן - מקור'!H445</f>
        <v/>
      </c>
      <c r="H864" s="95">
        <f>'לקוחות לפי סוכן - מקור'!I445</f>
        <v/>
      </c>
      <c r="I864" s="94">
        <f>'לקוחות לפי סוכן - מקור'!K445</f>
        <v/>
      </c>
    </row>
    <row r="865" outlineLevel="1" ht="15" customHeight="1" s="82">
      <c r="A865" s="94">
        <f>'לקוחות לפי סוכן - מקור'!A446</f>
        <v/>
      </c>
      <c r="B865" s="94">
        <f>'לקוחות לפי סוכן - מקור'!C446</f>
        <v/>
      </c>
      <c r="C865" s="126">
        <f>'לקוחות לפי סוכן - מקור'!E446</f>
        <v/>
      </c>
      <c r="D865" s="102">
        <f>'לקוחות לפי סוכן - מקור'!F446</f>
        <v/>
      </c>
      <c r="E865" s="102">
        <f>'לקוחות לפי סוכן - מקור'!G446</f>
        <v/>
      </c>
      <c r="F865" s="94">
        <f>'לקוחות לפי סוכן - מקור'!D446</f>
        <v/>
      </c>
      <c r="G865" s="95">
        <f>'לקוחות לפי סוכן - מקור'!H446</f>
        <v/>
      </c>
      <c r="H865" s="95">
        <f>'לקוחות לפי סוכן - מקור'!I446</f>
        <v/>
      </c>
      <c r="I865" s="94">
        <f>'לקוחות לפי סוכן - מקור'!K446</f>
        <v/>
      </c>
    </row>
    <row r="866" outlineLevel="1" ht="15" customHeight="1" s="82">
      <c r="A866" s="94">
        <f>'לקוחות לפי סוכן - מקור'!A447</f>
        <v/>
      </c>
      <c r="B866" s="94">
        <f>'לקוחות לפי סוכן - מקור'!C447</f>
        <v/>
      </c>
      <c r="C866" s="126">
        <f>'לקוחות לפי סוכן - מקור'!E447</f>
        <v/>
      </c>
      <c r="D866" s="102">
        <f>'לקוחות לפי סוכן - מקור'!F447</f>
        <v/>
      </c>
      <c r="E866" s="102">
        <f>'לקוחות לפי סוכן - מקור'!G447</f>
        <v/>
      </c>
      <c r="F866" s="94">
        <f>'לקוחות לפי סוכן - מקור'!D447</f>
        <v/>
      </c>
      <c r="G866" s="95">
        <f>'לקוחות לפי סוכן - מקור'!H447</f>
        <v/>
      </c>
      <c r="H866" s="95">
        <f>'לקוחות לפי סוכן - מקור'!I447</f>
        <v/>
      </c>
      <c r="I866" s="94">
        <f>'לקוחות לפי סוכן - מקור'!K447</f>
        <v/>
      </c>
    </row>
    <row r="867" outlineLevel="1" ht="15" customHeight="1" s="82">
      <c r="A867" s="94">
        <f>'לקוחות לפי סוכן - מקור'!A448</f>
        <v/>
      </c>
      <c r="B867" s="94">
        <f>'לקוחות לפי סוכן - מקור'!C448</f>
        <v/>
      </c>
      <c r="C867" s="126">
        <f>'לקוחות לפי סוכן - מקור'!E448</f>
        <v/>
      </c>
      <c r="D867" s="102">
        <f>'לקוחות לפי סוכן - מקור'!F448</f>
        <v/>
      </c>
      <c r="E867" s="102">
        <f>'לקוחות לפי סוכן - מקור'!G448</f>
        <v/>
      </c>
      <c r="F867" s="94">
        <f>'לקוחות לפי סוכן - מקור'!D448</f>
        <v/>
      </c>
      <c r="G867" s="95">
        <f>'לקוחות לפי סוכן - מקור'!H448</f>
        <v/>
      </c>
      <c r="H867" s="95">
        <f>'לקוחות לפי סוכן - מקור'!I448</f>
        <v/>
      </c>
      <c r="I867" s="94">
        <f>'לקוחות לפי סוכן - מקור'!K448</f>
        <v/>
      </c>
    </row>
    <row r="868" outlineLevel="1" ht="15" customHeight="1" s="82">
      <c r="A868" s="94">
        <f>'לקוחות לפי סוכן - מקור'!A449</f>
        <v/>
      </c>
      <c r="B868" s="94">
        <f>'לקוחות לפי סוכן - מקור'!C449</f>
        <v/>
      </c>
      <c r="C868" s="126">
        <f>'לקוחות לפי סוכן - מקור'!E449</f>
        <v/>
      </c>
      <c r="D868" s="102">
        <f>'לקוחות לפי סוכן - מקור'!F449</f>
        <v/>
      </c>
      <c r="E868" s="102">
        <f>'לקוחות לפי סוכן - מקור'!G449</f>
        <v/>
      </c>
      <c r="F868" s="94">
        <f>'לקוחות לפי סוכן - מקור'!D449</f>
        <v/>
      </c>
      <c r="G868" s="95">
        <f>'לקוחות לפי סוכן - מקור'!H449</f>
        <v/>
      </c>
      <c r="H868" s="95">
        <f>'לקוחות לפי סוכן - מקור'!I449</f>
        <v/>
      </c>
      <c r="I868" s="94">
        <f>'לקוחות לפי סוכן - מקור'!K449</f>
        <v/>
      </c>
    </row>
    <row r="869" outlineLevel="1" ht="15" customHeight="1" s="82">
      <c r="A869" s="94">
        <f>'לקוחות לפי סוכן - מקור'!A450</f>
        <v/>
      </c>
      <c r="B869" s="94">
        <f>'לקוחות לפי סוכן - מקור'!C450</f>
        <v/>
      </c>
      <c r="C869" s="126">
        <f>'לקוחות לפי סוכן - מקור'!E450</f>
        <v/>
      </c>
      <c r="D869" s="102">
        <f>'לקוחות לפי סוכן - מקור'!F450</f>
        <v/>
      </c>
      <c r="E869" s="102">
        <f>'לקוחות לפי סוכן - מקור'!G450</f>
        <v/>
      </c>
      <c r="F869" s="94">
        <f>'לקוחות לפי סוכן - מקור'!D450</f>
        <v/>
      </c>
      <c r="G869" s="95">
        <f>'לקוחות לפי סוכן - מקור'!H450</f>
        <v/>
      </c>
      <c r="H869" s="95">
        <f>'לקוחות לפי סוכן - מקור'!I450</f>
        <v/>
      </c>
      <c r="I869" s="94">
        <f>'לקוחות לפי סוכן - מקור'!K450</f>
        <v/>
      </c>
    </row>
    <row r="870" outlineLevel="1" ht="15" customHeight="1" s="82">
      <c r="A870" s="94">
        <f>'לקוחות לפי סוכן - מקור'!A451</f>
        <v/>
      </c>
      <c r="B870" s="94">
        <f>'לקוחות לפי סוכן - מקור'!C451</f>
        <v/>
      </c>
      <c r="C870" s="126">
        <f>'לקוחות לפי סוכן - מקור'!E451</f>
        <v/>
      </c>
      <c r="D870" s="102">
        <f>'לקוחות לפי סוכן - מקור'!F451</f>
        <v/>
      </c>
      <c r="E870" s="102">
        <f>'לקוחות לפי סוכן - מקור'!G451</f>
        <v/>
      </c>
      <c r="F870" s="94">
        <f>'לקוחות לפי סוכן - מקור'!D451</f>
        <v/>
      </c>
      <c r="G870" s="95">
        <f>'לקוחות לפי סוכן - מקור'!H451</f>
        <v/>
      </c>
      <c r="H870" s="95">
        <f>'לקוחות לפי סוכן - מקור'!I451</f>
        <v/>
      </c>
      <c r="I870" s="94">
        <f>'לקוחות לפי סוכן - מקור'!K451</f>
        <v/>
      </c>
    </row>
    <row r="871" outlineLevel="1" ht="15" customHeight="1" s="82">
      <c r="A871" s="94">
        <f>'לקוחות לפי סוכן - מקור'!A452</f>
        <v/>
      </c>
      <c r="B871" s="94">
        <f>'לקוחות לפי סוכן - מקור'!C452</f>
        <v/>
      </c>
      <c r="C871" s="126">
        <f>'לקוחות לפי סוכן - מקור'!E452</f>
        <v/>
      </c>
      <c r="D871" s="102">
        <f>'לקוחות לפי סוכן - מקור'!F452</f>
        <v/>
      </c>
      <c r="E871" s="102">
        <f>'לקוחות לפי סוכן - מקור'!G452</f>
        <v/>
      </c>
      <c r="F871" s="94">
        <f>'לקוחות לפי סוכן - מקור'!D452</f>
        <v/>
      </c>
      <c r="G871" s="95">
        <f>'לקוחות לפי סוכן - מקור'!H452</f>
        <v/>
      </c>
      <c r="H871" s="95">
        <f>'לקוחות לפי סוכן - מקור'!I452</f>
        <v/>
      </c>
      <c r="I871" s="94">
        <f>'לקוחות לפי סוכן - מקור'!K452</f>
        <v/>
      </c>
    </row>
    <row r="872" ht="15" customHeight="1" s="82"/>
    <row r="873" ht="15" customHeight="1" s="82">
      <c r="A873" s="96" t="inlineStr">
        <is>
          <t>עיסא</t>
        </is>
      </c>
      <c r="B873" s="96" t="n"/>
      <c r="C873" s="124" t="inlineStr">
        <is>
          <t>סה"כ 2 חנויות</t>
        </is>
      </c>
      <c r="D873" s="125">
        <f>SUMIF('לקוחות לפי סוכן - מקור'!$A$2:$A$867,$A873,'לקוחות לפי סוכן - מקור'!$F$2:$F$867)</f>
        <v/>
      </c>
      <c r="E873" s="125">
        <f>SUMIF('לקוחות לפי סוכן - מקור'!$A$2:$A$867,$A873,'לקוחות לפי סוכן - מקור'!$G$2:$G$867)</f>
        <v/>
      </c>
      <c r="F873" s="96" t="n"/>
      <c r="G873" s="97">
        <f>SUMIF('לקוחות לפי סוכן - מקור'!$A$2:$A$867,$A873,'לקוחות לפי סוכן - מקור'!$H$2:$H$867)</f>
        <v/>
      </c>
      <c r="H873" s="97">
        <f>SUMIF('לקוחות לפי סוכן - מקור'!$A$2:$A$867,$A873,'לקוחות לפי סוכן - מקור'!$I$2:$I$867)</f>
        <v/>
      </c>
      <c r="I873" s="96" t="inlineStr">
        <is>
          <t>CHMI</t>
        </is>
      </c>
    </row>
    <row r="874" outlineLevel="1" ht="15" customHeight="1" s="82">
      <c r="A874" s="94">
        <f>'לקוחות לפי סוכן - מקור'!A866</f>
        <v/>
      </c>
      <c r="B874" s="94">
        <f>'לקוחות לפי סוכן - מקור'!C866</f>
        <v/>
      </c>
      <c r="C874" s="126">
        <f>'לקוחות לפי סוכן - מקור'!E866</f>
        <v/>
      </c>
      <c r="D874" s="102">
        <f>'לקוחות לפי סוכן - מקור'!F866</f>
        <v/>
      </c>
      <c r="E874" s="102">
        <f>'לקוחות לפי סוכן - מקור'!G866</f>
        <v/>
      </c>
      <c r="F874" s="94">
        <f>'לקוחות לפי סוכן - מקור'!D866</f>
        <v/>
      </c>
      <c r="G874" s="95">
        <f>'לקוחות לפי סוכן - מקור'!H866</f>
        <v/>
      </c>
      <c r="H874" s="95">
        <f>'לקוחות לפי סוכן - מקור'!I866</f>
        <v/>
      </c>
      <c r="I874" s="94">
        <f>'לקוחות לפי סוכן - מקור'!K866</f>
        <v/>
      </c>
    </row>
    <row r="875" outlineLevel="1" ht="15" customHeight="1" s="82">
      <c r="A875" s="94">
        <f>'לקוחות לפי סוכן - מקור'!A867</f>
        <v/>
      </c>
      <c r="B875" s="94">
        <f>'לקוחות לפי סוכן - מקור'!C867</f>
        <v/>
      </c>
      <c r="C875" s="126">
        <f>'לקוחות לפי סוכן - מקור'!E867</f>
        <v/>
      </c>
      <c r="D875" s="102">
        <f>'לקוחות לפי סוכן - מקור'!F867</f>
        <v/>
      </c>
      <c r="E875" s="102">
        <f>'לקוחות לפי סוכן - מקור'!G867</f>
        <v/>
      </c>
      <c r="F875" s="94">
        <f>'לקוחות לפי סוכן - מקור'!D867</f>
        <v/>
      </c>
      <c r="G875" s="95">
        <f>'לקוחות לפי סוכן - מקור'!H867</f>
        <v/>
      </c>
      <c r="H875" s="95">
        <f>'לקוחות לפי סוכן - מקור'!I867</f>
        <v/>
      </c>
      <c r="I875" s="94">
        <f>'לקוחות לפי סוכן - מקור'!K867</f>
        <v/>
      </c>
    </row>
    <row r="876" ht="15" customHeight="1" s="82"/>
    <row r="877" ht="15" customHeight="1" s="82">
      <c r="A877" s="96" t="inlineStr">
        <is>
          <t>- Unassigned -</t>
        </is>
      </c>
      <c r="B877" s="96" t="n"/>
      <c r="C877" s="124" t="inlineStr">
        <is>
          <t>סה"כ 0 פריטים (מאוחדת - סכום לא משויך לסוכן ספציפי)</t>
        </is>
      </c>
      <c r="D877" s="125">
        <f>SUMIF('לקוחות לפי סוכן - מקור'!$A$2:$A$867,$A877,'לקוחות לפי סוכן - מקור'!$F$2:$F$867)</f>
        <v/>
      </c>
      <c r="E877" s="125">
        <f>SUMIF('לקוחות לפי סוכן - מקור'!$A$2:$A$867,$A877,'לקוחות לפי סוכן - מקור'!$G$2:$G$867)</f>
        <v/>
      </c>
      <c r="F877" s="96" t="n"/>
      <c r="G877" s="97">
        <f>SUMIF('לקוחות לפי סוכן - מקור'!$A$2:$A$867,$A877,'לקוחות לפי סוכן - מקור'!$H$2:$H$867)</f>
        <v/>
      </c>
      <c r="H877" s="97">
        <f>SUMIF('לקוחות לפי סוכן - מקור'!$A$2:$A$867,$A877,'לקוחות לפי סוכן - מקור'!$I$2:$I$867)</f>
        <v/>
      </c>
      <c r="I877" s="96" t="inlineStr">
        <is>
          <t>CHMI</t>
        </is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ED7D31"/>
    <outlinePr summaryBelow="0"/>
    <pageSetUpPr fitToPage="0"/>
  </sheetPr>
  <dimension ref="A1:J943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J809" activeCellId="0" sqref="J809"/>
    </sheetView>
  </sheetViews>
  <sheetFormatPr baseColWidth="8" defaultColWidth="8.57421875" defaultRowHeight="15" zeroHeight="0" outlineLevelRow="2"/>
  <cols>
    <col width="20" customWidth="1" style="81" min="1" max="1"/>
    <col width="28" customWidth="1" style="81" min="2" max="2"/>
    <col width="32" customWidth="1" style="81" min="3" max="3"/>
    <col width="14" customWidth="1" style="81" min="4" max="4"/>
    <col width="13" customWidth="1" style="81" min="5" max="6"/>
    <col width="11" customWidth="1" style="81" min="7" max="7"/>
    <col width="13" customWidth="1" style="81" min="8" max="8"/>
    <col width="20" customWidth="1" style="81" min="9" max="9"/>
    <col width="14" customWidth="1" style="81" min="10" max="10"/>
  </cols>
  <sheetData>
    <row r="1" ht="18" customHeight="1" s="82">
      <c r="A1" s="83" t="inlineStr">
        <is>
          <t>לקוחות לפי סוכן, ערוץ וחנות — פירוט מלא לכל חנות (2025 לעומת 2026)</t>
        </is>
      </c>
    </row>
    <row r="2" ht="15" customHeight="1" s="82">
      <c r="A2" s="127" t="inlineStr">
        <is>
          <t>מבוסס במלואו על הגיליון 'לקוחות לפי סוכן - מקור' (742 שורות, NetSuite+CHMI). כל המספרים בשורות כותרת-ערוץ וסה"כ-סוכן הם נוסחאות חיות (SUMIFS/COUNTIFS).</t>
        </is>
      </c>
    </row>
    <row r="3" ht="15" customHeight="1" s="82">
      <c r="A3" s="110" t="inlineStr">
        <is>
          <t>סוכן</t>
        </is>
      </c>
      <c r="B3" s="110" t="inlineStr">
        <is>
          <t>ערוץ</t>
        </is>
      </c>
      <c r="C3" s="110" t="inlineStr">
        <is>
          <t>שם חנות / תיאור שורה</t>
        </is>
      </c>
      <c r="D3" s="110" t="inlineStr">
        <is>
          <t>מכר 2025 (₪)</t>
        </is>
      </c>
      <c r="E3" s="110" t="inlineStr">
        <is>
          <t>מכר 2026 (₪)</t>
        </is>
      </c>
      <c r="F3" s="110" t="inlineStr">
        <is>
          <t>קוד לקוח</t>
        </is>
      </c>
      <c r="G3" s="110" t="inlineStr">
        <is>
          <t>כמות 2025</t>
        </is>
      </c>
      <c r="H3" s="110" t="inlineStr">
        <is>
          <t>כמות 2026</t>
        </is>
      </c>
      <c r="I3" s="110" t="inlineStr">
        <is>
          <t>מקור הנתון</t>
        </is>
      </c>
      <c r="J3" s="110" t="inlineStr">
        <is>
          <t>מספר חנויות</t>
        </is>
      </c>
    </row>
    <row r="4" ht="15" customHeight="1" s="82">
      <c r="A4" s="96" t="inlineStr">
        <is>
          <t>אמזלג × מירב שירה</t>
        </is>
      </c>
      <c r="B4" s="96" t="n"/>
      <c r="C4" s="96" t="n"/>
      <c r="D4" s="96" t="n"/>
      <c r="E4" s="96" t="n"/>
      <c r="F4" s="96" t="n"/>
      <c r="G4" s="96" t="n"/>
      <c r="H4" s="96" t="n"/>
      <c r="I4" s="96" t="n"/>
      <c r="J4" s="96" t="n"/>
    </row>
    <row r="5" outlineLevel="1" ht="15" customHeight="1" s="82">
      <c r="A5" s="128" t="inlineStr">
        <is>
          <t>אמזלג × מירב שירה</t>
        </is>
      </c>
      <c r="B5" s="129" t="inlineStr">
        <is>
          <t>102 - Orthopedic institutes</t>
        </is>
      </c>
      <c r="C5" s="130" t="n"/>
      <c r="D5" s="131">
        <f>SUMIFS('לקוחות לפי סוכן - מקור'!$F$2:$F$867,'לקוחות לפי סוכן - מקור'!$A$2:$A$867,$A5,'לקוחות לפי סוכן - מקור'!$C$2:$C$867,$B5)</f>
        <v/>
      </c>
      <c r="E5" s="131">
        <f>SUMIFS('לקוחות לפי סוכן - מקור'!$G$2:$G$867,'לקוחות לפי סוכן - מקור'!$A$2:$A$867,$A5,'לקוחות לפי סוכן - מקור'!$C$2:$C$867,$B5)</f>
        <v/>
      </c>
      <c r="F5" s="130" t="n"/>
      <c r="G5" s="132">
        <f>SUMIFS('לקוחות לפי סוכן - מקור'!$H$2:$H$867,'לקוחות לפי סוכן - מקור'!$A$2:$A$867,$A5,'לקוחות לפי סוכן - מקור'!$C$2:$C$867,$B5)</f>
        <v/>
      </c>
      <c r="H5" s="132">
        <f>SUMIFS('לקוחות לפי סוכן - מקור'!$I$2:$I$867,'לקוחות לפי סוכן - מקור'!$A$2:$A$867,$A5,'לקוחות לפי סוכן - מקור'!$C$2:$C$867,$B5)</f>
        <v/>
      </c>
      <c r="I5" s="130" t="n"/>
      <c r="J5" s="132">
        <f>COUNTIFS('לקוחות לפי סוכן - מקור'!$A$2:$A$867,$A5,'לקוחות לפי סוכן - מקור'!$C$2:$C$867,$B5)</f>
        <v/>
      </c>
    </row>
    <row r="6" outlineLevel="2" ht="15" customHeight="1" s="82">
      <c r="A6" s="94">
        <f>'לקוחות לפי סוכן - מקור'!A2</f>
        <v/>
      </c>
      <c r="B6" s="94">
        <f>'לקוחות לפי סוכן - מקור'!C2</f>
        <v/>
      </c>
      <c r="C6" s="94">
        <f>'לקוחות לפי סוכן - מקור'!E2</f>
        <v/>
      </c>
      <c r="D6" s="102">
        <f>'לקוחות לפי סוכן - מקור'!F2</f>
        <v/>
      </c>
      <c r="E6" s="102">
        <f>'לקוחות לפי סוכן - מקור'!G2</f>
        <v/>
      </c>
      <c r="F6" s="94">
        <f>'לקוחות לפי סוכן - מקור'!D2</f>
        <v/>
      </c>
      <c r="G6" s="95">
        <f>'לקוחות לפי סוכן - מקור'!H2</f>
        <v/>
      </c>
      <c r="H6" s="95">
        <f>'לקוחות לפי סוכן - מקור'!I2</f>
        <v/>
      </c>
      <c r="I6" s="127">
        <f>'לקוחות לפי סוכן - מקור'!K2</f>
        <v/>
      </c>
    </row>
    <row r="7" outlineLevel="2" ht="15" customHeight="1" s="82">
      <c r="A7" s="94">
        <f>'לקוחות לפי סוכן - מקור'!A3</f>
        <v/>
      </c>
      <c r="B7" s="94">
        <f>'לקוחות לפי סוכן - מקור'!C3</f>
        <v/>
      </c>
      <c r="C7" s="94">
        <f>'לקוחות לפי סוכן - מקור'!E3</f>
        <v/>
      </c>
      <c r="D7" s="102">
        <f>'לקוחות לפי סוכן - מקור'!F3</f>
        <v/>
      </c>
      <c r="E7" s="102">
        <f>'לקוחות לפי סוכן - מקור'!G3</f>
        <v/>
      </c>
      <c r="F7" s="94">
        <f>'לקוחות לפי סוכן - מקור'!D3</f>
        <v/>
      </c>
      <c r="G7" s="95">
        <f>'לקוחות לפי סוכן - מקור'!H3</f>
        <v/>
      </c>
      <c r="H7" s="95">
        <f>'לקוחות לפי סוכן - מקור'!I3</f>
        <v/>
      </c>
      <c r="I7" s="127">
        <f>'לקוחות לפי סוכן - מקור'!K3</f>
        <v/>
      </c>
    </row>
    <row r="8" outlineLevel="2" ht="15" customHeight="1" s="82">
      <c r="A8" s="94">
        <f>'לקוחות לפי סוכן - מקור'!A4</f>
        <v/>
      </c>
      <c r="B8" s="94">
        <f>'לקוחות לפי סוכן - מקור'!C4</f>
        <v/>
      </c>
      <c r="C8" s="94">
        <f>'לקוחות לפי סוכן - מקור'!E4</f>
        <v/>
      </c>
      <c r="D8" s="102">
        <f>'לקוחות לפי סוכן - מקור'!F4</f>
        <v/>
      </c>
      <c r="E8" s="102">
        <f>'לקוחות לפי סוכן - מקור'!G4</f>
        <v/>
      </c>
      <c r="F8" s="94">
        <f>'לקוחות לפי סוכן - מקור'!D4</f>
        <v/>
      </c>
      <c r="G8" s="95">
        <f>'לקוחות לפי סוכן - מקור'!H4</f>
        <v/>
      </c>
      <c r="H8" s="95">
        <f>'לקוחות לפי סוכן - מקור'!I4</f>
        <v/>
      </c>
      <c r="I8" s="127">
        <f>'לקוחות לפי סוכן - מקור'!K4</f>
        <v/>
      </c>
    </row>
    <row r="9" outlineLevel="2" ht="15" customHeight="1" s="82">
      <c r="A9" s="94">
        <f>'לקוחות לפי סוכן - מקור'!A5</f>
        <v/>
      </c>
      <c r="B9" s="94">
        <f>'לקוחות לפי סוכן - מקור'!C5</f>
        <v/>
      </c>
      <c r="C9" s="94">
        <f>'לקוחות לפי סוכן - מקור'!E5</f>
        <v/>
      </c>
      <c r="D9" s="102">
        <f>'לקוחות לפי סוכן - מקור'!F5</f>
        <v/>
      </c>
      <c r="E9" s="102">
        <f>'לקוחות לפי סוכן - מקור'!G5</f>
        <v/>
      </c>
      <c r="F9" s="94">
        <f>'לקוחות לפי סוכן - מקור'!D5</f>
        <v/>
      </c>
      <c r="G9" s="95">
        <f>'לקוחות לפי סוכן - מקור'!H5</f>
        <v/>
      </c>
      <c r="H9" s="95">
        <f>'לקוחות לפי סוכן - מקור'!I5</f>
        <v/>
      </c>
      <c r="I9" s="127">
        <f>'לקוחות לפי סוכן - מקור'!K5</f>
        <v/>
      </c>
    </row>
    <row r="10" outlineLevel="1" ht="15" customHeight="1" s="82">
      <c r="A10" s="128" t="inlineStr">
        <is>
          <t>אמזלג × מירב שירה</t>
        </is>
      </c>
      <c r="B10" s="129" t="inlineStr">
        <is>
          <t>103 - Physiotherapy institutes</t>
        </is>
      </c>
      <c r="C10" s="130" t="n"/>
      <c r="D10" s="131">
        <f>SUMIFS('לקוחות לפי סוכן - מקור'!$F$2:$F$867,'לקוחות לפי סוכן - מקור'!$A$2:$A$867,$A10,'לקוחות לפי סוכן - מקור'!$C$2:$C$867,$B10)</f>
        <v/>
      </c>
      <c r="E10" s="131">
        <f>SUMIFS('לקוחות לפי סוכן - מקור'!$G$2:$G$867,'לקוחות לפי סוכן - מקור'!$A$2:$A$867,$A10,'לקוחות לפי סוכן - מקור'!$C$2:$C$867,$B10)</f>
        <v/>
      </c>
      <c r="F10" s="130" t="n"/>
      <c r="G10" s="132">
        <f>SUMIFS('לקוחות לפי סוכן - מקור'!$H$2:$H$867,'לקוחות לפי סוכן - מקור'!$A$2:$A$867,$A10,'לקוחות לפי סוכן - מקור'!$C$2:$C$867,$B10)</f>
        <v/>
      </c>
      <c r="H10" s="132">
        <f>SUMIFS('לקוחות לפי סוכן - מקור'!$I$2:$I$867,'לקוחות לפי סוכן - מקור'!$A$2:$A$867,$A10,'לקוחות לפי סוכן - מקור'!$C$2:$C$867,$B10)</f>
        <v/>
      </c>
      <c r="I10" s="130" t="n"/>
      <c r="J10" s="132">
        <f>COUNTIFS('לקוחות לפי סוכן - מקור'!$A$2:$A$867,$A10,'לקוחות לפי סוכן - מקור'!$C$2:$C$867,$B10)</f>
        <v/>
      </c>
    </row>
    <row r="11" outlineLevel="2" ht="15" customHeight="1" s="82">
      <c r="A11" s="94">
        <f>'לקוחות לפי סוכן - מקור'!A6</f>
        <v/>
      </c>
      <c r="B11" s="94">
        <f>'לקוחות לפי סוכן - מקור'!C6</f>
        <v/>
      </c>
      <c r="C11" s="94">
        <f>'לקוחות לפי סוכן - מקור'!E6</f>
        <v/>
      </c>
      <c r="D11" s="102">
        <f>'לקוחות לפי סוכן - מקור'!F6</f>
        <v/>
      </c>
      <c r="E11" s="102">
        <f>'לקוחות לפי סוכן - מקור'!G6</f>
        <v/>
      </c>
      <c r="F11" s="94">
        <f>'לקוחות לפי סוכן - מקור'!D6</f>
        <v/>
      </c>
      <c r="G11" s="95">
        <f>'לקוחות לפי סוכן - מקור'!H6</f>
        <v/>
      </c>
      <c r="H11" s="95">
        <f>'לקוחות לפי סוכן - מקור'!I6</f>
        <v/>
      </c>
      <c r="I11" s="127">
        <f>'לקוחות לפי סוכן - מקור'!K6</f>
        <v/>
      </c>
    </row>
    <row r="12" outlineLevel="2" ht="15" customHeight="1" s="82">
      <c r="A12" s="94">
        <f>'לקוחות לפי סוכן - מקור'!A7</f>
        <v/>
      </c>
      <c r="B12" s="94">
        <f>'לקוחות לפי סוכן - מקור'!C7</f>
        <v/>
      </c>
      <c r="C12" s="94">
        <f>'לקוחות לפי סוכן - מקור'!E7</f>
        <v/>
      </c>
      <c r="D12" s="102">
        <f>'לקוחות לפי סוכן - מקור'!F7</f>
        <v/>
      </c>
      <c r="E12" s="102">
        <f>'לקוחות לפי סוכן - מקור'!G7</f>
        <v/>
      </c>
      <c r="F12" s="94">
        <f>'לקוחות לפי סוכן - מקור'!D7</f>
        <v/>
      </c>
      <c r="G12" s="95">
        <f>'לקוחות לפי סוכן - מקור'!H7</f>
        <v/>
      </c>
      <c r="H12" s="95">
        <f>'לקוחות לפי סוכן - מקור'!I7</f>
        <v/>
      </c>
      <c r="I12" s="127">
        <f>'לקוחות לפי סוכן - מקור'!K7</f>
        <v/>
      </c>
    </row>
    <row r="13" outlineLevel="2" ht="15" customHeight="1" s="82">
      <c r="A13" s="94">
        <f>'לקוחות לפי סוכן - מקור'!A8</f>
        <v/>
      </c>
      <c r="B13" s="94">
        <f>'לקוחות לפי סוכן - מקור'!C8</f>
        <v/>
      </c>
      <c r="C13" s="94">
        <f>'לקוחות לפי סוכן - מקור'!E8</f>
        <v/>
      </c>
      <c r="D13" s="102">
        <f>'לקוחות לפי סוכן - מקור'!F8</f>
        <v/>
      </c>
      <c r="E13" s="102">
        <f>'לקוחות לפי סוכן - מקור'!G8</f>
        <v/>
      </c>
      <c r="F13" s="94">
        <f>'לקוחות לפי סוכן - מקור'!D8</f>
        <v/>
      </c>
      <c r="G13" s="95">
        <f>'לקוחות לפי סוכן - מקור'!H8</f>
        <v/>
      </c>
      <c r="H13" s="95">
        <f>'לקוחות לפי סוכן - מקור'!I8</f>
        <v/>
      </c>
      <c r="I13" s="127">
        <f>'לקוחות לפי סוכן - מקור'!K8</f>
        <v/>
      </c>
    </row>
    <row r="14" outlineLevel="2" ht="15" customHeight="1" s="82">
      <c r="A14" s="94">
        <f>'לקוחות לפי סוכן - מקור'!A9</f>
        <v/>
      </c>
      <c r="B14" s="94">
        <f>'לקוחות לפי סוכן - מקור'!C9</f>
        <v/>
      </c>
      <c r="C14" s="94">
        <f>'לקוחות לפי סוכן - מקור'!E9</f>
        <v/>
      </c>
      <c r="D14" s="102">
        <f>'לקוחות לפי סוכן - מקור'!F9</f>
        <v/>
      </c>
      <c r="E14" s="102">
        <f>'לקוחות לפי סוכן - מקור'!G9</f>
        <v/>
      </c>
      <c r="F14" s="94">
        <f>'לקוחות לפי סוכן - מקור'!D9</f>
        <v/>
      </c>
      <c r="G14" s="95">
        <f>'לקוחות לפי סוכן - מקור'!H9</f>
        <v/>
      </c>
      <c r="H14" s="95">
        <f>'לקוחות לפי סוכן - מקור'!I9</f>
        <v/>
      </c>
      <c r="I14" s="127">
        <f>'לקוחות לפי סוכן - מקור'!K9</f>
        <v/>
      </c>
    </row>
    <row r="15" outlineLevel="2" ht="15" customHeight="1" s="82">
      <c r="A15" s="94">
        <f>'לקוחות לפי סוכן - מקור'!A10</f>
        <v/>
      </c>
      <c r="B15" s="94">
        <f>'לקוחות לפי סוכן - מקור'!C10</f>
        <v/>
      </c>
      <c r="C15" s="94">
        <f>'לקוחות לפי סוכן - מקור'!E10</f>
        <v/>
      </c>
      <c r="D15" s="102">
        <f>'לקוחות לפי סוכן - מקור'!F10</f>
        <v/>
      </c>
      <c r="E15" s="102">
        <f>'לקוחות לפי סוכן - מקור'!G10</f>
        <v/>
      </c>
      <c r="F15" s="94">
        <f>'לקוחות לפי סוכן - מקור'!D10</f>
        <v/>
      </c>
      <c r="G15" s="95">
        <f>'לקוחות לפי סוכן - מקור'!H10</f>
        <v/>
      </c>
      <c r="H15" s="95">
        <f>'לקוחות לפי סוכן - מקור'!I10</f>
        <v/>
      </c>
      <c r="I15" s="127">
        <f>'לקוחות לפי סוכן - מקור'!K10</f>
        <v/>
      </c>
    </row>
    <row r="16" outlineLevel="2" ht="15" customHeight="1" s="82">
      <c r="A16" s="94">
        <f>'לקוחות לפי סוכן - מקור'!A11</f>
        <v/>
      </c>
      <c r="B16" s="94">
        <f>'לקוחות לפי סוכן - מקור'!C11</f>
        <v/>
      </c>
      <c r="C16" s="94">
        <f>'לקוחות לפי סוכן - מקור'!E11</f>
        <v/>
      </c>
      <c r="D16" s="102">
        <f>'לקוחות לפי סוכן - מקור'!F11</f>
        <v/>
      </c>
      <c r="E16" s="102">
        <f>'לקוחות לפי סוכן - מקור'!G11</f>
        <v/>
      </c>
      <c r="F16" s="94">
        <f>'לקוחות לפי סוכן - מקור'!D11</f>
        <v/>
      </c>
      <c r="G16" s="95">
        <f>'לקוחות לפי סוכן - מקור'!H11</f>
        <v/>
      </c>
      <c r="H16" s="95">
        <f>'לקוחות לפי סוכן - מקור'!I11</f>
        <v/>
      </c>
      <c r="I16" s="127">
        <f>'לקוחות לפי סוכן - מקור'!K11</f>
        <v/>
      </c>
    </row>
    <row r="17" outlineLevel="1" ht="15" customHeight="1" s="82">
      <c r="A17" s="128" t="inlineStr">
        <is>
          <t>אמזלג × מירב שירה</t>
        </is>
      </c>
      <c r="B17" s="129" t="inlineStr">
        <is>
          <t>104 - Sports Shop</t>
        </is>
      </c>
      <c r="C17" s="130" t="n"/>
      <c r="D17" s="131">
        <f>SUMIFS('לקוחות לפי סוכן - מקור'!$F$2:$F$867,'לקוחות לפי סוכן - מקור'!$A$2:$A$867,$A17,'לקוחות לפי סוכן - מקור'!$C$2:$C$867,$B17)</f>
        <v/>
      </c>
      <c r="E17" s="131">
        <f>SUMIFS('לקוחות לפי סוכן - מקור'!$G$2:$G$867,'לקוחות לפי סוכן - מקור'!$A$2:$A$867,$A17,'לקוחות לפי סוכן - מקור'!$C$2:$C$867,$B17)</f>
        <v/>
      </c>
      <c r="F17" s="130" t="n"/>
      <c r="G17" s="132">
        <f>SUMIFS('לקוחות לפי סוכן - מקור'!$H$2:$H$867,'לקוחות לפי סוכן - מקור'!$A$2:$A$867,$A17,'לקוחות לפי סוכן - מקור'!$C$2:$C$867,$B17)</f>
        <v/>
      </c>
      <c r="H17" s="132">
        <f>SUMIFS('לקוחות לפי סוכן - מקור'!$I$2:$I$867,'לקוחות לפי סוכן - מקור'!$A$2:$A$867,$A17,'לקוחות לפי סוכן - מקור'!$C$2:$C$867,$B17)</f>
        <v/>
      </c>
      <c r="I17" s="130" t="n"/>
      <c r="J17" s="132">
        <f>COUNTIFS('לקוחות לפי סוכן - מקור'!$A$2:$A$867,$A17,'לקוחות לפי סוכן - מקור'!$C$2:$C$867,$B17)</f>
        <v/>
      </c>
    </row>
    <row r="18" outlineLevel="2" ht="15" customHeight="1" s="82">
      <c r="A18" s="94">
        <f>'לקוחות לפי סוכן - מקור'!A12</f>
        <v/>
      </c>
      <c r="B18" s="94">
        <f>'לקוחות לפי סוכן - מקור'!C12</f>
        <v/>
      </c>
      <c r="C18" s="94">
        <f>'לקוחות לפי סוכן - מקור'!E12</f>
        <v/>
      </c>
      <c r="D18" s="102">
        <f>'לקוחות לפי סוכן - מקור'!F12</f>
        <v/>
      </c>
      <c r="E18" s="102">
        <f>'לקוחות לפי סוכן - מקור'!G12</f>
        <v/>
      </c>
      <c r="F18" s="94">
        <f>'לקוחות לפי סוכן - מקור'!D12</f>
        <v/>
      </c>
      <c r="G18" s="95">
        <f>'לקוחות לפי סוכן - מקור'!H12</f>
        <v/>
      </c>
      <c r="H18" s="95">
        <f>'לקוחות לפי סוכן - מקור'!I12</f>
        <v/>
      </c>
      <c r="I18" s="127">
        <f>'לקוחות לפי סוכן - מקור'!K12</f>
        <v/>
      </c>
    </row>
    <row r="19" outlineLevel="1" ht="15" customHeight="1" s="82">
      <c r="A19" s="128" t="inlineStr">
        <is>
          <t>אמזלג × מירב שירה</t>
        </is>
      </c>
      <c r="B19" s="129" t="inlineStr">
        <is>
          <t>108 - Shoe Stores</t>
        </is>
      </c>
      <c r="C19" s="130" t="n"/>
      <c r="D19" s="131">
        <f>SUMIFS('לקוחות לפי סוכן - מקור'!$F$2:$F$867,'לקוחות לפי סוכן - מקור'!$A$2:$A$867,$A19,'לקוחות לפי סוכן - מקור'!$C$2:$C$867,$B19)</f>
        <v/>
      </c>
      <c r="E19" s="131">
        <f>SUMIFS('לקוחות לפי סוכן - מקור'!$G$2:$G$867,'לקוחות לפי סוכן - מקור'!$A$2:$A$867,$A19,'לקוחות לפי סוכן - מקור'!$C$2:$C$867,$B19)</f>
        <v/>
      </c>
      <c r="F19" s="130" t="n"/>
      <c r="G19" s="132">
        <f>SUMIFS('לקוחות לפי סוכן - מקור'!$H$2:$H$867,'לקוחות לפי סוכן - מקור'!$A$2:$A$867,$A19,'לקוחות לפי סוכן - מקור'!$C$2:$C$867,$B19)</f>
        <v/>
      </c>
      <c r="H19" s="132">
        <f>SUMIFS('לקוחות לפי סוכן - מקור'!$I$2:$I$867,'לקוחות לפי סוכן - מקור'!$A$2:$A$867,$A19,'לקוחות לפי סוכן - מקור'!$C$2:$C$867,$B19)</f>
        <v/>
      </c>
      <c r="I19" s="130" t="n"/>
      <c r="J19" s="132">
        <f>COUNTIFS('לקוחות לפי סוכן - מקור'!$A$2:$A$867,$A19,'לקוחות לפי סוכן - מקור'!$C$2:$C$867,$B19)</f>
        <v/>
      </c>
    </row>
    <row r="20" outlineLevel="2" ht="15" customHeight="1" s="82">
      <c r="A20" s="94">
        <f>'לקוחות לפי סוכן - מקור'!A13</f>
        <v/>
      </c>
      <c r="B20" s="94">
        <f>'לקוחות לפי סוכן - מקור'!C13</f>
        <v/>
      </c>
      <c r="C20" s="94">
        <f>'לקוחות לפי סוכן - מקור'!E13</f>
        <v/>
      </c>
      <c r="D20" s="102">
        <f>'לקוחות לפי סוכן - מקור'!F13</f>
        <v/>
      </c>
      <c r="E20" s="102">
        <f>'לקוחות לפי סוכן - מקור'!G13</f>
        <v/>
      </c>
      <c r="F20" s="94">
        <f>'לקוחות לפי סוכן - מקור'!D13</f>
        <v/>
      </c>
      <c r="G20" s="95">
        <f>'לקוחות לפי סוכן - מקור'!H13</f>
        <v/>
      </c>
      <c r="H20" s="95">
        <f>'לקוחות לפי סוכן - מקור'!I13</f>
        <v/>
      </c>
      <c r="I20" s="127">
        <f>'לקוחות לפי סוכן - מקור'!K13</f>
        <v/>
      </c>
    </row>
    <row r="21" outlineLevel="1" ht="15" customHeight="1" s="82">
      <c r="A21" s="128" t="inlineStr">
        <is>
          <t>אמזלג × מירב שירה</t>
        </is>
      </c>
      <c r="B21" s="129" t="inlineStr">
        <is>
          <t>109 - Private Shops</t>
        </is>
      </c>
      <c r="C21" s="130" t="n"/>
      <c r="D21" s="131">
        <f>SUMIFS('לקוחות לפי סוכן - מקור'!$F$2:$F$867,'לקוחות לפי סוכן - מקור'!$A$2:$A$867,$A21,'לקוחות לפי סוכן - מקור'!$C$2:$C$867,$B21)</f>
        <v/>
      </c>
      <c r="E21" s="131">
        <f>SUMIFS('לקוחות לפי סוכן - מקור'!$G$2:$G$867,'לקוחות לפי סוכן - מקור'!$A$2:$A$867,$A21,'לקוחות לפי סוכן - מקור'!$C$2:$C$867,$B21)</f>
        <v/>
      </c>
      <c r="F21" s="130" t="n"/>
      <c r="G21" s="132">
        <f>SUMIFS('לקוחות לפי סוכן - מקור'!$H$2:$H$867,'לקוחות לפי סוכן - מקור'!$A$2:$A$867,$A21,'לקוחות לפי סוכן - מקור'!$C$2:$C$867,$B21)</f>
        <v/>
      </c>
      <c r="H21" s="132">
        <f>SUMIFS('לקוחות לפי סוכן - מקור'!$I$2:$I$867,'לקוחות לפי סוכן - מקור'!$A$2:$A$867,$A21,'לקוחות לפי סוכן - מקור'!$C$2:$C$867,$B21)</f>
        <v/>
      </c>
      <c r="I21" s="130" t="n"/>
      <c r="J21" s="132">
        <f>COUNTIFS('לקוחות לפי סוכן - מקור'!$A$2:$A$867,$A21,'לקוחות לפי סוכן - מקור'!$C$2:$C$867,$B21)</f>
        <v/>
      </c>
    </row>
    <row r="22" outlineLevel="2" ht="15" customHeight="1" s="82">
      <c r="A22" s="94">
        <f>'לקוחות לפי סוכן - מקור'!A14</f>
        <v/>
      </c>
      <c r="B22" s="94">
        <f>'לקוחות לפי סוכן - מקור'!C14</f>
        <v/>
      </c>
      <c r="C22" s="94">
        <f>'לקוחות לפי סוכן - מקור'!E14</f>
        <v/>
      </c>
      <c r="D22" s="102">
        <f>'לקוחות לפי סוכן - מקור'!F14</f>
        <v/>
      </c>
      <c r="E22" s="102">
        <f>'לקוחות לפי סוכן - מקור'!G14</f>
        <v/>
      </c>
      <c r="F22" s="94">
        <f>'לקוחות לפי סוכן - מקור'!D14</f>
        <v/>
      </c>
      <c r="G22" s="95">
        <f>'לקוחות לפי סוכן - מקור'!H14</f>
        <v/>
      </c>
      <c r="H22" s="95">
        <f>'לקוחות לפי סוכן - מקור'!I14</f>
        <v/>
      </c>
      <c r="I22" s="127">
        <f>'לקוחות לפי סוכן - מקור'!K14</f>
        <v/>
      </c>
    </row>
    <row r="23" outlineLevel="2" ht="15" customHeight="1" s="82">
      <c r="A23" s="94">
        <f>'לקוחות לפי סוכן - מקור'!A15</f>
        <v/>
      </c>
      <c r="B23" s="94">
        <f>'לקוחות לפי סוכן - מקור'!C15</f>
        <v/>
      </c>
      <c r="C23" s="94">
        <f>'לקוחות לפי סוכן - מקור'!E15</f>
        <v/>
      </c>
      <c r="D23" s="102">
        <f>'לקוחות לפי סוכן - מקור'!F15</f>
        <v/>
      </c>
      <c r="E23" s="102">
        <f>'לקוחות לפי סוכן - מקור'!G15</f>
        <v/>
      </c>
      <c r="F23" s="94">
        <f>'לקוחות לפי סוכן - מקור'!D15</f>
        <v/>
      </c>
      <c r="G23" s="95">
        <f>'לקוחות לפי סוכן - מקור'!H15</f>
        <v/>
      </c>
      <c r="H23" s="95">
        <f>'לקוחות לפי סוכן - מקור'!I15</f>
        <v/>
      </c>
      <c r="I23" s="127">
        <f>'לקוחות לפי סוכן - מקור'!K15</f>
        <v/>
      </c>
    </row>
    <row r="24" outlineLevel="2" ht="15" customHeight="1" s="82">
      <c r="A24" s="94">
        <f>'לקוחות לפי סוכן - מקור'!A16</f>
        <v/>
      </c>
      <c r="B24" s="94">
        <f>'לקוחות לפי סוכן - מקור'!C16</f>
        <v/>
      </c>
      <c r="C24" s="94">
        <f>'לקוחות לפי סוכן - מקור'!E16</f>
        <v/>
      </c>
      <c r="D24" s="102">
        <f>'לקוחות לפי סוכן - מקור'!F16</f>
        <v/>
      </c>
      <c r="E24" s="102">
        <f>'לקוחות לפי סוכן - מקור'!G16</f>
        <v/>
      </c>
      <c r="F24" s="94">
        <f>'לקוחות לפי סוכן - מקור'!D16</f>
        <v/>
      </c>
      <c r="G24" s="95">
        <f>'לקוחות לפי סוכן - מקור'!H16</f>
        <v/>
      </c>
      <c r="H24" s="95">
        <f>'לקוחות לפי סוכן - מקור'!I16</f>
        <v/>
      </c>
      <c r="I24" s="127">
        <f>'לקוחות לפי סוכן - מקור'!K16</f>
        <v/>
      </c>
    </row>
    <row r="25" ht="15" customHeight="1" s="82">
      <c r="A25" s="96" t="inlineStr">
        <is>
          <t>אמזלג × מירב שירה</t>
        </is>
      </c>
      <c r="B25" s="96" t="n"/>
      <c r="C25" s="96" t="inlineStr">
        <is>
          <t>סה"כ סוכן</t>
        </is>
      </c>
      <c r="D25" s="125">
        <f>SUMIF('לקוחות לפי סוכן - מקור'!$A$2:$A$867,$A25,'לקוחות לפי סוכן - מקור'!$F$2:$F$867)</f>
        <v/>
      </c>
      <c r="E25" s="125">
        <f>SUMIF('לקוחות לפי סוכן - מקור'!$A$2:$A$867,$A25,'לקוחות לפי סוכן - מקור'!$G$2:$G$867)</f>
        <v/>
      </c>
      <c r="F25" s="96" t="n"/>
      <c r="G25" s="97">
        <f>SUMIF('לקוחות לפי סוכן - מקור'!$A$2:$A$867,$A25,'לקוחות לפי סוכן - מקור'!$H$2:$H$867)</f>
        <v/>
      </c>
      <c r="H25" s="97">
        <f>SUMIF('לקוחות לפי סוכן - מקור'!$A$2:$A$867,$A25,'לקוחות לפי סוכן - מקור'!$I$2:$I$867)</f>
        <v/>
      </c>
      <c r="I25" s="96">
        <f>IF(COUNTIFS('לקוחות לפי סוכן - מקור'!$A$2:$A$867,$A25,'לקוחות לפי סוכן - מקור'!$K$2:$K$867,"NetSuite")&gt;0,IF(COUNTIFS('לקוחות לפי סוכן - מקור'!$A$2:$A$867,$A25,'לקוחות לפי סוכן - מקור'!$K$2:$K$867,"CHMI")&gt;0,"NetSuite+CHMI ("&amp;COUNTIFS('לקוחות לפי סוכן - מקור'!$A$2:$A$867,$A25,'לקוחות לפי סוכן - מקור'!$K$2:$K$867,"NetSuite")&amp;"+"&amp;COUNTIFS('לקוחות לפי סוכן - מקור'!$A$2:$A$867,$A25,'לקוחות לפי סוכן - מקור'!$K$2:$K$867,"CHMI")&amp;")","NetSuite ("&amp;COUNTIFS('לקוחות לפי סוכן - מקור'!$A$2:$A$867,$A25,'לקוחות לפי סוכן - מקור'!$K$2:$K$867,"NetSuite")&amp;")"),"CHMI ("&amp;COUNTIFS('לקוחות לפי סוכן - מקור'!$A$2:$A$867,$A25,'לקוחות לפי סוכן - מקור'!$K$2:$K$867,"CHMI")&amp;")")</f>
        <v/>
      </c>
      <c r="J25" s="97">
        <f>COUNTIF('לקוחות לפי סוכן - מקור'!$A$2:$A$867,$A25)</f>
        <v/>
      </c>
    </row>
    <row r="27" ht="15" customHeight="1" s="82">
      <c r="A27" s="96" t="inlineStr">
        <is>
          <t>אזולאי דוד</t>
        </is>
      </c>
      <c r="B27" s="96" t="n"/>
      <c r="C27" s="96" t="n"/>
      <c r="D27" s="96" t="n"/>
      <c r="E27" s="96" t="n"/>
      <c r="F27" s="96" t="n"/>
      <c r="G27" s="96" t="n"/>
      <c r="H27" s="96" t="n"/>
      <c r="I27" s="96" t="n"/>
      <c r="J27" s="96" t="n"/>
    </row>
    <row r="28" outlineLevel="1" ht="15" customHeight="1" s="82">
      <c r="A28" s="128" t="inlineStr">
        <is>
          <t>אזולאי דוד</t>
        </is>
      </c>
      <c r="B28" s="129" t="inlineStr">
        <is>
          <t>102 - Orthopedic institutes</t>
        </is>
      </c>
      <c r="C28" s="130" t="n"/>
      <c r="D28" s="131">
        <f>SUMIFS('לקוחות לפי סוכן - מקור'!$F$2:$F$867,'לקוחות לפי סוכן - מקור'!$A$2:$A$867,$A28,'לקוחות לפי סוכן - מקור'!$C$2:$C$867,$B28)</f>
        <v/>
      </c>
      <c r="E28" s="131">
        <f>SUMIFS('לקוחות לפי סוכן - מקור'!$G$2:$G$867,'לקוחות לפי סוכן - מקור'!$A$2:$A$867,$A28,'לקוחות לפי סוכן - מקור'!$C$2:$C$867,$B28)</f>
        <v/>
      </c>
      <c r="F28" s="130" t="n"/>
      <c r="G28" s="132">
        <f>SUMIFS('לקוחות לפי סוכן - מקור'!$H$2:$H$867,'לקוחות לפי סוכן - מקור'!$A$2:$A$867,$A28,'לקוחות לפי סוכן - מקור'!$C$2:$C$867,$B28)</f>
        <v/>
      </c>
      <c r="H28" s="132">
        <f>SUMIFS('לקוחות לפי סוכן - מקור'!$I$2:$I$867,'לקוחות לפי סוכן - מקור'!$A$2:$A$867,$A28,'לקוחות לפי סוכן - מקור'!$C$2:$C$867,$B28)</f>
        <v/>
      </c>
      <c r="I28" s="130" t="n"/>
      <c r="J28" s="132">
        <f>COUNTIFS('לקוחות לפי סוכן - מקור'!$A$2:$A$867,$A28,'לקוחות לפי סוכן - מקור'!$C$2:$C$867,$B28)</f>
        <v/>
      </c>
    </row>
    <row r="29" outlineLevel="2" ht="15" customHeight="1" s="82">
      <c r="A29" s="94">
        <f>'לקוחות לפי סוכן - מקור'!A17</f>
        <v/>
      </c>
      <c r="B29" s="94">
        <f>'לקוחות לפי סוכן - מקור'!C17</f>
        <v/>
      </c>
      <c r="C29" s="94">
        <f>'לקוחות לפי סוכן - מקור'!E17</f>
        <v/>
      </c>
      <c r="D29" s="102">
        <f>'לקוחות לפי סוכן - מקור'!F17</f>
        <v/>
      </c>
      <c r="E29" s="102">
        <f>'לקוחות לפי סוכן - מקור'!G17</f>
        <v/>
      </c>
      <c r="F29" s="94">
        <f>'לקוחות לפי סוכן - מקור'!D17</f>
        <v/>
      </c>
      <c r="G29" s="95">
        <f>'לקוחות לפי סוכן - מקור'!H17</f>
        <v/>
      </c>
      <c r="H29" s="95">
        <f>'לקוחות לפי סוכן - מקור'!I17</f>
        <v/>
      </c>
      <c r="I29" s="127">
        <f>'לקוחות לפי סוכן - מקור'!K17</f>
        <v/>
      </c>
    </row>
    <row r="30" outlineLevel="2" ht="15" customHeight="1" s="82">
      <c r="A30" s="94">
        <f>'לקוחות לפי סוכן - מקור'!A18</f>
        <v/>
      </c>
      <c r="B30" s="94">
        <f>'לקוחות לפי סוכן - מקור'!C18</f>
        <v/>
      </c>
      <c r="C30" s="94">
        <f>'לקוחות לפי סוכן - מקור'!E18</f>
        <v/>
      </c>
      <c r="D30" s="102">
        <f>'לקוחות לפי סוכן - מקור'!F18</f>
        <v/>
      </c>
      <c r="E30" s="102">
        <f>'לקוחות לפי סוכן - מקור'!G18</f>
        <v/>
      </c>
      <c r="F30" s="94">
        <f>'לקוחות לפי סוכן - מקור'!D18</f>
        <v/>
      </c>
      <c r="G30" s="95">
        <f>'לקוחות לפי סוכן - מקור'!H18</f>
        <v/>
      </c>
      <c r="H30" s="95">
        <f>'לקוחות לפי סוכן - מקור'!I18</f>
        <v/>
      </c>
      <c r="I30" s="127">
        <f>'לקוחות לפי סוכן - מקור'!K18</f>
        <v/>
      </c>
    </row>
    <row r="31" outlineLevel="2" ht="15" customHeight="1" s="82">
      <c r="A31" s="94">
        <f>'לקוחות לפי סוכן - מקור'!A19</f>
        <v/>
      </c>
      <c r="B31" s="94">
        <f>'לקוחות לפי סוכן - מקור'!C19</f>
        <v/>
      </c>
      <c r="C31" s="94">
        <f>'לקוחות לפי סוכן - מקור'!E19</f>
        <v/>
      </c>
      <c r="D31" s="102">
        <f>'לקוחות לפי סוכן - מקור'!F19</f>
        <v/>
      </c>
      <c r="E31" s="102">
        <f>'לקוחות לפי סוכן - מקור'!G19</f>
        <v/>
      </c>
      <c r="F31" s="94">
        <f>'לקוחות לפי סוכן - מקור'!D19</f>
        <v/>
      </c>
      <c r="G31" s="95">
        <f>'לקוחות לפי סוכן - מקור'!H19</f>
        <v/>
      </c>
      <c r="H31" s="95">
        <f>'לקוחות לפי סוכן - מקור'!I19</f>
        <v/>
      </c>
      <c r="I31" s="127">
        <f>'לקוחות לפי סוכן - מקור'!K19</f>
        <v/>
      </c>
    </row>
    <row r="32" outlineLevel="2" ht="15" customHeight="1" s="82">
      <c r="A32" s="94">
        <f>'לקוחות לפי סוכן - מקור'!A20</f>
        <v/>
      </c>
      <c r="B32" s="94">
        <f>'לקוחות לפי סוכן - מקור'!C20</f>
        <v/>
      </c>
      <c r="C32" s="94">
        <f>'לקוחות לפי סוכן - מקור'!E20</f>
        <v/>
      </c>
      <c r="D32" s="102">
        <f>'לקוחות לפי סוכן - מקור'!F20</f>
        <v/>
      </c>
      <c r="E32" s="102">
        <f>'לקוחות לפי סוכן - מקור'!G20</f>
        <v/>
      </c>
      <c r="F32" s="94">
        <f>'לקוחות לפי סוכן - מקור'!D20</f>
        <v/>
      </c>
      <c r="G32" s="95">
        <f>'לקוחות לפי סוכן - מקור'!H20</f>
        <v/>
      </c>
      <c r="H32" s="95">
        <f>'לקוחות לפי סוכן - מקור'!I20</f>
        <v/>
      </c>
      <c r="I32" s="127">
        <f>'לקוחות לפי סוכן - מקור'!K20</f>
        <v/>
      </c>
    </row>
    <row r="33" outlineLevel="2" ht="15" customHeight="1" s="82">
      <c r="A33" s="94">
        <f>'לקוחות לפי סוכן - מקור'!A21</f>
        <v/>
      </c>
      <c r="B33" s="94">
        <f>'לקוחות לפי סוכן - מקור'!C21</f>
        <v/>
      </c>
      <c r="C33" s="94">
        <f>'לקוחות לפי סוכן - מקור'!E21</f>
        <v/>
      </c>
      <c r="D33" s="102">
        <f>'לקוחות לפי סוכן - מקור'!F21</f>
        <v/>
      </c>
      <c r="E33" s="102">
        <f>'לקוחות לפי סוכן - מקור'!G21</f>
        <v/>
      </c>
      <c r="F33" s="94">
        <f>'לקוחות לפי סוכן - מקור'!D21</f>
        <v/>
      </c>
      <c r="G33" s="95">
        <f>'לקוחות לפי סוכן - מקור'!H21</f>
        <v/>
      </c>
      <c r="H33" s="95">
        <f>'לקוחות לפי סוכן - מקור'!I21</f>
        <v/>
      </c>
      <c r="I33" s="127">
        <f>'לקוחות לפי סוכן - מקור'!K21</f>
        <v/>
      </c>
    </row>
    <row r="34" outlineLevel="2" ht="15" customHeight="1" s="82">
      <c r="A34" s="94">
        <f>'לקוחות לפי סוכן - מקור'!A22</f>
        <v/>
      </c>
      <c r="B34" s="94">
        <f>'לקוחות לפי סוכן - מקור'!C22</f>
        <v/>
      </c>
      <c r="C34" s="94">
        <f>'לקוחות לפי סוכן - מקור'!E22</f>
        <v/>
      </c>
      <c r="D34" s="102">
        <f>'לקוחות לפי סוכן - מקור'!F22</f>
        <v/>
      </c>
      <c r="E34" s="102">
        <f>'לקוחות לפי סוכן - מקור'!G22</f>
        <v/>
      </c>
      <c r="F34" s="94">
        <f>'לקוחות לפי סוכן - מקור'!D22</f>
        <v/>
      </c>
      <c r="G34" s="95">
        <f>'לקוחות לפי סוכן - מקור'!H22</f>
        <v/>
      </c>
      <c r="H34" s="95">
        <f>'לקוחות לפי סוכן - מקור'!I22</f>
        <v/>
      </c>
      <c r="I34" s="127">
        <f>'לקוחות לפי סוכן - מקור'!K22</f>
        <v/>
      </c>
    </row>
    <row r="35" outlineLevel="2" ht="15" customHeight="1" s="82">
      <c r="A35" s="94">
        <f>'לקוחות לפי סוכן - מקור'!A23</f>
        <v/>
      </c>
      <c r="B35" s="94">
        <f>'לקוחות לפי סוכן - מקור'!C23</f>
        <v/>
      </c>
      <c r="C35" s="94">
        <f>'לקוחות לפי סוכן - מקור'!E23</f>
        <v/>
      </c>
      <c r="D35" s="102">
        <f>'לקוחות לפי סוכן - מקור'!F23</f>
        <v/>
      </c>
      <c r="E35" s="102">
        <f>'לקוחות לפי סוכן - מקור'!G23</f>
        <v/>
      </c>
      <c r="F35" s="94">
        <f>'לקוחות לפי סוכן - מקור'!D23</f>
        <v/>
      </c>
      <c r="G35" s="95">
        <f>'לקוחות לפי סוכן - מקור'!H23</f>
        <v/>
      </c>
      <c r="H35" s="95">
        <f>'לקוחות לפי סוכן - מקור'!I23</f>
        <v/>
      </c>
      <c r="I35" s="127">
        <f>'לקוחות לפי סוכן - מקור'!K23</f>
        <v/>
      </c>
    </row>
    <row r="36" outlineLevel="2" ht="15" customHeight="1" s="82">
      <c r="A36" s="94">
        <f>'לקוחות לפי סוכן - מקור'!A24</f>
        <v/>
      </c>
      <c r="B36" s="94">
        <f>'לקוחות לפי סוכן - מקור'!C24</f>
        <v/>
      </c>
      <c r="C36" s="94">
        <f>'לקוחות לפי סוכן - מקור'!E24</f>
        <v/>
      </c>
      <c r="D36" s="102">
        <f>'לקוחות לפי סוכן - מקור'!F24</f>
        <v/>
      </c>
      <c r="E36" s="102">
        <f>'לקוחות לפי סוכן - מקור'!G24</f>
        <v/>
      </c>
      <c r="F36" s="94">
        <f>'לקוחות לפי סוכן - מקור'!D24</f>
        <v/>
      </c>
      <c r="G36" s="95">
        <f>'לקוחות לפי סוכן - מקור'!H24</f>
        <v/>
      </c>
      <c r="H36" s="95">
        <f>'לקוחות לפי סוכן - מקור'!I24</f>
        <v/>
      </c>
      <c r="I36" s="127">
        <f>'לקוחות לפי סוכן - מקור'!K24</f>
        <v/>
      </c>
    </row>
    <row r="37" outlineLevel="2" ht="15" customHeight="1" s="82">
      <c r="A37" s="94">
        <f>'לקוחות לפי סוכן - מקור'!A25</f>
        <v/>
      </c>
      <c r="B37" s="94">
        <f>'לקוחות לפי סוכן - מקור'!C25</f>
        <v/>
      </c>
      <c r="C37" s="94">
        <f>'לקוחות לפי סוכן - מקור'!E25</f>
        <v/>
      </c>
      <c r="D37" s="102">
        <f>'לקוחות לפי סוכן - מקור'!F25</f>
        <v/>
      </c>
      <c r="E37" s="102">
        <f>'לקוחות לפי סוכן - מקור'!G25</f>
        <v/>
      </c>
      <c r="F37" s="94">
        <f>'לקוחות לפי סוכן - מקור'!D25</f>
        <v/>
      </c>
      <c r="G37" s="95">
        <f>'לקוחות לפי סוכן - מקור'!H25</f>
        <v/>
      </c>
      <c r="H37" s="95">
        <f>'לקוחות לפי סוכן - מקור'!I25</f>
        <v/>
      </c>
      <c r="I37" s="127">
        <f>'לקוחות לפי סוכן - מקור'!K25</f>
        <v/>
      </c>
    </row>
    <row r="38" outlineLevel="2" ht="15" customHeight="1" s="82">
      <c r="A38" s="94">
        <f>'לקוחות לפי סוכן - מקור'!A26</f>
        <v/>
      </c>
      <c r="B38" s="94">
        <f>'לקוחות לפי סוכן - מקור'!C26</f>
        <v/>
      </c>
      <c r="C38" s="94">
        <f>'לקוחות לפי סוכן - מקור'!E26</f>
        <v/>
      </c>
      <c r="D38" s="102">
        <f>'לקוחות לפי סוכן - מקור'!F26</f>
        <v/>
      </c>
      <c r="E38" s="102">
        <f>'לקוחות לפי סוכן - מקור'!G26</f>
        <v/>
      </c>
      <c r="F38" s="94">
        <f>'לקוחות לפי סוכן - מקור'!D26</f>
        <v/>
      </c>
      <c r="G38" s="95">
        <f>'לקוחות לפי סוכן - מקור'!H26</f>
        <v/>
      </c>
      <c r="H38" s="95">
        <f>'לקוחות לפי סוכן - מקור'!I26</f>
        <v/>
      </c>
      <c r="I38" s="127">
        <f>'לקוחות לפי סוכן - מקור'!K26</f>
        <v/>
      </c>
    </row>
    <row r="39" outlineLevel="2" ht="15" customHeight="1" s="82">
      <c r="A39" s="94">
        <f>'לקוחות לפי סוכן - מקור'!A27</f>
        <v/>
      </c>
      <c r="B39" s="94">
        <f>'לקוחות לפי סוכן - מקור'!C27</f>
        <v/>
      </c>
      <c r="C39" s="94">
        <f>'לקוחות לפי סוכן - מקור'!E27</f>
        <v/>
      </c>
      <c r="D39" s="102">
        <f>'לקוחות לפי סוכן - מקור'!F27</f>
        <v/>
      </c>
      <c r="E39" s="102">
        <f>'לקוחות לפי סוכן - מקור'!G27</f>
        <v/>
      </c>
      <c r="F39" s="94">
        <f>'לקוחות לפי סוכן - מקור'!D27</f>
        <v/>
      </c>
      <c r="G39" s="95">
        <f>'לקוחות לפי סוכן - מקור'!H27</f>
        <v/>
      </c>
      <c r="H39" s="95">
        <f>'לקוחות לפי סוכן - מקור'!I27</f>
        <v/>
      </c>
      <c r="I39" s="127">
        <f>'לקוחות לפי סוכן - מקור'!K27</f>
        <v/>
      </c>
    </row>
    <row r="40" outlineLevel="2" ht="15" customHeight="1" s="82">
      <c r="A40" s="94">
        <f>'לקוחות לפי סוכן - מקור'!A28</f>
        <v/>
      </c>
      <c r="B40" s="94">
        <f>'לקוחות לפי סוכן - מקור'!C28</f>
        <v/>
      </c>
      <c r="C40" s="94">
        <f>'לקוחות לפי סוכן - מקור'!E28</f>
        <v/>
      </c>
      <c r="D40" s="102">
        <f>'לקוחות לפי סוכן - מקור'!F28</f>
        <v/>
      </c>
      <c r="E40" s="102">
        <f>'לקוחות לפי סוכן - מקור'!G28</f>
        <v/>
      </c>
      <c r="F40" s="94">
        <f>'לקוחות לפי סוכן - מקור'!D28</f>
        <v/>
      </c>
      <c r="G40" s="95">
        <f>'לקוחות לפי סוכן - מקור'!H28</f>
        <v/>
      </c>
      <c r="H40" s="95">
        <f>'לקוחות לפי סוכן - מקור'!I28</f>
        <v/>
      </c>
      <c r="I40" s="127">
        <f>'לקוחות לפי סוכן - מקור'!K28</f>
        <v/>
      </c>
    </row>
    <row r="41" outlineLevel="2" ht="15" customHeight="1" s="82">
      <c r="A41" s="94">
        <f>'לקוחות לפי סוכן - מקור'!A29</f>
        <v/>
      </c>
      <c r="B41" s="94">
        <f>'לקוחות לפי סוכן - מקור'!C29</f>
        <v/>
      </c>
      <c r="C41" s="94">
        <f>'לקוחות לפי סוכן - מקור'!E29</f>
        <v/>
      </c>
      <c r="D41" s="102">
        <f>'לקוחות לפי סוכן - מקור'!F29</f>
        <v/>
      </c>
      <c r="E41" s="102">
        <f>'לקוחות לפי סוכן - מקור'!G29</f>
        <v/>
      </c>
      <c r="F41" s="94">
        <f>'לקוחות לפי סוכן - מקור'!D29</f>
        <v/>
      </c>
      <c r="G41" s="95">
        <f>'לקוחות לפי סוכן - מקור'!H29</f>
        <v/>
      </c>
      <c r="H41" s="95">
        <f>'לקוחות לפי סוכן - מקור'!I29</f>
        <v/>
      </c>
      <c r="I41" s="127">
        <f>'לקוחות לפי סוכן - מקור'!K29</f>
        <v/>
      </c>
    </row>
    <row r="42" outlineLevel="2" ht="15" customHeight="1" s="82">
      <c r="A42" s="94">
        <f>'לקוחות לפי סוכן - מקור'!A30</f>
        <v/>
      </c>
      <c r="B42" s="94">
        <f>'לקוחות לפי סוכן - מקור'!C30</f>
        <v/>
      </c>
      <c r="C42" s="94">
        <f>'לקוחות לפי סוכן - מקור'!E30</f>
        <v/>
      </c>
      <c r="D42" s="102">
        <f>'לקוחות לפי סוכן - מקור'!F30</f>
        <v/>
      </c>
      <c r="E42" s="102">
        <f>'לקוחות לפי סוכן - מקור'!G30</f>
        <v/>
      </c>
      <c r="F42" s="94">
        <f>'לקוחות לפי סוכן - מקור'!D30</f>
        <v/>
      </c>
      <c r="G42" s="95">
        <f>'לקוחות לפי סוכן - מקור'!H30</f>
        <v/>
      </c>
      <c r="H42" s="95">
        <f>'לקוחות לפי סוכן - מקור'!I30</f>
        <v/>
      </c>
      <c r="I42" s="127">
        <f>'לקוחות לפי סוכן - מקור'!K30</f>
        <v/>
      </c>
    </row>
    <row r="43" outlineLevel="2" ht="15" customHeight="1" s="82">
      <c r="A43" s="94">
        <f>'לקוחות לפי סוכן - מקור'!A31</f>
        <v/>
      </c>
      <c r="B43" s="94">
        <f>'לקוחות לפי סוכן - מקור'!C31</f>
        <v/>
      </c>
      <c r="C43" s="94">
        <f>'לקוחות לפי סוכן - מקור'!E31</f>
        <v/>
      </c>
      <c r="D43" s="102">
        <f>'לקוחות לפי סוכן - מקור'!F31</f>
        <v/>
      </c>
      <c r="E43" s="102">
        <f>'לקוחות לפי סוכן - מקור'!G31</f>
        <v/>
      </c>
      <c r="F43" s="94">
        <f>'לקוחות לפי סוכן - מקור'!D31</f>
        <v/>
      </c>
      <c r="G43" s="95">
        <f>'לקוחות לפי סוכן - מקור'!H31</f>
        <v/>
      </c>
      <c r="H43" s="95">
        <f>'לקוחות לפי סוכן - מקור'!I31</f>
        <v/>
      </c>
      <c r="I43" s="127">
        <f>'לקוחות לפי סוכן - מקור'!K31</f>
        <v/>
      </c>
    </row>
    <row r="44" outlineLevel="2" ht="15" customHeight="1" s="82">
      <c r="A44" s="94">
        <f>'לקוחות לפי סוכן - מקור'!A32</f>
        <v/>
      </c>
      <c r="B44" s="94">
        <f>'לקוחות לפי סוכן - מקור'!C32</f>
        <v/>
      </c>
      <c r="C44" s="94">
        <f>'לקוחות לפי סוכן - מקור'!E32</f>
        <v/>
      </c>
      <c r="D44" s="102">
        <f>'לקוחות לפי סוכן - מקור'!F32</f>
        <v/>
      </c>
      <c r="E44" s="102">
        <f>'לקוחות לפי סוכן - מקור'!G32</f>
        <v/>
      </c>
      <c r="F44" s="94">
        <f>'לקוחות לפי סוכן - מקור'!D32</f>
        <v/>
      </c>
      <c r="G44" s="95">
        <f>'לקוחות לפי סוכן - מקור'!H32</f>
        <v/>
      </c>
      <c r="H44" s="95">
        <f>'לקוחות לפי סוכן - מקור'!I32</f>
        <v/>
      </c>
      <c r="I44" s="127">
        <f>'לקוחות לפי סוכן - מקור'!K32</f>
        <v/>
      </c>
    </row>
    <row r="45" outlineLevel="2" ht="15" customHeight="1" s="82">
      <c r="A45" s="94">
        <f>'לקוחות לפי סוכן - מקור'!A33</f>
        <v/>
      </c>
      <c r="B45" s="94">
        <f>'לקוחות לפי סוכן - מקור'!C33</f>
        <v/>
      </c>
      <c r="C45" s="94">
        <f>'לקוחות לפי סוכן - מקור'!E33</f>
        <v/>
      </c>
      <c r="D45" s="102">
        <f>'לקוחות לפי סוכן - מקור'!F33</f>
        <v/>
      </c>
      <c r="E45" s="102">
        <f>'לקוחות לפי סוכן - מקור'!G33</f>
        <v/>
      </c>
      <c r="F45" s="94">
        <f>'לקוחות לפי סוכן - מקור'!D33</f>
        <v/>
      </c>
      <c r="G45" s="95">
        <f>'לקוחות לפי סוכן - מקור'!H33</f>
        <v/>
      </c>
      <c r="H45" s="95">
        <f>'לקוחות לפי סוכן - מקור'!I33</f>
        <v/>
      </c>
      <c r="I45" s="127">
        <f>'לקוחות לפי סוכן - מקור'!K33</f>
        <v/>
      </c>
    </row>
    <row r="46" outlineLevel="2" ht="15" customHeight="1" s="82">
      <c r="A46" s="94">
        <f>'לקוחות לפי סוכן - מקור'!A34</f>
        <v/>
      </c>
      <c r="B46" s="94">
        <f>'לקוחות לפי סוכן - מקור'!C34</f>
        <v/>
      </c>
      <c r="C46" s="94">
        <f>'לקוחות לפי סוכן - מקור'!E34</f>
        <v/>
      </c>
      <c r="D46" s="102">
        <f>'לקוחות לפי סוכן - מקור'!F34</f>
        <v/>
      </c>
      <c r="E46" s="102">
        <f>'לקוחות לפי סוכן - מקור'!G34</f>
        <v/>
      </c>
      <c r="F46" s="94">
        <f>'לקוחות לפי סוכן - מקור'!D34</f>
        <v/>
      </c>
      <c r="G46" s="95">
        <f>'לקוחות לפי סוכן - מקור'!H34</f>
        <v/>
      </c>
      <c r="H46" s="95">
        <f>'לקוחות לפי סוכן - מקור'!I34</f>
        <v/>
      </c>
      <c r="I46" s="127">
        <f>'לקוחות לפי סוכן - מקור'!K34</f>
        <v/>
      </c>
    </row>
    <row r="47" outlineLevel="2" ht="15" customHeight="1" s="82">
      <c r="A47" s="94">
        <f>'לקוחות לפי סוכן - מקור'!A35</f>
        <v/>
      </c>
      <c r="B47" s="94">
        <f>'לקוחות לפי סוכן - מקור'!C35</f>
        <v/>
      </c>
      <c r="C47" s="94">
        <f>'לקוחות לפי סוכן - מקור'!E35</f>
        <v/>
      </c>
      <c r="D47" s="102">
        <f>'לקוחות לפי סוכן - מקור'!F35</f>
        <v/>
      </c>
      <c r="E47" s="102">
        <f>'לקוחות לפי סוכן - מקור'!G35</f>
        <v/>
      </c>
      <c r="F47" s="94">
        <f>'לקוחות לפי סוכן - מקור'!D35</f>
        <v/>
      </c>
      <c r="G47" s="95">
        <f>'לקוחות לפי סוכן - מקור'!H35</f>
        <v/>
      </c>
      <c r="H47" s="95">
        <f>'לקוחות לפי סוכן - מקור'!I35</f>
        <v/>
      </c>
      <c r="I47" s="127">
        <f>'לקוחות לפי סוכן - מקור'!K35</f>
        <v/>
      </c>
    </row>
    <row r="48" outlineLevel="2" ht="15" customHeight="1" s="82">
      <c r="A48" s="94">
        <f>'לקוחות לפי סוכן - מקור'!A36</f>
        <v/>
      </c>
      <c r="B48" s="94">
        <f>'לקוחות לפי סוכן - מקור'!C36</f>
        <v/>
      </c>
      <c r="C48" s="94">
        <f>'לקוחות לפי סוכן - מקור'!E36</f>
        <v/>
      </c>
      <c r="D48" s="102">
        <f>'לקוחות לפי סוכן - מקור'!F36</f>
        <v/>
      </c>
      <c r="E48" s="102">
        <f>'לקוחות לפי סוכן - מקור'!G36</f>
        <v/>
      </c>
      <c r="F48" s="94">
        <f>'לקוחות לפי סוכן - מקור'!D36</f>
        <v/>
      </c>
      <c r="G48" s="95">
        <f>'לקוחות לפי סוכן - מקור'!H36</f>
        <v/>
      </c>
      <c r="H48" s="95">
        <f>'לקוחות לפי סוכן - מקור'!I36</f>
        <v/>
      </c>
      <c r="I48" s="127">
        <f>'לקוחות לפי סוכן - מקור'!K36</f>
        <v/>
      </c>
    </row>
    <row r="49" outlineLevel="2" ht="15" customHeight="1" s="82">
      <c r="A49" s="94">
        <f>'לקוחות לפי סוכן - מקור'!A37</f>
        <v/>
      </c>
      <c r="B49" s="94">
        <f>'לקוחות לפי סוכן - מקור'!C37</f>
        <v/>
      </c>
      <c r="C49" s="94">
        <f>'לקוחות לפי סוכן - מקור'!E37</f>
        <v/>
      </c>
      <c r="D49" s="102">
        <f>'לקוחות לפי סוכן - מקור'!F37</f>
        <v/>
      </c>
      <c r="E49" s="102">
        <f>'לקוחות לפי סוכן - מקור'!G37</f>
        <v/>
      </c>
      <c r="F49" s="94">
        <f>'לקוחות לפי סוכן - מקור'!D37</f>
        <v/>
      </c>
      <c r="G49" s="95">
        <f>'לקוחות לפי סוכן - מקור'!H37</f>
        <v/>
      </c>
      <c r="H49" s="95">
        <f>'לקוחות לפי סוכן - מקור'!I37</f>
        <v/>
      </c>
      <c r="I49" s="127">
        <f>'לקוחות לפי סוכן - מקור'!K37</f>
        <v/>
      </c>
    </row>
    <row r="50" outlineLevel="2" ht="15" customHeight="1" s="82">
      <c r="A50" s="94">
        <f>'לקוחות לפי סוכן - מקור'!A38</f>
        <v/>
      </c>
      <c r="B50" s="94">
        <f>'לקוחות לפי סוכן - מקור'!C38</f>
        <v/>
      </c>
      <c r="C50" s="94">
        <f>'לקוחות לפי סוכן - מקור'!E38</f>
        <v/>
      </c>
      <c r="D50" s="102">
        <f>'לקוחות לפי סוכן - מקור'!F38</f>
        <v/>
      </c>
      <c r="E50" s="102">
        <f>'לקוחות לפי סוכן - מקור'!G38</f>
        <v/>
      </c>
      <c r="F50" s="94">
        <f>'לקוחות לפי סוכן - מקור'!D38</f>
        <v/>
      </c>
      <c r="G50" s="95">
        <f>'לקוחות לפי סוכן - מקור'!H38</f>
        <v/>
      </c>
      <c r="H50" s="95">
        <f>'לקוחות לפי סוכן - מקור'!I38</f>
        <v/>
      </c>
      <c r="I50" s="127">
        <f>'לקוחות לפי סוכן - מקור'!K38</f>
        <v/>
      </c>
    </row>
    <row r="51" outlineLevel="2" ht="15" customHeight="1" s="82">
      <c r="A51" s="94">
        <f>'לקוחות לפי סוכן - מקור'!A39</f>
        <v/>
      </c>
      <c r="B51" s="94">
        <f>'לקוחות לפי סוכן - מקור'!C39</f>
        <v/>
      </c>
      <c r="C51" s="94">
        <f>'לקוחות לפי סוכן - מקור'!E39</f>
        <v/>
      </c>
      <c r="D51" s="102">
        <f>'לקוחות לפי סוכן - מקור'!F39</f>
        <v/>
      </c>
      <c r="E51" s="102">
        <f>'לקוחות לפי סוכן - מקור'!G39</f>
        <v/>
      </c>
      <c r="F51" s="94">
        <f>'לקוחות לפי סוכן - מקור'!D39</f>
        <v/>
      </c>
      <c r="G51" s="95">
        <f>'לקוחות לפי סוכן - מקור'!H39</f>
        <v/>
      </c>
      <c r="H51" s="95">
        <f>'לקוחות לפי סוכן - מקור'!I39</f>
        <v/>
      </c>
      <c r="I51" s="127">
        <f>'לקוחות לפי סוכן - מקור'!K39</f>
        <v/>
      </c>
    </row>
    <row r="52" outlineLevel="2" ht="15" customHeight="1" s="82">
      <c r="A52" s="94">
        <f>'לקוחות לפי סוכן - מקור'!A40</f>
        <v/>
      </c>
      <c r="B52" s="94">
        <f>'לקוחות לפי סוכן - מקור'!C40</f>
        <v/>
      </c>
      <c r="C52" s="94">
        <f>'לקוחות לפי סוכן - מקור'!E40</f>
        <v/>
      </c>
      <c r="D52" s="102">
        <f>'לקוחות לפי סוכן - מקור'!F40</f>
        <v/>
      </c>
      <c r="E52" s="102">
        <f>'לקוחות לפי סוכן - מקור'!G40</f>
        <v/>
      </c>
      <c r="F52" s="94">
        <f>'לקוחות לפי סוכן - מקור'!D40</f>
        <v/>
      </c>
      <c r="G52" s="95">
        <f>'לקוחות לפי סוכן - מקור'!H40</f>
        <v/>
      </c>
      <c r="H52" s="95">
        <f>'לקוחות לפי סוכן - מקור'!I40</f>
        <v/>
      </c>
      <c r="I52" s="127">
        <f>'לקוחות לפי סוכן - מקור'!K40</f>
        <v/>
      </c>
    </row>
    <row r="53" outlineLevel="2" ht="15" customHeight="1" s="82">
      <c r="A53" s="94">
        <f>'לקוחות לפי סוכן - מקור'!A41</f>
        <v/>
      </c>
      <c r="B53" s="94">
        <f>'לקוחות לפי סוכן - מקור'!C41</f>
        <v/>
      </c>
      <c r="C53" s="94">
        <f>'לקוחות לפי סוכן - מקור'!E41</f>
        <v/>
      </c>
      <c r="D53" s="102">
        <f>'לקוחות לפי סוכן - מקור'!F41</f>
        <v/>
      </c>
      <c r="E53" s="102">
        <f>'לקוחות לפי סוכן - מקור'!G41</f>
        <v/>
      </c>
      <c r="F53" s="94">
        <f>'לקוחות לפי סוכן - מקור'!D41</f>
        <v/>
      </c>
      <c r="G53" s="95">
        <f>'לקוחות לפי סוכן - מקור'!H41</f>
        <v/>
      </c>
      <c r="H53" s="95">
        <f>'לקוחות לפי סוכן - מקור'!I41</f>
        <v/>
      </c>
      <c r="I53" s="127">
        <f>'לקוחות לפי סוכן - מקור'!K41</f>
        <v/>
      </c>
    </row>
    <row r="54" outlineLevel="2" ht="15" customHeight="1" s="82">
      <c r="A54" s="94">
        <f>'לקוחות לפי סוכן - מקור'!A42</f>
        <v/>
      </c>
      <c r="B54" s="94">
        <f>'לקוחות לפי סוכן - מקור'!C42</f>
        <v/>
      </c>
      <c r="C54" s="94">
        <f>'לקוחות לפי סוכן - מקור'!E42</f>
        <v/>
      </c>
      <c r="D54" s="102">
        <f>'לקוחות לפי סוכן - מקור'!F42</f>
        <v/>
      </c>
      <c r="E54" s="102">
        <f>'לקוחות לפי סוכן - מקור'!G42</f>
        <v/>
      </c>
      <c r="F54" s="94">
        <f>'לקוחות לפי סוכן - מקור'!D42</f>
        <v/>
      </c>
      <c r="G54" s="95">
        <f>'לקוחות לפי סוכן - מקור'!H42</f>
        <v/>
      </c>
      <c r="H54" s="95">
        <f>'לקוחות לפי סוכן - מקור'!I42</f>
        <v/>
      </c>
      <c r="I54" s="127">
        <f>'לקוחות לפי סוכן - מקור'!K42</f>
        <v/>
      </c>
    </row>
    <row r="55" outlineLevel="2" ht="15" customHeight="1" s="82">
      <c r="A55" s="94">
        <f>'לקוחות לפי סוכן - מקור'!A43</f>
        <v/>
      </c>
      <c r="B55" s="94">
        <f>'לקוחות לפי סוכן - מקור'!C43</f>
        <v/>
      </c>
      <c r="C55" s="94">
        <f>'לקוחות לפי סוכן - מקור'!E43</f>
        <v/>
      </c>
      <c r="D55" s="102">
        <f>'לקוחות לפי סוכן - מקור'!F43</f>
        <v/>
      </c>
      <c r="E55" s="102">
        <f>'לקוחות לפי סוכן - מקור'!G43</f>
        <v/>
      </c>
      <c r="F55" s="94">
        <f>'לקוחות לפי סוכן - מקור'!D43</f>
        <v/>
      </c>
      <c r="G55" s="95">
        <f>'לקוחות לפי סוכן - מקור'!H43</f>
        <v/>
      </c>
      <c r="H55" s="95">
        <f>'לקוחות לפי סוכן - מקור'!I43</f>
        <v/>
      </c>
      <c r="I55" s="127">
        <f>'לקוחות לפי סוכן - מקור'!K43</f>
        <v/>
      </c>
    </row>
    <row r="56" outlineLevel="2" ht="15" customHeight="1" s="82">
      <c r="A56" s="94">
        <f>'לקוחות לפי סוכן - מקור'!A44</f>
        <v/>
      </c>
      <c r="B56" s="94">
        <f>'לקוחות לפי סוכן - מקור'!C44</f>
        <v/>
      </c>
      <c r="C56" s="94">
        <f>'לקוחות לפי סוכן - מקור'!E44</f>
        <v/>
      </c>
      <c r="D56" s="102">
        <f>'לקוחות לפי סוכן - מקור'!F44</f>
        <v/>
      </c>
      <c r="E56" s="102">
        <f>'לקוחות לפי סוכן - מקור'!G44</f>
        <v/>
      </c>
      <c r="F56" s="94">
        <f>'לקוחות לפי סוכן - מקור'!D44</f>
        <v/>
      </c>
      <c r="G56" s="95">
        <f>'לקוחות לפי סוכן - מקור'!H44</f>
        <v/>
      </c>
      <c r="H56" s="95">
        <f>'לקוחות לפי סוכן - מקור'!I44</f>
        <v/>
      </c>
      <c r="I56" s="127">
        <f>'לקוחות לפי סוכן - מקור'!K44</f>
        <v/>
      </c>
    </row>
    <row r="57" outlineLevel="2" ht="15" customHeight="1" s="82">
      <c r="A57" s="94">
        <f>'לקוחות לפי סוכן - מקור'!A45</f>
        <v/>
      </c>
      <c r="B57" s="94">
        <f>'לקוחות לפי סוכן - מקור'!C45</f>
        <v/>
      </c>
      <c r="C57" s="94">
        <f>'לקוחות לפי סוכן - מקור'!E45</f>
        <v/>
      </c>
      <c r="D57" s="102">
        <f>'לקוחות לפי סוכן - מקור'!F45</f>
        <v/>
      </c>
      <c r="E57" s="102">
        <f>'לקוחות לפי סוכן - מקור'!G45</f>
        <v/>
      </c>
      <c r="F57" s="94">
        <f>'לקוחות לפי סוכן - מקור'!D45</f>
        <v/>
      </c>
      <c r="G57" s="95">
        <f>'לקוחות לפי סוכן - מקור'!H45</f>
        <v/>
      </c>
      <c r="H57" s="95">
        <f>'לקוחות לפי סוכן - מקור'!I45</f>
        <v/>
      </c>
      <c r="I57" s="127">
        <f>'לקוחות לפי סוכן - מקור'!K45</f>
        <v/>
      </c>
    </row>
    <row r="58" outlineLevel="2" ht="15" customHeight="1" s="82">
      <c r="A58" s="94">
        <f>'לקוחות לפי סוכן - מקור'!A46</f>
        <v/>
      </c>
      <c r="B58" s="94">
        <f>'לקוחות לפי סוכן - מקור'!C46</f>
        <v/>
      </c>
      <c r="C58" s="94">
        <f>'לקוחות לפי סוכן - מקור'!E46</f>
        <v/>
      </c>
      <c r="D58" s="102">
        <f>'לקוחות לפי סוכן - מקור'!F46</f>
        <v/>
      </c>
      <c r="E58" s="102">
        <f>'לקוחות לפי סוכן - מקור'!G46</f>
        <v/>
      </c>
      <c r="F58" s="94">
        <f>'לקוחות לפי סוכן - מקור'!D46</f>
        <v/>
      </c>
      <c r="G58" s="95">
        <f>'לקוחות לפי סוכן - מקור'!H46</f>
        <v/>
      </c>
      <c r="H58" s="95">
        <f>'לקוחות לפי סוכן - מקור'!I46</f>
        <v/>
      </c>
      <c r="I58" s="127">
        <f>'לקוחות לפי סוכן - מקור'!K46</f>
        <v/>
      </c>
    </row>
    <row r="59" outlineLevel="2" ht="15" customHeight="1" s="82">
      <c r="A59" s="94">
        <f>'לקוחות לפי סוכן - מקור'!A47</f>
        <v/>
      </c>
      <c r="B59" s="94">
        <f>'לקוחות לפי סוכן - מקור'!C47</f>
        <v/>
      </c>
      <c r="C59" s="94">
        <f>'לקוחות לפי סוכן - מקור'!E47</f>
        <v/>
      </c>
      <c r="D59" s="102">
        <f>'לקוחות לפי סוכן - מקור'!F47</f>
        <v/>
      </c>
      <c r="E59" s="102">
        <f>'לקוחות לפי סוכן - מקור'!G47</f>
        <v/>
      </c>
      <c r="F59" s="94">
        <f>'לקוחות לפי סוכן - מקור'!D47</f>
        <v/>
      </c>
      <c r="G59" s="95">
        <f>'לקוחות לפי סוכן - מקור'!H47</f>
        <v/>
      </c>
      <c r="H59" s="95">
        <f>'לקוחות לפי סוכן - מקור'!I47</f>
        <v/>
      </c>
      <c r="I59" s="127">
        <f>'לקוחות לפי סוכן - מקור'!K47</f>
        <v/>
      </c>
    </row>
    <row r="60" outlineLevel="2" ht="15" customHeight="1" s="82">
      <c r="A60" s="94">
        <f>'לקוחות לפי סוכן - מקור'!A48</f>
        <v/>
      </c>
      <c r="B60" s="94">
        <f>'לקוחות לפי סוכן - מקור'!C48</f>
        <v/>
      </c>
      <c r="C60" s="94">
        <f>'לקוחות לפי סוכן - מקור'!E48</f>
        <v/>
      </c>
      <c r="D60" s="102">
        <f>'לקוחות לפי סוכן - מקור'!F48</f>
        <v/>
      </c>
      <c r="E60" s="102">
        <f>'לקוחות לפי סוכן - מקור'!G48</f>
        <v/>
      </c>
      <c r="F60" s="94">
        <f>'לקוחות לפי סוכן - מקור'!D48</f>
        <v/>
      </c>
      <c r="G60" s="95">
        <f>'לקוחות לפי סוכן - מקור'!H48</f>
        <v/>
      </c>
      <c r="H60" s="95">
        <f>'לקוחות לפי סוכן - מקור'!I48</f>
        <v/>
      </c>
      <c r="I60" s="127">
        <f>'לקוחות לפי סוכן - מקור'!K48</f>
        <v/>
      </c>
    </row>
    <row r="61" outlineLevel="2" ht="15" customHeight="1" s="82">
      <c r="A61" s="94">
        <f>'לקוחות לפי סוכן - מקור'!A49</f>
        <v/>
      </c>
      <c r="B61" s="94">
        <f>'לקוחות לפי סוכן - מקור'!C49</f>
        <v/>
      </c>
      <c r="C61" s="94">
        <f>'לקוחות לפי סוכן - מקור'!E49</f>
        <v/>
      </c>
      <c r="D61" s="102">
        <f>'לקוחות לפי סוכן - מקור'!F49</f>
        <v/>
      </c>
      <c r="E61" s="102">
        <f>'לקוחות לפי סוכן - מקור'!G49</f>
        <v/>
      </c>
      <c r="F61" s="94">
        <f>'לקוחות לפי סוכן - מקור'!D49</f>
        <v/>
      </c>
      <c r="G61" s="95">
        <f>'לקוחות לפי סוכן - מקור'!H49</f>
        <v/>
      </c>
      <c r="H61" s="95">
        <f>'לקוחות לפי סוכן - מקור'!I49</f>
        <v/>
      </c>
      <c r="I61" s="127">
        <f>'לקוחות לפי סוכן - מקור'!K49</f>
        <v/>
      </c>
    </row>
    <row r="62" outlineLevel="1" ht="15" customHeight="1" s="82">
      <c r="A62" s="128" t="inlineStr">
        <is>
          <t>אזולאי דוד</t>
        </is>
      </c>
      <c r="B62" s="129" t="inlineStr">
        <is>
          <t>103 - Physiotherapy institutes</t>
        </is>
      </c>
      <c r="C62" s="130" t="n"/>
      <c r="D62" s="131">
        <f>SUMIFS('לקוחות לפי סוכן - מקור'!$F$2:$F$867,'לקוחות לפי סוכן - מקור'!$A$2:$A$867,$A62,'לקוחות לפי סוכן - מקור'!$C$2:$C$867,$B62)</f>
        <v/>
      </c>
      <c r="E62" s="131">
        <f>SUMIFS('לקוחות לפי סוכן - מקור'!$G$2:$G$867,'לקוחות לפי סוכן - מקור'!$A$2:$A$867,$A62,'לקוחות לפי סוכן - מקור'!$C$2:$C$867,$B62)</f>
        <v/>
      </c>
      <c r="F62" s="130" t="n"/>
      <c r="G62" s="132">
        <f>SUMIFS('לקוחות לפי סוכן - מקור'!$H$2:$H$867,'לקוחות לפי סוכן - מקור'!$A$2:$A$867,$A62,'לקוחות לפי סוכן - מקור'!$C$2:$C$867,$B62)</f>
        <v/>
      </c>
      <c r="H62" s="132">
        <f>SUMIFS('לקוחות לפי סוכן - מקור'!$I$2:$I$867,'לקוחות לפי סוכן - מקור'!$A$2:$A$867,$A62,'לקוחות לפי סוכן - מקור'!$C$2:$C$867,$B62)</f>
        <v/>
      </c>
      <c r="I62" s="130" t="n"/>
      <c r="J62" s="132">
        <f>COUNTIFS('לקוחות לפי סוכן - מקור'!$A$2:$A$867,$A62,'לקוחות לפי סוכן - מקור'!$C$2:$C$867,$B62)</f>
        <v/>
      </c>
    </row>
    <row r="63" outlineLevel="2" ht="15" customHeight="1" s="82">
      <c r="A63" s="94">
        <f>'לקוחות לפי סוכן - מקור'!A50</f>
        <v/>
      </c>
      <c r="B63" s="94">
        <f>'לקוחות לפי סוכן - מקור'!C50</f>
        <v/>
      </c>
      <c r="C63" s="94">
        <f>'לקוחות לפי סוכן - מקור'!E50</f>
        <v/>
      </c>
      <c r="D63" s="102">
        <f>'לקוחות לפי סוכן - מקור'!F50</f>
        <v/>
      </c>
      <c r="E63" s="102">
        <f>'לקוחות לפי סוכן - מקור'!G50</f>
        <v/>
      </c>
      <c r="F63" s="94">
        <f>'לקוחות לפי סוכן - מקור'!D50</f>
        <v/>
      </c>
      <c r="G63" s="95">
        <f>'לקוחות לפי סוכן - מקור'!H50</f>
        <v/>
      </c>
      <c r="H63" s="95">
        <f>'לקוחות לפי סוכן - מקור'!I50</f>
        <v/>
      </c>
      <c r="I63" s="127">
        <f>'לקוחות לפי סוכן - מקור'!K50</f>
        <v/>
      </c>
    </row>
    <row r="64" outlineLevel="2" ht="15" customHeight="1" s="82">
      <c r="A64" s="94">
        <f>'לקוחות לפי סוכן - מקור'!A51</f>
        <v/>
      </c>
      <c r="B64" s="94">
        <f>'לקוחות לפי סוכן - מקור'!C51</f>
        <v/>
      </c>
      <c r="C64" s="94">
        <f>'לקוחות לפי סוכן - מקור'!E51</f>
        <v/>
      </c>
      <c r="D64" s="102">
        <f>'לקוחות לפי סוכן - מקור'!F51</f>
        <v/>
      </c>
      <c r="E64" s="102">
        <f>'לקוחות לפי סוכן - מקור'!G51</f>
        <v/>
      </c>
      <c r="F64" s="94">
        <f>'לקוחות לפי סוכן - מקור'!D51</f>
        <v/>
      </c>
      <c r="G64" s="95">
        <f>'לקוחות לפי סוכן - מקור'!H51</f>
        <v/>
      </c>
      <c r="H64" s="95">
        <f>'לקוחות לפי סוכן - מקור'!I51</f>
        <v/>
      </c>
      <c r="I64" s="127">
        <f>'לקוחות לפי סוכן - מקור'!K51</f>
        <v/>
      </c>
    </row>
    <row r="65" outlineLevel="1" ht="15" customHeight="1" s="82">
      <c r="A65" s="128" t="inlineStr">
        <is>
          <t>אזולאי דוד</t>
        </is>
      </c>
      <c r="B65" s="129" t="inlineStr">
        <is>
          <t>105 - Pedicure Salons</t>
        </is>
      </c>
      <c r="C65" s="130" t="n"/>
      <c r="D65" s="131">
        <f>SUMIFS('לקוחות לפי סוכן - מקור'!$F$2:$F$867,'לקוחות לפי סוכן - מקור'!$A$2:$A$867,$A65,'לקוחות לפי סוכן - מקור'!$C$2:$C$867,$B65)</f>
        <v/>
      </c>
      <c r="E65" s="131">
        <f>SUMIFS('לקוחות לפי סוכן - מקור'!$G$2:$G$867,'לקוחות לפי סוכן - מקור'!$A$2:$A$867,$A65,'לקוחות לפי סוכן - מקור'!$C$2:$C$867,$B65)</f>
        <v/>
      </c>
      <c r="F65" s="130" t="n"/>
      <c r="G65" s="132">
        <f>SUMIFS('לקוחות לפי סוכן - מקור'!$H$2:$H$867,'לקוחות לפי סוכן - מקור'!$A$2:$A$867,$A65,'לקוחות לפי סוכן - מקור'!$C$2:$C$867,$B65)</f>
        <v/>
      </c>
      <c r="H65" s="132">
        <f>SUMIFS('לקוחות לפי סוכן - מקור'!$I$2:$I$867,'לקוחות לפי סוכן - מקור'!$A$2:$A$867,$A65,'לקוחות לפי סוכן - מקור'!$C$2:$C$867,$B65)</f>
        <v/>
      </c>
      <c r="I65" s="130" t="n"/>
      <c r="J65" s="132">
        <f>COUNTIFS('לקוחות לפי סוכן - מקור'!$A$2:$A$867,$A65,'לקוחות לפי סוכן - מקור'!$C$2:$C$867,$B65)</f>
        <v/>
      </c>
    </row>
    <row r="66" outlineLevel="2" ht="15" customHeight="1" s="82">
      <c r="A66" s="94">
        <f>'לקוחות לפי סוכן - מקור'!A52</f>
        <v/>
      </c>
      <c r="B66" s="94">
        <f>'לקוחות לפי סוכן - מקור'!C52</f>
        <v/>
      </c>
      <c r="C66" s="94">
        <f>'לקוחות לפי סוכן - מקור'!E52</f>
        <v/>
      </c>
      <c r="D66" s="102">
        <f>'לקוחות לפי סוכן - מקור'!F52</f>
        <v/>
      </c>
      <c r="E66" s="102">
        <f>'לקוחות לפי סוכן - מקור'!G52</f>
        <v/>
      </c>
      <c r="F66" s="94">
        <f>'לקוחות לפי סוכן - מקור'!D52</f>
        <v/>
      </c>
      <c r="G66" s="95">
        <f>'לקוחות לפי סוכן - מקור'!H52</f>
        <v/>
      </c>
      <c r="H66" s="95">
        <f>'לקוחות לפי סוכן - מקור'!I52</f>
        <v/>
      </c>
      <c r="I66" s="127">
        <f>'לקוחות לפי סוכן - מקור'!K52</f>
        <v/>
      </c>
    </row>
    <row r="67" outlineLevel="1" ht="15" customHeight="1" s="82">
      <c r="A67" s="128" t="inlineStr">
        <is>
          <t>אזולאי דוד</t>
        </is>
      </c>
      <c r="B67" s="129" t="inlineStr">
        <is>
          <t>107 - Pharmacies</t>
        </is>
      </c>
      <c r="C67" s="130" t="n"/>
      <c r="D67" s="131">
        <f>SUMIFS('לקוחות לפי סוכן - מקור'!$F$2:$F$867,'לקוחות לפי סוכן - מקור'!$A$2:$A$867,$A67,'לקוחות לפי סוכן - מקור'!$C$2:$C$867,$B67)</f>
        <v/>
      </c>
      <c r="E67" s="131">
        <f>SUMIFS('לקוחות לפי סוכן - מקור'!$G$2:$G$867,'לקוחות לפי סוכן - מקור'!$A$2:$A$867,$A67,'לקוחות לפי סוכן - מקור'!$C$2:$C$867,$B67)</f>
        <v/>
      </c>
      <c r="F67" s="130" t="n"/>
      <c r="G67" s="132">
        <f>SUMIFS('לקוחות לפי סוכן - מקור'!$H$2:$H$867,'לקוחות לפי סוכן - מקור'!$A$2:$A$867,$A67,'לקוחות לפי סוכן - מקור'!$C$2:$C$867,$B67)</f>
        <v/>
      </c>
      <c r="H67" s="132">
        <f>SUMIFS('לקוחות לפי סוכן - מקור'!$I$2:$I$867,'לקוחות לפי סוכן - מקור'!$A$2:$A$867,$A67,'לקוחות לפי סוכן - מקור'!$C$2:$C$867,$B67)</f>
        <v/>
      </c>
      <c r="I67" s="130" t="n"/>
      <c r="J67" s="132">
        <f>COUNTIFS('לקוחות לפי סוכן - מקור'!$A$2:$A$867,$A67,'לקוחות לפי סוכן - מקור'!$C$2:$C$867,$B67)</f>
        <v/>
      </c>
    </row>
    <row r="68" outlineLevel="2" ht="15" customHeight="1" s="82">
      <c r="A68" s="94">
        <f>'לקוחות לפי סוכן - מקור'!A53</f>
        <v/>
      </c>
      <c r="B68" s="94">
        <f>'לקוחות לפי סוכן - מקור'!C53</f>
        <v/>
      </c>
      <c r="C68" s="94">
        <f>'לקוחות לפי סוכן - מקור'!E53</f>
        <v/>
      </c>
      <c r="D68" s="102">
        <f>'לקוחות לפי סוכן - מקור'!F53</f>
        <v/>
      </c>
      <c r="E68" s="102">
        <f>'לקוחות לפי סוכן - מקור'!G53</f>
        <v/>
      </c>
      <c r="F68" s="94">
        <f>'לקוחות לפי סוכן - מקור'!D53</f>
        <v/>
      </c>
      <c r="G68" s="95">
        <f>'לקוחות לפי סוכן - מקור'!H53</f>
        <v/>
      </c>
      <c r="H68" s="95">
        <f>'לקוחות לפי סוכן - מקור'!I53</f>
        <v/>
      </c>
      <c r="I68" s="127">
        <f>'לקוחות לפי סוכן - מקור'!K53</f>
        <v/>
      </c>
    </row>
    <row r="69" outlineLevel="1" ht="15" customHeight="1" s="82">
      <c r="A69" s="128" t="inlineStr">
        <is>
          <t>אזולאי דוד</t>
        </is>
      </c>
      <c r="B69" s="129" t="inlineStr">
        <is>
          <t>109 - Private Shops</t>
        </is>
      </c>
      <c r="C69" s="130" t="n"/>
      <c r="D69" s="131">
        <f>SUMIFS('לקוחות לפי סוכן - מקור'!$F$2:$F$867,'לקוחות לפי סוכן - מקור'!$A$2:$A$867,$A69,'לקוחות לפי סוכן - מקור'!$C$2:$C$867,$B69)</f>
        <v/>
      </c>
      <c r="E69" s="131">
        <f>SUMIFS('לקוחות לפי סוכן - מקור'!$G$2:$G$867,'לקוחות לפי סוכן - מקור'!$A$2:$A$867,$A69,'לקוחות לפי סוכן - מקור'!$C$2:$C$867,$B69)</f>
        <v/>
      </c>
      <c r="F69" s="130" t="n"/>
      <c r="G69" s="132">
        <f>SUMIFS('לקוחות לפי סוכן - מקור'!$H$2:$H$867,'לקוחות לפי סוכן - מקור'!$A$2:$A$867,$A69,'לקוחות לפי סוכן - מקור'!$C$2:$C$867,$B69)</f>
        <v/>
      </c>
      <c r="H69" s="132">
        <f>SUMIFS('לקוחות לפי סוכן - מקור'!$I$2:$I$867,'לקוחות לפי סוכן - מקור'!$A$2:$A$867,$A69,'לקוחות לפי סוכן - מקור'!$C$2:$C$867,$B69)</f>
        <v/>
      </c>
      <c r="I69" s="130" t="n"/>
      <c r="J69" s="132">
        <f>COUNTIFS('לקוחות לפי סוכן - מקור'!$A$2:$A$867,$A69,'לקוחות לפי סוכן - מקור'!$C$2:$C$867,$B69)</f>
        <v/>
      </c>
    </row>
    <row r="70" outlineLevel="2" ht="15" customHeight="1" s="82">
      <c r="A70" s="94">
        <f>'לקוחות לפי סוכן - מקור'!A54</f>
        <v/>
      </c>
      <c r="B70" s="94">
        <f>'לקוחות לפי סוכן - מקור'!C54</f>
        <v/>
      </c>
      <c r="C70" s="94">
        <f>'לקוחות לפי סוכן - מקור'!E54</f>
        <v/>
      </c>
      <c r="D70" s="102">
        <f>'לקוחות לפי סוכן - מקור'!F54</f>
        <v/>
      </c>
      <c r="E70" s="102">
        <f>'לקוחות לפי סוכן - מקור'!G54</f>
        <v/>
      </c>
      <c r="F70" s="94">
        <f>'לקוחות לפי סוכן - מקור'!D54</f>
        <v/>
      </c>
      <c r="G70" s="95">
        <f>'לקוחות לפי סוכן - מקור'!H54</f>
        <v/>
      </c>
      <c r="H70" s="95">
        <f>'לקוחות לפי סוכן - מקור'!I54</f>
        <v/>
      </c>
      <c r="I70" s="127">
        <f>'לקוחות לפי סוכן - מקור'!K54</f>
        <v/>
      </c>
    </row>
    <row r="71" outlineLevel="2" ht="15" customHeight="1" s="82">
      <c r="A71" s="94">
        <f>'לקוחות לפי סוכן - מקור'!A55</f>
        <v/>
      </c>
      <c r="B71" s="94">
        <f>'לקוחות לפי סוכן - מקור'!C55</f>
        <v/>
      </c>
      <c r="C71" s="94">
        <f>'לקוחות לפי סוכן - מקור'!E55</f>
        <v/>
      </c>
      <c r="D71" s="102">
        <f>'לקוחות לפי סוכן - מקור'!F55</f>
        <v/>
      </c>
      <c r="E71" s="102">
        <f>'לקוחות לפי סוכן - מקור'!G55</f>
        <v/>
      </c>
      <c r="F71" s="94">
        <f>'לקוחות לפי סוכן - מקור'!D55</f>
        <v/>
      </c>
      <c r="G71" s="95">
        <f>'לקוחות לפי סוכן - מקור'!H55</f>
        <v/>
      </c>
      <c r="H71" s="95">
        <f>'לקוחות לפי סוכן - מקור'!I55</f>
        <v/>
      </c>
      <c r="I71" s="127">
        <f>'לקוחות לפי סוכן - מקור'!K55</f>
        <v/>
      </c>
    </row>
    <row r="72" outlineLevel="1" ht="15" customHeight="1" s="82">
      <c r="A72" s="128" t="inlineStr">
        <is>
          <t>אזולאי דוד</t>
        </is>
      </c>
      <c r="B72" s="129" t="inlineStr">
        <is>
          <t>0בתי מרקחת</t>
        </is>
      </c>
      <c r="C72" s="130" t="n"/>
      <c r="D72" s="131">
        <f>SUMIFS('לקוחות לפי סוכן - מקור'!$F$2:$F$867,'לקוחות לפי סוכן - מקור'!$A$2:$A$867,$A72,'לקוחות לפי סוכן - מקור'!$C$2:$C$867,$B72)</f>
        <v/>
      </c>
      <c r="E72" s="131">
        <f>SUMIFS('לקוחות לפי סוכן - מקור'!$G$2:$G$867,'לקוחות לפי סוכן - מקור'!$A$2:$A$867,$A72,'לקוחות לפי סוכן - מקור'!$C$2:$C$867,$B72)</f>
        <v/>
      </c>
      <c r="F72" s="130" t="n"/>
      <c r="G72" s="132">
        <f>SUMIFS('לקוחות לפי סוכן - מקור'!$H$2:$H$867,'לקוחות לפי סוכן - מקור'!$A$2:$A$867,$A72,'לקוחות לפי סוכן - מקור'!$C$2:$C$867,$B72)</f>
        <v/>
      </c>
      <c r="H72" s="132">
        <f>SUMIFS('לקוחות לפי סוכן - מקור'!$I$2:$I$867,'לקוחות לפי סוכן - מקור'!$A$2:$A$867,$A72,'לקוחות לפי סוכן - מקור'!$C$2:$C$867,$B72)</f>
        <v/>
      </c>
      <c r="I72" s="130" t="n"/>
      <c r="J72" s="132">
        <f>COUNTIFS('לקוחות לפי סוכן - מקור'!$A$2:$A$867,$A72,'לקוחות לפי סוכן - מקור'!$C$2:$C$867,$B72)</f>
        <v/>
      </c>
    </row>
    <row r="73" outlineLevel="2" ht="15" customHeight="1" s="82">
      <c r="A73" s="94">
        <f>'לקוחות לפי סוכן - מקור'!A56</f>
        <v/>
      </c>
      <c r="B73" s="94">
        <f>'לקוחות לפי סוכן - מקור'!C56</f>
        <v/>
      </c>
      <c r="C73" s="94">
        <f>'לקוחות לפי סוכן - מקור'!E56</f>
        <v/>
      </c>
      <c r="D73" s="102">
        <f>'לקוחות לפי סוכן - מקור'!F56</f>
        <v/>
      </c>
      <c r="E73" s="102">
        <f>'לקוחות לפי סוכן - מקור'!G56</f>
        <v/>
      </c>
      <c r="F73" s="94">
        <f>'לקוחות לפי סוכן - מקור'!D56</f>
        <v/>
      </c>
      <c r="G73" s="95">
        <f>'לקוחות לפי סוכן - מקור'!H56</f>
        <v/>
      </c>
      <c r="H73" s="95">
        <f>'לקוחות לפי סוכן - מקור'!I56</f>
        <v/>
      </c>
      <c r="I73" s="127">
        <f>'לקוחות לפי סוכן - מקור'!K56</f>
        <v/>
      </c>
    </row>
    <row r="74" outlineLevel="1" ht="15" customHeight="1" s="82">
      <c r="A74" s="128" t="inlineStr">
        <is>
          <t>אזולאי דוד</t>
        </is>
      </c>
      <c r="B74" s="129" t="inlineStr">
        <is>
          <t>רשת י-ם</t>
        </is>
      </c>
      <c r="C74" s="130" t="n"/>
      <c r="D74" s="131">
        <f>SUMIFS('לקוחות לפי סוכן - מקור'!$F$2:$F$867,'לקוחות לפי סוכן - מקור'!$A$2:$A$867,$A74,'לקוחות לפי סוכן - מקור'!$C$2:$C$867,$B74)</f>
        <v/>
      </c>
      <c r="E74" s="131">
        <f>SUMIFS('לקוחות לפי סוכן - מקור'!$G$2:$G$867,'לקוחות לפי סוכן - מקור'!$A$2:$A$867,$A74,'לקוחות לפי סוכן - מקור'!$C$2:$C$867,$B74)</f>
        <v/>
      </c>
      <c r="F74" s="130" t="n"/>
      <c r="G74" s="132">
        <f>SUMIFS('לקוחות לפי סוכן - מקור'!$H$2:$H$867,'לקוחות לפי סוכן - מקור'!$A$2:$A$867,$A74,'לקוחות לפי סוכן - מקור'!$C$2:$C$867,$B74)</f>
        <v/>
      </c>
      <c r="H74" s="132">
        <f>SUMIFS('לקוחות לפי סוכן - מקור'!$I$2:$I$867,'לקוחות לפי סוכן - מקור'!$A$2:$A$867,$A74,'לקוחות לפי סוכן - מקור'!$C$2:$C$867,$B74)</f>
        <v/>
      </c>
      <c r="I74" s="130" t="n"/>
      <c r="J74" s="132">
        <f>COUNTIFS('לקוחות לפי סוכן - מקור'!$A$2:$A$867,$A74,'לקוחות לפי סוכן - מקור'!$C$2:$C$867,$B74)</f>
        <v/>
      </c>
    </row>
    <row r="75" outlineLevel="2" ht="15" customHeight="1" s="82">
      <c r="A75" s="94">
        <f>'לקוחות לפי סוכן - מקור'!A57</f>
        <v/>
      </c>
      <c r="B75" s="94">
        <f>'לקוחות לפי סוכן - מקור'!C57</f>
        <v/>
      </c>
      <c r="C75" s="94">
        <f>'לקוחות לפי סוכן - מקור'!E57</f>
        <v/>
      </c>
      <c r="D75" s="102">
        <f>'לקוחות לפי סוכן - מקור'!F57</f>
        <v/>
      </c>
      <c r="E75" s="102">
        <f>'לקוחות לפי סוכן - מקור'!G57</f>
        <v/>
      </c>
      <c r="F75" s="94">
        <f>'לקוחות לפי סוכן - מקור'!D57</f>
        <v/>
      </c>
      <c r="G75" s="95">
        <f>'לקוחות לפי סוכן - מקור'!H57</f>
        <v/>
      </c>
      <c r="H75" s="95">
        <f>'לקוחות לפי סוכן - מקור'!I57</f>
        <v/>
      </c>
      <c r="I75" s="127">
        <f>'לקוחות לפי סוכן - מקור'!K57</f>
        <v/>
      </c>
    </row>
    <row r="76" outlineLevel="2" ht="15" customHeight="1" s="82">
      <c r="A76" s="94">
        <f>'לקוחות לפי סוכן - מקור'!A58</f>
        <v/>
      </c>
      <c r="B76" s="94">
        <f>'לקוחות לפי סוכן - מקור'!C58</f>
        <v/>
      </c>
      <c r="C76" s="94">
        <f>'לקוחות לפי סוכן - מקור'!E58</f>
        <v/>
      </c>
      <c r="D76" s="102">
        <f>'לקוחות לפי סוכן - מקור'!F58</f>
        <v/>
      </c>
      <c r="E76" s="102">
        <f>'לקוחות לפי סוכן - מקור'!G58</f>
        <v/>
      </c>
      <c r="F76" s="94">
        <f>'לקוחות לפי סוכן - מקור'!D58</f>
        <v/>
      </c>
      <c r="G76" s="95">
        <f>'לקוחות לפי סוכן - מקור'!H58</f>
        <v/>
      </c>
      <c r="H76" s="95">
        <f>'לקוחות לפי סוכן - מקור'!I58</f>
        <v/>
      </c>
      <c r="I76" s="127">
        <f>'לקוחות לפי סוכן - מקור'!K58</f>
        <v/>
      </c>
    </row>
    <row r="77" outlineLevel="2" ht="15" customHeight="1" s="82">
      <c r="A77" s="94">
        <f>'לקוחות לפי סוכן - מקור'!A59</f>
        <v/>
      </c>
      <c r="B77" s="94">
        <f>'לקוחות לפי סוכן - מקור'!C59</f>
        <v/>
      </c>
      <c r="C77" s="94">
        <f>'לקוחות לפי סוכן - מקור'!E59</f>
        <v/>
      </c>
      <c r="D77" s="102">
        <f>'לקוחות לפי סוכן - מקור'!F59</f>
        <v/>
      </c>
      <c r="E77" s="102">
        <f>'לקוחות לפי סוכן - מקור'!G59</f>
        <v/>
      </c>
      <c r="F77" s="94">
        <f>'לקוחות לפי סוכן - מקור'!D59</f>
        <v/>
      </c>
      <c r="G77" s="95">
        <f>'לקוחות לפי סוכן - מקור'!H59</f>
        <v/>
      </c>
      <c r="H77" s="95">
        <f>'לקוחות לפי סוכן - מקור'!I59</f>
        <v/>
      </c>
      <c r="I77" s="127">
        <f>'לקוחות לפי סוכן - מקור'!K59</f>
        <v/>
      </c>
    </row>
    <row r="78" outlineLevel="2" ht="15" customHeight="1" s="82">
      <c r="A78" s="94">
        <f>'לקוחות לפי סוכן - מקור'!A60</f>
        <v/>
      </c>
      <c r="B78" s="94">
        <f>'לקוחות לפי סוכן - מקור'!C60</f>
        <v/>
      </c>
      <c r="C78" s="94">
        <f>'לקוחות לפי סוכן - מקור'!E60</f>
        <v/>
      </c>
      <c r="D78" s="102">
        <f>'לקוחות לפי סוכן - מקור'!F60</f>
        <v/>
      </c>
      <c r="E78" s="102">
        <f>'לקוחות לפי סוכן - מקור'!G60</f>
        <v/>
      </c>
      <c r="F78" s="94">
        <f>'לקוחות לפי סוכן - מקור'!D60</f>
        <v/>
      </c>
      <c r="G78" s="95">
        <f>'לקוחות לפי סוכן - מקור'!H60</f>
        <v/>
      </c>
      <c r="H78" s="95">
        <f>'לקוחות לפי סוכן - מקור'!I60</f>
        <v/>
      </c>
      <c r="I78" s="127">
        <f>'לקוחות לפי סוכן - מקור'!K60</f>
        <v/>
      </c>
    </row>
    <row r="79" outlineLevel="2" ht="15" customHeight="1" s="82">
      <c r="A79" s="94">
        <f>'לקוחות לפי סוכן - מקור'!A61</f>
        <v/>
      </c>
      <c r="B79" s="94">
        <f>'לקוחות לפי סוכן - מקור'!C61</f>
        <v/>
      </c>
      <c r="C79" s="94">
        <f>'לקוחות לפי סוכן - מקור'!E61</f>
        <v/>
      </c>
      <c r="D79" s="102">
        <f>'לקוחות לפי סוכן - מקור'!F61</f>
        <v/>
      </c>
      <c r="E79" s="102">
        <f>'לקוחות לפי סוכן - מקור'!G61</f>
        <v/>
      </c>
      <c r="F79" s="94">
        <f>'לקוחות לפי סוכן - מקור'!D61</f>
        <v/>
      </c>
      <c r="G79" s="95">
        <f>'לקוחות לפי סוכן - מקור'!H61</f>
        <v/>
      </c>
      <c r="H79" s="95">
        <f>'לקוחות לפי סוכן - מקור'!I61</f>
        <v/>
      </c>
      <c r="I79" s="127">
        <f>'לקוחות לפי סוכן - מקור'!K61</f>
        <v/>
      </c>
    </row>
    <row r="80" outlineLevel="2" ht="15" customHeight="1" s="82">
      <c r="A80" s="94">
        <f>'לקוחות לפי סוכן - מקור'!A62</f>
        <v/>
      </c>
      <c r="B80" s="94">
        <f>'לקוחות לפי סוכן - מקור'!C62</f>
        <v/>
      </c>
      <c r="C80" s="94">
        <f>'לקוחות לפי סוכן - מקור'!E62</f>
        <v/>
      </c>
      <c r="D80" s="102">
        <f>'לקוחות לפי סוכן - מקור'!F62</f>
        <v/>
      </c>
      <c r="E80" s="102">
        <f>'לקוחות לפי סוכן - מקור'!G62</f>
        <v/>
      </c>
      <c r="F80" s="94">
        <f>'לקוחות לפי סוכן - מקור'!D62</f>
        <v/>
      </c>
      <c r="G80" s="95">
        <f>'לקוחות לפי סוכן - מקור'!H62</f>
        <v/>
      </c>
      <c r="H80" s="95">
        <f>'לקוחות לפי סוכן - מקור'!I62</f>
        <v/>
      </c>
      <c r="I80" s="127">
        <f>'לקוחות לפי סוכן - מקור'!K62</f>
        <v/>
      </c>
    </row>
    <row r="81" outlineLevel="2" ht="15" customHeight="1" s="82">
      <c r="A81" s="94">
        <f>'לקוחות לפי סוכן - מקור'!A63</f>
        <v/>
      </c>
      <c r="B81" s="94">
        <f>'לקוחות לפי סוכן - מקור'!C63</f>
        <v/>
      </c>
      <c r="C81" s="94">
        <f>'לקוחות לפי סוכן - מקור'!E63</f>
        <v/>
      </c>
      <c r="D81" s="102">
        <f>'לקוחות לפי סוכן - מקור'!F63</f>
        <v/>
      </c>
      <c r="E81" s="102">
        <f>'לקוחות לפי סוכן - מקור'!G63</f>
        <v/>
      </c>
      <c r="F81" s="94">
        <f>'לקוחות לפי סוכן - מקור'!D63</f>
        <v/>
      </c>
      <c r="G81" s="95">
        <f>'לקוחות לפי סוכן - מקור'!H63</f>
        <v/>
      </c>
      <c r="H81" s="95">
        <f>'לקוחות לפי סוכן - מקור'!I63</f>
        <v/>
      </c>
      <c r="I81" s="127">
        <f>'לקוחות לפי סוכן - מקור'!K63</f>
        <v/>
      </c>
    </row>
    <row r="82" outlineLevel="2" ht="15" customHeight="1" s="82">
      <c r="A82" s="94">
        <f>'לקוחות לפי סוכן - מקור'!A64</f>
        <v/>
      </c>
      <c r="B82" s="94">
        <f>'לקוחות לפי סוכן - מקור'!C64</f>
        <v/>
      </c>
      <c r="C82" s="94">
        <f>'לקוחות לפי סוכן - מקור'!E64</f>
        <v/>
      </c>
      <c r="D82" s="102">
        <f>'לקוחות לפי סוכן - מקור'!F64</f>
        <v/>
      </c>
      <c r="E82" s="102">
        <f>'לקוחות לפי סוכן - מקור'!G64</f>
        <v/>
      </c>
      <c r="F82" s="94">
        <f>'לקוחות לפי סוכן - מקור'!D64</f>
        <v/>
      </c>
      <c r="G82" s="95">
        <f>'לקוחות לפי סוכן - מקור'!H64</f>
        <v/>
      </c>
      <c r="H82" s="95">
        <f>'לקוחות לפי סוכן - מקור'!I64</f>
        <v/>
      </c>
      <c r="I82" s="127">
        <f>'לקוחות לפי סוכן - מקור'!K64</f>
        <v/>
      </c>
    </row>
    <row r="83" outlineLevel="2" ht="15" customHeight="1" s="82">
      <c r="A83" s="94">
        <f>'לקוחות לפי סוכן - מקור'!A65</f>
        <v/>
      </c>
      <c r="B83" s="94">
        <f>'לקוחות לפי סוכן - מקור'!C65</f>
        <v/>
      </c>
      <c r="C83" s="94">
        <f>'לקוחות לפי סוכן - מקור'!E65</f>
        <v/>
      </c>
      <c r="D83" s="102">
        <f>'לקוחות לפי סוכן - מקור'!F65</f>
        <v/>
      </c>
      <c r="E83" s="102">
        <f>'לקוחות לפי סוכן - מקור'!G65</f>
        <v/>
      </c>
      <c r="F83" s="94">
        <f>'לקוחות לפי סוכן - מקור'!D65</f>
        <v/>
      </c>
      <c r="G83" s="95">
        <f>'לקוחות לפי סוכן - מקור'!H65</f>
        <v/>
      </c>
      <c r="H83" s="95">
        <f>'לקוחות לפי סוכן - מקור'!I65</f>
        <v/>
      </c>
      <c r="I83" s="127">
        <f>'לקוחות לפי סוכן - מקור'!K65</f>
        <v/>
      </c>
    </row>
    <row r="84" outlineLevel="2" ht="15" customHeight="1" s="82">
      <c r="A84" s="94">
        <f>'לקוחות לפי סוכן - מקור'!A66</f>
        <v/>
      </c>
      <c r="B84" s="94">
        <f>'לקוחות לפי סוכן - מקור'!C66</f>
        <v/>
      </c>
      <c r="C84" s="94">
        <f>'לקוחות לפי סוכן - מקור'!E66</f>
        <v/>
      </c>
      <c r="D84" s="102">
        <f>'לקוחות לפי סוכן - מקור'!F66</f>
        <v/>
      </c>
      <c r="E84" s="102">
        <f>'לקוחות לפי סוכן - מקור'!G66</f>
        <v/>
      </c>
      <c r="F84" s="94">
        <f>'לקוחות לפי סוכן - מקור'!D66</f>
        <v/>
      </c>
      <c r="G84" s="95">
        <f>'לקוחות לפי סוכן - מקור'!H66</f>
        <v/>
      </c>
      <c r="H84" s="95">
        <f>'לקוחות לפי סוכן - מקור'!I66</f>
        <v/>
      </c>
      <c r="I84" s="127">
        <f>'לקוחות לפי סוכן - מקור'!K66</f>
        <v/>
      </c>
    </row>
    <row r="85" outlineLevel="2" ht="15" customHeight="1" s="82">
      <c r="A85" s="94">
        <f>'לקוחות לפי סוכן - מקור'!A67</f>
        <v/>
      </c>
      <c r="B85" s="94">
        <f>'לקוחות לפי סוכן - מקור'!C67</f>
        <v/>
      </c>
      <c r="C85" s="94">
        <f>'לקוחות לפי סוכן - מקור'!E67</f>
        <v/>
      </c>
      <c r="D85" s="102">
        <f>'לקוחות לפי סוכן - מקור'!F67</f>
        <v/>
      </c>
      <c r="E85" s="102">
        <f>'לקוחות לפי סוכן - מקור'!G67</f>
        <v/>
      </c>
      <c r="F85" s="94">
        <f>'לקוחות לפי סוכן - מקור'!D67</f>
        <v/>
      </c>
      <c r="G85" s="95">
        <f>'לקוחות לפי סוכן - מקור'!H67</f>
        <v/>
      </c>
      <c r="H85" s="95">
        <f>'לקוחות לפי סוכן - מקור'!I67</f>
        <v/>
      </c>
      <c r="I85" s="127">
        <f>'לקוחות לפי סוכן - מקור'!K67</f>
        <v/>
      </c>
    </row>
    <row r="86" outlineLevel="2" ht="15" customHeight="1" s="82">
      <c r="A86" s="94">
        <f>'לקוחות לפי סוכן - מקור'!A68</f>
        <v/>
      </c>
      <c r="B86" s="94">
        <f>'לקוחות לפי סוכן - מקור'!C68</f>
        <v/>
      </c>
      <c r="C86" s="94">
        <f>'לקוחות לפי סוכן - מקור'!E68</f>
        <v/>
      </c>
      <c r="D86" s="102">
        <f>'לקוחות לפי סוכן - מקור'!F68</f>
        <v/>
      </c>
      <c r="E86" s="102">
        <f>'לקוחות לפי סוכן - מקור'!G68</f>
        <v/>
      </c>
      <c r="F86" s="94">
        <f>'לקוחות לפי סוכן - מקור'!D68</f>
        <v/>
      </c>
      <c r="G86" s="95">
        <f>'לקוחות לפי סוכן - מקור'!H68</f>
        <v/>
      </c>
      <c r="H86" s="95">
        <f>'לקוחות לפי סוכן - מקור'!I68</f>
        <v/>
      </c>
      <c r="I86" s="127">
        <f>'לקוחות לפי סוכן - מקור'!K68</f>
        <v/>
      </c>
    </row>
    <row r="87" outlineLevel="2" ht="15" customHeight="1" s="82">
      <c r="A87" s="94">
        <f>'לקוחות לפי סוכן - מקור'!A69</f>
        <v/>
      </c>
      <c r="B87" s="94">
        <f>'לקוחות לפי סוכן - מקור'!C69</f>
        <v/>
      </c>
      <c r="C87" s="94">
        <f>'לקוחות לפי סוכן - מקור'!E69</f>
        <v/>
      </c>
      <c r="D87" s="102">
        <f>'לקוחות לפי סוכן - מקור'!F69</f>
        <v/>
      </c>
      <c r="E87" s="102">
        <f>'לקוחות לפי סוכן - מקור'!G69</f>
        <v/>
      </c>
      <c r="F87" s="94">
        <f>'לקוחות לפי סוכן - מקור'!D69</f>
        <v/>
      </c>
      <c r="G87" s="95">
        <f>'לקוחות לפי סוכן - מקור'!H69</f>
        <v/>
      </c>
      <c r="H87" s="95">
        <f>'לקוחות לפי סוכן - מקור'!I69</f>
        <v/>
      </c>
      <c r="I87" s="127">
        <f>'לקוחות לפי סוכן - מקור'!K69</f>
        <v/>
      </c>
    </row>
    <row r="88" outlineLevel="2" ht="15" customHeight="1" s="82">
      <c r="A88" s="94">
        <f>'לקוחות לפי סוכן - מקור'!A70</f>
        <v/>
      </c>
      <c r="B88" s="94">
        <f>'לקוחות לפי סוכן - מקור'!C70</f>
        <v/>
      </c>
      <c r="C88" s="94">
        <f>'לקוחות לפי סוכן - מקור'!E70</f>
        <v/>
      </c>
      <c r="D88" s="102">
        <f>'לקוחות לפי סוכן - מקור'!F70</f>
        <v/>
      </c>
      <c r="E88" s="102">
        <f>'לקוחות לפי סוכן - מקור'!G70</f>
        <v/>
      </c>
      <c r="F88" s="94">
        <f>'לקוחות לפי סוכן - מקור'!D70</f>
        <v/>
      </c>
      <c r="G88" s="95">
        <f>'לקוחות לפי סוכן - מקור'!H70</f>
        <v/>
      </c>
      <c r="H88" s="95">
        <f>'לקוחות לפי סוכן - מקור'!I70</f>
        <v/>
      </c>
      <c r="I88" s="127">
        <f>'לקוחות לפי סוכן - מקור'!K70</f>
        <v/>
      </c>
    </row>
    <row r="89" outlineLevel="2" ht="15" customHeight="1" s="82">
      <c r="A89" s="94">
        <f>'לקוחות לפי סוכן - מקור'!A71</f>
        <v/>
      </c>
      <c r="B89" s="94">
        <f>'לקוחות לפי סוכן - מקור'!C71</f>
        <v/>
      </c>
      <c r="C89" s="94">
        <f>'לקוחות לפי סוכן - מקור'!E71</f>
        <v/>
      </c>
      <c r="D89" s="102">
        <f>'לקוחות לפי סוכן - מקור'!F71</f>
        <v/>
      </c>
      <c r="E89" s="102">
        <f>'לקוחות לפי סוכן - מקור'!G71</f>
        <v/>
      </c>
      <c r="F89" s="94">
        <f>'לקוחות לפי סוכן - מקור'!D71</f>
        <v/>
      </c>
      <c r="G89" s="95">
        <f>'לקוחות לפי סוכן - מקור'!H71</f>
        <v/>
      </c>
      <c r="H89" s="95">
        <f>'לקוחות לפי סוכן - מקור'!I71</f>
        <v/>
      </c>
      <c r="I89" s="127">
        <f>'לקוחות לפי סוכן - מקור'!K71</f>
        <v/>
      </c>
    </row>
    <row r="90" outlineLevel="2" ht="15" customHeight="1" s="82">
      <c r="A90" s="94">
        <f>'לקוחות לפי סוכן - מקור'!A72</f>
        <v/>
      </c>
      <c r="B90" s="94">
        <f>'לקוחות לפי סוכן - מקור'!C72</f>
        <v/>
      </c>
      <c r="C90" s="94">
        <f>'לקוחות לפי סוכן - מקור'!E72</f>
        <v/>
      </c>
      <c r="D90" s="102">
        <f>'לקוחות לפי סוכן - מקור'!F72</f>
        <v/>
      </c>
      <c r="E90" s="102">
        <f>'לקוחות לפי סוכן - מקור'!G72</f>
        <v/>
      </c>
      <c r="F90" s="94">
        <f>'לקוחות לפי סוכן - מקור'!D72</f>
        <v/>
      </c>
      <c r="G90" s="95">
        <f>'לקוחות לפי סוכן - מקור'!H72</f>
        <v/>
      </c>
      <c r="H90" s="95">
        <f>'לקוחות לפי סוכן - מקור'!I72</f>
        <v/>
      </c>
      <c r="I90" s="127">
        <f>'לקוחות לפי סוכן - מקור'!K72</f>
        <v/>
      </c>
    </row>
    <row r="91" outlineLevel="2" ht="15" customHeight="1" s="82">
      <c r="A91" s="94">
        <f>'לקוחות לפי סוכן - מקור'!A73</f>
        <v/>
      </c>
      <c r="B91" s="94">
        <f>'לקוחות לפי סוכן - מקור'!C73</f>
        <v/>
      </c>
      <c r="C91" s="94">
        <f>'לקוחות לפי סוכן - מקור'!E73</f>
        <v/>
      </c>
      <c r="D91" s="102">
        <f>'לקוחות לפי סוכן - מקור'!F73</f>
        <v/>
      </c>
      <c r="E91" s="102">
        <f>'לקוחות לפי סוכן - מקור'!G73</f>
        <v/>
      </c>
      <c r="F91" s="94">
        <f>'לקוחות לפי סוכן - מקור'!D73</f>
        <v/>
      </c>
      <c r="G91" s="95">
        <f>'לקוחות לפי סוכן - מקור'!H73</f>
        <v/>
      </c>
      <c r="H91" s="95">
        <f>'לקוחות לפי סוכן - מקור'!I73</f>
        <v/>
      </c>
      <c r="I91" s="127">
        <f>'לקוחות לפי סוכן - מקור'!K73</f>
        <v/>
      </c>
    </row>
    <row r="92" outlineLevel="2" ht="15" customHeight="1" s="82">
      <c r="A92" s="94">
        <f>'לקוחות לפי סוכן - מקור'!A74</f>
        <v/>
      </c>
      <c r="B92" s="94">
        <f>'לקוחות לפי סוכן - מקור'!C74</f>
        <v/>
      </c>
      <c r="C92" s="94">
        <f>'לקוחות לפי סוכן - מקור'!E74</f>
        <v/>
      </c>
      <c r="D92" s="102">
        <f>'לקוחות לפי סוכן - מקור'!F74</f>
        <v/>
      </c>
      <c r="E92" s="102">
        <f>'לקוחות לפי סוכן - מקור'!G74</f>
        <v/>
      </c>
      <c r="F92" s="94">
        <f>'לקוחות לפי סוכן - מקור'!D74</f>
        <v/>
      </c>
      <c r="G92" s="95">
        <f>'לקוחות לפי סוכן - מקור'!H74</f>
        <v/>
      </c>
      <c r="H92" s="95">
        <f>'לקוחות לפי סוכן - מקור'!I74</f>
        <v/>
      </c>
      <c r="I92" s="127">
        <f>'לקוחות לפי סוכן - מקור'!K74</f>
        <v/>
      </c>
    </row>
    <row r="93" outlineLevel="1" ht="15" customHeight="1" s="82">
      <c r="A93" s="128" t="inlineStr">
        <is>
          <t>אזולאי דוד</t>
        </is>
      </c>
      <c r="B93" s="129" t="inlineStr">
        <is>
          <t>שרם</t>
        </is>
      </c>
      <c r="C93" s="130" t="n"/>
      <c r="D93" s="131">
        <f>SUMIFS('לקוחות לפי סוכן - מקור'!$F$2:$F$867,'לקוחות לפי סוכן - מקור'!$A$2:$A$867,$A93,'לקוחות לפי סוכן - מקור'!$C$2:$C$867,$B93)</f>
        <v/>
      </c>
      <c r="E93" s="131">
        <f>SUMIFS('לקוחות לפי סוכן - מקור'!$G$2:$G$867,'לקוחות לפי סוכן - מקור'!$A$2:$A$867,$A93,'לקוחות לפי סוכן - מקור'!$C$2:$C$867,$B93)</f>
        <v/>
      </c>
      <c r="F93" s="130" t="n"/>
      <c r="G93" s="132">
        <f>SUMIFS('לקוחות לפי סוכן - מקור'!$H$2:$H$867,'לקוחות לפי סוכן - מקור'!$A$2:$A$867,$A93,'לקוחות לפי סוכן - מקור'!$C$2:$C$867,$B93)</f>
        <v/>
      </c>
      <c r="H93" s="132">
        <f>SUMIFS('לקוחות לפי סוכן - מקור'!$I$2:$I$867,'לקוחות לפי סוכן - מקור'!$A$2:$A$867,$A93,'לקוחות לפי סוכן - מקור'!$C$2:$C$867,$B93)</f>
        <v/>
      </c>
      <c r="I93" s="130" t="n"/>
      <c r="J93" s="132">
        <f>COUNTIFS('לקוחות לפי סוכן - מקור'!$A$2:$A$867,$A93,'לקוחות לפי סוכן - מקור'!$C$2:$C$867,$B93)</f>
        <v/>
      </c>
    </row>
    <row r="94" outlineLevel="2" ht="15" customHeight="1" s="82">
      <c r="A94" s="94">
        <f>'לקוחות לפי סוכן - מקור'!A75</f>
        <v/>
      </c>
      <c r="B94" s="94">
        <f>'לקוחות לפי סוכן - מקור'!C75</f>
        <v/>
      </c>
      <c r="C94" s="94">
        <f>'לקוחות לפי סוכן - מקור'!E75</f>
        <v/>
      </c>
      <c r="D94" s="102">
        <f>'לקוחות לפי סוכן - מקור'!F75</f>
        <v/>
      </c>
      <c r="E94" s="102">
        <f>'לקוחות לפי סוכן - מקור'!G75</f>
        <v/>
      </c>
      <c r="F94" s="94">
        <f>'לקוחות לפי סוכן - מקור'!D75</f>
        <v/>
      </c>
      <c r="G94" s="95">
        <f>'לקוחות לפי סוכן - מקור'!H75</f>
        <v/>
      </c>
      <c r="H94" s="95">
        <f>'לקוחות לפי סוכן - מקור'!I75</f>
        <v/>
      </c>
      <c r="I94" s="127">
        <f>'לקוחות לפי סוכן - מקור'!K75</f>
        <v/>
      </c>
    </row>
    <row r="95" outlineLevel="2" ht="15" customHeight="1" s="82">
      <c r="A95" s="94">
        <f>'לקוחות לפי סוכן - מקור'!A76</f>
        <v/>
      </c>
      <c r="B95" s="94">
        <f>'לקוחות לפי סוכן - מקור'!C76</f>
        <v/>
      </c>
      <c r="C95" s="94">
        <f>'לקוחות לפי סוכן - מקור'!E76</f>
        <v/>
      </c>
      <c r="D95" s="102">
        <f>'לקוחות לפי סוכן - מקור'!F76</f>
        <v/>
      </c>
      <c r="E95" s="102">
        <f>'לקוחות לפי סוכן - מקור'!G76</f>
        <v/>
      </c>
      <c r="F95" s="94">
        <f>'לקוחות לפי סוכן - מקור'!D76</f>
        <v/>
      </c>
      <c r="G95" s="95">
        <f>'לקוחות לפי סוכן - מקור'!H76</f>
        <v/>
      </c>
      <c r="H95" s="95">
        <f>'לקוחות לפי סוכן - מקור'!I76</f>
        <v/>
      </c>
      <c r="I95" s="127">
        <f>'לקוחות לפי סוכן - מקור'!K76</f>
        <v/>
      </c>
    </row>
    <row r="96" outlineLevel="2" ht="15" customHeight="1" s="82">
      <c r="A96" s="94">
        <f>'לקוחות לפי סוכן - מקור'!A77</f>
        <v/>
      </c>
      <c r="B96" s="94">
        <f>'לקוחות לפי סוכן - מקור'!C77</f>
        <v/>
      </c>
      <c r="C96" s="94">
        <f>'לקוחות לפי סוכן - מקור'!E77</f>
        <v/>
      </c>
      <c r="D96" s="102">
        <f>'לקוחות לפי סוכן - מקור'!F77</f>
        <v/>
      </c>
      <c r="E96" s="102">
        <f>'לקוחות לפי סוכן - מקור'!G77</f>
        <v/>
      </c>
      <c r="F96" s="94">
        <f>'לקוחות לפי סוכן - מקור'!D77</f>
        <v/>
      </c>
      <c r="G96" s="95">
        <f>'לקוחות לפי סוכן - מקור'!H77</f>
        <v/>
      </c>
      <c r="H96" s="95">
        <f>'לקוחות לפי סוכן - מקור'!I77</f>
        <v/>
      </c>
      <c r="I96" s="127">
        <f>'לקוחות לפי סוכן - מקור'!K77</f>
        <v/>
      </c>
    </row>
    <row r="97" outlineLevel="2" ht="15" customHeight="1" s="82">
      <c r="A97" s="94">
        <f>'לקוחות לפי סוכן - מקור'!A78</f>
        <v/>
      </c>
      <c r="B97" s="94">
        <f>'לקוחות לפי סוכן - מקור'!C78</f>
        <v/>
      </c>
      <c r="C97" s="94">
        <f>'לקוחות לפי סוכן - מקור'!E78</f>
        <v/>
      </c>
      <c r="D97" s="102">
        <f>'לקוחות לפי סוכן - מקור'!F78</f>
        <v/>
      </c>
      <c r="E97" s="102">
        <f>'לקוחות לפי סוכן - מקור'!G78</f>
        <v/>
      </c>
      <c r="F97" s="94">
        <f>'לקוחות לפי סוכן - מקור'!D78</f>
        <v/>
      </c>
      <c r="G97" s="95">
        <f>'לקוחות לפי סוכן - מקור'!H78</f>
        <v/>
      </c>
      <c r="H97" s="95">
        <f>'לקוחות לפי סוכן - מקור'!I78</f>
        <v/>
      </c>
      <c r="I97" s="127">
        <f>'לקוחות לפי סוכן - מקור'!K78</f>
        <v/>
      </c>
    </row>
    <row r="98" outlineLevel="2" ht="15" customHeight="1" s="82">
      <c r="A98" s="94">
        <f>'לקוחות לפי סוכן - מקור'!A79</f>
        <v/>
      </c>
      <c r="B98" s="94">
        <f>'לקוחות לפי סוכן - מקור'!C79</f>
        <v/>
      </c>
      <c r="C98" s="94">
        <f>'לקוחות לפי סוכן - מקור'!E79</f>
        <v/>
      </c>
      <c r="D98" s="102">
        <f>'לקוחות לפי סוכן - מקור'!F79</f>
        <v/>
      </c>
      <c r="E98" s="102">
        <f>'לקוחות לפי סוכן - מקור'!G79</f>
        <v/>
      </c>
      <c r="F98" s="94">
        <f>'לקוחות לפי סוכן - מקור'!D79</f>
        <v/>
      </c>
      <c r="G98" s="95">
        <f>'לקוחות לפי סוכן - מקור'!H79</f>
        <v/>
      </c>
      <c r="H98" s="95">
        <f>'לקוחות לפי סוכן - מקור'!I79</f>
        <v/>
      </c>
      <c r="I98" s="127">
        <f>'לקוחות לפי סוכן - מקור'!K79</f>
        <v/>
      </c>
    </row>
    <row r="99" outlineLevel="1" ht="15" customHeight="1" s="82">
      <c r="A99" s="128" t="inlineStr">
        <is>
          <t>אזולאי דוד</t>
        </is>
      </c>
      <c r="B99" s="129" t="inlineStr">
        <is>
          <t>ס. פארם</t>
        </is>
      </c>
      <c r="C99" s="130" t="n"/>
      <c r="D99" s="131">
        <f>SUMIFS('לקוחות לפי סוכן - מקור'!$F$2:$F$867,'לקוחות לפי סוכן - מקור'!$A$2:$A$867,$A99,'לקוחות לפי סוכן - מקור'!$C$2:$C$867,$B99)</f>
        <v/>
      </c>
      <c r="E99" s="131">
        <f>SUMIFS('לקוחות לפי סוכן - מקור'!$G$2:$G$867,'לקוחות לפי סוכן - מקור'!$A$2:$A$867,$A99,'לקוחות לפי סוכן - מקור'!$C$2:$C$867,$B99)</f>
        <v/>
      </c>
      <c r="F99" s="130" t="n"/>
      <c r="G99" s="132">
        <f>SUMIFS('לקוחות לפי סוכן - מקור'!$H$2:$H$867,'לקוחות לפי סוכן - מקור'!$A$2:$A$867,$A99,'לקוחות לפי סוכן - מקור'!$C$2:$C$867,$B99)</f>
        <v/>
      </c>
      <c r="H99" s="132">
        <f>SUMIFS('לקוחות לפי סוכן - מקור'!$I$2:$I$867,'לקוחות לפי סוכן - מקור'!$A$2:$A$867,$A99,'לקוחות לפי סוכן - מקור'!$C$2:$C$867,$B99)</f>
        <v/>
      </c>
      <c r="I99" s="130" t="n"/>
      <c r="J99" s="132">
        <f>COUNTIFS('לקוחות לפי סוכן - מקור'!$A$2:$A$867,$A99,'לקוחות לפי סוכן - מקור'!$C$2:$C$867,$B99)</f>
        <v/>
      </c>
    </row>
    <row r="100" outlineLevel="2" ht="15" customHeight="1" s="82">
      <c r="A100" s="94">
        <f>'לקוחות לפי סוכן - מקור'!A80</f>
        <v/>
      </c>
      <c r="B100" s="94">
        <f>'לקוחות לפי סוכן - מקור'!C80</f>
        <v/>
      </c>
      <c r="C100" s="94">
        <f>'לקוחות לפי סוכן - מקור'!E80</f>
        <v/>
      </c>
      <c r="D100" s="102">
        <f>'לקוחות לפי סוכן - מקור'!F80</f>
        <v/>
      </c>
      <c r="E100" s="102">
        <f>'לקוחות לפי סוכן - מקור'!G80</f>
        <v/>
      </c>
      <c r="F100" s="94">
        <f>'לקוחות לפי סוכן - מקור'!D80</f>
        <v/>
      </c>
      <c r="G100" s="95">
        <f>'לקוחות לפי סוכן - מקור'!H80</f>
        <v/>
      </c>
      <c r="H100" s="95">
        <f>'לקוחות לפי סוכן - מקור'!I80</f>
        <v/>
      </c>
      <c r="I100" s="127">
        <f>'לקוחות לפי סוכן - מקור'!K80</f>
        <v/>
      </c>
    </row>
    <row r="101" outlineLevel="2" ht="15" customHeight="1" s="82">
      <c r="A101" s="94">
        <f>'לקוחות לפי סוכן - מקור'!A81</f>
        <v/>
      </c>
      <c r="B101" s="94">
        <f>'לקוחות לפי סוכן - מקור'!C81</f>
        <v/>
      </c>
      <c r="C101" s="94">
        <f>'לקוחות לפי סוכן - מקור'!E81</f>
        <v/>
      </c>
      <c r="D101" s="102">
        <f>'לקוחות לפי סוכן - מקור'!F81</f>
        <v/>
      </c>
      <c r="E101" s="102">
        <f>'לקוחות לפי סוכן - מקור'!G81</f>
        <v/>
      </c>
      <c r="F101" s="94">
        <f>'לקוחות לפי סוכן - מקור'!D81</f>
        <v/>
      </c>
      <c r="G101" s="95">
        <f>'לקוחות לפי סוכן - מקור'!H81</f>
        <v/>
      </c>
      <c r="H101" s="95">
        <f>'לקוחות לפי סוכן - מקור'!I81</f>
        <v/>
      </c>
      <c r="I101" s="127">
        <f>'לקוחות לפי סוכן - מקור'!K81</f>
        <v/>
      </c>
    </row>
    <row r="102" outlineLevel="2" ht="15" customHeight="1" s="82">
      <c r="A102" s="94">
        <f>'לקוחות לפי סוכן - מקור'!A82</f>
        <v/>
      </c>
      <c r="B102" s="94">
        <f>'לקוחות לפי סוכן - מקור'!C82</f>
        <v/>
      </c>
      <c r="C102" s="94">
        <f>'לקוחות לפי סוכן - מקור'!E82</f>
        <v/>
      </c>
      <c r="D102" s="102">
        <f>'לקוחות לפי סוכן - מקור'!F82</f>
        <v/>
      </c>
      <c r="E102" s="102">
        <f>'לקוחות לפי סוכן - מקור'!G82</f>
        <v/>
      </c>
      <c r="F102" s="94">
        <f>'לקוחות לפי סוכן - מקור'!D82</f>
        <v/>
      </c>
      <c r="G102" s="95">
        <f>'לקוחות לפי סוכן - מקור'!H82</f>
        <v/>
      </c>
      <c r="H102" s="95">
        <f>'לקוחות לפי סוכן - מקור'!I82</f>
        <v/>
      </c>
      <c r="I102" s="127">
        <f>'לקוחות לפי סוכן - מקור'!K82</f>
        <v/>
      </c>
    </row>
    <row r="103" outlineLevel="2" ht="15" customHeight="1" s="82">
      <c r="A103" s="94">
        <f>'לקוחות לפי סוכן - מקור'!A83</f>
        <v/>
      </c>
      <c r="B103" s="94">
        <f>'לקוחות לפי סוכן - מקור'!C83</f>
        <v/>
      </c>
      <c r="C103" s="94">
        <f>'לקוחות לפי סוכן - מקור'!E83</f>
        <v/>
      </c>
      <c r="D103" s="102">
        <f>'לקוחות לפי סוכן - מקור'!F83</f>
        <v/>
      </c>
      <c r="E103" s="102">
        <f>'לקוחות לפי סוכן - מקור'!G83</f>
        <v/>
      </c>
      <c r="F103" s="94">
        <f>'לקוחות לפי סוכן - מקור'!D83</f>
        <v/>
      </c>
      <c r="G103" s="95">
        <f>'לקוחות לפי סוכן - מקור'!H83</f>
        <v/>
      </c>
      <c r="H103" s="95">
        <f>'לקוחות לפי סוכן - מקור'!I83</f>
        <v/>
      </c>
      <c r="I103" s="127">
        <f>'לקוחות לפי סוכן - מקור'!K83</f>
        <v/>
      </c>
    </row>
    <row r="104" outlineLevel="2" ht="15" customHeight="1" s="82">
      <c r="A104" s="94">
        <f>'לקוחות לפי סוכן - מקור'!A84</f>
        <v/>
      </c>
      <c r="B104" s="94">
        <f>'לקוחות לפי סוכן - מקור'!C84</f>
        <v/>
      </c>
      <c r="C104" s="94">
        <f>'לקוחות לפי סוכן - מקור'!E84</f>
        <v/>
      </c>
      <c r="D104" s="102">
        <f>'לקוחות לפי סוכן - מקור'!F84</f>
        <v/>
      </c>
      <c r="E104" s="102">
        <f>'לקוחות לפי סוכן - מקור'!G84</f>
        <v/>
      </c>
      <c r="F104" s="94">
        <f>'לקוחות לפי סוכן - מקור'!D84</f>
        <v/>
      </c>
      <c r="G104" s="95">
        <f>'לקוחות לפי סוכן - מקור'!H84</f>
        <v/>
      </c>
      <c r="H104" s="95">
        <f>'לקוחות לפי סוכן - מקור'!I84</f>
        <v/>
      </c>
      <c r="I104" s="127">
        <f>'לקוחות לפי סוכן - מקור'!K84</f>
        <v/>
      </c>
    </row>
    <row r="105" outlineLevel="2" ht="15" customHeight="1" s="82">
      <c r="A105" s="94">
        <f>'לקוחות לפי סוכן - מקור'!A85</f>
        <v/>
      </c>
      <c r="B105" s="94">
        <f>'לקוחות לפי סוכן - מקור'!C85</f>
        <v/>
      </c>
      <c r="C105" s="94">
        <f>'לקוחות לפי סוכן - מקור'!E85</f>
        <v/>
      </c>
      <c r="D105" s="102">
        <f>'לקוחות לפי סוכן - מקור'!F85</f>
        <v/>
      </c>
      <c r="E105" s="102">
        <f>'לקוחות לפי סוכן - מקור'!G85</f>
        <v/>
      </c>
      <c r="F105" s="94">
        <f>'לקוחות לפי סוכן - מקור'!D85</f>
        <v/>
      </c>
      <c r="G105" s="95">
        <f>'לקוחות לפי סוכן - מקור'!H85</f>
        <v/>
      </c>
      <c r="H105" s="95">
        <f>'לקוחות לפי סוכן - מקור'!I85</f>
        <v/>
      </c>
      <c r="I105" s="127">
        <f>'לקוחות לפי סוכן - מקור'!K85</f>
        <v/>
      </c>
    </row>
    <row r="106" outlineLevel="2" ht="15" customHeight="1" s="82">
      <c r="A106" s="94">
        <f>'לקוחות לפי סוכן - מקור'!A86</f>
        <v/>
      </c>
      <c r="B106" s="94">
        <f>'לקוחות לפי סוכן - מקור'!C86</f>
        <v/>
      </c>
      <c r="C106" s="94">
        <f>'לקוחות לפי סוכן - מקור'!E86</f>
        <v/>
      </c>
      <c r="D106" s="102">
        <f>'לקוחות לפי סוכן - מקור'!F86</f>
        <v/>
      </c>
      <c r="E106" s="102">
        <f>'לקוחות לפי סוכן - מקור'!G86</f>
        <v/>
      </c>
      <c r="F106" s="94">
        <f>'לקוחות לפי סוכן - מקור'!D86</f>
        <v/>
      </c>
      <c r="G106" s="95">
        <f>'לקוחות לפי סוכן - מקור'!H86</f>
        <v/>
      </c>
      <c r="H106" s="95">
        <f>'לקוחות לפי סוכן - מקור'!I86</f>
        <v/>
      </c>
      <c r="I106" s="127">
        <f>'לקוחות לפי סוכן - מקור'!K86</f>
        <v/>
      </c>
    </row>
    <row r="107" outlineLevel="2" ht="15" customHeight="1" s="82">
      <c r="A107" s="94">
        <f>'לקוחות לפי סוכן - מקור'!A87</f>
        <v/>
      </c>
      <c r="B107" s="94">
        <f>'לקוחות לפי סוכן - מקור'!C87</f>
        <v/>
      </c>
      <c r="C107" s="94">
        <f>'לקוחות לפי סוכן - מקור'!E87</f>
        <v/>
      </c>
      <c r="D107" s="102">
        <f>'לקוחות לפי סוכן - מקור'!F87</f>
        <v/>
      </c>
      <c r="E107" s="102">
        <f>'לקוחות לפי סוכן - מקור'!G87</f>
        <v/>
      </c>
      <c r="F107" s="94">
        <f>'לקוחות לפי סוכן - מקור'!D87</f>
        <v/>
      </c>
      <c r="G107" s="95">
        <f>'לקוחות לפי סוכן - מקור'!H87</f>
        <v/>
      </c>
      <c r="H107" s="95">
        <f>'לקוחות לפי סוכן - מקור'!I87</f>
        <v/>
      </c>
      <c r="I107" s="127">
        <f>'לקוחות לפי סוכן - מקור'!K87</f>
        <v/>
      </c>
    </row>
    <row r="108" outlineLevel="2" ht="15" customHeight="1" s="82">
      <c r="A108" s="94">
        <f>'לקוחות לפי סוכן - מקור'!A88</f>
        <v/>
      </c>
      <c r="B108" s="94">
        <f>'לקוחות לפי סוכן - מקור'!C88</f>
        <v/>
      </c>
      <c r="C108" s="94">
        <f>'לקוחות לפי סוכן - מקור'!E88</f>
        <v/>
      </c>
      <c r="D108" s="102">
        <f>'לקוחות לפי סוכן - מקור'!F88</f>
        <v/>
      </c>
      <c r="E108" s="102">
        <f>'לקוחות לפי סוכן - מקור'!G88</f>
        <v/>
      </c>
      <c r="F108" s="94">
        <f>'לקוחות לפי סוכן - מקור'!D88</f>
        <v/>
      </c>
      <c r="G108" s="95">
        <f>'לקוחות לפי סוכן - מקור'!H88</f>
        <v/>
      </c>
      <c r="H108" s="95">
        <f>'לקוחות לפי סוכן - מקור'!I88</f>
        <v/>
      </c>
      <c r="I108" s="127">
        <f>'לקוחות לפי סוכן - מקור'!K88</f>
        <v/>
      </c>
    </row>
    <row r="109" outlineLevel="2" ht="15" customHeight="1" s="82">
      <c r="A109" s="94">
        <f>'לקוחות לפי סוכן - מקור'!A89</f>
        <v/>
      </c>
      <c r="B109" s="94">
        <f>'לקוחות לפי סוכן - מקור'!C89</f>
        <v/>
      </c>
      <c r="C109" s="94">
        <f>'לקוחות לפי סוכן - מקור'!E89</f>
        <v/>
      </c>
      <c r="D109" s="102">
        <f>'לקוחות לפי סוכן - מקור'!F89</f>
        <v/>
      </c>
      <c r="E109" s="102">
        <f>'לקוחות לפי סוכן - מקור'!G89</f>
        <v/>
      </c>
      <c r="F109" s="94">
        <f>'לקוחות לפי סוכן - מקור'!D89</f>
        <v/>
      </c>
      <c r="G109" s="95">
        <f>'לקוחות לפי סוכן - מקור'!H89</f>
        <v/>
      </c>
      <c r="H109" s="95">
        <f>'לקוחות לפי סוכן - מקור'!I89</f>
        <v/>
      </c>
      <c r="I109" s="127">
        <f>'לקוחות לפי סוכן - מקור'!K89</f>
        <v/>
      </c>
    </row>
    <row r="110" outlineLevel="2" ht="15" customHeight="1" s="82">
      <c r="A110" s="94">
        <f>'לקוחות לפי סוכן - מקור'!A90</f>
        <v/>
      </c>
      <c r="B110" s="94">
        <f>'לקוחות לפי סוכן - מקור'!C90</f>
        <v/>
      </c>
      <c r="C110" s="94">
        <f>'לקוחות לפי סוכן - מקור'!E90</f>
        <v/>
      </c>
      <c r="D110" s="102">
        <f>'לקוחות לפי סוכן - מקור'!F90</f>
        <v/>
      </c>
      <c r="E110" s="102">
        <f>'לקוחות לפי סוכן - מקור'!G90</f>
        <v/>
      </c>
      <c r="F110" s="94">
        <f>'לקוחות לפי סוכן - מקור'!D90</f>
        <v/>
      </c>
      <c r="G110" s="95">
        <f>'לקוחות לפי סוכן - מקור'!H90</f>
        <v/>
      </c>
      <c r="H110" s="95">
        <f>'לקוחות לפי סוכן - מקור'!I90</f>
        <v/>
      </c>
      <c r="I110" s="127">
        <f>'לקוחות לפי סוכן - מקור'!K90</f>
        <v/>
      </c>
    </row>
    <row r="111" outlineLevel="2" ht="15" customHeight="1" s="82">
      <c r="A111" s="94">
        <f>'לקוחות לפי סוכן - מקור'!A91</f>
        <v/>
      </c>
      <c r="B111" s="94">
        <f>'לקוחות לפי סוכן - מקור'!C91</f>
        <v/>
      </c>
      <c r="C111" s="94">
        <f>'לקוחות לפי סוכן - מקור'!E91</f>
        <v/>
      </c>
      <c r="D111" s="102">
        <f>'לקוחות לפי סוכן - מקור'!F91</f>
        <v/>
      </c>
      <c r="E111" s="102">
        <f>'לקוחות לפי סוכן - מקור'!G91</f>
        <v/>
      </c>
      <c r="F111" s="94">
        <f>'לקוחות לפי סוכן - מקור'!D91</f>
        <v/>
      </c>
      <c r="G111" s="95">
        <f>'לקוחות לפי סוכן - מקור'!H91</f>
        <v/>
      </c>
      <c r="H111" s="95">
        <f>'לקוחות לפי סוכן - מקור'!I91</f>
        <v/>
      </c>
      <c r="I111" s="127">
        <f>'לקוחות לפי סוכן - מקור'!K91</f>
        <v/>
      </c>
    </row>
    <row r="112" outlineLevel="2" ht="15" customHeight="1" s="82">
      <c r="A112" s="94">
        <f>'לקוחות לפי סוכן - מקור'!A92</f>
        <v/>
      </c>
      <c r="B112" s="94">
        <f>'לקוחות לפי סוכן - מקור'!C92</f>
        <v/>
      </c>
      <c r="C112" s="94">
        <f>'לקוחות לפי סוכן - מקור'!E92</f>
        <v/>
      </c>
      <c r="D112" s="102">
        <f>'לקוחות לפי סוכן - מקור'!F92</f>
        <v/>
      </c>
      <c r="E112" s="102">
        <f>'לקוחות לפי סוכן - מקור'!G92</f>
        <v/>
      </c>
      <c r="F112" s="94">
        <f>'לקוחות לפי סוכן - מקור'!D92</f>
        <v/>
      </c>
      <c r="G112" s="95">
        <f>'לקוחות לפי סוכן - מקור'!H92</f>
        <v/>
      </c>
      <c r="H112" s="95">
        <f>'לקוחות לפי סוכן - מקור'!I92</f>
        <v/>
      </c>
      <c r="I112" s="127">
        <f>'לקוחות לפי סוכן - מקור'!K92</f>
        <v/>
      </c>
    </row>
    <row r="113" outlineLevel="2" ht="15" customHeight="1" s="82">
      <c r="A113" s="94">
        <f>'לקוחות לפי סוכן - מקור'!A93</f>
        <v/>
      </c>
      <c r="B113" s="94">
        <f>'לקוחות לפי סוכן - מקור'!C93</f>
        <v/>
      </c>
      <c r="C113" s="94">
        <f>'לקוחות לפי סוכן - מקור'!E93</f>
        <v/>
      </c>
      <c r="D113" s="102">
        <f>'לקוחות לפי סוכן - מקור'!F93</f>
        <v/>
      </c>
      <c r="E113" s="102">
        <f>'לקוחות לפי סוכן - מקור'!G93</f>
        <v/>
      </c>
      <c r="F113" s="94">
        <f>'לקוחות לפי סוכן - מקור'!D93</f>
        <v/>
      </c>
      <c r="G113" s="95">
        <f>'לקוחות לפי סוכן - מקור'!H93</f>
        <v/>
      </c>
      <c r="H113" s="95">
        <f>'לקוחות לפי סוכן - מקור'!I93</f>
        <v/>
      </c>
      <c r="I113" s="127">
        <f>'לקוחות לפי סוכן - מקור'!K93</f>
        <v/>
      </c>
    </row>
    <row r="114" outlineLevel="2" ht="15" customHeight="1" s="82">
      <c r="A114" s="94">
        <f>'לקוחות לפי סוכן - מקור'!A94</f>
        <v/>
      </c>
      <c r="B114" s="94">
        <f>'לקוחות לפי סוכן - מקור'!C94</f>
        <v/>
      </c>
      <c r="C114" s="94">
        <f>'לקוחות לפי סוכן - מקור'!E94</f>
        <v/>
      </c>
      <c r="D114" s="102">
        <f>'לקוחות לפי סוכן - מקור'!F94</f>
        <v/>
      </c>
      <c r="E114" s="102">
        <f>'לקוחות לפי סוכן - מקור'!G94</f>
        <v/>
      </c>
      <c r="F114" s="94">
        <f>'לקוחות לפי סוכן - מקור'!D94</f>
        <v/>
      </c>
      <c r="G114" s="95">
        <f>'לקוחות לפי סוכן - מקור'!H94</f>
        <v/>
      </c>
      <c r="H114" s="95">
        <f>'לקוחות לפי סוכן - מקור'!I94</f>
        <v/>
      </c>
      <c r="I114" s="127">
        <f>'לקוחות לפי סוכן - מקור'!K94</f>
        <v/>
      </c>
    </row>
    <row r="115" outlineLevel="2" ht="15" customHeight="1" s="82">
      <c r="A115" s="94">
        <f>'לקוחות לפי סוכן - מקור'!A95</f>
        <v/>
      </c>
      <c r="B115" s="94">
        <f>'לקוחות לפי סוכן - מקור'!C95</f>
        <v/>
      </c>
      <c r="C115" s="94">
        <f>'לקוחות לפי סוכן - מקור'!E95</f>
        <v/>
      </c>
      <c r="D115" s="102">
        <f>'לקוחות לפי סוכן - מקור'!F95</f>
        <v/>
      </c>
      <c r="E115" s="102">
        <f>'לקוחות לפי סוכן - מקור'!G95</f>
        <v/>
      </c>
      <c r="F115" s="94">
        <f>'לקוחות לפי סוכן - מקור'!D95</f>
        <v/>
      </c>
      <c r="G115" s="95">
        <f>'לקוחות לפי סוכן - מקור'!H95</f>
        <v/>
      </c>
      <c r="H115" s="95">
        <f>'לקוחות לפי סוכן - מקור'!I95</f>
        <v/>
      </c>
      <c r="I115" s="127">
        <f>'לקוחות לפי סוכן - מקור'!K95</f>
        <v/>
      </c>
    </row>
    <row r="116" outlineLevel="2" ht="15" customHeight="1" s="82">
      <c r="A116" s="94">
        <f>'לקוחות לפי סוכן - מקור'!A96</f>
        <v/>
      </c>
      <c r="B116" s="94">
        <f>'לקוחות לפי סוכן - מקור'!C96</f>
        <v/>
      </c>
      <c r="C116" s="94">
        <f>'לקוחות לפי סוכן - מקור'!E96</f>
        <v/>
      </c>
      <c r="D116" s="102">
        <f>'לקוחות לפי סוכן - מקור'!F96</f>
        <v/>
      </c>
      <c r="E116" s="102">
        <f>'לקוחות לפי סוכן - מקור'!G96</f>
        <v/>
      </c>
      <c r="F116" s="94">
        <f>'לקוחות לפי סוכן - מקור'!D96</f>
        <v/>
      </c>
      <c r="G116" s="95">
        <f>'לקוחות לפי סוכן - מקור'!H96</f>
        <v/>
      </c>
      <c r="H116" s="95">
        <f>'לקוחות לפי סוכן - מקור'!I96</f>
        <v/>
      </c>
      <c r="I116" s="127">
        <f>'לקוחות לפי סוכן - מקור'!K96</f>
        <v/>
      </c>
    </row>
    <row r="117" outlineLevel="2" ht="15" customHeight="1" s="82">
      <c r="A117" s="94">
        <f>'לקוחות לפי סוכן - מקור'!A97</f>
        <v/>
      </c>
      <c r="B117" s="94">
        <f>'לקוחות לפי סוכן - מקור'!C97</f>
        <v/>
      </c>
      <c r="C117" s="94">
        <f>'לקוחות לפי סוכן - מקור'!E97</f>
        <v/>
      </c>
      <c r="D117" s="102">
        <f>'לקוחות לפי סוכן - מקור'!F97</f>
        <v/>
      </c>
      <c r="E117" s="102">
        <f>'לקוחות לפי סוכן - מקור'!G97</f>
        <v/>
      </c>
      <c r="F117" s="94">
        <f>'לקוחות לפי סוכן - מקור'!D97</f>
        <v/>
      </c>
      <c r="G117" s="95">
        <f>'לקוחות לפי סוכן - מקור'!H97</f>
        <v/>
      </c>
      <c r="H117" s="95">
        <f>'לקוחות לפי סוכן - מקור'!I97</f>
        <v/>
      </c>
      <c r="I117" s="127">
        <f>'לקוחות לפי סוכן - מקור'!K97</f>
        <v/>
      </c>
    </row>
    <row r="118" outlineLevel="2" ht="15" customHeight="1" s="82">
      <c r="A118" s="94">
        <f>'לקוחות לפי סוכן - מקור'!A98</f>
        <v/>
      </c>
      <c r="B118" s="94">
        <f>'לקוחות לפי סוכן - מקור'!C98</f>
        <v/>
      </c>
      <c r="C118" s="94">
        <f>'לקוחות לפי סוכן - מקור'!E98</f>
        <v/>
      </c>
      <c r="D118" s="102">
        <f>'לקוחות לפי סוכן - מקור'!F98</f>
        <v/>
      </c>
      <c r="E118" s="102">
        <f>'לקוחות לפי סוכן - מקור'!G98</f>
        <v/>
      </c>
      <c r="F118" s="94">
        <f>'לקוחות לפי סוכן - מקור'!D98</f>
        <v/>
      </c>
      <c r="G118" s="95">
        <f>'לקוחות לפי סוכן - מקור'!H98</f>
        <v/>
      </c>
      <c r="H118" s="95">
        <f>'לקוחות לפי סוכן - מקור'!I98</f>
        <v/>
      </c>
      <c r="I118" s="127">
        <f>'לקוחות לפי סוכן - מקור'!K98</f>
        <v/>
      </c>
    </row>
    <row r="119" outlineLevel="2" ht="15" customHeight="1" s="82">
      <c r="A119" s="94">
        <f>'לקוחות לפי סוכן - מקור'!A99</f>
        <v/>
      </c>
      <c r="B119" s="94">
        <f>'לקוחות לפי סוכן - מקור'!C99</f>
        <v/>
      </c>
      <c r="C119" s="94">
        <f>'לקוחות לפי סוכן - מקור'!E99</f>
        <v/>
      </c>
      <c r="D119" s="102">
        <f>'לקוחות לפי סוכן - מקור'!F99</f>
        <v/>
      </c>
      <c r="E119" s="102">
        <f>'לקוחות לפי סוכן - מקור'!G99</f>
        <v/>
      </c>
      <c r="F119" s="94">
        <f>'לקוחות לפי סוכן - מקור'!D99</f>
        <v/>
      </c>
      <c r="G119" s="95">
        <f>'לקוחות לפי סוכן - מקור'!H99</f>
        <v/>
      </c>
      <c r="H119" s="95">
        <f>'לקוחות לפי סוכן - מקור'!I99</f>
        <v/>
      </c>
      <c r="I119" s="127">
        <f>'לקוחות לפי סוכן - מקור'!K99</f>
        <v/>
      </c>
    </row>
    <row r="120" outlineLevel="2" ht="15" customHeight="1" s="82">
      <c r="A120" s="94">
        <f>'לקוחות לפי סוכן - מקור'!A100</f>
        <v/>
      </c>
      <c r="B120" s="94">
        <f>'לקוחות לפי סוכן - מקור'!C100</f>
        <v/>
      </c>
      <c r="C120" s="94">
        <f>'לקוחות לפי סוכן - מקור'!E100</f>
        <v/>
      </c>
      <c r="D120" s="102">
        <f>'לקוחות לפי סוכן - מקור'!F100</f>
        <v/>
      </c>
      <c r="E120" s="102">
        <f>'לקוחות לפי סוכן - מקור'!G100</f>
        <v/>
      </c>
      <c r="F120" s="94">
        <f>'לקוחות לפי סוכן - מקור'!D100</f>
        <v/>
      </c>
      <c r="G120" s="95">
        <f>'לקוחות לפי סוכן - מקור'!H100</f>
        <v/>
      </c>
      <c r="H120" s="95">
        <f>'לקוחות לפי סוכן - מקור'!I100</f>
        <v/>
      </c>
      <c r="I120" s="127">
        <f>'לקוחות לפי סוכן - מקור'!K100</f>
        <v/>
      </c>
    </row>
    <row r="121" outlineLevel="2" ht="15" customHeight="1" s="82">
      <c r="A121" s="94">
        <f>'לקוחות לפי סוכן - מקור'!A101</f>
        <v/>
      </c>
      <c r="B121" s="94">
        <f>'לקוחות לפי סוכן - מקור'!C101</f>
        <v/>
      </c>
      <c r="C121" s="94">
        <f>'לקוחות לפי סוכן - מקור'!E101</f>
        <v/>
      </c>
      <c r="D121" s="102">
        <f>'לקוחות לפי סוכן - מקור'!F101</f>
        <v/>
      </c>
      <c r="E121" s="102">
        <f>'לקוחות לפי סוכן - מקור'!G101</f>
        <v/>
      </c>
      <c r="F121" s="94">
        <f>'לקוחות לפי סוכן - מקור'!D101</f>
        <v/>
      </c>
      <c r="G121" s="95">
        <f>'לקוחות לפי סוכן - מקור'!H101</f>
        <v/>
      </c>
      <c r="H121" s="95">
        <f>'לקוחות לפי סוכן - מקור'!I101</f>
        <v/>
      </c>
      <c r="I121" s="127">
        <f>'לקוחות לפי סוכן - מקור'!K101</f>
        <v/>
      </c>
    </row>
    <row r="122" outlineLevel="2" ht="15" customHeight="1" s="82">
      <c r="A122" s="94">
        <f>'לקוחות לפי סוכן - מקור'!A102</f>
        <v/>
      </c>
      <c r="B122" s="94">
        <f>'לקוחות לפי סוכן - מקור'!C102</f>
        <v/>
      </c>
      <c r="C122" s="94">
        <f>'לקוחות לפי סוכן - מקור'!E102</f>
        <v/>
      </c>
      <c r="D122" s="102">
        <f>'לקוחות לפי סוכן - מקור'!F102</f>
        <v/>
      </c>
      <c r="E122" s="102">
        <f>'לקוחות לפי סוכן - מקור'!G102</f>
        <v/>
      </c>
      <c r="F122" s="94">
        <f>'לקוחות לפי סוכן - מקור'!D102</f>
        <v/>
      </c>
      <c r="G122" s="95">
        <f>'לקוחות לפי סוכן - מקור'!H102</f>
        <v/>
      </c>
      <c r="H122" s="95">
        <f>'לקוחות לפי סוכן - מקור'!I102</f>
        <v/>
      </c>
      <c r="I122" s="127">
        <f>'לקוחות לפי סוכן - מקור'!K102</f>
        <v/>
      </c>
    </row>
    <row r="123" outlineLevel="2" ht="15" customHeight="1" s="82">
      <c r="A123" s="94">
        <f>'לקוחות לפי סוכן - מקור'!A103</f>
        <v/>
      </c>
      <c r="B123" s="94">
        <f>'לקוחות לפי סוכן - מקור'!C103</f>
        <v/>
      </c>
      <c r="C123" s="94">
        <f>'לקוחות לפי סוכן - מקור'!E103</f>
        <v/>
      </c>
      <c r="D123" s="102">
        <f>'לקוחות לפי סוכן - מקור'!F103</f>
        <v/>
      </c>
      <c r="E123" s="102">
        <f>'לקוחות לפי סוכן - מקור'!G103</f>
        <v/>
      </c>
      <c r="F123" s="94">
        <f>'לקוחות לפי סוכן - מקור'!D103</f>
        <v/>
      </c>
      <c r="G123" s="95">
        <f>'לקוחות לפי סוכן - מקור'!H103</f>
        <v/>
      </c>
      <c r="H123" s="95">
        <f>'לקוחות לפי סוכן - מקור'!I103</f>
        <v/>
      </c>
      <c r="I123" s="127">
        <f>'לקוחות לפי סוכן - מקור'!K103</f>
        <v/>
      </c>
    </row>
    <row r="124" outlineLevel="2" ht="15" customHeight="1" s="82">
      <c r="A124" s="94">
        <f>'לקוחות לפי סוכן - מקור'!A104</f>
        <v/>
      </c>
      <c r="B124" s="94">
        <f>'לקוחות לפי סוכן - מקור'!C104</f>
        <v/>
      </c>
      <c r="C124" s="94">
        <f>'לקוחות לפי סוכן - מקור'!E104</f>
        <v/>
      </c>
      <c r="D124" s="102">
        <f>'לקוחות לפי סוכן - מקור'!F104</f>
        <v/>
      </c>
      <c r="E124" s="102">
        <f>'לקוחות לפי סוכן - מקור'!G104</f>
        <v/>
      </c>
      <c r="F124" s="94">
        <f>'לקוחות לפי סוכן - מקור'!D104</f>
        <v/>
      </c>
      <c r="G124" s="95">
        <f>'לקוחות לפי סוכן - מקור'!H104</f>
        <v/>
      </c>
      <c r="H124" s="95">
        <f>'לקוחות לפי סוכן - מקור'!I104</f>
        <v/>
      </c>
      <c r="I124" s="127">
        <f>'לקוחות לפי סוכן - מקור'!K104</f>
        <v/>
      </c>
    </row>
    <row r="125" outlineLevel="2" ht="15" customHeight="1" s="82">
      <c r="A125" s="94">
        <f>'לקוחות לפי סוכן - מקור'!A105</f>
        <v/>
      </c>
      <c r="B125" s="94">
        <f>'לקוחות לפי סוכן - מקור'!C105</f>
        <v/>
      </c>
      <c r="C125" s="94">
        <f>'לקוחות לפי סוכן - מקור'!E105</f>
        <v/>
      </c>
      <c r="D125" s="102">
        <f>'לקוחות לפי סוכן - מקור'!F105</f>
        <v/>
      </c>
      <c r="E125" s="102">
        <f>'לקוחות לפי סוכן - מקור'!G105</f>
        <v/>
      </c>
      <c r="F125" s="94">
        <f>'לקוחות לפי סוכן - מקור'!D105</f>
        <v/>
      </c>
      <c r="G125" s="95">
        <f>'לקוחות לפי סוכן - מקור'!H105</f>
        <v/>
      </c>
      <c r="H125" s="95">
        <f>'לקוחות לפי סוכן - מקור'!I105</f>
        <v/>
      </c>
      <c r="I125" s="127">
        <f>'לקוחות לפי סוכן - מקור'!K105</f>
        <v/>
      </c>
    </row>
    <row r="126" outlineLevel="2" ht="15" customHeight="1" s="82">
      <c r="A126" s="94">
        <f>'לקוחות לפי סוכן - מקור'!A106</f>
        <v/>
      </c>
      <c r="B126" s="94">
        <f>'לקוחות לפי סוכן - מקור'!C106</f>
        <v/>
      </c>
      <c r="C126" s="94">
        <f>'לקוחות לפי סוכן - מקור'!E106</f>
        <v/>
      </c>
      <c r="D126" s="102">
        <f>'לקוחות לפי סוכן - מקור'!F106</f>
        <v/>
      </c>
      <c r="E126" s="102">
        <f>'לקוחות לפי סוכן - מקור'!G106</f>
        <v/>
      </c>
      <c r="F126" s="94">
        <f>'לקוחות לפי סוכן - מקור'!D106</f>
        <v/>
      </c>
      <c r="G126" s="95">
        <f>'לקוחות לפי סוכן - מקור'!H106</f>
        <v/>
      </c>
      <c r="H126" s="95">
        <f>'לקוחות לפי סוכן - מקור'!I106</f>
        <v/>
      </c>
      <c r="I126" s="127">
        <f>'לקוחות לפי סוכן - מקור'!K106</f>
        <v/>
      </c>
    </row>
    <row r="127" outlineLevel="2" ht="15" customHeight="1" s="82">
      <c r="A127" s="94">
        <f>'לקוחות לפי סוכן - מקור'!A107</f>
        <v/>
      </c>
      <c r="B127" s="94">
        <f>'לקוחות לפי סוכן - מקור'!C107</f>
        <v/>
      </c>
      <c r="C127" s="94">
        <f>'לקוחות לפי סוכן - מקור'!E107</f>
        <v/>
      </c>
      <c r="D127" s="102">
        <f>'לקוחות לפי סוכן - מקור'!F107</f>
        <v/>
      </c>
      <c r="E127" s="102">
        <f>'לקוחות לפי סוכן - מקור'!G107</f>
        <v/>
      </c>
      <c r="F127" s="94">
        <f>'לקוחות לפי סוכן - מקור'!D107</f>
        <v/>
      </c>
      <c r="G127" s="95">
        <f>'לקוחות לפי סוכן - מקור'!H107</f>
        <v/>
      </c>
      <c r="H127" s="95">
        <f>'לקוחות לפי סוכן - מקור'!I107</f>
        <v/>
      </c>
      <c r="I127" s="127">
        <f>'לקוחות לפי סוכן - מקור'!K107</f>
        <v/>
      </c>
    </row>
    <row r="128" outlineLevel="2" ht="15" customHeight="1" s="82">
      <c r="A128" s="94">
        <f>'לקוחות לפי סוכן - מקור'!A108</f>
        <v/>
      </c>
      <c r="B128" s="94">
        <f>'לקוחות לפי סוכן - מקור'!C108</f>
        <v/>
      </c>
      <c r="C128" s="94">
        <f>'לקוחות לפי סוכן - מקור'!E108</f>
        <v/>
      </c>
      <c r="D128" s="102">
        <f>'לקוחות לפי סוכן - מקור'!F108</f>
        <v/>
      </c>
      <c r="E128" s="102">
        <f>'לקוחות לפי סוכן - מקור'!G108</f>
        <v/>
      </c>
      <c r="F128" s="94">
        <f>'לקוחות לפי סוכן - מקור'!D108</f>
        <v/>
      </c>
      <c r="G128" s="95">
        <f>'לקוחות לפי סוכן - מקור'!H108</f>
        <v/>
      </c>
      <c r="H128" s="95">
        <f>'לקוחות לפי סוכן - מקור'!I108</f>
        <v/>
      </c>
      <c r="I128" s="127">
        <f>'לקוחות לפי סוכן - מקור'!K108</f>
        <v/>
      </c>
    </row>
    <row r="129" outlineLevel="2" ht="15" customHeight="1" s="82">
      <c r="A129" s="94">
        <f>'לקוחות לפי סוכן - מקור'!A109</f>
        <v/>
      </c>
      <c r="B129" s="94">
        <f>'לקוחות לפי סוכן - מקור'!C109</f>
        <v/>
      </c>
      <c r="C129" s="94">
        <f>'לקוחות לפי סוכן - מקור'!E109</f>
        <v/>
      </c>
      <c r="D129" s="102">
        <f>'לקוחות לפי סוכן - מקור'!F109</f>
        <v/>
      </c>
      <c r="E129" s="102">
        <f>'לקוחות לפי סוכן - מקור'!G109</f>
        <v/>
      </c>
      <c r="F129" s="94">
        <f>'לקוחות לפי סוכן - מקור'!D109</f>
        <v/>
      </c>
      <c r="G129" s="95">
        <f>'לקוחות לפי סוכן - מקור'!H109</f>
        <v/>
      </c>
      <c r="H129" s="95">
        <f>'לקוחות לפי סוכן - מקור'!I109</f>
        <v/>
      </c>
      <c r="I129" s="127">
        <f>'לקוחות לפי סוכן - מקור'!K109</f>
        <v/>
      </c>
    </row>
    <row r="130" outlineLevel="2" ht="15" customHeight="1" s="82">
      <c r="A130" s="94">
        <f>'לקוחות לפי סוכן - מקור'!A110</f>
        <v/>
      </c>
      <c r="B130" s="94">
        <f>'לקוחות לפי סוכן - מקור'!C110</f>
        <v/>
      </c>
      <c r="C130" s="94">
        <f>'לקוחות לפי סוכן - מקור'!E110</f>
        <v/>
      </c>
      <c r="D130" s="102">
        <f>'לקוחות לפי סוכן - מקור'!F110</f>
        <v/>
      </c>
      <c r="E130" s="102">
        <f>'לקוחות לפי סוכן - מקור'!G110</f>
        <v/>
      </c>
      <c r="F130" s="94">
        <f>'לקוחות לפי סוכן - מקור'!D110</f>
        <v/>
      </c>
      <c r="G130" s="95">
        <f>'לקוחות לפי סוכן - מקור'!H110</f>
        <v/>
      </c>
      <c r="H130" s="95">
        <f>'לקוחות לפי סוכן - מקור'!I110</f>
        <v/>
      </c>
      <c r="I130" s="127">
        <f>'לקוחות לפי סוכן - מקור'!K110</f>
        <v/>
      </c>
    </row>
    <row r="131" outlineLevel="2" ht="15" customHeight="1" s="82">
      <c r="A131" s="94">
        <f>'לקוחות לפי סוכן - מקור'!A111</f>
        <v/>
      </c>
      <c r="B131" s="94">
        <f>'לקוחות לפי סוכן - מקור'!C111</f>
        <v/>
      </c>
      <c r="C131" s="94">
        <f>'לקוחות לפי סוכן - מקור'!E111</f>
        <v/>
      </c>
      <c r="D131" s="102">
        <f>'לקוחות לפי סוכן - מקור'!F111</f>
        <v/>
      </c>
      <c r="E131" s="102">
        <f>'לקוחות לפי סוכן - מקור'!G111</f>
        <v/>
      </c>
      <c r="F131" s="94">
        <f>'לקוחות לפי סוכן - מקור'!D111</f>
        <v/>
      </c>
      <c r="G131" s="95">
        <f>'לקוחות לפי סוכן - מקור'!H111</f>
        <v/>
      </c>
      <c r="H131" s="95">
        <f>'לקוחות לפי סוכן - מקור'!I111</f>
        <v/>
      </c>
      <c r="I131" s="127">
        <f>'לקוחות לפי סוכן - מקור'!K111</f>
        <v/>
      </c>
    </row>
    <row r="132" outlineLevel="2" ht="15" customHeight="1" s="82">
      <c r="A132" s="94">
        <f>'לקוחות לפי סוכן - מקור'!A112</f>
        <v/>
      </c>
      <c r="B132" s="94">
        <f>'לקוחות לפי סוכן - מקור'!C112</f>
        <v/>
      </c>
      <c r="C132" s="94">
        <f>'לקוחות לפי סוכן - מקור'!E112</f>
        <v/>
      </c>
      <c r="D132" s="102">
        <f>'לקוחות לפי סוכן - מקור'!F112</f>
        <v/>
      </c>
      <c r="E132" s="102">
        <f>'לקוחות לפי סוכן - מקור'!G112</f>
        <v/>
      </c>
      <c r="F132" s="94">
        <f>'לקוחות לפי סוכן - מקור'!D112</f>
        <v/>
      </c>
      <c r="G132" s="95">
        <f>'לקוחות לפי סוכן - מקור'!H112</f>
        <v/>
      </c>
      <c r="H132" s="95">
        <f>'לקוחות לפי סוכן - מקור'!I112</f>
        <v/>
      </c>
      <c r="I132" s="127">
        <f>'לקוחות לפי סוכן - מקור'!K112</f>
        <v/>
      </c>
    </row>
    <row r="133" outlineLevel="2" ht="15" customHeight="1" s="82">
      <c r="A133" s="94">
        <f>'לקוחות לפי סוכן - מקור'!A113</f>
        <v/>
      </c>
      <c r="B133" s="94">
        <f>'לקוחות לפי סוכן - מקור'!C113</f>
        <v/>
      </c>
      <c r="C133" s="94">
        <f>'לקוחות לפי סוכן - מקור'!E113</f>
        <v/>
      </c>
      <c r="D133" s="102">
        <f>'לקוחות לפי סוכן - מקור'!F113</f>
        <v/>
      </c>
      <c r="E133" s="102">
        <f>'לקוחות לפי סוכן - מקור'!G113</f>
        <v/>
      </c>
      <c r="F133" s="94">
        <f>'לקוחות לפי סוכן - מקור'!D113</f>
        <v/>
      </c>
      <c r="G133" s="95">
        <f>'לקוחות לפי סוכן - מקור'!H113</f>
        <v/>
      </c>
      <c r="H133" s="95">
        <f>'לקוחות לפי סוכן - מקור'!I113</f>
        <v/>
      </c>
      <c r="I133" s="127">
        <f>'לקוחות לפי סוכן - מקור'!K113</f>
        <v/>
      </c>
    </row>
    <row r="134" outlineLevel="2" ht="15" customHeight="1" s="82">
      <c r="A134" s="94">
        <f>'לקוחות לפי סוכן - מקור'!A114</f>
        <v/>
      </c>
      <c r="B134" s="94">
        <f>'לקוחות לפי סוכן - מקור'!C114</f>
        <v/>
      </c>
      <c r="C134" s="94">
        <f>'לקוחות לפי סוכן - מקור'!E114</f>
        <v/>
      </c>
      <c r="D134" s="102">
        <f>'לקוחות לפי סוכן - מקור'!F114</f>
        <v/>
      </c>
      <c r="E134" s="102">
        <f>'לקוחות לפי סוכן - מקור'!G114</f>
        <v/>
      </c>
      <c r="F134" s="94">
        <f>'לקוחות לפי סוכן - מקור'!D114</f>
        <v/>
      </c>
      <c r="G134" s="95">
        <f>'לקוחות לפי סוכן - מקור'!H114</f>
        <v/>
      </c>
      <c r="H134" s="95">
        <f>'לקוחות לפי סוכן - מקור'!I114</f>
        <v/>
      </c>
      <c r="I134" s="127">
        <f>'לקוחות לפי סוכן - מקור'!K114</f>
        <v/>
      </c>
    </row>
    <row r="135" outlineLevel="2" ht="15" customHeight="1" s="82">
      <c r="A135" s="94">
        <f>'לקוחות לפי סוכן - מקור'!A115</f>
        <v/>
      </c>
      <c r="B135" s="94">
        <f>'לקוחות לפי סוכן - מקור'!C115</f>
        <v/>
      </c>
      <c r="C135" s="94">
        <f>'לקוחות לפי סוכן - מקור'!E115</f>
        <v/>
      </c>
      <c r="D135" s="102">
        <f>'לקוחות לפי סוכן - מקור'!F115</f>
        <v/>
      </c>
      <c r="E135" s="102">
        <f>'לקוחות לפי סוכן - מקור'!G115</f>
        <v/>
      </c>
      <c r="F135" s="94">
        <f>'לקוחות לפי סוכן - מקור'!D115</f>
        <v/>
      </c>
      <c r="G135" s="95">
        <f>'לקוחות לפי סוכן - מקור'!H115</f>
        <v/>
      </c>
      <c r="H135" s="95">
        <f>'לקוחות לפי סוכן - מקור'!I115</f>
        <v/>
      </c>
      <c r="I135" s="127">
        <f>'לקוחות לפי סוכן - מקור'!K115</f>
        <v/>
      </c>
    </row>
    <row r="136" outlineLevel="2" ht="15" customHeight="1" s="82">
      <c r="A136" s="94">
        <f>'לקוחות לפי סוכן - מקור'!A116</f>
        <v/>
      </c>
      <c r="B136" s="94">
        <f>'לקוחות לפי סוכן - מקור'!C116</f>
        <v/>
      </c>
      <c r="C136" s="94">
        <f>'לקוחות לפי סוכן - מקור'!E116</f>
        <v/>
      </c>
      <c r="D136" s="102">
        <f>'לקוחות לפי סוכן - מקור'!F116</f>
        <v/>
      </c>
      <c r="E136" s="102">
        <f>'לקוחות לפי סוכן - מקור'!G116</f>
        <v/>
      </c>
      <c r="F136" s="94">
        <f>'לקוחות לפי סוכן - מקור'!D116</f>
        <v/>
      </c>
      <c r="G136" s="95">
        <f>'לקוחות לפי סוכן - מקור'!H116</f>
        <v/>
      </c>
      <c r="H136" s="95">
        <f>'לקוחות לפי סוכן - מקור'!I116</f>
        <v/>
      </c>
      <c r="I136" s="127">
        <f>'לקוחות לפי סוכן - מקור'!K116</f>
        <v/>
      </c>
    </row>
    <row r="137" outlineLevel="2" ht="15" customHeight="1" s="82">
      <c r="A137" s="94">
        <f>'לקוחות לפי סוכן - מקור'!A117</f>
        <v/>
      </c>
      <c r="B137" s="94">
        <f>'לקוחות לפי סוכן - מקור'!C117</f>
        <v/>
      </c>
      <c r="C137" s="94">
        <f>'לקוחות לפי סוכן - מקור'!E117</f>
        <v/>
      </c>
      <c r="D137" s="102">
        <f>'לקוחות לפי סוכן - מקור'!F117</f>
        <v/>
      </c>
      <c r="E137" s="102">
        <f>'לקוחות לפי סוכן - מקור'!G117</f>
        <v/>
      </c>
      <c r="F137" s="94">
        <f>'לקוחות לפי סוכן - מקור'!D117</f>
        <v/>
      </c>
      <c r="G137" s="95">
        <f>'לקוחות לפי סוכן - מקור'!H117</f>
        <v/>
      </c>
      <c r="H137" s="95">
        <f>'לקוחות לפי סוכן - מקור'!I117</f>
        <v/>
      </c>
      <c r="I137" s="127">
        <f>'לקוחות לפי סוכן - מקור'!K117</f>
        <v/>
      </c>
    </row>
    <row r="138" outlineLevel="2" ht="15" customHeight="1" s="82">
      <c r="A138" s="94">
        <f>'לקוחות לפי סוכן - מקור'!A118</f>
        <v/>
      </c>
      <c r="B138" s="94">
        <f>'לקוחות לפי סוכן - מקור'!C118</f>
        <v/>
      </c>
      <c r="C138" s="94">
        <f>'לקוחות לפי סוכן - מקור'!E118</f>
        <v/>
      </c>
      <c r="D138" s="102">
        <f>'לקוחות לפי סוכן - מקור'!F118</f>
        <v/>
      </c>
      <c r="E138" s="102">
        <f>'לקוחות לפי סוכן - מקור'!G118</f>
        <v/>
      </c>
      <c r="F138" s="94">
        <f>'לקוחות לפי סוכן - מקור'!D118</f>
        <v/>
      </c>
      <c r="G138" s="95">
        <f>'לקוחות לפי סוכן - מקור'!H118</f>
        <v/>
      </c>
      <c r="H138" s="95">
        <f>'לקוחות לפי סוכן - מקור'!I118</f>
        <v/>
      </c>
      <c r="I138" s="127">
        <f>'לקוחות לפי סוכן - מקור'!K118</f>
        <v/>
      </c>
    </row>
    <row r="139" outlineLevel="2" ht="15" customHeight="1" s="82">
      <c r="A139" s="94">
        <f>'לקוחות לפי סוכן - מקור'!A119</f>
        <v/>
      </c>
      <c r="B139" s="94">
        <f>'לקוחות לפי סוכן - מקור'!C119</f>
        <v/>
      </c>
      <c r="C139" s="94">
        <f>'לקוחות לפי סוכן - מקור'!E119</f>
        <v/>
      </c>
      <c r="D139" s="102">
        <f>'לקוחות לפי סוכן - מקור'!F119</f>
        <v/>
      </c>
      <c r="E139" s="102">
        <f>'לקוחות לפי סוכן - מקור'!G119</f>
        <v/>
      </c>
      <c r="F139" s="94">
        <f>'לקוחות לפי סוכן - מקור'!D119</f>
        <v/>
      </c>
      <c r="G139" s="95">
        <f>'לקוחות לפי סוכן - מקור'!H119</f>
        <v/>
      </c>
      <c r="H139" s="95">
        <f>'לקוחות לפי סוכן - מקור'!I119</f>
        <v/>
      </c>
      <c r="I139" s="127">
        <f>'לקוחות לפי סוכן - מקור'!K119</f>
        <v/>
      </c>
    </row>
    <row r="140" outlineLevel="2" ht="15" customHeight="1" s="82">
      <c r="A140" s="94">
        <f>'לקוחות לפי סוכן - מקור'!A120</f>
        <v/>
      </c>
      <c r="B140" s="94">
        <f>'לקוחות לפי סוכן - מקור'!C120</f>
        <v/>
      </c>
      <c r="C140" s="94">
        <f>'לקוחות לפי סוכן - מקור'!E120</f>
        <v/>
      </c>
      <c r="D140" s="102">
        <f>'לקוחות לפי סוכן - מקור'!F120</f>
        <v/>
      </c>
      <c r="E140" s="102">
        <f>'לקוחות לפי סוכן - מקור'!G120</f>
        <v/>
      </c>
      <c r="F140" s="94">
        <f>'לקוחות לפי סוכן - מקור'!D120</f>
        <v/>
      </c>
      <c r="G140" s="95">
        <f>'לקוחות לפי סוכן - מקור'!H120</f>
        <v/>
      </c>
      <c r="H140" s="95">
        <f>'לקוחות לפי סוכן - מקור'!I120</f>
        <v/>
      </c>
      <c r="I140" s="127">
        <f>'לקוחות לפי סוכן - מקור'!K120</f>
        <v/>
      </c>
    </row>
    <row r="141" outlineLevel="2" ht="15" customHeight="1" s="82">
      <c r="A141" s="94">
        <f>'לקוחות לפי סוכן - מקור'!A121</f>
        <v/>
      </c>
      <c r="B141" s="94">
        <f>'לקוחות לפי סוכן - מקור'!C121</f>
        <v/>
      </c>
      <c r="C141" s="94">
        <f>'לקוחות לפי סוכן - מקור'!E121</f>
        <v/>
      </c>
      <c r="D141" s="102">
        <f>'לקוחות לפי סוכן - מקור'!F121</f>
        <v/>
      </c>
      <c r="E141" s="102">
        <f>'לקוחות לפי סוכן - מקור'!G121</f>
        <v/>
      </c>
      <c r="F141" s="94">
        <f>'לקוחות לפי סוכן - מקור'!D121</f>
        <v/>
      </c>
      <c r="G141" s="95">
        <f>'לקוחות לפי סוכן - מקור'!H121</f>
        <v/>
      </c>
      <c r="H141" s="95">
        <f>'לקוחות לפי סוכן - מקור'!I121</f>
        <v/>
      </c>
      <c r="I141" s="127">
        <f>'לקוחות לפי סוכן - מקור'!K121</f>
        <v/>
      </c>
    </row>
    <row r="142" outlineLevel="2" ht="15" customHeight="1" s="82">
      <c r="A142" s="94">
        <f>'לקוחות לפי סוכן - מקור'!A122</f>
        <v/>
      </c>
      <c r="B142" s="94">
        <f>'לקוחות לפי סוכן - מקור'!C122</f>
        <v/>
      </c>
      <c r="C142" s="94">
        <f>'לקוחות לפי סוכן - מקור'!E122</f>
        <v/>
      </c>
      <c r="D142" s="102">
        <f>'לקוחות לפי סוכן - מקור'!F122</f>
        <v/>
      </c>
      <c r="E142" s="102">
        <f>'לקוחות לפי סוכן - מקור'!G122</f>
        <v/>
      </c>
      <c r="F142" s="94">
        <f>'לקוחות לפי סוכן - מקור'!D122</f>
        <v/>
      </c>
      <c r="G142" s="95">
        <f>'לקוחות לפי סוכן - מקור'!H122</f>
        <v/>
      </c>
      <c r="H142" s="95">
        <f>'לקוחות לפי סוכן - מקור'!I122</f>
        <v/>
      </c>
      <c r="I142" s="127">
        <f>'לקוחות לפי סוכן - מקור'!K122</f>
        <v/>
      </c>
    </row>
    <row r="143" outlineLevel="2" ht="15" customHeight="1" s="82">
      <c r="A143" s="94">
        <f>'לקוחות לפי סוכן - מקור'!A123</f>
        <v/>
      </c>
      <c r="B143" s="94">
        <f>'לקוחות לפי סוכן - מקור'!C123</f>
        <v/>
      </c>
      <c r="C143" s="94">
        <f>'לקוחות לפי סוכן - מקור'!E123</f>
        <v/>
      </c>
      <c r="D143" s="102">
        <f>'לקוחות לפי סוכן - מקור'!F123</f>
        <v/>
      </c>
      <c r="E143" s="102">
        <f>'לקוחות לפי סוכן - מקור'!G123</f>
        <v/>
      </c>
      <c r="F143" s="94">
        <f>'לקוחות לפי סוכן - מקור'!D123</f>
        <v/>
      </c>
      <c r="G143" s="95">
        <f>'לקוחות לפי סוכן - מקור'!H123</f>
        <v/>
      </c>
      <c r="H143" s="95">
        <f>'לקוחות לפי סוכן - מקור'!I123</f>
        <v/>
      </c>
      <c r="I143" s="127">
        <f>'לקוחות לפי סוכן - מקור'!K123</f>
        <v/>
      </c>
    </row>
    <row r="144" outlineLevel="2" ht="15" customHeight="1" s="82">
      <c r="A144" s="94">
        <f>'לקוחות לפי סוכן - מקור'!A124</f>
        <v/>
      </c>
      <c r="B144" s="94">
        <f>'לקוחות לפי סוכן - מקור'!C124</f>
        <v/>
      </c>
      <c r="C144" s="94">
        <f>'לקוחות לפי סוכן - מקור'!E124</f>
        <v/>
      </c>
      <c r="D144" s="102">
        <f>'לקוחות לפי סוכן - מקור'!F124</f>
        <v/>
      </c>
      <c r="E144" s="102">
        <f>'לקוחות לפי סוכן - מקור'!G124</f>
        <v/>
      </c>
      <c r="F144" s="94">
        <f>'לקוחות לפי סוכן - מקור'!D124</f>
        <v/>
      </c>
      <c r="G144" s="95">
        <f>'לקוחות לפי סוכן - מקור'!H124</f>
        <v/>
      </c>
      <c r="H144" s="95">
        <f>'לקוחות לפי סוכן - מקור'!I124</f>
        <v/>
      </c>
      <c r="I144" s="127">
        <f>'לקוחות לפי סוכן - מקור'!K124</f>
        <v/>
      </c>
    </row>
    <row r="145" outlineLevel="2" ht="15" customHeight="1" s="82">
      <c r="A145" s="94">
        <f>'לקוחות לפי סוכן - מקור'!A125</f>
        <v/>
      </c>
      <c r="B145" s="94">
        <f>'לקוחות לפי סוכן - מקור'!C125</f>
        <v/>
      </c>
      <c r="C145" s="94">
        <f>'לקוחות לפי סוכן - מקור'!E125</f>
        <v/>
      </c>
      <c r="D145" s="102">
        <f>'לקוחות לפי סוכן - מקור'!F125</f>
        <v/>
      </c>
      <c r="E145" s="102">
        <f>'לקוחות לפי סוכן - מקור'!G125</f>
        <v/>
      </c>
      <c r="F145" s="94">
        <f>'לקוחות לפי סוכן - מקור'!D125</f>
        <v/>
      </c>
      <c r="G145" s="95">
        <f>'לקוחות לפי סוכן - מקור'!H125</f>
        <v/>
      </c>
      <c r="H145" s="95">
        <f>'לקוחות לפי סוכן - מקור'!I125</f>
        <v/>
      </c>
      <c r="I145" s="127">
        <f>'לקוחות לפי סוכן - מקור'!K125</f>
        <v/>
      </c>
    </row>
    <row r="146" outlineLevel="2" ht="15" customHeight="1" s="82">
      <c r="A146" s="94">
        <f>'לקוחות לפי סוכן - מקור'!A126</f>
        <v/>
      </c>
      <c r="B146" s="94">
        <f>'לקוחות לפי סוכן - מקור'!C126</f>
        <v/>
      </c>
      <c r="C146" s="94">
        <f>'לקוחות לפי סוכן - מקור'!E126</f>
        <v/>
      </c>
      <c r="D146" s="102">
        <f>'לקוחות לפי סוכן - מקור'!F126</f>
        <v/>
      </c>
      <c r="E146" s="102">
        <f>'לקוחות לפי סוכן - מקור'!G126</f>
        <v/>
      </c>
      <c r="F146" s="94">
        <f>'לקוחות לפי סוכן - מקור'!D126</f>
        <v/>
      </c>
      <c r="G146" s="95">
        <f>'לקוחות לפי סוכן - מקור'!H126</f>
        <v/>
      </c>
      <c r="H146" s="95">
        <f>'לקוחות לפי סוכן - מקור'!I126</f>
        <v/>
      </c>
      <c r="I146" s="127">
        <f>'לקוחות לפי סוכן - מקור'!K126</f>
        <v/>
      </c>
    </row>
    <row r="147" outlineLevel="2" ht="15" customHeight="1" s="82">
      <c r="A147" s="94">
        <f>'לקוחות לפי סוכן - מקור'!A127</f>
        <v/>
      </c>
      <c r="B147" s="94">
        <f>'לקוחות לפי סוכן - מקור'!C127</f>
        <v/>
      </c>
      <c r="C147" s="94">
        <f>'לקוחות לפי סוכן - מקור'!E127</f>
        <v/>
      </c>
      <c r="D147" s="102">
        <f>'לקוחות לפי סוכן - מקור'!F127</f>
        <v/>
      </c>
      <c r="E147" s="102">
        <f>'לקוחות לפי סוכן - מקור'!G127</f>
        <v/>
      </c>
      <c r="F147" s="94">
        <f>'לקוחות לפי סוכן - מקור'!D127</f>
        <v/>
      </c>
      <c r="G147" s="95">
        <f>'לקוחות לפי סוכן - מקור'!H127</f>
        <v/>
      </c>
      <c r="H147" s="95">
        <f>'לקוחות לפי סוכן - מקור'!I127</f>
        <v/>
      </c>
      <c r="I147" s="127">
        <f>'לקוחות לפי סוכן - מקור'!K127</f>
        <v/>
      </c>
    </row>
    <row r="148" outlineLevel="2" ht="15" customHeight="1" s="82">
      <c r="A148" s="94">
        <f>'לקוחות לפי סוכן - מקור'!A128</f>
        <v/>
      </c>
      <c r="B148" s="94">
        <f>'לקוחות לפי סוכן - מקור'!C128</f>
        <v/>
      </c>
      <c r="C148" s="94">
        <f>'לקוחות לפי סוכן - מקור'!E128</f>
        <v/>
      </c>
      <c r="D148" s="102">
        <f>'לקוחות לפי סוכן - מקור'!F128</f>
        <v/>
      </c>
      <c r="E148" s="102">
        <f>'לקוחות לפי סוכן - מקור'!G128</f>
        <v/>
      </c>
      <c r="F148" s="94">
        <f>'לקוחות לפי סוכן - מקור'!D128</f>
        <v/>
      </c>
      <c r="G148" s="95">
        <f>'לקוחות לפי סוכן - מקור'!H128</f>
        <v/>
      </c>
      <c r="H148" s="95">
        <f>'לקוחות לפי סוכן - מקור'!I128</f>
        <v/>
      </c>
      <c r="I148" s="127">
        <f>'לקוחות לפי סוכן - מקור'!K128</f>
        <v/>
      </c>
    </row>
    <row r="149" outlineLevel="2" ht="15" customHeight="1" s="82">
      <c r="A149" s="94">
        <f>'לקוחות לפי סוכן - מקור'!A129</f>
        <v/>
      </c>
      <c r="B149" s="94">
        <f>'לקוחות לפי סוכן - מקור'!C129</f>
        <v/>
      </c>
      <c r="C149" s="94">
        <f>'לקוחות לפי סוכן - מקור'!E129</f>
        <v/>
      </c>
      <c r="D149" s="102">
        <f>'לקוחות לפי סוכן - מקור'!F129</f>
        <v/>
      </c>
      <c r="E149" s="102">
        <f>'לקוחות לפי סוכן - מקור'!G129</f>
        <v/>
      </c>
      <c r="F149" s="94">
        <f>'לקוחות לפי סוכן - מקור'!D129</f>
        <v/>
      </c>
      <c r="G149" s="95">
        <f>'לקוחות לפי סוכן - מקור'!H129</f>
        <v/>
      </c>
      <c r="H149" s="95">
        <f>'לקוחות לפי סוכן - מקור'!I129</f>
        <v/>
      </c>
      <c r="I149" s="127">
        <f>'לקוחות לפי סוכן - מקור'!K129</f>
        <v/>
      </c>
    </row>
    <row r="150" outlineLevel="2" ht="15" customHeight="1" s="82">
      <c r="A150" s="94">
        <f>'לקוחות לפי סוכן - מקור'!A130</f>
        <v/>
      </c>
      <c r="B150" s="94">
        <f>'לקוחות לפי סוכן - מקור'!C130</f>
        <v/>
      </c>
      <c r="C150" s="94">
        <f>'לקוחות לפי סוכן - מקור'!E130</f>
        <v/>
      </c>
      <c r="D150" s="102">
        <f>'לקוחות לפי סוכן - מקור'!F130</f>
        <v/>
      </c>
      <c r="E150" s="102">
        <f>'לקוחות לפי סוכן - מקור'!G130</f>
        <v/>
      </c>
      <c r="F150" s="94">
        <f>'לקוחות לפי סוכן - מקור'!D130</f>
        <v/>
      </c>
      <c r="G150" s="95">
        <f>'לקוחות לפי סוכן - מקור'!H130</f>
        <v/>
      </c>
      <c r="H150" s="95">
        <f>'לקוחות לפי סוכן - מקור'!I130</f>
        <v/>
      </c>
      <c r="I150" s="127">
        <f>'לקוחות לפי סוכן - מקור'!K130</f>
        <v/>
      </c>
    </row>
    <row r="151" outlineLevel="2" ht="15" customHeight="1" s="82">
      <c r="A151" s="94">
        <f>'לקוחות לפי סוכן - מקור'!A131</f>
        <v/>
      </c>
      <c r="B151" s="94">
        <f>'לקוחות לפי סוכן - מקור'!C131</f>
        <v/>
      </c>
      <c r="C151" s="94">
        <f>'לקוחות לפי סוכן - מקור'!E131</f>
        <v/>
      </c>
      <c r="D151" s="102">
        <f>'לקוחות לפי סוכן - מקור'!F131</f>
        <v/>
      </c>
      <c r="E151" s="102">
        <f>'לקוחות לפי סוכן - מקור'!G131</f>
        <v/>
      </c>
      <c r="F151" s="94">
        <f>'לקוחות לפי סוכן - מקור'!D131</f>
        <v/>
      </c>
      <c r="G151" s="95">
        <f>'לקוחות לפי סוכן - מקור'!H131</f>
        <v/>
      </c>
      <c r="H151" s="95">
        <f>'לקוחות לפי סוכן - מקור'!I131</f>
        <v/>
      </c>
      <c r="I151" s="127">
        <f>'לקוחות לפי סוכן - מקור'!K131</f>
        <v/>
      </c>
    </row>
    <row r="152" outlineLevel="2" ht="15" customHeight="1" s="82">
      <c r="A152" s="94">
        <f>'לקוחות לפי סוכן - מקור'!A132</f>
        <v/>
      </c>
      <c r="B152" s="94">
        <f>'לקוחות לפי סוכן - מקור'!C132</f>
        <v/>
      </c>
      <c r="C152" s="94">
        <f>'לקוחות לפי סוכן - מקור'!E132</f>
        <v/>
      </c>
      <c r="D152" s="102">
        <f>'לקוחות לפי סוכן - מקור'!F132</f>
        <v/>
      </c>
      <c r="E152" s="102">
        <f>'לקוחות לפי סוכן - מקור'!G132</f>
        <v/>
      </c>
      <c r="F152" s="94">
        <f>'לקוחות לפי סוכן - מקור'!D132</f>
        <v/>
      </c>
      <c r="G152" s="95">
        <f>'לקוחות לפי סוכן - מקור'!H132</f>
        <v/>
      </c>
      <c r="H152" s="95">
        <f>'לקוחות לפי סוכן - מקור'!I132</f>
        <v/>
      </c>
      <c r="I152" s="127">
        <f>'לקוחות לפי סוכן - מקור'!K132</f>
        <v/>
      </c>
    </row>
    <row r="153" outlineLevel="2" ht="15" customHeight="1" s="82">
      <c r="A153" s="94">
        <f>'לקוחות לפי סוכן - מקור'!A133</f>
        <v/>
      </c>
      <c r="B153" s="94">
        <f>'לקוחות לפי סוכן - מקור'!C133</f>
        <v/>
      </c>
      <c r="C153" s="94">
        <f>'לקוחות לפי סוכן - מקור'!E133</f>
        <v/>
      </c>
      <c r="D153" s="102">
        <f>'לקוחות לפי סוכן - מקור'!F133</f>
        <v/>
      </c>
      <c r="E153" s="102">
        <f>'לקוחות לפי סוכן - מקור'!G133</f>
        <v/>
      </c>
      <c r="F153" s="94">
        <f>'לקוחות לפי סוכן - מקור'!D133</f>
        <v/>
      </c>
      <c r="G153" s="95">
        <f>'לקוחות לפי סוכן - מקור'!H133</f>
        <v/>
      </c>
      <c r="H153" s="95">
        <f>'לקוחות לפי סוכן - מקור'!I133</f>
        <v/>
      </c>
      <c r="I153" s="127">
        <f>'לקוחות לפי סוכן - מקור'!K133</f>
        <v/>
      </c>
    </row>
    <row r="154" outlineLevel="2" ht="15" customHeight="1" s="82">
      <c r="A154" s="94">
        <f>'לקוחות לפי סוכן - מקור'!A134</f>
        <v/>
      </c>
      <c r="B154" s="94">
        <f>'לקוחות לפי סוכן - מקור'!C134</f>
        <v/>
      </c>
      <c r="C154" s="94">
        <f>'לקוחות לפי סוכן - מקור'!E134</f>
        <v/>
      </c>
      <c r="D154" s="102">
        <f>'לקוחות לפי סוכן - מקור'!F134</f>
        <v/>
      </c>
      <c r="E154" s="102">
        <f>'לקוחות לפי סוכן - מקור'!G134</f>
        <v/>
      </c>
      <c r="F154" s="94">
        <f>'לקוחות לפי סוכן - מקור'!D134</f>
        <v/>
      </c>
      <c r="G154" s="95">
        <f>'לקוחות לפי סוכן - מקור'!H134</f>
        <v/>
      </c>
      <c r="H154" s="95">
        <f>'לקוחות לפי סוכן - מקור'!I134</f>
        <v/>
      </c>
      <c r="I154" s="127">
        <f>'לקוחות לפי סוכן - מקור'!K134</f>
        <v/>
      </c>
    </row>
    <row r="155" outlineLevel="2" ht="15" customHeight="1" s="82">
      <c r="A155" s="94">
        <f>'לקוחות לפי סוכן - מקור'!A135</f>
        <v/>
      </c>
      <c r="B155" s="94">
        <f>'לקוחות לפי סוכן - מקור'!C135</f>
        <v/>
      </c>
      <c r="C155" s="94">
        <f>'לקוחות לפי סוכן - מקור'!E135</f>
        <v/>
      </c>
      <c r="D155" s="102">
        <f>'לקוחות לפי סוכן - מקור'!F135</f>
        <v/>
      </c>
      <c r="E155" s="102">
        <f>'לקוחות לפי סוכן - מקור'!G135</f>
        <v/>
      </c>
      <c r="F155" s="94">
        <f>'לקוחות לפי סוכן - מקור'!D135</f>
        <v/>
      </c>
      <c r="G155" s="95">
        <f>'לקוחות לפי סוכן - מקור'!H135</f>
        <v/>
      </c>
      <c r="H155" s="95">
        <f>'לקוחות לפי סוכן - מקור'!I135</f>
        <v/>
      </c>
      <c r="I155" s="127">
        <f>'לקוחות לפי סוכן - מקור'!K135</f>
        <v/>
      </c>
    </row>
    <row r="156" outlineLevel="2" ht="15" customHeight="1" s="82">
      <c r="A156" s="94">
        <f>'לקוחות לפי סוכן - מקור'!A136</f>
        <v/>
      </c>
      <c r="B156" s="94">
        <f>'לקוחות לפי סוכן - מקור'!C136</f>
        <v/>
      </c>
      <c r="C156" s="94">
        <f>'לקוחות לפי סוכן - מקור'!E136</f>
        <v/>
      </c>
      <c r="D156" s="102">
        <f>'לקוחות לפי סוכן - מקור'!F136</f>
        <v/>
      </c>
      <c r="E156" s="102">
        <f>'לקוחות לפי סוכן - מקור'!G136</f>
        <v/>
      </c>
      <c r="F156" s="94">
        <f>'לקוחות לפי סוכן - מקור'!D136</f>
        <v/>
      </c>
      <c r="G156" s="95">
        <f>'לקוחות לפי סוכן - מקור'!H136</f>
        <v/>
      </c>
      <c r="H156" s="95">
        <f>'לקוחות לפי סוכן - מקור'!I136</f>
        <v/>
      </c>
      <c r="I156" s="127">
        <f>'לקוחות לפי סוכן - מקור'!K136</f>
        <v/>
      </c>
    </row>
    <row r="157" outlineLevel="2" ht="15" customHeight="1" s="82">
      <c r="A157" s="94">
        <f>'לקוחות לפי סוכן - מקור'!A137</f>
        <v/>
      </c>
      <c r="B157" s="94">
        <f>'לקוחות לפי סוכן - מקור'!C137</f>
        <v/>
      </c>
      <c r="C157" s="94">
        <f>'לקוחות לפי סוכן - מקור'!E137</f>
        <v/>
      </c>
      <c r="D157" s="102">
        <f>'לקוחות לפי סוכן - מקור'!F137</f>
        <v/>
      </c>
      <c r="E157" s="102">
        <f>'לקוחות לפי סוכן - מקור'!G137</f>
        <v/>
      </c>
      <c r="F157" s="94">
        <f>'לקוחות לפי סוכן - מקור'!D137</f>
        <v/>
      </c>
      <c r="G157" s="95">
        <f>'לקוחות לפי סוכן - מקור'!H137</f>
        <v/>
      </c>
      <c r="H157" s="95">
        <f>'לקוחות לפי סוכן - מקור'!I137</f>
        <v/>
      </c>
      <c r="I157" s="127">
        <f>'לקוחות לפי סוכן - מקור'!K137</f>
        <v/>
      </c>
    </row>
    <row r="158" outlineLevel="2" ht="15" customHeight="1" s="82">
      <c r="A158" s="94">
        <f>'לקוחות לפי סוכן - מקור'!A138</f>
        <v/>
      </c>
      <c r="B158" s="94">
        <f>'לקוחות לפי סוכן - מקור'!C138</f>
        <v/>
      </c>
      <c r="C158" s="94">
        <f>'לקוחות לפי סוכן - מקור'!E138</f>
        <v/>
      </c>
      <c r="D158" s="102">
        <f>'לקוחות לפי סוכן - מקור'!F138</f>
        <v/>
      </c>
      <c r="E158" s="102">
        <f>'לקוחות לפי סוכן - מקור'!G138</f>
        <v/>
      </c>
      <c r="F158" s="94">
        <f>'לקוחות לפי סוכן - מקור'!D138</f>
        <v/>
      </c>
      <c r="G158" s="95">
        <f>'לקוחות לפי סוכן - מקור'!H138</f>
        <v/>
      </c>
      <c r="H158" s="95">
        <f>'לקוחות לפי סוכן - מקור'!I138</f>
        <v/>
      </c>
      <c r="I158" s="127">
        <f>'לקוחות לפי סוכן - מקור'!K138</f>
        <v/>
      </c>
    </row>
    <row r="159" outlineLevel="2" ht="15" customHeight="1" s="82">
      <c r="A159" s="94">
        <f>'לקוחות לפי סוכן - מקור'!A139</f>
        <v/>
      </c>
      <c r="B159" s="94">
        <f>'לקוחות לפי סוכן - מקור'!C139</f>
        <v/>
      </c>
      <c r="C159" s="94">
        <f>'לקוחות לפי סוכן - מקור'!E139</f>
        <v/>
      </c>
      <c r="D159" s="102">
        <f>'לקוחות לפי סוכן - מקור'!F139</f>
        <v/>
      </c>
      <c r="E159" s="102">
        <f>'לקוחות לפי סוכן - מקור'!G139</f>
        <v/>
      </c>
      <c r="F159" s="94">
        <f>'לקוחות לפי סוכן - מקור'!D139</f>
        <v/>
      </c>
      <c r="G159" s="95">
        <f>'לקוחות לפי סוכן - מקור'!H139</f>
        <v/>
      </c>
      <c r="H159" s="95">
        <f>'לקוחות לפי סוכן - מקור'!I139</f>
        <v/>
      </c>
      <c r="I159" s="127">
        <f>'לקוחות לפי סוכן - מקור'!K139</f>
        <v/>
      </c>
    </row>
    <row r="160" outlineLevel="2" ht="15" customHeight="1" s="82">
      <c r="A160" s="94">
        <f>'לקוחות לפי סוכן - מקור'!A140</f>
        <v/>
      </c>
      <c r="B160" s="94">
        <f>'לקוחות לפי סוכן - מקור'!C140</f>
        <v/>
      </c>
      <c r="C160" s="94">
        <f>'לקוחות לפי סוכן - מקור'!E140</f>
        <v/>
      </c>
      <c r="D160" s="102">
        <f>'לקוחות לפי סוכן - מקור'!F140</f>
        <v/>
      </c>
      <c r="E160" s="102">
        <f>'לקוחות לפי סוכן - מקור'!G140</f>
        <v/>
      </c>
      <c r="F160" s="94">
        <f>'לקוחות לפי סוכן - מקור'!D140</f>
        <v/>
      </c>
      <c r="G160" s="95">
        <f>'לקוחות לפי סוכן - מקור'!H140</f>
        <v/>
      </c>
      <c r="H160" s="95">
        <f>'לקוחות לפי סוכן - מקור'!I140</f>
        <v/>
      </c>
      <c r="I160" s="127">
        <f>'לקוחות לפי סוכן - מקור'!K140</f>
        <v/>
      </c>
    </row>
    <row r="161" outlineLevel="2" ht="15" customHeight="1" s="82">
      <c r="A161" s="94">
        <f>'לקוחות לפי סוכן - מקור'!A141</f>
        <v/>
      </c>
      <c r="B161" s="94">
        <f>'לקוחות לפי סוכן - מקור'!C141</f>
        <v/>
      </c>
      <c r="C161" s="94">
        <f>'לקוחות לפי סוכן - מקור'!E141</f>
        <v/>
      </c>
      <c r="D161" s="102">
        <f>'לקוחות לפי סוכן - מקור'!F141</f>
        <v/>
      </c>
      <c r="E161" s="102">
        <f>'לקוחות לפי סוכן - מקור'!G141</f>
        <v/>
      </c>
      <c r="F161" s="94">
        <f>'לקוחות לפי סוכן - מקור'!D141</f>
        <v/>
      </c>
      <c r="G161" s="95">
        <f>'לקוחות לפי סוכן - מקור'!H141</f>
        <v/>
      </c>
      <c r="H161" s="95">
        <f>'לקוחות לפי סוכן - מקור'!I141</f>
        <v/>
      </c>
      <c r="I161" s="127">
        <f>'לקוחות לפי סוכן - מקור'!K141</f>
        <v/>
      </c>
    </row>
    <row r="162" outlineLevel="2" ht="15" customHeight="1" s="82">
      <c r="A162" s="94">
        <f>'לקוחות לפי סוכן - מקור'!A142</f>
        <v/>
      </c>
      <c r="B162" s="94">
        <f>'לקוחות לפי סוכן - מקור'!C142</f>
        <v/>
      </c>
      <c r="C162" s="94">
        <f>'לקוחות לפי סוכן - מקור'!E142</f>
        <v/>
      </c>
      <c r="D162" s="102">
        <f>'לקוחות לפי סוכן - מקור'!F142</f>
        <v/>
      </c>
      <c r="E162" s="102">
        <f>'לקוחות לפי סוכן - מקור'!G142</f>
        <v/>
      </c>
      <c r="F162" s="94">
        <f>'לקוחות לפי סוכן - מקור'!D142</f>
        <v/>
      </c>
      <c r="G162" s="95">
        <f>'לקוחות לפי סוכן - מקור'!H142</f>
        <v/>
      </c>
      <c r="H162" s="95">
        <f>'לקוחות לפי סוכן - מקור'!I142</f>
        <v/>
      </c>
      <c r="I162" s="127">
        <f>'לקוחות לפי סוכן - מקור'!K142</f>
        <v/>
      </c>
    </row>
    <row r="163" outlineLevel="2" ht="15" customHeight="1" s="82">
      <c r="A163" s="94">
        <f>'לקוחות לפי סוכן - מקור'!A143</f>
        <v/>
      </c>
      <c r="B163" s="94">
        <f>'לקוחות לפי סוכן - מקור'!C143</f>
        <v/>
      </c>
      <c r="C163" s="94">
        <f>'לקוחות לפי סוכן - מקור'!E143</f>
        <v/>
      </c>
      <c r="D163" s="102">
        <f>'לקוחות לפי סוכן - מקור'!F143</f>
        <v/>
      </c>
      <c r="E163" s="102">
        <f>'לקוחות לפי סוכן - מקור'!G143</f>
        <v/>
      </c>
      <c r="F163" s="94">
        <f>'לקוחות לפי סוכן - מקור'!D143</f>
        <v/>
      </c>
      <c r="G163" s="95">
        <f>'לקוחות לפי סוכן - מקור'!H143</f>
        <v/>
      </c>
      <c r="H163" s="95">
        <f>'לקוחות לפי סוכן - מקור'!I143</f>
        <v/>
      </c>
      <c r="I163" s="127">
        <f>'לקוחות לפי סוכן - מקור'!K143</f>
        <v/>
      </c>
    </row>
    <row r="164" outlineLevel="2" ht="15" customHeight="1" s="82">
      <c r="A164" s="94">
        <f>'לקוחות לפי סוכן - מקור'!A144</f>
        <v/>
      </c>
      <c r="B164" s="94">
        <f>'לקוחות לפי סוכן - מקור'!C144</f>
        <v/>
      </c>
      <c r="C164" s="94">
        <f>'לקוחות לפי סוכן - מקור'!E144</f>
        <v/>
      </c>
      <c r="D164" s="102">
        <f>'לקוחות לפי סוכן - מקור'!F144</f>
        <v/>
      </c>
      <c r="E164" s="102">
        <f>'לקוחות לפי סוכן - מקור'!G144</f>
        <v/>
      </c>
      <c r="F164" s="94">
        <f>'לקוחות לפי סוכן - מקור'!D144</f>
        <v/>
      </c>
      <c r="G164" s="95">
        <f>'לקוחות לפי סוכן - מקור'!H144</f>
        <v/>
      </c>
      <c r="H164" s="95">
        <f>'לקוחות לפי סוכן - מקור'!I144</f>
        <v/>
      </c>
      <c r="I164" s="127">
        <f>'לקוחות לפי סוכן - מקור'!K144</f>
        <v/>
      </c>
    </row>
    <row r="165" outlineLevel="2" ht="15" customHeight="1" s="82">
      <c r="A165" s="94">
        <f>'לקוחות לפי סוכן - מקור'!A145</f>
        <v/>
      </c>
      <c r="B165" s="94">
        <f>'לקוחות לפי סוכן - מקור'!C145</f>
        <v/>
      </c>
      <c r="C165" s="94">
        <f>'לקוחות לפי סוכן - מקור'!E145</f>
        <v/>
      </c>
      <c r="D165" s="102">
        <f>'לקוחות לפי סוכן - מקור'!F145</f>
        <v/>
      </c>
      <c r="E165" s="102">
        <f>'לקוחות לפי סוכן - מקור'!G145</f>
        <v/>
      </c>
      <c r="F165" s="94">
        <f>'לקוחות לפי סוכן - מקור'!D145</f>
        <v/>
      </c>
      <c r="G165" s="95">
        <f>'לקוחות לפי סוכן - מקור'!H145</f>
        <v/>
      </c>
      <c r="H165" s="95">
        <f>'לקוחות לפי סוכן - מקור'!I145</f>
        <v/>
      </c>
      <c r="I165" s="127">
        <f>'לקוחות לפי סוכן - מקור'!K145</f>
        <v/>
      </c>
    </row>
    <row r="166" outlineLevel="1" ht="15" customHeight="1" s="82">
      <c r="A166" s="128" t="inlineStr">
        <is>
          <t>אזולאי דוד</t>
        </is>
      </c>
      <c r="B166" s="129" t="inlineStr">
        <is>
          <t>שופרסל BE</t>
        </is>
      </c>
      <c r="C166" s="130" t="n"/>
      <c r="D166" s="131">
        <f>SUMIFS('לקוחות לפי סוכן - מקור'!$F$2:$F$867,'לקוחות לפי סוכן - מקור'!$A$2:$A$867,$A166,'לקוחות לפי סוכן - מקור'!$C$2:$C$867,$B166)</f>
        <v/>
      </c>
      <c r="E166" s="131">
        <f>SUMIFS('לקוחות לפי סוכן - מקור'!$G$2:$G$867,'לקוחות לפי סוכן - מקור'!$A$2:$A$867,$A166,'לקוחות לפי סוכן - מקור'!$C$2:$C$867,$B166)</f>
        <v/>
      </c>
      <c r="F166" s="130" t="n"/>
      <c r="G166" s="132">
        <f>SUMIFS('לקוחות לפי סוכן - מקור'!$H$2:$H$867,'לקוחות לפי סוכן - מקור'!$A$2:$A$867,$A166,'לקוחות לפי סוכן - מקור'!$C$2:$C$867,$B166)</f>
        <v/>
      </c>
      <c r="H166" s="132">
        <f>SUMIFS('לקוחות לפי סוכן - מקור'!$I$2:$I$867,'לקוחות לפי סוכן - מקור'!$A$2:$A$867,$A166,'לקוחות לפי סוכן - מקור'!$C$2:$C$867,$B166)</f>
        <v/>
      </c>
      <c r="I166" s="130" t="n"/>
      <c r="J166" s="132">
        <f>COUNTIFS('לקוחות לפי סוכן - מקור'!$A$2:$A$867,$A166,'לקוחות לפי סוכן - מקור'!$C$2:$C$867,$B166)</f>
        <v/>
      </c>
    </row>
    <row r="167" outlineLevel="2" ht="15" customHeight="1" s="82">
      <c r="A167" s="94">
        <f>'לקוחות לפי סוכן - מקור'!A146</f>
        <v/>
      </c>
      <c r="B167" s="94">
        <f>'לקוחות לפי סוכן - מקור'!C146</f>
        <v/>
      </c>
      <c r="C167" s="94">
        <f>'לקוחות לפי סוכן - מקור'!E146</f>
        <v/>
      </c>
      <c r="D167" s="102">
        <f>'לקוחות לפי סוכן - מקור'!F146</f>
        <v/>
      </c>
      <c r="E167" s="102">
        <f>'לקוחות לפי סוכן - מקור'!G146</f>
        <v/>
      </c>
      <c r="F167" s="94">
        <f>'לקוחות לפי סוכן - מקור'!D146</f>
        <v/>
      </c>
      <c r="G167" s="95">
        <f>'לקוחות לפי סוכן - מקור'!H146</f>
        <v/>
      </c>
      <c r="H167" s="95">
        <f>'לקוחות לפי סוכן - מקור'!I146</f>
        <v/>
      </c>
      <c r="I167" s="127">
        <f>'לקוחות לפי סוכן - מקור'!K146</f>
        <v/>
      </c>
    </row>
    <row r="168" outlineLevel="2" ht="15" customHeight="1" s="82">
      <c r="A168" s="94">
        <f>'לקוחות לפי סוכן - מקור'!A147</f>
        <v/>
      </c>
      <c r="B168" s="94">
        <f>'לקוחות לפי סוכן - מקור'!C147</f>
        <v/>
      </c>
      <c r="C168" s="94">
        <f>'לקוחות לפי סוכן - מקור'!E147</f>
        <v/>
      </c>
      <c r="D168" s="102">
        <f>'לקוחות לפי סוכן - מקור'!F147</f>
        <v/>
      </c>
      <c r="E168" s="102">
        <f>'לקוחות לפי סוכן - מקור'!G147</f>
        <v/>
      </c>
      <c r="F168" s="94">
        <f>'לקוחות לפי סוכן - מקור'!D147</f>
        <v/>
      </c>
      <c r="G168" s="95">
        <f>'לקוחות לפי סוכן - מקור'!H147</f>
        <v/>
      </c>
      <c r="H168" s="95">
        <f>'לקוחות לפי סוכן - מקור'!I147</f>
        <v/>
      </c>
      <c r="I168" s="127">
        <f>'לקוחות לפי סוכן - מקור'!K147</f>
        <v/>
      </c>
    </row>
    <row r="169" outlineLevel="2" ht="15" customHeight="1" s="82">
      <c r="A169" s="94">
        <f>'לקוחות לפי סוכן - מקור'!A148</f>
        <v/>
      </c>
      <c r="B169" s="94">
        <f>'לקוחות לפי סוכן - מקור'!C148</f>
        <v/>
      </c>
      <c r="C169" s="94">
        <f>'לקוחות לפי סוכן - מקור'!E148</f>
        <v/>
      </c>
      <c r="D169" s="102">
        <f>'לקוחות לפי סוכן - מקור'!F148</f>
        <v/>
      </c>
      <c r="E169" s="102">
        <f>'לקוחות לפי סוכן - מקור'!G148</f>
        <v/>
      </c>
      <c r="F169" s="94">
        <f>'לקוחות לפי סוכן - מקור'!D148</f>
        <v/>
      </c>
      <c r="G169" s="95">
        <f>'לקוחות לפי סוכן - מקור'!H148</f>
        <v/>
      </c>
      <c r="H169" s="95">
        <f>'לקוחות לפי סוכן - מקור'!I148</f>
        <v/>
      </c>
      <c r="I169" s="127">
        <f>'לקוחות לפי סוכן - מקור'!K148</f>
        <v/>
      </c>
    </row>
    <row r="170" outlineLevel="2" ht="15" customHeight="1" s="82">
      <c r="A170" s="94">
        <f>'לקוחות לפי סוכן - מקור'!A149</f>
        <v/>
      </c>
      <c r="B170" s="94">
        <f>'לקוחות לפי סוכן - מקור'!C149</f>
        <v/>
      </c>
      <c r="C170" s="94">
        <f>'לקוחות לפי סוכן - מקור'!E149</f>
        <v/>
      </c>
      <c r="D170" s="102">
        <f>'לקוחות לפי סוכן - מקור'!F149</f>
        <v/>
      </c>
      <c r="E170" s="102">
        <f>'לקוחות לפי סוכן - מקור'!G149</f>
        <v/>
      </c>
      <c r="F170" s="94">
        <f>'לקוחות לפי סוכן - מקור'!D149</f>
        <v/>
      </c>
      <c r="G170" s="95">
        <f>'לקוחות לפי סוכן - מקור'!H149</f>
        <v/>
      </c>
      <c r="H170" s="95">
        <f>'לקוחות לפי סוכן - מקור'!I149</f>
        <v/>
      </c>
      <c r="I170" s="127">
        <f>'לקוחות לפי סוכן - מקור'!K149</f>
        <v/>
      </c>
    </row>
    <row r="171" outlineLevel="2" ht="15" customHeight="1" s="82">
      <c r="A171" s="94">
        <f>'לקוחות לפי סוכן - מקור'!A150</f>
        <v/>
      </c>
      <c r="B171" s="94">
        <f>'לקוחות לפי סוכן - מקור'!C150</f>
        <v/>
      </c>
      <c r="C171" s="94">
        <f>'לקוחות לפי סוכן - מקור'!E150</f>
        <v/>
      </c>
      <c r="D171" s="102">
        <f>'לקוחות לפי סוכן - מקור'!F150</f>
        <v/>
      </c>
      <c r="E171" s="102">
        <f>'לקוחות לפי סוכן - מקור'!G150</f>
        <v/>
      </c>
      <c r="F171" s="94">
        <f>'לקוחות לפי סוכן - מקור'!D150</f>
        <v/>
      </c>
      <c r="G171" s="95">
        <f>'לקוחות לפי סוכן - מקור'!H150</f>
        <v/>
      </c>
      <c r="H171" s="95">
        <f>'לקוחות לפי סוכן - מקור'!I150</f>
        <v/>
      </c>
      <c r="I171" s="127">
        <f>'לקוחות לפי סוכן - מקור'!K150</f>
        <v/>
      </c>
    </row>
    <row r="172" outlineLevel="2" ht="15" customHeight="1" s="82">
      <c r="A172" s="94">
        <f>'לקוחות לפי סוכן - מקור'!A151</f>
        <v/>
      </c>
      <c r="B172" s="94">
        <f>'לקוחות לפי סוכן - מקור'!C151</f>
        <v/>
      </c>
      <c r="C172" s="94">
        <f>'לקוחות לפי סוכן - מקור'!E151</f>
        <v/>
      </c>
      <c r="D172" s="102">
        <f>'לקוחות לפי סוכן - מקור'!F151</f>
        <v/>
      </c>
      <c r="E172" s="102">
        <f>'לקוחות לפי סוכן - מקור'!G151</f>
        <v/>
      </c>
      <c r="F172" s="94">
        <f>'לקוחות לפי סוכן - מקור'!D151</f>
        <v/>
      </c>
      <c r="G172" s="95">
        <f>'לקוחות לפי סוכן - מקור'!H151</f>
        <v/>
      </c>
      <c r="H172" s="95">
        <f>'לקוחות לפי סוכן - מקור'!I151</f>
        <v/>
      </c>
      <c r="I172" s="127">
        <f>'לקוחות לפי סוכן - מקור'!K151</f>
        <v/>
      </c>
    </row>
    <row r="173" outlineLevel="2" ht="15" customHeight="1" s="82">
      <c r="A173" s="94">
        <f>'לקוחות לפי סוכן - מקור'!A152</f>
        <v/>
      </c>
      <c r="B173" s="94">
        <f>'לקוחות לפי סוכן - מקור'!C152</f>
        <v/>
      </c>
      <c r="C173" s="94">
        <f>'לקוחות לפי סוכן - מקור'!E152</f>
        <v/>
      </c>
      <c r="D173" s="102">
        <f>'לקוחות לפי סוכן - מקור'!F152</f>
        <v/>
      </c>
      <c r="E173" s="102">
        <f>'לקוחות לפי סוכן - מקור'!G152</f>
        <v/>
      </c>
      <c r="F173" s="94">
        <f>'לקוחות לפי סוכן - מקור'!D152</f>
        <v/>
      </c>
      <c r="G173" s="95">
        <f>'לקוחות לפי סוכן - מקור'!H152</f>
        <v/>
      </c>
      <c r="H173" s="95">
        <f>'לקוחות לפי סוכן - מקור'!I152</f>
        <v/>
      </c>
      <c r="I173" s="127">
        <f>'לקוחות לפי סוכן - מקור'!K152</f>
        <v/>
      </c>
    </row>
    <row r="174" outlineLevel="2" ht="15" customHeight="1" s="82">
      <c r="A174" s="94">
        <f>'לקוחות לפי סוכן - מקור'!A153</f>
        <v/>
      </c>
      <c r="B174" s="94">
        <f>'לקוחות לפי סוכן - מקור'!C153</f>
        <v/>
      </c>
      <c r="C174" s="94">
        <f>'לקוחות לפי סוכן - מקור'!E153</f>
        <v/>
      </c>
      <c r="D174" s="102">
        <f>'לקוחות לפי סוכן - מקור'!F153</f>
        <v/>
      </c>
      <c r="E174" s="102">
        <f>'לקוחות לפי סוכן - מקור'!G153</f>
        <v/>
      </c>
      <c r="F174" s="94">
        <f>'לקוחות לפי סוכן - מקור'!D153</f>
        <v/>
      </c>
      <c r="G174" s="95">
        <f>'לקוחות לפי סוכן - מקור'!H153</f>
        <v/>
      </c>
      <c r="H174" s="95">
        <f>'לקוחות לפי סוכן - מקור'!I153</f>
        <v/>
      </c>
      <c r="I174" s="127">
        <f>'לקוחות לפי סוכן - מקור'!K153</f>
        <v/>
      </c>
    </row>
    <row r="175" outlineLevel="2" ht="15" customHeight="1" s="82">
      <c r="A175" s="94">
        <f>'לקוחות לפי סוכן - מקור'!A154</f>
        <v/>
      </c>
      <c r="B175" s="94">
        <f>'לקוחות לפי סוכן - מקור'!C154</f>
        <v/>
      </c>
      <c r="C175" s="94">
        <f>'לקוחות לפי סוכן - מקור'!E154</f>
        <v/>
      </c>
      <c r="D175" s="102">
        <f>'לקוחות לפי סוכן - מקור'!F154</f>
        <v/>
      </c>
      <c r="E175" s="102">
        <f>'לקוחות לפי סוכן - מקור'!G154</f>
        <v/>
      </c>
      <c r="F175" s="94">
        <f>'לקוחות לפי סוכן - מקור'!D154</f>
        <v/>
      </c>
      <c r="G175" s="95">
        <f>'לקוחות לפי סוכן - מקור'!H154</f>
        <v/>
      </c>
      <c r="H175" s="95">
        <f>'לקוחות לפי סוכן - מקור'!I154</f>
        <v/>
      </c>
      <c r="I175" s="127">
        <f>'לקוחות לפי סוכן - מקור'!K154</f>
        <v/>
      </c>
    </row>
    <row r="176" outlineLevel="2" ht="15" customHeight="1" s="82">
      <c r="A176" s="94">
        <f>'לקוחות לפי סוכן - מקור'!A155</f>
        <v/>
      </c>
      <c r="B176" s="94">
        <f>'לקוחות לפי סוכן - מקור'!C155</f>
        <v/>
      </c>
      <c r="C176" s="94">
        <f>'לקוחות לפי סוכן - מקור'!E155</f>
        <v/>
      </c>
      <c r="D176" s="102">
        <f>'לקוחות לפי סוכן - מקור'!F155</f>
        <v/>
      </c>
      <c r="E176" s="102">
        <f>'לקוחות לפי סוכן - מקור'!G155</f>
        <v/>
      </c>
      <c r="F176" s="94">
        <f>'לקוחות לפי סוכן - מקור'!D155</f>
        <v/>
      </c>
      <c r="G176" s="95">
        <f>'לקוחות לפי סוכן - מקור'!H155</f>
        <v/>
      </c>
      <c r="H176" s="95">
        <f>'לקוחות לפי סוכן - מקור'!I155</f>
        <v/>
      </c>
      <c r="I176" s="127">
        <f>'לקוחות לפי סוכן - מקור'!K155</f>
        <v/>
      </c>
    </row>
    <row r="177" outlineLevel="2" ht="15" customHeight="1" s="82">
      <c r="A177" s="94">
        <f>'לקוחות לפי סוכן - מקור'!A156</f>
        <v/>
      </c>
      <c r="B177" s="94">
        <f>'לקוחות לפי סוכן - מקור'!C156</f>
        <v/>
      </c>
      <c r="C177" s="94">
        <f>'לקוחות לפי סוכן - מקור'!E156</f>
        <v/>
      </c>
      <c r="D177" s="102">
        <f>'לקוחות לפי סוכן - מקור'!F156</f>
        <v/>
      </c>
      <c r="E177" s="102">
        <f>'לקוחות לפי סוכן - מקור'!G156</f>
        <v/>
      </c>
      <c r="F177" s="94">
        <f>'לקוחות לפי סוכן - מקור'!D156</f>
        <v/>
      </c>
      <c r="G177" s="95">
        <f>'לקוחות לפי סוכן - מקור'!H156</f>
        <v/>
      </c>
      <c r="H177" s="95">
        <f>'לקוחות לפי סוכן - מקור'!I156</f>
        <v/>
      </c>
      <c r="I177" s="127">
        <f>'לקוחות לפי סוכן - מקור'!K156</f>
        <v/>
      </c>
    </row>
    <row r="178" outlineLevel="2" ht="15" customHeight="1" s="82">
      <c r="A178" s="94">
        <f>'לקוחות לפי סוכן - מקור'!A157</f>
        <v/>
      </c>
      <c r="B178" s="94">
        <f>'לקוחות לפי סוכן - מקור'!C157</f>
        <v/>
      </c>
      <c r="C178" s="94">
        <f>'לקוחות לפי סוכן - מקור'!E157</f>
        <v/>
      </c>
      <c r="D178" s="102">
        <f>'לקוחות לפי סוכן - מקור'!F157</f>
        <v/>
      </c>
      <c r="E178" s="102">
        <f>'לקוחות לפי סוכן - מקור'!G157</f>
        <v/>
      </c>
      <c r="F178" s="94">
        <f>'לקוחות לפי סוכן - מקור'!D157</f>
        <v/>
      </c>
      <c r="G178" s="95">
        <f>'לקוחות לפי סוכן - מקור'!H157</f>
        <v/>
      </c>
      <c r="H178" s="95">
        <f>'לקוחות לפי סוכן - מקור'!I157</f>
        <v/>
      </c>
      <c r="I178" s="127">
        <f>'לקוחות לפי סוכן - מקור'!K157</f>
        <v/>
      </c>
    </row>
    <row r="179" outlineLevel="2" ht="15" customHeight="1" s="82">
      <c r="A179" s="94">
        <f>'לקוחות לפי סוכן - מקור'!A158</f>
        <v/>
      </c>
      <c r="B179" s="94">
        <f>'לקוחות לפי סוכן - מקור'!C158</f>
        <v/>
      </c>
      <c r="C179" s="94">
        <f>'לקוחות לפי סוכן - מקור'!E158</f>
        <v/>
      </c>
      <c r="D179" s="102">
        <f>'לקוחות לפי סוכן - מקור'!F158</f>
        <v/>
      </c>
      <c r="E179" s="102">
        <f>'לקוחות לפי סוכן - מקור'!G158</f>
        <v/>
      </c>
      <c r="F179" s="94">
        <f>'לקוחות לפי סוכן - מקור'!D158</f>
        <v/>
      </c>
      <c r="G179" s="95">
        <f>'לקוחות לפי סוכן - מקור'!H158</f>
        <v/>
      </c>
      <c r="H179" s="95">
        <f>'לקוחות לפי סוכן - מקור'!I158</f>
        <v/>
      </c>
      <c r="I179" s="127">
        <f>'לקוחות לפי סוכן - מקור'!K158</f>
        <v/>
      </c>
    </row>
    <row r="180" outlineLevel="2" ht="15" customHeight="1" s="82">
      <c r="A180" s="94">
        <f>'לקוחות לפי סוכן - מקור'!A159</f>
        <v/>
      </c>
      <c r="B180" s="94">
        <f>'לקוחות לפי סוכן - מקור'!C159</f>
        <v/>
      </c>
      <c r="C180" s="94">
        <f>'לקוחות לפי סוכן - מקור'!E159</f>
        <v/>
      </c>
      <c r="D180" s="102">
        <f>'לקוחות לפי סוכן - מקור'!F159</f>
        <v/>
      </c>
      <c r="E180" s="102">
        <f>'לקוחות לפי סוכן - מקור'!G159</f>
        <v/>
      </c>
      <c r="F180" s="94">
        <f>'לקוחות לפי סוכן - מקור'!D159</f>
        <v/>
      </c>
      <c r="G180" s="95">
        <f>'לקוחות לפי סוכן - מקור'!H159</f>
        <v/>
      </c>
      <c r="H180" s="95">
        <f>'לקוחות לפי סוכן - מקור'!I159</f>
        <v/>
      </c>
      <c r="I180" s="127">
        <f>'לקוחות לפי סוכן - מקור'!K159</f>
        <v/>
      </c>
    </row>
    <row r="181" outlineLevel="2" ht="15" customHeight="1" s="82">
      <c r="A181" s="94">
        <f>'לקוחות לפי סוכן - מקור'!A160</f>
        <v/>
      </c>
      <c r="B181" s="94">
        <f>'לקוחות לפי סוכן - מקור'!C160</f>
        <v/>
      </c>
      <c r="C181" s="94">
        <f>'לקוחות לפי סוכן - מקור'!E160</f>
        <v/>
      </c>
      <c r="D181" s="102">
        <f>'לקוחות לפי סוכן - מקור'!F160</f>
        <v/>
      </c>
      <c r="E181" s="102">
        <f>'לקוחות לפי סוכן - מקור'!G160</f>
        <v/>
      </c>
      <c r="F181" s="94">
        <f>'לקוחות לפי סוכן - מקור'!D160</f>
        <v/>
      </c>
      <c r="G181" s="95">
        <f>'לקוחות לפי סוכן - מקור'!H160</f>
        <v/>
      </c>
      <c r="H181" s="95">
        <f>'לקוחות לפי סוכן - מקור'!I160</f>
        <v/>
      </c>
      <c r="I181" s="127">
        <f>'לקוחות לפי סוכן - מקור'!K160</f>
        <v/>
      </c>
    </row>
    <row r="182" outlineLevel="2" ht="15" customHeight="1" s="82">
      <c r="A182" s="94">
        <f>'לקוחות לפי סוכן - מקור'!A161</f>
        <v/>
      </c>
      <c r="B182" s="94">
        <f>'לקוחות לפי סוכן - מקור'!C161</f>
        <v/>
      </c>
      <c r="C182" s="94">
        <f>'לקוחות לפי סוכן - מקור'!E161</f>
        <v/>
      </c>
      <c r="D182" s="102">
        <f>'לקוחות לפי סוכן - מקור'!F161</f>
        <v/>
      </c>
      <c r="E182" s="102">
        <f>'לקוחות לפי סוכן - מקור'!G161</f>
        <v/>
      </c>
      <c r="F182" s="94">
        <f>'לקוחות לפי סוכן - מקור'!D161</f>
        <v/>
      </c>
      <c r="G182" s="95">
        <f>'לקוחות לפי סוכן - מקור'!H161</f>
        <v/>
      </c>
      <c r="H182" s="95">
        <f>'לקוחות לפי סוכן - מקור'!I161</f>
        <v/>
      </c>
      <c r="I182" s="127">
        <f>'לקוחות לפי סוכן - מקור'!K161</f>
        <v/>
      </c>
    </row>
    <row r="183" outlineLevel="2" ht="15" customHeight="1" s="82">
      <c r="A183" s="94">
        <f>'לקוחות לפי סוכן - מקור'!A162</f>
        <v/>
      </c>
      <c r="B183" s="94">
        <f>'לקוחות לפי סוכן - מקור'!C162</f>
        <v/>
      </c>
      <c r="C183" s="94">
        <f>'לקוחות לפי סוכן - מקור'!E162</f>
        <v/>
      </c>
      <c r="D183" s="102">
        <f>'לקוחות לפי סוכן - מקור'!F162</f>
        <v/>
      </c>
      <c r="E183" s="102">
        <f>'לקוחות לפי סוכן - מקור'!G162</f>
        <v/>
      </c>
      <c r="F183" s="94">
        <f>'לקוחות לפי סוכן - מקור'!D162</f>
        <v/>
      </c>
      <c r="G183" s="95">
        <f>'לקוחות לפי סוכן - מקור'!H162</f>
        <v/>
      </c>
      <c r="H183" s="95">
        <f>'לקוחות לפי סוכן - מקור'!I162</f>
        <v/>
      </c>
      <c r="I183" s="127">
        <f>'לקוחות לפי סוכן - מקור'!K162</f>
        <v/>
      </c>
    </row>
    <row r="184" outlineLevel="1" ht="15" customHeight="1" s="82">
      <c r="A184" s="128" t="inlineStr">
        <is>
          <t>אזולאי דוד</t>
        </is>
      </c>
      <c r="B184" s="129" t="inlineStr">
        <is>
          <t>0קופות חולים</t>
        </is>
      </c>
      <c r="C184" s="130" t="n"/>
      <c r="D184" s="131">
        <f>SUMIFS('לקוחות לפי סוכן - מקור'!$F$2:$F$867,'לקוחות לפי סוכן - מקור'!$A$2:$A$867,$A184,'לקוחות לפי סוכן - מקור'!$C$2:$C$867,$B184)</f>
        <v/>
      </c>
      <c r="E184" s="131">
        <f>SUMIFS('לקוחות לפי סוכן - מקור'!$G$2:$G$867,'לקוחות לפי סוכן - מקור'!$A$2:$A$867,$A184,'לקוחות לפי סוכן - מקור'!$C$2:$C$867,$B184)</f>
        <v/>
      </c>
      <c r="F184" s="130" t="n"/>
      <c r="G184" s="132">
        <f>SUMIFS('לקוחות לפי סוכן - מקור'!$H$2:$H$867,'לקוחות לפי סוכן - מקור'!$A$2:$A$867,$A184,'לקוחות לפי סוכן - מקור'!$C$2:$C$867,$B184)</f>
        <v/>
      </c>
      <c r="H184" s="132">
        <f>SUMIFS('לקוחות לפי סוכן - מקור'!$I$2:$I$867,'לקוחות לפי סוכן - מקור'!$A$2:$A$867,$A184,'לקוחות לפי סוכן - מקור'!$C$2:$C$867,$B184)</f>
        <v/>
      </c>
      <c r="I184" s="130" t="n"/>
      <c r="J184" s="132">
        <f>COUNTIFS('לקוחות לפי סוכן - מקור'!$A$2:$A$867,$A184,'לקוחות לפי סוכן - מקור'!$C$2:$C$867,$B184)</f>
        <v/>
      </c>
    </row>
    <row r="185" outlineLevel="2" ht="15" customHeight="1" s="82">
      <c r="A185" s="94">
        <f>'לקוחות לפי סוכן - מקור'!A164</f>
        <v/>
      </c>
      <c r="B185" s="94">
        <f>'לקוחות לפי סוכן - מקור'!C164</f>
        <v/>
      </c>
      <c r="C185" s="94">
        <f>'לקוחות לפי סוכן - מקור'!E164</f>
        <v/>
      </c>
      <c r="D185" s="102">
        <f>'לקוחות לפי סוכן - מקור'!F164</f>
        <v/>
      </c>
      <c r="E185" s="102">
        <f>'לקוחות לפי סוכן - מקור'!G164</f>
        <v/>
      </c>
      <c r="F185" s="94">
        <f>'לקוחות לפי סוכן - מקור'!D164</f>
        <v/>
      </c>
      <c r="G185" s="95">
        <f>'לקוחות לפי סוכן - מקור'!H164</f>
        <v/>
      </c>
      <c r="H185" s="95">
        <f>'לקוחות לפי סוכן - מקור'!I164</f>
        <v/>
      </c>
      <c r="I185" s="127">
        <f>'לקוחות לפי סוכן - מקור'!K164</f>
        <v/>
      </c>
    </row>
    <row r="186" outlineLevel="2" ht="15" customHeight="1" s="82">
      <c r="A186" s="94">
        <f>'לקוחות לפי סוכן - מקור'!A165</f>
        <v/>
      </c>
      <c r="B186" s="94">
        <f>'לקוחות לפי סוכן - מקור'!C165</f>
        <v/>
      </c>
      <c r="C186" s="94">
        <f>'לקוחות לפי סוכן - מקור'!E165</f>
        <v/>
      </c>
      <c r="D186" s="102">
        <f>'לקוחות לפי סוכן - מקור'!F165</f>
        <v/>
      </c>
      <c r="E186" s="102">
        <f>'לקוחות לפי סוכן - מקור'!G165</f>
        <v/>
      </c>
      <c r="F186" s="94">
        <f>'לקוחות לפי סוכן - מקור'!D165</f>
        <v/>
      </c>
      <c r="G186" s="95">
        <f>'לקוחות לפי סוכן - מקור'!H165</f>
        <v/>
      </c>
      <c r="H186" s="95">
        <f>'לקוחות לפי סוכן - מקור'!I165</f>
        <v/>
      </c>
      <c r="I186" s="127">
        <f>'לקוחות לפי סוכן - מקור'!K165</f>
        <v/>
      </c>
    </row>
    <row r="187" outlineLevel="2" ht="15" customHeight="1" s="82">
      <c r="A187" s="94">
        <f>'לקוחות לפי סוכן - מקור'!A166</f>
        <v/>
      </c>
      <c r="B187" s="94">
        <f>'לקוחות לפי סוכן - מקור'!C166</f>
        <v/>
      </c>
      <c r="C187" s="94">
        <f>'לקוחות לפי סוכן - מקור'!E166</f>
        <v/>
      </c>
      <c r="D187" s="102">
        <f>'לקוחות לפי סוכן - מקור'!F166</f>
        <v/>
      </c>
      <c r="E187" s="102">
        <f>'לקוחות לפי סוכן - מקור'!G166</f>
        <v/>
      </c>
      <c r="F187" s="94">
        <f>'לקוחות לפי סוכן - מקור'!D166</f>
        <v/>
      </c>
      <c r="G187" s="95">
        <f>'לקוחות לפי סוכן - מקור'!H166</f>
        <v/>
      </c>
      <c r="H187" s="95">
        <f>'לקוחות לפי סוכן - מקור'!I166</f>
        <v/>
      </c>
      <c r="I187" s="127">
        <f>'לקוחות לפי סוכן - מקור'!K166</f>
        <v/>
      </c>
    </row>
    <row r="188" outlineLevel="2" ht="15" customHeight="1" s="82">
      <c r="A188" s="94">
        <f>'לקוחות לפי סוכן - מקור'!A167</f>
        <v/>
      </c>
      <c r="B188" s="94">
        <f>'לקוחות לפי סוכן - מקור'!C167</f>
        <v/>
      </c>
      <c r="C188" s="94">
        <f>'לקוחות לפי סוכן - מקור'!E167</f>
        <v/>
      </c>
      <c r="D188" s="102">
        <f>'לקוחות לפי סוכן - מקור'!F167</f>
        <v/>
      </c>
      <c r="E188" s="102">
        <f>'לקוחות לפי סוכן - מקור'!G167</f>
        <v/>
      </c>
      <c r="F188" s="94">
        <f>'לקוחות לפי סוכן - מקור'!D167</f>
        <v/>
      </c>
      <c r="G188" s="95">
        <f>'לקוחות לפי סוכן - מקור'!H167</f>
        <v/>
      </c>
      <c r="H188" s="95">
        <f>'לקוחות לפי סוכן - מקור'!I167</f>
        <v/>
      </c>
      <c r="I188" s="127">
        <f>'לקוחות לפי סוכן - מקור'!K167</f>
        <v/>
      </c>
    </row>
    <row r="189" outlineLevel="2" ht="15" customHeight="1" s="82">
      <c r="A189" s="94">
        <f>'לקוחות לפי סוכן - מקור'!A168</f>
        <v/>
      </c>
      <c r="B189" s="94">
        <f>'לקוחות לפי סוכן - מקור'!C168</f>
        <v/>
      </c>
      <c r="C189" s="94">
        <f>'לקוחות לפי סוכן - מקור'!E168</f>
        <v/>
      </c>
      <c r="D189" s="102">
        <f>'לקוחות לפי סוכן - מקור'!F168</f>
        <v/>
      </c>
      <c r="E189" s="102">
        <f>'לקוחות לפי סוכן - מקור'!G168</f>
        <v/>
      </c>
      <c r="F189" s="94">
        <f>'לקוחות לפי סוכן - מקור'!D168</f>
        <v/>
      </c>
      <c r="G189" s="95">
        <f>'לקוחות לפי סוכן - מקור'!H168</f>
        <v/>
      </c>
      <c r="H189" s="95">
        <f>'לקוחות לפי סוכן - מקור'!I168</f>
        <v/>
      </c>
      <c r="I189" s="127">
        <f>'לקוחות לפי סוכן - מקור'!K168</f>
        <v/>
      </c>
    </row>
    <row r="190" outlineLevel="2" ht="15" customHeight="1" s="82">
      <c r="A190" s="94">
        <f>'לקוחות לפי סוכן - מקור'!A169</f>
        <v/>
      </c>
      <c r="B190" s="94">
        <f>'לקוחות לפי סוכן - מקור'!C169</f>
        <v/>
      </c>
      <c r="C190" s="94">
        <f>'לקוחות לפי סוכן - מקור'!E169</f>
        <v/>
      </c>
      <c r="D190" s="102">
        <f>'לקוחות לפי סוכן - מקור'!F169</f>
        <v/>
      </c>
      <c r="E190" s="102">
        <f>'לקוחות לפי סוכן - מקור'!G169</f>
        <v/>
      </c>
      <c r="F190" s="94">
        <f>'לקוחות לפי סוכן - מקור'!D169</f>
        <v/>
      </c>
      <c r="G190" s="95">
        <f>'לקוחות לפי סוכן - מקור'!H169</f>
        <v/>
      </c>
      <c r="H190" s="95">
        <f>'לקוחות לפי סוכן - מקור'!I169</f>
        <v/>
      </c>
      <c r="I190" s="127">
        <f>'לקוחות לפי סוכן - מקור'!K169</f>
        <v/>
      </c>
    </row>
    <row r="191" outlineLevel="2" ht="15" customHeight="1" s="82">
      <c r="A191" s="94">
        <f>'לקוחות לפי סוכן - מקור'!A170</f>
        <v/>
      </c>
      <c r="B191" s="94">
        <f>'לקוחות לפי סוכן - מקור'!C170</f>
        <v/>
      </c>
      <c r="C191" s="94">
        <f>'לקוחות לפי סוכן - מקור'!E170</f>
        <v/>
      </c>
      <c r="D191" s="102">
        <f>'לקוחות לפי סוכן - מקור'!F170</f>
        <v/>
      </c>
      <c r="E191" s="102">
        <f>'לקוחות לפי סוכן - מקור'!G170</f>
        <v/>
      </c>
      <c r="F191" s="94">
        <f>'לקוחות לפי סוכן - מקור'!D170</f>
        <v/>
      </c>
      <c r="G191" s="95">
        <f>'לקוחות לפי סוכן - מקור'!H170</f>
        <v/>
      </c>
      <c r="H191" s="95">
        <f>'לקוחות לפי סוכן - מקור'!I170</f>
        <v/>
      </c>
      <c r="I191" s="127">
        <f>'לקוחות לפי סוכן - מקור'!K170</f>
        <v/>
      </c>
    </row>
    <row r="192" outlineLevel="2" ht="15" customHeight="1" s="82">
      <c r="A192" s="94">
        <f>'לקוחות לפי סוכן - מקור'!A171</f>
        <v/>
      </c>
      <c r="B192" s="94">
        <f>'לקוחות לפי סוכן - מקור'!C171</f>
        <v/>
      </c>
      <c r="C192" s="94">
        <f>'לקוחות לפי סוכן - מקור'!E171</f>
        <v/>
      </c>
      <c r="D192" s="102">
        <f>'לקוחות לפי סוכן - מקור'!F171</f>
        <v/>
      </c>
      <c r="E192" s="102">
        <f>'לקוחות לפי סוכן - מקור'!G171</f>
        <v/>
      </c>
      <c r="F192" s="94">
        <f>'לקוחות לפי סוכן - מקור'!D171</f>
        <v/>
      </c>
      <c r="G192" s="95">
        <f>'לקוחות לפי סוכן - מקור'!H171</f>
        <v/>
      </c>
      <c r="H192" s="95">
        <f>'לקוחות לפי סוכן - מקור'!I171</f>
        <v/>
      </c>
      <c r="I192" s="127">
        <f>'לקוחות לפי סוכן - מקור'!K171</f>
        <v/>
      </c>
    </row>
    <row r="193" outlineLevel="2" ht="15" customHeight="1" s="82">
      <c r="A193" s="94">
        <f>'לקוחות לפי סוכן - מקור'!A172</f>
        <v/>
      </c>
      <c r="B193" s="94">
        <f>'לקוחות לפי סוכן - מקור'!C172</f>
        <v/>
      </c>
      <c r="C193" s="94">
        <f>'לקוחות לפי סוכן - מקור'!E172</f>
        <v/>
      </c>
      <c r="D193" s="102">
        <f>'לקוחות לפי סוכן - מקור'!F172</f>
        <v/>
      </c>
      <c r="E193" s="102">
        <f>'לקוחות לפי סוכן - מקור'!G172</f>
        <v/>
      </c>
      <c r="F193" s="94">
        <f>'לקוחות לפי סוכן - מקור'!D172</f>
        <v/>
      </c>
      <c r="G193" s="95">
        <f>'לקוחות לפי סוכן - מקור'!H172</f>
        <v/>
      </c>
      <c r="H193" s="95">
        <f>'לקוחות לפי סוכן - מקור'!I172</f>
        <v/>
      </c>
      <c r="I193" s="127">
        <f>'לקוחות לפי סוכן - מקור'!K172</f>
        <v/>
      </c>
    </row>
    <row r="194" outlineLevel="2" ht="15" customHeight="1" s="82">
      <c r="A194" s="94">
        <f>'לקוחות לפי סוכן - מקור'!A173</f>
        <v/>
      </c>
      <c r="B194" s="94">
        <f>'לקוחות לפי סוכן - מקור'!C173</f>
        <v/>
      </c>
      <c r="C194" s="94">
        <f>'לקוחות לפי סוכן - מקור'!E173</f>
        <v/>
      </c>
      <c r="D194" s="102">
        <f>'לקוחות לפי סוכן - מקור'!F173</f>
        <v/>
      </c>
      <c r="E194" s="102">
        <f>'לקוחות לפי סוכן - מקור'!G173</f>
        <v/>
      </c>
      <c r="F194" s="94">
        <f>'לקוחות לפי סוכן - מקור'!D173</f>
        <v/>
      </c>
      <c r="G194" s="95">
        <f>'לקוחות לפי סוכן - מקור'!H173</f>
        <v/>
      </c>
      <c r="H194" s="95">
        <f>'לקוחות לפי סוכן - מקור'!I173</f>
        <v/>
      </c>
      <c r="I194" s="127">
        <f>'לקוחות לפי סוכן - מקור'!K173</f>
        <v/>
      </c>
    </row>
    <row r="195" outlineLevel="2" ht="15" customHeight="1" s="82">
      <c r="A195" s="94">
        <f>'לקוחות לפי סוכן - מקור'!A174</f>
        <v/>
      </c>
      <c r="B195" s="94">
        <f>'לקוחות לפי סוכן - מקור'!C174</f>
        <v/>
      </c>
      <c r="C195" s="94">
        <f>'לקוחות לפי סוכן - מקור'!E174</f>
        <v/>
      </c>
      <c r="D195" s="102">
        <f>'לקוחות לפי סוכן - מקור'!F174</f>
        <v/>
      </c>
      <c r="E195" s="102">
        <f>'לקוחות לפי סוכן - מקור'!G174</f>
        <v/>
      </c>
      <c r="F195" s="94">
        <f>'לקוחות לפי סוכן - מקור'!D174</f>
        <v/>
      </c>
      <c r="G195" s="95">
        <f>'לקוחות לפי סוכן - מקור'!H174</f>
        <v/>
      </c>
      <c r="H195" s="95">
        <f>'לקוחות לפי סוכן - מקור'!I174</f>
        <v/>
      </c>
      <c r="I195" s="127">
        <f>'לקוחות לפי סוכן - מקור'!K174</f>
        <v/>
      </c>
    </row>
    <row r="196" outlineLevel="2" ht="15" customHeight="1" s="82">
      <c r="A196" s="94">
        <f>'לקוחות לפי סוכן - מקור'!A175</f>
        <v/>
      </c>
      <c r="B196" s="94">
        <f>'לקוחות לפי סוכן - מקור'!C175</f>
        <v/>
      </c>
      <c r="C196" s="94">
        <f>'לקוחות לפי סוכן - מקור'!E175</f>
        <v/>
      </c>
      <c r="D196" s="102">
        <f>'לקוחות לפי סוכן - מקור'!F175</f>
        <v/>
      </c>
      <c r="E196" s="102">
        <f>'לקוחות לפי סוכן - מקור'!G175</f>
        <v/>
      </c>
      <c r="F196" s="94">
        <f>'לקוחות לפי סוכן - מקור'!D175</f>
        <v/>
      </c>
      <c r="G196" s="95">
        <f>'לקוחות לפי סוכן - מקור'!H175</f>
        <v/>
      </c>
      <c r="H196" s="95">
        <f>'לקוחות לפי סוכן - מקור'!I175</f>
        <v/>
      </c>
      <c r="I196" s="127">
        <f>'לקוחות לפי סוכן - מקור'!K175</f>
        <v/>
      </c>
    </row>
    <row r="197" outlineLevel="2" ht="15" customHeight="1" s="82">
      <c r="A197" s="94">
        <f>'לקוחות לפי סוכן - מקור'!A176</f>
        <v/>
      </c>
      <c r="B197" s="94">
        <f>'לקוחות לפי סוכן - מקור'!C176</f>
        <v/>
      </c>
      <c r="C197" s="94">
        <f>'לקוחות לפי סוכן - מקור'!E176</f>
        <v/>
      </c>
      <c r="D197" s="102">
        <f>'לקוחות לפי סוכן - מקור'!F176</f>
        <v/>
      </c>
      <c r="E197" s="102">
        <f>'לקוחות לפי סוכן - מקור'!G176</f>
        <v/>
      </c>
      <c r="F197" s="94">
        <f>'לקוחות לפי סוכן - מקור'!D176</f>
        <v/>
      </c>
      <c r="G197" s="95">
        <f>'לקוחות לפי סוכן - מקור'!H176</f>
        <v/>
      </c>
      <c r="H197" s="95">
        <f>'לקוחות לפי סוכן - מקור'!I176</f>
        <v/>
      </c>
      <c r="I197" s="127">
        <f>'לקוחות לפי סוכן - מקור'!K176</f>
        <v/>
      </c>
    </row>
    <row r="198" outlineLevel="2" ht="15" customHeight="1" s="82">
      <c r="A198" s="94">
        <f>'לקוחות לפי סוכן - מקור'!A177</f>
        <v/>
      </c>
      <c r="B198" s="94">
        <f>'לקוחות לפי סוכן - מקור'!C177</f>
        <v/>
      </c>
      <c r="C198" s="94">
        <f>'לקוחות לפי סוכן - מקור'!E177</f>
        <v/>
      </c>
      <c r="D198" s="102">
        <f>'לקוחות לפי סוכן - מקור'!F177</f>
        <v/>
      </c>
      <c r="E198" s="102">
        <f>'לקוחות לפי סוכן - מקור'!G177</f>
        <v/>
      </c>
      <c r="F198" s="94">
        <f>'לקוחות לפי סוכן - מקור'!D177</f>
        <v/>
      </c>
      <c r="G198" s="95">
        <f>'לקוחות לפי סוכן - מקור'!H177</f>
        <v/>
      </c>
      <c r="H198" s="95">
        <f>'לקוחות לפי סוכן - מקור'!I177</f>
        <v/>
      </c>
      <c r="I198" s="127">
        <f>'לקוחות לפי סוכן - מקור'!K177</f>
        <v/>
      </c>
    </row>
    <row r="199" outlineLevel="2" ht="15" customHeight="1" s="82">
      <c r="A199" s="94">
        <f>'לקוחות לפי סוכן - מקור'!A178</f>
        <v/>
      </c>
      <c r="B199" s="94">
        <f>'לקוחות לפי סוכן - מקור'!C178</f>
        <v/>
      </c>
      <c r="C199" s="94">
        <f>'לקוחות לפי סוכן - מקור'!E178</f>
        <v/>
      </c>
      <c r="D199" s="102">
        <f>'לקוחות לפי סוכן - מקור'!F178</f>
        <v/>
      </c>
      <c r="E199" s="102">
        <f>'לקוחות לפי סוכן - מקור'!G178</f>
        <v/>
      </c>
      <c r="F199" s="94">
        <f>'לקוחות לפי סוכן - מקור'!D178</f>
        <v/>
      </c>
      <c r="G199" s="95">
        <f>'לקוחות לפי סוכן - מקור'!H178</f>
        <v/>
      </c>
      <c r="H199" s="95">
        <f>'לקוחות לפי סוכן - מקור'!I178</f>
        <v/>
      </c>
      <c r="I199" s="127">
        <f>'לקוחות לפי סוכן - מקור'!K178</f>
        <v/>
      </c>
    </row>
    <row r="200" outlineLevel="2" ht="15" customHeight="1" s="82">
      <c r="A200" s="94">
        <f>'לקוחות לפי סוכן - מקור'!A179</f>
        <v/>
      </c>
      <c r="B200" s="94">
        <f>'לקוחות לפי סוכן - מקור'!C179</f>
        <v/>
      </c>
      <c r="C200" s="94">
        <f>'לקוחות לפי סוכן - מקור'!E179</f>
        <v/>
      </c>
      <c r="D200" s="102">
        <f>'לקוחות לפי סוכן - מקור'!F179</f>
        <v/>
      </c>
      <c r="E200" s="102">
        <f>'לקוחות לפי סוכן - מקור'!G179</f>
        <v/>
      </c>
      <c r="F200" s="94">
        <f>'לקוחות לפי סוכן - מקור'!D179</f>
        <v/>
      </c>
      <c r="G200" s="95">
        <f>'לקוחות לפי סוכן - מקור'!H179</f>
        <v/>
      </c>
      <c r="H200" s="95">
        <f>'לקוחות לפי סוכן - מקור'!I179</f>
        <v/>
      </c>
      <c r="I200" s="127">
        <f>'לקוחות לפי סוכן - מקור'!K179</f>
        <v/>
      </c>
    </row>
    <row r="201" outlineLevel="2" ht="15" customHeight="1" s="82">
      <c r="A201" s="94">
        <f>'לקוחות לפי סוכן - מקור'!A180</f>
        <v/>
      </c>
      <c r="B201" s="94">
        <f>'לקוחות לפי סוכן - מקור'!C180</f>
        <v/>
      </c>
      <c r="C201" s="94">
        <f>'לקוחות לפי סוכן - מקור'!E180</f>
        <v/>
      </c>
      <c r="D201" s="102">
        <f>'לקוחות לפי סוכן - מקור'!F180</f>
        <v/>
      </c>
      <c r="E201" s="102">
        <f>'לקוחות לפי סוכן - מקור'!G180</f>
        <v/>
      </c>
      <c r="F201" s="94">
        <f>'לקוחות לפי סוכן - מקור'!D180</f>
        <v/>
      </c>
      <c r="G201" s="95">
        <f>'לקוחות לפי סוכן - מקור'!H180</f>
        <v/>
      </c>
      <c r="H201" s="95">
        <f>'לקוחות לפי סוכן - מקור'!I180</f>
        <v/>
      </c>
      <c r="I201" s="127">
        <f>'לקוחות לפי סוכן - מקור'!K180</f>
        <v/>
      </c>
    </row>
    <row r="202" outlineLevel="2" ht="15" customHeight="1" s="82">
      <c r="A202" s="94">
        <f>'לקוחות לפי סוכן - מקור'!A181</f>
        <v/>
      </c>
      <c r="B202" s="94">
        <f>'לקוחות לפי סוכן - מקור'!C181</f>
        <v/>
      </c>
      <c r="C202" s="94">
        <f>'לקוחות לפי סוכן - מקור'!E181</f>
        <v/>
      </c>
      <c r="D202" s="102">
        <f>'לקוחות לפי סוכן - מקור'!F181</f>
        <v/>
      </c>
      <c r="E202" s="102">
        <f>'לקוחות לפי סוכן - מקור'!G181</f>
        <v/>
      </c>
      <c r="F202" s="94">
        <f>'לקוחות לפי סוכן - מקור'!D181</f>
        <v/>
      </c>
      <c r="G202" s="95">
        <f>'לקוחות לפי סוכן - מקור'!H181</f>
        <v/>
      </c>
      <c r="H202" s="95">
        <f>'לקוחות לפי סוכן - מקור'!I181</f>
        <v/>
      </c>
      <c r="I202" s="127">
        <f>'לקוחות לפי סוכן - מקור'!K181</f>
        <v/>
      </c>
    </row>
    <row r="203" outlineLevel="2" ht="15" customHeight="1" s="82">
      <c r="A203" s="94">
        <f>'לקוחות לפי סוכן - מקור'!A182</f>
        <v/>
      </c>
      <c r="B203" s="94">
        <f>'לקוחות לפי סוכן - מקור'!C182</f>
        <v/>
      </c>
      <c r="C203" s="94">
        <f>'לקוחות לפי סוכן - מקור'!E182</f>
        <v/>
      </c>
      <c r="D203" s="102">
        <f>'לקוחות לפי סוכן - מקור'!F182</f>
        <v/>
      </c>
      <c r="E203" s="102">
        <f>'לקוחות לפי סוכן - מקור'!G182</f>
        <v/>
      </c>
      <c r="F203" s="94">
        <f>'לקוחות לפי סוכן - מקור'!D182</f>
        <v/>
      </c>
      <c r="G203" s="95">
        <f>'לקוחות לפי סוכן - מקור'!H182</f>
        <v/>
      </c>
      <c r="H203" s="95">
        <f>'לקוחות לפי סוכן - מקור'!I182</f>
        <v/>
      </c>
      <c r="I203" s="127">
        <f>'לקוחות לפי סוכן - מקור'!K182</f>
        <v/>
      </c>
    </row>
    <row r="204" outlineLevel="2" ht="15" customHeight="1" s="82">
      <c r="A204" s="94">
        <f>'לקוחות לפי סוכן - מקור'!A183</f>
        <v/>
      </c>
      <c r="B204" s="94">
        <f>'לקוחות לפי סוכן - מקור'!C183</f>
        <v/>
      </c>
      <c r="C204" s="94">
        <f>'לקוחות לפי סוכן - מקור'!E183</f>
        <v/>
      </c>
      <c r="D204" s="102">
        <f>'לקוחות לפי סוכן - מקור'!F183</f>
        <v/>
      </c>
      <c r="E204" s="102">
        <f>'לקוחות לפי סוכן - מקור'!G183</f>
        <v/>
      </c>
      <c r="F204" s="94">
        <f>'לקוחות לפי סוכן - מקור'!D183</f>
        <v/>
      </c>
      <c r="G204" s="95">
        <f>'לקוחות לפי סוכן - מקור'!H183</f>
        <v/>
      </c>
      <c r="H204" s="95">
        <f>'לקוחות לפי סוכן - מקור'!I183</f>
        <v/>
      </c>
      <c r="I204" s="127">
        <f>'לקוחות לפי סוכן - מקור'!K183</f>
        <v/>
      </c>
    </row>
    <row r="205" outlineLevel="2" ht="15" customHeight="1" s="82">
      <c r="A205" s="94">
        <f>'לקוחות לפי סוכן - מקור'!A184</f>
        <v/>
      </c>
      <c r="B205" s="94">
        <f>'לקוחות לפי סוכן - מקור'!C184</f>
        <v/>
      </c>
      <c r="C205" s="94">
        <f>'לקוחות לפי סוכן - מקור'!E184</f>
        <v/>
      </c>
      <c r="D205" s="102">
        <f>'לקוחות לפי סוכן - מקור'!F184</f>
        <v/>
      </c>
      <c r="E205" s="102">
        <f>'לקוחות לפי סוכן - מקור'!G184</f>
        <v/>
      </c>
      <c r="F205" s="94">
        <f>'לקוחות לפי סוכן - מקור'!D184</f>
        <v/>
      </c>
      <c r="G205" s="95">
        <f>'לקוחות לפי סוכן - מקור'!H184</f>
        <v/>
      </c>
      <c r="H205" s="95">
        <f>'לקוחות לפי סוכן - מקור'!I184</f>
        <v/>
      </c>
      <c r="I205" s="127">
        <f>'לקוחות לפי סוכן - מקור'!K184</f>
        <v/>
      </c>
    </row>
    <row r="206" outlineLevel="2" ht="15" customHeight="1" s="82">
      <c r="A206" s="94">
        <f>'לקוחות לפי סוכן - מקור'!A185</f>
        <v/>
      </c>
      <c r="B206" s="94">
        <f>'לקוחות לפי סוכן - מקור'!C185</f>
        <v/>
      </c>
      <c r="C206" s="94">
        <f>'לקוחות לפי סוכן - מקור'!E185</f>
        <v/>
      </c>
      <c r="D206" s="102">
        <f>'לקוחות לפי סוכן - מקור'!F185</f>
        <v/>
      </c>
      <c r="E206" s="102">
        <f>'לקוחות לפי סוכן - מקור'!G185</f>
        <v/>
      </c>
      <c r="F206" s="94">
        <f>'לקוחות לפי סוכן - מקור'!D185</f>
        <v/>
      </c>
      <c r="G206" s="95">
        <f>'לקוחות לפי סוכן - מקור'!H185</f>
        <v/>
      </c>
      <c r="H206" s="95">
        <f>'לקוחות לפי סוכן - מקור'!I185</f>
        <v/>
      </c>
      <c r="I206" s="127">
        <f>'לקוחות לפי סוכן - מקור'!K185</f>
        <v/>
      </c>
    </row>
    <row r="207" outlineLevel="2" ht="15" customHeight="1" s="82">
      <c r="A207" s="94">
        <f>'לקוחות לפי סוכן - מקור'!A186</f>
        <v/>
      </c>
      <c r="B207" s="94">
        <f>'לקוחות לפי סוכן - מקור'!C186</f>
        <v/>
      </c>
      <c r="C207" s="94">
        <f>'לקוחות לפי סוכן - מקור'!E186</f>
        <v/>
      </c>
      <c r="D207" s="102">
        <f>'לקוחות לפי סוכן - מקור'!F186</f>
        <v/>
      </c>
      <c r="E207" s="102">
        <f>'לקוחות לפי סוכן - מקור'!G186</f>
        <v/>
      </c>
      <c r="F207" s="94">
        <f>'לקוחות לפי סוכן - מקור'!D186</f>
        <v/>
      </c>
      <c r="G207" s="95">
        <f>'לקוחות לפי סוכן - מקור'!H186</f>
        <v/>
      </c>
      <c r="H207" s="95">
        <f>'לקוחות לפי סוכן - מקור'!I186</f>
        <v/>
      </c>
      <c r="I207" s="127">
        <f>'לקוחות לפי סוכן - מקור'!K186</f>
        <v/>
      </c>
    </row>
    <row r="208" outlineLevel="2" ht="15" customHeight="1" s="82">
      <c r="A208" s="94">
        <f>'לקוחות לפי סוכן - מקור'!A187</f>
        <v/>
      </c>
      <c r="B208" s="94">
        <f>'לקוחות לפי סוכן - מקור'!C187</f>
        <v/>
      </c>
      <c r="C208" s="94">
        <f>'לקוחות לפי סוכן - מקור'!E187</f>
        <v/>
      </c>
      <c r="D208" s="102">
        <f>'לקוחות לפי סוכן - מקור'!F187</f>
        <v/>
      </c>
      <c r="E208" s="102">
        <f>'לקוחות לפי סוכן - מקור'!G187</f>
        <v/>
      </c>
      <c r="F208" s="94">
        <f>'לקוחות לפי סוכן - מקור'!D187</f>
        <v/>
      </c>
      <c r="G208" s="95">
        <f>'לקוחות לפי סוכן - מקור'!H187</f>
        <v/>
      </c>
      <c r="H208" s="95">
        <f>'לקוחות לפי סוכן - מקור'!I187</f>
        <v/>
      </c>
      <c r="I208" s="127">
        <f>'לקוחות לפי סוכן - מקור'!K187</f>
        <v/>
      </c>
    </row>
    <row r="209" outlineLevel="2" ht="15" customHeight="1" s="82">
      <c r="A209" s="94">
        <f>'לקוחות לפי סוכן - מקור'!A188</f>
        <v/>
      </c>
      <c r="B209" s="94">
        <f>'לקוחות לפי סוכן - מקור'!C188</f>
        <v/>
      </c>
      <c r="C209" s="94">
        <f>'לקוחות לפי סוכן - מקור'!E188</f>
        <v/>
      </c>
      <c r="D209" s="102">
        <f>'לקוחות לפי סוכן - מקור'!F188</f>
        <v/>
      </c>
      <c r="E209" s="102">
        <f>'לקוחות לפי סוכן - מקור'!G188</f>
        <v/>
      </c>
      <c r="F209" s="94">
        <f>'לקוחות לפי סוכן - מקור'!D188</f>
        <v/>
      </c>
      <c r="G209" s="95">
        <f>'לקוחות לפי סוכן - מקור'!H188</f>
        <v/>
      </c>
      <c r="H209" s="95">
        <f>'לקוחות לפי סוכן - מקור'!I188</f>
        <v/>
      </c>
      <c r="I209" s="127">
        <f>'לקוחות לפי סוכן - מקור'!K188</f>
        <v/>
      </c>
    </row>
    <row r="210" outlineLevel="2" ht="15" customHeight="1" s="82">
      <c r="A210" s="94">
        <f>'לקוחות לפי סוכן - מקור'!A189</f>
        <v/>
      </c>
      <c r="B210" s="94">
        <f>'לקוחות לפי סוכן - מקור'!C189</f>
        <v/>
      </c>
      <c r="C210" s="94">
        <f>'לקוחות לפי סוכן - מקור'!E189</f>
        <v/>
      </c>
      <c r="D210" s="102">
        <f>'לקוחות לפי סוכן - מקור'!F189</f>
        <v/>
      </c>
      <c r="E210" s="102">
        <f>'לקוחות לפי סוכן - מקור'!G189</f>
        <v/>
      </c>
      <c r="F210" s="94">
        <f>'לקוחות לפי סוכן - מקור'!D189</f>
        <v/>
      </c>
      <c r="G210" s="95">
        <f>'לקוחות לפי סוכן - מקור'!H189</f>
        <v/>
      </c>
      <c r="H210" s="95">
        <f>'לקוחות לפי סוכן - מקור'!I189</f>
        <v/>
      </c>
      <c r="I210" s="127">
        <f>'לקוחות לפי סוכן - מקור'!K189</f>
        <v/>
      </c>
    </row>
    <row r="211" outlineLevel="2" ht="15" customHeight="1" s="82">
      <c r="A211" s="94">
        <f>'לקוחות לפי סוכן - מקור'!A190</f>
        <v/>
      </c>
      <c r="B211" s="94">
        <f>'לקוחות לפי סוכן - מקור'!C190</f>
        <v/>
      </c>
      <c r="C211" s="94">
        <f>'לקוחות לפי סוכן - מקור'!E190</f>
        <v/>
      </c>
      <c r="D211" s="102">
        <f>'לקוחות לפי סוכן - מקור'!F190</f>
        <v/>
      </c>
      <c r="E211" s="102">
        <f>'לקוחות לפי סוכן - מקור'!G190</f>
        <v/>
      </c>
      <c r="F211" s="94">
        <f>'לקוחות לפי סוכן - מקור'!D190</f>
        <v/>
      </c>
      <c r="G211" s="95">
        <f>'לקוחות לפי סוכן - מקור'!H190</f>
        <v/>
      </c>
      <c r="H211" s="95">
        <f>'לקוחות לפי סוכן - מקור'!I190</f>
        <v/>
      </c>
      <c r="I211" s="127">
        <f>'לקוחות לפי סוכן - מקור'!K190</f>
        <v/>
      </c>
    </row>
    <row r="212" outlineLevel="2" ht="15" customHeight="1" s="82">
      <c r="A212" s="94">
        <f>'לקוחות לפי סוכן - מקור'!A191</f>
        <v/>
      </c>
      <c r="B212" s="94">
        <f>'לקוחות לפי סוכן - מקור'!C191</f>
        <v/>
      </c>
      <c r="C212" s="94">
        <f>'לקוחות לפי סוכן - מקור'!E191</f>
        <v/>
      </c>
      <c r="D212" s="102">
        <f>'לקוחות לפי סוכן - מקור'!F191</f>
        <v/>
      </c>
      <c r="E212" s="102">
        <f>'לקוחות לפי סוכן - מקור'!G191</f>
        <v/>
      </c>
      <c r="F212" s="94">
        <f>'לקוחות לפי סוכן - מקור'!D191</f>
        <v/>
      </c>
      <c r="G212" s="95">
        <f>'לקוחות לפי סוכן - מקור'!H191</f>
        <v/>
      </c>
      <c r="H212" s="95">
        <f>'לקוחות לפי סוכן - מקור'!I191</f>
        <v/>
      </c>
      <c r="I212" s="127">
        <f>'לקוחות לפי סוכן - מקור'!K191</f>
        <v/>
      </c>
    </row>
    <row r="213" outlineLevel="2" ht="15" customHeight="1" s="82">
      <c r="A213" s="94">
        <f>'לקוחות לפי סוכן - מקור'!A192</f>
        <v/>
      </c>
      <c r="B213" s="94">
        <f>'לקוחות לפי סוכן - מקור'!C192</f>
        <v/>
      </c>
      <c r="C213" s="94">
        <f>'לקוחות לפי סוכן - מקור'!E192</f>
        <v/>
      </c>
      <c r="D213" s="102">
        <f>'לקוחות לפי סוכן - מקור'!F192</f>
        <v/>
      </c>
      <c r="E213" s="102">
        <f>'לקוחות לפי סוכן - מקור'!G192</f>
        <v/>
      </c>
      <c r="F213" s="94">
        <f>'לקוחות לפי סוכן - מקור'!D192</f>
        <v/>
      </c>
      <c r="G213" s="95">
        <f>'לקוחות לפי סוכן - מקור'!H192</f>
        <v/>
      </c>
      <c r="H213" s="95">
        <f>'לקוחות לפי סוכן - מקור'!I192</f>
        <v/>
      </c>
      <c r="I213" s="127">
        <f>'לקוחות לפי סוכן - מקור'!K192</f>
        <v/>
      </c>
    </row>
    <row r="214" outlineLevel="2" ht="15" customHeight="1" s="82">
      <c r="A214" s="94">
        <f>'לקוחות לפי סוכן - מקור'!A193</f>
        <v/>
      </c>
      <c r="B214" s="94">
        <f>'לקוחות לפי סוכן - מקור'!C193</f>
        <v/>
      </c>
      <c r="C214" s="94">
        <f>'לקוחות לפי סוכן - מקור'!E193</f>
        <v/>
      </c>
      <c r="D214" s="102">
        <f>'לקוחות לפי סוכן - מקור'!F193</f>
        <v/>
      </c>
      <c r="E214" s="102">
        <f>'לקוחות לפי סוכן - מקור'!G193</f>
        <v/>
      </c>
      <c r="F214" s="94">
        <f>'לקוחות לפי סוכן - מקור'!D193</f>
        <v/>
      </c>
      <c r="G214" s="95">
        <f>'לקוחות לפי סוכן - מקור'!H193</f>
        <v/>
      </c>
      <c r="H214" s="95">
        <f>'לקוחות לפי סוכן - מקור'!I193</f>
        <v/>
      </c>
      <c r="I214" s="127">
        <f>'לקוחות לפי סוכן - מקור'!K193</f>
        <v/>
      </c>
    </row>
    <row r="215" outlineLevel="2" ht="15" customHeight="1" s="82">
      <c r="A215" s="94">
        <f>'לקוחות לפי סוכן - מקור'!A194</f>
        <v/>
      </c>
      <c r="B215" s="94">
        <f>'לקוחות לפי סוכן - מקור'!C194</f>
        <v/>
      </c>
      <c r="C215" s="94">
        <f>'לקוחות לפי סוכן - מקור'!E194</f>
        <v/>
      </c>
      <c r="D215" s="102">
        <f>'לקוחות לפי סוכן - מקור'!F194</f>
        <v/>
      </c>
      <c r="E215" s="102">
        <f>'לקוחות לפי סוכן - מקור'!G194</f>
        <v/>
      </c>
      <c r="F215" s="94">
        <f>'לקוחות לפי סוכן - מקור'!D194</f>
        <v/>
      </c>
      <c r="G215" s="95">
        <f>'לקוחות לפי סוכן - מקור'!H194</f>
        <v/>
      </c>
      <c r="H215" s="95">
        <f>'לקוחות לפי סוכן - מקור'!I194</f>
        <v/>
      </c>
      <c r="I215" s="127">
        <f>'לקוחות לפי סוכן - מקור'!K194</f>
        <v/>
      </c>
    </row>
    <row r="216" outlineLevel="2" ht="15" customHeight="1" s="82">
      <c r="A216" s="94">
        <f>'לקוחות לפי סוכן - מקור'!A195</f>
        <v/>
      </c>
      <c r="B216" s="94">
        <f>'לקוחות לפי סוכן - מקור'!C195</f>
        <v/>
      </c>
      <c r="C216" s="94">
        <f>'לקוחות לפי סוכן - מקור'!E195</f>
        <v/>
      </c>
      <c r="D216" s="102">
        <f>'לקוחות לפי סוכן - מקור'!F195</f>
        <v/>
      </c>
      <c r="E216" s="102">
        <f>'לקוחות לפי סוכן - מקור'!G195</f>
        <v/>
      </c>
      <c r="F216" s="94">
        <f>'לקוחות לפי סוכן - מקור'!D195</f>
        <v/>
      </c>
      <c r="G216" s="95">
        <f>'לקוחות לפי סוכן - מקור'!H195</f>
        <v/>
      </c>
      <c r="H216" s="95">
        <f>'לקוחות לפי סוכן - מקור'!I195</f>
        <v/>
      </c>
      <c r="I216" s="127">
        <f>'לקוחות לפי סוכן - מקור'!K195</f>
        <v/>
      </c>
    </row>
    <row r="217" outlineLevel="2" ht="15" customHeight="1" s="82">
      <c r="A217" s="94">
        <f>'לקוחות לפי סוכן - מקור'!A196</f>
        <v/>
      </c>
      <c r="B217" s="94">
        <f>'לקוחות לפי סוכן - מקור'!C196</f>
        <v/>
      </c>
      <c r="C217" s="94">
        <f>'לקוחות לפי סוכן - מקור'!E196</f>
        <v/>
      </c>
      <c r="D217" s="102">
        <f>'לקוחות לפי סוכן - מקור'!F196</f>
        <v/>
      </c>
      <c r="E217" s="102">
        <f>'לקוחות לפי סוכן - מקור'!G196</f>
        <v/>
      </c>
      <c r="F217" s="94">
        <f>'לקוחות לפי סוכן - מקור'!D196</f>
        <v/>
      </c>
      <c r="G217" s="95">
        <f>'לקוחות לפי סוכן - מקור'!H196</f>
        <v/>
      </c>
      <c r="H217" s="95">
        <f>'לקוחות לפי סוכן - מקור'!I196</f>
        <v/>
      </c>
      <c r="I217" s="127">
        <f>'לקוחות לפי סוכן - מקור'!K196</f>
        <v/>
      </c>
    </row>
    <row r="218" outlineLevel="2" ht="15" customHeight="1" s="82">
      <c r="A218" s="94">
        <f>'לקוחות לפי סוכן - מקור'!A197</f>
        <v/>
      </c>
      <c r="B218" s="94">
        <f>'לקוחות לפי סוכן - מקור'!C197</f>
        <v/>
      </c>
      <c r="C218" s="94">
        <f>'לקוחות לפי סוכן - מקור'!E197</f>
        <v/>
      </c>
      <c r="D218" s="102">
        <f>'לקוחות לפי סוכן - מקור'!F197</f>
        <v/>
      </c>
      <c r="E218" s="102">
        <f>'לקוחות לפי סוכן - מקור'!G197</f>
        <v/>
      </c>
      <c r="F218" s="94">
        <f>'לקוחות לפי סוכן - מקור'!D197</f>
        <v/>
      </c>
      <c r="G218" s="95">
        <f>'לקוחות לפי סוכן - מקור'!H197</f>
        <v/>
      </c>
      <c r="H218" s="95">
        <f>'לקוחות לפי סוכן - מקור'!I197</f>
        <v/>
      </c>
      <c r="I218" s="127">
        <f>'לקוחות לפי סוכן - מקור'!K197</f>
        <v/>
      </c>
    </row>
    <row r="219" outlineLevel="2" ht="15" customHeight="1" s="82">
      <c r="A219" s="94">
        <f>'לקוחות לפי סוכן - מקור'!A198</f>
        <v/>
      </c>
      <c r="B219" s="94">
        <f>'לקוחות לפי סוכן - מקור'!C198</f>
        <v/>
      </c>
      <c r="C219" s="94">
        <f>'לקוחות לפי סוכן - מקור'!E198</f>
        <v/>
      </c>
      <c r="D219" s="102">
        <f>'לקוחות לפי סוכן - מקור'!F198</f>
        <v/>
      </c>
      <c r="E219" s="102">
        <f>'לקוחות לפי סוכן - מקור'!G198</f>
        <v/>
      </c>
      <c r="F219" s="94">
        <f>'לקוחות לפי סוכן - מקור'!D198</f>
        <v/>
      </c>
      <c r="G219" s="95">
        <f>'לקוחות לפי סוכן - מקור'!H198</f>
        <v/>
      </c>
      <c r="H219" s="95">
        <f>'לקוחות לפי סוכן - מקור'!I198</f>
        <v/>
      </c>
      <c r="I219" s="127">
        <f>'לקוחות לפי סוכן - מקור'!K198</f>
        <v/>
      </c>
    </row>
    <row r="220" outlineLevel="2" ht="15" customHeight="1" s="82">
      <c r="A220" s="94">
        <f>'לקוחות לפי סוכן - מקור'!A199</f>
        <v/>
      </c>
      <c r="B220" s="94">
        <f>'לקוחות לפי סוכן - מקור'!C199</f>
        <v/>
      </c>
      <c r="C220" s="94">
        <f>'לקוחות לפי סוכן - מקור'!E199</f>
        <v/>
      </c>
      <c r="D220" s="102">
        <f>'לקוחות לפי סוכן - מקור'!F199</f>
        <v/>
      </c>
      <c r="E220" s="102">
        <f>'לקוחות לפי סוכן - מקור'!G199</f>
        <v/>
      </c>
      <c r="F220" s="94">
        <f>'לקוחות לפי סוכן - מקור'!D199</f>
        <v/>
      </c>
      <c r="G220" s="95">
        <f>'לקוחות לפי סוכן - מקור'!H199</f>
        <v/>
      </c>
      <c r="H220" s="95">
        <f>'לקוחות לפי סוכן - מקור'!I199</f>
        <v/>
      </c>
      <c r="I220" s="127">
        <f>'לקוחות לפי סוכן - מקור'!K199</f>
        <v/>
      </c>
    </row>
    <row r="221" outlineLevel="2" ht="15" customHeight="1" s="82">
      <c r="A221" s="94">
        <f>'לקוחות לפי סוכן - מקור'!A200</f>
        <v/>
      </c>
      <c r="B221" s="94">
        <f>'לקוחות לפי סוכן - מקור'!C200</f>
        <v/>
      </c>
      <c r="C221" s="94">
        <f>'לקוחות לפי סוכן - מקור'!E200</f>
        <v/>
      </c>
      <c r="D221" s="102">
        <f>'לקוחות לפי סוכן - מקור'!F200</f>
        <v/>
      </c>
      <c r="E221" s="102">
        <f>'לקוחות לפי סוכן - מקור'!G200</f>
        <v/>
      </c>
      <c r="F221" s="94">
        <f>'לקוחות לפי סוכן - מקור'!D200</f>
        <v/>
      </c>
      <c r="G221" s="95">
        <f>'לקוחות לפי סוכן - מקור'!H200</f>
        <v/>
      </c>
      <c r="H221" s="95">
        <f>'לקוחות לפי סוכן - מקור'!I200</f>
        <v/>
      </c>
      <c r="I221" s="127">
        <f>'לקוחות לפי סוכן - מקור'!K200</f>
        <v/>
      </c>
    </row>
    <row r="222" outlineLevel="2" ht="15" customHeight="1" s="82">
      <c r="A222" s="94">
        <f>'לקוחות לפי סוכן - מקור'!A201</f>
        <v/>
      </c>
      <c r="B222" s="94">
        <f>'לקוחות לפי סוכן - מקור'!C201</f>
        <v/>
      </c>
      <c r="C222" s="94">
        <f>'לקוחות לפי סוכן - מקור'!E201</f>
        <v/>
      </c>
      <c r="D222" s="102">
        <f>'לקוחות לפי סוכן - מקור'!F201</f>
        <v/>
      </c>
      <c r="E222" s="102">
        <f>'לקוחות לפי סוכן - מקור'!G201</f>
        <v/>
      </c>
      <c r="F222" s="94">
        <f>'לקוחות לפי סוכן - מקור'!D201</f>
        <v/>
      </c>
      <c r="G222" s="95">
        <f>'לקוחות לפי סוכן - מקור'!H201</f>
        <v/>
      </c>
      <c r="H222" s="95">
        <f>'לקוחות לפי סוכן - מקור'!I201</f>
        <v/>
      </c>
      <c r="I222" s="127">
        <f>'לקוחות לפי סוכן - מקור'!K201</f>
        <v/>
      </c>
    </row>
    <row r="223" outlineLevel="2" ht="15" customHeight="1" s="82">
      <c r="A223" s="94">
        <f>'לקוחות לפי סוכן - מקור'!A202</f>
        <v/>
      </c>
      <c r="B223" s="94">
        <f>'לקוחות לפי סוכן - מקור'!C202</f>
        <v/>
      </c>
      <c r="C223" s="94">
        <f>'לקוחות לפי סוכן - מקור'!E202</f>
        <v/>
      </c>
      <c r="D223" s="102">
        <f>'לקוחות לפי סוכן - מקור'!F202</f>
        <v/>
      </c>
      <c r="E223" s="102">
        <f>'לקוחות לפי סוכן - מקור'!G202</f>
        <v/>
      </c>
      <c r="F223" s="94">
        <f>'לקוחות לפי סוכן - מקור'!D202</f>
        <v/>
      </c>
      <c r="G223" s="95">
        <f>'לקוחות לפי סוכן - מקור'!H202</f>
        <v/>
      </c>
      <c r="H223" s="95">
        <f>'לקוחות לפי סוכן - מקור'!I202</f>
        <v/>
      </c>
      <c r="I223" s="127">
        <f>'לקוחות לפי סוכן - מקור'!K202</f>
        <v/>
      </c>
    </row>
    <row r="224" outlineLevel="2" ht="15" customHeight="1" s="82">
      <c r="A224" s="94">
        <f>'לקוחות לפי סוכן - מקור'!A203</f>
        <v/>
      </c>
      <c r="B224" s="94">
        <f>'לקוחות לפי סוכן - מקור'!C203</f>
        <v/>
      </c>
      <c r="C224" s="94">
        <f>'לקוחות לפי סוכן - מקור'!E203</f>
        <v/>
      </c>
      <c r="D224" s="102">
        <f>'לקוחות לפי סוכן - מקור'!F203</f>
        <v/>
      </c>
      <c r="E224" s="102">
        <f>'לקוחות לפי סוכן - מקור'!G203</f>
        <v/>
      </c>
      <c r="F224" s="94">
        <f>'לקוחות לפי סוכן - מקור'!D203</f>
        <v/>
      </c>
      <c r="G224" s="95">
        <f>'לקוחות לפי סוכן - מקור'!H203</f>
        <v/>
      </c>
      <c r="H224" s="95">
        <f>'לקוחות לפי סוכן - מקור'!I203</f>
        <v/>
      </c>
      <c r="I224" s="127">
        <f>'לקוחות לפי סוכן - מקור'!K203</f>
        <v/>
      </c>
    </row>
    <row r="225" outlineLevel="2" ht="15" customHeight="1" s="82">
      <c r="A225" s="94">
        <f>'לקוחות לפי סוכן - מקור'!A204</f>
        <v/>
      </c>
      <c r="B225" s="94">
        <f>'לקוחות לפי סוכן - מקור'!C204</f>
        <v/>
      </c>
      <c r="C225" s="94">
        <f>'לקוחות לפי סוכן - מקור'!E204</f>
        <v/>
      </c>
      <c r="D225" s="102">
        <f>'לקוחות לפי סוכן - מקור'!F204</f>
        <v/>
      </c>
      <c r="E225" s="102">
        <f>'לקוחות לפי סוכן - מקור'!G204</f>
        <v/>
      </c>
      <c r="F225" s="94">
        <f>'לקוחות לפי סוכן - מקור'!D204</f>
        <v/>
      </c>
      <c r="G225" s="95">
        <f>'לקוחות לפי סוכן - מקור'!H204</f>
        <v/>
      </c>
      <c r="H225" s="95">
        <f>'לקוחות לפי סוכן - מקור'!I204</f>
        <v/>
      </c>
      <c r="I225" s="127">
        <f>'לקוחות לפי סוכן - מקור'!K204</f>
        <v/>
      </c>
    </row>
    <row r="226" outlineLevel="2" ht="15" customHeight="1" s="82">
      <c r="A226" s="94">
        <f>'לקוחות לפי סוכן - מקור'!A205</f>
        <v/>
      </c>
      <c r="B226" s="94">
        <f>'לקוחות לפי סוכן - מקור'!C205</f>
        <v/>
      </c>
      <c r="C226" s="94">
        <f>'לקוחות לפי סוכן - מקור'!E205</f>
        <v/>
      </c>
      <c r="D226" s="102">
        <f>'לקוחות לפי סוכן - מקור'!F205</f>
        <v/>
      </c>
      <c r="E226" s="102">
        <f>'לקוחות לפי סוכן - מקור'!G205</f>
        <v/>
      </c>
      <c r="F226" s="94">
        <f>'לקוחות לפי סוכן - מקור'!D205</f>
        <v/>
      </c>
      <c r="G226" s="95">
        <f>'לקוחות לפי סוכן - מקור'!H205</f>
        <v/>
      </c>
      <c r="H226" s="95">
        <f>'לקוחות לפי סוכן - מקור'!I205</f>
        <v/>
      </c>
      <c r="I226" s="127">
        <f>'לקוחות לפי סוכן - מקור'!K205</f>
        <v/>
      </c>
    </row>
    <row r="227" outlineLevel="2" ht="15" customHeight="1" s="82">
      <c r="A227" s="94">
        <f>'לקוחות לפי סוכן - מקור'!A206</f>
        <v/>
      </c>
      <c r="B227" s="94">
        <f>'לקוחות לפי סוכן - מקור'!C206</f>
        <v/>
      </c>
      <c r="C227" s="94">
        <f>'לקוחות לפי סוכן - מקור'!E206</f>
        <v/>
      </c>
      <c r="D227" s="102">
        <f>'לקוחות לפי סוכן - מקור'!F206</f>
        <v/>
      </c>
      <c r="E227" s="102">
        <f>'לקוחות לפי סוכן - מקור'!G206</f>
        <v/>
      </c>
      <c r="F227" s="94">
        <f>'לקוחות לפי סוכן - מקור'!D206</f>
        <v/>
      </c>
      <c r="G227" s="95">
        <f>'לקוחות לפי סוכן - מקור'!H206</f>
        <v/>
      </c>
      <c r="H227" s="95">
        <f>'לקוחות לפי סוכן - מקור'!I206</f>
        <v/>
      </c>
      <c r="I227" s="127">
        <f>'לקוחות לפי סוכן - מקור'!K206</f>
        <v/>
      </c>
    </row>
    <row r="228" outlineLevel="2" ht="15" customHeight="1" s="82">
      <c r="A228" s="94">
        <f>'לקוחות לפי סוכן - מקור'!A207</f>
        <v/>
      </c>
      <c r="B228" s="94">
        <f>'לקוחות לפי סוכן - מקור'!C207</f>
        <v/>
      </c>
      <c r="C228" s="94">
        <f>'לקוחות לפי סוכן - מקור'!E207</f>
        <v/>
      </c>
      <c r="D228" s="102">
        <f>'לקוחות לפי סוכן - מקור'!F207</f>
        <v/>
      </c>
      <c r="E228" s="102">
        <f>'לקוחות לפי סוכן - מקור'!G207</f>
        <v/>
      </c>
      <c r="F228" s="94">
        <f>'לקוחות לפי סוכן - מקור'!D207</f>
        <v/>
      </c>
      <c r="G228" s="95">
        <f>'לקוחות לפי סוכן - מקור'!H207</f>
        <v/>
      </c>
      <c r="H228" s="95">
        <f>'לקוחות לפי סוכן - מקור'!I207</f>
        <v/>
      </c>
      <c r="I228" s="127">
        <f>'לקוחות לפי סוכן - מקור'!K207</f>
        <v/>
      </c>
    </row>
    <row r="229" outlineLevel="2" ht="15" customHeight="1" s="82">
      <c r="A229" s="94">
        <f>'לקוחות לפי סוכן - מקור'!A208</f>
        <v/>
      </c>
      <c r="B229" s="94">
        <f>'לקוחות לפי סוכן - מקור'!C208</f>
        <v/>
      </c>
      <c r="C229" s="94">
        <f>'לקוחות לפי סוכן - מקור'!E208</f>
        <v/>
      </c>
      <c r="D229" s="102">
        <f>'לקוחות לפי סוכן - מקור'!F208</f>
        <v/>
      </c>
      <c r="E229" s="102">
        <f>'לקוחות לפי סוכן - מקור'!G208</f>
        <v/>
      </c>
      <c r="F229" s="94">
        <f>'לקוחות לפי סוכן - מקור'!D208</f>
        <v/>
      </c>
      <c r="G229" s="95">
        <f>'לקוחות לפי סוכן - מקור'!H208</f>
        <v/>
      </c>
      <c r="H229" s="95">
        <f>'לקוחות לפי סוכן - מקור'!I208</f>
        <v/>
      </c>
      <c r="I229" s="127">
        <f>'לקוחות לפי סוכן - מקור'!K208</f>
        <v/>
      </c>
    </row>
    <row r="230" outlineLevel="2" ht="15" customHeight="1" s="82">
      <c r="A230" s="94">
        <f>'לקוחות לפי סוכן - מקור'!A209</f>
        <v/>
      </c>
      <c r="B230" s="94">
        <f>'לקוחות לפי סוכן - מקור'!C209</f>
        <v/>
      </c>
      <c r="C230" s="94">
        <f>'לקוחות לפי סוכן - מקור'!E209</f>
        <v/>
      </c>
      <c r="D230" s="102">
        <f>'לקוחות לפי סוכן - מקור'!F209</f>
        <v/>
      </c>
      <c r="E230" s="102">
        <f>'לקוחות לפי סוכן - מקור'!G209</f>
        <v/>
      </c>
      <c r="F230" s="94">
        <f>'לקוחות לפי סוכן - מקור'!D209</f>
        <v/>
      </c>
      <c r="G230" s="95">
        <f>'לקוחות לפי סוכן - מקור'!H209</f>
        <v/>
      </c>
      <c r="H230" s="95">
        <f>'לקוחות לפי סוכן - מקור'!I209</f>
        <v/>
      </c>
      <c r="I230" s="127">
        <f>'לקוחות לפי סוכן - מקור'!K209</f>
        <v/>
      </c>
    </row>
    <row r="231" outlineLevel="2" ht="15" customHeight="1" s="82">
      <c r="A231" s="94">
        <f>'לקוחות לפי סוכן - מקור'!A210</f>
        <v/>
      </c>
      <c r="B231" s="94">
        <f>'לקוחות לפי סוכן - מקור'!C210</f>
        <v/>
      </c>
      <c r="C231" s="94">
        <f>'לקוחות לפי סוכן - מקור'!E210</f>
        <v/>
      </c>
      <c r="D231" s="102">
        <f>'לקוחות לפי סוכן - מקור'!F210</f>
        <v/>
      </c>
      <c r="E231" s="102">
        <f>'לקוחות לפי סוכן - מקור'!G210</f>
        <v/>
      </c>
      <c r="F231" s="94">
        <f>'לקוחות לפי סוכן - מקור'!D210</f>
        <v/>
      </c>
      <c r="G231" s="95">
        <f>'לקוחות לפי סוכן - מקור'!H210</f>
        <v/>
      </c>
      <c r="H231" s="95">
        <f>'לקוחות לפי סוכן - מקור'!I210</f>
        <v/>
      </c>
      <c r="I231" s="127">
        <f>'לקוחות לפי סוכן - מקור'!K210</f>
        <v/>
      </c>
    </row>
    <row r="232" outlineLevel="2" ht="15" customHeight="1" s="82">
      <c r="A232" s="94">
        <f>'לקוחות לפי סוכן - מקור'!A211</f>
        <v/>
      </c>
      <c r="B232" s="94">
        <f>'לקוחות לפי סוכן - מקור'!C211</f>
        <v/>
      </c>
      <c r="C232" s="94">
        <f>'לקוחות לפי סוכן - מקור'!E211</f>
        <v/>
      </c>
      <c r="D232" s="102">
        <f>'לקוחות לפי סוכן - מקור'!F211</f>
        <v/>
      </c>
      <c r="E232" s="102">
        <f>'לקוחות לפי סוכן - מקור'!G211</f>
        <v/>
      </c>
      <c r="F232" s="94">
        <f>'לקוחות לפי סוכן - מקור'!D211</f>
        <v/>
      </c>
      <c r="G232" s="95">
        <f>'לקוחות לפי סוכן - מקור'!H211</f>
        <v/>
      </c>
      <c r="H232" s="95">
        <f>'לקוחות לפי סוכן - מקור'!I211</f>
        <v/>
      </c>
      <c r="I232" s="127">
        <f>'לקוחות לפי סוכן - מקור'!K211</f>
        <v/>
      </c>
    </row>
    <row r="233" outlineLevel="2" ht="15" customHeight="1" s="82">
      <c r="A233" s="94">
        <f>'לקוחות לפי סוכן - מקור'!A212</f>
        <v/>
      </c>
      <c r="B233" s="94">
        <f>'לקוחות לפי סוכן - מקור'!C212</f>
        <v/>
      </c>
      <c r="C233" s="94">
        <f>'לקוחות לפי סוכן - מקור'!E212</f>
        <v/>
      </c>
      <c r="D233" s="102">
        <f>'לקוחות לפי סוכן - מקור'!F212</f>
        <v/>
      </c>
      <c r="E233" s="102">
        <f>'לקוחות לפי סוכן - מקור'!G212</f>
        <v/>
      </c>
      <c r="F233" s="94">
        <f>'לקוחות לפי סוכן - מקור'!D212</f>
        <v/>
      </c>
      <c r="G233" s="95">
        <f>'לקוחות לפי סוכן - מקור'!H212</f>
        <v/>
      </c>
      <c r="H233" s="95">
        <f>'לקוחות לפי סוכן - מקור'!I212</f>
        <v/>
      </c>
      <c r="I233" s="127">
        <f>'לקוחות לפי סוכן - מקור'!K212</f>
        <v/>
      </c>
    </row>
    <row r="234" outlineLevel="2" ht="15" customHeight="1" s="82">
      <c r="A234" s="94">
        <f>'לקוחות לפי סוכן - מקור'!A213</f>
        <v/>
      </c>
      <c r="B234" s="94">
        <f>'לקוחות לפי סוכן - מקור'!C213</f>
        <v/>
      </c>
      <c r="C234" s="94">
        <f>'לקוחות לפי סוכן - מקור'!E213</f>
        <v/>
      </c>
      <c r="D234" s="102">
        <f>'לקוחות לפי סוכן - מקור'!F213</f>
        <v/>
      </c>
      <c r="E234" s="102">
        <f>'לקוחות לפי סוכן - מקור'!G213</f>
        <v/>
      </c>
      <c r="F234" s="94">
        <f>'לקוחות לפי סוכן - מקור'!D213</f>
        <v/>
      </c>
      <c r="G234" s="95">
        <f>'לקוחות לפי סוכן - מקור'!H213</f>
        <v/>
      </c>
      <c r="H234" s="95">
        <f>'לקוחות לפי סוכן - מקור'!I213</f>
        <v/>
      </c>
      <c r="I234" s="127">
        <f>'לקוחות לפי סוכן - מקור'!K213</f>
        <v/>
      </c>
    </row>
    <row r="235" ht="15" customHeight="1" s="82">
      <c r="A235" s="96" t="inlineStr">
        <is>
          <t>אזולאי דוד</t>
        </is>
      </c>
      <c r="B235" s="96" t="n"/>
      <c r="C235" s="96" t="inlineStr">
        <is>
          <t>סה"כ סוכן</t>
        </is>
      </c>
      <c r="D235" s="125">
        <f>SUMIF('לקוחות לפי סוכן - מקור'!$A$2:$A$867,$A235,'לקוחות לפי סוכן - מקור'!$F$2:$F$867)</f>
        <v/>
      </c>
      <c r="E235" s="125">
        <f>SUMIF('לקוחות לפי סוכן - מקור'!$A$2:$A$867,$A235,'לקוחות לפי סוכן - מקור'!$G$2:$G$867)</f>
        <v/>
      </c>
      <c r="F235" s="96" t="n"/>
      <c r="G235" s="97">
        <f>SUMIF('לקוחות לפי סוכן - מקור'!$A$2:$A$867,$A235,'לקוחות לפי סוכן - מקור'!$H$2:$H$867)</f>
        <v/>
      </c>
      <c r="H235" s="97">
        <f>SUMIF('לקוחות לפי סוכן - מקור'!$A$2:$A$867,$A235,'לקוחות לפי סוכן - מקור'!$I$2:$I$867)</f>
        <v/>
      </c>
      <c r="I235" s="96">
        <f>IF(COUNTIFS('לקוחות לפי סוכן - מקור'!$A$2:$A$867,$A235,'לקוחות לפי סוכן - מקור'!$K$2:$K$867,"NetSuite")&gt;0,IF(COUNTIFS('לקוחות לפי סוכן - מקור'!$A$2:$A$867,$A235,'לקוחות לפי סוכן - מקור'!$K$2:$K$867,"CHMI")&gt;0,"NetSuite+CHMI ("&amp;COUNTIFS('לקוחות לפי סוכן - מקור'!$A$2:$A$867,$A235,'לקוחות לפי סוכן - מקור'!$K$2:$K$867,"NetSuite")&amp;"+"&amp;COUNTIFS('לקוחות לפי סוכן - מקור'!$A$2:$A$867,$A235,'לקוחות לפי סוכן - מקור'!$K$2:$K$867,"CHMI")&amp;")","NetSuite ("&amp;COUNTIFS('לקוחות לפי סוכן - מקור'!$A$2:$A$867,$A235,'לקוחות לפי סוכן - מקור'!$K$2:$K$867,"NetSuite")&amp;")"),"CHMI ("&amp;COUNTIFS('לקוחות לפי סוכן - מקור'!$A$2:$A$867,$A235,'לקוחות לפי סוכן - מקור'!$K$2:$K$867,"CHMI")&amp;")")</f>
        <v/>
      </c>
      <c r="J235" s="97">
        <f>COUNTIF('לקוחות לפי סוכן - מקור'!$A$2:$A$867,$A235)</f>
        <v/>
      </c>
    </row>
    <row r="236" ht="15" customHeight="1" s="82"/>
    <row r="237" ht="15" customHeight="1" s="82">
      <c r="A237" s="96" t="inlineStr">
        <is>
          <t>סטניסלב נסאר</t>
        </is>
      </c>
      <c r="B237" s="96" t="n"/>
      <c r="C237" s="96" t="n"/>
      <c r="D237" s="96" t="n"/>
      <c r="E237" s="96" t="n"/>
      <c r="F237" s="96" t="n"/>
      <c r="G237" s="96" t="n"/>
      <c r="H237" s="96" t="n"/>
      <c r="I237" s="96" t="n"/>
      <c r="J237" s="96" t="n"/>
    </row>
    <row r="238" outlineLevel="1" ht="15" customHeight="1" s="82">
      <c r="A238" s="128" t="inlineStr">
        <is>
          <t>סטניסלב נסאר</t>
        </is>
      </c>
      <c r="B238" s="129" t="inlineStr">
        <is>
          <t>102 - Orthopedic institutes</t>
        </is>
      </c>
      <c r="C238" s="130" t="n"/>
      <c r="D238" s="131">
        <f>SUMIFS('לקוחות לפי סוכן - מקור'!$F$2:$F$867,'לקוחות לפי סוכן - מקור'!$A$2:$A$867,$A238,'לקוחות לפי סוכן - מקור'!$C$2:$C$867,$B238)</f>
        <v/>
      </c>
      <c r="E238" s="131">
        <f>SUMIFS('לקוחות לפי סוכן - מקור'!$G$2:$G$867,'לקוחות לפי סוכן - מקור'!$A$2:$A$867,$A238,'לקוחות לפי סוכן - מקור'!$C$2:$C$867,$B238)</f>
        <v/>
      </c>
      <c r="F238" s="130" t="n"/>
      <c r="G238" s="132">
        <f>SUMIFS('לקוחות לפי סוכן - מקור'!$H$2:$H$867,'לקוחות לפי סוכן - מקור'!$A$2:$A$867,$A238,'לקוחות לפי סוכן - מקור'!$C$2:$C$867,$B238)</f>
        <v/>
      </c>
      <c r="H238" s="132">
        <f>SUMIFS('לקוחות לפי סוכן - מקור'!$I$2:$I$867,'לקוחות לפי סוכן - מקור'!$A$2:$A$867,$A238,'לקוחות לפי סוכן - מקור'!$C$2:$C$867,$B238)</f>
        <v/>
      </c>
      <c r="I238" s="130" t="n"/>
      <c r="J238" s="132">
        <f>COUNTIFS('לקוחות לפי סוכן - מקור'!$A$2:$A$867,$A238,'לקוחות לפי סוכן - מקור'!$C$2:$C$867,$B238)</f>
        <v/>
      </c>
    </row>
    <row r="239" outlineLevel="2" ht="15" customHeight="1" s="82">
      <c r="A239" s="94">
        <f>'לקוחות לפי סוכן - מקור'!A214</f>
        <v/>
      </c>
      <c r="B239" s="94">
        <f>'לקוחות לפי סוכן - מקור'!C214</f>
        <v/>
      </c>
      <c r="C239" s="94">
        <f>'לקוחות לפי סוכן - מקור'!E214</f>
        <v/>
      </c>
      <c r="D239" s="102">
        <f>'לקוחות לפי סוכן - מקור'!F214</f>
        <v/>
      </c>
      <c r="E239" s="102">
        <f>'לקוחות לפי סוכן - מקור'!G214</f>
        <v/>
      </c>
      <c r="F239" s="94">
        <f>'לקוחות לפי סוכן - מקור'!D214</f>
        <v/>
      </c>
      <c r="G239" s="95">
        <f>'לקוחות לפי סוכן - מקור'!H214</f>
        <v/>
      </c>
      <c r="H239" s="95">
        <f>'לקוחות לפי סוכן - מקור'!I214</f>
        <v/>
      </c>
      <c r="I239" s="127">
        <f>'לקוחות לפי סוכן - מקור'!K214</f>
        <v/>
      </c>
    </row>
    <row r="240" outlineLevel="2" ht="15" customHeight="1" s="82">
      <c r="A240" s="94">
        <f>'לקוחות לפי סוכן - מקור'!A215</f>
        <v/>
      </c>
      <c r="B240" s="94">
        <f>'לקוחות לפי סוכן - מקור'!C215</f>
        <v/>
      </c>
      <c r="C240" s="94">
        <f>'לקוחות לפי סוכן - מקור'!E215</f>
        <v/>
      </c>
      <c r="D240" s="102">
        <f>'לקוחות לפי סוכן - מקור'!F215</f>
        <v/>
      </c>
      <c r="E240" s="102">
        <f>'לקוחות לפי סוכן - מקור'!G215</f>
        <v/>
      </c>
      <c r="F240" s="94">
        <f>'לקוחות לפי סוכן - מקור'!D215</f>
        <v/>
      </c>
      <c r="G240" s="95">
        <f>'לקוחות לפי סוכן - מקור'!H215</f>
        <v/>
      </c>
      <c r="H240" s="95">
        <f>'לקוחות לפי סוכן - מקור'!I215</f>
        <v/>
      </c>
      <c r="I240" s="127">
        <f>'לקוחות לפי סוכן - מקור'!K215</f>
        <v/>
      </c>
    </row>
    <row r="241" outlineLevel="2" ht="15" customHeight="1" s="82">
      <c r="A241" s="94">
        <f>'לקוחות לפי סוכן - מקור'!A216</f>
        <v/>
      </c>
      <c r="B241" s="94">
        <f>'לקוחות לפי סוכן - מקור'!C216</f>
        <v/>
      </c>
      <c r="C241" s="94">
        <f>'לקוחות לפי סוכן - מקור'!E216</f>
        <v/>
      </c>
      <c r="D241" s="102">
        <f>'לקוחות לפי סוכן - מקור'!F216</f>
        <v/>
      </c>
      <c r="E241" s="102">
        <f>'לקוחות לפי סוכן - מקור'!G216</f>
        <v/>
      </c>
      <c r="F241" s="94">
        <f>'לקוחות לפי סוכן - מקור'!D216</f>
        <v/>
      </c>
      <c r="G241" s="95">
        <f>'לקוחות לפי סוכן - מקור'!H216</f>
        <v/>
      </c>
      <c r="H241" s="95">
        <f>'לקוחות לפי סוכן - מקור'!I216</f>
        <v/>
      </c>
      <c r="I241" s="127">
        <f>'לקוחות לפי סוכן - מקור'!K216</f>
        <v/>
      </c>
    </row>
    <row r="242" outlineLevel="2" ht="15" customHeight="1" s="82">
      <c r="A242" s="94">
        <f>'לקוחות לפי סוכן - מקור'!A217</f>
        <v/>
      </c>
      <c r="B242" s="94">
        <f>'לקוחות לפי סוכן - מקור'!C217</f>
        <v/>
      </c>
      <c r="C242" s="94">
        <f>'לקוחות לפי סוכן - מקור'!E217</f>
        <v/>
      </c>
      <c r="D242" s="102">
        <f>'לקוחות לפי סוכן - מקור'!F217</f>
        <v/>
      </c>
      <c r="E242" s="102">
        <f>'לקוחות לפי סוכן - מקור'!G217</f>
        <v/>
      </c>
      <c r="F242" s="94">
        <f>'לקוחות לפי סוכן - מקור'!D217</f>
        <v/>
      </c>
      <c r="G242" s="95">
        <f>'לקוחות לפי סוכן - מקור'!H217</f>
        <v/>
      </c>
      <c r="H242" s="95">
        <f>'לקוחות לפי סוכן - מקור'!I217</f>
        <v/>
      </c>
      <c r="I242" s="127">
        <f>'לקוחות לפי סוכן - מקור'!K217</f>
        <v/>
      </c>
    </row>
    <row r="243" outlineLevel="2" ht="15" customHeight="1" s="82">
      <c r="A243" s="94">
        <f>'לקוחות לפי סוכן - מקור'!A218</f>
        <v/>
      </c>
      <c r="B243" s="94">
        <f>'לקוחות לפי סוכן - מקור'!C218</f>
        <v/>
      </c>
      <c r="C243" s="94">
        <f>'לקוחות לפי סוכן - מקור'!E218</f>
        <v/>
      </c>
      <c r="D243" s="102">
        <f>'לקוחות לפי סוכן - מקור'!F218</f>
        <v/>
      </c>
      <c r="E243" s="102">
        <f>'לקוחות לפי סוכן - מקור'!G218</f>
        <v/>
      </c>
      <c r="F243" s="94">
        <f>'לקוחות לפי סוכן - מקור'!D218</f>
        <v/>
      </c>
      <c r="G243" s="95">
        <f>'לקוחות לפי סוכן - מקור'!H218</f>
        <v/>
      </c>
      <c r="H243" s="95">
        <f>'לקוחות לפי סוכן - מקור'!I218</f>
        <v/>
      </c>
      <c r="I243" s="127">
        <f>'לקוחות לפי סוכן - מקור'!K218</f>
        <v/>
      </c>
    </row>
    <row r="244" outlineLevel="2" ht="15" customHeight="1" s="82">
      <c r="A244" s="94">
        <f>'לקוחות לפי סוכן - מקור'!A219</f>
        <v/>
      </c>
      <c r="B244" s="94">
        <f>'לקוחות לפי סוכן - מקור'!C219</f>
        <v/>
      </c>
      <c r="C244" s="94">
        <f>'לקוחות לפי סוכן - מקור'!E219</f>
        <v/>
      </c>
      <c r="D244" s="102">
        <f>'לקוחות לפי סוכן - מקור'!F219</f>
        <v/>
      </c>
      <c r="E244" s="102">
        <f>'לקוחות לפי סוכן - מקור'!G219</f>
        <v/>
      </c>
      <c r="F244" s="94">
        <f>'לקוחות לפי סוכן - מקור'!D219</f>
        <v/>
      </c>
      <c r="G244" s="95">
        <f>'לקוחות לפי סוכן - מקור'!H219</f>
        <v/>
      </c>
      <c r="H244" s="95">
        <f>'לקוחות לפי סוכן - מקור'!I219</f>
        <v/>
      </c>
      <c r="I244" s="127">
        <f>'לקוחות לפי סוכן - מקור'!K219</f>
        <v/>
      </c>
    </row>
    <row r="245" outlineLevel="2" ht="15" customHeight="1" s="82">
      <c r="A245" s="94">
        <f>'לקוחות לפי סוכן - מקור'!A220</f>
        <v/>
      </c>
      <c r="B245" s="94">
        <f>'לקוחות לפי סוכן - מקור'!C220</f>
        <v/>
      </c>
      <c r="C245" s="94">
        <f>'לקוחות לפי סוכן - מקור'!E220</f>
        <v/>
      </c>
      <c r="D245" s="102">
        <f>'לקוחות לפי סוכן - מקור'!F220</f>
        <v/>
      </c>
      <c r="E245" s="102">
        <f>'לקוחות לפי סוכן - מקור'!G220</f>
        <v/>
      </c>
      <c r="F245" s="94">
        <f>'לקוחות לפי סוכן - מקור'!D220</f>
        <v/>
      </c>
      <c r="G245" s="95">
        <f>'לקוחות לפי סוכן - מקור'!H220</f>
        <v/>
      </c>
      <c r="H245" s="95">
        <f>'לקוחות לפי סוכן - מקור'!I220</f>
        <v/>
      </c>
      <c r="I245" s="127">
        <f>'לקוחות לפי סוכן - מקור'!K220</f>
        <v/>
      </c>
    </row>
    <row r="246" outlineLevel="2" ht="15" customHeight="1" s="82">
      <c r="A246" s="94">
        <f>'לקוחות לפי סוכן - מקור'!A221</f>
        <v/>
      </c>
      <c r="B246" s="94">
        <f>'לקוחות לפי סוכן - מקור'!C221</f>
        <v/>
      </c>
      <c r="C246" s="94">
        <f>'לקוחות לפי סוכן - מקור'!E221</f>
        <v/>
      </c>
      <c r="D246" s="102">
        <f>'לקוחות לפי סוכן - מקור'!F221</f>
        <v/>
      </c>
      <c r="E246" s="102">
        <f>'לקוחות לפי סוכן - מקור'!G221</f>
        <v/>
      </c>
      <c r="F246" s="94">
        <f>'לקוחות לפי סוכן - מקור'!D221</f>
        <v/>
      </c>
      <c r="G246" s="95">
        <f>'לקוחות לפי סוכן - מקור'!H221</f>
        <v/>
      </c>
      <c r="H246" s="95">
        <f>'לקוחות לפי סוכן - מקור'!I221</f>
        <v/>
      </c>
      <c r="I246" s="127">
        <f>'לקוחות לפי סוכן - מקור'!K221</f>
        <v/>
      </c>
    </row>
    <row r="247" outlineLevel="2" ht="15" customHeight="1" s="82">
      <c r="A247" s="94">
        <f>'לקוחות לפי סוכן - מקור'!A222</f>
        <v/>
      </c>
      <c r="B247" s="94">
        <f>'לקוחות לפי סוכן - מקור'!C222</f>
        <v/>
      </c>
      <c r="C247" s="94">
        <f>'לקוחות לפי סוכן - מקור'!E222</f>
        <v/>
      </c>
      <c r="D247" s="102">
        <f>'לקוחות לפי סוכן - מקור'!F222</f>
        <v/>
      </c>
      <c r="E247" s="102">
        <f>'לקוחות לפי סוכן - מקור'!G222</f>
        <v/>
      </c>
      <c r="F247" s="94">
        <f>'לקוחות לפי סוכן - מקור'!D222</f>
        <v/>
      </c>
      <c r="G247" s="95">
        <f>'לקוחות לפי סוכן - מקור'!H222</f>
        <v/>
      </c>
      <c r="H247" s="95">
        <f>'לקוחות לפי סוכן - מקור'!I222</f>
        <v/>
      </c>
      <c r="I247" s="127">
        <f>'לקוחות לפי סוכן - מקור'!K222</f>
        <v/>
      </c>
    </row>
    <row r="248" outlineLevel="2" ht="15" customHeight="1" s="82">
      <c r="A248" s="94">
        <f>'לקוחות לפי סוכן - מקור'!A223</f>
        <v/>
      </c>
      <c r="B248" s="94">
        <f>'לקוחות לפי סוכן - מקור'!C223</f>
        <v/>
      </c>
      <c r="C248" s="94">
        <f>'לקוחות לפי סוכן - מקור'!E223</f>
        <v/>
      </c>
      <c r="D248" s="102">
        <f>'לקוחות לפי סוכן - מקור'!F223</f>
        <v/>
      </c>
      <c r="E248" s="102">
        <f>'לקוחות לפי סוכן - מקור'!G223</f>
        <v/>
      </c>
      <c r="F248" s="94">
        <f>'לקוחות לפי סוכן - מקור'!D223</f>
        <v/>
      </c>
      <c r="G248" s="95">
        <f>'לקוחות לפי סוכן - מקור'!H223</f>
        <v/>
      </c>
      <c r="H248" s="95">
        <f>'לקוחות לפי סוכן - מקור'!I223</f>
        <v/>
      </c>
      <c r="I248" s="127">
        <f>'לקוחות לפי סוכן - מקור'!K223</f>
        <v/>
      </c>
    </row>
    <row r="249" outlineLevel="2" ht="15" customHeight="1" s="82">
      <c r="A249" s="94">
        <f>'לקוחות לפי סוכן - מקור'!A224</f>
        <v/>
      </c>
      <c r="B249" s="94">
        <f>'לקוחות לפי סוכן - מקור'!C224</f>
        <v/>
      </c>
      <c r="C249" s="94">
        <f>'לקוחות לפי סוכן - מקור'!E224</f>
        <v/>
      </c>
      <c r="D249" s="102">
        <f>'לקוחות לפי סוכן - מקור'!F224</f>
        <v/>
      </c>
      <c r="E249" s="102">
        <f>'לקוחות לפי סוכן - מקור'!G224</f>
        <v/>
      </c>
      <c r="F249" s="94">
        <f>'לקוחות לפי סוכן - מקור'!D224</f>
        <v/>
      </c>
      <c r="G249" s="95">
        <f>'לקוחות לפי סוכן - מקור'!H224</f>
        <v/>
      </c>
      <c r="H249" s="95">
        <f>'לקוחות לפי סוכן - מקור'!I224</f>
        <v/>
      </c>
      <c r="I249" s="127">
        <f>'לקוחות לפי סוכן - מקור'!K224</f>
        <v/>
      </c>
    </row>
    <row r="250" outlineLevel="2" ht="15" customHeight="1" s="82">
      <c r="A250" s="94">
        <f>'לקוחות לפי סוכן - מקור'!A225</f>
        <v/>
      </c>
      <c r="B250" s="94">
        <f>'לקוחות לפי סוכן - מקור'!C225</f>
        <v/>
      </c>
      <c r="C250" s="94">
        <f>'לקוחות לפי סוכן - מקור'!E225</f>
        <v/>
      </c>
      <c r="D250" s="102">
        <f>'לקוחות לפי סוכן - מקור'!F225</f>
        <v/>
      </c>
      <c r="E250" s="102">
        <f>'לקוחות לפי סוכן - מקור'!G225</f>
        <v/>
      </c>
      <c r="F250" s="94">
        <f>'לקוחות לפי סוכן - מקור'!D225</f>
        <v/>
      </c>
      <c r="G250" s="95">
        <f>'לקוחות לפי סוכן - מקור'!H225</f>
        <v/>
      </c>
      <c r="H250" s="95">
        <f>'לקוחות לפי סוכן - מקור'!I225</f>
        <v/>
      </c>
      <c r="I250" s="127">
        <f>'לקוחות לפי סוכן - מקור'!K225</f>
        <v/>
      </c>
    </row>
    <row r="251" outlineLevel="2" ht="15" customHeight="1" s="82">
      <c r="A251" s="94">
        <f>'לקוחות לפי סוכן - מקור'!A226</f>
        <v/>
      </c>
      <c r="B251" s="94">
        <f>'לקוחות לפי סוכן - מקור'!C226</f>
        <v/>
      </c>
      <c r="C251" s="94">
        <f>'לקוחות לפי סוכן - מקור'!E226</f>
        <v/>
      </c>
      <c r="D251" s="102">
        <f>'לקוחות לפי סוכן - מקור'!F226</f>
        <v/>
      </c>
      <c r="E251" s="102">
        <f>'לקוחות לפי סוכן - מקור'!G226</f>
        <v/>
      </c>
      <c r="F251" s="94">
        <f>'לקוחות לפי סוכן - מקור'!D226</f>
        <v/>
      </c>
      <c r="G251" s="95">
        <f>'לקוחות לפי סוכן - מקור'!H226</f>
        <v/>
      </c>
      <c r="H251" s="95">
        <f>'לקוחות לפי סוכן - מקור'!I226</f>
        <v/>
      </c>
      <c r="I251" s="127">
        <f>'לקוחות לפי סוכן - מקור'!K226</f>
        <v/>
      </c>
    </row>
    <row r="252" outlineLevel="2" ht="15" customHeight="1" s="82">
      <c r="A252" s="94">
        <f>'לקוחות לפי סוכן - מקור'!A227</f>
        <v/>
      </c>
      <c r="B252" s="94">
        <f>'לקוחות לפי סוכן - מקור'!C227</f>
        <v/>
      </c>
      <c r="C252" s="94">
        <f>'לקוחות לפי סוכן - מקור'!E227</f>
        <v/>
      </c>
      <c r="D252" s="102">
        <f>'לקוחות לפי סוכן - מקור'!F227</f>
        <v/>
      </c>
      <c r="E252" s="102">
        <f>'לקוחות לפי סוכן - מקור'!G227</f>
        <v/>
      </c>
      <c r="F252" s="94">
        <f>'לקוחות לפי סוכן - מקור'!D227</f>
        <v/>
      </c>
      <c r="G252" s="95">
        <f>'לקוחות לפי סוכן - מקור'!H227</f>
        <v/>
      </c>
      <c r="H252" s="95">
        <f>'לקוחות לפי סוכן - מקור'!I227</f>
        <v/>
      </c>
      <c r="I252" s="127">
        <f>'לקוחות לפי סוכן - מקור'!K227</f>
        <v/>
      </c>
    </row>
    <row r="253" outlineLevel="2" ht="15" customHeight="1" s="82">
      <c r="A253" s="94">
        <f>'לקוחות לפי סוכן - מקור'!A228</f>
        <v/>
      </c>
      <c r="B253" s="94">
        <f>'לקוחות לפי סוכן - מקור'!C228</f>
        <v/>
      </c>
      <c r="C253" s="94">
        <f>'לקוחות לפי סוכן - מקור'!E228</f>
        <v/>
      </c>
      <c r="D253" s="102">
        <f>'לקוחות לפי סוכן - מקור'!F228</f>
        <v/>
      </c>
      <c r="E253" s="102">
        <f>'לקוחות לפי סוכן - מקור'!G228</f>
        <v/>
      </c>
      <c r="F253" s="94">
        <f>'לקוחות לפי סוכן - מקור'!D228</f>
        <v/>
      </c>
      <c r="G253" s="95">
        <f>'לקוחות לפי סוכן - מקור'!H228</f>
        <v/>
      </c>
      <c r="H253" s="95">
        <f>'לקוחות לפי סוכן - מקור'!I228</f>
        <v/>
      </c>
      <c r="I253" s="127">
        <f>'לקוחות לפי סוכן - מקור'!K228</f>
        <v/>
      </c>
    </row>
    <row r="254" outlineLevel="2" ht="15" customHeight="1" s="82">
      <c r="A254" s="94">
        <f>'לקוחות לפי סוכן - מקור'!A229</f>
        <v/>
      </c>
      <c r="B254" s="94">
        <f>'לקוחות לפי סוכן - מקור'!C229</f>
        <v/>
      </c>
      <c r="C254" s="94">
        <f>'לקוחות לפי סוכן - מקור'!E229</f>
        <v/>
      </c>
      <c r="D254" s="102">
        <f>'לקוחות לפי סוכן - מקור'!F229</f>
        <v/>
      </c>
      <c r="E254" s="102">
        <f>'לקוחות לפי סוכן - מקור'!G229</f>
        <v/>
      </c>
      <c r="F254" s="94">
        <f>'לקוחות לפי סוכן - מקור'!D229</f>
        <v/>
      </c>
      <c r="G254" s="95">
        <f>'לקוחות לפי סוכן - מקור'!H229</f>
        <v/>
      </c>
      <c r="H254" s="95">
        <f>'לקוחות לפי סוכן - מקור'!I229</f>
        <v/>
      </c>
      <c r="I254" s="127">
        <f>'לקוחות לפי סוכן - מקור'!K229</f>
        <v/>
      </c>
    </row>
    <row r="255" outlineLevel="2" ht="15" customHeight="1" s="82">
      <c r="A255" s="94">
        <f>'לקוחות לפי סוכן - מקור'!A230</f>
        <v/>
      </c>
      <c r="B255" s="94">
        <f>'לקוחות לפי סוכן - מקור'!C230</f>
        <v/>
      </c>
      <c r="C255" s="94">
        <f>'לקוחות לפי סוכן - מקור'!E230</f>
        <v/>
      </c>
      <c r="D255" s="102">
        <f>'לקוחות לפי סוכן - מקור'!F230</f>
        <v/>
      </c>
      <c r="E255" s="102">
        <f>'לקוחות לפי סוכן - מקור'!G230</f>
        <v/>
      </c>
      <c r="F255" s="94">
        <f>'לקוחות לפי סוכן - מקור'!D230</f>
        <v/>
      </c>
      <c r="G255" s="95">
        <f>'לקוחות לפי סוכן - מקור'!H230</f>
        <v/>
      </c>
      <c r="H255" s="95">
        <f>'לקוחות לפי סוכן - מקור'!I230</f>
        <v/>
      </c>
      <c r="I255" s="127">
        <f>'לקוחות לפי סוכן - מקור'!K230</f>
        <v/>
      </c>
    </row>
    <row r="256" outlineLevel="1" ht="15" customHeight="1" s="82">
      <c r="A256" s="128" t="inlineStr">
        <is>
          <t>סטניסלב נסאר</t>
        </is>
      </c>
      <c r="B256" s="129" t="inlineStr">
        <is>
          <t>103 - Physiotherapy institutes</t>
        </is>
      </c>
      <c r="C256" s="130" t="n"/>
      <c r="D256" s="131">
        <f>SUMIFS('לקוחות לפי סוכן - מקור'!$F$2:$F$867,'לקוחות לפי סוכן - מקור'!$A$2:$A$867,$A256,'לקוחות לפי סוכן - מקור'!$C$2:$C$867,$B256)</f>
        <v/>
      </c>
      <c r="E256" s="131">
        <f>SUMIFS('לקוחות לפי סוכן - מקור'!$G$2:$G$867,'לקוחות לפי סוכן - מקור'!$A$2:$A$867,$A256,'לקוחות לפי סוכן - מקור'!$C$2:$C$867,$B256)</f>
        <v/>
      </c>
      <c r="F256" s="130" t="n"/>
      <c r="G256" s="132">
        <f>SUMIFS('לקוחות לפי סוכן - מקור'!$H$2:$H$867,'לקוחות לפי סוכן - מקור'!$A$2:$A$867,$A256,'לקוחות לפי סוכן - מקור'!$C$2:$C$867,$B256)</f>
        <v/>
      </c>
      <c r="H256" s="132">
        <f>SUMIFS('לקוחות לפי סוכן - מקור'!$I$2:$I$867,'לקוחות לפי סוכן - מקור'!$A$2:$A$867,$A256,'לקוחות לפי סוכן - מקור'!$C$2:$C$867,$B256)</f>
        <v/>
      </c>
      <c r="I256" s="130" t="n"/>
      <c r="J256" s="132">
        <f>COUNTIFS('לקוחות לפי סוכן - מקור'!$A$2:$A$867,$A256,'לקוחות לפי סוכן - מקור'!$C$2:$C$867,$B256)</f>
        <v/>
      </c>
    </row>
    <row r="257" outlineLevel="2" ht="15" customHeight="1" s="82">
      <c r="A257" s="94">
        <f>'לקוחות לפי סוכן - מקור'!A231</f>
        <v/>
      </c>
      <c r="B257" s="94">
        <f>'לקוחות לפי סוכן - מקור'!C231</f>
        <v/>
      </c>
      <c r="C257" s="94">
        <f>'לקוחות לפי סוכן - מקור'!E231</f>
        <v/>
      </c>
      <c r="D257" s="102">
        <f>'לקוחות לפי סוכן - מקור'!F231</f>
        <v/>
      </c>
      <c r="E257" s="102">
        <f>'לקוחות לפי סוכן - מקור'!G231</f>
        <v/>
      </c>
      <c r="F257" s="94">
        <f>'לקוחות לפי סוכן - מקור'!D231</f>
        <v/>
      </c>
      <c r="G257" s="95">
        <f>'לקוחות לפי סוכן - מקור'!H231</f>
        <v/>
      </c>
      <c r="H257" s="95">
        <f>'לקוחות לפי סוכן - מקור'!I231</f>
        <v/>
      </c>
      <c r="I257" s="127">
        <f>'לקוחות לפי סוכן - מקור'!K231</f>
        <v/>
      </c>
    </row>
    <row r="258" outlineLevel="2" ht="15" customHeight="1" s="82">
      <c r="A258" s="94">
        <f>'לקוחות לפי סוכן - מקור'!A232</f>
        <v/>
      </c>
      <c r="B258" s="94">
        <f>'לקוחות לפי סוכן - מקור'!C232</f>
        <v/>
      </c>
      <c r="C258" s="94">
        <f>'לקוחות לפי סוכן - מקור'!E232</f>
        <v/>
      </c>
      <c r="D258" s="102">
        <f>'לקוחות לפי סוכן - מקור'!F232</f>
        <v/>
      </c>
      <c r="E258" s="102">
        <f>'לקוחות לפי סוכן - מקור'!G232</f>
        <v/>
      </c>
      <c r="F258" s="94">
        <f>'לקוחות לפי סוכן - מקור'!D232</f>
        <v/>
      </c>
      <c r="G258" s="95">
        <f>'לקוחות לפי סוכן - מקור'!H232</f>
        <v/>
      </c>
      <c r="H258" s="95">
        <f>'לקוחות לפי סוכן - מקור'!I232</f>
        <v/>
      </c>
      <c r="I258" s="127">
        <f>'לקוחות לפי סוכן - מקור'!K232</f>
        <v/>
      </c>
    </row>
    <row r="259" outlineLevel="2" ht="15" customHeight="1" s="82">
      <c r="A259" s="94">
        <f>'לקוחות לפי סוכן - מקור'!A233</f>
        <v/>
      </c>
      <c r="B259" s="94">
        <f>'לקוחות לפי סוכן - מקור'!C233</f>
        <v/>
      </c>
      <c r="C259" s="94">
        <f>'לקוחות לפי סוכן - מקור'!E233</f>
        <v/>
      </c>
      <c r="D259" s="102">
        <f>'לקוחות לפי סוכן - מקור'!F233</f>
        <v/>
      </c>
      <c r="E259" s="102">
        <f>'לקוחות לפי סוכן - מקור'!G233</f>
        <v/>
      </c>
      <c r="F259" s="94">
        <f>'לקוחות לפי סוכן - מקור'!D233</f>
        <v/>
      </c>
      <c r="G259" s="95">
        <f>'לקוחות לפי סוכן - מקור'!H233</f>
        <v/>
      </c>
      <c r="H259" s="95">
        <f>'לקוחות לפי סוכן - מקור'!I233</f>
        <v/>
      </c>
      <c r="I259" s="127">
        <f>'לקוחות לפי סוכן - מקור'!K233</f>
        <v/>
      </c>
    </row>
    <row r="260" outlineLevel="2" ht="15" customHeight="1" s="82">
      <c r="A260" s="94">
        <f>'לקוחות לפי סוכן - מקור'!A234</f>
        <v/>
      </c>
      <c r="B260" s="94">
        <f>'לקוחות לפי סוכן - מקור'!C234</f>
        <v/>
      </c>
      <c r="C260" s="94">
        <f>'לקוחות לפי סוכן - מקור'!E234</f>
        <v/>
      </c>
      <c r="D260" s="102">
        <f>'לקוחות לפי סוכן - מקור'!F234</f>
        <v/>
      </c>
      <c r="E260" s="102">
        <f>'לקוחות לפי סוכן - מקור'!G234</f>
        <v/>
      </c>
      <c r="F260" s="94">
        <f>'לקוחות לפי סוכן - מקור'!D234</f>
        <v/>
      </c>
      <c r="G260" s="95">
        <f>'לקוחות לפי סוכן - מקור'!H234</f>
        <v/>
      </c>
      <c r="H260" s="95">
        <f>'לקוחות לפי סוכן - מקור'!I234</f>
        <v/>
      </c>
      <c r="I260" s="127">
        <f>'לקוחות לפי סוכן - מקור'!K234</f>
        <v/>
      </c>
    </row>
    <row r="261" outlineLevel="1" ht="15" customHeight="1" s="82">
      <c r="A261" s="128" t="inlineStr">
        <is>
          <t>סטניסלב נסאר</t>
        </is>
      </c>
      <c r="B261" s="129" t="inlineStr">
        <is>
          <t>107 - Pharmacies</t>
        </is>
      </c>
      <c r="C261" s="130" t="n"/>
      <c r="D261" s="131">
        <f>SUMIFS('לקוחות לפי סוכן - מקור'!$F$2:$F$867,'לקוחות לפי סוכן - מקור'!$A$2:$A$867,$A261,'לקוחות לפי סוכן - מקור'!$C$2:$C$867,$B261)</f>
        <v/>
      </c>
      <c r="E261" s="131">
        <f>SUMIFS('לקוחות לפי סוכן - מקור'!$G$2:$G$867,'לקוחות לפי סוכן - מקור'!$A$2:$A$867,$A261,'לקוחות לפי סוכן - מקור'!$C$2:$C$867,$B261)</f>
        <v/>
      </c>
      <c r="F261" s="130" t="n"/>
      <c r="G261" s="132">
        <f>SUMIFS('לקוחות לפי סוכן - מקור'!$H$2:$H$867,'לקוחות לפי סוכן - מקור'!$A$2:$A$867,$A261,'לקוחות לפי סוכן - מקור'!$C$2:$C$867,$B261)</f>
        <v/>
      </c>
      <c r="H261" s="132">
        <f>SUMIFS('לקוחות לפי סוכן - מקור'!$I$2:$I$867,'לקוחות לפי סוכן - מקור'!$A$2:$A$867,$A261,'לקוחות לפי סוכן - מקור'!$C$2:$C$867,$B261)</f>
        <v/>
      </c>
      <c r="I261" s="130" t="n"/>
      <c r="J261" s="132">
        <f>COUNTIFS('לקוחות לפי סוכן - מקור'!$A$2:$A$867,$A261,'לקוחות לפי סוכן - מקור'!$C$2:$C$867,$B261)</f>
        <v/>
      </c>
    </row>
    <row r="262" outlineLevel="2" ht="15" customHeight="1" s="82">
      <c r="A262" s="94">
        <f>'לקוחות לפי סוכן - מקור'!A235</f>
        <v/>
      </c>
      <c r="B262" s="94">
        <f>'לקוחות לפי סוכן - מקור'!C235</f>
        <v/>
      </c>
      <c r="C262" s="94">
        <f>'לקוחות לפי סוכן - מקור'!E235</f>
        <v/>
      </c>
      <c r="D262" s="102">
        <f>'לקוחות לפי סוכן - מקור'!F235</f>
        <v/>
      </c>
      <c r="E262" s="102">
        <f>'לקוחות לפי סוכן - מקור'!G235</f>
        <v/>
      </c>
      <c r="F262" s="94">
        <f>'לקוחות לפי סוכן - מקור'!D235</f>
        <v/>
      </c>
      <c r="G262" s="95">
        <f>'לקוחות לפי סוכן - מקור'!H235</f>
        <v/>
      </c>
      <c r="H262" s="95">
        <f>'לקוחות לפי סוכן - מקור'!I235</f>
        <v/>
      </c>
      <c r="I262" s="127">
        <f>'לקוחות לפי סוכן - מקור'!K235</f>
        <v/>
      </c>
    </row>
    <row r="263" outlineLevel="2" ht="15" customHeight="1" s="82">
      <c r="A263" s="94">
        <f>'לקוחות לפי סוכן - מקור'!A236</f>
        <v/>
      </c>
      <c r="B263" s="94">
        <f>'לקוחות לפי סוכן - מקור'!C236</f>
        <v/>
      </c>
      <c r="C263" s="94">
        <f>'לקוחות לפי סוכן - מקור'!E236</f>
        <v/>
      </c>
      <c r="D263" s="102">
        <f>'לקוחות לפי סוכן - מקור'!F236</f>
        <v/>
      </c>
      <c r="E263" s="102">
        <f>'לקוחות לפי סוכן - מקור'!G236</f>
        <v/>
      </c>
      <c r="F263" s="94">
        <f>'לקוחות לפי סוכן - מקור'!D236</f>
        <v/>
      </c>
      <c r="G263" s="95">
        <f>'לקוחות לפי סוכן - מקור'!H236</f>
        <v/>
      </c>
      <c r="H263" s="95">
        <f>'לקוחות לפי סוכן - מקור'!I236</f>
        <v/>
      </c>
      <c r="I263" s="127">
        <f>'לקוחות לפי סוכן - מקור'!K236</f>
        <v/>
      </c>
    </row>
    <row r="264" outlineLevel="2" ht="15" customHeight="1" s="82">
      <c r="A264" s="94">
        <f>'לקוחות לפי סוכן - מקור'!A237</f>
        <v/>
      </c>
      <c r="B264" s="94">
        <f>'לקוחות לפי סוכן - מקור'!C237</f>
        <v/>
      </c>
      <c r="C264" s="94">
        <f>'לקוחות לפי סוכן - מקור'!E237</f>
        <v/>
      </c>
      <c r="D264" s="102">
        <f>'לקוחות לפי סוכן - מקור'!F237</f>
        <v/>
      </c>
      <c r="E264" s="102">
        <f>'לקוחות לפי סוכן - מקור'!G237</f>
        <v/>
      </c>
      <c r="F264" s="94">
        <f>'לקוחות לפי סוכן - מקור'!D237</f>
        <v/>
      </c>
      <c r="G264" s="95">
        <f>'לקוחות לפי סוכן - מקור'!H237</f>
        <v/>
      </c>
      <c r="H264" s="95">
        <f>'לקוחות לפי סוכן - מקור'!I237</f>
        <v/>
      </c>
      <c r="I264" s="127">
        <f>'לקוחות לפי סוכן - מקור'!K237</f>
        <v/>
      </c>
    </row>
    <row r="265" outlineLevel="1" ht="15" customHeight="1" s="82">
      <c r="A265" s="128" t="inlineStr">
        <is>
          <t>סטניסלב נסאר</t>
        </is>
      </c>
      <c r="B265" s="129" t="inlineStr">
        <is>
          <t>109 - Private Shops</t>
        </is>
      </c>
      <c r="C265" s="130" t="n"/>
      <c r="D265" s="131">
        <f>SUMIFS('לקוחות לפי סוכן - מקור'!$F$2:$F$867,'לקוחות לפי סוכן - מקור'!$A$2:$A$867,$A265,'לקוחות לפי סוכן - מקור'!$C$2:$C$867,$B265)</f>
        <v/>
      </c>
      <c r="E265" s="131">
        <f>SUMIFS('לקוחות לפי סוכן - מקור'!$G$2:$G$867,'לקוחות לפי סוכן - מקור'!$A$2:$A$867,$A265,'לקוחות לפי סוכן - מקור'!$C$2:$C$867,$B265)</f>
        <v/>
      </c>
      <c r="F265" s="130" t="n"/>
      <c r="G265" s="132">
        <f>SUMIFS('לקוחות לפי סוכן - מקור'!$H$2:$H$867,'לקוחות לפי סוכן - מקור'!$A$2:$A$867,$A265,'לקוחות לפי סוכן - מקור'!$C$2:$C$867,$B265)</f>
        <v/>
      </c>
      <c r="H265" s="132">
        <f>SUMIFS('לקוחות לפי סוכן - מקור'!$I$2:$I$867,'לקוחות לפי סוכן - מקור'!$A$2:$A$867,$A265,'לקוחות לפי סוכן - מקור'!$C$2:$C$867,$B265)</f>
        <v/>
      </c>
      <c r="I265" s="130" t="n"/>
      <c r="J265" s="132">
        <f>COUNTIFS('לקוחות לפי סוכן - מקור'!$A$2:$A$867,$A265,'לקוחות לפי סוכן - מקור'!$C$2:$C$867,$B265)</f>
        <v/>
      </c>
    </row>
    <row r="266" outlineLevel="2" ht="15" customHeight="1" s="82">
      <c r="A266" s="94">
        <f>'לקוחות לפי סוכן - מקור'!A238</f>
        <v/>
      </c>
      <c r="B266" s="94">
        <f>'לקוחות לפי סוכן - מקור'!C238</f>
        <v/>
      </c>
      <c r="C266" s="94">
        <f>'לקוחות לפי סוכן - מקור'!E238</f>
        <v/>
      </c>
      <c r="D266" s="102">
        <f>'לקוחות לפי סוכן - מקור'!F238</f>
        <v/>
      </c>
      <c r="E266" s="102">
        <f>'לקוחות לפי סוכן - מקור'!G238</f>
        <v/>
      </c>
      <c r="F266" s="94">
        <f>'לקוחות לפי סוכן - מקור'!D238</f>
        <v/>
      </c>
      <c r="G266" s="95">
        <f>'לקוחות לפי סוכן - מקור'!H238</f>
        <v/>
      </c>
      <c r="H266" s="95">
        <f>'לקוחות לפי סוכן - מקור'!I238</f>
        <v/>
      </c>
      <c r="I266" s="127">
        <f>'לקוחות לפי סוכן - מקור'!K238</f>
        <v/>
      </c>
    </row>
    <row r="267" outlineLevel="2" ht="15" customHeight="1" s="82">
      <c r="A267" s="94">
        <f>'לקוחות לפי סוכן - מקור'!A239</f>
        <v/>
      </c>
      <c r="B267" s="94">
        <f>'לקוחות לפי סוכן - מקור'!C239</f>
        <v/>
      </c>
      <c r="C267" s="94">
        <f>'לקוחות לפי סוכן - מקור'!E239</f>
        <v/>
      </c>
      <c r="D267" s="102">
        <f>'לקוחות לפי סוכן - מקור'!F239</f>
        <v/>
      </c>
      <c r="E267" s="102">
        <f>'לקוחות לפי סוכן - מקור'!G239</f>
        <v/>
      </c>
      <c r="F267" s="94">
        <f>'לקוחות לפי סוכן - מקור'!D239</f>
        <v/>
      </c>
      <c r="G267" s="95">
        <f>'לקוחות לפי סוכן - מקור'!H239</f>
        <v/>
      </c>
      <c r="H267" s="95">
        <f>'לקוחות לפי סוכן - מקור'!I239</f>
        <v/>
      </c>
      <c r="I267" s="127">
        <f>'לקוחות לפי סוכן - מקור'!K239</f>
        <v/>
      </c>
    </row>
    <row r="268" outlineLevel="1" ht="15" customHeight="1" s="82">
      <c r="A268" s="128" t="inlineStr">
        <is>
          <t>סטניסלב נסאר</t>
        </is>
      </c>
      <c r="B268" s="129" t="inlineStr">
        <is>
          <t>0בתי מרקחת</t>
        </is>
      </c>
      <c r="C268" s="130" t="n"/>
      <c r="D268" s="131">
        <f>SUMIFS('לקוחות לפי סוכן - מקור'!$F$2:$F$867,'לקוחות לפי סוכן - מקור'!$A$2:$A$867,$A268,'לקוחות לפי סוכן - מקור'!$C$2:$C$867,$B268)</f>
        <v/>
      </c>
      <c r="E268" s="131">
        <f>SUMIFS('לקוחות לפי סוכן - מקור'!$G$2:$G$867,'לקוחות לפי סוכן - מקור'!$A$2:$A$867,$A268,'לקוחות לפי סוכן - מקור'!$C$2:$C$867,$B268)</f>
        <v/>
      </c>
      <c r="F268" s="130" t="n"/>
      <c r="G268" s="132">
        <f>SUMIFS('לקוחות לפי סוכן - מקור'!$H$2:$H$867,'לקוחות לפי סוכן - מקור'!$A$2:$A$867,$A268,'לקוחות לפי סוכן - מקור'!$C$2:$C$867,$B268)</f>
        <v/>
      </c>
      <c r="H268" s="132">
        <f>SUMIFS('לקוחות לפי סוכן - מקור'!$I$2:$I$867,'לקוחות לפי סוכן - מקור'!$A$2:$A$867,$A268,'לקוחות לפי סוכן - מקור'!$C$2:$C$867,$B268)</f>
        <v/>
      </c>
      <c r="I268" s="130" t="n"/>
      <c r="J268" s="132">
        <f>COUNTIFS('לקוחות לפי סוכן - מקור'!$A$2:$A$867,$A268,'לקוחות לפי סוכן - מקור'!$C$2:$C$867,$B268)</f>
        <v/>
      </c>
    </row>
    <row r="269" outlineLevel="2" ht="15" customHeight="1" s="82">
      <c r="A269" s="94">
        <f>'לקוחות לפי סוכן - מקור'!A240</f>
        <v/>
      </c>
      <c r="B269" s="94">
        <f>'לקוחות לפי סוכן - מקור'!C240</f>
        <v/>
      </c>
      <c r="C269" s="94">
        <f>'לקוחות לפי סוכן - מקור'!E240</f>
        <v/>
      </c>
      <c r="D269" s="102">
        <f>'לקוחות לפי סוכן - מקור'!F240</f>
        <v/>
      </c>
      <c r="E269" s="102">
        <f>'לקוחות לפי סוכן - מקור'!G240</f>
        <v/>
      </c>
      <c r="F269" s="94">
        <f>'לקוחות לפי סוכן - מקור'!D240</f>
        <v/>
      </c>
      <c r="G269" s="95">
        <f>'לקוחות לפי סוכן - מקור'!H240</f>
        <v/>
      </c>
      <c r="H269" s="95">
        <f>'לקוחות לפי סוכן - מקור'!I240</f>
        <v/>
      </c>
      <c r="I269" s="127">
        <f>'לקוחות לפי סוכן - מקור'!K240</f>
        <v/>
      </c>
    </row>
    <row r="270" outlineLevel="1" ht="15" customHeight="1" s="82">
      <c r="A270" s="128" t="inlineStr">
        <is>
          <t>סטניסלב נסאר</t>
        </is>
      </c>
      <c r="B270" s="129" t="inlineStr">
        <is>
          <t>מגזר ערבי</t>
        </is>
      </c>
      <c r="C270" s="130" t="n"/>
      <c r="D270" s="131">
        <f>SUMIFS('לקוחות לפי סוכן - מקור'!$F$2:$F$867,'לקוחות לפי סוכן - מקור'!$A$2:$A$867,$A270,'לקוחות לפי סוכן - מקור'!$C$2:$C$867,$B270)</f>
        <v/>
      </c>
      <c r="E270" s="131">
        <f>SUMIFS('לקוחות לפי סוכן - מקור'!$G$2:$G$867,'לקוחות לפי סוכן - מקור'!$A$2:$A$867,$A270,'לקוחות לפי סוכן - מקור'!$C$2:$C$867,$B270)</f>
        <v/>
      </c>
      <c r="F270" s="130" t="n"/>
      <c r="G270" s="132">
        <f>SUMIFS('לקוחות לפי סוכן - מקור'!$H$2:$H$867,'לקוחות לפי סוכן - מקור'!$A$2:$A$867,$A270,'לקוחות לפי סוכן - מקור'!$C$2:$C$867,$B270)</f>
        <v/>
      </c>
      <c r="H270" s="132">
        <f>SUMIFS('לקוחות לפי סוכן - מקור'!$I$2:$I$867,'לקוחות לפי סוכן - מקור'!$A$2:$A$867,$A270,'לקוחות לפי סוכן - מקור'!$C$2:$C$867,$B270)</f>
        <v/>
      </c>
      <c r="I270" s="130" t="n"/>
      <c r="J270" s="132">
        <f>COUNTIFS('לקוחות לפי סוכן - מקור'!$A$2:$A$867,$A270,'לקוחות לפי סוכן - מקור'!$C$2:$C$867,$B270)</f>
        <v/>
      </c>
    </row>
    <row r="271" outlineLevel="2" ht="15" customHeight="1" s="82">
      <c r="A271" s="94">
        <f>'לקוחות לפי סוכן - מקור'!A241</f>
        <v/>
      </c>
      <c r="B271" s="94">
        <f>'לקוחות לפי סוכן - מקור'!C241</f>
        <v/>
      </c>
      <c r="C271" s="94">
        <f>'לקוחות לפי סוכן - מקור'!E241</f>
        <v/>
      </c>
      <c r="D271" s="102">
        <f>'לקוחות לפי סוכן - מקור'!F241</f>
        <v/>
      </c>
      <c r="E271" s="102">
        <f>'לקוחות לפי סוכן - מקור'!G241</f>
        <v/>
      </c>
      <c r="F271" s="94">
        <f>'לקוחות לפי סוכן - מקור'!D241</f>
        <v/>
      </c>
      <c r="G271" s="95">
        <f>'לקוחות לפי סוכן - מקור'!H241</f>
        <v/>
      </c>
      <c r="H271" s="95">
        <f>'לקוחות לפי סוכן - מקור'!I241</f>
        <v/>
      </c>
      <c r="I271" s="127">
        <f>'לקוחות לפי סוכן - מקור'!K241</f>
        <v/>
      </c>
    </row>
    <row r="272" outlineLevel="2" ht="15" customHeight="1" s="82">
      <c r="A272" s="94">
        <f>'לקוחות לפי סוכן - מקור'!A242</f>
        <v/>
      </c>
      <c r="B272" s="94">
        <f>'לקוחות לפי סוכן - מקור'!C242</f>
        <v/>
      </c>
      <c r="C272" s="94">
        <f>'לקוחות לפי סוכן - מקור'!E242</f>
        <v/>
      </c>
      <c r="D272" s="102">
        <f>'לקוחות לפי סוכן - מקור'!F242</f>
        <v/>
      </c>
      <c r="E272" s="102">
        <f>'לקוחות לפי סוכן - מקור'!G242</f>
        <v/>
      </c>
      <c r="F272" s="94">
        <f>'לקוחות לפי סוכן - מקור'!D242</f>
        <v/>
      </c>
      <c r="G272" s="95">
        <f>'לקוחות לפי סוכן - מקור'!H242</f>
        <v/>
      </c>
      <c r="H272" s="95">
        <f>'לקוחות לפי סוכן - מקור'!I242</f>
        <v/>
      </c>
      <c r="I272" s="127">
        <f>'לקוחות לפי סוכן - מקור'!K242</f>
        <v/>
      </c>
    </row>
    <row r="273" outlineLevel="2" ht="15" customHeight="1" s="82">
      <c r="A273" s="94">
        <f>'לקוחות לפי סוכן - מקור'!A243</f>
        <v/>
      </c>
      <c r="B273" s="94">
        <f>'לקוחות לפי סוכן - מקור'!C243</f>
        <v/>
      </c>
      <c r="C273" s="94">
        <f>'לקוחות לפי סוכן - מקור'!E243</f>
        <v/>
      </c>
      <c r="D273" s="102">
        <f>'לקוחות לפי סוכן - מקור'!F243</f>
        <v/>
      </c>
      <c r="E273" s="102">
        <f>'לקוחות לפי סוכן - מקור'!G243</f>
        <v/>
      </c>
      <c r="F273" s="94">
        <f>'לקוחות לפי סוכן - מקור'!D243</f>
        <v/>
      </c>
      <c r="G273" s="95">
        <f>'לקוחות לפי סוכן - מקור'!H243</f>
        <v/>
      </c>
      <c r="H273" s="95">
        <f>'לקוחות לפי סוכן - מקור'!I243</f>
        <v/>
      </c>
      <c r="I273" s="127">
        <f>'לקוחות לפי סוכן - מקור'!K243</f>
        <v/>
      </c>
    </row>
    <row r="274" outlineLevel="2" ht="15" customHeight="1" s="82">
      <c r="A274" s="94">
        <f>'לקוחות לפי סוכן - מקור'!A244</f>
        <v/>
      </c>
      <c r="B274" s="94">
        <f>'לקוחות לפי סוכן - מקור'!C244</f>
        <v/>
      </c>
      <c r="C274" s="94">
        <f>'לקוחות לפי סוכן - מקור'!E244</f>
        <v/>
      </c>
      <c r="D274" s="102">
        <f>'לקוחות לפי סוכן - מקור'!F244</f>
        <v/>
      </c>
      <c r="E274" s="102">
        <f>'לקוחות לפי סוכן - מקור'!G244</f>
        <v/>
      </c>
      <c r="F274" s="94">
        <f>'לקוחות לפי סוכן - מקור'!D244</f>
        <v/>
      </c>
      <c r="G274" s="95">
        <f>'לקוחות לפי סוכן - מקור'!H244</f>
        <v/>
      </c>
      <c r="H274" s="95">
        <f>'לקוחות לפי סוכן - מקור'!I244</f>
        <v/>
      </c>
      <c r="I274" s="127">
        <f>'לקוחות לפי סוכן - מקור'!K244</f>
        <v/>
      </c>
    </row>
    <row r="275" outlineLevel="1" ht="15" customHeight="1" s="82">
      <c r="A275" s="128" t="inlineStr">
        <is>
          <t>סטניסלב נסאר</t>
        </is>
      </c>
      <c r="B275" s="129" t="inlineStr">
        <is>
          <t>שרם</t>
        </is>
      </c>
      <c r="C275" s="130" t="n"/>
      <c r="D275" s="131">
        <f>SUMIFS('לקוחות לפי סוכן - מקור'!$F$2:$F$867,'לקוחות לפי סוכן - מקור'!$A$2:$A$867,$A275,'לקוחות לפי סוכן - מקור'!$C$2:$C$867,$B275)</f>
        <v/>
      </c>
      <c r="E275" s="131">
        <f>SUMIFS('לקוחות לפי סוכן - מקור'!$G$2:$G$867,'לקוחות לפי סוכן - מקור'!$A$2:$A$867,$A275,'לקוחות לפי סוכן - מקור'!$C$2:$C$867,$B275)</f>
        <v/>
      </c>
      <c r="F275" s="130" t="n"/>
      <c r="G275" s="132">
        <f>SUMIFS('לקוחות לפי סוכן - מקור'!$H$2:$H$867,'לקוחות לפי סוכן - מקור'!$A$2:$A$867,$A275,'לקוחות לפי סוכן - מקור'!$C$2:$C$867,$B275)</f>
        <v/>
      </c>
      <c r="H275" s="132">
        <f>SUMIFS('לקוחות לפי סוכן - מקור'!$I$2:$I$867,'לקוחות לפי סוכן - מקור'!$A$2:$A$867,$A275,'לקוחות לפי סוכן - מקור'!$C$2:$C$867,$B275)</f>
        <v/>
      </c>
      <c r="I275" s="130" t="n"/>
      <c r="J275" s="132">
        <f>COUNTIFS('לקוחות לפי סוכן - מקור'!$A$2:$A$867,$A275,'לקוחות לפי סוכן - מקור'!$C$2:$C$867,$B275)</f>
        <v/>
      </c>
    </row>
    <row r="276" outlineLevel="2" ht="15" customHeight="1" s="82">
      <c r="A276" s="94">
        <f>'לקוחות לפי סוכן - מקור'!A245</f>
        <v/>
      </c>
      <c r="B276" s="94">
        <f>'לקוחות לפי סוכן - מקור'!C245</f>
        <v/>
      </c>
      <c r="C276" s="94">
        <f>'לקוחות לפי סוכן - מקור'!E245</f>
        <v/>
      </c>
      <c r="D276" s="102">
        <f>'לקוחות לפי סוכן - מקור'!F245</f>
        <v/>
      </c>
      <c r="E276" s="102">
        <f>'לקוחות לפי סוכן - מקור'!G245</f>
        <v/>
      </c>
      <c r="F276" s="94">
        <f>'לקוחות לפי סוכן - מקור'!D245</f>
        <v/>
      </c>
      <c r="G276" s="95">
        <f>'לקוחות לפי סוכן - מקור'!H245</f>
        <v/>
      </c>
      <c r="H276" s="95">
        <f>'לקוחות לפי סוכן - מקור'!I245</f>
        <v/>
      </c>
      <c r="I276" s="127">
        <f>'לקוחות לפי סוכן - מקור'!K245</f>
        <v/>
      </c>
    </row>
    <row r="277" outlineLevel="2" ht="15" customHeight="1" s="82">
      <c r="A277" s="94">
        <f>'לקוחות לפי סוכן - מקור'!A246</f>
        <v/>
      </c>
      <c r="B277" s="94">
        <f>'לקוחות לפי סוכן - מקור'!C246</f>
        <v/>
      </c>
      <c r="C277" s="94">
        <f>'לקוחות לפי סוכן - מקור'!E246</f>
        <v/>
      </c>
      <c r="D277" s="102">
        <f>'לקוחות לפי סוכן - מקור'!F246</f>
        <v/>
      </c>
      <c r="E277" s="102">
        <f>'לקוחות לפי סוכן - מקור'!G246</f>
        <v/>
      </c>
      <c r="F277" s="94">
        <f>'לקוחות לפי סוכן - מקור'!D246</f>
        <v/>
      </c>
      <c r="G277" s="95">
        <f>'לקוחות לפי סוכן - מקור'!H246</f>
        <v/>
      </c>
      <c r="H277" s="95">
        <f>'לקוחות לפי סוכן - מקור'!I246</f>
        <v/>
      </c>
      <c r="I277" s="127">
        <f>'לקוחות לפי סוכן - מקור'!K246</f>
        <v/>
      </c>
    </row>
    <row r="278" outlineLevel="2" ht="15" customHeight="1" s="82">
      <c r="A278" s="94">
        <f>'לקוחות לפי סוכן - מקור'!A247</f>
        <v/>
      </c>
      <c r="B278" s="94">
        <f>'לקוחות לפי סוכן - מקור'!C247</f>
        <v/>
      </c>
      <c r="C278" s="94">
        <f>'לקוחות לפי סוכן - מקור'!E247</f>
        <v/>
      </c>
      <c r="D278" s="102">
        <f>'לקוחות לפי סוכן - מקור'!F247</f>
        <v/>
      </c>
      <c r="E278" s="102">
        <f>'לקוחות לפי סוכן - מקור'!G247</f>
        <v/>
      </c>
      <c r="F278" s="94">
        <f>'לקוחות לפי סוכן - מקור'!D247</f>
        <v/>
      </c>
      <c r="G278" s="95">
        <f>'לקוחות לפי סוכן - מקור'!H247</f>
        <v/>
      </c>
      <c r="H278" s="95">
        <f>'לקוחות לפי סוכן - מקור'!I247</f>
        <v/>
      </c>
      <c r="I278" s="127">
        <f>'לקוחות לפי סוכן - מקור'!K247</f>
        <v/>
      </c>
    </row>
    <row r="279" outlineLevel="2" ht="15" customHeight="1" s="82">
      <c r="A279" s="94">
        <f>'לקוחות לפי סוכן - מקור'!A248</f>
        <v/>
      </c>
      <c r="B279" s="94">
        <f>'לקוחות לפי סוכן - מקור'!C248</f>
        <v/>
      </c>
      <c r="C279" s="94">
        <f>'לקוחות לפי סוכן - מקור'!E248</f>
        <v/>
      </c>
      <c r="D279" s="102">
        <f>'לקוחות לפי סוכן - מקור'!F248</f>
        <v/>
      </c>
      <c r="E279" s="102">
        <f>'לקוחות לפי סוכן - מקור'!G248</f>
        <v/>
      </c>
      <c r="F279" s="94">
        <f>'לקוחות לפי סוכן - מקור'!D248</f>
        <v/>
      </c>
      <c r="G279" s="95">
        <f>'לקוחות לפי סוכן - מקור'!H248</f>
        <v/>
      </c>
      <c r="H279" s="95">
        <f>'לקוחות לפי סוכן - מקור'!I248</f>
        <v/>
      </c>
      <c r="I279" s="127">
        <f>'לקוחות לפי סוכן - מקור'!K248</f>
        <v/>
      </c>
    </row>
    <row r="280" outlineLevel="2" ht="15" customHeight="1" s="82">
      <c r="A280" s="94">
        <f>'לקוחות לפי סוכן - מקור'!A249</f>
        <v/>
      </c>
      <c r="B280" s="94">
        <f>'לקוחות לפי סוכן - מקור'!C249</f>
        <v/>
      </c>
      <c r="C280" s="94">
        <f>'לקוחות לפי סוכן - מקור'!E249</f>
        <v/>
      </c>
      <c r="D280" s="102">
        <f>'לקוחות לפי סוכן - מקור'!F249</f>
        <v/>
      </c>
      <c r="E280" s="102">
        <f>'לקוחות לפי סוכן - מקור'!G249</f>
        <v/>
      </c>
      <c r="F280" s="94">
        <f>'לקוחות לפי סוכן - מקור'!D249</f>
        <v/>
      </c>
      <c r="G280" s="95">
        <f>'לקוחות לפי סוכן - מקור'!H249</f>
        <v/>
      </c>
      <c r="H280" s="95">
        <f>'לקוחות לפי סוכן - מקור'!I249</f>
        <v/>
      </c>
      <c r="I280" s="127">
        <f>'לקוחות לפי סוכן - מקור'!K249</f>
        <v/>
      </c>
    </row>
    <row r="281" outlineLevel="2" ht="15" customHeight="1" s="82">
      <c r="A281" s="94">
        <f>'לקוחות לפי סוכן - מקור'!A250</f>
        <v/>
      </c>
      <c r="B281" s="94">
        <f>'לקוחות לפי סוכן - מקור'!C250</f>
        <v/>
      </c>
      <c r="C281" s="94">
        <f>'לקוחות לפי סוכן - מקור'!E250</f>
        <v/>
      </c>
      <c r="D281" s="102">
        <f>'לקוחות לפי סוכן - מקור'!F250</f>
        <v/>
      </c>
      <c r="E281" s="102">
        <f>'לקוחות לפי סוכן - מקור'!G250</f>
        <v/>
      </c>
      <c r="F281" s="94">
        <f>'לקוחות לפי סוכן - מקור'!D250</f>
        <v/>
      </c>
      <c r="G281" s="95">
        <f>'לקוחות לפי סוכן - מקור'!H250</f>
        <v/>
      </c>
      <c r="H281" s="95">
        <f>'לקוחות לפי סוכן - מקור'!I250</f>
        <v/>
      </c>
      <c r="I281" s="127">
        <f>'לקוחות לפי סוכן - מקור'!K250</f>
        <v/>
      </c>
    </row>
    <row r="282" outlineLevel="2" ht="15" customHeight="1" s="82">
      <c r="A282" s="94">
        <f>'לקוחות לפי סוכן - מקור'!A251</f>
        <v/>
      </c>
      <c r="B282" s="94">
        <f>'לקוחות לפי סוכן - מקור'!C251</f>
        <v/>
      </c>
      <c r="C282" s="94">
        <f>'לקוחות לפי סוכן - מקור'!E251</f>
        <v/>
      </c>
      <c r="D282" s="102">
        <f>'לקוחות לפי סוכן - מקור'!F251</f>
        <v/>
      </c>
      <c r="E282" s="102">
        <f>'לקוחות לפי סוכן - מקור'!G251</f>
        <v/>
      </c>
      <c r="F282" s="94">
        <f>'לקוחות לפי סוכן - מקור'!D251</f>
        <v/>
      </c>
      <c r="G282" s="95">
        <f>'לקוחות לפי סוכן - מקור'!H251</f>
        <v/>
      </c>
      <c r="H282" s="95">
        <f>'לקוחות לפי סוכן - מקור'!I251</f>
        <v/>
      </c>
      <c r="I282" s="127">
        <f>'לקוחות לפי סוכן - מקור'!K251</f>
        <v/>
      </c>
    </row>
    <row r="283" outlineLevel="2" ht="15" customHeight="1" s="82">
      <c r="A283" s="94">
        <f>'לקוחות לפי סוכן - מקור'!A252</f>
        <v/>
      </c>
      <c r="B283" s="94">
        <f>'לקוחות לפי סוכן - מקור'!C252</f>
        <v/>
      </c>
      <c r="C283" s="94">
        <f>'לקוחות לפי סוכן - מקור'!E252</f>
        <v/>
      </c>
      <c r="D283" s="102">
        <f>'לקוחות לפי סוכן - מקור'!F252</f>
        <v/>
      </c>
      <c r="E283" s="102">
        <f>'לקוחות לפי סוכן - מקור'!G252</f>
        <v/>
      </c>
      <c r="F283" s="94">
        <f>'לקוחות לפי סוכן - מקור'!D252</f>
        <v/>
      </c>
      <c r="G283" s="95">
        <f>'לקוחות לפי סוכן - מקור'!H252</f>
        <v/>
      </c>
      <c r="H283" s="95">
        <f>'לקוחות לפי סוכן - מקור'!I252</f>
        <v/>
      </c>
      <c r="I283" s="127">
        <f>'לקוחות לפי סוכן - מקור'!K252</f>
        <v/>
      </c>
    </row>
    <row r="284" outlineLevel="2" ht="15" customHeight="1" s="82">
      <c r="A284" s="94">
        <f>'לקוחות לפי סוכן - מקור'!A253</f>
        <v/>
      </c>
      <c r="B284" s="94">
        <f>'לקוחות לפי סוכן - מקור'!C253</f>
        <v/>
      </c>
      <c r="C284" s="94">
        <f>'לקוחות לפי סוכן - מקור'!E253</f>
        <v/>
      </c>
      <c r="D284" s="102">
        <f>'לקוחות לפי סוכן - מקור'!F253</f>
        <v/>
      </c>
      <c r="E284" s="102">
        <f>'לקוחות לפי סוכן - מקור'!G253</f>
        <v/>
      </c>
      <c r="F284" s="94">
        <f>'לקוחות לפי סוכן - מקור'!D253</f>
        <v/>
      </c>
      <c r="G284" s="95">
        <f>'לקוחות לפי סוכן - מקור'!H253</f>
        <v/>
      </c>
      <c r="H284" s="95">
        <f>'לקוחות לפי סוכן - מקור'!I253</f>
        <v/>
      </c>
      <c r="I284" s="127">
        <f>'לקוחות לפי סוכן - מקור'!K253</f>
        <v/>
      </c>
    </row>
    <row r="285" outlineLevel="2" ht="15" customHeight="1" s="82">
      <c r="A285" s="94">
        <f>'לקוחות לפי סוכן - מקור'!A254</f>
        <v/>
      </c>
      <c r="B285" s="94">
        <f>'לקוחות לפי סוכן - מקור'!C254</f>
        <v/>
      </c>
      <c r="C285" s="94">
        <f>'לקוחות לפי סוכן - מקור'!E254</f>
        <v/>
      </c>
      <c r="D285" s="102">
        <f>'לקוחות לפי סוכן - מקור'!F254</f>
        <v/>
      </c>
      <c r="E285" s="102">
        <f>'לקוחות לפי סוכן - מקור'!G254</f>
        <v/>
      </c>
      <c r="F285" s="94">
        <f>'לקוחות לפי סוכן - מקור'!D254</f>
        <v/>
      </c>
      <c r="G285" s="95">
        <f>'לקוחות לפי סוכן - מקור'!H254</f>
        <v/>
      </c>
      <c r="H285" s="95">
        <f>'לקוחות לפי סוכן - מקור'!I254</f>
        <v/>
      </c>
      <c r="I285" s="127">
        <f>'לקוחות לפי סוכן - מקור'!K254</f>
        <v/>
      </c>
    </row>
    <row r="286" outlineLevel="2" ht="15" customHeight="1" s="82">
      <c r="A286" s="94">
        <f>'לקוחות לפי סוכן - מקור'!A255</f>
        <v/>
      </c>
      <c r="B286" s="94">
        <f>'לקוחות לפי סוכן - מקור'!C255</f>
        <v/>
      </c>
      <c r="C286" s="94">
        <f>'לקוחות לפי סוכן - מקור'!E255</f>
        <v/>
      </c>
      <c r="D286" s="102">
        <f>'לקוחות לפי סוכן - מקור'!F255</f>
        <v/>
      </c>
      <c r="E286" s="102">
        <f>'לקוחות לפי סוכן - מקור'!G255</f>
        <v/>
      </c>
      <c r="F286" s="94">
        <f>'לקוחות לפי סוכן - מקור'!D255</f>
        <v/>
      </c>
      <c r="G286" s="95">
        <f>'לקוחות לפי סוכן - מקור'!H255</f>
        <v/>
      </c>
      <c r="H286" s="95">
        <f>'לקוחות לפי סוכן - מקור'!I255</f>
        <v/>
      </c>
      <c r="I286" s="127">
        <f>'לקוחות לפי סוכן - מקור'!K255</f>
        <v/>
      </c>
    </row>
    <row r="287" outlineLevel="2" ht="15" customHeight="1" s="82">
      <c r="A287" s="94">
        <f>'לקוחות לפי סוכן - מקור'!A256</f>
        <v/>
      </c>
      <c r="B287" s="94">
        <f>'לקוחות לפי סוכן - מקור'!C256</f>
        <v/>
      </c>
      <c r="C287" s="94">
        <f>'לקוחות לפי סוכן - מקור'!E256</f>
        <v/>
      </c>
      <c r="D287" s="102">
        <f>'לקוחות לפי סוכן - מקור'!F256</f>
        <v/>
      </c>
      <c r="E287" s="102">
        <f>'לקוחות לפי סוכן - מקור'!G256</f>
        <v/>
      </c>
      <c r="F287" s="94">
        <f>'לקוחות לפי סוכן - מקור'!D256</f>
        <v/>
      </c>
      <c r="G287" s="95">
        <f>'לקוחות לפי סוכן - מקור'!H256</f>
        <v/>
      </c>
      <c r="H287" s="95">
        <f>'לקוחות לפי סוכן - מקור'!I256</f>
        <v/>
      </c>
      <c r="I287" s="127">
        <f>'לקוחות לפי סוכן - מקור'!K256</f>
        <v/>
      </c>
    </row>
    <row r="288" outlineLevel="2" ht="15" customHeight="1" s="82">
      <c r="A288" s="94">
        <f>'לקוחות לפי סוכן - מקור'!A257</f>
        <v/>
      </c>
      <c r="B288" s="94">
        <f>'לקוחות לפי סוכן - מקור'!C257</f>
        <v/>
      </c>
      <c r="C288" s="94">
        <f>'לקוחות לפי סוכן - מקור'!E257</f>
        <v/>
      </c>
      <c r="D288" s="102">
        <f>'לקוחות לפי סוכן - מקור'!F257</f>
        <v/>
      </c>
      <c r="E288" s="102">
        <f>'לקוחות לפי סוכן - מקור'!G257</f>
        <v/>
      </c>
      <c r="F288" s="94">
        <f>'לקוחות לפי סוכן - מקור'!D257</f>
        <v/>
      </c>
      <c r="G288" s="95">
        <f>'לקוחות לפי סוכן - מקור'!H257</f>
        <v/>
      </c>
      <c r="H288" s="95">
        <f>'לקוחות לפי סוכן - מקור'!I257</f>
        <v/>
      </c>
      <c r="I288" s="127">
        <f>'לקוחות לפי סוכן - מקור'!K257</f>
        <v/>
      </c>
    </row>
    <row r="289" outlineLevel="2" ht="15" customHeight="1" s="82">
      <c r="A289" s="94">
        <f>'לקוחות לפי סוכן - מקור'!A258</f>
        <v/>
      </c>
      <c r="B289" s="94">
        <f>'לקוחות לפי סוכן - מקור'!C258</f>
        <v/>
      </c>
      <c r="C289" s="94">
        <f>'לקוחות לפי סוכן - מקור'!E258</f>
        <v/>
      </c>
      <c r="D289" s="102">
        <f>'לקוחות לפי סוכן - מקור'!F258</f>
        <v/>
      </c>
      <c r="E289" s="102">
        <f>'לקוחות לפי סוכן - מקור'!G258</f>
        <v/>
      </c>
      <c r="F289" s="94">
        <f>'לקוחות לפי סוכן - מקור'!D258</f>
        <v/>
      </c>
      <c r="G289" s="95">
        <f>'לקוחות לפי סוכן - מקור'!H258</f>
        <v/>
      </c>
      <c r="H289" s="95">
        <f>'לקוחות לפי סוכן - מקור'!I258</f>
        <v/>
      </c>
      <c r="I289" s="127">
        <f>'לקוחות לפי סוכן - מקור'!K258</f>
        <v/>
      </c>
    </row>
    <row r="290" outlineLevel="2" ht="15" customHeight="1" s="82">
      <c r="A290" s="94">
        <f>'לקוחות לפי סוכן - מקור'!A259</f>
        <v/>
      </c>
      <c r="B290" s="94">
        <f>'לקוחות לפי סוכן - מקור'!C259</f>
        <v/>
      </c>
      <c r="C290" s="94">
        <f>'לקוחות לפי סוכן - מקור'!E259</f>
        <v/>
      </c>
      <c r="D290" s="102">
        <f>'לקוחות לפי סוכן - מקור'!F259</f>
        <v/>
      </c>
      <c r="E290" s="102">
        <f>'לקוחות לפי סוכן - מקור'!G259</f>
        <v/>
      </c>
      <c r="F290" s="94">
        <f>'לקוחות לפי סוכן - מקור'!D259</f>
        <v/>
      </c>
      <c r="G290" s="95">
        <f>'לקוחות לפי סוכן - מקור'!H259</f>
        <v/>
      </c>
      <c r="H290" s="95">
        <f>'לקוחות לפי סוכן - מקור'!I259</f>
        <v/>
      </c>
      <c r="I290" s="127">
        <f>'לקוחות לפי סוכן - מקור'!K259</f>
        <v/>
      </c>
    </row>
    <row r="291" outlineLevel="1" ht="15" customHeight="1" s="82">
      <c r="A291" s="128" t="inlineStr">
        <is>
          <t>סטניסלב נסאר</t>
        </is>
      </c>
      <c r="B291" s="129" t="inlineStr">
        <is>
          <t>ס. פארם</t>
        </is>
      </c>
      <c r="C291" s="130" t="n"/>
      <c r="D291" s="131">
        <f>SUMIFS('לקוחות לפי סוכן - מקור'!$F$2:$F$867,'לקוחות לפי סוכן - מקור'!$A$2:$A$867,$A291,'לקוחות לפי סוכן - מקור'!$C$2:$C$867,$B291)</f>
        <v/>
      </c>
      <c r="E291" s="131">
        <f>SUMIFS('לקוחות לפי סוכן - מקור'!$G$2:$G$867,'לקוחות לפי סוכן - מקור'!$A$2:$A$867,$A291,'לקוחות לפי סוכן - מקור'!$C$2:$C$867,$B291)</f>
        <v/>
      </c>
      <c r="F291" s="130" t="n"/>
      <c r="G291" s="132">
        <f>SUMIFS('לקוחות לפי סוכן - מקור'!$H$2:$H$867,'לקוחות לפי סוכן - מקור'!$A$2:$A$867,$A291,'לקוחות לפי סוכן - מקור'!$C$2:$C$867,$B291)</f>
        <v/>
      </c>
      <c r="H291" s="132">
        <f>SUMIFS('לקוחות לפי סוכן - מקור'!$I$2:$I$867,'לקוחות לפי סוכן - מקור'!$A$2:$A$867,$A291,'לקוחות לפי סוכן - מקור'!$C$2:$C$867,$B291)</f>
        <v/>
      </c>
      <c r="I291" s="130" t="n"/>
      <c r="J291" s="132">
        <f>COUNTIFS('לקוחות לפי סוכן - מקור'!$A$2:$A$867,$A291,'לקוחות לפי סוכן - מקור'!$C$2:$C$867,$B291)</f>
        <v/>
      </c>
    </row>
    <row r="292" outlineLevel="2" ht="15" customHeight="1" s="82">
      <c r="A292" s="94">
        <f>'לקוחות לפי סוכן - מקור'!A260</f>
        <v/>
      </c>
      <c r="B292" s="94">
        <f>'לקוחות לפי סוכן - מקור'!C260</f>
        <v/>
      </c>
      <c r="C292" s="94">
        <f>'לקוחות לפי סוכן - מקור'!E260</f>
        <v/>
      </c>
      <c r="D292" s="102">
        <f>'לקוחות לפי סוכן - מקור'!F260</f>
        <v/>
      </c>
      <c r="E292" s="102">
        <f>'לקוחות לפי סוכן - מקור'!G260</f>
        <v/>
      </c>
      <c r="F292" s="94">
        <f>'לקוחות לפי סוכן - מקור'!D260</f>
        <v/>
      </c>
      <c r="G292" s="95">
        <f>'לקוחות לפי סוכן - מקור'!H260</f>
        <v/>
      </c>
      <c r="H292" s="95">
        <f>'לקוחות לפי סוכן - מקור'!I260</f>
        <v/>
      </c>
      <c r="I292" s="127">
        <f>'לקוחות לפי סוכן - מקור'!K260</f>
        <v/>
      </c>
    </row>
    <row r="293" outlineLevel="2" ht="15" customHeight="1" s="82">
      <c r="A293" s="94">
        <f>'לקוחות לפי סוכן - מקור'!A261</f>
        <v/>
      </c>
      <c r="B293" s="94">
        <f>'לקוחות לפי סוכן - מקור'!C261</f>
        <v/>
      </c>
      <c r="C293" s="94">
        <f>'לקוחות לפי סוכן - מקור'!E261</f>
        <v/>
      </c>
      <c r="D293" s="102">
        <f>'לקוחות לפי סוכן - מקור'!F261</f>
        <v/>
      </c>
      <c r="E293" s="102">
        <f>'לקוחות לפי סוכן - מקור'!G261</f>
        <v/>
      </c>
      <c r="F293" s="94">
        <f>'לקוחות לפי סוכן - מקור'!D261</f>
        <v/>
      </c>
      <c r="G293" s="95">
        <f>'לקוחות לפי סוכן - מקור'!H261</f>
        <v/>
      </c>
      <c r="H293" s="95">
        <f>'לקוחות לפי סוכן - מקור'!I261</f>
        <v/>
      </c>
      <c r="I293" s="127">
        <f>'לקוחות לפי סוכן - מקור'!K261</f>
        <v/>
      </c>
    </row>
    <row r="294" outlineLevel="2" ht="15" customHeight="1" s="82">
      <c r="A294" s="94">
        <f>'לקוחות לפי סוכן - מקור'!A262</f>
        <v/>
      </c>
      <c r="B294" s="94">
        <f>'לקוחות לפי סוכן - מקור'!C262</f>
        <v/>
      </c>
      <c r="C294" s="94">
        <f>'לקוחות לפי סוכן - מקור'!E262</f>
        <v/>
      </c>
      <c r="D294" s="102">
        <f>'לקוחות לפי סוכן - מקור'!F262</f>
        <v/>
      </c>
      <c r="E294" s="102">
        <f>'לקוחות לפי סוכן - מקור'!G262</f>
        <v/>
      </c>
      <c r="F294" s="94">
        <f>'לקוחות לפי סוכן - מקור'!D262</f>
        <v/>
      </c>
      <c r="G294" s="95">
        <f>'לקוחות לפי סוכן - מקור'!H262</f>
        <v/>
      </c>
      <c r="H294" s="95">
        <f>'לקוחות לפי סוכן - מקור'!I262</f>
        <v/>
      </c>
      <c r="I294" s="127">
        <f>'לקוחות לפי סוכן - מקור'!K262</f>
        <v/>
      </c>
    </row>
    <row r="295" outlineLevel="2" ht="15" customHeight="1" s="82">
      <c r="A295" s="94">
        <f>'לקוחות לפי סוכן - מקור'!A263</f>
        <v/>
      </c>
      <c r="B295" s="94">
        <f>'לקוחות לפי סוכן - מקור'!C263</f>
        <v/>
      </c>
      <c r="C295" s="94">
        <f>'לקוחות לפי סוכן - מקור'!E263</f>
        <v/>
      </c>
      <c r="D295" s="102">
        <f>'לקוחות לפי סוכן - מקור'!F263</f>
        <v/>
      </c>
      <c r="E295" s="102">
        <f>'לקוחות לפי סוכן - מקור'!G263</f>
        <v/>
      </c>
      <c r="F295" s="94">
        <f>'לקוחות לפי סוכן - מקור'!D263</f>
        <v/>
      </c>
      <c r="G295" s="95">
        <f>'לקוחות לפי סוכן - מקור'!H263</f>
        <v/>
      </c>
      <c r="H295" s="95">
        <f>'לקוחות לפי סוכן - מקור'!I263</f>
        <v/>
      </c>
      <c r="I295" s="127">
        <f>'לקוחות לפי סוכן - מקור'!K263</f>
        <v/>
      </c>
    </row>
    <row r="296" outlineLevel="2" ht="15" customHeight="1" s="82">
      <c r="A296" s="94">
        <f>'לקוחות לפי סוכן - מקור'!A264</f>
        <v/>
      </c>
      <c r="B296" s="94">
        <f>'לקוחות לפי סוכן - מקור'!C264</f>
        <v/>
      </c>
      <c r="C296" s="94">
        <f>'לקוחות לפי סוכן - מקור'!E264</f>
        <v/>
      </c>
      <c r="D296" s="102">
        <f>'לקוחות לפי סוכן - מקור'!F264</f>
        <v/>
      </c>
      <c r="E296" s="102">
        <f>'לקוחות לפי סוכן - מקור'!G264</f>
        <v/>
      </c>
      <c r="F296" s="94">
        <f>'לקוחות לפי סוכן - מקור'!D264</f>
        <v/>
      </c>
      <c r="G296" s="95">
        <f>'לקוחות לפי סוכן - מקור'!H264</f>
        <v/>
      </c>
      <c r="H296" s="95">
        <f>'לקוחות לפי סוכן - מקור'!I264</f>
        <v/>
      </c>
      <c r="I296" s="127">
        <f>'לקוחות לפי סוכן - מקור'!K264</f>
        <v/>
      </c>
    </row>
    <row r="297" outlineLevel="2" ht="15" customHeight="1" s="82">
      <c r="A297" s="94">
        <f>'לקוחות לפי סוכן - מקור'!A265</f>
        <v/>
      </c>
      <c r="B297" s="94">
        <f>'לקוחות לפי סוכן - מקור'!C265</f>
        <v/>
      </c>
      <c r="C297" s="94">
        <f>'לקוחות לפי סוכן - מקור'!E265</f>
        <v/>
      </c>
      <c r="D297" s="102">
        <f>'לקוחות לפי סוכן - מקור'!F265</f>
        <v/>
      </c>
      <c r="E297" s="102">
        <f>'לקוחות לפי סוכן - מקור'!G265</f>
        <v/>
      </c>
      <c r="F297" s="94">
        <f>'לקוחות לפי סוכן - מקור'!D265</f>
        <v/>
      </c>
      <c r="G297" s="95">
        <f>'לקוחות לפי סוכן - מקור'!H265</f>
        <v/>
      </c>
      <c r="H297" s="95">
        <f>'לקוחות לפי סוכן - מקור'!I265</f>
        <v/>
      </c>
      <c r="I297" s="127">
        <f>'לקוחות לפי סוכן - מקור'!K265</f>
        <v/>
      </c>
    </row>
    <row r="298" outlineLevel="2" ht="15" customHeight="1" s="82">
      <c r="A298" s="94">
        <f>'לקוחות לפי סוכן - מקור'!A266</f>
        <v/>
      </c>
      <c r="B298" s="94">
        <f>'לקוחות לפי סוכן - מקור'!C266</f>
        <v/>
      </c>
      <c r="C298" s="94">
        <f>'לקוחות לפי סוכן - מקור'!E266</f>
        <v/>
      </c>
      <c r="D298" s="102">
        <f>'לקוחות לפי סוכן - מקור'!F266</f>
        <v/>
      </c>
      <c r="E298" s="102">
        <f>'לקוחות לפי סוכן - מקור'!G266</f>
        <v/>
      </c>
      <c r="F298" s="94">
        <f>'לקוחות לפי סוכן - מקור'!D266</f>
        <v/>
      </c>
      <c r="G298" s="95">
        <f>'לקוחות לפי סוכן - מקור'!H266</f>
        <v/>
      </c>
      <c r="H298" s="95">
        <f>'לקוחות לפי סוכן - מקור'!I266</f>
        <v/>
      </c>
      <c r="I298" s="127">
        <f>'לקוחות לפי סוכן - מקור'!K266</f>
        <v/>
      </c>
    </row>
    <row r="299" outlineLevel="2" ht="15" customHeight="1" s="82">
      <c r="A299" s="94">
        <f>'לקוחות לפי סוכן - מקור'!A267</f>
        <v/>
      </c>
      <c r="B299" s="94">
        <f>'לקוחות לפי סוכן - מקור'!C267</f>
        <v/>
      </c>
      <c r="C299" s="94">
        <f>'לקוחות לפי סוכן - מקור'!E267</f>
        <v/>
      </c>
      <c r="D299" s="102">
        <f>'לקוחות לפי סוכן - מקור'!F267</f>
        <v/>
      </c>
      <c r="E299" s="102">
        <f>'לקוחות לפי סוכן - מקור'!G267</f>
        <v/>
      </c>
      <c r="F299" s="94">
        <f>'לקוחות לפי סוכן - מקור'!D267</f>
        <v/>
      </c>
      <c r="G299" s="95">
        <f>'לקוחות לפי סוכן - מקור'!H267</f>
        <v/>
      </c>
      <c r="H299" s="95">
        <f>'לקוחות לפי סוכן - מקור'!I267</f>
        <v/>
      </c>
      <c r="I299" s="127">
        <f>'לקוחות לפי סוכן - מקור'!K267</f>
        <v/>
      </c>
    </row>
    <row r="300" outlineLevel="2" ht="15" customHeight="1" s="82">
      <c r="A300" s="94">
        <f>'לקוחות לפי סוכן - מקור'!A268</f>
        <v/>
      </c>
      <c r="B300" s="94">
        <f>'לקוחות לפי סוכן - מקור'!C268</f>
        <v/>
      </c>
      <c r="C300" s="94">
        <f>'לקוחות לפי סוכן - מקור'!E268</f>
        <v/>
      </c>
      <c r="D300" s="102">
        <f>'לקוחות לפי סוכן - מקור'!F268</f>
        <v/>
      </c>
      <c r="E300" s="102">
        <f>'לקוחות לפי סוכן - מקור'!G268</f>
        <v/>
      </c>
      <c r="F300" s="94">
        <f>'לקוחות לפי סוכן - מקור'!D268</f>
        <v/>
      </c>
      <c r="G300" s="95">
        <f>'לקוחות לפי סוכן - מקור'!H268</f>
        <v/>
      </c>
      <c r="H300" s="95">
        <f>'לקוחות לפי סוכן - מקור'!I268</f>
        <v/>
      </c>
      <c r="I300" s="127">
        <f>'לקוחות לפי סוכן - מקור'!K268</f>
        <v/>
      </c>
    </row>
    <row r="301" outlineLevel="2" ht="15" customHeight="1" s="82">
      <c r="A301" s="94">
        <f>'לקוחות לפי סוכן - מקור'!A269</f>
        <v/>
      </c>
      <c r="B301" s="94">
        <f>'לקוחות לפי סוכן - מקור'!C269</f>
        <v/>
      </c>
      <c r="C301" s="94">
        <f>'לקוחות לפי סוכן - מקור'!E269</f>
        <v/>
      </c>
      <c r="D301" s="102">
        <f>'לקוחות לפי סוכן - מקור'!F269</f>
        <v/>
      </c>
      <c r="E301" s="102">
        <f>'לקוחות לפי סוכן - מקור'!G269</f>
        <v/>
      </c>
      <c r="F301" s="94">
        <f>'לקוחות לפי סוכן - מקור'!D269</f>
        <v/>
      </c>
      <c r="G301" s="95">
        <f>'לקוחות לפי סוכן - מקור'!H269</f>
        <v/>
      </c>
      <c r="H301" s="95">
        <f>'לקוחות לפי סוכן - מקור'!I269</f>
        <v/>
      </c>
      <c r="I301" s="127">
        <f>'לקוחות לפי סוכן - מקור'!K269</f>
        <v/>
      </c>
    </row>
    <row r="302" outlineLevel="2" ht="15" customHeight="1" s="82">
      <c r="A302" s="94">
        <f>'לקוחות לפי סוכן - מקור'!A270</f>
        <v/>
      </c>
      <c r="B302" s="94">
        <f>'לקוחות לפי סוכן - מקור'!C270</f>
        <v/>
      </c>
      <c r="C302" s="94">
        <f>'לקוחות לפי סוכן - מקור'!E270</f>
        <v/>
      </c>
      <c r="D302" s="102">
        <f>'לקוחות לפי סוכן - מקור'!F270</f>
        <v/>
      </c>
      <c r="E302" s="102">
        <f>'לקוחות לפי סוכן - מקור'!G270</f>
        <v/>
      </c>
      <c r="F302" s="94">
        <f>'לקוחות לפי סוכן - מקור'!D270</f>
        <v/>
      </c>
      <c r="G302" s="95">
        <f>'לקוחות לפי סוכן - מקור'!H270</f>
        <v/>
      </c>
      <c r="H302" s="95">
        <f>'לקוחות לפי סוכן - מקור'!I270</f>
        <v/>
      </c>
      <c r="I302" s="127">
        <f>'לקוחות לפי סוכן - מקור'!K270</f>
        <v/>
      </c>
    </row>
    <row r="303" outlineLevel="2" ht="15" customHeight="1" s="82">
      <c r="A303" s="94">
        <f>'לקוחות לפי סוכן - מקור'!A271</f>
        <v/>
      </c>
      <c r="B303" s="94">
        <f>'לקוחות לפי סוכן - מקור'!C271</f>
        <v/>
      </c>
      <c r="C303" s="94">
        <f>'לקוחות לפי סוכן - מקור'!E271</f>
        <v/>
      </c>
      <c r="D303" s="102">
        <f>'לקוחות לפי סוכן - מקור'!F271</f>
        <v/>
      </c>
      <c r="E303" s="102">
        <f>'לקוחות לפי סוכן - מקור'!G271</f>
        <v/>
      </c>
      <c r="F303" s="94">
        <f>'לקוחות לפי סוכן - מקור'!D271</f>
        <v/>
      </c>
      <c r="G303" s="95">
        <f>'לקוחות לפי סוכן - מקור'!H271</f>
        <v/>
      </c>
      <c r="H303" s="95">
        <f>'לקוחות לפי סוכן - מקור'!I271</f>
        <v/>
      </c>
      <c r="I303" s="127">
        <f>'לקוחות לפי סוכן - מקור'!K271</f>
        <v/>
      </c>
    </row>
    <row r="304" outlineLevel="2" ht="15" customHeight="1" s="82">
      <c r="A304" s="94">
        <f>'לקוחות לפי סוכן - מקור'!A272</f>
        <v/>
      </c>
      <c r="B304" s="94">
        <f>'לקוחות לפי סוכן - מקור'!C272</f>
        <v/>
      </c>
      <c r="C304" s="94">
        <f>'לקוחות לפי סוכן - מקור'!E272</f>
        <v/>
      </c>
      <c r="D304" s="102">
        <f>'לקוחות לפי סוכן - מקור'!F272</f>
        <v/>
      </c>
      <c r="E304" s="102">
        <f>'לקוחות לפי סוכן - מקור'!G272</f>
        <v/>
      </c>
      <c r="F304" s="94">
        <f>'לקוחות לפי סוכן - מקור'!D272</f>
        <v/>
      </c>
      <c r="G304" s="95">
        <f>'לקוחות לפי סוכן - מקור'!H272</f>
        <v/>
      </c>
      <c r="H304" s="95">
        <f>'לקוחות לפי סוכן - מקור'!I272</f>
        <v/>
      </c>
      <c r="I304" s="127">
        <f>'לקוחות לפי סוכן - מקור'!K272</f>
        <v/>
      </c>
    </row>
    <row r="305" outlineLevel="2" ht="15" customHeight="1" s="82">
      <c r="A305" s="94">
        <f>'לקוחות לפי סוכן - מקור'!A273</f>
        <v/>
      </c>
      <c r="B305" s="94">
        <f>'לקוחות לפי סוכן - מקור'!C273</f>
        <v/>
      </c>
      <c r="C305" s="94">
        <f>'לקוחות לפי סוכן - מקור'!E273</f>
        <v/>
      </c>
      <c r="D305" s="102">
        <f>'לקוחות לפי סוכן - מקור'!F273</f>
        <v/>
      </c>
      <c r="E305" s="102">
        <f>'לקוחות לפי סוכן - מקור'!G273</f>
        <v/>
      </c>
      <c r="F305" s="94">
        <f>'לקוחות לפי סוכן - מקור'!D273</f>
        <v/>
      </c>
      <c r="G305" s="95">
        <f>'לקוחות לפי סוכן - מקור'!H273</f>
        <v/>
      </c>
      <c r="H305" s="95">
        <f>'לקוחות לפי סוכן - מקור'!I273</f>
        <v/>
      </c>
      <c r="I305" s="127">
        <f>'לקוחות לפי סוכן - מקור'!K273</f>
        <v/>
      </c>
    </row>
    <row r="306" outlineLevel="2" ht="15" customHeight="1" s="82">
      <c r="A306" s="94">
        <f>'לקוחות לפי סוכן - מקור'!A274</f>
        <v/>
      </c>
      <c r="B306" s="94">
        <f>'לקוחות לפי סוכן - מקור'!C274</f>
        <v/>
      </c>
      <c r="C306" s="94">
        <f>'לקוחות לפי סוכן - מקור'!E274</f>
        <v/>
      </c>
      <c r="D306" s="102">
        <f>'לקוחות לפי סוכן - מקור'!F274</f>
        <v/>
      </c>
      <c r="E306" s="102">
        <f>'לקוחות לפי סוכן - מקור'!G274</f>
        <v/>
      </c>
      <c r="F306" s="94">
        <f>'לקוחות לפי סוכן - מקור'!D274</f>
        <v/>
      </c>
      <c r="G306" s="95">
        <f>'לקוחות לפי סוכן - מקור'!H274</f>
        <v/>
      </c>
      <c r="H306" s="95">
        <f>'לקוחות לפי סוכן - מקור'!I274</f>
        <v/>
      </c>
      <c r="I306" s="127">
        <f>'לקוחות לפי סוכן - מקור'!K274</f>
        <v/>
      </c>
    </row>
    <row r="307" outlineLevel="2" ht="15" customHeight="1" s="82">
      <c r="A307" s="94">
        <f>'לקוחות לפי סוכן - מקור'!A275</f>
        <v/>
      </c>
      <c r="B307" s="94">
        <f>'לקוחות לפי סוכן - מקור'!C275</f>
        <v/>
      </c>
      <c r="C307" s="94">
        <f>'לקוחות לפי סוכן - מקור'!E275</f>
        <v/>
      </c>
      <c r="D307" s="102">
        <f>'לקוחות לפי סוכן - מקור'!F275</f>
        <v/>
      </c>
      <c r="E307" s="102">
        <f>'לקוחות לפי סוכן - מקור'!G275</f>
        <v/>
      </c>
      <c r="F307" s="94">
        <f>'לקוחות לפי סוכן - מקור'!D275</f>
        <v/>
      </c>
      <c r="G307" s="95">
        <f>'לקוחות לפי סוכן - מקור'!H275</f>
        <v/>
      </c>
      <c r="H307" s="95">
        <f>'לקוחות לפי סוכן - מקור'!I275</f>
        <v/>
      </c>
      <c r="I307" s="127">
        <f>'לקוחות לפי סוכן - מקור'!K275</f>
        <v/>
      </c>
    </row>
    <row r="308" outlineLevel="2" ht="15" customHeight="1" s="82">
      <c r="A308" s="94">
        <f>'לקוחות לפי סוכן - מקור'!A276</f>
        <v/>
      </c>
      <c r="B308" s="94">
        <f>'לקוחות לפי סוכן - מקור'!C276</f>
        <v/>
      </c>
      <c r="C308" s="94">
        <f>'לקוחות לפי סוכן - מקור'!E276</f>
        <v/>
      </c>
      <c r="D308" s="102">
        <f>'לקוחות לפי סוכן - מקור'!F276</f>
        <v/>
      </c>
      <c r="E308" s="102">
        <f>'לקוחות לפי סוכן - מקור'!G276</f>
        <v/>
      </c>
      <c r="F308" s="94">
        <f>'לקוחות לפי סוכן - מקור'!D276</f>
        <v/>
      </c>
      <c r="G308" s="95">
        <f>'לקוחות לפי סוכן - מקור'!H276</f>
        <v/>
      </c>
      <c r="H308" s="95">
        <f>'לקוחות לפי סוכן - מקור'!I276</f>
        <v/>
      </c>
      <c r="I308" s="127">
        <f>'לקוחות לפי סוכן - מקור'!K276</f>
        <v/>
      </c>
    </row>
    <row r="309" outlineLevel="2" ht="15" customHeight="1" s="82">
      <c r="A309" s="94">
        <f>'לקוחות לפי סוכן - מקור'!A277</f>
        <v/>
      </c>
      <c r="B309" s="94">
        <f>'לקוחות לפי סוכן - מקור'!C277</f>
        <v/>
      </c>
      <c r="C309" s="94">
        <f>'לקוחות לפי סוכן - מקור'!E277</f>
        <v/>
      </c>
      <c r="D309" s="102">
        <f>'לקוחות לפי סוכן - מקור'!F277</f>
        <v/>
      </c>
      <c r="E309" s="102">
        <f>'לקוחות לפי סוכן - מקור'!G277</f>
        <v/>
      </c>
      <c r="F309" s="94">
        <f>'לקוחות לפי סוכן - מקור'!D277</f>
        <v/>
      </c>
      <c r="G309" s="95">
        <f>'לקוחות לפי סוכן - מקור'!H277</f>
        <v/>
      </c>
      <c r="H309" s="95">
        <f>'לקוחות לפי סוכן - מקור'!I277</f>
        <v/>
      </c>
      <c r="I309" s="127">
        <f>'לקוחות לפי סוכן - מקור'!K277</f>
        <v/>
      </c>
    </row>
    <row r="310" outlineLevel="2" ht="15" customHeight="1" s="82">
      <c r="A310" s="94">
        <f>'לקוחות לפי סוכן - מקור'!A278</f>
        <v/>
      </c>
      <c r="B310" s="94">
        <f>'לקוחות לפי סוכן - מקור'!C278</f>
        <v/>
      </c>
      <c r="C310" s="94">
        <f>'לקוחות לפי סוכן - מקור'!E278</f>
        <v/>
      </c>
      <c r="D310" s="102">
        <f>'לקוחות לפי סוכן - מקור'!F278</f>
        <v/>
      </c>
      <c r="E310" s="102">
        <f>'לקוחות לפי סוכן - מקור'!G278</f>
        <v/>
      </c>
      <c r="F310" s="94">
        <f>'לקוחות לפי סוכן - מקור'!D278</f>
        <v/>
      </c>
      <c r="G310" s="95">
        <f>'לקוחות לפי סוכן - מקור'!H278</f>
        <v/>
      </c>
      <c r="H310" s="95">
        <f>'לקוחות לפי סוכן - מקור'!I278</f>
        <v/>
      </c>
      <c r="I310" s="127">
        <f>'לקוחות לפי סוכן - מקור'!K278</f>
        <v/>
      </c>
    </row>
    <row r="311" outlineLevel="2" ht="15" customHeight="1" s="82">
      <c r="A311" s="94">
        <f>'לקוחות לפי סוכן - מקור'!A279</f>
        <v/>
      </c>
      <c r="B311" s="94">
        <f>'לקוחות לפי סוכן - מקור'!C279</f>
        <v/>
      </c>
      <c r="C311" s="94">
        <f>'לקוחות לפי סוכן - מקור'!E279</f>
        <v/>
      </c>
      <c r="D311" s="102">
        <f>'לקוחות לפי סוכן - מקור'!F279</f>
        <v/>
      </c>
      <c r="E311" s="102">
        <f>'לקוחות לפי סוכן - מקור'!G279</f>
        <v/>
      </c>
      <c r="F311" s="94">
        <f>'לקוחות לפי סוכן - מקור'!D279</f>
        <v/>
      </c>
      <c r="G311" s="95">
        <f>'לקוחות לפי סוכן - מקור'!H279</f>
        <v/>
      </c>
      <c r="H311" s="95">
        <f>'לקוחות לפי סוכן - מקור'!I279</f>
        <v/>
      </c>
      <c r="I311" s="127">
        <f>'לקוחות לפי סוכן - מקור'!K279</f>
        <v/>
      </c>
    </row>
    <row r="312" outlineLevel="2" ht="15" customHeight="1" s="82">
      <c r="A312" s="94">
        <f>'לקוחות לפי סוכן - מקור'!A280</f>
        <v/>
      </c>
      <c r="B312" s="94">
        <f>'לקוחות לפי סוכן - מקור'!C280</f>
        <v/>
      </c>
      <c r="C312" s="94">
        <f>'לקוחות לפי סוכן - מקור'!E280</f>
        <v/>
      </c>
      <c r="D312" s="102">
        <f>'לקוחות לפי סוכן - מקור'!F280</f>
        <v/>
      </c>
      <c r="E312" s="102">
        <f>'לקוחות לפי סוכן - מקור'!G280</f>
        <v/>
      </c>
      <c r="F312" s="94">
        <f>'לקוחות לפי סוכן - מקור'!D280</f>
        <v/>
      </c>
      <c r="G312" s="95">
        <f>'לקוחות לפי סוכן - מקור'!H280</f>
        <v/>
      </c>
      <c r="H312" s="95">
        <f>'לקוחות לפי סוכן - מקור'!I280</f>
        <v/>
      </c>
      <c r="I312" s="127">
        <f>'לקוחות לפי סוכן - מקור'!K280</f>
        <v/>
      </c>
    </row>
    <row r="313" outlineLevel="2" ht="15" customHeight="1" s="82">
      <c r="A313" s="94">
        <f>'לקוחות לפי סוכן - מקור'!A281</f>
        <v/>
      </c>
      <c r="B313" s="94">
        <f>'לקוחות לפי סוכן - מקור'!C281</f>
        <v/>
      </c>
      <c r="C313" s="94">
        <f>'לקוחות לפי סוכן - מקור'!E281</f>
        <v/>
      </c>
      <c r="D313" s="102">
        <f>'לקוחות לפי סוכן - מקור'!F281</f>
        <v/>
      </c>
      <c r="E313" s="102">
        <f>'לקוחות לפי סוכן - מקור'!G281</f>
        <v/>
      </c>
      <c r="F313" s="94">
        <f>'לקוחות לפי סוכן - מקור'!D281</f>
        <v/>
      </c>
      <c r="G313" s="95">
        <f>'לקוחות לפי סוכן - מקור'!H281</f>
        <v/>
      </c>
      <c r="H313" s="95">
        <f>'לקוחות לפי סוכן - מקור'!I281</f>
        <v/>
      </c>
      <c r="I313" s="127">
        <f>'לקוחות לפי סוכן - מקור'!K281</f>
        <v/>
      </c>
    </row>
    <row r="314" outlineLevel="2" ht="15" customHeight="1" s="82">
      <c r="A314" s="94">
        <f>'לקוחות לפי סוכן - מקור'!A282</f>
        <v/>
      </c>
      <c r="B314" s="94">
        <f>'לקוחות לפי סוכן - מקור'!C282</f>
        <v/>
      </c>
      <c r="C314" s="94">
        <f>'לקוחות לפי סוכן - מקור'!E282</f>
        <v/>
      </c>
      <c r="D314" s="102">
        <f>'לקוחות לפי סוכן - מקור'!F282</f>
        <v/>
      </c>
      <c r="E314" s="102">
        <f>'לקוחות לפי סוכן - מקור'!G282</f>
        <v/>
      </c>
      <c r="F314" s="94">
        <f>'לקוחות לפי סוכן - מקור'!D282</f>
        <v/>
      </c>
      <c r="G314" s="95">
        <f>'לקוחות לפי סוכן - מקור'!H282</f>
        <v/>
      </c>
      <c r="H314" s="95">
        <f>'לקוחות לפי סוכן - מקור'!I282</f>
        <v/>
      </c>
      <c r="I314" s="127">
        <f>'לקוחות לפי סוכן - מקור'!K282</f>
        <v/>
      </c>
    </row>
    <row r="315" outlineLevel="2" ht="15" customHeight="1" s="82">
      <c r="A315" s="94">
        <f>'לקוחות לפי סוכן - מקור'!A283</f>
        <v/>
      </c>
      <c r="B315" s="94">
        <f>'לקוחות לפי סוכן - מקור'!C283</f>
        <v/>
      </c>
      <c r="C315" s="94">
        <f>'לקוחות לפי סוכן - מקור'!E283</f>
        <v/>
      </c>
      <c r="D315" s="102">
        <f>'לקוחות לפי סוכן - מקור'!F283</f>
        <v/>
      </c>
      <c r="E315" s="102">
        <f>'לקוחות לפי סוכן - מקור'!G283</f>
        <v/>
      </c>
      <c r="F315" s="94">
        <f>'לקוחות לפי סוכן - מקור'!D283</f>
        <v/>
      </c>
      <c r="G315" s="95">
        <f>'לקוחות לפי סוכן - מקור'!H283</f>
        <v/>
      </c>
      <c r="H315" s="95">
        <f>'לקוחות לפי סוכן - מקור'!I283</f>
        <v/>
      </c>
      <c r="I315" s="127">
        <f>'לקוחות לפי סוכן - מקור'!K283</f>
        <v/>
      </c>
    </row>
    <row r="316" outlineLevel="2" ht="15" customHeight="1" s="82">
      <c r="A316" s="94">
        <f>'לקוחות לפי סוכן - מקור'!A284</f>
        <v/>
      </c>
      <c r="B316" s="94">
        <f>'לקוחות לפי סוכן - מקור'!C284</f>
        <v/>
      </c>
      <c r="C316" s="94">
        <f>'לקוחות לפי סוכן - מקור'!E284</f>
        <v/>
      </c>
      <c r="D316" s="102">
        <f>'לקוחות לפי סוכן - מקור'!F284</f>
        <v/>
      </c>
      <c r="E316" s="102">
        <f>'לקוחות לפי סוכן - מקור'!G284</f>
        <v/>
      </c>
      <c r="F316" s="94">
        <f>'לקוחות לפי סוכן - מקור'!D284</f>
        <v/>
      </c>
      <c r="G316" s="95">
        <f>'לקוחות לפי סוכן - מקור'!H284</f>
        <v/>
      </c>
      <c r="H316" s="95">
        <f>'לקוחות לפי סוכן - מקור'!I284</f>
        <v/>
      </c>
      <c r="I316" s="127">
        <f>'לקוחות לפי סוכן - מקור'!K284</f>
        <v/>
      </c>
    </row>
    <row r="317" outlineLevel="2" ht="15" customHeight="1" s="82">
      <c r="A317" s="94">
        <f>'לקוחות לפי סוכן - מקור'!A285</f>
        <v/>
      </c>
      <c r="B317" s="94">
        <f>'לקוחות לפי סוכן - מקור'!C285</f>
        <v/>
      </c>
      <c r="C317" s="94">
        <f>'לקוחות לפי סוכן - מקור'!E285</f>
        <v/>
      </c>
      <c r="D317" s="102">
        <f>'לקוחות לפי סוכן - מקור'!F285</f>
        <v/>
      </c>
      <c r="E317" s="102">
        <f>'לקוחות לפי סוכן - מקור'!G285</f>
        <v/>
      </c>
      <c r="F317" s="94">
        <f>'לקוחות לפי סוכן - מקור'!D285</f>
        <v/>
      </c>
      <c r="G317" s="95">
        <f>'לקוחות לפי סוכן - מקור'!H285</f>
        <v/>
      </c>
      <c r="H317" s="95">
        <f>'לקוחות לפי סוכן - מקור'!I285</f>
        <v/>
      </c>
      <c r="I317" s="127">
        <f>'לקוחות לפי סוכן - מקור'!K285</f>
        <v/>
      </c>
    </row>
    <row r="318" outlineLevel="2" ht="15" customHeight="1" s="82">
      <c r="A318" s="94">
        <f>'לקוחות לפי סוכן - מקור'!A286</f>
        <v/>
      </c>
      <c r="B318" s="94">
        <f>'לקוחות לפי סוכן - מקור'!C286</f>
        <v/>
      </c>
      <c r="C318" s="94">
        <f>'לקוחות לפי סוכן - מקור'!E286</f>
        <v/>
      </c>
      <c r="D318" s="102">
        <f>'לקוחות לפי סוכן - מקור'!F286</f>
        <v/>
      </c>
      <c r="E318" s="102">
        <f>'לקוחות לפי סוכן - מקור'!G286</f>
        <v/>
      </c>
      <c r="F318" s="94">
        <f>'לקוחות לפי סוכן - מקור'!D286</f>
        <v/>
      </c>
      <c r="G318" s="95">
        <f>'לקוחות לפי סוכן - מקור'!H286</f>
        <v/>
      </c>
      <c r="H318" s="95">
        <f>'לקוחות לפי סוכן - מקור'!I286</f>
        <v/>
      </c>
      <c r="I318" s="127">
        <f>'לקוחות לפי סוכן - מקור'!K286</f>
        <v/>
      </c>
    </row>
    <row r="319" outlineLevel="2" ht="15" customHeight="1" s="82">
      <c r="A319" s="94">
        <f>'לקוחות לפי סוכן - מקור'!A287</f>
        <v/>
      </c>
      <c r="B319" s="94">
        <f>'לקוחות לפי סוכן - מקור'!C287</f>
        <v/>
      </c>
      <c r="C319" s="94">
        <f>'לקוחות לפי סוכן - מקור'!E287</f>
        <v/>
      </c>
      <c r="D319" s="102">
        <f>'לקוחות לפי סוכן - מקור'!F287</f>
        <v/>
      </c>
      <c r="E319" s="102">
        <f>'לקוחות לפי סוכן - מקור'!G287</f>
        <v/>
      </c>
      <c r="F319" s="94">
        <f>'לקוחות לפי סוכן - מקור'!D287</f>
        <v/>
      </c>
      <c r="G319" s="95">
        <f>'לקוחות לפי סוכן - מקור'!H287</f>
        <v/>
      </c>
      <c r="H319" s="95">
        <f>'לקוחות לפי סוכן - מקור'!I287</f>
        <v/>
      </c>
      <c r="I319" s="127">
        <f>'לקוחות לפי סוכן - מקור'!K287</f>
        <v/>
      </c>
    </row>
    <row r="320" outlineLevel="2" ht="15" customHeight="1" s="82">
      <c r="A320" s="94">
        <f>'לקוחות לפי סוכן - מקור'!A288</f>
        <v/>
      </c>
      <c r="B320" s="94">
        <f>'לקוחות לפי סוכן - מקור'!C288</f>
        <v/>
      </c>
      <c r="C320" s="94">
        <f>'לקוחות לפי סוכן - מקור'!E288</f>
        <v/>
      </c>
      <c r="D320" s="102">
        <f>'לקוחות לפי סוכן - מקור'!F288</f>
        <v/>
      </c>
      <c r="E320" s="102">
        <f>'לקוחות לפי סוכן - מקור'!G288</f>
        <v/>
      </c>
      <c r="F320" s="94">
        <f>'לקוחות לפי סוכן - מקור'!D288</f>
        <v/>
      </c>
      <c r="G320" s="95">
        <f>'לקוחות לפי סוכן - מקור'!H288</f>
        <v/>
      </c>
      <c r="H320" s="95">
        <f>'לקוחות לפי סוכן - מקור'!I288</f>
        <v/>
      </c>
      <c r="I320" s="127">
        <f>'לקוחות לפי סוכן - מקור'!K288</f>
        <v/>
      </c>
    </row>
    <row r="321" outlineLevel="2" ht="15" customHeight="1" s="82">
      <c r="A321" s="94">
        <f>'לקוחות לפי סוכן - מקור'!A289</f>
        <v/>
      </c>
      <c r="B321" s="94">
        <f>'לקוחות לפי סוכן - מקור'!C289</f>
        <v/>
      </c>
      <c r="C321" s="94">
        <f>'לקוחות לפי סוכן - מקור'!E289</f>
        <v/>
      </c>
      <c r="D321" s="102">
        <f>'לקוחות לפי סוכן - מקור'!F289</f>
        <v/>
      </c>
      <c r="E321" s="102">
        <f>'לקוחות לפי סוכן - מקור'!G289</f>
        <v/>
      </c>
      <c r="F321" s="94">
        <f>'לקוחות לפי סוכן - מקור'!D289</f>
        <v/>
      </c>
      <c r="G321" s="95">
        <f>'לקוחות לפי סוכן - מקור'!H289</f>
        <v/>
      </c>
      <c r="H321" s="95">
        <f>'לקוחות לפי סוכן - מקור'!I289</f>
        <v/>
      </c>
      <c r="I321" s="127">
        <f>'לקוחות לפי סוכן - מקור'!K289</f>
        <v/>
      </c>
    </row>
    <row r="322" outlineLevel="2" ht="15" customHeight="1" s="82">
      <c r="A322" s="94">
        <f>'לקוחות לפי סוכן - מקור'!A290</f>
        <v/>
      </c>
      <c r="B322" s="94">
        <f>'לקוחות לפי סוכן - מקור'!C290</f>
        <v/>
      </c>
      <c r="C322" s="94">
        <f>'לקוחות לפי סוכן - מקור'!E290</f>
        <v/>
      </c>
      <c r="D322" s="102">
        <f>'לקוחות לפי סוכן - מקור'!F290</f>
        <v/>
      </c>
      <c r="E322" s="102">
        <f>'לקוחות לפי סוכן - מקור'!G290</f>
        <v/>
      </c>
      <c r="F322" s="94">
        <f>'לקוחות לפי סוכן - מקור'!D290</f>
        <v/>
      </c>
      <c r="G322" s="95">
        <f>'לקוחות לפי סוכן - מקור'!H290</f>
        <v/>
      </c>
      <c r="H322" s="95">
        <f>'לקוחות לפי סוכן - מקור'!I290</f>
        <v/>
      </c>
      <c r="I322" s="127">
        <f>'לקוחות לפי סוכן - מקור'!K290</f>
        <v/>
      </c>
    </row>
    <row r="323" outlineLevel="2" ht="15" customHeight="1" s="82">
      <c r="A323" s="94">
        <f>'לקוחות לפי סוכן - מקור'!A291</f>
        <v/>
      </c>
      <c r="B323" s="94">
        <f>'לקוחות לפי סוכן - מקור'!C291</f>
        <v/>
      </c>
      <c r="C323" s="94">
        <f>'לקוחות לפי סוכן - מקור'!E291</f>
        <v/>
      </c>
      <c r="D323" s="102">
        <f>'לקוחות לפי סוכן - מקור'!F291</f>
        <v/>
      </c>
      <c r="E323" s="102">
        <f>'לקוחות לפי סוכן - מקור'!G291</f>
        <v/>
      </c>
      <c r="F323" s="94">
        <f>'לקוחות לפי סוכן - מקור'!D291</f>
        <v/>
      </c>
      <c r="G323" s="95">
        <f>'לקוחות לפי סוכן - מקור'!H291</f>
        <v/>
      </c>
      <c r="H323" s="95">
        <f>'לקוחות לפי סוכן - מקור'!I291</f>
        <v/>
      </c>
      <c r="I323" s="127">
        <f>'לקוחות לפי סוכן - מקור'!K291</f>
        <v/>
      </c>
    </row>
    <row r="324" outlineLevel="2" ht="15" customHeight="1" s="82">
      <c r="A324" s="94">
        <f>'לקוחות לפי סוכן - מקור'!A292</f>
        <v/>
      </c>
      <c r="B324" s="94">
        <f>'לקוחות לפי סוכן - מקור'!C292</f>
        <v/>
      </c>
      <c r="C324" s="94">
        <f>'לקוחות לפי סוכן - מקור'!E292</f>
        <v/>
      </c>
      <c r="D324" s="102">
        <f>'לקוחות לפי סוכן - מקור'!F292</f>
        <v/>
      </c>
      <c r="E324" s="102">
        <f>'לקוחות לפי סוכן - מקור'!G292</f>
        <v/>
      </c>
      <c r="F324" s="94">
        <f>'לקוחות לפי סוכן - מקור'!D292</f>
        <v/>
      </c>
      <c r="G324" s="95">
        <f>'לקוחות לפי סוכן - מקור'!H292</f>
        <v/>
      </c>
      <c r="H324" s="95">
        <f>'לקוחות לפי סוכן - מקור'!I292</f>
        <v/>
      </c>
      <c r="I324" s="127">
        <f>'לקוחות לפי סוכן - מקור'!K292</f>
        <v/>
      </c>
    </row>
    <row r="325" outlineLevel="2" ht="15" customHeight="1" s="82">
      <c r="A325" s="94">
        <f>'לקוחות לפי סוכן - מקור'!A293</f>
        <v/>
      </c>
      <c r="B325" s="94">
        <f>'לקוחות לפי סוכן - מקור'!C293</f>
        <v/>
      </c>
      <c r="C325" s="94">
        <f>'לקוחות לפי סוכן - מקור'!E293</f>
        <v/>
      </c>
      <c r="D325" s="102">
        <f>'לקוחות לפי סוכן - מקור'!F293</f>
        <v/>
      </c>
      <c r="E325" s="102">
        <f>'לקוחות לפי סוכן - מקור'!G293</f>
        <v/>
      </c>
      <c r="F325" s="94">
        <f>'לקוחות לפי סוכן - מקור'!D293</f>
        <v/>
      </c>
      <c r="G325" s="95">
        <f>'לקוחות לפי סוכן - מקור'!H293</f>
        <v/>
      </c>
      <c r="H325" s="95">
        <f>'לקוחות לפי סוכן - מקור'!I293</f>
        <v/>
      </c>
      <c r="I325" s="127">
        <f>'לקוחות לפי סוכן - מקור'!K293</f>
        <v/>
      </c>
    </row>
    <row r="326" outlineLevel="2" ht="15" customHeight="1" s="82">
      <c r="A326" s="94">
        <f>'לקוחות לפי סוכן - מקור'!A294</f>
        <v/>
      </c>
      <c r="B326" s="94">
        <f>'לקוחות לפי סוכן - מקור'!C294</f>
        <v/>
      </c>
      <c r="C326" s="94">
        <f>'לקוחות לפי סוכן - מקור'!E294</f>
        <v/>
      </c>
      <c r="D326" s="102">
        <f>'לקוחות לפי סוכן - מקור'!F294</f>
        <v/>
      </c>
      <c r="E326" s="102">
        <f>'לקוחות לפי סוכן - מקור'!G294</f>
        <v/>
      </c>
      <c r="F326" s="94">
        <f>'לקוחות לפי סוכן - מקור'!D294</f>
        <v/>
      </c>
      <c r="G326" s="95">
        <f>'לקוחות לפי סוכן - מקור'!H294</f>
        <v/>
      </c>
      <c r="H326" s="95">
        <f>'לקוחות לפי סוכן - מקור'!I294</f>
        <v/>
      </c>
      <c r="I326" s="127">
        <f>'לקוחות לפי סוכן - מקור'!K294</f>
        <v/>
      </c>
    </row>
    <row r="327" outlineLevel="2" ht="15" customHeight="1" s="82">
      <c r="A327" s="94">
        <f>'לקוחות לפי סוכן - מקור'!A295</f>
        <v/>
      </c>
      <c r="B327" s="94">
        <f>'לקוחות לפי סוכן - מקור'!C295</f>
        <v/>
      </c>
      <c r="C327" s="94">
        <f>'לקוחות לפי סוכן - מקור'!E295</f>
        <v/>
      </c>
      <c r="D327" s="102">
        <f>'לקוחות לפי סוכן - מקור'!F295</f>
        <v/>
      </c>
      <c r="E327" s="102">
        <f>'לקוחות לפי סוכן - מקור'!G295</f>
        <v/>
      </c>
      <c r="F327" s="94">
        <f>'לקוחות לפי סוכן - מקור'!D295</f>
        <v/>
      </c>
      <c r="G327" s="95">
        <f>'לקוחות לפי סוכן - מקור'!H295</f>
        <v/>
      </c>
      <c r="H327" s="95">
        <f>'לקוחות לפי סוכן - מקור'!I295</f>
        <v/>
      </c>
      <c r="I327" s="127">
        <f>'לקוחות לפי סוכן - מקור'!K295</f>
        <v/>
      </c>
    </row>
    <row r="328" outlineLevel="2" ht="15" customHeight="1" s="82">
      <c r="A328" s="94">
        <f>'לקוחות לפי סוכן - מקור'!A296</f>
        <v/>
      </c>
      <c r="B328" s="94">
        <f>'לקוחות לפי סוכן - מקור'!C296</f>
        <v/>
      </c>
      <c r="C328" s="94">
        <f>'לקוחות לפי סוכן - מקור'!E296</f>
        <v/>
      </c>
      <c r="D328" s="102">
        <f>'לקוחות לפי סוכן - מקור'!F296</f>
        <v/>
      </c>
      <c r="E328" s="102">
        <f>'לקוחות לפי סוכן - מקור'!G296</f>
        <v/>
      </c>
      <c r="F328" s="94">
        <f>'לקוחות לפי סוכן - מקור'!D296</f>
        <v/>
      </c>
      <c r="G328" s="95">
        <f>'לקוחות לפי סוכן - מקור'!H296</f>
        <v/>
      </c>
      <c r="H328" s="95">
        <f>'לקוחות לפי סוכן - מקור'!I296</f>
        <v/>
      </c>
      <c r="I328" s="127">
        <f>'לקוחות לפי סוכן - מקור'!K296</f>
        <v/>
      </c>
    </row>
    <row r="329" outlineLevel="2" ht="15" customHeight="1" s="82">
      <c r="A329" s="94">
        <f>'לקוחות לפי סוכן - מקור'!A297</f>
        <v/>
      </c>
      <c r="B329" s="94">
        <f>'לקוחות לפי סוכן - מקור'!C297</f>
        <v/>
      </c>
      <c r="C329" s="94">
        <f>'לקוחות לפי סוכן - מקור'!E297</f>
        <v/>
      </c>
      <c r="D329" s="102">
        <f>'לקוחות לפי סוכן - מקור'!F297</f>
        <v/>
      </c>
      <c r="E329" s="102">
        <f>'לקוחות לפי סוכן - מקור'!G297</f>
        <v/>
      </c>
      <c r="F329" s="94">
        <f>'לקוחות לפי סוכן - מקור'!D297</f>
        <v/>
      </c>
      <c r="G329" s="95">
        <f>'לקוחות לפי סוכן - מקור'!H297</f>
        <v/>
      </c>
      <c r="H329" s="95">
        <f>'לקוחות לפי סוכן - מקור'!I297</f>
        <v/>
      </c>
      <c r="I329" s="127">
        <f>'לקוחות לפי סוכן - מקור'!K297</f>
        <v/>
      </c>
    </row>
    <row r="330" outlineLevel="2" ht="15" customHeight="1" s="82">
      <c r="A330" s="94">
        <f>'לקוחות לפי סוכן - מקור'!A298</f>
        <v/>
      </c>
      <c r="B330" s="94">
        <f>'לקוחות לפי סוכן - מקור'!C298</f>
        <v/>
      </c>
      <c r="C330" s="94">
        <f>'לקוחות לפי סוכן - מקור'!E298</f>
        <v/>
      </c>
      <c r="D330" s="102">
        <f>'לקוחות לפי סוכן - מקור'!F298</f>
        <v/>
      </c>
      <c r="E330" s="102">
        <f>'לקוחות לפי סוכן - מקור'!G298</f>
        <v/>
      </c>
      <c r="F330" s="94">
        <f>'לקוחות לפי סוכן - מקור'!D298</f>
        <v/>
      </c>
      <c r="G330" s="95">
        <f>'לקוחות לפי סוכן - מקור'!H298</f>
        <v/>
      </c>
      <c r="H330" s="95">
        <f>'לקוחות לפי סוכן - מקור'!I298</f>
        <v/>
      </c>
      <c r="I330" s="127">
        <f>'לקוחות לפי סוכן - מקור'!K298</f>
        <v/>
      </c>
    </row>
    <row r="331" outlineLevel="2" ht="15" customHeight="1" s="82">
      <c r="A331" s="94">
        <f>'לקוחות לפי סוכן - מקור'!A299</f>
        <v/>
      </c>
      <c r="B331" s="94">
        <f>'לקוחות לפי סוכן - מקור'!C299</f>
        <v/>
      </c>
      <c r="C331" s="94">
        <f>'לקוחות לפי סוכן - מקור'!E299</f>
        <v/>
      </c>
      <c r="D331" s="102">
        <f>'לקוחות לפי סוכן - מקור'!F299</f>
        <v/>
      </c>
      <c r="E331" s="102">
        <f>'לקוחות לפי סוכן - מקור'!G299</f>
        <v/>
      </c>
      <c r="F331" s="94">
        <f>'לקוחות לפי סוכן - מקור'!D299</f>
        <v/>
      </c>
      <c r="G331" s="95">
        <f>'לקוחות לפי סוכן - מקור'!H299</f>
        <v/>
      </c>
      <c r="H331" s="95">
        <f>'לקוחות לפי סוכן - מקור'!I299</f>
        <v/>
      </c>
      <c r="I331" s="127">
        <f>'לקוחות לפי סוכן - מקור'!K299</f>
        <v/>
      </c>
    </row>
    <row r="332" outlineLevel="2" ht="15" customHeight="1" s="82">
      <c r="A332" s="94">
        <f>'לקוחות לפי סוכן - מקור'!A300</f>
        <v/>
      </c>
      <c r="B332" s="94">
        <f>'לקוחות לפי סוכן - מקור'!C300</f>
        <v/>
      </c>
      <c r="C332" s="94">
        <f>'לקוחות לפי סוכן - מקור'!E300</f>
        <v/>
      </c>
      <c r="D332" s="102">
        <f>'לקוחות לפי סוכן - מקור'!F300</f>
        <v/>
      </c>
      <c r="E332" s="102">
        <f>'לקוחות לפי סוכן - מקור'!G300</f>
        <v/>
      </c>
      <c r="F332" s="94">
        <f>'לקוחות לפי סוכן - מקור'!D300</f>
        <v/>
      </c>
      <c r="G332" s="95">
        <f>'לקוחות לפי סוכן - מקור'!H300</f>
        <v/>
      </c>
      <c r="H332" s="95">
        <f>'לקוחות לפי סוכן - מקור'!I300</f>
        <v/>
      </c>
      <c r="I332" s="127">
        <f>'לקוחות לפי סוכן - מקור'!K300</f>
        <v/>
      </c>
    </row>
    <row r="333" outlineLevel="2" ht="15" customHeight="1" s="82">
      <c r="A333" s="94">
        <f>'לקוחות לפי סוכן - מקור'!A301</f>
        <v/>
      </c>
      <c r="B333" s="94">
        <f>'לקוחות לפי סוכן - מקור'!C301</f>
        <v/>
      </c>
      <c r="C333" s="94">
        <f>'לקוחות לפי סוכן - מקור'!E301</f>
        <v/>
      </c>
      <c r="D333" s="102">
        <f>'לקוחות לפי סוכן - מקור'!F301</f>
        <v/>
      </c>
      <c r="E333" s="102">
        <f>'לקוחות לפי סוכן - מקור'!G301</f>
        <v/>
      </c>
      <c r="F333" s="94">
        <f>'לקוחות לפי סוכן - מקור'!D301</f>
        <v/>
      </c>
      <c r="G333" s="95">
        <f>'לקוחות לפי סוכן - מקור'!H301</f>
        <v/>
      </c>
      <c r="H333" s="95">
        <f>'לקוחות לפי סוכן - מקור'!I301</f>
        <v/>
      </c>
      <c r="I333" s="127">
        <f>'לקוחות לפי סוכן - מקור'!K301</f>
        <v/>
      </c>
    </row>
    <row r="334" outlineLevel="2" ht="15" customHeight="1" s="82">
      <c r="A334" s="94">
        <f>'לקוחות לפי סוכן - מקור'!A302</f>
        <v/>
      </c>
      <c r="B334" s="94">
        <f>'לקוחות לפי סוכן - מקור'!C302</f>
        <v/>
      </c>
      <c r="C334" s="94">
        <f>'לקוחות לפי סוכן - מקור'!E302</f>
        <v/>
      </c>
      <c r="D334" s="102">
        <f>'לקוחות לפי סוכן - מקור'!F302</f>
        <v/>
      </c>
      <c r="E334" s="102">
        <f>'לקוחות לפי סוכן - מקור'!G302</f>
        <v/>
      </c>
      <c r="F334" s="94">
        <f>'לקוחות לפי סוכן - מקור'!D302</f>
        <v/>
      </c>
      <c r="G334" s="95">
        <f>'לקוחות לפי סוכן - מקור'!H302</f>
        <v/>
      </c>
      <c r="H334" s="95">
        <f>'לקוחות לפי סוכן - מקור'!I302</f>
        <v/>
      </c>
      <c r="I334" s="127">
        <f>'לקוחות לפי סוכן - מקור'!K302</f>
        <v/>
      </c>
    </row>
    <row r="335" outlineLevel="2" ht="15" customHeight="1" s="82">
      <c r="A335" s="94">
        <f>'לקוחות לפי סוכן - מקור'!A303</f>
        <v/>
      </c>
      <c r="B335" s="94">
        <f>'לקוחות לפי סוכן - מקור'!C303</f>
        <v/>
      </c>
      <c r="C335" s="94">
        <f>'לקוחות לפי סוכן - מקור'!E303</f>
        <v/>
      </c>
      <c r="D335" s="102">
        <f>'לקוחות לפי סוכן - מקור'!F303</f>
        <v/>
      </c>
      <c r="E335" s="102">
        <f>'לקוחות לפי סוכן - מקור'!G303</f>
        <v/>
      </c>
      <c r="F335" s="94">
        <f>'לקוחות לפי סוכן - מקור'!D303</f>
        <v/>
      </c>
      <c r="G335" s="95">
        <f>'לקוחות לפי סוכן - מקור'!H303</f>
        <v/>
      </c>
      <c r="H335" s="95">
        <f>'לקוחות לפי סוכן - מקור'!I303</f>
        <v/>
      </c>
      <c r="I335" s="127">
        <f>'לקוחות לפי סוכן - מקור'!K303</f>
        <v/>
      </c>
    </row>
    <row r="336" outlineLevel="2" ht="15" customHeight="1" s="82">
      <c r="A336" s="94">
        <f>'לקוחות לפי סוכן - מקור'!A304</f>
        <v/>
      </c>
      <c r="B336" s="94">
        <f>'לקוחות לפי סוכן - מקור'!C304</f>
        <v/>
      </c>
      <c r="C336" s="94">
        <f>'לקוחות לפי סוכן - מקור'!E304</f>
        <v/>
      </c>
      <c r="D336" s="102">
        <f>'לקוחות לפי סוכן - מקור'!F304</f>
        <v/>
      </c>
      <c r="E336" s="102">
        <f>'לקוחות לפי סוכן - מקור'!G304</f>
        <v/>
      </c>
      <c r="F336" s="94">
        <f>'לקוחות לפי סוכן - מקור'!D304</f>
        <v/>
      </c>
      <c r="G336" s="95">
        <f>'לקוחות לפי סוכן - מקור'!H304</f>
        <v/>
      </c>
      <c r="H336" s="95">
        <f>'לקוחות לפי סוכן - מקור'!I304</f>
        <v/>
      </c>
      <c r="I336" s="127">
        <f>'לקוחות לפי סוכן - מקור'!K304</f>
        <v/>
      </c>
    </row>
    <row r="337" outlineLevel="2" ht="15" customHeight="1" s="82">
      <c r="A337" s="94">
        <f>'לקוחות לפי סוכן - מקור'!A305</f>
        <v/>
      </c>
      <c r="B337" s="94">
        <f>'לקוחות לפי סוכן - מקור'!C305</f>
        <v/>
      </c>
      <c r="C337" s="94">
        <f>'לקוחות לפי סוכן - מקור'!E305</f>
        <v/>
      </c>
      <c r="D337" s="102">
        <f>'לקוחות לפי סוכן - מקור'!F305</f>
        <v/>
      </c>
      <c r="E337" s="102">
        <f>'לקוחות לפי סוכן - מקור'!G305</f>
        <v/>
      </c>
      <c r="F337" s="94">
        <f>'לקוחות לפי סוכן - מקור'!D305</f>
        <v/>
      </c>
      <c r="G337" s="95">
        <f>'לקוחות לפי סוכן - מקור'!H305</f>
        <v/>
      </c>
      <c r="H337" s="95">
        <f>'לקוחות לפי סוכן - מקור'!I305</f>
        <v/>
      </c>
      <c r="I337" s="127">
        <f>'לקוחות לפי סוכן - מקור'!K305</f>
        <v/>
      </c>
    </row>
    <row r="338" outlineLevel="2" ht="15" customHeight="1" s="82">
      <c r="A338" s="94">
        <f>'לקוחות לפי סוכן - מקור'!A306</f>
        <v/>
      </c>
      <c r="B338" s="94">
        <f>'לקוחות לפי סוכן - מקור'!C306</f>
        <v/>
      </c>
      <c r="C338" s="94">
        <f>'לקוחות לפי סוכן - מקור'!E306</f>
        <v/>
      </c>
      <c r="D338" s="102">
        <f>'לקוחות לפי סוכן - מקור'!F306</f>
        <v/>
      </c>
      <c r="E338" s="102">
        <f>'לקוחות לפי סוכן - מקור'!G306</f>
        <v/>
      </c>
      <c r="F338" s="94">
        <f>'לקוחות לפי סוכן - מקור'!D306</f>
        <v/>
      </c>
      <c r="G338" s="95">
        <f>'לקוחות לפי סוכן - מקור'!H306</f>
        <v/>
      </c>
      <c r="H338" s="95">
        <f>'לקוחות לפי סוכן - מקור'!I306</f>
        <v/>
      </c>
      <c r="I338" s="127">
        <f>'לקוחות לפי סוכן - מקור'!K306</f>
        <v/>
      </c>
    </row>
    <row r="339" outlineLevel="2" ht="15" customHeight="1" s="82">
      <c r="A339" s="94">
        <f>'לקוחות לפי סוכן - מקור'!A307</f>
        <v/>
      </c>
      <c r="B339" s="94">
        <f>'לקוחות לפי סוכן - מקור'!C307</f>
        <v/>
      </c>
      <c r="C339" s="94">
        <f>'לקוחות לפי סוכן - מקור'!E307</f>
        <v/>
      </c>
      <c r="D339" s="102">
        <f>'לקוחות לפי סוכן - מקור'!F307</f>
        <v/>
      </c>
      <c r="E339" s="102">
        <f>'לקוחות לפי סוכן - מקור'!G307</f>
        <v/>
      </c>
      <c r="F339" s="94">
        <f>'לקוחות לפי סוכן - מקור'!D307</f>
        <v/>
      </c>
      <c r="G339" s="95">
        <f>'לקוחות לפי סוכן - מקור'!H307</f>
        <v/>
      </c>
      <c r="H339" s="95">
        <f>'לקוחות לפי סוכן - מקור'!I307</f>
        <v/>
      </c>
      <c r="I339" s="127">
        <f>'לקוחות לפי סוכן - מקור'!K307</f>
        <v/>
      </c>
    </row>
    <row r="340" outlineLevel="2" ht="15" customHeight="1" s="82">
      <c r="A340" s="94">
        <f>'לקוחות לפי סוכן - מקור'!A308</f>
        <v/>
      </c>
      <c r="B340" s="94">
        <f>'לקוחות לפי סוכן - מקור'!C308</f>
        <v/>
      </c>
      <c r="C340" s="94">
        <f>'לקוחות לפי סוכן - מקור'!E308</f>
        <v/>
      </c>
      <c r="D340" s="102">
        <f>'לקוחות לפי סוכן - מקור'!F308</f>
        <v/>
      </c>
      <c r="E340" s="102">
        <f>'לקוחות לפי סוכן - מקור'!G308</f>
        <v/>
      </c>
      <c r="F340" s="94">
        <f>'לקוחות לפי סוכן - מקור'!D308</f>
        <v/>
      </c>
      <c r="G340" s="95">
        <f>'לקוחות לפי סוכן - מקור'!H308</f>
        <v/>
      </c>
      <c r="H340" s="95">
        <f>'לקוחות לפי סוכן - מקור'!I308</f>
        <v/>
      </c>
      <c r="I340" s="127">
        <f>'לקוחות לפי סוכן - מקור'!K308</f>
        <v/>
      </c>
    </row>
    <row r="341" outlineLevel="2" ht="15" customHeight="1" s="82">
      <c r="A341" s="94">
        <f>'לקוחות לפי סוכן - מקור'!A309</f>
        <v/>
      </c>
      <c r="B341" s="94">
        <f>'לקוחות לפי סוכן - מקור'!C309</f>
        <v/>
      </c>
      <c r="C341" s="94">
        <f>'לקוחות לפי סוכן - מקור'!E309</f>
        <v/>
      </c>
      <c r="D341" s="102">
        <f>'לקוחות לפי סוכן - מקור'!F309</f>
        <v/>
      </c>
      <c r="E341" s="102">
        <f>'לקוחות לפי סוכן - מקור'!G309</f>
        <v/>
      </c>
      <c r="F341" s="94">
        <f>'לקוחות לפי סוכן - מקור'!D309</f>
        <v/>
      </c>
      <c r="G341" s="95">
        <f>'לקוחות לפי סוכן - מקור'!H309</f>
        <v/>
      </c>
      <c r="H341" s="95">
        <f>'לקוחות לפי סוכן - מקור'!I309</f>
        <v/>
      </c>
      <c r="I341" s="127">
        <f>'לקוחות לפי סוכן - מקור'!K309</f>
        <v/>
      </c>
    </row>
    <row r="342" outlineLevel="2" ht="15" customHeight="1" s="82">
      <c r="A342" s="94">
        <f>'לקוחות לפי סוכן - מקור'!A310</f>
        <v/>
      </c>
      <c r="B342" s="94">
        <f>'לקוחות לפי סוכן - מקור'!C310</f>
        <v/>
      </c>
      <c r="C342" s="94">
        <f>'לקוחות לפי סוכן - מקור'!E310</f>
        <v/>
      </c>
      <c r="D342" s="102">
        <f>'לקוחות לפי סוכן - מקור'!F310</f>
        <v/>
      </c>
      <c r="E342" s="102">
        <f>'לקוחות לפי סוכן - מקור'!G310</f>
        <v/>
      </c>
      <c r="F342" s="94">
        <f>'לקוחות לפי סוכן - מקור'!D310</f>
        <v/>
      </c>
      <c r="G342" s="95">
        <f>'לקוחות לפי סוכן - מקור'!H310</f>
        <v/>
      </c>
      <c r="H342" s="95">
        <f>'לקוחות לפי סוכן - מקור'!I310</f>
        <v/>
      </c>
      <c r="I342" s="127">
        <f>'לקוחות לפי סוכן - מקור'!K310</f>
        <v/>
      </c>
    </row>
    <row r="343" outlineLevel="2" ht="15" customHeight="1" s="82">
      <c r="A343" s="94">
        <f>'לקוחות לפי סוכן - מקור'!A311</f>
        <v/>
      </c>
      <c r="B343" s="94">
        <f>'לקוחות לפי סוכן - מקור'!C311</f>
        <v/>
      </c>
      <c r="C343" s="94">
        <f>'לקוחות לפי סוכן - מקור'!E311</f>
        <v/>
      </c>
      <c r="D343" s="102">
        <f>'לקוחות לפי סוכן - מקור'!F311</f>
        <v/>
      </c>
      <c r="E343" s="102">
        <f>'לקוחות לפי סוכן - מקור'!G311</f>
        <v/>
      </c>
      <c r="F343" s="94">
        <f>'לקוחות לפי סוכן - מקור'!D311</f>
        <v/>
      </c>
      <c r="G343" s="95">
        <f>'לקוחות לפי סוכן - מקור'!H311</f>
        <v/>
      </c>
      <c r="H343" s="95">
        <f>'לקוחות לפי סוכן - מקור'!I311</f>
        <v/>
      </c>
      <c r="I343" s="127">
        <f>'לקוחות לפי סוכן - מקור'!K311</f>
        <v/>
      </c>
    </row>
    <row r="344" outlineLevel="2" ht="15" customHeight="1" s="82">
      <c r="A344" s="94">
        <f>'לקוחות לפי סוכן - מקור'!A312</f>
        <v/>
      </c>
      <c r="B344" s="94">
        <f>'לקוחות לפי סוכן - מקור'!C312</f>
        <v/>
      </c>
      <c r="C344" s="94">
        <f>'לקוחות לפי סוכן - מקור'!E312</f>
        <v/>
      </c>
      <c r="D344" s="102">
        <f>'לקוחות לפי סוכן - מקור'!F312</f>
        <v/>
      </c>
      <c r="E344" s="102">
        <f>'לקוחות לפי סוכן - מקור'!G312</f>
        <v/>
      </c>
      <c r="F344" s="94">
        <f>'לקוחות לפי סוכן - מקור'!D312</f>
        <v/>
      </c>
      <c r="G344" s="95">
        <f>'לקוחות לפי סוכן - מקור'!H312</f>
        <v/>
      </c>
      <c r="H344" s="95">
        <f>'לקוחות לפי סוכן - מקור'!I312</f>
        <v/>
      </c>
      <c r="I344" s="127">
        <f>'לקוחות לפי סוכן - מקור'!K312</f>
        <v/>
      </c>
    </row>
    <row r="345" outlineLevel="2" ht="15" customHeight="1" s="82">
      <c r="A345" s="94">
        <f>'לקוחות לפי סוכן - מקור'!A313</f>
        <v/>
      </c>
      <c r="B345" s="94">
        <f>'לקוחות לפי סוכן - מקור'!C313</f>
        <v/>
      </c>
      <c r="C345" s="94">
        <f>'לקוחות לפי סוכן - מקור'!E313</f>
        <v/>
      </c>
      <c r="D345" s="102">
        <f>'לקוחות לפי סוכן - מקור'!F313</f>
        <v/>
      </c>
      <c r="E345" s="102">
        <f>'לקוחות לפי סוכן - מקור'!G313</f>
        <v/>
      </c>
      <c r="F345" s="94">
        <f>'לקוחות לפי סוכן - מקור'!D313</f>
        <v/>
      </c>
      <c r="G345" s="95">
        <f>'לקוחות לפי סוכן - מקור'!H313</f>
        <v/>
      </c>
      <c r="H345" s="95">
        <f>'לקוחות לפי סוכן - מקור'!I313</f>
        <v/>
      </c>
      <c r="I345" s="127">
        <f>'לקוחות לפי סוכן - מקור'!K313</f>
        <v/>
      </c>
    </row>
    <row r="346" outlineLevel="2" ht="15" customHeight="1" s="82">
      <c r="A346" s="94">
        <f>'לקוחות לפי סוכן - מקור'!A314</f>
        <v/>
      </c>
      <c r="B346" s="94">
        <f>'לקוחות לפי סוכן - מקור'!C314</f>
        <v/>
      </c>
      <c r="C346" s="94">
        <f>'לקוחות לפי סוכן - מקור'!E314</f>
        <v/>
      </c>
      <c r="D346" s="102">
        <f>'לקוחות לפי סוכן - מקור'!F314</f>
        <v/>
      </c>
      <c r="E346" s="102">
        <f>'לקוחות לפי סוכן - מקור'!G314</f>
        <v/>
      </c>
      <c r="F346" s="94">
        <f>'לקוחות לפי סוכן - מקור'!D314</f>
        <v/>
      </c>
      <c r="G346" s="95">
        <f>'לקוחות לפי סוכן - מקור'!H314</f>
        <v/>
      </c>
      <c r="H346" s="95">
        <f>'לקוחות לפי סוכן - מקור'!I314</f>
        <v/>
      </c>
      <c r="I346" s="127">
        <f>'לקוחות לפי סוכן - מקור'!K314</f>
        <v/>
      </c>
    </row>
    <row r="347" outlineLevel="2" ht="15" customHeight="1" s="82">
      <c r="A347" s="94">
        <f>'לקוחות לפי סוכן - מקור'!A315</f>
        <v/>
      </c>
      <c r="B347" s="94">
        <f>'לקוחות לפי סוכן - מקור'!C315</f>
        <v/>
      </c>
      <c r="C347" s="94">
        <f>'לקוחות לפי סוכן - מקור'!E315</f>
        <v/>
      </c>
      <c r="D347" s="102">
        <f>'לקוחות לפי סוכן - מקור'!F315</f>
        <v/>
      </c>
      <c r="E347" s="102">
        <f>'לקוחות לפי סוכן - מקור'!G315</f>
        <v/>
      </c>
      <c r="F347" s="94">
        <f>'לקוחות לפי סוכן - מקור'!D315</f>
        <v/>
      </c>
      <c r="G347" s="95">
        <f>'לקוחות לפי סוכן - מקור'!H315</f>
        <v/>
      </c>
      <c r="H347" s="95">
        <f>'לקוחות לפי סוכן - מקור'!I315</f>
        <v/>
      </c>
      <c r="I347" s="127">
        <f>'לקוחות לפי סוכן - מקור'!K315</f>
        <v/>
      </c>
    </row>
    <row r="348" outlineLevel="2" ht="15" customHeight="1" s="82">
      <c r="A348" s="94">
        <f>'לקוחות לפי סוכן - מקור'!A316</f>
        <v/>
      </c>
      <c r="B348" s="94">
        <f>'לקוחות לפי סוכן - מקור'!C316</f>
        <v/>
      </c>
      <c r="C348" s="94">
        <f>'לקוחות לפי סוכן - מקור'!E316</f>
        <v/>
      </c>
      <c r="D348" s="102">
        <f>'לקוחות לפי סוכן - מקור'!F316</f>
        <v/>
      </c>
      <c r="E348" s="102">
        <f>'לקוחות לפי סוכן - מקור'!G316</f>
        <v/>
      </c>
      <c r="F348" s="94">
        <f>'לקוחות לפי סוכן - מקור'!D316</f>
        <v/>
      </c>
      <c r="G348" s="95">
        <f>'לקוחות לפי סוכן - מקור'!H316</f>
        <v/>
      </c>
      <c r="H348" s="95">
        <f>'לקוחות לפי סוכן - מקור'!I316</f>
        <v/>
      </c>
      <c r="I348" s="127">
        <f>'לקוחות לפי סוכן - מקור'!K316</f>
        <v/>
      </c>
    </row>
    <row r="349" outlineLevel="2" ht="15" customHeight="1" s="82">
      <c r="A349" s="94">
        <f>'לקוחות לפי סוכן - מקור'!A317</f>
        <v/>
      </c>
      <c r="B349" s="94">
        <f>'לקוחות לפי סוכן - מקור'!C317</f>
        <v/>
      </c>
      <c r="C349" s="94">
        <f>'לקוחות לפי סוכן - מקור'!E317</f>
        <v/>
      </c>
      <c r="D349" s="102">
        <f>'לקוחות לפי סוכן - מקור'!F317</f>
        <v/>
      </c>
      <c r="E349" s="102">
        <f>'לקוחות לפי סוכן - מקור'!G317</f>
        <v/>
      </c>
      <c r="F349" s="94">
        <f>'לקוחות לפי סוכן - מקור'!D317</f>
        <v/>
      </c>
      <c r="G349" s="95">
        <f>'לקוחות לפי סוכן - מקור'!H317</f>
        <v/>
      </c>
      <c r="H349" s="95">
        <f>'לקוחות לפי סוכן - מקור'!I317</f>
        <v/>
      </c>
      <c r="I349" s="127">
        <f>'לקוחות לפי סוכן - מקור'!K317</f>
        <v/>
      </c>
    </row>
    <row r="350" outlineLevel="2" ht="15" customHeight="1" s="82">
      <c r="A350" s="94">
        <f>'לקוחות לפי סוכן - מקור'!A318</f>
        <v/>
      </c>
      <c r="B350" s="94">
        <f>'לקוחות לפי סוכן - מקור'!C318</f>
        <v/>
      </c>
      <c r="C350" s="94">
        <f>'לקוחות לפי סוכן - מקור'!E318</f>
        <v/>
      </c>
      <c r="D350" s="102">
        <f>'לקוחות לפי סוכן - מקור'!F318</f>
        <v/>
      </c>
      <c r="E350" s="102">
        <f>'לקוחות לפי סוכן - מקור'!G318</f>
        <v/>
      </c>
      <c r="F350" s="94">
        <f>'לקוחות לפי סוכן - מקור'!D318</f>
        <v/>
      </c>
      <c r="G350" s="95">
        <f>'לקוחות לפי סוכן - מקור'!H318</f>
        <v/>
      </c>
      <c r="H350" s="95">
        <f>'לקוחות לפי סוכן - מקור'!I318</f>
        <v/>
      </c>
      <c r="I350" s="127">
        <f>'לקוחות לפי סוכן - מקור'!K318</f>
        <v/>
      </c>
    </row>
    <row r="351" outlineLevel="2" ht="15" customHeight="1" s="82">
      <c r="A351" s="94">
        <f>'לקוחות לפי סוכן - מקור'!A319</f>
        <v/>
      </c>
      <c r="B351" s="94">
        <f>'לקוחות לפי סוכן - מקור'!C319</f>
        <v/>
      </c>
      <c r="C351" s="94">
        <f>'לקוחות לפי סוכן - מקור'!E319</f>
        <v/>
      </c>
      <c r="D351" s="102">
        <f>'לקוחות לפי סוכן - מקור'!F319</f>
        <v/>
      </c>
      <c r="E351" s="102">
        <f>'לקוחות לפי סוכן - מקור'!G319</f>
        <v/>
      </c>
      <c r="F351" s="94">
        <f>'לקוחות לפי סוכן - מקור'!D319</f>
        <v/>
      </c>
      <c r="G351" s="95">
        <f>'לקוחות לפי סוכן - מקור'!H319</f>
        <v/>
      </c>
      <c r="H351" s="95">
        <f>'לקוחות לפי סוכן - מקור'!I319</f>
        <v/>
      </c>
      <c r="I351" s="127">
        <f>'לקוחות לפי סוכן - מקור'!K319</f>
        <v/>
      </c>
    </row>
    <row r="352" outlineLevel="2" ht="15" customHeight="1" s="82">
      <c r="A352" s="94">
        <f>'לקוחות לפי סוכן - מקור'!A320</f>
        <v/>
      </c>
      <c r="B352" s="94">
        <f>'לקוחות לפי סוכן - מקור'!C320</f>
        <v/>
      </c>
      <c r="C352" s="94">
        <f>'לקוחות לפי סוכן - מקור'!E320</f>
        <v/>
      </c>
      <c r="D352" s="102">
        <f>'לקוחות לפי סוכן - מקור'!F320</f>
        <v/>
      </c>
      <c r="E352" s="102">
        <f>'לקוחות לפי סוכן - מקור'!G320</f>
        <v/>
      </c>
      <c r="F352" s="94">
        <f>'לקוחות לפי סוכן - מקור'!D320</f>
        <v/>
      </c>
      <c r="G352" s="95">
        <f>'לקוחות לפי סוכן - מקור'!H320</f>
        <v/>
      </c>
      <c r="H352" s="95">
        <f>'לקוחות לפי סוכן - מקור'!I320</f>
        <v/>
      </c>
      <c r="I352" s="127">
        <f>'לקוחות לפי סוכן - מקור'!K320</f>
        <v/>
      </c>
    </row>
    <row r="353" outlineLevel="2" ht="15" customHeight="1" s="82">
      <c r="A353" s="94">
        <f>'לקוחות לפי סוכן - מקור'!A321</f>
        <v/>
      </c>
      <c r="B353" s="94">
        <f>'לקוחות לפי סוכן - מקור'!C321</f>
        <v/>
      </c>
      <c r="C353" s="94">
        <f>'לקוחות לפי סוכן - מקור'!E321</f>
        <v/>
      </c>
      <c r="D353" s="102">
        <f>'לקוחות לפי סוכן - מקור'!F321</f>
        <v/>
      </c>
      <c r="E353" s="102">
        <f>'לקוחות לפי סוכן - מקור'!G321</f>
        <v/>
      </c>
      <c r="F353" s="94">
        <f>'לקוחות לפי סוכן - מקור'!D321</f>
        <v/>
      </c>
      <c r="G353" s="95">
        <f>'לקוחות לפי סוכן - מקור'!H321</f>
        <v/>
      </c>
      <c r="H353" s="95">
        <f>'לקוחות לפי סוכן - מקור'!I321</f>
        <v/>
      </c>
      <c r="I353" s="127">
        <f>'לקוחות לפי סוכן - מקור'!K321</f>
        <v/>
      </c>
    </row>
    <row r="354" outlineLevel="2" ht="15" customHeight="1" s="82">
      <c r="A354" s="94">
        <f>'לקוחות לפי סוכן - מקור'!A322</f>
        <v/>
      </c>
      <c r="B354" s="94">
        <f>'לקוחות לפי סוכן - מקור'!C322</f>
        <v/>
      </c>
      <c r="C354" s="94">
        <f>'לקוחות לפי סוכן - מקור'!E322</f>
        <v/>
      </c>
      <c r="D354" s="102">
        <f>'לקוחות לפי סוכן - מקור'!F322</f>
        <v/>
      </c>
      <c r="E354" s="102">
        <f>'לקוחות לפי סוכן - מקור'!G322</f>
        <v/>
      </c>
      <c r="F354" s="94">
        <f>'לקוחות לפי סוכן - מקור'!D322</f>
        <v/>
      </c>
      <c r="G354" s="95">
        <f>'לקוחות לפי סוכן - מקור'!H322</f>
        <v/>
      </c>
      <c r="H354" s="95">
        <f>'לקוחות לפי סוכן - מקור'!I322</f>
        <v/>
      </c>
      <c r="I354" s="127">
        <f>'לקוחות לפי סוכן - מקור'!K322</f>
        <v/>
      </c>
    </row>
    <row r="355" outlineLevel="2" ht="15" customHeight="1" s="82">
      <c r="A355" s="94">
        <f>'לקוחות לפי סוכן - מקור'!A323</f>
        <v/>
      </c>
      <c r="B355" s="94">
        <f>'לקוחות לפי סוכן - מקור'!C323</f>
        <v/>
      </c>
      <c r="C355" s="94">
        <f>'לקוחות לפי סוכן - מקור'!E323</f>
        <v/>
      </c>
      <c r="D355" s="102">
        <f>'לקוחות לפי סוכן - מקור'!F323</f>
        <v/>
      </c>
      <c r="E355" s="102">
        <f>'לקוחות לפי סוכן - מקור'!G323</f>
        <v/>
      </c>
      <c r="F355" s="94">
        <f>'לקוחות לפי סוכן - מקור'!D323</f>
        <v/>
      </c>
      <c r="G355" s="95">
        <f>'לקוחות לפי סוכן - מקור'!H323</f>
        <v/>
      </c>
      <c r="H355" s="95">
        <f>'לקוחות לפי סוכן - מקור'!I323</f>
        <v/>
      </c>
      <c r="I355" s="127">
        <f>'לקוחות לפי סוכן - מקור'!K323</f>
        <v/>
      </c>
    </row>
    <row r="356" outlineLevel="2" ht="15" customHeight="1" s="82">
      <c r="A356" s="94">
        <f>'לקוחות לפי סוכן - מקור'!A324</f>
        <v/>
      </c>
      <c r="B356" s="94">
        <f>'לקוחות לפי סוכן - מקור'!C324</f>
        <v/>
      </c>
      <c r="C356" s="94">
        <f>'לקוחות לפי סוכן - מקור'!E324</f>
        <v/>
      </c>
      <c r="D356" s="102">
        <f>'לקוחות לפי סוכן - מקור'!F324</f>
        <v/>
      </c>
      <c r="E356" s="102">
        <f>'לקוחות לפי סוכן - מקור'!G324</f>
        <v/>
      </c>
      <c r="F356" s="94">
        <f>'לקוחות לפי סוכן - מקור'!D324</f>
        <v/>
      </c>
      <c r="G356" s="95">
        <f>'לקוחות לפי סוכן - מקור'!H324</f>
        <v/>
      </c>
      <c r="H356" s="95">
        <f>'לקוחות לפי סוכן - מקור'!I324</f>
        <v/>
      </c>
      <c r="I356" s="127">
        <f>'לקוחות לפי סוכן - מקור'!K324</f>
        <v/>
      </c>
    </row>
    <row r="357" outlineLevel="2" ht="15" customHeight="1" s="82">
      <c r="A357" s="94">
        <f>'לקוחות לפי סוכן - מקור'!A325</f>
        <v/>
      </c>
      <c r="B357" s="94">
        <f>'לקוחות לפי סוכן - מקור'!C325</f>
        <v/>
      </c>
      <c r="C357" s="94">
        <f>'לקוחות לפי סוכן - מקור'!E325</f>
        <v/>
      </c>
      <c r="D357" s="102">
        <f>'לקוחות לפי סוכן - מקור'!F325</f>
        <v/>
      </c>
      <c r="E357" s="102">
        <f>'לקוחות לפי סוכן - מקור'!G325</f>
        <v/>
      </c>
      <c r="F357" s="94">
        <f>'לקוחות לפי סוכן - מקור'!D325</f>
        <v/>
      </c>
      <c r="G357" s="95">
        <f>'לקוחות לפי סוכן - מקור'!H325</f>
        <v/>
      </c>
      <c r="H357" s="95">
        <f>'לקוחות לפי סוכן - מקור'!I325</f>
        <v/>
      </c>
      <c r="I357" s="127">
        <f>'לקוחות לפי סוכן - מקור'!K325</f>
        <v/>
      </c>
    </row>
    <row r="358" outlineLevel="2" ht="15" customHeight="1" s="82">
      <c r="A358" s="94">
        <f>'לקוחות לפי סוכן - מקור'!A326</f>
        <v/>
      </c>
      <c r="B358" s="94">
        <f>'לקוחות לפי סוכן - מקור'!C326</f>
        <v/>
      </c>
      <c r="C358" s="94">
        <f>'לקוחות לפי סוכן - מקור'!E326</f>
        <v/>
      </c>
      <c r="D358" s="102">
        <f>'לקוחות לפי סוכן - מקור'!F326</f>
        <v/>
      </c>
      <c r="E358" s="102">
        <f>'לקוחות לפי סוכן - מקור'!G326</f>
        <v/>
      </c>
      <c r="F358" s="94">
        <f>'לקוחות לפי סוכן - מקור'!D326</f>
        <v/>
      </c>
      <c r="G358" s="95">
        <f>'לקוחות לפי סוכן - מקור'!H326</f>
        <v/>
      </c>
      <c r="H358" s="95">
        <f>'לקוחות לפי סוכן - מקור'!I326</f>
        <v/>
      </c>
      <c r="I358" s="127">
        <f>'לקוחות לפי סוכן - מקור'!K326</f>
        <v/>
      </c>
    </row>
    <row r="359" outlineLevel="2" ht="15" customHeight="1" s="82">
      <c r="A359" s="94">
        <f>'לקוחות לפי סוכן - מקור'!A327</f>
        <v/>
      </c>
      <c r="B359" s="94">
        <f>'לקוחות לפי סוכן - מקור'!C327</f>
        <v/>
      </c>
      <c r="C359" s="94">
        <f>'לקוחות לפי סוכן - מקור'!E327</f>
        <v/>
      </c>
      <c r="D359" s="102">
        <f>'לקוחות לפי סוכן - מקור'!F327</f>
        <v/>
      </c>
      <c r="E359" s="102">
        <f>'לקוחות לפי סוכן - מקור'!G327</f>
        <v/>
      </c>
      <c r="F359" s="94">
        <f>'לקוחות לפי סוכן - מקור'!D327</f>
        <v/>
      </c>
      <c r="G359" s="95">
        <f>'לקוחות לפי סוכן - מקור'!H327</f>
        <v/>
      </c>
      <c r="H359" s="95">
        <f>'לקוחות לפי סוכן - מקור'!I327</f>
        <v/>
      </c>
      <c r="I359" s="127">
        <f>'לקוחות לפי סוכן - מקור'!K327</f>
        <v/>
      </c>
    </row>
    <row r="360" outlineLevel="2" ht="15" customHeight="1" s="82">
      <c r="A360" s="94">
        <f>'לקוחות לפי סוכן - מקור'!A328</f>
        <v/>
      </c>
      <c r="B360" s="94">
        <f>'לקוחות לפי סוכן - מקור'!C328</f>
        <v/>
      </c>
      <c r="C360" s="94">
        <f>'לקוחות לפי סוכן - מקור'!E328</f>
        <v/>
      </c>
      <c r="D360" s="102">
        <f>'לקוחות לפי סוכן - מקור'!F328</f>
        <v/>
      </c>
      <c r="E360" s="102">
        <f>'לקוחות לפי סוכן - מקור'!G328</f>
        <v/>
      </c>
      <c r="F360" s="94">
        <f>'לקוחות לפי סוכן - מקור'!D328</f>
        <v/>
      </c>
      <c r="G360" s="95">
        <f>'לקוחות לפי סוכן - מקור'!H328</f>
        <v/>
      </c>
      <c r="H360" s="95">
        <f>'לקוחות לפי סוכן - מקור'!I328</f>
        <v/>
      </c>
      <c r="I360" s="127">
        <f>'לקוחות לפי סוכן - מקור'!K328</f>
        <v/>
      </c>
    </row>
    <row r="361" outlineLevel="2" ht="15" customHeight="1" s="82">
      <c r="A361" s="94">
        <f>'לקוחות לפי סוכן - מקור'!A329</f>
        <v/>
      </c>
      <c r="B361" s="94">
        <f>'לקוחות לפי סוכן - מקור'!C329</f>
        <v/>
      </c>
      <c r="C361" s="94">
        <f>'לקוחות לפי סוכן - מקור'!E329</f>
        <v/>
      </c>
      <c r="D361" s="102">
        <f>'לקוחות לפי סוכן - מקור'!F329</f>
        <v/>
      </c>
      <c r="E361" s="102">
        <f>'לקוחות לפי סוכן - מקור'!G329</f>
        <v/>
      </c>
      <c r="F361" s="94">
        <f>'לקוחות לפי סוכן - מקור'!D329</f>
        <v/>
      </c>
      <c r="G361" s="95">
        <f>'לקוחות לפי סוכן - מקור'!H329</f>
        <v/>
      </c>
      <c r="H361" s="95">
        <f>'לקוחות לפי סוכן - מקור'!I329</f>
        <v/>
      </c>
      <c r="I361" s="127">
        <f>'לקוחות לפי סוכן - מקור'!K329</f>
        <v/>
      </c>
    </row>
    <row r="362" outlineLevel="2" ht="15" customHeight="1" s="82">
      <c r="A362" s="94">
        <f>'לקוחות לפי סוכן - מקור'!A330</f>
        <v/>
      </c>
      <c r="B362" s="94">
        <f>'לקוחות לפי סוכן - מקור'!C330</f>
        <v/>
      </c>
      <c r="C362" s="94">
        <f>'לקוחות לפי סוכן - מקור'!E330</f>
        <v/>
      </c>
      <c r="D362" s="102">
        <f>'לקוחות לפי סוכן - מקור'!F330</f>
        <v/>
      </c>
      <c r="E362" s="102">
        <f>'לקוחות לפי סוכן - מקור'!G330</f>
        <v/>
      </c>
      <c r="F362" s="94">
        <f>'לקוחות לפי סוכן - מקור'!D330</f>
        <v/>
      </c>
      <c r="G362" s="95">
        <f>'לקוחות לפי סוכן - מקור'!H330</f>
        <v/>
      </c>
      <c r="H362" s="95">
        <f>'לקוחות לפי סוכן - מקור'!I330</f>
        <v/>
      </c>
      <c r="I362" s="127">
        <f>'לקוחות לפי סוכן - מקור'!K330</f>
        <v/>
      </c>
    </row>
    <row r="363" outlineLevel="2" ht="15" customHeight="1" s="82">
      <c r="A363" s="94">
        <f>'לקוחות לפי סוכן - מקור'!A331</f>
        <v/>
      </c>
      <c r="B363" s="94">
        <f>'לקוחות לפי סוכן - מקור'!C331</f>
        <v/>
      </c>
      <c r="C363" s="94">
        <f>'לקוחות לפי סוכן - מקור'!E331</f>
        <v/>
      </c>
      <c r="D363" s="102">
        <f>'לקוחות לפי סוכן - מקור'!F331</f>
        <v/>
      </c>
      <c r="E363" s="102">
        <f>'לקוחות לפי סוכן - מקור'!G331</f>
        <v/>
      </c>
      <c r="F363" s="94">
        <f>'לקוחות לפי סוכן - מקור'!D331</f>
        <v/>
      </c>
      <c r="G363" s="95">
        <f>'לקוחות לפי סוכן - מקור'!H331</f>
        <v/>
      </c>
      <c r="H363" s="95">
        <f>'לקוחות לפי סוכן - מקור'!I331</f>
        <v/>
      </c>
      <c r="I363" s="127">
        <f>'לקוחות לפי סוכן - מקור'!K331</f>
        <v/>
      </c>
    </row>
    <row r="364" outlineLevel="2" ht="15" customHeight="1" s="82">
      <c r="A364" s="94">
        <f>'לקוחות לפי סוכן - מקור'!A332</f>
        <v/>
      </c>
      <c r="B364" s="94">
        <f>'לקוחות לפי סוכן - מקור'!C332</f>
        <v/>
      </c>
      <c r="C364" s="94">
        <f>'לקוחות לפי סוכן - מקור'!E332</f>
        <v/>
      </c>
      <c r="D364" s="102">
        <f>'לקוחות לפי סוכן - מקור'!F332</f>
        <v/>
      </c>
      <c r="E364" s="102">
        <f>'לקוחות לפי סוכן - מקור'!G332</f>
        <v/>
      </c>
      <c r="F364" s="94">
        <f>'לקוחות לפי סוכן - מקור'!D332</f>
        <v/>
      </c>
      <c r="G364" s="95">
        <f>'לקוחות לפי סוכן - מקור'!H332</f>
        <v/>
      </c>
      <c r="H364" s="95">
        <f>'לקוחות לפי סוכן - מקור'!I332</f>
        <v/>
      </c>
      <c r="I364" s="127">
        <f>'לקוחות לפי סוכן - מקור'!K332</f>
        <v/>
      </c>
    </row>
    <row r="365" outlineLevel="2" ht="15" customHeight="1" s="82">
      <c r="A365" s="94">
        <f>'לקוחות לפי סוכן - מקור'!A333</f>
        <v/>
      </c>
      <c r="B365" s="94">
        <f>'לקוחות לפי סוכן - מקור'!C333</f>
        <v/>
      </c>
      <c r="C365" s="94">
        <f>'לקוחות לפי סוכן - מקור'!E333</f>
        <v/>
      </c>
      <c r="D365" s="102">
        <f>'לקוחות לפי סוכן - מקור'!F333</f>
        <v/>
      </c>
      <c r="E365" s="102">
        <f>'לקוחות לפי סוכן - מקור'!G333</f>
        <v/>
      </c>
      <c r="F365" s="94">
        <f>'לקוחות לפי סוכן - מקור'!D333</f>
        <v/>
      </c>
      <c r="G365" s="95">
        <f>'לקוחות לפי סוכן - מקור'!H333</f>
        <v/>
      </c>
      <c r="H365" s="95">
        <f>'לקוחות לפי סוכן - מקור'!I333</f>
        <v/>
      </c>
      <c r="I365" s="127">
        <f>'לקוחות לפי סוכן - מקור'!K333</f>
        <v/>
      </c>
    </row>
    <row r="366" outlineLevel="2" ht="15" customHeight="1" s="82">
      <c r="A366" s="94">
        <f>'לקוחות לפי סוכן - מקור'!A334</f>
        <v/>
      </c>
      <c r="B366" s="94">
        <f>'לקוחות לפי סוכן - מקור'!C334</f>
        <v/>
      </c>
      <c r="C366" s="94">
        <f>'לקוחות לפי סוכן - מקור'!E334</f>
        <v/>
      </c>
      <c r="D366" s="102">
        <f>'לקוחות לפי סוכן - מקור'!F334</f>
        <v/>
      </c>
      <c r="E366" s="102">
        <f>'לקוחות לפי סוכן - מקור'!G334</f>
        <v/>
      </c>
      <c r="F366" s="94">
        <f>'לקוחות לפי סוכן - מקור'!D334</f>
        <v/>
      </c>
      <c r="G366" s="95">
        <f>'לקוחות לפי סוכן - מקור'!H334</f>
        <v/>
      </c>
      <c r="H366" s="95">
        <f>'לקוחות לפי סוכן - מקור'!I334</f>
        <v/>
      </c>
      <c r="I366" s="127">
        <f>'לקוחות לפי סוכן - מקור'!K334</f>
        <v/>
      </c>
    </row>
    <row r="367" outlineLevel="2" ht="15" customHeight="1" s="82">
      <c r="A367" s="94">
        <f>'לקוחות לפי סוכן - מקור'!A335</f>
        <v/>
      </c>
      <c r="B367" s="94">
        <f>'לקוחות לפי סוכן - מקור'!C335</f>
        <v/>
      </c>
      <c r="C367" s="94">
        <f>'לקוחות לפי סוכן - מקור'!E335</f>
        <v/>
      </c>
      <c r="D367" s="102">
        <f>'לקוחות לפי סוכן - מקור'!F335</f>
        <v/>
      </c>
      <c r="E367" s="102">
        <f>'לקוחות לפי סוכן - מקור'!G335</f>
        <v/>
      </c>
      <c r="F367" s="94">
        <f>'לקוחות לפי סוכן - מקור'!D335</f>
        <v/>
      </c>
      <c r="G367" s="95">
        <f>'לקוחות לפי סוכן - מקור'!H335</f>
        <v/>
      </c>
      <c r="H367" s="95">
        <f>'לקוחות לפי סוכן - מקור'!I335</f>
        <v/>
      </c>
      <c r="I367" s="127">
        <f>'לקוחות לפי סוכן - מקור'!K335</f>
        <v/>
      </c>
    </row>
    <row r="368" outlineLevel="2" ht="15" customHeight="1" s="82">
      <c r="A368" s="94">
        <f>'לקוחות לפי סוכן - מקור'!A336</f>
        <v/>
      </c>
      <c r="B368" s="94">
        <f>'לקוחות לפי סוכן - מקור'!C336</f>
        <v/>
      </c>
      <c r="C368" s="94">
        <f>'לקוחות לפי סוכן - מקור'!E336</f>
        <v/>
      </c>
      <c r="D368" s="102">
        <f>'לקוחות לפי סוכן - מקור'!F336</f>
        <v/>
      </c>
      <c r="E368" s="102">
        <f>'לקוחות לפי סוכן - מקור'!G336</f>
        <v/>
      </c>
      <c r="F368" s="94">
        <f>'לקוחות לפי סוכן - מקור'!D336</f>
        <v/>
      </c>
      <c r="G368" s="95">
        <f>'לקוחות לפי סוכן - מקור'!H336</f>
        <v/>
      </c>
      <c r="H368" s="95">
        <f>'לקוחות לפי סוכן - מקור'!I336</f>
        <v/>
      </c>
      <c r="I368" s="127">
        <f>'לקוחות לפי סוכן - מקור'!K336</f>
        <v/>
      </c>
    </row>
    <row r="369" outlineLevel="2" ht="15" customHeight="1" s="82">
      <c r="A369" s="94">
        <f>'לקוחות לפי סוכן - מקור'!A337</f>
        <v/>
      </c>
      <c r="B369" s="94">
        <f>'לקוחות לפי סוכן - מקור'!C337</f>
        <v/>
      </c>
      <c r="C369" s="94">
        <f>'לקוחות לפי סוכן - מקור'!E337</f>
        <v/>
      </c>
      <c r="D369" s="102">
        <f>'לקוחות לפי סוכן - מקור'!F337</f>
        <v/>
      </c>
      <c r="E369" s="102">
        <f>'לקוחות לפי סוכן - מקור'!G337</f>
        <v/>
      </c>
      <c r="F369" s="94">
        <f>'לקוחות לפי סוכן - מקור'!D337</f>
        <v/>
      </c>
      <c r="G369" s="95">
        <f>'לקוחות לפי סוכן - מקור'!H337</f>
        <v/>
      </c>
      <c r="H369" s="95">
        <f>'לקוחות לפי סוכן - מקור'!I337</f>
        <v/>
      </c>
      <c r="I369" s="127">
        <f>'לקוחות לפי סוכן - מקור'!K337</f>
        <v/>
      </c>
    </row>
    <row r="370" outlineLevel="2" ht="15" customHeight="1" s="82">
      <c r="A370" s="94">
        <f>'לקוחות לפי סוכן - מקור'!A338</f>
        <v/>
      </c>
      <c r="B370" s="94">
        <f>'לקוחות לפי סוכן - מקור'!C338</f>
        <v/>
      </c>
      <c r="C370" s="94">
        <f>'לקוחות לפי סוכן - מקור'!E338</f>
        <v/>
      </c>
      <c r="D370" s="102">
        <f>'לקוחות לפי סוכן - מקור'!F338</f>
        <v/>
      </c>
      <c r="E370" s="102">
        <f>'לקוחות לפי סוכן - מקור'!G338</f>
        <v/>
      </c>
      <c r="F370" s="94">
        <f>'לקוחות לפי סוכן - מקור'!D338</f>
        <v/>
      </c>
      <c r="G370" s="95">
        <f>'לקוחות לפי סוכן - מקור'!H338</f>
        <v/>
      </c>
      <c r="H370" s="95">
        <f>'לקוחות לפי סוכן - מקור'!I338</f>
        <v/>
      </c>
      <c r="I370" s="127">
        <f>'לקוחות לפי סוכן - מקור'!K338</f>
        <v/>
      </c>
    </row>
    <row r="371" outlineLevel="1" ht="15" customHeight="1" s="82">
      <c r="A371" s="128" t="inlineStr">
        <is>
          <t>סטניסלב נסאר</t>
        </is>
      </c>
      <c r="B371" s="129" t="inlineStr">
        <is>
          <t>שופרסל BE</t>
        </is>
      </c>
      <c r="C371" s="130" t="n"/>
      <c r="D371" s="131">
        <f>SUMIFS('לקוחות לפי סוכן - מקור'!$F$2:$F$867,'לקוחות לפי סוכן - מקור'!$A$2:$A$867,$A371,'לקוחות לפי סוכן - מקור'!$C$2:$C$867,$B371)</f>
        <v/>
      </c>
      <c r="E371" s="131">
        <f>SUMIFS('לקוחות לפי סוכן - מקור'!$G$2:$G$867,'לקוחות לפי סוכן - מקור'!$A$2:$A$867,$A371,'לקוחות לפי סוכן - מקור'!$C$2:$C$867,$B371)</f>
        <v/>
      </c>
      <c r="F371" s="130" t="n"/>
      <c r="G371" s="132">
        <f>SUMIFS('לקוחות לפי סוכן - מקור'!$H$2:$H$867,'לקוחות לפי סוכן - מקור'!$A$2:$A$867,$A371,'לקוחות לפי סוכן - מקור'!$C$2:$C$867,$B371)</f>
        <v/>
      </c>
      <c r="H371" s="132">
        <f>SUMIFS('לקוחות לפי סוכן - מקור'!$I$2:$I$867,'לקוחות לפי סוכן - מקור'!$A$2:$A$867,$A371,'לקוחות לפי סוכן - מקור'!$C$2:$C$867,$B371)</f>
        <v/>
      </c>
      <c r="I371" s="130" t="n"/>
      <c r="J371" s="132">
        <f>COUNTIFS('לקוחות לפי סוכן - מקור'!$A$2:$A$867,$A371,'לקוחות לפי סוכן - מקור'!$C$2:$C$867,$B371)</f>
        <v/>
      </c>
    </row>
    <row r="372" outlineLevel="2" ht="15" customHeight="1" s="82">
      <c r="A372" s="94">
        <f>'לקוחות לפי סוכן - מקור'!A339</f>
        <v/>
      </c>
      <c r="B372" s="94">
        <f>'לקוחות לפי סוכן - מקור'!C339</f>
        <v/>
      </c>
      <c r="C372" s="94">
        <f>'לקוחות לפי סוכן - מקור'!E339</f>
        <v/>
      </c>
      <c r="D372" s="102">
        <f>'לקוחות לפי סוכן - מקור'!F339</f>
        <v/>
      </c>
      <c r="E372" s="102">
        <f>'לקוחות לפי סוכן - מקור'!G339</f>
        <v/>
      </c>
      <c r="F372" s="94">
        <f>'לקוחות לפי סוכן - מקור'!D339</f>
        <v/>
      </c>
      <c r="G372" s="95">
        <f>'לקוחות לפי סוכן - מקור'!H339</f>
        <v/>
      </c>
      <c r="H372" s="95">
        <f>'לקוחות לפי סוכן - מקור'!I339</f>
        <v/>
      </c>
      <c r="I372" s="127">
        <f>'לקוחות לפי סוכן - מקור'!K339</f>
        <v/>
      </c>
    </row>
    <row r="373" outlineLevel="2" ht="15" customHeight="1" s="82">
      <c r="A373" s="94">
        <f>'לקוחות לפי סוכן - מקור'!A340</f>
        <v/>
      </c>
      <c r="B373" s="94">
        <f>'לקוחות לפי סוכן - מקור'!C340</f>
        <v/>
      </c>
      <c r="C373" s="94">
        <f>'לקוחות לפי סוכן - מקור'!E340</f>
        <v/>
      </c>
      <c r="D373" s="102">
        <f>'לקוחות לפי סוכן - מקור'!F340</f>
        <v/>
      </c>
      <c r="E373" s="102">
        <f>'לקוחות לפי סוכן - מקור'!G340</f>
        <v/>
      </c>
      <c r="F373" s="94">
        <f>'לקוחות לפי סוכן - מקור'!D340</f>
        <v/>
      </c>
      <c r="G373" s="95">
        <f>'לקוחות לפי סוכן - מקור'!H340</f>
        <v/>
      </c>
      <c r="H373" s="95">
        <f>'לקוחות לפי סוכן - מקור'!I340</f>
        <v/>
      </c>
      <c r="I373" s="127">
        <f>'לקוחות לפי סוכן - מקור'!K340</f>
        <v/>
      </c>
    </row>
    <row r="374" outlineLevel="2" ht="15" customHeight="1" s="82">
      <c r="A374" s="94">
        <f>'לקוחות לפי סוכן - מקור'!A341</f>
        <v/>
      </c>
      <c r="B374" s="94">
        <f>'לקוחות לפי סוכן - מקור'!C341</f>
        <v/>
      </c>
      <c r="C374" s="94">
        <f>'לקוחות לפי סוכן - מקור'!E341</f>
        <v/>
      </c>
      <c r="D374" s="102">
        <f>'לקוחות לפי סוכן - מקור'!F341</f>
        <v/>
      </c>
      <c r="E374" s="102">
        <f>'לקוחות לפי סוכן - מקור'!G341</f>
        <v/>
      </c>
      <c r="F374" s="94">
        <f>'לקוחות לפי סוכן - מקור'!D341</f>
        <v/>
      </c>
      <c r="G374" s="95">
        <f>'לקוחות לפי סוכן - מקור'!H341</f>
        <v/>
      </c>
      <c r="H374" s="95">
        <f>'לקוחות לפי סוכן - מקור'!I341</f>
        <v/>
      </c>
      <c r="I374" s="127">
        <f>'לקוחות לפי סוכן - מקור'!K341</f>
        <v/>
      </c>
    </row>
    <row r="375" outlineLevel="2" ht="15" customHeight="1" s="82">
      <c r="A375" s="94">
        <f>'לקוחות לפי סוכן - מקור'!A342</f>
        <v/>
      </c>
      <c r="B375" s="94">
        <f>'לקוחות לפי סוכן - מקור'!C342</f>
        <v/>
      </c>
      <c r="C375" s="94">
        <f>'לקוחות לפי סוכן - מקור'!E342</f>
        <v/>
      </c>
      <c r="D375" s="102">
        <f>'לקוחות לפי סוכן - מקור'!F342</f>
        <v/>
      </c>
      <c r="E375" s="102">
        <f>'לקוחות לפי סוכן - מקור'!G342</f>
        <v/>
      </c>
      <c r="F375" s="94">
        <f>'לקוחות לפי סוכן - מקור'!D342</f>
        <v/>
      </c>
      <c r="G375" s="95">
        <f>'לקוחות לפי סוכן - מקור'!H342</f>
        <v/>
      </c>
      <c r="H375" s="95">
        <f>'לקוחות לפי סוכן - מקור'!I342</f>
        <v/>
      </c>
      <c r="I375" s="127">
        <f>'לקוחות לפי סוכן - מקור'!K342</f>
        <v/>
      </c>
    </row>
    <row r="376" outlineLevel="2" ht="15" customHeight="1" s="82">
      <c r="A376" s="94">
        <f>'לקוחות לפי סוכן - מקור'!A343</f>
        <v/>
      </c>
      <c r="B376" s="94">
        <f>'לקוחות לפי סוכן - מקור'!C343</f>
        <v/>
      </c>
      <c r="C376" s="94">
        <f>'לקוחות לפי סוכן - מקור'!E343</f>
        <v/>
      </c>
      <c r="D376" s="102">
        <f>'לקוחות לפי סוכן - מקור'!F343</f>
        <v/>
      </c>
      <c r="E376" s="102">
        <f>'לקוחות לפי סוכן - מקור'!G343</f>
        <v/>
      </c>
      <c r="F376" s="94">
        <f>'לקוחות לפי סוכן - מקור'!D343</f>
        <v/>
      </c>
      <c r="G376" s="95">
        <f>'לקוחות לפי סוכן - מקור'!H343</f>
        <v/>
      </c>
      <c r="H376" s="95">
        <f>'לקוחות לפי סוכן - מקור'!I343</f>
        <v/>
      </c>
      <c r="I376" s="127">
        <f>'לקוחות לפי סוכן - מקור'!K343</f>
        <v/>
      </c>
    </row>
    <row r="377" outlineLevel="2" ht="15" customHeight="1" s="82">
      <c r="A377" s="94">
        <f>'לקוחות לפי סוכן - מקור'!A344</f>
        <v/>
      </c>
      <c r="B377" s="94">
        <f>'לקוחות לפי סוכן - מקור'!C344</f>
        <v/>
      </c>
      <c r="C377" s="94">
        <f>'לקוחות לפי סוכן - מקור'!E344</f>
        <v/>
      </c>
      <c r="D377" s="102">
        <f>'לקוחות לפי סוכן - מקור'!F344</f>
        <v/>
      </c>
      <c r="E377" s="102">
        <f>'לקוחות לפי סוכן - מקור'!G344</f>
        <v/>
      </c>
      <c r="F377" s="94">
        <f>'לקוחות לפי סוכן - מקור'!D344</f>
        <v/>
      </c>
      <c r="G377" s="95">
        <f>'לקוחות לפי סוכן - מקור'!H344</f>
        <v/>
      </c>
      <c r="H377" s="95">
        <f>'לקוחות לפי סוכן - מקור'!I344</f>
        <v/>
      </c>
      <c r="I377" s="127">
        <f>'לקוחות לפי סוכן - מקור'!K344</f>
        <v/>
      </c>
    </row>
    <row r="378" outlineLevel="2" ht="15" customHeight="1" s="82">
      <c r="A378" s="94">
        <f>'לקוחות לפי סוכן - מקור'!A345</f>
        <v/>
      </c>
      <c r="B378" s="94">
        <f>'לקוחות לפי סוכן - מקור'!C345</f>
        <v/>
      </c>
      <c r="C378" s="94">
        <f>'לקוחות לפי סוכן - מקור'!E345</f>
        <v/>
      </c>
      <c r="D378" s="102">
        <f>'לקוחות לפי סוכן - מקור'!F345</f>
        <v/>
      </c>
      <c r="E378" s="102">
        <f>'לקוחות לפי סוכן - מקור'!G345</f>
        <v/>
      </c>
      <c r="F378" s="94">
        <f>'לקוחות לפי סוכן - מקור'!D345</f>
        <v/>
      </c>
      <c r="G378" s="95">
        <f>'לקוחות לפי סוכן - מקור'!H345</f>
        <v/>
      </c>
      <c r="H378" s="95">
        <f>'לקוחות לפי סוכן - מקור'!I345</f>
        <v/>
      </c>
      <c r="I378" s="127">
        <f>'לקוחות לפי סוכן - מקור'!K345</f>
        <v/>
      </c>
    </row>
    <row r="379" outlineLevel="2" ht="15" customHeight="1" s="82">
      <c r="A379" s="94">
        <f>'לקוחות לפי סוכן - מקור'!A346</f>
        <v/>
      </c>
      <c r="B379" s="94">
        <f>'לקוחות לפי סוכן - מקור'!C346</f>
        <v/>
      </c>
      <c r="C379" s="94">
        <f>'לקוחות לפי סוכן - מקור'!E346</f>
        <v/>
      </c>
      <c r="D379" s="102">
        <f>'לקוחות לפי סוכן - מקור'!F346</f>
        <v/>
      </c>
      <c r="E379" s="102">
        <f>'לקוחות לפי סוכן - מקור'!G346</f>
        <v/>
      </c>
      <c r="F379" s="94">
        <f>'לקוחות לפי סוכן - מקור'!D346</f>
        <v/>
      </c>
      <c r="G379" s="95">
        <f>'לקוחות לפי סוכן - מקור'!H346</f>
        <v/>
      </c>
      <c r="H379" s="95">
        <f>'לקוחות לפי סוכן - מקור'!I346</f>
        <v/>
      </c>
      <c r="I379" s="127">
        <f>'לקוחות לפי סוכן - מקור'!K346</f>
        <v/>
      </c>
    </row>
    <row r="380" outlineLevel="2" ht="15" customHeight="1" s="82">
      <c r="A380" s="94">
        <f>'לקוחות לפי סוכן - מקור'!A347</f>
        <v/>
      </c>
      <c r="B380" s="94">
        <f>'לקוחות לפי סוכן - מקור'!C347</f>
        <v/>
      </c>
      <c r="C380" s="94">
        <f>'לקוחות לפי סוכן - מקור'!E347</f>
        <v/>
      </c>
      <c r="D380" s="102">
        <f>'לקוחות לפי סוכן - מקור'!F347</f>
        <v/>
      </c>
      <c r="E380" s="102">
        <f>'לקוחות לפי סוכן - מקור'!G347</f>
        <v/>
      </c>
      <c r="F380" s="94">
        <f>'לקוחות לפי סוכן - מקור'!D347</f>
        <v/>
      </c>
      <c r="G380" s="95">
        <f>'לקוחות לפי סוכן - מקור'!H347</f>
        <v/>
      </c>
      <c r="H380" s="95">
        <f>'לקוחות לפי סוכן - מקור'!I347</f>
        <v/>
      </c>
      <c r="I380" s="127">
        <f>'לקוחות לפי סוכן - מקור'!K347</f>
        <v/>
      </c>
    </row>
    <row r="381" outlineLevel="2" ht="15" customHeight="1" s="82">
      <c r="A381" s="94">
        <f>'לקוחות לפי סוכן - מקור'!A348</f>
        <v/>
      </c>
      <c r="B381" s="94">
        <f>'לקוחות לפי סוכן - מקור'!C348</f>
        <v/>
      </c>
      <c r="C381" s="94">
        <f>'לקוחות לפי סוכן - מקור'!E348</f>
        <v/>
      </c>
      <c r="D381" s="102">
        <f>'לקוחות לפי סוכן - מקור'!F348</f>
        <v/>
      </c>
      <c r="E381" s="102">
        <f>'לקוחות לפי סוכן - מקור'!G348</f>
        <v/>
      </c>
      <c r="F381" s="94">
        <f>'לקוחות לפי סוכן - מקור'!D348</f>
        <v/>
      </c>
      <c r="G381" s="95">
        <f>'לקוחות לפי סוכן - מקור'!H348</f>
        <v/>
      </c>
      <c r="H381" s="95">
        <f>'לקוחות לפי סוכן - מקור'!I348</f>
        <v/>
      </c>
      <c r="I381" s="127">
        <f>'לקוחות לפי סוכן - מקור'!K348</f>
        <v/>
      </c>
    </row>
    <row r="382" outlineLevel="2" ht="15" customHeight="1" s="82">
      <c r="A382" s="94">
        <f>'לקוחות לפי סוכן - מקור'!A349</f>
        <v/>
      </c>
      <c r="B382" s="94">
        <f>'לקוחות לפי סוכן - מקור'!C349</f>
        <v/>
      </c>
      <c r="C382" s="94">
        <f>'לקוחות לפי סוכן - מקור'!E349</f>
        <v/>
      </c>
      <c r="D382" s="102">
        <f>'לקוחות לפי סוכן - מקור'!F349</f>
        <v/>
      </c>
      <c r="E382" s="102">
        <f>'לקוחות לפי סוכן - מקור'!G349</f>
        <v/>
      </c>
      <c r="F382" s="94">
        <f>'לקוחות לפי סוכן - מקור'!D349</f>
        <v/>
      </c>
      <c r="G382" s="95">
        <f>'לקוחות לפי סוכן - מקור'!H349</f>
        <v/>
      </c>
      <c r="H382" s="95">
        <f>'לקוחות לפי סוכן - מקור'!I349</f>
        <v/>
      </c>
      <c r="I382" s="127">
        <f>'לקוחות לפי סוכן - מקור'!K349</f>
        <v/>
      </c>
    </row>
    <row r="383" outlineLevel="2" ht="15" customHeight="1" s="82">
      <c r="A383" s="94">
        <f>'לקוחות לפי סוכן - מקור'!A350</f>
        <v/>
      </c>
      <c r="B383" s="94">
        <f>'לקוחות לפי סוכן - מקור'!C350</f>
        <v/>
      </c>
      <c r="C383" s="94">
        <f>'לקוחות לפי סוכן - מקור'!E350</f>
        <v/>
      </c>
      <c r="D383" s="102">
        <f>'לקוחות לפי סוכן - מקור'!F350</f>
        <v/>
      </c>
      <c r="E383" s="102">
        <f>'לקוחות לפי סוכן - מקור'!G350</f>
        <v/>
      </c>
      <c r="F383" s="94">
        <f>'לקוחות לפי סוכן - מקור'!D350</f>
        <v/>
      </c>
      <c r="G383" s="95">
        <f>'לקוחות לפי סוכן - מקור'!H350</f>
        <v/>
      </c>
      <c r="H383" s="95">
        <f>'לקוחות לפי סוכן - מקור'!I350</f>
        <v/>
      </c>
      <c r="I383" s="127">
        <f>'לקוחות לפי סוכן - מקור'!K350</f>
        <v/>
      </c>
    </row>
    <row r="384" outlineLevel="2" ht="15" customHeight="1" s="82">
      <c r="A384" s="94">
        <f>'לקוחות לפי סוכן - מקור'!A351</f>
        <v/>
      </c>
      <c r="B384" s="94">
        <f>'לקוחות לפי סוכן - מקור'!C351</f>
        <v/>
      </c>
      <c r="C384" s="94">
        <f>'לקוחות לפי סוכן - מקור'!E351</f>
        <v/>
      </c>
      <c r="D384" s="102">
        <f>'לקוחות לפי סוכן - מקור'!F351</f>
        <v/>
      </c>
      <c r="E384" s="102">
        <f>'לקוחות לפי סוכן - מקור'!G351</f>
        <v/>
      </c>
      <c r="F384" s="94">
        <f>'לקוחות לפי סוכן - מקור'!D351</f>
        <v/>
      </c>
      <c r="G384" s="95">
        <f>'לקוחות לפי סוכן - מקור'!H351</f>
        <v/>
      </c>
      <c r="H384" s="95">
        <f>'לקוחות לפי סוכן - מקור'!I351</f>
        <v/>
      </c>
      <c r="I384" s="127">
        <f>'לקוחות לפי סוכן - מקור'!K351</f>
        <v/>
      </c>
    </row>
    <row r="385" outlineLevel="2" ht="15" customHeight="1" s="82">
      <c r="A385" s="94">
        <f>'לקוחות לפי סוכן - מקור'!A352</f>
        <v/>
      </c>
      <c r="B385" s="94">
        <f>'לקוחות לפי סוכן - מקור'!C352</f>
        <v/>
      </c>
      <c r="C385" s="94">
        <f>'לקוחות לפי סוכן - מקור'!E352</f>
        <v/>
      </c>
      <c r="D385" s="102">
        <f>'לקוחות לפי סוכן - מקור'!F352</f>
        <v/>
      </c>
      <c r="E385" s="102">
        <f>'לקוחות לפי סוכן - מקור'!G352</f>
        <v/>
      </c>
      <c r="F385" s="94">
        <f>'לקוחות לפי סוכן - מקור'!D352</f>
        <v/>
      </c>
      <c r="G385" s="95">
        <f>'לקוחות לפי סוכן - מקור'!H352</f>
        <v/>
      </c>
      <c r="H385" s="95">
        <f>'לקוחות לפי סוכן - מקור'!I352</f>
        <v/>
      </c>
      <c r="I385" s="127">
        <f>'לקוחות לפי סוכן - מקור'!K352</f>
        <v/>
      </c>
    </row>
    <row r="386" outlineLevel="2" ht="15" customHeight="1" s="82">
      <c r="A386" s="94">
        <f>'לקוחות לפי סוכן - מקור'!A353</f>
        <v/>
      </c>
      <c r="B386" s="94">
        <f>'לקוחות לפי סוכן - מקור'!C353</f>
        <v/>
      </c>
      <c r="C386" s="94">
        <f>'לקוחות לפי סוכן - מקור'!E353</f>
        <v/>
      </c>
      <c r="D386" s="102">
        <f>'לקוחות לפי סוכן - מקור'!F353</f>
        <v/>
      </c>
      <c r="E386" s="102">
        <f>'לקוחות לפי סוכן - מקור'!G353</f>
        <v/>
      </c>
      <c r="F386" s="94">
        <f>'לקוחות לפי סוכן - מקור'!D353</f>
        <v/>
      </c>
      <c r="G386" s="95">
        <f>'לקוחות לפי סוכן - מקור'!H353</f>
        <v/>
      </c>
      <c r="H386" s="95">
        <f>'לקוחות לפי סוכן - מקור'!I353</f>
        <v/>
      </c>
      <c r="I386" s="127">
        <f>'לקוחות לפי סוכן - מקור'!K353</f>
        <v/>
      </c>
    </row>
    <row r="387" outlineLevel="2" ht="15" customHeight="1" s="82">
      <c r="A387" s="94">
        <f>'לקוחות לפי סוכן - מקור'!A354</f>
        <v/>
      </c>
      <c r="B387" s="94">
        <f>'לקוחות לפי סוכן - מקור'!C354</f>
        <v/>
      </c>
      <c r="C387" s="94">
        <f>'לקוחות לפי סוכן - מקור'!E354</f>
        <v/>
      </c>
      <c r="D387" s="102">
        <f>'לקוחות לפי סוכן - מקור'!F354</f>
        <v/>
      </c>
      <c r="E387" s="102">
        <f>'לקוחות לפי סוכן - מקור'!G354</f>
        <v/>
      </c>
      <c r="F387" s="94">
        <f>'לקוחות לפי סוכן - מקור'!D354</f>
        <v/>
      </c>
      <c r="G387" s="95">
        <f>'לקוחות לפי סוכן - מקור'!H354</f>
        <v/>
      </c>
      <c r="H387" s="95">
        <f>'לקוחות לפי סוכן - מקור'!I354</f>
        <v/>
      </c>
      <c r="I387" s="127">
        <f>'לקוחות לפי סוכן - מקור'!K354</f>
        <v/>
      </c>
    </row>
    <row r="388" outlineLevel="2" ht="15" customHeight="1" s="82">
      <c r="A388" s="94">
        <f>'לקוחות לפי סוכן - מקור'!A355</f>
        <v/>
      </c>
      <c r="B388" s="94">
        <f>'לקוחות לפי סוכן - מקור'!C355</f>
        <v/>
      </c>
      <c r="C388" s="94">
        <f>'לקוחות לפי סוכן - מקור'!E355</f>
        <v/>
      </c>
      <c r="D388" s="102">
        <f>'לקוחות לפי סוכן - מקור'!F355</f>
        <v/>
      </c>
      <c r="E388" s="102">
        <f>'לקוחות לפי סוכן - מקור'!G355</f>
        <v/>
      </c>
      <c r="F388" s="94">
        <f>'לקוחות לפי סוכן - מקור'!D355</f>
        <v/>
      </c>
      <c r="G388" s="95">
        <f>'לקוחות לפי סוכן - מקור'!H355</f>
        <v/>
      </c>
      <c r="H388" s="95">
        <f>'לקוחות לפי סוכן - מקור'!I355</f>
        <v/>
      </c>
      <c r="I388" s="127">
        <f>'לקוחות לפי סוכן - מקור'!K355</f>
        <v/>
      </c>
    </row>
    <row r="389" outlineLevel="2" ht="15" customHeight="1" s="82">
      <c r="A389" s="94">
        <f>'לקוחות לפי סוכן - מקור'!A356</f>
        <v/>
      </c>
      <c r="B389" s="94">
        <f>'לקוחות לפי סוכן - מקור'!C356</f>
        <v/>
      </c>
      <c r="C389" s="94">
        <f>'לקוחות לפי סוכן - מקור'!E356</f>
        <v/>
      </c>
      <c r="D389" s="102">
        <f>'לקוחות לפי סוכן - מקור'!F356</f>
        <v/>
      </c>
      <c r="E389" s="102">
        <f>'לקוחות לפי סוכן - מקור'!G356</f>
        <v/>
      </c>
      <c r="F389" s="94">
        <f>'לקוחות לפי סוכן - מקור'!D356</f>
        <v/>
      </c>
      <c r="G389" s="95">
        <f>'לקוחות לפי סוכן - מקור'!H356</f>
        <v/>
      </c>
      <c r="H389" s="95">
        <f>'לקוחות לפי סוכן - מקור'!I356</f>
        <v/>
      </c>
      <c r="I389" s="127">
        <f>'לקוחות לפי סוכן - מקור'!K356</f>
        <v/>
      </c>
    </row>
    <row r="390" outlineLevel="2" ht="15" customHeight="1" s="82">
      <c r="A390" s="94">
        <f>'לקוחות לפי סוכן - מקור'!A357</f>
        <v/>
      </c>
      <c r="B390" s="94">
        <f>'לקוחות לפי סוכן - מקור'!C357</f>
        <v/>
      </c>
      <c r="C390" s="94">
        <f>'לקוחות לפי סוכן - מקור'!E357</f>
        <v/>
      </c>
      <c r="D390" s="102">
        <f>'לקוחות לפי סוכן - מקור'!F357</f>
        <v/>
      </c>
      <c r="E390" s="102">
        <f>'לקוחות לפי סוכן - מקור'!G357</f>
        <v/>
      </c>
      <c r="F390" s="94">
        <f>'לקוחות לפי סוכן - מקור'!D357</f>
        <v/>
      </c>
      <c r="G390" s="95">
        <f>'לקוחות לפי סוכן - מקור'!H357</f>
        <v/>
      </c>
      <c r="H390" s="95">
        <f>'לקוחות לפי סוכן - מקור'!I357</f>
        <v/>
      </c>
      <c r="I390" s="127">
        <f>'לקוחות לפי סוכן - מקור'!K357</f>
        <v/>
      </c>
    </row>
    <row r="391" outlineLevel="2" ht="15" customHeight="1" s="82">
      <c r="A391" s="94">
        <f>'לקוחות לפי סוכן - מקור'!A358</f>
        <v/>
      </c>
      <c r="B391" s="94">
        <f>'לקוחות לפי סוכן - מקור'!C358</f>
        <v/>
      </c>
      <c r="C391" s="94">
        <f>'לקוחות לפי סוכן - מקור'!E358</f>
        <v/>
      </c>
      <c r="D391" s="102">
        <f>'לקוחות לפי סוכן - מקור'!F358</f>
        <v/>
      </c>
      <c r="E391" s="102">
        <f>'לקוחות לפי סוכן - מקור'!G358</f>
        <v/>
      </c>
      <c r="F391" s="94">
        <f>'לקוחות לפי סוכן - מקור'!D358</f>
        <v/>
      </c>
      <c r="G391" s="95">
        <f>'לקוחות לפי סוכן - מקור'!H358</f>
        <v/>
      </c>
      <c r="H391" s="95">
        <f>'לקוחות לפי סוכן - מקור'!I358</f>
        <v/>
      </c>
      <c r="I391" s="127">
        <f>'לקוחות לפי סוכן - מקור'!K358</f>
        <v/>
      </c>
    </row>
    <row r="392" outlineLevel="2" ht="15" customHeight="1" s="82">
      <c r="A392" s="94">
        <f>'לקוחות לפי סוכן - מקור'!A359</f>
        <v/>
      </c>
      <c r="B392" s="94">
        <f>'לקוחות לפי סוכן - מקור'!C359</f>
        <v/>
      </c>
      <c r="C392" s="94">
        <f>'לקוחות לפי סוכן - מקור'!E359</f>
        <v/>
      </c>
      <c r="D392" s="102">
        <f>'לקוחות לפי סוכן - מקור'!F359</f>
        <v/>
      </c>
      <c r="E392" s="102">
        <f>'לקוחות לפי סוכן - מקור'!G359</f>
        <v/>
      </c>
      <c r="F392" s="94">
        <f>'לקוחות לפי סוכן - מקור'!D359</f>
        <v/>
      </c>
      <c r="G392" s="95">
        <f>'לקוחות לפי סוכן - מקור'!H359</f>
        <v/>
      </c>
      <c r="H392" s="95">
        <f>'לקוחות לפי סוכן - מקור'!I359</f>
        <v/>
      </c>
      <c r="I392" s="127">
        <f>'לקוחות לפי סוכן - מקור'!K359</f>
        <v/>
      </c>
    </row>
    <row r="393" outlineLevel="2" ht="15" customHeight="1" s="82">
      <c r="A393" s="94">
        <f>'לקוחות לפי סוכן - מקור'!A360</f>
        <v/>
      </c>
      <c r="B393" s="94">
        <f>'לקוחות לפי סוכן - מקור'!C360</f>
        <v/>
      </c>
      <c r="C393" s="94">
        <f>'לקוחות לפי סוכן - מקור'!E360</f>
        <v/>
      </c>
      <c r="D393" s="102">
        <f>'לקוחות לפי סוכן - מקור'!F360</f>
        <v/>
      </c>
      <c r="E393" s="102">
        <f>'לקוחות לפי סוכן - מקור'!G360</f>
        <v/>
      </c>
      <c r="F393" s="94">
        <f>'לקוחות לפי סוכן - מקור'!D360</f>
        <v/>
      </c>
      <c r="G393" s="95">
        <f>'לקוחות לפי סוכן - מקור'!H360</f>
        <v/>
      </c>
      <c r="H393" s="95">
        <f>'לקוחות לפי סוכן - מקור'!I360</f>
        <v/>
      </c>
      <c r="I393" s="127">
        <f>'לקוחות לפי סוכן - מקור'!K360</f>
        <v/>
      </c>
    </row>
    <row r="394" outlineLevel="2" ht="15" customHeight="1" s="82">
      <c r="A394" s="94">
        <f>'לקוחות לפי סוכן - מקור'!A361</f>
        <v/>
      </c>
      <c r="B394" s="94">
        <f>'לקוחות לפי סוכן - מקור'!C361</f>
        <v/>
      </c>
      <c r="C394" s="94">
        <f>'לקוחות לפי סוכן - מקור'!E361</f>
        <v/>
      </c>
      <c r="D394" s="102">
        <f>'לקוחות לפי סוכן - מקור'!F361</f>
        <v/>
      </c>
      <c r="E394" s="102">
        <f>'לקוחות לפי סוכן - מקור'!G361</f>
        <v/>
      </c>
      <c r="F394" s="94">
        <f>'לקוחות לפי סוכן - מקור'!D361</f>
        <v/>
      </c>
      <c r="G394" s="95">
        <f>'לקוחות לפי סוכן - מקור'!H361</f>
        <v/>
      </c>
      <c r="H394" s="95">
        <f>'לקוחות לפי סוכן - מקור'!I361</f>
        <v/>
      </c>
      <c r="I394" s="127">
        <f>'לקוחות לפי סוכן - מקור'!K361</f>
        <v/>
      </c>
    </row>
    <row r="395" outlineLevel="2" ht="15" customHeight="1" s="82">
      <c r="A395" s="94">
        <f>'לקוחות לפי סוכן - מקור'!A362</f>
        <v/>
      </c>
      <c r="B395" s="94">
        <f>'לקוחות לפי סוכן - מקור'!C362</f>
        <v/>
      </c>
      <c r="C395" s="94">
        <f>'לקוחות לפי סוכן - מקור'!E362</f>
        <v/>
      </c>
      <c r="D395" s="102">
        <f>'לקוחות לפי סוכן - מקור'!F362</f>
        <v/>
      </c>
      <c r="E395" s="102">
        <f>'לקוחות לפי סוכן - מקור'!G362</f>
        <v/>
      </c>
      <c r="F395" s="94">
        <f>'לקוחות לפי סוכן - מקור'!D362</f>
        <v/>
      </c>
      <c r="G395" s="95">
        <f>'לקוחות לפי סוכן - מקור'!H362</f>
        <v/>
      </c>
      <c r="H395" s="95">
        <f>'לקוחות לפי סוכן - מקור'!I362</f>
        <v/>
      </c>
      <c r="I395" s="127">
        <f>'לקוחות לפי סוכן - מקור'!K362</f>
        <v/>
      </c>
    </row>
    <row r="396" outlineLevel="2" ht="15" customHeight="1" s="82">
      <c r="A396" s="94">
        <f>'לקוחות לפי סוכן - מקור'!A363</f>
        <v/>
      </c>
      <c r="B396" s="94">
        <f>'לקוחות לפי סוכן - מקור'!C363</f>
        <v/>
      </c>
      <c r="C396" s="94">
        <f>'לקוחות לפי סוכן - מקור'!E363</f>
        <v/>
      </c>
      <c r="D396" s="102">
        <f>'לקוחות לפי סוכן - מקור'!F363</f>
        <v/>
      </c>
      <c r="E396" s="102">
        <f>'לקוחות לפי סוכן - מקור'!G363</f>
        <v/>
      </c>
      <c r="F396" s="94">
        <f>'לקוחות לפי סוכן - מקור'!D363</f>
        <v/>
      </c>
      <c r="G396" s="95">
        <f>'לקוחות לפי סוכן - מקור'!H363</f>
        <v/>
      </c>
      <c r="H396" s="95">
        <f>'לקוחות לפי סוכן - מקור'!I363</f>
        <v/>
      </c>
      <c r="I396" s="127">
        <f>'לקוחות לפי סוכן - מקור'!K363</f>
        <v/>
      </c>
    </row>
    <row r="397" outlineLevel="2" ht="15" customHeight="1" s="82">
      <c r="A397" s="94">
        <f>'לקוחות לפי סוכן - מקור'!A364</f>
        <v/>
      </c>
      <c r="B397" s="94">
        <f>'לקוחות לפי סוכן - מקור'!C364</f>
        <v/>
      </c>
      <c r="C397" s="94">
        <f>'לקוחות לפי סוכן - מקור'!E364</f>
        <v/>
      </c>
      <c r="D397" s="102">
        <f>'לקוחות לפי סוכן - מקור'!F364</f>
        <v/>
      </c>
      <c r="E397" s="102">
        <f>'לקוחות לפי סוכן - מקור'!G364</f>
        <v/>
      </c>
      <c r="F397" s="94">
        <f>'לקוחות לפי סוכן - מקור'!D364</f>
        <v/>
      </c>
      <c r="G397" s="95">
        <f>'לקוחות לפי סוכן - מקור'!H364</f>
        <v/>
      </c>
      <c r="H397" s="95">
        <f>'לקוחות לפי סוכן - מקור'!I364</f>
        <v/>
      </c>
      <c r="I397" s="127">
        <f>'לקוחות לפי סוכן - מקור'!K364</f>
        <v/>
      </c>
    </row>
    <row r="398" outlineLevel="2" ht="15" customHeight="1" s="82">
      <c r="A398" s="94">
        <f>'לקוחות לפי סוכן - מקור'!A365</f>
        <v/>
      </c>
      <c r="B398" s="94">
        <f>'לקוחות לפי סוכן - מקור'!C365</f>
        <v/>
      </c>
      <c r="C398" s="94">
        <f>'לקוחות לפי סוכן - מקור'!E365</f>
        <v/>
      </c>
      <c r="D398" s="102">
        <f>'לקוחות לפי סוכן - מקור'!F365</f>
        <v/>
      </c>
      <c r="E398" s="102">
        <f>'לקוחות לפי סוכן - מקור'!G365</f>
        <v/>
      </c>
      <c r="F398" s="94">
        <f>'לקוחות לפי סוכן - מקור'!D365</f>
        <v/>
      </c>
      <c r="G398" s="95">
        <f>'לקוחות לפי סוכן - מקור'!H365</f>
        <v/>
      </c>
      <c r="H398" s="95">
        <f>'לקוחות לפי סוכן - מקור'!I365</f>
        <v/>
      </c>
      <c r="I398" s="127">
        <f>'לקוחות לפי סוכן - מקור'!K365</f>
        <v/>
      </c>
    </row>
    <row r="399" outlineLevel="1" ht="15" customHeight="1" s="82">
      <c r="A399" s="128" t="inlineStr">
        <is>
          <t>סטניסלב נסאר</t>
        </is>
      </c>
      <c r="B399" s="129" t="inlineStr">
        <is>
          <t>0קופות חולים</t>
        </is>
      </c>
      <c r="C399" s="130" t="n"/>
      <c r="D399" s="131">
        <f>SUMIFS('לקוחות לפי סוכן - מקור'!$F$2:$F$867,'לקוחות לפי סוכן - מקור'!$A$2:$A$867,$A399,'לקוחות לפי סוכן - מקור'!$C$2:$C$867,$B399)</f>
        <v/>
      </c>
      <c r="E399" s="131">
        <f>SUMIFS('לקוחות לפי סוכן - מקור'!$G$2:$G$867,'לקוחות לפי סוכן - מקור'!$A$2:$A$867,$A399,'לקוחות לפי סוכן - מקור'!$C$2:$C$867,$B399)</f>
        <v/>
      </c>
      <c r="F399" s="130" t="n"/>
      <c r="G399" s="132">
        <f>SUMIFS('לקוחות לפי סוכן - מקור'!$H$2:$H$867,'לקוחות לפי סוכן - מקור'!$A$2:$A$867,$A399,'לקוחות לפי סוכן - מקור'!$C$2:$C$867,$B399)</f>
        <v/>
      </c>
      <c r="H399" s="132">
        <f>SUMIFS('לקוחות לפי סוכן - מקור'!$I$2:$I$867,'לקוחות לפי סוכן - מקור'!$A$2:$A$867,$A399,'לקוחות לפי סוכן - מקור'!$C$2:$C$867,$B399)</f>
        <v/>
      </c>
      <c r="I399" s="130" t="n"/>
      <c r="J399" s="132">
        <f>COUNTIFS('לקוחות לפי סוכן - מקור'!$A$2:$A$867,$A399,'לקוחות לפי סוכן - מקור'!$C$2:$C$867,$B399)</f>
        <v/>
      </c>
    </row>
    <row r="400" outlineLevel="2" ht="15" customHeight="1" s="82">
      <c r="A400" s="94">
        <f>'לקוחות לפי סוכן - מקור'!A367</f>
        <v/>
      </c>
      <c r="B400" s="94">
        <f>'לקוחות לפי סוכן - מקור'!C367</f>
        <v/>
      </c>
      <c r="C400" s="94">
        <f>'לקוחות לפי סוכן - מקור'!E367</f>
        <v/>
      </c>
      <c r="D400" s="102">
        <f>'לקוחות לפי סוכן - מקור'!F367</f>
        <v/>
      </c>
      <c r="E400" s="102">
        <f>'לקוחות לפי סוכן - מקור'!G367</f>
        <v/>
      </c>
      <c r="F400" s="94">
        <f>'לקוחות לפי סוכן - מקור'!D367</f>
        <v/>
      </c>
      <c r="G400" s="95">
        <f>'לקוחות לפי סוכן - מקור'!H367</f>
        <v/>
      </c>
      <c r="H400" s="95">
        <f>'לקוחות לפי סוכן - מקור'!I367</f>
        <v/>
      </c>
      <c r="I400" s="127">
        <f>'לקוחות לפי סוכן - מקור'!K367</f>
        <v/>
      </c>
    </row>
    <row r="401" outlineLevel="2" ht="15" customHeight="1" s="82">
      <c r="A401" s="94">
        <f>'לקוחות לפי סוכן - מקור'!A368</f>
        <v/>
      </c>
      <c r="B401" s="94">
        <f>'לקוחות לפי סוכן - מקור'!C368</f>
        <v/>
      </c>
      <c r="C401" s="94">
        <f>'לקוחות לפי סוכן - מקור'!E368</f>
        <v/>
      </c>
      <c r="D401" s="102">
        <f>'לקוחות לפי סוכן - מקור'!F368</f>
        <v/>
      </c>
      <c r="E401" s="102">
        <f>'לקוחות לפי סוכן - מקור'!G368</f>
        <v/>
      </c>
      <c r="F401" s="94">
        <f>'לקוחות לפי סוכן - מקור'!D368</f>
        <v/>
      </c>
      <c r="G401" s="95">
        <f>'לקוחות לפי סוכן - מקור'!H368</f>
        <v/>
      </c>
      <c r="H401" s="95">
        <f>'לקוחות לפי סוכן - מקור'!I368</f>
        <v/>
      </c>
      <c r="I401" s="127">
        <f>'לקוחות לפי סוכן - מקור'!K368</f>
        <v/>
      </c>
    </row>
    <row r="402" outlineLevel="2" ht="15" customHeight="1" s="82">
      <c r="A402" s="94">
        <f>'לקוחות לפי סוכן - מקור'!A369</f>
        <v/>
      </c>
      <c r="B402" s="94">
        <f>'לקוחות לפי סוכן - מקור'!C369</f>
        <v/>
      </c>
      <c r="C402" s="94">
        <f>'לקוחות לפי סוכן - מקור'!E369</f>
        <v/>
      </c>
      <c r="D402" s="102">
        <f>'לקוחות לפי סוכן - מקור'!F369</f>
        <v/>
      </c>
      <c r="E402" s="102">
        <f>'לקוחות לפי סוכן - מקור'!G369</f>
        <v/>
      </c>
      <c r="F402" s="94">
        <f>'לקוחות לפי סוכן - מקור'!D369</f>
        <v/>
      </c>
      <c r="G402" s="95">
        <f>'לקוחות לפי סוכן - מקור'!H369</f>
        <v/>
      </c>
      <c r="H402" s="95">
        <f>'לקוחות לפי סוכן - מקור'!I369</f>
        <v/>
      </c>
      <c r="I402" s="127">
        <f>'לקוחות לפי סוכן - מקור'!K369</f>
        <v/>
      </c>
    </row>
    <row r="403" outlineLevel="2" ht="15" customHeight="1" s="82">
      <c r="A403" s="94">
        <f>'לקוחות לפי סוכן - מקור'!A370</f>
        <v/>
      </c>
      <c r="B403" s="94">
        <f>'לקוחות לפי סוכן - מקור'!C370</f>
        <v/>
      </c>
      <c r="C403" s="94">
        <f>'לקוחות לפי סוכן - מקור'!E370</f>
        <v/>
      </c>
      <c r="D403" s="102">
        <f>'לקוחות לפי סוכן - מקור'!F370</f>
        <v/>
      </c>
      <c r="E403" s="102">
        <f>'לקוחות לפי סוכן - מקור'!G370</f>
        <v/>
      </c>
      <c r="F403" s="94">
        <f>'לקוחות לפי סוכן - מקור'!D370</f>
        <v/>
      </c>
      <c r="G403" s="95">
        <f>'לקוחות לפי סוכן - מקור'!H370</f>
        <v/>
      </c>
      <c r="H403" s="95">
        <f>'לקוחות לפי סוכן - מקור'!I370</f>
        <v/>
      </c>
      <c r="I403" s="127">
        <f>'לקוחות לפי סוכן - מקור'!K370</f>
        <v/>
      </c>
    </row>
    <row r="404" outlineLevel="2" ht="15" customHeight="1" s="82">
      <c r="A404" s="94">
        <f>'לקוחות לפי סוכן - מקור'!A371</f>
        <v/>
      </c>
      <c r="B404" s="94">
        <f>'לקוחות לפי סוכן - מקור'!C371</f>
        <v/>
      </c>
      <c r="C404" s="94">
        <f>'לקוחות לפי סוכן - מקור'!E371</f>
        <v/>
      </c>
      <c r="D404" s="102">
        <f>'לקוחות לפי סוכן - מקור'!F371</f>
        <v/>
      </c>
      <c r="E404" s="102">
        <f>'לקוחות לפי סוכן - מקור'!G371</f>
        <v/>
      </c>
      <c r="F404" s="94">
        <f>'לקוחות לפי סוכן - מקור'!D371</f>
        <v/>
      </c>
      <c r="G404" s="95">
        <f>'לקוחות לפי סוכן - מקור'!H371</f>
        <v/>
      </c>
      <c r="H404" s="95">
        <f>'לקוחות לפי סוכן - מקור'!I371</f>
        <v/>
      </c>
      <c r="I404" s="127">
        <f>'לקוחות לפי סוכן - מקור'!K371</f>
        <v/>
      </c>
    </row>
    <row r="405" outlineLevel="2" ht="15" customHeight="1" s="82">
      <c r="A405" s="94">
        <f>'לקוחות לפי סוכן - מקור'!A372</f>
        <v/>
      </c>
      <c r="B405" s="94">
        <f>'לקוחות לפי סוכן - מקור'!C372</f>
        <v/>
      </c>
      <c r="C405" s="94">
        <f>'לקוחות לפי סוכן - מקור'!E372</f>
        <v/>
      </c>
      <c r="D405" s="102">
        <f>'לקוחות לפי סוכן - מקור'!F372</f>
        <v/>
      </c>
      <c r="E405" s="102">
        <f>'לקוחות לפי סוכן - מקור'!G372</f>
        <v/>
      </c>
      <c r="F405" s="94">
        <f>'לקוחות לפי סוכן - מקור'!D372</f>
        <v/>
      </c>
      <c r="G405" s="95">
        <f>'לקוחות לפי סוכן - מקור'!H372</f>
        <v/>
      </c>
      <c r="H405" s="95">
        <f>'לקוחות לפי סוכן - מקור'!I372</f>
        <v/>
      </c>
      <c r="I405" s="127">
        <f>'לקוחות לפי סוכן - מקור'!K372</f>
        <v/>
      </c>
    </row>
    <row r="406" outlineLevel="2" ht="15" customHeight="1" s="82">
      <c r="A406" s="94">
        <f>'לקוחות לפי סוכן - מקור'!A373</f>
        <v/>
      </c>
      <c r="B406" s="94">
        <f>'לקוחות לפי סוכן - מקור'!C373</f>
        <v/>
      </c>
      <c r="C406" s="94">
        <f>'לקוחות לפי סוכן - מקור'!E373</f>
        <v/>
      </c>
      <c r="D406" s="102">
        <f>'לקוחות לפי סוכן - מקור'!F373</f>
        <v/>
      </c>
      <c r="E406" s="102">
        <f>'לקוחות לפי סוכן - מקור'!G373</f>
        <v/>
      </c>
      <c r="F406" s="94">
        <f>'לקוחות לפי סוכן - מקור'!D373</f>
        <v/>
      </c>
      <c r="G406" s="95">
        <f>'לקוחות לפי סוכן - מקור'!H373</f>
        <v/>
      </c>
      <c r="H406" s="95">
        <f>'לקוחות לפי סוכן - מקור'!I373</f>
        <v/>
      </c>
      <c r="I406" s="127">
        <f>'לקוחות לפי סוכן - מקור'!K373</f>
        <v/>
      </c>
    </row>
    <row r="407" outlineLevel="2" ht="15" customHeight="1" s="82">
      <c r="A407" s="94">
        <f>'לקוחות לפי סוכן - מקור'!A374</f>
        <v/>
      </c>
      <c r="B407" s="94">
        <f>'לקוחות לפי סוכן - מקור'!C374</f>
        <v/>
      </c>
      <c r="C407" s="94">
        <f>'לקוחות לפי סוכן - מקור'!E374</f>
        <v/>
      </c>
      <c r="D407" s="102">
        <f>'לקוחות לפי סוכן - מקור'!F374</f>
        <v/>
      </c>
      <c r="E407" s="102">
        <f>'לקוחות לפי סוכן - מקור'!G374</f>
        <v/>
      </c>
      <c r="F407" s="94">
        <f>'לקוחות לפי סוכן - מקור'!D374</f>
        <v/>
      </c>
      <c r="G407" s="95">
        <f>'לקוחות לפי סוכן - מקור'!H374</f>
        <v/>
      </c>
      <c r="H407" s="95">
        <f>'לקוחות לפי סוכן - מקור'!I374</f>
        <v/>
      </c>
      <c r="I407" s="127">
        <f>'לקוחות לפי סוכן - מקור'!K374</f>
        <v/>
      </c>
    </row>
    <row r="408" outlineLevel="2" ht="15" customHeight="1" s="82">
      <c r="A408" s="94">
        <f>'לקוחות לפי סוכן - מקור'!A375</f>
        <v/>
      </c>
      <c r="B408" s="94">
        <f>'לקוחות לפי סוכן - מקור'!C375</f>
        <v/>
      </c>
      <c r="C408" s="94">
        <f>'לקוחות לפי סוכן - מקור'!E375</f>
        <v/>
      </c>
      <c r="D408" s="102">
        <f>'לקוחות לפי סוכן - מקור'!F375</f>
        <v/>
      </c>
      <c r="E408" s="102">
        <f>'לקוחות לפי סוכן - מקור'!G375</f>
        <v/>
      </c>
      <c r="F408" s="94">
        <f>'לקוחות לפי סוכן - מקור'!D375</f>
        <v/>
      </c>
      <c r="G408" s="95">
        <f>'לקוחות לפי סוכן - מקור'!H375</f>
        <v/>
      </c>
      <c r="H408" s="95">
        <f>'לקוחות לפי סוכן - מקור'!I375</f>
        <v/>
      </c>
      <c r="I408" s="127">
        <f>'לקוחות לפי סוכן - מקור'!K375</f>
        <v/>
      </c>
    </row>
    <row r="409" outlineLevel="2" ht="15" customHeight="1" s="82">
      <c r="A409" s="94">
        <f>'לקוחות לפי סוכן - מקור'!A376</f>
        <v/>
      </c>
      <c r="B409" s="94">
        <f>'לקוחות לפי סוכן - מקור'!C376</f>
        <v/>
      </c>
      <c r="C409" s="94">
        <f>'לקוחות לפי סוכן - מקור'!E376</f>
        <v/>
      </c>
      <c r="D409" s="102">
        <f>'לקוחות לפי סוכן - מקור'!F376</f>
        <v/>
      </c>
      <c r="E409" s="102">
        <f>'לקוחות לפי סוכן - מקור'!G376</f>
        <v/>
      </c>
      <c r="F409" s="94">
        <f>'לקוחות לפי סוכן - מקור'!D376</f>
        <v/>
      </c>
      <c r="G409" s="95">
        <f>'לקוחות לפי סוכן - מקור'!H376</f>
        <v/>
      </c>
      <c r="H409" s="95">
        <f>'לקוחות לפי סוכן - מקור'!I376</f>
        <v/>
      </c>
      <c r="I409" s="127">
        <f>'לקוחות לפי סוכן - מקור'!K376</f>
        <v/>
      </c>
    </row>
    <row r="410" outlineLevel="2" ht="15" customHeight="1" s="82">
      <c r="A410" s="94">
        <f>'לקוחות לפי סוכן - מקור'!A377</f>
        <v/>
      </c>
      <c r="B410" s="94">
        <f>'לקוחות לפי סוכן - מקור'!C377</f>
        <v/>
      </c>
      <c r="C410" s="94">
        <f>'לקוחות לפי סוכן - מקור'!E377</f>
        <v/>
      </c>
      <c r="D410" s="102">
        <f>'לקוחות לפי סוכן - מקור'!F377</f>
        <v/>
      </c>
      <c r="E410" s="102">
        <f>'לקוחות לפי סוכן - מקור'!G377</f>
        <v/>
      </c>
      <c r="F410" s="94">
        <f>'לקוחות לפי סוכן - מקור'!D377</f>
        <v/>
      </c>
      <c r="G410" s="95">
        <f>'לקוחות לפי סוכן - מקור'!H377</f>
        <v/>
      </c>
      <c r="H410" s="95">
        <f>'לקוחות לפי סוכן - מקור'!I377</f>
        <v/>
      </c>
      <c r="I410" s="127">
        <f>'לקוחות לפי סוכן - מקור'!K377</f>
        <v/>
      </c>
    </row>
    <row r="411" outlineLevel="2" ht="15" customHeight="1" s="82">
      <c r="A411" s="94">
        <f>'לקוחות לפי סוכן - מקור'!A378</f>
        <v/>
      </c>
      <c r="B411" s="94">
        <f>'לקוחות לפי סוכן - מקור'!C378</f>
        <v/>
      </c>
      <c r="C411" s="94">
        <f>'לקוחות לפי סוכן - מקור'!E378</f>
        <v/>
      </c>
      <c r="D411" s="102">
        <f>'לקוחות לפי סוכן - מקור'!F378</f>
        <v/>
      </c>
      <c r="E411" s="102">
        <f>'לקוחות לפי סוכן - מקור'!G378</f>
        <v/>
      </c>
      <c r="F411" s="94">
        <f>'לקוחות לפי סוכן - מקור'!D378</f>
        <v/>
      </c>
      <c r="G411" s="95">
        <f>'לקוחות לפי סוכן - מקור'!H378</f>
        <v/>
      </c>
      <c r="H411" s="95">
        <f>'לקוחות לפי סוכן - מקור'!I378</f>
        <v/>
      </c>
      <c r="I411" s="127">
        <f>'לקוחות לפי סוכן - מקור'!K378</f>
        <v/>
      </c>
    </row>
    <row r="412" outlineLevel="2" ht="15" customHeight="1" s="82">
      <c r="A412" s="94">
        <f>'לקוחות לפי סוכן - מקור'!A379</f>
        <v/>
      </c>
      <c r="B412" s="94">
        <f>'לקוחות לפי סוכן - מקור'!C379</f>
        <v/>
      </c>
      <c r="C412" s="94">
        <f>'לקוחות לפי סוכן - מקור'!E379</f>
        <v/>
      </c>
      <c r="D412" s="102">
        <f>'לקוחות לפי סוכן - מקור'!F379</f>
        <v/>
      </c>
      <c r="E412" s="102">
        <f>'לקוחות לפי סוכן - מקור'!G379</f>
        <v/>
      </c>
      <c r="F412" s="94">
        <f>'לקוחות לפי סוכן - מקור'!D379</f>
        <v/>
      </c>
      <c r="G412" s="95">
        <f>'לקוחות לפי סוכן - מקור'!H379</f>
        <v/>
      </c>
      <c r="H412" s="95">
        <f>'לקוחות לפי סוכן - מקור'!I379</f>
        <v/>
      </c>
      <c r="I412" s="127">
        <f>'לקוחות לפי סוכן - מקור'!K379</f>
        <v/>
      </c>
    </row>
    <row r="413" outlineLevel="2" ht="15" customHeight="1" s="82">
      <c r="A413" s="94">
        <f>'לקוחות לפי סוכן - מקור'!A380</f>
        <v/>
      </c>
      <c r="B413" s="94">
        <f>'לקוחות לפי סוכן - מקור'!C380</f>
        <v/>
      </c>
      <c r="C413" s="94">
        <f>'לקוחות לפי סוכן - מקור'!E380</f>
        <v/>
      </c>
      <c r="D413" s="102">
        <f>'לקוחות לפי סוכן - מקור'!F380</f>
        <v/>
      </c>
      <c r="E413" s="102">
        <f>'לקוחות לפי סוכן - מקור'!G380</f>
        <v/>
      </c>
      <c r="F413" s="94">
        <f>'לקוחות לפי סוכן - מקור'!D380</f>
        <v/>
      </c>
      <c r="G413" s="95">
        <f>'לקוחות לפי סוכן - מקור'!H380</f>
        <v/>
      </c>
      <c r="H413" s="95">
        <f>'לקוחות לפי סוכן - מקור'!I380</f>
        <v/>
      </c>
      <c r="I413" s="127">
        <f>'לקוחות לפי סוכן - מקור'!K380</f>
        <v/>
      </c>
    </row>
    <row r="414" outlineLevel="2" ht="15" customHeight="1" s="82">
      <c r="A414" s="94">
        <f>'לקוחות לפי סוכן - מקור'!A381</f>
        <v/>
      </c>
      <c r="B414" s="94">
        <f>'לקוחות לפי סוכן - מקור'!C381</f>
        <v/>
      </c>
      <c r="C414" s="94">
        <f>'לקוחות לפי סוכן - מקור'!E381</f>
        <v/>
      </c>
      <c r="D414" s="102">
        <f>'לקוחות לפי סוכן - מקור'!F381</f>
        <v/>
      </c>
      <c r="E414" s="102">
        <f>'לקוחות לפי סוכן - מקור'!G381</f>
        <v/>
      </c>
      <c r="F414" s="94">
        <f>'לקוחות לפי סוכן - מקור'!D381</f>
        <v/>
      </c>
      <c r="G414" s="95">
        <f>'לקוחות לפי סוכן - מקור'!H381</f>
        <v/>
      </c>
      <c r="H414" s="95">
        <f>'לקוחות לפי סוכן - מקור'!I381</f>
        <v/>
      </c>
      <c r="I414" s="127">
        <f>'לקוחות לפי סוכן - מקור'!K381</f>
        <v/>
      </c>
    </row>
    <row r="415" outlineLevel="2" ht="15" customHeight="1" s="82">
      <c r="A415" s="94">
        <f>'לקוחות לפי סוכן - מקור'!A382</f>
        <v/>
      </c>
      <c r="B415" s="94">
        <f>'לקוחות לפי סוכן - מקור'!C382</f>
        <v/>
      </c>
      <c r="C415" s="94">
        <f>'לקוחות לפי סוכן - מקור'!E382</f>
        <v/>
      </c>
      <c r="D415" s="102">
        <f>'לקוחות לפי סוכן - מקור'!F382</f>
        <v/>
      </c>
      <c r="E415" s="102">
        <f>'לקוחות לפי סוכן - מקור'!G382</f>
        <v/>
      </c>
      <c r="F415" s="94">
        <f>'לקוחות לפי סוכן - מקור'!D382</f>
        <v/>
      </c>
      <c r="G415" s="95">
        <f>'לקוחות לפי סוכן - מקור'!H382</f>
        <v/>
      </c>
      <c r="H415" s="95">
        <f>'לקוחות לפי סוכן - מקור'!I382</f>
        <v/>
      </c>
      <c r="I415" s="127">
        <f>'לקוחות לפי סוכן - מקור'!K382</f>
        <v/>
      </c>
    </row>
    <row r="416" outlineLevel="2" ht="15" customHeight="1" s="82">
      <c r="A416" s="94">
        <f>'לקוחות לפי סוכן - מקור'!A383</f>
        <v/>
      </c>
      <c r="B416" s="94">
        <f>'לקוחות לפי סוכן - מקור'!C383</f>
        <v/>
      </c>
      <c r="C416" s="94">
        <f>'לקוחות לפי סוכן - מקור'!E383</f>
        <v/>
      </c>
      <c r="D416" s="102">
        <f>'לקוחות לפי סוכן - מקור'!F383</f>
        <v/>
      </c>
      <c r="E416" s="102">
        <f>'לקוחות לפי סוכן - מקור'!G383</f>
        <v/>
      </c>
      <c r="F416" s="94">
        <f>'לקוחות לפי סוכן - מקור'!D383</f>
        <v/>
      </c>
      <c r="G416" s="95">
        <f>'לקוחות לפי סוכן - מקור'!H383</f>
        <v/>
      </c>
      <c r="H416" s="95">
        <f>'לקוחות לפי סוכן - מקור'!I383</f>
        <v/>
      </c>
      <c r="I416" s="127">
        <f>'לקוחות לפי סוכן - מקור'!K383</f>
        <v/>
      </c>
    </row>
    <row r="417" outlineLevel="2" ht="15" customHeight="1" s="82">
      <c r="A417" s="94">
        <f>'לקוחות לפי סוכן - מקור'!A384</f>
        <v/>
      </c>
      <c r="B417" s="94">
        <f>'לקוחות לפי סוכן - מקור'!C384</f>
        <v/>
      </c>
      <c r="C417" s="94">
        <f>'לקוחות לפי סוכן - מקור'!E384</f>
        <v/>
      </c>
      <c r="D417" s="102">
        <f>'לקוחות לפי סוכן - מקור'!F384</f>
        <v/>
      </c>
      <c r="E417" s="102">
        <f>'לקוחות לפי סוכן - מקור'!G384</f>
        <v/>
      </c>
      <c r="F417" s="94">
        <f>'לקוחות לפי סוכן - מקור'!D384</f>
        <v/>
      </c>
      <c r="G417" s="95">
        <f>'לקוחות לפי סוכן - מקור'!H384</f>
        <v/>
      </c>
      <c r="H417" s="95">
        <f>'לקוחות לפי סוכן - מקור'!I384</f>
        <v/>
      </c>
      <c r="I417" s="127">
        <f>'לקוחות לפי סוכן - מקור'!K384</f>
        <v/>
      </c>
    </row>
    <row r="418" outlineLevel="2" ht="15" customHeight="1" s="82">
      <c r="A418" s="94">
        <f>'לקוחות לפי סוכן - מקור'!A385</f>
        <v/>
      </c>
      <c r="B418" s="94">
        <f>'לקוחות לפי סוכן - מקור'!C385</f>
        <v/>
      </c>
      <c r="C418" s="94">
        <f>'לקוחות לפי סוכן - מקור'!E385</f>
        <v/>
      </c>
      <c r="D418" s="102">
        <f>'לקוחות לפי סוכן - מקור'!F385</f>
        <v/>
      </c>
      <c r="E418" s="102">
        <f>'לקוחות לפי סוכן - מקור'!G385</f>
        <v/>
      </c>
      <c r="F418" s="94">
        <f>'לקוחות לפי סוכן - מקור'!D385</f>
        <v/>
      </c>
      <c r="G418" s="95">
        <f>'לקוחות לפי סוכן - מקור'!H385</f>
        <v/>
      </c>
      <c r="H418" s="95">
        <f>'לקוחות לפי סוכן - מקור'!I385</f>
        <v/>
      </c>
      <c r="I418" s="127">
        <f>'לקוחות לפי סוכן - מקור'!K385</f>
        <v/>
      </c>
    </row>
    <row r="419" outlineLevel="2" ht="15" customHeight="1" s="82">
      <c r="A419" s="94">
        <f>'לקוחות לפי סוכן - מקור'!A386</f>
        <v/>
      </c>
      <c r="B419" s="94">
        <f>'לקוחות לפי סוכן - מקור'!C386</f>
        <v/>
      </c>
      <c r="C419" s="94">
        <f>'לקוחות לפי סוכן - מקור'!E386</f>
        <v/>
      </c>
      <c r="D419" s="102">
        <f>'לקוחות לפי סוכן - מקור'!F386</f>
        <v/>
      </c>
      <c r="E419" s="102">
        <f>'לקוחות לפי סוכן - מקור'!G386</f>
        <v/>
      </c>
      <c r="F419" s="94">
        <f>'לקוחות לפי סוכן - מקור'!D386</f>
        <v/>
      </c>
      <c r="G419" s="95">
        <f>'לקוחות לפי סוכן - מקור'!H386</f>
        <v/>
      </c>
      <c r="H419" s="95">
        <f>'לקוחות לפי סוכן - מקור'!I386</f>
        <v/>
      </c>
      <c r="I419" s="127">
        <f>'לקוחות לפי סוכן - מקור'!K386</f>
        <v/>
      </c>
    </row>
    <row r="420" outlineLevel="2" ht="15" customHeight="1" s="82">
      <c r="A420" s="94">
        <f>'לקוחות לפי סוכן - מקור'!A387</f>
        <v/>
      </c>
      <c r="B420" s="94">
        <f>'לקוחות לפי סוכן - מקור'!C387</f>
        <v/>
      </c>
      <c r="C420" s="94">
        <f>'לקוחות לפי סוכן - מקור'!E387</f>
        <v/>
      </c>
      <c r="D420" s="102">
        <f>'לקוחות לפי סוכן - מקור'!F387</f>
        <v/>
      </c>
      <c r="E420" s="102">
        <f>'לקוחות לפי סוכן - מקור'!G387</f>
        <v/>
      </c>
      <c r="F420" s="94">
        <f>'לקוחות לפי סוכן - מקור'!D387</f>
        <v/>
      </c>
      <c r="G420" s="95">
        <f>'לקוחות לפי סוכן - מקור'!H387</f>
        <v/>
      </c>
      <c r="H420" s="95">
        <f>'לקוחות לפי סוכן - מקור'!I387</f>
        <v/>
      </c>
      <c r="I420" s="127">
        <f>'לקוחות לפי סוכן - מקור'!K387</f>
        <v/>
      </c>
    </row>
    <row r="421" outlineLevel="2" ht="15" customHeight="1" s="82">
      <c r="A421" s="94">
        <f>'לקוחות לפי סוכן - מקור'!A388</f>
        <v/>
      </c>
      <c r="B421" s="94">
        <f>'לקוחות לפי סוכן - מקור'!C388</f>
        <v/>
      </c>
      <c r="C421" s="94">
        <f>'לקוחות לפי סוכן - מקור'!E388</f>
        <v/>
      </c>
      <c r="D421" s="102">
        <f>'לקוחות לפי סוכן - מקור'!F388</f>
        <v/>
      </c>
      <c r="E421" s="102">
        <f>'לקוחות לפי סוכן - מקור'!G388</f>
        <v/>
      </c>
      <c r="F421" s="94">
        <f>'לקוחות לפי סוכן - מקור'!D388</f>
        <v/>
      </c>
      <c r="G421" s="95">
        <f>'לקוחות לפי סוכן - מקור'!H388</f>
        <v/>
      </c>
      <c r="H421" s="95">
        <f>'לקוחות לפי סוכן - מקור'!I388</f>
        <v/>
      </c>
      <c r="I421" s="127">
        <f>'לקוחות לפי סוכן - מקור'!K388</f>
        <v/>
      </c>
    </row>
    <row r="422" outlineLevel="2" ht="15" customHeight="1" s="82">
      <c r="A422" s="94">
        <f>'לקוחות לפי סוכן - מקור'!A389</f>
        <v/>
      </c>
      <c r="B422" s="94">
        <f>'לקוחות לפי סוכן - מקור'!C389</f>
        <v/>
      </c>
      <c r="C422" s="94">
        <f>'לקוחות לפי סוכן - מקור'!E389</f>
        <v/>
      </c>
      <c r="D422" s="102">
        <f>'לקוחות לפי סוכן - מקור'!F389</f>
        <v/>
      </c>
      <c r="E422" s="102">
        <f>'לקוחות לפי סוכן - מקור'!G389</f>
        <v/>
      </c>
      <c r="F422" s="94">
        <f>'לקוחות לפי סוכן - מקור'!D389</f>
        <v/>
      </c>
      <c r="G422" s="95">
        <f>'לקוחות לפי סוכן - מקור'!H389</f>
        <v/>
      </c>
      <c r="H422" s="95">
        <f>'לקוחות לפי סוכן - מקור'!I389</f>
        <v/>
      </c>
      <c r="I422" s="127">
        <f>'לקוחות לפי סוכן - מקור'!K389</f>
        <v/>
      </c>
    </row>
    <row r="423" outlineLevel="2" ht="15" customHeight="1" s="82">
      <c r="A423" s="94">
        <f>'לקוחות לפי סוכן - מקור'!A390</f>
        <v/>
      </c>
      <c r="B423" s="94">
        <f>'לקוחות לפי סוכן - מקור'!C390</f>
        <v/>
      </c>
      <c r="C423" s="94">
        <f>'לקוחות לפי סוכן - מקור'!E390</f>
        <v/>
      </c>
      <c r="D423" s="102">
        <f>'לקוחות לפי סוכן - מקור'!F390</f>
        <v/>
      </c>
      <c r="E423" s="102">
        <f>'לקוחות לפי סוכן - מקור'!G390</f>
        <v/>
      </c>
      <c r="F423" s="94">
        <f>'לקוחות לפי סוכן - מקור'!D390</f>
        <v/>
      </c>
      <c r="G423" s="95">
        <f>'לקוחות לפי סוכן - מקור'!H390</f>
        <v/>
      </c>
      <c r="H423" s="95">
        <f>'לקוחות לפי סוכן - מקור'!I390</f>
        <v/>
      </c>
      <c r="I423" s="127">
        <f>'לקוחות לפי סוכן - מקור'!K390</f>
        <v/>
      </c>
    </row>
    <row r="424" outlineLevel="2" ht="15" customHeight="1" s="82">
      <c r="A424" s="94">
        <f>'לקוחות לפי סוכן - מקור'!A391</f>
        <v/>
      </c>
      <c r="B424" s="94">
        <f>'לקוחות לפי סוכן - מקור'!C391</f>
        <v/>
      </c>
      <c r="C424" s="94">
        <f>'לקוחות לפי סוכן - מקור'!E391</f>
        <v/>
      </c>
      <c r="D424" s="102">
        <f>'לקוחות לפי סוכן - מקור'!F391</f>
        <v/>
      </c>
      <c r="E424" s="102">
        <f>'לקוחות לפי סוכן - מקור'!G391</f>
        <v/>
      </c>
      <c r="F424" s="94">
        <f>'לקוחות לפי סוכן - מקור'!D391</f>
        <v/>
      </c>
      <c r="G424" s="95">
        <f>'לקוחות לפי סוכן - מקור'!H391</f>
        <v/>
      </c>
      <c r="H424" s="95">
        <f>'לקוחות לפי סוכן - מקור'!I391</f>
        <v/>
      </c>
      <c r="I424" s="127">
        <f>'לקוחות לפי סוכן - מקור'!K391</f>
        <v/>
      </c>
    </row>
    <row r="425" ht="15" customHeight="1" s="82">
      <c r="A425" s="96" t="inlineStr">
        <is>
          <t>סטניסלב נסאר</t>
        </is>
      </c>
      <c r="B425" s="96" t="n"/>
      <c r="C425" s="96" t="inlineStr">
        <is>
          <t>סה"כ סוכן</t>
        </is>
      </c>
      <c r="D425" s="125">
        <f>SUMIF('לקוחות לפי סוכן - מקור'!$A$2:$A$867,$A425,'לקוחות לפי סוכן - מקור'!$F$2:$F$867)</f>
        <v/>
      </c>
      <c r="E425" s="125">
        <f>SUMIF('לקוחות לפי סוכן - מקור'!$A$2:$A$867,$A425,'לקוחות לפי סוכן - מקור'!$G$2:$G$867)</f>
        <v/>
      </c>
      <c r="F425" s="96" t="n"/>
      <c r="G425" s="97">
        <f>SUMIF('לקוחות לפי סוכן - מקור'!$A$2:$A$867,$A425,'לקוחות לפי סוכן - מקור'!$H$2:$H$867)</f>
        <v/>
      </c>
      <c r="H425" s="97">
        <f>SUMIF('לקוחות לפי סוכן - מקור'!$A$2:$A$867,$A425,'לקוחות לפי סוכן - מקור'!$I$2:$I$867)</f>
        <v/>
      </c>
      <c r="I425" s="96">
        <f>IF(COUNTIFS('לקוחות לפי סוכן - מקור'!$A$2:$A$867,$A425,'לקוחות לפי סוכן - מקור'!$K$2:$K$867,"NetSuite")&gt;0,IF(COUNTIFS('לקוחות לפי סוכן - מקור'!$A$2:$A$867,$A425,'לקוחות לפי סוכן - מקור'!$K$2:$K$867,"CHMI")&gt;0,"NetSuite+CHMI ("&amp;COUNTIFS('לקוחות לפי סוכן - מקור'!$A$2:$A$867,$A425,'לקוחות לפי סוכן - מקור'!$K$2:$K$867,"NetSuite")&amp;"+"&amp;COUNTIFS('לקוחות לפי סוכן - מקור'!$A$2:$A$867,$A425,'לקוחות לפי סוכן - מקור'!$K$2:$K$867,"CHMI")&amp;")","NetSuite ("&amp;COUNTIFS('לקוחות לפי סוכן - מקור'!$A$2:$A$867,$A425,'לקוחות לפי סוכן - מקור'!$K$2:$K$867,"NetSuite")&amp;")"),"CHMI ("&amp;COUNTIFS('לקוחות לפי סוכן - מקור'!$A$2:$A$867,$A425,'לקוחות לפי סוכן - מקור'!$K$2:$K$867,"CHMI")&amp;")")</f>
        <v/>
      </c>
      <c r="J425" s="97">
        <f>COUNTIF('לקוחות לפי סוכן - מקור'!$A$2:$A$867,$A425)</f>
        <v/>
      </c>
    </row>
    <row r="426" ht="15" customHeight="1" s="82"/>
    <row r="427" ht="15" customHeight="1" s="82">
      <c r="A427" s="96" t="inlineStr">
        <is>
          <t>חיים ויצמן</t>
        </is>
      </c>
      <c r="B427" s="96" t="n"/>
      <c r="C427" s="96" t="n"/>
      <c r="D427" s="96" t="n"/>
      <c r="E427" s="96" t="n"/>
      <c r="F427" s="96" t="n"/>
      <c r="G427" s="96" t="n"/>
      <c r="H427" s="96" t="n"/>
      <c r="I427" s="96" t="n"/>
      <c r="J427" s="96" t="n"/>
    </row>
    <row r="428" outlineLevel="1" ht="15" customHeight="1" s="82">
      <c r="A428" s="128" t="inlineStr">
        <is>
          <t>חיים ויצמן</t>
        </is>
      </c>
      <c r="B428" s="129" t="inlineStr">
        <is>
          <t>102 - Orthopedic institutes</t>
        </is>
      </c>
      <c r="C428" s="130" t="n"/>
      <c r="D428" s="131">
        <f>SUMIFS('לקוחות לפי סוכן - מקור'!$F$2:$F$867,'לקוחות לפי סוכן - מקור'!$A$2:$A$867,$A428,'לקוחות לפי סוכן - מקור'!$C$2:$C$867,$B428)</f>
        <v/>
      </c>
      <c r="E428" s="131">
        <f>SUMIFS('לקוחות לפי סוכן - מקור'!$G$2:$G$867,'לקוחות לפי סוכן - מקור'!$A$2:$A$867,$A428,'לקוחות לפי סוכן - מקור'!$C$2:$C$867,$B428)</f>
        <v/>
      </c>
      <c r="F428" s="130" t="n"/>
      <c r="G428" s="132">
        <f>SUMIFS('לקוחות לפי סוכן - מקור'!$H$2:$H$867,'לקוחות לפי סוכן - מקור'!$A$2:$A$867,$A428,'לקוחות לפי סוכן - מקור'!$C$2:$C$867,$B428)</f>
        <v/>
      </c>
      <c r="H428" s="132">
        <f>SUMIFS('לקוחות לפי סוכן - מקור'!$I$2:$I$867,'לקוחות לפי סוכן - מקור'!$A$2:$A$867,$A428,'לקוחות לפי סוכן - מקור'!$C$2:$C$867,$B428)</f>
        <v/>
      </c>
      <c r="I428" s="130" t="n"/>
      <c r="J428" s="132">
        <f>COUNTIFS('לקוחות לפי סוכן - מקור'!$A$2:$A$867,$A428,'לקוחות לפי סוכן - מקור'!$C$2:$C$867,$B428)</f>
        <v/>
      </c>
    </row>
    <row r="429" outlineLevel="2" ht="15" customHeight="1" s="82">
      <c r="A429" s="94">
        <f>'לקוחות לפי סוכן - מקור'!A453</f>
        <v/>
      </c>
      <c r="B429" s="94">
        <f>'לקוחות לפי סוכן - מקור'!C453</f>
        <v/>
      </c>
      <c r="C429" s="94">
        <f>'לקוחות לפי סוכן - מקור'!E453</f>
        <v/>
      </c>
      <c r="D429" s="102">
        <f>'לקוחות לפי סוכן - מקור'!F453</f>
        <v/>
      </c>
      <c r="E429" s="102">
        <f>'לקוחות לפי סוכן - מקור'!G453</f>
        <v/>
      </c>
      <c r="F429" s="94">
        <f>'לקוחות לפי סוכן - מקור'!D453</f>
        <v/>
      </c>
      <c r="G429" s="95">
        <f>'לקוחות לפי סוכן - מקור'!H453</f>
        <v/>
      </c>
      <c r="H429" s="95">
        <f>'לקוחות לפי סוכן - מקור'!I453</f>
        <v/>
      </c>
      <c r="I429" s="127">
        <f>'לקוחות לפי סוכן - מקור'!K453</f>
        <v/>
      </c>
    </row>
    <row r="430" outlineLevel="2" ht="15" customHeight="1" s="82">
      <c r="A430" s="94">
        <f>'לקוחות לפי סוכן - מקור'!A454</f>
        <v/>
      </c>
      <c r="B430" s="94">
        <f>'לקוחות לפי סוכן - מקור'!C454</f>
        <v/>
      </c>
      <c r="C430" s="94">
        <f>'לקוחות לפי סוכן - מקור'!E454</f>
        <v/>
      </c>
      <c r="D430" s="102">
        <f>'לקוחות לפי סוכן - מקור'!F454</f>
        <v/>
      </c>
      <c r="E430" s="102">
        <f>'לקוחות לפי סוכן - מקור'!G454</f>
        <v/>
      </c>
      <c r="F430" s="94">
        <f>'לקוחות לפי סוכן - מקור'!D454</f>
        <v/>
      </c>
      <c r="G430" s="95">
        <f>'לקוחות לפי סוכן - מקור'!H454</f>
        <v/>
      </c>
      <c r="H430" s="95">
        <f>'לקוחות לפי סוכן - מקור'!I454</f>
        <v/>
      </c>
      <c r="I430" s="127">
        <f>'לקוחות לפי סוכן - מקור'!K454</f>
        <v/>
      </c>
    </row>
    <row r="431" outlineLevel="2" ht="15" customHeight="1" s="82">
      <c r="A431" s="94">
        <f>'לקוחות לפי סוכן - מקור'!A455</f>
        <v/>
      </c>
      <c r="B431" s="94">
        <f>'לקוחות לפי סוכן - מקור'!C455</f>
        <v/>
      </c>
      <c r="C431" s="94">
        <f>'לקוחות לפי סוכן - מקור'!E455</f>
        <v/>
      </c>
      <c r="D431" s="102">
        <f>'לקוחות לפי סוכן - מקור'!F455</f>
        <v/>
      </c>
      <c r="E431" s="102">
        <f>'לקוחות לפי סוכן - מקור'!G455</f>
        <v/>
      </c>
      <c r="F431" s="94">
        <f>'לקוחות לפי סוכן - מקור'!D455</f>
        <v/>
      </c>
      <c r="G431" s="95">
        <f>'לקוחות לפי סוכן - מקור'!H455</f>
        <v/>
      </c>
      <c r="H431" s="95">
        <f>'לקוחות לפי סוכן - מקור'!I455</f>
        <v/>
      </c>
      <c r="I431" s="127">
        <f>'לקוחות לפי סוכן - מקור'!K455</f>
        <v/>
      </c>
    </row>
    <row r="432" outlineLevel="2" ht="15" customHeight="1" s="82">
      <c r="A432" s="94">
        <f>'לקוחות לפי סוכן - מקור'!A456</f>
        <v/>
      </c>
      <c r="B432" s="94">
        <f>'לקוחות לפי סוכן - מקור'!C456</f>
        <v/>
      </c>
      <c r="C432" s="94">
        <f>'לקוחות לפי סוכן - מקור'!E456</f>
        <v/>
      </c>
      <c r="D432" s="102">
        <f>'לקוחות לפי סוכן - מקור'!F456</f>
        <v/>
      </c>
      <c r="E432" s="102">
        <f>'לקוחות לפי סוכן - מקור'!G456</f>
        <v/>
      </c>
      <c r="F432" s="94">
        <f>'לקוחות לפי סוכן - מקור'!D456</f>
        <v/>
      </c>
      <c r="G432" s="95">
        <f>'לקוחות לפי סוכן - מקור'!H456</f>
        <v/>
      </c>
      <c r="H432" s="95">
        <f>'לקוחות לפי סוכן - מקור'!I456</f>
        <v/>
      </c>
      <c r="I432" s="127">
        <f>'לקוחות לפי סוכן - מקור'!K456</f>
        <v/>
      </c>
    </row>
    <row r="433" outlineLevel="2" ht="15" customHeight="1" s="82">
      <c r="A433" s="94">
        <f>'לקוחות לפי סוכן - מקור'!A457</f>
        <v/>
      </c>
      <c r="B433" s="94">
        <f>'לקוחות לפי סוכן - מקור'!C457</f>
        <v/>
      </c>
      <c r="C433" s="94">
        <f>'לקוחות לפי סוכן - מקור'!E457</f>
        <v/>
      </c>
      <c r="D433" s="102">
        <f>'לקוחות לפי סוכן - מקור'!F457</f>
        <v/>
      </c>
      <c r="E433" s="102">
        <f>'לקוחות לפי סוכן - מקור'!G457</f>
        <v/>
      </c>
      <c r="F433" s="94">
        <f>'לקוחות לפי סוכן - מקור'!D457</f>
        <v/>
      </c>
      <c r="G433" s="95">
        <f>'לקוחות לפי סוכן - מקור'!H457</f>
        <v/>
      </c>
      <c r="H433" s="95">
        <f>'לקוחות לפי סוכן - מקור'!I457</f>
        <v/>
      </c>
      <c r="I433" s="127">
        <f>'לקוחות לפי סוכן - מקור'!K457</f>
        <v/>
      </c>
    </row>
    <row r="434" outlineLevel="2" ht="15" customHeight="1" s="82">
      <c r="A434" s="94">
        <f>'לקוחות לפי סוכן - מקור'!A458</f>
        <v/>
      </c>
      <c r="B434" s="94">
        <f>'לקוחות לפי סוכן - מקור'!C458</f>
        <v/>
      </c>
      <c r="C434" s="94">
        <f>'לקוחות לפי סוכן - מקור'!E458</f>
        <v/>
      </c>
      <c r="D434" s="102">
        <f>'לקוחות לפי סוכן - מקור'!F458</f>
        <v/>
      </c>
      <c r="E434" s="102">
        <f>'לקוחות לפי סוכן - מקור'!G458</f>
        <v/>
      </c>
      <c r="F434" s="94">
        <f>'לקוחות לפי סוכן - מקור'!D458</f>
        <v/>
      </c>
      <c r="G434" s="95">
        <f>'לקוחות לפי סוכן - מקור'!H458</f>
        <v/>
      </c>
      <c r="H434" s="95">
        <f>'לקוחות לפי סוכן - מקור'!I458</f>
        <v/>
      </c>
      <c r="I434" s="127">
        <f>'לקוחות לפי סוכן - מקור'!K458</f>
        <v/>
      </c>
    </row>
    <row r="435" outlineLevel="2" ht="15" customHeight="1" s="82">
      <c r="A435" s="94">
        <f>'לקוחות לפי סוכן - מקור'!A459</f>
        <v/>
      </c>
      <c r="B435" s="94">
        <f>'לקוחות לפי סוכן - מקור'!C459</f>
        <v/>
      </c>
      <c r="C435" s="94">
        <f>'לקוחות לפי סוכן - מקור'!E459</f>
        <v/>
      </c>
      <c r="D435" s="102">
        <f>'לקוחות לפי סוכן - מקור'!F459</f>
        <v/>
      </c>
      <c r="E435" s="102">
        <f>'לקוחות לפי סוכן - מקור'!G459</f>
        <v/>
      </c>
      <c r="F435" s="94">
        <f>'לקוחות לפי סוכן - מקור'!D459</f>
        <v/>
      </c>
      <c r="G435" s="95">
        <f>'לקוחות לפי סוכן - מקור'!H459</f>
        <v/>
      </c>
      <c r="H435" s="95">
        <f>'לקוחות לפי סוכן - מקור'!I459</f>
        <v/>
      </c>
      <c r="I435" s="127">
        <f>'לקוחות לפי סוכן - מקור'!K459</f>
        <v/>
      </c>
    </row>
    <row r="436" outlineLevel="2" ht="15" customHeight="1" s="82">
      <c r="A436" s="94">
        <f>'לקוחות לפי סוכן - מקור'!A460</f>
        <v/>
      </c>
      <c r="B436" s="94">
        <f>'לקוחות לפי סוכן - מקור'!C460</f>
        <v/>
      </c>
      <c r="C436" s="94">
        <f>'לקוחות לפי סוכן - מקור'!E460</f>
        <v/>
      </c>
      <c r="D436" s="102">
        <f>'לקוחות לפי סוכן - מקור'!F460</f>
        <v/>
      </c>
      <c r="E436" s="102">
        <f>'לקוחות לפי סוכן - מקור'!G460</f>
        <v/>
      </c>
      <c r="F436" s="94">
        <f>'לקוחות לפי סוכן - מקור'!D460</f>
        <v/>
      </c>
      <c r="G436" s="95">
        <f>'לקוחות לפי סוכן - מקור'!H460</f>
        <v/>
      </c>
      <c r="H436" s="95">
        <f>'לקוחות לפי סוכן - מקור'!I460</f>
        <v/>
      </c>
      <c r="I436" s="127">
        <f>'לקוחות לפי סוכן - מקור'!K460</f>
        <v/>
      </c>
    </row>
    <row r="437" outlineLevel="2" ht="15" customHeight="1" s="82">
      <c r="A437" s="94">
        <f>'לקוחות לפי סוכן - מקור'!A461</f>
        <v/>
      </c>
      <c r="B437" s="94">
        <f>'לקוחות לפי סוכן - מקור'!C461</f>
        <v/>
      </c>
      <c r="C437" s="94">
        <f>'לקוחות לפי סוכן - מקור'!E461</f>
        <v/>
      </c>
      <c r="D437" s="102">
        <f>'לקוחות לפי סוכן - מקור'!F461</f>
        <v/>
      </c>
      <c r="E437" s="102">
        <f>'לקוחות לפי סוכן - מקור'!G461</f>
        <v/>
      </c>
      <c r="F437" s="94">
        <f>'לקוחות לפי סוכן - מקור'!D461</f>
        <v/>
      </c>
      <c r="G437" s="95">
        <f>'לקוחות לפי סוכן - מקור'!H461</f>
        <v/>
      </c>
      <c r="H437" s="95">
        <f>'לקוחות לפי סוכן - מקור'!I461</f>
        <v/>
      </c>
      <c r="I437" s="127">
        <f>'לקוחות לפי סוכן - מקור'!K461</f>
        <v/>
      </c>
    </row>
    <row r="438" outlineLevel="2" ht="15" customHeight="1" s="82">
      <c r="A438" s="94">
        <f>'לקוחות לפי סוכן - מקור'!A462</f>
        <v/>
      </c>
      <c r="B438" s="94">
        <f>'לקוחות לפי סוכן - מקור'!C462</f>
        <v/>
      </c>
      <c r="C438" s="94">
        <f>'לקוחות לפי סוכן - מקור'!E462</f>
        <v/>
      </c>
      <c r="D438" s="102">
        <f>'לקוחות לפי סוכן - מקור'!F462</f>
        <v/>
      </c>
      <c r="E438" s="102">
        <f>'לקוחות לפי סוכן - מקור'!G462</f>
        <v/>
      </c>
      <c r="F438" s="94">
        <f>'לקוחות לפי סוכן - מקור'!D462</f>
        <v/>
      </c>
      <c r="G438" s="95">
        <f>'לקוחות לפי סוכן - מקור'!H462</f>
        <v/>
      </c>
      <c r="H438" s="95">
        <f>'לקוחות לפי סוכן - מקור'!I462</f>
        <v/>
      </c>
      <c r="I438" s="127">
        <f>'לקוחות לפי סוכן - מקור'!K462</f>
        <v/>
      </c>
    </row>
    <row r="439" outlineLevel="2" ht="15" customHeight="1" s="82">
      <c r="A439" s="94">
        <f>'לקוחות לפי סוכן - מקור'!A463</f>
        <v/>
      </c>
      <c r="B439" s="94">
        <f>'לקוחות לפי סוכן - מקור'!C463</f>
        <v/>
      </c>
      <c r="C439" s="94">
        <f>'לקוחות לפי סוכן - מקור'!E463</f>
        <v/>
      </c>
      <c r="D439" s="102">
        <f>'לקוחות לפי סוכן - מקור'!F463</f>
        <v/>
      </c>
      <c r="E439" s="102">
        <f>'לקוחות לפי סוכן - מקור'!G463</f>
        <v/>
      </c>
      <c r="F439" s="94">
        <f>'לקוחות לפי סוכן - מקור'!D463</f>
        <v/>
      </c>
      <c r="G439" s="95">
        <f>'לקוחות לפי סוכן - מקור'!H463</f>
        <v/>
      </c>
      <c r="H439" s="95">
        <f>'לקוחות לפי סוכן - מקור'!I463</f>
        <v/>
      </c>
      <c r="I439" s="127">
        <f>'לקוחות לפי סוכן - מקור'!K463</f>
        <v/>
      </c>
    </row>
    <row r="440" outlineLevel="2" ht="15" customHeight="1" s="82">
      <c r="A440" s="94">
        <f>'לקוחות לפי סוכן - מקור'!A464</f>
        <v/>
      </c>
      <c r="B440" s="94">
        <f>'לקוחות לפי סוכן - מקור'!C464</f>
        <v/>
      </c>
      <c r="C440" s="94">
        <f>'לקוחות לפי סוכן - מקור'!E464</f>
        <v/>
      </c>
      <c r="D440" s="102">
        <f>'לקוחות לפי סוכן - מקור'!F464</f>
        <v/>
      </c>
      <c r="E440" s="102">
        <f>'לקוחות לפי סוכן - מקור'!G464</f>
        <v/>
      </c>
      <c r="F440" s="94">
        <f>'לקוחות לפי סוכן - מקור'!D464</f>
        <v/>
      </c>
      <c r="G440" s="95">
        <f>'לקוחות לפי סוכן - מקור'!H464</f>
        <v/>
      </c>
      <c r="H440" s="95">
        <f>'לקוחות לפי סוכן - מקור'!I464</f>
        <v/>
      </c>
      <c r="I440" s="127">
        <f>'לקוחות לפי סוכן - מקור'!K464</f>
        <v/>
      </c>
    </row>
    <row r="441" outlineLevel="2" ht="15" customHeight="1" s="82">
      <c r="A441" s="94">
        <f>'לקוחות לפי סוכן - מקור'!A465</f>
        <v/>
      </c>
      <c r="B441" s="94">
        <f>'לקוחות לפי סוכן - מקור'!C465</f>
        <v/>
      </c>
      <c r="C441" s="94">
        <f>'לקוחות לפי סוכן - מקור'!E465</f>
        <v/>
      </c>
      <c r="D441" s="102">
        <f>'לקוחות לפי סוכן - מקור'!F465</f>
        <v/>
      </c>
      <c r="E441" s="102">
        <f>'לקוחות לפי סוכן - מקור'!G465</f>
        <v/>
      </c>
      <c r="F441" s="94">
        <f>'לקוחות לפי סוכן - מקור'!D465</f>
        <v/>
      </c>
      <c r="G441" s="95">
        <f>'לקוחות לפי סוכן - מקור'!H465</f>
        <v/>
      </c>
      <c r="H441" s="95">
        <f>'לקוחות לפי סוכן - מקור'!I465</f>
        <v/>
      </c>
      <c r="I441" s="127">
        <f>'לקוחות לפי סוכן - מקור'!K465</f>
        <v/>
      </c>
    </row>
    <row r="442" outlineLevel="2" ht="15" customHeight="1" s="82">
      <c r="A442" s="94">
        <f>'לקוחות לפי סוכן - מקור'!A466</f>
        <v/>
      </c>
      <c r="B442" s="94">
        <f>'לקוחות לפי סוכן - מקור'!C466</f>
        <v/>
      </c>
      <c r="C442" s="94">
        <f>'לקוחות לפי סוכן - מקור'!E466</f>
        <v/>
      </c>
      <c r="D442" s="102">
        <f>'לקוחות לפי סוכן - מקור'!F466</f>
        <v/>
      </c>
      <c r="E442" s="102">
        <f>'לקוחות לפי סוכן - מקור'!G466</f>
        <v/>
      </c>
      <c r="F442" s="94">
        <f>'לקוחות לפי סוכן - מקור'!D466</f>
        <v/>
      </c>
      <c r="G442" s="95">
        <f>'לקוחות לפי סוכן - מקור'!H466</f>
        <v/>
      </c>
      <c r="H442" s="95">
        <f>'לקוחות לפי סוכן - מקור'!I466</f>
        <v/>
      </c>
      <c r="I442" s="127">
        <f>'לקוחות לפי סוכן - מקור'!K466</f>
        <v/>
      </c>
    </row>
    <row r="443" outlineLevel="2" ht="15" customHeight="1" s="82">
      <c r="A443" s="94">
        <f>'לקוחות לפי סוכן - מקור'!A467</f>
        <v/>
      </c>
      <c r="B443" s="94">
        <f>'לקוחות לפי סוכן - מקור'!C467</f>
        <v/>
      </c>
      <c r="C443" s="94">
        <f>'לקוחות לפי סוכן - מקור'!E467</f>
        <v/>
      </c>
      <c r="D443" s="102">
        <f>'לקוחות לפי סוכן - מקור'!F467</f>
        <v/>
      </c>
      <c r="E443" s="102">
        <f>'לקוחות לפי סוכן - מקור'!G467</f>
        <v/>
      </c>
      <c r="F443" s="94">
        <f>'לקוחות לפי סוכן - מקור'!D467</f>
        <v/>
      </c>
      <c r="G443" s="95">
        <f>'לקוחות לפי סוכן - מקור'!H467</f>
        <v/>
      </c>
      <c r="H443" s="95">
        <f>'לקוחות לפי סוכן - מקור'!I467</f>
        <v/>
      </c>
      <c r="I443" s="127">
        <f>'לקוחות לפי סוכן - מקור'!K467</f>
        <v/>
      </c>
    </row>
    <row r="444" outlineLevel="2" ht="15" customHeight="1" s="82">
      <c r="A444" s="94">
        <f>'לקוחות לפי סוכן - מקור'!A468</f>
        <v/>
      </c>
      <c r="B444" s="94">
        <f>'לקוחות לפי סוכן - מקור'!C468</f>
        <v/>
      </c>
      <c r="C444" s="94">
        <f>'לקוחות לפי סוכן - מקור'!E468</f>
        <v/>
      </c>
      <c r="D444" s="102">
        <f>'לקוחות לפי סוכן - מקור'!F468</f>
        <v/>
      </c>
      <c r="E444" s="102">
        <f>'לקוחות לפי סוכן - מקור'!G468</f>
        <v/>
      </c>
      <c r="F444" s="94">
        <f>'לקוחות לפי סוכן - מקור'!D468</f>
        <v/>
      </c>
      <c r="G444" s="95">
        <f>'לקוחות לפי סוכן - מקור'!H468</f>
        <v/>
      </c>
      <c r="H444" s="95">
        <f>'לקוחות לפי סוכן - מקור'!I468</f>
        <v/>
      </c>
      <c r="I444" s="127">
        <f>'לקוחות לפי סוכן - מקור'!K468</f>
        <v/>
      </c>
    </row>
    <row r="445" outlineLevel="2" ht="15" customHeight="1" s="82">
      <c r="A445" s="94">
        <f>'לקוחות לפי סוכן - מקור'!A469</f>
        <v/>
      </c>
      <c r="B445" s="94">
        <f>'לקוחות לפי סוכן - מקור'!C469</f>
        <v/>
      </c>
      <c r="C445" s="94">
        <f>'לקוחות לפי סוכן - מקור'!E469</f>
        <v/>
      </c>
      <c r="D445" s="102">
        <f>'לקוחות לפי סוכן - מקור'!F469</f>
        <v/>
      </c>
      <c r="E445" s="102">
        <f>'לקוחות לפי סוכן - מקור'!G469</f>
        <v/>
      </c>
      <c r="F445" s="94">
        <f>'לקוחות לפי סוכן - מקור'!D469</f>
        <v/>
      </c>
      <c r="G445" s="95">
        <f>'לקוחות לפי סוכן - מקור'!H469</f>
        <v/>
      </c>
      <c r="H445" s="95">
        <f>'לקוחות לפי סוכן - מקור'!I469</f>
        <v/>
      </c>
      <c r="I445" s="127">
        <f>'לקוחות לפי סוכן - מקור'!K469</f>
        <v/>
      </c>
    </row>
    <row r="446" outlineLevel="2" ht="15" customHeight="1" s="82">
      <c r="A446" s="94">
        <f>'לקוחות לפי סוכן - מקור'!A470</f>
        <v/>
      </c>
      <c r="B446" s="94">
        <f>'לקוחות לפי סוכן - מקור'!C470</f>
        <v/>
      </c>
      <c r="C446" s="94">
        <f>'לקוחות לפי סוכן - מקור'!E470</f>
        <v/>
      </c>
      <c r="D446" s="102">
        <f>'לקוחות לפי סוכן - מקור'!F470</f>
        <v/>
      </c>
      <c r="E446" s="102">
        <f>'לקוחות לפי סוכן - מקור'!G470</f>
        <v/>
      </c>
      <c r="F446" s="94">
        <f>'לקוחות לפי סוכן - מקור'!D470</f>
        <v/>
      </c>
      <c r="G446" s="95">
        <f>'לקוחות לפי סוכן - מקור'!H470</f>
        <v/>
      </c>
      <c r="H446" s="95">
        <f>'לקוחות לפי סוכן - מקור'!I470</f>
        <v/>
      </c>
      <c r="I446" s="127">
        <f>'לקוחות לפי סוכן - מקור'!K470</f>
        <v/>
      </c>
    </row>
    <row r="447" outlineLevel="2" ht="15" customHeight="1" s="82">
      <c r="A447" s="94">
        <f>'לקוחות לפי סוכן - מקור'!A471</f>
        <v/>
      </c>
      <c r="B447" s="94">
        <f>'לקוחות לפי סוכן - מקור'!C471</f>
        <v/>
      </c>
      <c r="C447" s="94">
        <f>'לקוחות לפי סוכן - מקור'!E471</f>
        <v/>
      </c>
      <c r="D447" s="102">
        <f>'לקוחות לפי סוכן - מקור'!F471</f>
        <v/>
      </c>
      <c r="E447" s="102">
        <f>'לקוחות לפי סוכן - מקור'!G471</f>
        <v/>
      </c>
      <c r="F447" s="94">
        <f>'לקוחות לפי סוכן - מקור'!D471</f>
        <v/>
      </c>
      <c r="G447" s="95">
        <f>'לקוחות לפי סוכן - מקור'!H471</f>
        <v/>
      </c>
      <c r="H447" s="95">
        <f>'לקוחות לפי סוכן - מקור'!I471</f>
        <v/>
      </c>
      <c r="I447" s="127">
        <f>'לקוחות לפי סוכן - מקור'!K471</f>
        <v/>
      </c>
    </row>
    <row r="448" outlineLevel="1" ht="15" customHeight="1" s="82">
      <c r="A448" s="128" t="inlineStr">
        <is>
          <t>חיים ויצמן</t>
        </is>
      </c>
      <c r="B448" s="129" t="inlineStr">
        <is>
          <t>103 - Physiotherapy institutes</t>
        </is>
      </c>
      <c r="C448" s="130" t="n"/>
      <c r="D448" s="131">
        <f>SUMIFS('לקוחות לפי סוכן - מקור'!$F$2:$F$867,'לקוחות לפי סוכן - מקור'!$A$2:$A$867,$A448,'לקוחות לפי סוכן - מקור'!$C$2:$C$867,$B448)</f>
        <v/>
      </c>
      <c r="E448" s="131">
        <f>SUMIFS('לקוחות לפי סוכן - מקור'!$G$2:$G$867,'לקוחות לפי סוכן - מקור'!$A$2:$A$867,$A448,'לקוחות לפי סוכן - מקור'!$C$2:$C$867,$B448)</f>
        <v/>
      </c>
      <c r="F448" s="130" t="n"/>
      <c r="G448" s="132">
        <f>SUMIFS('לקוחות לפי סוכן - מקור'!$H$2:$H$867,'לקוחות לפי סוכן - מקור'!$A$2:$A$867,$A448,'לקוחות לפי סוכן - מקור'!$C$2:$C$867,$B448)</f>
        <v/>
      </c>
      <c r="H448" s="132">
        <f>SUMIFS('לקוחות לפי סוכן - מקור'!$I$2:$I$867,'לקוחות לפי סוכן - מקור'!$A$2:$A$867,$A448,'לקוחות לפי סוכן - מקור'!$C$2:$C$867,$B448)</f>
        <v/>
      </c>
      <c r="I448" s="130" t="n"/>
      <c r="J448" s="132">
        <f>COUNTIFS('לקוחות לפי סוכן - מקור'!$A$2:$A$867,$A448,'לקוחות לפי סוכן - מקור'!$C$2:$C$867,$B448)</f>
        <v/>
      </c>
    </row>
    <row r="449" outlineLevel="2" ht="15" customHeight="1" s="82">
      <c r="A449" s="94">
        <f>'לקוחות לפי סוכן - מקור'!A472</f>
        <v/>
      </c>
      <c r="B449" s="94">
        <f>'לקוחות לפי סוכן - מקור'!C472</f>
        <v/>
      </c>
      <c r="C449" s="94">
        <f>'לקוחות לפי סוכן - מקור'!E472</f>
        <v/>
      </c>
      <c r="D449" s="102">
        <f>'לקוחות לפי סוכן - מקור'!F472</f>
        <v/>
      </c>
      <c r="E449" s="102">
        <f>'לקוחות לפי סוכן - מקור'!G472</f>
        <v/>
      </c>
      <c r="F449" s="94">
        <f>'לקוחות לפי סוכן - מקור'!D472</f>
        <v/>
      </c>
      <c r="G449" s="95">
        <f>'לקוחות לפי סוכן - מקור'!H472</f>
        <v/>
      </c>
      <c r="H449" s="95">
        <f>'לקוחות לפי סוכן - מקור'!I472</f>
        <v/>
      </c>
      <c r="I449" s="127">
        <f>'לקוחות לפי סוכן - מקור'!K472</f>
        <v/>
      </c>
    </row>
    <row r="450" outlineLevel="2" ht="15" customHeight="1" s="82">
      <c r="A450" s="94">
        <f>'לקוחות לפי סוכן - מקור'!A473</f>
        <v/>
      </c>
      <c r="B450" s="94">
        <f>'לקוחות לפי סוכן - מקור'!C473</f>
        <v/>
      </c>
      <c r="C450" s="94">
        <f>'לקוחות לפי סוכן - מקור'!E473</f>
        <v/>
      </c>
      <c r="D450" s="102">
        <f>'לקוחות לפי סוכן - מקור'!F473</f>
        <v/>
      </c>
      <c r="E450" s="102">
        <f>'לקוחות לפי סוכן - מקור'!G473</f>
        <v/>
      </c>
      <c r="F450" s="94">
        <f>'לקוחות לפי סוכן - מקור'!D473</f>
        <v/>
      </c>
      <c r="G450" s="95">
        <f>'לקוחות לפי סוכן - מקור'!H473</f>
        <v/>
      </c>
      <c r="H450" s="95">
        <f>'לקוחות לפי סוכן - מקור'!I473</f>
        <v/>
      </c>
      <c r="I450" s="127">
        <f>'לקוחות לפי סוכן - מקור'!K473</f>
        <v/>
      </c>
    </row>
    <row r="451" outlineLevel="2" ht="15" customHeight="1" s="82">
      <c r="A451" s="94">
        <f>'לקוחות לפי סוכן - מקור'!A474</f>
        <v/>
      </c>
      <c r="B451" s="94">
        <f>'לקוחות לפי סוכן - מקור'!C474</f>
        <v/>
      </c>
      <c r="C451" s="94">
        <f>'לקוחות לפי סוכן - מקור'!E474</f>
        <v/>
      </c>
      <c r="D451" s="102">
        <f>'לקוחות לפי סוכן - מקור'!F474</f>
        <v/>
      </c>
      <c r="E451" s="102">
        <f>'לקוחות לפי סוכן - מקור'!G474</f>
        <v/>
      </c>
      <c r="F451" s="94">
        <f>'לקוחות לפי סוכן - מקור'!D474</f>
        <v/>
      </c>
      <c r="G451" s="95">
        <f>'לקוחות לפי סוכן - מקור'!H474</f>
        <v/>
      </c>
      <c r="H451" s="95">
        <f>'לקוחות לפי סוכן - מקור'!I474</f>
        <v/>
      </c>
      <c r="I451" s="127">
        <f>'לקוחות לפי סוכן - מקור'!K474</f>
        <v/>
      </c>
    </row>
    <row r="452" outlineLevel="1" ht="15" customHeight="1" s="82">
      <c r="A452" s="128" t="inlineStr">
        <is>
          <t>חיים ויצמן</t>
        </is>
      </c>
      <c r="B452" s="129" t="inlineStr">
        <is>
          <t>105 - Pedicure Salons</t>
        </is>
      </c>
      <c r="C452" s="130" t="n"/>
      <c r="D452" s="131">
        <f>SUMIFS('לקוחות לפי סוכן - מקור'!$F$2:$F$867,'לקוחות לפי סוכן - מקור'!$A$2:$A$867,$A452,'לקוחות לפי סוכן - מקור'!$C$2:$C$867,$B452)</f>
        <v/>
      </c>
      <c r="E452" s="131">
        <f>SUMIFS('לקוחות לפי סוכן - מקור'!$G$2:$G$867,'לקוחות לפי סוכן - מקור'!$A$2:$A$867,$A452,'לקוחות לפי סוכן - מקור'!$C$2:$C$867,$B452)</f>
        <v/>
      </c>
      <c r="F452" s="130" t="n"/>
      <c r="G452" s="132">
        <f>SUMIFS('לקוחות לפי סוכן - מקור'!$H$2:$H$867,'לקוחות לפי סוכן - מקור'!$A$2:$A$867,$A452,'לקוחות לפי סוכן - מקור'!$C$2:$C$867,$B452)</f>
        <v/>
      </c>
      <c r="H452" s="132">
        <f>SUMIFS('לקוחות לפי סוכן - מקור'!$I$2:$I$867,'לקוחות לפי סוכן - מקור'!$A$2:$A$867,$A452,'לקוחות לפי סוכן - מקור'!$C$2:$C$867,$B452)</f>
        <v/>
      </c>
      <c r="I452" s="130" t="n"/>
      <c r="J452" s="132">
        <f>COUNTIFS('לקוחות לפי סוכן - מקור'!$A$2:$A$867,$A452,'לקוחות לפי סוכן - מקור'!$C$2:$C$867,$B452)</f>
        <v/>
      </c>
    </row>
    <row r="453" outlineLevel="2" ht="15" customHeight="1" s="82">
      <c r="A453" s="94">
        <f>'לקוחות לפי סוכן - מקור'!A475</f>
        <v/>
      </c>
      <c r="B453" s="94">
        <f>'לקוחות לפי סוכן - מקור'!C475</f>
        <v/>
      </c>
      <c r="C453" s="94">
        <f>'לקוחות לפי סוכן - מקור'!E475</f>
        <v/>
      </c>
      <c r="D453" s="102">
        <f>'לקוחות לפי סוכן - מקור'!F475</f>
        <v/>
      </c>
      <c r="E453" s="102">
        <f>'לקוחות לפי סוכן - מקור'!G475</f>
        <v/>
      </c>
      <c r="F453" s="94">
        <f>'לקוחות לפי סוכן - מקור'!D475</f>
        <v/>
      </c>
      <c r="G453" s="95">
        <f>'לקוחות לפי סוכן - מקור'!H475</f>
        <v/>
      </c>
      <c r="H453" s="95">
        <f>'לקוחות לפי סוכן - מקור'!I475</f>
        <v/>
      </c>
      <c r="I453" s="127">
        <f>'לקוחות לפי סוכן - מקור'!K475</f>
        <v/>
      </c>
    </row>
    <row r="454" outlineLevel="1" ht="15" customHeight="1" s="82">
      <c r="A454" s="128" t="inlineStr">
        <is>
          <t>חיים ויצמן</t>
        </is>
      </c>
      <c r="B454" s="129" t="inlineStr">
        <is>
          <t>107 - Pharmacies</t>
        </is>
      </c>
      <c r="C454" s="130" t="n"/>
      <c r="D454" s="131">
        <f>SUMIFS('לקוחות לפי סוכן - מקור'!$F$2:$F$867,'לקוחות לפי סוכן - מקור'!$A$2:$A$867,$A454,'לקוחות לפי סוכן - מקור'!$C$2:$C$867,$B454)</f>
        <v/>
      </c>
      <c r="E454" s="131">
        <f>SUMIFS('לקוחות לפי סוכן - מקור'!$G$2:$G$867,'לקוחות לפי סוכן - מקור'!$A$2:$A$867,$A454,'לקוחות לפי סוכן - מקור'!$C$2:$C$867,$B454)</f>
        <v/>
      </c>
      <c r="F454" s="130" t="n"/>
      <c r="G454" s="132">
        <f>SUMIFS('לקוחות לפי סוכן - מקור'!$H$2:$H$867,'לקוחות לפי סוכן - מקור'!$A$2:$A$867,$A454,'לקוחות לפי סוכן - מקור'!$C$2:$C$867,$B454)</f>
        <v/>
      </c>
      <c r="H454" s="132">
        <f>SUMIFS('לקוחות לפי סוכן - מקור'!$I$2:$I$867,'לקוחות לפי סוכן - מקור'!$A$2:$A$867,$A454,'לקוחות לפי סוכן - מקור'!$C$2:$C$867,$B454)</f>
        <v/>
      </c>
      <c r="I454" s="130" t="n"/>
      <c r="J454" s="132">
        <f>COUNTIFS('לקוחות לפי סוכן - מקור'!$A$2:$A$867,$A454,'לקוחות לפי סוכן - מקור'!$C$2:$C$867,$B454)</f>
        <v/>
      </c>
    </row>
    <row r="455" outlineLevel="2" ht="15" customHeight="1" s="82">
      <c r="A455" s="94">
        <f>'לקוחות לפי סוכן - מקור'!A476</f>
        <v/>
      </c>
      <c r="B455" s="94">
        <f>'לקוחות לפי סוכן - מקור'!C476</f>
        <v/>
      </c>
      <c r="C455" s="94">
        <f>'לקוחות לפי סוכן - מקור'!E476</f>
        <v/>
      </c>
      <c r="D455" s="102">
        <f>'לקוחות לפי סוכן - מקור'!F476</f>
        <v/>
      </c>
      <c r="E455" s="102">
        <f>'לקוחות לפי סוכן - מקור'!G476</f>
        <v/>
      </c>
      <c r="F455" s="94">
        <f>'לקוחות לפי סוכן - מקור'!D476</f>
        <v/>
      </c>
      <c r="G455" s="95">
        <f>'לקוחות לפי סוכן - מקור'!H476</f>
        <v/>
      </c>
      <c r="H455" s="95">
        <f>'לקוחות לפי סוכן - מקור'!I476</f>
        <v/>
      </c>
      <c r="I455" s="127">
        <f>'לקוחות לפי סוכן - מקור'!K476</f>
        <v/>
      </c>
    </row>
    <row r="456" outlineLevel="2" ht="15" customHeight="1" s="82">
      <c r="A456" s="94">
        <f>'לקוחות לפי סוכן - מקור'!A477</f>
        <v/>
      </c>
      <c r="B456" s="94">
        <f>'לקוחות לפי סוכן - מקור'!C477</f>
        <v/>
      </c>
      <c r="C456" s="94">
        <f>'לקוחות לפי סוכן - מקור'!E477</f>
        <v/>
      </c>
      <c r="D456" s="102">
        <f>'לקוחות לפי סוכן - מקור'!F477</f>
        <v/>
      </c>
      <c r="E456" s="102">
        <f>'לקוחות לפי סוכן - מקור'!G477</f>
        <v/>
      </c>
      <c r="F456" s="94">
        <f>'לקוחות לפי סוכן - מקור'!D477</f>
        <v/>
      </c>
      <c r="G456" s="95">
        <f>'לקוחות לפי סוכן - מקור'!H477</f>
        <v/>
      </c>
      <c r="H456" s="95">
        <f>'לקוחות לפי סוכן - מקור'!I477</f>
        <v/>
      </c>
      <c r="I456" s="127">
        <f>'לקוחות לפי סוכן - מקור'!K477</f>
        <v/>
      </c>
    </row>
    <row r="457" outlineLevel="2" ht="15" customHeight="1" s="82">
      <c r="A457" s="94">
        <f>'לקוחות לפי סוכן - מקור'!A478</f>
        <v/>
      </c>
      <c r="B457" s="94">
        <f>'לקוחות לפי סוכן - מקור'!C478</f>
        <v/>
      </c>
      <c r="C457" s="94">
        <f>'לקוחות לפי סוכן - מקור'!E478</f>
        <v/>
      </c>
      <c r="D457" s="102">
        <f>'לקוחות לפי סוכן - מקור'!F478</f>
        <v/>
      </c>
      <c r="E457" s="102">
        <f>'לקוחות לפי סוכן - מקור'!G478</f>
        <v/>
      </c>
      <c r="F457" s="94">
        <f>'לקוחות לפי סוכן - מקור'!D478</f>
        <v/>
      </c>
      <c r="G457" s="95">
        <f>'לקוחות לפי סוכן - מקור'!H478</f>
        <v/>
      </c>
      <c r="H457" s="95">
        <f>'לקוחות לפי סוכן - מקור'!I478</f>
        <v/>
      </c>
      <c r="I457" s="127">
        <f>'לקוחות לפי סוכן - מקור'!K478</f>
        <v/>
      </c>
    </row>
    <row r="458" outlineLevel="1" ht="15" customHeight="1" s="82">
      <c r="A458" s="128" t="inlineStr">
        <is>
          <t>חיים ויצמן</t>
        </is>
      </c>
      <c r="B458" s="129" t="inlineStr">
        <is>
          <t>109 - Private Shops</t>
        </is>
      </c>
      <c r="C458" s="130" t="n"/>
      <c r="D458" s="131">
        <f>SUMIFS('לקוחות לפי סוכן - מקור'!$F$2:$F$867,'לקוחות לפי סוכן - מקור'!$A$2:$A$867,$A458,'לקוחות לפי סוכן - מקור'!$C$2:$C$867,$B458)</f>
        <v/>
      </c>
      <c r="E458" s="131">
        <f>SUMIFS('לקוחות לפי סוכן - מקור'!$G$2:$G$867,'לקוחות לפי סוכן - מקור'!$A$2:$A$867,$A458,'לקוחות לפי סוכן - מקור'!$C$2:$C$867,$B458)</f>
        <v/>
      </c>
      <c r="F458" s="130" t="n"/>
      <c r="G458" s="132">
        <f>SUMIFS('לקוחות לפי סוכן - מקור'!$H$2:$H$867,'לקוחות לפי סוכן - מקור'!$A$2:$A$867,$A458,'לקוחות לפי סוכן - מקור'!$C$2:$C$867,$B458)</f>
        <v/>
      </c>
      <c r="H458" s="132">
        <f>SUMIFS('לקוחות לפי סוכן - מקור'!$I$2:$I$867,'לקוחות לפי סוכן - מקור'!$A$2:$A$867,$A458,'לקוחות לפי סוכן - מקור'!$C$2:$C$867,$B458)</f>
        <v/>
      </c>
      <c r="I458" s="130" t="n"/>
      <c r="J458" s="132">
        <f>COUNTIFS('לקוחות לפי סוכן - מקור'!$A$2:$A$867,$A458,'לקוחות לפי סוכן - מקור'!$C$2:$C$867,$B458)</f>
        <v/>
      </c>
    </row>
    <row r="459" outlineLevel="2" ht="15" customHeight="1" s="82">
      <c r="A459" s="94">
        <f>'לקוחות לפי סוכן - מקור'!A479</f>
        <v/>
      </c>
      <c r="B459" s="94">
        <f>'לקוחות לפי סוכן - מקור'!C479</f>
        <v/>
      </c>
      <c r="C459" s="94">
        <f>'לקוחות לפי סוכן - מקור'!E479</f>
        <v/>
      </c>
      <c r="D459" s="102">
        <f>'לקוחות לפי סוכן - מקור'!F479</f>
        <v/>
      </c>
      <c r="E459" s="102">
        <f>'לקוחות לפי סוכן - מקור'!G479</f>
        <v/>
      </c>
      <c r="F459" s="94">
        <f>'לקוחות לפי סוכן - מקור'!D479</f>
        <v/>
      </c>
      <c r="G459" s="95">
        <f>'לקוחות לפי סוכן - מקור'!H479</f>
        <v/>
      </c>
      <c r="H459" s="95">
        <f>'לקוחות לפי סוכן - מקור'!I479</f>
        <v/>
      </c>
      <c r="I459" s="127">
        <f>'לקוחות לפי סוכן - מקור'!K479</f>
        <v/>
      </c>
    </row>
    <row r="460" outlineLevel="2" ht="15" customHeight="1" s="82">
      <c r="A460" s="94">
        <f>'לקוחות לפי סוכן - מקור'!A480</f>
        <v/>
      </c>
      <c r="B460" s="94">
        <f>'לקוחות לפי סוכן - מקור'!C480</f>
        <v/>
      </c>
      <c r="C460" s="94">
        <f>'לקוחות לפי סוכן - מקור'!E480</f>
        <v/>
      </c>
      <c r="D460" s="102">
        <f>'לקוחות לפי סוכן - מקור'!F480</f>
        <v/>
      </c>
      <c r="E460" s="102">
        <f>'לקוחות לפי סוכן - מקור'!G480</f>
        <v/>
      </c>
      <c r="F460" s="94">
        <f>'לקוחות לפי סוכן - מקור'!D480</f>
        <v/>
      </c>
      <c r="G460" s="95">
        <f>'לקוחות לפי סוכן - מקור'!H480</f>
        <v/>
      </c>
      <c r="H460" s="95">
        <f>'לקוחות לפי סוכן - מקור'!I480</f>
        <v/>
      </c>
      <c r="I460" s="127">
        <f>'לקוחות לפי סוכן - מקור'!K480</f>
        <v/>
      </c>
    </row>
    <row r="461" outlineLevel="2" ht="15" customHeight="1" s="82">
      <c r="A461" s="94">
        <f>'לקוחות לפי סוכן - מקור'!A481</f>
        <v/>
      </c>
      <c r="B461" s="94">
        <f>'לקוחות לפי סוכן - מקור'!C481</f>
        <v/>
      </c>
      <c r="C461" s="94">
        <f>'לקוחות לפי סוכן - מקור'!E481</f>
        <v/>
      </c>
      <c r="D461" s="102">
        <f>'לקוחות לפי סוכן - מקור'!F481</f>
        <v/>
      </c>
      <c r="E461" s="102">
        <f>'לקוחות לפי סוכן - מקור'!G481</f>
        <v/>
      </c>
      <c r="F461" s="94">
        <f>'לקוחות לפי סוכן - מקור'!D481</f>
        <v/>
      </c>
      <c r="G461" s="95">
        <f>'לקוחות לפי סוכן - מקור'!H481</f>
        <v/>
      </c>
      <c r="H461" s="95">
        <f>'לקוחות לפי סוכן - מקור'!I481</f>
        <v/>
      </c>
      <c r="I461" s="127">
        <f>'לקוחות לפי סוכן - מקור'!K481</f>
        <v/>
      </c>
    </row>
    <row r="462" outlineLevel="2" ht="15" customHeight="1" s="82">
      <c r="A462" s="94">
        <f>'לקוחות לפי סוכן - מקור'!A482</f>
        <v/>
      </c>
      <c r="B462" s="94">
        <f>'לקוחות לפי סוכן - מקור'!C482</f>
        <v/>
      </c>
      <c r="C462" s="94">
        <f>'לקוחות לפי סוכן - מקור'!E482</f>
        <v/>
      </c>
      <c r="D462" s="102">
        <f>'לקוחות לפי סוכן - מקור'!F482</f>
        <v/>
      </c>
      <c r="E462" s="102">
        <f>'לקוחות לפי סוכן - מקור'!G482</f>
        <v/>
      </c>
      <c r="F462" s="94">
        <f>'לקוחות לפי סוכן - מקור'!D482</f>
        <v/>
      </c>
      <c r="G462" s="95">
        <f>'לקוחות לפי סוכן - מקור'!H482</f>
        <v/>
      </c>
      <c r="H462" s="95">
        <f>'לקוחות לפי סוכן - מקור'!I482</f>
        <v/>
      </c>
      <c r="I462" s="127">
        <f>'לקוחות לפי סוכן - מקור'!K482</f>
        <v/>
      </c>
    </row>
    <row r="463" outlineLevel="2" ht="15" customHeight="1" s="82">
      <c r="A463" s="94">
        <f>'לקוחות לפי סוכן - מקור'!A483</f>
        <v/>
      </c>
      <c r="B463" s="94">
        <f>'לקוחות לפי סוכן - מקור'!C483</f>
        <v/>
      </c>
      <c r="C463" s="94">
        <f>'לקוחות לפי סוכן - מקור'!E483</f>
        <v/>
      </c>
      <c r="D463" s="102">
        <f>'לקוחות לפי סוכן - מקור'!F483</f>
        <v/>
      </c>
      <c r="E463" s="102">
        <f>'לקוחות לפי סוכן - מקור'!G483</f>
        <v/>
      </c>
      <c r="F463" s="94">
        <f>'לקוחות לפי סוכן - מקור'!D483</f>
        <v/>
      </c>
      <c r="G463" s="95">
        <f>'לקוחות לפי סוכן - מקור'!H483</f>
        <v/>
      </c>
      <c r="H463" s="95">
        <f>'לקוחות לפי סוכן - מקור'!I483</f>
        <v/>
      </c>
      <c r="I463" s="127">
        <f>'לקוחות לפי סוכן - מקור'!K483</f>
        <v/>
      </c>
    </row>
    <row r="464" outlineLevel="1" ht="15" customHeight="1" s="82">
      <c r="A464" s="128" t="inlineStr">
        <is>
          <t>חיים ויצמן</t>
        </is>
      </c>
      <c r="B464" s="129" t="inlineStr">
        <is>
          <t>0בתי מרקחת</t>
        </is>
      </c>
      <c r="C464" s="130" t="n"/>
      <c r="D464" s="131">
        <f>SUMIFS('לקוחות לפי סוכן - מקור'!$F$2:$F$867,'לקוחות לפי סוכן - מקור'!$A$2:$A$867,$A464,'לקוחות לפי סוכן - מקור'!$C$2:$C$867,$B464)</f>
        <v/>
      </c>
      <c r="E464" s="131">
        <f>SUMIFS('לקוחות לפי סוכן - מקור'!$G$2:$G$867,'לקוחות לפי סוכן - מקור'!$A$2:$A$867,$A464,'לקוחות לפי סוכן - מקור'!$C$2:$C$867,$B464)</f>
        <v/>
      </c>
      <c r="F464" s="130" t="n"/>
      <c r="G464" s="132">
        <f>SUMIFS('לקוחות לפי סוכן - מקור'!$H$2:$H$867,'לקוחות לפי סוכן - מקור'!$A$2:$A$867,$A464,'לקוחות לפי סוכן - מקור'!$C$2:$C$867,$B464)</f>
        <v/>
      </c>
      <c r="H464" s="132">
        <f>SUMIFS('לקוחות לפי סוכן - מקור'!$I$2:$I$867,'לקוחות לפי סוכן - מקור'!$A$2:$A$867,$A464,'לקוחות לפי סוכן - מקור'!$C$2:$C$867,$B464)</f>
        <v/>
      </c>
      <c r="I464" s="130" t="n"/>
      <c r="J464" s="132">
        <f>COUNTIFS('לקוחות לפי סוכן - מקור'!$A$2:$A$867,$A464,'לקוחות לפי סוכן - מקור'!$C$2:$C$867,$B464)</f>
        <v/>
      </c>
    </row>
    <row r="465" outlineLevel="2" ht="15" customHeight="1" s="82">
      <c r="A465" s="94">
        <f>'לקוחות לפי סוכן - מקור'!A484</f>
        <v/>
      </c>
      <c r="B465" s="94">
        <f>'לקוחות לפי סוכן - מקור'!C484</f>
        <v/>
      </c>
      <c r="C465" s="94">
        <f>'לקוחות לפי סוכן - מקור'!E484</f>
        <v/>
      </c>
      <c r="D465" s="102">
        <f>'לקוחות לפי סוכן - מקור'!F484</f>
        <v/>
      </c>
      <c r="E465" s="102">
        <f>'לקוחות לפי סוכן - מקור'!G484</f>
        <v/>
      </c>
      <c r="F465" s="94">
        <f>'לקוחות לפי סוכן - מקור'!D484</f>
        <v/>
      </c>
      <c r="G465" s="95">
        <f>'לקוחות לפי סוכן - מקור'!H484</f>
        <v/>
      </c>
      <c r="H465" s="95">
        <f>'לקוחות לפי סוכן - מקור'!I484</f>
        <v/>
      </c>
      <c r="I465" s="127">
        <f>'לקוחות לפי סוכן - מקור'!K484</f>
        <v/>
      </c>
    </row>
    <row r="466" outlineLevel="1" ht="15" customHeight="1" s="82">
      <c r="A466" s="128" t="inlineStr">
        <is>
          <t>חיים ויצמן</t>
        </is>
      </c>
      <c r="B466" s="129" t="inlineStr">
        <is>
          <t>שור טבצניק</t>
        </is>
      </c>
      <c r="C466" s="130" t="n"/>
      <c r="D466" s="131">
        <f>SUMIFS('לקוחות לפי סוכן - מקור'!$F$2:$F$867,'לקוחות לפי סוכן - מקור'!$A$2:$A$867,$A466,'לקוחות לפי סוכן - מקור'!$C$2:$C$867,$B466)</f>
        <v/>
      </c>
      <c r="E466" s="131">
        <f>SUMIFS('לקוחות לפי סוכן - מקור'!$G$2:$G$867,'לקוחות לפי סוכן - מקור'!$A$2:$A$867,$A466,'לקוחות לפי סוכן - מקור'!$C$2:$C$867,$B466)</f>
        <v/>
      </c>
      <c r="F466" s="130" t="n"/>
      <c r="G466" s="132">
        <f>SUMIFS('לקוחות לפי סוכן - מקור'!$H$2:$H$867,'לקוחות לפי סוכן - מקור'!$A$2:$A$867,$A466,'לקוחות לפי סוכן - מקור'!$C$2:$C$867,$B466)</f>
        <v/>
      </c>
      <c r="H466" s="132">
        <f>SUMIFS('לקוחות לפי סוכן - מקור'!$I$2:$I$867,'לקוחות לפי סוכן - מקור'!$A$2:$A$867,$A466,'לקוחות לפי סוכן - מקור'!$C$2:$C$867,$B466)</f>
        <v/>
      </c>
      <c r="I466" s="130" t="n"/>
      <c r="J466" s="132">
        <f>COUNTIFS('לקוחות לפי סוכן - מקור'!$A$2:$A$867,$A466,'לקוחות לפי סוכן - מקור'!$C$2:$C$867,$B466)</f>
        <v/>
      </c>
    </row>
    <row r="467" outlineLevel="2" ht="15" customHeight="1" s="82">
      <c r="A467" s="94">
        <f>'לקוחות לפי סוכן - מקור'!A485</f>
        <v/>
      </c>
      <c r="B467" s="94">
        <f>'לקוחות לפי סוכן - מקור'!C485</f>
        <v/>
      </c>
      <c r="C467" s="94">
        <f>'לקוחות לפי סוכן - מקור'!E485</f>
        <v/>
      </c>
      <c r="D467" s="102">
        <f>'לקוחות לפי סוכן - מקור'!F485</f>
        <v/>
      </c>
      <c r="E467" s="102">
        <f>'לקוחות לפי סוכן - מקור'!G485</f>
        <v/>
      </c>
      <c r="F467" s="94">
        <f>'לקוחות לפי סוכן - מקור'!D485</f>
        <v/>
      </c>
      <c r="G467" s="95">
        <f>'לקוחות לפי סוכן - מקור'!H485</f>
        <v/>
      </c>
      <c r="H467" s="95">
        <f>'לקוחות לפי סוכן - מקור'!I485</f>
        <v/>
      </c>
      <c r="I467" s="127">
        <f>'לקוחות לפי סוכן - מקור'!K485</f>
        <v/>
      </c>
    </row>
    <row r="468" outlineLevel="1" ht="15" customHeight="1" s="82">
      <c r="A468" s="128" t="inlineStr">
        <is>
          <t>חיים ויצמן</t>
        </is>
      </c>
      <c r="B468" s="129" t="inlineStr">
        <is>
          <t>שרם</t>
        </is>
      </c>
      <c r="C468" s="130" t="n"/>
      <c r="D468" s="131">
        <f>SUMIFS('לקוחות לפי סוכן - מקור'!$F$2:$F$867,'לקוחות לפי סוכן - מקור'!$A$2:$A$867,$A468,'לקוחות לפי סוכן - מקור'!$C$2:$C$867,$B468)</f>
        <v/>
      </c>
      <c r="E468" s="131">
        <f>SUMIFS('לקוחות לפי סוכן - מקור'!$G$2:$G$867,'לקוחות לפי סוכן - מקור'!$A$2:$A$867,$A468,'לקוחות לפי סוכן - מקור'!$C$2:$C$867,$B468)</f>
        <v/>
      </c>
      <c r="F468" s="130" t="n"/>
      <c r="G468" s="132">
        <f>SUMIFS('לקוחות לפי סוכן - מקור'!$H$2:$H$867,'לקוחות לפי סוכן - מקור'!$A$2:$A$867,$A468,'לקוחות לפי סוכן - מקור'!$C$2:$C$867,$B468)</f>
        <v/>
      </c>
      <c r="H468" s="132">
        <f>SUMIFS('לקוחות לפי סוכן - מקור'!$I$2:$I$867,'לקוחות לפי סוכן - מקור'!$A$2:$A$867,$A468,'לקוחות לפי סוכן - מקור'!$C$2:$C$867,$B468)</f>
        <v/>
      </c>
      <c r="I468" s="130" t="n"/>
      <c r="J468" s="132">
        <f>COUNTIFS('לקוחות לפי סוכן - מקור'!$A$2:$A$867,$A468,'לקוחות לפי סוכן - מקור'!$C$2:$C$867,$B468)</f>
        <v/>
      </c>
    </row>
    <row r="469" outlineLevel="2" ht="15" customHeight="1" s="82">
      <c r="A469" s="94">
        <f>'לקוחות לפי סוכן - מקור'!A486</f>
        <v/>
      </c>
      <c r="B469" s="94">
        <f>'לקוחות לפי סוכן - מקור'!C486</f>
        <v/>
      </c>
      <c r="C469" s="94">
        <f>'לקוחות לפי סוכן - מקור'!E486</f>
        <v/>
      </c>
      <c r="D469" s="102">
        <f>'לקוחות לפי סוכן - מקור'!F486</f>
        <v/>
      </c>
      <c r="E469" s="102">
        <f>'לקוחות לפי סוכן - מקור'!G486</f>
        <v/>
      </c>
      <c r="F469" s="94">
        <f>'לקוחות לפי סוכן - מקור'!D486</f>
        <v/>
      </c>
      <c r="G469" s="95">
        <f>'לקוחות לפי סוכן - מקור'!H486</f>
        <v/>
      </c>
      <c r="H469" s="95">
        <f>'לקוחות לפי סוכן - מקור'!I486</f>
        <v/>
      </c>
      <c r="I469" s="127">
        <f>'לקוחות לפי סוכן - מקור'!K486</f>
        <v/>
      </c>
    </row>
    <row r="470" outlineLevel="2" ht="15" customHeight="1" s="82">
      <c r="A470" s="94">
        <f>'לקוחות לפי סוכן - מקור'!A487</f>
        <v/>
      </c>
      <c r="B470" s="94">
        <f>'לקוחות לפי סוכן - מקור'!C487</f>
        <v/>
      </c>
      <c r="C470" s="94">
        <f>'לקוחות לפי סוכן - מקור'!E487</f>
        <v/>
      </c>
      <c r="D470" s="102">
        <f>'לקוחות לפי סוכן - מקור'!F487</f>
        <v/>
      </c>
      <c r="E470" s="102">
        <f>'לקוחות לפי סוכן - מקור'!G487</f>
        <v/>
      </c>
      <c r="F470" s="94">
        <f>'לקוחות לפי סוכן - מקור'!D487</f>
        <v/>
      </c>
      <c r="G470" s="95">
        <f>'לקוחות לפי סוכן - מקור'!H487</f>
        <v/>
      </c>
      <c r="H470" s="95">
        <f>'לקוחות לפי סוכן - מקור'!I487</f>
        <v/>
      </c>
      <c r="I470" s="127">
        <f>'לקוחות לפי סוכן - מקור'!K487</f>
        <v/>
      </c>
    </row>
    <row r="471" outlineLevel="2" ht="15" customHeight="1" s="82">
      <c r="A471" s="94">
        <f>'לקוחות לפי סוכן - מקור'!A488</f>
        <v/>
      </c>
      <c r="B471" s="94">
        <f>'לקוחות לפי סוכן - מקור'!C488</f>
        <v/>
      </c>
      <c r="C471" s="94">
        <f>'לקוחות לפי סוכן - מקור'!E488</f>
        <v/>
      </c>
      <c r="D471" s="102">
        <f>'לקוחות לפי סוכן - מקור'!F488</f>
        <v/>
      </c>
      <c r="E471" s="102">
        <f>'לקוחות לפי סוכן - מקור'!G488</f>
        <v/>
      </c>
      <c r="F471" s="94">
        <f>'לקוחות לפי סוכן - מקור'!D488</f>
        <v/>
      </c>
      <c r="G471" s="95">
        <f>'לקוחות לפי סוכן - מקור'!H488</f>
        <v/>
      </c>
      <c r="H471" s="95">
        <f>'לקוחות לפי סוכן - מקור'!I488</f>
        <v/>
      </c>
      <c r="I471" s="127">
        <f>'לקוחות לפי סוכן - מקור'!K488</f>
        <v/>
      </c>
    </row>
    <row r="472" outlineLevel="2" ht="15" customHeight="1" s="82">
      <c r="A472" s="94">
        <f>'לקוחות לפי סוכן - מקור'!A489</f>
        <v/>
      </c>
      <c r="B472" s="94">
        <f>'לקוחות לפי סוכן - מקור'!C489</f>
        <v/>
      </c>
      <c r="C472" s="94">
        <f>'לקוחות לפי סוכן - מקור'!E489</f>
        <v/>
      </c>
      <c r="D472" s="102">
        <f>'לקוחות לפי סוכן - מקור'!F489</f>
        <v/>
      </c>
      <c r="E472" s="102">
        <f>'לקוחות לפי סוכן - מקור'!G489</f>
        <v/>
      </c>
      <c r="F472" s="94">
        <f>'לקוחות לפי סוכן - מקור'!D489</f>
        <v/>
      </c>
      <c r="G472" s="95">
        <f>'לקוחות לפי סוכן - מקור'!H489</f>
        <v/>
      </c>
      <c r="H472" s="95">
        <f>'לקוחות לפי סוכן - מקור'!I489</f>
        <v/>
      </c>
      <c r="I472" s="127">
        <f>'לקוחות לפי סוכן - מקור'!K489</f>
        <v/>
      </c>
    </row>
    <row r="473" outlineLevel="2" ht="15" customHeight="1" s="82">
      <c r="A473" s="94">
        <f>'לקוחות לפי סוכן - מקור'!A490</f>
        <v/>
      </c>
      <c r="B473" s="94">
        <f>'לקוחות לפי סוכן - מקור'!C490</f>
        <v/>
      </c>
      <c r="C473" s="94">
        <f>'לקוחות לפי סוכן - מקור'!E490</f>
        <v/>
      </c>
      <c r="D473" s="102">
        <f>'לקוחות לפי סוכן - מקור'!F490</f>
        <v/>
      </c>
      <c r="E473" s="102">
        <f>'לקוחות לפי סוכן - מקור'!G490</f>
        <v/>
      </c>
      <c r="F473" s="94">
        <f>'לקוחות לפי סוכן - מקור'!D490</f>
        <v/>
      </c>
      <c r="G473" s="95">
        <f>'לקוחות לפי סוכן - מקור'!H490</f>
        <v/>
      </c>
      <c r="H473" s="95">
        <f>'לקוחות לפי סוכן - מקור'!I490</f>
        <v/>
      </c>
      <c r="I473" s="127">
        <f>'לקוחות לפי סוכן - מקור'!K490</f>
        <v/>
      </c>
    </row>
    <row r="474" outlineLevel="2" ht="15" customHeight="1" s="82">
      <c r="A474" s="94">
        <f>'לקוחות לפי סוכן - מקור'!A491</f>
        <v/>
      </c>
      <c r="B474" s="94">
        <f>'לקוחות לפי סוכן - מקור'!C491</f>
        <v/>
      </c>
      <c r="C474" s="94">
        <f>'לקוחות לפי סוכן - מקור'!E491</f>
        <v/>
      </c>
      <c r="D474" s="102">
        <f>'לקוחות לפי סוכן - מקור'!F491</f>
        <v/>
      </c>
      <c r="E474" s="102">
        <f>'לקוחות לפי סוכן - מקור'!G491</f>
        <v/>
      </c>
      <c r="F474" s="94">
        <f>'לקוחות לפי סוכן - מקור'!D491</f>
        <v/>
      </c>
      <c r="G474" s="95">
        <f>'לקוחות לפי סוכן - מקור'!H491</f>
        <v/>
      </c>
      <c r="H474" s="95">
        <f>'לקוחות לפי סוכן - מקור'!I491</f>
        <v/>
      </c>
      <c r="I474" s="127">
        <f>'לקוחות לפי סוכן - מקור'!K491</f>
        <v/>
      </c>
    </row>
    <row r="475" outlineLevel="2" ht="15" customHeight="1" s="82">
      <c r="A475" s="94">
        <f>'לקוחות לפי סוכן - מקור'!A492</f>
        <v/>
      </c>
      <c r="B475" s="94">
        <f>'לקוחות לפי סוכן - מקור'!C492</f>
        <v/>
      </c>
      <c r="C475" s="94">
        <f>'לקוחות לפי סוכן - מקור'!E492</f>
        <v/>
      </c>
      <c r="D475" s="102">
        <f>'לקוחות לפי סוכן - מקור'!F492</f>
        <v/>
      </c>
      <c r="E475" s="102">
        <f>'לקוחות לפי סוכן - מקור'!G492</f>
        <v/>
      </c>
      <c r="F475" s="94">
        <f>'לקוחות לפי סוכן - מקור'!D492</f>
        <v/>
      </c>
      <c r="G475" s="95">
        <f>'לקוחות לפי סוכן - מקור'!H492</f>
        <v/>
      </c>
      <c r="H475" s="95">
        <f>'לקוחות לפי סוכן - מקור'!I492</f>
        <v/>
      </c>
      <c r="I475" s="127">
        <f>'לקוחות לפי סוכן - מקור'!K492</f>
        <v/>
      </c>
    </row>
    <row r="476" outlineLevel="2" ht="15" customHeight="1" s="82">
      <c r="A476" s="94">
        <f>'לקוחות לפי סוכן - מקור'!A493</f>
        <v/>
      </c>
      <c r="B476" s="94">
        <f>'לקוחות לפי סוכן - מקור'!C493</f>
        <v/>
      </c>
      <c r="C476" s="94">
        <f>'לקוחות לפי סוכן - מקור'!E493</f>
        <v/>
      </c>
      <c r="D476" s="102">
        <f>'לקוחות לפי סוכן - מקור'!F493</f>
        <v/>
      </c>
      <c r="E476" s="102">
        <f>'לקוחות לפי סוכן - מקור'!G493</f>
        <v/>
      </c>
      <c r="F476" s="94">
        <f>'לקוחות לפי סוכן - מקור'!D493</f>
        <v/>
      </c>
      <c r="G476" s="95">
        <f>'לקוחות לפי סוכן - מקור'!H493</f>
        <v/>
      </c>
      <c r="H476" s="95">
        <f>'לקוחות לפי סוכן - מקור'!I493</f>
        <v/>
      </c>
      <c r="I476" s="127">
        <f>'לקוחות לפי סוכן - מקור'!K493</f>
        <v/>
      </c>
    </row>
    <row r="477" outlineLevel="2" ht="15" customHeight="1" s="82">
      <c r="A477" s="94">
        <f>'לקוחות לפי סוכן - מקור'!A494</f>
        <v/>
      </c>
      <c r="B477" s="94">
        <f>'לקוחות לפי סוכן - מקור'!C494</f>
        <v/>
      </c>
      <c r="C477" s="94">
        <f>'לקוחות לפי סוכן - מקור'!E494</f>
        <v/>
      </c>
      <c r="D477" s="102">
        <f>'לקוחות לפי סוכן - מקור'!F494</f>
        <v/>
      </c>
      <c r="E477" s="102">
        <f>'לקוחות לפי סוכן - מקור'!G494</f>
        <v/>
      </c>
      <c r="F477" s="94">
        <f>'לקוחות לפי סוכן - מקור'!D494</f>
        <v/>
      </c>
      <c r="G477" s="95">
        <f>'לקוחות לפי סוכן - מקור'!H494</f>
        <v/>
      </c>
      <c r="H477" s="95">
        <f>'לקוחות לפי סוכן - מקור'!I494</f>
        <v/>
      </c>
      <c r="I477" s="127">
        <f>'לקוחות לפי סוכן - מקור'!K494</f>
        <v/>
      </c>
    </row>
    <row r="478" outlineLevel="2" ht="15" customHeight="1" s="82">
      <c r="A478" s="94">
        <f>'לקוחות לפי סוכן - מקור'!A495</f>
        <v/>
      </c>
      <c r="B478" s="94">
        <f>'לקוחות לפי סוכן - מקור'!C495</f>
        <v/>
      </c>
      <c r="C478" s="94">
        <f>'לקוחות לפי סוכן - מקור'!E495</f>
        <v/>
      </c>
      <c r="D478" s="102">
        <f>'לקוחות לפי סוכן - מקור'!F495</f>
        <v/>
      </c>
      <c r="E478" s="102">
        <f>'לקוחות לפי סוכן - מקור'!G495</f>
        <v/>
      </c>
      <c r="F478" s="94">
        <f>'לקוחות לפי סוכן - מקור'!D495</f>
        <v/>
      </c>
      <c r="G478" s="95">
        <f>'לקוחות לפי סוכן - מקור'!H495</f>
        <v/>
      </c>
      <c r="H478" s="95">
        <f>'לקוחות לפי סוכן - מקור'!I495</f>
        <v/>
      </c>
      <c r="I478" s="127">
        <f>'לקוחות לפי סוכן - מקור'!K495</f>
        <v/>
      </c>
    </row>
    <row r="479" outlineLevel="2" ht="15" customHeight="1" s="82">
      <c r="A479" s="94">
        <f>'לקוחות לפי סוכן - מקור'!A496</f>
        <v/>
      </c>
      <c r="B479" s="94">
        <f>'לקוחות לפי סוכן - מקור'!C496</f>
        <v/>
      </c>
      <c r="C479" s="94">
        <f>'לקוחות לפי סוכן - מקור'!E496</f>
        <v/>
      </c>
      <c r="D479" s="102">
        <f>'לקוחות לפי סוכן - מקור'!F496</f>
        <v/>
      </c>
      <c r="E479" s="102">
        <f>'לקוחות לפי סוכן - מקור'!G496</f>
        <v/>
      </c>
      <c r="F479" s="94">
        <f>'לקוחות לפי סוכן - מקור'!D496</f>
        <v/>
      </c>
      <c r="G479" s="95">
        <f>'לקוחות לפי סוכן - מקור'!H496</f>
        <v/>
      </c>
      <c r="H479" s="95">
        <f>'לקוחות לפי סוכן - מקור'!I496</f>
        <v/>
      </c>
      <c r="I479" s="127">
        <f>'לקוחות לפי סוכן - מקור'!K496</f>
        <v/>
      </c>
    </row>
    <row r="480" outlineLevel="2" ht="15" customHeight="1" s="82">
      <c r="A480" s="94">
        <f>'לקוחות לפי סוכן - מקור'!A497</f>
        <v/>
      </c>
      <c r="B480" s="94">
        <f>'לקוחות לפי סוכן - מקור'!C497</f>
        <v/>
      </c>
      <c r="C480" s="94">
        <f>'לקוחות לפי סוכן - מקור'!E497</f>
        <v/>
      </c>
      <c r="D480" s="102">
        <f>'לקוחות לפי סוכן - מקור'!F497</f>
        <v/>
      </c>
      <c r="E480" s="102">
        <f>'לקוחות לפי סוכן - מקור'!G497</f>
        <v/>
      </c>
      <c r="F480" s="94">
        <f>'לקוחות לפי סוכן - מקור'!D497</f>
        <v/>
      </c>
      <c r="G480" s="95">
        <f>'לקוחות לפי סוכן - מקור'!H497</f>
        <v/>
      </c>
      <c r="H480" s="95">
        <f>'לקוחות לפי סוכן - מקור'!I497</f>
        <v/>
      </c>
      <c r="I480" s="127">
        <f>'לקוחות לפי סוכן - מקור'!K497</f>
        <v/>
      </c>
    </row>
    <row r="481" outlineLevel="2" ht="15" customHeight="1" s="82">
      <c r="A481" s="94">
        <f>'לקוחות לפי סוכן - מקור'!A498</f>
        <v/>
      </c>
      <c r="B481" s="94">
        <f>'לקוחות לפי סוכן - מקור'!C498</f>
        <v/>
      </c>
      <c r="C481" s="94">
        <f>'לקוחות לפי סוכן - מקור'!E498</f>
        <v/>
      </c>
      <c r="D481" s="102">
        <f>'לקוחות לפי סוכן - מקור'!F498</f>
        <v/>
      </c>
      <c r="E481" s="102">
        <f>'לקוחות לפי סוכן - מקור'!G498</f>
        <v/>
      </c>
      <c r="F481" s="94">
        <f>'לקוחות לפי סוכן - מקור'!D498</f>
        <v/>
      </c>
      <c r="G481" s="95">
        <f>'לקוחות לפי סוכן - מקור'!H498</f>
        <v/>
      </c>
      <c r="H481" s="95">
        <f>'לקוחות לפי סוכן - מקור'!I498</f>
        <v/>
      </c>
      <c r="I481" s="127">
        <f>'לקוחות לפי סוכן - מקור'!K498</f>
        <v/>
      </c>
    </row>
    <row r="482" outlineLevel="2" ht="15" customHeight="1" s="82">
      <c r="A482" s="94">
        <f>'לקוחות לפי סוכן - מקור'!A499</f>
        <v/>
      </c>
      <c r="B482" s="94">
        <f>'לקוחות לפי סוכן - מקור'!C499</f>
        <v/>
      </c>
      <c r="C482" s="94">
        <f>'לקוחות לפי סוכן - מקור'!E499</f>
        <v/>
      </c>
      <c r="D482" s="102">
        <f>'לקוחות לפי סוכן - מקור'!F499</f>
        <v/>
      </c>
      <c r="E482" s="102">
        <f>'לקוחות לפי סוכן - מקור'!G499</f>
        <v/>
      </c>
      <c r="F482" s="94">
        <f>'לקוחות לפי סוכן - מקור'!D499</f>
        <v/>
      </c>
      <c r="G482" s="95">
        <f>'לקוחות לפי סוכן - מקור'!H499</f>
        <v/>
      </c>
      <c r="H482" s="95">
        <f>'לקוחות לפי סוכן - מקור'!I499</f>
        <v/>
      </c>
      <c r="I482" s="127">
        <f>'לקוחות לפי סוכן - מקור'!K499</f>
        <v/>
      </c>
    </row>
    <row r="483" outlineLevel="2" ht="15" customHeight="1" s="82">
      <c r="A483" s="94">
        <f>'לקוחות לפי סוכן - מקור'!A500</f>
        <v/>
      </c>
      <c r="B483" s="94">
        <f>'לקוחות לפי סוכן - מקור'!C500</f>
        <v/>
      </c>
      <c r="C483" s="94">
        <f>'לקוחות לפי סוכן - מקור'!E500</f>
        <v/>
      </c>
      <c r="D483" s="102">
        <f>'לקוחות לפי סוכן - מקור'!F500</f>
        <v/>
      </c>
      <c r="E483" s="102">
        <f>'לקוחות לפי סוכן - מקור'!G500</f>
        <v/>
      </c>
      <c r="F483" s="94">
        <f>'לקוחות לפי סוכן - מקור'!D500</f>
        <v/>
      </c>
      <c r="G483" s="95">
        <f>'לקוחות לפי סוכן - מקור'!H500</f>
        <v/>
      </c>
      <c r="H483" s="95">
        <f>'לקוחות לפי סוכן - מקור'!I500</f>
        <v/>
      </c>
      <c r="I483" s="127">
        <f>'לקוחות לפי סוכן - מקור'!K500</f>
        <v/>
      </c>
    </row>
    <row r="484" outlineLevel="1" ht="15" customHeight="1" s="82">
      <c r="A484" s="128" t="inlineStr">
        <is>
          <t>חיים ויצמן</t>
        </is>
      </c>
      <c r="B484" s="129" t="inlineStr">
        <is>
          <t>ס. פארם</t>
        </is>
      </c>
      <c r="C484" s="130" t="n"/>
      <c r="D484" s="131">
        <f>SUMIFS('לקוחות לפי סוכן - מקור'!$F$2:$F$867,'לקוחות לפי סוכן - מקור'!$A$2:$A$867,$A484,'לקוחות לפי סוכן - מקור'!$C$2:$C$867,$B484)</f>
        <v/>
      </c>
      <c r="E484" s="131">
        <f>SUMIFS('לקוחות לפי סוכן - מקור'!$G$2:$G$867,'לקוחות לפי סוכן - מקור'!$A$2:$A$867,$A484,'לקוחות לפי סוכן - מקור'!$C$2:$C$867,$B484)</f>
        <v/>
      </c>
      <c r="F484" s="130" t="n"/>
      <c r="G484" s="132">
        <f>SUMIFS('לקוחות לפי סוכן - מקור'!$H$2:$H$867,'לקוחות לפי סוכן - מקור'!$A$2:$A$867,$A484,'לקוחות לפי סוכן - מקור'!$C$2:$C$867,$B484)</f>
        <v/>
      </c>
      <c r="H484" s="132">
        <f>SUMIFS('לקוחות לפי סוכן - מקור'!$I$2:$I$867,'לקוחות לפי סוכן - מקור'!$A$2:$A$867,$A484,'לקוחות לפי סוכן - מקור'!$C$2:$C$867,$B484)</f>
        <v/>
      </c>
      <c r="I484" s="130" t="n"/>
      <c r="J484" s="132">
        <f>COUNTIFS('לקוחות לפי סוכן - מקור'!$A$2:$A$867,$A484,'לקוחות לפי סוכן - מקור'!$C$2:$C$867,$B484)</f>
        <v/>
      </c>
    </row>
    <row r="485" outlineLevel="2" ht="15" customHeight="1" s="82">
      <c r="A485" s="94">
        <f>'לקוחות לפי סוכן - מקור'!A501</f>
        <v/>
      </c>
      <c r="B485" s="94">
        <f>'לקוחות לפי סוכן - מקור'!C501</f>
        <v/>
      </c>
      <c r="C485" s="94">
        <f>'לקוחות לפי סוכן - מקור'!E501</f>
        <v/>
      </c>
      <c r="D485" s="102">
        <f>'לקוחות לפי סוכן - מקור'!F501</f>
        <v/>
      </c>
      <c r="E485" s="102">
        <f>'לקוחות לפי סוכן - מקור'!G501</f>
        <v/>
      </c>
      <c r="F485" s="94">
        <f>'לקוחות לפי סוכן - מקור'!D501</f>
        <v/>
      </c>
      <c r="G485" s="95">
        <f>'לקוחות לפי סוכן - מקור'!H501</f>
        <v/>
      </c>
      <c r="H485" s="95">
        <f>'לקוחות לפי סוכן - מקור'!I501</f>
        <v/>
      </c>
      <c r="I485" s="127">
        <f>'לקוחות לפי סוכן - מקור'!K501</f>
        <v/>
      </c>
    </row>
    <row r="486" outlineLevel="2" ht="15" customHeight="1" s="82">
      <c r="A486" s="94">
        <f>'לקוחות לפי סוכן - מקור'!A502</f>
        <v/>
      </c>
      <c r="B486" s="94">
        <f>'לקוחות לפי סוכן - מקור'!C502</f>
        <v/>
      </c>
      <c r="C486" s="94">
        <f>'לקוחות לפי סוכן - מקור'!E502</f>
        <v/>
      </c>
      <c r="D486" s="102">
        <f>'לקוחות לפי סוכן - מקור'!F502</f>
        <v/>
      </c>
      <c r="E486" s="102">
        <f>'לקוחות לפי סוכן - מקור'!G502</f>
        <v/>
      </c>
      <c r="F486" s="94">
        <f>'לקוחות לפי סוכן - מקור'!D502</f>
        <v/>
      </c>
      <c r="G486" s="95">
        <f>'לקוחות לפי סוכן - מקור'!H502</f>
        <v/>
      </c>
      <c r="H486" s="95">
        <f>'לקוחות לפי סוכן - מקור'!I502</f>
        <v/>
      </c>
      <c r="I486" s="127">
        <f>'לקוחות לפי סוכן - מקור'!K502</f>
        <v/>
      </c>
    </row>
    <row r="487" outlineLevel="2" ht="15" customHeight="1" s="82">
      <c r="A487" s="94">
        <f>'לקוחות לפי סוכן - מקור'!A503</f>
        <v/>
      </c>
      <c r="B487" s="94">
        <f>'לקוחות לפי סוכן - מקור'!C503</f>
        <v/>
      </c>
      <c r="C487" s="94">
        <f>'לקוחות לפי סוכן - מקור'!E503</f>
        <v/>
      </c>
      <c r="D487" s="102">
        <f>'לקוחות לפי סוכן - מקור'!F503</f>
        <v/>
      </c>
      <c r="E487" s="102">
        <f>'לקוחות לפי סוכן - מקור'!G503</f>
        <v/>
      </c>
      <c r="F487" s="94">
        <f>'לקוחות לפי סוכן - מקור'!D503</f>
        <v/>
      </c>
      <c r="G487" s="95">
        <f>'לקוחות לפי סוכן - מקור'!H503</f>
        <v/>
      </c>
      <c r="H487" s="95">
        <f>'לקוחות לפי סוכן - מקור'!I503</f>
        <v/>
      </c>
      <c r="I487" s="127">
        <f>'לקוחות לפי סוכן - מקור'!K503</f>
        <v/>
      </c>
    </row>
    <row r="488" outlineLevel="2" ht="15" customHeight="1" s="82">
      <c r="A488" s="94">
        <f>'לקוחות לפי סוכן - מקור'!A504</f>
        <v/>
      </c>
      <c r="B488" s="94">
        <f>'לקוחות לפי סוכן - מקור'!C504</f>
        <v/>
      </c>
      <c r="C488" s="94">
        <f>'לקוחות לפי סוכן - מקור'!E504</f>
        <v/>
      </c>
      <c r="D488" s="102">
        <f>'לקוחות לפי סוכן - מקור'!F504</f>
        <v/>
      </c>
      <c r="E488" s="102">
        <f>'לקוחות לפי סוכן - מקור'!G504</f>
        <v/>
      </c>
      <c r="F488" s="94">
        <f>'לקוחות לפי סוכן - מקור'!D504</f>
        <v/>
      </c>
      <c r="G488" s="95">
        <f>'לקוחות לפי סוכן - מקור'!H504</f>
        <v/>
      </c>
      <c r="H488" s="95">
        <f>'לקוחות לפי סוכן - מקור'!I504</f>
        <v/>
      </c>
      <c r="I488" s="127">
        <f>'לקוחות לפי סוכן - מקור'!K504</f>
        <v/>
      </c>
    </row>
    <row r="489" outlineLevel="2" ht="15" customHeight="1" s="82">
      <c r="A489" s="94">
        <f>'לקוחות לפי סוכן - מקור'!A505</f>
        <v/>
      </c>
      <c r="B489" s="94">
        <f>'לקוחות לפי סוכן - מקור'!C505</f>
        <v/>
      </c>
      <c r="C489" s="94">
        <f>'לקוחות לפי סוכן - מקור'!E505</f>
        <v/>
      </c>
      <c r="D489" s="102">
        <f>'לקוחות לפי סוכן - מקור'!F505</f>
        <v/>
      </c>
      <c r="E489" s="102">
        <f>'לקוחות לפי סוכן - מקור'!G505</f>
        <v/>
      </c>
      <c r="F489" s="94">
        <f>'לקוחות לפי סוכן - מקור'!D505</f>
        <v/>
      </c>
      <c r="G489" s="95">
        <f>'לקוחות לפי סוכן - מקור'!H505</f>
        <v/>
      </c>
      <c r="H489" s="95">
        <f>'לקוחות לפי סוכן - מקור'!I505</f>
        <v/>
      </c>
      <c r="I489" s="127">
        <f>'לקוחות לפי סוכן - מקור'!K505</f>
        <v/>
      </c>
    </row>
    <row r="490" outlineLevel="2" ht="15" customHeight="1" s="82">
      <c r="A490" s="94">
        <f>'לקוחות לפי סוכן - מקור'!A506</f>
        <v/>
      </c>
      <c r="B490" s="94">
        <f>'לקוחות לפי סוכן - מקור'!C506</f>
        <v/>
      </c>
      <c r="C490" s="94">
        <f>'לקוחות לפי סוכן - מקור'!E506</f>
        <v/>
      </c>
      <c r="D490" s="102">
        <f>'לקוחות לפי סוכן - מקור'!F506</f>
        <v/>
      </c>
      <c r="E490" s="102">
        <f>'לקוחות לפי סוכן - מקור'!G506</f>
        <v/>
      </c>
      <c r="F490" s="94">
        <f>'לקוחות לפי סוכן - מקור'!D506</f>
        <v/>
      </c>
      <c r="G490" s="95">
        <f>'לקוחות לפי סוכן - מקור'!H506</f>
        <v/>
      </c>
      <c r="H490" s="95">
        <f>'לקוחות לפי סוכן - מקור'!I506</f>
        <v/>
      </c>
      <c r="I490" s="127">
        <f>'לקוחות לפי סוכן - מקור'!K506</f>
        <v/>
      </c>
    </row>
    <row r="491" outlineLevel="2" ht="15" customHeight="1" s="82">
      <c r="A491" s="94">
        <f>'לקוחות לפי סוכן - מקור'!A507</f>
        <v/>
      </c>
      <c r="B491" s="94">
        <f>'לקוחות לפי סוכן - מקור'!C507</f>
        <v/>
      </c>
      <c r="C491" s="94">
        <f>'לקוחות לפי סוכן - מקור'!E507</f>
        <v/>
      </c>
      <c r="D491" s="102">
        <f>'לקוחות לפי סוכן - מקור'!F507</f>
        <v/>
      </c>
      <c r="E491" s="102">
        <f>'לקוחות לפי סוכן - מקור'!G507</f>
        <v/>
      </c>
      <c r="F491" s="94">
        <f>'לקוחות לפי סוכן - מקור'!D507</f>
        <v/>
      </c>
      <c r="G491" s="95">
        <f>'לקוחות לפי סוכן - מקור'!H507</f>
        <v/>
      </c>
      <c r="H491" s="95">
        <f>'לקוחות לפי סוכן - מקור'!I507</f>
        <v/>
      </c>
      <c r="I491" s="127">
        <f>'לקוחות לפי סוכן - מקור'!K507</f>
        <v/>
      </c>
    </row>
    <row r="492" outlineLevel="2" ht="15" customHeight="1" s="82">
      <c r="A492" s="94">
        <f>'לקוחות לפי סוכן - מקור'!A508</f>
        <v/>
      </c>
      <c r="B492" s="94">
        <f>'לקוחות לפי סוכן - מקור'!C508</f>
        <v/>
      </c>
      <c r="C492" s="94">
        <f>'לקוחות לפי סוכן - מקור'!E508</f>
        <v/>
      </c>
      <c r="D492" s="102">
        <f>'לקוחות לפי סוכן - מקור'!F508</f>
        <v/>
      </c>
      <c r="E492" s="102">
        <f>'לקוחות לפי סוכן - מקור'!G508</f>
        <v/>
      </c>
      <c r="F492" s="94">
        <f>'לקוחות לפי סוכן - מקור'!D508</f>
        <v/>
      </c>
      <c r="G492" s="95">
        <f>'לקוחות לפי סוכן - מקור'!H508</f>
        <v/>
      </c>
      <c r="H492" s="95">
        <f>'לקוחות לפי סוכן - מקור'!I508</f>
        <v/>
      </c>
      <c r="I492" s="127">
        <f>'לקוחות לפי סוכן - מקור'!K508</f>
        <v/>
      </c>
    </row>
    <row r="493" outlineLevel="2" ht="15" customHeight="1" s="82">
      <c r="A493" s="94">
        <f>'לקוחות לפי סוכן - מקור'!A509</f>
        <v/>
      </c>
      <c r="B493" s="94">
        <f>'לקוחות לפי סוכן - מקור'!C509</f>
        <v/>
      </c>
      <c r="C493" s="94">
        <f>'לקוחות לפי סוכן - מקור'!E509</f>
        <v/>
      </c>
      <c r="D493" s="102">
        <f>'לקוחות לפי סוכן - מקור'!F509</f>
        <v/>
      </c>
      <c r="E493" s="102">
        <f>'לקוחות לפי סוכן - מקור'!G509</f>
        <v/>
      </c>
      <c r="F493" s="94">
        <f>'לקוחות לפי סוכן - מקור'!D509</f>
        <v/>
      </c>
      <c r="G493" s="95">
        <f>'לקוחות לפי סוכן - מקור'!H509</f>
        <v/>
      </c>
      <c r="H493" s="95">
        <f>'לקוחות לפי סוכן - מקור'!I509</f>
        <v/>
      </c>
      <c r="I493" s="127">
        <f>'לקוחות לפי סוכן - מקור'!K509</f>
        <v/>
      </c>
    </row>
    <row r="494" outlineLevel="2" ht="15" customHeight="1" s="82">
      <c r="A494" s="94">
        <f>'לקוחות לפי סוכן - מקור'!A510</f>
        <v/>
      </c>
      <c r="B494" s="94">
        <f>'לקוחות לפי סוכן - מקור'!C510</f>
        <v/>
      </c>
      <c r="C494" s="94">
        <f>'לקוחות לפי סוכן - מקור'!E510</f>
        <v/>
      </c>
      <c r="D494" s="102">
        <f>'לקוחות לפי סוכן - מקור'!F510</f>
        <v/>
      </c>
      <c r="E494" s="102">
        <f>'לקוחות לפי סוכן - מקור'!G510</f>
        <v/>
      </c>
      <c r="F494" s="94">
        <f>'לקוחות לפי סוכן - מקור'!D510</f>
        <v/>
      </c>
      <c r="G494" s="95">
        <f>'לקוחות לפי סוכן - מקור'!H510</f>
        <v/>
      </c>
      <c r="H494" s="95">
        <f>'לקוחות לפי סוכן - מקור'!I510</f>
        <v/>
      </c>
      <c r="I494" s="127">
        <f>'לקוחות לפי סוכן - מקור'!K510</f>
        <v/>
      </c>
    </row>
    <row r="495" outlineLevel="2" ht="15" customHeight="1" s="82">
      <c r="A495" s="94">
        <f>'לקוחות לפי סוכן - מקור'!A511</f>
        <v/>
      </c>
      <c r="B495" s="94">
        <f>'לקוחות לפי סוכן - מקור'!C511</f>
        <v/>
      </c>
      <c r="C495" s="94">
        <f>'לקוחות לפי סוכן - מקור'!E511</f>
        <v/>
      </c>
      <c r="D495" s="102">
        <f>'לקוחות לפי סוכן - מקור'!F511</f>
        <v/>
      </c>
      <c r="E495" s="102">
        <f>'לקוחות לפי סוכן - מקור'!G511</f>
        <v/>
      </c>
      <c r="F495" s="94">
        <f>'לקוחות לפי סוכן - מקור'!D511</f>
        <v/>
      </c>
      <c r="G495" s="95">
        <f>'לקוחות לפי סוכן - מקור'!H511</f>
        <v/>
      </c>
      <c r="H495" s="95">
        <f>'לקוחות לפי סוכן - מקור'!I511</f>
        <v/>
      </c>
      <c r="I495" s="127">
        <f>'לקוחות לפי סוכן - מקור'!K511</f>
        <v/>
      </c>
    </row>
    <row r="496" outlineLevel="2" ht="15" customHeight="1" s="82">
      <c r="A496" s="94">
        <f>'לקוחות לפי סוכן - מקור'!A512</f>
        <v/>
      </c>
      <c r="B496" s="94">
        <f>'לקוחות לפי סוכן - מקור'!C512</f>
        <v/>
      </c>
      <c r="C496" s="94">
        <f>'לקוחות לפי סוכן - מקור'!E512</f>
        <v/>
      </c>
      <c r="D496" s="102">
        <f>'לקוחות לפי סוכן - מקור'!F512</f>
        <v/>
      </c>
      <c r="E496" s="102">
        <f>'לקוחות לפי סוכן - מקור'!G512</f>
        <v/>
      </c>
      <c r="F496" s="94">
        <f>'לקוחות לפי סוכן - מקור'!D512</f>
        <v/>
      </c>
      <c r="G496" s="95">
        <f>'לקוחות לפי סוכן - מקור'!H512</f>
        <v/>
      </c>
      <c r="H496" s="95">
        <f>'לקוחות לפי סוכן - מקור'!I512</f>
        <v/>
      </c>
      <c r="I496" s="127">
        <f>'לקוחות לפי סוכן - מקור'!K512</f>
        <v/>
      </c>
    </row>
    <row r="497" outlineLevel="2" ht="15" customHeight="1" s="82">
      <c r="A497" s="94">
        <f>'לקוחות לפי סוכן - מקור'!A513</f>
        <v/>
      </c>
      <c r="B497" s="94">
        <f>'לקוחות לפי סוכן - מקור'!C513</f>
        <v/>
      </c>
      <c r="C497" s="94">
        <f>'לקוחות לפי סוכן - מקור'!E513</f>
        <v/>
      </c>
      <c r="D497" s="102">
        <f>'לקוחות לפי סוכן - מקור'!F513</f>
        <v/>
      </c>
      <c r="E497" s="102">
        <f>'לקוחות לפי סוכן - מקור'!G513</f>
        <v/>
      </c>
      <c r="F497" s="94">
        <f>'לקוחות לפי סוכן - מקור'!D513</f>
        <v/>
      </c>
      <c r="G497" s="95">
        <f>'לקוחות לפי סוכן - מקור'!H513</f>
        <v/>
      </c>
      <c r="H497" s="95">
        <f>'לקוחות לפי סוכן - מקור'!I513</f>
        <v/>
      </c>
      <c r="I497" s="127">
        <f>'לקוחות לפי סוכן - מקור'!K513</f>
        <v/>
      </c>
    </row>
    <row r="498" outlineLevel="2" ht="15" customHeight="1" s="82">
      <c r="A498" s="94">
        <f>'לקוחות לפי סוכן - מקור'!A514</f>
        <v/>
      </c>
      <c r="B498" s="94">
        <f>'לקוחות לפי סוכן - מקור'!C514</f>
        <v/>
      </c>
      <c r="C498" s="94">
        <f>'לקוחות לפי סוכן - מקור'!E514</f>
        <v/>
      </c>
      <c r="D498" s="102">
        <f>'לקוחות לפי סוכן - מקור'!F514</f>
        <v/>
      </c>
      <c r="E498" s="102">
        <f>'לקוחות לפי סוכן - מקור'!G514</f>
        <v/>
      </c>
      <c r="F498" s="94">
        <f>'לקוחות לפי סוכן - מקור'!D514</f>
        <v/>
      </c>
      <c r="G498" s="95">
        <f>'לקוחות לפי סוכן - מקור'!H514</f>
        <v/>
      </c>
      <c r="H498" s="95">
        <f>'לקוחות לפי סוכן - מקור'!I514</f>
        <v/>
      </c>
      <c r="I498" s="127">
        <f>'לקוחות לפי סוכן - מקור'!K514</f>
        <v/>
      </c>
    </row>
    <row r="499" outlineLevel="2" ht="15" customHeight="1" s="82">
      <c r="A499" s="94">
        <f>'לקוחות לפי סוכן - מקור'!A515</f>
        <v/>
      </c>
      <c r="B499" s="94">
        <f>'לקוחות לפי סוכן - מקור'!C515</f>
        <v/>
      </c>
      <c r="C499" s="94">
        <f>'לקוחות לפי סוכן - מקור'!E515</f>
        <v/>
      </c>
      <c r="D499" s="102">
        <f>'לקוחות לפי סוכן - מקור'!F515</f>
        <v/>
      </c>
      <c r="E499" s="102">
        <f>'לקוחות לפי סוכן - מקור'!G515</f>
        <v/>
      </c>
      <c r="F499" s="94">
        <f>'לקוחות לפי סוכן - מקור'!D515</f>
        <v/>
      </c>
      <c r="G499" s="95">
        <f>'לקוחות לפי סוכן - מקור'!H515</f>
        <v/>
      </c>
      <c r="H499" s="95">
        <f>'לקוחות לפי סוכן - מקור'!I515</f>
        <v/>
      </c>
      <c r="I499" s="127">
        <f>'לקוחות לפי סוכן - מקור'!K515</f>
        <v/>
      </c>
    </row>
    <row r="500" outlineLevel="2" ht="15" customHeight="1" s="82">
      <c r="A500" s="94">
        <f>'לקוחות לפי סוכן - מקור'!A516</f>
        <v/>
      </c>
      <c r="B500" s="94">
        <f>'לקוחות לפי סוכן - מקור'!C516</f>
        <v/>
      </c>
      <c r="C500" s="94">
        <f>'לקוחות לפי סוכן - מקור'!E516</f>
        <v/>
      </c>
      <c r="D500" s="102">
        <f>'לקוחות לפי סוכן - מקור'!F516</f>
        <v/>
      </c>
      <c r="E500" s="102">
        <f>'לקוחות לפי סוכן - מקור'!G516</f>
        <v/>
      </c>
      <c r="F500" s="94">
        <f>'לקוחות לפי סוכן - מקור'!D516</f>
        <v/>
      </c>
      <c r="G500" s="95">
        <f>'לקוחות לפי סוכן - מקור'!H516</f>
        <v/>
      </c>
      <c r="H500" s="95">
        <f>'לקוחות לפי סוכן - מקור'!I516</f>
        <v/>
      </c>
      <c r="I500" s="127">
        <f>'לקוחות לפי סוכן - מקור'!K516</f>
        <v/>
      </c>
    </row>
    <row r="501" outlineLevel="2" ht="15" customHeight="1" s="82">
      <c r="A501" s="94">
        <f>'לקוחות לפי סוכן - מקור'!A517</f>
        <v/>
      </c>
      <c r="B501" s="94">
        <f>'לקוחות לפי סוכן - מקור'!C517</f>
        <v/>
      </c>
      <c r="C501" s="94">
        <f>'לקוחות לפי סוכן - מקור'!E517</f>
        <v/>
      </c>
      <c r="D501" s="102">
        <f>'לקוחות לפי סוכן - מקור'!F517</f>
        <v/>
      </c>
      <c r="E501" s="102">
        <f>'לקוחות לפי סוכן - מקור'!G517</f>
        <v/>
      </c>
      <c r="F501" s="94">
        <f>'לקוחות לפי סוכן - מקור'!D517</f>
        <v/>
      </c>
      <c r="G501" s="95">
        <f>'לקוחות לפי סוכן - מקור'!H517</f>
        <v/>
      </c>
      <c r="H501" s="95">
        <f>'לקוחות לפי סוכן - מקור'!I517</f>
        <v/>
      </c>
      <c r="I501" s="127">
        <f>'לקוחות לפי סוכן - מקור'!K517</f>
        <v/>
      </c>
    </row>
    <row r="502" outlineLevel="2" ht="15" customHeight="1" s="82">
      <c r="A502" s="94">
        <f>'לקוחות לפי סוכן - מקור'!A518</f>
        <v/>
      </c>
      <c r="B502" s="94">
        <f>'לקוחות לפי סוכן - מקור'!C518</f>
        <v/>
      </c>
      <c r="C502" s="94">
        <f>'לקוחות לפי סוכן - מקור'!E518</f>
        <v/>
      </c>
      <c r="D502" s="102">
        <f>'לקוחות לפי סוכן - מקור'!F518</f>
        <v/>
      </c>
      <c r="E502" s="102">
        <f>'לקוחות לפי סוכן - מקור'!G518</f>
        <v/>
      </c>
      <c r="F502" s="94">
        <f>'לקוחות לפי סוכן - מקור'!D518</f>
        <v/>
      </c>
      <c r="G502" s="95">
        <f>'לקוחות לפי סוכן - מקור'!H518</f>
        <v/>
      </c>
      <c r="H502" s="95">
        <f>'לקוחות לפי סוכן - מקור'!I518</f>
        <v/>
      </c>
      <c r="I502" s="127">
        <f>'לקוחות לפי סוכן - מקור'!K518</f>
        <v/>
      </c>
    </row>
    <row r="503" outlineLevel="2" ht="15" customHeight="1" s="82">
      <c r="A503" s="94">
        <f>'לקוחות לפי סוכן - מקור'!A519</f>
        <v/>
      </c>
      <c r="B503" s="94">
        <f>'לקוחות לפי סוכן - מקור'!C519</f>
        <v/>
      </c>
      <c r="C503" s="94">
        <f>'לקוחות לפי סוכן - מקור'!E519</f>
        <v/>
      </c>
      <c r="D503" s="102">
        <f>'לקוחות לפי סוכן - מקור'!F519</f>
        <v/>
      </c>
      <c r="E503" s="102">
        <f>'לקוחות לפי סוכן - מקור'!G519</f>
        <v/>
      </c>
      <c r="F503" s="94">
        <f>'לקוחות לפי סוכן - מקור'!D519</f>
        <v/>
      </c>
      <c r="G503" s="95">
        <f>'לקוחות לפי סוכן - מקור'!H519</f>
        <v/>
      </c>
      <c r="H503" s="95">
        <f>'לקוחות לפי סוכן - מקור'!I519</f>
        <v/>
      </c>
      <c r="I503" s="127">
        <f>'לקוחות לפי סוכן - מקור'!K519</f>
        <v/>
      </c>
    </row>
    <row r="504" outlineLevel="2" ht="15" customHeight="1" s="82">
      <c r="A504" s="94">
        <f>'לקוחות לפי סוכן - מקור'!A520</f>
        <v/>
      </c>
      <c r="B504" s="94">
        <f>'לקוחות לפי סוכן - מקור'!C520</f>
        <v/>
      </c>
      <c r="C504" s="94">
        <f>'לקוחות לפי סוכן - מקור'!E520</f>
        <v/>
      </c>
      <c r="D504" s="102">
        <f>'לקוחות לפי סוכן - מקור'!F520</f>
        <v/>
      </c>
      <c r="E504" s="102">
        <f>'לקוחות לפי סוכן - מקור'!G520</f>
        <v/>
      </c>
      <c r="F504" s="94">
        <f>'לקוחות לפי סוכן - מקור'!D520</f>
        <v/>
      </c>
      <c r="G504" s="95">
        <f>'לקוחות לפי סוכן - מקור'!H520</f>
        <v/>
      </c>
      <c r="H504" s="95">
        <f>'לקוחות לפי סוכן - מקור'!I520</f>
        <v/>
      </c>
      <c r="I504" s="127">
        <f>'לקוחות לפי סוכן - מקור'!K520</f>
        <v/>
      </c>
    </row>
    <row r="505" outlineLevel="2" ht="15" customHeight="1" s="82">
      <c r="A505" s="94">
        <f>'לקוחות לפי סוכן - מקור'!A521</f>
        <v/>
      </c>
      <c r="B505" s="94">
        <f>'לקוחות לפי סוכן - מקור'!C521</f>
        <v/>
      </c>
      <c r="C505" s="94">
        <f>'לקוחות לפי סוכן - מקור'!E521</f>
        <v/>
      </c>
      <c r="D505" s="102">
        <f>'לקוחות לפי סוכן - מקור'!F521</f>
        <v/>
      </c>
      <c r="E505" s="102">
        <f>'לקוחות לפי סוכן - מקור'!G521</f>
        <v/>
      </c>
      <c r="F505" s="94">
        <f>'לקוחות לפי סוכן - מקור'!D521</f>
        <v/>
      </c>
      <c r="G505" s="95">
        <f>'לקוחות לפי סוכן - מקור'!H521</f>
        <v/>
      </c>
      <c r="H505" s="95">
        <f>'לקוחות לפי סוכן - מקור'!I521</f>
        <v/>
      </c>
      <c r="I505" s="127">
        <f>'לקוחות לפי סוכן - מקור'!K521</f>
        <v/>
      </c>
    </row>
    <row r="506" outlineLevel="2" ht="15" customHeight="1" s="82">
      <c r="A506" s="94">
        <f>'לקוחות לפי סוכן - מקור'!A522</f>
        <v/>
      </c>
      <c r="B506" s="94">
        <f>'לקוחות לפי סוכן - מקור'!C522</f>
        <v/>
      </c>
      <c r="C506" s="94">
        <f>'לקוחות לפי סוכן - מקור'!E522</f>
        <v/>
      </c>
      <c r="D506" s="102">
        <f>'לקוחות לפי סוכן - מקור'!F522</f>
        <v/>
      </c>
      <c r="E506" s="102">
        <f>'לקוחות לפי סוכן - מקור'!G522</f>
        <v/>
      </c>
      <c r="F506" s="94">
        <f>'לקוחות לפי סוכן - מקור'!D522</f>
        <v/>
      </c>
      <c r="G506" s="95">
        <f>'לקוחות לפי סוכן - מקור'!H522</f>
        <v/>
      </c>
      <c r="H506" s="95">
        <f>'לקוחות לפי סוכן - מקור'!I522</f>
        <v/>
      </c>
      <c r="I506" s="127">
        <f>'לקוחות לפי סוכן - מקור'!K522</f>
        <v/>
      </c>
    </row>
    <row r="507" outlineLevel="2" ht="15" customHeight="1" s="82">
      <c r="A507" s="94">
        <f>'לקוחות לפי סוכן - מקור'!A523</f>
        <v/>
      </c>
      <c r="B507" s="94">
        <f>'לקוחות לפי סוכן - מקור'!C523</f>
        <v/>
      </c>
      <c r="C507" s="94">
        <f>'לקוחות לפי סוכן - מקור'!E523</f>
        <v/>
      </c>
      <c r="D507" s="102">
        <f>'לקוחות לפי סוכן - מקור'!F523</f>
        <v/>
      </c>
      <c r="E507" s="102">
        <f>'לקוחות לפי סוכן - מקור'!G523</f>
        <v/>
      </c>
      <c r="F507" s="94">
        <f>'לקוחות לפי סוכן - מקור'!D523</f>
        <v/>
      </c>
      <c r="G507" s="95">
        <f>'לקוחות לפי סוכן - מקור'!H523</f>
        <v/>
      </c>
      <c r="H507" s="95">
        <f>'לקוחות לפי סוכן - מקור'!I523</f>
        <v/>
      </c>
      <c r="I507" s="127">
        <f>'לקוחות לפי סוכן - מקור'!K523</f>
        <v/>
      </c>
    </row>
    <row r="508" outlineLevel="2" ht="15" customHeight="1" s="82">
      <c r="A508" s="94">
        <f>'לקוחות לפי סוכן - מקור'!A524</f>
        <v/>
      </c>
      <c r="B508" s="94">
        <f>'לקוחות לפי סוכן - מקור'!C524</f>
        <v/>
      </c>
      <c r="C508" s="94">
        <f>'לקוחות לפי סוכן - מקור'!E524</f>
        <v/>
      </c>
      <c r="D508" s="102">
        <f>'לקוחות לפי סוכן - מקור'!F524</f>
        <v/>
      </c>
      <c r="E508" s="102">
        <f>'לקוחות לפי סוכן - מקור'!G524</f>
        <v/>
      </c>
      <c r="F508" s="94">
        <f>'לקוחות לפי סוכן - מקור'!D524</f>
        <v/>
      </c>
      <c r="G508" s="95">
        <f>'לקוחות לפי סוכן - מקור'!H524</f>
        <v/>
      </c>
      <c r="H508" s="95">
        <f>'לקוחות לפי סוכן - מקור'!I524</f>
        <v/>
      </c>
      <c r="I508" s="127">
        <f>'לקוחות לפי סוכן - מקור'!K524</f>
        <v/>
      </c>
    </row>
    <row r="509" outlineLevel="2" ht="15" customHeight="1" s="82">
      <c r="A509" s="94">
        <f>'לקוחות לפי סוכן - מקור'!A525</f>
        <v/>
      </c>
      <c r="B509" s="94">
        <f>'לקוחות לפי סוכן - מקור'!C525</f>
        <v/>
      </c>
      <c r="C509" s="94">
        <f>'לקוחות לפי סוכן - מקור'!E525</f>
        <v/>
      </c>
      <c r="D509" s="102">
        <f>'לקוחות לפי סוכן - מקור'!F525</f>
        <v/>
      </c>
      <c r="E509" s="102">
        <f>'לקוחות לפי סוכן - מקור'!G525</f>
        <v/>
      </c>
      <c r="F509" s="94">
        <f>'לקוחות לפי סוכן - מקור'!D525</f>
        <v/>
      </c>
      <c r="G509" s="95">
        <f>'לקוחות לפי סוכן - מקור'!H525</f>
        <v/>
      </c>
      <c r="H509" s="95">
        <f>'לקוחות לפי סוכן - מקור'!I525</f>
        <v/>
      </c>
      <c r="I509" s="127">
        <f>'לקוחות לפי סוכן - מקור'!K525</f>
        <v/>
      </c>
    </row>
    <row r="510" outlineLevel="2" ht="15" customHeight="1" s="82">
      <c r="A510" s="94">
        <f>'לקוחות לפי סוכן - מקור'!A526</f>
        <v/>
      </c>
      <c r="B510" s="94">
        <f>'לקוחות לפי סוכן - מקור'!C526</f>
        <v/>
      </c>
      <c r="C510" s="94">
        <f>'לקוחות לפי סוכן - מקור'!E526</f>
        <v/>
      </c>
      <c r="D510" s="102">
        <f>'לקוחות לפי סוכן - מקור'!F526</f>
        <v/>
      </c>
      <c r="E510" s="102">
        <f>'לקוחות לפי סוכן - מקור'!G526</f>
        <v/>
      </c>
      <c r="F510" s="94">
        <f>'לקוחות לפי סוכן - מקור'!D526</f>
        <v/>
      </c>
      <c r="G510" s="95">
        <f>'לקוחות לפי סוכן - מקור'!H526</f>
        <v/>
      </c>
      <c r="H510" s="95">
        <f>'לקוחות לפי סוכן - מקור'!I526</f>
        <v/>
      </c>
      <c r="I510" s="127">
        <f>'לקוחות לפי סוכן - מקור'!K526</f>
        <v/>
      </c>
    </row>
    <row r="511" outlineLevel="2" ht="15" customHeight="1" s="82">
      <c r="A511" s="94">
        <f>'לקוחות לפי סוכן - מקור'!A527</f>
        <v/>
      </c>
      <c r="B511" s="94">
        <f>'לקוחות לפי סוכן - מקור'!C527</f>
        <v/>
      </c>
      <c r="C511" s="94">
        <f>'לקוחות לפי סוכן - מקור'!E527</f>
        <v/>
      </c>
      <c r="D511" s="102">
        <f>'לקוחות לפי סוכן - מקור'!F527</f>
        <v/>
      </c>
      <c r="E511" s="102">
        <f>'לקוחות לפי סוכן - מקור'!G527</f>
        <v/>
      </c>
      <c r="F511" s="94">
        <f>'לקוחות לפי סוכן - מקור'!D527</f>
        <v/>
      </c>
      <c r="G511" s="95">
        <f>'לקוחות לפי סוכן - מקור'!H527</f>
        <v/>
      </c>
      <c r="H511" s="95">
        <f>'לקוחות לפי סוכן - מקור'!I527</f>
        <v/>
      </c>
      <c r="I511" s="127">
        <f>'לקוחות לפי סוכן - מקור'!K527</f>
        <v/>
      </c>
    </row>
    <row r="512" outlineLevel="2" ht="15" customHeight="1" s="82">
      <c r="A512" s="94">
        <f>'לקוחות לפי סוכן - מקור'!A528</f>
        <v/>
      </c>
      <c r="B512" s="94">
        <f>'לקוחות לפי סוכן - מקור'!C528</f>
        <v/>
      </c>
      <c r="C512" s="94">
        <f>'לקוחות לפי סוכן - מקור'!E528</f>
        <v/>
      </c>
      <c r="D512" s="102">
        <f>'לקוחות לפי סוכן - מקור'!F528</f>
        <v/>
      </c>
      <c r="E512" s="102">
        <f>'לקוחות לפי סוכן - מקור'!G528</f>
        <v/>
      </c>
      <c r="F512" s="94">
        <f>'לקוחות לפי סוכן - מקור'!D528</f>
        <v/>
      </c>
      <c r="G512" s="95">
        <f>'לקוחות לפי סוכן - מקור'!H528</f>
        <v/>
      </c>
      <c r="H512" s="95">
        <f>'לקוחות לפי סוכן - מקור'!I528</f>
        <v/>
      </c>
      <c r="I512" s="127">
        <f>'לקוחות לפי סוכן - מקור'!K528</f>
        <v/>
      </c>
    </row>
    <row r="513" outlineLevel="2" ht="15" customHeight="1" s="82">
      <c r="A513" s="94">
        <f>'לקוחות לפי סוכן - מקור'!A529</f>
        <v/>
      </c>
      <c r="B513" s="94">
        <f>'לקוחות לפי סוכן - מקור'!C529</f>
        <v/>
      </c>
      <c r="C513" s="94">
        <f>'לקוחות לפי סוכן - מקור'!E529</f>
        <v/>
      </c>
      <c r="D513" s="102">
        <f>'לקוחות לפי סוכן - מקור'!F529</f>
        <v/>
      </c>
      <c r="E513" s="102">
        <f>'לקוחות לפי סוכן - מקור'!G529</f>
        <v/>
      </c>
      <c r="F513" s="94">
        <f>'לקוחות לפי סוכן - מקור'!D529</f>
        <v/>
      </c>
      <c r="G513" s="95">
        <f>'לקוחות לפי סוכן - מקור'!H529</f>
        <v/>
      </c>
      <c r="H513" s="95">
        <f>'לקוחות לפי סוכן - מקור'!I529</f>
        <v/>
      </c>
      <c r="I513" s="127">
        <f>'לקוחות לפי סוכן - מקור'!K529</f>
        <v/>
      </c>
    </row>
    <row r="514" outlineLevel="2" ht="15" customHeight="1" s="82">
      <c r="A514" s="94">
        <f>'לקוחות לפי סוכן - מקור'!A530</f>
        <v/>
      </c>
      <c r="B514" s="94">
        <f>'לקוחות לפי סוכן - מקור'!C530</f>
        <v/>
      </c>
      <c r="C514" s="94">
        <f>'לקוחות לפי סוכן - מקור'!E530</f>
        <v/>
      </c>
      <c r="D514" s="102">
        <f>'לקוחות לפי סוכן - מקור'!F530</f>
        <v/>
      </c>
      <c r="E514" s="102">
        <f>'לקוחות לפי סוכן - מקור'!G530</f>
        <v/>
      </c>
      <c r="F514" s="94">
        <f>'לקוחות לפי סוכן - מקור'!D530</f>
        <v/>
      </c>
      <c r="G514" s="95">
        <f>'לקוחות לפי סוכן - מקור'!H530</f>
        <v/>
      </c>
      <c r="H514" s="95">
        <f>'לקוחות לפי סוכן - מקור'!I530</f>
        <v/>
      </c>
      <c r="I514" s="127">
        <f>'לקוחות לפי סוכן - מקור'!K530</f>
        <v/>
      </c>
    </row>
    <row r="515" outlineLevel="2" ht="15" customHeight="1" s="82">
      <c r="A515" s="94">
        <f>'לקוחות לפי סוכן - מקור'!A531</f>
        <v/>
      </c>
      <c r="B515" s="94">
        <f>'לקוחות לפי סוכן - מקור'!C531</f>
        <v/>
      </c>
      <c r="C515" s="94">
        <f>'לקוחות לפי סוכן - מקור'!E531</f>
        <v/>
      </c>
      <c r="D515" s="102">
        <f>'לקוחות לפי סוכן - מקור'!F531</f>
        <v/>
      </c>
      <c r="E515" s="102">
        <f>'לקוחות לפי סוכן - מקור'!G531</f>
        <v/>
      </c>
      <c r="F515" s="94">
        <f>'לקוחות לפי סוכן - מקור'!D531</f>
        <v/>
      </c>
      <c r="G515" s="95">
        <f>'לקוחות לפי סוכן - מקור'!H531</f>
        <v/>
      </c>
      <c r="H515" s="95">
        <f>'לקוחות לפי סוכן - מקור'!I531</f>
        <v/>
      </c>
      <c r="I515" s="127">
        <f>'לקוחות לפי סוכן - מקור'!K531</f>
        <v/>
      </c>
    </row>
    <row r="516" outlineLevel="2" ht="15" customHeight="1" s="82">
      <c r="A516" s="94">
        <f>'לקוחות לפי סוכן - מקור'!A532</f>
        <v/>
      </c>
      <c r="B516" s="94">
        <f>'לקוחות לפי סוכן - מקור'!C532</f>
        <v/>
      </c>
      <c r="C516" s="94">
        <f>'לקוחות לפי סוכן - מקור'!E532</f>
        <v/>
      </c>
      <c r="D516" s="102">
        <f>'לקוחות לפי סוכן - מקור'!F532</f>
        <v/>
      </c>
      <c r="E516" s="102">
        <f>'לקוחות לפי סוכן - מקור'!G532</f>
        <v/>
      </c>
      <c r="F516" s="94">
        <f>'לקוחות לפי סוכן - מקור'!D532</f>
        <v/>
      </c>
      <c r="G516" s="95">
        <f>'לקוחות לפי סוכן - מקור'!H532</f>
        <v/>
      </c>
      <c r="H516" s="95">
        <f>'לקוחות לפי סוכן - מקור'!I532</f>
        <v/>
      </c>
      <c r="I516" s="127">
        <f>'לקוחות לפי סוכן - מקור'!K532</f>
        <v/>
      </c>
    </row>
    <row r="517" outlineLevel="2" ht="15" customHeight="1" s="82">
      <c r="A517" s="94">
        <f>'לקוחות לפי סוכן - מקור'!A533</f>
        <v/>
      </c>
      <c r="B517" s="94">
        <f>'לקוחות לפי סוכן - מקור'!C533</f>
        <v/>
      </c>
      <c r="C517" s="94">
        <f>'לקוחות לפי סוכן - מקור'!E533</f>
        <v/>
      </c>
      <c r="D517" s="102">
        <f>'לקוחות לפי סוכן - מקור'!F533</f>
        <v/>
      </c>
      <c r="E517" s="102">
        <f>'לקוחות לפי סוכן - מקור'!G533</f>
        <v/>
      </c>
      <c r="F517" s="94">
        <f>'לקוחות לפי סוכן - מקור'!D533</f>
        <v/>
      </c>
      <c r="G517" s="95">
        <f>'לקוחות לפי סוכן - מקור'!H533</f>
        <v/>
      </c>
      <c r="H517" s="95">
        <f>'לקוחות לפי סוכן - מקור'!I533</f>
        <v/>
      </c>
      <c r="I517" s="127">
        <f>'לקוחות לפי סוכן - מקור'!K533</f>
        <v/>
      </c>
    </row>
    <row r="518" outlineLevel="2" ht="15" customHeight="1" s="82">
      <c r="A518" s="94">
        <f>'לקוחות לפי סוכן - מקור'!A534</f>
        <v/>
      </c>
      <c r="B518" s="94">
        <f>'לקוחות לפי סוכן - מקור'!C534</f>
        <v/>
      </c>
      <c r="C518" s="94">
        <f>'לקוחות לפי סוכן - מקור'!E534</f>
        <v/>
      </c>
      <c r="D518" s="102">
        <f>'לקוחות לפי סוכן - מקור'!F534</f>
        <v/>
      </c>
      <c r="E518" s="102">
        <f>'לקוחות לפי סוכן - מקור'!G534</f>
        <v/>
      </c>
      <c r="F518" s="94">
        <f>'לקוחות לפי סוכן - מקור'!D534</f>
        <v/>
      </c>
      <c r="G518" s="95">
        <f>'לקוחות לפי סוכן - מקור'!H534</f>
        <v/>
      </c>
      <c r="H518" s="95">
        <f>'לקוחות לפי סוכן - מקור'!I534</f>
        <v/>
      </c>
      <c r="I518" s="127">
        <f>'לקוחות לפי סוכן - מקור'!K534</f>
        <v/>
      </c>
    </row>
    <row r="519" outlineLevel="2" ht="15" customHeight="1" s="82">
      <c r="A519" s="94">
        <f>'לקוחות לפי סוכן - מקור'!A535</f>
        <v/>
      </c>
      <c r="B519" s="94">
        <f>'לקוחות לפי סוכן - מקור'!C535</f>
        <v/>
      </c>
      <c r="C519" s="94">
        <f>'לקוחות לפי סוכן - מקור'!E535</f>
        <v/>
      </c>
      <c r="D519" s="102">
        <f>'לקוחות לפי סוכן - מקור'!F535</f>
        <v/>
      </c>
      <c r="E519" s="102">
        <f>'לקוחות לפי סוכן - מקור'!G535</f>
        <v/>
      </c>
      <c r="F519" s="94">
        <f>'לקוחות לפי סוכן - מקור'!D535</f>
        <v/>
      </c>
      <c r="G519" s="95">
        <f>'לקוחות לפי סוכן - מקור'!H535</f>
        <v/>
      </c>
      <c r="H519" s="95">
        <f>'לקוחות לפי סוכן - מקור'!I535</f>
        <v/>
      </c>
      <c r="I519" s="127">
        <f>'לקוחות לפי סוכן - מקור'!K535</f>
        <v/>
      </c>
    </row>
    <row r="520" outlineLevel="2" ht="15" customHeight="1" s="82">
      <c r="A520" s="94">
        <f>'לקוחות לפי סוכן - מקור'!A536</f>
        <v/>
      </c>
      <c r="B520" s="94">
        <f>'לקוחות לפי סוכן - מקור'!C536</f>
        <v/>
      </c>
      <c r="C520" s="94">
        <f>'לקוחות לפי סוכן - מקור'!E536</f>
        <v/>
      </c>
      <c r="D520" s="102">
        <f>'לקוחות לפי סוכן - מקור'!F536</f>
        <v/>
      </c>
      <c r="E520" s="102">
        <f>'לקוחות לפי סוכן - מקור'!G536</f>
        <v/>
      </c>
      <c r="F520" s="94">
        <f>'לקוחות לפי סוכן - מקור'!D536</f>
        <v/>
      </c>
      <c r="G520" s="95">
        <f>'לקוחות לפי סוכן - מקור'!H536</f>
        <v/>
      </c>
      <c r="H520" s="95">
        <f>'לקוחות לפי סוכן - מקור'!I536</f>
        <v/>
      </c>
      <c r="I520" s="127">
        <f>'לקוחות לפי סוכן - מקור'!K536</f>
        <v/>
      </c>
    </row>
    <row r="521" outlineLevel="2" ht="15" customHeight="1" s="82">
      <c r="A521" s="94">
        <f>'לקוחות לפי סוכן - מקור'!A537</f>
        <v/>
      </c>
      <c r="B521" s="94">
        <f>'לקוחות לפי סוכן - מקור'!C537</f>
        <v/>
      </c>
      <c r="C521" s="94">
        <f>'לקוחות לפי סוכן - מקור'!E537</f>
        <v/>
      </c>
      <c r="D521" s="102">
        <f>'לקוחות לפי סוכן - מקור'!F537</f>
        <v/>
      </c>
      <c r="E521" s="102">
        <f>'לקוחות לפי סוכן - מקור'!G537</f>
        <v/>
      </c>
      <c r="F521" s="94">
        <f>'לקוחות לפי סוכן - מקור'!D537</f>
        <v/>
      </c>
      <c r="G521" s="95">
        <f>'לקוחות לפי סוכן - מקור'!H537</f>
        <v/>
      </c>
      <c r="H521" s="95">
        <f>'לקוחות לפי סוכן - מקור'!I537</f>
        <v/>
      </c>
      <c r="I521" s="127">
        <f>'לקוחות לפי סוכן - מקור'!K537</f>
        <v/>
      </c>
    </row>
    <row r="522" outlineLevel="2" ht="15" customHeight="1" s="82">
      <c r="A522" s="94">
        <f>'לקוחות לפי סוכן - מקור'!A538</f>
        <v/>
      </c>
      <c r="B522" s="94">
        <f>'לקוחות לפי סוכן - מקור'!C538</f>
        <v/>
      </c>
      <c r="C522" s="94">
        <f>'לקוחות לפי סוכן - מקור'!E538</f>
        <v/>
      </c>
      <c r="D522" s="102">
        <f>'לקוחות לפי סוכן - מקור'!F538</f>
        <v/>
      </c>
      <c r="E522" s="102">
        <f>'לקוחות לפי סוכן - מקור'!G538</f>
        <v/>
      </c>
      <c r="F522" s="94">
        <f>'לקוחות לפי סוכן - מקור'!D538</f>
        <v/>
      </c>
      <c r="G522" s="95">
        <f>'לקוחות לפי סוכן - מקור'!H538</f>
        <v/>
      </c>
      <c r="H522" s="95">
        <f>'לקוחות לפי סוכן - מקור'!I538</f>
        <v/>
      </c>
      <c r="I522" s="127">
        <f>'לקוחות לפי סוכן - מקור'!K538</f>
        <v/>
      </c>
    </row>
    <row r="523" outlineLevel="2" ht="15" customHeight="1" s="82">
      <c r="A523" s="94">
        <f>'לקוחות לפי סוכן - מקור'!A539</f>
        <v/>
      </c>
      <c r="B523" s="94">
        <f>'לקוחות לפי סוכן - מקור'!C539</f>
        <v/>
      </c>
      <c r="C523" s="94">
        <f>'לקוחות לפי סוכן - מקור'!E539</f>
        <v/>
      </c>
      <c r="D523" s="102">
        <f>'לקוחות לפי סוכן - מקור'!F539</f>
        <v/>
      </c>
      <c r="E523" s="102">
        <f>'לקוחות לפי סוכן - מקור'!G539</f>
        <v/>
      </c>
      <c r="F523" s="94">
        <f>'לקוחות לפי סוכן - מקור'!D539</f>
        <v/>
      </c>
      <c r="G523" s="95">
        <f>'לקוחות לפי סוכן - מקור'!H539</f>
        <v/>
      </c>
      <c r="H523" s="95">
        <f>'לקוחות לפי סוכן - מקור'!I539</f>
        <v/>
      </c>
      <c r="I523" s="127">
        <f>'לקוחות לפי סוכן - מקור'!K539</f>
        <v/>
      </c>
    </row>
    <row r="524" outlineLevel="2" ht="15" customHeight="1" s="82">
      <c r="A524" s="94">
        <f>'לקוחות לפי סוכן - מקור'!A540</f>
        <v/>
      </c>
      <c r="B524" s="94">
        <f>'לקוחות לפי סוכן - מקור'!C540</f>
        <v/>
      </c>
      <c r="C524" s="94">
        <f>'לקוחות לפי סוכן - מקור'!E540</f>
        <v/>
      </c>
      <c r="D524" s="102">
        <f>'לקוחות לפי סוכן - מקור'!F540</f>
        <v/>
      </c>
      <c r="E524" s="102">
        <f>'לקוחות לפי סוכן - מקור'!G540</f>
        <v/>
      </c>
      <c r="F524" s="94">
        <f>'לקוחות לפי סוכן - מקור'!D540</f>
        <v/>
      </c>
      <c r="G524" s="95">
        <f>'לקוחות לפי סוכן - מקור'!H540</f>
        <v/>
      </c>
      <c r="H524" s="95">
        <f>'לקוחות לפי סוכן - מקור'!I540</f>
        <v/>
      </c>
      <c r="I524" s="127">
        <f>'לקוחות לפי סוכן - מקור'!K540</f>
        <v/>
      </c>
    </row>
    <row r="525" outlineLevel="2" ht="15" customHeight="1" s="82">
      <c r="A525" s="94">
        <f>'לקוחות לפי סוכן - מקור'!A541</f>
        <v/>
      </c>
      <c r="B525" s="94">
        <f>'לקוחות לפי סוכן - מקור'!C541</f>
        <v/>
      </c>
      <c r="C525" s="94">
        <f>'לקוחות לפי סוכן - מקור'!E541</f>
        <v/>
      </c>
      <c r="D525" s="102">
        <f>'לקוחות לפי סוכן - מקור'!F541</f>
        <v/>
      </c>
      <c r="E525" s="102">
        <f>'לקוחות לפי סוכן - מקור'!G541</f>
        <v/>
      </c>
      <c r="F525" s="94">
        <f>'לקוחות לפי סוכן - מקור'!D541</f>
        <v/>
      </c>
      <c r="G525" s="95">
        <f>'לקוחות לפי סוכן - מקור'!H541</f>
        <v/>
      </c>
      <c r="H525" s="95">
        <f>'לקוחות לפי סוכן - מקור'!I541</f>
        <v/>
      </c>
      <c r="I525" s="127">
        <f>'לקוחות לפי סוכן - מקור'!K541</f>
        <v/>
      </c>
    </row>
    <row r="526" outlineLevel="2" ht="15" customHeight="1" s="82">
      <c r="A526" s="94">
        <f>'לקוחות לפי סוכן - מקור'!A542</f>
        <v/>
      </c>
      <c r="B526" s="94">
        <f>'לקוחות לפי סוכן - מקור'!C542</f>
        <v/>
      </c>
      <c r="C526" s="94">
        <f>'לקוחות לפי סוכן - מקור'!E542</f>
        <v/>
      </c>
      <c r="D526" s="102">
        <f>'לקוחות לפי סוכן - מקור'!F542</f>
        <v/>
      </c>
      <c r="E526" s="102">
        <f>'לקוחות לפי סוכן - מקור'!G542</f>
        <v/>
      </c>
      <c r="F526" s="94">
        <f>'לקוחות לפי סוכן - מקור'!D542</f>
        <v/>
      </c>
      <c r="G526" s="95">
        <f>'לקוחות לפי סוכן - מקור'!H542</f>
        <v/>
      </c>
      <c r="H526" s="95">
        <f>'לקוחות לפי סוכן - מקור'!I542</f>
        <v/>
      </c>
      <c r="I526" s="127">
        <f>'לקוחות לפי סוכן - מקור'!K542</f>
        <v/>
      </c>
    </row>
    <row r="527" outlineLevel="2" ht="15" customHeight="1" s="82">
      <c r="A527" s="94">
        <f>'לקוחות לפי סוכן - מקור'!A543</f>
        <v/>
      </c>
      <c r="B527" s="94">
        <f>'לקוחות לפי סוכן - מקור'!C543</f>
        <v/>
      </c>
      <c r="C527" s="94">
        <f>'לקוחות לפי סוכן - מקור'!E543</f>
        <v/>
      </c>
      <c r="D527" s="102">
        <f>'לקוחות לפי סוכן - מקור'!F543</f>
        <v/>
      </c>
      <c r="E527" s="102">
        <f>'לקוחות לפי סוכן - מקור'!G543</f>
        <v/>
      </c>
      <c r="F527" s="94">
        <f>'לקוחות לפי סוכן - מקור'!D543</f>
        <v/>
      </c>
      <c r="G527" s="95">
        <f>'לקוחות לפי סוכן - מקור'!H543</f>
        <v/>
      </c>
      <c r="H527" s="95">
        <f>'לקוחות לפי סוכן - מקור'!I543</f>
        <v/>
      </c>
      <c r="I527" s="127">
        <f>'לקוחות לפי סוכן - מקור'!K543</f>
        <v/>
      </c>
    </row>
    <row r="528" outlineLevel="2" ht="15" customHeight="1" s="82">
      <c r="A528" s="94">
        <f>'לקוחות לפי סוכן - מקור'!A544</f>
        <v/>
      </c>
      <c r="B528" s="94">
        <f>'לקוחות לפי סוכן - מקור'!C544</f>
        <v/>
      </c>
      <c r="C528" s="94">
        <f>'לקוחות לפי סוכן - מקור'!E544</f>
        <v/>
      </c>
      <c r="D528" s="102">
        <f>'לקוחות לפי סוכן - מקור'!F544</f>
        <v/>
      </c>
      <c r="E528" s="102">
        <f>'לקוחות לפי סוכן - מקור'!G544</f>
        <v/>
      </c>
      <c r="F528" s="94">
        <f>'לקוחות לפי סוכן - מקור'!D544</f>
        <v/>
      </c>
      <c r="G528" s="95">
        <f>'לקוחות לפי סוכן - מקור'!H544</f>
        <v/>
      </c>
      <c r="H528" s="95">
        <f>'לקוחות לפי סוכן - מקור'!I544</f>
        <v/>
      </c>
      <c r="I528" s="127">
        <f>'לקוחות לפי סוכן - מקור'!K544</f>
        <v/>
      </c>
    </row>
    <row r="529" outlineLevel="2" ht="15" customHeight="1" s="82">
      <c r="A529" s="94">
        <f>'לקוחות לפי סוכן - מקור'!A545</f>
        <v/>
      </c>
      <c r="B529" s="94">
        <f>'לקוחות לפי סוכן - מקור'!C545</f>
        <v/>
      </c>
      <c r="C529" s="94">
        <f>'לקוחות לפי סוכן - מקור'!E545</f>
        <v/>
      </c>
      <c r="D529" s="102">
        <f>'לקוחות לפי סוכן - מקור'!F545</f>
        <v/>
      </c>
      <c r="E529" s="102">
        <f>'לקוחות לפי סוכן - מקור'!G545</f>
        <v/>
      </c>
      <c r="F529" s="94">
        <f>'לקוחות לפי סוכן - מקור'!D545</f>
        <v/>
      </c>
      <c r="G529" s="95">
        <f>'לקוחות לפי סוכן - מקור'!H545</f>
        <v/>
      </c>
      <c r="H529" s="95">
        <f>'לקוחות לפי סוכן - מקור'!I545</f>
        <v/>
      </c>
      <c r="I529" s="127">
        <f>'לקוחות לפי סוכן - מקור'!K545</f>
        <v/>
      </c>
    </row>
    <row r="530" outlineLevel="2" ht="15" customHeight="1" s="82">
      <c r="A530" s="94">
        <f>'לקוחות לפי סוכן - מקור'!A546</f>
        <v/>
      </c>
      <c r="B530" s="94">
        <f>'לקוחות לפי סוכן - מקור'!C546</f>
        <v/>
      </c>
      <c r="C530" s="94">
        <f>'לקוחות לפי סוכן - מקור'!E546</f>
        <v/>
      </c>
      <c r="D530" s="102">
        <f>'לקוחות לפי סוכן - מקור'!F546</f>
        <v/>
      </c>
      <c r="E530" s="102">
        <f>'לקוחות לפי סוכן - מקור'!G546</f>
        <v/>
      </c>
      <c r="F530" s="94">
        <f>'לקוחות לפי סוכן - מקור'!D546</f>
        <v/>
      </c>
      <c r="G530" s="95">
        <f>'לקוחות לפי סוכן - מקור'!H546</f>
        <v/>
      </c>
      <c r="H530" s="95">
        <f>'לקוחות לפי סוכן - מקור'!I546</f>
        <v/>
      </c>
      <c r="I530" s="127">
        <f>'לקוחות לפי סוכן - מקור'!K546</f>
        <v/>
      </c>
    </row>
    <row r="531" outlineLevel="2" ht="15" customHeight="1" s="82">
      <c r="A531" s="94">
        <f>'לקוחות לפי סוכן - מקור'!A547</f>
        <v/>
      </c>
      <c r="B531" s="94">
        <f>'לקוחות לפי סוכן - מקור'!C547</f>
        <v/>
      </c>
      <c r="C531" s="94">
        <f>'לקוחות לפי סוכן - מקור'!E547</f>
        <v/>
      </c>
      <c r="D531" s="102">
        <f>'לקוחות לפי סוכן - מקור'!F547</f>
        <v/>
      </c>
      <c r="E531" s="102">
        <f>'לקוחות לפי סוכן - מקור'!G547</f>
        <v/>
      </c>
      <c r="F531" s="94">
        <f>'לקוחות לפי סוכן - מקור'!D547</f>
        <v/>
      </c>
      <c r="G531" s="95">
        <f>'לקוחות לפי סוכן - מקור'!H547</f>
        <v/>
      </c>
      <c r="H531" s="95">
        <f>'לקוחות לפי סוכן - מקור'!I547</f>
        <v/>
      </c>
      <c r="I531" s="127">
        <f>'לקוחות לפי סוכן - מקור'!K547</f>
        <v/>
      </c>
    </row>
    <row r="532" outlineLevel="2" ht="15" customHeight="1" s="82">
      <c r="A532" s="94">
        <f>'לקוחות לפי סוכן - מקור'!A548</f>
        <v/>
      </c>
      <c r="B532" s="94">
        <f>'לקוחות לפי סוכן - מקור'!C548</f>
        <v/>
      </c>
      <c r="C532" s="94">
        <f>'לקוחות לפי סוכן - מקור'!E548</f>
        <v/>
      </c>
      <c r="D532" s="102">
        <f>'לקוחות לפי סוכן - מקור'!F548</f>
        <v/>
      </c>
      <c r="E532" s="102">
        <f>'לקוחות לפי סוכן - מקור'!G548</f>
        <v/>
      </c>
      <c r="F532" s="94">
        <f>'לקוחות לפי סוכן - מקור'!D548</f>
        <v/>
      </c>
      <c r="G532" s="95">
        <f>'לקוחות לפי סוכן - מקור'!H548</f>
        <v/>
      </c>
      <c r="H532" s="95">
        <f>'לקוחות לפי סוכן - מקור'!I548</f>
        <v/>
      </c>
      <c r="I532" s="127">
        <f>'לקוחות לפי סוכן - מקור'!K548</f>
        <v/>
      </c>
    </row>
    <row r="533" outlineLevel="2" ht="15" customHeight="1" s="82">
      <c r="A533" s="94">
        <f>'לקוחות לפי סוכן - מקור'!A549</f>
        <v/>
      </c>
      <c r="B533" s="94">
        <f>'לקוחות לפי סוכן - מקור'!C549</f>
        <v/>
      </c>
      <c r="C533" s="94">
        <f>'לקוחות לפי סוכן - מקור'!E549</f>
        <v/>
      </c>
      <c r="D533" s="102">
        <f>'לקוחות לפי סוכן - מקור'!F549</f>
        <v/>
      </c>
      <c r="E533" s="102">
        <f>'לקוחות לפי סוכן - מקור'!G549</f>
        <v/>
      </c>
      <c r="F533" s="94">
        <f>'לקוחות לפי סוכן - מקור'!D549</f>
        <v/>
      </c>
      <c r="G533" s="95">
        <f>'לקוחות לפי סוכן - מקור'!H549</f>
        <v/>
      </c>
      <c r="H533" s="95">
        <f>'לקוחות לפי סוכן - מקור'!I549</f>
        <v/>
      </c>
      <c r="I533" s="127">
        <f>'לקוחות לפי סוכן - מקור'!K549</f>
        <v/>
      </c>
    </row>
    <row r="534" outlineLevel="2" ht="15" customHeight="1" s="82">
      <c r="A534" s="94">
        <f>'לקוחות לפי סוכן - מקור'!A550</f>
        <v/>
      </c>
      <c r="B534" s="94">
        <f>'לקוחות לפי סוכן - מקור'!C550</f>
        <v/>
      </c>
      <c r="C534" s="94">
        <f>'לקוחות לפי סוכן - מקור'!E550</f>
        <v/>
      </c>
      <c r="D534" s="102">
        <f>'לקוחות לפי סוכן - מקור'!F550</f>
        <v/>
      </c>
      <c r="E534" s="102">
        <f>'לקוחות לפי סוכן - מקור'!G550</f>
        <v/>
      </c>
      <c r="F534" s="94">
        <f>'לקוחות לפי סוכן - מקור'!D550</f>
        <v/>
      </c>
      <c r="G534" s="95">
        <f>'לקוחות לפי סוכן - מקור'!H550</f>
        <v/>
      </c>
      <c r="H534" s="95">
        <f>'לקוחות לפי סוכן - מקור'!I550</f>
        <v/>
      </c>
      <c r="I534" s="127">
        <f>'לקוחות לפי סוכן - מקור'!K550</f>
        <v/>
      </c>
    </row>
    <row r="535" outlineLevel="2" ht="15" customHeight="1" s="82">
      <c r="A535" s="94">
        <f>'לקוחות לפי סוכן - מקור'!A551</f>
        <v/>
      </c>
      <c r="B535" s="94">
        <f>'לקוחות לפי סוכן - מקור'!C551</f>
        <v/>
      </c>
      <c r="C535" s="94">
        <f>'לקוחות לפי סוכן - מקור'!E551</f>
        <v/>
      </c>
      <c r="D535" s="102">
        <f>'לקוחות לפי סוכן - מקור'!F551</f>
        <v/>
      </c>
      <c r="E535" s="102">
        <f>'לקוחות לפי סוכן - מקור'!G551</f>
        <v/>
      </c>
      <c r="F535" s="94">
        <f>'לקוחות לפי סוכן - מקור'!D551</f>
        <v/>
      </c>
      <c r="G535" s="95">
        <f>'לקוחות לפי סוכן - מקור'!H551</f>
        <v/>
      </c>
      <c r="H535" s="95">
        <f>'לקוחות לפי סוכן - מקור'!I551</f>
        <v/>
      </c>
      <c r="I535" s="127">
        <f>'לקוחות לפי סוכן - מקור'!K551</f>
        <v/>
      </c>
    </row>
    <row r="536" outlineLevel="2" ht="15" customHeight="1" s="82">
      <c r="A536" s="94">
        <f>'לקוחות לפי סוכן - מקור'!A552</f>
        <v/>
      </c>
      <c r="B536" s="94">
        <f>'לקוחות לפי סוכן - מקור'!C552</f>
        <v/>
      </c>
      <c r="C536" s="94">
        <f>'לקוחות לפי סוכן - מקור'!E552</f>
        <v/>
      </c>
      <c r="D536" s="102">
        <f>'לקוחות לפי סוכן - מקור'!F552</f>
        <v/>
      </c>
      <c r="E536" s="102">
        <f>'לקוחות לפי סוכן - מקור'!G552</f>
        <v/>
      </c>
      <c r="F536" s="94">
        <f>'לקוחות לפי סוכן - מקור'!D552</f>
        <v/>
      </c>
      <c r="G536" s="95">
        <f>'לקוחות לפי סוכן - מקור'!H552</f>
        <v/>
      </c>
      <c r="H536" s="95">
        <f>'לקוחות לפי סוכן - מקור'!I552</f>
        <v/>
      </c>
      <c r="I536" s="127">
        <f>'לקוחות לפי סוכן - מקור'!K552</f>
        <v/>
      </c>
    </row>
    <row r="537" outlineLevel="2" ht="15" customHeight="1" s="82">
      <c r="A537" s="94">
        <f>'לקוחות לפי סוכן - מקור'!A553</f>
        <v/>
      </c>
      <c r="B537" s="94">
        <f>'לקוחות לפי סוכן - מקור'!C553</f>
        <v/>
      </c>
      <c r="C537" s="94">
        <f>'לקוחות לפי סוכן - מקור'!E553</f>
        <v/>
      </c>
      <c r="D537" s="102">
        <f>'לקוחות לפי סוכן - מקור'!F553</f>
        <v/>
      </c>
      <c r="E537" s="102">
        <f>'לקוחות לפי סוכן - מקור'!G553</f>
        <v/>
      </c>
      <c r="F537" s="94">
        <f>'לקוחות לפי סוכן - מקור'!D553</f>
        <v/>
      </c>
      <c r="G537" s="95">
        <f>'לקוחות לפי סוכן - מקור'!H553</f>
        <v/>
      </c>
      <c r="H537" s="95">
        <f>'לקוחות לפי סוכן - מקור'!I553</f>
        <v/>
      </c>
      <c r="I537" s="127">
        <f>'לקוחות לפי סוכן - מקור'!K553</f>
        <v/>
      </c>
    </row>
    <row r="538" outlineLevel="2" ht="15" customHeight="1" s="82">
      <c r="A538" s="94">
        <f>'לקוחות לפי סוכן - מקור'!A554</f>
        <v/>
      </c>
      <c r="B538" s="94">
        <f>'לקוחות לפי סוכן - מקור'!C554</f>
        <v/>
      </c>
      <c r="C538" s="94">
        <f>'לקוחות לפי סוכן - מקור'!E554</f>
        <v/>
      </c>
      <c r="D538" s="102">
        <f>'לקוחות לפי סוכן - מקור'!F554</f>
        <v/>
      </c>
      <c r="E538" s="102">
        <f>'לקוחות לפי סוכן - מקור'!G554</f>
        <v/>
      </c>
      <c r="F538" s="94">
        <f>'לקוחות לפי סוכן - מקור'!D554</f>
        <v/>
      </c>
      <c r="G538" s="95">
        <f>'לקוחות לפי סוכן - מקור'!H554</f>
        <v/>
      </c>
      <c r="H538" s="95">
        <f>'לקוחות לפי סוכן - מקור'!I554</f>
        <v/>
      </c>
      <c r="I538" s="127">
        <f>'לקוחות לפי סוכן - מקור'!K554</f>
        <v/>
      </c>
    </row>
    <row r="539" outlineLevel="2" ht="15" customHeight="1" s="82">
      <c r="A539" s="94">
        <f>'לקוחות לפי סוכן - מקור'!A555</f>
        <v/>
      </c>
      <c r="B539" s="94">
        <f>'לקוחות לפי סוכן - מקור'!C555</f>
        <v/>
      </c>
      <c r="C539" s="94">
        <f>'לקוחות לפי סוכן - מקור'!E555</f>
        <v/>
      </c>
      <c r="D539" s="102">
        <f>'לקוחות לפי סוכן - מקור'!F555</f>
        <v/>
      </c>
      <c r="E539" s="102">
        <f>'לקוחות לפי סוכן - מקור'!G555</f>
        <v/>
      </c>
      <c r="F539" s="94">
        <f>'לקוחות לפי סוכן - מקור'!D555</f>
        <v/>
      </c>
      <c r="G539" s="95">
        <f>'לקוחות לפי סוכן - מקור'!H555</f>
        <v/>
      </c>
      <c r="H539" s="95">
        <f>'לקוחות לפי סוכן - מקור'!I555</f>
        <v/>
      </c>
      <c r="I539" s="127">
        <f>'לקוחות לפי סוכן - מקור'!K555</f>
        <v/>
      </c>
    </row>
    <row r="540" outlineLevel="2" ht="15" customHeight="1" s="82">
      <c r="A540" s="94">
        <f>'לקוחות לפי סוכן - מקור'!A556</f>
        <v/>
      </c>
      <c r="B540" s="94">
        <f>'לקוחות לפי סוכן - מקור'!C556</f>
        <v/>
      </c>
      <c r="C540" s="94">
        <f>'לקוחות לפי סוכן - מקור'!E556</f>
        <v/>
      </c>
      <c r="D540" s="102">
        <f>'לקוחות לפי סוכן - מקור'!F556</f>
        <v/>
      </c>
      <c r="E540" s="102">
        <f>'לקוחות לפי סוכן - מקור'!G556</f>
        <v/>
      </c>
      <c r="F540" s="94">
        <f>'לקוחות לפי סוכן - מקור'!D556</f>
        <v/>
      </c>
      <c r="G540" s="95">
        <f>'לקוחות לפי סוכן - מקור'!H556</f>
        <v/>
      </c>
      <c r="H540" s="95">
        <f>'לקוחות לפי סוכן - מקור'!I556</f>
        <v/>
      </c>
      <c r="I540" s="127">
        <f>'לקוחות לפי סוכן - מקור'!K556</f>
        <v/>
      </c>
    </row>
    <row r="541" outlineLevel="2" ht="15" customHeight="1" s="82">
      <c r="A541" s="94">
        <f>'לקוחות לפי סוכן - מקור'!A557</f>
        <v/>
      </c>
      <c r="B541" s="94">
        <f>'לקוחות לפי סוכן - מקור'!C557</f>
        <v/>
      </c>
      <c r="C541" s="94">
        <f>'לקוחות לפי סוכן - מקור'!E557</f>
        <v/>
      </c>
      <c r="D541" s="102">
        <f>'לקוחות לפי סוכן - מקור'!F557</f>
        <v/>
      </c>
      <c r="E541" s="102">
        <f>'לקוחות לפי סוכן - מקור'!G557</f>
        <v/>
      </c>
      <c r="F541" s="94">
        <f>'לקוחות לפי סוכן - מקור'!D557</f>
        <v/>
      </c>
      <c r="G541" s="95">
        <f>'לקוחות לפי סוכן - מקור'!H557</f>
        <v/>
      </c>
      <c r="H541" s="95">
        <f>'לקוחות לפי סוכן - מקור'!I557</f>
        <v/>
      </c>
      <c r="I541" s="127">
        <f>'לקוחות לפי סוכן - מקור'!K557</f>
        <v/>
      </c>
    </row>
    <row r="542" outlineLevel="2" ht="15" customHeight="1" s="82">
      <c r="A542" s="94">
        <f>'לקוחות לפי סוכן - מקור'!A558</f>
        <v/>
      </c>
      <c r="B542" s="94">
        <f>'לקוחות לפי סוכן - מקור'!C558</f>
        <v/>
      </c>
      <c r="C542" s="94">
        <f>'לקוחות לפי סוכן - מקור'!E558</f>
        <v/>
      </c>
      <c r="D542" s="102">
        <f>'לקוחות לפי סוכן - מקור'!F558</f>
        <v/>
      </c>
      <c r="E542" s="102">
        <f>'לקוחות לפי סוכן - מקור'!G558</f>
        <v/>
      </c>
      <c r="F542" s="94">
        <f>'לקוחות לפי סוכן - מקור'!D558</f>
        <v/>
      </c>
      <c r="G542" s="95">
        <f>'לקוחות לפי סוכן - מקור'!H558</f>
        <v/>
      </c>
      <c r="H542" s="95">
        <f>'לקוחות לפי סוכן - מקור'!I558</f>
        <v/>
      </c>
      <c r="I542" s="127">
        <f>'לקוחות לפי סוכן - מקור'!K558</f>
        <v/>
      </c>
    </row>
    <row r="543" outlineLevel="2" ht="15" customHeight="1" s="82">
      <c r="A543" s="94">
        <f>'לקוחות לפי סוכן - מקור'!A559</f>
        <v/>
      </c>
      <c r="B543" s="94">
        <f>'לקוחות לפי סוכן - מקור'!C559</f>
        <v/>
      </c>
      <c r="C543" s="94">
        <f>'לקוחות לפי סוכן - מקור'!E559</f>
        <v/>
      </c>
      <c r="D543" s="102">
        <f>'לקוחות לפי סוכן - מקור'!F559</f>
        <v/>
      </c>
      <c r="E543" s="102">
        <f>'לקוחות לפי סוכן - מקור'!G559</f>
        <v/>
      </c>
      <c r="F543" s="94">
        <f>'לקוחות לפי סוכן - מקור'!D559</f>
        <v/>
      </c>
      <c r="G543" s="95">
        <f>'לקוחות לפי סוכן - מקור'!H559</f>
        <v/>
      </c>
      <c r="H543" s="95">
        <f>'לקוחות לפי סוכן - מקור'!I559</f>
        <v/>
      </c>
      <c r="I543" s="127">
        <f>'לקוחות לפי סוכן - מקור'!K559</f>
        <v/>
      </c>
    </row>
    <row r="544" outlineLevel="2" ht="15" customHeight="1" s="82">
      <c r="A544" s="94">
        <f>'לקוחות לפי סוכן - מקור'!A560</f>
        <v/>
      </c>
      <c r="B544" s="94">
        <f>'לקוחות לפי סוכן - מקור'!C560</f>
        <v/>
      </c>
      <c r="C544" s="94">
        <f>'לקוחות לפי סוכן - מקור'!E560</f>
        <v/>
      </c>
      <c r="D544" s="102">
        <f>'לקוחות לפי סוכן - מקור'!F560</f>
        <v/>
      </c>
      <c r="E544" s="102">
        <f>'לקוחות לפי סוכן - מקור'!G560</f>
        <v/>
      </c>
      <c r="F544" s="94">
        <f>'לקוחות לפי סוכן - מקור'!D560</f>
        <v/>
      </c>
      <c r="G544" s="95">
        <f>'לקוחות לפי סוכן - מקור'!H560</f>
        <v/>
      </c>
      <c r="H544" s="95">
        <f>'לקוחות לפי סוכן - מקור'!I560</f>
        <v/>
      </c>
      <c r="I544" s="127">
        <f>'לקוחות לפי סוכן - מקור'!K560</f>
        <v/>
      </c>
    </row>
    <row r="545" outlineLevel="2" ht="15" customHeight="1" s="82">
      <c r="A545" s="94">
        <f>'לקוחות לפי סוכן - מקור'!A561</f>
        <v/>
      </c>
      <c r="B545" s="94">
        <f>'לקוחות לפי סוכן - מקור'!C561</f>
        <v/>
      </c>
      <c r="C545" s="94">
        <f>'לקוחות לפי סוכן - מקור'!E561</f>
        <v/>
      </c>
      <c r="D545" s="102">
        <f>'לקוחות לפי סוכן - מקור'!F561</f>
        <v/>
      </c>
      <c r="E545" s="102">
        <f>'לקוחות לפי סוכן - מקור'!G561</f>
        <v/>
      </c>
      <c r="F545" s="94">
        <f>'לקוחות לפי סוכן - מקור'!D561</f>
        <v/>
      </c>
      <c r="G545" s="95">
        <f>'לקוחות לפי סוכן - מקור'!H561</f>
        <v/>
      </c>
      <c r="H545" s="95">
        <f>'לקוחות לפי סוכן - מקור'!I561</f>
        <v/>
      </c>
      <c r="I545" s="127">
        <f>'לקוחות לפי סוכן - מקור'!K561</f>
        <v/>
      </c>
    </row>
    <row r="546" outlineLevel="2" ht="15" customHeight="1" s="82">
      <c r="A546" s="94">
        <f>'לקוחות לפי סוכן - מקור'!A562</f>
        <v/>
      </c>
      <c r="B546" s="94">
        <f>'לקוחות לפי סוכן - מקור'!C562</f>
        <v/>
      </c>
      <c r="C546" s="94">
        <f>'לקוחות לפי סוכן - מקור'!E562</f>
        <v/>
      </c>
      <c r="D546" s="102">
        <f>'לקוחות לפי סוכן - מקור'!F562</f>
        <v/>
      </c>
      <c r="E546" s="102">
        <f>'לקוחות לפי סוכן - מקור'!G562</f>
        <v/>
      </c>
      <c r="F546" s="94">
        <f>'לקוחות לפי סוכן - מקור'!D562</f>
        <v/>
      </c>
      <c r="G546" s="95">
        <f>'לקוחות לפי סוכן - מקור'!H562</f>
        <v/>
      </c>
      <c r="H546" s="95">
        <f>'לקוחות לפי סוכן - מקור'!I562</f>
        <v/>
      </c>
      <c r="I546" s="127">
        <f>'לקוחות לפי סוכן - מקור'!K562</f>
        <v/>
      </c>
    </row>
    <row r="547" outlineLevel="2" ht="15" customHeight="1" s="82">
      <c r="A547" s="94">
        <f>'לקוחות לפי סוכן - מקור'!A563</f>
        <v/>
      </c>
      <c r="B547" s="94">
        <f>'לקוחות לפי סוכן - מקור'!C563</f>
        <v/>
      </c>
      <c r="C547" s="94">
        <f>'לקוחות לפי סוכן - מקור'!E563</f>
        <v/>
      </c>
      <c r="D547" s="102">
        <f>'לקוחות לפי סוכן - מקור'!F563</f>
        <v/>
      </c>
      <c r="E547" s="102">
        <f>'לקוחות לפי סוכן - מקור'!G563</f>
        <v/>
      </c>
      <c r="F547" s="94">
        <f>'לקוחות לפי סוכן - מקור'!D563</f>
        <v/>
      </c>
      <c r="G547" s="95">
        <f>'לקוחות לפי סוכן - מקור'!H563</f>
        <v/>
      </c>
      <c r="H547" s="95">
        <f>'לקוחות לפי סוכן - מקור'!I563</f>
        <v/>
      </c>
      <c r="I547" s="127">
        <f>'לקוחות לפי סוכן - מקור'!K563</f>
        <v/>
      </c>
    </row>
    <row r="548" outlineLevel="2" ht="15" customHeight="1" s="82">
      <c r="A548" s="94">
        <f>'לקוחות לפי סוכן - מקור'!A564</f>
        <v/>
      </c>
      <c r="B548" s="94">
        <f>'לקוחות לפי סוכן - מקור'!C564</f>
        <v/>
      </c>
      <c r="C548" s="94">
        <f>'לקוחות לפי סוכן - מקור'!E564</f>
        <v/>
      </c>
      <c r="D548" s="102">
        <f>'לקוחות לפי סוכן - מקור'!F564</f>
        <v/>
      </c>
      <c r="E548" s="102">
        <f>'לקוחות לפי סוכן - מקור'!G564</f>
        <v/>
      </c>
      <c r="F548" s="94">
        <f>'לקוחות לפי סוכן - מקור'!D564</f>
        <v/>
      </c>
      <c r="G548" s="95">
        <f>'לקוחות לפי סוכן - מקור'!H564</f>
        <v/>
      </c>
      <c r="H548" s="95">
        <f>'לקוחות לפי סוכן - מקור'!I564</f>
        <v/>
      </c>
      <c r="I548" s="127">
        <f>'לקוחות לפי סוכן - מקור'!K564</f>
        <v/>
      </c>
    </row>
    <row r="549" outlineLevel="2" ht="15" customHeight="1" s="82">
      <c r="A549" s="94">
        <f>'לקוחות לפי סוכן - מקור'!A565</f>
        <v/>
      </c>
      <c r="B549" s="94">
        <f>'לקוחות לפי סוכן - מקור'!C565</f>
        <v/>
      </c>
      <c r="C549" s="94">
        <f>'לקוחות לפי סוכן - מקור'!E565</f>
        <v/>
      </c>
      <c r="D549" s="102">
        <f>'לקוחות לפי סוכן - מקור'!F565</f>
        <v/>
      </c>
      <c r="E549" s="102">
        <f>'לקוחות לפי סוכן - מקור'!G565</f>
        <v/>
      </c>
      <c r="F549" s="94">
        <f>'לקוחות לפי סוכן - מקור'!D565</f>
        <v/>
      </c>
      <c r="G549" s="95">
        <f>'לקוחות לפי סוכן - מקור'!H565</f>
        <v/>
      </c>
      <c r="H549" s="95">
        <f>'לקוחות לפי סוכן - מקור'!I565</f>
        <v/>
      </c>
      <c r="I549" s="127">
        <f>'לקוחות לפי סוכן - מקור'!K565</f>
        <v/>
      </c>
    </row>
    <row r="550" outlineLevel="2" ht="15" customHeight="1" s="82">
      <c r="A550" s="94">
        <f>'לקוחות לפי סוכן - מקור'!A566</f>
        <v/>
      </c>
      <c r="B550" s="94">
        <f>'לקוחות לפי סוכן - מקור'!C566</f>
        <v/>
      </c>
      <c r="C550" s="94">
        <f>'לקוחות לפי סוכן - מקור'!E566</f>
        <v/>
      </c>
      <c r="D550" s="102">
        <f>'לקוחות לפי סוכן - מקור'!F566</f>
        <v/>
      </c>
      <c r="E550" s="102">
        <f>'לקוחות לפי סוכן - מקור'!G566</f>
        <v/>
      </c>
      <c r="F550" s="94">
        <f>'לקוחות לפי סוכן - מקור'!D566</f>
        <v/>
      </c>
      <c r="G550" s="95">
        <f>'לקוחות לפי סוכן - מקור'!H566</f>
        <v/>
      </c>
      <c r="H550" s="95">
        <f>'לקוחות לפי סוכן - מקור'!I566</f>
        <v/>
      </c>
      <c r="I550" s="127">
        <f>'לקוחות לפי סוכן - מקור'!K566</f>
        <v/>
      </c>
    </row>
    <row r="551" outlineLevel="2" ht="15" customHeight="1" s="82">
      <c r="A551" s="94">
        <f>'לקוחות לפי סוכן - מקור'!A567</f>
        <v/>
      </c>
      <c r="B551" s="94">
        <f>'לקוחות לפי סוכן - מקור'!C567</f>
        <v/>
      </c>
      <c r="C551" s="94">
        <f>'לקוחות לפי סוכן - מקור'!E567</f>
        <v/>
      </c>
      <c r="D551" s="102">
        <f>'לקוחות לפי סוכן - מקור'!F567</f>
        <v/>
      </c>
      <c r="E551" s="102">
        <f>'לקוחות לפי סוכן - מקור'!G567</f>
        <v/>
      </c>
      <c r="F551" s="94">
        <f>'לקוחות לפי סוכן - מקור'!D567</f>
        <v/>
      </c>
      <c r="G551" s="95">
        <f>'לקוחות לפי סוכן - מקור'!H567</f>
        <v/>
      </c>
      <c r="H551" s="95">
        <f>'לקוחות לפי סוכן - מקור'!I567</f>
        <v/>
      </c>
      <c r="I551" s="127">
        <f>'לקוחות לפי סוכן - מקור'!K567</f>
        <v/>
      </c>
    </row>
    <row r="552" outlineLevel="2" ht="15" customHeight="1" s="82">
      <c r="A552" s="94">
        <f>'לקוחות לפי סוכן - מקור'!A568</f>
        <v/>
      </c>
      <c r="B552" s="94">
        <f>'לקוחות לפי סוכן - מקור'!C568</f>
        <v/>
      </c>
      <c r="C552" s="94">
        <f>'לקוחות לפי סוכן - מקור'!E568</f>
        <v/>
      </c>
      <c r="D552" s="102">
        <f>'לקוחות לפי סוכן - מקור'!F568</f>
        <v/>
      </c>
      <c r="E552" s="102">
        <f>'לקוחות לפי סוכן - מקור'!G568</f>
        <v/>
      </c>
      <c r="F552" s="94">
        <f>'לקוחות לפי סוכן - מקור'!D568</f>
        <v/>
      </c>
      <c r="G552" s="95">
        <f>'לקוחות לפי סוכן - מקור'!H568</f>
        <v/>
      </c>
      <c r="H552" s="95">
        <f>'לקוחות לפי סוכן - מקור'!I568</f>
        <v/>
      </c>
      <c r="I552" s="127">
        <f>'לקוחות לפי סוכן - מקור'!K568</f>
        <v/>
      </c>
    </row>
    <row r="553" outlineLevel="2" ht="15" customHeight="1" s="82">
      <c r="A553" s="94">
        <f>'לקוחות לפי סוכן - מקור'!A569</f>
        <v/>
      </c>
      <c r="B553" s="94">
        <f>'לקוחות לפי סוכן - מקור'!C569</f>
        <v/>
      </c>
      <c r="C553" s="94">
        <f>'לקוחות לפי סוכן - מקור'!E569</f>
        <v/>
      </c>
      <c r="D553" s="102">
        <f>'לקוחות לפי סוכן - מקור'!F569</f>
        <v/>
      </c>
      <c r="E553" s="102">
        <f>'לקוחות לפי סוכן - מקור'!G569</f>
        <v/>
      </c>
      <c r="F553" s="94">
        <f>'לקוחות לפי סוכן - מקור'!D569</f>
        <v/>
      </c>
      <c r="G553" s="95">
        <f>'לקוחות לפי סוכן - מקור'!H569</f>
        <v/>
      </c>
      <c r="H553" s="95">
        <f>'לקוחות לפי סוכן - מקור'!I569</f>
        <v/>
      </c>
      <c r="I553" s="127">
        <f>'לקוחות לפי סוכן - מקור'!K569</f>
        <v/>
      </c>
    </row>
    <row r="554" outlineLevel="2" ht="15" customHeight="1" s="82">
      <c r="A554" s="94">
        <f>'לקוחות לפי סוכן - מקור'!A570</f>
        <v/>
      </c>
      <c r="B554" s="94">
        <f>'לקוחות לפי סוכן - מקור'!C570</f>
        <v/>
      </c>
      <c r="C554" s="94">
        <f>'לקוחות לפי סוכן - מקור'!E570</f>
        <v/>
      </c>
      <c r="D554" s="102">
        <f>'לקוחות לפי סוכן - מקור'!F570</f>
        <v/>
      </c>
      <c r="E554" s="102">
        <f>'לקוחות לפי סוכן - מקור'!G570</f>
        <v/>
      </c>
      <c r="F554" s="94">
        <f>'לקוחות לפי סוכן - מקור'!D570</f>
        <v/>
      </c>
      <c r="G554" s="95">
        <f>'לקוחות לפי סוכן - מקור'!H570</f>
        <v/>
      </c>
      <c r="H554" s="95">
        <f>'לקוחות לפי סוכן - מקור'!I570</f>
        <v/>
      </c>
      <c r="I554" s="127">
        <f>'לקוחות לפי סוכן - מקור'!K570</f>
        <v/>
      </c>
    </row>
    <row r="555" outlineLevel="2" ht="15" customHeight="1" s="82">
      <c r="A555" s="94">
        <f>'לקוחות לפי סוכן - מקור'!A571</f>
        <v/>
      </c>
      <c r="B555" s="94">
        <f>'לקוחות לפי סוכן - מקור'!C571</f>
        <v/>
      </c>
      <c r="C555" s="94">
        <f>'לקוחות לפי סוכן - מקור'!E571</f>
        <v/>
      </c>
      <c r="D555" s="102">
        <f>'לקוחות לפי סוכן - מקור'!F571</f>
        <v/>
      </c>
      <c r="E555" s="102">
        <f>'לקוחות לפי סוכן - מקור'!G571</f>
        <v/>
      </c>
      <c r="F555" s="94">
        <f>'לקוחות לפי סוכן - מקור'!D571</f>
        <v/>
      </c>
      <c r="G555" s="95">
        <f>'לקוחות לפי סוכן - מקור'!H571</f>
        <v/>
      </c>
      <c r="H555" s="95">
        <f>'לקוחות לפי סוכן - מקור'!I571</f>
        <v/>
      </c>
      <c r="I555" s="127">
        <f>'לקוחות לפי סוכן - מקור'!K571</f>
        <v/>
      </c>
    </row>
    <row r="556" outlineLevel="2" ht="15" customHeight="1" s="82">
      <c r="A556" s="94">
        <f>'לקוחות לפי סוכן - מקור'!A572</f>
        <v/>
      </c>
      <c r="B556" s="94">
        <f>'לקוחות לפי סוכן - מקור'!C572</f>
        <v/>
      </c>
      <c r="C556" s="94">
        <f>'לקוחות לפי סוכן - מקור'!E572</f>
        <v/>
      </c>
      <c r="D556" s="102">
        <f>'לקוחות לפי סוכן - מקור'!F572</f>
        <v/>
      </c>
      <c r="E556" s="102">
        <f>'לקוחות לפי סוכן - מקור'!G572</f>
        <v/>
      </c>
      <c r="F556" s="94">
        <f>'לקוחות לפי סוכן - מקור'!D572</f>
        <v/>
      </c>
      <c r="G556" s="95">
        <f>'לקוחות לפי סוכן - מקור'!H572</f>
        <v/>
      </c>
      <c r="H556" s="95">
        <f>'לקוחות לפי סוכן - מקור'!I572</f>
        <v/>
      </c>
      <c r="I556" s="127">
        <f>'לקוחות לפי סוכן - מקור'!K572</f>
        <v/>
      </c>
    </row>
    <row r="557" outlineLevel="2" ht="15" customHeight="1" s="82">
      <c r="A557" s="94">
        <f>'לקוחות לפי סוכן - מקור'!A573</f>
        <v/>
      </c>
      <c r="B557" s="94">
        <f>'לקוחות לפי סוכן - מקור'!C573</f>
        <v/>
      </c>
      <c r="C557" s="94">
        <f>'לקוחות לפי סוכן - מקור'!E573</f>
        <v/>
      </c>
      <c r="D557" s="102">
        <f>'לקוחות לפי סוכן - מקור'!F573</f>
        <v/>
      </c>
      <c r="E557" s="102">
        <f>'לקוחות לפי סוכן - מקור'!G573</f>
        <v/>
      </c>
      <c r="F557" s="94">
        <f>'לקוחות לפי סוכן - מקור'!D573</f>
        <v/>
      </c>
      <c r="G557" s="95">
        <f>'לקוחות לפי סוכן - מקור'!H573</f>
        <v/>
      </c>
      <c r="H557" s="95">
        <f>'לקוחות לפי סוכן - מקור'!I573</f>
        <v/>
      </c>
      <c r="I557" s="127">
        <f>'לקוחות לפי סוכן - מקור'!K573</f>
        <v/>
      </c>
    </row>
    <row r="558" outlineLevel="2" ht="15" customHeight="1" s="82">
      <c r="A558" s="94">
        <f>'לקוחות לפי סוכן - מקור'!A574</f>
        <v/>
      </c>
      <c r="B558" s="94">
        <f>'לקוחות לפי סוכן - מקור'!C574</f>
        <v/>
      </c>
      <c r="C558" s="94">
        <f>'לקוחות לפי סוכן - מקור'!E574</f>
        <v/>
      </c>
      <c r="D558" s="102">
        <f>'לקוחות לפי סוכן - מקור'!F574</f>
        <v/>
      </c>
      <c r="E558" s="102">
        <f>'לקוחות לפי סוכן - מקור'!G574</f>
        <v/>
      </c>
      <c r="F558" s="94">
        <f>'לקוחות לפי סוכן - מקור'!D574</f>
        <v/>
      </c>
      <c r="G558" s="95">
        <f>'לקוחות לפי סוכן - מקור'!H574</f>
        <v/>
      </c>
      <c r="H558" s="95">
        <f>'לקוחות לפי סוכן - מקור'!I574</f>
        <v/>
      </c>
      <c r="I558" s="127">
        <f>'לקוחות לפי סוכן - מקור'!K574</f>
        <v/>
      </c>
    </row>
    <row r="559" outlineLevel="2" ht="15" customHeight="1" s="82">
      <c r="A559" s="94">
        <f>'לקוחות לפי סוכן - מקור'!A575</f>
        <v/>
      </c>
      <c r="B559" s="94">
        <f>'לקוחות לפי סוכן - מקור'!C575</f>
        <v/>
      </c>
      <c r="C559" s="94">
        <f>'לקוחות לפי סוכן - מקור'!E575</f>
        <v/>
      </c>
      <c r="D559" s="102">
        <f>'לקוחות לפי סוכן - מקור'!F575</f>
        <v/>
      </c>
      <c r="E559" s="102">
        <f>'לקוחות לפי סוכן - מקור'!G575</f>
        <v/>
      </c>
      <c r="F559" s="94">
        <f>'לקוחות לפי סוכן - מקור'!D575</f>
        <v/>
      </c>
      <c r="G559" s="95">
        <f>'לקוחות לפי סוכן - מקור'!H575</f>
        <v/>
      </c>
      <c r="H559" s="95">
        <f>'לקוחות לפי סוכן - מקור'!I575</f>
        <v/>
      </c>
      <c r="I559" s="127">
        <f>'לקוחות לפי סוכן - מקור'!K575</f>
        <v/>
      </c>
    </row>
    <row r="560" outlineLevel="2" ht="15" customHeight="1" s="82">
      <c r="A560" s="94">
        <f>'לקוחות לפי סוכן - מקור'!A576</f>
        <v/>
      </c>
      <c r="B560" s="94">
        <f>'לקוחות לפי סוכן - מקור'!C576</f>
        <v/>
      </c>
      <c r="C560" s="94">
        <f>'לקוחות לפי סוכן - מקור'!E576</f>
        <v/>
      </c>
      <c r="D560" s="102">
        <f>'לקוחות לפי סוכן - מקור'!F576</f>
        <v/>
      </c>
      <c r="E560" s="102">
        <f>'לקוחות לפי סוכן - מקור'!G576</f>
        <v/>
      </c>
      <c r="F560" s="94">
        <f>'לקוחות לפי סוכן - מקור'!D576</f>
        <v/>
      </c>
      <c r="G560" s="95">
        <f>'לקוחות לפי סוכן - מקור'!H576</f>
        <v/>
      </c>
      <c r="H560" s="95">
        <f>'לקוחות לפי סוכן - מקור'!I576</f>
        <v/>
      </c>
      <c r="I560" s="127">
        <f>'לקוחות לפי סוכן - מקור'!K576</f>
        <v/>
      </c>
    </row>
    <row r="561" outlineLevel="2" ht="15" customHeight="1" s="82">
      <c r="A561" s="94">
        <f>'לקוחות לפי סוכן - מקור'!A577</f>
        <v/>
      </c>
      <c r="B561" s="94">
        <f>'לקוחות לפי סוכן - מקור'!C577</f>
        <v/>
      </c>
      <c r="C561" s="94">
        <f>'לקוחות לפי סוכן - מקור'!E577</f>
        <v/>
      </c>
      <c r="D561" s="102">
        <f>'לקוחות לפי סוכן - מקור'!F577</f>
        <v/>
      </c>
      <c r="E561" s="102">
        <f>'לקוחות לפי סוכן - מקור'!G577</f>
        <v/>
      </c>
      <c r="F561" s="94">
        <f>'לקוחות לפי סוכן - מקור'!D577</f>
        <v/>
      </c>
      <c r="G561" s="95">
        <f>'לקוחות לפי סוכן - מקור'!H577</f>
        <v/>
      </c>
      <c r="H561" s="95">
        <f>'לקוחות לפי סוכן - מקור'!I577</f>
        <v/>
      </c>
      <c r="I561" s="127">
        <f>'לקוחות לפי סוכן - מקור'!K577</f>
        <v/>
      </c>
    </row>
    <row r="562" outlineLevel="1" ht="15" customHeight="1" s="82">
      <c r="A562" s="128" t="inlineStr">
        <is>
          <t>חיים ויצמן</t>
        </is>
      </c>
      <c r="B562" s="129" t="inlineStr">
        <is>
          <t>שופרסל BE</t>
        </is>
      </c>
      <c r="C562" s="130" t="n"/>
      <c r="D562" s="131">
        <f>SUMIFS('לקוחות לפי סוכן - מקור'!$F$2:$F$867,'לקוחות לפי סוכן - מקור'!$A$2:$A$867,$A562,'לקוחות לפי סוכן - מקור'!$C$2:$C$867,$B562)</f>
        <v/>
      </c>
      <c r="E562" s="131">
        <f>SUMIFS('לקוחות לפי סוכן - מקור'!$G$2:$G$867,'לקוחות לפי סוכן - מקור'!$A$2:$A$867,$A562,'לקוחות לפי סוכן - מקור'!$C$2:$C$867,$B562)</f>
        <v/>
      </c>
      <c r="F562" s="130" t="n"/>
      <c r="G562" s="132">
        <f>SUMIFS('לקוחות לפי סוכן - מקור'!$H$2:$H$867,'לקוחות לפי סוכן - מקור'!$A$2:$A$867,$A562,'לקוחות לפי סוכן - מקור'!$C$2:$C$867,$B562)</f>
        <v/>
      </c>
      <c r="H562" s="132">
        <f>SUMIFS('לקוחות לפי סוכן - מקור'!$I$2:$I$867,'לקוחות לפי סוכן - מקור'!$A$2:$A$867,$A562,'לקוחות לפי סוכן - מקור'!$C$2:$C$867,$B562)</f>
        <v/>
      </c>
      <c r="I562" s="130" t="n"/>
      <c r="J562" s="132">
        <f>COUNTIFS('לקוחות לפי סוכן - מקור'!$A$2:$A$867,$A562,'לקוחות לפי סוכן - מקור'!$C$2:$C$867,$B562)</f>
        <v/>
      </c>
    </row>
    <row r="563" outlineLevel="2" ht="15" customHeight="1" s="82">
      <c r="A563" s="94">
        <f>'לקוחות לפי סוכן - מקור'!A578</f>
        <v/>
      </c>
      <c r="B563" s="94">
        <f>'לקוחות לפי סוכן - מקור'!C578</f>
        <v/>
      </c>
      <c r="C563" s="94">
        <f>'לקוחות לפי סוכן - מקור'!E578</f>
        <v/>
      </c>
      <c r="D563" s="102">
        <f>'לקוחות לפי סוכן - מקור'!F578</f>
        <v/>
      </c>
      <c r="E563" s="102">
        <f>'לקוחות לפי סוכן - מקור'!G578</f>
        <v/>
      </c>
      <c r="F563" s="94">
        <f>'לקוחות לפי סוכן - מקור'!D578</f>
        <v/>
      </c>
      <c r="G563" s="95">
        <f>'לקוחות לפי סוכן - מקור'!H578</f>
        <v/>
      </c>
      <c r="H563" s="95">
        <f>'לקוחות לפי סוכן - מקור'!I578</f>
        <v/>
      </c>
      <c r="I563" s="127">
        <f>'לקוחות לפי סוכן - מקור'!K578</f>
        <v/>
      </c>
    </row>
    <row r="564" outlineLevel="2" ht="15" customHeight="1" s="82">
      <c r="A564" s="94">
        <f>'לקוחות לפי סוכן - מקור'!A579</f>
        <v/>
      </c>
      <c r="B564" s="94">
        <f>'לקוחות לפי סוכן - מקור'!C579</f>
        <v/>
      </c>
      <c r="C564" s="94">
        <f>'לקוחות לפי סוכן - מקור'!E579</f>
        <v/>
      </c>
      <c r="D564" s="102">
        <f>'לקוחות לפי סוכן - מקור'!F579</f>
        <v/>
      </c>
      <c r="E564" s="102">
        <f>'לקוחות לפי סוכן - מקור'!G579</f>
        <v/>
      </c>
      <c r="F564" s="94">
        <f>'לקוחות לפי סוכן - מקור'!D579</f>
        <v/>
      </c>
      <c r="G564" s="95">
        <f>'לקוחות לפי סוכן - מקור'!H579</f>
        <v/>
      </c>
      <c r="H564" s="95">
        <f>'לקוחות לפי סוכן - מקור'!I579</f>
        <v/>
      </c>
      <c r="I564" s="127">
        <f>'לקוחות לפי סוכן - מקור'!K579</f>
        <v/>
      </c>
    </row>
    <row r="565" outlineLevel="2" ht="15" customHeight="1" s="82">
      <c r="A565" s="94">
        <f>'לקוחות לפי סוכן - מקור'!A580</f>
        <v/>
      </c>
      <c r="B565" s="94">
        <f>'לקוחות לפי סוכן - מקור'!C580</f>
        <v/>
      </c>
      <c r="C565" s="94">
        <f>'לקוחות לפי סוכן - מקור'!E580</f>
        <v/>
      </c>
      <c r="D565" s="102">
        <f>'לקוחות לפי סוכן - מקור'!F580</f>
        <v/>
      </c>
      <c r="E565" s="102">
        <f>'לקוחות לפי סוכן - מקור'!G580</f>
        <v/>
      </c>
      <c r="F565" s="94">
        <f>'לקוחות לפי סוכן - מקור'!D580</f>
        <v/>
      </c>
      <c r="G565" s="95">
        <f>'לקוחות לפי סוכן - מקור'!H580</f>
        <v/>
      </c>
      <c r="H565" s="95">
        <f>'לקוחות לפי סוכן - מקור'!I580</f>
        <v/>
      </c>
      <c r="I565" s="127">
        <f>'לקוחות לפי סוכן - מקור'!K580</f>
        <v/>
      </c>
    </row>
    <row r="566" outlineLevel="2" ht="15" customHeight="1" s="82">
      <c r="A566" s="94">
        <f>'לקוחות לפי סוכן - מקור'!A581</f>
        <v/>
      </c>
      <c r="B566" s="94">
        <f>'לקוחות לפי סוכן - מקור'!C581</f>
        <v/>
      </c>
      <c r="C566" s="94">
        <f>'לקוחות לפי סוכן - מקור'!E581</f>
        <v/>
      </c>
      <c r="D566" s="102">
        <f>'לקוחות לפי סוכן - מקור'!F581</f>
        <v/>
      </c>
      <c r="E566" s="102">
        <f>'לקוחות לפי סוכן - מקור'!G581</f>
        <v/>
      </c>
      <c r="F566" s="94">
        <f>'לקוחות לפי סוכן - מקור'!D581</f>
        <v/>
      </c>
      <c r="G566" s="95">
        <f>'לקוחות לפי סוכן - מקור'!H581</f>
        <v/>
      </c>
      <c r="H566" s="95">
        <f>'לקוחות לפי סוכן - מקור'!I581</f>
        <v/>
      </c>
      <c r="I566" s="127">
        <f>'לקוחות לפי סוכן - מקור'!K581</f>
        <v/>
      </c>
    </row>
    <row r="567" outlineLevel="2" ht="15" customHeight="1" s="82">
      <c r="A567" s="94">
        <f>'לקוחות לפי סוכן - מקור'!A582</f>
        <v/>
      </c>
      <c r="B567" s="94">
        <f>'לקוחות לפי סוכן - מקור'!C582</f>
        <v/>
      </c>
      <c r="C567" s="94">
        <f>'לקוחות לפי סוכן - מקור'!E582</f>
        <v/>
      </c>
      <c r="D567" s="102">
        <f>'לקוחות לפי סוכן - מקור'!F582</f>
        <v/>
      </c>
      <c r="E567" s="102">
        <f>'לקוחות לפי סוכן - מקור'!G582</f>
        <v/>
      </c>
      <c r="F567" s="94">
        <f>'לקוחות לפי סוכן - מקור'!D582</f>
        <v/>
      </c>
      <c r="G567" s="95">
        <f>'לקוחות לפי סוכן - מקור'!H582</f>
        <v/>
      </c>
      <c r="H567" s="95">
        <f>'לקוחות לפי סוכן - מקור'!I582</f>
        <v/>
      </c>
      <c r="I567" s="127">
        <f>'לקוחות לפי סוכן - מקור'!K582</f>
        <v/>
      </c>
    </row>
    <row r="568" outlineLevel="2" ht="15" customHeight="1" s="82">
      <c r="A568" s="94">
        <f>'לקוחות לפי סוכן - מקור'!A583</f>
        <v/>
      </c>
      <c r="B568" s="94">
        <f>'לקוחות לפי סוכן - מקור'!C583</f>
        <v/>
      </c>
      <c r="C568" s="94">
        <f>'לקוחות לפי סוכן - מקור'!E583</f>
        <v/>
      </c>
      <c r="D568" s="102">
        <f>'לקוחות לפי סוכן - מקור'!F583</f>
        <v/>
      </c>
      <c r="E568" s="102">
        <f>'לקוחות לפי סוכן - מקור'!G583</f>
        <v/>
      </c>
      <c r="F568" s="94">
        <f>'לקוחות לפי סוכן - מקור'!D583</f>
        <v/>
      </c>
      <c r="G568" s="95">
        <f>'לקוחות לפי סוכן - מקור'!H583</f>
        <v/>
      </c>
      <c r="H568" s="95">
        <f>'לקוחות לפי סוכן - מקור'!I583</f>
        <v/>
      </c>
      <c r="I568" s="127">
        <f>'לקוחות לפי סוכן - מקור'!K583</f>
        <v/>
      </c>
    </row>
    <row r="569" outlineLevel="2" ht="15" customHeight="1" s="82">
      <c r="A569" s="94">
        <f>'לקוחות לפי סוכן - מקור'!A584</f>
        <v/>
      </c>
      <c r="B569" s="94">
        <f>'לקוחות לפי סוכן - מקור'!C584</f>
        <v/>
      </c>
      <c r="C569" s="94">
        <f>'לקוחות לפי סוכן - מקור'!E584</f>
        <v/>
      </c>
      <c r="D569" s="102">
        <f>'לקוחות לפי סוכן - מקור'!F584</f>
        <v/>
      </c>
      <c r="E569" s="102">
        <f>'לקוחות לפי סוכן - מקור'!G584</f>
        <v/>
      </c>
      <c r="F569" s="94">
        <f>'לקוחות לפי סוכן - מקור'!D584</f>
        <v/>
      </c>
      <c r="G569" s="95">
        <f>'לקוחות לפי סוכן - מקור'!H584</f>
        <v/>
      </c>
      <c r="H569" s="95">
        <f>'לקוחות לפי סוכן - מקור'!I584</f>
        <v/>
      </c>
      <c r="I569" s="127">
        <f>'לקוחות לפי סוכן - מקור'!K584</f>
        <v/>
      </c>
    </row>
    <row r="570" outlineLevel="2" ht="15" customHeight="1" s="82">
      <c r="A570" s="94">
        <f>'לקוחות לפי סוכן - מקור'!A585</f>
        <v/>
      </c>
      <c r="B570" s="94">
        <f>'לקוחות לפי סוכן - מקור'!C585</f>
        <v/>
      </c>
      <c r="C570" s="94">
        <f>'לקוחות לפי סוכן - מקור'!E585</f>
        <v/>
      </c>
      <c r="D570" s="102">
        <f>'לקוחות לפי סוכן - מקור'!F585</f>
        <v/>
      </c>
      <c r="E570" s="102">
        <f>'לקוחות לפי סוכן - מקור'!G585</f>
        <v/>
      </c>
      <c r="F570" s="94">
        <f>'לקוחות לפי סוכן - מקור'!D585</f>
        <v/>
      </c>
      <c r="G570" s="95">
        <f>'לקוחות לפי סוכן - מקור'!H585</f>
        <v/>
      </c>
      <c r="H570" s="95">
        <f>'לקוחות לפי סוכן - מקור'!I585</f>
        <v/>
      </c>
      <c r="I570" s="127">
        <f>'לקוחות לפי סוכן - מקור'!K585</f>
        <v/>
      </c>
    </row>
    <row r="571" outlineLevel="2" ht="15" customHeight="1" s="82">
      <c r="A571" s="94">
        <f>'לקוחות לפי סוכן - מקור'!A586</f>
        <v/>
      </c>
      <c r="B571" s="94">
        <f>'לקוחות לפי סוכן - מקור'!C586</f>
        <v/>
      </c>
      <c r="C571" s="94">
        <f>'לקוחות לפי סוכן - מקור'!E586</f>
        <v/>
      </c>
      <c r="D571" s="102">
        <f>'לקוחות לפי סוכן - מקור'!F586</f>
        <v/>
      </c>
      <c r="E571" s="102">
        <f>'לקוחות לפי סוכן - מקור'!G586</f>
        <v/>
      </c>
      <c r="F571" s="94">
        <f>'לקוחות לפי סוכן - מקור'!D586</f>
        <v/>
      </c>
      <c r="G571" s="95">
        <f>'לקוחות לפי סוכן - מקור'!H586</f>
        <v/>
      </c>
      <c r="H571" s="95">
        <f>'לקוחות לפי סוכן - מקור'!I586</f>
        <v/>
      </c>
      <c r="I571" s="127">
        <f>'לקוחות לפי סוכן - מקור'!K586</f>
        <v/>
      </c>
    </row>
    <row r="572" outlineLevel="2" ht="15" customHeight="1" s="82">
      <c r="A572" s="94">
        <f>'לקוחות לפי סוכן - מקור'!A587</f>
        <v/>
      </c>
      <c r="B572" s="94">
        <f>'לקוחות לפי סוכן - מקור'!C587</f>
        <v/>
      </c>
      <c r="C572" s="94">
        <f>'לקוחות לפי סוכן - מקור'!E587</f>
        <v/>
      </c>
      <c r="D572" s="102">
        <f>'לקוחות לפי סוכן - מקור'!F587</f>
        <v/>
      </c>
      <c r="E572" s="102">
        <f>'לקוחות לפי סוכן - מקור'!G587</f>
        <v/>
      </c>
      <c r="F572" s="94">
        <f>'לקוחות לפי סוכן - מקור'!D587</f>
        <v/>
      </c>
      <c r="G572" s="95">
        <f>'לקוחות לפי סוכן - מקור'!H587</f>
        <v/>
      </c>
      <c r="H572" s="95">
        <f>'לקוחות לפי סוכן - מקור'!I587</f>
        <v/>
      </c>
      <c r="I572" s="127">
        <f>'לקוחות לפי סוכן - מקור'!K587</f>
        <v/>
      </c>
    </row>
    <row r="573" outlineLevel="2" ht="15" customHeight="1" s="82">
      <c r="A573" s="94">
        <f>'לקוחות לפי סוכן - מקור'!A588</f>
        <v/>
      </c>
      <c r="B573" s="94">
        <f>'לקוחות לפי סוכן - מקור'!C588</f>
        <v/>
      </c>
      <c r="C573" s="94">
        <f>'לקוחות לפי סוכן - מקור'!E588</f>
        <v/>
      </c>
      <c r="D573" s="102">
        <f>'לקוחות לפי סוכן - מקור'!F588</f>
        <v/>
      </c>
      <c r="E573" s="102">
        <f>'לקוחות לפי סוכן - מקור'!G588</f>
        <v/>
      </c>
      <c r="F573" s="94">
        <f>'לקוחות לפי סוכן - מקור'!D588</f>
        <v/>
      </c>
      <c r="G573" s="95">
        <f>'לקוחות לפי סוכן - מקור'!H588</f>
        <v/>
      </c>
      <c r="H573" s="95">
        <f>'לקוחות לפי סוכן - מקור'!I588</f>
        <v/>
      </c>
      <c r="I573" s="127">
        <f>'לקוחות לפי סוכן - מקור'!K588</f>
        <v/>
      </c>
    </row>
    <row r="574" outlineLevel="2" ht="15" customHeight="1" s="82">
      <c r="A574" s="94">
        <f>'לקוחות לפי סוכן - מקור'!A589</f>
        <v/>
      </c>
      <c r="B574" s="94">
        <f>'לקוחות לפי סוכן - מקור'!C589</f>
        <v/>
      </c>
      <c r="C574" s="94">
        <f>'לקוחות לפי סוכן - מקור'!E589</f>
        <v/>
      </c>
      <c r="D574" s="102">
        <f>'לקוחות לפי סוכן - מקור'!F589</f>
        <v/>
      </c>
      <c r="E574" s="102">
        <f>'לקוחות לפי סוכן - מקור'!G589</f>
        <v/>
      </c>
      <c r="F574" s="94">
        <f>'לקוחות לפי סוכן - מקור'!D589</f>
        <v/>
      </c>
      <c r="G574" s="95">
        <f>'לקוחות לפי סוכן - מקור'!H589</f>
        <v/>
      </c>
      <c r="H574" s="95">
        <f>'לקוחות לפי סוכן - מקור'!I589</f>
        <v/>
      </c>
      <c r="I574" s="127">
        <f>'לקוחות לפי סוכן - מקור'!K589</f>
        <v/>
      </c>
    </row>
    <row r="575" outlineLevel="2" ht="15" customHeight="1" s="82">
      <c r="A575" s="94">
        <f>'לקוחות לפי סוכן - מקור'!A590</f>
        <v/>
      </c>
      <c r="B575" s="94">
        <f>'לקוחות לפי סוכן - מקור'!C590</f>
        <v/>
      </c>
      <c r="C575" s="94">
        <f>'לקוחות לפי סוכן - מקור'!E590</f>
        <v/>
      </c>
      <c r="D575" s="102">
        <f>'לקוחות לפי סוכן - מקור'!F590</f>
        <v/>
      </c>
      <c r="E575" s="102">
        <f>'לקוחות לפי סוכן - מקור'!G590</f>
        <v/>
      </c>
      <c r="F575" s="94">
        <f>'לקוחות לפי סוכן - מקור'!D590</f>
        <v/>
      </c>
      <c r="G575" s="95">
        <f>'לקוחות לפי סוכן - מקור'!H590</f>
        <v/>
      </c>
      <c r="H575" s="95">
        <f>'לקוחות לפי סוכן - מקור'!I590</f>
        <v/>
      </c>
      <c r="I575" s="127">
        <f>'לקוחות לפי סוכן - מקור'!K590</f>
        <v/>
      </c>
    </row>
    <row r="576" outlineLevel="2" ht="15" customHeight="1" s="82">
      <c r="A576" s="94">
        <f>'לקוחות לפי סוכן - מקור'!A591</f>
        <v/>
      </c>
      <c r="B576" s="94">
        <f>'לקוחות לפי סוכן - מקור'!C591</f>
        <v/>
      </c>
      <c r="C576" s="94">
        <f>'לקוחות לפי סוכן - מקור'!E591</f>
        <v/>
      </c>
      <c r="D576" s="102">
        <f>'לקוחות לפי סוכן - מקור'!F591</f>
        <v/>
      </c>
      <c r="E576" s="102">
        <f>'לקוחות לפי סוכן - מקור'!G591</f>
        <v/>
      </c>
      <c r="F576" s="94">
        <f>'לקוחות לפי סוכן - מקור'!D591</f>
        <v/>
      </c>
      <c r="G576" s="95">
        <f>'לקוחות לפי סוכן - מקור'!H591</f>
        <v/>
      </c>
      <c r="H576" s="95">
        <f>'לקוחות לפי סוכן - מקור'!I591</f>
        <v/>
      </c>
      <c r="I576" s="127">
        <f>'לקוחות לפי סוכן - מקור'!K591</f>
        <v/>
      </c>
    </row>
    <row r="577" outlineLevel="2" ht="15" customHeight="1" s="82">
      <c r="A577" s="94">
        <f>'לקוחות לפי סוכן - מקור'!A592</f>
        <v/>
      </c>
      <c r="B577" s="94">
        <f>'לקוחות לפי סוכן - מקור'!C592</f>
        <v/>
      </c>
      <c r="C577" s="94">
        <f>'לקוחות לפי סוכן - מקור'!E592</f>
        <v/>
      </c>
      <c r="D577" s="102">
        <f>'לקוחות לפי סוכן - מקור'!F592</f>
        <v/>
      </c>
      <c r="E577" s="102">
        <f>'לקוחות לפי סוכן - מקור'!G592</f>
        <v/>
      </c>
      <c r="F577" s="94">
        <f>'לקוחות לפי סוכן - מקור'!D592</f>
        <v/>
      </c>
      <c r="G577" s="95">
        <f>'לקוחות לפי סוכן - מקור'!H592</f>
        <v/>
      </c>
      <c r="H577" s="95">
        <f>'לקוחות לפי סוכן - מקור'!I592</f>
        <v/>
      </c>
      <c r="I577" s="127">
        <f>'לקוחות לפי סוכן - מקור'!K592</f>
        <v/>
      </c>
    </row>
    <row r="578" outlineLevel="2" ht="15" customHeight="1" s="82">
      <c r="A578" s="94">
        <f>'לקוחות לפי סוכן - מקור'!A593</f>
        <v/>
      </c>
      <c r="B578" s="94">
        <f>'לקוחות לפי סוכן - מקור'!C593</f>
        <v/>
      </c>
      <c r="C578" s="94">
        <f>'לקוחות לפי סוכן - מקור'!E593</f>
        <v/>
      </c>
      <c r="D578" s="102">
        <f>'לקוחות לפי סוכן - מקור'!F593</f>
        <v/>
      </c>
      <c r="E578" s="102">
        <f>'לקוחות לפי סוכן - מקור'!G593</f>
        <v/>
      </c>
      <c r="F578" s="94">
        <f>'לקוחות לפי סוכן - מקור'!D593</f>
        <v/>
      </c>
      <c r="G578" s="95">
        <f>'לקוחות לפי סוכן - מקור'!H593</f>
        <v/>
      </c>
      <c r="H578" s="95">
        <f>'לקוחות לפי סוכן - מקור'!I593</f>
        <v/>
      </c>
      <c r="I578" s="127">
        <f>'לקוחות לפי סוכן - מקור'!K593</f>
        <v/>
      </c>
    </row>
    <row r="579" outlineLevel="2" ht="15" customHeight="1" s="82">
      <c r="A579" s="94">
        <f>'לקוחות לפי סוכן - מקור'!A594</f>
        <v/>
      </c>
      <c r="B579" s="94">
        <f>'לקוחות לפי סוכן - מקור'!C594</f>
        <v/>
      </c>
      <c r="C579" s="94">
        <f>'לקוחות לפי סוכן - מקור'!E594</f>
        <v/>
      </c>
      <c r="D579" s="102">
        <f>'לקוחות לפי סוכן - מקור'!F594</f>
        <v/>
      </c>
      <c r="E579" s="102">
        <f>'לקוחות לפי סוכן - מקור'!G594</f>
        <v/>
      </c>
      <c r="F579" s="94">
        <f>'לקוחות לפי סוכן - מקור'!D594</f>
        <v/>
      </c>
      <c r="G579" s="95">
        <f>'לקוחות לפי סוכן - מקור'!H594</f>
        <v/>
      </c>
      <c r="H579" s="95">
        <f>'לקוחות לפי סוכן - מקור'!I594</f>
        <v/>
      </c>
      <c r="I579" s="127">
        <f>'לקוחות לפי סוכן - מקור'!K594</f>
        <v/>
      </c>
    </row>
    <row r="580" outlineLevel="2" ht="15" customHeight="1" s="82">
      <c r="A580" s="94">
        <f>'לקוחות לפי סוכן - מקור'!A595</f>
        <v/>
      </c>
      <c r="B580" s="94">
        <f>'לקוחות לפי סוכן - מקור'!C595</f>
        <v/>
      </c>
      <c r="C580" s="94">
        <f>'לקוחות לפי סוכן - מקור'!E595</f>
        <v/>
      </c>
      <c r="D580" s="102">
        <f>'לקוחות לפי סוכן - מקור'!F595</f>
        <v/>
      </c>
      <c r="E580" s="102">
        <f>'לקוחות לפי סוכן - מקור'!G595</f>
        <v/>
      </c>
      <c r="F580" s="94">
        <f>'לקוחות לפי סוכן - מקור'!D595</f>
        <v/>
      </c>
      <c r="G580" s="95">
        <f>'לקוחות לפי סוכן - מקור'!H595</f>
        <v/>
      </c>
      <c r="H580" s="95">
        <f>'לקוחות לפי סוכן - מקור'!I595</f>
        <v/>
      </c>
      <c r="I580" s="127">
        <f>'לקוחות לפי סוכן - מקור'!K595</f>
        <v/>
      </c>
    </row>
    <row r="581" outlineLevel="2" ht="15" customHeight="1" s="82">
      <c r="A581" s="94">
        <f>'לקוחות לפי סוכן - מקור'!A596</f>
        <v/>
      </c>
      <c r="B581" s="94">
        <f>'לקוחות לפי סוכן - מקור'!C596</f>
        <v/>
      </c>
      <c r="C581" s="94">
        <f>'לקוחות לפי סוכן - מקור'!E596</f>
        <v/>
      </c>
      <c r="D581" s="102">
        <f>'לקוחות לפי סוכן - מקור'!F596</f>
        <v/>
      </c>
      <c r="E581" s="102">
        <f>'לקוחות לפי סוכן - מקור'!G596</f>
        <v/>
      </c>
      <c r="F581" s="94">
        <f>'לקוחות לפי סוכן - מקור'!D596</f>
        <v/>
      </c>
      <c r="G581" s="95">
        <f>'לקוחות לפי סוכן - מקור'!H596</f>
        <v/>
      </c>
      <c r="H581" s="95">
        <f>'לקוחות לפי סוכן - מקור'!I596</f>
        <v/>
      </c>
      <c r="I581" s="127">
        <f>'לקוחות לפי סוכן - מקור'!K596</f>
        <v/>
      </c>
    </row>
    <row r="582" outlineLevel="2" ht="15" customHeight="1" s="82">
      <c r="A582" s="94">
        <f>'לקוחות לפי סוכן - מקור'!A597</f>
        <v/>
      </c>
      <c r="B582" s="94">
        <f>'לקוחות לפי סוכן - מקור'!C597</f>
        <v/>
      </c>
      <c r="C582" s="94">
        <f>'לקוחות לפי סוכן - מקור'!E597</f>
        <v/>
      </c>
      <c r="D582" s="102">
        <f>'לקוחות לפי סוכן - מקור'!F597</f>
        <v/>
      </c>
      <c r="E582" s="102">
        <f>'לקוחות לפי סוכן - מקור'!G597</f>
        <v/>
      </c>
      <c r="F582" s="94">
        <f>'לקוחות לפי סוכן - מקור'!D597</f>
        <v/>
      </c>
      <c r="G582" s="95">
        <f>'לקוחות לפי סוכן - מקור'!H597</f>
        <v/>
      </c>
      <c r="H582" s="95">
        <f>'לקוחות לפי סוכן - מקור'!I597</f>
        <v/>
      </c>
      <c r="I582" s="127">
        <f>'לקוחות לפי סוכן - מקור'!K597</f>
        <v/>
      </c>
    </row>
    <row r="583" outlineLevel="2" ht="15" customHeight="1" s="82">
      <c r="A583" s="94">
        <f>'לקוחות לפי סוכן - מקור'!A598</f>
        <v/>
      </c>
      <c r="B583" s="94">
        <f>'לקוחות לפי סוכן - מקור'!C598</f>
        <v/>
      </c>
      <c r="C583" s="94">
        <f>'לקוחות לפי סוכן - מקור'!E598</f>
        <v/>
      </c>
      <c r="D583" s="102">
        <f>'לקוחות לפי סוכן - מקור'!F598</f>
        <v/>
      </c>
      <c r="E583" s="102">
        <f>'לקוחות לפי סוכן - מקור'!G598</f>
        <v/>
      </c>
      <c r="F583" s="94">
        <f>'לקוחות לפי סוכן - מקור'!D598</f>
        <v/>
      </c>
      <c r="G583" s="95">
        <f>'לקוחות לפי סוכן - מקור'!H598</f>
        <v/>
      </c>
      <c r="H583" s="95">
        <f>'לקוחות לפי סוכן - מקור'!I598</f>
        <v/>
      </c>
      <c r="I583" s="127">
        <f>'לקוחות לפי סוכן - מקור'!K598</f>
        <v/>
      </c>
    </row>
    <row r="584" outlineLevel="2" ht="15" customHeight="1" s="82">
      <c r="A584" s="94">
        <f>'לקוחות לפי סוכן - מקור'!A599</f>
        <v/>
      </c>
      <c r="B584" s="94">
        <f>'לקוחות לפי סוכן - מקור'!C599</f>
        <v/>
      </c>
      <c r="C584" s="94">
        <f>'לקוחות לפי סוכן - מקור'!E599</f>
        <v/>
      </c>
      <c r="D584" s="102">
        <f>'לקוחות לפי סוכן - מקור'!F599</f>
        <v/>
      </c>
      <c r="E584" s="102">
        <f>'לקוחות לפי סוכן - מקור'!G599</f>
        <v/>
      </c>
      <c r="F584" s="94">
        <f>'לקוחות לפי סוכן - מקור'!D599</f>
        <v/>
      </c>
      <c r="G584" s="95">
        <f>'לקוחות לפי סוכן - מקור'!H599</f>
        <v/>
      </c>
      <c r="H584" s="95">
        <f>'לקוחות לפי סוכן - מקור'!I599</f>
        <v/>
      </c>
      <c r="I584" s="127">
        <f>'לקוחות לפי סוכן - מקור'!K599</f>
        <v/>
      </c>
    </row>
    <row r="585" outlineLevel="2" ht="15" customHeight="1" s="82">
      <c r="A585" s="94">
        <f>'לקוחות לפי סוכן - מקור'!A600</f>
        <v/>
      </c>
      <c r="B585" s="94">
        <f>'לקוחות לפי סוכן - מקור'!C600</f>
        <v/>
      </c>
      <c r="C585" s="94">
        <f>'לקוחות לפי סוכן - מקור'!E600</f>
        <v/>
      </c>
      <c r="D585" s="102">
        <f>'לקוחות לפי סוכן - מקור'!F600</f>
        <v/>
      </c>
      <c r="E585" s="102">
        <f>'לקוחות לפי סוכן - מקור'!G600</f>
        <v/>
      </c>
      <c r="F585" s="94">
        <f>'לקוחות לפי סוכן - מקור'!D600</f>
        <v/>
      </c>
      <c r="G585" s="95">
        <f>'לקוחות לפי סוכן - מקור'!H600</f>
        <v/>
      </c>
      <c r="H585" s="95">
        <f>'לקוחות לפי סוכן - מקור'!I600</f>
        <v/>
      </c>
      <c r="I585" s="127">
        <f>'לקוחות לפי סוכן - מקור'!K600</f>
        <v/>
      </c>
    </row>
    <row r="586" outlineLevel="2" ht="15" customHeight="1" s="82">
      <c r="A586" s="94">
        <f>'לקוחות לפי סוכן - מקור'!A601</f>
        <v/>
      </c>
      <c r="B586" s="94">
        <f>'לקוחות לפי סוכן - מקור'!C601</f>
        <v/>
      </c>
      <c r="C586" s="94">
        <f>'לקוחות לפי סוכן - מקור'!E601</f>
        <v/>
      </c>
      <c r="D586" s="102">
        <f>'לקוחות לפי סוכן - מקור'!F601</f>
        <v/>
      </c>
      <c r="E586" s="102">
        <f>'לקוחות לפי סוכן - מקור'!G601</f>
        <v/>
      </c>
      <c r="F586" s="94">
        <f>'לקוחות לפי סוכן - מקור'!D601</f>
        <v/>
      </c>
      <c r="G586" s="95">
        <f>'לקוחות לפי סוכן - מקור'!H601</f>
        <v/>
      </c>
      <c r="H586" s="95">
        <f>'לקוחות לפי סוכן - מקור'!I601</f>
        <v/>
      </c>
      <c r="I586" s="127">
        <f>'לקוחות לפי סוכן - מקור'!K601</f>
        <v/>
      </c>
    </row>
    <row r="587" outlineLevel="2" ht="15" customHeight="1" s="82">
      <c r="A587" s="94">
        <f>'לקוחות לפי סוכן - מקור'!A602</f>
        <v/>
      </c>
      <c r="B587" s="94">
        <f>'לקוחות לפי סוכן - מקור'!C602</f>
        <v/>
      </c>
      <c r="C587" s="94">
        <f>'לקוחות לפי סוכן - מקור'!E602</f>
        <v/>
      </c>
      <c r="D587" s="102">
        <f>'לקוחות לפי סוכן - מקור'!F602</f>
        <v/>
      </c>
      <c r="E587" s="102">
        <f>'לקוחות לפי סוכן - מקור'!G602</f>
        <v/>
      </c>
      <c r="F587" s="94">
        <f>'לקוחות לפי סוכן - מקור'!D602</f>
        <v/>
      </c>
      <c r="G587" s="95">
        <f>'לקוחות לפי סוכן - מקור'!H602</f>
        <v/>
      </c>
      <c r="H587" s="95">
        <f>'לקוחות לפי סוכן - מקור'!I602</f>
        <v/>
      </c>
      <c r="I587" s="127">
        <f>'לקוחות לפי סוכן - מקור'!K602</f>
        <v/>
      </c>
    </row>
    <row r="588" outlineLevel="2" ht="15" customHeight="1" s="82">
      <c r="A588" s="94">
        <f>'לקוחות לפי סוכן - מקור'!A603</f>
        <v/>
      </c>
      <c r="B588" s="94">
        <f>'לקוחות לפי סוכן - מקור'!C603</f>
        <v/>
      </c>
      <c r="C588" s="94">
        <f>'לקוחות לפי סוכן - מקור'!E603</f>
        <v/>
      </c>
      <c r="D588" s="102">
        <f>'לקוחות לפי סוכן - מקור'!F603</f>
        <v/>
      </c>
      <c r="E588" s="102">
        <f>'לקוחות לפי סוכן - מקור'!G603</f>
        <v/>
      </c>
      <c r="F588" s="94">
        <f>'לקוחות לפי סוכן - מקור'!D603</f>
        <v/>
      </c>
      <c r="G588" s="95">
        <f>'לקוחות לפי סוכן - מקור'!H603</f>
        <v/>
      </c>
      <c r="H588" s="95">
        <f>'לקוחות לפי סוכן - מקור'!I603</f>
        <v/>
      </c>
      <c r="I588" s="127">
        <f>'לקוחות לפי סוכן - מקור'!K603</f>
        <v/>
      </c>
    </row>
    <row r="589" outlineLevel="2" ht="15" customHeight="1" s="82">
      <c r="A589" s="94">
        <f>'לקוחות לפי סוכן - מקור'!A604</f>
        <v/>
      </c>
      <c r="B589" s="94">
        <f>'לקוחות לפי סוכן - מקור'!C604</f>
        <v/>
      </c>
      <c r="C589" s="94">
        <f>'לקוחות לפי סוכן - מקור'!E604</f>
        <v/>
      </c>
      <c r="D589" s="102">
        <f>'לקוחות לפי סוכן - מקור'!F604</f>
        <v/>
      </c>
      <c r="E589" s="102">
        <f>'לקוחות לפי סוכן - מקור'!G604</f>
        <v/>
      </c>
      <c r="F589" s="94">
        <f>'לקוחות לפי סוכן - מקור'!D604</f>
        <v/>
      </c>
      <c r="G589" s="95">
        <f>'לקוחות לפי סוכן - מקור'!H604</f>
        <v/>
      </c>
      <c r="H589" s="95">
        <f>'לקוחות לפי סוכן - מקור'!I604</f>
        <v/>
      </c>
      <c r="I589" s="127">
        <f>'לקוחות לפי סוכן - מקור'!K604</f>
        <v/>
      </c>
    </row>
    <row r="590" outlineLevel="2" ht="15" customHeight="1" s="82">
      <c r="A590" s="94">
        <f>'לקוחות לפי סוכן - מקור'!A605</f>
        <v/>
      </c>
      <c r="B590" s="94">
        <f>'לקוחות לפי סוכן - מקור'!C605</f>
        <v/>
      </c>
      <c r="C590" s="94">
        <f>'לקוחות לפי סוכן - מקור'!E605</f>
        <v/>
      </c>
      <c r="D590" s="102">
        <f>'לקוחות לפי סוכן - מקור'!F605</f>
        <v/>
      </c>
      <c r="E590" s="102">
        <f>'לקוחות לפי סוכן - מקור'!G605</f>
        <v/>
      </c>
      <c r="F590" s="94">
        <f>'לקוחות לפי סוכן - מקור'!D605</f>
        <v/>
      </c>
      <c r="G590" s="95">
        <f>'לקוחות לפי סוכן - מקור'!H605</f>
        <v/>
      </c>
      <c r="H590" s="95">
        <f>'לקוחות לפי סוכן - מקור'!I605</f>
        <v/>
      </c>
      <c r="I590" s="127">
        <f>'לקוחות לפי סוכן - מקור'!K605</f>
        <v/>
      </c>
    </row>
    <row r="591" outlineLevel="2" ht="15" customHeight="1" s="82">
      <c r="A591" s="94">
        <f>'לקוחות לפי סוכן - מקור'!A606</f>
        <v/>
      </c>
      <c r="B591" s="94">
        <f>'לקוחות לפי סוכן - מקור'!C606</f>
        <v/>
      </c>
      <c r="C591" s="94">
        <f>'לקוחות לפי סוכן - מקור'!E606</f>
        <v/>
      </c>
      <c r="D591" s="102">
        <f>'לקוחות לפי סוכן - מקור'!F606</f>
        <v/>
      </c>
      <c r="E591" s="102">
        <f>'לקוחות לפי סוכן - מקור'!G606</f>
        <v/>
      </c>
      <c r="F591" s="94">
        <f>'לקוחות לפי סוכן - מקור'!D606</f>
        <v/>
      </c>
      <c r="G591" s="95">
        <f>'לקוחות לפי סוכן - מקור'!H606</f>
        <v/>
      </c>
      <c r="H591" s="95">
        <f>'לקוחות לפי סוכן - מקור'!I606</f>
        <v/>
      </c>
      <c r="I591" s="127">
        <f>'לקוחות לפי סוכן - מקור'!K606</f>
        <v/>
      </c>
    </row>
    <row r="592" outlineLevel="1" ht="15" customHeight="1" s="82">
      <c r="A592" s="128" t="inlineStr">
        <is>
          <t>חיים ויצמן</t>
        </is>
      </c>
      <c r="B592" s="129" t="inlineStr">
        <is>
          <t>0קופות חולים</t>
        </is>
      </c>
      <c r="C592" s="130" t="n"/>
      <c r="D592" s="131">
        <f>SUMIFS('לקוחות לפי סוכן - מקור'!$F$2:$F$867,'לקוחות לפי סוכן - מקור'!$A$2:$A$867,$A592,'לקוחות לפי סוכן - מקור'!$C$2:$C$867,$B592)</f>
        <v/>
      </c>
      <c r="E592" s="131">
        <f>SUMIFS('לקוחות לפי סוכן - מקור'!$G$2:$G$867,'לקוחות לפי סוכן - מקור'!$A$2:$A$867,$A592,'לקוחות לפי סוכן - מקור'!$C$2:$C$867,$B592)</f>
        <v/>
      </c>
      <c r="F592" s="130" t="n"/>
      <c r="G592" s="132">
        <f>SUMIFS('לקוחות לפי סוכן - מקור'!$H$2:$H$867,'לקוחות לפי סוכן - מקור'!$A$2:$A$867,$A592,'לקוחות לפי סוכן - מקור'!$C$2:$C$867,$B592)</f>
        <v/>
      </c>
      <c r="H592" s="132">
        <f>SUMIFS('לקוחות לפי סוכן - מקור'!$I$2:$I$867,'לקוחות לפי סוכן - מקור'!$A$2:$A$867,$A592,'לקוחות לפי סוכן - מקור'!$C$2:$C$867,$B592)</f>
        <v/>
      </c>
      <c r="I592" s="130" t="n"/>
      <c r="J592" s="132">
        <f>COUNTIFS('לקוחות לפי סוכן - מקור'!$A$2:$A$867,$A592,'לקוחות לפי סוכן - מקור'!$C$2:$C$867,$B592)</f>
        <v/>
      </c>
    </row>
    <row r="593" outlineLevel="2" ht="15" customHeight="1" s="82">
      <c r="A593" s="94">
        <f>'לקוחות לפי סוכן - מקור'!A608</f>
        <v/>
      </c>
      <c r="B593" s="94">
        <f>'לקוחות לפי סוכן - מקור'!C608</f>
        <v/>
      </c>
      <c r="C593" s="94">
        <f>'לקוחות לפי סוכן - מקור'!E608</f>
        <v/>
      </c>
      <c r="D593" s="102">
        <f>'לקוחות לפי סוכן - מקור'!F608</f>
        <v/>
      </c>
      <c r="E593" s="102">
        <f>'לקוחות לפי סוכן - מקור'!G608</f>
        <v/>
      </c>
      <c r="F593" s="94">
        <f>'לקוחות לפי סוכן - מקור'!D608</f>
        <v/>
      </c>
      <c r="G593" s="95">
        <f>'לקוחות לפי סוכן - מקור'!H608</f>
        <v/>
      </c>
      <c r="H593" s="95">
        <f>'לקוחות לפי סוכן - מקור'!I608</f>
        <v/>
      </c>
      <c r="I593" s="127">
        <f>'לקוחות לפי סוכן - מקור'!K608</f>
        <v/>
      </c>
    </row>
    <row r="594" outlineLevel="2" ht="15" customHeight="1" s="82">
      <c r="A594" s="94">
        <f>'לקוחות לפי סוכן - מקור'!A609</f>
        <v/>
      </c>
      <c r="B594" s="94">
        <f>'לקוחות לפי סוכן - מקור'!C609</f>
        <v/>
      </c>
      <c r="C594" s="94">
        <f>'לקוחות לפי סוכן - מקור'!E609</f>
        <v/>
      </c>
      <c r="D594" s="102">
        <f>'לקוחות לפי סוכן - מקור'!F609</f>
        <v/>
      </c>
      <c r="E594" s="102">
        <f>'לקוחות לפי סוכן - מקור'!G609</f>
        <v/>
      </c>
      <c r="F594" s="94">
        <f>'לקוחות לפי סוכן - מקור'!D609</f>
        <v/>
      </c>
      <c r="G594" s="95">
        <f>'לקוחות לפי סוכן - מקור'!H609</f>
        <v/>
      </c>
      <c r="H594" s="95">
        <f>'לקוחות לפי סוכן - מקור'!I609</f>
        <v/>
      </c>
      <c r="I594" s="127">
        <f>'לקוחות לפי סוכן - מקור'!K609</f>
        <v/>
      </c>
    </row>
    <row r="595" outlineLevel="2" ht="15" customHeight="1" s="82">
      <c r="A595" s="94">
        <f>'לקוחות לפי סוכן - מקור'!A610</f>
        <v/>
      </c>
      <c r="B595" s="94">
        <f>'לקוחות לפי סוכן - מקור'!C610</f>
        <v/>
      </c>
      <c r="C595" s="94">
        <f>'לקוחות לפי סוכן - מקור'!E610</f>
        <v/>
      </c>
      <c r="D595" s="102">
        <f>'לקוחות לפי סוכן - מקור'!F610</f>
        <v/>
      </c>
      <c r="E595" s="102">
        <f>'לקוחות לפי סוכן - מקור'!G610</f>
        <v/>
      </c>
      <c r="F595" s="94">
        <f>'לקוחות לפי סוכן - מקור'!D610</f>
        <v/>
      </c>
      <c r="G595" s="95">
        <f>'לקוחות לפי סוכן - מקור'!H610</f>
        <v/>
      </c>
      <c r="H595" s="95">
        <f>'לקוחות לפי סוכן - מקור'!I610</f>
        <v/>
      </c>
      <c r="I595" s="127">
        <f>'לקוחות לפי סוכן - מקור'!K610</f>
        <v/>
      </c>
    </row>
    <row r="596" outlineLevel="2" ht="15" customHeight="1" s="82">
      <c r="A596" s="94">
        <f>'לקוחות לפי סוכן - מקור'!A611</f>
        <v/>
      </c>
      <c r="B596" s="94">
        <f>'לקוחות לפי סוכן - מקור'!C611</f>
        <v/>
      </c>
      <c r="C596" s="94">
        <f>'לקוחות לפי סוכן - מקור'!E611</f>
        <v/>
      </c>
      <c r="D596" s="102">
        <f>'לקוחות לפי סוכן - מקור'!F611</f>
        <v/>
      </c>
      <c r="E596" s="102">
        <f>'לקוחות לפי סוכן - מקור'!G611</f>
        <v/>
      </c>
      <c r="F596" s="94">
        <f>'לקוחות לפי סוכן - מקור'!D611</f>
        <v/>
      </c>
      <c r="G596" s="95">
        <f>'לקוחות לפי סוכן - מקור'!H611</f>
        <v/>
      </c>
      <c r="H596" s="95">
        <f>'לקוחות לפי סוכן - מקור'!I611</f>
        <v/>
      </c>
      <c r="I596" s="127">
        <f>'לקוחות לפי סוכן - מקור'!K611</f>
        <v/>
      </c>
    </row>
    <row r="597" outlineLevel="2" ht="15" customHeight="1" s="82">
      <c r="A597" s="94">
        <f>'לקוחות לפי סוכן - מקור'!A612</f>
        <v/>
      </c>
      <c r="B597" s="94">
        <f>'לקוחות לפי סוכן - מקור'!C612</f>
        <v/>
      </c>
      <c r="C597" s="94">
        <f>'לקוחות לפי סוכן - מקור'!E612</f>
        <v/>
      </c>
      <c r="D597" s="102">
        <f>'לקוחות לפי סוכן - מקור'!F612</f>
        <v/>
      </c>
      <c r="E597" s="102">
        <f>'לקוחות לפי סוכן - מקור'!G612</f>
        <v/>
      </c>
      <c r="F597" s="94">
        <f>'לקוחות לפי סוכן - מקור'!D612</f>
        <v/>
      </c>
      <c r="G597" s="95">
        <f>'לקוחות לפי סוכן - מקור'!H612</f>
        <v/>
      </c>
      <c r="H597" s="95">
        <f>'לקוחות לפי סוכן - מקור'!I612</f>
        <v/>
      </c>
      <c r="I597" s="127">
        <f>'לקוחות לפי סוכן - מקור'!K612</f>
        <v/>
      </c>
    </row>
    <row r="598" outlineLevel="2" ht="15" customHeight="1" s="82">
      <c r="A598" s="94">
        <f>'לקוחות לפי סוכן - מקור'!A613</f>
        <v/>
      </c>
      <c r="B598" s="94">
        <f>'לקוחות לפי סוכן - מקור'!C613</f>
        <v/>
      </c>
      <c r="C598" s="94">
        <f>'לקוחות לפי סוכן - מקור'!E613</f>
        <v/>
      </c>
      <c r="D598" s="102">
        <f>'לקוחות לפי סוכן - מקור'!F613</f>
        <v/>
      </c>
      <c r="E598" s="102">
        <f>'לקוחות לפי סוכן - מקור'!G613</f>
        <v/>
      </c>
      <c r="F598" s="94">
        <f>'לקוחות לפי סוכן - מקור'!D613</f>
        <v/>
      </c>
      <c r="G598" s="95">
        <f>'לקוחות לפי סוכן - מקור'!H613</f>
        <v/>
      </c>
      <c r="H598" s="95">
        <f>'לקוחות לפי סוכן - מקור'!I613</f>
        <v/>
      </c>
      <c r="I598" s="127">
        <f>'לקוחות לפי סוכן - מקור'!K613</f>
        <v/>
      </c>
    </row>
    <row r="599" outlineLevel="2" ht="15" customHeight="1" s="82">
      <c r="A599" s="94">
        <f>'לקוחות לפי סוכן - מקור'!A614</f>
        <v/>
      </c>
      <c r="B599" s="94">
        <f>'לקוחות לפי סוכן - מקור'!C614</f>
        <v/>
      </c>
      <c r="C599" s="94">
        <f>'לקוחות לפי סוכן - מקור'!E614</f>
        <v/>
      </c>
      <c r="D599" s="102">
        <f>'לקוחות לפי סוכן - מקור'!F614</f>
        <v/>
      </c>
      <c r="E599" s="102">
        <f>'לקוחות לפי סוכן - מקור'!G614</f>
        <v/>
      </c>
      <c r="F599" s="94">
        <f>'לקוחות לפי סוכן - מקור'!D614</f>
        <v/>
      </c>
      <c r="G599" s="95">
        <f>'לקוחות לפי סוכן - מקור'!H614</f>
        <v/>
      </c>
      <c r="H599" s="95">
        <f>'לקוחות לפי סוכן - מקור'!I614</f>
        <v/>
      </c>
      <c r="I599" s="127">
        <f>'לקוחות לפי סוכן - מקור'!K614</f>
        <v/>
      </c>
    </row>
    <row r="600" outlineLevel="2" ht="15" customHeight="1" s="82">
      <c r="A600" s="94">
        <f>'לקוחות לפי סוכן - מקור'!A615</f>
        <v/>
      </c>
      <c r="B600" s="94">
        <f>'לקוחות לפי סוכן - מקור'!C615</f>
        <v/>
      </c>
      <c r="C600" s="94">
        <f>'לקוחות לפי סוכן - מקור'!E615</f>
        <v/>
      </c>
      <c r="D600" s="102">
        <f>'לקוחות לפי סוכן - מקור'!F615</f>
        <v/>
      </c>
      <c r="E600" s="102">
        <f>'לקוחות לפי סוכן - מקור'!G615</f>
        <v/>
      </c>
      <c r="F600" s="94">
        <f>'לקוחות לפי סוכן - מקור'!D615</f>
        <v/>
      </c>
      <c r="G600" s="95">
        <f>'לקוחות לפי סוכן - מקור'!H615</f>
        <v/>
      </c>
      <c r="H600" s="95">
        <f>'לקוחות לפי סוכן - מקור'!I615</f>
        <v/>
      </c>
      <c r="I600" s="127">
        <f>'לקוחות לפי סוכן - מקור'!K615</f>
        <v/>
      </c>
    </row>
    <row r="601" outlineLevel="2" ht="15" customHeight="1" s="82">
      <c r="A601" s="94">
        <f>'לקוחות לפי סוכן - מקור'!A616</f>
        <v/>
      </c>
      <c r="B601" s="94">
        <f>'לקוחות לפי סוכן - מקור'!C616</f>
        <v/>
      </c>
      <c r="C601" s="94">
        <f>'לקוחות לפי סוכן - מקור'!E616</f>
        <v/>
      </c>
      <c r="D601" s="102">
        <f>'לקוחות לפי סוכן - מקור'!F616</f>
        <v/>
      </c>
      <c r="E601" s="102">
        <f>'לקוחות לפי סוכן - מקור'!G616</f>
        <v/>
      </c>
      <c r="F601" s="94">
        <f>'לקוחות לפי סוכן - מקור'!D616</f>
        <v/>
      </c>
      <c r="G601" s="95">
        <f>'לקוחות לפי סוכן - מקור'!H616</f>
        <v/>
      </c>
      <c r="H601" s="95">
        <f>'לקוחות לפי סוכן - מקור'!I616</f>
        <v/>
      </c>
      <c r="I601" s="127">
        <f>'לקוחות לפי סוכן - מקור'!K616</f>
        <v/>
      </c>
    </row>
    <row r="602" outlineLevel="2" ht="15" customHeight="1" s="82">
      <c r="A602" s="94">
        <f>'לקוחות לפי סוכן - מקור'!A617</f>
        <v/>
      </c>
      <c r="B602" s="94">
        <f>'לקוחות לפי סוכן - מקור'!C617</f>
        <v/>
      </c>
      <c r="C602" s="94">
        <f>'לקוחות לפי סוכן - מקור'!E617</f>
        <v/>
      </c>
      <c r="D602" s="102">
        <f>'לקוחות לפי סוכן - מקור'!F617</f>
        <v/>
      </c>
      <c r="E602" s="102">
        <f>'לקוחות לפי סוכן - מקור'!G617</f>
        <v/>
      </c>
      <c r="F602" s="94">
        <f>'לקוחות לפי סוכן - מקור'!D617</f>
        <v/>
      </c>
      <c r="G602" s="95">
        <f>'לקוחות לפי סוכן - מקור'!H617</f>
        <v/>
      </c>
      <c r="H602" s="95">
        <f>'לקוחות לפי סוכן - מקור'!I617</f>
        <v/>
      </c>
      <c r="I602" s="127">
        <f>'לקוחות לפי סוכן - מקור'!K617</f>
        <v/>
      </c>
    </row>
    <row r="603" outlineLevel="2" ht="15" customHeight="1" s="82">
      <c r="A603" s="94">
        <f>'לקוחות לפי סוכן - מקור'!A618</f>
        <v/>
      </c>
      <c r="B603" s="94">
        <f>'לקוחות לפי סוכן - מקור'!C618</f>
        <v/>
      </c>
      <c r="C603" s="94">
        <f>'לקוחות לפי סוכן - מקור'!E618</f>
        <v/>
      </c>
      <c r="D603" s="102">
        <f>'לקוחות לפי סוכן - מקור'!F618</f>
        <v/>
      </c>
      <c r="E603" s="102">
        <f>'לקוחות לפי סוכן - מקור'!G618</f>
        <v/>
      </c>
      <c r="F603" s="94">
        <f>'לקוחות לפי סוכן - מקור'!D618</f>
        <v/>
      </c>
      <c r="G603" s="95">
        <f>'לקוחות לפי סוכן - מקור'!H618</f>
        <v/>
      </c>
      <c r="H603" s="95">
        <f>'לקוחות לפי סוכן - מקור'!I618</f>
        <v/>
      </c>
      <c r="I603" s="127">
        <f>'לקוחות לפי סוכן - מקור'!K618</f>
        <v/>
      </c>
    </row>
    <row r="604" outlineLevel="2" ht="15" customHeight="1" s="82">
      <c r="A604" s="94">
        <f>'לקוחות לפי סוכן - מקור'!A619</f>
        <v/>
      </c>
      <c r="B604" s="94">
        <f>'לקוחות לפי סוכן - מקור'!C619</f>
        <v/>
      </c>
      <c r="C604" s="94">
        <f>'לקוחות לפי סוכן - מקור'!E619</f>
        <v/>
      </c>
      <c r="D604" s="102">
        <f>'לקוחות לפי סוכן - מקור'!F619</f>
        <v/>
      </c>
      <c r="E604" s="102">
        <f>'לקוחות לפי סוכן - מקור'!G619</f>
        <v/>
      </c>
      <c r="F604" s="94">
        <f>'לקוחות לפי סוכן - מקור'!D619</f>
        <v/>
      </c>
      <c r="G604" s="95">
        <f>'לקוחות לפי סוכן - מקור'!H619</f>
        <v/>
      </c>
      <c r="H604" s="95">
        <f>'לקוחות לפי סוכן - מקור'!I619</f>
        <v/>
      </c>
      <c r="I604" s="127">
        <f>'לקוחות לפי סוכן - מקור'!K619</f>
        <v/>
      </c>
    </row>
    <row r="605" outlineLevel="2" ht="15" customHeight="1" s="82">
      <c r="A605" s="94">
        <f>'לקוחות לפי סוכן - מקור'!A620</f>
        <v/>
      </c>
      <c r="B605" s="94">
        <f>'לקוחות לפי סוכן - מקור'!C620</f>
        <v/>
      </c>
      <c r="C605" s="94">
        <f>'לקוחות לפי סוכן - מקור'!E620</f>
        <v/>
      </c>
      <c r="D605" s="102">
        <f>'לקוחות לפי סוכן - מקור'!F620</f>
        <v/>
      </c>
      <c r="E605" s="102">
        <f>'לקוחות לפי סוכן - מקור'!G620</f>
        <v/>
      </c>
      <c r="F605" s="94">
        <f>'לקוחות לפי סוכן - מקור'!D620</f>
        <v/>
      </c>
      <c r="G605" s="95">
        <f>'לקוחות לפי סוכן - מקור'!H620</f>
        <v/>
      </c>
      <c r="H605" s="95">
        <f>'לקוחות לפי סוכן - מקור'!I620</f>
        <v/>
      </c>
      <c r="I605" s="127">
        <f>'לקוחות לפי סוכן - מקור'!K620</f>
        <v/>
      </c>
    </row>
    <row r="606" outlineLevel="2" ht="15" customHeight="1" s="82">
      <c r="A606" s="94">
        <f>'לקוחות לפי סוכן - מקור'!A621</f>
        <v/>
      </c>
      <c r="B606" s="94">
        <f>'לקוחות לפי סוכן - מקור'!C621</f>
        <v/>
      </c>
      <c r="C606" s="94">
        <f>'לקוחות לפי סוכן - מקור'!E621</f>
        <v/>
      </c>
      <c r="D606" s="102">
        <f>'לקוחות לפי סוכן - מקור'!F621</f>
        <v/>
      </c>
      <c r="E606" s="102">
        <f>'לקוחות לפי סוכן - מקור'!G621</f>
        <v/>
      </c>
      <c r="F606" s="94">
        <f>'לקוחות לפי סוכן - מקור'!D621</f>
        <v/>
      </c>
      <c r="G606" s="95">
        <f>'לקוחות לפי סוכן - מקור'!H621</f>
        <v/>
      </c>
      <c r="H606" s="95">
        <f>'לקוחות לפי סוכן - מקור'!I621</f>
        <v/>
      </c>
      <c r="I606" s="127">
        <f>'לקוחות לפי סוכן - מקור'!K621</f>
        <v/>
      </c>
    </row>
    <row r="607" outlineLevel="2" ht="15" customHeight="1" s="82">
      <c r="A607" s="94">
        <f>'לקוחות לפי סוכן - מקור'!A622</f>
        <v/>
      </c>
      <c r="B607" s="94">
        <f>'לקוחות לפי סוכן - מקור'!C622</f>
        <v/>
      </c>
      <c r="C607" s="94">
        <f>'לקוחות לפי סוכן - מקור'!E622</f>
        <v/>
      </c>
      <c r="D607" s="102">
        <f>'לקוחות לפי סוכן - מקור'!F622</f>
        <v/>
      </c>
      <c r="E607" s="102">
        <f>'לקוחות לפי סוכן - מקור'!G622</f>
        <v/>
      </c>
      <c r="F607" s="94">
        <f>'לקוחות לפי סוכן - מקור'!D622</f>
        <v/>
      </c>
      <c r="G607" s="95">
        <f>'לקוחות לפי סוכן - מקור'!H622</f>
        <v/>
      </c>
      <c r="H607" s="95">
        <f>'לקוחות לפי סוכן - מקור'!I622</f>
        <v/>
      </c>
      <c r="I607" s="127">
        <f>'לקוחות לפי סוכן - מקור'!K622</f>
        <v/>
      </c>
    </row>
    <row r="608" outlineLevel="2" ht="15" customHeight="1" s="82">
      <c r="A608" s="94">
        <f>'לקוחות לפי סוכן - מקור'!A623</f>
        <v/>
      </c>
      <c r="B608" s="94">
        <f>'לקוחות לפי סוכן - מקור'!C623</f>
        <v/>
      </c>
      <c r="C608" s="94">
        <f>'לקוחות לפי סוכן - מקור'!E623</f>
        <v/>
      </c>
      <c r="D608" s="102">
        <f>'לקוחות לפי סוכן - מקור'!F623</f>
        <v/>
      </c>
      <c r="E608" s="102">
        <f>'לקוחות לפי סוכן - מקור'!G623</f>
        <v/>
      </c>
      <c r="F608" s="94">
        <f>'לקוחות לפי סוכן - מקור'!D623</f>
        <v/>
      </c>
      <c r="G608" s="95">
        <f>'לקוחות לפי סוכן - מקור'!H623</f>
        <v/>
      </c>
      <c r="H608" s="95">
        <f>'לקוחות לפי סוכן - מקור'!I623</f>
        <v/>
      </c>
      <c r="I608" s="127">
        <f>'לקוחות לפי סוכן - מקור'!K623</f>
        <v/>
      </c>
    </row>
    <row r="609" outlineLevel="2" ht="15" customHeight="1" s="82">
      <c r="A609" s="94">
        <f>'לקוחות לפי סוכן - מקור'!A624</f>
        <v/>
      </c>
      <c r="B609" s="94">
        <f>'לקוחות לפי סוכן - מקור'!C624</f>
        <v/>
      </c>
      <c r="C609" s="94">
        <f>'לקוחות לפי סוכן - מקור'!E624</f>
        <v/>
      </c>
      <c r="D609" s="102">
        <f>'לקוחות לפי סוכן - מקור'!F624</f>
        <v/>
      </c>
      <c r="E609" s="102">
        <f>'לקוחות לפי סוכן - מקור'!G624</f>
        <v/>
      </c>
      <c r="F609" s="94">
        <f>'לקוחות לפי סוכן - מקור'!D624</f>
        <v/>
      </c>
      <c r="G609" s="95">
        <f>'לקוחות לפי סוכן - מקור'!H624</f>
        <v/>
      </c>
      <c r="H609" s="95">
        <f>'לקוחות לפי סוכן - מקור'!I624</f>
        <v/>
      </c>
      <c r="I609" s="127">
        <f>'לקוחות לפי סוכן - מקור'!K624</f>
        <v/>
      </c>
    </row>
    <row r="610" outlineLevel="2" ht="15" customHeight="1" s="82">
      <c r="A610" s="94">
        <f>'לקוחות לפי סוכן - מקור'!A625</f>
        <v/>
      </c>
      <c r="B610" s="94">
        <f>'לקוחות לפי סוכן - מקור'!C625</f>
        <v/>
      </c>
      <c r="C610" s="94">
        <f>'לקוחות לפי סוכן - מקור'!E625</f>
        <v/>
      </c>
      <c r="D610" s="102">
        <f>'לקוחות לפי סוכן - מקור'!F625</f>
        <v/>
      </c>
      <c r="E610" s="102">
        <f>'לקוחות לפי סוכן - מקור'!G625</f>
        <v/>
      </c>
      <c r="F610" s="94">
        <f>'לקוחות לפי סוכן - מקור'!D625</f>
        <v/>
      </c>
      <c r="G610" s="95">
        <f>'לקוחות לפי סוכן - מקור'!H625</f>
        <v/>
      </c>
      <c r="H610" s="95">
        <f>'לקוחות לפי סוכן - מקור'!I625</f>
        <v/>
      </c>
      <c r="I610" s="127">
        <f>'לקוחות לפי סוכן - מקור'!K625</f>
        <v/>
      </c>
    </row>
    <row r="611" outlineLevel="2" ht="15" customHeight="1" s="82">
      <c r="A611" s="94">
        <f>'לקוחות לפי סוכן - מקור'!A626</f>
        <v/>
      </c>
      <c r="B611" s="94">
        <f>'לקוחות לפי סוכן - מקור'!C626</f>
        <v/>
      </c>
      <c r="C611" s="94">
        <f>'לקוחות לפי סוכן - מקור'!E626</f>
        <v/>
      </c>
      <c r="D611" s="102">
        <f>'לקוחות לפי סוכן - מקור'!F626</f>
        <v/>
      </c>
      <c r="E611" s="102">
        <f>'לקוחות לפי סוכן - מקור'!G626</f>
        <v/>
      </c>
      <c r="F611" s="94">
        <f>'לקוחות לפי סוכן - מקור'!D626</f>
        <v/>
      </c>
      <c r="G611" s="95">
        <f>'לקוחות לפי סוכן - מקור'!H626</f>
        <v/>
      </c>
      <c r="H611" s="95">
        <f>'לקוחות לפי סוכן - מקור'!I626</f>
        <v/>
      </c>
      <c r="I611" s="127">
        <f>'לקוחות לפי סוכן - מקור'!K626</f>
        <v/>
      </c>
    </row>
    <row r="612" outlineLevel="2" ht="15" customHeight="1" s="82">
      <c r="A612" s="94">
        <f>'לקוחות לפי סוכן - מקור'!A627</f>
        <v/>
      </c>
      <c r="B612" s="94">
        <f>'לקוחות לפי סוכן - מקור'!C627</f>
        <v/>
      </c>
      <c r="C612" s="94">
        <f>'לקוחות לפי סוכן - מקור'!E627</f>
        <v/>
      </c>
      <c r="D612" s="102">
        <f>'לקוחות לפי סוכן - מקור'!F627</f>
        <v/>
      </c>
      <c r="E612" s="102">
        <f>'לקוחות לפי סוכן - מקור'!G627</f>
        <v/>
      </c>
      <c r="F612" s="94">
        <f>'לקוחות לפי סוכן - מקור'!D627</f>
        <v/>
      </c>
      <c r="G612" s="95">
        <f>'לקוחות לפי סוכן - מקור'!H627</f>
        <v/>
      </c>
      <c r="H612" s="95">
        <f>'לקוחות לפי סוכן - מקור'!I627</f>
        <v/>
      </c>
      <c r="I612" s="127">
        <f>'לקוחות לפי סוכן - מקור'!K627</f>
        <v/>
      </c>
    </row>
    <row r="613" ht="15" customHeight="1" s="82">
      <c r="A613" s="96" t="inlineStr">
        <is>
          <t>חיים ויצמן</t>
        </is>
      </c>
      <c r="B613" s="96" t="n"/>
      <c r="C613" s="96" t="inlineStr">
        <is>
          <t>סה"כ סוכן</t>
        </is>
      </c>
      <c r="D613" s="125">
        <f>SUMIF('לקוחות לפי סוכן - מקור'!$A$2:$A$867,$A613,'לקוחות לפי סוכן - מקור'!$F$2:$F$867)</f>
        <v/>
      </c>
      <c r="E613" s="125">
        <f>SUMIF('לקוחות לפי סוכן - מקור'!$A$2:$A$867,$A613,'לקוחות לפי סוכן - מקור'!$G$2:$G$867)</f>
        <v/>
      </c>
      <c r="F613" s="96" t="n"/>
      <c r="G613" s="97">
        <f>SUMIF('לקוחות לפי סוכן - מקור'!$A$2:$A$867,$A613,'לקוחות לפי סוכן - מקור'!$H$2:$H$867)</f>
        <v/>
      </c>
      <c r="H613" s="97">
        <f>SUMIF('לקוחות לפי סוכן - מקור'!$A$2:$A$867,$A613,'לקוחות לפי סוכן - מקור'!$I$2:$I$867)</f>
        <v/>
      </c>
      <c r="I613" s="96">
        <f>IF(COUNTIFS('לקוחות לפי סוכן - מקור'!$A$2:$A$867,$A613,'לקוחות לפי סוכן - מקור'!$K$2:$K$867,"NetSuite")&gt;0,IF(COUNTIFS('לקוחות לפי סוכן - מקור'!$A$2:$A$867,$A613,'לקוחות לפי סוכן - מקור'!$K$2:$K$867,"CHMI")&gt;0,"NetSuite+CHMI ("&amp;COUNTIFS('לקוחות לפי סוכן - מקור'!$A$2:$A$867,$A613,'לקוחות לפי סוכן - מקור'!$K$2:$K$867,"NetSuite")&amp;"+"&amp;COUNTIFS('לקוחות לפי סוכן - מקור'!$A$2:$A$867,$A613,'לקוחות לפי סוכן - מקור'!$K$2:$K$867,"CHMI")&amp;")","NetSuite ("&amp;COUNTIFS('לקוחות לפי סוכן - מקור'!$A$2:$A$867,$A613,'לקוחות לפי סוכן - מקור'!$K$2:$K$867,"NetSuite")&amp;")"),"CHMI ("&amp;COUNTIFS('לקוחות לפי סוכן - מקור'!$A$2:$A$867,$A613,'לקוחות לפי סוכן - מקור'!$K$2:$K$867,"CHMI")&amp;")")</f>
        <v/>
      </c>
      <c r="J613" s="97">
        <f>COUNTIF('לקוחות לפי סוכן - מקור'!$A$2:$A$867,$A613)</f>
        <v/>
      </c>
    </row>
    <row r="614" ht="15" customHeight="1" s="82"/>
    <row r="615" ht="15" customHeight="1" s="82">
      <c r="A615" s="96" t="inlineStr">
        <is>
          <t>חאזם תלחמי</t>
        </is>
      </c>
      <c r="B615" s="96" t="n"/>
      <c r="C615" s="96" t="n"/>
      <c r="D615" s="96" t="n"/>
      <c r="E615" s="96" t="n"/>
      <c r="F615" s="96" t="n"/>
      <c r="G615" s="96" t="n"/>
      <c r="H615" s="96" t="n"/>
      <c r="I615" s="96" t="n"/>
      <c r="J615" s="96" t="n"/>
    </row>
    <row r="616" outlineLevel="1" ht="15" customHeight="1" s="82">
      <c r="A616" s="128" t="inlineStr">
        <is>
          <t>חאזם תלחמי</t>
        </is>
      </c>
      <c r="B616" s="129" t="inlineStr">
        <is>
          <t>0בתי מרקחת</t>
        </is>
      </c>
      <c r="C616" s="130" t="n"/>
      <c r="D616" s="131">
        <f>SUMIFS('לקוחות לפי סוכן - מקור'!$F$2:$F$867,'לקוחות לפי סוכן - מקור'!$A$2:$A$867,$A616,'לקוחות לפי סוכן - מקור'!$C$2:$C$867,$B616)</f>
        <v/>
      </c>
      <c r="E616" s="131">
        <f>SUMIFS('לקוחות לפי סוכן - מקור'!$G$2:$G$867,'לקוחות לפי סוכן - מקור'!$A$2:$A$867,$A616,'לקוחות לפי סוכן - מקור'!$C$2:$C$867,$B616)</f>
        <v/>
      </c>
      <c r="F616" s="130" t="n"/>
      <c r="G616" s="132">
        <f>SUMIFS('לקוחות לפי סוכן - מקור'!$H$2:$H$867,'לקוחות לפי סוכן - מקור'!$A$2:$A$867,$A616,'לקוחות לפי סוכן - מקור'!$C$2:$C$867,$B616)</f>
        <v/>
      </c>
      <c r="H616" s="132">
        <f>SUMIFS('לקוחות לפי סוכן - מקור'!$I$2:$I$867,'לקוחות לפי סוכן - מקור'!$A$2:$A$867,$A616,'לקוחות לפי סוכן - מקור'!$C$2:$C$867,$B616)</f>
        <v/>
      </c>
      <c r="I616" s="130" t="n"/>
      <c r="J616" s="132">
        <f>COUNTIFS('לקוחות לפי סוכן - מקור'!$A$2:$A$867,$A616,'לקוחות לפי סוכן - מקור'!$C$2:$C$867,$B616)</f>
        <v/>
      </c>
    </row>
    <row r="617" outlineLevel="2" ht="15" customHeight="1" s="82">
      <c r="A617" s="94">
        <f>'לקוחות לפי סוכן - מקור'!A628</f>
        <v/>
      </c>
      <c r="B617" s="94">
        <f>'לקוחות לפי סוכן - מקור'!C628</f>
        <v/>
      </c>
      <c r="C617" s="94">
        <f>'לקוחות לפי סוכן - מקור'!E628</f>
        <v/>
      </c>
      <c r="D617" s="102">
        <f>'לקוחות לפי סוכן - מקור'!F628</f>
        <v/>
      </c>
      <c r="E617" s="102">
        <f>'לקוחות לפי סוכן - מקור'!G628</f>
        <v/>
      </c>
      <c r="F617" s="94">
        <f>'לקוחות לפי סוכן - מקור'!D628</f>
        <v/>
      </c>
      <c r="G617" s="95">
        <f>'לקוחות לפי סוכן - מקור'!H628</f>
        <v/>
      </c>
      <c r="H617" s="95">
        <f>'לקוחות לפי סוכן - מקור'!I628</f>
        <v/>
      </c>
      <c r="I617" s="127">
        <f>'לקוחות לפי סוכן - מקור'!K628</f>
        <v/>
      </c>
    </row>
    <row r="618" outlineLevel="2" ht="15" customHeight="1" s="82">
      <c r="A618" s="94">
        <f>'לקוחות לפי סוכן - מקור'!A629</f>
        <v/>
      </c>
      <c r="B618" s="94">
        <f>'לקוחות לפי סוכן - מקור'!C629</f>
        <v/>
      </c>
      <c r="C618" s="94">
        <f>'לקוחות לפי סוכן - מקור'!E629</f>
        <v/>
      </c>
      <c r="D618" s="102">
        <f>'לקוחות לפי סוכן - מקור'!F629</f>
        <v/>
      </c>
      <c r="E618" s="102">
        <f>'לקוחות לפי סוכן - מקור'!G629</f>
        <v/>
      </c>
      <c r="F618" s="94">
        <f>'לקוחות לפי סוכן - מקור'!D629</f>
        <v/>
      </c>
      <c r="G618" s="95">
        <f>'לקוחות לפי סוכן - מקור'!H629</f>
        <v/>
      </c>
      <c r="H618" s="95">
        <f>'לקוחות לפי סוכן - מקור'!I629</f>
        <v/>
      </c>
      <c r="I618" s="127">
        <f>'לקוחות לפי סוכן - מקור'!K629</f>
        <v/>
      </c>
    </row>
    <row r="619" outlineLevel="2" ht="15" customHeight="1" s="82">
      <c r="A619" s="94">
        <f>'לקוחות לפי סוכן - מקור'!A630</f>
        <v/>
      </c>
      <c r="B619" s="94">
        <f>'לקוחות לפי סוכן - מקור'!C630</f>
        <v/>
      </c>
      <c r="C619" s="94">
        <f>'לקוחות לפי סוכן - מקור'!E630</f>
        <v/>
      </c>
      <c r="D619" s="102">
        <f>'לקוחות לפי סוכן - מקור'!F630</f>
        <v/>
      </c>
      <c r="E619" s="102">
        <f>'לקוחות לפי סוכן - מקור'!G630</f>
        <v/>
      </c>
      <c r="F619" s="94">
        <f>'לקוחות לפי סוכן - מקור'!D630</f>
        <v/>
      </c>
      <c r="G619" s="95">
        <f>'לקוחות לפי סוכן - מקור'!H630</f>
        <v/>
      </c>
      <c r="H619" s="95">
        <f>'לקוחות לפי סוכן - מקור'!I630</f>
        <v/>
      </c>
      <c r="I619" s="127">
        <f>'לקוחות לפי סוכן - מקור'!K630</f>
        <v/>
      </c>
    </row>
    <row r="620" outlineLevel="2" ht="15" customHeight="1" s="82">
      <c r="A620" s="94">
        <f>'לקוחות לפי סוכן - מקור'!A631</f>
        <v/>
      </c>
      <c r="B620" s="94">
        <f>'לקוחות לפי סוכן - מקור'!C631</f>
        <v/>
      </c>
      <c r="C620" s="94">
        <f>'לקוחות לפי סוכן - מקור'!E631</f>
        <v/>
      </c>
      <c r="D620" s="102">
        <f>'לקוחות לפי סוכן - מקור'!F631</f>
        <v/>
      </c>
      <c r="E620" s="102">
        <f>'לקוחות לפי סוכן - מקור'!G631</f>
        <v/>
      </c>
      <c r="F620" s="94">
        <f>'לקוחות לפי סוכן - מקור'!D631</f>
        <v/>
      </c>
      <c r="G620" s="95">
        <f>'לקוחות לפי סוכן - מקור'!H631</f>
        <v/>
      </c>
      <c r="H620" s="95">
        <f>'לקוחות לפי סוכן - מקור'!I631</f>
        <v/>
      </c>
      <c r="I620" s="127">
        <f>'לקוחות לפי סוכן - מקור'!K631</f>
        <v/>
      </c>
    </row>
    <row r="621" outlineLevel="2" ht="15" customHeight="1" s="82">
      <c r="A621" s="94">
        <f>'לקוחות לפי סוכן - מקור'!A632</f>
        <v/>
      </c>
      <c r="B621" s="94">
        <f>'לקוחות לפי סוכן - מקור'!C632</f>
        <v/>
      </c>
      <c r="C621" s="94">
        <f>'לקוחות לפי סוכן - מקור'!E632</f>
        <v/>
      </c>
      <c r="D621" s="102">
        <f>'לקוחות לפי סוכן - מקור'!F632</f>
        <v/>
      </c>
      <c r="E621" s="102">
        <f>'לקוחות לפי סוכן - מקור'!G632</f>
        <v/>
      </c>
      <c r="F621" s="94">
        <f>'לקוחות לפי סוכן - מקור'!D632</f>
        <v/>
      </c>
      <c r="G621" s="95">
        <f>'לקוחות לפי סוכן - מקור'!H632</f>
        <v/>
      </c>
      <c r="H621" s="95">
        <f>'לקוחות לפי סוכן - מקור'!I632</f>
        <v/>
      </c>
      <c r="I621" s="127">
        <f>'לקוחות לפי סוכן - מקור'!K632</f>
        <v/>
      </c>
    </row>
    <row r="622" outlineLevel="2" ht="15" customHeight="1" s="82">
      <c r="A622" s="94">
        <f>'לקוחות לפי סוכן - מקור'!A633</f>
        <v/>
      </c>
      <c r="B622" s="94">
        <f>'לקוחות לפי סוכן - מקור'!C633</f>
        <v/>
      </c>
      <c r="C622" s="94">
        <f>'לקוחות לפי סוכן - מקור'!E633</f>
        <v/>
      </c>
      <c r="D622" s="102">
        <f>'לקוחות לפי סוכן - מקור'!F633</f>
        <v/>
      </c>
      <c r="E622" s="102">
        <f>'לקוחות לפי סוכן - מקור'!G633</f>
        <v/>
      </c>
      <c r="F622" s="94">
        <f>'לקוחות לפי סוכן - מקור'!D633</f>
        <v/>
      </c>
      <c r="G622" s="95">
        <f>'לקוחות לפי סוכן - מקור'!H633</f>
        <v/>
      </c>
      <c r="H622" s="95">
        <f>'לקוחות לפי סוכן - מקור'!I633</f>
        <v/>
      </c>
      <c r="I622" s="127">
        <f>'לקוחות לפי סוכן - מקור'!K633</f>
        <v/>
      </c>
    </row>
    <row r="623" outlineLevel="2" ht="15" customHeight="1" s="82">
      <c r="A623" s="94">
        <f>'לקוחות לפי סוכן - מקור'!A634</f>
        <v/>
      </c>
      <c r="B623" s="94">
        <f>'לקוחות לפי סוכן - מקור'!C634</f>
        <v/>
      </c>
      <c r="C623" s="94">
        <f>'לקוחות לפי סוכן - מקור'!E634</f>
        <v/>
      </c>
      <c r="D623" s="102">
        <f>'לקוחות לפי סוכן - מקור'!F634</f>
        <v/>
      </c>
      <c r="E623" s="102">
        <f>'לקוחות לפי סוכן - מקור'!G634</f>
        <v/>
      </c>
      <c r="F623" s="94">
        <f>'לקוחות לפי סוכן - מקור'!D634</f>
        <v/>
      </c>
      <c r="G623" s="95">
        <f>'לקוחות לפי סוכן - מקור'!H634</f>
        <v/>
      </c>
      <c r="H623" s="95">
        <f>'לקוחות לפי סוכן - מקור'!I634</f>
        <v/>
      </c>
      <c r="I623" s="127">
        <f>'לקוחות לפי סוכן - מקור'!K634</f>
        <v/>
      </c>
    </row>
    <row r="624" outlineLevel="2" ht="15" customHeight="1" s="82">
      <c r="A624" s="94">
        <f>'לקוחות לפי סוכן - מקור'!A635</f>
        <v/>
      </c>
      <c r="B624" s="94">
        <f>'לקוחות לפי סוכן - מקור'!C635</f>
        <v/>
      </c>
      <c r="C624" s="94">
        <f>'לקוחות לפי סוכן - מקור'!E635</f>
        <v/>
      </c>
      <c r="D624" s="102">
        <f>'לקוחות לפי סוכן - מקור'!F635</f>
        <v/>
      </c>
      <c r="E624" s="102">
        <f>'לקוחות לפי סוכן - מקור'!G635</f>
        <v/>
      </c>
      <c r="F624" s="94">
        <f>'לקוחות לפי סוכן - מקור'!D635</f>
        <v/>
      </c>
      <c r="G624" s="95">
        <f>'לקוחות לפי סוכן - מקור'!H635</f>
        <v/>
      </c>
      <c r="H624" s="95">
        <f>'לקוחות לפי סוכן - מקור'!I635</f>
        <v/>
      </c>
      <c r="I624" s="127">
        <f>'לקוחות לפי סוכן - מקור'!K635</f>
        <v/>
      </c>
    </row>
    <row r="625" outlineLevel="2" ht="15" customHeight="1" s="82">
      <c r="A625" s="94">
        <f>'לקוחות לפי סוכן - מקור'!A636</f>
        <v/>
      </c>
      <c r="B625" s="94">
        <f>'לקוחות לפי סוכן - מקור'!C636</f>
        <v/>
      </c>
      <c r="C625" s="94">
        <f>'לקוחות לפי סוכן - מקור'!E636</f>
        <v/>
      </c>
      <c r="D625" s="102">
        <f>'לקוחות לפי סוכן - מקור'!F636</f>
        <v/>
      </c>
      <c r="E625" s="102">
        <f>'לקוחות לפי סוכן - מקור'!G636</f>
        <v/>
      </c>
      <c r="F625" s="94">
        <f>'לקוחות לפי סוכן - מקור'!D636</f>
        <v/>
      </c>
      <c r="G625" s="95">
        <f>'לקוחות לפי סוכן - מקור'!H636</f>
        <v/>
      </c>
      <c r="H625" s="95">
        <f>'לקוחות לפי סוכן - מקור'!I636</f>
        <v/>
      </c>
      <c r="I625" s="127">
        <f>'לקוחות לפי סוכן - מקור'!K636</f>
        <v/>
      </c>
    </row>
    <row r="626" outlineLevel="2" ht="15" customHeight="1" s="82">
      <c r="A626" s="94">
        <f>'לקוחות לפי סוכן - מקור'!A637</f>
        <v/>
      </c>
      <c r="B626" s="94">
        <f>'לקוחות לפי סוכן - מקור'!C637</f>
        <v/>
      </c>
      <c r="C626" s="94">
        <f>'לקוחות לפי סוכן - מקור'!E637</f>
        <v/>
      </c>
      <c r="D626" s="102">
        <f>'לקוחות לפי סוכן - מקור'!F637</f>
        <v/>
      </c>
      <c r="E626" s="102">
        <f>'לקוחות לפי סוכן - מקור'!G637</f>
        <v/>
      </c>
      <c r="F626" s="94">
        <f>'לקוחות לפי סוכן - מקור'!D637</f>
        <v/>
      </c>
      <c r="G626" s="95">
        <f>'לקוחות לפי סוכן - מקור'!H637</f>
        <v/>
      </c>
      <c r="H626" s="95">
        <f>'לקוחות לפי סוכן - מקור'!I637</f>
        <v/>
      </c>
      <c r="I626" s="127">
        <f>'לקוחות לפי סוכן - מקור'!K637</f>
        <v/>
      </c>
    </row>
    <row r="627" outlineLevel="2" ht="15" customHeight="1" s="82">
      <c r="A627" s="94">
        <f>'לקוחות לפי סוכן - מקור'!A638</f>
        <v/>
      </c>
      <c r="B627" s="94">
        <f>'לקוחות לפי סוכן - מקור'!C638</f>
        <v/>
      </c>
      <c r="C627" s="94">
        <f>'לקוחות לפי סוכן - מקור'!E638</f>
        <v/>
      </c>
      <c r="D627" s="102">
        <f>'לקוחות לפי סוכן - מקור'!F638</f>
        <v/>
      </c>
      <c r="E627" s="102">
        <f>'לקוחות לפי סוכן - מקור'!G638</f>
        <v/>
      </c>
      <c r="F627" s="94">
        <f>'לקוחות לפי סוכן - מקור'!D638</f>
        <v/>
      </c>
      <c r="G627" s="95">
        <f>'לקוחות לפי סוכן - מקור'!H638</f>
        <v/>
      </c>
      <c r="H627" s="95">
        <f>'לקוחות לפי סוכן - מקור'!I638</f>
        <v/>
      </c>
      <c r="I627" s="127">
        <f>'לקוחות לפי סוכן - מקור'!K638</f>
        <v/>
      </c>
    </row>
    <row r="628" outlineLevel="2" ht="15" customHeight="1" s="82">
      <c r="A628" s="94">
        <f>'לקוחות לפי סוכן - מקור'!A639</f>
        <v/>
      </c>
      <c r="B628" s="94">
        <f>'לקוחות לפי סוכן - מקור'!C639</f>
        <v/>
      </c>
      <c r="C628" s="94">
        <f>'לקוחות לפי סוכן - מקור'!E639</f>
        <v/>
      </c>
      <c r="D628" s="102">
        <f>'לקוחות לפי סוכן - מקור'!F639</f>
        <v/>
      </c>
      <c r="E628" s="102">
        <f>'לקוחות לפי סוכן - מקור'!G639</f>
        <v/>
      </c>
      <c r="F628" s="94">
        <f>'לקוחות לפי סוכן - מקור'!D639</f>
        <v/>
      </c>
      <c r="G628" s="95">
        <f>'לקוחות לפי סוכן - מקור'!H639</f>
        <v/>
      </c>
      <c r="H628" s="95">
        <f>'לקוחות לפי סוכן - מקור'!I639</f>
        <v/>
      </c>
      <c r="I628" s="127">
        <f>'לקוחות לפי סוכן - מקור'!K639</f>
        <v/>
      </c>
    </row>
    <row r="629" outlineLevel="2" ht="15" customHeight="1" s="82">
      <c r="A629" s="94">
        <f>'לקוחות לפי סוכן - מקור'!A640</f>
        <v/>
      </c>
      <c r="B629" s="94">
        <f>'לקוחות לפי סוכן - מקור'!C640</f>
        <v/>
      </c>
      <c r="C629" s="94">
        <f>'לקוחות לפי סוכן - מקור'!E640</f>
        <v/>
      </c>
      <c r="D629" s="102">
        <f>'לקוחות לפי סוכן - מקור'!F640</f>
        <v/>
      </c>
      <c r="E629" s="102">
        <f>'לקוחות לפי סוכן - מקור'!G640</f>
        <v/>
      </c>
      <c r="F629" s="94">
        <f>'לקוחות לפי סוכן - מקור'!D640</f>
        <v/>
      </c>
      <c r="G629" s="95">
        <f>'לקוחות לפי סוכן - מקור'!H640</f>
        <v/>
      </c>
      <c r="H629" s="95">
        <f>'לקוחות לפי סוכן - מקור'!I640</f>
        <v/>
      </c>
      <c r="I629" s="127">
        <f>'לקוחות לפי סוכן - מקור'!K640</f>
        <v/>
      </c>
    </row>
    <row r="630" outlineLevel="2" ht="15" customHeight="1" s="82">
      <c r="A630" s="94">
        <f>'לקוחות לפי סוכן - מקור'!A641</f>
        <v/>
      </c>
      <c r="B630" s="94">
        <f>'לקוחות לפי סוכן - מקור'!C641</f>
        <v/>
      </c>
      <c r="C630" s="94">
        <f>'לקוחות לפי סוכן - מקור'!E641</f>
        <v/>
      </c>
      <c r="D630" s="102">
        <f>'לקוחות לפי סוכן - מקור'!F641</f>
        <v/>
      </c>
      <c r="E630" s="102">
        <f>'לקוחות לפי סוכן - מקור'!G641</f>
        <v/>
      </c>
      <c r="F630" s="94">
        <f>'לקוחות לפי סוכן - מקור'!D641</f>
        <v/>
      </c>
      <c r="G630" s="95">
        <f>'לקוחות לפי סוכן - מקור'!H641</f>
        <v/>
      </c>
      <c r="H630" s="95">
        <f>'לקוחות לפי סוכן - מקור'!I641</f>
        <v/>
      </c>
      <c r="I630" s="127">
        <f>'לקוחות לפי סוכן - מקור'!K641</f>
        <v/>
      </c>
    </row>
    <row r="631" outlineLevel="2" ht="15" customHeight="1" s="82">
      <c r="A631" s="94">
        <f>'לקוחות לפי סוכן - מקור'!A642</f>
        <v/>
      </c>
      <c r="B631" s="94">
        <f>'לקוחות לפי סוכן - מקור'!C642</f>
        <v/>
      </c>
      <c r="C631" s="94">
        <f>'לקוחות לפי סוכן - מקור'!E642</f>
        <v/>
      </c>
      <c r="D631" s="102">
        <f>'לקוחות לפי סוכן - מקור'!F642</f>
        <v/>
      </c>
      <c r="E631" s="102">
        <f>'לקוחות לפי סוכן - מקור'!G642</f>
        <v/>
      </c>
      <c r="F631" s="94">
        <f>'לקוחות לפי סוכן - מקור'!D642</f>
        <v/>
      </c>
      <c r="G631" s="95">
        <f>'לקוחות לפי סוכן - מקור'!H642</f>
        <v/>
      </c>
      <c r="H631" s="95">
        <f>'לקוחות לפי סוכן - מקור'!I642</f>
        <v/>
      </c>
      <c r="I631" s="127">
        <f>'לקוחות לפי סוכן - מקור'!K642</f>
        <v/>
      </c>
    </row>
    <row r="632" outlineLevel="2" ht="15" customHeight="1" s="82">
      <c r="A632" s="94">
        <f>'לקוחות לפי סוכן - מקור'!A643</f>
        <v/>
      </c>
      <c r="B632" s="94">
        <f>'לקוחות לפי סוכן - מקור'!C643</f>
        <v/>
      </c>
      <c r="C632" s="94">
        <f>'לקוחות לפי סוכן - מקור'!E643</f>
        <v/>
      </c>
      <c r="D632" s="102">
        <f>'לקוחות לפי סוכן - מקור'!F643</f>
        <v/>
      </c>
      <c r="E632" s="102">
        <f>'לקוחות לפי סוכן - מקור'!G643</f>
        <v/>
      </c>
      <c r="F632" s="94">
        <f>'לקוחות לפי סוכן - מקור'!D643</f>
        <v/>
      </c>
      <c r="G632" s="95">
        <f>'לקוחות לפי סוכן - מקור'!H643</f>
        <v/>
      </c>
      <c r="H632" s="95">
        <f>'לקוחות לפי סוכן - מקור'!I643</f>
        <v/>
      </c>
      <c r="I632" s="127">
        <f>'לקוחות לפי סוכן - מקור'!K643</f>
        <v/>
      </c>
    </row>
    <row r="633" outlineLevel="1" ht="15" customHeight="1" s="82">
      <c r="A633" s="128" t="inlineStr">
        <is>
          <t>חאזם תלחמי</t>
        </is>
      </c>
      <c r="B633" s="129" t="inlineStr">
        <is>
          <t>מגזר ערבי</t>
        </is>
      </c>
      <c r="C633" s="130" t="n"/>
      <c r="D633" s="131">
        <f>SUMIFS('לקוחות לפי סוכן - מקור'!$F$2:$F$867,'לקוחות לפי סוכן - מקור'!$A$2:$A$867,$A633,'לקוחות לפי סוכן - מקור'!$C$2:$C$867,$B633)</f>
        <v/>
      </c>
      <c r="E633" s="131">
        <f>SUMIFS('לקוחות לפי סוכן - מקור'!$G$2:$G$867,'לקוחות לפי סוכן - מקור'!$A$2:$A$867,$A633,'לקוחות לפי סוכן - מקור'!$C$2:$C$867,$B633)</f>
        <v/>
      </c>
      <c r="F633" s="130" t="n"/>
      <c r="G633" s="132">
        <f>SUMIFS('לקוחות לפי סוכן - מקור'!$H$2:$H$867,'לקוחות לפי סוכן - מקור'!$A$2:$A$867,$A633,'לקוחות לפי סוכן - מקור'!$C$2:$C$867,$B633)</f>
        <v/>
      </c>
      <c r="H633" s="132">
        <f>SUMIFS('לקוחות לפי סוכן - מקור'!$I$2:$I$867,'לקוחות לפי סוכן - מקור'!$A$2:$A$867,$A633,'לקוחות לפי סוכן - מקור'!$C$2:$C$867,$B633)</f>
        <v/>
      </c>
      <c r="I633" s="130" t="n"/>
      <c r="J633" s="132">
        <f>COUNTIFS('לקוחות לפי סוכן - מקור'!$A$2:$A$867,$A633,'לקוחות לפי סוכן - מקור'!$C$2:$C$867,$B633)</f>
        <v/>
      </c>
    </row>
    <row r="634" outlineLevel="2" ht="15" customHeight="1" s="82">
      <c r="A634" s="94">
        <f>'לקוחות לפי סוכן - מקור'!A644</f>
        <v/>
      </c>
      <c r="B634" s="94">
        <f>'לקוחות לפי סוכן - מקור'!C644</f>
        <v/>
      </c>
      <c r="C634" s="94">
        <f>'לקוחות לפי סוכן - מקור'!E644</f>
        <v/>
      </c>
      <c r="D634" s="102">
        <f>'לקוחות לפי סוכן - מקור'!F644</f>
        <v/>
      </c>
      <c r="E634" s="102">
        <f>'לקוחות לפי סוכן - מקור'!G644</f>
        <v/>
      </c>
      <c r="F634" s="94">
        <f>'לקוחות לפי סוכן - מקור'!D644</f>
        <v/>
      </c>
      <c r="G634" s="95">
        <f>'לקוחות לפי סוכן - מקור'!H644</f>
        <v/>
      </c>
      <c r="H634" s="95">
        <f>'לקוחות לפי סוכן - מקור'!I644</f>
        <v/>
      </c>
      <c r="I634" s="127">
        <f>'לקוחות לפי סוכן - מקור'!K644</f>
        <v/>
      </c>
    </row>
    <row r="635" outlineLevel="2" ht="15" customHeight="1" s="82">
      <c r="A635" s="94">
        <f>'לקוחות לפי סוכן - מקור'!A645</f>
        <v/>
      </c>
      <c r="B635" s="94">
        <f>'לקוחות לפי סוכן - מקור'!C645</f>
        <v/>
      </c>
      <c r="C635" s="94">
        <f>'לקוחות לפי סוכן - מקור'!E645</f>
        <v/>
      </c>
      <c r="D635" s="102">
        <f>'לקוחות לפי סוכן - מקור'!F645</f>
        <v/>
      </c>
      <c r="E635" s="102">
        <f>'לקוחות לפי סוכן - מקור'!G645</f>
        <v/>
      </c>
      <c r="F635" s="94">
        <f>'לקוחות לפי סוכן - מקור'!D645</f>
        <v/>
      </c>
      <c r="G635" s="95">
        <f>'לקוחות לפי סוכן - מקור'!H645</f>
        <v/>
      </c>
      <c r="H635" s="95">
        <f>'לקוחות לפי סוכן - מקור'!I645</f>
        <v/>
      </c>
      <c r="I635" s="127">
        <f>'לקוחות לפי סוכן - מקור'!K645</f>
        <v/>
      </c>
    </row>
    <row r="636" outlineLevel="2" ht="15" customHeight="1" s="82">
      <c r="A636" s="94">
        <f>'לקוחות לפי סוכן - מקור'!A646</f>
        <v/>
      </c>
      <c r="B636" s="94">
        <f>'לקוחות לפי סוכן - מקור'!C646</f>
        <v/>
      </c>
      <c r="C636" s="94">
        <f>'לקוחות לפי סוכן - מקור'!E646</f>
        <v/>
      </c>
      <c r="D636" s="102">
        <f>'לקוחות לפי סוכן - מקור'!F646</f>
        <v/>
      </c>
      <c r="E636" s="102">
        <f>'לקוחות לפי סוכן - מקור'!G646</f>
        <v/>
      </c>
      <c r="F636" s="94">
        <f>'לקוחות לפי סוכן - מקור'!D646</f>
        <v/>
      </c>
      <c r="G636" s="95">
        <f>'לקוחות לפי סוכן - מקור'!H646</f>
        <v/>
      </c>
      <c r="H636" s="95">
        <f>'לקוחות לפי סוכן - מקור'!I646</f>
        <v/>
      </c>
      <c r="I636" s="127">
        <f>'לקוחות לפי סוכן - מקור'!K646</f>
        <v/>
      </c>
    </row>
    <row r="637" outlineLevel="2" ht="15" customHeight="1" s="82">
      <c r="A637" s="94">
        <f>'לקוחות לפי סוכן - מקור'!A647</f>
        <v/>
      </c>
      <c r="B637" s="94">
        <f>'לקוחות לפי סוכן - מקור'!C647</f>
        <v/>
      </c>
      <c r="C637" s="94">
        <f>'לקוחות לפי סוכן - מקור'!E647</f>
        <v/>
      </c>
      <c r="D637" s="102">
        <f>'לקוחות לפי סוכן - מקור'!F647</f>
        <v/>
      </c>
      <c r="E637" s="102">
        <f>'לקוחות לפי סוכן - מקור'!G647</f>
        <v/>
      </c>
      <c r="F637" s="94">
        <f>'לקוחות לפי סוכן - מקור'!D647</f>
        <v/>
      </c>
      <c r="G637" s="95">
        <f>'לקוחות לפי סוכן - מקור'!H647</f>
        <v/>
      </c>
      <c r="H637" s="95">
        <f>'לקוחות לפי סוכן - מקור'!I647</f>
        <v/>
      </c>
      <c r="I637" s="127">
        <f>'לקוחות לפי סוכן - מקור'!K647</f>
        <v/>
      </c>
    </row>
    <row r="638" outlineLevel="2" ht="15" customHeight="1" s="82">
      <c r="A638" s="94">
        <f>'לקוחות לפי סוכן - מקור'!A648</f>
        <v/>
      </c>
      <c r="B638" s="94">
        <f>'לקוחות לפי סוכן - מקור'!C648</f>
        <v/>
      </c>
      <c r="C638" s="94">
        <f>'לקוחות לפי סוכן - מקור'!E648</f>
        <v/>
      </c>
      <c r="D638" s="102">
        <f>'לקוחות לפי סוכן - מקור'!F648</f>
        <v/>
      </c>
      <c r="E638" s="102">
        <f>'לקוחות לפי סוכן - מקור'!G648</f>
        <v/>
      </c>
      <c r="F638" s="94">
        <f>'לקוחות לפי סוכן - מקור'!D648</f>
        <v/>
      </c>
      <c r="G638" s="95">
        <f>'לקוחות לפי סוכן - מקור'!H648</f>
        <v/>
      </c>
      <c r="H638" s="95">
        <f>'לקוחות לפי סוכן - מקור'!I648</f>
        <v/>
      </c>
      <c r="I638" s="127">
        <f>'לקוחות לפי סוכן - מקור'!K648</f>
        <v/>
      </c>
    </row>
    <row r="639" outlineLevel="2" ht="15" customHeight="1" s="82">
      <c r="A639" s="94">
        <f>'לקוחות לפי סוכן - מקור'!A649</f>
        <v/>
      </c>
      <c r="B639" s="94">
        <f>'לקוחות לפי סוכן - מקור'!C649</f>
        <v/>
      </c>
      <c r="C639" s="94">
        <f>'לקוחות לפי סוכן - מקור'!E649</f>
        <v/>
      </c>
      <c r="D639" s="102">
        <f>'לקוחות לפי סוכן - מקור'!F649</f>
        <v/>
      </c>
      <c r="E639" s="102">
        <f>'לקוחות לפי סוכן - מקור'!G649</f>
        <v/>
      </c>
      <c r="F639" s="94">
        <f>'לקוחות לפי סוכן - מקור'!D649</f>
        <v/>
      </c>
      <c r="G639" s="95">
        <f>'לקוחות לפי סוכן - מקור'!H649</f>
        <v/>
      </c>
      <c r="H639" s="95">
        <f>'לקוחות לפי סוכן - מקור'!I649</f>
        <v/>
      </c>
      <c r="I639" s="127">
        <f>'לקוחות לפי סוכן - מקור'!K649</f>
        <v/>
      </c>
    </row>
    <row r="640" outlineLevel="2" ht="15" customHeight="1" s="82">
      <c r="A640" s="94">
        <f>'לקוחות לפי סוכן - מקור'!A650</f>
        <v/>
      </c>
      <c r="B640" s="94">
        <f>'לקוחות לפי סוכן - מקור'!C650</f>
        <v/>
      </c>
      <c r="C640" s="94">
        <f>'לקוחות לפי סוכן - מקור'!E650</f>
        <v/>
      </c>
      <c r="D640" s="102">
        <f>'לקוחות לפי סוכן - מקור'!F650</f>
        <v/>
      </c>
      <c r="E640" s="102">
        <f>'לקוחות לפי סוכן - מקור'!G650</f>
        <v/>
      </c>
      <c r="F640" s="94">
        <f>'לקוחות לפי סוכן - מקור'!D650</f>
        <v/>
      </c>
      <c r="G640" s="95">
        <f>'לקוחות לפי סוכן - מקור'!H650</f>
        <v/>
      </c>
      <c r="H640" s="95">
        <f>'לקוחות לפי סוכן - מקור'!I650</f>
        <v/>
      </c>
      <c r="I640" s="127">
        <f>'לקוחות לפי סוכן - מקור'!K650</f>
        <v/>
      </c>
    </row>
    <row r="641" outlineLevel="2" ht="15" customHeight="1" s="82">
      <c r="A641" s="94">
        <f>'לקוחות לפי סוכן - מקור'!A651</f>
        <v/>
      </c>
      <c r="B641" s="94">
        <f>'לקוחות לפי סוכן - מקור'!C651</f>
        <v/>
      </c>
      <c r="C641" s="94">
        <f>'לקוחות לפי סוכן - מקור'!E651</f>
        <v/>
      </c>
      <c r="D641" s="102">
        <f>'לקוחות לפי סוכן - מקור'!F651</f>
        <v/>
      </c>
      <c r="E641" s="102">
        <f>'לקוחות לפי סוכן - מקור'!G651</f>
        <v/>
      </c>
      <c r="F641" s="94">
        <f>'לקוחות לפי סוכן - מקור'!D651</f>
        <v/>
      </c>
      <c r="G641" s="95">
        <f>'לקוחות לפי סוכן - מקור'!H651</f>
        <v/>
      </c>
      <c r="H641" s="95">
        <f>'לקוחות לפי סוכן - מקור'!I651</f>
        <v/>
      </c>
      <c r="I641" s="127">
        <f>'לקוחות לפי סוכן - מקור'!K651</f>
        <v/>
      </c>
    </row>
    <row r="642" outlineLevel="2" ht="15" customHeight="1" s="82">
      <c r="A642" s="94">
        <f>'לקוחות לפי סוכן - מקור'!A652</f>
        <v/>
      </c>
      <c r="B642" s="94">
        <f>'לקוחות לפי סוכן - מקור'!C652</f>
        <v/>
      </c>
      <c r="C642" s="94">
        <f>'לקוחות לפי סוכן - מקור'!E652</f>
        <v/>
      </c>
      <c r="D642" s="102">
        <f>'לקוחות לפי סוכן - מקור'!F652</f>
        <v/>
      </c>
      <c r="E642" s="102">
        <f>'לקוחות לפי סוכן - מקור'!G652</f>
        <v/>
      </c>
      <c r="F642" s="94">
        <f>'לקוחות לפי סוכן - מקור'!D652</f>
        <v/>
      </c>
      <c r="G642" s="95">
        <f>'לקוחות לפי סוכן - מקור'!H652</f>
        <v/>
      </c>
      <c r="H642" s="95">
        <f>'לקוחות לפי סוכן - מקור'!I652</f>
        <v/>
      </c>
      <c r="I642" s="127">
        <f>'לקוחות לפי סוכן - מקור'!K652</f>
        <v/>
      </c>
    </row>
    <row r="643" outlineLevel="2" ht="15" customHeight="1" s="82">
      <c r="A643" s="94">
        <f>'לקוחות לפי סוכן - מקור'!A653</f>
        <v/>
      </c>
      <c r="B643" s="94">
        <f>'לקוחות לפי סוכן - מקור'!C653</f>
        <v/>
      </c>
      <c r="C643" s="94">
        <f>'לקוחות לפי סוכן - מקור'!E653</f>
        <v/>
      </c>
      <c r="D643" s="102">
        <f>'לקוחות לפי סוכן - מקור'!F653</f>
        <v/>
      </c>
      <c r="E643" s="102">
        <f>'לקוחות לפי סוכן - מקור'!G653</f>
        <v/>
      </c>
      <c r="F643" s="94">
        <f>'לקוחות לפי סוכן - מקור'!D653</f>
        <v/>
      </c>
      <c r="G643" s="95">
        <f>'לקוחות לפי סוכן - מקור'!H653</f>
        <v/>
      </c>
      <c r="H643" s="95">
        <f>'לקוחות לפי סוכן - מקור'!I653</f>
        <v/>
      </c>
      <c r="I643" s="127">
        <f>'לקוחות לפי סוכן - מקור'!K653</f>
        <v/>
      </c>
    </row>
    <row r="644" outlineLevel="2" ht="15" customHeight="1" s="82">
      <c r="A644" s="94">
        <f>'לקוחות לפי סוכן - מקור'!A654</f>
        <v/>
      </c>
      <c r="B644" s="94">
        <f>'לקוחות לפי סוכן - מקור'!C654</f>
        <v/>
      </c>
      <c r="C644" s="94">
        <f>'לקוחות לפי סוכן - מקור'!E654</f>
        <v/>
      </c>
      <c r="D644" s="102">
        <f>'לקוחות לפי סוכן - מקור'!F654</f>
        <v/>
      </c>
      <c r="E644" s="102">
        <f>'לקוחות לפי סוכן - מקור'!G654</f>
        <v/>
      </c>
      <c r="F644" s="94">
        <f>'לקוחות לפי סוכן - מקור'!D654</f>
        <v/>
      </c>
      <c r="G644" s="95">
        <f>'לקוחות לפי סוכן - מקור'!H654</f>
        <v/>
      </c>
      <c r="H644" s="95">
        <f>'לקוחות לפי סוכן - מקור'!I654</f>
        <v/>
      </c>
      <c r="I644" s="127">
        <f>'לקוחות לפי סוכן - מקור'!K654</f>
        <v/>
      </c>
    </row>
    <row r="645" outlineLevel="2" ht="15" customHeight="1" s="82">
      <c r="A645" s="94">
        <f>'לקוחות לפי סוכן - מקור'!A655</f>
        <v/>
      </c>
      <c r="B645" s="94">
        <f>'לקוחות לפי סוכן - מקור'!C655</f>
        <v/>
      </c>
      <c r="C645" s="94">
        <f>'לקוחות לפי סוכן - מקור'!E655</f>
        <v/>
      </c>
      <c r="D645" s="102">
        <f>'לקוחות לפי סוכן - מקור'!F655</f>
        <v/>
      </c>
      <c r="E645" s="102">
        <f>'לקוחות לפי סוכן - מקור'!G655</f>
        <v/>
      </c>
      <c r="F645" s="94">
        <f>'לקוחות לפי סוכן - מקור'!D655</f>
        <v/>
      </c>
      <c r="G645" s="95">
        <f>'לקוחות לפי סוכן - מקור'!H655</f>
        <v/>
      </c>
      <c r="H645" s="95">
        <f>'לקוחות לפי סוכן - מקור'!I655</f>
        <v/>
      </c>
      <c r="I645" s="127">
        <f>'לקוחות לפי סוכן - מקור'!K655</f>
        <v/>
      </c>
    </row>
    <row r="646" outlineLevel="2" ht="15" customHeight="1" s="82">
      <c r="A646" s="94">
        <f>'לקוחות לפי סוכן - מקור'!A656</f>
        <v/>
      </c>
      <c r="B646" s="94">
        <f>'לקוחות לפי סוכן - מקור'!C656</f>
        <v/>
      </c>
      <c r="C646" s="94">
        <f>'לקוחות לפי סוכן - מקור'!E656</f>
        <v/>
      </c>
      <c r="D646" s="102">
        <f>'לקוחות לפי סוכן - מקור'!F656</f>
        <v/>
      </c>
      <c r="E646" s="102">
        <f>'לקוחות לפי סוכן - מקור'!G656</f>
        <v/>
      </c>
      <c r="F646" s="94">
        <f>'לקוחות לפי סוכן - מקור'!D656</f>
        <v/>
      </c>
      <c r="G646" s="95">
        <f>'לקוחות לפי סוכן - מקור'!H656</f>
        <v/>
      </c>
      <c r="H646" s="95">
        <f>'לקוחות לפי סוכן - מקור'!I656</f>
        <v/>
      </c>
      <c r="I646" s="127">
        <f>'לקוחות לפי סוכן - מקור'!K656</f>
        <v/>
      </c>
    </row>
    <row r="647" outlineLevel="2" ht="15" customHeight="1" s="82">
      <c r="A647" s="94">
        <f>'לקוחות לפי סוכן - מקור'!A657</f>
        <v/>
      </c>
      <c r="B647" s="94">
        <f>'לקוחות לפי סוכן - מקור'!C657</f>
        <v/>
      </c>
      <c r="C647" s="94">
        <f>'לקוחות לפי סוכן - מקור'!E657</f>
        <v/>
      </c>
      <c r="D647" s="102">
        <f>'לקוחות לפי סוכן - מקור'!F657</f>
        <v/>
      </c>
      <c r="E647" s="102">
        <f>'לקוחות לפי סוכן - מקור'!G657</f>
        <v/>
      </c>
      <c r="F647" s="94">
        <f>'לקוחות לפי סוכן - מקור'!D657</f>
        <v/>
      </c>
      <c r="G647" s="95">
        <f>'לקוחות לפי סוכן - מקור'!H657</f>
        <v/>
      </c>
      <c r="H647" s="95">
        <f>'לקוחות לפי סוכן - מקור'!I657</f>
        <v/>
      </c>
      <c r="I647" s="127">
        <f>'לקוחות לפי סוכן - מקור'!K657</f>
        <v/>
      </c>
    </row>
    <row r="648" outlineLevel="2" ht="15" customHeight="1" s="82">
      <c r="A648" s="94">
        <f>'לקוחות לפי סוכן - מקור'!A658</f>
        <v/>
      </c>
      <c r="B648" s="94">
        <f>'לקוחות לפי סוכן - מקור'!C658</f>
        <v/>
      </c>
      <c r="C648" s="94">
        <f>'לקוחות לפי סוכן - מקור'!E658</f>
        <v/>
      </c>
      <c r="D648" s="102">
        <f>'לקוחות לפי סוכן - מקור'!F658</f>
        <v/>
      </c>
      <c r="E648" s="102">
        <f>'לקוחות לפי סוכן - מקור'!G658</f>
        <v/>
      </c>
      <c r="F648" s="94">
        <f>'לקוחות לפי סוכן - מקור'!D658</f>
        <v/>
      </c>
      <c r="G648" s="95">
        <f>'לקוחות לפי סוכן - מקור'!H658</f>
        <v/>
      </c>
      <c r="H648" s="95">
        <f>'לקוחות לפי סוכן - מקור'!I658</f>
        <v/>
      </c>
      <c r="I648" s="127">
        <f>'לקוחות לפי סוכן - מקור'!K658</f>
        <v/>
      </c>
    </row>
    <row r="649" outlineLevel="2" ht="15" customHeight="1" s="82">
      <c r="A649" s="94">
        <f>'לקוחות לפי סוכן - מקור'!A659</f>
        <v/>
      </c>
      <c r="B649" s="94">
        <f>'לקוחות לפי סוכן - מקור'!C659</f>
        <v/>
      </c>
      <c r="C649" s="94">
        <f>'לקוחות לפי סוכן - מקור'!E659</f>
        <v/>
      </c>
      <c r="D649" s="102">
        <f>'לקוחות לפי סוכן - מקור'!F659</f>
        <v/>
      </c>
      <c r="E649" s="102">
        <f>'לקוחות לפי סוכן - מקור'!G659</f>
        <v/>
      </c>
      <c r="F649" s="94">
        <f>'לקוחות לפי סוכן - מקור'!D659</f>
        <v/>
      </c>
      <c r="G649" s="95">
        <f>'לקוחות לפי סוכן - מקור'!H659</f>
        <v/>
      </c>
      <c r="H649" s="95">
        <f>'לקוחות לפי סוכן - מקור'!I659</f>
        <v/>
      </c>
      <c r="I649" s="127">
        <f>'לקוחות לפי סוכן - מקור'!K659</f>
        <v/>
      </c>
    </row>
    <row r="650" outlineLevel="2" ht="15" customHeight="1" s="82">
      <c r="A650" s="94">
        <f>'לקוחות לפי סוכן - מקור'!A660</f>
        <v/>
      </c>
      <c r="B650" s="94">
        <f>'לקוחות לפי סוכן - מקור'!C660</f>
        <v/>
      </c>
      <c r="C650" s="94">
        <f>'לקוחות לפי סוכן - מקור'!E660</f>
        <v/>
      </c>
      <c r="D650" s="102">
        <f>'לקוחות לפי סוכן - מקור'!F660</f>
        <v/>
      </c>
      <c r="E650" s="102">
        <f>'לקוחות לפי סוכן - מקור'!G660</f>
        <v/>
      </c>
      <c r="F650" s="94">
        <f>'לקוחות לפי סוכן - מקור'!D660</f>
        <v/>
      </c>
      <c r="G650" s="95">
        <f>'לקוחות לפי סוכן - מקור'!H660</f>
        <v/>
      </c>
      <c r="H650" s="95">
        <f>'לקוחות לפי סוכן - מקור'!I660</f>
        <v/>
      </c>
      <c r="I650" s="127">
        <f>'לקוחות לפי סוכן - מקור'!K660</f>
        <v/>
      </c>
    </row>
    <row r="651" outlineLevel="2" ht="15" customHeight="1" s="82">
      <c r="A651" s="94">
        <f>'לקוחות לפי סוכן - מקור'!A661</f>
        <v/>
      </c>
      <c r="B651" s="94">
        <f>'לקוחות לפי סוכן - מקור'!C661</f>
        <v/>
      </c>
      <c r="C651" s="94">
        <f>'לקוחות לפי סוכן - מקור'!E661</f>
        <v/>
      </c>
      <c r="D651" s="102">
        <f>'לקוחות לפי סוכן - מקור'!F661</f>
        <v/>
      </c>
      <c r="E651" s="102">
        <f>'לקוחות לפי סוכן - מקור'!G661</f>
        <v/>
      </c>
      <c r="F651" s="94">
        <f>'לקוחות לפי סוכן - מקור'!D661</f>
        <v/>
      </c>
      <c r="G651" s="95">
        <f>'לקוחות לפי סוכן - מקור'!H661</f>
        <v/>
      </c>
      <c r="H651" s="95">
        <f>'לקוחות לפי סוכן - מקור'!I661</f>
        <v/>
      </c>
      <c r="I651" s="127">
        <f>'לקוחות לפי סוכן - מקור'!K661</f>
        <v/>
      </c>
    </row>
    <row r="652" outlineLevel="2" ht="15" customHeight="1" s="82">
      <c r="A652" s="94">
        <f>'לקוחות לפי סוכן - מקור'!A662</f>
        <v/>
      </c>
      <c r="B652" s="94">
        <f>'לקוחות לפי סוכן - מקור'!C662</f>
        <v/>
      </c>
      <c r="C652" s="94">
        <f>'לקוחות לפי סוכן - מקור'!E662</f>
        <v/>
      </c>
      <c r="D652" s="102">
        <f>'לקוחות לפי סוכן - מקור'!F662</f>
        <v/>
      </c>
      <c r="E652" s="102">
        <f>'לקוחות לפי סוכן - מקור'!G662</f>
        <v/>
      </c>
      <c r="F652" s="94">
        <f>'לקוחות לפי סוכן - מקור'!D662</f>
        <v/>
      </c>
      <c r="G652" s="95">
        <f>'לקוחות לפי סוכן - מקור'!H662</f>
        <v/>
      </c>
      <c r="H652" s="95">
        <f>'לקוחות לפי סוכן - מקור'!I662</f>
        <v/>
      </c>
      <c r="I652" s="127">
        <f>'לקוחות לפי סוכן - מקור'!K662</f>
        <v/>
      </c>
    </row>
    <row r="653" outlineLevel="2" ht="15" customHeight="1" s="82">
      <c r="A653" s="94">
        <f>'לקוחות לפי סוכן - מקור'!A663</f>
        <v/>
      </c>
      <c r="B653" s="94">
        <f>'לקוחות לפי סוכן - מקור'!C663</f>
        <v/>
      </c>
      <c r="C653" s="94">
        <f>'לקוחות לפי סוכן - מקור'!E663</f>
        <v/>
      </c>
      <c r="D653" s="102">
        <f>'לקוחות לפי סוכן - מקור'!F663</f>
        <v/>
      </c>
      <c r="E653" s="102">
        <f>'לקוחות לפי סוכן - מקור'!G663</f>
        <v/>
      </c>
      <c r="F653" s="94">
        <f>'לקוחות לפי סוכן - מקור'!D663</f>
        <v/>
      </c>
      <c r="G653" s="95">
        <f>'לקוחות לפי סוכן - מקור'!H663</f>
        <v/>
      </c>
      <c r="H653" s="95">
        <f>'לקוחות לפי סוכן - מקור'!I663</f>
        <v/>
      </c>
      <c r="I653" s="127">
        <f>'לקוחות לפי סוכן - מקור'!K663</f>
        <v/>
      </c>
    </row>
    <row r="654" outlineLevel="2" ht="15" customHeight="1" s="82">
      <c r="A654" s="94">
        <f>'לקוחות לפי סוכן - מקור'!A664</f>
        <v/>
      </c>
      <c r="B654" s="94">
        <f>'לקוחות לפי סוכן - מקור'!C664</f>
        <v/>
      </c>
      <c r="C654" s="94">
        <f>'לקוחות לפי סוכן - מקור'!E664</f>
        <v/>
      </c>
      <c r="D654" s="102">
        <f>'לקוחות לפי סוכן - מקור'!F664</f>
        <v/>
      </c>
      <c r="E654" s="102">
        <f>'לקוחות לפי סוכן - מקור'!G664</f>
        <v/>
      </c>
      <c r="F654" s="94">
        <f>'לקוחות לפי סוכן - מקור'!D664</f>
        <v/>
      </c>
      <c r="G654" s="95">
        <f>'לקוחות לפי סוכן - מקור'!H664</f>
        <v/>
      </c>
      <c r="H654" s="95">
        <f>'לקוחות לפי סוכן - מקור'!I664</f>
        <v/>
      </c>
      <c r="I654" s="127">
        <f>'לקוחות לפי סוכן - מקור'!K664</f>
        <v/>
      </c>
    </row>
    <row r="655" outlineLevel="2" ht="15" customHeight="1" s="82">
      <c r="A655" s="94">
        <f>'לקוחות לפי סוכן - מקור'!A665</f>
        <v/>
      </c>
      <c r="B655" s="94">
        <f>'לקוחות לפי סוכן - מקור'!C665</f>
        <v/>
      </c>
      <c r="C655" s="94">
        <f>'לקוחות לפי סוכן - מקור'!E665</f>
        <v/>
      </c>
      <c r="D655" s="102">
        <f>'לקוחות לפי סוכן - מקור'!F665</f>
        <v/>
      </c>
      <c r="E655" s="102">
        <f>'לקוחות לפי סוכן - מקור'!G665</f>
        <v/>
      </c>
      <c r="F655" s="94">
        <f>'לקוחות לפי סוכן - מקור'!D665</f>
        <v/>
      </c>
      <c r="G655" s="95">
        <f>'לקוחות לפי סוכן - מקור'!H665</f>
        <v/>
      </c>
      <c r="H655" s="95">
        <f>'לקוחות לפי סוכן - מקור'!I665</f>
        <v/>
      </c>
      <c r="I655" s="127">
        <f>'לקוחות לפי סוכן - מקור'!K665</f>
        <v/>
      </c>
    </row>
    <row r="656" outlineLevel="2" ht="15" customHeight="1" s="82">
      <c r="A656" s="94">
        <f>'לקוחות לפי סוכן - מקור'!A666</f>
        <v/>
      </c>
      <c r="B656" s="94">
        <f>'לקוחות לפי סוכן - מקור'!C666</f>
        <v/>
      </c>
      <c r="C656" s="94">
        <f>'לקוחות לפי סוכן - מקור'!E666</f>
        <v/>
      </c>
      <c r="D656" s="102">
        <f>'לקוחות לפי סוכן - מקור'!F666</f>
        <v/>
      </c>
      <c r="E656" s="102">
        <f>'לקוחות לפי סוכן - מקור'!G666</f>
        <v/>
      </c>
      <c r="F656" s="94">
        <f>'לקוחות לפי סוכן - מקור'!D666</f>
        <v/>
      </c>
      <c r="G656" s="95">
        <f>'לקוחות לפי סוכן - מקור'!H666</f>
        <v/>
      </c>
      <c r="H656" s="95">
        <f>'לקוחות לפי סוכן - מקור'!I666</f>
        <v/>
      </c>
      <c r="I656" s="127">
        <f>'לקוחות לפי סוכן - מקור'!K666</f>
        <v/>
      </c>
    </row>
    <row r="657" outlineLevel="2" ht="15" customHeight="1" s="82">
      <c r="A657" s="94">
        <f>'לקוחות לפי סוכן - מקור'!A667</f>
        <v/>
      </c>
      <c r="B657" s="94">
        <f>'לקוחות לפי סוכן - מקור'!C667</f>
        <v/>
      </c>
      <c r="C657" s="94">
        <f>'לקוחות לפי סוכן - מקור'!E667</f>
        <v/>
      </c>
      <c r="D657" s="102">
        <f>'לקוחות לפי סוכן - מקור'!F667</f>
        <v/>
      </c>
      <c r="E657" s="102">
        <f>'לקוחות לפי סוכן - מקור'!G667</f>
        <v/>
      </c>
      <c r="F657" s="94">
        <f>'לקוחות לפי סוכן - מקור'!D667</f>
        <v/>
      </c>
      <c r="G657" s="95">
        <f>'לקוחות לפי סוכן - מקור'!H667</f>
        <v/>
      </c>
      <c r="H657" s="95">
        <f>'לקוחות לפי סוכן - מקור'!I667</f>
        <v/>
      </c>
      <c r="I657" s="127">
        <f>'לקוחות לפי סוכן - מקור'!K667</f>
        <v/>
      </c>
    </row>
    <row r="658" outlineLevel="2" ht="15" customHeight="1" s="82">
      <c r="A658" s="94">
        <f>'לקוחות לפי סוכן - מקור'!A668</f>
        <v/>
      </c>
      <c r="B658" s="94">
        <f>'לקוחות לפי סוכן - מקור'!C668</f>
        <v/>
      </c>
      <c r="C658" s="94">
        <f>'לקוחות לפי סוכן - מקור'!E668</f>
        <v/>
      </c>
      <c r="D658" s="102">
        <f>'לקוחות לפי סוכן - מקור'!F668</f>
        <v/>
      </c>
      <c r="E658" s="102">
        <f>'לקוחות לפי סוכן - מקור'!G668</f>
        <v/>
      </c>
      <c r="F658" s="94">
        <f>'לקוחות לפי סוכן - מקור'!D668</f>
        <v/>
      </c>
      <c r="G658" s="95">
        <f>'לקוחות לפי סוכן - מקור'!H668</f>
        <v/>
      </c>
      <c r="H658" s="95">
        <f>'לקוחות לפי סוכן - מקור'!I668</f>
        <v/>
      </c>
      <c r="I658" s="127">
        <f>'לקוחות לפי סוכן - מקור'!K668</f>
        <v/>
      </c>
    </row>
    <row r="659" outlineLevel="2" ht="15" customHeight="1" s="82">
      <c r="A659" s="94">
        <f>'לקוחות לפי סוכן - מקור'!A669</f>
        <v/>
      </c>
      <c r="B659" s="94">
        <f>'לקוחות לפי סוכן - מקור'!C669</f>
        <v/>
      </c>
      <c r="C659" s="94">
        <f>'לקוחות לפי סוכן - מקור'!E669</f>
        <v/>
      </c>
      <c r="D659" s="102">
        <f>'לקוחות לפי סוכן - מקור'!F669</f>
        <v/>
      </c>
      <c r="E659" s="102">
        <f>'לקוחות לפי סוכן - מקור'!G669</f>
        <v/>
      </c>
      <c r="F659" s="94">
        <f>'לקוחות לפי סוכן - מקור'!D669</f>
        <v/>
      </c>
      <c r="G659" s="95">
        <f>'לקוחות לפי סוכן - מקור'!H669</f>
        <v/>
      </c>
      <c r="H659" s="95">
        <f>'לקוחות לפי סוכן - מקור'!I669</f>
        <v/>
      </c>
      <c r="I659" s="127">
        <f>'לקוחות לפי סוכן - מקור'!K669</f>
        <v/>
      </c>
    </row>
    <row r="660" outlineLevel="2" ht="15" customHeight="1" s="82">
      <c r="A660" s="94">
        <f>'לקוחות לפי סוכן - מקור'!A670</f>
        <v/>
      </c>
      <c r="B660" s="94">
        <f>'לקוחות לפי סוכן - מקור'!C670</f>
        <v/>
      </c>
      <c r="C660" s="94">
        <f>'לקוחות לפי סוכן - מקור'!E670</f>
        <v/>
      </c>
      <c r="D660" s="102">
        <f>'לקוחות לפי סוכן - מקור'!F670</f>
        <v/>
      </c>
      <c r="E660" s="102">
        <f>'לקוחות לפי סוכן - מקור'!G670</f>
        <v/>
      </c>
      <c r="F660" s="94">
        <f>'לקוחות לפי סוכן - מקור'!D670</f>
        <v/>
      </c>
      <c r="G660" s="95">
        <f>'לקוחות לפי סוכן - מקור'!H670</f>
        <v/>
      </c>
      <c r="H660" s="95">
        <f>'לקוחות לפי סוכן - מקור'!I670</f>
        <v/>
      </c>
      <c r="I660" s="127">
        <f>'לקוחות לפי סוכן - מקור'!K670</f>
        <v/>
      </c>
    </row>
    <row r="661" outlineLevel="2" ht="15" customHeight="1" s="82">
      <c r="A661" s="94">
        <f>'לקוחות לפי סוכן - מקור'!A671</f>
        <v/>
      </c>
      <c r="B661" s="94">
        <f>'לקוחות לפי סוכן - מקור'!C671</f>
        <v/>
      </c>
      <c r="C661" s="94">
        <f>'לקוחות לפי סוכן - מקור'!E671</f>
        <v/>
      </c>
      <c r="D661" s="102">
        <f>'לקוחות לפי סוכן - מקור'!F671</f>
        <v/>
      </c>
      <c r="E661" s="102">
        <f>'לקוחות לפי סוכן - מקור'!G671</f>
        <v/>
      </c>
      <c r="F661" s="94">
        <f>'לקוחות לפי סוכן - מקור'!D671</f>
        <v/>
      </c>
      <c r="G661" s="95">
        <f>'לקוחות לפי סוכן - מקור'!H671</f>
        <v/>
      </c>
      <c r="H661" s="95">
        <f>'לקוחות לפי סוכן - מקור'!I671</f>
        <v/>
      </c>
      <c r="I661" s="127">
        <f>'לקוחות לפי סוכן - מקור'!K671</f>
        <v/>
      </c>
    </row>
    <row r="662" outlineLevel="2" ht="15" customHeight="1" s="82">
      <c r="A662" s="94">
        <f>'לקוחות לפי סוכן - מקור'!A672</f>
        <v/>
      </c>
      <c r="B662" s="94">
        <f>'לקוחות לפי סוכן - מקור'!C672</f>
        <v/>
      </c>
      <c r="C662" s="94">
        <f>'לקוחות לפי סוכן - מקור'!E672</f>
        <v/>
      </c>
      <c r="D662" s="102">
        <f>'לקוחות לפי סוכן - מקור'!F672</f>
        <v/>
      </c>
      <c r="E662" s="102">
        <f>'לקוחות לפי סוכן - מקור'!G672</f>
        <v/>
      </c>
      <c r="F662" s="94">
        <f>'לקוחות לפי סוכן - מקור'!D672</f>
        <v/>
      </c>
      <c r="G662" s="95">
        <f>'לקוחות לפי סוכן - מקור'!H672</f>
        <v/>
      </c>
      <c r="H662" s="95">
        <f>'לקוחות לפי סוכן - מקור'!I672</f>
        <v/>
      </c>
      <c r="I662" s="127">
        <f>'לקוחות לפי סוכן - מקור'!K672</f>
        <v/>
      </c>
    </row>
    <row r="663" outlineLevel="2" ht="15" customHeight="1" s="82">
      <c r="A663" s="94">
        <f>'לקוחות לפי סוכן - מקור'!A673</f>
        <v/>
      </c>
      <c r="B663" s="94">
        <f>'לקוחות לפי סוכן - מקור'!C673</f>
        <v/>
      </c>
      <c r="C663" s="94">
        <f>'לקוחות לפי סוכן - מקור'!E673</f>
        <v/>
      </c>
      <c r="D663" s="102">
        <f>'לקוחות לפי סוכן - מקור'!F673</f>
        <v/>
      </c>
      <c r="E663" s="102">
        <f>'לקוחות לפי סוכן - מקור'!G673</f>
        <v/>
      </c>
      <c r="F663" s="94">
        <f>'לקוחות לפי סוכן - מקור'!D673</f>
        <v/>
      </c>
      <c r="G663" s="95">
        <f>'לקוחות לפי סוכן - מקור'!H673</f>
        <v/>
      </c>
      <c r="H663" s="95">
        <f>'לקוחות לפי סוכן - מקור'!I673</f>
        <v/>
      </c>
      <c r="I663" s="127">
        <f>'לקוחות לפי סוכן - מקור'!K673</f>
        <v/>
      </c>
    </row>
    <row r="664" outlineLevel="2" ht="15" customHeight="1" s="82">
      <c r="A664" s="94">
        <f>'לקוחות לפי סוכן - מקור'!A674</f>
        <v/>
      </c>
      <c r="B664" s="94">
        <f>'לקוחות לפי סוכן - מקור'!C674</f>
        <v/>
      </c>
      <c r="C664" s="94">
        <f>'לקוחות לפי סוכן - מקור'!E674</f>
        <v/>
      </c>
      <c r="D664" s="102">
        <f>'לקוחות לפי סוכן - מקור'!F674</f>
        <v/>
      </c>
      <c r="E664" s="102">
        <f>'לקוחות לפי סוכן - מקור'!G674</f>
        <v/>
      </c>
      <c r="F664" s="94">
        <f>'לקוחות לפי סוכן - מקור'!D674</f>
        <v/>
      </c>
      <c r="G664" s="95">
        <f>'לקוחות לפי סוכן - מקור'!H674</f>
        <v/>
      </c>
      <c r="H664" s="95">
        <f>'לקוחות לפי סוכן - מקור'!I674</f>
        <v/>
      </c>
      <c r="I664" s="127">
        <f>'לקוחות לפי סוכן - מקור'!K674</f>
        <v/>
      </c>
    </row>
    <row r="665" outlineLevel="2" ht="15" customHeight="1" s="82">
      <c r="A665" s="94">
        <f>'לקוחות לפי סוכן - מקור'!A675</f>
        <v/>
      </c>
      <c r="B665" s="94">
        <f>'לקוחות לפי סוכן - מקור'!C675</f>
        <v/>
      </c>
      <c r="C665" s="94">
        <f>'לקוחות לפי סוכן - מקור'!E675</f>
        <v/>
      </c>
      <c r="D665" s="102">
        <f>'לקוחות לפי סוכן - מקור'!F675</f>
        <v/>
      </c>
      <c r="E665" s="102">
        <f>'לקוחות לפי סוכן - מקור'!G675</f>
        <v/>
      </c>
      <c r="F665" s="94">
        <f>'לקוחות לפי סוכן - מקור'!D675</f>
        <v/>
      </c>
      <c r="G665" s="95">
        <f>'לקוחות לפי סוכן - מקור'!H675</f>
        <v/>
      </c>
      <c r="H665" s="95">
        <f>'לקוחות לפי סוכן - מקור'!I675</f>
        <v/>
      </c>
      <c r="I665" s="127">
        <f>'לקוחות לפי סוכן - מקור'!K675</f>
        <v/>
      </c>
    </row>
    <row r="666" outlineLevel="2" ht="15" customHeight="1" s="82">
      <c r="A666" s="94">
        <f>'לקוחות לפי סוכן - מקור'!A676</f>
        <v/>
      </c>
      <c r="B666" s="94">
        <f>'לקוחות לפי סוכן - מקור'!C676</f>
        <v/>
      </c>
      <c r="C666" s="94">
        <f>'לקוחות לפי סוכן - מקור'!E676</f>
        <v/>
      </c>
      <c r="D666" s="102">
        <f>'לקוחות לפי סוכן - מקור'!F676</f>
        <v/>
      </c>
      <c r="E666" s="102">
        <f>'לקוחות לפי סוכן - מקור'!G676</f>
        <v/>
      </c>
      <c r="F666" s="94">
        <f>'לקוחות לפי סוכן - מקור'!D676</f>
        <v/>
      </c>
      <c r="G666" s="95">
        <f>'לקוחות לפי סוכן - מקור'!H676</f>
        <v/>
      </c>
      <c r="H666" s="95">
        <f>'לקוחות לפי סוכן - מקור'!I676</f>
        <v/>
      </c>
      <c r="I666" s="127">
        <f>'לקוחות לפי סוכן - מקור'!K676</f>
        <v/>
      </c>
    </row>
    <row r="667" outlineLevel="2" ht="15" customHeight="1" s="82">
      <c r="A667" s="94">
        <f>'לקוחות לפי סוכן - מקור'!A677</f>
        <v/>
      </c>
      <c r="B667" s="94">
        <f>'לקוחות לפי סוכן - מקור'!C677</f>
        <v/>
      </c>
      <c r="C667" s="94">
        <f>'לקוחות לפי סוכן - מקור'!E677</f>
        <v/>
      </c>
      <c r="D667" s="102">
        <f>'לקוחות לפי סוכן - מקור'!F677</f>
        <v/>
      </c>
      <c r="E667" s="102">
        <f>'לקוחות לפי סוכן - מקור'!G677</f>
        <v/>
      </c>
      <c r="F667" s="94">
        <f>'לקוחות לפי סוכן - מקור'!D677</f>
        <v/>
      </c>
      <c r="G667" s="95">
        <f>'לקוחות לפי סוכן - מקור'!H677</f>
        <v/>
      </c>
      <c r="H667" s="95">
        <f>'לקוחות לפי סוכן - מקור'!I677</f>
        <v/>
      </c>
      <c r="I667" s="127">
        <f>'לקוחות לפי סוכן - מקור'!K677</f>
        <v/>
      </c>
    </row>
    <row r="668" outlineLevel="2" ht="15" customHeight="1" s="82">
      <c r="A668" s="94">
        <f>'לקוחות לפי סוכן - מקור'!A678</f>
        <v/>
      </c>
      <c r="B668" s="94">
        <f>'לקוחות לפי סוכן - מקור'!C678</f>
        <v/>
      </c>
      <c r="C668" s="94">
        <f>'לקוחות לפי סוכן - מקור'!E678</f>
        <v/>
      </c>
      <c r="D668" s="102">
        <f>'לקוחות לפי סוכן - מקור'!F678</f>
        <v/>
      </c>
      <c r="E668" s="102">
        <f>'לקוחות לפי סוכן - מקור'!G678</f>
        <v/>
      </c>
      <c r="F668" s="94">
        <f>'לקוחות לפי סוכן - מקור'!D678</f>
        <v/>
      </c>
      <c r="G668" s="95">
        <f>'לקוחות לפי סוכן - מקור'!H678</f>
        <v/>
      </c>
      <c r="H668" s="95">
        <f>'לקוחות לפי סוכן - מקור'!I678</f>
        <v/>
      </c>
      <c r="I668" s="127">
        <f>'לקוחות לפי סוכן - מקור'!K678</f>
        <v/>
      </c>
    </row>
    <row r="669" outlineLevel="2" ht="15" customHeight="1" s="82">
      <c r="A669" s="94">
        <f>'לקוחות לפי סוכן - מקור'!A679</f>
        <v/>
      </c>
      <c r="B669" s="94">
        <f>'לקוחות לפי סוכן - מקור'!C679</f>
        <v/>
      </c>
      <c r="C669" s="94">
        <f>'לקוחות לפי סוכן - מקור'!E679</f>
        <v/>
      </c>
      <c r="D669" s="102">
        <f>'לקוחות לפי סוכן - מקור'!F679</f>
        <v/>
      </c>
      <c r="E669" s="102">
        <f>'לקוחות לפי סוכן - מקור'!G679</f>
        <v/>
      </c>
      <c r="F669" s="94">
        <f>'לקוחות לפי סוכן - מקור'!D679</f>
        <v/>
      </c>
      <c r="G669" s="95">
        <f>'לקוחות לפי סוכן - מקור'!H679</f>
        <v/>
      </c>
      <c r="H669" s="95">
        <f>'לקוחות לפי סוכן - מקור'!I679</f>
        <v/>
      </c>
      <c r="I669" s="127">
        <f>'לקוחות לפי סוכן - מקור'!K679</f>
        <v/>
      </c>
    </row>
    <row r="670" outlineLevel="2" ht="15" customHeight="1" s="82">
      <c r="A670" s="94">
        <f>'לקוחות לפי סוכן - מקור'!A680</f>
        <v/>
      </c>
      <c r="B670" s="94">
        <f>'לקוחות לפי סוכן - מקור'!C680</f>
        <v/>
      </c>
      <c r="C670" s="94">
        <f>'לקוחות לפי סוכן - מקור'!E680</f>
        <v/>
      </c>
      <c r="D670" s="102">
        <f>'לקוחות לפי סוכן - מקור'!F680</f>
        <v/>
      </c>
      <c r="E670" s="102">
        <f>'לקוחות לפי סוכן - מקור'!G680</f>
        <v/>
      </c>
      <c r="F670" s="94">
        <f>'לקוחות לפי סוכן - מקור'!D680</f>
        <v/>
      </c>
      <c r="G670" s="95">
        <f>'לקוחות לפי סוכן - מקור'!H680</f>
        <v/>
      </c>
      <c r="H670" s="95">
        <f>'לקוחות לפי סוכן - מקור'!I680</f>
        <v/>
      </c>
      <c r="I670" s="127">
        <f>'לקוחות לפי סוכן - מקור'!K680</f>
        <v/>
      </c>
    </row>
    <row r="671" outlineLevel="2" ht="15" customHeight="1" s="82">
      <c r="A671" s="94">
        <f>'לקוחות לפי סוכן - מקור'!A681</f>
        <v/>
      </c>
      <c r="B671" s="94">
        <f>'לקוחות לפי סוכן - מקור'!C681</f>
        <v/>
      </c>
      <c r="C671" s="94">
        <f>'לקוחות לפי סוכן - מקור'!E681</f>
        <v/>
      </c>
      <c r="D671" s="102">
        <f>'לקוחות לפי סוכן - מקור'!F681</f>
        <v/>
      </c>
      <c r="E671" s="102">
        <f>'לקוחות לפי סוכן - מקור'!G681</f>
        <v/>
      </c>
      <c r="F671" s="94">
        <f>'לקוחות לפי סוכן - מקור'!D681</f>
        <v/>
      </c>
      <c r="G671" s="95">
        <f>'לקוחות לפי סוכן - מקור'!H681</f>
        <v/>
      </c>
      <c r="H671" s="95">
        <f>'לקוחות לפי סוכן - מקור'!I681</f>
        <v/>
      </c>
      <c r="I671" s="127">
        <f>'לקוחות לפי סוכן - מקור'!K681</f>
        <v/>
      </c>
    </row>
    <row r="672" outlineLevel="2" ht="15" customHeight="1" s="82">
      <c r="A672" s="94">
        <f>'לקוחות לפי סוכן - מקור'!A682</f>
        <v/>
      </c>
      <c r="B672" s="94">
        <f>'לקוחות לפי סוכן - מקור'!C682</f>
        <v/>
      </c>
      <c r="C672" s="94">
        <f>'לקוחות לפי סוכן - מקור'!E682</f>
        <v/>
      </c>
      <c r="D672" s="102">
        <f>'לקוחות לפי סוכן - מקור'!F682</f>
        <v/>
      </c>
      <c r="E672" s="102">
        <f>'לקוחות לפי סוכן - מקור'!G682</f>
        <v/>
      </c>
      <c r="F672" s="94">
        <f>'לקוחות לפי סוכן - מקור'!D682</f>
        <v/>
      </c>
      <c r="G672" s="95">
        <f>'לקוחות לפי סוכן - מקור'!H682</f>
        <v/>
      </c>
      <c r="H672" s="95">
        <f>'לקוחות לפי סוכן - מקור'!I682</f>
        <v/>
      </c>
      <c r="I672" s="127">
        <f>'לקוחות לפי סוכן - מקור'!K682</f>
        <v/>
      </c>
    </row>
    <row r="673" outlineLevel="2" ht="15" customHeight="1" s="82">
      <c r="A673" s="94">
        <f>'לקוחות לפי סוכן - מקור'!A683</f>
        <v/>
      </c>
      <c r="B673" s="94">
        <f>'לקוחות לפי סוכן - מקור'!C683</f>
        <v/>
      </c>
      <c r="C673" s="94">
        <f>'לקוחות לפי סוכן - מקור'!E683</f>
        <v/>
      </c>
      <c r="D673" s="102">
        <f>'לקוחות לפי סוכן - מקור'!F683</f>
        <v/>
      </c>
      <c r="E673" s="102">
        <f>'לקוחות לפי סוכן - מקור'!G683</f>
        <v/>
      </c>
      <c r="F673" s="94">
        <f>'לקוחות לפי סוכן - מקור'!D683</f>
        <v/>
      </c>
      <c r="G673" s="95">
        <f>'לקוחות לפי סוכן - מקור'!H683</f>
        <v/>
      </c>
      <c r="H673" s="95">
        <f>'לקוחות לפי סוכן - מקור'!I683</f>
        <v/>
      </c>
      <c r="I673" s="127">
        <f>'לקוחות לפי סוכן - מקור'!K683</f>
        <v/>
      </c>
    </row>
    <row r="674" outlineLevel="2" ht="15" customHeight="1" s="82">
      <c r="A674" s="94">
        <f>'לקוחות לפי סוכן - מקור'!A684</f>
        <v/>
      </c>
      <c r="B674" s="94">
        <f>'לקוחות לפי סוכן - מקור'!C684</f>
        <v/>
      </c>
      <c r="C674" s="94">
        <f>'לקוחות לפי סוכן - מקור'!E684</f>
        <v/>
      </c>
      <c r="D674" s="102">
        <f>'לקוחות לפי סוכן - מקור'!F684</f>
        <v/>
      </c>
      <c r="E674" s="102">
        <f>'לקוחות לפי סוכן - מקור'!G684</f>
        <v/>
      </c>
      <c r="F674" s="94">
        <f>'לקוחות לפי סוכן - מקור'!D684</f>
        <v/>
      </c>
      <c r="G674" s="95">
        <f>'לקוחות לפי סוכן - מקור'!H684</f>
        <v/>
      </c>
      <c r="H674" s="95">
        <f>'לקוחות לפי סוכן - מקור'!I684</f>
        <v/>
      </c>
      <c r="I674" s="127">
        <f>'לקוחות לפי סוכן - מקור'!K684</f>
        <v/>
      </c>
    </row>
    <row r="675" outlineLevel="1" ht="15" customHeight="1" s="82">
      <c r="A675" s="128" t="inlineStr">
        <is>
          <t>חאזם תלחמי</t>
        </is>
      </c>
      <c r="B675" s="129" t="inlineStr">
        <is>
          <t>שרם</t>
        </is>
      </c>
      <c r="C675" s="130" t="n"/>
      <c r="D675" s="131">
        <f>SUMIFS('לקוחות לפי סוכן - מקור'!$F$2:$F$867,'לקוחות לפי סוכן - מקור'!$A$2:$A$867,$A675,'לקוחות לפי סוכן - מקור'!$C$2:$C$867,$B675)</f>
        <v/>
      </c>
      <c r="E675" s="131">
        <f>SUMIFS('לקוחות לפי סוכן - מקור'!$G$2:$G$867,'לקוחות לפי סוכן - מקור'!$A$2:$A$867,$A675,'לקוחות לפי סוכן - מקור'!$C$2:$C$867,$B675)</f>
        <v/>
      </c>
      <c r="F675" s="130" t="n"/>
      <c r="G675" s="132">
        <f>SUMIFS('לקוחות לפי סוכן - מקור'!$H$2:$H$867,'לקוחות לפי סוכן - מקור'!$A$2:$A$867,$A675,'לקוחות לפי סוכן - מקור'!$C$2:$C$867,$B675)</f>
        <v/>
      </c>
      <c r="H675" s="132">
        <f>SUMIFS('לקוחות לפי סוכן - מקור'!$I$2:$I$867,'לקוחות לפי סוכן - מקור'!$A$2:$A$867,$A675,'לקוחות לפי סוכן - מקור'!$C$2:$C$867,$B675)</f>
        <v/>
      </c>
      <c r="I675" s="130" t="n"/>
      <c r="J675" s="132">
        <f>COUNTIFS('לקוחות לפי סוכן - מקור'!$A$2:$A$867,$A675,'לקוחות לפי סוכן - מקור'!$C$2:$C$867,$B675)</f>
        <v/>
      </c>
    </row>
    <row r="676" outlineLevel="2" ht="15" customHeight="1" s="82">
      <c r="A676" s="94">
        <f>'לקוחות לפי סוכן - מקור'!A685</f>
        <v/>
      </c>
      <c r="B676" s="94">
        <f>'לקוחות לפי סוכן - מקור'!C685</f>
        <v/>
      </c>
      <c r="C676" s="94">
        <f>'לקוחות לפי סוכן - מקור'!E685</f>
        <v/>
      </c>
      <c r="D676" s="102">
        <f>'לקוחות לפי סוכן - מקור'!F685</f>
        <v/>
      </c>
      <c r="E676" s="102">
        <f>'לקוחות לפי סוכן - מקור'!G685</f>
        <v/>
      </c>
      <c r="F676" s="94">
        <f>'לקוחות לפי סוכן - מקור'!D685</f>
        <v/>
      </c>
      <c r="G676" s="95">
        <f>'לקוחות לפי סוכן - מקור'!H685</f>
        <v/>
      </c>
      <c r="H676" s="95">
        <f>'לקוחות לפי סוכן - מקור'!I685</f>
        <v/>
      </c>
      <c r="I676" s="127">
        <f>'לקוחות לפי סוכן - מקור'!K685</f>
        <v/>
      </c>
    </row>
    <row r="677" outlineLevel="2" ht="15" customHeight="1" s="82">
      <c r="A677" s="94">
        <f>'לקוחות לפי סוכן - מקור'!A686</f>
        <v/>
      </c>
      <c r="B677" s="94">
        <f>'לקוחות לפי סוכן - מקור'!C686</f>
        <v/>
      </c>
      <c r="C677" s="94">
        <f>'לקוחות לפי סוכן - מקור'!E686</f>
        <v/>
      </c>
      <c r="D677" s="102">
        <f>'לקוחות לפי סוכן - מקור'!F686</f>
        <v/>
      </c>
      <c r="E677" s="102">
        <f>'לקוחות לפי סוכן - מקור'!G686</f>
        <v/>
      </c>
      <c r="F677" s="94">
        <f>'לקוחות לפי סוכן - מקור'!D686</f>
        <v/>
      </c>
      <c r="G677" s="95">
        <f>'לקוחות לפי סוכן - מקור'!H686</f>
        <v/>
      </c>
      <c r="H677" s="95">
        <f>'לקוחות לפי סוכן - מקור'!I686</f>
        <v/>
      </c>
      <c r="I677" s="127">
        <f>'לקוחות לפי סוכן - מקור'!K686</f>
        <v/>
      </c>
    </row>
    <row r="678" outlineLevel="2" ht="15" customHeight="1" s="82">
      <c r="A678" s="94">
        <f>'לקוחות לפי סוכן - מקור'!A687</f>
        <v/>
      </c>
      <c r="B678" s="94">
        <f>'לקוחות לפי סוכן - מקור'!C687</f>
        <v/>
      </c>
      <c r="C678" s="94">
        <f>'לקוחות לפי סוכן - מקור'!E687</f>
        <v/>
      </c>
      <c r="D678" s="102">
        <f>'לקוחות לפי סוכן - מקור'!F687</f>
        <v/>
      </c>
      <c r="E678" s="102">
        <f>'לקוחות לפי סוכן - מקור'!G687</f>
        <v/>
      </c>
      <c r="F678" s="94">
        <f>'לקוחות לפי סוכן - מקור'!D687</f>
        <v/>
      </c>
      <c r="G678" s="95">
        <f>'לקוחות לפי סוכן - מקור'!H687</f>
        <v/>
      </c>
      <c r="H678" s="95">
        <f>'לקוחות לפי סוכן - מקור'!I687</f>
        <v/>
      </c>
      <c r="I678" s="127">
        <f>'לקוחות לפי סוכן - מקור'!K687</f>
        <v/>
      </c>
    </row>
    <row r="679" outlineLevel="2" ht="15" customHeight="1" s="82">
      <c r="A679" s="94">
        <f>'לקוחות לפי סוכן - מקור'!A688</f>
        <v/>
      </c>
      <c r="B679" s="94">
        <f>'לקוחות לפי סוכן - מקור'!C688</f>
        <v/>
      </c>
      <c r="C679" s="94">
        <f>'לקוחות לפי סוכן - מקור'!E688</f>
        <v/>
      </c>
      <c r="D679" s="102">
        <f>'לקוחות לפי סוכן - מקור'!F688</f>
        <v/>
      </c>
      <c r="E679" s="102">
        <f>'לקוחות לפי סוכן - מקור'!G688</f>
        <v/>
      </c>
      <c r="F679" s="94">
        <f>'לקוחות לפי סוכן - מקור'!D688</f>
        <v/>
      </c>
      <c r="G679" s="95">
        <f>'לקוחות לפי סוכן - מקור'!H688</f>
        <v/>
      </c>
      <c r="H679" s="95">
        <f>'לקוחות לפי סוכן - מקור'!I688</f>
        <v/>
      </c>
      <c r="I679" s="127">
        <f>'לקוחות לפי סוכן - מקור'!K688</f>
        <v/>
      </c>
    </row>
    <row r="680" outlineLevel="2" ht="15" customHeight="1" s="82">
      <c r="A680" s="94">
        <f>'לקוחות לפי סוכן - מקור'!A689</f>
        <v/>
      </c>
      <c r="B680" s="94">
        <f>'לקוחות לפי סוכן - מקור'!C689</f>
        <v/>
      </c>
      <c r="C680" s="94">
        <f>'לקוחות לפי סוכן - מקור'!E689</f>
        <v/>
      </c>
      <c r="D680" s="102">
        <f>'לקוחות לפי סוכן - מקור'!F689</f>
        <v/>
      </c>
      <c r="E680" s="102">
        <f>'לקוחות לפי סוכן - מקור'!G689</f>
        <v/>
      </c>
      <c r="F680" s="94">
        <f>'לקוחות לפי סוכן - מקור'!D689</f>
        <v/>
      </c>
      <c r="G680" s="95">
        <f>'לקוחות לפי סוכן - מקור'!H689</f>
        <v/>
      </c>
      <c r="H680" s="95">
        <f>'לקוחות לפי סוכן - מקור'!I689</f>
        <v/>
      </c>
      <c r="I680" s="127">
        <f>'לקוחות לפי סוכן - מקור'!K689</f>
        <v/>
      </c>
    </row>
    <row r="681" outlineLevel="2" ht="15" customHeight="1" s="82">
      <c r="A681" s="94">
        <f>'לקוחות לפי סוכן - מקור'!A690</f>
        <v/>
      </c>
      <c r="B681" s="94">
        <f>'לקוחות לפי סוכן - מקור'!C690</f>
        <v/>
      </c>
      <c r="C681" s="94">
        <f>'לקוחות לפי סוכן - מקור'!E690</f>
        <v/>
      </c>
      <c r="D681" s="102">
        <f>'לקוחות לפי סוכן - מקור'!F690</f>
        <v/>
      </c>
      <c r="E681" s="102">
        <f>'לקוחות לפי סוכן - מקור'!G690</f>
        <v/>
      </c>
      <c r="F681" s="94">
        <f>'לקוחות לפי סוכן - מקור'!D690</f>
        <v/>
      </c>
      <c r="G681" s="95">
        <f>'לקוחות לפי סוכן - מקור'!H690</f>
        <v/>
      </c>
      <c r="H681" s="95">
        <f>'לקוחות לפי סוכן - מקור'!I690</f>
        <v/>
      </c>
      <c r="I681" s="127">
        <f>'לקוחות לפי סוכן - מקור'!K690</f>
        <v/>
      </c>
    </row>
    <row r="682" outlineLevel="2" ht="15" customHeight="1" s="82">
      <c r="A682" s="94">
        <f>'לקוחות לפי סוכן - מקור'!A691</f>
        <v/>
      </c>
      <c r="B682" s="94">
        <f>'לקוחות לפי סוכן - מקור'!C691</f>
        <v/>
      </c>
      <c r="C682" s="94">
        <f>'לקוחות לפי סוכן - מקור'!E691</f>
        <v/>
      </c>
      <c r="D682" s="102">
        <f>'לקוחות לפי סוכן - מקור'!F691</f>
        <v/>
      </c>
      <c r="E682" s="102">
        <f>'לקוחות לפי סוכן - מקור'!G691</f>
        <v/>
      </c>
      <c r="F682" s="94">
        <f>'לקוחות לפי סוכן - מקור'!D691</f>
        <v/>
      </c>
      <c r="G682" s="95">
        <f>'לקוחות לפי סוכן - מקור'!H691</f>
        <v/>
      </c>
      <c r="H682" s="95">
        <f>'לקוחות לפי סוכן - מקור'!I691</f>
        <v/>
      </c>
      <c r="I682" s="127">
        <f>'לקוחות לפי סוכן - מקור'!K691</f>
        <v/>
      </c>
    </row>
    <row r="683" outlineLevel="2" ht="15" customHeight="1" s="82">
      <c r="A683" s="94">
        <f>'לקוחות לפי סוכן - מקור'!A692</f>
        <v/>
      </c>
      <c r="B683" s="94">
        <f>'לקוחות לפי סוכן - מקור'!C692</f>
        <v/>
      </c>
      <c r="C683" s="94">
        <f>'לקוחות לפי סוכן - מקור'!E692</f>
        <v/>
      </c>
      <c r="D683" s="102">
        <f>'לקוחות לפי סוכן - מקור'!F692</f>
        <v/>
      </c>
      <c r="E683" s="102">
        <f>'לקוחות לפי סוכן - מקור'!G692</f>
        <v/>
      </c>
      <c r="F683" s="94">
        <f>'לקוחות לפי סוכן - מקור'!D692</f>
        <v/>
      </c>
      <c r="G683" s="95">
        <f>'לקוחות לפי סוכן - מקור'!H692</f>
        <v/>
      </c>
      <c r="H683" s="95">
        <f>'לקוחות לפי סוכן - מקור'!I692</f>
        <v/>
      </c>
      <c r="I683" s="127">
        <f>'לקוחות לפי סוכן - מקור'!K692</f>
        <v/>
      </c>
    </row>
    <row r="684" outlineLevel="2" ht="15" customHeight="1" s="82">
      <c r="A684" s="94">
        <f>'לקוחות לפי סוכן - מקור'!A693</f>
        <v/>
      </c>
      <c r="B684" s="94">
        <f>'לקוחות לפי סוכן - מקור'!C693</f>
        <v/>
      </c>
      <c r="C684" s="94">
        <f>'לקוחות לפי סוכן - מקור'!E693</f>
        <v/>
      </c>
      <c r="D684" s="102">
        <f>'לקוחות לפי סוכן - מקור'!F693</f>
        <v/>
      </c>
      <c r="E684" s="102">
        <f>'לקוחות לפי סוכן - מקור'!G693</f>
        <v/>
      </c>
      <c r="F684" s="94">
        <f>'לקוחות לפי סוכן - מקור'!D693</f>
        <v/>
      </c>
      <c r="G684" s="95">
        <f>'לקוחות לפי סוכן - מקור'!H693</f>
        <v/>
      </c>
      <c r="H684" s="95">
        <f>'לקוחות לפי סוכן - מקור'!I693</f>
        <v/>
      </c>
      <c r="I684" s="127">
        <f>'לקוחות לפי סוכן - מקור'!K693</f>
        <v/>
      </c>
    </row>
    <row r="685" outlineLevel="2" ht="15" customHeight="1" s="82">
      <c r="A685" s="94">
        <f>'לקוחות לפי סוכן - מקור'!A694</f>
        <v/>
      </c>
      <c r="B685" s="94">
        <f>'לקוחות לפי סוכן - מקור'!C694</f>
        <v/>
      </c>
      <c r="C685" s="94">
        <f>'לקוחות לפי סוכן - מקור'!E694</f>
        <v/>
      </c>
      <c r="D685" s="102">
        <f>'לקוחות לפי סוכן - מקור'!F694</f>
        <v/>
      </c>
      <c r="E685" s="102">
        <f>'לקוחות לפי סוכן - מקור'!G694</f>
        <v/>
      </c>
      <c r="F685" s="94">
        <f>'לקוחות לפי סוכן - מקור'!D694</f>
        <v/>
      </c>
      <c r="G685" s="95">
        <f>'לקוחות לפי סוכן - מקור'!H694</f>
        <v/>
      </c>
      <c r="H685" s="95">
        <f>'לקוחות לפי סוכן - מקור'!I694</f>
        <v/>
      </c>
      <c r="I685" s="127">
        <f>'לקוחות לפי סוכן - מקור'!K694</f>
        <v/>
      </c>
    </row>
    <row r="686" outlineLevel="2" ht="15" customHeight="1" s="82">
      <c r="A686" s="94">
        <f>'לקוחות לפי סוכן - מקור'!A695</f>
        <v/>
      </c>
      <c r="B686" s="94">
        <f>'לקוחות לפי סוכן - מקור'!C695</f>
        <v/>
      </c>
      <c r="C686" s="94">
        <f>'לקוחות לפי סוכן - מקור'!E695</f>
        <v/>
      </c>
      <c r="D686" s="102">
        <f>'לקוחות לפי סוכן - מקור'!F695</f>
        <v/>
      </c>
      <c r="E686" s="102">
        <f>'לקוחות לפי סוכן - מקור'!G695</f>
        <v/>
      </c>
      <c r="F686" s="94">
        <f>'לקוחות לפי סוכן - מקור'!D695</f>
        <v/>
      </c>
      <c r="G686" s="95">
        <f>'לקוחות לפי סוכן - מקור'!H695</f>
        <v/>
      </c>
      <c r="H686" s="95">
        <f>'לקוחות לפי סוכן - מקור'!I695</f>
        <v/>
      </c>
      <c r="I686" s="127">
        <f>'לקוחות לפי סוכן - מקור'!K695</f>
        <v/>
      </c>
    </row>
    <row r="687" outlineLevel="2" ht="15" customHeight="1" s="82">
      <c r="A687" s="94">
        <f>'לקוחות לפי סוכן - מקור'!A696</f>
        <v/>
      </c>
      <c r="B687" s="94">
        <f>'לקוחות לפי סוכן - מקור'!C696</f>
        <v/>
      </c>
      <c r="C687" s="94">
        <f>'לקוחות לפי סוכן - מקור'!E696</f>
        <v/>
      </c>
      <c r="D687" s="102">
        <f>'לקוחות לפי סוכן - מקור'!F696</f>
        <v/>
      </c>
      <c r="E687" s="102">
        <f>'לקוחות לפי סוכן - מקור'!G696</f>
        <v/>
      </c>
      <c r="F687" s="94">
        <f>'לקוחות לפי סוכן - מקור'!D696</f>
        <v/>
      </c>
      <c r="G687" s="95">
        <f>'לקוחות לפי סוכן - מקור'!H696</f>
        <v/>
      </c>
      <c r="H687" s="95">
        <f>'לקוחות לפי סוכן - מקור'!I696</f>
        <v/>
      </c>
      <c r="I687" s="127">
        <f>'לקוחות לפי סוכן - מקור'!K696</f>
        <v/>
      </c>
    </row>
    <row r="688" outlineLevel="2" ht="15" customHeight="1" s="82">
      <c r="A688" s="94">
        <f>'לקוחות לפי סוכן - מקור'!A697</f>
        <v/>
      </c>
      <c r="B688" s="94">
        <f>'לקוחות לפי סוכן - מקור'!C697</f>
        <v/>
      </c>
      <c r="C688" s="94">
        <f>'לקוחות לפי סוכן - מקור'!E697</f>
        <v/>
      </c>
      <c r="D688" s="102">
        <f>'לקוחות לפי סוכן - מקור'!F697</f>
        <v/>
      </c>
      <c r="E688" s="102">
        <f>'לקוחות לפי סוכן - מקור'!G697</f>
        <v/>
      </c>
      <c r="F688" s="94">
        <f>'לקוחות לפי סוכן - מקור'!D697</f>
        <v/>
      </c>
      <c r="G688" s="95">
        <f>'לקוחות לפי סוכן - מקור'!H697</f>
        <v/>
      </c>
      <c r="H688" s="95">
        <f>'לקוחות לפי סוכן - מקור'!I697</f>
        <v/>
      </c>
      <c r="I688" s="127">
        <f>'לקוחות לפי סוכן - מקור'!K697</f>
        <v/>
      </c>
    </row>
    <row r="689" outlineLevel="2" ht="15" customHeight="1" s="82">
      <c r="A689" s="94">
        <f>'לקוחות לפי סוכן - מקור'!A698</f>
        <v/>
      </c>
      <c r="B689" s="94">
        <f>'לקוחות לפי סוכן - מקור'!C698</f>
        <v/>
      </c>
      <c r="C689" s="94">
        <f>'לקוחות לפי סוכן - מקור'!E698</f>
        <v/>
      </c>
      <c r="D689" s="102">
        <f>'לקוחות לפי סוכן - מקור'!F698</f>
        <v/>
      </c>
      <c r="E689" s="102">
        <f>'לקוחות לפי סוכן - מקור'!G698</f>
        <v/>
      </c>
      <c r="F689" s="94">
        <f>'לקוחות לפי סוכן - מקור'!D698</f>
        <v/>
      </c>
      <c r="G689" s="95">
        <f>'לקוחות לפי סוכן - מקור'!H698</f>
        <v/>
      </c>
      <c r="H689" s="95">
        <f>'לקוחות לפי סוכן - מקור'!I698</f>
        <v/>
      </c>
      <c r="I689" s="127">
        <f>'לקוחות לפי סוכן - מקור'!K698</f>
        <v/>
      </c>
    </row>
    <row r="690" outlineLevel="2" ht="15" customHeight="1" s="82">
      <c r="A690" s="94">
        <f>'לקוחות לפי סוכן - מקור'!A699</f>
        <v/>
      </c>
      <c r="B690" s="94">
        <f>'לקוחות לפי סוכן - מקור'!C699</f>
        <v/>
      </c>
      <c r="C690" s="94">
        <f>'לקוחות לפי סוכן - מקור'!E699</f>
        <v/>
      </c>
      <c r="D690" s="102">
        <f>'לקוחות לפי סוכן - מקור'!F699</f>
        <v/>
      </c>
      <c r="E690" s="102">
        <f>'לקוחות לפי סוכן - מקור'!G699</f>
        <v/>
      </c>
      <c r="F690" s="94">
        <f>'לקוחות לפי סוכן - מקור'!D699</f>
        <v/>
      </c>
      <c r="G690" s="95">
        <f>'לקוחות לפי סוכן - מקור'!H699</f>
        <v/>
      </c>
      <c r="H690" s="95">
        <f>'לקוחות לפי סוכן - מקור'!I699</f>
        <v/>
      </c>
      <c r="I690" s="127">
        <f>'לקוחות לפי סוכן - מקור'!K699</f>
        <v/>
      </c>
    </row>
    <row r="691" outlineLevel="2" ht="15" customHeight="1" s="82">
      <c r="A691" s="94">
        <f>'לקוחות לפי סוכן - מקור'!A700</f>
        <v/>
      </c>
      <c r="B691" s="94">
        <f>'לקוחות לפי סוכן - מקור'!C700</f>
        <v/>
      </c>
      <c r="C691" s="94">
        <f>'לקוחות לפי סוכן - מקור'!E700</f>
        <v/>
      </c>
      <c r="D691" s="102">
        <f>'לקוחות לפי סוכן - מקור'!F700</f>
        <v/>
      </c>
      <c r="E691" s="102">
        <f>'לקוחות לפי סוכן - מקור'!G700</f>
        <v/>
      </c>
      <c r="F691" s="94">
        <f>'לקוחות לפי סוכן - מקור'!D700</f>
        <v/>
      </c>
      <c r="G691" s="95">
        <f>'לקוחות לפי סוכן - מקור'!H700</f>
        <v/>
      </c>
      <c r="H691" s="95">
        <f>'לקוחות לפי סוכן - מקור'!I700</f>
        <v/>
      </c>
      <c r="I691" s="127">
        <f>'לקוחות לפי סוכן - מקור'!K700</f>
        <v/>
      </c>
    </row>
    <row r="692" outlineLevel="2" ht="15" customHeight="1" s="82">
      <c r="A692" s="94">
        <f>'לקוחות לפי סוכן - מקור'!A701</f>
        <v/>
      </c>
      <c r="B692" s="94">
        <f>'לקוחות לפי סוכן - מקור'!C701</f>
        <v/>
      </c>
      <c r="C692" s="94">
        <f>'לקוחות לפי סוכן - מקור'!E701</f>
        <v/>
      </c>
      <c r="D692" s="102">
        <f>'לקוחות לפי סוכן - מקור'!F701</f>
        <v/>
      </c>
      <c r="E692" s="102">
        <f>'לקוחות לפי סוכן - מקור'!G701</f>
        <v/>
      </c>
      <c r="F692" s="94">
        <f>'לקוחות לפי סוכן - מקור'!D701</f>
        <v/>
      </c>
      <c r="G692" s="95">
        <f>'לקוחות לפי סוכן - מקור'!H701</f>
        <v/>
      </c>
      <c r="H692" s="95">
        <f>'לקוחות לפי סוכן - מקור'!I701</f>
        <v/>
      </c>
      <c r="I692" s="127">
        <f>'לקוחות לפי סוכן - מקור'!K701</f>
        <v/>
      </c>
    </row>
    <row r="693" outlineLevel="2" ht="15" customHeight="1" s="82">
      <c r="A693" s="94">
        <f>'לקוחות לפי סוכן - מקור'!A702</f>
        <v/>
      </c>
      <c r="B693" s="94">
        <f>'לקוחות לפי סוכן - מקור'!C702</f>
        <v/>
      </c>
      <c r="C693" s="94">
        <f>'לקוחות לפי סוכן - מקור'!E702</f>
        <v/>
      </c>
      <c r="D693" s="102">
        <f>'לקוחות לפי סוכן - מקור'!F702</f>
        <v/>
      </c>
      <c r="E693" s="102">
        <f>'לקוחות לפי סוכן - מקור'!G702</f>
        <v/>
      </c>
      <c r="F693" s="94">
        <f>'לקוחות לפי סוכן - מקור'!D702</f>
        <v/>
      </c>
      <c r="G693" s="95">
        <f>'לקוחות לפי סוכן - מקור'!H702</f>
        <v/>
      </c>
      <c r="H693" s="95">
        <f>'לקוחות לפי סוכן - מקור'!I702</f>
        <v/>
      </c>
      <c r="I693" s="127">
        <f>'לקוחות לפי סוכן - מקור'!K702</f>
        <v/>
      </c>
    </row>
    <row r="694" outlineLevel="2" ht="15" customHeight="1" s="82">
      <c r="A694" s="94">
        <f>'לקוחות לפי סוכן - מקור'!A703</f>
        <v/>
      </c>
      <c r="B694" s="94">
        <f>'לקוחות לפי סוכן - מקור'!C703</f>
        <v/>
      </c>
      <c r="C694" s="94">
        <f>'לקוחות לפי סוכן - מקור'!E703</f>
        <v/>
      </c>
      <c r="D694" s="102">
        <f>'לקוחות לפי סוכן - מקור'!F703</f>
        <v/>
      </c>
      <c r="E694" s="102">
        <f>'לקוחות לפי סוכן - מקור'!G703</f>
        <v/>
      </c>
      <c r="F694" s="94">
        <f>'לקוחות לפי סוכן - מקור'!D703</f>
        <v/>
      </c>
      <c r="G694" s="95">
        <f>'לקוחות לפי סוכן - מקור'!H703</f>
        <v/>
      </c>
      <c r="H694" s="95">
        <f>'לקוחות לפי סוכן - מקור'!I703</f>
        <v/>
      </c>
      <c r="I694" s="127">
        <f>'לקוחות לפי סוכן - מקור'!K703</f>
        <v/>
      </c>
    </row>
    <row r="695" outlineLevel="2" ht="15" customHeight="1" s="82">
      <c r="A695" s="94">
        <f>'לקוחות לפי סוכן - מקור'!A704</f>
        <v/>
      </c>
      <c r="B695" s="94">
        <f>'לקוחות לפי סוכן - מקור'!C704</f>
        <v/>
      </c>
      <c r="C695" s="94">
        <f>'לקוחות לפי סוכן - מקור'!E704</f>
        <v/>
      </c>
      <c r="D695" s="102">
        <f>'לקוחות לפי סוכן - מקור'!F704</f>
        <v/>
      </c>
      <c r="E695" s="102">
        <f>'לקוחות לפי סוכן - מקור'!G704</f>
        <v/>
      </c>
      <c r="F695" s="94">
        <f>'לקוחות לפי סוכן - מקור'!D704</f>
        <v/>
      </c>
      <c r="G695" s="95">
        <f>'לקוחות לפי סוכן - מקור'!H704</f>
        <v/>
      </c>
      <c r="H695" s="95">
        <f>'לקוחות לפי סוכן - מקור'!I704</f>
        <v/>
      </c>
      <c r="I695" s="127">
        <f>'לקוחות לפי סוכן - מקור'!K704</f>
        <v/>
      </c>
    </row>
    <row r="696" outlineLevel="2" ht="15" customHeight="1" s="82">
      <c r="A696" s="94">
        <f>'לקוחות לפי סוכן - מקור'!A705</f>
        <v/>
      </c>
      <c r="B696" s="94">
        <f>'לקוחות לפי סוכן - מקור'!C705</f>
        <v/>
      </c>
      <c r="C696" s="94">
        <f>'לקוחות לפי סוכן - מקור'!E705</f>
        <v/>
      </c>
      <c r="D696" s="102">
        <f>'לקוחות לפי סוכן - מקור'!F705</f>
        <v/>
      </c>
      <c r="E696" s="102">
        <f>'לקוחות לפי סוכן - מקור'!G705</f>
        <v/>
      </c>
      <c r="F696" s="94">
        <f>'לקוחות לפי סוכן - מקור'!D705</f>
        <v/>
      </c>
      <c r="G696" s="95">
        <f>'לקוחות לפי סוכן - מקור'!H705</f>
        <v/>
      </c>
      <c r="H696" s="95">
        <f>'לקוחות לפי סוכן - מקור'!I705</f>
        <v/>
      </c>
      <c r="I696" s="127">
        <f>'לקוחות לפי סוכן - מקור'!K705</f>
        <v/>
      </c>
    </row>
    <row r="697" outlineLevel="2" ht="15" customHeight="1" s="82">
      <c r="A697" s="94">
        <f>'לקוחות לפי סוכן - מקור'!A706</f>
        <v/>
      </c>
      <c r="B697" s="94">
        <f>'לקוחות לפי סוכן - מקור'!C706</f>
        <v/>
      </c>
      <c r="C697" s="94">
        <f>'לקוחות לפי סוכן - מקור'!E706</f>
        <v/>
      </c>
      <c r="D697" s="102">
        <f>'לקוחות לפי סוכן - מקור'!F706</f>
        <v/>
      </c>
      <c r="E697" s="102">
        <f>'לקוחות לפי סוכן - מקור'!G706</f>
        <v/>
      </c>
      <c r="F697" s="94">
        <f>'לקוחות לפי סוכן - מקור'!D706</f>
        <v/>
      </c>
      <c r="G697" s="95">
        <f>'לקוחות לפי סוכן - מקור'!H706</f>
        <v/>
      </c>
      <c r="H697" s="95">
        <f>'לקוחות לפי סוכן - מקור'!I706</f>
        <v/>
      </c>
      <c r="I697" s="127">
        <f>'לקוחות לפי סוכן - מקור'!K706</f>
        <v/>
      </c>
    </row>
    <row r="698" outlineLevel="2" ht="15" customHeight="1" s="82">
      <c r="A698" s="94">
        <f>'לקוחות לפי סוכן - מקור'!A707</f>
        <v/>
      </c>
      <c r="B698" s="94">
        <f>'לקוחות לפי סוכן - מקור'!C707</f>
        <v/>
      </c>
      <c r="C698" s="94">
        <f>'לקוחות לפי סוכן - מקור'!E707</f>
        <v/>
      </c>
      <c r="D698" s="102">
        <f>'לקוחות לפי סוכן - מקור'!F707</f>
        <v/>
      </c>
      <c r="E698" s="102">
        <f>'לקוחות לפי סוכן - מקור'!G707</f>
        <v/>
      </c>
      <c r="F698" s="94">
        <f>'לקוחות לפי סוכן - מקור'!D707</f>
        <v/>
      </c>
      <c r="G698" s="95">
        <f>'לקוחות לפי סוכן - מקור'!H707</f>
        <v/>
      </c>
      <c r="H698" s="95">
        <f>'לקוחות לפי סוכן - מקור'!I707</f>
        <v/>
      </c>
      <c r="I698" s="127">
        <f>'לקוחות לפי סוכן - מקור'!K707</f>
        <v/>
      </c>
    </row>
    <row r="699" outlineLevel="2" ht="15" customHeight="1" s="82">
      <c r="A699" s="94">
        <f>'לקוחות לפי סוכן - מקור'!A708</f>
        <v/>
      </c>
      <c r="B699" s="94">
        <f>'לקוחות לפי סוכן - מקור'!C708</f>
        <v/>
      </c>
      <c r="C699" s="94">
        <f>'לקוחות לפי סוכן - מקור'!E708</f>
        <v/>
      </c>
      <c r="D699" s="102">
        <f>'לקוחות לפי סוכן - מקור'!F708</f>
        <v/>
      </c>
      <c r="E699" s="102">
        <f>'לקוחות לפי סוכן - מקור'!G708</f>
        <v/>
      </c>
      <c r="F699" s="94">
        <f>'לקוחות לפי סוכן - מקור'!D708</f>
        <v/>
      </c>
      <c r="G699" s="95">
        <f>'לקוחות לפי סוכן - מקור'!H708</f>
        <v/>
      </c>
      <c r="H699" s="95">
        <f>'לקוחות לפי סוכן - מקור'!I708</f>
        <v/>
      </c>
      <c r="I699" s="127">
        <f>'לקוחות לפי סוכן - מקור'!K708</f>
        <v/>
      </c>
    </row>
    <row r="700" outlineLevel="2" ht="15" customHeight="1" s="82">
      <c r="A700" s="94">
        <f>'לקוחות לפי סוכן - מקור'!A709</f>
        <v/>
      </c>
      <c r="B700" s="94">
        <f>'לקוחות לפי סוכן - מקור'!C709</f>
        <v/>
      </c>
      <c r="C700" s="94">
        <f>'לקוחות לפי סוכן - מקור'!E709</f>
        <v/>
      </c>
      <c r="D700" s="102">
        <f>'לקוחות לפי סוכן - מקור'!F709</f>
        <v/>
      </c>
      <c r="E700" s="102">
        <f>'לקוחות לפי סוכן - מקור'!G709</f>
        <v/>
      </c>
      <c r="F700" s="94">
        <f>'לקוחות לפי סוכן - מקור'!D709</f>
        <v/>
      </c>
      <c r="G700" s="95">
        <f>'לקוחות לפי סוכן - מקור'!H709</f>
        <v/>
      </c>
      <c r="H700" s="95">
        <f>'לקוחות לפי סוכן - מקור'!I709</f>
        <v/>
      </c>
      <c r="I700" s="127">
        <f>'לקוחות לפי סוכן - מקור'!K709</f>
        <v/>
      </c>
    </row>
    <row r="701" outlineLevel="2" ht="15" customHeight="1" s="82">
      <c r="A701" s="94">
        <f>'לקוחות לפי סוכן - מקור'!A710</f>
        <v/>
      </c>
      <c r="B701" s="94">
        <f>'לקוחות לפי סוכן - מקור'!C710</f>
        <v/>
      </c>
      <c r="C701" s="94">
        <f>'לקוחות לפי סוכן - מקור'!E710</f>
        <v/>
      </c>
      <c r="D701" s="102">
        <f>'לקוחות לפי סוכן - מקור'!F710</f>
        <v/>
      </c>
      <c r="E701" s="102">
        <f>'לקוחות לפי סוכן - מקור'!G710</f>
        <v/>
      </c>
      <c r="F701" s="94">
        <f>'לקוחות לפי סוכן - מקור'!D710</f>
        <v/>
      </c>
      <c r="G701" s="95">
        <f>'לקוחות לפי סוכן - מקור'!H710</f>
        <v/>
      </c>
      <c r="H701" s="95">
        <f>'לקוחות לפי סוכן - מקור'!I710</f>
        <v/>
      </c>
      <c r="I701" s="127">
        <f>'לקוחות לפי סוכן - מקור'!K710</f>
        <v/>
      </c>
    </row>
    <row r="702" outlineLevel="2" ht="15" customHeight="1" s="82">
      <c r="A702" s="94">
        <f>'לקוחות לפי סוכן - מקור'!A711</f>
        <v/>
      </c>
      <c r="B702" s="94">
        <f>'לקוחות לפי סוכן - מקור'!C711</f>
        <v/>
      </c>
      <c r="C702" s="94">
        <f>'לקוחות לפי סוכן - מקור'!E711</f>
        <v/>
      </c>
      <c r="D702" s="102">
        <f>'לקוחות לפי סוכן - מקור'!F711</f>
        <v/>
      </c>
      <c r="E702" s="102">
        <f>'לקוחות לפי סוכן - מקור'!G711</f>
        <v/>
      </c>
      <c r="F702" s="94">
        <f>'לקוחות לפי סוכן - מקור'!D711</f>
        <v/>
      </c>
      <c r="G702" s="95">
        <f>'לקוחות לפי סוכן - מקור'!H711</f>
        <v/>
      </c>
      <c r="H702" s="95">
        <f>'לקוחות לפי סוכן - מקור'!I711</f>
        <v/>
      </c>
      <c r="I702" s="127">
        <f>'לקוחות לפי סוכן - מקור'!K711</f>
        <v/>
      </c>
    </row>
    <row r="703" outlineLevel="2" ht="15" customHeight="1" s="82">
      <c r="A703" s="94">
        <f>'לקוחות לפי סוכן - מקור'!A712</f>
        <v/>
      </c>
      <c r="B703" s="94">
        <f>'לקוחות לפי סוכן - מקור'!C712</f>
        <v/>
      </c>
      <c r="C703" s="94">
        <f>'לקוחות לפי סוכן - מקור'!E712</f>
        <v/>
      </c>
      <c r="D703" s="102">
        <f>'לקוחות לפי סוכן - מקור'!F712</f>
        <v/>
      </c>
      <c r="E703" s="102">
        <f>'לקוחות לפי סוכן - מקור'!G712</f>
        <v/>
      </c>
      <c r="F703" s="94">
        <f>'לקוחות לפי סוכן - מקור'!D712</f>
        <v/>
      </c>
      <c r="G703" s="95">
        <f>'לקוחות לפי סוכן - מקור'!H712</f>
        <v/>
      </c>
      <c r="H703" s="95">
        <f>'לקוחות לפי סוכן - מקור'!I712</f>
        <v/>
      </c>
      <c r="I703" s="127">
        <f>'לקוחות לפי סוכן - מקור'!K712</f>
        <v/>
      </c>
    </row>
    <row r="704" outlineLevel="2" ht="15" customHeight="1" s="82">
      <c r="A704" s="94">
        <f>'לקוחות לפי סוכן - מקור'!A713</f>
        <v/>
      </c>
      <c r="B704" s="94">
        <f>'לקוחות לפי סוכן - מקור'!C713</f>
        <v/>
      </c>
      <c r="C704" s="94">
        <f>'לקוחות לפי סוכן - מקור'!E713</f>
        <v/>
      </c>
      <c r="D704" s="102">
        <f>'לקוחות לפי סוכן - מקור'!F713</f>
        <v/>
      </c>
      <c r="E704" s="102">
        <f>'לקוחות לפי סוכן - מקור'!G713</f>
        <v/>
      </c>
      <c r="F704" s="94">
        <f>'לקוחות לפי סוכן - מקור'!D713</f>
        <v/>
      </c>
      <c r="G704" s="95">
        <f>'לקוחות לפי סוכן - מקור'!H713</f>
        <v/>
      </c>
      <c r="H704" s="95">
        <f>'לקוחות לפי סוכן - מקור'!I713</f>
        <v/>
      </c>
      <c r="I704" s="127">
        <f>'לקוחות לפי סוכן - מקור'!K713</f>
        <v/>
      </c>
    </row>
    <row r="705" outlineLevel="2" ht="15" customHeight="1" s="82">
      <c r="A705" s="94">
        <f>'לקוחות לפי סוכן - מקור'!A714</f>
        <v/>
      </c>
      <c r="B705" s="94">
        <f>'לקוחות לפי סוכן - מקור'!C714</f>
        <v/>
      </c>
      <c r="C705" s="94">
        <f>'לקוחות לפי סוכן - מקור'!E714</f>
        <v/>
      </c>
      <c r="D705" s="102">
        <f>'לקוחות לפי סוכן - מקור'!F714</f>
        <v/>
      </c>
      <c r="E705" s="102">
        <f>'לקוחות לפי סוכן - מקור'!G714</f>
        <v/>
      </c>
      <c r="F705" s="94">
        <f>'לקוחות לפי סוכן - מקור'!D714</f>
        <v/>
      </c>
      <c r="G705" s="95">
        <f>'לקוחות לפי סוכן - מקור'!H714</f>
        <v/>
      </c>
      <c r="H705" s="95">
        <f>'לקוחות לפי סוכן - מקור'!I714</f>
        <v/>
      </c>
      <c r="I705" s="127">
        <f>'לקוחות לפי סוכן - מקור'!K714</f>
        <v/>
      </c>
    </row>
    <row r="706" outlineLevel="2" ht="15" customHeight="1" s="82">
      <c r="A706" s="94">
        <f>'לקוחות לפי סוכן - מקור'!A715</f>
        <v/>
      </c>
      <c r="B706" s="94">
        <f>'לקוחות לפי סוכן - מקור'!C715</f>
        <v/>
      </c>
      <c r="C706" s="94">
        <f>'לקוחות לפי סוכן - מקור'!E715</f>
        <v/>
      </c>
      <c r="D706" s="102">
        <f>'לקוחות לפי סוכן - מקור'!F715</f>
        <v/>
      </c>
      <c r="E706" s="102">
        <f>'לקוחות לפי סוכן - מקור'!G715</f>
        <v/>
      </c>
      <c r="F706" s="94">
        <f>'לקוחות לפי סוכן - מקור'!D715</f>
        <v/>
      </c>
      <c r="G706" s="95">
        <f>'לקוחות לפי סוכן - מקור'!H715</f>
        <v/>
      </c>
      <c r="H706" s="95">
        <f>'לקוחות לפי סוכן - מקור'!I715</f>
        <v/>
      </c>
      <c r="I706" s="127">
        <f>'לקוחות לפי סוכן - מקור'!K715</f>
        <v/>
      </c>
    </row>
    <row r="707" outlineLevel="2" ht="15" customHeight="1" s="82">
      <c r="A707" s="94">
        <f>'לקוחות לפי סוכן - מקור'!A716</f>
        <v/>
      </c>
      <c r="B707" s="94">
        <f>'לקוחות לפי סוכן - מקור'!C716</f>
        <v/>
      </c>
      <c r="C707" s="94">
        <f>'לקוחות לפי סוכן - מקור'!E716</f>
        <v/>
      </c>
      <c r="D707" s="102">
        <f>'לקוחות לפי סוכן - מקור'!F716</f>
        <v/>
      </c>
      <c r="E707" s="102">
        <f>'לקוחות לפי סוכן - מקור'!G716</f>
        <v/>
      </c>
      <c r="F707" s="94">
        <f>'לקוחות לפי סוכן - מקור'!D716</f>
        <v/>
      </c>
      <c r="G707" s="95">
        <f>'לקוחות לפי סוכן - מקור'!H716</f>
        <v/>
      </c>
      <c r="H707" s="95">
        <f>'לקוחות לפי סוכן - מקור'!I716</f>
        <v/>
      </c>
      <c r="I707" s="127">
        <f>'לקוחות לפי סוכן - מקור'!K716</f>
        <v/>
      </c>
    </row>
    <row r="708" outlineLevel="2" ht="15" customHeight="1" s="82">
      <c r="A708" s="94">
        <f>'לקוחות לפי סוכן - מקור'!A717</f>
        <v/>
      </c>
      <c r="B708" s="94">
        <f>'לקוחות לפי סוכן - מקור'!C717</f>
        <v/>
      </c>
      <c r="C708" s="94">
        <f>'לקוחות לפי סוכן - מקור'!E717</f>
        <v/>
      </c>
      <c r="D708" s="102">
        <f>'לקוחות לפי סוכן - מקור'!F717</f>
        <v/>
      </c>
      <c r="E708" s="102">
        <f>'לקוחות לפי סוכן - מקור'!G717</f>
        <v/>
      </c>
      <c r="F708" s="94">
        <f>'לקוחות לפי סוכן - מקור'!D717</f>
        <v/>
      </c>
      <c r="G708" s="95">
        <f>'לקוחות לפי סוכן - מקור'!H717</f>
        <v/>
      </c>
      <c r="H708" s="95">
        <f>'לקוחות לפי סוכן - מקור'!I717</f>
        <v/>
      </c>
      <c r="I708" s="127">
        <f>'לקוחות לפי סוכן - מקור'!K717</f>
        <v/>
      </c>
    </row>
    <row r="709" outlineLevel="2" ht="15" customHeight="1" s="82">
      <c r="A709" s="94">
        <f>'לקוחות לפי סוכן - מקור'!A718</f>
        <v/>
      </c>
      <c r="B709" s="94">
        <f>'לקוחות לפי סוכן - מקור'!C718</f>
        <v/>
      </c>
      <c r="C709" s="94">
        <f>'לקוחות לפי סוכן - מקור'!E718</f>
        <v/>
      </c>
      <c r="D709" s="102">
        <f>'לקוחות לפי סוכן - מקור'!F718</f>
        <v/>
      </c>
      <c r="E709" s="102">
        <f>'לקוחות לפי סוכן - מקור'!G718</f>
        <v/>
      </c>
      <c r="F709" s="94">
        <f>'לקוחות לפי סוכן - מקור'!D718</f>
        <v/>
      </c>
      <c r="G709" s="95">
        <f>'לקוחות לפי סוכן - מקור'!H718</f>
        <v/>
      </c>
      <c r="H709" s="95">
        <f>'לקוחות לפי סוכן - מקור'!I718</f>
        <v/>
      </c>
      <c r="I709" s="127">
        <f>'לקוחות לפי סוכן - מקור'!K718</f>
        <v/>
      </c>
    </row>
    <row r="710" outlineLevel="2" ht="15" customHeight="1" s="82">
      <c r="A710" s="94">
        <f>'לקוחות לפי סוכן - מקור'!A719</f>
        <v/>
      </c>
      <c r="B710" s="94">
        <f>'לקוחות לפי סוכן - מקור'!C719</f>
        <v/>
      </c>
      <c r="C710" s="94">
        <f>'לקוחות לפי סוכן - מקור'!E719</f>
        <v/>
      </c>
      <c r="D710" s="102">
        <f>'לקוחות לפי סוכן - מקור'!F719</f>
        <v/>
      </c>
      <c r="E710" s="102">
        <f>'לקוחות לפי סוכן - מקור'!G719</f>
        <v/>
      </c>
      <c r="F710" s="94">
        <f>'לקוחות לפי סוכן - מקור'!D719</f>
        <v/>
      </c>
      <c r="G710" s="95">
        <f>'לקוחות לפי סוכן - מקור'!H719</f>
        <v/>
      </c>
      <c r="H710" s="95">
        <f>'לקוחות לפי סוכן - מקור'!I719</f>
        <v/>
      </c>
      <c r="I710" s="127">
        <f>'לקוחות לפי סוכן - מקור'!K719</f>
        <v/>
      </c>
    </row>
    <row r="711" outlineLevel="1" ht="15" customHeight="1" s="82">
      <c r="A711" s="128" t="inlineStr">
        <is>
          <t>חאזם תלחמי</t>
        </is>
      </c>
      <c r="B711" s="129" t="inlineStr">
        <is>
          <t>ס. פארם</t>
        </is>
      </c>
      <c r="C711" s="130" t="n"/>
      <c r="D711" s="131">
        <f>SUMIFS('לקוחות לפי סוכן - מקור'!$F$2:$F$867,'לקוחות לפי סוכן - מקור'!$A$2:$A$867,$A711,'לקוחות לפי סוכן - מקור'!$C$2:$C$867,$B711)</f>
        <v/>
      </c>
      <c r="E711" s="131">
        <f>SUMIFS('לקוחות לפי סוכן - מקור'!$G$2:$G$867,'לקוחות לפי סוכן - מקור'!$A$2:$A$867,$A711,'לקוחות לפי סוכן - מקור'!$C$2:$C$867,$B711)</f>
        <v/>
      </c>
      <c r="F711" s="130" t="n"/>
      <c r="G711" s="132">
        <f>SUMIFS('לקוחות לפי סוכן - מקור'!$H$2:$H$867,'לקוחות לפי סוכן - מקור'!$A$2:$A$867,$A711,'לקוחות לפי סוכן - מקור'!$C$2:$C$867,$B711)</f>
        <v/>
      </c>
      <c r="H711" s="132">
        <f>SUMIFS('לקוחות לפי סוכן - מקור'!$I$2:$I$867,'לקוחות לפי סוכן - מקור'!$A$2:$A$867,$A711,'לקוחות לפי סוכן - מקור'!$C$2:$C$867,$B711)</f>
        <v/>
      </c>
      <c r="I711" s="130" t="n"/>
      <c r="J711" s="132">
        <f>COUNTIFS('לקוחות לפי סוכן - מקור'!$A$2:$A$867,$A711,'לקוחות לפי סוכן - מקור'!$C$2:$C$867,$B711)</f>
        <v/>
      </c>
    </row>
    <row r="712" outlineLevel="2" ht="15" customHeight="1" s="82">
      <c r="A712" s="94">
        <f>'לקוחות לפי סוכן - מקור'!A720</f>
        <v/>
      </c>
      <c r="B712" s="94">
        <f>'לקוחות לפי סוכן - מקור'!C720</f>
        <v/>
      </c>
      <c r="C712" s="94">
        <f>'לקוחות לפי סוכן - מקור'!E720</f>
        <v/>
      </c>
      <c r="D712" s="102">
        <f>'לקוחות לפי סוכן - מקור'!F720</f>
        <v/>
      </c>
      <c r="E712" s="102">
        <f>'לקוחות לפי סוכן - מקור'!G720</f>
        <v/>
      </c>
      <c r="F712" s="94">
        <f>'לקוחות לפי סוכן - מקור'!D720</f>
        <v/>
      </c>
      <c r="G712" s="95">
        <f>'לקוחות לפי סוכן - מקור'!H720</f>
        <v/>
      </c>
      <c r="H712" s="95">
        <f>'לקוחות לפי סוכן - מקור'!I720</f>
        <v/>
      </c>
      <c r="I712" s="127">
        <f>'לקוחות לפי סוכן - מקור'!K720</f>
        <v/>
      </c>
    </row>
    <row r="713" outlineLevel="2" ht="15" customHeight="1" s="82">
      <c r="A713" s="94">
        <f>'לקוחות לפי סוכן - מקור'!A721</f>
        <v/>
      </c>
      <c r="B713" s="94">
        <f>'לקוחות לפי סוכן - מקור'!C721</f>
        <v/>
      </c>
      <c r="C713" s="94">
        <f>'לקוחות לפי סוכן - מקור'!E721</f>
        <v/>
      </c>
      <c r="D713" s="102">
        <f>'לקוחות לפי סוכן - מקור'!F721</f>
        <v/>
      </c>
      <c r="E713" s="102">
        <f>'לקוחות לפי סוכן - מקור'!G721</f>
        <v/>
      </c>
      <c r="F713" s="94">
        <f>'לקוחות לפי סוכן - מקור'!D721</f>
        <v/>
      </c>
      <c r="G713" s="95">
        <f>'לקוחות לפי סוכן - מקור'!H721</f>
        <v/>
      </c>
      <c r="H713" s="95">
        <f>'לקוחות לפי סוכן - מקור'!I721</f>
        <v/>
      </c>
      <c r="I713" s="127">
        <f>'לקוחות לפי סוכן - מקור'!K721</f>
        <v/>
      </c>
    </row>
    <row r="714" outlineLevel="2" ht="15" customHeight="1" s="82">
      <c r="A714" s="94">
        <f>'לקוחות לפי סוכן - מקור'!A722</f>
        <v/>
      </c>
      <c r="B714" s="94">
        <f>'לקוחות לפי סוכן - מקור'!C722</f>
        <v/>
      </c>
      <c r="C714" s="94">
        <f>'לקוחות לפי סוכן - מקור'!E722</f>
        <v/>
      </c>
      <c r="D714" s="102">
        <f>'לקוחות לפי סוכן - מקור'!F722</f>
        <v/>
      </c>
      <c r="E714" s="102">
        <f>'לקוחות לפי סוכן - מקור'!G722</f>
        <v/>
      </c>
      <c r="F714" s="94">
        <f>'לקוחות לפי סוכן - מקור'!D722</f>
        <v/>
      </c>
      <c r="G714" s="95">
        <f>'לקוחות לפי סוכן - מקור'!H722</f>
        <v/>
      </c>
      <c r="H714" s="95">
        <f>'לקוחות לפי סוכן - מקור'!I722</f>
        <v/>
      </c>
      <c r="I714" s="127">
        <f>'לקוחות לפי סוכן - מקור'!K722</f>
        <v/>
      </c>
    </row>
    <row r="715" outlineLevel="2" ht="15" customHeight="1" s="82">
      <c r="A715" s="94">
        <f>'לקוחות לפי סוכן - מקור'!A723</f>
        <v/>
      </c>
      <c r="B715" s="94">
        <f>'לקוחות לפי סוכן - מקור'!C723</f>
        <v/>
      </c>
      <c r="C715" s="94">
        <f>'לקוחות לפי סוכן - מקור'!E723</f>
        <v/>
      </c>
      <c r="D715" s="102">
        <f>'לקוחות לפי סוכן - מקור'!F723</f>
        <v/>
      </c>
      <c r="E715" s="102">
        <f>'לקוחות לפי סוכן - מקור'!G723</f>
        <v/>
      </c>
      <c r="F715" s="94">
        <f>'לקוחות לפי סוכן - מקור'!D723</f>
        <v/>
      </c>
      <c r="G715" s="95">
        <f>'לקוחות לפי סוכן - מקור'!H723</f>
        <v/>
      </c>
      <c r="H715" s="95">
        <f>'לקוחות לפי סוכן - מקור'!I723</f>
        <v/>
      </c>
      <c r="I715" s="127">
        <f>'לקוחות לפי סוכן - מקור'!K723</f>
        <v/>
      </c>
    </row>
    <row r="716" outlineLevel="2" ht="15" customHeight="1" s="82">
      <c r="A716" s="94">
        <f>'לקוחות לפי סוכן - מקור'!A724</f>
        <v/>
      </c>
      <c r="B716" s="94">
        <f>'לקוחות לפי סוכן - מקור'!C724</f>
        <v/>
      </c>
      <c r="C716" s="94">
        <f>'לקוחות לפי סוכן - מקור'!E724</f>
        <v/>
      </c>
      <c r="D716" s="102">
        <f>'לקוחות לפי סוכן - מקור'!F724</f>
        <v/>
      </c>
      <c r="E716" s="102">
        <f>'לקוחות לפי סוכן - מקור'!G724</f>
        <v/>
      </c>
      <c r="F716" s="94">
        <f>'לקוחות לפי סוכן - מקור'!D724</f>
        <v/>
      </c>
      <c r="G716" s="95">
        <f>'לקוחות לפי סוכן - מקור'!H724</f>
        <v/>
      </c>
      <c r="H716" s="95">
        <f>'לקוחות לפי סוכן - מקור'!I724</f>
        <v/>
      </c>
      <c r="I716" s="127">
        <f>'לקוחות לפי סוכן - מקור'!K724</f>
        <v/>
      </c>
    </row>
    <row r="717" outlineLevel="2" ht="15" customHeight="1" s="82">
      <c r="A717" s="94">
        <f>'לקוחות לפי סוכן - מקור'!A725</f>
        <v/>
      </c>
      <c r="B717" s="94">
        <f>'לקוחות לפי סוכן - מקור'!C725</f>
        <v/>
      </c>
      <c r="C717" s="94">
        <f>'לקוחות לפי סוכן - מקור'!E725</f>
        <v/>
      </c>
      <c r="D717" s="102">
        <f>'לקוחות לפי סוכן - מקור'!F725</f>
        <v/>
      </c>
      <c r="E717" s="102">
        <f>'לקוחות לפי סוכן - מקור'!G725</f>
        <v/>
      </c>
      <c r="F717" s="94">
        <f>'לקוחות לפי סוכן - מקור'!D725</f>
        <v/>
      </c>
      <c r="G717" s="95">
        <f>'לקוחות לפי סוכן - מקור'!H725</f>
        <v/>
      </c>
      <c r="H717" s="95">
        <f>'לקוחות לפי סוכן - מקור'!I725</f>
        <v/>
      </c>
      <c r="I717" s="127">
        <f>'לקוחות לפי סוכן - מקור'!K725</f>
        <v/>
      </c>
    </row>
    <row r="718" outlineLevel="2" ht="15" customHeight="1" s="82">
      <c r="A718" s="94">
        <f>'לקוחות לפי סוכן - מקור'!A726</f>
        <v/>
      </c>
      <c r="B718" s="94">
        <f>'לקוחות לפי סוכן - מקור'!C726</f>
        <v/>
      </c>
      <c r="C718" s="94">
        <f>'לקוחות לפי סוכן - מקור'!E726</f>
        <v/>
      </c>
      <c r="D718" s="102">
        <f>'לקוחות לפי סוכן - מקור'!F726</f>
        <v/>
      </c>
      <c r="E718" s="102">
        <f>'לקוחות לפי סוכן - מקור'!G726</f>
        <v/>
      </c>
      <c r="F718" s="94">
        <f>'לקוחות לפי סוכן - מקור'!D726</f>
        <v/>
      </c>
      <c r="G718" s="95">
        <f>'לקוחות לפי סוכן - מקור'!H726</f>
        <v/>
      </c>
      <c r="H718" s="95">
        <f>'לקוחות לפי סוכן - מקור'!I726</f>
        <v/>
      </c>
      <c r="I718" s="127">
        <f>'לקוחות לפי סוכן - מקור'!K726</f>
        <v/>
      </c>
    </row>
    <row r="719" outlineLevel="2" ht="15" customHeight="1" s="82">
      <c r="A719" s="94">
        <f>'לקוחות לפי סוכן - מקור'!A727</f>
        <v/>
      </c>
      <c r="B719" s="94">
        <f>'לקוחות לפי סוכן - מקור'!C727</f>
        <v/>
      </c>
      <c r="C719" s="94">
        <f>'לקוחות לפי סוכן - מקור'!E727</f>
        <v/>
      </c>
      <c r="D719" s="102">
        <f>'לקוחות לפי סוכן - מקור'!F727</f>
        <v/>
      </c>
      <c r="E719" s="102">
        <f>'לקוחות לפי סוכן - מקור'!G727</f>
        <v/>
      </c>
      <c r="F719" s="94">
        <f>'לקוחות לפי סוכן - מקור'!D727</f>
        <v/>
      </c>
      <c r="G719" s="95">
        <f>'לקוחות לפי סוכן - מקור'!H727</f>
        <v/>
      </c>
      <c r="H719" s="95">
        <f>'לקוחות לפי סוכן - מקור'!I727</f>
        <v/>
      </c>
      <c r="I719" s="127">
        <f>'לקוחות לפי סוכן - מקור'!K727</f>
        <v/>
      </c>
    </row>
    <row r="720" outlineLevel="2" ht="15" customHeight="1" s="82">
      <c r="A720" s="94">
        <f>'לקוחות לפי סוכן - מקור'!A728</f>
        <v/>
      </c>
      <c r="B720" s="94">
        <f>'לקוחות לפי סוכן - מקור'!C728</f>
        <v/>
      </c>
      <c r="C720" s="94">
        <f>'לקוחות לפי סוכן - מקור'!E728</f>
        <v/>
      </c>
      <c r="D720" s="102">
        <f>'לקוחות לפי סוכן - מקור'!F728</f>
        <v/>
      </c>
      <c r="E720" s="102">
        <f>'לקוחות לפי סוכן - מקור'!G728</f>
        <v/>
      </c>
      <c r="F720" s="94">
        <f>'לקוחות לפי סוכן - מקור'!D728</f>
        <v/>
      </c>
      <c r="G720" s="95">
        <f>'לקוחות לפי סוכן - מקור'!H728</f>
        <v/>
      </c>
      <c r="H720" s="95">
        <f>'לקוחות לפי סוכן - מקור'!I728</f>
        <v/>
      </c>
      <c r="I720" s="127">
        <f>'לקוחות לפי סוכן - מקור'!K728</f>
        <v/>
      </c>
    </row>
    <row r="721" outlineLevel="2" ht="15" customHeight="1" s="82">
      <c r="A721" s="94">
        <f>'לקוחות לפי סוכן - מקור'!A729</f>
        <v/>
      </c>
      <c r="B721" s="94">
        <f>'לקוחות לפי סוכן - מקור'!C729</f>
        <v/>
      </c>
      <c r="C721" s="94">
        <f>'לקוחות לפי סוכן - מקור'!E729</f>
        <v/>
      </c>
      <c r="D721" s="102">
        <f>'לקוחות לפי סוכן - מקור'!F729</f>
        <v/>
      </c>
      <c r="E721" s="102">
        <f>'לקוחות לפי סוכן - מקור'!G729</f>
        <v/>
      </c>
      <c r="F721" s="94">
        <f>'לקוחות לפי סוכן - מקור'!D729</f>
        <v/>
      </c>
      <c r="G721" s="95">
        <f>'לקוחות לפי סוכן - מקור'!H729</f>
        <v/>
      </c>
      <c r="H721" s="95">
        <f>'לקוחות לפי סוכן - מקור'!I729</f>
        <v/>
      </c>
      <c r="I721" s="127">
        <f>'לקוחות לפי סוכן - מקור'!K729</f>
        <v/>
      </c>
    </row>
    <row r="722" outlineLevel="2" ht="15" customHeight="1" s="82">
      <c r="A722" s="94">
        <f>'לקוחות לפי סוכן - מקור'!A730</f>
        <v/>
      </c>
      <c r="B722" s="94">
        <f>'לקוחות לפי סוכן - מקור'!C730</f>
        <v/>
      </c>
      <c r="C722" s="94">
        <f>'לקוחות לפי סוכן - מקור'!E730</f>
        <v/>
      </c>
      <c r="D722" s="102">
        <f>'לקוחות לפי סוכן - מקור'!F730</f>
        <v/>
      </c>
      <c r="E722" s="102">
        <f>'לקוחות לפי סוכן - מקור'!G730</f>
        <v/>
      </c>
      <c r="F722" s="94">
        <f>'לקוחות לפי סוכן - מקור'!D730</f>
        <v/>
      </c>
      <c r="G722" s="95">
        <f>'לקוחות לפי סוכן - מקור'!H730</f>
        <v/>
      </c>
      <c r="H722" s="95">
        <f>'לקוחות לפי סוכן - מקור'!I730</f>
        <v/>
      </c>
      <c r="I722" s="127">
        <f>'לקוחות לפי סוכן - מקור'!K730</f>
        <v/>
      </c>
    </row>
    <row r="723" outlineLevel="2" ht="15" customHeight="1" s="82">
      <c r="A723" s="94">
        <f>'לקוחות לפי סוכן - מקור'!A731</f>
        <v/>
      </c>
      <c r="B723" s="94">
        <f>'לקוחות לפי סוכן - מקור'!C731</f>
        <v/>
      </c>
      <c r="C723" s="94">
        <f>'לקוחות לפי סוכן - מקור'!E731</f>
        <v/>
      </c>
      <c r="D723" s="102">
        <f>'לקוחות לפי סוכן - מקור'!F731</f>
        <v/>
      </c>
      <c r="E723" s="102">
        <f>'לקוחות לפי סוכן - מקור'!G731</f>
        <v/>
      </c>
      <c r="F723" s="94">
        <f>'לקוחות לפי סוכן - מקור'!D731</f>
        <v/>
      </c>
      <c r="G723" s="95">
        <f>'לקוחות לפי סוכן - מקור'!H731</f>
        <v/>
      </c>
      <c r="H723" s="95">
        <f>'לקוחות לפי סוכן - מקור'!I731</f>
        <v/>
      </c>
      <c r="I723" s="127">
        <f>'לקוחות לפי סוכן - מקור'!K731</f>
        <v/>
      </c>
    </row>
    <row r="724" outlineLevel="2" ht="15" customHeight="1" s="82">
      <c r="A724" s="94">
        <f>'לקוחות לפי סוכן - מקור'!A732</f>
        <v/>
      </c>
      <c r="B724" s="94">
        <f>'לקוחות לפי סוכן - מקור'!C732</f>
        <v/>
      </c>
      <c r="C724" s="94">
        <f>'לקוחות לפי סוכן - מקור'!E732</f>
        <v/>
      </c>
      <c r="D724" s="102">
        <f>'לקוחות לפי סוכן - מקור'!F732</f>
        <v/>
      </c>
      <c r="E724" s="102">
        <f>'לקוחות לפי סוכן - מקור'!G732</f>
        <v/>
      </c>
      <c r="F724" s="94">
        <f>'לקוחות לפי סוכן - מקור'!D732</f>
        <v/>
      </c>
      <c r="G724" s="95">
        <f>'לקוחות לפי סוכן - מקור'!H732</f>
        <v/>
      </c>
      <c r="H724" s="95">
        <f>'לקוחות לפי סוכן - מקור'!I732</f>
        <v/>
      </c>
      <c r="I724" s="127">
        <f>'לקוחות לפי סוכן - מקור'!K732</f>
        <v/>
      </c>
    </row>
    <row r="725" outlineLevel="2" ht="15" customHeight="1" s="82">
      <c r="A725" s="94">
        <f>'לקוחות לפי סוכן - מקור'!A733</f>
        <v/>
      </c>
      <c r="B725" s="94">
        <f>'לקוחות לפי סוכן - מקור'!C733</f>
        <v/>
      </c>
      <c r="C725" s="94">
        <f>'לקוחות לפי סוכן - מקור'!E733</f>
        <v/>
      </c>
      <c r="D725" s="102">
        <f>'לקוחות לפי סוכן - מקור'!F733</f>
        <v/>
      </c>
      <c r="E725" s="102">
        <f>'לקוחות לפי סוכן - מקור'!G733</f>
        <v/>
      </c>
      <c r="F725" s="94">
        <f>'לקוחות לפי סוכן - מקור'!D733</f>
        <v/>
      </c>
      <c r="G725" s="95">
        <f>'לקוחות לפי סוכן - מקור'!H733</f>
        <v/>
      </c>
      <c r="H725" s="95">
        <f>'לקוחות לפי סוכן - מקור'!I733</f>
        <v/>
      </c>
      <c r="I725" s="127">
        <f>'לקוחות לפי סוכן - מקור'!K733</f>
        <v/>
      </c>
    </row>
    <row r="726" outlineLevel="2" ht="15" customHeight="1" s="82">
      <c r="A726" s="94">
        <f>'לקוחות לפי סוכן - מקור'!A734</f>
        <v/>
      </c>
      <c r="B726" s="94">
        <f>'לקוחות לפי סוכן - מקור'!C734</f>
        <v/>
      </c>
      <c r="C726" s="94">
        <f>'לקוחות לפי סוכן - מקור'!E734</f>
        <v/>
      </c>
      <c r="D726" s="102">
        <f>'לקוחות לפי סוכן - מקור'!F734</f>
        <v/>
      </c>
      <c r="E726" s="102">
        <f>'לקוחות לפי סוכן - מקור'!G734</f>
        <v/>
      </c>
      <c r="F726" s="94">
        <f>'לקוחות לפי סוכן - מקור'!D734</f>
        <v/>
      </c>
      <c r="G726" s="95">
        <f>'לקוחות לפי סוכן - מקור'!H734</f>
        <v/>
      </c>
      <c r="H726" s="95">
        <f>'לקוחות לפי סוכן - מקור'!I734</f>
        <v/>
      </c>
      <c r="I726" s="127">
        <f>'לקוחות לפי סוכן - מקור'!K734</f>
        <v/>
      </c>
    </row>
    <row r="727" outlineLevel="2" ht="15" customHeight="1" s="82">
      <c r="A727" s="94">
        <f>'לקוחות לפי סוכן - מקור'!A735</f>
        <v/>
      </c>
      <c r="B727" s="94">
        <f>'לקוחות לפי סוכן - מקור'!C735</f>
        <v/>
      </c>
      <c r="C727" s="94">
        <f>'לקוחות לפי סוכן - מקור'!E735</f>
        <v/>
      </c>
      <c r="D727" s="102">
        <f>'לקוחות לפי סוכן - מקור'!F735</f>
        <v/>
      </c>
      <c r="E727" s="102">
        <f>'לקוחות לפי סוכן - מקור'!G735</f>
        <v/>
      </c>
      <c r="F727" s="94">
        <f>'לקוחות לפי סוכן - מקור'!D735</f>
        <v/>
      </c>
      <c r="G727" s="95">
        <f>'לקוחות לפי סוכן - מקור'!H735</f>
        <v/>
      </c>
      <c r="H727" s="95">
        <f>'לקוחות לפי סוכן - מקור'!I735</f>
        <v/>
      </c>
      <c r="I727" s="127">
        <f>'לקוחות לפי סוכן - מקור'!K735</f>
        <v/>
      </c>
    </row>
    <row r="728" outlineLevel="2" ht="15" customHeight="1" s="82">
      <c r="A728" s="94">
        <f>'לקוחות לפי סוכן - מקור'!A736</f>
        <v/>
      </c>
      <c r="B728" s="94">
        <f>'לקוחות לפי סוכן - מקור'!C736</f>
        <v/>
      </c>
      <c r="C728" s="94">
        <f>'לקוחות לפי סוכן - מקור'!E736</f>
        <v/>
      </c>
      <c r="D728" s="102">
        <f>'לקוחות לפי סוכן - מקור'!F736</f>
        <v/>
      </c>
      <c r="E728" s="102">
        <f>'לקוחות לפי סוכן - מקור'!G736</f>
        <v/>
      </c>
      <c r="F728" s="94">
        <f>'לקוחות לפי סוכן - מקור'!D736</f>
        <v/>
      </c>
      <c r="G728" s="95">
        <f>'לקוחות לפי סוכן - מקור'!H736</f>
        <v/>
      </c>
      <c r="H728" s="95">
        <f>'לקוחות לפי סוכן - מקור'!I736</f>
        <v/>
      </c>
      <c r="I728" s="127">
        <f>'לקוחות לפי סוכן - מקור'!K736</f>
        <v/>
      </c>
    </row>
    <row r="729" outlineLevel="2" ht="15" customHeight="1" s="82">
      <c r="A729" s="94">
        <f>'לקוחות לפי סוכן - מקור'!A737</f>
        <v/>
      </c>
      <c r="B729" s="94">
        <f>'לקוחות לפי סוכן - מקור'!C737</f>
        <v/>
      </c>
      <c r="C729" s="94">
        <f>'לקוחות לפי סוכן - מקור'!E737</f>
        <v/>
      </c>
      <c r="D729" s="102">
        <f>'לקוחות לפי סוכן - מקור'!F737</f>
        <v/>
      </c>
      <c r="E729" s="102">
        <f>'לקוחות לפי סוכן - מקור'!G737</f>
        <v/>
      </c>
      <c r="F729" s="94">
        <f>'לקוחות לפי סוכן - מקור'!D737</f>
        <v/>
      </c>
      <c r="G729" s="95">
        <f>'לקוחות לפי סוכן - מקור'!H737</f>
        <v/>
      </c>
      <c r="H729" s="95">
        <f>'לקוחות לפי סוכן - מקור'!I737</f>
        <v/>
      </c>
      <c r="I729" s="127">
        <f>'לקוחות לפי סוכן - מקור'!K737</f>
        <v/>
      </c>
    </row>
    <row r="730" outlineLevel="2" ht="15" customHeight="1" s="82">
      <c r="A730" s="94">
        <f>'לקוחות לפי סוכן - מקור'!A738</f>
        <v/>
      </c>
      <c r="B730" s="94">
        <f>'לקוחות לפי סוכן - מקור'!C738</f>
        <v/>
      </c>
      <c r="C730" s="94">
        <f>'לקוחות לפי סוכן - מקור'!E738</f>
        <v/>
      </c>
      <c r="D730" s="102">
        <f>'לקוחות לפי סוכן - מקור'!F738</f>
        <v/>
      </c>
      <c r="E730" s="102">
        <f>'לקוחות לפי סוכן - מקור'!G738</f>
        <v/>
      </c>
      <c r="F730" s="94">
        <f>'לקוחות לפי סוכן - מקור'!D738</f>
        <v/>
      </c>
      <c r="G730" s="95">
        <f>'לקוחות לפי סוכן - מקור'!H738</f>
        <v/>
      </c>
      <c r="H730" s="95">
        <f>'לקוחות לפי סוכן - מקור'!I738</f>
        <v/>
      </c>
      <c r="I730" s="127">
        <f>'לקוחות לפי סוכן - מקור'!K738</f>
        <v/>
      </c>
    </row>
    <row r="731" outlineLevel="2" ht="15" customHeight="1" s="82">
      <c r="A731" s="94">
        <f>'לקוחות לפי סוכן - מקור'!A739</f>
        <v/>
      </c>
      <c r="B731" s="94">
        <f>'לקוחות לפי סוכן - מקור'!C739</f>
        <v/>
      </c>
      <c r="C731" s="94">
        <f>'לקוחות לפי סוכן - מקור'!E739</f>
        <v/>
      </c>
      <c r="D731" s="102">
        <f>'לקוחות לפי סוכן - מקור'!F739</f>
        <v/>
      </c>
      <c r="E731" s="102">
        <f>'לקוחות לפי סוכן - מקור'!G739</f>
        <v/>
      </c>
      <c r="F731" s="94">
        <f>'לקוחות לפי סוכן - מקור'!D739</f>
        <v/>
      </c>
      <c r="G731" s="95">
        <f>'לקוחות לפי סוכן - מקור'!H739</f>
        <v/>
      </c>
      <c r="H731" s="95">
        <f>'לקוחות לפי סוכן - מקור'!I739</f>
        <v/>
      </c>
      <c r="I731" s="127">
        <f>'לקוחות לפי סוכן - מקור'!K739</f>
        <v/>
      </c>
    </row>
    <row r="732" outlineLevel="2" ht="15" customHeight="1" s="82">
      <c r="A732" s="94">
        <f>'לקוחות לפי סוכן - מקור'!A740</f>
        <v/>
      </c>
      <c r="B732" s="94">
        <f>'לקוחות לפי סוכן - מקור'!C740</f>
        <v/>
      </c>
      <c r="C732" s="94">
        <f>'לקוחות לפי סוכן - מקור'!E740</f>
        <v/>
      </c>
      <c r="D732" s="102">
        <f>'לקוחות לפי סוכן - מקור'!F740</f>
        <v/>
      </c>
      <c r="E732" s="102">
        <f>'לקוחות לפי סוכן - מקור'!G740</f>
        <v/>
      </c>
      <c r="F732" s="94">
        <f>'לקוחות לפי סוכן - מקור'!D740</f>
        <v/>
      </c>
      <c r="G732" s="95">
        <f>'לקוחות לפי סוכן - מקור'!H740</f>
        <v/>
      </c>
      <c r="H732" s="95">
        <f>'לקוחות לפי סוכן - מקור'!I740</f>
        <v/>
      </c>
      <c r="I732" s="127">
        <f>'לקוחות לפי סוכן - מקור'!K740</f>
        <v/>
      </c>
    </row>
    <row r="733" outlineLevel="2" ht="15" customHeight="1" s="82">
      <c r="A733" s="94">
        <f>'לקוחות לפי סוכן - מקור'!A741</f>
        <v/>
      </c>
      <c r="B733" s="94">
        <f>'לקוחות לפי סוכן - מקור'!C741</f>
        <v/>
      </c>
      <c r="C733" s="94">
        <f>'לקוחות לפי סוכן - מקור'!E741</f>
        <v/>
      </c>
      <c r="D733" s="102">
        <f>'לקוחות לפי סוכן - מקור'!F741</f>
        <v/>
      </c>
      <c r="E733" s="102">
        <f>'לקוחות לפי סוכן - מקור'!G741</f>
        <v/>
      </c>
      <c r="F733" s="94">
        <f>'לקוחות לפי סוכן - מקור'!D741</f>
        <v/>
      </c>
      <c r="G733" s="95">
        <f>'לקוחות לפי סוכן - מקור'!H741</f>
        <v/>
      </c>
      <c r="H733" s="95">
        <f>'לקוחות לפי סוכן - מקור'!I741</f>
        <v/>
      </c>
      <c r="I733" s="127">
        <f>'לקוחות לפי סוכן - מקור'!K741</f>
        <v/>
      </c>
    </row>
    <row r="734" outlineLevel="2" ht="15" customHeight="1" s="82">
      <c r="A734" s="94">
        <f>'לקוחות לפי סוכן - מקור'!A742</f>
        <v/>
      </c>
      <c r="B734" s="94">
        <f>'לקוחות לפי סוכן - מקור'!C742</f>
        <v/>
      </c>
      <c r="C734" s="94">
        <f>'לקוחות לפי סוכן - מקור'!E742</f>
        <v/>
      </c>
      <c r="D734" s="102">
        <f>'לקוחות לפי סוכן - מקור'!F742</f>
        <v/>
      </c>
      <c r="E734" s="102">
        <f>'לקוחות לפי סוכן - מקור'!G742</f>
        <v/>
      </c>
      <c r="F734" s="94">
        <f>'לקוחות לפי סוכן - מקור'!D742</f>
        <v/>
      </c>
      <c r="G734" s="95">
        <f>'לקוחות לפי סוכן - מקור'!H742</f>
        <v/>
      </c>
      <c r="H734" s="95">
        <f>'לקוחות לפי סוכן - מקור'!I742</f>
        <v/>
      </c>
      <c r="I734" s="127">
        <f>'לקוחות לפי סוכן - מקור'!K742</f>
        <v/>
      </c>
    </row>
    <row r="735" outlineLevel="2" ht="15" customHeight="1" s="82">
      <c r="A735" s="94">
        <f>'לקוחות לפי סוכן - מקור'!A743</f>
        <v/>
      </c>
      <c r="B735" s="94">
        <f>'לקוחות לפי סוכן - מקור'!C743</f>
        <v/>
      </c>
      <c r="C735" s="94">
        <f>'לקוחות לפי סוכן - מקור'!E743</f>
        <v/>
      </c>
      <c r="D735" s="102">
        <f>'לקוחות לפי סוכן - מקור'!F743</f>
        <v/>
      </c>
      <c r="E735" s="102">
        <f>'לקוחות לפי סוכן - מקור'!G743</f>
        <v/>
      </c>
      <c r="F735" s="94">
        <f>'לקוחות לפי סוכן - מקור'!D743</f>
        <v/>
      </c>
      <c r="G735" s="95">
        <f>'לקוחות לפי סוכן - מקור'!H743</f>
        <v/>
      </c>
      <c r="H735" s="95">
        <f>'לקוחות לפי סוכן - מקור'!I743</f>
        <v/>
      </c>
      <c r="I735" s="127">
        <f>'לקוחות לפי סוכן - מקור'!K743</f>
        <v/>
      </c>
    </row>
    <row r="736" outlineLevel="2" ht="15" customHeight="1" s="82">
      <c r="A736" s="94">
        <f>'לקוחות לפי סוכן - מקור'!A744</f>
        <v/>
      </c>
      <c r="B736" s="94">
        <f>'לקוחות לפי סוכן - מקור'!C744</f>
        <v/>
      </c>
      <c r="C736" s="94">
        <f>'לקוחות לפי סוכן - מקור'!E744</f>
        <v/>
      </c>
      <c r="D736" s="102">
        <f>'לקוחות לפי סוכן - מקור'!F744</f>
        <v/>
      </c>
      <c r="E736" s="102">
        <f>'לקוחות לפי סוכן - מקור'!G744</f>
        <v/>
      </c>
      <c r="F736" s="94">
        <f>'לקוחות לפי סוכן - מקור'!D744</f>
        <v/>
      </c>
      <c r="G736" s="95">
        <f>'לקוחות לפי סוכן - מקור'!H744</f>
        <v/>
      </c>
      <c r="H736" s="95">
        <f>'לקוחות לפי סוכן - מקור'!I744</f>
        <v/>
      </c>
      <c r="I736" s="127">
        <f>'לקוחות לפי סוכן - מקור'!K744</f>
        <v/>
      </c>
    </row>
    <row r="737" outlineLevel="2" ht="15" customHeight="1" s="82">
      <c r="A737" s="94">
        <f>'לקוחות לפי סוכן - מקור'!A745</f>
        <v/>
      </c>
      <c r="B737" s="94">
        <f>'לקוחות לפי סוכן - מקור'!C745</f>
        <v/>
      </c>
      <c r="C737" s="94">
        <f>'לקוחות לפי סוכן - מקור'!E745</f>
        <v/>
      </c>
      <c r="D737" s="102">
        <f>'לקוחות לפי סוכן - מקור'!F745</f>
        <v/>
      </c>
      <c r="E737" s="102">
        <f>'לקוחות לפי סוכן - מקור'!G745</f>
        <v/>
      </c>
      <c r="F737" s="94">
        <f>'לקוחות לפי סוכן - מקור'!D745</f>
        <v/>
      </c>
      <c r="G737" s="95">
        <f>'לקוחות לפי סוכן - מקור'!H745</f>
        <v/>
      </c>
      <c r="H737" s="95">
        <f>'לקוחות לפי סוכן - מקור'!I745</f>
        <v/>
      </c>
      <c r="I737" s="127">
        <f>'לקוחות לפי סוכן - מקור'!K745</f>
        <v/>
      </c>
    </row>
    <row r="738" outlineLevel="2" ht="15" customHeight="1" s="82">
      <c r="A738" s="94">
        <f>'לקוחות לפי סוכן - מקור'!A746</f>
        <v/>
      </c>
      <c r="B738" s="94">
        <f>'לקוחות לפי סוכן - מקור'!C746</f>
        <v/>
      </c>
      <c r="C738" s="94">
        <f>'לקוחות לפי סוכן - מקור'!E746</f>
        <v/>
      </c>
      <c r="D738" s="102">
        <f>'לקוחות לפי סוכן - מקור'!F746</f>
        <v/>
      </c>
      <c r="E738" s="102">
        <f>'לקוחות לפי סוכן - מקור'!G746</f>
        <v/>
      </c>
      <c r="F738" s="94">
        <f>'לקוחות לפי סוכן - מקור'!D746</f>
        <v/>
      </c>
      <c r="G738" s="95">
        <f>'לקוחות לפי סוכן - מקור'!H746</f>
        <v/>
      </c>
      <c r="H738" s="95">
        <f>'לקוחות לפי סוכן - מקור'!I746</f>
        <v/>
      </c>
      <c r="I738" s="127">
        <f>'לקוחות לפי סוכן - מקור'!K746</f>
        <v/>
      </c>
    </row>
    <row r="739" outlineLevel="2" ht="15" customHeight="1" s="82">
      <c r="A739" s="94">
        <f>'לקוחות לפי סוכן - מקור'!A747</f>
        <v/>
      </c>
      <c r="B739" s="94">
        <f>'לקוחות לפי סוכן - מקור'!C747</f>
        <v/>
      </c>
      <c r="C739" s="94">
        <f>'לקוחות לפי סוכן - מקור'!E747</f>
        <v/>
      </c>
      <c r="D739" s="102">
        <f>'לקוחות לפי סוכן - מקור'!F747</f>
        <v/>
      </c>
      <c r="E739" s="102">
        <f>'לקוחות לפי סוכן - מקור'!G747</f>
        <v/>
      </c>
      <c r="F739" s="94">
        <f>'לקוחות לפי סוכן - מקור'!D747</f>
        <v/>
      </c>
      <c r="G739" s="95">
        <f>'לקוחות לפי סוכן - מקור'!H747</f>
        <v/>
      </c>
      <c r="H739" s="95">
        <f>'לקוחות לפי סוכן - מקור'!I747</f>
        <v/>
      </c>
      <c r="I739" s="127">
        <f>'לקוחות לפי סוכן - מקור'!K747</f>
        <v/>
      </c>
    </row>
    <row r="740" outlineLevel="2" ht="15" customHeight="1" s="82">
      <c r="A740" s="94">
        <f>'לקוחות לפי סוכן - מקור'!A748</f>
        <v/>
      </c>
      <c r="B740" s="94">
        <f>'לקוחות לפי סוכן - מקור'!C748</f>
        <v/>
      </c>
      <c r="C740" s="94">
        <f>'לקוחות לפי סוכן - מקור'!E748</f>
        <v/>
      </c>
      <c r="D740" s="102">
        <f>'לקוחות לפי סוכן - מקור'!F748</f>
        <v/>
      </c>
      <c r="E740" s="102">
        <f>'לקוחות לפי סוכן - מקור'!G748</f>
        <v/>
      </c>
      <c r="F740" s="94">
        <f>'לקוחות לפי סוכן - מקור'!D748</f>
        <v/>
      </c>
      <c r="G740" s="95">
        <f>'לקוחות לפי סוכן - מקור'!H748</f>
        <v/>
      </c>
      <c r="H740" s="95">
        <f>'לקוחות לפי סוכן - מקור'!I748</f>
        <v/>
      </c>
      <c r="I740" s="127">
        <f>'לקוחות לפי סוכן - מקור'!K748</f>
        <v/>
      </c>
    </row>
    <row r="741" outlineLevel="2" ht="15" customHeight="1" s="82">
      <c r="A741" s="94">
        <f>'לקוחות לפי סוכן - מקור'!A749</f>
        <v/>
      </c>
      <c r="B741" s="94">
        <f>'לקוחות לפי סוכן - מקור'!C749</f>
        <v/>
      </c>
      <c r="C741" s="94">
        <f>'לקוחות לפי סוכן - מקור'!E749</f>
        <v/>
      </c>
      <c r="D741" s="102">
        <f>'לקוחות לפי סוכן - מקור'!F749</f>
        <v/>
      </c>
      <c r="E741" s="102">
        <f>'לקוחות לפי סוכן - מקור'!G749</f>
        <v/>
      </c>
      <c r="F741" s="94">
        <f>'לקוחות לפי סוכן - מקור'!D749</f>
        <v/>
      </c>
      <c r="G741" s="95">
        <f>'לקוחות לפי סוכן - מקור'!H749</f>
        <v/>
      </c>
      <c r="H741" s="95">
        <f>'לקוחות לפי סוכן - מקור'!I749</f>
        <v/>
      </c>
      <c r="I741" s="127">
        <f>'לקוחות לפי סוכן - מקור'!K749</f>
        <v/>
      </c>
    </row>
    <row r="742" outlineLevel="2" ht="15" customHeight="1" s="82">
      <c r="A742" s="94">
        <f>'לקוחות לפי סוכן - מקור'!A750</f>
        <v/>
      </c>
      <c r="B742" s="94">
        <f>'לקוחות לפי סוכן - מקור'!C750</f>
        <v/>
      </c>
      <c r="C742" s="94">
        <f>'לקוחות לפי סוכן - מקור'!E750</f>
        <v/>
      </c>
      <c r="D742" s="102">
        <f>'לקוחות לפי סוכן - מקור'!F750</f>
        <v/>
      </c>
      <c r="E742" s="102">
        <f>'לקוחות לפי סוכן - מקור'!G750</f>
        <v/>
      </c>
      <c r="F742" s="94">
        <f>'לקוחות לפי סוכן - מקור'!D750</f>
        <v/>
      </c>
      <c r="G742" s="95">
        <f>'לקוחות לפי סוכן - מקור'!H750</f>
        <v/>
      </c>
      <c r="H742" s="95">
        <f>'לקוחות לפי סוכן - מקור'!I750</f>
        <v/>
      </c>
      <c r="I742" s="127">
        <f>'לקוחות לפי סוכן - מקור'!K750</f>
        <v/>
      </c>
    </row>
    <row r="743" outlineLevel="2" ht="15" customHeight="1" s="82">
      <c r="A743" s="94">
        <f>'לקוחות לפי סוכן - מקור'!A751</f>
        <v/>
      </c>
      <c r="B743" s="94">
        <f>'לקוחות לפי סוכן - מקור'!C751</f>
        <v/>
      </c>
      <c r="C743" s="94">
        <f>'לקוחות לפי סוכן - מקור'!E751</f>
        <v/>
      </c>
      <c r="D743" s="102">
        <f>'לקוחות לפי סוכן - מקור'!F751</f>
        <v/>
      </c>
      <c r="E743" s="102">
        <f>'לקוחות לפי סוכן - מקור'!G751</f>
        <v/>
      </c>
      <c r="F743" s="94">
        <f>'לקוחות לפי סוכן - מקור'!D751</f>
        <v/>
      </c>
      <c r="G743" s="95">
        <f>'לקוחות לפי סוכן - מקור'!H751</f>
        <v/>
      </c>
      <c r="H743" s="95">
        <f>'לקוחות לפי סוכן - מקור'!I751</f>
        <v/>
      </c>
      <c r="I743" s="127">
        <f>'לקוחות לפי סוכן - מקור'!K751</f>
        <v/>
      </c>
    </row>
    <row r="744" outlineLevel="2" ht="15" customHeight="1" s="82">
      <c r="A744" s="94">
        <f>'לקוחות לפי סוכן - מקור'!A752</f>
        <v/>
      </c>
      <c r="B744" s="94">
        <f>'לקוחות לפי סוכן - מקור'!C752</f>
        <v/>
      </c>
      <c r="C744" s="94">
        <f>'לקוחות לפי סוכן - מקור'!E752</f>
        <v/>
      </c>
      <c r="D744" s="102">
        <f>'לקוחות לפי סוכן - מקור'!F752</f>
        <v/>
      </c>
      <c r="E744" s="102">
        <f>'לקוחות לפי סוכן - מקור'!G752</f>
        <v/>
      </c>
      <c r="F744" s="94">
        <f>'לקוחות לפי סוכן - מקור'!D752</f>
        <v/>
      </c>
      <c r="G744" s="95">
        <f>'לקוחות לפי סוכן - מקור'!H752</f>
        <v/>
      </c>
      <c r="H744" s="95">
        <f>'לקוחות לפי סוכן - מקור'!I752</f>
        <v/>
      </c>
      <c r="I744" s="127">
        <f>'לקוחות לפי סוכן - מקור'!K752</f>
        <v/>
      </c>
    </row>
    <row r="745" outlineLevel="2" ht="15" customHeight="1" s="82">
      <c r="A745" s="94">
        <f>'לקוחות לפי סוכן - מקור'!A753</f>
        <v/>
      </c>
      <c r="B745" s="94">
        <f>'לקוחות לפי סוכן - מקור'!C753</f>
        <v/>
      </c>
      <c r="C745" s="94">
        <f>'לקוחות לפי סוכן - מקור'!E753</f>
        <v/>
      </c>
      <c r="D745" s="102">
        <f>'לקוחות לפי סוכן - מקור'!F753</f>
        <v/>
      </c>
      <c r="E745" s="102">
        <f>'לקוחות לפי סוכן - מקור'!G753</f>
        <v/>
      </c>
      <c r="F745" s="94">
        <f>'לקוחות לפי סוכן - מקור'!D753</f>
        <v/>
      </c>
      <c r="G745" s="95">
        <f>'לקוחות לפי סוכן - מקור'!H753</f>
        <v/>
      </c>
      <c r="H745" s="95">
        <f>'לקוחות לפי סוכן - מקור'!I753</f>
        <v/>
      </c>
      <c r="I745" s="127">
        <f>'לקוחות לפי סוכן - מקור'!K753</f>
        <v/>
      </c>
    </row>
    <row r="746" outlineLevel="2" ht="15" customHeight="1" s="82">
      <c r="A746" s="94">
        <f>'לקוחות לפי סוכן - מקור'!A754</f>
        <v/>
      </c>
      <c r="B746" s="94">
        <f>'לקוחות לפי סוכן - מקור'!C754</f>
        <v/>
      </c>
      <c r="C746" s="94">
        <f>'לקוחות לפי סוכן - מקור'!E754</f>
        <v/>
      </c>
      <c r="D746" s="102">
        <f>'לקוחות לפי סוכן - מקור'!F754</f>
        <v/>
      </c>
      <c r="E746" s="102">
        <f>'לקוחות לפי סוכן - מקור'!G754</f>
        <v/>
      </c>
      <c r="F746" s="94">
        <f>'לקוחות לפי סוכן - מקור'!D754</f>
        <v/>
      </c>
      <c r="G746" s="95">
        <f>'לקוחות לפי סוכן - מקור'!H754</f>
        <v/>
      </c>
      <c r="H746" s="95">
        <f>'לקוחות לפי סוכן - מקור'!I754</f>
        <v/>
      </c>
      <c r="I746" s="127">
        <f>'לקוחות לפי סוכן - מקור'!K754</f>
        <v/>
      </c>
    </row>
    <row r="747" outlineLevel="2" ht="15" customHeight="1" s="82">
      <c r="A747" s="94">
        <f>'לקוחות לפי סוכן - מקור'!A755</f>
        <v/>
      </c>
      <c r="B747" s="94">
        <f>'לקוחות לפי סוכן - מקור'!C755</f>
        <v/>
      </c>
      <c r="C747" s="94">
        <f>'לקוחות לפי סוכן - מקור'!E755</f>
        <v/>
      </c>
      <c r="D747" s="102">
        <f>'לקוחות לפי סוכן - מקור'!F755</f>
        <v/>
      </c>
      <c r="E747" s="102">
        <f>'לקוחות לפי סוכן - מקור'!G755</f>
        <v/>
      </c>
      <c r="F747" s="94">
        <f>'לקוחות לפי סוכן - מקור'!D755</f>
        <v/>
      </c>
      <c r="G747" s="95">
        <f>'לקוחות לפי סוכן - מקור'!H755</f>
        <v/>
      </c>
      <c r="H747" s="95">
        <f>'לקוחות לפי סוכן - מקור'!I755</f>
        <v/>
      </c>
      <c r="I747" s="127">
        <f>'לקוחות לפי סוכן - מקור'!K755</f>
        <v/>
      </c>
    </row>
    <row r="748" outlineLevel="2" ht="15" customHeight="1" s="82">
      <c r="A748" s="94">
        <f>'לקוחות לפי סוכן - מקור'!A756</f>
        <v/>
      </c>
      <c r="B748" s="94">
        <f>'לקוחות לפי סוכן - מקור'!C756</f>
        <v/>
      </c>
      <c r="C748" s="94">
        <f>'לקוחות לפי סוכן - מקור'!E756</f>
        <v/>
      </c>
      <c r="D748" s="102">
        <f>'לקוחות לפי סוכן - מקור'!F756</f>
        <v/>
      </c>
      <c r="E748" s="102">
        <f>'לקוחות לפי סוכן - מקור'!G756</f>
        <v/>
      </c>
      <c r="F748" s="94">
        <f>'לקוחות לפי סוכן - מקור'!D756</f>
        <v/>
      </c>
      <c r="G748" s="95">
        <f>'לקוחות לפי סוכן - מקור'!H756</f>
        <v/>
      </c>
      <c r="H748" s="95">
        <f>'לקוחות לפי סוכן - מקור'!I756</f>
        <v/>
      </c>
      <c r="I748" s="127">
        <f>'לקוחות לפי סוכן - מקור'!K756</f>
        <v/>
      </c>
    </row>
    <row r="749" outlineLevel="2" ht="15" customHeight="1" s="82">
      <c r="A749" s="94">
        <f>'לקוחות לפי סוכן - מקור'!A757</f>
        <v/>
      </c>
      <c r="B749" s="94">
        <f>'לקוחות לפי סוכן - מקור'!C757</f>
        <v/>
      </c>
      <c r="C749" s="94">
        <f>'לקוחות לפי סוכן - מקור'!E757</f>
        <v/>
      </c>
      <c r="D749" s="102">
        <f>'לקוחות לפי סוכן - מקור'!F757</f>
        <v/>
      </c>
      <c r="E749" s="102">
        <f>'לקוחות לפי סוכן - מקור'!G757</f>
        <v/>
      </c>
      <c r="F749" s="94">
        <f>'לקוחות לפי סוכן - מקור'!D757</f>
        <v/>
      </c>
      <c r="G749" s="95">
        <f>'לקוחות לפי סוכן - מקור'!H757</f>
        <v/>
      </c>
      <c r="H749" s="95">
        <f>'לקוחות לפי סוכן - מקור'!I757</f>
        <v/>
      </c>
      <c r="I749" s="127">
        <f>'לקוחות לפי סוכן - מקור'!K757</f>
        <v/>
      </c>
    </row>
    <row r="750" outlineLevel="2" ht="15" customHeight="1" s="82">
      <c r="A750" s="94">
        <f>'לקוחות לפי סוכן - מקור'!A758</f>
        <v/>
      </c>
      <c r="B750" s="94">
        <f>'לקוחות לפי סוכן - מקור'!C758</f>
        <v/>
      </c>
      <c r="C750" s="94">
        <f>'לקוחות לפי סוכן - מקור'!E758</f>
        <v/>
      </c>
      <c r="D750" s="102">
        <f>'לקוחות לפי סוכן - מקור'!F758</f>
        <v/>
      </c>
      <c r="E750" s="102">
        <f>'לקוחות לפי סוכן - מקור'!G758</f>
        <v/>
      </c>
      <c r="F750" s="94">
        <f>'לקוחות לפי סוכן - מקור'!D758</f>
        <v/>
      </c>
      <c r="G750" s="95">
        <f>'לקוחות לפי סוכן - מקור'!H758</f>
        <v/>
      </c>
      <c r="H750" s="95">
        <f>'לקוחות לפי סוכן - מקור'!I758</f>
        <v/>
      </c>
      <c r="I750" s="127">
        <f>'לקוחות לפי סוכן - מקור'!K758</f>
        <v/>
      </c>
    </row>
    <row r="751" outlineLevel="2" ht="15" customHeight="1" s="82">
      <c r="A751" s="94">
        <f>'לקוחות לפי סוכן - מקור'!A759</f>
        <v/>
      </c>
      <c r="B751" s="94">
        <f>'לקוחות לפי סוכן - מקור'!C759</f>
        <v/>
      </c>
      <c r="C751" s="94">
        <f>'לקוחות לפי סוכן - מקור'!E759</f>
        <v/>
      </c>
      <c r="D751" s="102">
        <f>'לקוחות לפי סוכן - מקור'!F759</f>
        <v/>
      </c>
      <c r="E751" s="102">
        <f>'לקוחות לפי סוכן - מקור'!G759</f>
        <v/>
      </c>
      <c r="F751" s="94">
        <f>'לקוחות לפי סוכן - מקור'!D759</f>
        <v/>
      </c>
      <c r="G751" s="95">
        <f>'לקוחות לפי סוכן - מקור'!H759</f>
        <v/>
      </c>
      <c r="H751" s="95">
        <f>'לקוחות לפי סוכן - מקור'!I759</f>
        <v/>
      </c>
      <c r="I751" s="127">
        <f>'לקוחות לפי סוכן - מקור'!K759</f>
        <v/>
      </c>
    </row>
    <row r="752" outlineLevel="2" ht="15" customHeight="1" s="82">
      <c r="A752" s="94">
        <f>'לקוחות לפי סוכן - מקור'!A760</f>
        <v/>
      </c>
      <c r="B752" s="94">
        <f>'לקוחות לפי סוכן - מקור'!C760</f>
        <v/>
      </c>
      <c r="C752" s="94">
        <f>'לקוחות לפי סוכן - מקור'!E760</f>
        <v/>
      </c>
      <c r="D752" s="102">
        <f>'לקוחות לפי סוכן - מקור'!F760</f>
        <v/>
      </c>
      <c r="E752" s="102">
        <f>'לקוחות לפי סוכן - מקור'!G760</f>
        <v/>
      </c>
      <c r="F752" s="94">
        <f>'לקוחות לפי סוכן - מקור'!D760</f>
        <v/>
      </c>
      <c r="G752" s="95">
        <f>'לקוחות לפי סוכן - מקור'!H760</f>
        <v/>
      </c>
      <c r="H752" s="95">
        <f>'לקוחות לפי סוכן - מקור'!I760</f>
        <v/>
      </c>
      <c r="I752" s="127">
        <f>'לקוחות לפי סוכן - מקור'!K760</f>
        <v/>
      </c>
    </row>
    <row r="753" outlineLevel="2" ht="15" customHeight="1" s="82">
      <c r="A753" s="94">
        <f>'לקוחות לפי סוכן - מקור'!A761</f>
        <v/>
      </c>
      <c r="B753" s="94">
        <f>'לקוחות לפי סוכן - מקור'!C761</f>
        <v/>
      </c>
      <c r="C753" s="94">
        <f>'לקוחות לפי סוכן - מקור'!E761</f>
        <v/>
      </c>
      <c r="D753" s="102">
        <f>'לקוחות לפי סוכן - מקור'!F761</f>
        <v/>
      </c>
      <c r="E753" s="102">
        <f>'לקוחות לפי סוכן - מקור'!G761</f>
        <v/>
      </c>
      <c r="F753" s="94">
        <f>'לקוחות לפי סוכן - מקור'!D761</f>
        <v/>
      </c>
      <c r="G753" s="95">
        <f>'לקוחות לפי סוכן - מקור'!H761</f>
        <v/>
      </c>
      <c r="H753" s="95">
        <f>'לקוחות לפי סוכן - מקור'!I761</f>
        <v/>
      </c>
      <c r="I753" s="127">
        <f>'לקוחות לפי סוכן - מקור'!K761</f>
        <v/>
      </c>
    </row>
    <row r="754" outlineLevel="2" ht="15" customHeight="1" s="82">
      <c r="A754" s="94">
        <f>'לקוחות לפי סוכן - מקור'!A762</f>
        <v/>
      </c>
      <c r="B754" s="94">
        <f>'לקוחות לפי סוכן - מקור'!C762</f>
        <v/>
      </c>
      <c r="C754" s="94">
        <f>'לקוחות לפי סוכן - מקור'!E762</f>
        <v/>
      </c>
      <c r="D754" s="102">
        <f>'לקוחות לפי סוכן - מקור'!F762</f>
        <v/>
      </c>
      <c r="E754" s="102">
        <f>'לקוחות לפי סוכן - מקור'!G762</f>
        <v/>
      </c>
      <c r="F754" s="94">
        <f>'לקוחות לפי סוכן - מקור'!D762</f>
        <v/>
      </c>
      <c r="G754" s="95">
        <f>'לקוחות לפי סוכן - מקור'!H762</f>
        <v/>
      </c>
      <c r="H754" s="95">
        <f>'לקוחות לפי סוכן - מקור'!I762</f>
        <v/>
      </c>
      <c r="I754" s="127">
        <f>'לקוחות לפי סוכן - מקור'!K762</f>
        <v/>
      </c>
    </row>
    <row r="755" outlineLevel="2" ht="15" customHeight="1" s="82">
      <c r="A755" s="94">
        <f>'לקוחות לפי סוכן - מקור'!A763</f>
        <v/>
      </c>
      <c r="B755" s="94">
        <f>'לקוחות לפי סוכן - מקור'!C763</f>
        <v/>
      </c>
      <c r="C755" s="94">
        <f>'לקוחות לפי סוכן - מקור'!E763</f>
        <v/>
      </c>
      <c r="D755" s="102">
        <f>'לקוחות לפי סוכן - מקור'!F763</f>
        <v/>
      </c>
      <c r="E755" s="102">
        <f>'לקוחות לפי סוכן - מקור'!G763</f>
        <v/>
      </c>
      <c r="F755" s="94">
        <f>'לקוחות לפי סוכן - מקור'!D763</f>
        <v/>
      </c>
      <c r="G755" s="95">
        <f>'לקוחות לפי סוכן - מקור'!H763</f>
        <v/>
      </c>
      <c r="H755" s="95">
        <f>'לקוחות לפי סוכן - מקור'!I763</f>
        <v/>
      </c>
      <c r="I755" s="127">
        <f>'לקוחות לפי סוכן - מקור'!K763</f>
        <v/>
      </c>
    </row>
    <row r="756" outlineLevel="2" ht="15" customHeight="1" s="82">
      <c r="A756" s="94">
        <f>'לקוחות לפי סוכן - מקור'!A764</f>
        <v/>
      </c>
      <c r="B756" s="94">
        <f>'לקוחות לפי סוכן - מקור'!C764</f>
        <v/>
      </c>
      <c r="C756" s="94">
        <f>'לקוחות לפי סוכן - מקור'!E764</f>
        <v/>
      </c>
      <c r="D756" s="102">
        <f>'לקוחות לפי סוכן - מקור'!F764</f>
        <v/>
      </c>
      <c r="E756" s="102">
        <f>'לקוחות לפי סוכן - מקור'!G764</f>
        <v/>
      </c>
      <c r="F756" s="94">
        <f>'לקוחות לפי סוכן - מקור'!D764</f>
        <v/>
      </c>
      <c r="G756" s="95">
        <f>'לקוחות לפי סוכן - מקור'!H764</f>
        <v/>
      </c>
      <c r="H756" s="95">
        <f>'לקוחות לפי סוכן - מקור'!I764</f>
        <v/>
      </c>
      <c r="I756" s="127">
        <f>'לקוחות לפי סוכן - מקור'!K764</f>
        <v/>
      </c>
    </row>
    <row r="757" outlineLevel="2" ht="15" customHeight="1" s="82">
      <c r="A757" s="94">
        <f>'לקוחות לפי סוכן - מקור'!A765</f>
        <v/>
      </c>
      <c r="B757" s="94">
        <f>'לקוחות לפי סוכן - מקור'!C765</f>
        <v/>
      </c>
      <c r="C757" s="94">
        <f>'לקוחות לפי סוכן - מקור'!E765</f>
        <v/>
      </c>
      <c r="D757" s="102">
        <f>'לקוחות לפי סוכן - מקור'!F765</f>
        <v/>
      </c>
      <c r="E757" s="102">
        <f>'לקוחות לפי סוכן - מקור'!G765</f>
        <v/>
      </c>
      <c r="F757" s="94">
        <f>'לקוחות לפי סוכן - מקור'!D765</f>
        <v/>
      </c>
      <c r="G757" s="95">
        <f>'לקוחות לפי סוכן - מקור'!H765</f>
        <v/>
      </c>
      <c r="H757" s="95">
        <f>'לקוחות לפי סוכן - מקור'!I765</f>
        <v/>
      </c>
      <c r="I757" s="127">
        <f>'לקוחות לפי סוכן - מקור'!K765</f>
        <v/>
      </c>
    </row>
    <row r="758" outlineLevel="2" ht="15" customHeight="1" s="82">
      <c r="A758" s="94">
        <f>'לקוחות לפי סוכן - מקור'!A766</f>
        <v/>
      </c>
      <c r="B758" s="94">
        <f>'לקוחות לפי סוכן - מקור'!C766</f>
        <v/>
      </c>
      <c r="C758" s="94">
        <f>'לקוחות לפי סוכן - מקור'!E766</f>
        <v/>
      </c>
      <c r="D758" s="102">
        <f>'לקוחות לפי סוכן - מקור'!F766</f>
        <v/>
      </c>
      <c r="E758" s="102">
        <f>'לקוחות לפי סוכן - מקור'!G766</f>
        <v/>
      </c>
      <c r="F758" s="94">
        <f>'לקוחות לפי סוכן - מקור'!D766</f>
        <v/>
      </c>
      <c r="G758" s="95">
        <f>'לקוחות לפי סוכן - מקור'!H766</f>
        <v/>
      </c>
      <c r="H758" s="95">
        <f>'לקוחות לפי סוכן - מקור'!I766</f>
        <v/>
      </c>
      <c r="I758" s="127">
        <f>'לקוחות לפי סוכן - מקור'!K766</f>
        <v/>
      </c>
    </row>
    <row r="759" outlineLevel="2" ht="15" customHeight="1" s="82">
      <c r="A759" s="94">
        <f>'לקוחות לפי סוכן - מקור'!A767</f>
        <v/>
      </c>
      <c r="B759" s="94">
        <f>'לקוחות לפי סוכן - מקור'!C767</f>
        <v/>
      </c>
      <c r="C759" s="94">
        <f>'לקוחות לפי סוכן - מקור'!E767</f>
        <v/>
      </c>
      <c r="D759" s="102">
        <f>'לקוחות לפי סוכן - מקור'!F767</f>
        <v/>
      </c>
      <c r="E759" s="102">
        <f>'לקוחות לפי סוכן - מקור'!G767</f>
        <v/>
      </c>
      <c r="F759" s="94">
        <f>'לקוחות לפי סוכן - מקור'!D767</f>
        <v/>
      </c>
      <c r="G759" s="95">
        <f>'לקוחות לפי סוכן - מקור'!H767</f>
        <v/>
      </c>
      <c r="H759" s="95">
        <f>'לקוחות לפי סוכן - מקור'!I767</f>
        <v/>
      </c>
      <c r="I759" s="127">
        <f>'לקוחות לפי סוכן - מקור'!K767</f>
        <v/>
      </c>
    </row>
    <row r="760" outlineLevel="2" ht="15" customHeight="1" s="82">
      <c r="A760" s="94">
        <f>'לקוחות לפי סוכן - מקור'!A768</f>
        <v/>
      </c>
      <c r="B760" s="94">
        <f>'לקוחות לפי סוכן - מקור'!C768</f>
        <v/>
      </c>
      <c r="C760" s="94">
        <f>'לקוחות לפי סוכן - מקור'!E768</f>
        <v/>
      </c>
      <c r="D760" s="102">
        <f>'לקוחות לפי סוכן - מקור'!F768</f>
        <v/>
      </c>
      <c r="E760" s="102">
        <f>'לקוחות לפי סוכן - מקור'!G768</f>
        <v/>
      </c>
      <c r="F760" s="94">
        <f>'לקוחות לפי סוכן - מקור'!D768</f>
        <v/>
      </c>
      <c r="G760" s="95">
        <f>'לקוחות לפי סוכן - מקור'!H768</f>
        <v/>
      </c>
      <c r="H760" s="95">
        <f>'לקוחות לפי סוכן - מקור'!I768</f>
        <v/>
      </c>
      <c r="I760" s="127">
        <f>'לקוחות לפי סוכן - מקור'!K768</f>
        <v/>
      </c>
    </row>
    <row r="761" outlineLevel="2" ht="15" customHeight="1" s="82">
      <c r="A761" s="94">
        <f>'לקוחות לפי סוכן - מקור'!A769</f>
        <v/>
      </c>
      <c r="B761" s="94">
        <f>'לקוחות לפי סוכן - מקור'!C769</f>
        <v/>
      </c>
      <c r="C761" s="94">
        <f>'לקוחות לפי סוכן - מקור'!E769</f>
        <v/>
      </c>
      <c r="D761" s="102">
        <f>'לקוחות לפי סוכן - מקור'!F769</f>
        <v/>
      </c>
      <c r="E761" s="102">
        <f>'לקוחות לפי סוכן - מקור'!G769</f>
        <v/>
      </c>
      <c r="F761" s="94">
        <f>'לקוחות לפי סוכן - מקור'!D769</f>
        <v/>
      </c>
      <c r="G761" s="95">
        <f>'לקוחות לפי סוכן - מקור'!H769</f>
        <v/>
      </c>
      <c r="H761" s="95">
        <f>'לקוחות לפי סוכן - מקור'!I769</f>
        <v/>
      </c>
      <c r="I761" s="127">
        <f>'לקוחות לפי סוכן - מקור'!K769</f>
        <v/>
      </c>
    </row>
    <row r="762" outlineLevel="2" ht="15" customHeight="1" s="82">
      <c r="A762" s="94">
        <f>'לקוחות לפי סוכן - מקור'!A770</f>
        <v/>
      </c>
      <c r="B762" s="94">
        <f>'לקוחות לפי סוכן - מקור'!C770</f>
        <v/>
      </c>
      <c r="C762" s="94">
        <f>'לקוחות לפי סוכן - מקור'!E770</f>
        <v/>
      </c>
      <c r="D762" s="102">
        <f>'לקוחות לפי סוכן - מקור'!F770</f>
        <v/>
      </c>
      <c r="E762" s="102">
        <f>'לקוחות לפי סוכן - מקור'!G770</f>
        <v/>
      </c>
      <c r="F762" s="94">
        <f>'לקוחות לפי סוכן - מקור'!D770</f>
        <v/>
      </c>
      <c r="G762" s="95">
        <f>'לקוחות לפי סוכן - מקור'!H770</f>
        <v/>
      </c>
      <c r="H762" s="95">
        <f>'לקוחות לפי סוכן - מקור'!I770</f>
        <v/>
      </c>
      <c r="I762" s="127">
        <f>'לקוחות לפי סוכן - מקור'!K770</f>
        <v/>
      </c>
    </row>
    <row r="763" outlineLevel="2" ht="15" customHeight="1" s="82">
      <c r="A763" s="94">
        <f>'לקוחות לפי סוכן - מקור'!A771</f>
        <v/>
      </c>
      <c r="B763" s="94">
        <f>'לקוחות לפי סוכן - מקור'!C771</f>
        <v/>
      </c>
      <c r="C763" s="94">
        <f>'לקוחות לפי סוכן - מקור'!E771</f>
        <v/>
      </c>
      <c r="D763" s="102">
        <f>'לקוחות לפי סוכן - מקור'!F771</f>
        <v/>
      </c>
      <c r="E763" s="102">
        <f>'לקוחות לפי סוכן - מקור'!G771</f>
        <v/>
      </c>
      <c r="F763" s="94">
        <f>'לקוחות לפי סוכן - מקור'!D771</f>
        <v/>
      </c>
      <c r="G763" s="95">
        <f>'לקוחות לפי סוכן - מקור'!H771</f>
        <v/>
      </c>
      <c r="H763" s="95">
        <f>'לקוחות לפי סוכן - מקור'!I771</f>
        <v/>
      </c>
      <c r="I763" s="127">
        <f>'לקוחות לפי סוכן - מקור'!K771</f>
        <v/>
      </c>
    </row>
    <row r="764" outlineLevel="2" ht="15" customHeight="1" s="82">
      <c r="A764" s="94">
        <f>'לקוחות לפי סוכן - מקור'!A772</f>
        <v/>
      </c>
      <c r="B764" s="94">
        <f>'לקוחות לפי סוכן - מקור'!C772</f>
        <v/>
      </c>
      <c r="C764" s="94">
        <f>'לקוחות לפי סוכן - מקור'!E772</f>
        <v/>
      </c>
      <c r="D764" s="102">
        <f>'לקוחות לפי סוכן - מקור'!F772</f>
        <v/>
      </c>
      <c r="E764" s="102">
        <f>'לקוחות לפי סוכן - מקור'!G772</f>
        <v/>
      </c>
      <c r="F764" s="94">
        <f>'לקוחות לפי סוכן - מקור'!D772</f>
        <v/>
      </c>
      <c r="G764" s="95">
        <f>'לקוחות לפי סוכן - מקור'!H772</f>
        <v/>
      </c>
      <c r="H764" s="95">
        <f>'לקוחות לפי סוכן - מקור'!I772</f>
        <v/>
      </c>
      <c r="I764" s="127">
        <f>'לקוחות לפי סוכן - מקור'!K772</f>
        <v/>
      </c>
    </row>
    <row r="765" outlineLevel="2" ht="15" customHeight="1" s="82">
      <c r="A765" s="94">
        <f>'לקוחות לפי סוכן - מקור'!A773</f>
        <v/>
      </c>
      <c r="B765" s="94">
        <f>'לקוחות לפי סוכן - מקור'!C773</f>
        <v/>
      </c>
      <c r="C765" s="94">
        <f>'לקוחות לפי סוכן - מקור'!E773</f>
        <v/>
      </c>
      <c r="D765" s="102">
        <f>'לקוחות לפי סוכן - מקור'!F773</f>
        <v/>
      </c>
      <c r="E765" s="102">
        <f>'לקוחות לפי סוכן - מקור'!G773</f>
        <v/>
      </c>
      <c r="F765" s="94">
        <f>'לקוחות לפי סוכן - מקור'!D773</f>
        <v/>
      </c>
      <c r="G765" s="95">
        <f>'לקוחות לפי סוכן - מקור'!H773</f>
        <v/>
      </c>
      <c r="H765" s="95">
        <f>'לקוחות לפי סוכן - מקור'!I773</f>
        <v/>
      </c>
      <c r="I765" s="127">
        <f>'לקוחות לפי סוכן - מקור'!K773</f>
        <v/>
      </c>
    </row>
    <row r="766" outlineLevel="2" ht="15" customHeight="1" s="82">
      <c r="A766" s="94">
        <f>'לקוחות לפי סוכן - מקור'!A774</f>
        <v/>
      </c>
      <c r="B766" s="94">
        <f>'לקוחות לפי סוכן - מקור'!C774</f>
        <v/>
      </c>
      <c r="C766" s="94">
        <f>'לקוחות לפי סוכן - מקור'!E774</f>
        <v/>
      </c>
      <c r="D766" s="102">
        <f>'לקוחות לפי סוכן - מקור'!F774</f>
        <v/>
      </c>
      <c r="E766" s="102">
        <f>'לקוחות לפי סוכן - מקור'!G774</f>
        <v/>
      </c>
      <c r="F766" s="94">
        <f>'לקוחות לפי סוכן - מקור'!D774</f>
        <v/>
      </c>
      <c r="G766" s="95">
        <f>'לקוחות לפי סוכן - מקור'!H774</f>
        <v/>
      </c>
      <c r="H766" s="95">
        <f>'לקוחות לפי סוכן - מקור'!I774</f>
        <v/>
      </c>
      <c r="I766" s="127">
        <f>'לקוחות לפי סוכן - מקור'!K774</f>
        <v/>
      </c>
    </row>
    <row r="767" outlineLevel="2" ht="15" customHeight="1" s="82">
      <c r="A767" s="94">
        <f>'לקוחות לפי סוכן - מקור'!A775</f>
        <v/>
      </c>
      <c r="B767" s="94">
        <f>'לקוחות לפי סוכן - מקור'!C775</f>
        <v/>
      </c>
      <c r="C767" s="94">
        <f>'לקוחות לפי סוכן - מקור'!E775</f>
        <v/>
      </c>
      <c r="D767" s="102">
        <f>'לקוחות לפי סוכן - מקור'!F775</f>
        <v/>
      </c>
      <c r="E767" s="102">
        <f>'לקוחות לפי סוכן - מקור'!G775</f>
        <v/>
      </c>
      <c r="F767" s="94">
        <f>'לקוחות לפי סוכן - מקור'!D775</f>
        <v/>
      </c>
      <c r="G767" s="95">
        <f>'לקוחות לפי סוכן - מקור'!H775</f>
        <v/>
      </c>
      <c r="H767" s="95">
        <f>'לקוחות לפי סוכן - מקור'!I775</f>
        <v/>
      </c>
      <c r="I767" s="127">
        <f>'לקוחות לפי סוכן - מקור'!K775</f>
        <v/>
      </c>
    </row>
    <row r="768" outlineLevel="2" ht="15" customHeight="1" s="82">
      <c r="A768" s="94">
        <f>'לקוחות לפי סוכן - מקור'!A776</f>
        <v/>
      </c>
      <c r="B768" s="94">
        <f>'לקוחות לפי סוכן - מקור'!C776</f>
        <v/>
      </c>
      <c r="C768" s="94">
        <f>'לקוחות לפי סוכן - מקור'!E776</f>
        <v/>
      </c>
      <c r="D768" s="102">
        <f>'לקוחות לפי סוכן - מקור'!F776</f>
        <v/>
      </c>
      <c r="E768" s="102">
        <f>'לקוחות לפי סוכן - מקור'!G776</f>
        <v/>
      </c>
      <c r="F768" s="94">
        <f>'לקוחות לפי סוכן - מקור'!D776</f>
        <v/>
      </c>
      <c r="G768" s="95">
        <f>'לקוחות לפי סוכן - מקור'!H776</f>
        <v/>
      </c>
      <c r="H768" s="95">
        <f>'לקוחות לפי סוכן - מקור'!I776</f>
        <v/>
      </c>
      <c r="I768" s="127">
        <f>'לקוחות לפי סוכן - מקור'!K776</f>
        <v/>
      </c>
    </row>
    <row r="769" outlineLevel="2" ht="15" customHeight="1" s="82">
      <c r="A769" s="94">
        <f>'לקוחות לפי סוכן - מקור'!A777</f>
        <v/>
      </c>
      <c r="B769" s="94">
        <f>'לקוחות לפי סוכן - מקור'!C777</f>
        <v/>
      </c>
      <c r="C769" s="94">
        <f>'לקוחות לפי סוכן - מקור'!E777</f>
        <v/>
      </c>
      <c r="D769" s="102">
        <f>'לקוחות לפי סוכן - מקור'!F777</f>
        <v/>
      </c>
      <c r="E769" s="102">
        <f>'לקוחות לפי סוכן - מקור'!G777</f>
        <v/>
      </c>
      <c r="F769" s="94">
        <f>'לקוחות לפי סוכן - מקור'!D777</f>
        <v/>
      </c>
      <c r="G769" s="95">
        <f>'לקוחות לפי סוכן - מקור'!H777</f>
        <v/>
      </c>
      <c r="H769" s="95">
        <f>'לקוחות לפי סוכן - מקור'!I777</f>
        <v/>
      </c>
      <c r="I769" s="127">
        <f>'לקוחות לפי סוכן - מקור'!K777</f>
        <v/>
      </c>
    </row>
    <row r="770" outlineLevel="2" ht="15" customHeight="1" s="82">
      <c r="A770" s="94">
        <f>'לקוחות לפי סוכן - מקור'!A778</f>
        <v/>
      </c>
      <c r="B770" s="94">
        <f>'לקוחות לפי סוכן - מקור'!C778</f>
        <v/>
      </c>
      <c r="C770" s="94">
        <f>'לקוחות לפי סוכן - מקור'!E778</f>
        <v/>
      </c>
      <c r="D770" s="102">
        <f>'לקוחות לפי סוכן - מקור'!F778</f>
        <v/>
      </c>
      <c r="E770" s="102">
        <f>'לקוחות לפי סוכן - מקור'!G778</f>
        <v/>
      </c>
      <c r="F770" s="94">
        <f>'לקוחות לפי סוכן - מקור'!D778</f>
        <v/>
      </c>
      <c r="G770" s="95">
        <f>'לקוחות לפי סוכן - מקור'!H778</f>
        <v/>
      </c>
      <c r="H770" s="95">
        <f>'לקוחות לפי סוכן - מקור'!I778</f>
        <v/>
      </c>
      <c r="I770" s="127">
        <f>'לקוחות לפי סוכן - מקור'!K778</f>
        <v/>
      </c>
    </row>
    <row r="771" outlineLevel="2" ht="15" customHeight="1" s="82">
      <c r="A771" s="94">
        <f>'לקוחות לפי סוכן - מקור'!A779</f>
        <v/>
      </c>
      <c r="B771" s="94">
        <f>'לקוחות לפי סוכן - מקור'!C779</f>
        <v/>
      </c>
      <c r="C771" s="94">
        <f>'לקוחות לפי סוכן - מקור'!E779</f>
        <v/>
      </c>
      <c r="D771" s="102">
        <f>'לקוחות לפי סוכן - מקור'!F779</f>
        <v/>
      </c>
      <c r="E771" s="102">
        <f>'לקוחות לפי סוכן - מקור'!G779</f>
        <v/>
      </c>
      <c r="F771" s="94">
        <f>'לקוחות לפי סוכן - מקור'!D779</f>
        <v/>
      </c>
      <c r="G771" s="95">
        <f>'לקוחות לפי סוכן - מקור'!H779</f>
        <v/>
      </c>
      <c r="H771" s="95">
        <f>'לקוחות לפי סוכן - מקור'!I779</f>
        <v/>
      </c>
      <c r="I771" s="127">
        <f>'לקוחות לפי סוכן - מקור'!K779</f>
        <v/>
      </c>
    </row>
    <row r="772" outlineLevel="2" ht="15" customHeight="1" s="82">
      <c r="A772" s="94">
        <f>'לקוחות לפי סוכן - מקור'!A780</f>
        <v/>
      </c>
      <c r="B772" s="94">
        <f>'לקוחות לפי סוכן - מקור'!C780</f>
        <v/>
      </c>
      <c r="C772" s="94">
        <f>'לקוחות לפי סוכן - מקור'!E780</f>
        <v/>
      </c>
      <c r="D772" s="102">
        <f>'לקוחות לפי סוכן - מקור'!F780</f>
        <v/>
      </c>
      <c r="E772" s="102">
        <f>'לקוחות לפי סוכן - מקור'!G780</f>
        <v/>
      </c>
      <c r="F772" s="94">
        <f>'לקוחות לפי סוכן - מקור'!D780</f>
        <v/>
      </c>
      <c r="G772" s="95">
        <f>'לקוחות לפי סוכן - מקור'!H780</f>
        <v/>
      </c>
      <c r="H772" s="95">
        <f>'לקוחות לפי סוכן - מקור'!I780</f>
        <v/>
      </c>
      <c r="I772" s="127">
        <f>'לקוחות לפי סוכן - מקור'!K780</f>
        <v/>
      </c>
    </row>
    <row r="773" outlineLevel="2" ht="15" customHeight="1" s="82">
      <c r="A773" s="94">
        <f>'לקוחות לפי סוכן - מקור'!A781</f>
        <v/>
      </c>
      <c r="B773" s="94">
        <f>'לקוחות לפי סוכן - מקור'!C781</f>
        <v/>
      </c>
      <c r="C773" s="94">
        <f>'לקוחות לפי סוכן - מקור'!E781</f>
        <v/>
      </c>
      <c r="D773" s="102">
        <f>'לקוחות לפי סוכן - מקור'!F781</f>
        <v/>
      </c>
      <c r="E773" s="102">
        <f>'לקוחות לפי סוכן - מקור'!G781</f>
        <v/>
      </c>
      <c r="F773" s="94">
        <f>'לקוחות לפי סוכן - מקור'!D781</f>
        <v/>
      </c>
      <c r="G773" s="95">
        <f>'לקוחות לפי סוכן - מקור'!H781</f>
        <v/>
      </c>
      <c r="H773" s="95">
        <f>'לקוחות לפי סוכן - מקור'!I781</f>
        <v/>
      </c>
      <c r="I773" s="127">
        <f>'לקוחות לפי סוכן - מקור'!K781</f>
        <v/>
      </c>
    </row>
    <row r="774" outlineLevel="2" ht="15" customHeight="1" s="82">
      <c r="A774" s="94">
        <f>'לקוחות לפי סוכן - מקור'!A782</f>
        <v/>
      </c>
      <c r="B774" s="94">
        <f>'לקוחות לפי סוכן - מקור'!C782</f>
        <v/>
      </c>
      <c r="C774" s="94">
        <f>'לקוחות לפי סוכן - מקור'!E782</f>
        <v/>
      </c>
      <c r="D774" s="102">
        <f>'לקוחות לפי סוכן - מקור'!F782</f>
        <v/>
      </c>
      <c r="E774" s="102">
        <f>'לקוחות לפי סוכן - מקור'!G782</f>
        <v/>
      </c>
      <c r="F774" s="94">
        <f>'לקוחות לפי סוכן - מקור'!D782</f>
        <v/>
      </c>
      <c r="G774" s="95">
        <f>'לקוחות לפי סוכן - מקור'!H782</f>
        <v/>
      </c>
      <c r="H774" s="95">
        <f>'לקוחות לפי סוכן - מקור'!I782</f>
        <v/>
      </c>
      <c r="I774" s="127">
        <f>'לקוחות לפי סוכן - מקור'!K782</f>
        <v/>
      </c>
    </row>
    <row r="775" outlineLevel="2" ht="15" customHeight="1" s="82">
      <c r="A775" s="94">
        <f>'לקוחות לפי סוכן - מקור'!A783</f>
        <v/>
      </c>
      <c r="B775" s="94">
        <f>'לקוחות לפי סוכן - מקור'!C783</f>
        <v/>
      </c>
      <c r="C775" s="94">
        <f>'לקוחות לפי סוכן - מקור'!E783</f>
        <v/>
      </c>
      <c r="D775" s="102">
        <f>'לקוחות לפי סוכן - מקור'!F783</f>
        <v/>
      </c>
      <c r="E775" s="102">
        <f>'לקוחות לפי סוכן - מקור'!G783</f>
        <v/>
      </c>
      <c r="F775" s="94">
        <f>'לקוחות לפי סוכן - מקור'!D783</f>
        <v/>
      </c>
      <c r="G775" s="95">
        <f>'לקוחות לפי סוכן - מקור'!H783</f>
        <v/>
      </c>
      <c r="H775" s="95">
        <f>'לקוחות לפי סוכן - מקור'!I783</f>
        <v/>
      </c>
      <c r="I775" s="127">
        <f>'לקוחות לפי סוכן - מקור'!K783</f>
        <v/>
      </c>
    </row>
    <row r="776" outlineLevel="2" ht="15" customHeight="1" s="82">
      <c r="A776" s="94">
        <f>'לקוחות לפי סוכן - מקור'!A784</f>
        <v/>
      </c>
      <c r="B776" s="94">
        <f>'לקוחות לפי סוכן - מקור'!C784</f>
        <v/>
      </c>
      <c r="C776" s="94">
        <f>'לקוחות לפי סוכן - מקור'!E784</f>
        <v/>
      </c>
      <c r="D776" s="102">
        <f>'לקוחות לפי סוכן - מקור'!F784</f>
        <v/>
      </c>
      <c r="E776" s="102">
        <f>'לקוחות לפי סוכן - מקור'!G784</f>
        <v/>
      </c>
      <c r="F776" s="94">
        <f>'לקוחות לפי סוכן - מקור'!D784</f>
        <v/>
      </c>
      <c r="G776" s="95">
        <f>'לקוחות לפי סוכן - מקור'!H784</f>
        <v/>
      </c>
      <c r="H776" s="95">
        <f>'לקוחות לפי סוכן - מקור'!I784</f>
        <v/>
      </c>
      <c r="I776" s="127">
        <f>'לקוחות לפי סוכן - מקור'!K784</f>
        <v/>
      </c>
    </row>
    <row r="777" outlineLevel="2" ht="15" customHeight="1" s="82">
      <c r="A777" s="94">
        <f>'לקוחות לפי סוכן - מקור'!A785</f>
        <v/>
      </c>
      <c r="B777" s="94">
        <f>'לקוחות לפי סוכן - מקור'!C785</f>
        <v/>
      </c>
      <c r="C777" s="94">
        <f>'לקוחות לפי סוכן - מקור'!E785</f>
        <v/>
      </c>
      <c r="D777" s="102">
        <f>'לקוחות לפי סוכן - מקור'!F785</f>
        <v/>
      </c>
      <c r="E777" s="102">
        <f>'לקוחות לפי סוכן - מקור'!G785</f>
        <v/>
      </c>
      <c r="F777" s="94">
        <f>'לקוחות לפי סוכן - מקור'!D785</f>
        <v/>
      </c>
      <c r="G777" s="95">
        <f>'לקוחות לפי סוכן - מקור'!H785</f>
        <v/>
      </c>
      <c r="H777" s="95">
        <f>'לקוחות לפי סוכן - מקור'!I785</f>
        <v/>
      </c>
      <c r="I777" s="127">
        <f>'לקוחות לפי סוכן - מקור'!K785</f>
        <v/>
      </c>
    </row>
    <row r="778" outlineLevel="2" ht="15" customHeight="1" s="82">
      <c r="A778" s="94">
        <f>'לקוחות לפי סוכן - מקור'!A786</f>
        <v/>
      </c>
      <c r="B778" s="94">
        <f>'לקוחות לפי סוכן - מקור'!C786</f>
        <v/>
      </c>
      <c r="C778" s="94">
        <f>'לקוחות לפי סוכן - מקור'!E786</f>
        <v/>
      </c>
      <c r="D778" s="102">
        <f>'לקוחות לפי סוכן - מקור'!F786</f>
        <v/>
      </c>
      <c r="E778" s="102">
        <f>'לקוחות לפי סוכן - מקור'!G786</f>
        <v/>
      </c>
      <c r="F778" s="94">
        <f>'לקוחות לפי סוכן - מקור'!D786</f>
        <v/>
      </c>
      <c r="G778" s="95">
        <f>'לקוחות לפי סוכן - מקור'!H786</f>
        <v/>
      </c>
      <c r="H778" s="95">
        <f>'לקוחות לפי סוכן - מקור'!I786</f>
        <v/>
      </c>
      <c r="I778" s="127">
        <f>'לקוחות לפי סוכן - מקור'!K786</f>
        <v/>
      </c>
    </row>
    <row r="779" outlineLevel="2" ht="15" customHeight="1" s="82">
      <c r="A779" s="94">
        <f>'לקוחות לפי סוכן - מקור'!A787</f>
        <v/>
      </c>
      <c r="B779" s="94">
        <f>'לקוחות לפי סוכן - מקור'!C787</f>
        <v/>
      </c>
      <c r="C779" s="94">
        <f>'לקוחות לפי סוכן - מקור'!E787</f>
        <v/>
      </c>
      <c r="D779" s="102">
        <f>'לקוחות לפי סוכן - מקור'!F787</f>
        <v/>
      </c>
      <c r="E779" s="102">
        <f>'לקוחות לפי סוכן - מקור'!G787</f>
        <v/>
      </c>
      <c r="F779" s="94">
        <f>'לקוחות לפי סוכן - מקור'!D787</f>
        <v/>
      </c>
      <c r="G779" s="95">
        <f>'לקוחות לפי סוכן - מקור'!H787</f>
        <v/>
      </c>
      <c r="H779" s="95">
        <f>'לקוחות לפי סוכן - מקור'!I787</f>
        <v/>
      </c>
      <c r="I779" s="127">
        <f>'לקוחות לפי סוכן - מקור'!K787</f>
        <v/>
      </c>
    </row>
    <row r="780" outlineLevel="2" ht="15" customHeight="1" s="82">
      <c r="A780" s="94">
        <f>'לקוחות לפי סוכן - מקור'!A788</f>
        <v/>
      </c>
      <c r="B780" s="94">
        <f>'לקוחות לפי סוכן - מקור'!C788</f>
        <v/>
      </c>
      <c r="C780" s="94">
        <f>'לקוחות לפי סוכן - מקור'!E788</f>
        <v/>
      </c>
      <c r="D780" s="102">
        <f>'לקוחות לפי סוכן - מקור'!F788</f>
        <v/>
      </c>
      <c r="E780" s="102">
        <f>'לקוחות לפי סוכן - מקור'!G788</f>
        <v/>
      </c>
      <c r="F780" s="94">
        <f>'לקוחות לפי סוכן - מקור'!D788</f>
        <v/>
      </c>
      <c r="G780" s="95">
        <f>'לקוחות לפי סוכן - מקור'!H788</f>
        <v/>
      </c>
      <c r="H780" s="95">
        <f>'לקוחות לפי סוכן - מקור'!I788</f>
        <v/>
      </c>
      <c r="I780" s="127">
        <f>'לקוחות לפי סוכן - מקור'!K788</f>
        <v/>
      </c>
    </row>
    <row r="781" outlineLevel="2" ht="15" customHeight="1" s="82">
      <c r="A781" s="94">
        <f>'לקוחות לפי סוכן - מקור'!A789</f>
        <v/>
      </c>
      <c r="B781" s="94">
        <f>'לקוחות לפי סוכן - מקור'!C789</f>
        <v/>
      </c>
      <c r="C781" s="94">
        <f>'לקוחות לפי סוכן - מקור'!E789</f>
        <v/>
      </c>
      <c r="D781" s="102">
        <f>'לקוחות לפי סוכן - מקור'!F789</f>
        <v/>
      </c>
      <c r="E781" s="102">
        <f>'לקוחות לפי סוכן - מקור'!G789</f>
        <v/>
      </c>
      <c r="F781" s="94">
        <f>'לקוחות לפי סוכן - מקור'!D789</f>
        <v/>
      </c>
      <c r="G781" s="95">
        <f>'לקוחות לפי סוכן - מקור'!H789</f>
        <v/>
      </c>
      <c r="H781" s="95">
        <f>'לקוחות לפי סוכן - מקור'!I789</f>
        <v/>
      </c>
      <c r="I781" s="127">
        <f>'לקוחות לפי סוכן - מקור'!K789</f>
        <v/>
      </c>
    </row>
    <row r="782" outlineLevel="2" ht="15" customHeight="1" s="82">
      <c r="A782" s="94">
        <f>'לקוחות לפי סוכן - מקור'!A790</f>
        <v/>
      </c>
      <c r="B782" s="94">
        <f>'לקוחות לפי סוכן - מקור'!C790</f>
        <v/>
      </c>
      <c r="C782" s="94">
        <f>'לקוחות לפי סוכן - מקור'!E790</f>
        <v/>
      </c>
      <c r="D782" s="102">
        <f>'לקוחות לפי סוכן - מקור'!F790</f>
        <v/>
      </c>
      <c r="E782" s="102">
        <f>'לקוחות לפי סוכן - מקור'!G790</f>
        <v/>
      </c>
      <c r="F782" s="94">
        <f>'לקוחות לפי סוכן - מקור'!D790</f>
        <v/>
      </c>
      <c r="G782" s="95">
        <f>'לקוחות לפי סוכן - מקור'!H790</f>
        <v/>
      </c>
      <c r="H782" s="95">
        <f>'לקוחות לפי סוכן - מקור'!I790</f>
        <v/>
      </c>
      <c r="I782" s="127">
        <f>'לקוחות לפי סוכן - מקור'!K790</f>
        <v/>
      </c>
    </row>
    <row r="783" outlineLevel="2" ht="15" customHeight="1" s="82">
      <c r="A783" s="94">
        <f>'לקוחות לפי סוכן - מקור'!A791</f>
        <v/>
      </c>
      <c r="B783" s="94">
        <f>'לקוחות לפי סוכן - מקור'!C791</f>
        <v/>
      </c>
      <c r="C783" s="94">
        <f>'לקוחות לפי סוכן - מקור'!E791</f>
        <v/>
      </c>
      <c r="D783" s="102">
        <f>'לקוחות לפי סוכן - מקור'!F791</f>
        <v/>
      </c>
      <c r="E783" s="102">
        <f>'לקוחות לפי סוכן - מקור'!G791</f>
        <v/>
      </c>
      <c r="F783" s="94">
        <f>'לקוחות לפי סוכן - מקור'!D791</f>
        <v/>
      </c>
      <c r="G783" s="95">
        <f>'לקוחות לפי סוכן - מקור'!H791</f>
        <v/>
      </c>
      <c r="H783" s="95">
        <f>'לקוחות לפי סוכן - מקור'!I791</f>
        <v/>
      </c>
      <c r="I783" s="127">
        <f>'לקוחות לפי סוכן - מקור'!K791</f>
        <v/>
      </c>
    </row>
    <row r="784" outlineLevel="2" ht="15" customHeight="1" s="82">
      <c r="A784" s="94">
        <f>'לקוחות לפי סוכן - מקור'!A792</f>
        <v/>
      </c>
      <c r="B784" s="94">
        <f>'לקוחות לפי סוכן - מקור'!C792</f>
        <v/>
      </c>
      <c r="C784" s="94">
        <f>'לקוחות לפי סוכן - מקור'!E792</f>
        <v/>
      </c>
      <c r="D784" s="102">
        <f>'לקוחות לפי סוכן - מקור'!F792</f>
        <v/>
      </c>
      <c r="E784" s="102">
        <f>'לקוחות לפי סוכן - מקור'!G792</f>
        <v/>
      </c>
      <c r="F784" s="94">
        <f>'לקוחות לפי סוכן - מקור'!D792</f>
        <v/>
      </c>
      <c r="G784" s="95">
        <f>'לקוחות לפי סוכן - מקור'!H792</f>
        <v/>
      </c>
      <c r="H784" s="95">
        <f>'לקוחות לפי סוכן - מקור'!I792</f>
        <v/>
      </c>
      <c r="I784" s="127">
        <f>'לקוחות לפי סוכן - מקור'!K792</f>
        <v/>
      </c>
    </row>
    <row r="785" outlineLevel="2" ht="15" customHeight="1" s="82">
      <c r="A785" s="94">
        <f>'לקוחות לפי סוכן - מקור'!A793</f>
        <v/>
      </c>
      <c r="B785" s="94">
        <f>'לקוחות לפי סוכן - מקור'!C793</f>
        <v/>
      </c>
      <c r="C785" s="94">
        <f>'לקוחות לפי סוכן - מקור'!E793</f>
        <v/>
      </c>
      <c r="D785" s="102">
        <f>'לקוחות לפי סוכן - מקור'!F793</f>
        <v/>
      </c>
      <c r="E785" s="102">
        <f>'לקוחות לפי סוכן - מקור'!G793</f>
        <v/>
      </c>
      <c r="F785" s="94">
        <f>'לקוחות לפי סוכן - מקור'!D793</f>
        <v/>
      </c>
      <c r="G785" s="95">
        <f>'לקוחות לפי סוכן - מקור'!H793</f>
        <v/>
      </c>
      <c r="H785" s="95">
        <f>'לקוחות לפי סוכן - מקור'!I793</f>
        <v/>
      </c>
      <c r="I785" s="127">
        <f>'לקוחות לפי סוכן - מקור'!K793</f>
        <v/>
      </c>
    </row>
    <row r="786" outlineLevel="2" ht="15" customHeight="1" s="82">
      <c r="A786" s="94">
        <f>'לקוחות לפי סוכן - מקור'!A794</f>
        <v/>
      </c>
      <c r="B786" s="94">
        <f>'לקוחות לפי סוכן - מקור'!C794</f>
        <v/>
      </c>
      <c r="C786" s="94">
        <f>'לקוחות לפי סוכן - מקור'!E794</f>
        <v/>
      </c>
      <c r="D786" s="102">
        <f>'לקוחות לפי סוכן - מקור'!F794</f>
        <v/>
      </c>
      <c r="E786" s="102">
        <f>'לקוחות לפי סוכן - מקור'!G794</f>
        <v/>
      </c>
      <c r="F786" s="94">
        <f>'לקוחות לפי סוכן - מקור'!D794</f>
        <v/>
      </c>
      <c r="G786" s="95">
        <f>'לקוחות לפי סוכן - מקור'!H794</f>
        <v/>
      </c>
      <c r="H786" s="95">
        <f>'לקוחות לפי סוכן - מקור'!I794</f>
        <v/>
      </c>
      <c r="I786" s="127">
        <f>'לקוחות לפי סוכן - מקור'!K794</f>
        <v/>
      </c>
    </row>
    <row r="787" outlineLevel="2" ht="15" customHeight="1" s="82">
      <c r="A787" s="94">
        <f>'לקוחות לפי סוכן - מקור'!A795</f>
        <v/>
      </c>
      <c r="B787" s="94">
        <f>'לקוחות לפי סוכן - מקור'!C795</f>
        <v/>
      </c>
      <c r="C787" s="94">
        <f>'לקוחות לפי סוכן - מקור'!E795</f>
        <v/>
      </c>
      <c r="D787" s="102">
        <f>'לקוחות לפי סוכן - מקור'!F795</f>
        <v/>
      </c>
      <c r="E787" s="102">
        <f>'לקוחות לפי סוכן - מקור'!G795</f>
        <v/>
      </c>
      <c r="F787" s="94">
        <f>'לקוחות לפי סוכן - מקור'!D795</f>
        <v/>
      </c>
      <c r="G787" s="95">
        <f>'לקוחות לפי סוכן - מקור'!H795</f>
        <v/>
      </c>
      <c r="H787" s="95">
        <f>'לקוחות לפי סוכן - מקור'!I795</f>
        <v/>
      </c>
      <c r="I787" s="127">
        <f>'לקוחות לפי סוכן - מקור'!K795</f>
        <v/>
      </c>
    </row>
    <row r="788" outlineLevel="2" ht="15" customHeight="1" s="82">
      <c r="A788" s="94">
        <f>'לקוחות לפי סוכן - מקור'!A796</f>
        <v/>
      </c>
      <c r="B788" s="94">
        <f>'לקוחות לפי סוכן - מקור'!C796</f>
        <v/>
      </c>
      <c r="C788" s="94">
        <f>'לקוחות לפי סוכן - מקור'!E796</f>
        <v/>
      </c>
      <c r="D788" s="102">
        <f>'לקוחות לפי סוכן - מקור'!F796</f>
        <v/>
      </c>
      <c r="E788" s="102">
        <f>'לקוחות לפי סוכן - מקור'!G796</f>
        <v/>
      </c>
      <c r="F788" s="94">
        <f>'לקוחות לפי סוכן - מקור'!D796</f>
        <v/>
      </c>
      <c r="G788" s="95">
        <f>'לקוחות לפי סוכן - מקור'!H796</f>
        <v/>
      </c>
      <c r="H788" s="95">
        <f>'לקוחות לפי סוכן - מקור'!I796</f>
        <v/>
      </c>
      <c r="I788" s="127">
        <f>'לקוחות לפי סוכן - מקור'!K796</f>
        <v/>
      </c>
    </row>
    <row r="789" outlineLevel="2" ht="15" customHeight="1" s="82">
      <c r="A789" s="94">
        <f>'לקוחות לפי סוכן - מקור'!A797</f>
        <v/>
      </c>
      <c r="B789" s="94">
        <f>'לקוחות לפי סוכן - מקור'!C797</f>
        <v/>
      </c>
      <c r="C789" s="94">
        <f>'לקוחות לפי סוכן - מקור'!E797</f>
        <v/>
      </c>
      <c r="D789" s="102">
        <f>'לקוחות לפי סוכן - מקור'!F797</f>
        <v/>
      </c>
      <c r="E789" s="102">
        <f>'לקוחות לפי סוכן - מקור'!G797</f>
        <v/>
      </c>
      <c r="F789" s="94">
        <f>'לקוחות לפי סוכן - מקור'!D797</f>
        <v/>
      </c>
      <c r="G789" s="95">
        <f>'לקוחות לפי סוכן - מקור'!H797</f>
        <v/>
      </c>
      <c r="H789" s="95">
        <f>'לקוחות לפי סוכן - מקור'!I797</f>
        <v/>
      </c>
      <c r="I789" s="127">
        <f>'לקוחות לפי סוכן - מקור'!K797</f>
        <v/>
      </c>
    </row>
    <row r="790" outlineLevel="2" ht="15" customHeight="1" s="82">
      <c r="A790" s="94">
        <f>'לקוחות לפי סוכן - מקור'!A798</f>
        <v/>
      </c>
      <c r="B790" s="94">
        <f>'לקוחות לפי סוכן - מקור'!C798</f>
        <v/>
      </c>
      <c r="C790" s="94">
        <f>'לקוחות לפי סוכן - מקור'!E798</f>
        <v/>
      </c>
      <c r="D790" s="102">
        <f>'לקוחות לפי סוכן - מקור'!F798</f>
        <v/>
      </c>
      <c r="E790" s="102">
        <f>'לקוחות לפי סוכן - מקור'!G798</f>
        <v/>
      </c>
      <c r="F790" s="94">
        <f>'לקוחות לפי סוכן - מקור'!D798</f>
        <v/>
      </c>
      <c r="G790" s="95">
        <f>'לקוחות לפי סוכן - מקור'!H798</f>
        <v/>
      </c>
      <c r="H790" s="95">
        <f>'לקוחות לפי סוכן - מקור'!I798</f>
        <v/>
      </c>
      <c r="I790" s="127">
        <f>'לקוחות לפי סוכן - מקור'!K798</f>
        <v/>
      </c>
    </row>
    <row r="791" outlineLevel="2" ht="15" customHeight="1" s="82">
      <c r="A791" s="94">
        <f>'לקוחות לפי סוכן - מקור'!A799</f>
        <v/>
      </c>
      <c r="B791" s="94">
        <f>'לקוחות לפי סוכן - מקור'!C799</f>
        <v/>
      </c>
      <c r="C791" s="94">
        <f>'לקוחות לפי סוכן - מקור'!E799</f>
        <v/>
      </c>
      <c r="D791" s="102">
        <f>'לקוחות לפי סוכן - מקור'!F799</f>
        <v/>
      </c>
      <c r="E791" s="102">
        <f>'לקוחות לפי סוכן - מקור'!G799</f>
        <v/>
      </c>
      <c r="F791" s="94">
        <f>'לקוחות לפי סוכן - מקור'!D799</f>
        <v/>
      </c>
      <c r="G791" s="95">
        <f>'לקוחות לפי סוכן - מקור'!H799</f>
        <v/>
      </c>
      <c r="H791" s="95">
        <f>'לקוחות לפי סוכן - מקור'!I799</f>
        <v/>
      </c>
      <c r="I791" s="127">
        <f>'לקוחות לפי סוכן - מקור'!K799</f>
        <v/>
      </c>
    </row>
    <row r="792" outlineLevel="2" ht="15" customHeight="1" s="82">
      <c r="A792" s="94">
        <f>'לקוחות לפי סוכן - מקור'!A800</f>
        <v/>
      </c>
      <c r="B792" s="94">
        <f>'לקוחות לפי סוכן - מקור'!C800</f>
        <v/>
      </c>
      <c r="C792" s="94">
        <f>'לקוחות לפי סוכן - מקור'!E800</f>
        <v/>
      </c>
      <c r="D792" s="102">
        <f>'לקוחות לפי סוכן - מקור'!F800</f>
        <v/>
      </c>
      <c r="E792" s="102">
        <f>'לקוחות לפי סוכן - מקור'!G800</f>
        <v/>
      </c>
      <c r="F792" s="94">
        <f>'לקוחות לפי סוכן - מקור'!D800</f>
        <v/>
      </c>
      <c r="G792" s="95">
        <f>'לקוחות לפי סוכן - מקור'!H800</f>
        <v/>
      </c>
      <c r="H792" s="95">
        <f>'לקוחות לפי סוכן - מקור'!I800</f>
        <v/>
      </c>
      <c r="I792" s="127">
        <f>'לקוחות לפי סוכן - מקור'!K800</f>
        <v/>
      </c>
    </row>
    <row r="793" outlineLevel="2" ht="15" customHeight="1" s="82">
      <c r="A793" s="94">
        <f>'לקוחות לפי סוכן - מקור'!A801</f>
        <v/>
      </c>
      <c r="B793" s="94">
        <f>'לקוחות לפי סוכן - מקור'!C801</f>
        <v/>
      </c>
      <c r="C793" s="94">
        <f>'לקוחות לפי סוכן - מקור'!E801</f>
        <v/>
      </c>
      <c r="D793" s="102">
        <f>'לקוחות לפי סוכן - מקור'!F801</f>
        <v/>
      </c>
      <c r="E793" s="102">
        <f>'לקוחות לפי סוכן - מקור'!G801</f>
        <v/>
      </c>
      <c r="F793" s="94">
        <f>'לקוחות לפי סוכן - מקור'!D801</f>
        <v/>
      </c>
      <c r="G793" s="95">
        <f>'לקוחות לפי סוכן - מקור'!H801</f>
        <v/>
      </c>
      <c r="H793" s="95">
        <f>'לקוחות לפי סוכן - מקור'!I801</f>
        <v/>
      </c>
      <c r="I793" s="127">
        <f>'לקוחות לפי סוכן - מקור'!K801</f>
        <v/>
      </c>
    </row>
    <row r="794" outlineLevel="2" ht="15" customHeight="1" s="82">
      <c r="A794" s="94">
        <f>'לקוחות לפי סוכן - מקור'!A802</f>
        <v/>
      </c>
      <c r="B794" s="94">
        <f>'לקוחות לפי סוכן - מקור'!C802</f>
        <v/>
      </c>
      <c r="C794" s="94">
        <f>'לקוחות לפי סוכן - מקור'!E802</f>
        <v/>
      </c>
      <c r="D794" s="102">
        <f>'לקוחות לפי סוכן - מקור'!F802</f>
        <v/>
      </c>
      <c r="E794" s="102">
        <f>'לקוחות לפי סוכן - מקור'!G802</f>
        <v/>
      </c>
      <c r="F794" s="94">
        <f>'לקוחות לפי סוכן - מקור'!D802</f>
        <v/>
      </c>
      <c r="G794" s="95">
        <f>'לקוחות לפי סוכן - מקור'!H802</f>
        <v/>
      </c>
      <c r="H794" s="95">
        <f>'לקוחות לפי סוכן - מקור'!I802</f>
        <v/>
      </c>
      <c r="I794" s="127">
        <f>'לקוחות לפי סוכן - מקור'!K802</f>
        <v/>
      </c>
    </row>
    <row r="795" outlineLevel="2" ht="15" customHeight="1" s="82">
      <c r="A795" s="94">
        <f>'לקוחות לפי סוכן - מקור'!A803</f>
        <v/>
      </c>
      <c r="B795" s="94">
        <f>'לקוחות לפי סוכן - מקור'!C803</f>
        <v/>
      </c>
      <c r="C795" s="94">
        <f>'לקוחות לפי סוכן - מקור'!E803</f>
        <v/>
      </c>
      <c r="D795" s="102">
        <f>'לקוחות לפי סוכן - מקור'!F803</f>
        <v/>
      </c>
      <c r="E795" s="102">
        <f>'לקוחות לפי סוכן - מקור'!G803</f>
        <v/>
      </c>
      <c r="F795" s="94">
        <f>'לקוחות לפי סוכן - מקור'!D803</f>
        <v/>
      </c>
      <c r="G795" s="95">
        <f>'לקוחות לפי סוכן - מקור'!H803</f>
        <v/>
      </c>
      <c r="H795" s="95">
        <f>'לקוחות לפי סוכן - מקור'!I803</f>
        <v/>
      </c>
      <c r="I795" s="127">
        <f>'לקוחות לפי סוכן - מקור'!K803</f>
        <v/>
      </c>
    </row>
    <row r="796" outlineLevel="2" ht="15" customHeight="1" s="82">
      <c r="A796" s="94">
        <f>'לקוחות לפי סוכן - מקור'!A804</f>
        <v/>
      </c>
      <c r="B796" s="94">
        <f>'לקוחות לפי סוכן - מקור'!C804</f>
        <v/>
      </c>
      <c r="C796" s="94">
        <f>'לקוחות לפי סוכן - מקור'!E804</f>
        <v/>
      </c>
      <c r="D796" s="102">
        <f>'לקוחות לפי סוכן - מקור'!F804</f>
        <v/>
      </c>
      <c r="E796" s="102">
        <f>'לקוחות לפי סוכן - מקור'!G804</f>
        <v/>
      </c>
      <c r="F796" s="94">
        <f>'לקוחות לפי סוכן - מקור'!D804</f>
        <v/>
      </c>
      <c r="G796" s="95">
        <f>'לקוחות לפי סוכן - מקור'!H804</f>
        <v/>
      </c>
      <c r="H796" s="95">
        <f>'לקוחות לפי סוכן - מקור'!I804</f>
        <v/>
      </c>
      <c r="I796" s="127">
        <f>'לקוחות לפי סוכן - מקור'!K804</f>
        <v/>
      </c>
    </row>
    <row r="797" outlineLevel="2" ht="15" customHeight="1" s="82">
      <c r="A797" s="94">
        <f>'לקוחות לפי סוכן - מקור'!A805</f>
        <v/>
      </c>
      <c r="B797" s="94">
        <f>'לקוחות לפי סוכן - מקור'!C805</f>
        <v/>
      </c>
      <c r="C797" s="94">
        <f>'לקוחות לפי סוכן - מקור'!E805</f>
        <v/>
      </c>
      <c r="D797" s="102">
        <f>'לקוחות לפי סוכן - מקור'!F805</f>
        <v/>
      </c>
      <c r="E797" s="102">
        <f>'לקוחות לפי סוכן - מקור'!G805</f>
        <v/>
      </c>
      <c r="F797" s="94">
        <f>'לקוחות לפי סוכן - מקור'!D805</f>
        <v/>
      </c>
      <c r="G797" s="95">
        <f>'לקוחות לפי סוכן - מקור'!H805</f>
        <v/>
      </c>
      <c r="H797" s="95">
        <f>'לקוחות לפי סוכן - מקור'!I805</f>
        <v/>
      </c>
      <c r="I797" s="127">
        <f>'לקוחות לפי סוכן - מקור'!K805</f>
        <v/>
      </c>
    </row>
    <row r="798" outlineLevel="2" ht="15" customHeight="1" s="82">
      <c r="A798" s="94">
        <f>'לקוחות לפי סוכן - מקור'!A806</f>
        <v/>
      </c>
      <c r="B798" s="94">
        <f>'לקוחות לפי סוכן - מקור'!C806</f>
        <v/>
      </c>
      <c r="C798" s="94">
        <f>'לקוחות לפי סוכן - מקור'!E806</f>
        <v/>
      </c>
      <c r="D798" s="102">
        <f>'לקוחות לפי סוכן - מקור'!F806</f>
        <v/>
      </c>
      <c r="E798" s="102">
        <f>'לקוחות לפי סוכן - מקור'!G806</f>
        <v/>
      </c>
      <c r="F798" s="94">
        <f>'לקוחות לפי סוכן - מקור'!D806</f>
        <v/>
      </c>
      <c r="G798" s="95">
        <f>'לקוחות לפי סוכן - מקור'!H806</f>
        <v/>
      </c>
      <c r="H798" s="95">
        <f>'לקוחות לפי סוכן - מקור'!I806</f>
        <v/>
      </c>
      <c r="I798" s="127">
        <f>'לקוחות לפי סוכן - מקור'!K806</f>
        <v/>
      </c>
    </row>
    <row r="799" outlineLevel="1" ht="15" customHeight="1" s="82">
      <c r="A799" s="128" t="inlineStr">
        <is>
          <t>חאזם תלחמי</t>
        </is>
      </c>
      <c r="B799" s="129" t="inlineStr">
        <is>
          <t>שופרסל BE</t>
        </is>
      </c>
      <c r="C799" s="130" t="n"/>
      <c r="D799" s="131">
        <f>SUMIFS('לקוחות לפי סוכן - מקור'!$F$2:$F$867,'לקוחות לפי סוכן - מקור'!$A$2:$A$867,$A799,'לקוחות לפי סוכן - מקור'!$C$2:$C$867,$B799)</f>
        <v/>
      </c>
      <c r="E799" s="131">
        <f>SUMIFS('לקוחות לפי סוכן - מקור'!$G$2:$G$867,'לקוחות לפי סוכן - מקור'!$A$2:$A$867,$A799,'לקוחות לפי סוכן - מקור'!$C$2:$C$867,$B799)</f>
        <v/>
      </c>
      <c r="F799" s="130" t="n"/>
      <c r="G799" s="132">
        <f>SUMIFS('לקוחות לפי סוכן - מקור'!$H$2:$H$867,'לקוחות לפי סוכן - מקור'!$A$2:$A$867,$A799,'לקוחות לפי סוכן - מקור'!$C$2:$C$867,$B799)</f>
        <v/>
      </c>
      <c r="H799" s="132">
        <f>SUMIFS('לקוחות לפי סוכן - מקור'!$I$2:$I$867,'לקוחות לפי סוכן - מקור'!$A$2:$A$867,$A799,'לקוחות לפי סוכן - מקור'!$C$2:$C$867,$B799)</f>
        <v/>
      </c>
      <c r="I799" s="130" t="n"/>
      <c r="J799" s="132">
        <f>COUNTIFS('לקוחות לפי סוכן - מקור'!$A$2:$A$867,$A799,'לקוחות לפי סוכן - מקור'!$C$2:$C$867,$B799)</f>
        <v/>
      </c>
    </row>
    <row r="800" outlineLevel="2" ht="15" customHeight="1" s="82">
      <c r="A800" s="94">
        <f>'לקוחות לפי סוכן - מקור'!A807</f>
        <v/>
      </c>
      <c r="B800" s="94">
        <f>'לקוחות לפי סוכן - מקור'!C807</f>
        <v/>
      </c>
      <c r="C800" s="94">
        <f>'לקוחות לפי סוכן - מקור'!E807</f>
        <v/>
      </c>
      <c r="D800" s="102">
        <f>'לקוחות לפי סוכן - מקור'!F807</f>
        <v/>
      </c>
      <c r="E800" s="102">
        <f>'לקוחות לפי סוכן - מקור'!G807</f>
        <v/>
      </c>
      <c r="F800" s="94">
        <f>'לקוחות לפי סוכן - מקור'!D807</f>
        <v/>
      </c>
      <c r="G800" s="95">
        <f>'לקוחות לפי סוכן - מקור'!H807</f>
        <v/>
      </c>
      <c r="H800" s="95">
        <f>'לקוחות לפי סוכן - מקור'!I807</f>
        <v/>
      </c>
      <c r="I800" s="127">
        <f>'לקוחות לפי סוכן - מקור'!K807</f>
        <v/>
      </c>
    </row>
    <row r="801" outlineLevel="2" ht="15" customHeight="1" s="82">
      <c r="A801" s="94">
        <f>'לקוחות לפי סוכן - מקור'!A808</f>
        <v/>
      </c>
      <c r="B801" s="94">
        <f>'לקוחות לפי סוכן - מקור'!C808</f>
        <v/>
      </c>
      <c r="C801" s="94">
        <f>'לקוחות לפי סוכן - מקור'!E808</f>
        <v/>
      </c>
      <c r="D801" s="102">
        <f>'לקוחות לפי סוכן - מקור'!F808</f>
        <v/>
      </c>
      <c r="E801" s="102">
        <f>'לקוחות לפי סוכן - מקור'!G808</f>
        <v/>
      </c>
      <c r="F801" s="94">
        <f>'לקוחות לפי סוכן - מקור'!D808</f>
        <v/>
      </c>
      <c r="G801" s="95">
        <f>'לקוחות לפי סוכן - מקור'!H808</f>
        <v/>
      </c>
      <c r="H801" s="95">
        <f>'לקוחות לפי סוכן - מקור'!I808</f>
        <v/>
      </c>
      <c r="I801" s="127">
        <f>'לקוחות לפי סוכן - מקור'!K808</f>
        <v/>
      </c>
    </row>
    <row r="802" outlineLevel="2" ht="15" customHeight="1" s="82">
      <c r="A802" s="94">
        <f>'לקוחות לפי סוכן - מקור'!A809</f>
        <v/>
      </c>
      <c r="B802" s="94">
        <f>'לקוחות לפי סוכן - מקור'!C809</f>
        <v/>
      </c>
      <c r="C802" s="94">
        <f>'לקוחות לפי סוכן - מקור'!E809</f>
        <v/>
      </c>
      <c r="D802" s="102">
        <f>'לקוחות לפי סוכן - מקור'!F809</f>
        <v/>
      </c>
      <c r="E802" s="102">
        <f>'לקוחות לפי סוכן - מקור'!G809</f>
        <v/>
      </c>
      <c r="F802" s="94">
        <f>'לקוחות לפי סוכן - מקור'!D809</f>
        <v/>
      </c>
      <c r="G802" s="95">
        <f>'לקוחות לפי סוכן - מקור'!H809</f>
        <v/>
      </c>
      <c r="H802" s="95">
        <f>'לקוחות לפי סוכן - מקור'!I809</f>
        <v/>
      </c>
      <c r="I802" s="127">
        <f>'לקוחות לפי סוכן - מקור'!K809</f>
        <v/>
      </c>
    </row>
    <row r="803" outlineLevel="2" ht="15" customHeight="1" s="82">
      <c r="A803" s="94">
        <f>'לקוחות לפי סוכן - מקור'!A810</f>
        <v/>
      </c>
      <c r="B803" s="94">
        <f>'לקוחות לפי סוכן - מקור'!C810</f>
        <v/>
      </c>
      <c r="C803" s="94">
        <f>'לקוחות לפי סוכן - מקור'!E810</f>
        <v/>
      </c>
      <c r="D803" s="102">
        <f>'לקוחות לפי סוכן - מקור'!F810</f>
        <v/>
      </c>
      <c r="E803" s="102">
        <f>'לקוחות לפי סוכן - מקור'!G810</f>
        <v/>
      </c>
      <c r="F803" s="94">
        <f>'לקוחות לפי סוכן - מקור'!D810</f>
        <v/>
      </c>
      <c r="G803" s="95">
        <f>'לקוחות לפי סוכן - מקור'!H810</f>
        <v/>
      </c>
      <c r="H803" s="95">
        <f>'לקוחות לפי סוכן - מקור'!I810</f>
        <v/>
      </c>
      <c r="I803" s="127">
        <f>'לקוחות לפי סוכן - מקור'!K810</f>
        <v/>
      </c>
    </row>
    <row r="804" outlineLevel="2" ht="15" customHeight="1" s="82">
      <c r="A804" s="94">
        <f>'לקוחות לפי סוכן - מקור'!A811</f>
        <v/>
      </c>
      <c r="B804" s="94">
        <f>'לקוחות לפי סוכן - מקור'!C811</f>
        <v/>
      </c>
      <c r="C804" s="94">
        <f>'לקוחות לפי סוכן - מקור'!E811</f>
        <v/>
      </c>
      <c r="D804" s="102">
        <f>'לקוחות לפי סוכן - מקור'!F811</f>
        <v/>
      </c>
      <c r="E804" s="102">
        <f>'לקוחות לפי סוכן - מקור'!G811</f>
        <v/>
      </c>
      <c r="F804" s="94">
        <f>'לקוחות לפי סוכן - מקור'!D811</f>
        <v/>
      </c>
      <c r="G804" s="95">
        <f>'לקוחות לפי סוכן - מקור'!H811</f>
        <v/>
      </c>
      <c r="H804" s="95">
        <f>'לקוחות לפי סוכן - מקור'!I811</f>
        <v/>
      </c>
      <c r="I804" s="127">
        <f>'לקוחות לפי סוכן - מקור'!K811</f>
        <v/>
      </c>
    </row>
    <row r="805" outlineLevel="2" ht="15" customHeight="1" s="82">
      <c r="A805" s="94">
        <f>'לקוחות לפי סוכן - מקור'!A812</f>
        <v/>
      </c>
      <c r="B805" s="94">
        <f>'לקוחות לפי סוכן - מקור'!C812</f>
        <v/>
      </c>
      <c r="C805" s="94">
        <f>'לקוחות לפי סוכן - מקור'!E812</f>
        <v/>
      </c>
      <c r="D805" s="102">
        <f>'לקוחות לפי סוכן - מקור'!F812</f>
        <v/>
      </c>
      <c r="E805" s="102">
        <f>'לקוחות לפי סוכן - מקור'!G812</f>
        <v/>
      </c>
      <c r="F805" s="94">
        <f>'לקוחות לפי סוכן - מקור'!D812</f>
        <v/>
      </c>
      <c r="G805" s="95">
        <f>'לקוחות לפי סוכן - מקור'!H812</f>
        <v/>
      </c>
      <c r="H805" s="95">
        <f>'לקוחות לפי סוכן - מקור'!I812</f>
        <v/>
      </c>
      <c r="I805" s="127">
        <f>'לקוחות לפי סוכן - מקור'!K812</f>
        <v/>
      </c>
    </row>
    <row r="806" outlineLevel="2" ht="15" customHeight="1" s="82">
      <c r="A806" s="94">
        <f>'לקוחות לפי סוכן - מקור'!A813</f>
        <v/>
      </c>
      <c r="B806" s="94">
        <f>'לקוחות לפי סוכן - מקור'!C813</f>
        <v/>
      </c>
      <c r="C806" s="94">
        <f>'לקוחות לפי סוכן - מקור'!E813</f>
        <v/>
      </c>
      <c r="D806" s="102">
        <f>'לקוחות לפי סוכן - מקור'!F813</f>
        <v/>
      </c>
      <c r="E806" s="102">
        <f>'לקוחות לפי סוכן - מקור'!G813</f>
        <v/>
      </c>
      <c r="F806" s="94">
        <f>'לקוחות לפי סוכן - מקור'!D813</f>
        <v/>
      </c>
      <c r="G806" s="95">
        <f>'לקוחות לפי סוכן - מקור'!H813</f>
        <v/>
      </c>
      <c r="H806" s="95">
        <f>'לקוחות לפי סוכן - מקור'!I813</f>
        <v/>
      </c>
      <c r="I806" s="127">
        <f>'לקוחות לפי סוכן - מקור'!K813</f>
        <v/>
      </c>
    </row>
    <row r="807" outlineLevel="2" ht="15" customHeight="1" s="82">
      <c r="A807" s="94">
        <f>'לקוחות לפי סוכן - מקור'!A814</f>
        <v/>
      </c>
      <c r="B807" s="94">
        <f>'לקוחות לפי סוכן - מקור'!C814</f>
        <v/>
      </c>
      <c r="C807" s="94">
        <f>'לקוחות לפי סוכן - מקור'!E814</f>
        <v/>
      </c>
      <c r="D807" s="102">
        <f>'לקוחות לפי סוכן - מקור'!F814</f>
        <v/>
      </c>
      <c r="E807" s="102">
        <f>'לקוחות לפי סוכן - מקור'!G814</f>
        <v/>
      </c>
      <c r="F807" s="94">
        <f>'לקוחות לפי סוכן - מקור'!D814</f>
        <v/>
      </c>
      <c r="G807" s="95">
        <f>'לקוחות לפי סוכן - מקור'!H814</f>
        <v/>
      </c>
      <c r="H807" s="95">
        <f>'לקוחות לפי סוכן - מקור'!I814</f>
        <v/>
      </c>
      <c r="I807" s="127">
        <f>'לקוחות לפי סוכן - מקור'!K814</f>
        <v/>
      </c>
    </row>
    <row r="808" outlineLevel="2" ht="15" customHeight="1" s="82">
      <c r="A808" s="94">
        <f>'לקוחות לפי סוכן - מקור'!A815</f>
        <v/>
      </c>
      <c r="B808" s="94">
        <f>'לקוחות לפי סוכן - מקור'!C815</f>
        <v/>
      </c>
      <c r="C808" s="94">
        <f>'לקוחות לפי סוכן - מקור'!E815</f>
        <v/>
      </c>
      <c r="D808" s="102">
        <f>'לקוחות לפי סוכן - מקור'!F815</f>
        <v/>
      </c>
      <c r="E808" s="102">
        <f>'לקוחות לפי סוכן - מקור'!G815</f>
        <v/>
      </c>
      <c r="F808" s="94">
        <f>'לקוחות לפי סוכן - מקור'!D815</f>
        <v/>
      </c>
      <c r="G808" s="95">
        <f>'לקוחות לפי סוכן - מקור'!H815</f>
        <v/>
      </c>
      <c r="H808" s="95">
        <f>'לקוחות לפי סוכן - מקור'!I815</f>
        <v/>
      </c>
      <c r="I808" s="127">
        <f>'לקוחות לפי סוכן - מקור'!K815</f>
        <v/>
      </c>
    </row>
    <row r="809" outlineLevel="2" ht="15" customHeight="1" s="82">
      <c r="A809" s="94">
        <f>'לקוחות לפי סוכן - מקור'!A816</f>
        <v/>
      </c>
      <c r="B809" s="94">
        <f>'לקוחות לפי סוכן - מקור'!C816</f>
        <v/>
      </c>
      <c r="C809" s="94">
        <f>'לקוחות לפי סוכן - מקור'!E816</f>
        <v/>
      </c>
      <c r="D809" s="102">
        <f>'לקוחות לפי סוכן - מקור'!F816</f>
        <v/>
      </c>
      <c r="E809" s="102">
        <f>'לקוחות לפי סוכן - מקור'!G816</f>
        <v/>
      </c>
      <c r="F809" s="94">
        <f>'לקוחות לפי סוכן - מקור'!D816</f>
        <v/>
      </c>
      <c r="G809" s="95">
        <f>'לקוחות לפי סוכן - מקור'!H816</f>
        <v/>
      </c>
      <c r="H809" s="95">
        <f>'לקוחות לפי סוכן - מקור'!I816</f>
        <v/>
      </c>
      <c r="I809" s="127">
        <f>'לקוחות לפי סוכן - מקור'!K816</f>
        <v/>
      </c>
    </row>
    <row r="810" outlineLevel="2" ht="15" customHeight="1" s="82">
      <c r="A810" s="94">
        <f>'לקוחות לפי סוכן - מקור'!A817</f>
        <v/>
      </c>
      <c r="B810" s="94">
        <f>'לקוחות לפי סוכן - מקור'!C817</f>
        <v/>
      </c>
      <c r="C810" s="94">
        <f>'לקוחות לפי סוכן - מקור'!E817</f>
        <v/>
      </c>
      <c r="D810" s="102">
        <f>'לקוחות לפי סוכן - מקור'!F817</f>
        <v/>
      </c>
      <c r="E810" s="102">
        <f>'לקוחות לפי סוכן - מקור'!G817</f>
        <v/>
      </c>
      <c r="F810" s="94">
        <f>'לקוחות לפי סוכן - מקור'!D817</f>
        <v/>
      </c>
      <c r="G810" s="95">
        <f>'לקוחות לפי סוכן - מקור'!H817</f>
        <v/>
      </c>
      <c r="H810" s="95">
        <f>'לקוחות לפי סוכן - מקור'!I817</f>
        <v/>
      </c>
      <c r="I810" s="127">
        <f>'לקוחות לפי סוכן - מקור'!K817</f>
        <v/>
      </c>
    </row>
    <row r="811" outlineLevel="2" ht="15" customHeight="1" s="82">
      <c r="A811" s="94">
        <f>'לקוחות לפי סוכן - מקור'!A818</f>
        <v/>
      </c>
      <c r="B811" s="94">
        <f>'לקוחות לפי סוכן - מקור'!C818</f>
        <v/>
      </c>
      <c r="C811" s="94">
        <f>'לקוחות לפי סוכן - מקור'!E818</f>
        <v/>
      </c>
      <c r="D811" s="102">
        <f>'לקוחות לפי סוכן - מקור'!F818</f>
        <v/>
      </c>
      <c r="E811" s="102">
        <f>'לקוחות לפי סוכן - מקור'!G818</f>
        <v/>
      </c>
      <c r="F811" s="94">
        <f>'לקוחות לפי סוכן - מקור'!D818</f>
        <v/>
      </c>
      <c r="G811" s="95">
        <f>'לקוחות לפי סוכן - מקור'!H818</f>
        <v/>
      </c>
      <c r="H811" s="95">
        <f>'לקוחות לפי סוכן - מקור'!I818</f>
        <v/>
      </c>
      <c r="I811" s="127">
        <f>'לקוחות לפי סוכן - מקור'!K818</f>
        <v/>
      </c>
    </row>
    <row r="812" outlineLevel="2" ht="15" customHeight="1" s="82">
      <c r="A812" s="94">
        <f>'לקוחות לפי סוכן - מקור'!A819</f>
        <v/>
      </c>
      <c r="B812" s="94">
        <f>'לקוחות לפי סוכן - מקור'!C819</f>
        <v/>
      </c>
      <c r="C812" s="94">
        <f>'לקוחות לפי סוכן - מקור'!E819</f>
        <v/>
      </c>
      <c r="D812" s="102">
        <f>'לקוחות לפי סוכן - מקור'!F819</f>
        <v/>
      </c>
      <c r="E812" s="102">
        <f>'לקוחות לפי סוכן - מקור'!G819</f>
        <v/>
      </c>
      <c r="F812" s="94">
        <f>'לקוחות לפי סוכן - מקור'!D819</f>
        <v/>
      </c>
      <c r="G812" s="95">
        <f>'לקוחות לפי סוכן - מקור'!H819</f>
        <v/>
      </c>
      <c r="H812" s="95">
        <f>'לקוחות לפי סוכן - מקור'!I819</f>
        <v/>
      </c>
      <c r="I812" s="127">
        <f>'לקוחות לפי סוכן - מקור'!K819</f>
        <v/>
      </c>
    </row>
    <row r="813" outlineLevel="2" ht="15" customHeight="1" s="82">
      <c r="A813" s="94">
        <f>'לקוחות לפי סוכן - מקור'!A820</f>
        <v/>
      </c>
      <c r="B813" s="94">
        <f>'לקוחות לפי סוכן - מקור'!C820</f>
        <v/>
      </c>
      <c r="C813" s="94">
        <f>'לקוחות לפי סוכן - מקור'!E820</f>
        <v/>
      </c>
      <c r="D813" s="102">
        <f>'לקוחות לפי סוכן - מקור'!F820</f>
        <v/>
      </c>
      <c r="E813" s="102">
        <f>'לקוחות לפי סוכן - מקור'!G820</f>
        <v/>
      </c>
      <c r="F813" s="94">
        <f>'לקוחות לפי סוכן - מקור'!D820</f>
        <v/>
      </c>
      <c r="G813" s="95">
        <f>'לקוחות לפי סוכן - מקור'!H820</f>
        <v/>
      </c>
      <c r="H813" s="95">
        <f>'לקוחות לפי סוכן - מקור'!I820</f>
        <v/>
      </c>
      <c r="I813" s="127">
        <f>'לקוחות לפי סוכן - מקור'!K820</f>
        <v/>
      </c>
    </row>
    <row r="814" outlineLevel="2" ht="15" customHeight="1" s="82">
      <c r="A814" s="94">
        <f>'לקוחות לפי סוכן - מקור'!A821</f>
        <v/>
      </c>
      <c r="B814" s="94">
        <f>'לקוחות לפי סוכן - מקור'!C821</f>
        <v/>
      </c>
      <c r="C814" s="94">
        <f>'לקוחות לפי סוכן - מקור'!E821</f>
        <v/>
      </c>
      <c r="D814" s="102">
        <f>'לקוחות לפי סוכן - מקור'!F821</f>
        <v/>
      </c>
      <c r="E814" s="102">
        <f>'לקוחות לפי סוכן - מקור'!G821</f>
        <v/>
      </c>
      <c r="F814" s="94">
        <f>'לקוחות לפי סוכן - מקור'!D821</f>
        <v/>
      </c>
      <c r="G814" s="95">
        <f>'לקוחות לפי סוכן - מקור'!H821</f>
        <v/>
      </c>
      <c r="H814" s="95">
        <f>'לקוחות לפי סוכן - מקור'!I821</f>
        <v/>
      </c>
      <c r="I814" s="127">
        <f>'לקוחות לפי סוכן - מקור'!K821</f>
        <v/>
      </c>
    </row>
    <row r="815" outlineLevel="2" ht="15" customHeight="1" s="82">
      <c r="A815" s="94">
        <f>'לקוחות לפי סוכן - מקור'!A822</f>
        <v/>
      </c>
      <c r="B815" s="94">
        <f>'לקוחות לפי סוכן - מקור'!C822</f>
        <v/>
      </c>
      <c r="C815" s="94">
        <f>'לקוחות לפי סוכן - מקור'!E822</f>
        <v/>
      </c>
      <c r="D815" s="102">
        <f>'לקוחות לפי סוכן - מקור'!F822</f>
        <v/>
      </c>
      <c r="E815" s="102">
        <f>'לקוחות לפי סוכן - מקור'!G822</f>
        <v/>
      </c>
      <c r="F815" s="94">
        <f>'לקוחות לפי סוכן - מקור'!D822</f>
        <v/>
      </c>
      <c r="G815" s="95">
        <f>'לקוחות לפי סוכן - מקור'!H822</f>
        <v/>
      </c>
      <c r="H815" s="95">
        <f>'לקוחות לפי סוכן - מקור'!I822</f>
        <v/>
      </c>
      <c r="I815" s="127">
        <f>'לקוחות לפי סוכן - מקור'!K822</f>
        <v/>
      </c>
    </row>
    <row r="816" outlineLevel="2" ht="15" customHeight="1" s="82">
      <c r="A816" s="94">
        <f>'לקוחות לפי סוכן - מקור'!A823</f>
        <v/>
      </c>
      <c r="B816" s="94">
        <f>'לקוחות לפי סוכן - מקור'!C823</f>
        <v/>
      </c>
      <c r="C816" s="94">
        <f>'לקוחות לפי סוכן - מקור'!E823</f>
        <v/>
      </c>
      <c r="D816" s="102">
        <f>'לקוחות לפי סוכן - מקור'!F823</f>
        <v/>
      </c>
      <c r="E816" s="102">
        <f>'לקוחות לפי סוכן - מקור'!G823</f>
        <v/>
      </c>
      <c r="F816" s="94">
        <f>'לקוחות לפי סוכן - מקור'!D823</f>
        <v/>
      </c>
      <c r="G816" s="95">
        <f>'לקוחות לפי סוכן - מקור'!H823</f>
        <v/>
      </c>
      <c r="H816" s="95">
        <f>'לקוחות לפי סוכן - מקור'!I823</f>
        <v/>
      </c>
      <c r="I816" s="127">
        <f>'לקוחות לפי סוכן - מקור'!K823</f>
        <v/>
      </c>
    </row>
    <row r="817" outlineLevel="2" ht="15" customHeight="1" s="82">
      <c r="A817" s="94">
        <f>'לקוחות לפי סוכן - מקור'!A824</f>
        <v/>
      </c>
      <c r="B817" s="94">
        <f>'לקוחות לפי סוכן - מקור'!C824</f>
        <v/>
      </c>
      <c r="C817" s="94">
        <f>'לקוחות לפי סוכן - מקור'!E824</f>
        <v/>
      </c>
      <c r="D817" s="102">
        <f>'לקוחות לפי סוכן - מקור'!F824</f>
        <v/>
      </c>
      <c r="E817" s="102">
        <f>'לקוחות לפי סוכן - מקור'!G824</f>
        <v/>
      </c>
      <c r="F817" s="94">
        <f>'לקוחות לפי סוכן - מקור'!D824</f>
        <v/>
      </c>
      <c r="G817" s="95">
        <f>'לקוחות לפי סוכן - מקור'!H824</f>
        <v/>
      </c>
      <c r="H817" s="95">
        <f>'לקוחות לפי סוכן - מקור'!I824</f>
        <v/>
      </c>
      <c r="I817" s="127">
        <f>'לקוחות לפי סוכן - מקור'!K824</f>
        <v/>
      </c>
    </row>
    <row r="818" outlineLevel="2" ht="15" customHeight="1" s="82">
      <c r="A818" s="94">
        <f>'לקוחות לפי סוכן - מקור'!A825</f>
        <v/>
      </c>
      <c r="B818" s="94">
        <f>'לקוחות לפי סוכן - מקור'!C825</f>
        <v/>
      </c>
      <c r="C818" s="94">
        <f>'לקוחות לפי סוכן - מקור'!E825</f>
        <v/>
      </c>
      <c r="D818" s="102">
        <f>'לקוחות לפי סוכן - מקור'!F825</f>
        <v/>
      </c>
      <c r="E818" s="102">
        <f>'לקוחות לפי סוכן - מקור'!G825</f>
        <v/>
      </c>
      <c r="F818" s="94">
        <f>'לקוחות לפי סוכן - מקור'!D825</f>
        <v/>
      </c>
      <c r="G818" s="95">
        <f>'לקוחות לפי סוכן - מקור'!H825</f>
        <v/>
      </c>
      <c r="H818" s="95">
        <f>'לקוחות לפי סוכן - מקור'!I825</f>
        <v/>
      </c>
      <c r="I818" s="127">
        <f>'לקוחות לפי סוכן - מקור'!K825</f>
        <v/>
      </c>
    </row>
    <row r="819" outlineLevel="2" ht="15" customHeight="1" s="82">
      <c r="A819" s="94">
        <f>'לקוחות לפי סוכן - מקור'!A826</f>
        <v/>
      </c>
      <c r="B819" s="94">
        <f>'לקוחות לפי סוכן - מקור'!C826</f>
        <v/>
      </c>
      <c r="C819" s="94">
        <f>'לקוחות לפי סוכן - מקור'!E826</f>
        <v/>
      </c>
      <c r="D819" s="102">
        <f>'לקוחות לפי סוכן - מקור'!F826</f>
        <v/>
      </c>
      <c r="E819" s="102">
        <f>'לקוחות לפי סוכן - מקור'!G826</f>
        <v/>
      </c>
      <c r="F819" s="94">
        <f>'לקוחות לפי סוכן - מקור'!D826</f>
        <v/>
      </c>
      <c r="G819" s="95">
        <f>'לקוחות לפי סוכן - מקור'!H826</f>
        <v/>
      </c>
      <c r="H819" s="95">
        <f>'לקוחות לפי סוכן - מקור'!I826</f>
        <v/>
      </c>
      <c r="I819" s="127">
        <f>'לקוחות לפי סוכן - מקור'!K826</f>
        <v/>
      </c>
    </row>
    <row r="820" outlineLevel="2" ht="15" customHeight="1" s="82">
      <c r="A820" s="94">
        <f>'לקוחות לפי סוכן - מקור'!A827</f>
        <v/>
      </c>
      <c r="B820" s="94">
        <f>'לקוחות לפי סוכן - מקור'!C827</f>
        <v/>
      </c>
      <c r="C820" s="94">
        <f>'לקוחות לפי סוכן - מקור'!E827</f>
        <v/>
      </c>
      <c r="D820" s="102">
        <f>'לקוחות לפי סוכן - מקור'!F827</f>
        <v/>
      </c>
      <c r="E820" s="102">
        <f>'לקוחות לפי סוכן - מקור'!G827</f>
        <v/>
      </c>
      <c r="F820" s="94">
        <f>'לקוחות לפי סוכן - מקור'!D827</f>
        <v/>
      </c>
      <c r="G820" s="95">
        <f>'לקוחות לפי סוכן - מקור'!H827</f>
        <v/>
      </c>
      <c r="H820" s="95">
        <f>'לקוחות לפי סוכן - מקור'!I827</f>
        <v/>
      </c>
      <c r="I820" s="127">
        <f>'לקוחות לפי סוכן - מקור'!K827</f>
        <v/>
      </c>
    </row>
    <row r="821" outlineLevel="2" ht="15" customHeight="1" s="82">
      <c r="A821" s="94">
        <f>'לקוחות לפי סוכן - מקור'!A828</f>
        <v/>
      </c>
      <c r="B821" s="94">
        <f>'לקוחות לפי סוכן - מקור'!C828</f>
        <v/>
      </c>
      <c r="C821" s="94">
        <f>'לקוחות לפי סוכן - מקור'!E828</f>
        <v/>
      </c>
      <c r="D821" s="102">
        <f>'לקוחות לפי סוכן - מקור'!F828</f>
        <v/>
      </c>
      <c r="E821" s="102">
        <f>'לקוחות לפי סוכן - מקור'!G828</f>
        <v/>
      </c>
      <c r="F821" s="94">
        <f>'לקוחות לפי סוכן - מקור'!D828</f>
        <v/>
      </c>
      <c r="G821" s="95">
        <f>'לקוחות לפי סוכן - מקור'!H828</f>
        <v/>
      </c>
      <c r="H821" s="95">
        <f>'לקוחות לפי סוכן - מקור'!I828</f>
        <v/>
      </c>
      <c r="I821" s="127">
        <f>'לקוחות לפי סוכן - מקור'!K828</f>
        <v/>
      </c>
    </row>
    <row r="822" outlineLevel="2" ht="15" customHeight="1" s="82">
      <c r="A822" s="94">
        <f>'לקוחות לפי סוכן - מקור'!A829</f>
        <v/>
      </c>
      <c r="B822" s="94">
        <f>'לקוחות לפי סוכן - מקור'!C829</f>
        <v/>
      </c>
      <c r="C822" s="94">
        <f>'לקוחות לפי סוכן - מקור'!E829</f>
        <v/>
      </c>
      <c r="D822" s="102">
        <f>'לקוחות לפי סוכן - מקור'!F829</f>
        <v/>
      </c>
      <c r="E822" s="102">
        <f>'לקוחות לפי סוכן - מקור'!G829</f>
        <v/>
      </c>
      <c r="F822" s="94">
        <f>'לקוחות לפי סוכן - מקור'!D829</f>
        <v/>
      </c>
      <c r="G822" s="95">
        <f>'לקוחות לפי סוכן - מקור'!H829</f>
        <v/>
      </c>
      <c r="H822" s="95">
        <f>'לקוחות לפי סוכן - מקור'!I829</f>
        <v/>
      </c>
      <c r="I822" s="127">
        <f>'לקוחות לפי סוכן - מקור'!K829</f>
        <v/>
      </c>
    </row>
    <row r="823" outlineLevel="2" ht="15" customHeight="1" s="82">
      <c r="A823" s="94">
        <f>'לקוחות לפי סוכן - מקור'!A830</f>
        <v/>
      </c>
      <c r="B823" s="94">
        <f>'לקוחות לפי סוכן - מקור'!C830</f>
        <v/>
      </c>
      <c r="C823" s="94">
        <f>'לקוחות לפי סוכן - מקור'!E830</f>
        <v/>
      </c>
      <c r="D823" s="102">
        <f>'לקוחות לפי סוכן - מקור'!F830</f>
        <v/>
      </c>
      <c r="E823" s="102">
        <f>'לקוחות לפי סוכן - מקור'!G830</f>
        <v/>
      </c>
      <c r="F823" s="94">
        <f>'לקוחות לפי סוכן - מקור'!D830</f>
        <v/>
      </c>
      <c r="G823" s="95">
        <f>'לקוחות לפי סוכן - מקור'!H830</f>
        <v/>
      </c>
      <c r="H823" s="95">
        <f>'לקוחות לפי סוכן - מקור'!I830</f>
        <v/>
      </c>
      <c r="I823" s="127">
        <f>'לקוחות לפי סוכן - מקור'!K830</f>
        <v/>
      </c>
    </row>
    <row r="824" outlineLevel="2" ht="15" customHeight="1" s="82">
      <c r="A824" s="94">
        <f>'לקוחות לפי סוכן - מקור'!A831</f>
        <v/>
      </c>
      <c r="B824" s="94">
        <f>'לקוחות לפי סוכן - מקור'!C831</f>
        <v/>
      </c>
      <c r="C824" s="94">
        <f>'לקוחות לפי סוכן - מקור'!E831</f>
        <v/>
      </c>
      <c r="D824" s="102">
        <f>'לקוחות לפי סוכן - מקור'!F831</f>
        <v/>
      </c>
      <c r="E824" s="102">
        <f>'לקוחות לפי סוכן - מקור'!G831</f>
        <v/>
      </c>
      <c r="F824" s="94">
        <f>'לקוחות לפי סוכן - מקור'!D831</f>
        <v/>
      </c>
      <c r="G824" s="95">
        <f>'לקוחות לפי סוכן - מקור'!H831</f>
        <v/>
      </c>
      <c r="H824" s="95">
        <f>'לקוחות לפי סוכן - מקור'!I831</f>
        <v/>
      </c>
      <c r="I824" s="127">
        <f>'לקוחות לפי סוכן - מקור'!K831</f>
        <v/>
      </c>
    </row>
    <row r="825" outlineLevel="2" ht="15" customHeight="1" s="82">
      <c r="A825" s="94">
        <f>'לקוחות לפי סוכן - מקור'!A832</f>
        <v/>
      </c>
      <c r="B825" s="94">
        <f>'לקוחות לפי סוכן - מקור'!C832</f>
        <v/>
      </c>
      <c r="C825" s="94">
        <f>'לקוחות לפי סוכן - מקור'!E832</f>
        <v/>
      </c>
      <c r="D825" s="102">
        <f>'לקוחות לפי סוכן - מקור'!F832</f>
        <v/>
      </c>
      <c r="E825" s="102">
        <f>'לקוחות לפי סוכן - מקור'!G832</f>
        <v/>
      </c>
      <c r="F825" s="94">
        <f>'לקוחות לפי סוכן - מקור'!D832</f>
        <v/>
      </c>
      <c r="G825" s="95">
        <f>'לקוחות לפי סוכן - מקור'!H832</f>
        <v/>
      </c>
      <c r="H825" s="95">
        <f>'לקוחות לפי סוכן - מקור'!I832</f>
        <v/>
      </c>
      <c r="I825" s="127">
        <f>'לקוחות לפי סוכן - מקור'!K832</f>
        <v/>
      </c>
    </row>
    <row r="826" outlineLevel="2" ht="15" customHeight="1" s="82">
      <c r="A826" s="94">
        <f>'לקוחות לפי סוכן - מקור'!A833</f>
        <v/>
      </c>
      <c r="B826" s="94">
        <f>'לקוחות לפי סוכן - מקור'!C833</f>
        <v/>
      </c>
      <c r="C826" s="94">
        <f>'לקוחות לפי סוכן - מקור'!E833</f>
        <v/>
      </c>
      <c r="D826" s="102">
        <f>'לקוחות לפי סוכן - מקור'!F833</f>
        <v/>
      </c>
      <c r="E826" s="102">
        <f>'לקוחות לפי סוכן - מקור'!G833</f>
        <v/>
      </c>
      <c r="F826" s="94">
        <f>'לקוחות לפי סוכן - מקור'!D833</f>
        <v/>
      </c>
      <c r="G826" s="95">
        <f>'לקוחות לפי סוכן - מקור'!H833</f>
        <v/>
      </c>
      <c r="H826" s="95">
        <f>'לקוחות לפי סוכן - מקור'!I833</f>
        <v/>
      </c>
      <c r="I826" s="127">
        <f>'לקוחות לפי סוכן - מקור'!K833</f>
        <v/>
      </c>
    </row>
    <row r="827" outlineLevel="2" ht="15" customHeight="1" s="82">
      <c r="A827" s="94">
        <f>'לקוחות לפי סוכן - מקור'!A834</f>
        <v/>
      </c>
      <c r="B827" s="94">
        <f>'לקוחות לפי סוכן - מקור'!C834</f>
        <v/>
      </c>
      <c r="C827" s="94">
        <f>'לקוחות לפי סוכן - מקור'!E834</f>
        <v/>
      </c>
      <c r="D827" s="102">
        <f>'לקוחות לפי סוכן - מקור'!F834</f>
        <v/>
      </c>
      <c r="E827" s="102">
        <f>'לקוחות לפי סוכן - מקור'!G834</f>
        <v/>
      </c>
      <c r="F827" s="94">
        <f>'לקוחות לפי סוכן - מקור'!D834</f>
        <v/>
      </c>
      <c r="G827" s="95">
        <f>'לקוחות לפי סוכן - מקור'!H834</f>
        <v/>
      </c>
      <c r="H827" s="95">
        <f>'לקוחות לפי סוכן - מקור'!I834</f>
        <v/>
      </c>
      <c r="I827" s="127">
        <f>'לקוחות לפי סוכן - מקור'!K834</f>
        <v/>
      </c>
    </row>
    <row r="828" outlineLevel="2" ht="15" customHeight="1" s="82">
      <c r="A828" s="94">
        <f>'לקוחות לפי סוכן - מקור'!A835</f>
        <v/>
      </c>
      <c r="B828" s="94">
        <f>'לקוחות לפי סוכן - מקור'!C835</f>
        <v/>
      </c>
      <c r="C828" s="94">
        <f>'לקוחות לפי סוכן - מקור'!E835</f>
        <v/>
      </c>
      <c r="D828" s="102">
        <f>'לקוחות לפי סוכן - מקור'!F835</f>
        <v/>
      </c>
      <c r="E828" s="102">
        <f>'לקוחות לפי סוכן - מקור'!G835</f>
        <v/>
      </c>
      <c r="F828" s="94">
        <f>'לקוחות לפי סוכן - מקור'!D835</f>
        <v/>
      </c>
      <c r="G828" s="95">
        <f>'לקוחות לפי סוכן - מקור'!H835</f>
        <v/>
      </c>
      <c r="H828" s="95">
        <f>'לקוחות לפי סוכן - מקור'!I835</f>
        <v/>
      </c>
      <c r="I828" s="127">
        <f>'לקוחות לפי סוכן - מקור'!K835</f>
        <v/>
      </c>
    </row>
    <row r="829" outlineLevel="1" ht="15" customHeight="1" s="82">
      <c r="A829" s="128" t="inlineStr">
        <is>
          <t>חאזם תלחמי</t>
        </is>
      </c>
      <c r="B829" s="129" t="inlineStr">
        <is>
          <t>0קופות חולים</t>
        </is>
      </c>
      <c r="C829" s="130" t="n"/>
      <c r="D829" s="131">
        <f>SUMIFS('לקוחות לפי סוכן - מקור'!$F$2:$F$867,'לקוחות לפי סוכן - מקור'!$A$2:$A$867,$A829,'לקוחות לפי סוכן - מקור'!$C$2:$C$867,$B829)</f>
        <v/>
      </c>
      <c r="E829" s="131">
        <f>SUMIFS('לקוחות לפי סוכן - מקור'!$G$2:$G$867,'לקוחות לפי סוכן - מקור'!$A$2:$A$867,$A829,'לקוחות לפי סוכן - מקור'!$C$2:$C$867,$B829)</f>
        <v/>
      </c>
      <c r="F829" s="130" t="n"/>
      <c r="G829" s="132">
        <f>SUMIFS('לקוחות לפי סוכן - מקור'!$H$2:$H$867,'לקוחות לפי סוכן - מקור'!$A$2:$A$867,$A829,'לקוחות לפי סוכן - מקור'!$C$2:$C$867,$B829)</f>
        <v/>
      </c>
      <c r="H829" s="132">
        <f>SUMIFS('לקוחות לפי סוכן - מקור'!$I$2:$I$867,'לקוחות לפי סוכן - מקור'!$A$2:$A$867,$A829,'לקוחות לפי סוכן - מקור'!$C$2:$C$867,$B829)</f>
        <v/>
      </c>
      <c r="I829" s="130" t="n"/>
      <c r="J829" s="132">
        <f>COUNTIFS('לקוחות לפי סוכן - מקור'!$A$2:$A$867,$A829,'לקוחות לפי סוכן - מקור'!$C$2:$C$867,$B829)</f>
        <v/>
      </c>
    </row>
    <row r="830" outlineLevel="2" ht="15" customHeight="1" s="82">
      <c r="A830" s="94">
        <f>'לקוחות לפי סוכן - מקור'!A837</f>
        <v/>
      </c>
      <c r="B830" s="94">
        <f>'לקוחות לפי סוכן - מקור'!C837</f>
        <v/>
      </c>
      <c r="C830" s="94">
        <f>'לקוחות לפי סוכן - מקור'!E837</f>
        <v/>
      </c>
      <c r="D830" s="102">
        <f>'לקוחות לפי סוכן - מקור'!F837</f>
        <v/>
      </c>
      <c r="E830" s="102">
        <f>'לקוחות לפי סוכן - מקור'!G837</f>
        <v/>
      </c>
      <c r="F830" s="94">
        <f>'לקוחות לפי סוכן - מקור'!D837</f>
        <v/>
      </c>
      <c r="G830" s="95">
        <f>'לקוחות לפי סוכן - מקור'!H837</f>
        <v/>
      </c>
      <c r="H830" s="95">
        <f>'לקוחות לפי סוכן - מקור'!I837</f>
        <v/>
      </c>
      <c r="I830" s="127">
        <f>'לקוחות לפי סוכן - מקור'!K837</f>
        <v/>
      </c>
    </row>
    <row r="831" outlineLevel="2" ht="15" customHeight="1" s="82">
      <c r="A831" s="94">
        <f>'לקוחות לפי סוכן - מקור'!A838</f>
        <v/>
      </c>
      <c r="B831" s="94">
        <f>'לקוחות לפי סוכן - מקור'!C838</f>
        <v/>
      </c>
      <c r="C831" s="94">
        <f>'לקוחות לפי סוכן - מקור'!E838</f>
        <v/>
      </c>
      <c r="D831" s="102">
        <f>'לקוחות לפי סוכן - מקור'!F838</f>
        <v/>
      </c>
      <c r="E831" s="102">
        <f>'לקוחות לפי סוכן - מקור'!G838</f>
        <v/>
      </c>
      <c r="F831" s="94">
        <f>'לקוחות לפי סוכן - מקור'!D838</f>
        <v/>
      </c>
      <c r="G831" s="95">
        <f>'לקוחות לפי סוכן - מקור'!H838</f>
        <v/>
      </c>
      <c r="H831" s="95">
        <f>'לקוחות לפי סוכן - מקור'!I838</f>
        <v/>
      </c>
      <c r="I831" s="127">
        <f>'לקוחות לפי סוכן - מקור'!K838</f>
        <v/>
      </c>
    </row>
    <row r="832" outlineLevel="2" ht="15" customHeight="1" s="82">
      <c r="A832" s="94">
        <f>'לקוחות לפי סוכן - מקור'!A839</f>
        <v/>
      </c>
      <c r="B832" s="94">
        <f>'לקוחות לפי סוכן - מקור'!C839</f>
        <v/>
      </c>
      <c r="C832" s="94">
        <f>'לקוחות לפי סוכן - מקור'!E839</f>
        <v/>
      </c>
      <c r="D832" s="102">
        <f>'לקוחות לפי סוכן - מקור'!F839</f>
        <v/>
      </c>
      <c r="E832" s="102">
        <f>'לקוחות לפי סוכן - מקור'!G839</f>
        <v/>
      </c>
      <c r="F832" s="94">
        <f>'לקוחות לפי סוכן - מקור'!D839</f>
        <v/>
      </c>
      <c r="G832" s="95">
        <f>'לקוחות לפי סוכן - מקור'!H839</f>
        <v/>
      </c>
      <c r="H832" s="95">
        <f>'לקוחות לפי סוכן - מקור'!I839</f>
        <v/>
      </c>
      <c r="I832" s="127">
        <f>'לקוחות לפי סוכן - מקור'!K839</f>
        <v/>
      </c>
    </row>
    <row r="833" outlineLevel="2" ht="15" customHeight="1" s="82">
      <c r="A833" s="94">
        <f>'לקוחות לפי סוכן - מקור'!A840</f>
        <v/>
      </c>
      <c r="B833" s="94">
        <f>'לקוחות לפי סוכן - מקור'!C840</f>
        <v/>
      </c>
      <c r="C833" s="94">
        <f>'לקוחות לפי סוכן - מקור'!E840</f>
        <v/>
      </c>
      <c r="D833" s="102">
        <f>'לקוחות לפי סוכן - מקור'!F840</f>
        <v/>
      </c>
      <c r="E833" s="102">
        <f>'לקוחות לפי סוכן - מקור'!G840</f>
        <v/>
      </c>
      <c r="F833" s="94">
        <f>'לקוחות לפי סוכן - מקור'!D840</f>
        <v/>
      </c>
      <c r="G833" s="95">
        <f>'לקוחות לפי סוכן - מקור'!H840</f>
        <v/>
      </c>
      <c r="H833" s="95">
        <f>'לקוחות לפי סוכן - מקור'!I840</f>
        <v/>
      </c>
      <c r="I833" s="127">
        <f>'לקוחות לפי סוכן - מקור'!K840</f>
        <v/>
      </c>
    </row>
    <row r="834" outlineLevel="2" ht="15" customHeight="1" s="82">
      <c r="A834" s="94">
        <f>'לקוחות לפי סוכן - מקור'!A841</f>
        <v/>
      </c>
      <c r="B834" s="94">
        <f>'לקוחות לפי סוכן - מקור'!C841</f>
        <v/>
      </c>
      <c r="C834" s="94">
        <f>'לקוחות לפי סוכן - מקור'!E841</f>
        <v/>
      </c>
      <c r="D834" s="102">
        <f>'לקוחות לפי סוכן - מקור'!F841</f>
        <v/>
      </c>
      <c r="E834" s="102">
        <f>'לקוחות לפי סוכן - מקור'!G841</f>
        <v/>
      </c>
      <c r="F834" s="94">
        <f>'לקוחות לפי סוכן - מקור'!D841</f>
        <v/>
      </c>
      <c r="G834" s="95">
        <f>'לקוחות לפי סוכן - מקור'!H841</f>
        <v/>
      </c>
      <c r="H834" s="95">
        <f>'לקוחות לפי סוכן - מקור'!I841</f>
        <v/>
      </c>
      <c r="I834" s="127">
        <f>'לקוחות לפי סוכן - מקור'!K841</f>
        <v/>
      </c>
    </row>
    <row r="835" outlineLevel="2" ht="15" customHeight="1" s="82">
      <c r="A835" s="94">
        <f>'לקוחות לפי סוכן - מקור'!A842</f>
        <v/>
      </c>
      <c r="B835" s="94">
        <f>'לקוחות לפי סוכן - מקור'!C842</f>
        <v/>
      </c>
      <c r="C835" s="94">
        <f>'לקוחות לפי סוכן - מקור'!E842</f>
        <v/>
      </c>
      <c r="D835" s="102">
        <f>'לקוחות לפי סוכן - מקור'!F842</f>
        <v/>
      </c>
      <c r="E835" s="102">
        <f>'לקוחות לפי סוכן - מקור'!G842</f>
        <v/>
      </c>
      <c r="F835" s="94">
        <f>'לקוחות לפי סוכן - מקור'!D842</f>
        <v/>
      </c>
      <c r="G835" s="95">
        <f>'לקוחות לפי סוכן - מקור'!H842</f>
        <v/>
      </c>
      <c r="H835" s="95">
        <f>'לקוחות לפי סוכן - מקור'!I842</f>
        <v/>
      </c>
      <c r="I835" s="127">
        <f>'לקוחות לפי סוכן - מקור'!K842</f>
        <v/>
      </c>
    </row>
    <row r="836" outlineLevel="2" ht="15" customHeight="1" s="82">
      <c r="A836" s="94">
        <f>'לקוחות לפי סוכן - מקור'!A843</f>
        <v/>
      </c>
      <c r="B836" s="94">
        <f>'לקוחות לפי סוכן - מקור'!C843</f>
        <v/>
      </c>
      <c r="C836" s="94">
        <f>'לקוחות לפי סוכן - מקור'!E843</f>
        <v/>
      </c>
      <c r="D836" s="102">
        <f>'לקוחות לפי סוכן - מקור'!F843</f>
        <v/>
      </c>
      <c r="E836" s="102">
        <f>'לקוחות לפי סוכן - מקור'!G843</f>
        <v/>
      </c>
      <c r="F836" s="94">
        <f>'לקוחות לפי סוכן - מקור'!D843</f>
        <v/>
      </c>
      <c r="G836" s="95">
        <f>'לקוחות לפי סוכן - מקור'!H843</f>
        <v/>
      </c>
      <c r="H836" s="95">
        <f>'לקוחות לפי סוכן - מקור'!I843</f>
        <v/>
      </c>
      <c r="I836" s="127">
        <f>'לקוחות לפי סוכן - מקור'!K843</f>
        <v/>
      </c>
    </row>
    <row r="837" outlineLevel="2" ht="15" customHeight="1" s="82">
      <c r="A837" s="94">
        <f>'לקוחות לפי סוכן - מקור'!A844</f>
        <v/>
      </c>
      <c r="B837" s="94">
        <f>'לקוחות לפי סוכן - מקור'!C844</f>
        <v/>
      </c>
      <c r="C837" s="94">
        <f>'לקוחות לפי סוכן - מקור'!E844</f>
        <v/>
      </c>
      <c r="D837" s="102">
        <f>'לקוחות לפי סוכן - מקור'!F844</f>
        <v/>
      </c>
      <c r="E837" s="102">
        <f>'לקוחות לפי סוכן - מקור'!G844</f>
        <v/>
      </c>
      <c r="F837" s="94">
        <f>'לקוחות לפי סוכן - מקור'!D844</f>
        <v/>
      </c>
      <c r="G837" s="95">
        <f>'לקוחות לפי סוכן - מקור'!H844</f>
        <v/>
      </c>
      <c r="H837" s="95">
        <f>'לקוחות לפי סוכן - מקור'!I844</f>
        <v/>
      </c>
      <c r="I837" s="127">
        <f>'לקוחות לפי סוכן - מקור'!K844</f>
        <v/>
      </c>
    </row>
    <row r="838" outlineLevel="2" ht="15" customHeight="1" s="82">
      <c r="A838" s="94">
        <f>'לקוחות לפי סוכן - מקור'!A845</f>
        <v/>
      </c>
      <c r="B838" s="94">
        <f>'לקוחות לפי סוכן - מקור'!C845</f>
        <v/>
      </c>
      <c r="C838" s="94">
        <f>'לקוחות לפי סוכן - מקור'!E845</f>
        <v/>
      </c>
      <c r="D838" s="102">
        <f>'לקוחות לפי סוכן - מקור'!F845</f>
        <v/>
      </c>
      <c r="E838" s="102">
        <f>'לקוחות לפי סוכן - מקור'!G845</f>
        <v/>
      </c>
      <c r="F838" s="94">
        <f>'לקוחות לפי סוכן - מקור'!D845</f>
        <v/>
      </c>
      <c r="G838" s="95">
        <f>'לקוחות לפי סוכן - מקור'!H845</f>
        <v/>
      </c>
      <c r="H838" s="95">
        <f>'לקוחות לפי סוכן - מקור'!I845</f>
        <v/>
      </c>
      <c r="I838" s="127">
        <f>'לקוחות לפי סוכן - מקור'!K845</f>
        <v/>
      </c>
    </row>
    <row r="839" outlineLevel="2" ht="15" customHeight="1" s="82">
      <c r="A839" s="94">
        <f>'לקוחות לפי סוכן - מקור'!A846</f>
        <v/>
      </c>
      <c r="B839" s="94">
        <f>'לקוחות לפי סוכן - מקור'!C846</f>
        <v/>
      </c>
      <c r="C839" s="94">
        <f>'לקוחות לפי סוכן - מקור'!E846</f>
        <v/>
      </c>
      <c r="D839" s="102">
        <f>'לקוחות לפי סוכן - מקור'!F846</f>
        <v/>
      </c>
      <c r="E839" s="102">
        <f>'לקוחות לפי סוכן - מקור'!G846</f>
        <v/>
      </c>
      <c r="F839" s="94">
        <f>'לקוחות לפי סוכן - מקור'!D846</f>
        <v/>
      </c>
      <c r="G839" s="95">
        <f>'לקוחות לפי סוכן - מקור'!H846</f>
        <v/>
      </c>
      <c r="H839" s="95">
        <f>'לקוחות לפי סוכן - מקור'!I846</f>
        <v/>
      </c>
      <c r="I839" s="127">
        <f>'לקוחות לפי סוכן - מקור'!K846</f>
        <v/>
      </c>
    </row>
    <row r="840" outlineLevel="2" ht="15" customHeight="1" s="82">
      <c r="A840" s="94">
        <f>'לקוחות לפי סוכן - מקור'!A847</f>
        <v/>
      </c>
      <c r="B840" s="94">
        <f>'לקוחות לפי סוכן - מקור'!C847</f>
        <v/>
      </c>
      <c r="C840" s="94">
        <f>'לקוחות לפי סוכן - מקור'!E847</f>
        <v/>
      </c>
      <c r="D840" s="102">
        <f>'לקוחות לפי סוכן - מקור'!F847</f>
        <v/>
      </c>
      <c r="E840" s="102">
        <f>'לקוחות לפי סוכן - מקור'!G847</f>
        <v/>
      </c>
      <c r="F840" s="94">
        <f>'לקוחות לפי סוכן - מקור'!D847</f>
        <v/>
      </c>
      <c r="G840" s="95">
        <f>'לקוחות לפי סוכן - מקור'!H847</f>
        <v/>
      </c>
      <c r="H840" s="95">
        <f>'לקוחות לפי סוכן - מקור'!I847</f>
        <v/>
      </c>
      <c r="I840" s="127">
        <f>'לקוחות לפי סוכן - מקור'!K847</f>
        <v/>
      </c>
    </row>
    <row r="841" outlineLevel="2" ht="15" customHeight="1" s="82">
      <c r="A841" s="94">
        <f>'לקוחות לפי סוכן - מקור'!A848</f>
        <v/>
      </c>
      <c r="B841" s="94">
        <f>'לקוחות לפי סוכן - מקור'!C848</f>
        <v/>
      </c>
      <c r="C841" s="94">
        <f>'לקוחות לפי סוכן - מקור'!E848</f>
        <v/>
      </c>
      <c r="D841" s="102">
        <f>'לקוחות לפי סוכן - מקור'!F848</f>
        <v/>
      </c>
      <c r="E841" s="102">
        <f>'לקוחות לפי סוכן - מקור'!G848</f>
        <v/>
      </c>
      <c r="F841" s="94">
        <f>'לקוחות לפי סוכן - מקור'!D848</f>
        <v/>
      </c>
      <c r="G841" s="95">
        <f>'לקוחות לפי סוכן - מקור'!H848</f>
        <v/>
      </c>
      <c r="H841" s="95">
        <f>'לקוחות לפי סוכן - מקור'!I848</f>
        <v/>
      </c>
      <c r="I841" s="127">
        <f>'לקוחות לפי סוכן - מקור'!K848</f>
        <v/>
      </c>
    </row>
    <row r="842" outlineLevel="2" ht="15" customHeight="1" s="82">
      <c r="A842" s="94">
        <f>'לקוחות לפי סוכן - מקור'!A849</f>
        <v/>
      </c>
      <c r="B842" s="94">
        <f>'לקוחות לפי סוכן - מקור'!C849</f>
        <v/>
      </c>
      <c r="C842" s="94">
        <f>'לקוחות לפי סוכן - מקור'!E849</f>
        <v/>
      </c>
      <c r="D842" s="102">
        <f>'לקוחות לפי סוכן - מקור'!F849</f>
        <v/>
      </c>
      <c r="E842" s="102">
        <f>'לקוחות לפי סוכן - מקור'!G849</f>
        <v/>
      </c>
      <c r="F842" s="94">
        <f>'לקוחות לפי סוכן - מקור'!D849</f>
        <v/>
      </c>
      <c r="G842" s="95">
        <f>'לקוחות לפי סוכן - מקור'!H849</f>
        <v/>
      </c>
      <c r="H842" s="95">
        <f>'לקוחות לפי סוכן - מקור'!I849</f>
        <v/>
      </c>
      <c r="I842" s="127">
        <f>'לקוחות לפי סוכן - מקור'!K849</f>
        <v/>
      </c>
    </row>
    <row r="843" outlineLevel="2" ht="15" customHeight="1" s="82">
      <c r="A843" s="94">
        <f>'לקוחות לפי סוכן - מקור'!A850</f>
        <v/>
      </c>
      <c r="B843" s="94">
        <f>'לקוחות לפי סוכן - מקור'!C850</f>
        <v/>
      </c>
      <c r="C843" s="94">
        <f>'לקוחות לפי סוכן - מקור'!E850</f>
        <v/>
      </c>
      <c r="D843" s="102">
        <f>'לקוחות לפי סוכן - מקור'!F850</f>
        <v/>
      </c>
      <c r="E843" s="102">
        <f>'לקוחות לפי סוכן - מקור'!G850</f>
        <v/>
      </c>
      <c r="F843" s="94">
        <f>'לקוחות לפי סוכן - מקור'!D850</f>
        <v/>
      </c>
      <c r="G843" s="95">
        <f>'לקוחות לפי סוכן - מקור'!H850</f>
        <v/>
      </c>
      <c r="H843" s="95">
        <f>'לקוחות לפי סוכן - מקור'!I850</f>
        <v/>
      </c>
      <c r="I843" s="127">
        <f>'לקוחות לפי סוכן - מקור'!K850</f>
        <v/>
      </c>
    </row>
    <row r="844" outlineLevel="2" ht="15" customHeight="1" s="82">
      <c r="A844" s="94">
        <f>'לקוחות לפי סוכן - מקור'!A851</f>
        <v/>
      </c>
      <c r="B844" s="94">
        <f>'לקוחות לפי סוכן - מקור'!C851</f>
        <v/>
      </c>
      <c r="C844" s="94">
        <f>'לקוחות לפי סוכן - מקור'!E851</f>
        <v/>
      </c>
      <c r="D844" s="102">
        <f>'לקוחות לפי סוכן - מקור'!F851</f>
        <v/>
      </c>
      <c r="E844" s="102">
        <f>'לקוחות לפי סוכן - מקור'!G851</f>
        <v/>
      </c>
      <c r="F844" s="94">
        <f>'לקוחות לפי סוכן - מקור'!D851</f>
        <v/>
      </c>
      <c r="G844" s="95">
        <f>'לקוחות לפי סוכן - מקור'!H851</f>
        <v/>
      </c>
      <c r="H844" s="95">
        <f>'לקוחות לפי סוכן - מקור'!I851</f>
        <v/>
      </c>
      <c r="I844" s="127">
        <f>'לקוחות לפי סוכן - מקור'!K851</f>
        <v/>
      </c>
    </row>
    <row r="845" outlineLevel="2" ht="15" customHeight="1" s="82">
      <c r="A845" s="94">
        <f>'לקוחות לפי סוכן - מקור'!A852</f>
        <v/>
      </c>
      <c r="B845" s="94">
        <f>'לקוחות לפי סוכן - מקור'!C852</f>
        <v/>
      </c>
      <c r="C845" s="94">
        <f>'לקוחות לפי סוכן - מקור'!E852</f>
        <v/>
      </c>
      <c r="D845" s="102">
        <f>'לקוחות לפי סוכן - מקור'!F852</f>
        <v/>
      </c>
      <c r="E845" s="102">
        <f>'לקוחות לפי סוכן - מקור'!G852</f>
        <v/>
      </c>
      <c r="F845" s="94">
        <f>'לקוחות לפי סוכן - מקור'!D852</f>
        <v/>
      </c>
      <c r="G845" s="95">
        <f>'לקוחות לפי סוכן - מקור'!H852</f>
        <v/>
      </c>
      <c r="H845" s="95">
        <f>'לקוחות לפי סוכן - מקור'!I852</f>
        <v/>
      </c>
      <c r="I845" s="127">
        <f>'לקוחות לפי סוכן - מקור'!K852</f>
        <v/>
      </c>
    </row>
    <row r="846" outlineLevel="2" ht="15" customHeight="1" s="82">
      <c r="A846" s="94">
        <f>'לקוחות לפי סוכן - מקור'!A853</f>
        <v/>
      </c>
      <c r="B846" s="94">
        <f>'לקוחות לפי סוכן - מקור'!C853</f>
        <v/>
      </c>
      <c r="C846" s="94">
        <f>'לקוחות לפי סוכן - מקור'!E853</f>
        <v/>
      </c>
      <c r="D846" s="102">
        <f>'לקוחות לפי סוכן - מקור'!F853</f>
        <v/>
      </c>
      <c r="E846" s="102">
        <f>'לקוחות לפי סוכן - מקור'!G853</f>
        <v/>
      </c>
      <c r="F846" s="94">
        <f>'לקוחות לפי סוכן - מקור'!D853</f>
        <v/>
      </c>
      <c r="G846" s="95">
        <f>'לקוחות לפי סוכן - מקור'!H853</f>
        <v/>
      </c>
      <c r="H846" s="95">
        <f>'לקוחות לפי סוכן - מקור'!I853</f>
        <v/>
      </c>
      <c r="I846" s="127">
        <f>'לקוחות לפי סוכן - מקור'!K853</f>
        <v/>
      </c>
    </row>
    <row r="847" outlineLevel="2" ht="15" customHeight="1" s="82">
      <c r="A847" s="94">
        <f>'לקוחות לפי סוכן - מקור'!A854</f>
        <v/>
      </c>
      <c r="B847" s="94">
        <f>'לקוחות לפי סוכן - מקור'!C854</f>
        <v/>
      </c>
      <c r="C847" s="94">
        <f>'לקוחות לפי סוכן - מקור'!E854</f>
        <v/>
      </c>
      <c r="D847" s="102">
        <f>'לקוחות לפי סוכן - מקור'!F854</f>
        <v/>
      </c>
      <c r="E847" s="102">
        <f>'לקוחות לפי סוכן - מקור'!G854</f>
        <v/>
      </c>
      <c r="F847" s="94">
        <f>'לקוחות לפי סוכן - מקור'!D854</f>
        <v/>
      </c>
      <c r="G847" s="95">
        <f>'לקוחות לפי סוכן - מקור'!H854</f>
        <v/>
      </c>
      <c r="H847" s="95">
        <f>'לקוחות לפי סוכן - מקור'!I854</f>
        <v/>
      </c>
      <c r="I847" s="127">
        <f>'לקוחות לפי סוכן - מקור'!K854</f>
        <v/>
      </c>
    </row>
    <row r="848" outlineLevel="2" ht="15" customHeight="1" s="82">
      <c r="A848" s="94">
        <f>'לקוחות לפי סוכן - מקור'!A855</f>
        <v/>
      </c>
      <c r="B848" s="94">
        <f>'לקוחות לפי סוכן - מקור'!C855</f>
        <v/>
      </c>
      <c r="C848" s="94">
        <f>'לקוחות לפי סוכן - מקור'!E855</f>
        <v/>
      </c>
      <c r="D848" s="102">
        <f>'לקוחות לפי סוכן - מקור'!F855</f>
        <v/>
      </c>
      <c r="E848" s="102">
        <f>'לקוחות לפי סוכן - מקור'!G855</f>
        <v/>
      </c>
      <c r="F848" s="94">
        <f>'לקוחות לפי סוכן - מקור'!D855</f>
        <v/>
      </c>
      <c r="G848" s="95">
        <f>'לקוחות לפי סוכן - מקור'!H855</f>
        <v/>
      </c>
      <c r="H848" s="95">
        <f>'לקוחות לפי סוכן - מקור'!I855</f>
        <v/>
      </c>
      <c r="I848" s="127">
        <f>'לקוחות לפי סוכן - מקור'!K855</f>
        <v/>
      </c>
    </row>
    <row r="849" outlineLevel="2" ht="15" customHeight="1" s="82">
      <c r="A849" s="94">
        <f>'לקוחות לפי סוכן - מקור'!A856</f>
        <v/>
      </c>
      <c r="B849" s="94">
        <f>'לקוחות לפי סוכן - מקור'!C856</f>
        <v/>
      </c>
      <c r="C849" s="94">
        <f>'לקוחות לפי סוכן - מקור'!E856</f>
        <v/>
      </c>
      <c r="D849" s="102">
        <f>'לקוחות לפי סוכן - מקור'!F856</f>
        <v/>
      </c>
      <c r="E849" s="102">
        <f>'לקוחות לפי סוכן - מקור'!G856</f>
        <v/>
      </c>
      <c r="F849" s="94">
        <f>'לקוחות לפי סוכן - מקור'!D856</f>
        <v/>
      </c>
      <c r="G849" s="95">
        <f>'לקוחות לפי סוכן - מקור'!H856</f>
        <v/>
      </c>
      <c r="H849" s="95">
        <f>'לקוחות לפי סוכן - מקור'!I856</f>
        <v/>
      </c>
      <c r="I849" s="127">
        <f>'לקוחות לפי סוכן - מקור'!K856</f>
        <v/>
      </c>
    </row>
    <row r="850" outlineLevel="2" ht="15" customHeight="1" s="82">
      <c r="A850" s="94">
        <f>'לקוחות לפי סוכן - מקור'!A857</f>
        <v/>
      </c>
      <c r="B850" s="94">
        <f>'לקוחות לפי סוכן - מקור'!C857</f>
        <v/>
      </c>
      <c r="C850" s="94">
        <f>'לקוחות לפי סוכן - מקור'!E857</f>
        <v/>
      </c>
      <c r="D850" s="102">
        <f>'לקוחות לפי סוכן - מקור'!F857</f>
        <v/>
      </c>
      <c r="E850" s="102">
        <f>'לקוחות לפי סוכן - מקור'!G857</f>
        <v/>
      </c>
      <c r="F850" s="94">
        <f>'לקוחות לפי סוכן - מקור'!D857</f>
        <v/>
      </c>
      <c r="G850" s="95">
        <f>'לקוחות לפי סוכן - מקור'!H857</f>
        <v/>
      </c>
      <c r="H850" s="95">
        <f>'לקוחות לפי סוכן - מקור'!I857</f>
        <v/>
      </c>
      <c r="I850" s="127">
        <f>'לקוחות לפי סוכן - מקור'!K857</f>
        <v/>
      </c>
    </row>
    <row r="851" outlineLevel="2" ht="15" customHeight="1" s="82">
      <c r="A851" s="94">
        <f>'לקוחות לפי סוכן - מקור'!A858</f>
        <v/>
      </c>
      <c r="B851" s="94">
        <f>'לקוחות לפי סוכן - מקור'!C858</f>
        <v/>
      </c>
      <c r="C851" s="94">
        <f>'לקוחות לפי סוכן - מקור'!E858</f>
        <v/>
      </c>
      <c r="D851" s="102">
        <f>'לקוחות לפי סוכן - מקור'!F858</f>
        <v/>
      </c>
      <c r="E851" s="102">
        <f>'לקוחות לפי סוכן - מקור'!G858</f>
        <v/>
      </c>
      <c r="F851" s="94">
        <f>'לקוחות לפי סוכן - מקור'!D858</f>
        <v/>
      </c>
      <c r="G851" s="95">
        <f>'לקוחות לפי סוכן - מקור'!H858</f>
        <v/>
      </c>
      <c r="H851" s="95">
        <f>'לקוחות לפי סוכן - מקור'!I858</f>
        <v/>
      </c>
      <c r="I851" s="127">
        <f>'לקוחות לפי סוכן - מקור'!K858</f>
        <v/>
      </c>
    </row>
    <row r="852" outlineLevel="2" ht="15" customHeight="1" s="82">
      <c r="A852" s="94">
        <f>'לקוחות לפי סוכן - מקור'!A859</f>
        <v/>
      </c>
      <c r="B852" s="94">
        <f>'לקוחות לפי סוכן - מקור'!C859</f>
        <v/>
      </c>
      <c r="C852" s="94">
        <f>'לקוחות לפי סוכן - מקור'!E859</f>
        <v/>
      </c>
      <c r="D852" s="102">
        <f>'לקוחות לפי סוכן - מקור'!F859</f>
        <v/>
      </c>
      <c r="E852" s="102">
        <f>'לקוחות לפי סוכן - מקור'!G859</f>
        <v/>
      </c>
      <c r="F852" s="94">
        <f>'לקוחות לפי סוכן - מקור'!D859</f>
        <v/>
      </c>
      <c r="G852" s="95">
        <f>'לקוחות לפי סוכן - מקור'!H859</f>
        <v/>
      </c>
      <c r="H852" s="95">
        <f>'לקוחות לפי סוכן - מקור'!I859</f>
        <v/>
      </c>
      <c r="I852" s="127">
        <f>'לקוחות לפי סוכן - מקור'!K859</f>
        <v/>
      </c>
    </row>
    <row r="853" outlineLevel="2" ht="15" customHeight="1" s="82">
      <c r="A853" s="94">
        <f>'לקוחות לפי סוכן - מקור'!A860</f>
        <v/>
      </c>
      <c r="B853" s="94">
        <f>'לקוחות לפי סוכן - מקור'!C860</f>
        <v/>
      </c>
      <c r="C853" s="94">
        <f>'לקוחות לפי סוכן - מקור'!E860</f>
        <v/>
      </c>
      <c r="D853" s="102">
        <f>'לקוחות לפי סוכן - מקור'!F860</f>
        <v/>
      </c>
      <c r="E853" s="102">
        <f>'לקוחות לפי סוכן - מקור'!G860</f>
        <v/>
      </c>
      <c r="F853" s="94">
        <f>'לקוחות לפי סוכן - מקור'!D860</f>
        <v/>
      </c>
      <c r="G853" s="95">
        <f>'לקוחות לפי סוכן - מקור'!H860</f>
        <v/>
      </c>
      <c r="H853" s="95">
        <f>'לקוחות לפי סוכן - מקור'!I860</f>
        <v/>
      </c>
      <c r="I853" s="127">
        <f>'לקוחות לפי סוכן - מקור'!K860</f>
        <v/>
      </c>
    </row>
    <row r="854" outlineLevel="2" ht="15" customHeight="1" s="82">
      <c r="A854" s="94">
        <f>'לקוחות לפי סוכן - מקור'!A861</f>
        <v/>
      </c>
      <c r="B854" s="94">
        <f>'לקוחות לפי סוכן - מקור'!C861</f>
        <v/>
      </c>
      <c r="C854" s="94">
        <f>'לקוחות לפי סוכן - מקור'!E861</f>
        <v/>
      </c>
      <c r="D854" s="102">
        <f>'לקוחות לפי סוכן - מקור'!F861</f>
        <v/>
      </c>
      <c r="E854" s="102">
        <f>'לקוחות לפי סוכן - מקור'!G861</f>
        <v/>
      </c>
      <c r="F854" s="94">
        <f>'לקוחות לפי סוכן - מקור'!D861</f>
        <v/>
      </c>
      <c r="G854" s="95">
        <f>'לקוחות לפי סוכן - מקור'!H861</f>
        <v/>
      </c>
      <c r="H854" s="95">
        <f>'לקוחות לפי סוכן - מקור'!I861</f>
        <v/>
      </c>
      <c r="I854" s="127">
        <f>'לקוחות לפי סוכן - מקור'!K861</f>
        <v/>
      </c>
    </row>
    <row r="855" outlineLevel="2" ht="15" customHeight="1" s="82">
      <c r="A855" s="94">
        <f>'לקוחות לפי סוכן - מקור'!A862</f>
        <v/>
      </c>
      <c r="B855" s="94">
        <f>'לקוחות לפי סוכן - מקור'!C862</f>
        <v/>
      </c>
      <c r="C855" s="94">
        <f>'לקוחות לפי סוכן - מקור'!E862</f>
        <v/>
      </c>
      <c r="D855" s="102">
        <f>'לקוחות לפי סוכן - מקור'!F862</f>
        <v/>
      </c>
      <c r="E855" s="102">
        <f>'לקוחות לפי סוכן - מקור'!G862</f>
        <v/>
      </c>
      <c r="F855" s="94">
        <f>'לקוחות לפי סוכן - מקור'!D862</f>
        <v/>
      </c>
      <c r="G855" s="95">
        <f>'לקוחות לפי סוכן - מקור'!H862</f>
        <v/>
      </c>
      <c r="H855" s="95">
        <f>'לקוחות לפי סוכן - מקור'!I862</f>
        <v/>
      </c>
      <c r="I855" s="127">
        <f>'לקוחות לפי סוכן - מקור'!K862</f>
        <v/>
      </c>
    </row>
    <row r="856" outlineLevel="2" ht="15" customHeight="1" s="82">
      <c r="A856" s="94">
        <f>'לקוחות לפי סוכן - מקור'!A863</f>
        <v/>
      </c>
      <c r="B856" s="94">
        <f>'לקוחות לפי סוכן - מקור'!C863</f>
        <v/>
      </c>
      <c r="C856" s="94">
        <f>'לקוחות לפי סוכן - מקור'!E863</f>
        <v/>
      </c>
      <c r="D856" s="102">
        <f>'לקוחות לפי סוכן - מקור'!F863</f>
        <v/>
      </c>
      <c r="E856" s="102">
        <f>'לקוחות לפי סוכן - מקור'!G863</f>
        <v/>
      </c>
      <c r="F856" s="94">
        <f>'לקוחות לפי סוכן - מקור'!D863</f>
        <v/>
      </c>
      <c r="G856" s="95">
        <f>'לקוחות לפי סוכן - מקור'!H863</f>
        <v/>
      </c>
      <c r="H856" s="95">
        <f>'לקוחות לפי סוכן - מקור'!I863</f>
        <v/>
      </c>
      <c r="I856" s="127">
        <f>'לקוחות לפי סוכן - מקור'!K863</f>
        <v/>
      </c>
    </row>
    <row r="857" outlineLevel="2" ht="15" customHeight="1" s="82">
      <c r="A857" s="94">
        <f>'לקוחות לפי סוכן - מקור'!A864</f>
        <v/>
      </c>
      <c r="B857" s="94">
        <f>'לקוחות לפי סוכן - מקור'!C864</f>
        <v/>
      </c>
      <c r="C857" s="94">
        <f>'לקוחות לפי סוכן - מקור'!E864</f>
        <v/>
      </c>
      <c r="D857" s="102">
        <f>'לקוחות לפי סוכן - מקור'!F864</f>
        <v/>
      </c>
      <c r="E857" s="102">
        <f>'לקוחות לפי סוכן - מקור'!G864</f>
        <v/>
      </c>
      <c r="F857" s="94">
        <f>'לקוחות לפי סוכן - מקור'!D864</f>
        <v/>
      </c>
      <c r="G857" s="95">
        <f>'לקוחות לפי סוכן - מקור'!H864</f>
        <v/>
      </c>
      <c r="H857" s="95">
        <f>'לקוחות לפי סוכן - מקור'!I864</f>
        <v/>
      </c>
      <c r="I857" s="127">
        <f>'לקוחות לפי סוכן - מקור'!K864</f>
        <v/>
      </c>
    </row>
    <row r="858" outlineLevel="2" ht="15" customHeight="1" s="82">
      <c r="A858" s="94">
        <f>'לקוחות לפי סוכן - מקור'!A865</f>
        <v/>
      </c>
      <c r="B858" s="94">
        <f>'לקוחות לפי סוכן - מקור'!C865</f>
        <v/>
      </c>
      <c r="C858" s="94">
        <f>'לקוחות לפי סוכן - מקור'!E865</f>
        <v/>
      </c>
      <c r="D858" s="102">
        <f>'לקוחות לפי סוכן - מקור'!F865</f>
        <v/>
      </c>
      <c r="E858" s="102">
        <f>'לקוחות לפי סוכן - מקור'!G865</f>
        <v/>
      </c>
      <c r="F858" s="94">
        <f>'לקוחות לפי סוכן - מקור'!D865</f>
        <v/>
      </c>
      <c r="G858" s="95">
        <f>'לקוחות לפי סוכן - מקור'!H865</f>
        <v/>
      </c>
      <c r="H858" s="95">
        <f>'לקוחות לפי סוכן - מקור'!I865</f>
        <v/>
      </c>
      <c r="I858" s="127">
        <f>'לקוחות לפי סוכן - מקור'!K865</f>
        <v/>
      </c>
    </row>
    <row r="859" outlineLevel="1" ht="15" customHeight="1" s="82">
      <c r="A859" s="128" t="inlineStr">
        <is>
          <t>חאזם תלחמי</t>
        </is>
      </c>
      <c r="B859" s="129" t="inlineStr">
        <is>
          <t>102 - Orthopedic institutes</t>
        </is>
      </c>
      <c r="C859" s="130" t="n"/>
      <c r="D859" s="131">
        <f>SUMIFS('לקוחות לפי סוכן - מקור'!$F$2:$F$867,'לקוחות לפי סוכן - מקור'!$A$2:$A$867,$A859,'לקוחות לפי סוכן - מקור'!$C$2:$C$867,$B859)</f>
        <v/>
      </c>
      <c r="E859" s="131">
        <f>SUMIFS('לקוחות לפי סוכן - מקור'!$G$2:$G$867,'לקוחות לפי סוכן - מקור'!$A$2:$A$867,$A859,'לקוחות לפי סוכן - מקור'!$C$2:$C$867,$B859)</f>
        <v/>
      </c>
      <c r="F859" s="130" t="n"/>
      <c r="G859" s="132">
        <f>SUMIFS('לקוחות לפי סוכן - מקור'!$H$2:$H$867,'לקוחות לפי סוכן - מקור'!$A$2:$A$867,$A859,'לקוחות לפי סוכן - מקור'!$C$2:$C$867,$B859)</f>
        <v/>
      </c>
      <c r="H859" s="132">
        <f>SUMIFS('לקוחות לפי סוכן - מקור'!$I$2:$I$867,'לקוחות לפי סוכן - מקור'!$A$2:$A$867,$A859,'לקוחות לפי סוכן - מקור'!$C$2:$C$867,$B859)</f>
        <v/>
      </c>
      <c r="I859" s="130" t="n"/>
      <c r="J859" s="132">
        <f>COUNTIFS('לקוחות לפי סוכן - מקור'!$A$2:$A$867,$A859,'לקוחות לפי סוכן - מקור'!$C$2:$C$867,$B859)</f>
        <v/>
      </c>
    </row>
    <row r="860" outlineLevel="2" ht="15" customHeight="1" s="82">
      <c r="A860" s="94">
        <f>'לקוחות לפי סוכן - מקור'!A392</f>
        <v/>
      </c>
      <c r="B860" s="94">
        <f>'לקוחות לפי סוכן - מקור'!C392</f>
        <v/>
      </c>
      <c r="C860" s="94">
        <f>'לקוחות לפי סוכן - מקור'!E392</f>
        <v/>
      </c>
      <c r="D860" s="102">
        <f>'לקוחות לפי סוכן - מקור'!F392</f>
        <v/>
      </c>
      <c r="E860" s="102">
        <f>'לקוחות לפי סוכן - מקור'!G392</f>
        <v/>
      </c>
      <c r="F860" s="94">
        <f>'לקוחות לפי סוכן - מקור'!D392</f>
        <v/>
      </c>
      <c r="G860" s="95">
        <f>'לקוחות לפי סוכן - מקור'!H392</f>
        <v/>
      </c>
      <c r="H860" s="95">
        <f>'לקוחות לפי סוכן - מקור'!I392</f>
        <v/>
      </c>
      <c r="I860" s="127">
        <f>'לקוחות לפי סוכן - מקור'!K392</f>
        <v/>
      </c>
    </row>
    <row r="861" outlineLevel="2" ht="15" customHeight="1" s="82">
      <c r="A861" s="94">
        <f>'לקוחות לפי סוכן - מקור'!A393</f>
        <v/>
      </c>
      <c r="B861" s="94">
        <f>'לקוחות לפי סוכן - מקור'!C393</f>
        <v/>
      </c>
      <c r="C861" s="94">
        <f>'לקוחות לפי סוכן - מקור'!E393</f>
        <v/>
      </c>
      <c r="D861" s="102">
        <f>'לקוחות לפי סוכן - מקור'!F393</f>
        <v/>
      </c>
      <c r="E861" s="102">
        <f>'לקוחות לפי סוכן - מקור'!G393</f>
        <v/>
      </c>
      <c r="F861" s="94">
        <f>'לקוחות לפי סוכן - מקור'!D393</f>
        <v/>
      </c>
      <c r="G861" s="95">
        <f>'לקוחות לפי סוכן - מקור'!H393</f>
        <v/>
      </c>
      <c r="H861" s="95">
        <f>'לקוחות לפי סוכן - מקור'!I393</f>
        <v/>
      </c>
      <c r="I861" s="127">
        <f>'לקוחות לפי סוכן - מקור'!K393</f>
        <v/>
      </c>
    </row>
    <row r="862" outlineLevel="2" ht="15" customHeight="1" s="82">
      <c r="A862" s="94">
        <f>'לקוחות לפי סוכן - מקור'!A394</f>
        <v/>
      </c>
      <c r="B862" s="94">
        <f>'לקוחות לפי סוכן - מקור'!C394</f>
        <v/>
      </c>
      <c r="C862" s="94">
        <f>'לקוחות לפי סוכן - מקור'!E394</f>
        <v/>
      </c>
      <c r="D862" s="102">
        <f>'לקוחות לפי סוכן - מקור'!F394</f>
        <v/>
      </c>
      <c r="E862" s="102">
        <f>'לקוחות לפי סוכן - מקור'!G394</f>
        <v/>
      </c>
      <c r="F862" s="94">
        <f>'לקוחות לפי סוכן - מקור'!D394</f>
        <v/>
      </c>
      <c r="G862" s="95">
        <f>'לקוחות לפי סוכן - מקור'!H394</f>
        <v/>
      </c>
      <c r="H862" s="95">
        <f>'לקוחות לפי סוכן - מקור'!I394</f>
        <v/>
      </c>
      <c r="I862" s="127">
        <f>'לקוחות לפי סוכן - מקור'!K394</f>
        <v/>
      </c>
    </row>
    <row r="863" outlineLevel="2" ht="15" customHeight="1" s="82">
      <c r="A863" s="94">
        <f>'לקוחות לפי סוכן - מקור'!A395</f>
        <v/>
      </c>
      <c r="B863" s="94">
        <f>'לקוחות לפי סוכן - מקור'!C395</f>
        <v/>
      </c>
      <c r="C863" s="94">
        <f>'לקוחות לפי סוכן - מקור'!E395</f>
        <v/>
      </c>
      <c r="D863" s="102">
        <f>'לקוחות לפי סוכן - מקור'!F395</f>
        <v/>
      </c>
      <c r="E863" s="102">
        <f>'לקוחות לפי סוכן - מקור'!G395</f>
        <v/>
      </c>
      <c r="F863" s="94">
        <f>'לקוחות לפי סוכן - מקור'!D395</f>
        <v/>
      </c>
      <c r="G863" s="95">
        <f>'לקוחות לפי סוכן - מקור'!H395</f>
        <v/>
      </c>
      <c r="H863" s="95">
        <f>'לקוחות לפי סוכן - מקור'!I395</f>
        <v/>
      </c>
      <c r="I863" s="127">
        <f>'לקוחות לפי סוכן - מקור'!K395</f>
        <v/>
      </c>
    </row>
    <row r="864" outlineLevel="2" ht="15" customHeight="1" s="82">
      <c r="A864" s="94">
        <f>'לקוחות לפי סוכן - מקור'!A396</f>
        <v/>
      </c>
      <c r="B864" s="94">
        <f>'לקוחות לפי סוכן - מקור'!C396</f>
        <v/>
      </c>
      <c r="C864" s="94">
        <f>'לקוחות לפי סוכן - מקור'!E396</f>
        <v/>
      </c>
      <c r="D864" s="102">
        <f>'לקוחות לפי סוכן - מקור'!F396</f>
        <v/>
      </c>
      <c r="E864" s="102">
        <f>'לקוחות לפי סוכן - מקור'!G396</f>
        <v/>
      </c>
      <c r="F864" s="94">
        <f>'לקוחות לפי סוכן - מקור'!D396</f>
        <v/>
      </c>
      <c r="G864" s="95">
        <f>'לקוחות לפי סוכן - מקור'!H396</f>
        <v/>
      </c>
      <c r="H864" s="95">
        <f>'לקוחות לפי סוכן - מקור'!I396</f>
        <v/>
      </c>
      <c r="I864" s="127">
        <f>'לקוחות לפי סוכן - מקור'!K396</f>
        <v/>
      </c>
    </row>
    <row r="865" outlineLevel="2" ht="15" customHeight="1" s="82">
      <c r="A865" s="94">
        <f>'לקוחות לפי סוכן - מקור'!A397</f>
        <v/>
      </c>
      <c r="B865" s="94">
        <f>'לקוחות לפי סוכן - מקור'!C397</f>
        <v/>
      </c>
      <c r="C865" s="94">
        <f>'לקוחות לפי סוכן - מקור'!E397</f>
        <v/>
      </c>
      <c r="D865" s="102">
        <f>'לקוחות לפי סוכן - מקור'!F397</f>
        <v/>
      </c>
      <c r="E865" s="102">
        <f>'לקוחות לפי סוכן - מקור'!G397</f>
        <v/>
      </c>
      <c r="F865" s="94">
        <f>'לקוחות לפי סוכן - מקור'!D397</f>
        <v/>
      </c>
      <c r="G865" s="95">
        <f>'לקוחות לפי סוכן - מקור'!H397</f>
        <v/>
      </c>
      <c r="H865" s="95">
        <f>'לקוחות לפי סוכן - מקור'!I397</f>
        <v/>
      </c>
      <c r="I865" s="127">
        <f>'לקוחות לפי סוכן - מקור'!K397</f>
        <v/>
      </c>
    </row>
    <row r="866" outlineLevel="2" ht="15" customHeight="1" s="82">
      <c r="A866" s="94">
        <f>'לקוחות לפי סוכן - מקור'!A398</f>
        <v/>
      </c>
      <c r="B866" s="94">
        <f>'לקוחות לפי סוכן - מקור'!C398</f>
        <v/>
      </c>
      <c r="C866" s="94">
        <f>'לקוחות לפי סוכן - מקור'!E398</f>
        <v/>
      </c>
      <c r="D866" s="102">
        <f>'לקוחות לפי סוכן - מקור'!F398</f>
        <v/>
      </c>
      <c r="E866" s="102">
        <f>'לקוחות לפי סוכן - מקור'!G398</f>
        <v/>
      </c>
      <c r="F866" s="94">
        <f>'לקוחות לפי סוכן - מקור'!D398</f>
        <v/>
      </c>
      <c r="G866" s="95">
        <f>'לקוחות לפי סוכן - מקור'!H398</f>
        <v/>
      </c>
      <c r="H866" s="95">
        <f>'לקוחות לפי סוכן - מקור'!I398</f>
        <v/>
      </c>
      <c r="I866" s="127">
        <f>'לקוחות לפי סוכן - מקור'!K398</f>
        <v/>
      </c>
    </row>
    <row r="867" outlineLevel="2" ht="15" customHeight="1" s="82">
      <c r="A867" s="94">
        <f>'לקוחות לפי סוכן - מקור'!A399</f>
        <v/>
      </c>
      <c r="B867" s="94">
        <f>'לקוחות לפי סוכן - מקור'!C399</f>
        <v/>
      </c>
      <c r="C867" s="94">
        <f>'לקוחות לפי סוכן - מקור'!E399</f>
        <v/>
      </c>
      <c r="D867" s="102">
        <f>'לקוחות לפי סוכן - מקור'!F399</f>
        <v/>
      </c>
      <c r="E867" s="102">
        <f>'לקוחות לפי סוכן - מקור'!G399</f>
        <v/>
      </c>
      <c r="F867" s="94">
        <f>'לקוחות לפי סוכן - מקור'!D399</f>
        <v/>
      </c>
      <c r="G867" s="95">
        <f>'לקוחות לפי סוכן - מקור'!H399</f>
        <v/>
      </c>
      <c r="H867" s="95">
        <f>'לקוחות לפי סוכן - מקור'!I399</f>
        <v/>
      </c>
      <c r="I867" s="127">
        <f>'לקוחות לפי סוכן - מקור'!K399</f>
        <v/>
      </c>
    </row>
    <row r="868" outlineLevel="2" ht="15" customHeight="1" s="82">
      <c r="A868" s="94">
        <f>'לקוחות לפי סוכן - מקור'!A400</f>
        <v/>
      </c>
      <c r="B868" s="94">
        <f>'לקוחות לפי סוכן - מקור'!C400</f>
        <v/>
      </c>
      <c r="C868" s="94">
        <f>'לקוחות לפי סוכן - מקור'!E400</f>
        <v/>
      </c>
      <c r="D868" s="102">
        <f>'לקוחות לפי סוכן - מקור'!F400</f>
        <v/>
      </c>
      <c r="E868" s="102">
        <f>'לקוחות לפי סוכן - מקור'!G400</f>
        <v/>
      </c>
      <c r="F868" s="94">
        <f>'לקוחות לפי סוכן - מקור'!D400</f>
        <v/>
      </c>
      <c r="G868" s="95">
        <f>'לקוחות לפי סוכן - מקור'!H400</f>
        <v/>
      </c>
      <c r="H868" s="95">
        <f>'לקוחות לפי סוכן - מקור'!I400</f>
        <v/>
      </c>
      <c r="I868" s="127">
        <f>'לקוחות לפי סוכן - מקור'!K400</f>
        <v/>
      </c>
    </row>
    <row r="869" outlineLevel="2" ht="15" customHeight="1" s="82">
      <c r="A869" s="94">
        <f>'לקוחות לפי סוכן - מקור'!A401</f>
        <v/>
      </c>
      <c r="B869" s="94">
        <f>'לקוחות לפי סוכן - מקור'!C401</f>
        <v/>
      </c>
      <c r="C869" s="94">
        <f>'לקוחות לפי סוכן - מקור'!E401</f>
        <v/>
      </c>
      <c r="D869" s="102">
        <f>'לקוחות לפי סוכן - מקור'!F401</f>
        <v/>
      </c>
      <c r="E869" s="102">
        <f>'לקוחות לפי סוכן - מקור'!G401</f>
        <v/>
      </c>
      <c r="F869" s="94">
        <f>'לקוחות לפי סוכן - מקור'!D401</f>
        <v/>
      </c>
      <c r="G869" s="95">
        <f>'לקוחות לפי סוכן - מקור'!H401</f>
        <v/>
      </c>
      <c r="H869" s="95">
        <f>'לקוחות לפי סוכן - מקור'!I401</f>
        <v/>
      </c>
      <c r="I869" s="127">
        <f>'לקוחות לפי סוכן - מקור'!K401</f>
        <v/>
      </c>
    </row>
    <row r="870" outlineLevel="2" ht="15" customHeight="1" s="82">
      <c r="A870" s="94">
        <f>'לקוחות לפי סוכן - מקור'!A402</f>
        <v/>
      </c>
      <c r="B870" s="94">
        <f>'לקוחות לפי סוכן - מקור'!C402</f>
        <v/>
      </c>
      <c r="C870" s="94">
        <f>'לקוחות לפי סוכן - מקור'!E402</f>
        <v/>
      </c>
      <c r="D870" s="102">
        <f>'לקוחות לפי סוכן - מקור'!F402</f>
        <v/>
      </c>
      <c r="E870" s="102">
        <f>'לקוחות לפי סוכן - מקור'!G402</f>
        <v/>
      </c>
      <c r="F870" s="94">
        <f>'לקוחות לפי סוכן - מקור'!D402</f>
        <v/>
      </c>
      <c r="G870" s="95">
        <f>'לקוחות לפי סוכן - מקור'!H402</f>
        <v/>
      </c>
      <c r="H870" s="95">
        <f>'לקוחות לפי סוכן - מקור'!I402</f>
        <v/>
      </c>
      <c r="I870" s="127">
        <f>'לקוחות לפי סוכן - מקור'!K402</f>
        <v/>
      </c>
    </row>
    <row r="871" outlineLevel="2" ht="15" customHeight="1" s="82">
      <c r="A871" s="94">
        <f>'לקוחות לפי סוכן - מקור'!A403</f>
        <v/>
      </c>
      <c r="B871" s="94">
        <f>'לקוחות לפי סוכן - מקור'!C403</f>
        <v/>
      </c>
      <c r="C871" s="94">
        <f>'לקוחות לפי סוכן - מקור'!E403</f>
        <v/>
      </c>
      <c r="D871" s="102">
        <f>'לקוחות לפי סוכן - מקור'!F403</f>
        <v/>
      </c>
      <c r="E871" s="102">
        <f>'לקוחות לפי סוכן - מקור'!G403</f>
        <v/>
      </c>
      <c r="F871" s="94">
        <f>'לקוחות לפי סוכן - מקור'!D403</f>
        <v/>
      </c>
      <c r="G871" s="95">
        <f>'לקוחות לפי סוכן - מקור'!H403</f>
        <v/>
      </c>
      <c r="H871" s="95">
        <f>'לקוחות לפי סוכן - מקור'!I403</f>
        <v/>
      </c>
      <c r="I871" s="127">
        <f>'לקוחות לפי סוכן - מקור'!K403</f>
        <v/>
      </c>
    </row>
    <row r="872" outlineLevel="2" ht="15" customHeight="1" s="82">
      <c r="A872" s="94">
        <f>'לקוחות לפי סוכן - מקור'!A404</f>
        <v/>
      </c>
      <c r="B872" s="94">
        <f>'לקוחות לפי סוכן - מקור'!C404</f>
        <v/>
      </c>
      <c r="C872" s="94">
        <f>'לקוחות לפי סוכן - מקור'!E404</f>
        <v/>
      </c>
      <c r="D872" s="102">
        <f>'לקוחות לפי סוכן - מקור'!F404</f>
        <v/>
      </c>
      <c r="E872" s="102">
        <f>'לקוחות לפי סוכן - מקור'!G404</f>
        <v/>
      </c>
      <c r="F872" s="94">
        <f>'לקוחות לפי סוכן - מקור'!D404</f>
        <v/>
      </c>
      <c r="G872" s="95">
        <f>'לקוחות לפי סוכן - מקור'!H404</f>
        <v/>
      </c>
      <c r="H872" s="95">
        <f>'לקוחות לפי סוכן - מקור'!I404</f>
        <v/>
      </c>
      <c r="I872" s="127">
        <f>'לקוחות לפי סוכן - מקור'!K404</f>
        <v/>
      </c>
    </row>
    <row r="873" outlineLevel="2" ht="15" customHeight="1" s="82">
      <c r="A873" s="94">
        <f>'לקוחות לפי סוכן - מקור'!A405</f>
        <v/>
      </c>
      <c r="B873" s="94">
        <f>'לקוחות לפי סוכן - מקור'!C405</f>
        <v/>
      </c>
      <c r="C873" s="94">
        <f>'לקוחות לפי סוכן - מקור'!E405</f>
        <v/>
      </c>
      <c r="D873" s="102">
        <f>'לקוחות לפי סוכן - מקור'!F405</f>
        <v/>
      </c>
      <c r="E873" s="102">
        <f>'לקוחות לפי סוכן - מקור'!G405</f>
        <v/>
      </c>
      <c r="F873" s="94">
        <f>'לקוחות לפי סוכן - מקור'!D405</f>
        <v/>
      </c>
      <c r="G873" s="95">
        <f>'לקוחות לפי סוכן - מקור'!H405</f>
        <v/>
      </c>
      <c r="H873" s="95">
        <f>'לקוחות לפי סוכן - מקור'!I405</f>
        <v/>
      </c>
      <c r="I873" s="127">
        <f>'לקוחות לפי סוכן - מקור'!K405</f>
        <v/>
      </c>
    </row>
    <row r="874" outlineLevel="2" ht="15" customHeight="1" s="82">
      <c r="A874" s="94">
        <f>'לקוחות לפי סוכן - מקור'!A406</f>
        <v/>
      </c>
      <c r="B874" s="94">
        <f>'לקוחות לפי סוכן - מקור'!C406</f>
        <v/>
      </c>
      <c r="C874" s="94">
        <f>'לקוחות לפי סוכן - מקור'!E406</f>
        <v/>
      </c>
      <c r="D874" s="102">
        <f>'לקוחות לפי סוכן - מקור'!F406</f>
        <v/>
      </c>
      <c r="E874" s="102">
        <f>'לקוחות לפי סוכן - מקור'!G406</f>
        <v/>
      </c>
      <c r="F874" s="94">
        <f>'לקוחות לפי סוכן - מקור'!D406</f>
        <v/>
      </c>
      <c r="G874" s="95">
        <f>'לקוחות לפי סוכן - מקור'!H406</f>
        <v/>
      </c>
      <c r="H874" s="95">
        <f>'לקוחות לפי סוכן - מקור'!I406</f>
        <v/>
      </c>
      <c r="I874" s="127">
        <f>'לקוחות לפי סוכן - מקור'!K406</f>
        <v/>
      </c>
    </row>
    <row r="875" outlineLevel="2" ht="15" customHeight="1" s="82">
      <c r="A875" s="94">
        <f>'לקוחות לפי סוכן - מקור'!A407</f>
        <v/>
      </c>
      <c r="B875" s="94">
        <f>'לקוחות לפי סוכן - מקור'!C407</f>
        <v/>
      </c>
      <c r="C875" s="94">
        <f>'לקוחות לפי סוכן - מקור'!E407</f>
        <v/>
      </c>
      <c r="D875" s="102">
        <f>'לקוחות לפי סוכן - מקור'!F407</f>
        <v/>
      </c>
      <c r="E875" s="102">
        <f>'לקוחות לפי סוכן - מקור'!G407</f>
        <v/>
      </c>
      <c r="F875" s="94">
        <f>'לקוחות לפי סוכן - מקור'!D407</f>
        <v/>
      </c>
      <c r="G875" s="95">
        <f>'לקוחות לפי סוכן - מקור'!H407</f>
        <v/>
      </c>
      <c r="H875" s="95">
        <f>'לקוחות לפי סוכן - מקור'!I407</f>
        <v/>
      </c>
      <c r="I875" s="127">
        <f>'לקוחות לפי סוכן - מקור'!K407</f>
        <v/>
      </c>
    </row>
    <row r="876" outlineLevel="2" ht="15" customHeight="1" s="82">
      <c r="A876" s="94">
        <f>'לקוחות לפי סוכן - מקור'!A408</f>
        <v/>
      </c>
      <c r="B876" s="94">
        <f>'לקוחות לפי סוכן - מקור'!C408</f>
        <v/>
      </c>
      <c r="C876" s="94">
        <f>'לקוחות לפי סוכן - מקור'!E408</f>
        <v/>
      </c>
      <c r="D876" s="102">
        <f>'לקוחות לפי סוכן - מקור'!F408</f>
        <v/>
      </c>
      <c r="E876" s="102">
        <f>'לקוחות לפי סוכן - מקור'!G408</f>
        <v/>
      </c>
      <c r="F876" s="94">
        <f>'לקוחות לפי סוכן - מקור'!D408</f>
        <v/>
      </c>
      <c r="G876" s="95">
        <f>'לקוחות לפי סוכן - מקור'!H408</f>
        <v/>
      </c>
      <c r="H876" s="95">
        <f>'לקוחות לפי סוכן - מקור'!I408</f>
        <v/>
      </c>
      <c r="I876" s="127">
        <f>'לקוחות לפי סוכן - מקור'!K408</f>
        <v/>
      </c>
    </row>
    <row r="877" outlineLevel="2" ht="15" customHeight="1" s="82">
      <c r="A877" s="94">
        <f>'לקוחות לפי סוכן - מקור'!A409</f>
        <v/>
      </c>
      <c r="B877" s="94">
        <f>'לקוחות לפי סוכן - מקור'!C409</f>
        <v/>
      </c>
      <c r="C877" s="94">
        <f>'לקוחות לפי סוכן - מקור'!E409</f>
        <v/>
      </c>
      <c r="D877" s="102">
        <f>'לקוחות לפי סוכן - מקור'!F409</f>
        <v/>
      </c>
      <c r="E877" s="102">
        <f>'לקוחות לפי סוכן - מקור'!G409</f>
        <v/>
      </c>
      <c r="F877" s="94">
        <f>'לקוחות לפי סוכן - מקור'!D409</f>
        <v/>
      </c>
      <c r="G877" s="95">
        <f>'לקוחות לפי סוכן - מקור'!H409</f>
        <v/>
      </c>
      <c r="H877" s="95">
        <f>'לקוחות לפי סוכן - מקור'!I409</f>
        <v/>
      </c>
      <c r="I877" s="127">
        <f>'לקוחות לפי סוכן - מקור'!K409</f>
        <v/>
      </c>
    </row>
    <row r="878" outlineLevel="2" ht="15" customHeight="1" s="82">
      <c r="A878" s="94">
        <f>'לקוחות לפי סוכן - מקור'!A410</f>
        <v/>
      </c>
      <c r="B878" s="94">
        <f>'לקוחות לפי סוכן - מקור'!C410</f>
        <v/>
      </c>
      <c r="C878" s="94">
        <f>'לקוחות לפי סוכן - מקור'!E410</f>
        <v/>
      </c>
      <c r="D878" s="102">
        <f>'לקוחות לפי סוכן - מקור'!F410</f>
        <v/>
      </c>
      <c r="E878" s="102">
        <f>'לקוחות לפי סוכן - מקור'!G410</f>
        <v/>
      </c>
      <c r="F878" s="94">
        <f>'לקוחות לפי סוכן - מקור'!D410</f>
        <v/>
      </c>
      <c r="G878" s="95">
        <f>'לקוחות לפי סוכן - מקור'!H410</f>
        <v/>
      </c>
      <c r="H878" s="95">
        <f>'לקוחות לפי סוכן - מקור'!I410</f>
        <v/>
      </c>
      <c r="I878" s="127">
        <f>'לקוחות לפי סוכן - מקור'!K410</f>
        <v/>
      </c>
    </row>
    <row r="879" outlineLevel="2" ht="15" customHeight="1" s="82">
      <c r="A879" s="94">
        <f>'לקוחות לפי סוכן - מקור'!A411</f>
        <v/>
      </c>
      <c r="B879" s="94">
        <f>'לקוחות לפי סוכן - מקור'!C411</f>
        <v/>
      </c>
      <c r="C879" s="94">
        <f>'לקוחות לפי סוכן - מקור'!E411</f>
        <v/>
      </c>
      <c r="D879" s="102">
        <f>'לקוחות לפי סוכן - מקור'!F411</f>
        <v/>
      </c>
      <c r="E879" s="102">
        <f>'לקוחות לפי סוכן - מקור'!G411</f>
        <v/>
      </c>
      <c r="F879" s="94">
        <f>'לקוחות לפי סוכן - מקור'!D411</f>
        <v/>
      </c>
      <c r="G879" s="95">
        <f>'לקוחות לפי סוכן - מקור'!H411</f>
        <v/>
      </c>
      <c r="H879" s="95">
        <f>'לקוחות לפי סוכן - מקור'!I411</f>
        <v/>
      </c>
      <c r="I879" s="127">
        <f>'לקוחות לפי סוכן - מקור'!K411</f>
        <v/>
      </c>
    </row>
    <row r="880" outlineLevel="2" ht="15" customHeight="1" s="82">
      <c r="A880" s="94">
        <f>'לקוחות לפי סוכן - מקור'!A412</f>
        <v/>
      </c>
      <c r="B880" s="94">
        <f>'לקוחות לפי סוכן - מקור'!C412</f>
        <v/>
      </c>
      <c r="C880" s="94">
        <f>'לקוחות לפי סוכן - מקור'!E412</f>
        <v/>
      </c>
      <c r="D880" s="102">
        <f>'לקוחות לפי סוכן - מקור'!F412</f>
        <v/>
      </c>
      <c r="E880" s="102">
        <f>'לקוחות לפי סוכן - מקור'!G412</f>
        <v/>
      </c>
      <c r="F880" s="94">
        <f>'לקוחות לפי סוכן - מקור'!D412</f>
        <v/>
      </c>
      <c r="G880" s="95">
        <f>'לקוחות לפי סוכן - מקור'!H412</f>
        <v/>
      </c>
      <c r="H880" s="95">
        <f>'לקוחות לפי סוכן - מקור'!I412</f>
        <v/>
      </c>
      <c r="I880" s="127">
        <f>'לקוחות לפי סוכן - מקור'!K412</f>
        <v/>
      </c>
    </row>
    <row r="881" outlineLevel="2" ht="15" customHeight="1" s="82">
      <c r="A881" s="94">
        <f>'לקוחות לפי סוכן - מקור'!A413</f>
        <v/>
      </c>
      <c r="B881" s="94">
        <f>'לקוחות לפי סוכן - מקור'!C413</f>
        <v/>
      </c>
      <c r="C881" s="94">
        <f>'לקוחות לפי סוכן - מקור'!E413</f>
        <v/>
      </c>
      <c r="D881" s="102">
        <f>'לקוחות לפי סוכן - מקור'!F413</f>
        <v/>
      </c>
      <c r="E881" s="102">
        <f>'לקוחות לפי סוכן - מקור'!G413</f>
        <v/>
      </c>
      <c r="F881" s="94">
        <f>'לקוחות לפי סוכן - מקור'!D413</f>
        <v/>
      </c>
      <c r="G881" s="95">
        <f>'לקוחות לפי סוכן - מקור'!H413</f>
        <v/>
      </c>
      <c r="H881" s="95">
        <f>'לקוחות לפי סוכן - מקור'!I413</f>
        <v/>
      </c>
      <c r="I881" s="127">
        <f>'לקוחות לפי סוכן - מקור'!K413</f>
        <v/>
      </c>
    </row>
    <row r="882" outlineLevel="2" ht="15" customHeight="1" s="82">
      <c r="A882" s="94">
        <f>'לקוחות לפי סוכן - מקור'!A414</f>
        <v/>
      </c>
      <c r="B882" s="94">
        <f>'לקוחות לפי סוכן - מקור'!C414</f>
        <v/>
      </c>
      <c r="C882" s="94">
        <f>'לקוחות לפי סוכן - מקור'!E414</f>
        <v/>
      </c>
      <c r="D882" s="102">
        <f>'לקוחות לפי סוכן - מקור'!F414</f>
        <v/>
      </c>
      <c r="E882" s="102">
        <f>'לקוחות לפי סוכן - מקור'!G414</f>
        <v/>
      </c>
      <c r="F882" s="94">
        <f>'לקוחות לפי סוכן - מקור'!D414</f>
        <v/>
      </c>
      <c r="G882" s="95">
        <f>'לקוחות לפי סוכן - מקור'!H414</f>
        <v/>
      </c>
      <c r="H882" s="95">
        <f>'לקוחות לפי סוכן - מקור'!I414</f>
        <v/>
      </c>
      <c r="I882" s="127">
        <f>'לקוחות לפי סוכן - מקור'!K414</f>
        <v/>
      </c>
    </row>
    <row r="883" outlineLevel="2" ht="15" customHeight="1" s="82">
      <c r="A883" s="94">
        <f>'לקוחות לפי סוכן - מקור'!A415</f>
        <v/>
      </c>
      <c r="B883" s="94">
        <f>'לקוחות לפי סוכן - מקור'!C415</f>
        <v/>
      </c>
      <c r="C883" s="94">
        <f>'לקוחות לפי סוכן - מקור'!E415</f>
        <v/>
      </c>
      <c r="D883" s="102">
        <f>'לקוחות לפי סוכן - מקור'!F415</f>
        <v/>
      </c>
      <c r="E883" s="102">
        <f>'לקוחות לפי סוכן - מקור'!G415</f>
        <v/>
      </c>
      <c r="F883" s="94">
        <f>'לקוחות לפי סוכן - מקור'!D415</f>
        <v/>
      </c>
      <c r="G883" s="95">
        <f>'לקוחות לפי סוכן - מקור'!H415</f>
        <v/>
      </c>
      <c r="H883" s="95">
        <f>'לקוחות לפי סוכן - מקור'!I415</f>
        <v/>
      </c>
      <c r="I883" s="127">
        <f>'לקוחות לפי סוכן - מקור'!K415</f>
        <v/>
      </c>
    </row>
    <row r="884" outlineLevel="2" ht="15" customHeight="1" s="82">
      <c r="A884" s="94">
        <f>'לקוחות לפי סוכן - מקור'!A416</f>
        <v/>
      </c>
      <c r="B884" s="94">
        <f>'לקוחות לפי סוכן - מקור'!C416</f>
        <v/>
      </c>
      <c r="C884" s="94">
        <f>'לקוחות לפי סוכן - מקור'!E416</f>
        <v/>
      </c>
      <c r="D884" s="102">
        <f>'לקוחות לפי סוכן - מקור'!F416</f>
        <v/>
      </c>
      <c r="E884" s="102">
        <f>'לקוחות לפי סוכן - מקור'!G416</f>
        <v/>
      </c>
      <c r="F884" s="94">
        <f>'לקוחות לפי סוכן - מקור'!D416</f>
        <v/>
      </c>
      <c r="G884" s="95">
        <f>'לקוחות לפי סוכן - מקור'!H416</f>
        <v/>
      </c>
      <c r="H884" s="95">
        <f>'לקוחות לפי סוכן - מקור'!I416</f>
        <v/>
      </c>
      <c r="I884" s="127">
        <f>'לקוחות לפי סוכן - מקור'!K416</f>
        <v/>
      </c>
    </row>
    <row r="885" outlineLevel="2" ht="15" customHeight="1" s="82">
      <c r="A885" s="94">
        <f>'לקוחות לפי סוכן - מקור'!A417</f>
        <v/>
      </c>
      <c r="B885" s="94">
        <f>'לקוחות לפי סוכן - מקור'!C417</f>
        <v/>
      </c>
      <c r="C885" s="94">
        <f>'לקוחות לפי סוכן - מקור'!E417</f>
        <v/>
      </c>
      <c r="D885" s="102">
        <f>'לקוחות לפי סוכן - מקור'!F417</f>
        <v/>
      </c>
      <c r="E885" s="102">
        <f>'לקוחות לפי סוכן - מקור'!G417</f>
        <v/>
      </c>
      <c r="F885" s="94">
        <f>'לקוחות לפי סוכן - מקור'!D417</f>
        <v/>
      </c>
      <c r="G885" s="95">
        <f>'לקוחות לפי סוכן - מקור'!H417</f>
        <v/>
      </c>
      <c r="H885" s="95">
        <f>'לקוחות לפי סוכן - מקור'!I417</f>
        <v/>
      </c>
      <c r="I885" s="127">
        <f>'לקוחות לפי סוכן - מקור'!K417</f>
        <v/>
      </c>
    </row>
    <row r="886" outlineLevel="2" ht="15" customHeight="1" s="82">
      <c r="A886" s="94">
        <f>'לקוחות לפי סוכן - מקור'!A418</f>
        <v/>
      </c>
      <c r="B886" s="94">
        <f>'לקוחות לפי סוכן - מקור'!C418</f>
        <v/>
      </c>
      <c r="C886" s="94">
        <f>'לקוחות לפי סוכן - מקור'!E418</f>
        <v/>
      </c>
      <c r="D886" s="102">
        <f>'לקוחות לפי סוכן - מקור'!F418</f>
        <v/>
      </c>
      <c r="E886" s="102">
        <f>'לקוחות לפי סוכן - מקור'!G418</f>
        <v/>
      </c>
      <c r="F886" s="94">
        <f>'לקוחות לפי סוכן - מקור'!D418</f>
        <v/>
      </c>
      <c r="G886" s="95">
        <f>'לקוחות לפי סוכן - מקור'!H418</f>
        <v/>
      </c>
      <c r="H886" s="95">
        <f>'לקוחות לפי סוכן - מקור'!I418</f>
        <v/>
      </c>
      <c r="I886" s="127">
        <f>'לקוחות לפי סוכן - מקור'!K418</f>
        <v/>
      </c>
    </row>
    <row r="887" outlineLevel="2" ht="15" customHeight="1" s="82">
      <c r="A887" s="94">
        <f>'לקוחות לפי סוכן - מקור'!A419</f>
        <v/>
      </c>
      <c r="B887" s="94">
        <f>'לקוחות לפי סוכן - מקור'!C419</f>
        <v/>
      </c>
      <c r="C887" s="94">
        <f>'לקוחות לפי סוכן - מקור'!E419</f>
        <v/>
      </c>
      <c r="D887" s="102">
        <f>'לקוחות לפי סוכן - מקור'!F419</f>
        <v/>
      </c>
      <c r="E887" s="102">
        <f>'לקוחות לפי סוכן - מקור'!G419</f>
        <v/>
      </c>
      <c r="F887" s="94">
        <f>'לקוחות לפי סוכן - מקור'!D419</f>
        <v/>
      </c>
      <c r="G887" s="95">
        <f>'לקוחות לפי סוכן - מקור'!H419</f>
        <v/>
      </c>
      <c r="H887" s="95">
        <f>'לקוחות לפי סוכן - מקור'!I419</f>
        <v/>
      </c>
      <c r="I887" s="127">
        <f>'לקוחות לפי סוכן - מקור'!K419</f>
        <v/>
      </c>
    </row>
    <row r="888" outlineLevel="2" ht="15" customHeight="1" s="82">
      <c r="A888" s="94">
        <f>'לקוחות לפי סוכן - מקור'!A420</f>
        <v/>
      </c>
      <c r="B888" s="94">
        <f>'לקוחות לפי סוכן - מקור'!C420</f>
        <v/>
      </c>
      <c r="C888" s="94">
        <f>'לקוחות לפי סוכן - מקור'!E420</f>
        <v/>
      </c>
      <c r="D888" s="102">
        <f>'לקוחות לפי סוכן - מקור'!F420</f>
        <v/>
      </c>
      <c r="E888" s="102">
        <f>'לקוחות לפי סוכן - מקור'!G420</f>
        <v/>
      </c>
      <c r="F888" s="94">
        <f>'לקוחות לפי סוכן - מקור'!D420</f>
        <v/>
      </c>
      <c r="G888" s="95">
        <f>'לקוחות לפי סוכן - מקור'!H420</f>
        <v/>
      </c>
      <c r="H888" s="95">
        <f>'לקוחות לפי סוכן - מקור'!I420</f>
        <v/>
      </c>
      <c r="I888" s="127">
        <f>'לקוחות לפי סוכן - מקור'!K420</f>
        <v/>
      </c>
    </row>
    <row r="889" outlineLevel="2" ht="15" customHeight="1" s="82">
      <c r="A889" s="94">
        <f>'לקוחות לפי סוכן - מקור'!A421</f>
        <v/>
      </c>
      <c r="B889" s="94">
        <f>'לקוחות לפי סוכן - מקור'!C421</f>
        <v/>
      </c>
      <c r="C889" s="94">
        <f>'לקוחות לפי סוכן - מקור'!E421</f>
        <v/>
      </c>
      <c r="D889" s="102">
        <f>'לקוחות לפי סוכן - מקור'!F421</f>
        <v/>
      </c>
      <c r="E889" s="102">
        <f>'לקוחות לפי סוכן - מקור'!G421</f>
        <v/>
      </c>
      <c r="F889" s="94">
        <f>'לקוחות לפי סוכן - מקור'!D421</f>
        <v/>
      </c>
      <c r="G889" s="95">
        <f>'לקוחות לפי סוכן - מקור'!H421</f>
        <v/>
      </c>
      <c r="H889" s="95">
        <f>'לקוחות לפי סוכן - מקור'!I421</f>
        <v/>
      </c>
      <c r="I889" s="127">
        <f>'לקוחות לפי סוכן - מקור'!K421</f>
        <v/>
      </c>
    </row>
    <row r="890" outlineLevel="2" ht="15" customHeight="1" s="82">
      <c r="A890" s="94">
        <f>'לקוחות לפי סוכן - מקור'!A422</f>
        <v/>
      </c>
      <c r="B890" s="94">
        <f>'לקוחות לפי סוכן - מקור'!C422</f>
        <v/>
      </c>
      <c r="C890" s="94">
        <f>'לקוחות לפי סוכן - מקור'!E422</f>
        <v/>
      </c>
      <c r="D890" s="102">
        <f>'לקוחות לפי סוכן - מקור'!F422</f>
        <v/>
      </c>
      <c r="E890" s="102">
        <f>'לקוחות לפי סוכן - מקור'!G422</f>
        <v/>
      </c>
      <c r="F890" s="94">
        <f>'לקוחות לפי סוכן - מקור'!D422</f>
        <v/>
      </c>
      <c r="G890" s="95">
        <f>'לקוחות לפי סוכן - מקור'!H422</f>
        <v/>
      </c>
      <c r="H890" s="95">
        <f>'לקוחות לפי סוכן - מקור'!I422</f>
        <v/>
      </c>
      <c r="I890" s="127">
        <f>'לקוחות לפי סוכן - מקור'!K422</f>
        <v/>
      </c>
    </row>
    <row r="891" outlineLevel="2" ht="15" customHeight="1" s="82">
      <c r="A891" s="94">
        <f>'לקוחות לפי סוכן - מקור'!A423</f>
        <v/>
      </c>
      <c r="B891" s="94">
        <f>'לקוחות לפי סוכן - מקור'!C423</f>
        <v/>
      </c>
      <c r="C891" s="94">
        <f>'לקוחות לפי סוכן - מקור'!E423</f>
        <v/>
      </c>
      <c r="D891" s="102">
        <f>'לקוחות לפי סוכן - מקור'!F423</f>
        <v/>
      </c>
      <c r="E891" s="102">
        <f>'לקוחות לפי סוכן - מקור'!G423</f>
        <v/>
      </c>
      <c r="F891" s="94">
        <f>'לקוחות לפי סוכן - מקור'!D423</f>
        <v/>
      </c>
      <c r="G891" s="95">
        <f>'לקוחות לפי סוכן - מקור'!H423</f>
        <v/>
      </c>
      <c r="H891" s="95">
        <f>'לקוחות לפי סוכן - מקור'!I423</f>
        <v/>
      </c>
      <c r="I891" s="127">
        <f>'לקוחות לפי סוכן - מקור'!K423</f>
        <v/>
      </c>
    </row>
    <row r="892" outlineLevel="2" ht="15" customHeight="1" s="82">
      <c r="A892" s="94">
        <f>'לקוחות לפי סוכן - מקור'!A424</f>
        <v/>
      </c>
      <c r="B892" s="94">
        <f>'לקוחות לפי סוכן - מקור'!C424</f>
        <v/>
      </c>
      <c r="C892" s="94">
        <f>'לקוחות לפי סוכן - מקור'!E424</f>
        <v/>
      </c>
      <c r="D892" s="102">
        <f>'לקוחות לפי סוכן - מקור'!F424</f>
        <v/>
      </c>
      <c r="E892" s="102">
        <f>'לקוחות לפי סוכן - מקור'!G424</f>
        <v/>
      </c>
      <c r="F892" s="94">
        <f>'לקוחות לפי סוכן - מקור'!D424</f>
        <v/>
      </c>
      <c r="G892" s="95">
        <f>'לקוחות לפי סוכן - מקור'!H424</f>
        <v/>
      </c>
      <c r="H892" s="95">
        <f>'לקוחות לפי סוכן - מקור'!I424</f>
        <v/>
      </c>
      <c r="I892" s="127">
        <f>'לקוחות לפי סוכן - מקור'!K424</f>
        <v/>
      </c>
    </row>
    <row r="893" outlineLevel="2" ht="15" customHeight="1" s="82">
      <c r="A893" s="94">
        <f>'לקוחות לפי סוכן - מקור'!A425</f>
        <v/>
      </c>
      <c r="B893" s="94">
        <f>'לקוחות לפי סוכן - מקור'!C425</f>
        <v/>
      </c>
      <c r="C893" s="94">
        <f>'לקוחות לפי סוכן - מקור'!E425</f>
        <v/>
      </c>
      <c r="D893" s="102">
        <f>'לקוחות לפי סוכן - מקור'!F425</f>
        <v/>
      </c>
      <c r="E893" s="102">
        <f>'לקוחות לפי סוכן - מקור'!G425</f>
        <v/>
      </c>
      <c r="F893" s="94">
        <f>'לקוחות לפי סוכן - מקור'!D425</f>
        <v/>
      </c>
      <c r="G893" s="95">
        <f>'לקוחות לפי סוכן - מקור'!H425</f>
        <v/>
      </c>
      <c r="H893" s="95">
        <f>'לקוחות לפי סוכן - מקור'!I425</f>
        <v/>
      </c>
      <c r="I893" s="127">
        <f>'לקוחות לפי סוכן - מקור'!K425</f>
        <v/>
      </c>
    </row>
    <row r="894" outlineLevel="2" ht="15" customHeight="1" s="82">
      <c r="A894" s="94">
        <f>'לקוחות לפי סוכן - מקור'!A426</f>
        <v/>
      </c>
      <c r="B894" s="94">
        <f>'לקוחות לפי סוכן - מקור'!C426</f>
        <v/>
      </c>
      <c r="C894" s="94">
        <f>'לקוחות לפי סוכן - מקור'!E426</f>
        <v/>
      </c>
      <c r="D894" s="102">
        <f>'לקוחות לפי סוכן - מקור'!F426</f>
        <v/>
      </c>
      <c r="E894" s="102">
        <f>'לקוחות לפי סוכן - מקור'!G426</f>
        <v/>
      </c>
      <c r="F894" s="94">
        <f>'לקוחות לפי סוכן - מקור'!D426</f>
        <v/>
      </c>
      <c r="G894" s="95">
        <f>'לקוחות לפי סוכן - מקור'!H426</f>
        <v/>
      </c>
      <c r="H894" s="95">
        <f>'לקוחות לפי סוכן - מקור'!I426</f>
        <v/>
      </c>
      <c r="I894" s="127">
        <f>'לקוחות לפי סוכן - מקור'!K426</f>
        <v/>
      </c>
    </row>
    <row r="895" outlineLevel="1" ht="15" customHeight="1" s="82">
      <c r="A895" s="128" t="inlineStr">
        <is>
          <t>חאזם תלחמי</t>
        </is>
      </c>
      <c r="B895" s="129" t="inlineStr">
        <is>
          <t>103 - Physiotherapy institutes</t>
        </is>
      </c>
      <c r="C895" s="130" t="n"/>
      <c r="D895" s="131">
        <f>SUMIFS('לקוחות לפי סוכן - מקור'!$F$2:$F$867,'לקוחות לפי סוכן - מקור'!$A$2:$A$867,$A895,'לקוחות לפי סוכן - מקור'!$C$2:$C$867,$B895)</f>
        <v/>
      </c>
      <c r="E895" s="131">
        <f>SUMIFS('לקוחות לפי סוכן - מקור'!$G$2:$G$867,'לקוחות לפי סוכן - מקור'!$A$2:$A$867,$A895,'לקוחות לפי סוכן - מקור'!$C$2:$C$867,$B895)</f>
        <v/>
      </c>
      <c r="F895" s="130" t="n"/>
      <c r="G895" s="132">
        <f>SUMIFS('לקוחות לפי סוכן - מקור'!$H$2:$H$867,'לקוחות לפי סוכן - מקור'!$A$2:$A$867,$A895,'לקוחות לפי סוכן - מקור'!$C$2:$C$867,$B895)</f>
        <v/>
      </c>
      <c r="H895" s="132">
        <f>SUMIFS('לקוחות לפי סוכן - מקור'!$I$2:$I$867,'לקוחות לפי סוכן - מקור'!$A$2:$A$867,$A895,'לקוחות לפי סוכן - מקור'!$C$2:$C$867,$B895)</f>
        <v/>
      </c>
      <c r="I895" s="130" t="n"/>
      <c r="J895" s="132">
        <f>COUNTIFS('לקוחות לפי סוכן - מקור'!$A$2:$A$867,$A895,'לקוחות לפי סוכן - מקור'!$C$2:$C$867,$B895)</f>
        <v/>
      </c>
    </row>
    <row r="896" outlineLevel="2" ht="15" customHeight="1" s="82">
      <c r="A896" s="94">
        <f>'לקוחות לפי סוכן - מקור'!A427</f>
        <v/>
      </c>
      <c r="B896" s="94">
        <f>'לקוחות לפי סוכן - מקור'!C427</f>
        <v/>
      </c>
      <c r="C896" s="94">
        <f>'לקוחות לפי סוכן - מקור'!E427</f>
        <v/>
      </c>
      <c r="D896" s="102">
        <f>'לקוחות לפי סוכן - מקור'!F427</f>
        <v/>
      </c>
      <c r="E896" s="102">
        <f>'לקוחות לפי סוכן - מקור'!G427</f>
        <v/>
      </c>
      <c r="F896" s="94">
        <f>'לקוחות לפי סוכן - מקור'!D427</f>
        <v/>
      </c>
      <c r="G896" s="95">
        <f>'לקוחות לפי סוכן - מקור'!H427</f>
        <v/>
      </c>
      <c r="H896" s="95">
        <f>'לקוחות לפי סוכן - מקור'!I427</f>
        <v/>
      </c>
      <c r="I896" s="127">
        <f>'לקוחות לפי סוכן - מקור'!K427</f>
        <v/>
      </c>
    </row>
    <row r="897" outlineLevel="2" ht="15" customHeight="1" s="82">
      <c r="A897" s="94">
        <f>'לקוחות לפי סוכן - מקור'!A428</f>
        <v/>
      </c>
      <c r="B897" s="94">
        <f>'לקוחות לפי סוכן - מקור'!C428</f>
        <v/>
      </c>
      <c r="C897" s="94">
        <f>'לקוחות לפי סוכן - מקור'!E428</f>
        <v/>
      </c>
      <c r="D897" s="102">
        <f>'לקוחות לפי סוכן - מקור'!F428</f>
        <v/>
      </c>
      <c r="E897" s="102">
        <f>'לקוחות לפי סוכן - מקור'!G428</f>
        <v/>
      </c>
      <c r="F897" s="94">
        <f>'לקוחות לפי סוכן - מקור'!D428</f>
        <v/>
      </c>
      <c r="G897" s="95">
        <f>'לקוחות לפי סוכן - מקור'!H428</f>
        <v/>
      </c>
      <c r="H897" s="95">
        <f>'לקוחות לפי סוכן - מקור'!I428</f>
        <v/>
      </c>
      <c r="I897" s="127">
        <f>'לקוחות לפי סוכן - מקור'!K428</f>
        <v/>
      </c>
    </row>
    <row r="898" outlineLevel="2" ht="15" customHeight="1" s="82">
      <c r="A898" s="94">
        <f>'לקוחות לפי סוכן - מקור'!A429</f>
        <v/>
      </c>
      <c r="B898" s="94">
        <f>'לקוחות לפי סוכן - מקור'!C429</f>
        <v/>
      </c>
      <c r="C898" s="94">
        <f>'לקוחות לפי סוכן - מקור'!E429</f>
        <v/>
      </c>
      <c r="D898" s="102">
        <f>'לקוחות לפי סוכן - מקור'!F429</f>
        <v/>
      </c>
      <c r="E898" s="102">
        <f>'לקוחות לפי סוכן - מקור'!G429</f>
        <v/>
      </c>
      <c r="F898" s="94">
        <f>'לקוחות לפי סוכן - מקור'!D429</f>
        <v/>
      </c>
      <c r="G898" s="95">
        <f>'לקוחות לפי סוכן - מקור'!H429</f>
        <v/>
      </c>
      <c r="H898" s="95">
        <f>'לקוחות לפי סוכן - מקור'!I429</f>
        <v/>
      </c>
      <c r="I898" s="127">
        <f>'לקוחות לפי סוכן - מקור'!K429</f>
        <v/>
      </c>
    </row>
    <row r="899" outlineLevel="2" ht="15" customHeight="1" s="82">
      <c r="A899" s="94">
        <f>'לקוחות לפי סוכן - מקור'!A430</f>
        <v/>
      </c>
      <c r="B899" s="94">
        <f>'לקוחות לפי סוכן - מקור'!C430</f>
        <v/>
      </c>
      <c r="C899" s="94">
        <f>'לקוחות לפי סוכן - מקור'!E430</f>
        <v/>
      </c>
      <c r="D899" s="102">
        <f>'לקוחות לפי סוכן - מקור'!F430</f>
        <v/>
      </c>
      <c r="E899" s="102">
        <f>'לקוחות לפי סוכן - מקור'!G430</f>
        <v/>
      </c>
      <c r="F899" s="94">
        <f>'לקוחות לפי סוכן - מקור'!D430</f>
        <v/>
      </c>
      <c r="G899" s="95">
        <f>'לקוחות לפי סוכן - מקור'!H430</f>
        <v/>
      </c>
      <c r="H899" s="95">
        <f>'לקוחות לפי סוכן - מקור'!I430</f>
        <v/>
      </c>
      <c r="I899" s="127">
        <f>'לקוחות לפי סוכן - מקור'!K430</f>
        <v/>
      </c>
    </row>
    <row r="900" outlineLevel="2" ht="15" customHeight="1" s="82">
      <c r="A900" s="94">
        <f>'לקוחות לפי סוכן - מקור'!A431</f>
        <v/>
      </c>
      <c r="B900" s="94">
        <f>'לקוחות לפי סוכן - מקור'!C431</f>
        <v/>
      </c>
      <c r="C900" s="94">
        <f>'לקוחות לפי סוכן - מקור'!E431</f>
        <v/>
      </c>
      <c r="D900" s="102">
        <f>'לקוחות לפי סוכן - מקור'!F431</f>
        <v/>
      </c>
      <c r="E900" s="102">
        <f>'לקוחות לפי סוכן - מקור'!G431</f>
        <v/>
      </c>
      <c r="F900" s="94">
        <f>'לקוחות לפי סוכן - מקור'!D431</f>
        <v/>
      </c>
      <c r="G900" s="95">
        <f>'לקוחות לפי סוכן - מקור'!H431</f>
        <v/>
      </c>
      <c r="H900" s="95">
        <f>'לקוחות לפי סוכן - מקור'!I431</f>
        <v/>
      </c>
      <c r="I900" s="127">
        <f>'לקוחות לפי סוכן - מקור'!K431</f>
        <v/>
      </c>
    </row>
    <row r="901" outlineLevel="2" ht="15" customHeight="1" s="82">
      <c r="A901" s="94">
        <f>'לקוחות לפי סוכן - מקור'!A432</f>
        <v/>
      </c>
      <c r="B901" s="94">
        <f>'לקוחות לפי סוכן - מקור'!C432</f>
        <v/>
      </c>
      <c r="C901" s="94">
        <f>'לקוחות לפי סוכן - מקור'!E432</f>
        <v/>
      </c>
      <c r="D901" s="102">
        <f>'לקוחות לפי סוכן - מקור'!F432</f>
        <v/>
      </c>
      <c r="E901" s="102">
        <f>'לקוחות לפי סוכן - מקור'!G432</f>
        <v/>
      </c>
      <c r="F901" s="94">
        <f>'לקוחות לפי סוכן - מקור'!D432</f>
        <v/>
      </c>
      <c r="G901" s="95">
        <f>'לקוחות לפי סוכן - מקור'!H432</f>
        <v/>
      </c>
      <c r="H901" s="95">
        <f>'לקוחות לפי סוכן - מקור'!I432</f>
        <v/>
      </c>
      <c r="I901" s="127">
        <f>'לקוחות לפי סוכן - מקור'!K432</f>
        <v/>
      </c>
    </row>
    <row r="902" outlineLevel="2" ht="15" customHeight="1" s="82">
      <c r="A902" s="94">
        <f>'לקוחות לפי סוכן - מקור'!A433</f>
        <v/>
      </c>
      <c r="B902" s="94">
        <f>'לקוחות לפי סוכן - מקור'!C433</f>
        <v/>
      </c>
      <c r="C902" s="94">
        <f>'לקוחות לפי סוכן - מקור'!E433</f>
        <v/>
      </c>
      <c r="D902" s="102">
        <f>'לקוחות לפי סוכן - מקור'!F433</f>
        <v/>
      </c>
      <c r="E902" s="102">
        <f>'לקוחות לפי סוכן - מקור'!G433</f>
        <v/>
      </c>
      <c r="F902" s="94">
        <f>'לקוחות לפי סוכן - מקור'!D433</f>
        <v/>
      </c>
      <c r="G902" s="95">
        <f>'לקוחות לפי סוכן - מקור'!H433</f>
        <v/>
      </c>
      <c r="H902" s="95">
        <f>'לקוחות לפי סוכן - מקור'!I433</f>
        <v/>
      </c>
      <c r="I902" s="127">
        <f>'לקוחות לפי סוכן - מקור'!K433</f>
        <v/>
      </c>
    </row>
    <row r="903" outlineLevel="2" ht="15" customHeight="1" s="82">
      <c r="A903" s="94">
        <f>'לקוחות לפי סוכן - מקור'!A434</f>
        <v/>
      </c>
      <c r="B903" s="94">
        <f>'לקוחות לפי סוכן - מקור'!C434</f>
        <v/>
      </c>
      <c r="C903" s="94">
        <f>'לקוחות לפי סוכן - מקור'!E434</f>
        <v/>
      </c>
      <c r="D903" s="102">
        <f>'לקוחות לפי סוכן - מקור'!F434</f>
        <v/>
      </c>
      <c r="E903" s="102">
        <f>'לקוחות לפי סוכן - מקור'!G434</f>
        <v/>
      </c>
      <c r="F903" s="94">
        <f>'לקוחות לפי סוכן - מקור'!D434</f>
        <v/>
      </c>
      <c r="G903" s="95">
        <f>'לקוחות לפי סוכן - מקור'!H434</f>
        <v/>
      </c>
      <c r="H903" s="95">
        <f>'לקוחות לפי סוכן - מקור'!I434</f>
        <v/>
      </c>
      <c r="I903" s="127">
        <f>'לקוחות לפי סוכן - מקור'!K434</f>
        <v/>
      </c>
    </row>
    <row r="904" outlineLevel="2" ht="15" customHeight="1" s="82">
      <c r="A904" s="94">
        <f>'לקוחות לפי סוכן - מקור'!A435</f>
        <v/>
      </c>
      <c r="B904" s="94">
        <f>'לקוחות לפי סוכן - מקור'!C435</f>
        <v/>
      </c>
      <c r="C904" s="94">
        <f>'לקוחות לפי סוכן - מקור'!E435</f>
        <v/>
      </c>
      <c r="D904" s="102">
        <f>'לקוחות לפי סוכן - מקור'!F435</f>
        <v/>
      </c>
      <c r="E904" s="102">
        <f>'לקוחות לפי סוכן - מקור'!G435</f>
        <v/>
      </c>
      <c r="F904" s="94">
        <f>'לקוחות לפי סוכן - מקור'!D435</f>
        <v/>
      </c>
      <c r="G904" s="95">
        <f>'לקוחות לפי סוכן - מקור'!H435</f>
        <v/>
      </c>
      <c r="H904" s="95">
        <f>'לקוחות לפי סוכן - מקור'!I435</f>
        <v/>
      </c>
      <c r="I904" s="127">
        <f>'לקוחות לפי סוכן - מקור'!K435</f>
        <v/>
      </c>
    </row>
    <row r="905" outlineLevel="2" ht="15" customHeight="1" s="82">
      <c r="A905" s="94">
        <f>'לקוחות לפי סוכן - מקור'!A436</f>
        <v/>
      </c>
      <c r="B905" s="94">
        <f>'לקוחות לפי סוכן - מקור'!C436</f>
        <v/>
      </c>
      <c r="C905" s="94">
        <f>'לקוחות לפי סוכן - מקור'!E436</f>
        <v/>
      </c>
      <c r="D905" s="102">
        <f>'לקוחות לפי סוכן - מקור'!F436</f>
        <v/>
      </c>
      <c r="E905" s="102">
        <f>'לקוחות לפי סוכן - מקור'!G436</f>
        <v/>
      </c>
      <c r="F905" s="94">
        <f>'לקוחות לפי סוכן - מקור'!D436</f>
        <v/>
      </c>
      <c r="G905" s="95">
        <f>'לקוחות לפי סוכן - מקור'!H436</f>
        <v/>
      </c>
      <c r="H905" s="95">
        <f>'לקוחות לפי סוכן - מקור'!I436</f>
        <v/>
      </c>
      <c r="I905" s="127">
        <f>'לקוחות לפי סוכן - מקור'!K436</f>
        <v/>
      </c>
    </row>
    <row r="906" outlineLevel="2" ht="15" customHeight="1" s="82">
      <c r="A906" s="94">
        <f>'לקוחות לפי סוכן - מקור'!A437</f>
        <v/>
      </c>
      <c r="B906" s="94">
        <f>'לקוחות לפי סוכן - מקור'!C437</f>
        <v/>
      </c>
      <c r="C906" s="94">
        <f>'לקוחות לפי סוכן - מקור'!E437</f>
        <v/>
      </c>
      <c r="D906" s="102">
        <f>'לקוחות לפי סוכן - מקור'!F437</f>
        <v/>
      </c>
      <c r="E906" s="102">
        <f>'לקוחות לפי סוכן - מקור'!G437</f>
        <v/>
      </c>
      <c r="F906" s="94">
        <f>'לקוחות לפי סוכן - מקור'!D437</f>
        <v/>
      </c>
      <c r="G906" s="95">
        <f>'לקוחות לפי סוכן - מקור'!H437</f>
        <v/>
      </c>
      <c r="H906" s="95">
        <f>'לקוחות לפי סוכן - מקור'!I437</f>
        <v/>
      </c>
      <c r="I906" s="127">
        <f>'לקוחות לפי סוכן - מקור'!K437</f>
        <v/>
      </c>
    </row>
    <row r="907" outlineLevel="1" ht="15" customHeight="1" s="82">
      <c r="A907" s="128" t="inlineStr">
        <is>
          <t>חאזם תלחמי</t>
        </is>
      </c>
      <c r="B907" s="129" t="inlineStr">
        <is>
          <t>104 - Sports Shop</t>
        </is>
      </c>
      <c r="C907" s="130" t="n"/>
      <c r="D907" s="131">
        <f>SUMIFS('לקוחות לפי סוכן - מקור'!$F$2:$F$867,'לקוחות לפי סוכן - מקור'!$A$2:$A$867,$A907,'לקוחות לפי סוכן - מקור'!$C$2:$C$867,$B907)</f>
        <v/>
      </c>
      <c r="E907" s="131">
        <f>SUMIFS('לקוחות לפי סוכן - מקור'!$G$2:$G$867,'לקוחות לפי סוכן - מקור'!$A$2:$A$867,$A907,'לקוחות לפי סוכן - מקור'!$C$2:$C$867,$B907)</f>
        <v/>
      </c>
      <c r="F907" s="130" t="n"/>
      <c r="G907" s="132">
        <f>SUMIFS('לקוחות לפי סוכן - מקור'!$H$2:$H$867,'לקוחות לפי סוכן - מקור'!$A$2:$A$867,$A907,'לקוחות לפי סוכן - מקור'!$C$2:$C$867,$B907)</f>
        <v/>
      </c>
      <c r="H907" s="132">
        <f>SUMIFS('לקוחות לפי סוכן - מקור'!$I$2:$I$867,'לקוחות לפי סוכן - מקור'!$A$2:$A$867,$A907,'לקוחות לפי סוכן - מקור'!$C$2:$C$867,$B907)</f>
        <v/>
      </c>
      <c r="I907" s="130" t="n"/>
      <c r="J907" s="132">
        <f>COUNTIFS('לקוחות לפי סוכן - מקור'!$A$2:$A$867,$A907,'לקוחות לפי סוכן - מקור'!$C$2:$C$867,$B907)</f>
        <v/>
      </c>
    </row>
    <row r="908" outlineLevel="2" ht="15" customHeight="1" s="82">
      <c r="A908" s="94">
        <f>'לקוחות לפי סוכן - מקור'!A438</f>
        <v/>
      </c>
      <c r="B908" s="94">
        <f>'לקוחות לפי סוכן - מקור'!C438</f>
        <v/>
      </c>
      <c r="C908" s="94">
        <f>'לקוחות לפי סוכן - מקור'!E438</f>
        <v/>
      </c>
      <c r="D908" s="102">
        <f>'לקוחות לפי סוכן - מקור'!F438</f>
        <v/>
      </c>
      <c r="E908" s="102">
        <f>'לקוחות לפי סוכן - מקור'!G438</f>
        <v/>
      </c>
      <c r="F908" s="94">
        <f>'לקוחות לפי סוכן - מקור'!D438</f>
        <v/>
      </c>
      <c r="G908" s="95">
        <f>'לקוחות לפי סוכן - מקור'!H438</f>
        <v/>
      </c>
      <c r="H908" s="95">
        <f>'לקוחות לפי סוכן - מקור'!I438</f>
        <v/>
      </c>
      <c r="I908" s="127">
        <f>'לקוחות לפי סוכן - מקור'!K438</f>
        <v/>
      </c>
    </row>
    <row r="909" outlineLevel="1" ht="15" customHeight="1" s="82">
      <c r="A909" s="128" t="inlineStr">
        <is>
          <t>חאזם תלחמי</t>
        </is>
      </c>
      <c r="B909" s="129" t="inlineStr">
        <is>
          <t>105 - Pedicure Salons</t>
        </is>
      </c>
      <c r="C909" s="130" t="n"/>
      <c r="D909" s="131">
        <f>SUMIFS('לקוחות לפי סוכן - מקור'!$F$2:$F$867,'לקוחות לפי סוכן - מקור'!$A$2:$A$867,$A909,'לקוחות לפי סוכן - מקור'!$C$2:$C$867,$B909)</f>
        <v/>
      </c>
      <c r="E909" s="131">
        <f>SUMIFS('לקוחות לפי סוכן - מקור'!$G$2:$G$867,'לקוחות לפי סוכן - מקור'!$A$2:$A$867,$A909,'לקוחות לפי סוכן - מקור'!$C$2:$C$867,$B909)</f>
        <v/>
      </c>
      <c r="F909" s="130" t="n"/>
      <c r="G909" s="132">
        <f>SUMIFS('לקוחות לפי סוכן - מקור'!$H$2:$H$867,'לקוחות לפי סוכן - מקור'!$A$2:$A$867,$A909,'לקוחות לפי סוכן - מקור'!$C$2:$C$867,$B909)</f>
        <v/>
      </c>
      <c r="H909" s="132">
        <f>SUMIFS('לקוחות לפי סוכן - מקור'!$I$2:$I$867,'לקוחות לפי סוכן - מקור'!$A$2:$A$867,$A909,'לקוחות לפי סוכן - מקור'!$C$2:$C$867,$B909)</f>
        <v/>
      </c>
      <c r="I909" s="130" t="n"/>
      <c r="J909" s="132">
        <f>COUNTIFS('לקוחות לפי סוכן - מקור'!$A$2:$A$867,$A909,'לקוחות לפי סוכן - מקור'!$C$2:$C$867,$B909)</f>
        <v/>
      </c>
    </row>
    <row r="910" outlineLevel="2" ht="15" customHeight="1" s="82">
      <c r="A910" s="94">
        <f>'לקוחות לפי סוכן - מקור'!A439</f>
        <v/>
      </c>
      <c r="B910" s="94">
        <f>'לקוחות לפי סוכן - מקור'!C439</f>
        <v/>
      </c>
      <c r="C910" s="94">
        <f>'לקוחות לפי סוכן - מקור'!E439</f>
        <v/>
      </c>
      <c r="D910" s="102">
        <f>'לקוחות לפי סוכן - מקור'!F439</f>
        <v/>
      </c>
      <c r="E910" s="102">
        <f>'לקוחות לפי סוכן - מקור'!G439</f>
        <v/>
      </c>
      <c r="F910" s="94">
        <f>'לקוחות לפי סוכן - מקור'!D439</f>
        <v/>
      </c>
      <c r="G910" s="95">
        <f>'לקוחות לפי סוכן - מקור'!H439</f>
        <v/>
      </c>
      <c r="H910" s="95">
        <f>'לקוחות לפי סוכן - מקור'!I439</f>
        <v/>
      </c>
      <c r="I910" s="127">
        <f>'לקוחות לפי סוכן - מקור'!K439</f>
        <v/>
      </c>
    </row>
    <row r="911" outlineLevel="1" ht="15" customHeight="1" s="82">
      <c r="A911" s="128" t="inlineStr">
        <is>
          <t>חאזם תלחמי</t>
        </is>
      </c>
      <c r="B911" s="129" t="inlineStr">
        <is>
          <t>107 - Pharmacies</t>
        </is>
      </c>
      <c r="C911" s="130" t="n"/>
      <c r="D911" s="131">
        <f>SUMIFS('לקוחות לפי סוכן - מקור'!$F$2:$F$867,'לקוחות לפי סוכן - מקור'!$A$2:$A$867,$A911,'לקוחות לפי סוכן - מקור'!$C$2:$C$867,$B911)</f>
        <v/>
      </c>
      <c r="E911" s="131">
        <f>SUMIFS('לקוחות לפי סוכן - מקור'!$G$2:$G$867,'לקוחות לפי סוכן - מקור'!$A$2:$A$867,$A911,'לקוחות לפי סוכן - מקור'!$C$2:$C$867,$B911)</f>
        <v/>
      </c>
      <c r="F911" s="130" t="n"/>
      <c r="G911" s="132">
        <f>SUMIFS('לקוחות לפי סוכן - מקור'!$H$2:$H$867,'לקוחות לפי סוכן - מקור'!$A$2:$A$867,$A911,'לקוחות לפי סוכן - מקור'!$C$2:$C$867,$B911)</f>
        <v/>
      </c>
      <c r="H911" s="132">
        <f>SUMIFS('לקוחות לפי סוכן - מקור'!$I$2:$I$867,'לקוחות לפי סוכן - מקור'!$A$2:$A$867,$A911,'לקוחות לפי סוכן - מקור'!$C$2:$C$867,$B911)</f>
        <v/>
      </c>
      <c r="I911" s="130" t="n"/>
      <c r="J911" s="132">
        <f>COUNTIFS('לקוחות לפי סוכן - מקור'!$A$2:$A$867,$A911,'לקוחות לפי סוכן - מקור'!$C$2:$C$867,$B911)</f>
        <v/>
      </c>
    </row>
    <row r="912" outlineLevel="2" ht="15" customHeight="1" s="82">
      <c r="A912" s="94">
        <f>'לקוחות לפי סוכן - מקור'!A440</f>
        <v/>
      </c>
      <c r="B912" s="94">
        <f>'לקוחות לפי סוכן - מקור'!C440</f>
        <v/>
      </c>
      <c r="C912" s="94">
        <f>'לקוחות לפי סוכן - מקור'!E440</f>
        <v/>
      </c>
      <c r="D912" s="102">
        <f>'לקוחות לפי סוכן - מקור'!F440</f>
        <v/>
      </c>
      <c r="E912" s="102">
        <f>'לקוחות לפי סוכן - מקור'!G440</f>
        <v/>
      </c>
      <c r="F912" s="94">
        <f>'לקוחות לפי סוכן - מקור'!D440</f>
        <v/>
      </c>
      <c r="G912" s="95">
        <f>'לקוחות לפי סוכן - מקור'!H440</f>
        <v/>
      </c>
      <c r="H912" s="95">
        <f>'לקוחות לפי סוכן - מקור'!I440</f>
        <v/>
      </c>
      <c r="I912" s="127">
        <f>'לקוחות לפי סוכן - מקור'!K440</f>
        <v/>
      </c>
    </row>
    <row r="913" outlineLevel="2" ht="15" customHeight="1" s="82">
      <c r="A913" s="94">
        <f>'לקוחות לפי סוכן - מקור'!A441</f>
        <v/>
      </c>
      <c r="B913" s="94">
        <f>'לקוחות לפי סוכן - מקור'!C441</f>
        <v/>
      </c>
      <c r="C913" s="94">
        <f>'לקוחות לפי סוכן - מקור'!E441</f>
        <v/>
      </c>
      <c r="D913" s="102">
        <f>'לקוחות לפי סוכן - מקור'!F441</f>
        <v/>
      </c>
      <c r="E913" s="102">
        <f>'לקוחות לפי סוכן - מקור'!G441</f>
        <v/>
      </c>
      <c r="F913" s="94">
        <f>'לקוחות לפי סוכן - מקור'!D441</f>
        <v/>
      </c>
      <c r="G913" s="95">
        <f>'לקוחות לפי סוכן - מקור'!H441</f>
        <v/>
      </c>
      <c r="H913" s="95">
        <f>'לקוחות לפי סוכן - מקור'!I441</f>
        <v/>
      </c>
      <c r="I913" s="127">
        <f>'לקוחות לפי סוכן - מקור'!K441</f>
        <v/>
      </c>
    </row>
    <row r="914" outlineLevel="2" ht="15" customHeight="1" s="82">
      <c r="A914" s="94">
        <f>'לקוחות לפי סוכן - מקור'!A442</f>
        <v/>
      </c>
      <c r="B914" s="94">
        <f>'לקוחות לפי סוכן - מקור'!C442</f>
        <v/>
      </c>
      <c r="C914" s="94">
        <f>'לקוחות לפי סוכן - מקור'!E442</f>
        <v/>
      </c>
      <c r="D914" s="102">
        <f>'לקוחות לפי סוכן - מקור'!F442</f>
        <v/>
      </c>
      <c r="E914" s="102">
        <f>'לקוחות לפי סוכן - מקור'!G442</f>
        <v/>
      </c>
      <c r="F914" s="94">
        <f>'לקוחות לפי סוכן - מקור'!D442</f>
        <v/>
      </c>
      <c r="G914" s="95">
        <f>'לקוחות לפי סוכן - מקור'!H442</f>
        <v/>
      </c>
      <c r="H914" s="95">
        <f>'לקוחות לפי סוכן - מקור'!I442</f>
        <v/>
      </c>
      <c r="I914" s="127">
        <f>'לקוחות לפי סוכן - מקור'!K442</f>
        <v/>
      </c>
    </row>
    <row r="915" outlineLevel="2" ht="15" customHeight="1" s="82">
      <c r="A915" s="94">
        <f>'לקוחות לפי סוכן - מקור'!A443</f>
        <v/>
      </c>
      <c r="B915" s="94">
        <f>'לקוחות לפי סוכן - מקור'!C443</f>
        <v/>
      </c>
      <c r="C915" s="94">
        <f>'לקוחות לפי סוכן - מקור'!E443</f>
        <v/>
      </c>
      <c r="D915" s="102">
        <f>'לקוחות לפי סוכן - מקור'!F443</f>
        <v/>
      </c>
      <c r="E915" s="102">
        <f>'לקוחות לפי סוכן - מקור'!G443</f>
        <v/>
      </c>
      <c r="F915" s="94">
        <f>'לקוחות לפי סוכן - מקור'!D443</f>
        <v/>
      </c>
      <c r="G915" s="95">
        <f>'לקוחות לפי סוכן - מקור'!H443</f>
        <v/>
      </c>
      <c r="H915" s="95">
        <f>'לקוחות לפי סוכן - מקור'!I443</f>
        <v/>
      </c>
      <c r="I915" s="127">
        <f>'לקוחות לפי סוכן - מקור'!K443</f>
        <v/>
      </c>
    </row>
    <row r="916" outlineLevel="2" ht="15" customHeight="1" s="82">
      <c r="A916" s="94">
        <f>'לקוחות לפי סוכן - מקור'!A444</f>
        <v/>
      </c>
      <c r="B916" s="94">
        <f>'לקוחות לפי סוכן - מקור'!C444</f>
        <v/>
      </c>
      <c r="C916" s="94">
        <f>'לקוחות לפי סוכן - מקור'!E444</f>
        <v/>
      </c>
      <c r="D916" s="102">
        <f>'לקוחות לפי סוכן - מקור'!F444</f>
        <v/>
      </c>
      <c r="E916" s="102">
        <f>'לקוחות לפי סוכן - מקור'!G444</f>
        <v/>
      </c>
      <c r="F916" s="94">
        <f>'לקוחות לפי סוכן - מקור'!D444</f>
        <v/>
      </c>
      <c r="G916" s="95">
        <f>'לקוחות לפי סוכן - מקור'!H444</f>
        <v/>
      </c>
      <c r="H916" s="95">
        <f>'לקוחות לפי סוכן - מקור'!I444</f>
        <v/>
      </c>
      <c r="I916" s="127">
        <f>'לקוחות לפי סוכן - מקור'!K444</f>
        <v/>
      </c>
    </row>
    <row r="917" outlineLevel="1" ht="15" customHeight="1" s="82">
      <c r="A917" s="128" t="inlineStr">
        <is>
          <t>חאזם תלחמי</t>
        </is>
      </c>
      <c r="B917" s="129" t="inlineStr">
        <is>
          <t>109 - Private Shops</t>
        </is>
      </c>
      <c r="C917" s="130" t="n"/>
      <c r="D917" s="131">
        <f>SUMIFS('לקוחות לפי סוכן - מקור'!$F$2:$F$867,'לקוחות לפי סוכן - מקור'!$A$2:$A$867,$A917,'לקוחות לפי סוכן - מקור'!$C$2:$C$867,$B917)</f>
        <v/>
      </c>
      <c r="E917" s="131">
        <f>SUMIFS('לקוחות לפי סוכן - מקור'!$G$2:$G$867,'לקוחות לפי סוכן - מקור'!$A$2:$A$867,$A917,'לקוחות לפי סוכן - מקור'!$C$2:$C$867,$B917)</f>
        <v/>
      </c>
      <c r="F917" s="130" t="n"/>
      <c r="G917" s="132">
        <f>SUMIFS('לקוחות לפי סוכן - מקור'!$H$2:$H$867,'לקוחות לפי סוכן - מקור'!$A$2:$A$867,$A917,'לקוחות לפי סוכן - מקור'!$C$2:$C$867,$B917)</f>
        <v/>
      </c>
      <c r="H917" s="132">
        <f>SUMIFS('לקוחות לפי סוכן - מקור'!$I$2:$I$867,'לקוחות לפי סוכן - מקור'!$A$2:$A$867,$A917,'לקוחות לפי סוכן - מקור'!$C$2:$C$867,$B917)</f>
        <v/>
      </c>
      <c r="I917" s="130" t="n"/>
      <c r="J917" s="132">
        <f>COUNTIFS('לקוחות לפי סוכן - מקור'!$A$2:$A$867,$A917,'לקוחות לפי סוכן - מקור'!$C$2:$C$867,$B917)</f>
        <v/>
      </c>
    </row>
    <row r="918" outlineLevel="2" ht="15" customHeight="1" s="82">
      <c r="A918" s="94">
        <f>'לקוחות לפי סוכן - מקור'!A445</f>
        <v/>
      </c>
      <c r="B918" s="94">
        <f>'לקוחות לפי סוכן - מקור'!C445</f>
        <v/>
      </c>
      <c r="C918" s="94">
        <f>'לקוחות לפי סוכן - מקור'!E445</f>
        <v/>
      </c>
      <c r="D918" s="102">
        <f>'לקוחות לפי סוכן - מקור'!F445</f>
        <v/>
      </c>
      <c r="E918" s="102">
        <f>'לקוחות לפי סוכן - מקור'!G445</f>
        <v/>
      </c>
      <c r="F918" s="94">
        <f>'לקוחות לפי סוכן - מקור'!D445</f>
        <v/>
      </c>
      <c r="G918" s="95">
        <f>'לקוחות לפי סוכן - מקור'!H445</f>
        <v/>
      </c>
      <c r="H918" s="95">
        <f>'לקוחות לפי סוכן - מקור'!I445</f>
        <v/>
      </c>
      <c r="I918" s="127">
        <f>'לקוחות לפי סוכן - מקור'!K445</f>
        <v/>
      </c>
    </row>
    <row r="919" outlineLevel="2" ht="15" customHeight="1" s="82">
      <c r="A919" s="94">
        <f>'לקוחות לפי סוכן - מקור'!A446</f>
        <v/>
      </c>
      <c r="B919" s="94">
        <f>'לקוחות לפי סוכן - מקור'!C446</f>
        <v/>
      </c>
      <c r="C919" s="94">
        <f>'לקוחות לפי סוכן - מקור'!E446</f>
        <v/>
      </c>
      <c r="D919" s="102">
        <f>'לקוחות לפי סוכן - מקור'!F446</f>
        <v/>
      </c>
      <c r="E919" s="102">
        <f>'לקוחות לפי סוכן - מקור'!G446</f>
        <v/>
      </c>
      <c r="F919" s="94">
        <f>'לקוחות לפי סוכן - מקור'!D446</f>
        <v/>
      </c>
      <c r="G919" s="95">
        <f>'לקוחות לפי סוכן - מקור'!H446</f>
        <v/>
      </c>
      <c r="H919" s="95">
        <f>'לקוחות לפי סוכן - מקור'!I446</f>
        <v/>
      </c>
      <c r="I919" s="127">
        <f>'לקוחות לפי סוכן - מקור'!K446</f>
        <v/>
      </c>
    </row>
    <row r="920" outlineLevel="2" ht="15" customHeight="1" s="82">
      <c r="A920" s="94">
        <f>'לקוחות לפי סוכן - מקור'!A447</f>
        <v/>
      </c>
      <c r="B920" s="94">
        <f>'לקוחות לפי סוכן - מקור'!C447</f>
        <v/>
      </c>
      <c r="C920" s="94">
        <f>'לקוחות לפי סוכן - מקור'!E447</f>
        <v/>
      </c>
      <c r="D920" s="102">
        <f>'לקוחות לפי סוכן - מקור'!F447</f>
        <v/>
      </c>
      <c r="E920" s="102">
        <f>'לקוחות לפי סוכן - מקור'!G447</f>
        <v/>
      </c>
      <c r="F920" s="94">
        <f>'לקוחות לפי סוכן - מקור'!D447</f>
        <v/>
      </c>
      <c r="G920" s="95">
        <f>'לקוחות לפי סוכן - מקור'!H447</f>
        <v/>
      </c>
      <c r="H920" s="95">
        <f>'לקוחות לפי סוכן - מקור'!I447</f>
        <v/>
      </c>
      <c r="I920" s="127">
        <f>'לקוחות לפי סוכן - מקור'!K447</f>
        <v/>
      </c>
    </row>
    <row r="921" outlineLevel="2" ht="15" customHeight="1" s="82">
      <c r="A921" s="94">
        <f>'לקוחות לפי סוכן - מקור'!A448</f>
        <v/>
      </c>
      <c r="B921" s="94">
        <f>'לקוחות לפי סוכן - מקור'!C448</f>
        <v/>
      </c>
      <c r="C921" s="94">
        <f>'לקוחות לפי סוכן - מקור'!E448</f>
        <v/>
      </c>
      <c r="D921" s="102">
        <f>'לקוחות לפי סוכן - מקור'!F448</f>
        <v/>
      </c>
      <c r="E921" s="102">
        <f>'לקוחות לפי סוכן - מקור'!G448</f>
        <v/>
      </c>
      <c r="F921" s="94">
        <f>'לקוחות לפי סוכן - מקור'!D448</f>
        <v/>
      </c>
      <c r="G921" s="95">
        <f>'לקוחות לפי סוכן - מקור'!H448</f>
        <v/>
      </c>
      <c r="H921" s="95">
        <f>'לקוחות לפי סוכן - מקור'!I448</f>
        <v/>
      </c>
      <c r="I921" s="127">
        <f>'לקוחות לפי סוכן - מקור'!K448</f>
        <v/>
      </c>
    </row>
    <row r="922" outlineLevel="2" ht="15" customHeight="1" s="82">
      <c r="A922" s="94">
        <f>'לקוחות לפי סוכן - מקור'!A449</f>
        <v/>
      </c>
      <c r="B922" s="94">
        <f>'לקוחות לפי סוכן - מקור'!C449</f>
        <v/>
      </c>
      <c r="C922" s="94">
        <f>'לקוחות לפי סוכן - מקור'!E449</f>
        <v/>
      </c>
      <c r="D922" s="102">
        <f>'לקוחות לפי סוכן - מקור'!F449</f>
        <v/>
      </c>
      <c r="E922" s="102">
        <f>'לקוחות לפי סוכן - מקור'!G449</f>
        <v/>
      </c>
      <c r="F922" s="94">
        <f>'לקוחות לפי סוכן - מקור'!D449</f>
        <v/>
      </c>
      <c r="G922" s="95">
        <f>'לקוחות לפי סוכן - מקור'!H449</f>
        <v/>
      </c>
      <c r="H922" s="95">
        <f>'לקוחות לפי סוכן - מקור'!I449</f>
        <v/>
      </c>
      <c r="I922" s="127">
        <f>'לקוחות לפי סוכן - מקור'!K449</f>
        <v/>
      </c>
    </row>
    <row r="923" outlineLevel="2" ht="15" customHeight="1" s="82">
      <c r="A923" s="94">
        <f>'לקוחות לפי סוכן - מקור'!A450</f>
        <v/>
      </c>
      <c r="B923" s="94">
        <f>'לקוחות לפי סוכן - מקור'!C450</f>
        <v/>
      </c>
      <c r="C923" s="94">
        <f>'לקוחות לפי סוכן - מקור'!E450</f>
        <v/>
      </c>
      <c r="D923" s="102">
        <f>'לקוחות לפי סוכן - מקור'!F450</f>
        <v/>
      </c>
      <c r="E923" s="102">
        <f>'לקוחות לפי סוכן - מקור'!G450</f>
        <v/>
      </c>
      <c r="F923" s="94">
        <f>'לקוחות לפי סוכן - מקור'!D450</f>
        <v/>
      </c>
      <c r="G923" s="95">
        <f>'לקוחות לפי סוכן - מקור'!H450</f>
        <v/>
      </c>
      <c r="H923" s="95">
        <f>'לקוחות לפי סוכן - מקור'!I450</f>
        <v/>
      </c>
      <c r="I923" s="127">
        <f>'לקוחות לפי סוכן - מקור'!K450</f>
        <v/>
      </c>
    </row>
    <row r="924" outlineLevel="2" ht="15" customHeight="1" s="82">
      <c r="A924" s="94">
        <f>'לקוחות לפי סוכן - מקור'!A451</f>
        <v/>
      </c>
      <c r="B924" s="94">
        <f>'לקוחות לפי סוכן - מקור'!C451</f>
        <v/>
      </c>
      <c r="C924" s="94">
        <f>'לקוחות לפי סוכן - מקור'!E451</f>
        <v/>
      </c>
      <c r="D924" s="102">
        <f>'לקוחות לפי סוכן - מקור'!F451</f>
        <v/>
      </c>
      <c r="E924" s="102">
        <f>'לקוחות לפי סוכן - מקור'!G451</f>
        <v/>
      </c>
      <c r="F924" s="94">
        <f>'לקוחות לפי סוכן - מקור'!D451</f>
        <v/>
      </c>
      <c r="G924" s="95">
        <f>'לקוחות לפי סוכן - מקור'!H451</f>
        <v/>
      </c>
      <c r="H924" s="95">
        <f>'לקוחות לפי סוכן - מקור'!I451</f>
        <v/>
      </c>
      <c r="I924" s="127">
        <f>'לקוחות לפי סוכן - מקור'!K451</f>
        <v/>
      </c>
    </row>
    <row r="925" outlineLevel="2" ht="15" customHeight="1" s="82">
      <c r="A925" s="94">
        <f>'לקוחות לפי סוכן - מקור'!A452</f>
        <v/>
      </c>
      <c r="B925" s="94">
        <f>'לקוחות לפי סוכן - מקור'!C452</f>
        <v/>
      </c>
      <c r="C925" s="94">
        <f>'לקוחות לפי סוכן - מקור'!E452</f>
        <v/>
      </c>
      <c r="D925" s="102">
        <f>'לקוחות לפי סוכן - מקור'!F452</f>
        <v/>
      </c>
      <c r="E925" s="102">
        <f>'לקוחות לפי סוכן - מקור'!G452</f>
        <v/>
      </c>
      <c r="F925" s="94">
        <f>'לקוחות לפי סוכן - מקור'!D452</f>
        <v/>
      </c>
      <c r="G925" s="95">
        <f>'לקוחות לפי סוכן - מקור'!H452</f>
        <v/>
      </c>
      <c r="H925" s="95">
        <f>'לקוחות לפי סוכן - מקור'!I452</f>
        <v/>
      </c>
      <c r="I925" s="127">
        <f>'לקוחות לפי סוכן - מקור'!K452</f>
        <v/>
      </c>
    </row>
    <row r="926" ht="15" customHeight="1" s="82">
      <c r="A926" s="96" t="inlineStr">
        <is>
          <t>חאזם תלחמי</t>
        </is>
      </c>
      <c r="B926" s="96" t="n"/>
      <c r="C926" s="96" t="inlineStr">
        <is>
          <t>סה"כ סוכן</t>
        </is>
      </c>
      <c r="D926" s="125">
        <f>SUMIF('לקוחות לפי סוכן - מקור'!$A$2:$A$867,$A926,'לקוחות לפי סוכן - מקור'!$F$2:$F$867)</f>
        <v/>
      </c>
      <c r="E926" s="125">
        <f>SUMIF('לקוחות לפי סוכן - מקור'!$A$2:$A$867,$A926,'לקוחות לפי סוכן - מקור'!$G$2:$G$867)</f>
        <v/>
      </c>
      <c r="F926" s="96" t="n"/>
      <c r="G926" s="97">
        <f>SUMIF('לקוחות לפי סוכן - מקור'!$A$2:$A$867,$A926,'לקוחות לפי סוכן - מקור'!$H$2:$H$867)</f>
        <v/>
      </c>
      <c r="H926" s="97">
        <f>SUMIF('לקוחות לפי סוכן - מקור'!$A$2:$A$867,$A926,'לקוחות לפי סוכן - מקור'!$I$2:$I$867)</f>
        <v/>
      </c>
      <c r="I926" s="96">
        <f>IF(COUNTIFS('לקוחות לפי סוכן - מקור'!$A$2:$A$867,$A926,'לקוחות לפי סוכן - מקור'!$K$2:$K$867,"NetSuite")&gt;0,IF(COUNTIFS('לקוחות לפי סוכן - מקור'!$A$2:$A$867,$A926,'לקוחות לפי סוכן - מקור'!$K$2:$K$867,"CHMI")&gt;0,"NetSuite+CHMI ("&amp;COUNTIFS('לקוחות לפי סוכן - מקור'!$A$2:$A$867,$A926,'לקוחות לפי סוכן - מקור'!$K$2:$K$867,"NetSuite")&amp;"+"&amp;COUNTIFS('לקוחות לפי סוכן - מקור'!$A$2:$A$867,$A926,'לקוחות לפי סוכן - מקור'!$K$2:$K$867,"CHMI")&amp;")","NetSuite ("&amp;COUNTIFS('לקוחות לפי סוכן - מקור'!$A$2:$A$867,$A926,'לקוחות לפי סוכן - מקור'!$K$2:$K$867,"NetSuite")&amp;")"),"CHMI ("&amp;COUNTIFS('לקוחות לפי סוכן - מקור'!$A$2:$A$867,$A926,'לקוחות לפי סוכן - מקור'!$K$2:$K$867,"CHMI")&amp;")")</f>
        <v/>
      </c>
      <c r="J926" s="97">
        <f>COUNTIF('לקוחות לפי סוכן - מקור'!$A$2:$A$867,$A926)</f>
        <v/>
      </c>
    </row>
    <row r="927" ht="15" customHeight="1" s="82"/>
    <row r="928" ht="15" customHeight="1" s="82">
      <c r="A928" s="96" t="inlineStr">
        <is>
          <t>עיסא</t>
        </is>
      </c>
      <c r="B928" s="96" t="n"/>
      <c r="C928" s="96" t="n"/>
      <c r="D928" s="96" t="n"/>
      <c r="E928" s="96" t="n"/>
      <c r="F928" s="96" t="n"/>
      <c r="G928" s="96" t="n"/>
      <c r="H928" s="96" t="n"/>
      <c r="I928" s="96" t="n"/>
      <c r="J928" s="96" t="n"/>
    </row>
    <row r="929" outlineLevel="1" ht="15" customHeight="1" s="82">
      <c r="A929" s="128" t="inlineStr">
        <is>
          <t>עיסא</t>
        </is>
      </c>
      <c r="B929" s="129" t="inlineStr">
        <is>
          <t>שופרסל BE</t>
        </is>
      </c>
      <c r="C929" s="130" t="n"/>
      <c r="D929" s="131">
        <f>SUMIFS('לקוחות לפי סוכן - מקור'!$F$2:$F$867,'לקוחות לפי סוכן - מקור'!$A$2:$A$867,$A929,'לקוחות לפי סוכן - מקור'!$C$2:$C$867,$B929)</f>
        <v/>
      </c>
      <c r="E929" s="131">
        <f>SUMIFS('לקוחות לפי סוכן - מקור'!$G$2:$G$867,'לקוחות לפי סוכן - מקור'!$A$2:$A$867,$A929,'לקוחות לפי סוכן - מקור'!$C$2:$C$867,$B929)</f>
        <v/>
      </c>
      <c r="F929" s="130" t="n"/>
      <c r="G929" s="132">
        <f>SUMIFS('לקוחות לפי סוכן - מקור'!$H$2:$H$867,'לקוחות לפי סוכן - מקור'!$A$2:$A$867,$A929,'לקוחות לפי סוכן - מקור'!$C$2:$C$867,$B929)</f>
        <v/>
      </c>
      <c r="H929" s="132">
        <f>SUMIFS('לקוחות לפי סוכן - מקור'!$I$2:$I$867,'לקוחות לפי סוכן - מקור'!$A$2:$A$867,$A929,'לקוחות לפי סוכן - מקור'!$C$2:$C$867,$B929)</f>
        <v/>
      </c>
      <c r="I929" s="130" t="n"/>
      <c r="J929" s="132">
        <f>COUNTIFS('לקוחות לפי סוכן - מקור'!$A$2:$A$867,$A929,'לקוחות לפי סוכן - מקור'!$C$2:$C$867,$B929)</f>
        <v/>
      </c>
    </row>
    <row r="930" outlineLevel="2" ht="15" customHeight="1" s="82">
      <c r="A930" s="94">
        <f>'לקוחות לפי סוכן - מקור'!A866</f>
        <v/>
      </c>
      <c r="B930" s="94">
        <f>'לקוחות לפי סוכן - מקור'!C866</f>
        <v/>
      </c>
      <c r="C930" s="94">
        <f>'לקוחות לפי סוכן - מקור'!E866</f>
        <v/>
      </c>
      <c r="D930" s="102">
        <f>'לקוחות לפי סוכן - מקור'!F866</f>
        <v/>
      </c>
      <c r="E930" s="102">
        <f>'לקוחות לפי סוכן - מקור'!G866</f>
        <v/>
      </c>
      <c r="F930" s="94">
        <f>'לקוחות לפי סוכן - מקור'!D866</f>
        <v/>
      </c>
      <c r="G930" s="95">
        <f>'לקוחות לפי סוכן - מקור'!H866</f>
        <v/>
      </c>
      <c r="H930" s="95">
        <f>'לקוחות לפי סוכן - מקור'!I866</f>
        <v/>
      </c>
      <c r="I930" s="127">
        <f>'לקוחות לפי סוכן - מקור'!K866</f>
        <v/>
      </c>
    </row>
    <row r="931" outlineLevel="1" ht="15" customHeight="1" s="82">
      <c r="A931" s="128" t="inlineStr">
        <is>
          <t>עיסא</t>
        </is>
      </c>
      <c r="B931" s="129" t="inlineStr">
        <is>
          <t>0קופות חולים</t>
        </is>
      </c>
      <c r="C931" s="130" t="n"/>
      <c r="D931" s="131">
        <f>SUMIFS('לקוחות לפי סוכן - מקור'!$F$2:$F$867,'לקוחות לפי סוכן - מקור'!$A$2:$A$867,$A931,'לקוחות לפי סוכן - מקור'!$C$2:$C$867,$B931)</f>
        <v/>
      </c>
      <c r="E931" s="131">
        <f>SUMIFS('לקוחות לפי סוכן - מקור'!$G$2:$G$867,'לקוחות לפי סוכן - מקור'!$A$2:$A$867,$A931,'לקוחות לפי סוכן - מקור'!$C$2:$C$867,$B931)</f>
        <v/>
      </c>
      <c r="F931" s="130" t="n"/>
      <c r="G931" s="132">
        <f>SUMIFS('לקוחות לפי סוכן - מקור'!$H$2:$H$867,'לקוחות לפי סוכן - מקור'!$A$2:$A$867,$A931,'לקוחות לפי סוכן - מקור'!$C$2:$C$867,$B931)</f>
        <v/>
      </c>
      <c r="H931" s="132">
        <f>SUMIFS('לקוחות לפי סוכן - מקור'!$I$2:$I$867,'לקוחות לפי סוכן - מקור'!$A$2:$A$867,$A931,'לקוחות לפי סוכן - מקור'!$C$2:$C$867,$B931)</f>
        <v/>
      </c>
      <c r="I931" s="130" t="n"/>
      <c r="J931" s="132">
        <f>COUNTIFS('לקוחות לפי סוכן - מקור'!$A$2:$A$867,$A931,'לקוחות לפי סוכן - מקור'!$C$2:$C$867,$B931)</f>
        <v/>
      </c>
    </row>
    <row r="932" outlineLevel="2" ht="15" customHeight="1" s="82">
      <c r="A932" s="94">
        <f>'לקוחות לפי סוכן - מקור'!A867</f>
        <v/>
      </c>
      <c r="B932" s="94">
        <f>'לקוחות לפי סוכן - מקור'!C867</f>
        <v/>
      </c>
      <c r="C932" s="94">
        <f>'לקוחות לפי סוכן - מקור'!E867</f>
        <v/>
      </c>
      <c r="D932" s="102">
        <f>'לקוחות לפי סוכן - מקור'!F867</f>
        <v/>
      </c>
      <c r="E932" s="102">
        <f>'לקוחות לפי סוכן - מקור'!G867</f>
        <v/>
      </c>
      <c r="F932" s="94">
        <f>'לקוחות לפי סוכן - מקור'!D867</f>
        <v/>
      </c>
      <c r="G932" s="95">
        <f>'לקוחות לפי סוכן - מקור'!H867</f>
        <v/>
      </c>
      <c r="H932" s="95">
        <f>'לקוחות לפי סוכן - מקור'!I867</f>
        <v/>
      </c>
      <c r="I932" s="127">
        <f>'לקוחות לפי סוכן - מקור'!K867</f>
        <v/>
      </c>
    </row>
    <row r="933" ht="15" customHeight="1" s="82">
      <c r="A933" s="96" t="inlineStr">
        <is>
          <t>עיסא</t>
        </is>
      </c>
      <c r="B933" s="96" t="n"/>
      <c r="C933" s="96" t="inlineStr">
        <is>
          <t>סה"כ סוכן</t>
        </is>
      </c>
      <c r="D933" s="125">
        <f>SUMIF('לקוחות לפי סוכן - מקור'!$A$2:$A$867,$A933,'לקוחות לפי סוכן - מקור'!$F$2:$F$867)</f>
        <v/>
      </c>
      <c r="E933" s="125">
        <f>SUMIF('לקוחות לפי סוכן - מקור'!$A$2:$A$867,$A933,'לקוחות לפי סוכן - מקור'!$G$2:$G$867)</f>
        <v/>
      </c>
      <c r="F933" s="96" t="n"/>
      <c r="G933" s="97">
        <f>SUMIF('לקוחות לפי סוכן - מקור'!$A$2:$A$867,$A933,'לקוחות לפי סוכן - מקור'!$H$2:$H$867)</f>
        <v/>
      </c>
      <c r="H933" s="97">
        <f>SUMIF('לקוחות לפי סוכן - מקור'!$A$2:$A$867,$A933,'לקוחות לפי סוכן - מקור'!$I$2:$I$867)</f>
        <v/>
      </c>
      <c r="I933" s="96">
        <f>IF(COUNTIFS('לקוחות לפי סוכן - מקור'!$A$2:$A$867,$A933,'לקוחות לפי סוכן - מקור'!$K$2:$K$867,"NetSuite")&gt;0,IF(COUNTIFS('לקוחות לפי סוכן - מקור'!$A$2:$A$867,$A933,'לקוחות לפי סוכן - מקור'!$K$2:$K$867,"CHMI")&gt;0,"NetSuite+CHMI ("&amp;COUNTIFS('לקוחות לפי סוכן - מקור'!$A$2:$A$867,$A933,'לקוחות לפי סוכן - מקור'!$K$2:$K$867,"NetSuite")&amp;"+"&amp;COUNTIFS('לקוחות לפי סוכן - מקור'!$A$2:$A$867,$A933,'לקוחות לפי סוכן - מקור'!$K$2:$K$867,"CHMI")&amp;")","NetSuite ("&amp;COUNTIFS('לקוחות לפי סוכן - מקור'!$A$2:$A$867,$A933,'לקוחות לפי סוכן - מקור'!$K$2:$K$867,"NetSuite")&amp;")"),"CHMI ("&amp;COUNTIFS('לקוחות לפי סוכן - מקור'!$A$2:$A$867,$A933,'לקוחות לפי סוכן - מקור'!$K$2:$K$867,"CHMI")&amp;")")</f>
        <v/>
      </c>
      <c r="J933" s="97">
        <f>COUNTIF('לקוחות לפי סוכן - מקור'!$A$2:$A$867,$A933)</f>
        <v/>
      </c>
    </row>
    <row r="934" ht="15" customHeight="1" s="82"/>
    <row r="935" ht="15" customHeight="1" s="82">
      <c r="A935" s="96" t="inlineStr">
        <is>
          <t>- Unassigned -</t>
        </is>
      </c>
      <c r="B935" s="96" t="n"/>
      <c r="C935" s="96" t="n"/>
      <c r="D935" s="96" t="n"/>
      <c r="E935" s="96" t="n"/>
      <c r="F935" s="96" t="n"/>
      <c r="G935" s="96" t="n"/>
      <c r="H935" s="96" t="n"/>
      <c r="I935" s="96" t="n"/>
      <c r="J935" s="96" t="n"/>
    </row>
    <row r="936" outlineLevel="1" ht="15" customHeight="1" s="82">
      <c r="A936" s="128" t="inlineStr">
        <is>
          <t>- Unassigned -</t>
        </is>
      </c>
      <c r="B936" s="129" t="inlineStr">
        <is>
          <t>0קופות חולים</t>
        </is>
      </c>
      <c r="C936" s="130" t="n"/>
      <c r="D936" s="131">
        <f>SUMIFS('לקוחות לפי סוכן - מקור'!$F$2:$F$867,'לקוחות לפי סוכן - מקור'!$A$2:$A$867,$A936,'לקוחות לפי סוכן - מקור'!$C$2:$C$867,$B936)</f>
        <v/>
      </c>
      <c r="E936" s="131">
        <f>SUMIFS('לקוחות לפי סוכן - מקור'!$G$2:$G$867,'לקוחות לפי סוכן - מקור'!$A$2:$A$867,$A936,'לקוחות לפי סוכן - מקור'!$C$2:$C$867,$B936)</f>
        <v/>
      </c>
      <c r="F936" s="130" t="n"/>
      <c r="G936" s="132">
        <f>SUMIFS('לקוחות לפי סוכן - מקור'!$H$2:$H$867,'לקוחות לפי סוכן - מקור'!$A$2:$A$867,$A936,'לקוחות לפי סוכן - מקור'!$C$2:$C$867,$B936)</f>
        <v/>
      </c>
      <c r="H936" s="132">
        <f>SUMIFS('לקוחות לפי סוכן - מקור'!$I$2:$I$867,'לקוחות לפי סוכן - מקור'!$A$2:$A$867,$A936,'לקוחות לפי סוכן - מקור'!$C$2:$C$867,$B936)</f>
        <v/>
      </c>
      <c r="I936" s="130" t="n"/>
      <c r="J936" s="132">
        <f>COUNTIFS('לקוחות לפי סוכן - מקור'!$A$2:$A$867,$A936,'לקוחות לפי סוכן - מקור'!$C$2:$C$867,$B936)</f>
        <v/>
      </c>
    </row>
    <row r="937" ht="15" customHeight="1" s="82">
      <c r="A937" s="96" t="inlineStr">
        <is>
          <t>- Unassigned -</t>
        </is>
      </c>
      <c r="B937" s="96" t="n"/>
      <c r="C937" s="96" t="inlineStr">
        <is>
          <t>סה"כ סוכן</t>
        </is>
      </c>
      <c r="D937" s="125">
        <f>SUMIF('לקוחות לפי סוכן - מקור'!$A$2:$A$867,$A937,'לקוחות לפי סוכן - מקור'!$F$2:$F$867)</f>
        <v/>
      </c>
      <c r="E937" s="125">
        <f>SUMIF('לקוחות לפי סוכן - מקור'!$A$2:$A$867,$A937,'לקוחות לפי סוכן - מקור'!$G$2:$G$867)</f>
        <v/>
      </c>
      <c r="F937" s="96" t="n"/>
      <c r="G937" s="97">
        <f>SUMIF('לקוחות לפי סוכן - מקור'!$A$2:$A$867,$A937,'לקוחות לפי סוכן - מקור'!$H$2:$H$867)</f>
        <v/>
      </c>
      <c r="H937" s="97">
        <f>SUMIF('לקוחות לפי סוכן - מקור'!$A$2:$A$867,$A937,'לקוחות לפי סוכן - מקור'!$I$2:$I$867)</f>
        <v/>
      </c>
      <c r="I937" s="96" t="inlineStr">
        <is>
          <t>CHMI</t>
        </is>
      </c>
      <c r="J937" s="97">
        <f>COUNTIF('לקוחות לפי סוכן - מקור'!$A$2:$A$867,$A937)</f>
        <v/>
      </c>
    </row>
    <row r="938" ht="15" customHeight="1" s="82">
      <c r="A938" s="96" t="inlineStr">
        <is>
          <t>- QA check -</t>
        </is>
      </c>
      <c r="B938" s="96" t="n"/>
      <c r="C938" s="96" t="inlineStr">
        <is>
          <t>בדיקת שפיות - שורות שלא הוקצו לאף סוכן ידוע (חייב להיות 0)</t>
        </is>
      </c>
      <c r="D938" s="96" t="n"/>
      <c r="E938" s="96" t="n"/>
      <c r="F938" s="96" t="n"/>
      <c r="G938" s="96" t="n"/>
      <c r="H938" s="96" t="n"/>
      <c r="I938" s="96" t="n"/>
      <c r="J938" s="96">
        <f>COUNTA('לקוחות לפי סוכן - מקור'!$A$2:$A$867)-SUMPRODUCT(COUNTIF('לקוחות לפי סוכן - מקור'!$A$2:$A$867,{"אמזלג × מירב שירה","אזולאי דוד","סטניסלב נסאר","חיים ויצמן","חאזם תלחמי","עיסא","- Unassigned -"}))</f>
        <v/>
      </c>
    </row>
    <row r="939" ht="15" customHeight="1" s="82"/>
    <row r="940" ht="15" customHeight="1" s="82">
      <c r="A940" s="133" t="inlineStr">
        <is>
          <t>סה"כ כללי</t>
        </is>
      </c>
      <c r="B940" s="133" t="n"/>
      <c r="C940" s="133" t="inlineStr">
        <is>
          <t>כל הסוכנים / כל הערוצים</t>
        </is>
      </c>
      <c r="D940" s="134">
        <f>SUM('לקוחות לפי סוכן - מקור'!$F$2:$F$867)</f>
        <v/>
      </c>
      <c r="E940" s="134">
        <f>SUM('לקוחות לפי סוכן - מקור'!$G$2:$G$867)</f>
        <v/>
      </c>
      <c r="F940" s="133" t="n"/>
      <c r="G940" s="135">
        <f>SUM('לקוחות לפי סוכן - מקור'!$H$2:$H$867)</f>
        <v/>
      </c>
      <c r="H940" s="135">
        <f>SUM('לקוחות לפי סוכן - מקור'!$I$2:$I$867)</f>
        <v/>
      </c>
      <c r="I940" s="133" t="n"/>
      <c r="J940" s="135">
        <f>COUNTA('לקוחות לפי סוכן - מקור'!$A$2:$A$867)</f>
        <v/>
      </c>
    </row>
    <row r="941" ht="15" customHeight="1" s="82"/>
    <row r="942" ht="15" customHeight="1" s="82"/>
    <row r="943" ht="15" customHeight="1" s="82">
      <c r="A943" s="136" t="inlineStr">
        <is>
          <t>מאוחדת  139</t>
        </is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K395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12" customWidth="1" style="81" min="1" max="1"/>
    <col width="18" customWidth="1" style="81" min="2" max="2"/>
    <col width="16" customWidth="1" style="81" min="3" max="3"/>
    <col width="34" customWidth="1" style="81" min="4" max="4"/>
    <col width="16" customWidth="1" style="81" min="10" max="11"/>
  </cols>
  <sheetData>
    <row r="1" ht="15" customHeight="1" s="82">
      <c r="A1" s="137" t="inlineStr">
        <is>
          <t>סוכן (קצר, כפי שמופיע בקובץ)</t>
        </is>
      </c>
      <c r="B1" s="137" t="inlineStr">
        <is>
          <t>סוכן (קנוני)</t>
        </is>
      </c>
      <c r="C1" s="137" t="inlineStr">
        <is>
          <t>רשת (ערוץ מקור)</t>
        </is>
      </c>
      <c r="D1" s="137" t="inlineStr">
        <is>
          <t>שם לקוח (כפי שמופיע במקור)</t>
        </is>
      </c>
      <c r="E1" s="137" t="inlineStr">
        <is>
          <t>כמות 2025</t>
        </is>
      </c>
      <c r="F1" s="137" t="inlineStr">
        <is>
          <t>מכר 2025 (₪)</t>
        </is>
      </c>
      <c r="G1" s="137" t="inlineStr">
        <is>
          <t>כמות 2026</t>
        </is>
      </c>
      <c r="H1" s="137" t="inlineStr">
        <is>
          <t>מכר 2026 (₪)</t>
        </is>
      </c>
      <c r="J1" s="138" t="inlineStr">
        <is>
          <t>מקרא: סוכן קצר</t>
        </is>
      </c>
      <c r="K1" s="138" t="inlineStr">
        <is>
          <t>סוכן קנוני</t>
        </is>
      </c>
    </row>
    <row r="2" ht="15" customHeight="1" s="82">
      <c r="A2" s="139" t="inlineStr">
        <is>
          <t>חאזם</t>
        </is>
      </c>
      <c r="B2" s="139">
        <f>IFERROR(INDEX($K$2:$K$5,MATCH(A2,$J$2:$J$5,0)),A2)</f>
        <v/>
      </c>
      <c r="C2" s="139" t="inlineStr">
        <is>
          <t>מחוז צפון</t>
        </is>
      </c>
      <c r="D2" s="139" t="inlineStr">
        <is>
          <t xml:space="preserve"> המרכז אעבלין ב.מ</t>
        </is>
      </c>
      <c r="E2" s="139" t="n">
        <v>249</v>
      </c>
      <c r="F2" s="140" t="n">
        <v>10975.3</v>
      </c>
      <c r="G2" s="139" t="n">
        <v>79</v>
      </c>
      <c r="H2" s="140" t="n">
        <v>2875.2</v>
      </c>
      <c r="J2" s="139" t="inlineStr">
        <is>
          <t>חאזם</t>
        </is>
      </c>
      <c r="K2" s="139" t="inlineStr">
        <is>
          <t>חאזם תלחמי</t>
        </is>
      </c>
    </row>
    <row r="3" ht="15" customHeight="1" s="82">
      <c r="A3" s="139" t="inlineStr">
        <is>
          <t>חאזם</t>
        </is>
      </c>
      <c r="B3" s="139">
        <f>IFERROR(INDEX($K$2:$K$5,MATCH(A3,$J$2:$J$5,0)),A3)</f>
        <v/>
      </c>
      <c r="C3" s="139" t="inlineStr">
        <is>
          <t>מחוז צפון</t>
        </is>
      </c>
      <c r="D3" s="139" t="inlineStr">
        <is>
          <t xml:space="preserve"> (מדיקל הצפון מעיליה )חורי בע""""מ</t>
        </is>
      </c>
      <c r="E3" s="139" t="n">
        <v>102</v>
      </c>
      <c r="F3" s="140" t="n">
        <v>5349.7</v>
      </c>
      <c r="G3" s="139" t="n">
        <v>83</v>
      </c>
      <c r="H3" s="140" t="n">
        <v>3742.5</v>
      </c>
      <c r="J3" s="139" t="inlineStr">
        <is>
          <t>סטאס</t>
        </is>
      </c>
      <c r="K3" s="139" t="inlineStr">
        <is>
          <t>סטניסלב נסאר</t>
        </is>
      </c>
    </row>
    <row r="4" ht="15" customHeight="1" s="82">
      <c r="A4" s="139" t="inlineStr">
        <is>
          <t>חאזם</t>
        </is>
      </c>
      <c r="B4" s="139">
        <f>IFERROR(INDEX($K$2:$K$5,MATCH(A4,$J$2:$J$5,0)),A4)</f>
        <v/>
      </c>
      <c r="C4" s="139" t="inlineStr">
        <is>
          <t>מחוז צפון</t>
        </is>
      </c>
      <c r="D4" s="139" t="inlineStr">
        <is>
          <t xml:space="preserve"> נובו פארם דיר אל אסד ב.מ</t>
        </is>
      </c>
      <c r="E4" s="139" t="n">
        <v>524</v>
      </c>
      <c r="F4" s="140" t="n">
        <v>21464.5</v>
      </c>
      <c r="G4" s="139" t="n">
        <v>424</v>
      </c>
      <c r="H4" s="140" t="n">
        <v>15273.8</v>
      </c>
      <c r="J4" s="139" t="inlineStr">
        <is>
          <t>דוד</t>
        </is>
      </c>
      <c r="K4" s="139" t="inlineStr">
        <is>
          <t>אזולאי דוד</t>
        </is>
      </c>
    </row>
    <row r="5" ht="15" customHeight="1" s="82">
      <c r="A5" s="139" t="inlineStr">
        <is>
          <t>חאזם</t>
        </is>
      </c>
      <c r="B5" s="139">
        <f>IFERROR(INDEX($K$2:$K$5,MATCH(A5,$J$2:$J$5,0)),A5)</f>
        <v/>
      </c>
      <c r="C5" s="139" t="inlineStr">
        <is>
          <t>מחוז צפון</t>
        </is>
      </c>
      <c r="D5" s="139" t="inlineStr">
        <is>
          <t xml:space="preserve"> שביט בע""""מ ק.אתא ב.מ</t>
        </is>
      </c>
      <c r="E5" s="139" t="n">
        <v>17</v>
      </c>
      <c r="F5" s="140" t="n">
        <v>612.5</v>
      </c>
      <c r="G5" s="139" t="n">
        <v>9</v>
      </c>
      <c r="H5" s="140" t="n">
        <v>429.8</v>
      </c>
      <c r="J5" s="139" t="inlineStr">
        <is>
          <t>חיים</t>
        </is>
      </c>
      <c r="K5" s="139" t="inlineStr">
        <is>
          <t>חיים ויצמן</t>
        </is>
      </c>
    </row>
    <row r="6" ht="15" customHeight="1" s="82">
      <c r="A6" s="139" t="inlineStr">
        <is>
          <t>חאזם</t>
        </is>
      </c>
      <c r="B6" s="139">
        <f>IFERROR(INDEX($K$2:$K$5,MATCH(A6,$J$2:$J$5,0)),A6)</f>
        <v/>
      </c>
      <c r="C6" s="139" t="inlineStr">
        <is>
          <t>מחוז צפון</t>
        </is>
      </c>
      <c r="D6" s="139" t="inlineStr">
        <is>
          <t xml:space="preserve"> חידאר פארם ב.מ</t>
        </is>
      </c>
      <c r="E6" s="139" t="n">
        <v>94</v>
      </c>
      <c r="F6" s="140" t="n">
        <v>3557.4</v>
      </c>
      <c r="G6" s="139" t="n">
        <v>58</v>
      </c>
      <c r="H6" s="140" t="n">
        <v>2601</v>
      </c>
    </row>
    <row r="7" ht="15" customHeight="1" s="82">
      <c r="A7" s="139" t="inlineStr">
        <is>
          <t>חאזם</t>
        </is>
      </c>
      <c r="B7" s="139">
        <f>IFERROR(INDEX($K$2:$K$5,MATCH(A7,$J$2:$J$5,0)),A7)</f>
        <v/>
      </c>
      <c r="C7" s="139" t="inlineStr">
        <is>
          <t>מחוז צפון</t>
        </is>
      </c>
      <c r="D7" s="139" t="inlineStr">
        <is>
          <t xml:space="preserve"> -סמי בית שאן בע""""מ ב.מ</t>
        </is>
      </c>
      <c r="E7" s="139" t="n">
        <v>34</v>
      </c>
      <c r="F7" s="140" t="n">
        <v>647.8</v>
      </c>
      <c r="G7" s="139" t="n">
        <v>13</v>
      </c>
      <c r="H7" s="140" t="n">
        <v>560.9</v>
      </c>
    </row>
    <row r="8" ht="15" customHeight="1" s="82">
      <c r="A8" s="139" t="inlineStr">
        <is>
          <t>חאזם</t>
        </is>
      </c>
      <c r="B8" s="139">
        <f>IFERROR(INDEX($K$2:$K$5,MATCH(A8,$J$2:$J$5,0)),A8)</f>
        <v/>
      </c>
      <c r="C8" s="139" t="inlineStr">
        <is>
          <t>מחוז צפון</t>
        </is>
      </c>
      <c r="D8" s="139" t="inlineStr">
        <is>
          <t xml:space="preserve"> רסקו טבריה ב.מ</t>
        </is>
      </c>
      <c r="E8" s="139" t="n">
        <v>162</v>
      </c>
      <c r="F8" s="140" t="n">
        <v>5421</v>
      </c>
      <c r="G8" s="139" t="n">
        <v>92</v>
      </c>
      <c r="H8" s="140" t="n">
        <v>3924.7</v>
      </c>
    </row>
    <row r="9" ht="15" customHeight="1" s="82">
      <c r="A9" s="139" t="inlineStr">
        <is>
          <t>חאזם</t>
        </is>
      </c>
      <c r="B9" s="139">
        <f>IFERROR(INDEX($K$2:$K$5,MATCH(A9,$J$2:$J$5,0)),A9)</f>
        <v/>
      </c>
      <c r="C9" s="139" t="inlineStr">
        <is>
          <t>מחוז צפון</t>
        </is>
      </c>
      <c r="D9" s="139" t="inlineStr">
        <is>
          <t xml:space="preserve"> פרמה טבריה ב.מ</t>
        </is>
      </c>
      <c r="E9" s="139" t="n">
        <v>7</v>
      </c>
      <c r="F9" s="140" t="n">
        <v>211.6</v>
      </c>
      <c r="G9" s="139" t="n">
        <v>9</v>
      </c>
      <c r="H9" s="140" t="n">
        <v>278</v>
      </c>
    </row>
    <row r="10" ht="15" customHeight="1" s="82">
      <c r="A10" s="139" t="inlineStr">
        <is>
          <t>חאזם</t>
        </is>
      </c>
      <c r="B10" s="139">
        <f>IFERROR(INDEX($K$2:$K$5,MATCH(A10,$J$2:$J$5,0)),A10)</f>
        <v/>
      </c>
      <c r="C10" s="139" t="inlineStr">
        <is>
          <t>מחוז צפון</t>
        </is>
      </c>
      <c r="D10" s="139" t="inlineStr">
        <is>
          <t xml:space="preserve"> .נובו פארם בית שאן ב.מ</t>
        </is>
      </c>
      <c r="E10" s="139" t="n">
        <v>395</v>
      </c>
      <c r="F10" s="140" t="n">
        <v>15653.4</v>
      </c>
      <c r="G10" s="139" t="n">
        <v>143</v>
      </c>
      <c r="H10" s="140" t="n">
        <v>6926</v>
      </c>
    </row>
    <row r="11" ht="15" customHeight="1" s="82">
      <c r="A11" s="139" t="inlineStr">
        <is>
          <t>חאזם</t>
        </is>
      </c>
      <c r="B11" s="139">
        <f>IFERROR(INDEX($K$2:$K$5,MATCH(A11,$J$2:$J$5,0)),A11)</f>
        <v/>
      </c>
      <c r="C11" s="139" t="inlineStr">
        <is>
          <t>מחוז צפון</t>
        </is>
      </c>
      <c r="D11" s="139" t="inlineStr">
        <is>
          <t xml:space="preserve"> גרין ב.מ -גבעת עדה</t>
        </is>
      </c>
      <c r="E11" s="139" t="n">
        <v>69</v>
      </c>
      <c r="F11" s="140" t="n">
        <v>3161.8</v>
      </c>
      <c r="G11" s="139" t="n">
        <v>36</v>
      </c>
      <c r="H11" s="140" t="n">
        <v>2061.6</v>
      </c>
    </row>
    <row r="12" ht="15" customHeight="1" s="82">
      <c r="A12" s="139" t="inlineStr">
        <is>
          <t>חאזם</t>
        </is>
      </c>
      <c r="B12" s="139">
        <f>IFERROR(INDEX($K$2:$K$5,MATCH(A12,$J$2:$J$5,0)),A12)</f>
        <v/>
      </c>
      <c r="C12" s="139" t="inlineStr">
        <is>
          <t>מחוז צפון</t>
        </is>
      </c>
      <c r="D12" s="139" t="inlineStr">
        <is>
          <t xml:space="preserve"> מוראד פארם ב.מ אבו סנאן</t>
        </is>
      </c>
      <c r="E12" s="139" t="n">
        <v>177</v>
      </c>
      <c r="F12" s="140" t="n">
        <v>6271.6</v>
      </c>
      <c r="G12" s="139" t="n">
        <v>60</v>
      </c>
      <c r="H12" s="140" t="n">
        <v>2578</v>
      </c>
    </row>
    <row r="13" ht="15" customHeight="1" s="82">
      <c r="A13" s="139" t="inlineStr">
        <is>
          <t>חאזם</t>
        </is>
      </c>
      <c r="B13" s="139">
        <f>IFERROR(INDEX($K$2:$K$5,MATCH(A13,$J$2:$J$5,0)),A13)</f>
        <v/>
      </c>
      <c r="C13" s="139" t="inlineStr">
        <is>
          <t>מחוז צפון</t>
        </is>
      </c>
      <c r="D13" s="139" t="inlineStr">
        <is>
          <t xml:space="preserve"> נובו פארם דבאח ב.מ</t>
        </is>
      </c>
      <c r="E13" s="139" t="n">
        <v>323</v>
      </c>
      <c r="F13" s="140" t="n">
        <v>10583.1</v>
      </c>
      <c r="G13" s="139" t="n">
        <v>91</v>
      </c>
      <c r="H13" s="140" t="n">
        <v>4126.8</v>
      </c>
    </row>
    <row r="14" ht="15" customHeight="1" s="82">
      <c r="A14" s="139" t="inlineStr">
        <is>
          <t>חאזם</t>
        </is>
      </c>
      <c r="B14" s="139">
        <f>IFERROR(INDEX($K$2:$K$5,MATCH(A14,$J$2:$J$5,0)),A14)</f>
        <v/>
      </c>
      <c r="C14" s="139" t="inlineStr">
        <is>
          <t>מחוז צפון</t>
        </is>
      </c>
      <c r="D14" s="139" t="inlineStr">
        <is>
          <t xml:space="preserve"> .אלבלד אעבלין ב.מ</t>
        </is>
      </c>
      <c r="E14" s="139" t="n">
        <v>17</v>
      </c>
      <c r="F14" s="140" t="n">
        <v>465.7</v>
      </c>
      <c r="G14" s="139" t="n">
        <v>4</v>
      </c>
      <c r="H14" s="140" t="n">
        <v>422.1</v>
      </c>
    </row>
    <row r="15" ht="15" customHeight="1" s="82">
      <c r="A15" s="139" t="inlineStr">
        <is>
          <t>חאזם</t>
        </is>
      </c>
      <c r="B15" s="139">
        <f>IFERROR(INDEX($K$2:$K$5,MATCH(A15,$J$2:$J$5,0)),A15)</f>
        <v/>
      </c>
      <c r="C15" s="139" t="inlineStr">
        <is>
          <t>מחוז צפון</t>
        </is>
      </c>
      <c r="D15" s="139" t="inlineStr">
        <is>
          <t xml:space="preserve"> עמית נהריה ב.מ</t>
        </is>
      </c>
      <c r="E15" s="139" t="n">
        <v>91</v>
      </c>
      <c r="F15" s="140" t="n">
        <v>2860.6</v>
      </c>
      <c r="G15" s="139" t="n">
        <v>89</v>
      </c>
      <c r="H15" s="140" t="n">
        <v>3094.2</v>
      </c>
    </row>
    <row r="16" ht="15" customHeight="1" s="82">
      <c r="A16" s="139" t="inlineStr">
        <is>
          <t>דוד</t>
        </is>
      </c>
      <c r="B16" s="139">
        <f>IFERROR(INDEX($K$2:$K$5,MATCH(A16,$J$2:$J$5,0)),A16)</f>
        <v/>
      </c>
      <c r="C16" s="139" t="inlineStr">
        <is>
          <t>בתי מרקחת פרטיים</t>
        </is>
      </c>
      <c r="D16" s="139" t="inlineStr">
        <is>
          <t xml:space="preserve"> 510502925 מיכלין אילת ב.מ</t>
        </is>
      </c>
      <c r="E16" s="139" t="n">
        <v>107</v>
      </c>
      <c r="F16" s="140" t="n">
        <v>4499.5</v>
      </c>
      <c r="G16" s="139" t="n">
        <v>123</v>
      </c>
      <c r="H16" s="140" t="n">
        <v>4306.5</v>
      </c>
    </row>
    <row r="17" ht="15" customHeight="1" s="82">
      <c r="A17" s="139" t="inlineStr">
        <is>
          <t>סטאס</t>
        </is>
      </c>
      <c r="B17" s="139">
        <f>IFERROR(INDEX($K$2:$K$5,MATCH(A17,$J$2:$J$5,0)),A17)</f>
        <v/>
      </c>
      <c r="C17" s="139" t="inlineStr">
        <is>
          <t>בתי מרקחת פרטיים</t>
        </is>
      </c>
      <c r="D17" s="139" t="inlineStr">
        <is>
          <t xml:space="preserve"> אדם אדיב בת ים ב.מ</t>
        </is>
      </c>
      <c r="E17" s="139" t="n">
        <v>83</v>
      </c>
      <c r="F17" s="140" t="n">
        <v>2792.7</v>
      </c>
      <c r="G17" s="139" t="n">
        <v>86</v>
      </c>
      <c r="H17" s="140" t="n">
        <v>3302.7</v>
      </c>
    </row>
    <row r="18" ht="15" customHeight="1" s="82">
      <c r="A18" s="139" t="inlineStr">
        <is>
          <t>דוד</t>
        </is>
      </c>
      <c r="B18" s="139">
        <f>IFERROR(INDEX($K$2:$K$5,MATCH(A18,$J$2:$J$5,0)),A18)</f>
        <v/>
      </c>
      <c r="C18" s="139" t="inlineStr">
        <is>
          <t>בתי מרקחת פרטיים</t>
        </is>
      </c>
      <c r="D18" s="139" t="inlineStr">
        <is>
          <t xml:space="preserve"> ארתור טבעי בע""""מ ר.בית שמש ב.מ</t>
        </is>
      </c>
      <c r="E18" s="139" t="n">
        <v>1301</v>
      </c>
      <c r="F18" s="140" t="n">
        <v>41027.2</v>
      </c>
      <c r="G18" s="139" t="n">
        <v>985</v>
      </c>
      <c r="H18" s="140" t="n">
        <v>31550.4</v>
      </c>
    </row>
    <row r="19" ht="15" customHeight="1" s="82">
      <c r="A19" s="139" t="inlineStr">
        <is>
          <t>דוד</t>
        </is>
      </c>
      <c r="B19" s="139">
        <f>IFERROR(INDEX($K$2:$K$5,MATCH(A19,$J$2:$J$5,0)),A19)</f>
        <v/>
      </c>
      <c r="C19" s="139" t="inlineStr">
        <is>
          <t>בתי מרקחת פרטיים</t>
        </is>
      </c>
      <c r="D19" s="139" t="inlineStr">
        <is>
          <t xml:space="preserve"> עמודים י-ם ב.מ</t>
        </is>
      </c>
      <c r="E19" s="139" t="n">
        <v>35</v>
      </c>
      <c r="F19" s="140" t="n">
        <v>991.8</v>
      </c>
      <c r="G19" s="139" t="n">
        <v>39</v>
      </c>
      <c r="H19" s="140" t="n">
        <v>1360.2</v>
      </c>
    </row>
    <row r="20" ht="15" customHeight="1" s="82">
      <c r="A20" s="139" t="inlineStr">
        <is>
          <t>סטאס</t>
        </is>
      </c>
      <c r="B20" s="139">
        <f>IFERROR(INDEX($K$2:$K$5,MATCH(A20,$J$2:$J$5,0)),A20)</f>
        <v/>
      </c>
      <c r="C20" s="139" t="inlineStr">
        <is>
          <t>בתי מרקחת פרטיים</t>
        </is>
      </c>
      <c r="D20" s="139" t="inlineStr">
        <is>
          <t xml:space="preserve"> מטוס אלקנה ב.מ</t>
        </is>
      </c>
      <c r="E20" s="139" t="n">
        <v>231</v>
      </c>
      <c r="F20" s="140" t="n">
        <v>8694.9</v>
      </c>
      <c r="G20" s="139" t="n">
        <v>199</v>
      </c>
      <c r="H20" s="140" t="n">
        <v>6797.5</v>
      </c>
    </row>
    <row r="21" ht="15" customHeight="1" s="82">
      <c r="A21" s="139" t="inlineStr">
        <is>
          <t>דוד</t>
        </is>
      </c>
      <c r="B21" s="139">
        <f>IFERROR(INDEX($K$2:$K$5,MATCH(A21,$J$2:$J$5,0)),A21)</f>
        <v/>
      </c>
      <c r="C21" s="139" t="inlineStr">
        <is>
          <t>בתי מרקחת פרטיים</t>
        </is>
      </c>
      <c r="D21" s="139" t="inlineStr">
        <is>
          <t xml:space="preserve"> אחד העם רחובות ב.מ</t>
        </is>
      </c>
      <c r="E21" s="139" t="n">
        <v>11</v>
      </c>
      <c r="F21" s="140" t="n">
        <v>224.3</v>
      </c>
      <c r="G21" s="139" t="n">
        <v>6</v>
      </c>
      <c r="H21" s="140" t="n">
        <v>107.5</v>
      </c>
    </row>
    <row r="22" ht="15" customHeight="1" s="82">
      <c r="A22" s="139" t="inlineStr">
        <is>
          <t>חאזם</t>
        </is>
      </c>
      <c r="B22" s="139">
        <f>IFERROR(INDEX($K$2:$K$5,MATCH(A22,$J$2:$J$5,0)),A22)</f>
        <v/>
      </c>
      <c r="C22" s="139" t="inlineStr">
        <is>
          <t>בתי מרקחת פרטיים</t>
        </is>
      </c>
      <c r="D22" s="139" t="inlineStr">
        <is>
          <t xml:space="preserve"> טובא פארם ב.מ</t>
        </is>
      </c>
      <c r="E22" s="139" t="n">
        <v>170</v>
      </c>
      <c r="F22" s="140" t="n">
        <v>7440.9</v>
      </c>
      <c r="G22" s="139" t="n">
        <v>0</v>
      </c>
      <c r="H22" s="140" t="n">
        <v>0</v>
      </c>
    </row>
    <row r="23" ht="15" customHeight="1" s="82">
      <c r="A23" s="139" t="inlineStr">
        <is>
          <t>חאזם</t>
        </is>
      </c>
      <c r="B23" s="139">
        <f>IFERROR(INDEX($K$2:$K$5,MATCH(A23,$J$2:$J$5,0)),A23)</f>
        <v/>
      </c>
      <c r="C23" s="139" t="inlineStr">
        <is>
          <t>בתי מרקחת פרטיים</t>
        </is>
      </c>
      <c r="D23" s="139" t="inlineStr">
        <is>
          <t xml:space="preserve"> פלאניט פארם בע""""מ כרמיאל</t>
        </is>
      </c>
      <c r="E23" s="139" t="n">
        <v>58</v>
      </c>
      <c r="F23" s="140" t="n">
        <v>2201.7</v>
      </c>
      <c r="G23" s="139" t="n">
        <v>57</v>
      </c>
      <c r="H23" s="140" t="n">
        <v>2020.9</v>
      </c>
    </row>
    <row r="24" ht="15" customHeight="1" s="82">
      <c r="A24" s="139" t="inlineStr">
        <is>
          <t>חאזם</t>
        </is>
      </c>
      <c r="B24" s="139">
        <f>IFERROR(INDEX($K$2:$K$5,MATCH(A24,$J$2:$J$5,0)),A24)</f>
        <v/>
      </c>
      <c r="C24" s="139" t="inlineStr">
        <is>
          <t>בתי מרקחת פרטיים</t>
        </is>
      </c>
      <c r="D24" s="139" t="inlineStr">
        <is>
          <t xml:space="preserve"> כרמל פארם ב.מ</t>
        </is>
      </c>
      <c r="E24" s="139" t="n">
        <v>240</v>
      </c>
      <c r="F24" s="140" t="n">
        <v>7673.5</v>
      </c>
      <c r="G24" s="139" t="n">
        <v>112</v>
      </c>
      <c r="H24" s="140" t="n">
        <v>3959.6</v>
      </c>
    </row>
    <row r="25" ht="15" customHeight="1" s="82">
      <c r="A25" s="139" t="inlineStr">
        <is>
          <t>דוד</t>
        </is>
      </c>
      <c r="B25" s="139">
        <f>IFERROR(INDEX($K$2:$K$5,MATCH(A25,$J$2:$J$5,0)),A25)</f>
        <v/>
      </c>
      <c r="C25" s="139" t="inlineStr">
        <is>
          <t>בתי מרקחת פרטיים</t>
        </is>
      </c>
      <c r="D25" s="139" t="inlineStr">
        <is>
          <t xml:space="preserve"> דיימן אשקלון ב.מ</t>
        </is>
      </c>
      <c r="E25" s="139" t="n">
        <v>145</v>
      </c>
      <c r="F25" s="140" t="n">
        <v>5377.9</v>
      </c>
      <c r="G25" s="139" t="n">
        <v>148</v>
      </c>
      <c r="H25" s="140" t="n">
        <v>5509.5</v>
      </c>
    </row>
    <row r="26" ht="15" customHeight="1" s="82">
      <c r="A26" s="139" t="inlineStr">
        <is>
          <t>דוד</t>
        </is>
      </c>
      <c r="B26" s="139">
        <f>IFERROR(INDEX($K$2:$K$5,MATCH(A26,$J$2:$J$5,0)),A26)</f>
        <v/>
      </c>
      <c r="C26" s="139" t="inlineStr">
        <is>
          <t>בתי מרקחת פרטיים</t>
        </is>
      </c>
      <c r="D26" s="139" t="inlineStr">
        <is>
          <t xml:space="preserve"> אילן דימונה ב.מ</t>
        </is>
      </c>
      <c r="E26" s="139" t="n">
        <v>83</v>
      </c>
      <c r="F26" s="140" t="n">
        <v>3734.2</v>
      </c>
      <c r="G26" s="139" t="n">
        <v>16</v>
      </c>
      <c r="H26" s="140" t="n">
        <v>655.5</v>
      </c>
    </row>
    <row r="27" ht="15" customHeight="1" s="82">
      <c r="A27" s="139" t="inlineStr">
        <is>
          <t>סטאס</t>
        </is>
      </c>
      <c r="B27" s="139">
        <f>IFERROR(INDEX($K$2:$K$5,MATCH(A27,$J$2:$J$5,0)),A27)</f>
        <v/>
      </c>
      <c r="C27" s="139" t="inlineStr">
        <is>
          <t>בתי מרקחת פרטיים</t>
        </is>
      </c>
      <c r="D27" s="139" t="inlineStr">
        <is>
          <t xml:space="preserve"> (אומגה פארם רהט ב.מ )הלאל פארם</t>
        </is>
      </c>
      <c r="E27" s="139" t="n">
        <v>274</v>
      </c>
      <c r="F27" s="140" t="n">
        <v>9231.4</v>
      </c>
      <c r="G27" s="139" t="n">
        <v>82</v>
      </c>
      <c r="H27" s="140" t="n">
        <v>4547.1</v>
      </c>
    </row>
    <row r="28" ht="15" customHeight="1" s="82">
      <c r="A28" s="139" t="inlineStr">
        <is>
          <t>סטאס</t>
        </is>
      </c>
      <c r="B28" s="139">
        <f>IFERROR(INDEX($K$2:$K$5,MATCH(A28,$J$2:$J$5,0)),A28)</f>
        <v/>
      </c>
      <c r="C28" s="139" t="inlineStr">
        <is>
          <t>בתי מרקחת פרטיים</t>
        </is>
      </c>
      <c r="D28" s="139" t="inlineStr">
        <is>
          <t xml:space="preserve"> 11.07 פארם חורה ב.מ</t>
        </is>
      </c>
      <c r="E28" s="139" t="n">
        <v>184</v>
      </c>
      <c r="F28" s="140" t="n">
        <v>6772.1</v>
      </c>
      <c r="G28" s="139" t="n">
        <v>164</v>
      </c>
      <c r="H28" s="140" t="n">
        <v>6818.9</v>
      </c>
    </row>
    <row r="29" ht="15" customHeight="1" s="82">
      <c r="A29" s="139" t="inlineStr">
        <is>
          <t>סטאס</t>
        </is>
      </c>
      <c r="B29" s="139">
        <f>IFERROR(INDEX($K$2:$K$5,MATCH(A29,$J$2:$J$5,0)),A29)</f>
        <v/>
      </c>
      <c r="C29" s="139" t="inlineStr">
        <is>
          <t>בתי מרקחת פרטיים</t>
        </is>
      </c>
      <c r="D29" s="139" t="inlineStr">
        <is>
          <t xml:space="preserve"> .מרקט פארם שגב שלום ב.מ</t>
        </is>
      </c>
      <c r="E29" s="139" t="n">
        <v>223</v>
      </c>
      <c r="F29" s="140" t="n">
        <v>7762.4</v>
      </c>
      <c r="G29" s="139" t="n">
        <v>114</v>
      </c>
      <c r="H29" s="140" t="n">
        <v>4150.7</v>
      </c>
    </row>
    <row r="30" ht="15" customHeight="1" s="82">
      <c r="A30" s="139" t="inlineStr">
        <is>
          <t>דוד</t>
        </is>
      </c>
      <c r="B30" s="139">
        <f>IFERROR(INDEX($K$2:$K$5,MATCH(A30,$J$2:$J$5,0)),A30)</f>
        <v/>
      </c>
      <c r="C30" s="139" t="inlineStr">
        <is>
          <t>בתי מרקחת פרטיים</t>
        </is>
      </c>
      <c r="D30" s="139" t="inlineStr">
        <is>
          <t xml:space="preserve"> 09.10 בימר""""ק אל סאהירה</t>
        </is>
      </c>
      <c r="E30" s="139" t="n">
        <v>204</v>
      </c>
      <c r="F30" s="140" t="n">
        <v>6989</v>
      </c>
      <c r="G30" s="139" t="n">
        <v>159</v>
      </c>
      <c r="H30" s="140" t="n">
        <v>4889.6</v>
      </c>
    </row>
    <row r="31" ht="15" customHeight="1" s="82">
      <c r="A31" s="139" t="inlineStr">
        <is>
          <t>דוד</t>
        </is>
      </c>
      <c r="B31" s="139">
        <f>IFERROR(INDEX($K$2:$K$5,MATCH(A31,$J$2:$J$5,0)),A31)</f>
        <v/>
      </c>
      <c r="C31" s="139" t="inlineStr">
        <is>
          <t>בתי מרקחת פרטיים</t>
        </is>
      </c>
      <c r="D31" s="139" t="inlineStr">
        <is>
          <t xml:space="preserve"> אקספרס י-ם ב.מ</t>
        </is>
      </c>
      <c r="E31" s="139" t="n">
        <v>39</v>
      </c>
      <c r="F31" s="140" t="n">
        <v>1099.6</v>
      </c>
      <c r="G31" s="139" t="n">
        <v>3</v>
      </c>
      <c r="H31" s="140" t="n">
        <v>92.7</v>
      </c>
    </row>
    <row r="32" ht="15" customHeight="1" s="82">
      <c r="A32" s="139" t="inlineStr">
        <is>
          <t>דוד</t>
        </is>
      </c>
      <c r="B32" s="139">
        <f>IFERROR(INDEX($K$2:$K$5,MATCH(A32,$J$2:$J$5,0)),A32)</f>
        <v/>
      </c>
      <c r="C32" s="139" t="inlineStr">
        <is>
          <t>בתי מרקחת פרטיים</t>
        </is>
      </c>
      <c r="D32" s="139" t="inlineStr">
        <is>
          <t xml:space="preserve"> פת פארם י-ם ב.מ</t>
        </is>
      </c>
      <c r="E32" s="139" t="n">
        <v>665</v>
      </c>
      <c r="F32" s="140" t="n">
        <v>22245.7</v>
      </c>
      <c r="G32" s="139" t="n">
        <v>338</v>
      </c>
      <c r="H32" s="140" t="n">
        <v>15521</v>
      </c>
    </row>
    <row r="33" ht="15" customHeight="1" s="82">
      <c r="A33" s="139" t="inlineStr">
        <is>
          <t>דוד</t>
        </is>
      </c>
      <c r="B33" s="139">
        <f>IFERROR(INDEX($K$2:$K$5,MATCH(A33,$J$2:$J$5,0)),A33)</f>
        <v/>
      </c>
      <c r="C33" s="139" t="inlineStr">
        <is>
          <t>בתי מרקחת פרטיים</t>
        </is>
      </c>
      <c r="D33" s="139" t="inlineStr">
        <is>
          <t xml:space="preserve"> שער יפו י-ם ב.מ</t>
        </is>
      </c>
      <c r="E33" s="139" t="n">
        <v>250</v>
      </c>
      <c r="F33" s="140" t="n">
        <v>8957</v>
      </c>
      <c r="G33" s="139" t="n">
        <v>153</v>
      </c>
      <c r="H33" s="140" t="n">
        <v>5446.4</v>
      </c>
    </row>
    <row r="34" ht="15" customHeight="1" s="82">
      <c r="A34" s="139" t="inlineStr">
        <is>
          <t>דוד</t>
        </is>
      </c>
      <c r="B34" s="139">
        <f>IFERROR(INDEX($K$2:$K$5,MATCH(A34,$J$2:$J$5,0)),A34)</f>
        <v/>
      </c>
      <c r="C34" s="139" t="inlineStr">
        <is>
          <t>בתי מרקחת פרטיים</t>
        </is>
      </c>
      <c r="D34" s="139" t="inlineStr">
        <is>
          <t xml:space="preserve"> רוזן מודיעין ב.מ</t>
        </is>
      </c>
      <c r="E34" s="139" t="n">
        <v>98</v>
      </c>
      <c r="F34" s="140" t="n">
        <v>4161.3</v>
      </c>
      <c r="G34" s="139" t="n">
        <v>109</v>
      </c>
      <c r="H34" s="140" t="n">
        <v>4323.8</v>
      </c>
    </row>
    <row r="35" ht="15" customHeight="1" s="82">
      <c r="A35" s="139" t="inlineStr">
        <is>
          <t>סטאס</t>
        </is>
      </c>
      <c r="B35" s="139">
        <f>IFERROR(INDEX($K$2:$K$5,MATCH(A35,$J$2:$J$5,0)),A35)</f>
        <v/>
      </c>
      <c r="C35" s="139" t="inlineStr">
        <is>
          <t>בתי מרקחת פרטיים</t>
        </is>
      </c>
      <c r="D35" s="139" t="inlineStr">
        <is>
          <t xml:space="preserve"> 01.11 פנו פארם )חולון( ב.מ</t>
        </is>
      </c>
      <c r="E35" s="139" t="n">
        <v>340</v>
      </c>
      <c r="F35" s="140" t="n">
        <v>8686.5</v>
      </c>
      <c r="G35" s="139" t="n">
        <v>216</v>
      </c>
      <c r="H35" s="140" t="n">
        <v>6135.8</v>
      </c>
    </row>
    <row r="36" ht="15" customHeight="1" s="82">
      <c r="A36" s="139" t="inlineStr">
        <is>
          <t>חיים</t>
        </is>
      </c>
      <c r="B36" s="139">
        <f>IFERROR(INDEX($K$2:$K$5,MATCH(A36,$J$2:$J$5,0)),A36)</f>
        <v/>
      </c>
      <c r="C36" s="139" t="inlineStr">
        <is>
          <t>בתי מרקחת פרטיים</t>
        </is>
      </c>
      <c r="D36" s="139" t="inlineStr">
        <is>
          <t xml:space="preserve"> .פנו פארם בע""""מ הוד השרון ב.מ</t>
        </is>
      </c>
      <c r="E36" s="139" t="n">
        <v>227</v>
      </c>
      <c r="F36" s="140" t="n">
        <v>6590.5</v>
      </c>
      <c r="G36" s="139" t="n">
        <v>188</v>
      </c>
      <c r="H36" s="140" t="n">
        <v>5983.5</v>
      </c>
    </row>
    <row r="37" ht="15" customHeight="1" s="82">
      <c r="A37" s="139" t="inlineStr">
        <is>
          <t>חיים</t>
        </is>
      </c>
      <c r="B37" s="139">
        <f>IFERROR(INDEX($K$2:$K$5,MATCH(A37,$J$2:$J$5,0)),A37)</f>
        <v/>
      </c>
      <c r="C37" s="139" t="inlineStr">
        <is>
          <t>בתי מרקחת פרטיים</t>
        </is>
      </c>
      <c r="D37" s="139" t="inlineStr">
        <is>
          <t xml:space="preserve"> אבן חן אבן יהודה ב.מ</t>
        </is>
      </c>
      <c r="E37" s="139" t="n">
        <v>232</v>
      </c>
      <c r="F37" s="140" t="n">
        <v>10528.4</v>
      </c>
      <c r="G37" s="139" t="n">
        <v>265</v>
      </c>
      <c r="H37" s="140" t="n">
        <v>14186.7</v>
      </c>
    </row>
    <row r="38" ht="15" customHeight="1" s="82">
      <c r="A38" s="139" t="inlineStr">
        <is>
          <t>חאזם</t>
        </is>
      </c>
      <c r="B38" s="139">
        <f>IFERROR(INDEX($K$2:$K$5,MATCH(A38,$J$2:$J$5,0)),A38)</f>
        <v/>
      </c>
      <c r="C38" s="139" t="inlineStr">
        <is>
          <t>בתי מרקחת פרטיים</t>
        </is>
      </c>
      <c r="D38" s="139" t="inlineStr">
        <is>
          <t xml:space="preserve"> נרקיס ורדיה ב.מ</t>
        </is>
      </c>
      <c r="E38" s="139" t="n">
        <v>181</v>
      </c>
      <c r="F38" s="140" t="n">
        <v>6859</v>
      </c>
      <c r="G38" s="139" t="n">
        <v>26</v>
      </c>
      <c r="H38" s="140" t="n">
        <v>1610.8</v>
      </c>
    </row>
    <row r="39" ht="15" customHeight="1" s="82">
      <c r="A39" s="139" t="inlineStr">
        <is>
          <t>סטאס</t>
        </is>
      </c>
      <c r="B39" s="139">
        <f>IFERROR(INDEX($K$2:$K$5,MATCH(A39,$J$2:$J$5,0)),A39)</f>
        <v/>
      </c>
      <c r="C39" s="139" t="inlineStr">
        <is>
          <t>בתי מרקחת פרטיים</t>
        </is>
      </c>
      <c r="D39" s="139" t="inlineStr">
        <is>
          <t xml:space="preserve"> עין גנים)סביון(פ'ת ב.מ</t>
        </is>
      </c>
      <c r="E39" s="139" t="n">
        <v>29</v>
      </c>
      <c r="F39" s="140" t="n">
        <v>1207.4</v>
      </c>
      <c r="G39" s="139" t="n">
        <v>16</v>
      </c>
      <c r="H39" s="140" t="n">
        <v>932.8</v>
      </c>
    </row>
    <row r="40" ht="15" customHeight="1" s="82">
      <c r="A40" s="139" t="inlineStr">
        <is>
          <t>חיים</t>
        </is>
      </c>
      <c r="B40" s="139">
        <f>IFERROR(INDEX($K$2:$K$5,MATCH(A40,$J$2:$J$5,0)),A40)</f>
        <v/>
      </c>
      <c r="C40" s="139" t="inlineStr">
        <is>
          <t>בתי מרקחת פרטיים</t>
        </is>
      </c>
      <c r="D40" s="139" t="inlineStr">
        <is>
          <t xml:space="preserve"> 11.11 פנו פארם ראשל""""צ ב.מ</t>
        </is>
      </c>
      <c r="E40" s="139" t="n">
        <v>200</v>
      </c>
      <c r="F40" s="140" t="n">
        <v>5208.4</v>
      </c>
      <c r="G40" s="139" t="n">
        <v>153</v>
      </c>
      <c r="H40" s="140" t="n">
        <v>4944.2</v>
      </c>
    </row>
    <row r="41" ht="15" customHeight="1" s="82">
      <c r="A41" s="139" t="inlineStr">
        <is>
          <t>חאזם</t>
        </is>
      </c>
      <c r="B41" s="139">
        <f>IFERROR(INDEX($K$2:$K$5,MATCH(A41,$J$2:$J$5,0)),A41)</f>
        <v/>
      </c>
      <c r="C41" s="139" t="inlineStr">
        <is>
          <t>בתי מרקחת פרטיים</t>
        </is>
      </c>
      <c r="D41" s="139" t="inlineStr">
        <is>
          <t xml:space="preserve"> עין גנים חיפה ב.מ</t>
        </is>
      </c>
      <c r="E41" s="139" t="n">
        <v>4</v>
      </c>
      <c r="F41" s="140" t="n">
        <v>102.9</v>
      </c>
      <c r="G41" s="139" t="n">
        <v>3</v>
      </c>
      <c r="H41" s="140" t="n">
        <v>91.7</v>
      </c>
    </row>
    <row r="42" ht="15" customHeight="1" s="82">
      <c r="A42" s="139" t="inlineStr">
        <is>
          <t>חיים</t>
        </is>
      </c>
      <c r="B42" s="139">
        <f>IFERROR(INDEX($K$2:$K$5,MATCH(A42,$J$2:$J$5,0)),A42)</f>
        <v/>
      </c>
      <c r="C42" s="139" t="inlineStr">
        <is>
          <t>בתי מרקחת פרטיים</t>
        </is>
      </c>
      <c r="D42" s="139" t="inlineStr">
        <is>
          <t xml:space="preserve"> פרינץ ב""""ב ב.מ</t>
        </is>
      </c>
      <c r="E42" s="139" t="n">
        <v>0</v>
      </c>
      <c r="F42" s="140" t="n">
        <v>0</v>
      </c>
      <c r="G42" s="139" t="n">
        <v>1</v>
      </c>
      <c r="H42" s="140" t="n">
        <v>156</v>
      </c>
    </row>
    <row r="43" ht="15" customHeight="1" s="82">
      <c r="A43" s="139" t="inlineStr">
        <is>
          <t>חאזם</t>
        </is>
      </c>
      <c r="B43" s="139">
        <f>IFERROR(INDEX($K$2:$K$5,MATCH(A43,$J$2:$J$5,0)),A43)</f>
        <v/>
      </c>
      <c r="C43" s="139" t="inlineStr">
        <is>
          <t>בתי מרקחת פרטיים</t>
        </is>
      </c>
      <c r="D43" s="139" t="inlineStr">
        <is>
          <t xml:space="preserve"> גולן צפת ב.מ</t>
        </is>
      </c>
      <c r="E43" s="139" t="n">
        <v>12</v>
      </c>
      <c r="F43" s="140" t="n">
        <v>433.8</v>
      </c>
      <c r="G43" s="139" t="n">
        <v>20</v>
      </c>
      <c r="H43" s="140" t="n">
        <v>597.1</v>
      </c>
    </row>
    <row r="44" ht="15" customHeight="1" s="82">
      <c r="A44" s="139" t="inlineStr">
        <is>
          <t>חאזם</t>
        </is>
      </c>
      <c r="B44" s="139">
        <f>IFERROR(INDEX($K$2:$K$5,MATCH(A44,$J$2:$J$5,0)),A44)</f>
        <v/>
      </c>
      <c r="C44" s="139" t="inlineStr">
        <is>
          <t>בתי מרקחת פרטיים</t>
        </is>
      </c>
      <c r="D44" s="139" t="inlineStr">
        <is>
          <t xml:space="preserve"> דרומית נצרת ב.מ</t>
        </is>
      </c>
      <c r="E44" s="139" t="n">
        <v>19</v>
      </c>
      <c r="F44" s="140" t="n">
        <v>793.1</v>
      </c>
      <c r="G44" s="139" t="n">
        <v>20</v>
      </c>
      <c r="H44" s="140" t="n">
        <v>859.1</v>
      </c>
    </row>
    <row r="45" ht="15" customHeight="1" s="82">
      <c r="A45" s="139" t="inlineStr">
        <is>
          <t>חאזם</t>
        </is>
      </c>
      <c r="B45" s="139">
        <f>IFERROR(INDEX($K$2:$K$5,MATCH(A45,$J$2:$J$5,0)),A45)</f>
        <v/>
      </c>
      <c r="C45" s="139" t="inlineStr">
        <is>
          <t>בתי מרקחת פרטיים</t>
        </is>
      </c>
      <c r="D45" s="139" t="inlineStr">
        <is>
          <t xml:space="preserve"> הקריות בע""""מ ב.מ</t>
        </is>
      </c>
      <c r="E45" s="139" t="n">
        <v>183</v>
      </c>
      <c r="F45" s="140" t="n">
        <v>7664.3</v>
      </c>
      <c r="G45" s="139" t="n">
        <v>106</v>
      </c>
      <c r="H45" s="140" t="n">
        <v>3861.5</v>
      </c>
    </row>
    <row r="46" ht="15" customHeight="1" s="82">
      <c r="A46" s="139" t="inlineStr">
        <is>
          <t>חאזם</t>
        </is>
      </c>
      <c r="B46" s="139">
        <f>IFERROR(INDEX($K$2:$K$5,MATCH(A46,$J$2:$J$5,0)),A46)</f>
        <v/>
      </c>
      <c r="C46" s="139" t="inlineStr">
        <is>
          <t>בתי מרקחת פרטיים</t>
        </is>
      </c>
      <c r="D46" s="139" t="inlineStr">
        <is>
          <t xml:space="preserve"> .היפר פארם י.פ.קרית אתא בע""""מ ב</t>
        </is>
      </c>
      <c r="E46" s="139" t="n">
        <v>181</v>
      </c>
      <c r="F46" s="140" t="n">
        <v>6900.8</v>
      </c>
      <c r="G46" s="139" t="n">
        <v>123</v>
      </c>
      <c r="H46" s="140" t="n">
        <v>4857.8</v>
      </c>
    </row>
    <row r="47" ht="15" customHeight="1" s="82">
      <c r="A47" s="139" t="inlineStr">
        <is>
          <t>חאזם</t>
        </is>
      </c>
      <c r="B47" s="139">
        <f>IFERROR(INDEX($K$2:$K$5,MATCH(A47,$J$2:$J$5,0)),A47)</f>
        <v/>
      </c>
      <c r="C47" s="139" t="inlineStr">
        <is>
          <t>בתי מרקחת פרטיים</t>
        </is>
      </c>
      <c r="D47" s="139" t="inlineStr">
        <is>
          <t xml:space="preserve"> אלראזי בית מרקחת-שפרעם</t>
        </is>
      </c>
      <c r="E47" s="139" t="n">
        <v>78</v>
      </c>
      <c r="F47" s="140" t="n">
        <v>2672.4</v>
      </c>
      <c r="G47" s="139" t="n">
        <v>0</v>
      </c>
      <c r="H47" s="140" t="n">
        <v>0</v>
      </c>
    </row>
    <row r="48" ht="15" customHeight="1" s="82">
      <c r="A48" s="139" t="inlineStr">
        <is>
          <t>חאזם</t>
        </is>
      </c>
      <c r="B48" s="139">
        <f>IFERROR(INDEX($K$2:$K$5,MATCH(A48,$J$2:$J$5,0)),A48)</f>
        <v/>
      </c>
      <c r="C48" s="139" t="inlineStr">
        <is>
          <t>בתי מרקחת פרטיים</t>
        </is>
      </c>
      <c r="D48" s="139" t="inlineStr">
        <is>
          <t xml:space="preserve"> מוצקין בע""""מ ב.מ. ק.מוצקין</t>
        </is>
      </c>
      <c r="E48" s="139" t="n">
        <v>84</v>
      </c>
      <c r="F48" s="140" t="n">
        <v>2959.2</v>
      </c>
      <c r="G48" s="139" t="n">
        <v>25</v>
      </c>
      <c r="H48" s="140" t="n">
        <v>649</v>
      </c>
    </row>
    <row r="49" ht="15" customHeight="1" s="82">
      <c r="A49" s="139" t="inlineStr">
        <is>
          <t>חאזם</t>
        </is>
      </c>
      <c r="B49" s="139">
        <f>IFERROR(INDEX($K$2:$K$5,MATCH(A49,$J$2:$J$5,0)),A49)</f>
        <v/>
      </c>
      <c r="C49" s="139" t="inlineStr">
        <is>
          <t>בתי מרקחת פרטיים</t>
        </is>
      </c>
      <c r="D49" s="139" t="inlineStr">
        <is>
          <t xml:space="preserve"> נוה חיים ב.מ</t>
        </is>
      </c>
      <c r="E49" s="139" t="n">
        <v>78</v>
      </c>
      <c r="F49" s="140" t="n">
        <v>2329.2</v>
      </c>
      <c r="G49" s="139" t="n">
        <v>21</v>
      </c>
      <c r="H49" s="140" t="n">
        <v>602.8</v>
      </c>
    </row>
    <row r="50" ht="15" customHeight="1" s="82">
      <c r="A50" s="139" t="inlineStr">
        <is>
          <t>חאזם</t>
        </is>
      </c>
      <c r="B50" s="139">
        <f>IFERROR(INDEX($K$2:$K$5,MATCH(A50,$J$2:$J$5,0)),A50)</f>
        <v/>
      </c>
      <c r="C50" s="139" t="inlineStr">
        <is>
          <t>בתי מרקחת פרטיים</t>
        </is>
      </c>
      <c r="D50" s="139" t="inlineStr">
        <is>
          <t xml:space="preserve"> בית מרקחת הירוקה נהריה</t>
        </is>
      </c>
      <c r="E50" s="139" t="n">
        <v>191</v>
      </c>
      <c r="F50" s="140" t="n">
        <v>6015.8</v>
      </c>
      <c r="G50" s="139" t="n">
        <v>35</v>
      </c>
      <c r="H50" s="140" t="n">
        <v>1555.4</v>
      </c>
    </row>
    <row r="51" ht="15" customHeight="1" s="82">
      <c r="A51" s="139" t="inlineStr">
        <is>
          <t>חאזם</t>
        </is>
      </c>
      <c r="B51" s="139">
        <f>IFERROR(INDEX($K$2:$K$5,MATCH(A51,$J$2:$J$5,0)),A51)</f>
        <v/>
      </c>
      <c r="C51" s="139" t="inlineStr">
        <is>
          <t>בתי מרקחת פרטיים</t>
        </is>
      </c>
      <c r="D51" s="139" t="inlineStr">
        <is>
          <t xml:space="preserve"> חצור פארם בי""""מ חצור הגלילית</t>
        </is>
      </c>
      <c r="E51" s="139" t="n">
        <v>46</v>
      </c>
      <c r="F51" s="140" t="n">
        <v>1891.7</v>
      </c>
      <c r="G51" s="139" t="n">
        <v>-7</v>
      </c>
      <c r="H51" s="140" t="n">
        <v>-32</v>
      </c>
    </row>
    <row r="52" ht="15" customHeight="1" s="82">
      <c r="A52" s="139" t="inlineStr">
        <is>
          <t>חאזם</t>
        </is>
      </c>
      <c r="B52" s="139">
        <f>IFERROR(INDEX($K$2:$K$5,MATCH(A52,$J$2:$J$5,0)),A52)</f>
        <v/>
      </c>
      <c r="C52" s="139" t="inlineStr">
        <is>
          <t>בתי מרקחת פרטיים</t>
        </is>
      </c>
      <c r="D52" s="139" t="inlineStr">
        <is>
          <t xml:space="preserve"> אלכרמל חורי בע""""מ בי""""מ עוספיא</t>
        </is>
      </c>
      <c r="E52" s="139" t="n">
        <v>81</v>
      </c>
      <c r="F52" s="140" t="n">
        <v>3002.9</v>
      </c>
      <c r="G52" s="139" t="n">
        <v>38</v>
      </c>
      <c r="H52" s="140" t="n">
        <v>2435.6</v>
      </c>
    </row>
    <row r="53" ht="15" customHeight="1" s="82">
      <c r="A53" s="139" t="inlineStr">
        <is>
          <t>חאזם</t>
        </is>
      </c>
      <c r="B53" s="139">
        <f>IFERROR(INDEX($K$2:$K$5,MATCH(A53,$J$2:$J$5,0)),A53)</f>
        <v/>
      </c>
      <c r="C53" s="139" t="inlineStr">
        <is>
          <t>בתי מרקחת פרטיים</t>
        </is>
      </c>
      <c r="D53" s="139" t="inlineStr">
        <is>
          <t xml:space="preserve"> הבנקים ב.מ</t>
        </is>
      </c>
      <c r="E53" s="139" t="n">
        <v>42</v>
      </c>
      <c r="F53" s="140" t="n">
        <v>1208.2</v>
      </c>
      <c r="G53" s="139" t="n">
        <v>26</v>
      </c>
      <c r="H53" s="140" t="n">
        <v>671</v>
      </c>
    </row>
    <row r="54" ht="15" customHeight="1" s="82">
      <c r="A54" s="139" t="inlineStr">
        <is>
          <t>חאזם</t>
        </is>
      </c>
      <c r="B54" s="139">
        <f>IFERROR(INDEX($K$2:$K$5,MATCH(A54,$J$2:$J$5,0)),A54)</f>
        <v/>
      </c>
      <c r="C54" s="139" t="inlineStr">
        <is>
          <t>בתי מרקחת פרטיים</t>
        </is>
      </c>
      <c r="D54" s="139" t="inlineStr">
        <is>
          <t xml:space="preserve"> גולומב בע""""מ ב.מ</t>
        </is>
      </c>
      <c r="E54" s="139" t="n">
        <v>22</v>
      </c>
      <c r="F54" s="140" t="n">
        <v>808</v>
      </c>
      <c r="G54" s="139" t="n">
        <v>25</v>
      </c>
      <c r="H54" s="140" t="n">
        <v>999.5</v>
      </c>
    </row>
    <row r="55" ht="15" customHeight="1" s="82">
      <c r="A55" s="139" t="inlineStr">
        <is>
          <t>חאזם</t>
        </is>
      </c>
      <c r="B55" s="139">
        <f>IFERROR(INDEX($K$2:$K$5,MATCH(A55,$J$2:$J$5,0)),A55)</f>
        <v/>
      </c>
      <c r="C55" s="139" t="inlineStr">
        <is>
          <t>בתי מרקחת פרטיים</t>
        </is>
      </c>
      <c r="D55" s="139" t="inlineStr">
        <is>
          <t xml:space="preserve"> זכרון יעקב בע""""מ ב.מ</t>
        </is>
      </c>
      <c r="E55" s="139" t="n">
        <v>13</v>
      </c>
      <c r="F55" s="140" t="n">
        <v>696</v>
      </c>
      <c r="G55" s="139" t="n">
        <v>10</v>
      </c>
      <c r="H55" s="140" t="n">
        <v>307</v>
      </c>
    </row>
    <row r="56" ht="15" customHeight="1" s="82">
      <c r="A56" s="139" t="inlineStr">
        <is>
          <t>חאזם</t>
        </is>
      </c>
      <c r="B56" s="139">
        <f>IFERROR(INDEX($K$2:$K$5,MATCH(A56,$J$2:$J$5,0)),A56)</f>
        <v/>
      </c>
      <c r="C56" s="139" t="inlineStr">
        <is>
          <t>בתי מרקחת פרטיים</t>
        </is>
      </c>
      <c r="D56" s="139" t="inlineStr">
        <is>
          <t xml:space="preserve"> הדס ב.מ חיפה</t>
        </is>
      </c>
      <c r="E56" s="139" t="n">
        <v>0</v>
      </c>
      <c r="F56" s="140" t="n">
        <v>0</v>
      </c>
      <c r="G56" s="139" t="n">
        <v>23</v>
      </c>
      <c r="H56" s="140" t="n">
        <v>713.7</v>
      </c>
    </row>
    <row r="57" ht="15" customHeight="1" s="82">
      <c r="A57" s="139" t="inlineStr">
        <is>
          <t>חאזם</t>
        </is>
      </c>
      <c r="B57" s="139">
        <f>IFERROR(INDEX($K$2:$K$5,MATCH(A57,$J$2:$J$5,0)),A57)</f>
        <v/>
      </c>
      <c r="C57" s="139" t="inlineStr">
        <is>
          <t>בתי מרקחת פרטיים</t>
        </is>
      </c>
      <c r="D57" s="139" t="inlineStr">
        <is>
          <t xml:space="preserve"> הדר חיפה ב.מ</t>
        </is>
      </c>
      <c r="E57" s="139" t="n">
        <v>160</v>
      </c>
      <c r="F57" s="140" t="n">
        <v>6232.3</v>
      </c>
      <c r="G57" s="139" t="n">
        <v>79</v>
      </c>
      <c r="H57" s="140" t="n">
        <v>3496.2</v>
      </c>
    </row>
    <row r="58" ht="15" customHeight="1" s="82">
      <c r="A58" s="139" t="inlineStr">
        <is>
          <t>חאזם</t>
        </is>
      </c>
      <c r="B58" s="139">
        <f>IFERROR(INDEX($K$2:$K$5,MATCH(A58,$J$2:$J$5,0)),A58)</f>
        <v/>
      </c>
      <c r="C58" s="139" t="inlineStr">
        <is>
          <t>בתי מרקחת פרטיים</t>
        </is>
      </c>
      <c r="D58" s="139" t="inlineStr">
        <is>
          <t xml:space="preserve"> חורי חיפה ב.מ</t>
        </is>
      </c>
      <c r="E58" s="139" t="n">
        <v>120</v>
      </c>
      <c r="F58" s="140" t="n">
        <v>5026.1</v>
      </c>
      <c r="G58" s="139" t="n">
        <v>108</v>
      </c>
      <c r="H58" s="140" t="n">
        <v>5167.6</v>
      </c>
    </row>
    <row r="59" ht="15" customHeight="1" s="82">
      <c r="A59" s="139" t="inlineStr">
        <is>
          <t>חאזם</t>
        </is>
      </c>
      <c r="B59" s="139">
        <f>IFERROR(INDEX($K$2:$K$5,MATCH(A59,$J$2:$J$5,0)),A59)</f>
        <v/>
      </c>
      <c r="C59" s="139" t="inlineStr">
        <is>
          <t>בתי מרקחת פרטיים</t>
        </is>
      </c>
      <c r="D59" s="139" t="inlineStr">
        <is>
          <t xml:space="preserve"> כרמלית ב.מ חיפה</t>
        </is>
      </c>
      <c r="E59" s="139" t="n">
        <v>116</v>
      </c>
      <c r="F59" s="140" t="n">
        <v>3592</v>
      </c>
      <c r="G59" s="139" t="n">
        <v>51</v>
      </c>
      <c r="H59" s="140" t="n">
        <v>1946.5</v>
      </c>
    </row>
    <row r="60" ht="15" customHeight="1" s="82">
      <c r="A60" s="139" t="inlineStr">
        <is>
          <t>חאזם</t>
        </is>
      </c>
      <c r="B60" s="139">
        <f>IFERROR(INDEX($K$2:$K$5,MATCH(A60,$J$2:$J$5,0)),A60)</f>
        <v/>
      </c>
      <c r="C60" s="139" t="inlineStr">
        <is>
          <t>בתי מרקחת פרטיים</t>
        </is>
      </c>
      <c r="D60" s="139" t="inlineStr">
        <is>
          <t xml:space="preserve"> אלמרכז-זרזיר ב.מ בית זרזיר</t>
        </is>
      </c>
      <c r="E60" s="139" t="n">
        <v>210</v>
      </c>
      <c r="F60" s="140" t="n">
        <v>8809.4</v>
      </c>
      <c r="G60" s="139" t="n">
        <v>136</v>
      </c>
      <c r="H60" s="140" t="n">
        <v>5186.6</v>
      </c>
    </row>
    <row r="61" ht="15" customHeight="1" s="82">
      <c r="A61" s="139" t="inlineStr">
        <is>
          <t>חאזם</t>
        </is>
      </c>
      <c r="B61" s="139">
        <f>IFERROR(INDEX($K$2:$K$5,MATCH(A61,$J$2:$J$5,0)),A61)</f>
        <v/>
      </c>
      <c r="C61" s="139" t="inlineStr">
        <is>
          <t>בתי מרקחת פרטיים</t>
        </is>
      </c>
      <c r="D61" s="139" t="inlineStr">
        <is>
          <t xml:space="preserve"> אבן סינא א.א.פחם )מסעוד( ב.מ</t>
        </is>
      </c>
      <c r="E61" s="139" t="n">
        <v>14</v>
      </c>
      <c r="F61" s="140" t="n">
        <v>765.7</v>
      </c>
      <c r="G61" s="139" t="n">
        <v>24</v>
      </c>
      <c r="H61" s="140" t="n">
        <v>1208.9</v>
      </c>
    </row>
    <row r="62" ht="15" customHeight="1" s="82">
      <c r="A62" s="139" t="inlineStr">
        <is>
          <t>חאזם</t>
        </is>
      </c>
      <c r="B62" s="139">
        <f>IFERROR(INDEX($K$2:$K$5,MATCH(A62,$J$2:$J$5,0)),A62)</f>
        <v/>
      </c>
      <c r="C62" s="139" t="inlineStr">
        <is>
          <t>בתי מרקחת פרטיים</t>
        </is>
      </c>
      <c r="D62" s="139" t="inlineStr">
        <is>
          <t xml:space="preserve"> סופר מדיקה ב.מ קרית ים</t>
        </is>
      </c>
      <c r="E62" s="139" t="n">
        <v>923</v>
      </c>
      <c r="F62" s="140" t="n">
        <v>35618.3</v>
      </c>
      <c r="G62" s="139" t="n">
        <v>553</v>
      </c>
      <c r="H62" s="140" t="n">
        <v>16937.9</v>
      </c>
    </row>
    <row r="63" ht="15" customHeight="1" s="82">
      <c r="A63" s="139" t="inlineStr">
        <is>
          <t>חאזם</t>
        </is>
      </c>
      <c r="B63" s="139">
        <f>IFERROR(INDEX($K$2:$K$5,MATCH(A63,$J$2:$J$5,0)),A63)</f>
        <v/>
      </c>
      <c r="C63" s="139" t="inlineStr">
        <is>
          <t>בתי מרקחת פרטיים</t>
        </is>
      </c>
      <c r="D63" s="139" t="inlineStr">
        <is>
          <t xml:space="preserve"> קרית אליעזר ב.מ חיפה</t>
        </is>
      </c>
      <c r="E63" s="139" t="n">
        <v>349</v>
      </c>
      <c r="F63" s="140" t="n">
        <v>14700.3</v>
      </c>
      <c r="G63" s="139" t="n">
        <v>131</v>
      </c>
      <c r="H63" s="140" t="n">
        <v>6067.6</v>
      </c>
    </row>
    <row r="64" ht="15" customHeight="1" s="82">
      <c r="A64" s="139" t="inlineStr">
        <is>
          <t>חאזם</t>
        </is>
      </c>
      <c r="B64" s="139">
        <f>IFERROR(INDEX($K$2:$K$5,MATCH(A64,$J$2:$J$5,0)),A64)</f>
        <v/>
      </c>
      <c r="C64" s="139" t="inlineStr">
        <is>
          <t>בתי מרקחת פרטיים</t>
        </is>
      </c>
      <c r="D64" s="139" t="inlineStr">
        <is>
          <t xml:space="preserve"> קלאב פארם אם הדרך בע""""מ ב.מ</t>
        </is>
      </c>
      <c r="E64" s="139" t="n">
        <v>1007</v>
      </c>
      <c r="F64" s="140" t="n">
        <v>33239.9</v>
      </c>
      <c r="G64" s="139" t="n">
        <v>597</v>
      </c>
      <c r="H64" s="140" t="n">
        <v>20748.1</v>
      </c>
    </row>
    <row r="65" ht="15" customHeight="1" s="82">
      <c r="A65" s="139" t="inlineStr">
        <is>
          <t>חאזם</t>
        </is>
      </c>
      <c r="B65" s="139">
        <f>IFERROR(INDEX($K$2:$K$5,MATCH(A65,$J$2:$J$5,0)),A65)</f>
        <v/>
      </c>
      <c r="C65" s="139" t="inlineStr">
        <is>
          <t>בתי מרקחת פרטיים</t>
        </is>
      </c>
      <c r="D65" s="139" t="inlineStr">
        <is>
          <t xml:space="preserve"> שרה ב.מ נושק לבקה אל גרביה</t>
        </is>
      </c>
      <c r="E65" s="139" t="n">
        <v>0</v>
      </c>
      <c r="F65" s="140" t="n">
        <v>0</v>
      </c>
      <c r="G65" s="139" t="n">
        <v>129</v>
      </c>
      <c r="H65" s="140" t="n">
        <v>7143.2</v>
      </c>
    </row>
    <row r="66" ht="15" customHeight="1" s="82">
      <c r="A66" s="139" t="inlineStr">
        <is>
          <t>חאזם</t>
        </is>
      </c>
      <c r="B66" s="139">
        <f>IFERROR(INDEX($K$2:$K$5,MATCH(A66,$J$2:$J$5,0)),A66)</f>
        <v/>
      </c>
      <c r="C66" s="139" t="inlineStr">
        <is>
          <t>בתי מרקחת פרטיים</t>
        </is>
      </c>
      <c r="D66" s="139" t="inlineStr">
        <is>
          <t xml:space="preserve"> דליה פארם מרכז טבעון ב.מ</t>
        </is>
      </c>
      <c r="E66" s="139" t="n">
        <v>36</v>
      </c>
      <c r="F66" s="140" t="n">
        <v>949</v>
      </c>
      <c r="G66" s="139" t="n">
        <v>6</v>
      </c>
      <c r="H66" s="140" t="n">
        <v>112.2</v>
      </c>
    </row>
    <row r="67" ht="15" customHeight="1" s="82">
      <c r="A67" s="139" t="inlineStr">
        <is>
          <t>סטאס</t>
        </is>
      </c>
      <c r="B67" s="139">
        <f>IFERROR(INDEX($K$2:$K$5,MATCH(A67,$J$2:$J$5,0)),A67)</f>
        <v/>
      </c>
      <c r="C67" s="139" t="inlineStr">
        <is>
          <t>בתי מרקחת פרטיים</t>
        </is>
      </c>
      <c r="D67" s="139" t="inlineStr">
        <is>
          <t xml:space="preserve"> ב.מ. שגב שלום פארם01.11</t>
        </is>
      </c>
      <c r="E67" s="139" t="n">
        <v>0</v>
      </c>
      <c r="F67" s="140" t="n">
        <v>0</v>
      </c>
      <c r="G67" s="139" t="n">
        <v>6</v>
      </c>
      <c r="H67" s="140" t="n">
        <v>477.8</v>
      </c>
    </row>
    <row r="68" ht="15" customHeight="1" s="82">
      <c r="A68" s="139" t="inlineStr">
        <is>
          <t>חיים</t>
        </is>
      </c>
      <c r="B68" s="139">
        <f>IFERROR(INDEX($K$2:$K$5,MATCH(A68,$J$2:$J$5,0)),A68)</f>
        <v/>
      </c>
      <c r="C68" s="139" t="inlineStr">
        <is>
          <t>בתי מרקחת פרטיים</t>
        </is>
      </c>
      <c r="D68" s="139" t="inlineStr">
        <is>
          <t xml:space="preserve"> הקריה ת""""א ב.מ</t>
        </is>
      </c>
      <c r="E68" s="139" t="n">
        <v>8</v>
      </c>
      <c r="F68" s="140" t="n">
        <v>192.1</v>
      </c>
      <c r="G68" s="139" t="n">
        <v>34</v>
      </c>
      <c r="H68" s="140" t="n">
        <v>1424.3</v>
      </c>
    </row>
    <row r="69" ht="15" customHeight="1" s="82">
      <c r="A69" s="139" t="inlineStr">
        <is>
          <t>חאזם</t>
        </is>
      </c>
      <c r="B69" s="139">
        <f>IFERROR(INDEX($K$2:$K$5,MATCH(A69,$J$2:$J$5,0)),A69)</f>
        <v/>
      </c>
      <c r="C69" s="139" t="inlineStr">
        <is>
          <t>בתי מרקחת פרטיים</t>
        </is>
      </c>
      <c r="D69" s="139" t="inlineStr">
        <is>
          <t xml:space="preserve"> -סטאר פארמד בע""""מ</t>
        </is>
      </c>
      <c r="E69" s="139" t="n">
        <v>18</v>
      </c>
      <c r="F69" s="140" t="n">
        <v>1350.3</v>
      </c>
      <c r="G69" s="139" t="n">
        <v>7</v>
      </c>
      <c r="H69" s="140" t="n">
        <v>555.6</v>
      </c>
    </row>
    <row r="70" ht="15" customHeight="1" s="82">
      <c r="A70" s="139" t="inlineStr">
        <is>
          <t>חאזם</t>
        </is>
      </c>
      <c r="B70" s="139">
        <f>IFERROR(INDEX($K$2:$K$5,MATCH(A70,$J$2:$J$5,0)),A70)</f>
        <v/>
      </c>
      <c r="C70" s="139" t="inlineStr">
        <is>
          <t>בתי מרקחת פרטיים</t>
        </is>
      </c>
      <c r="D70" s="139" t="inlineStr">
        <is>
          <t xml:space="preserve"> אלבטוף כפר עוזייר ב.מ</t>
        </is>
      </c>
      <c r="E70" s="139" t="n">
        <v>1</v>
      </c>
      <c r="F70" s="140" t="n">
        <v>164</v>
      </c>
      <c r="G70" s="139" t="n">
        <v>0</v>
      </c>
      <c r="H70" s="140" t="n">
        <v>0</v>
      </c>
    </row>
    <row r="71" ht="15" customHeight="1" s="82">
      <c r="A71" s="139" t="inlineStr">
        <is>
          <t>חאזם</t>
        </is>
      </c>
      <c r="B71" s="139">
        <f>IFERROR(INDEX($K$2:$K$5,MATCH(A71,$J$2:$J$5,0)),A71)</f>
        <v/>
      </c>
      <c r="C71" s="139" t="inlineStr">
        <is>
          <t>בתי מרקחת פרטיים</t>
        </is>
      </c>
      <c r="D71" s="139" t="inlineStr">
        <is>
          <t xml:space="preserve"> בלסם פארם טמרה ב.מ</t>
        </is>
      </c>
      <c r="E71" s="139" t="n">
        <v>54</v>
      </c>
      <c r="F71" s="140" t="n">
        <v>2073.5</v>
      </c>
      <c r="G71" s="139" t="n">
        <v>26</v>
      </c>
      <c r="H71" s="140" t="n">
        <v>1638.8</v>
      </c>
    </row>
    <row r="72" ht="15" customHeight="1" s="82">
      <c r="A72" s="139" t="inlineStr">
        <is>
          <t>חאזם</t>
        </is>
      </c>
      <c r="B72" s="139">
        <f>IFERROR(INDEX($K$2:$K$5,MATCH(A72,$J$2:$J$5,0)),A72)</f>
        <v/>
      </c>
      <c r="C72" s="139" t="inlineStr">
        <is>
          <t>בתי מרקחת פרטיים</t>
        </is>
      </c>
      <c r="D72" s="139" t="inlineStr">
        <is>
          <t xml:space="preserve"> הוואדי ב.מ  חיפה</t>
        </is>
      </c>
      <c r="E72" s="139" t="n">
        <v>2</v>
      </c>
      <c r="F72" s="140" t="n">
        <v>267.1</v>
      </c>
      <c r="G72" s="139" t="n">
        <v>0</v>
      </c>
      <c r="H72" s="140" t="n">
        <v>0</v>
      </c>
    </row>
    <row r="73" ht="15" customHeight="1" s="82">
      <c r="A73" s="139" t="inlineStr">
        <is>
          <t>חאזם</t>
        </is>
      </c>
      <c r="B73" s="139">
        <f>IFERROR(INDEX($K$2:$K$5,MATCH(A73,$J$2:$J$5,0)),A73)</f>
        <v/>
      </c>
      <c r="C73" s="139" t="inlineStr">
        <is>
          <t>בתי מרקחת פרטיים</t>
        </is>
      </c>
      <c r="D73" s="139" t="inlineStr">
        <is>
          <t xml:space="preserve"> כאוכב פארם משגב ב.מ</t>
        </is>
      </c>
      <c r="E73" s="139" t="n">
        <v>47</v>
      </c>
      <c r="F73" s="140" t="n">
        <v>1533.3</v>
      </c>
      <c r="G73" s="139" t="n">
        <v>30</v>
      </c>
      <c r="H73" s="140" t="n">
        <v>1323.6</v>
      </c>
    </row>
    <row r="74" ht="15" customHeight="1" s="82">
      <c r="A74" s="139" t="inlineStr">
        <is>
          <t>סטאס</t>
        </is>
      </c>
      <c r="B74" s="139">
        <f>IFERROR(INDEX($K$2:$K$5,MATCH(A74,$J$2:$J$5,0)),A74)</f>
        <v/>
      </c>
      <c r="C74" s="139" t="inlineStr">
        <is>
          <t>בתי מרקחת פרטיים</t>
        </is>
      </c>
      <c r="D74" s="139" t="inlineStr">
        <is>
          <t xml:space="preserve"> (בית מרקחת הקניון רהט )חדש</t>
        </is>
      </c>
      <c r="E74" s="139" t="n">
        <v>177</v>
      </c>
      <c r="F74" s="140" t="n">
        <v>8848.200000000001</v>
      </c>
      <c r="G74" s="139" t="n">
        <v>117</v>
      </c>
      <c r="H74" s="140" t="n">
        <v>5679.3</v>
      </c>
    </row>
    <row r="75" ht="15" customHeight="1" s="82">
      <c r="A75" s="139" t="inlineStr">
        <is>
          <t>חאזם</t>
        </is>
      </c>
      <c r="B75" s="139">
        <f>IFERROR(INDEX($K$2:$K$5,MATCH(A75,$J$2:$J$5,0)),A75)</f>
        <v/>
      </c>
      <c r="C75" s="139" t="inlineStr">
        <is>
          <t>בתי מרקחת פרטיים</t>
        </is>
      </c>
      <c r="D75" s="139" t="inlineStr">
        <is>
          <t xml:space="preserve"> ב.מ צור שלום פארם ק.ביאליק</t>
        </is>
      </c>
      <c r="E75" s="139" t="n">
        <v>1</v>
      </c>
      <c r="F75" s="140" t="n">
        <v>198.5</v>
      </c>
      <c r="G75" s="139" t="n">
        <v>0</v>
      </c>
      <c r="H75" s="140" t="n">
        <v>0</v>
      </c>
    </row>
    <row r="76" ht="15" customHeight="1" s="82">
      <c r="A76" s="139" t="inlineStr">
        <is>
          <t>חאזם</t>
        </is>
      </c>
      <c r="B76" s="139">
        <f>IFERROR(INDEX($K$2:$K$5,MATCH(A76,$J$2:$J$5,0)),A76)</f>
        <v/>
      </c>
      <c r="C76" s="139" t="inlineStr">
        <is>
          <t>בתי מרקחת פרטיים</t>
        </is>
      </c>
      <c r="D76" s="139" t="inlineStr">
        <is>
          <t xml:space="preserve"> זבולון פארם בע""""מ עתלית חדש</t>
        </is>
      </c>
      <c r="E76" s="139" t="n">
        <v>226</v>
      </c>
      <c r="F76" s="140" t="n">
        <v>7453.6</v>
      </c>
      <c r="G76" s="139" t="n">
        <v>144</v>
      </c>
      <c r="H76" s="140" t="n">
        <v>5158</v>
      </c>
    </row>
    <row r="77" ht="15" customHeight="1" s="82">
      <c r="A77" s="139" t="inlineStr">
        <is>
          <t>סטאס</t>
        </is>
      </c>
      <c r="B77" s="139">
        <f>IFERROR(INDEX($K$2:$K$5,MATCH(A77,$J$2:$J$5,0)),A77)</f>
        <v/>
      </c>
      <c r="C77" s="139" t="inlineStr">
        <is>
          <t>בתי מרקחת פרטיים</t>
        </is>
      </c>
      <c r="D77" s="139" t="inlineStr">
        <is>
          <t xml:space="preserve"> אבן סינא פארם טייבה ב.מ</t>
        </is>
      </c>
      <c r="E77" s="139" t="n">
        <v>0</v>
      </c>
      <c r="F77" s="140" t="n">
        <v>0</v>
      </c>
      <c r="G77" s="139" t="n">
        <v>1</v>
      </c>
      <c r="H77" s="140" t="n">
        <v>214.6</v>
      </c>
    </row>
    <row r="78" ht="15" customHeight="1" s="82">
      <c r="A78" s="139" t="inlineStr">
        <is>
          <t>סטאס</t>
        </is>
      </c>
      <c r="B78" s="139">
        <f>IFERROR(INDEX($K$2:$K$5,MATCH(A78,$J$2:$J$5,0)),A78)</f>
        <v/>
      </c>
      <c r="C78" s="139" t="inlineStr">
        <is>
          <t>בתי מרקחת פרטיים</t>
        </is>
      </c>
      <c r="D78" s="139" t="inlineStr">
        <is>
          <t xml:space="preserve"> סקייפארם -ג'י.אר היינמן ב.מ</t>
        </is>
      </c>
      <c r="E78" s="139" t="n">
        <v>451</v>
      </c>
      <c r="F78" s="140" t="n">
        <v>14162.5</v>
      </c>
      <c r="G78" s="139" t="n">
        <v>346</v>
      </c>
      <c r="H78" s="140" t="n">
        <v>11375.2</v>
      </c>
    </row>
    <row r="79" ht="15" customHeight="1" s="82">
      <c r="A79" s="139" t="inlineStr">
        <is>
          <t>חאזם</t>
        </is>
      </c>
      <c r="B79" s="139">
        <f>IFERROR(INDEX($K$2:$K$5,MATCH(A79,$J$2:$J$5,0)),A79)</f>
        <v/>
      </c>
      <c r="C79" s="139" t="inlineStr">
        <is>
          <t>בתי מרקחת פרטיים</t>
        </is>
      </c>
      <c r="D79" s="139" t="inlineStr">
        <is>
          <t xml:space="preserve"> נרקיס פארם חדרה</t>
        </is>
      </c>
      <c r="E79" s="139" t="n">
        <v>387</v>
      </c>
      <c r="F79" s="140" t="n">
        <v>11536</v>
      </c>
      <c r="G79" s="139" t="n">
        <v>318</v>
      </c>
      <c r="H79" s="140" t="n">
        <v>10317.9</v>
      </c>
    </row>
    <row r="80" ht="15" customHeight="1" s="82">
      <c r="A80" s="139" t="inlineStr">
        <is>
          <t>חיים</t>
        </is>
      </c>
      <c r="B80" s="139">
        <f>IFERROR(INDEX($K$2:$K$5,MATCH(A80,$J$2:$J$5,0)),A80)</f>
        <v/>
      </c>
      <c r="C80" s="139" t="inlineStr">
        <is>
          <t>בתי מרקחת פרטיים</t>
        </is>
      </c>
      <c r="D80" s="139" t="inlineStr">
        <is>
          <t xml:space="preserve"> ארזה רעננה ב.מ חדש</t>
        </is>
      </c>
      <c r="E80" s="139" t="n">
        <v>214</v>
      </c>
      <c r="F80" s="140" t="n">
        <v>8171.7</v>
      </c>
      <c r="G80" s="139" t="n">
        <v>218</v>
      </c>
      <c r="H80" s="140" t="n">
        <v>8317.6</v>
      </c>
    </row>
    <row r="81" ht="15" customHeight="1" s="82">
      <c r="A81" s="139" t="inlineStr">
        <is>
          <t>חאזם</t>
        </is>
      </c>
      <c r="B81" s="139">
        <f>IFERROR(INDEX($K$2:$K$5,MATCH(A81,$J$2:$J$5,0)),A81)</f>
        <v/>
      </c>
      <c r="C81" s="139" t="inlineStr">
        <is>
          <t>בתי מרקחת פרטיים</t>
        </is>
      </c>
      <c r="D81" s="139" t="inlineStr">
        <is>
          <t xml:space="preserve"> .גרין פארם עראבה ב.מ</t>
        </is>
      </c>
      <c r="E81" s="139" t="n">
        <v>76</v>
      </c>
      <c r="F81" s="140" t="n">
        <v>3186.4</v>
      </c>
      <c r="G81" s="139" t="n">
        <v>57</v>
      </c>
      <c r="H81" s="140" t="n">
        <v>2475</v>
      </c>
    </row>
    <row r="82" ht="15" customHeight="1" s="82">
      <c r="A82" s="139" t="inlineStr">
        <is>
          <t>חאזם</t>
        </is>
      </c>
      <c r="B82" s="139">
        <f>IFERROR(INDEX($K$2:$K$5,MATCH(A82,$J$2:$J$5,0)),A82)</f>
        <v/>
      </c>
      <c r="C82" s="139" t="inlineStr">
        <is>
          <t>בתי מרקחת פרטיים</t>
        </is>
      </c>
      <c r="D82" s="139" t="inlineStr">
        <is>
          <t xml:space="preserve"> יארא פארם ב.מ חדש כפר עראבה</t>
        </is>
      </c>
      <c r="E82" s="139" t="n">
        <v>110</v>
      </c>
      <c r="F82" s="140" t="n">
        <v>5506.7</v>
      </c>
      <c r="G82" s="139" t="n">
        <v>87</v>
      </c>
      <c r="H82" s="140" t="n">
        <v>5129.2</v>
      </c>
    </row>
    <row r="83" ht="15" customHeight="1" s="82">
      <c r="A83" s="139" t="inlineStr">
        <is>
          <t>סטאס</t>
        </is>
      </c>
      <c r="B83" s="139">
        <f>IFERROR(INDEX($K$2:$K$5,MATCH(A83,$J$2:$J$5,0)),A83)</f>
        <v/>
      </c>
      <c r="C83" s="139" t="inlineStr">
        <is>
          <t>בתי מרקחת פרטיים</t>
        </is>
      </c>
      <c r="D83" s="139" t="inlineStr">
        <is>
          <t xml:space="preserve"> ב.מ בלסיאנו פארם בע""""מ</t>
        </is>
      </c>
      <c r="E83" s="139" t="n">
        <v>10</v>
      </c>
      <c r="F83" s="140" t="n">
        <v>461.4</v>
      </c>
      <c r="G83" s="139" t="n">
        <v>7</v>
      </c>
      <c r="H83" s="140" t="n">
        <v>408.4</v>
      </c>
    </row>
    <row r="84" ht="15" customHeight="1" s="82">
      <c r="A84" s="139" t="inlineStr">
        <is>
          <t>דוד</t>
        </is>
      </c>
      <c r="B84" s="139">
        <f>IFERROR(INDEX($K$2:$K$5,MATCH(A84,$J$2:$J$5,0)),A84)</f>
        <v/>
      </c>
      <c r="C84" s="139" t="inlineStr">
        <is>
          <t>בתי מרקחת פרטיים</t>
        </is>
      </c>
      <c r="D84" s="139" t="inlineStr">
        <is>
          <t xml:space="preserve"> פרמא לייף ב.מ תל שבע</t>
        </is>
      </c>
      <c r="E84" s="139" t="n">
        <v>83</v>
      </c>
      <c r="F84" s="140" t="n">
        <v>3161.9</v>
      </c>
      <c r="G84" s="139" t="n">
        <v>33</v>
      </c>
      <c r="H84" s="140" t="n">
        <v>1214.6</v>
      </c>
    </row>
    <row r="85" ht="15" customHeight="1" s="82">
      <c r="A85" s="139" t="inlineStr">
        <is>
          <t>סטאס</t>
        </is>
      </c>
      <c r="B85" s="139">
        <f>IFERROR(INDEX($K$2:$K$5,MATCH(A85,$J$2:$J$5,0)),A85)</f>
        <v/>
      </c>
      <c r="C85" s="139" t="inlineStr">
        <is>
          <t>בתי מרקחת פרטיים</t>
        </is>
      </c>
      <c r="D85" s="139" t="inlineStr">
        <is>
          <t xml:space="preserve"> ב.מ ניבי פארם רמת אילן</t>
        </is>
      </c>
      <c r="E85" s="139" t="n">
        <v>35</v>
      </c>
      <c r="F85" s="140" t="n">
        <v>751.3</v>
      </c>
      <c r="G85" s="139" t="n">
        <v>53</v>
      </c>
      <c r="H85" s="140" t="n">
        <v>1756.8</v>
      </c>
    </row>
    <row r="86" ht="15" customHeight="1" s="82">
      <c r="A86" s="139" t="inlineStr">
        <is>
          <t>חאזם</t>
        </is>
      </c>
      <c r="B86" s="139">
        <f>IFERROR(INDEX($K$2:$K$5,MATCH(A86,$J$2:$J$5,0)),A86)</f>
        <v/>
      </c>
      <c r="C86" s="139" t="inlineStr">
        <is>
          <t>בתי מרקחת פרטיים</t>
        </is>
      </c>
      <c r="D86" s="139" t="inlineStr">
        <is>
          <t xml:space="preserve"> אלהיא )פ.ח.ח.מ. בע""""מ( ב.מ. בוק</t>
        </is>
      </c>
      <c r="E86" s="139" t="n">
        <v>3</v>
      </c>
      <c r="F86" s="140" t="n">
        <v>216.7</v>
      </c>
      <c r="G86" s="139" t="n">
        <v>0</v>
      </c>
      <c r="H86" s="140" t="n">
        <v>0</v>
      </c>
    </row>
    <row r="87" ht="15" customHeight="1" s="82">
      <c r="A87" s="139" t="inlineStr">
        <is>
          <t>חאזם</t>
        </is>
      </c>
      <c r="B87" s="139">
        <f>IFERROR(INDEX($K$2:$K$5,MATCH(A87,$J$2:$J$5,0)),A87)</f>
        <v/>
      </c>
      <c r="C87" s="139" t="inlineStr">
        <is>
          <t>בתי מרקחת פרטיים</t>
        </is>
      </c>
      <c r="D87" s="139" t="inlineStr">
        <is>
          <t xml:space="preserve"> .טופ פארם נצרת ב.מ</t>
        </is>
      </c>
      <c r="E87" s="139" t="n">
        <v>60</v>
      </c>
      <c r="F87" s="140" t="n">
        <v>1667.1</v>
      </c>
      <c r="G87" s="139" t="n">
        <v>71</v>
      </c>
      <c r="H87" s="140" t="n">
        <v>3471.9</v>
      </c>
    </row>
    <row r="88" ht="15" customHeight="1" s="82">
      <c r="A88" s="139" t="inlineStr">
        <is>
          <t>חאזם</t>
        </is>
      </c>
      <c r="B88" s="139">
        <f>IFERROR(INDEX($K$2:$K$5,MATCH(A88,$J$2:$J$5,0)),A88)</f>
        <v/>
      </c>
      <c r="C88" s="139" t="inlineStr">
        <is>
          <t>בתי מרקחת פרטיים</t>
        </is>
      </c>
      <c r="D88" s="139" t="inlineStr">
        <is>
          <t xml:space="preserve"> כנען צפת ב.מ</t>
        </is>
      </c>
      <c r="E88" s="139" t="n">
        <v>36</v>
      </c>
      <c r="F88" s="140" t="n">
        <v>753.3</v>
      </c>
      <c r="G88" s="139" t="n">
        <v>30</v>
      </c>
      <c r="H88" s="140" t="n">
        <v>990.3</v>
      </c>
    </row>
    <row r="89" ht="15" customHeight="1" s="82">
      <c r="A89" s="139" t="inlineStr">
        <is>
          <t>חאזם</t>
        </is>
      </c>
      <c r="B89" s="139">
        <f>IFERROR(INDEX($K$2:$K$5,MATCH(A89,$J$2:$J$5,0)),A89)</f>
        <v/>
      </c>
      <c r="C89" s="139" t="inlineStr">
        <is>
          <t>בתי מרקחת פרטיים</t>
        </is>
      </c>
      <c r="D89" s="139" t="inlineStr">
        <is>
          <t xml:space="preserve"> מרים פארם ב.מ</t>
        </is>
      </c>
      <c r="E89" s="139" t="n">
        <v>106</v>
      </c>
      <c r="F89" s="140" t="n">
        <v>4424.8</v>
      </c>
      <c r="G89" s="139" t="n">
        <v>9</v>
      </c>
      <c r="H89" s="140" t="n">
        <v>503.9</v>
      </c>
    </row>
    <row r="90" ht="15" customHeight="1" s="82">
      <c r="A90" s="139" t="inlineStr">
        <is>
          <t>חאזם</t>
        </is>
      </c>
      <c r="B90" s="139">
        <f>IFERROR(INDEX($K$2:$K$5,MATCH(A90,$J$2:$J$5,0)),A90)</f>
        <v/>
      </c>
      <c r="C90" s="139" t="inlineStr">
        <is>
          <t>בתי מרקחת פרטיים</t>
        </is>
      </c>
      <c r="D90" s="139" t="inlineStr">
        <is>
          <t xml:space="preserve"> מערופארם בע""""מ אכסאל ב.מ</t>
        </is>
      </c>
      <c r="E90" s="139" t="n">
        <v>72</v>
      </c>
      <c r="F90" s="140" t="n">
        <v>3402.1</v>
      </c>
      <c r="G90" s="139" t="n">
        <v>47</v>
      </c>
      <c r="H90" s="140" t="n">
        <v>1904.2</v>
      </c>
    </row>
    <row r="91" ht="15" customHeight="1" s="82">
      <c r="A91" s="139" t="inlineStr">
        <is>
          <t>חאזם</t>
        </is>
      </c>
      <c r="B91" s="139">
        <f>IFERROR(INDEX($K$2:$K$5,MATCH(A91,$J$2:$J$5,0)),A91)</f>
        <v/>
      </c>
      <c r="C91" s="139" t="inlineStr">
        <is>
          <t>בתי מרקחת פרטיים</t>
        </is>
      </c>
      <c r="D91" s="139" t="inlineStr">
        <is>
          <t xml:space="preserve"> סנטר מולטי פארם ב.מ. חיפה</t>
        </is>
      </c>
      <c r="E91" s="139" t="n">
        <v>498</v>
      </c>
      <c r="F91" s="140" t="n">
        <v>19303.4</v>
      </c>
      <c r="G91" s="139" t="n">
        <v>363</v>
      </c>
      <c r="H91" s="140" t="n">
        <v>15008.9</v>
      </c>
    </row>
    <row r="92" ht="15" customHeight="1" s="82">
      <c r="A92" s="139" t="inlineStr">
        <is>
          <t>חאזם</t>
        </is>
      </c>
      <c r="B92" s="139">
        <f>IFERROR(INDEX($K$2:$K$5,MATCH(A92,$J$2:$J$5,0)),A92)</f>
        <v/>
      </c>
      <c r="C92" s="139" t="inlineStr">
        <is>
          <t>בתי מרקחת פרטיים</t>
        </is>
      </c>
      <c r="D92" s="139" t="inlineStr">
        <is>
          <t xml:space="preserve"> שפרעם האני ב.מ</t>
        </is>
      </c>
      <c r="E92" s="139" t="n">
        <v>2</v>
      </c>
      <c r="F92" s="140" t="n">
        <v>79.59999999999999</v>
      </c>
      <c r="G92" s="139" t="n">
        <v>15</v>
      </c>
      <c r="H92" s="140" t="n">
        <v>474.6</v>
      </c>
    </row>
    <row r="93" ht="15" customHeight="1" s="82">
      <c r="A93" s="139" t="inlineStr">
        <is>
          <t>סטאס</t>
        </is>
      </c>
      <c r="B93" s="139">
        <f>IFERROR(INDEX($K$2:$K$5,MATCH(A93,$J$2:$J$5,0)),A93)</f>
        <v/>
      </c>
      <c r="C93" s="139" t="inlineStr">
        <is>
          <t>בתי מרקחת פרטיים</t>
        </is>
      </c>
      <c r="D93" s="139" t="inlineStr">
        <is>
          <t xml:space="preserve"> פאמילי פרמאסי בע""""מ-הירקון ב.מ</t>
        </is>
      </c>
      <c r="E93" s="139" t="n">
        <v>58</v>
      </c>
      <c r="F93" s="140" t="n">
        <v>2588.4</v>
      </c>
      <c r="G93" s="139" t="n">
        <v>30</v>
      </c>
      <c r="H93" s="140" t="n">
        <v>902.5</v>
      </c>
    </row>
    <row r="94" ht="15" customHeight="1" s="82">
      <c r="A94" s="139" t="inlineStr">
        <is>
          <t>חיים</t>
        </is>
      </c>
      <c r="B94" s="139">
        <f>IFERROR(INDEX($K$2:$K$5,MATCH(A94,$J$2:$J$5,0)),A94)</f>
        <v/>
      </c>
      <c r="C94" s="139" t="inlineStr">
        <is>
          <t>בתי מרקחת פרטיים</t>
        </is>
      </c>
      <c r="D94" s="139" t="inlineStr">
        <is>
          <t xml:space="preserve"> קרית השרון בית מרקחת נתניה</t>
        </is>
      </c>
      <c r="E94" s="139" t="n">
        <v>36</v>
      </c>
      <c r="F94" s="140" t="n">
        <v>1721.4</v>
      </c>
      <c r="G94" s="139" t="n">
        <v>0</v>
      </c>
      <c r="H94" s="140" t="n">
        <v>0</v>
      </c>
    </row>
    <row r="95" ht="15" customHeight="1" s="82">
      <c r="A95" s="139" t="inlineStr">
        <is>
          <t>חאזם</t>
        </is>
      </c>
      <c r="B95" s="139">
        <f>IFERROR(INDEX($K$2:$K$5,MATCH(A95,$J$2:$J$5,0)),A95)</f>
        <v/>
      </c>
      <c r="C95" s="139" t="inlineStr">
        <is>
          <t>בתי מרקחת פרטיים</t>
        </is>
      </c>
      <c r="D95" s="139" t="inlineStr">
        <is>
          <t xml:space="preserve"> דוקטור פארם ב.מ  אום אל פאחם</t>
        </is>
      </c>
      <c r="E95" s="139" t="n">
        <v>96</v>
      </c>
      <c r="F95" s="140" t="n">
        <v>3568.9</v>
      </c>
      <c r="G95" s="139" t="n">
        <v>49</v>
      </c>
      <c r="H95" s="140" t="n">
        <v>1653.6</v>
      </c>
    </row>
    <row r="96" ht="15" customHeight="1" s="82">
      <c r="A96" s="139" t="inlineStr">
        <is>
          <t>חאזם</t>
        </is>
      </c>
      <c r="B96" s="139">
        <f>IFERROR(INDEX($K$2:$K$5,MATCH(A96,$J$2:$J$5,0)),A96)</f>
        <v/>
      </c>
      <c r="C96" s="139" t="inlineStr">
        <is>
          <t>בתי מרקחת פרטיים</t>
        </is>
      </c>
      <c r="D96" s="139" t="inlineStr">
        <is>
          <t xml:space="preserve"> פארמסי וואן אום אל פחם ב.מ</t>
        </is>
      </c>
      <c r="E96" s="139" t="n">
        <v>2</v>
      </c>
      <c r="F96" s="140" t="n">
        <v>142.4</v>
      </c>
      <c r="G96" s="139" t="n">
        <v>0</v>
      </c>
      <c r="H96" s="140" t="n">
        <v>0</v>
      </c>
    </row>
    <row r="97" ht="15" customHeight="1" s="82">
      <c r="A97" s="139" t="inlineStr">
        <is>
          <t>דוד</t>
        </is>
      </c>
      <c r="B97" s="139">
        <f>IFERROR(INDEX($K$2:$K$5,MATCH(A97,$J$2:$J$5,0)),A97)</f>
        <v/>
      </c>
      <c r="C97" s="139" t="inlineStr">
        <is>
          <t>בתי מרקחת פרטיים</t>
        </is>
      </c>
      <c r="D97" s="139" t="inlineStr">
        <is>
          <t xml:space="preserve"> אל עיסאוויה ב.מ ירושלים</t>
        </is>
      </c>
      <c r="E97" s="139" t="n">
        <v>68</v>
      </c>
      <c r="F97" s="140" t="n">
        <v>3605.2</v>
      </c>
      <c r="G97" s="139" t="n">
        <v>123</v>
      </c>
      <c r="H97" s="140" t="n">
        <v>7272.7</v>
      </c>
    </row>
    <row r="98" ht="15" customHeight="1" s="82">
      <c r="A98" s="139" t="inlineStr">
        <is>
          <t>סטאס</t>
        </is>
      </c>
      <c r="B98" s="139">
        <f>IFERROR(INDEX($K$2:$K$5,MATCH(A98,$J$2:$J$5,0)),A98)</f>
        <v/>
      </c>
      <c r="C98" s="139" t="inlineStr">
        <is>
          <t>בתי מרקחת פרטיים</t>
        </is>
      </c>
      <c r="D98" s="139" t="inlineStr">
        <is>
          <t xml:space="preserve"> סופיה כפר קאסם בימר""""ק</t>
        </is>
      </c>
      <c r="E98" s="139" t="n">
        <v>52</v>
      </c>
      <c r="F98" s="140" t="n">
        <v>2257.1</v>
      </c>
      <c r="G98" s="139" t="n">
        <v>0</v>
      </c>
      <c r="H98" s="140" t="n">
        <v>0</v>
      </c>
    </row>
    <row r="99" ht="15" customHeight="1" s="82">
      <c r="A99" s="139" t="inlineStr">
        <is>
          <t>חאזם</t>
        </is>
      </c>
      <c r="B99" s="139">
        <f>IFERROR(INDEX($K$2:$K$5,MATCH(A99,$J$2:$J$5,0)),A99)</f>
        <v/>
      </c>
      <c r="C99" s="139" t="inlineStr">
        <is>
          <t>בתי מרקחת פרטיים</t>
        </is>
      </c>
      <c r="D99" s="139" t="inlineStr">
        <is>
          <t xml:space="preserve"> ב.מ ביאליק פארם קרית ביאליק</t>
        </is>
      </c>
      <c r="E99" s="139" t="n">
        <v>67</v>
      </c>
      <c r="F99" s="140" t="n">
        <v>1398.8</v>
      </c>
      <c r="G99" s="139" t="n">
        <v>14</v>
      </c>
      <c r="H99" s="140" t="n">
        <v>593.2</v>
      </c>
    </row>
    <row r="100" ht="15" customHeight="1" s="82">
      <c r="A100" s="139" t="inlineStr">
        <is>
          <t>חאזם</t>
        </is>
      </c>
      <c r="B100" s="139">
        <f>IFERROR(INDEX($K$2:$K$5,MATCH(A100,$J$2:$J$5,0)),A100)</f>
        <v/>
      </c>
      <c r="C100" s="139" t="inlineStr">
        <is>
          <t>בתי מרקחת פרטיים</t>
        </is>
      </c>
      <c r="D100" s="139" t="inlineStr">
        <is>
          <t xml:space="preserve"> שפרינצק ב.מ חיפה חדש</t>
        </is>
      </c>
      <c r="E100" s="139" t="n">
        <v>45</v>
      </c>
      <c r="F100" s="140" t="n">
        <v>1693.6</v>
      </c>
      <c r="G100" s="139" t="n">
        <v>22</v>
      </c>
      <c r="H100" s="140" t="n">
        <v>826.7</v>
      </c>
    </row>
    <row r="101" ht="15" customHeight="1" s="82">
      <c r="A101" s="139" t="inlineStr">
        <is>
          <t>דוד</t>
        </is>
      </c>
      <c r="B101" s="139">
        <f>IFERROR(INDEX($K$2:$K$5,MATCH(A101,$J$2:$J$5,0)),A101)</f>
        <v/>
      </c>
      <c r="C101" s="139" t="inlineStr">
        <is>
          <t>בתי מרקחת פרטיים</t>
        </is>
      </c>
      <c r="D101" s="139" t="inlineStr">
        <is>
          <t xml:space="preserve"> 09.11 פרדס י-ם ב.מ</t>
        </is>
      </c>
      <c r="E101" s="139" t="n">
        <v>0</v>
      </c>
      <c r="F101" s="140" t="n">
        <v>0</v>
      </c>
      <c r="G101" s="139" t="n">
        <v>4</v>
      </c>
      <c r="H101" s="140" t="n">
        <v>146.1</v>
      </c>
    </row>
    <row r="102" ht="15" customHeight="1" s="82">
      <c r="A102" s="139" t="inlineStr">
        <is>
          <t>סטאס</t>
        </is>
      </c>
      <c r="B102" s="139">
        <f>IFERROR(INDEX($K$2:$K$5,MATCH(A102,$J$2:$J$5,0)),A102)</f>
        <v/>
      </c>
      <c r="C102" s="139" t="inlineStr">
        <is>
          <t>בתי מרקחת פרטיים</t>
        </is>
      </c>
      <c r="D102" s="139" t="inlineStr">
        <is>
          <t xml:space="preserve"> אלסלאם רהט ב.מ</t>
        </is>
      </c>
      <c r="E102" s="139" t="n">
        <v>109</v>
      </c>
      <c r="F102" s="140" t="n">
        <v>5249.6</v>
      </c>
      <c r="G102" s="139" t="n">
        <v>78</v>
      </c>
      <c r="H102" s="140" t="n">
        <v>3893.8</v>
      </c>
    </row>
    <row r="103" ht="15" customHeight="1" s="82">
      <c r="A103" s="139" t="inlineStr">
        <is>
          <t>סטאס</t>
        </is>
      </c>
      <c r="B103" s="139">
        <f>IFERROR(INDEX($K$2:$K$5,MATCH(A103,$J$2:$J$5,0)),A103)</f>
        <v/>
      </c>
      <c r="C103" s="139" t="inlineStr">
        <is>
          <t>בתי מרקחת פרטיים</t>
        </is>
      </c>
      <c r="D103" s="139" t="inlineStr">
        <is>
          <t xml:space="preserve"> .טופ מיד כרים פארם בע""""מ לקיה ב</t>
        </is>
      </c>
      <c r="E103" s="139" t="n">
        <v>23</v>
      </c>
      <c r="F103" s="140" t="n">
        <v>1179.8</v>
      </c>
      <c r="G103" s="139" t="n">
        <v>0</v>
      </c>
      <c r="H103" s="140" t="n">
        <v>0</v>
      </c>
    </row>
    <row r="104" ht="15" customHeight="1" s="82">
      <c r="A104" s="139" t="inlineStr">
        <is>
          <t>דוד</t>
        </is>
      </c>
      <c r="B104" s="139">
        <f>IFERROR(INDEX($K$2:$K$5,MATCH(A104,$J$2:$J$5,0)),A104)</f>
        <v/>
      </c>
      <c r="C104" s="139" t="inlineStr">
        <is>
          <t>בתי מרקחת פרטיים</t>
        </is>
      </c>
      <c r="D104" s="139" t="inlineStr">
        <is>
          <t xml:space="preserve"> בימר""""ק אל ראיה י-ם</t>
        </is>
      </c>
      <c r="E104" s="139" t="n">
        <v>2</v>
      </c>
      <c r="F104" s="140" t="n">
        <v>113</v>
      </c>
      <c r="G104" s="139" t="n">
        <v>1</v>
      </c>
      <c r="H104" s="140" t="n">
        <v>79.59999999999999</v>
      </c>
    </row>
    <row r="105" ht="15" customHeight="1" s="82">
      <c r="A105" s="139" t="inlineStr">
        <is>
          <t>דוד</t>
        </is>
      </c>
      <c r="B105" s="139">
        <f>IFERROR(INDEX($K$2:$K$5,MATCH(A105,$J$2:$J$5,0)),A105)</f>
        <v/>
      </c>
      <c r="C105" s="139" t="inlineStr">
        <is>
          <t>בתי מרקחת פרטיים</t>
        </is>
      </c>
      <c r="D105" s="139" t="inlineStr">
        <is>
          <t xml:space="preserve"> .הפיסגה בית וגן י-ם ב.מ</t>
        </is>
      </c>
      <c r="E105" s="139" t="n">
        <v>134</v>
      </c>
      <c r="F105" s="140" t="n">
        <v>3274.4</v>
      </c>
      <c r="G105" s="139" t="n">
        <v>95</v>
      </c>
      <c r="H105" s="140" t="n">
        <v>3002.2</v>
      </c>
    </row>
    <row r="106" ht="15" customHeight="1" s="82">
      <c r="A106" s="139" t="inlineStr">
        <is>
          <t>דוד</t>
        </is>
      </c>
      <c r="B106" s="139">
        <f>IFERROR(INDEX($K$2:$K$5,MATCH(A106,$J$2:$J$5,0)),A106)</f>
        <v/>
      </c>
      <c r="C106" s="139" t="inlineStr">
        <is>
          <t>בתי מרקחת פרטיים</t>
        </is>
      </c>
      <c r="D106" s="139" t="inlineStr">
        <is>
          <t xml:space="preserve"> פארמה סי )הפלמ""""ח( ב.מ ירושלים</t>
        </is>
      </c>
      <c r="E106" s="139" t="n">
        <v>388</v>
      </c>
      <c r="F106" s="140" t="n">
        <v>13765.1</v>
      </c>
      <c r="G106" s="139" t="n">
        <v>368</v>
      </c>
      <c r="H106" s="140" t="n">
        <v>11809</v>
      </c>
    </row>
    <row r="107" ht="15" customHeight="1" s="82">
      <c r="A107" s="139" t="inlineStr">
        <is>
          <t>דוד</t>
        </is>
      </c>
      <c r="B107" s="139">
        <f>IFERROR(INDEX($K$2:$K$5,MATCH(A107,$J$2:$J$5,0)),A107)</f>
        <v/>
      </c>
      <c r="C107" s="139" t="inlineStr">
        <is>
          <t>בתי מרקחת פרטיים</t>
        </is>
      </c>
      <c r="D107" s="139" t="inlineStr">
        <is>
          <t xml:space="preserve"> הפלמ""""ח י-ם ב.מ</t>
        </is>
      </c>
      <c r="E107" s="139" t="n">
        <v>152</v>
      </c>
      <c r="F107" s="140" t="n">
        <v>3796.2</v>
      </c>
      <c r="G107" s="139" t="n">
        <v>115</v>
      </c>
      <c r="H107" s="140" t="n">
        <v>2969.6</v>
      </c>
    </row>
    <row r="108" ht="15" customHeight="1" s="82">
      <c r="A108" s="139" t="inlineStr">
        <is>
          <t>דוד</t>
        </is>
      </c>
      <c r="B108" s="139">
        <f>IFERROR(INDEX($K$2:$K$5,MATCH(A108,$J$2:$J$5,0)),A108)</f>
        <v/>
      </c>
      <c r="C108" s="139" t="inlineStr">
        <is>
          <t>בתי מרקחת פרטיים</t>
        </is>
      </c>
      <c r="D108" s="139" t="inlineStr">
        <is>
          <t xml:space="preserve"> הפלמ""""ח ב.מ פסגת זאב י-ם</t>
        </is>
      </c>
      <c r="E108" s="139" t="n">
        <v>1</v>
      </c>
      <c r="F108" s="140" t="n">
        <v>79.59999999999999</v>
      </c>
      <c r="G108" s="139" t="n">
        <v>12</v>
      </c>
      <c r="H108" s="140" t="n">
        <v>345.8</v>
      </c>
    </row>
    <row r="109" ht="15" customHeight="1" s="82">
      <c r="A109" s="139" t="inlineStr">
        <is>
          <t>דוד</t>
        </is>
      </c>
      <c r="B109" s="139">
        <f>IFERROR(INDEX($K$2:$K$5,MATCH(A109,$J$2:$J$5,0)),A109)</f>
        <v/>
      </c>
      <c r="C109" s="139" t="inlineStr">
        <is>
          <t>בתי מרקחת פרטיים</t>
        </is>
      </c>
      <c r="D109" s="139" t="inlineStr">
        <is>
          <t xml:space="preserve"> הפלמ""""ח גבעת שאול י-ם ב.מ</t>
        </is>
      </c>
      <c r="E109" s="139" t="n">
        <v>41</v>
      </c>
      <c r="F109" s="140" t="n">
        <v>1050.1</v>
      </c>
      <c r="G109" s="139" t="n">
        <v>21</v>
      </c>
      <c r="H109" s="140" t="n">
        <v>434.9</v>
      </c>
    </row>
    <row r="110" ht="15" customHeight="1" s="82">
      <c r="A110" s="139" t="inlineStr">
        <is>
          <t>חאזם</t>
        </is>
      </c>
      <c r="B110" s="139">
        <f>IFERROR(INDEX($K$2:$K$5,MATCH(A110,$J$2:$J$5,0)),A110)</f>
        <v/>
      </c>
      <c r="C110" s="139" t="inlineStr">
        <is>
          <t>בתי מרקחת פרטיים</t>
        </is>
      </c>
      <c r="D110" s="139" t="inlineStr">
        <is>
          <t xml:space="preserve"> אורן הכרמל ב.מ נשר</t>
        </is>
      </c>
      <c r="E110" s="139" t="n">
        <v>150</v>
      </c>
      <c r="F110" s="140" t="n">
        <v>8599.700000000001</v>
      </c>
      <c r="G110" s="139" t="n">
        <v>1</v>
      </c>
      <c r="H110" s="140" t="n">
        <v>70.3</v>
      </c>
    </row>
    <row r="111" ht="15" customHeight="1" s="82">
      <c r="A111" s="139" t="inlineStr">
        <is>
          <t>חאזם</t>
        </is>
      </c>
      <c r="B111" s="139">
        <f>IFERROR(INDEX($K$2:$K$5,MATCH(A111,$J$2:$J$5,0)),A111)</f>
        <v/>
      </c>
      <c r="C111" s="139" t="inlineStr">
        <is>
          <t>בתי מרקחת פרטיים</t>
        </is>
      </c>
      <c r="D111" s="139" t="inlineStr">
        <is>
          <t xml:space="preserve"> יור פארם סכנין ב.מ</t>
        </is>
      </c>
      <c r="E111" s="139" t="n">
        <v>-3</v>
      </c>
      <c r="F111" s="140" t="n">
        <v>-129.3</v>
      </c>
      <c r="G111" s="139" t="n">
        <v>0</v>
      </c>
      <c r="H111" s="140" t="n">
        <v>0</v>
      </c>
    </row>
    <row r="112" ht="15" customHeight="1" s="82">
      <c r="A112" s="139" t="inlineStr">
        <is>
          <t>חאזם</t>
        </is>
      </c>
      <c r="B112" s="139">
        <f>IFERROR(INDEX($K$2:$K$5,MATCH(A112,$J$2:$J$5,0)),A112)</f>
        <v/>
      </c>
      <c r="C112" s="139" t="inlineStr">
        <is>
          <t>בתי מרקחת פרטיים</t>
        </is>
      </c>
      <c r="D112" s="139" t="inlineStr">
        <is>
          <t xml:space="preserve"> .יור פארם כרמיאל ב.מ</t>
        </is>
      </c>
      <c r="E112" s="139" t="n">
        <v>209</v>
      </c>
      <c r="F112" s="140" t="n">
        <v>8097.2</v>
      </c>
      <c r="G112" s="139" t="n">
        <v>126</v>
      </c>
      <c r="H112" s="140" t="n">
        <v>3638.7</v>
      </c>
    </row>
    <row r="113" ht="15" customHeight="1" s="82">
      <c r="A113" s="139" t="inlineStr">
        <is>
          <t>חאזם</t>
        </is>
      </c>
      <c r="B113" s="139">
        <f>IFERROR(INDEX($K$2:$K$5,MATCH(A113,$J$2:$J$5,0)),A113)</f>
        <v/>
      </c>
      <c r="C113" s="139" t="inlineStr">
        <is>
          <t>בתי מרקחת פרטיים</t>
        </is>
      </c>
      <c r="D113" s="139" t="inlineStr">
        <is>
          <t xml:space="preserve"> סנא פארם כרמיאל ב.מ</t>
        </is>
      </c>
      <c r="E113" s="139" t="n">
        <v>16</v>
      </c>
      <c r="F113" s="140" t="n">
        <v>602.1</v>
      </c>
      <c r="G113" s="139" t="n">
        <v>0</v>
      </c>
      <c r="H113" s="140" t="n">
        <v>0</v>
      </c>
    </row>
    <row r="114" ht="15" customHeight="1" s="82">
      <c r="A114" s="139" t="inlineStr">
        <is>
          <t>חאזם</t>
        </is>
      </c>
      <c r="B114" s="139">
        <f>IFERROR(INDEX($K$2:$K$5,MATCH(A114,$J$2:$J$5,0)),A114)</f>
        <v/>
      </c>
      <c r="C114" s="139" t="inlineStr">
        <is>
          <t>בתי מרקחת פרטיים</t>
        </is>
      </c>
      <c r="D114" s="139" t="inlineStr">
        <is>
          <t xml:space="preserve"> אמל פארם כפר מסעדה ב.מ</t>
        </is>
      </c>
      <c r="E114" s="139" t="n">
        <v>183</v>
      </c>
      <c r="F114" s="140" t="n">
        <v>8600.6</v>
      </c>
      <c r="G114" s="139" t="n">
        <v>60</v>
      </c>
      <c r="H114" s="140" t="n">
        <v>2920.9</v>
      </c>
    </row>
    <row r="115" ht="15" customHeight="1" s="82">
      <c r="A115" s="139" t="inlineStr">
        <is>
          <t>חאזם</t>
        </is>
      </c>
      <c r="B115" s="139">
        <f>IFERROR(INDEX($K$2:$K$5,MATCH(A115,$J$2:$J$5,0)),A115)</f>
        <v/>
      </c>
      <c r="C115" s="139" t="inlineStr">
        <is>
          <t>בתי מרקחת פרטיים</t>
        </is>
      </c>
      <c r="D115" s="139" t="inlineStr">
        <is>
          <t xml:space="preserve"> אמיר מדיקל פארם בע""""מ ב.מ נהריה</t>
        </is>
      </c>
      <c r="E115" s="139" t="n">
        <v>1</v>
      </c>
      <c r="F115" s="140" t="n">
        <v>151.2</v>
      </c>
      <c r="G115" s="139" t="n">
        <v>0</v>
      </c>
      <c r="H115" s="140" t="n">
        <v>0</v>
      </c>
    </row>
    <row r="116" ht="15" customHeight="1" s="82">
      <c r="A116" s="139" t="inlineStr">
        <is>
          <t>חאזם</t>
        </is>
      </c>
      <c r="B116" s="139">
        <f>IFERROR(INDEX($K$2:$K$5,MATCH(A116,$J$2:$J$5,0)),A116)</f>
        <v/>
      </c>
      <c r="C116" s="139" t="inlineStr">
        <is>
          <t>בתי מרקחת פרטיים</t>
        </is>
      </c>
      <c r="D116" s="139" t="inlineStr">
        <is>
          <t xml:space="preserve"> וידא פארם סחנין ב.מ</t>
        </is>
      </c>
      <c r="E116" s="139" t="n">
        <v>106</v>
      </c>
      <c r="F116" s="140" t="n">
        <v>3086.2</v>
      </c>
      <c r="G116" s="139" t="n">
        <v>11</v>
      </c>
      <c r="H116" s="140" t="n">
        <v>702.6</v>
      </c>
    </row>
    <row r="117" ht="15" customHeight="1" s="82">
      <c r="A117" s="139" t="inlineStr">
        <is>
          <t>חאזם</t>
        </is>
      </c>
      <c r="B117" s="139">
        <f>IFERROR(INDEX($K$2:$K$5,MATCH(A117,$J$2:$J$5,0)),A117)</f>
        <v/>
      </c>
      <c r="C117" s="139" t="inlineStr">
        <is>
          <t>בתי מרקחת פרטיים</t>
        </is>
      </c>
      <c r="D117" s="139" t="inlineStr">
        <is>
          <t xml:space="preserve"> מי פארם בית ג'אן ב.מ</t>
        </is>
      </c>
      <c r="E117" s="139" t="n">
        <v>7</v>
      </c>
      <c r="F117" s="140" t="n">
        <v>330.6</v>
      </c>
      <c r="G117" s="139" t="n">
        <v>2</v>
      </c>
      <c r="H117" s="140" t="n">
        <v>99.3</v>
      </c>
    </row>
    <row r="118" ht="15" customHeight="1" s="82">
      <c r="A118" s="139" t="inlineStr">
        <is>
          <t>חאזם</t>
        </is>
      </c>
      <c r="B118" s="139">
        <f>IFERROR(INDEX($K$2:$K$5,MATCH(A118,$J$2:$J$5,0)),A118)</f>
        <v/>
      </c>
      <c r="C118" s="139" t="inlineStr">
        <is>
          <t>בתי מרקחת פרטיים</t>
        </is>
      </c>
      <c r="D118" s="139" t="inlineStr">
        <is>
          <t xml:space="preserve"> ניבי פארם ב.מ טבריה</t>
        </is>
      </c>
      <c r="E118" s="139" t="n">
        <v>188</v>
      </c>
      <c r="F118" s="140" t="n">
        <v>6327</v>
      </c>
      <c r="G118" s="139" t="n">
        <v>74</v>
      </c>
      <c r="H118" s="140" t="n">
        <v>2353.1</v>
      </c>
    </row>
    <row r="119" ht="15" customHeight="1" s="82">
      <c r="A119" s="139" t="inlineStr">
        <is>
          <t>חאזם</t>
        </is>
      </c>
      <c r="B119" s="139">
        <f>IFERROR(INDEX($K$2:$K$5,MATCH(A119,$J$2:$J$5,0)),A119)</f>
        <v/>
      </c>
      <c r="C119" s="139" t="inlineStr">
        <is>
          <t>בתי מרקחת פרטיים</t>
        </is>
      </c>
      <c r="D119" s="139" t="inlineStr">
        <is>
          <t xml:space="preserve"> ע.ק.סנטר פארם העמקים בע""""מ אכסא</t>
        </is>
      </c>
      <c r="E119" s="139" t="n">
        <v>33</v>
      </c>
      <c r="F119" s="140" t="n">
        <v>2476.1</v>
      </c>
      <c r="G119" s="139" t="n">
        <v>2</v>
      </c>
      <c r="H119" s="140" t="n">
        <v>283</v>
      </c>
    </row>
    <row r="120" ht="15" customHeight="1" s="82">
      <c r="A120" s="139" t="inlineStr">
        <is>
          <t>חאזם</t>
        </is>
      </c>
      <c r="B120" s="139">
        <f>IFERROR(INDEX($K$2:$K$5,MATCH(A120,$J$2:$J$5,0)),A120)</f>
        <v/>
      </c>
      <c r="C120" s="139" t="inlineStr">
        <is>
          <t>בתי מרקחת פרטיים</t>
        </is>
      </c>
      <c r="D120" s="139" t="inlineStr">
        <is>
          <t xml:space="preserve"> .מרכז פסוטה ב.מ</t>
        </is>
      </c>
      <c r="E120" s="139" t="n">
        <v>244</v>
      </c>
      <c r="F120" s="140" t="n">
        <v>8725.5</v>
      </c>
      <c r="G120" s="139" t="n">
        <v>43</v>
      </c>
      <c r="H120" s="140" t="n">
        <v>1070.1</v>
      </c>
    </row>
    <row r="121" ht="15" customHeight="1" s="82">
      <c r="A121" s="139" t="inlineStr">
        <is>
          <t>חיים</t>
        </is>
      </c>
      <c r="B121" s="139">
        <f>IFERROR(INDEX($K$2:$K$5,MATCH(A121,$J$2:$J$5,0)),A121)</f>
        <v/>
      </c>
      <c r="C121" s="139" t="inlineStr">
        <is>
          <t>בתי מרקחת פרטיים</t>
        </is>
      </c>
      <c r="D121" s="139" t="inlineStr">
        <is>
          <t xml:space="preserve"> .פנו פארם אחוזת ראשונים ב.מ</t>
        </is>
      </c>
      <c r="E121" s="139" t="n">
        <v>227</v>
      </c>
      <c r="F121" s="140" t="n">
        <v>7532</v>
      </c>
      <c r="G121" s="139" t="n">
        <v>372</v>
      </c>
      <c r="H121" s="140" t="n">
        <v>12789.4</v>
      </c>
    </row>
    <row r="122" ht="15" customHeight="1" s="82">
      <c r="A122" s="139" t="inlineStr">
        <is>
          <t>דוד</t>
        </is>
      </c>
      <c r="B122" s="139">
        <f>IFERROR(INDEX($K$2:$K$5,MATCH(A122,$J$2:$J$5,0)),A122)</f>
        <v/>
      </c>
      <c r="C122" s="139" t="inlineStr">
        <is>
          <t>בתי מרקחת פרטיים</t>
        </is>
      </c>
      <c r="D122" s="139" t="inlineStr">
        <is>
          <t xml:space="preserve"> שמשון חדש בע""""מ אשקלון ב.מ</t>
        </is>
      </c>
      <c r="E122" s="139" t="n">
        <v>22</v>
      </c>
      <c r="F122" s="140" t="n">
        <v>805.4</v>
      </c>
      <c r="G122" s="139" t="n">
        <v>15</v>
      </c>
      <c r="H122" s="140" t="n">
        <v>1082.1</v>
      </c>
    </row>
    <row r="123" ht="15" customHeight="1" s="82">
      <c r="A123" s="139" t="inlineStr">
        <is>
          <t>סטאס</t>
        </is>
      </c>
      <c r="B123" s="139">
        <f>IFERROR(INDEX($K$2:$K$5,MATCH(A123,$J$2:$J$5,0)),A123)</f>
        <v/>
      </c>
      <c r="C123" s="139" t="inlineStr">
        <is>
          <t>בתי מרקחת פרטיים</t>
        </is>
      </c>
      <c r="D123" s="139" t="inlineStr">
        <is>
          <t xml:space="preserve"> סמייל פארם רהט ב.מ</t>
        </is>
      </c>
      <c r="E123" s="139" t="n">
        <v>5</v>
      </c>
      <c r="F123" s="140" t="n">
        <v>398.2</v>
      </c>
      <c r="G123" s="139" t="n">
        <v>0</v>
      </c>
      <c r="H123" s="140" t="n">
        <v>0</v>
      </c>
    </row>
    <row r="124" ht="15" customHeight="1" s="82">
      <c r="A124" s="139" t="inlineStr">
        <is>
          <t>דוד</t>
        </is>
      </c>
      <c r="B124" s="139">
        <f>IFERROR(INDEX($K$2:$K$5,MATCH(A124,$J$2:$J$5,0)),A124)</f>
        <v/>
      </c>
      <c r="C124" s="139" t="inlineStr">
        <is>
          <t>בתי מרקחת פרטיים</t>
        </is>
      </c>
      <c r="D124" s="139" t="inlineStr">
        <is>
          <t xml:space="preserve"> אל משאהד ב.מ ירושלים</t>
        </is>
      </c>
      <c r="E124" s="139" t="n">
        <v>109</v>
      </c>
      <c r="F124" s="140" t="n">
        <v>2955.9</v>
      </c>
      <c r="G124" s="139" t="n">
        <v>0</v>
      </c>
      <c r="H124" s="140" t="n">
        <v>0</v>
      </c>
    </row>
    <row r="125" ht="15" customHeight="1" s="82">
      <c r="A125" s="139" t="inlineStr">
        <is>
          <t>חאזם</t>
        </is>
      </c>
      <c r="B125" s="139">
        <f>IFERROR(INDEX($K$2:$K$5,MATCH(A125,$J$2:$J$5,0)),A125)</f>
        <v/>
      </c>
      <c r="C125" s="139" t="inlineStr">
        <is>
          <t>בתי מרקחת פרטיים</t>
        </is>
      </c>
      <c r="D125" s="139" t="inlineStr">
        <is>
          <t xml:space="preserve"> צפון עכו בית מרקחת</t>
        </is>
      </c>
      <c r="E125" s="139" t="n">
        <v>61</v>
      </c>
      <c r="F125" s="140" t="n">
        <v>1032.4</v>
      </c>
      <c r="G125" s="139" t="n">
        <v>0</v>
      </c>
      <c r="H125" s="140" t="n">
        <v>0</v>
      </c>
    </row>
    <row r="126" ht="15" customHeight="1" s="82">
      <c r="A126" s="139" t="inlineStr">
        <is>
          <t>דוד</t>
        </is>
      </c>
      <c r="B126" s="139">
        <f>IFERROR(INDEX($K$2:$K$5,MATCH(A126,$J$2:$J$5,0)),A126)</f>
        <v/>
      </c>
      <c r="C126" s="139" t="inlineStr">
        <is>
          <t>בתי מרקחת פרטיים</t>
        </is>
      </c>
      <c r="D126" s="139" t="inlineStr">
        <is>
          <t xml:space="preserve"> גבעול ב.מ אשדוד</t>
        </is>
      </c>
      <c r="E126" s="139" t="n">
        <v>1</v>
      </c>
      <c r="F126" s="140" t="n">
        <v>262.4</v>
      </c>
      <c r="G126" s="139" t="n">
        <v>0</v>
      </c>
      <c r="H126" s="140" t="n">
        <v>0</v>
      </c>
    </row>
    <row r="127" ht="15" customHeight="1" s="82">
      <c r="A127" s="139" t="inlineStr">
        <is>
          <t>דוד</t>
        </is>
      </c>
      <c r="B127" s="139">
        <f>IFERROR(INDEX($K$2:$K$5,MATCH(A127,$J$2:$J$5,0)),A127)</f>
        <v/>
      </c>
      <c r="C127" s="139" t="inlineStr">
        <is>
          <t>בתי מרקחת פרטיים</t>
        </is>
      </c>
      <c r="D127" s="139" t="inlineStr">
        <is>
          <t xml:space="preserve"> היי פארם אשקלון בע""""מ ב.מ</t>
        </is>
      </c>
      <c r="E127" s="139" t="n">
        <v>0</v>
      </c>
      <c r="F127" s="140" t="n">
        <v>0</v>
      </c>
      <c r="G127" s="139" t="n">
        <v>135</v>
      </c>
      <c r="H127" s="140" t="n">
        <v>5123.4</v>
      </c>
    </row>
    <row r="128" ht="15" customHeight="1" s="82">
      <c r="A128" s="139" t="inlineStr">
        <is>
          <t>דוד</t>
        </is>
      </c>
      <c r="B128" s="139">
        <f>IFERROR(INDEX($K$2:$K$5,MATCH(A128,$J$2:$J$5,0)),A128)</f>
        <v/>
      </c>
      <c r="C128" s="139" t="inlineStr">
        <is>
          <t>בתי מרקחת פרטיים</t>
        </is>
      </c>
      <c r="D128" s="139" t="inlineStr">
        <is>
          <t xml:space="preserve"> בימר""""ק תל חי אשדוד</t>
        </is>
      </c>
      <c r="E128" s="139" t="n">
        <v>193</v>
      </c>
      <c r="F128" s="140" t="n">
        <v>5721.7</v>
      </c>
      <c r="G128" s="139" t="n">
        <v>173</v>
      </c>
      <c r="H128" s="140" t="n">
        <v>5259.3</v>
      </c>
    </row>
    <row r="129" ht="15" customHeight="1" s="82">
      <c r="A129" s="139" t="inlineStr">
        <is>
          <t>סטאס</t>
        </is>
      </c>
      <c r="B129" s="139">
        <f>IFERROR(INDEX($K$2:$K$5,MATCH(A129,$J$2:$J$5,0)),A129)</f>
        <v/>
      </c>
      <c r="C129" s="139" t="inlineStr">
        <is>
          <t>בתי מרקחת פרטיים</t>
        </is>
      </c>
      <c r="D129" s="139" t="inlineStr">
        <is>
          <t xml:space="preserve"> אלפא פארם רהט ב.מ</t>
        </is>
      </c>
      <c r="E129" s="139" t="n">
        <v>175</v>
      </c>
      <c r="F129" s="140" t="n">
        <v>6961.6</v>
      </c>
      <c r="G129" s="139" t="n">
        <v>95</v>
      </c>
      <c r="H129" s="140" t="n">
        <v>3433.6</v>
      </c>
    </row>
    <row r="130" ht="15" customHeight="1" s="82">
      <c r="A130" s="139" t="inlineStr">
        <is>
          <t>דוד</t>
        </is>
      </c>
      <c r="B130" s="139">
        <f>IFERROR(INDEX($K$2:$K$5,MATCH(A130,$J$2:$J$5,0)),A130)</f>
        <v/>
      </c>
      <c r="C130" s="139" t="inlineStr">
        <is>
          <t>בתי מרקחת פרטיים</t>
        </is>
      </c>
      <c r="D130" s="139" t="inlineStr">
        <is>
          <t xml:space="preserve"> אלנור כסיפה ב.מ</t>
        </is>
      </c>
      <c r="E130" s="139" t="n">
        <v>4</v>
      </c>
      <c r="F130" s="140" t="n">
        <v>295.4</v>
      </c>
      <c r="G130" s="139" t="n">
        <v>1</v>
      </c>
      <c r="H130" s="140" t="n">
        <v>79.59999999999999</v>
      </c>
    </row>
    <row r="131" ht="15" customHeight="1" s="82">
      <c r="A131" s="139" t="inlineStr">
        <is>
          <t>סטאס</t>
        </is>
      </c>
      <c r="B131" s="139">
        <f>IFERROR(INDEX($K$2:$K$5,MATCH(A131,$J$2:$J$5,0)),A131)</f>
        <v/>
      </c>
      <c r="C131" s="139" t="inlineStr">
        <is>
          <t>בתי מרקחת פרטיים</t>
        </is>
      </c>
      <c r="D131" s="139" t="inlineStr">
        <is>
          <t xml:space="preserve"> אלפא ב.ד.ו פארם ערד בימר""""ק</t>
        </is>
      </c>
      <c r="E131" s="139" t="n">
        <v>283</v>
      </c>
      <c r="F131" s="140" t="n">
        <v>9420.6</v>
      </c>
      <c r="G131" s="139" t="n">
        <v>231</v>
      </c>
      <c r="H131" s="140" t="n">
        <v>12868.5</v>
      </c>
    </row>
    <row r="132" ht="15" customHeight="1" s="82">
      <c r="A132" s="139" t="inlineStr">
        <is>
          <t>סטאס</t>
        </is>
      </c>
      <c r="B132" s="139">
        <f>IFERROR(INDEX($K$2:$K$5,MATCH(A132,$J$2:$J$5,0)),A132)</f>
        <v/>
      </c>
      <c r="C132" s="139" t="inlineStr">
        <is>
          <t>בתי מרקחת פרטיים</t>
        </is>
      </c>
      <c r="D132" s="139" t="inlineStr">
        <is>
          <t xml:space="preserve"> אדם פארם תל שבע ב.מ</t>
        </is>
      </c>
      <c r="E132" s="139" t="n">
        <v>79</v>
      </c>
      <c r="F132" s="140" t="n">
        <v>3969.1</v>
      </c>
      <c r="G132" s="139" t="n">
        <v>42</v>
      </c>
      <c r="H132" s="140" t="n">
        <v>1940.2</v>
      </c>
    </row>
    <row r="133" ht="15" customHeight="1" s="82">
      <c r="A133" s="139" t="inlineStr">
        <is>
          <t>סטאס</t>
        </is>
      </c>
      <c r="B133" s="139">
        <f>IFERROR(INDEX($K$2:$K$5,MATCH(A133,$J$2:$J$5,0)),A133)</f>
        <v/>
      </c>
      <c r="C133" s="139" t="inlineStr">
        <is>
          <t>בתי מרקחת פרטיים</t>
        </is>
      </c>
      <c r="D133" s="139" t="inlineStr">
        <is>
          <t xml:space="preserve"> פיור פארם חורה בימר""""ק</t>
        </is>
      </c>
      <c r="E133" s="139" t="n">
        <v>147</v>
      </c>
      <c r="F133" s="140" t="n">
        <v>5934.4</v>
      </c>
      <c r="G133" s="139" t="n">
        <v>110</v>
      </c>
      <c r="H133" s="140" t="n">
        <v>4960.8</v>
      </c>
    </row>
    <row r="134" ht="15" customHeight="1" s="82">
      <c r="A134" s="139" t="inlineStr">
        <is>
          <t>סטאס</t>
        </is>
      </c>
      <c r="B134" s="139">
        <f>IFERROR(INDEX($K$2:$K$5,MATCH(A134,$J$2:$J$5,0)),A134)</f>
        <v/>
      </c>
      <c r="C134" s="139" t="inlineStr">
        <is>
          <t>בתי מרקחת פרטיים</t>
        </is>
      </c>
      <c r="D134" s="139" t="inlineStr">
        <is>
          <t xml:space="preserve"> פארמה 4 יו בע""""מ בת ים ב.מ</t>
        </is>
      </c>
      <c r="E134" s="139" t="n">
        <v>12</v>
      </c>
      <c r="F134" s="140" t="n">
        <v>217.4</v>
      </c>
      <c r="G134" s="139" t="n">
        <v>3</v>
      </c>
      <c r="H134" s="140" t="n">
        <v>84.2</v>
      </c>
    </row>
    <row r="135" ht="15" customHeight="1" s="82">
      <c r="A135" s="139" t="inlineStr">
        <is>
          <t>דוד</t>
        </is>
      </c>
      <c r="B135" s="139">
        <f>IFERROR(INDEX($K$2:$K$5,MATCH(A135,$J$2:$J$5,0)),A135)</f>
        <v/>
      </c>
      <c r="C135" s="139" t="inlineStr">
        <is>
          <t>בתי מרקחת פרטיים</t>
        </is>
      </c>
      <c r="D135" s="139" t="inlineStr">
        <is>
          <t xml:space="preserve"> הר פארם 2021 בע""""מ עין ראפה בימ</t>
        </is>
      </c>
      <c r="E135" s="139" t="n">
        <v>104</v>
      </c>
      <c r="F135" s="140" t="n">
        <v>4351.7</v>
      </c>
      <c r="G135" s="139" t="n">
        <v>66</v>
      </c>
      <c r="H135" s="140" t="n">
        <v>3716.5</v>
      </c>
    </row>
    <row r="136" ht="15" customHeight="1" s="82">
      <c r="A136" s="139" t="inlineStr">
        <is>
          <t>סטאס</t>
        </is>
      </c>
      <c r="B136" s="139">
        <f>IFERROR(INDEX($K$2:$K$5,MATCH(A136,$J$2:$J$5,0)),A136)</f>
        <v/>
      </c>
      <c r="C136" s="139" t="inlineStr">
        <is>
          <t>בתי מרקחת פרטיים</t>
        </is>
      </c>
      <c r="D136" s="139" t="inlineStr">
        <is>
          <t xml:space="preserve"> מדיקאנה פארם טייבה ב.מ</t>
        </is>
      </c>
      <c r="E136" s="139" t="n">
        <v>17</v>
      </c>
      <c r="F136" s="140" t="n">
        <v>807.4</v>
      </c>
      <c r="G136" s="139" t="n">
        <v>62</v>
      </c>
      <c r="H136" s="140" t="n">
        <v>3276.8</v>
      </c>
    </row>
    <row r="137" ht="15" customHeight="1" s="82">
      <c r="A137" s="139" t="inlineStr">
        <is>
          <t>דוד</t>
        </is>
      </c>
      <c r="B137" s="139">
        <f>IFERROR(INDEX($K$2:$K$5,MATCH(A137,$J$2:$J$5,0)),A137)</f>
        <v/>
      </c>
      <c r="C137" s="139" t="inlineStr">
        <is>
          <t>בתי מרקחת פרטיים</t>
        </is>
      </c>
      <c r="D137" s="139" t="inlineStr">
        <is>
          <t xml:space="preserve"> ג'יני פארם בע""""מ ב.מ מודיעין</t>
        </is>
      </c>
      <c r="E137" s="139" t="n">
        <v>16</v>
      </c>
      <c r="F137" s="140" t="n">
        <v>463.2</v>
      </c>
      <c r="G137" s="139" t="n">
        <v>4</v>
      </c>
      <c r="H137" s="140" t="n">
        <v>50.4</v>
      </c>
    </row>
    <row r="138" ht="15" customHeight="1" s="82">
      <c r="A138" s="139" t="inlineStr">
        <is>
          <t>דוד</t>
        </is>
      </c>
      <c r="B138" s="139">
        <f>IFERROR(INDEX($K$2:$K$5,MATCH(A138,$J$2:$J$5,0)),A138)</f>
        <v/>
      </c>
      <c r="C138" s="139" t="inlineStr">
        <is>
          <t>בתי מרקחת פרטיים</t>
        </is>
      </c>
      <c r="D138" s="139" t="inlineStr">
        <is>
          <t xml:space="preserve"> המכבים ב.מ מודיעין</t>
        </is>
      </c>
      <c r="E138" s="139" t="n">
        <v>0</v>
      </c>
      <c r="F138" s="140" t="n">
        <v>0</v>
      </c>
      <c r="G138" s="139" t="n">
        <v>102</v>
      </c>
      <c r="H138" s="140" t="n">
        <v>3382</v>
      </c>
    </row>
    <row r="139" ht="15" customHeight="1" s="82">
      <c r="A139" s="139" t="inlineStr">
        <is>
          <t>חיים</t>
        </is>
      </c>
      <c r="B139" s="139">
        <f>IFERROR(INDEX($K$2:$K$5,MATCH(A139,$J$2:$J$5,0)),A139)</f>
        <v/>
      </c>
      <c r="C139" s="139" t="inlineStr">
        <is>
          <t>בתי מרקחת פרטיים</t>
        </is>
      </c>
      <c r="D139" s="139" t="inlineStr">
        <is>
          <t xml:space="preserve"> גבעול דהשליט הרצליה ב.מ</t>
        </is>
      </c>
      <c r="E139" s="139" t="n">
        <v>350</v>
      </c>
      <c r="F139" s="140" t="n">
        <v>13418.4</v>
      </c>
      <c r="G139" s="139" t="n">
        <v>197</v>
      </c>
      <c r="H139" s="140" t="n">
        <v>11997.5</v>
      </c>
    </row>
    <row r="140" ht="15" customHeight="1" s="82">
      <c r="A140" s="139" t="inlineStr">
        <is>
          <t>חיים</t>
        </is>
      </c>
      <c r="B140" s="139">
        <f>IFERROR(INDEX($K$2:$K$5,MATCH(A140,$J$2:$J$5,0)),A140)</f>
        <v/>
      </c>
      <c r="C140" s="139" t="inlineStr">
        <is>
          <t>בתי מרקחת פרטיים</t>
        </is>
      </c>
      <c r="D140" s="139" t="inlineStr">
        <is>
          <t xml:space="preserve"> ב.מ נווה עופר פארמה בע""""מ</t>
        </is>
      </c>
      <c r="E140" s="139" t="n">
        <v>1</v>
      </c>
      <c r="F140" s="140" t="n">
        <v>20.1</v>
      </c>
      <c r="G140" s="139" t="n">
        <v>0</v>
      </c>
      <c r="H140" s="140" t="n">
        <v>0</v>
      </c>
    </row>
    <row r="141" ht="15" customHeight="1" s="82">
      <c r="A141" s="139" t="inlineStr">
        <is>
          <t>חיים</t>
        </is>
      </c>
      <c r="B141" s="139">
        <f>IFERROR(INDEX($K$2:$K$5,MATCH(A141,$J$2:$J$5,0)),A141)</f>
        <v/>
      </c>
      <c r="C141" s="139" t="inlineStr">
        <is>
          <t>בתי מרקחת פרטיים</t>
        </is>
      </c>
      <c r="D141" s="139" t="inlineStr">
        <is>
          <t xml:space="preserve"> (בימר""""ק עץ החיים ת""""א )כאן עולם</t>
        </is>
      </c>
      <c r="E141" s="139" t="n">
        <v>58</v>
      </c>
      <c r="F141" s="140" t="n">
        <v>2921.8</v>
      </c>
      <c r="G141" s="139" t="n">
        <v>119</v>
      </c>
      <c r="H141" s="140" t="n">
        <v>5446.5</v>
      </c>
    </row>
    <row r="142" ht="15" customHeight="1" s="82">
      <c r="A142" s="139" t="inlineStr">
        <is>
          <t>חאזם</t>
        </is>
      </c>
      <c r="B142" s="139">
        <f>IFERROR(INDEX($K$2:$K$5,MATCH(A142,$J$2:$J$5,0)),A142)</f>
        <v/>
      </c>
      <c r="C142" s="139" t="inlineStr">
        <is>
          <t>בתי מרקחת פרטיים</t>
        </is>
      </c>
      <c r="D142" s="139" t="inlineStr">
        <is>
          <t xml:space="preserve"> א.ש שאוסקר פארם ב.מ חיפה</t>
        </is>
      </c>
      <c r="E142" s="139" t="n">
        <v>115</v>
      </c>
      <c r="F142" s="140" t="n">
        <v>1849.6</v>
      </c>
      <c r="G142" s="139" t="n">
        <v>0</v>
      </c>
      <c r="H142" s="140" t="n">
        <v>0</v>
      </c>
    </row>
    <row r="143" ht="15" customHeight="1" s="82">
      <c r="A143" s="139" t="inlineStr">
        <is>
          <t>חאזם</t>
        </is>
      </c>
      <c r="B143" s="139">
        <f>IFERROR(INDEX($K$2:$K$5,MATCH(A143,$J$2:$J$5,0)),A143)</f>
        <v/>
      </c>
      <c r="C143" s="139" t="inlineStr">
        <is>
          <t>בתי מרקחת פרטיים</t>
        </is>
      </c>
      <c r="D143" s="139" t="inlineStr">
        <is>
          <t xml:space="preserve"> גריןפארם בע""""מ עפולה ב.מ</t>
        </is>
      </c>
      <c r="E143" s="139" t="n">
        <v>1</v>
      </c>
      <c r="F143" s="140" t="n">
        <v>132.3</v>
      </c>
      <c r="G143" s="139" t="n">
        <v>0</v>
      </c>
      <c r="H143" s="140" t="n">
        <v>0</v>
      </c>
    </row>
    <row r="144" ht="15" customHeight="1" s="82">
      <c r="A144" s="139" t="inlineStr">
        <is>
          <t>חאזם</t>
        </is>
      </c>
      <c r="B144" s="139">
        <f>IFERROR(INDEX($K$2:$K$5,MATCH(A144,$J$2:$J$5,0)),A144)</f>
        <v/>
      </c>
      <c r="C144" s="139" t="inlineStr">
        <is>
          <t>בתי מרקחת פרטיים</t>
        </is>
      </c>
      <c r="D144" s="139" t="inlineStr">
        <is>
          <t xml:space="preserve"> גולדה פארם חיפה ב.מ</t>
        </is>
      </c>
      <c r="E144" s="139" t="n">
        <v>123</v>
      </c>
      <c r="F144" s="140" t="n">
        <v>3704.9</v>
      </c>
      <c r="G144" s="139" t="n">
        <v>38</v>
      </c>
      <c r="H144" s="140" t="n">
        <v>2149.9</v>
      </c>
    </row>
    <row r="145" ht="15" customHeight="1" s="82">
      <c r="A145" s="139" t="inlineStr">
        <is>
          <t>חאזם</t>
        </is>
      </c>
      <c r="B145" s="139">
        <f>IFERROR(INDEX($K$2:$K$5,MATCH(A145,$J$2:$J$5,0)),A145)</f>
        <v/>
      </c>
      <c r="C145" s="139" t="inlineStr">
        <is>
          <t>בתי מרקחת פרטיים</t>
        </is>
      </c>
      <c r="D145" s="139" t="inlineStr">
        <is>
          <t xml:space="preserve"> הסנה מרפא ב.מ חיפה</t>
        </is>
      </c>
      <c r="E145" s="139" t="n">
        <v>63</v>
      </c>
      <c r="F145" s="140" t="n">
        <v>2932.9</v>
      </c>
      <c r="G145" s="139" t="n">
        <v>58</v>
      </c>
      <c r="H145" s="140" t="n">
        <v>2868</v>
      </c>
    </row>
    <row r="146" ht="15" customHeight="1" s="82">
      <c r="A146" s="139" t="inlineStr">
        <is>
          <t>חאזם</t>
        </is>
      </c>
      <c r="B146" s="139">
        <f>IFERROR(INDEX($K$2:$K$5,MATCH(A146,$J$2:$J$5,0)),A146)</f>
        <v/>
      </c>
      <c r="C146" s="139" t="inlineStr">
        <is>
          <t>בתי מרקחת פרטיים</t>
        </is>
      </c>
      <c r="D146" s="139" t="inlineStr">
        <is>
          <t xml:space="preserve"> חניתה ב.מ חיפה</t>
        </is>
      </c>
      <c r="E146" s="139" t="n">
        <v>504</v>
      </c>
      <c r="F146" s="140" t="n">
        <v>19360.2</v>
      </c>
      <c r="G146" s="139" t="n">
        <v>252</v>
      </c>
      <c r="H146" s="140" t="n">
        <v>11268</v>
      </c>
    </row>
    <row r="147" ht="15" customHeight="1" s="82">
      <c r="A147" s="139" t="inlineStr">
        <is>
          <t>חאזם</t>
        </is>
      </c>
      <c r="B147" s="139">
        <f>IFERROR(INDEX($K$2:$K$5,MATCH(A147,$J$2:$J$5,0)),A147)</f>
        <v/>
      </c>
      <c r="C147" s="139" t="inlineStr">
        <is>
          <t>בתי מרקחת פרטיים</t>
        </is>
      </c>
      <c r="D147" s="139" t="inlineStr">
        <is>
          <t xml:space="preserve"> כרמל פארם חריש ב.מ</t>
        </is>
      </c>
      <c r="E147" s="139" t="n">
        <v>197</v>
      </c>
      <c r="F147" s="140" t="n">
        <v>7814.6</v>
      </c>
      <c r="G147" s="139" t="n">
        <v>8</v>
      </c>
      <c r="H147" s="140" t="n">
        <v>499.3</v>
      </c>
    </row>
    <row r="148" ht="15" customHeight="1" s="82">
      <c r="A148" s="139" t="inlineStr">
        <is>
          <t>חאזם</t>
        </is>
      </c>
      <c r="B148" s="139">
        <f>IFERROR(INDEX($K$2:$K$5,MATCH(A148,$J$2:$J$5,0)),A148)</f>
        <v/>
      </c>
      <c r="C148" s="139" t="inlineStr">
        <is>
          <t>בתי מרקחת פרטיים</t>
        </is>
      </c>
      <c r="D148" s="139" t="inlineStr">
        <is>
          <t xml:space="preserve"> לאון פארם כרמל בית מרקחת</t>
        </is>
      </c>
      <c r="E148" s="139" t="n">
        <v>17</v>
      </c>
      <c r="F148" s="140" t="n">
        <v>453.4</v>
      </c>
      <c r="G148" s="139" t="n">
        <v>16</v>
      </c>
      <c r="H148" s="140" t="n">
        <v>401.3</v>
      </c>
    </row>
    <row r="149" ht="15" customHeight="1" s="82">
      <c r="A149" s="139" t="inlineStr">
        <is>
          <t>חאזם</t>
        </is>
      </c>
      <c r="B149" s="139">
        <f>IFERROR(INDEX($K$2:$K$5,MATCH(A149,$J$2:$J$5,0)),A149)</f>
        <v/>
      </c>
      <c r="C149" s="139" t="inlineStr">
        <is>
          <t>בתי מרקחת פרטיים</t>
        </is>
      </c>
      <c r="D149" s="139" t="inlineStr">
        <is>
          <t xml:space="preserve"> לאנא פארם ב.מ כפר ג'ת חדש</t>
        </is>
      </c>
      <c r="E149" s="139" t="n">
        <v>223</v>
      </c>
      <c r="F149" s="140" t="n">
        <v>11325.4</v>
      </c>
      <c r="G149" s="139" t="n">
        <v>369</v>
      </c>
      <c r="H149" s="140" t="n">
        <v>17291</v>
      </c>
    </row>
    <row r="150" ht="15" customHeight="1" s="82">
      <c r="A150" s="139" t="inlineStr">
        <is>
          <t>חאזם</t>
        </is>
      </c>
      <c r="B150" s="139">
        <f>IFERROR(INDEX($K$2:$K$5,MATCH(A150,$J$2:$J$5,0)),A150)</f>
        <v/>
      </c>
      <c r="C150" s="139" t="inlineStr">
        <is>
          <t>בתי מרקחת פרטיים</t>
        </is>
      </c>
      <c r="D150" s="139" t="inlineStr">
        <is>
          <t xml:space="preserve"> מאי פארם חורפיש ב.מ</t>
        </is>
      </c>
      <c r="E150" s="139" t="n">
        <v>59</v>
      </c>
      <c r="F150" s="140" t="n">
        <v>2386.9</v>
      </c>
      <c r="G150" s="139" t="n">
        <v>73</v>
      </c>
      <c r="H150" s="140" t="n">
        <v>3950.6</v>
      </c>
    </row>
    <row r="151" ht="15" customHeight="1" s="82">
      <c r="A151" s="139" t="inlineStr">
        <is>
          <t>חאזם</t>
        </is>
      </c>
      <c r="B151" s="139">
        <f>IFERROR(INDEX($K$2:$K$5,MATCH(A151,$J$2:$J$5,0)),A151)</f>
        <v/>
      </c>
      <c r="C151" s="139" t="inlineStr">
        <is>
          <t>בתי מרקחת פרטיים</t>
        </is>
      </c>
      <c r="D151" s="139" t="inlineStr">
        <is>
          <t xml:space="preserve"> משהד פארם ב.מ כפר משהד</t>
        </is>
      </c>
      <c r="E151" s="139" t="n">
        <v>30</v>
      </c>
      <c r="F151" s="140" t="n">
        <v>2316.8</v>
      </c>
      <c r="G151" s="139" t="n">
        <v>104</v>
      </c>
      <c r="H151" s="140" t="n">
        <v>3680.4</v>
      </c>
    </row>
    <row r="152" ht="15" customHeight="1" s="82">
      <c r="A152" s="139" t="inlineStr">
        <is>
          <t>חאזם</t>
        </is>
      </c>
      <c r="B152" s="139">
        <f>IFERROR(INDEX($K$2:$K$5,MATCH(A152,$J$2:$J$5,0)),A152)</f>
        <v/>
      </c>
      <c r="C152" s="139" t="inlineStr">
        <is>
          <t>בתי מרקחת פרטיים</t>
        </is>
      </c>
      <c r="D152" s="139" t="inlineStr">
        <is>
          <t xml:space="preserve"> מעוז פארם חיפה ב.מ</t>
        </is>
      </c>
      <c r="E152" s="139" t="n">
        <v>200</v>
      </c>
      <c r="F152" s="140" t="n">
        <v>6573.7</v>
      </c>
      <c r="G152" s="139" t="n">
        <v>171</v>
      </c>
      <c r="H152" s="140" t="n">
        <v>5785.9</v>
      </c>
    </row>
    <row r="153" ht="15" customHeight="1" s="82">
      <c r="A153" s="139" t="inlineStr">
        <is>
          <t>חאזם</t>
        </is>
      </c>
      <c r="B153" s="139">
        <f>IFERROR(INDEX($K$2:$K$5,MATCH(A153,$J$2:$J$5,0)),A153)</f>
        <v/>
      </c>
      <c r="C153" s="139" t="inlineStr">
        <is>
          <t>בתי מרקחת פרטיים</t>
        </is>
      </c>
      <c r="D153" s="139" t="inlineStr">
        <is>
          <t xml:space="preserve"> """"סיידליתי מאי פארם סח'נין בימר</t>
        </is>
      </c>
      <c r="E153" s="139" t="n">
        <v>202</v>
      </c>
      <c r="F153" s="140" t="n">
        <v>7265.6</v>
      </c>
      <c r="G153" s="139" t="n">
        <v>86</v>
      </c>
      <c r="H153" s="140" t="n">
        <v>4386.4</v>
      </c>
    </row>
    <row r="154" ht="15" customHeight="1" s="82">
      <c r="A154" s="139" t="inlineStr">
        <is>
          <t>חאזם</t>
        </is>
      </c>
      <c r="B154" s="139">
        <f>IFERROR(INDEX($K$2:$K$5,MATCH(A154,$J$2:$J$5,0)),A154)</f>
        <v/>
      </c>
      <c r="C154" s="139" t="inlineStr">
        <is>
          <t>בתי מרקחת פרטיים</t>
        </is>
      </c>
      <c r="D154" s="139" t="inlineStr">
        <is>
          <t xml:space="preserve"> עלאדין ד.אל כרמל ב.מ</t>
        </is>
      </c>
      <c r="E154" s="139" t="n">
        <v>157</v>
      </c>
      <c r="F154" s="140" t="n">
        <v>3708.8</v>
      </c>
      <c r="G154" s="139" t="n">
        <v>0</v>
      </c>
      <c r="H154" s="140" t="n">
        <v>0</v>
      </c>
    </row>
    <row r="155" ht="15" customHeight="1" s="82">
      <c r="A155" s="139" t="inlineStr">
        <is>
          <t>סטאס</t>
        </is>
      </c>
      <c r="B155" s="139">
        <f>IFERROR(INDEX($K$2:$K$5,MATCH(A155,$J$2:$J$5,0)),A155)</f>
        <v/>
      </c>
      <c r="C155" s="139" t="inlineStr">
        <is>
          <t>בתי מרקחת פרטיים</t>
        </is>
      </c>
      <c r="D155" s="139" t="inlineStr">
        <is>
          <t xml:space="preserve"> אלחאכמה פארם ב.מ שגב שלום</t>
        </is>
      </c>
      <c r="E155" s="139" t="n">
        <v>39</v>
      </c>
      <c r="F155" s="140" t="n">
        <v>2128.5</v>
      </c>
      <c r="G155" s="139" t="n">
        <v>0</v>
      </c>
      <c r="H155" s="140" t="n">
        <v>0</v>
      </c>
    </row>
    <row r="156" ht="15" customHeight="1" s="82">
      <c r="A156" s="139" t="inlineStr">
        <is>
          <t>סטאס</t>
        </is>
      </c>
      <c r="B156" s="139">
        <f>IFERROR(INDEX($K$2:$K$5,MATCH(A156,$J$2:$J$5,0)),A156)</f>
        <v/>
      </c>
      <c r="C156" s="139" t="inlineStr">
        <is>
          <t>בתי מרקחת פרטיים</t>
        </is>
      </c>
      <c r="D156" s="139" t="inlineStr">
        <is>
          <t xml:space="preserve"> בית מרקחת אבן סינא</t>
        </is>
      </c>
      <c r="E156" s="139" t="n">
        <v>0</v>
      </c>
      <c r="F156" s="140" t="n">
        <v>0</v>
      </c>
      <c r="G156" s="139" t="n">
        <v>79</v>
      </c>
      <c r="H156" s="140" t="n">
        <v>4027.5</v>
      </c>
    </row>
    <row r="157" ht="15" customHeight="1" s="82">
      <c r="A157" s="139" t="inlineStr">
        <is>
          <t>סטאס</t>
        </is>
      </c>
      <c r="B157" s="139">
        <f>IFERROR(INDEX($K$2:$K$5,MATCH(A157,$J$2:$J$5,0)),A157)</f>
        <v/>
      </c>
      <c r="C157" s="139" t="inlineStr">
        <is>
          <t>בתי מרקחת פרטיים</t>
        </is>
      </c>
      <c r="D157" s="139" t="inlineStr">
        <is>
          <t xml:space="preserve"> .מדיקיור פארם בע""""מ ב.מ</t>
        </is>
      </c>
      <c r="E157" s="139" t="n">
        <v>30</v>
      </c>
      <c r="F157" s="140" t="n">
        <v>1364.1</v>
      </c>
      <c r="G157" s="139" t="n">
        <v>220</v>
      </c>
      <c r="H157" s="140" t="n">
        <v>9054.700000000001</v>
      </c>
    </row>
    <row r="158" ht="15" customHeight="1" s="82">
      <c r="A158" s="139" t="inlineStr">
        <is>
          <t>סטאס</t>
        </is>
      </c>
      <c r="B158" s="139">
        <f>IFERROR(INDEX($K$2:$K$5,MATCH(A158,$J$2:$J$5,0)),A158)</f>
        <v/>
      </c>
      <c r="C158" s="139" t="inlineStr">
        <is>
          <t>בתי מרקחת פרטיים</t>
        </is>
      </c>
      <c r="D158" s="139" t="inlineStr">
        <is>
          <t xml:space="preserve"> פיור פארם רהט בימר""""ק</t>
        </is>
      </c>
      <c r="E158" s="139" t="n">
        <v>0</v>
      </c>
      <c r="F158" s="140" t="n">
        <v>0</v>
      </c>
      <c r="G158" s="139" t="n">
        <v>6</v>
      </c>
      <c r="H158" s="140" t="n">
        <v>367.7</v>
      </c>
    </row>
    <row r="159" ht="15" customHeight="1" s="82">
      <c r="A159" s="139" t="inlineStr">
        <is>
          <t>חיים</t>
        </is>
      </c>
      <c r="B159" s="139">
        <f>IFERROR(INDEX($K$2:$K$5,MATCH(A159,$J$2:$J$5,0)),A159)</f>
        <v/>
      </c>
      <c r="C159" s="139" t="inlineStr">
        <is>
          <t>בתי מרקחת פרטיים</t>
        </is>
      </c>
      <c r="D159" s="139" t="inlineStr">
        <is>
          <t xml:space="preserve"> פנו פארם ק.בן גוריון חולון</t>
        </is>
      </c>
      <c r="E159" s="139" t="n">
        <v>0</v>
      </c>
      <c r="F159" s="140" t="n">
        <v>0</v>
      </c>
      <c r="G159" s="139" t="n">
        <v>368</v>
      </c>
      <c r="H159" s="140" t="n">
        <v>11290.3</v>
      </c>
    </row>
    <row r="160" ht="15" customHeight="1" s="82">
      <c r="A160" s="139" t="inlineStr">
        <is>
          <t>דוד</t>
        </is>
      </c>
      <c r="B160" s="139">
        <f>IFERROR(INDEX($K$2:$K$5,MATCH(A160,$J$2:$J$5,0)),A160)</f>
        <v/>
      </c>
      <c r="C160" s="139" t="inlineStr">
        <is>
          <t>בתי מרקחת פרטיים</t>
        </is>
      </c>
      <c r="D160" s="139" t="inlineStr">
        <is>
          <t xml:space="preserve"> אל משאהד ב.מ ירושלים</t>
        </is>
      </c>
      <c r="E160" s="139" t="n">
        <v>765</v>
      </c>
      <c r="F160" s="140" t="n">
        <v>32349.8</v>
      </c>
      <c r="G160" s="139" t="n">
        <v>551</v>
      </c>
      <c r="H160" s="140" t="n">
        <v>30572.3</v>
      </c>
    </row>
    <row r="161" ht="15" customHeight="1" s="82">
      <c r="A161" s="139" t="inlineStr">
        <is>
          <t>דוד</t>
        </is>
      </c>
      <c r="B161" s="139">
        <f>IFERROR(INDEX($K$2:$K$5,MATCH(A161,$J$2:$J$5,0)),A161)</f>
        <v/>
      </c>
      <c r="C161" s="139" t="inlineStr">
        <is>
          <t>בתי מרקחת פרטיים</t>
        </is>
      </c>
      <c r="D161" s="139" t="inlineStr">
        <is>
          <t xml:space="preserve"> ברוש מ.אדומים ב.מ</t>
        </is>
      </c>
      <c r="E161" s="139" t="n">
        <v>15</v>
      </c>
      <c r="F161" s="140" t="n">
        <v>920.8</v>
      </c>
      <c r="G161" s="139" t="n">
        <v>1</v>
      </c>
      <c r="H161" s="140" t="n">
        <v>36.5</v>
      </c>
    </row>
    <row r="162" ht="15" customHeight="1" s="82">
      <c r="A162" s="139" t="inlineStr">
        <is>
          <t>דוד</t>
        </is>
      </c>
      <c r="B162" s="139">
        <f>IFERROR(INDEX($K$2:$K$5,MATCH(A162,$J$2:$J$5,0)),A162)</f>
        <v/>
      </c>
      <c r="C162" s="139" t="inlineStr">
        <is>
          <t>בתי מרקחת פרטיים</t>
        </is>
      </c>
      <c r="D162" s="139" t="inlineStr">
        <is>
          <t xml:space="preserve"> הסנא מרפא גוש עציון ב.מ</t>
        </is>
      </c>
      <c r="E162" s="139" t="n">
        <v>308</v>
      </c>
      <c r="F162" s="140" t="n">
        <v>14348.7</v>
      </c>
      <c r="G162" s="139" t="n">
        <v>626</v>
      </c>
      <c r="H162" s="140" t="n">
        <v>22073.2</v>
      </c>
    </row>
    <row r="163" ht="15" customHeight="1" s="82">
      <c r="A163" s="139" t="inlineStr">
        <is>
          <t>דוד</t>
        </is>
      </c>
      <c r="B163" s="139">
        <f>IFERROR(INDEX($K$2:$K$5,MATCH(A163,$J$2:$J$5,0)),A163)</f>
        <v/>
      </c>
      <c r="C163" s="139" t="inlineStr">
        <is>
          <t>בתי מרקחת פרטיים</t>
        </is>
      </c>
      <c r="D163" s="139" t="inlineStr">
        <is>
          <t xml:space="preserve"> וי פארם מ.נ.י.ו שיווק והפצה מב</t>
        </is>
      </c>
      <c r="E163" s="139" t="n">
        <v>43</v>
      </c>
      <c r="F163" s="140" t="n">
        <v>1860.9</v>
      </c>
      <c r="G163" s="139" t="n">
        <v>0</v>
      </c>
      <c r="H163" s="140" t="n">
        <v>0</v>
      </c>
    </row>
    <row r="164" ht="15" customHeight="1" s="82">
      <c r="A164" s="139" t="inlineStr">
        <is>
          <t>דוד</t>
        </is>
      </c>
      <c r="B164" s="139">
        <f>IFERROR(INDEX($K$2:$K$5,MATCH(A164,$J$2:$J$5,0)),A164)</f>
        <v/>
      </c>
      <c r="C164" s="139" t="inlineStr">
        <is>
          <t>בתי מרקחת פרטיים</t>
        </is>
      </c>
      <c r="D164" s="139" t="inlineStr">
        <is>
          <t xml:space="preserve"> חבש ירושלים ב.מ</t>
        </is>
      </c>
      <c r="E164" s="139" t="n">
        <v>221</v>
      </c>
      <c r="F164" s="140" t="n">
        <v>9206.200000000001</v>
      </c>
      <c r="G164" s="139" t="n">
        <v>377</v>
      </c>
      <c r="H164" s="140" t="n">
        <v>17871.5</v>
      </c>
    </row>
    <row r="165" ht="15" customHeight="1" s="82">
      <c r="A165" s="139" t="inlineStr">
        <is>
          <t>סטאס</t>
        </is>
      </c>
      <c r="B165" s="139">
        <f>IFERROR(INDEX($K$2:$K$5,MATCH(A165,$J$2:$J$5,0)),A165)</f>
        <v/>
      </c>
      <c r="C165" s="139" t="inlineStr">
        <is>
          <t>בתי מרקחת פרטיים</t>
        </is>
      </c>
      <c r="D165" s="139" t="inlineStr">
        <is>
          <t xml:space="preserve"> טייבה GREEN PHARMACIA ב.מ</t>
        </is>
      </c>
      <c r="E165" s="139" t="n">
        <v>22</v>
      </c>
      <c r="F165" s="140" t="n">
        <v>1419.7</v>
      </c>
      <c r="G165" s="139" t="n">
        <v>8</v>
      </c>
      <c r="H165" s="140" t="n">
        <v>758.9</v>
      </c>
    </row>
    <row r="166" ht="15" customHeight="1" s="82">
      <c r="A166" s="139" t="inlineStr">
        <is>
          <t>חיים</t>
        </is>
      </c>
      <c r="B166" s="139">
        <f>IFERROR(INDEX($K$2:$K$5,MATCH(A166,$J$2:$J$5,0)),A166)</f>
        <v/>
      </c>
      <c r="C166" s="139" t="inlineStr">
        <is>
          <t>בתי מרקחת פרטיים</t>
        </is>
      </c>
      <c r="D166" s="139" t="inlineStr">
        <is>
          <t xml:space="preserve"> גילי תל מונד )פארם פלוס( ב.מ</t>
        </is>
      </c>
      <c r="E166" s="139" t="n">
        <v>0</v>
      </c>
      <c r="F166" s="140" t="n">
        <v>0</v>
      </c>
      <c r="G166" s="139" t="n">
        <v>4</v>
      </c>
      <c r="H166" s="140" t="n">
        <v>208.9</v>
      </c>
    </row>
    <row r="167" ht="15" customHeight="1" s="82">
      <c r="A167" s="139" t="inlineStr">
        <is>
          <t>סטאס</t>
        </is>
      </c>
      <c r="B167" s="139">
        <f>IFERROR(INDEX($K$2:$K$5,MATCH(A167,$J$2:$J$5,0)),A167)</f>
        <v/>
      </c>
      <c r="C167" s="139" t="inlineStr">
        <is>
          <t>בתי מרקחת פרטיים</t>
        </is>
      </c>
      <c r="D167" s="139" t="inlineStr">
        <is>
          <t xml:space="preserve"> אבשלום אשכול פארם בית מרקחת</t>
        </is>
      </c>
      <c r="E167" s="139" t="n">
        <v>344</v>
      </c>
      <c r="F167" s="140" t="n">
        <v>10542.1</v>
      </c>
      <c r="G167" s="139" t="n">
        <v>136</v>
      </c>
      <c r="H167" s="140" t="n">
        <v>3133</v>
      </c>
    </row>
    <row r="168" ht="15" customHeight="1" s="82">
      <c r="A168" s="139" t="inlineStr">
        <is>
          <t>חיים</t>
        </is>
      </c>
      <c r="B168" s="139">
        <f>IFERROR(INDEX($K$2:$K$5,MATCH(A168,$J$2:$J$5,0)),A168)</f>
        <v/>
      </c>
      <c r="C168" s="139" t="inlineStr">
        <is>
          <t>בתי מרקחת פרטיים</t>
        </is>
      </c>
      <c r="D168" s="139" t="inlineStr">
        <is>
          <t xml:space="preserve"> א.קאר פארם כפר יונה ב.מ</t>
        </is>
      </c>
      <c r="E168" s="139" t="n">
        <v>0</v>
      </c>
      <c r="F168" s="140" t="n">
        <v>0</v>
      </c>
      <c r="G168" s="139" t="n">
        <v>36</v>
      </c>
      <c r="H168" s="140" t="n">
        <v>1179.6</v>
      </c>
    </row>
    <row r="169" ht="15" customHeight="1" s="82">
      <c r="A169" s="139" t="inlineStr">
        <is>
          <t>חיים</t>
        </is>
      </c>
      <c r="B169" s="139">
        <f>IFERROR(INDEX($K$2:$K$5,MATCH(A169,$J$2:$J$5,0)),A169)</f>
        <v/>
      </c>
      <c r="C169" s="139" t="inlineStr">
        <is>
          <t>בתי מרקחת פרטיים</t>
        </is>
      </c>
      <c r="D169" s="139" t="inlineStr">
        <is>
          <t xml:space="preserve"> ב.מ א.קאר פארם גאנם פארם בע""""מ</t>
        </is>
      </c>
      <c r="E169" s="139" t="n">
        <v>0</v>
      </c>
      <c r="F169" s="140" t="n">
        <v>0</v>
      </c>
      <c r="G169" s="139" t="n">
        <v>60</v>
      </c>
      <c r="H169" s="140" t="n">
        <v>2923.8</v>
      </c>
    </row>
    <row r="170" ht="15" customHeight="1" s="82">
      <c r="A170" s="139" t="inlineStr">
        <is>
          <t>חיים</t>
        </is>
      </c>
      <c r="B170" s="139">
        <f>IFERROR(INDEX($K$2:$K$5,MATCH(A170,$J$2:$J$5,0)),A170)</f>
        <v/>
      </c>
      <c r="C170" s="139" t="inlineStr">
        <is>
          <t>בתי מרקחת פרטיים</t>
        </is>
      </c>
      <c r="D170" s="139" t="inlineStr">
        <is>
          <t xml:space="preserve"> סינא פרדסיה ב.מ</t>
        </is>
      </c>
      <c r="E170" s="139" t="n">
        <v>59</v>
      </c>
      <c r="F170" s="140" t="n">
        <v>2639.1</v>
      </c>
      <c r="G170" s="139" t="n">
        <v>61</v>
      </c>
      <c r="H170" s="140" t="n">
        <v>2588.8</v>
      </c>
    </row>
    <row r="171" ht="15" customHeight="1" s="82">
      <c r="A171" s="139" t="inlineStr">
        <is>
          <t>חיים</t>
        </is>
      </c>
      <c r="B171" s="139">
        <f>IFERROR(INDEX($K$2:$K$5,MATCH(A171,$J$2:$J$5,0)),A171)</f>
        <v/>
      </c>
      <c r="C171" s="139" t="inlineStr">
        <is>
          <t>בתי מרקחת פרטיים</t>
        </is>
      </c>
      <c r="D171" s="139" t="inlineStr">
        <is>
          <t xml:space="preserve"> יקיר הרצליה ב.מ</t>
        </is>
      </c>
      <c r="E171" s="139" t="n">
        <v>0</v>
      </c>
      <c r="F171" s="140" t="n">
        <v>0</v>
      </c>
      <c r="G171" s="139" t="n">
        <v>2</v>
      </c>
      <c r="H171" s="140" t="n">
        <v>159.3</v>
      </c>
    </row>
    <row r="172" ht="15" customHeight="1" s="82">
      <c r="A172" s="139" t="inlineStr">
        <is>
          <t>חאזם</t>
        </is>
      </c>
      <c r="B172" s="139">
        <f>IFERROR(INDEX($K$2:$K$5,MATCH(A172,$J$2:$J$5,0)),A172)</f>
        <v/>
      </c>
      <c r="C172" s="139" t="inlineStr">
        <is>
          <t>בתי מרקחת פרטיים</t>
        </is>
      </c>
      <c r="D172" s="139" t="inlineStr">
        <is>
          <t xml:space="preserve"> אלול פארם נחף ב.מ</t>
        </is>
      </c>
      <c r="E172" s="139" t="n">
        <v>23</v>
      </c>
      <c r="F172" s="140" t="n">
        <v>1908.4</v>
      </c>
      <c r="G172" s="139" t="n">
        <v>118</v>
      </c>
      <c r="H172" s="140" t="n">
        <v>5115.1</v>
      </c>
    </row>
    <row r="173" ht="15" customHeight="1" s="82">
      <c r="A173" s="139" t="inlineStr">
        <is>
          <t>חאזם</t>
        </is>
      </c>
      <c r="B173" s="139">
        <f>IFERROR(INDEX($K$2:$K$5,MATCH(A173,$J$2:$J$5,0)),A173)</f>
        <v/>
      </c>
      <c r="C173" s="139" t="inlineStr">
        <is>
          <t>בתי מרקחת פרטיים</t>
        </is>
      </c>
      <c r="D173" s="139" t="inlineStr">
        <is>
          <t xml:space="preserve"> אולגה פארם בע""""מ ב.מ</t>
        </is>
      </c>
      <c r="E173" s="139" t="n">
        <v>0</v>
      </c>
      <c r="F173" s="140" t="n">
        <v>0</v>
      </c>
      <c r="G173" s="139" t="n">
        <v>99</v>
      </c>
      <c r="H173" s="140" t="n">
        <v>3723.7</v>
      </c>
    </row>
    <row r="174" ht="15" customHeight="1" s="82">
      <c r="A174" s="139" t="inlineStr">
        <is>
          <t>חאזם</t>
        </is>
      </c>
      <c r="B174" s="139">
        <f>IFERROR(INDEX($K$2:$K$5,MATCH(A174,$J$2:$J$5,0)),A174)</f>
        <v/>
      </c>
      <c r="C174" s="139" t="inlineStr">
        <is>
          <t>בתי מרקחת פרטיים</t>
        </is>
      </c>
      <c r="D174" s="139" t="inlineStr">
        <is>
          <t xml:space="preserve"> אמל פארם בע""""מ</t>
        </is>
      </c>
      <c r="E174" s="139" t="n">
        <v>0</v>
      </c>
      <c r="F174" s="140" t="n">
        <v>0</v>
      </c>
      <c r="G174" s="139" t="n">
        <v>45</v>
      </c>
      <c r="H174" s="140" t="n">
        <v>1946.3</v>
      </c>
    </row>
    <row r="175" ht="15" customHeight="1" s="82">
      <c r="A175" s="139" t="inlineStr">
        <is>
          <t>חאזם</t>
        </is>
      </c>
      <c r="B175" s="139">
        <f>IFERROR(INDEX($K$2:$K$5,MATCH(A175,$J$2:$J$5,0)),A175)</f>
        <v/>
      </c>
      <c r="C175" s="139" t="inlineStr">
        <is>
          <t>בתי מרקחת פרטיים</t>
        </is>
      </c>
      <c r="D175" s="139" t="inlineStr">
        <is>
          <t xml:space="preserve"> ארמון בע""""מ רמת ספיר</t>
        </is>
      </c>
      <c r="E175" s="139" t="n">
        <v>93</v>
      </c>
      <c r="F175" s="140" t="n">
        <v>4561.7</v>
      </c>
      <c r="G175" s="139" t="n">
        <v>0</v>
      </c>
      <c r="H175" s="140" t="n">
        <v>0</v>
      </c>
    </row>
    <row r="176" ht="15" customHeight="1" s="82">
      <c r="A176" s="139" t="inlineStr">
        <is>
          <t>חאזם</t>
        </is>
      </c>
      <c r="B176" s="139">
        <f>IFERROR(INDEX($K$2:$K$5,MATCH(A176,$J$2:$J$5,0)),A176)</f>
        <v/>
      </c>
      <c r="C176" s="139" t="inlineStr">
        <is>
          <t>בתי מרקחת פרטיים</t>
        </is>
      </c>
      <c r="D176" s="139" t="inlineStr">
        <is>
          <t xml:space="preserve"> ג'ת פארם ב.מ</t>
        </is>
      </c>
      <c r="E176" s="139" t="n">
        <v>102</v>
      </c>
      <c r="F176" s="140" t="n">
        <v>4063.5</v>
      </c>
      <c r="G176" s="139" t="n">
        <v>102</v>
      </c>
      <c r="H176" s="140" t="n">
        <v>4667.8</v>
      </c>
    </row>
    <row r="177" ht="15" customHeight="1" s="82">
      <c r="A177" s="139" t="inlineStr">
        <is>
          <t>חאזם</t>
        </is>
      </c>
      <c r="B177" s="139">
        <f>IFERROR(INDEX($K$2:$K$5,MATCH(A177,$J$2:$J$5,0)),A177)</f>
        <v/>
      </c>
      <c r="C177" s="139" t="inlineStr">
        <is>
          <t>בתי מרקחת פרטיים</t>
        </is>
      </c>
      <c r="D177" s="139" t="inlineStr">
        <is>
          <t xml:space="preserve"> ב.מ רימון פארם היסוד בע""""מ )חדש</t>
        </is>
      </c>
      <c r="E177" s="139" t="n">
        <v>10</v>
      </c>
      <c r="F177" s="140" t="n">
        <v>232.5</v>
      </c>
      <c r="G177" s="139" t="n">
        <v>16</v>
      </c>
      <c r="H177" s="140" t="n">
        <v>395.8</v>
      </c>
    </row>
    <row r="178" ht="15" customHeight="1" s="82">
      <c r="A178" s="139" t="inlineStr">
        <is>
          <t>חאזם</t>
        </is>
      </c>
      <c r="B178" s="139">
        <f>IFERROR(INDEX($K$2:$K$5,MATCH(A178,$J$2:$J$5,0)),A178)</f>
        <v/>
      </c>
      <c r="C178" s="139" t="inlineStr">
        <is>
          <t>בתי מרקחת פרטיים</t>
        </is>
      </c>
      <c r="D178" s="139" t="inlineStr">
        <is>
          <t xml:space="preserve"> מגדים כרמיאל ב.מ  שרמפארם</t>
        </is>
      </c>
      <c r="E178" s="139" t="n">
        <v>80</v>
      </c>
      <c r="F178" s="140" t="n">
        <v>2380.2</v>
      </c>
      <c r="G178" s="139" t="n">
        <v>56</v>
      </c>
      <c r="H178" s="140" t="n">
        <v>2596.1</v>
      </c>
    </row>
    <row r="179" ht="15" customHeight="1" s="82">
      <c r="A179" s="139" t="inlineStr">
        <is>
          <t>חאזם</t>
        </is>
      </c>
      <c r="B179" s="139">
        <f>IFERROR(INDEX($K$2:$K$5,MATCH(A179,$J$2:$J$5,0)),A179)</f>
        <v/>
      </c>
      <c r="C179" s="139" t="inlineStr">
        <is>
          <t>בתי מרקחת פרטיים</t>
        </is>
      </c>
      <c r="D179" s="139" t="inlineStr">
        <is>
          <t xml:space="preserve"> נור פארם כפר קרע ב.מ</t>
        </is>
      </c>
      <c r="E179" s="139" t="n">
        <v>1</v>
      </c>
      <c r="F179" s="140" t="n">
        <v>49.1</v>
      </c>
      <c r="G179" s="139" t="n">
        <v>0</v>
      </c>
      <c r="H179" s="140" t="n">
        <v>0</v>
      </c>
    </row>
    <row r="180" ht="15" customHeight="1" s="82">
      <c r="A180" s="139" t="inlineStr">
        <is>
          <t>חאזם</t>
        </is>
      </c>
      <c r="B180" s="139">
        <f>IFERROR(INDEX($K$2:$K$5,MATCH(A180,$J$2:$J$5,0)),A180)</f>
        <v/>
      </c>
      <c r="C180" s="139" t="inlineStr">
        <is>
          <t>בתי מרקחת פרטיים</t>
        </is>
      </c>
      <c r="D180" s="139" t="inlineStr">
        <is>
          <t xml:space="preserve"> .פנטגון ק.מוצקין ב.מ</t>
        </is>
      </c>
      <c r="E180" s="139" t="n">
        <v>57</v>
      </c>
      <c r="F180" s="140" t="n">
        <v>2057.3</v>
      </c>
      <c r="G180" s="139" t="n">
        <v>0</v>
      </c>
      <c r="H180" s="140" t="n">
        <v>-43.1</v>
      </c>
    </row>
    <row r="181" ht="15" customHeight="1" s="82">
      <c r="A181" s="139" t="inlineStr">
        <is>
          <t>חאזם</t>
        </is>
      </c>
      <c r="B181" s="139">
        <f>IFERROR(INDEX($K$2:$K$5,MATCH(A181,$J$2:$J$5,0)),A181)</f>
        <v/>
      </c>
      <c r="C181" s="139" t="inlineStr">
        <is>
          <t>בתי מרקחת פרטיים</t>
        </is>
      </c>
      <c r="D181" s="139" t="inlineStr">
        <is>
          <t xml:space="preserve"> פארמה פלוס ריינה ב.מ</t>
        </is>
      </c>
      <c r="E181" s="139" t="n">
        <v>83</v>
      </c>
      <c r="F181" s="140" t="n">
        <v>3611.9</v>
      </c>
      <c r="G181" s="139" t="n">
        <v>59</v>
      </c>
      <c r="H181" s="140" t="n">
        <v>1587.5</v>
      </c>
    </row>
    <row r="182" ht="15" customHeight="1" s="82">
      <c r="A182" s="139" t="inlineStr">
        <is>
          <t>חאזם</t>
        </is>
      </c>
      <c r="B182" s="139">
        <f>IFERROR(INDEX($K$2:$K$5,MATCH(A182,$J$2:$J$5,0)),A182)</f>
        <v/>
      </c>
      <c r="C182" s="139" t="inlineStr">
        <is>
          <t>בתי מרקחת פרטיים</t>
        </is>
      </c>
      <c r="D182" s="139" t="inlineStr">
        <is>
          <t xml:space="preserve"> שפא פארם ב.מ סכנין</t>
        </is>
      </c>
      <c r="E182" s="139" t="n">
        <v>123</v>
      </c>
      <c r="F182" s="140" t="n">
        <v>4291.3</v>
      </c>
      <c r="G182" s="139" t="n">
        <v>0</v>
      </c>
      <c r="H182" s="140" t="n">
        <v>0</v>
      </c>
    </row>
    <row r="183" ht="15" customHeight="1" s="82">
      <c r="A183" s="139" t="inlineStr">
        <is>
          <t>חאזם</t>
        </is>
      </c>
      <c r="B183" s="139">
        <f>IFERROR(INDEX($K$2:$K$5,MATCH(A183,$J$2:$J$5,0)),A183)</f>
        <v/>
      </c>
      <c r="C183" s="139" t="inlineStr">
        <is>
          <t>בתי מרקחת פרטיים</t>
        </is>
      </c>
      <c r="D183" s="139" t="inlineStr">
        <is>
          <t xml:space="preserve"> אריק פארם ב.מ מגדל העמק</t>
        </is>
      </c>
      <c r="E183" s="139" t="n">
        <v>5</v>
      </c>
      <c r="F183" s="140" t="n">
        <v>188.7</v>
      </c>
      <c r="G183" s="139" t="n">
        <v>8</v>
      </c>
      <c r="H183" s="140" t="n">
        <v>399</v>
      </c>
    </row>
    <row r="184" ht="15" customHeight="1" s="82">
      <c r="A184" s="139" t="inlineStr">
        <is>
          <t>סטאס</t>
        </is>
      </c>
      <c r="B184" s="139">
        <f>IFERROR(INDEX($K$2:$K$5,MATCH(A184,$J$2:$J$5,0)),A184)</f>
        <v/>
      </c>
      <c r="C184" s="139" t="inlineStr">
        <is>
          <t>מגזר ערבי</t>
        </is>
      </c>
      <c r="D184" s="139" t="inlineStr">
        <is>
          <t xml:space="preserve"> אבו עזמי טירה ב.מ</t>
        </is>
      </c>
      <c r="E184" s="139" t="n">
        <v>225</v>
      </c>
      <c r="F184" s="140" t="n">
        <v>8154.7</v>
      </c>
      <c r="G184" s="139" t="n">
        <v>73</v>
      </c>
      <c r="H184" s="140" t="n">
        <v>3404.2</v>
      </c>
    </row>
    <row r="185" ht="15" customHeight="1" s="82">
      <c r="A185" s="139" t="inlineStr">
        <is>
          <t>חאזם</t>
        </is>
      </c>
      <c r="B185" s="139">
        <f>IFERROR(INDEX($K$2:$K$5,MATCH(A185,$J$2:$J$5,0)),A185)</f>
        <v/>
      </c>
      <c r="C185" s="139" t="inlineStr">
        <is>
          <t>מגזר ערבי</t>
        </is>
      </c>
      <c r="D185" s="139" t="inlineStr">
        <is>
          <t xml:space="preserve"> אל מוכתאר כפר כנא ב.מ</t>
        </is>
      </c>
      <c r="E185" s="139" t="n">
        <v>89</v>
      </c>
      <c r="F185" s="140" t="n">
        <v>2686.8</v>
      </c>
      <c r="G185" s="139" t="n">
        <v>0</v>
      </c>
      <c r="H185" s="140" t="n">
        <v>0</v>
      </c>
    </row>
    <row r="186" ht="15" customHeight="1" s="82">
      <c r="A186" s="139" t="inlineStr">
        <is>
          <t>חאזם</t>
        </is>
      </c>
      <c r="B186" s="139">
        <f>IFERROR(INDEX($K$2:$K$5,MATCH(A186,$J$2:$J$5,0)),A186)</f>
        <v/>
      </c>
      <c r="C186" s="139" t="inlineStr">
        <is>
          <t>מגזר ערבי</t>
        </is>
      </c>
      <c r="D186" s="139" t="inlineStr">
        <is>
          <t xml:space="preserve"> כרום פארם ב.מ</t>
        </is>
      </c>
      <c r="E186" s="139" t="n">
        <v>82</v>
      </c>
      <c r="F186" s="140" t="n">
        <v>4165.8</v>
      </c>
      <c r="G186" s="139" t="n">
        <v>48</v>
      </c>
      <c r="H186" s="140" t="n">
        <v>3837.7</v>
      </c>
    </row>
    <row r="187" ht="15" customHeight="1" s="82">
      <c r="A187" s="139" t="inlineStr">
        <is>
          <t>חאזם</t>
        </is>
      </c>
      <c r="B187" s="139">
        <f>IFERROR(INDEX($K$2:$K$5,MATCH(A187,$J$2:$J$5,0)),A187)</f>
        <v/>
      </c>
      <c r="C187" s="139" t="inlineStr">
        <is>
          <t>מגזר ערבי</t>
        </is>
      </c>
      <c r="D187" s="139" t="inlineStr">
        <is>
          <t xml:space="preserve"> אבן סינא שפרעם ב.מ</t>
        </is>
      </c>
      <c r="E187" s="139" t="n">
        <v>79</v>
      </c>
      <c r="F187" s="140" t="n">
        <v>4115.4</v>
      </c>
      <c r="G187" s="139" t="n">
        <v>0</v>
      </c>
      <c r="H187" s="140" t="n">
        <v>0</v>
      </c>
    </row>
    <row r="188" ht="15" customHeight="1" s="82">
      <c r="A188" s="139" t="inlineStr">
        <is>
          <t>חאזם</t>
        </is>
      </c>
      <c r="B188" s="139">
        <f>IFERROR(INDEX($K$2:$K$5,MATCH(A188,$J$2:$J$5,0)),A188)</f>
        <v/>
      </c>
      <c r="C188" s="139" t="inlineStr">
        <is>
          <t>מגזר ערבי</t>
        </is>
      </c>
      <c r="D188" s="139" t="inlineStr">
        <is>
          <t xml:space="preserve"> אלבלד פארם ב.מ טמרה</t>
        </is>
      </c>
      <c r="E188" s="139" t="n">
        <v>173</v>
      </c>
      <c r="F188" s="140" t="n">
        <v>8219.9</v>
      </c>
      <c r="G188" s="139" t="n">
        <v>95</v>
      </c>
      <c r="H188" s="140" t="n">
        <v>6355.6</v>
      </c>
    </row>
    <row r="189" ht="15" customHeight="1" s="82">
      <c r="A189" s="139" t="inlineStr">
        <is>
          <t>חאזם</t>
        </is>
      </c>
      <c r="B189" s="139">
        <f>IFERROR(INDEX($K$2:$K$5,MATCH(A189,$J$2:$J$5,0)),A189)</f>
        <v/>
      </c>
      <c r="C189" s="139" t="inlineStr">
        <is>
          <t>מגזר ערבי</t>
        </is>
      </c>
      <c r="D189" s="139" t="inlineStr">
        <is>
          <t xml:space="preserve"> אל בלאד שפרעם ב.מ</t>
        </is>
      </c>
      <c r="E189" s="139" t="n">
        <v>72</v>
      </c>
      <c r="F189" s="140" t="n">
        <v>2146.9</v>
      </c>
      <c r="G189" s="139" t="n">
        <v>39</v>
      </c>
      <c r="H189" s="140" t="n">
        <v>2787.8</v>
      </c>
    </row>
    <row r="190" ht="15" customHeight="1" s="82">
      <c r="A190" s="139" t="inlineStr">
        <is>
          <t>חאזם</t>
        </is>
      </c>
      <c r="B190" s="139">
        <f>IFERROR(INDEX($K$2:$K$5,MATCH(A190,$J$2:$J$5,0)),A190)</f>
        <v/>
      </c>
      <c r="C190" s="139" t="inlineStr">
        <is>
          <t>מגזר ערבי</t>
        </is>
      </c>
      <c r="D190" s="139" t="inlineStr">
        <is>
          <t xml:space="preserve"> אל שיפא שפרעם ב.מ</t>
        </is>
      </c>
      <c r="E190" s="139" t="n">
        <v>24</v>
      </c>
      <c r="F190" s="140" t="n">
        <v>252</v>
      </c>
      <c r="G190" s="139" t="n">
        <v>0</v>
      </c>
      <c r="H190" s="140" t="n">
        <v>0</v>
      </c>
    </row>
    <row r="191" ht="15" customHeight="1" s="82">
      <c r="A191" s="139" t="inlineStr">
        <is>
          <t>חאזם</t>
        </is>
      </c>
      <c r="B191" s="139">
        <f>IFERROR(INDEX($K$2:$K$5,MATCH(A191,$J$2:$J$5,0)),A191)</f>
        <v/>
      </c>
      <c r="C191" s="139" t="inlineStr">
        <is>
          <t>מגזר ערבי</t>
        </is>
      </c>
      <c r="D191" s="139" t="inlineStr">
        <is>
          <t xml:space="preserve"> אלכאוכב כ.מע'אר ב.מ</t>
        </is>
      </c>
      <c r="E191" s="139" t="n">
        <v>10</v>
      </c>
      <c r="F191" s="140" t="n">
        <v>357.7</v>
      </c>
      <c r="G191" s="139" t="n">
        <v>60</v>
      </c>
      <c r="H191" s="140" t="n">
        <v>1593.7</v>
      </c>
    </row>
    <row r="192" ht="15" customHeight="1" s="82">
      <c r="A192" s="139" t="inlineStr">
        <is>
          <t>חאזם</t>
        </is>
      </c>
      <c r="B192" s="139">
        <f>IFERROR(INDEX($K$2:$K$5,MATCH(A192,$J$2:$J$5,0)),A192)</f>
        <v/>
      </c>
      <c r="C192" s="139" t="inlineStr">
        <is>
          <t>מגזר ערבי</t>
        </is>
      </c>
      <c r="D192" s="139" t="inlineStr">
        <is>
          <t xml:space="preserve"> וואן פארם ב.מ מג'ד אל כרום</t>
        </is>
      </c>
      <c r="E192" s="139" t="n">
        <v>236</v>
      </c>
      <c r="F192" s="140" t="n">
        <v>8208.299999999999</v>
      </c>
      <c r="G192" s="139" t="n">
        <v>147</v>
      </c>
      <c r="H192" s="140" t="n">
        <v>5801.3</v>
      </c>
    </row>
    <row r="193" ht="15" customHeight="1" s="82">
      <c r="A193" s="139" t="inlineStr">
        <is>
          <t>חאזם</t>
        </is>
      </c>
      <c r="B193" s="139">
        <f>IFERROR(INDEX($K$2:$K$5,MATCH(A193,$J$2:$J$5,0)),A193)</f>
        <v/>
      </c>
      <c r="C193" s="139" t="inlineStr">
        <is>
          <t>מגזר ערבי</t>
        </is>
      </c>
      <c r="D193" s="139" t="inlineStr">
        <is>
          <t xml:space="preserve"> חדאד פארם ח.הגלילית ב.מ</t>
        </is>
      </c>
      <c r="E193" s="139" t="n">
        <v>231</v>
      </c>
      <c r="F193" s="140" t="n">
        <v>7458.5</v>
      </c>
      <c r="G193" s="139" t="n">
        <v>55</v>
      </c>
      <c r="H193" s="140" t="n">
        <v>2168.7</v>
      </c>
    </row>
    <row r="194" ht="15" customHeight="1" s="82">
      <c r="A194" s="139" t="inlineStr">
        <is>
          <t>חאזם</t>
        </is>
      </c>
      <c r="B194" s="139">
        <f>IFERROR(INDEX($K$2:$K$5,MATCH(A194,$J$2:$J$5,0)),A194)</f>
        <v/>
      </c>
      <c r="C194" s="139" t="inlineStr">
        <is>
          <t>מגזר ערבי</t>
        </is>
      </c>
      <c r="D194" s="139" t="inlineStr">
        <is>
          <t xml:space="preserve"> חמדאן פארם ב.מ</t>
        </is>
      </c>
      <c r="E194" s="139" t="n">
        <v>73</v>
      </c>
      <c r="F194" s="140" t="n">
        <v>5068.4</v>
      </c>
      <c r="G194" s="139" t="n">
        <v>18</v>
      </c>
      <c r="H194" s="140" t="n">
        <v>826.4</v>
      </c>
    </row>
    <row r="195" ht="15" customHeight="1" s="82">
      <c r="A195" s="139" t="inlineStr">
        <is>
          <t>חאזם</t>
        </is>
      </c>
      <c r="B195" s="139">
        <f>IFERROR(INDEX($K$2:$K$5,MATCH(A195,$J$2:$J$5,0)),A195)</f>
        <v/>
      </c>
      <c r="C195" s="139" t="inlineStr">
        <is>
          <t>מגזר ערבי</t>
        </is>
      </c>
      <c r="D195" s="139" t="inlineStr">
        <is>
          <t xml:space="preserve"> הצפון כפר סמיע ב.מ חדש</t>
        </is>
      </c>
      <c r="E195" s="139" t="n">
        <v>231</v>
      </c>
      <c r="F195" s="140" t="n">
        <v>9723.799999999999</v>
      </c>
      <c r="G195" s="139" t="n">
        <v>83</v>
      </c>
      <c r="H195" s="140" t="n">
        <v>4425.2</v>
      </c>
    </row>
    <row r="196" ht="15" customHeight="1" s="82">
      <c r="A196" s="139" t="inlineStr">
        <is>
          <t>חאזם</t>
        </is>
      </c>
      <c r="B196" s="139">
        <f>IFERROR(INDEX($K$2:$K$5,MATCH(A196,$J$2:$J$5,0)),A196)</f>
        <v/>
      </c>
      <c r="C196" s="139" t="inlineStr">
        <is>
          <t>מגזר ערבי</t>
        </is>
      </c>
      <c r="D196" s="139" t="inlineStr">
        <is>
          <t xml:space="preserve"> מדיקל פארם-ראמה  ב.מ</t>
        </is>
      </c>
      <c r="E196" s="139" t="n">
        <v>14</v>
      </c>
      <c r="F196" s="140" t="n">
        <v>1186.1</v>
      </c>
      <c r="G196" s="139" t="n">
        <v>31</v>
      </c>
      <c r="H196" s="140" t="n">
        <v>1738.4</v>
      </c>
    </row>
    <row r="197" ht="15" customHeight="1" s="82">
      <c r="A197" s="139" t="inlineStr">
        <is>
          <t>חאזם</t>
        </is>
      </c>
      <c r="B197" s="139">
        <f>IFERROR(INDEX($K$2:$K$5,MATCH(A197,$J$2:$J$5,0)),A197)</f>
        <v/>
      </c>
      <c r="C197" s="139" t="inlineStr">
        <is>
          <t>מגזר ערבי</t>
        </is>
      </c>
      <c r="D197" s="139" t="inlineStr">
        <is>
          <t xml:space="preserve"> ספואן ב.מ שפרעם</t>
        </is>
      </c>
      <c r="E197" s="139" t="n">
        <v>212</v>
      </c>
      <c r="F197" s="140" t="n">
        <v>8908.4</v>
      </c>
      <c r="G197" s="139" t="n">
        <v>105</v>
      </c>
      <c r="H197" s="140" t="n">
        <v>5267.1</v>
      </c>
    </row>
    <row r="198" ht="15" customHeight="1" s="82">
      <c r="A198" s="139" t="inlineStr">
        <is>
          <t>חאזם</t>
        </is>
      </c>
      <c r="B198" s="139">
        <f>IFERROR(INDEX($K$2:$K$5,MATCH(A198,$J$2:$J$5,0)),A198)</f>
        <v/>
      </c>
      <c r="C198" s="139" t="inlineStr">
        <is>
          <t>מגזר ערבי</t>
        </is>
      </c>
      <c r="D198" s="139" t="inlineStr">
        <is>
          <t xml:space="preserve"> פארמה קואופ יפיע בע""""מ ב.מ</t>
        </is>
      </c>
      <c r="E198" s="139" t="n">
        <v>333</v>
      </c>
      <c r="F198" s="140" t="n">
        <v>13113.3</v>
      </c>
      <c r="G198" s="139" t="n">
        <v>223</v>
      </c>
      <c r="H198" s="140" t="n">
        <v>9437.6</v>
      </c>
    </row>
    <row r="199" ht="15" customHeight="1" s="82">
      <c r="A199" s="139" t="inlineStr">
        <is>
          <t>חאזם</t>
        </is>
      </c>
      <c r="B199" s="139">
        <f>IFERROR(INDEX($K$2:$K$5,MATCH(A199,$J$2:$J$5,0)),A199)</f>
        <v/>
      </c>
      <c r="C199" s="139" t="inlineStr">
        <is>
          <t>מגזר ערבי</t>
        </is>
      </c>
      <c r="D199" s="139" t="inlineStr">
        <is>
          <t xml:space="preserve"> פרמהזול עין מאהל ב.מ</t>
        </is>
      </c>
      <c r="E199" s="139" t="n">
        <v>58</v>
      </c>
      <c r="F199" s="140" t="n">
        <v>3878.3</v>
      </c>
      <c r="G199" s="139" t="n">
        <v>12</v>
      </c>
      <c r="H199" s="140" t="n">
        <v>1362.5</v>
      </c>
    </row>
    <row r="200" ht="15" customHeight="1" s="82">
      <c r="A200" s="139" t="inlineStr">
        <is>
          <t>חאזם</t>
        </is>
      </c>
      <c r="B200" s="139">
        <f>IFERROR(INDEX($K$2:$K$5,MATCH(A200,$J$2:$J$5,0)),A200)</f>
        <v/>
      </c>
      <c r="C200" s="139" t="inlineStr">
        <is>
          <t>מגזר ערבי</t>
        </is>
      </c>
      <c r="D200" s="139" t="inlineStr">
        <is>
          <t xml:space="preserve"> נידאא פארם תרשיחא ב.מ</t>
        </is>
      </c>
      <c r="E200" s="139" t="n">
        <v>21</v>
      </c>
      <c r="F200" s="140" t="n">
        <v>768.5</v>
      </c>
      <c r="G200" s="139" t="n">
        <v>14</v>
      </c>
      <c r="H200" s="140" t="n">
        <v>677.6</v>
      </c>
    </row>
    <row r="201" ht="15" customHeight="1" s="82">
      <c r="A201" s="139" t="inlineStr">
        <is>
          <t>חאזם</t>
        </is>
      </c>
      <c r="B201" s="139">
        <f>IFERROR(INDEX($K$2:$K$5,MATCH(A201,$J$2:$J$5,0)),A201)</f>
        <v/>
      </c>
      <c r="C201" s="139" t="inlineStr">
        <is>
          <t>מגזר ערבי</t>
        </is>
      </c>
      <c r="D201" s="139" t="inlineStr">
        <is>
          <t xml:space="preserve"> מואסת מ.שמס מזומן בלבד</t>
        </is>
      </c>
      <c r="E201" s="139" t="n">
        <v>3</v>
      </c>
      <c r="F201" s="140" t="n">
        <v>63.7</v>
      </c>
      <c r="G201" s="139" t="n">
        <v>0</v>
      </c>
      <c r="H201" s="140" t="n">
        <v>0</v>
      </c>
    </row>
    <row r="202" ht="15" customHeight="1" s="82">
      <c r="A202" s="139" t="inlineStr">
        <is>
          <t>חאזם</t>
        </is>
      </c>
      <c r="B202" s="139">
        <f>IFERROR(INDEX($K$2:$K$5,MATCH(A202,$J$2:$J$5,0)),A202)</f>
        <v/>
      </c>
      <c r="C202" s="139" t="inlineStr">
        <is>
          <t>מגזר ערבי</t>
        </is>
      </c>
      <c r="D202" s="139" t="inlineStr">
        <is>
          <t xml:space="preserve"> ג.ג.פארם ב.מ כפר קרע</t>
        </is>
      </c>
      <c r="E202" s="139" t="n">
        <v>110</v>
      </c>
      <c r="F202" s="140" t="n">
        <v>4494.1</v>
      </c>
      <c r="G202" s="139" t="n">
        <v>0</v>
      </c>
      <c r="H202" s="140" t="n">
        <v>0</v>
      </c>
    </row>
    <row r="203" ht="15" customHeight="1" s="82">
      <c r="A203" s="139" t="inlineStr">
        <is>
          <t>חאזם</t>
        </is>
      </c>
      <c r="B203" s="139">
        <f>IFERROR(INDEX($K$2:$K$5,MATCH(A203,$J$2:$J$5,0)),A203)</f>
        <v/>
      </c>
      <c r="C203" s="139" t="inlineStr">
        <is>
          <t>מגזר ערבי</t>
        </is>
      </c>
      <c r="D203" s="139" t="inlineStr">
        <is>
          <t xml:space="preserve"> קמא פארם כפר קמא ב.מ</t>
        </is>
      </c>
      <c r="E203" s="139" t="n">
        <v>206</v>
      </c>
      <c r="F203" s="140" t="n">
        <v>10003.4</v>
      </c>
      <c r="G203" s="139" t="n">
        <v>91</v>
      </c>
      <c r="H203" s="140" t="n">
        <v>4303.2</v>
      </c>
    </row>
    <row r="204" ht="15" customHeight="1" s="82">
      <c r="A204" s="139" t="inlineStr">
        <is>
          <t>חאזם</t>
        </is>
      </c>
      <c r="B204" s="139">
        <f>IFERROR(INDEX($K$2:$K$5,MATCH(A204,$J$2:$J$5,0)),A204)</f>
        <v/>
      </c>
      <c r="C204" s="139" t="inlineStr">
        <is>
          <t>מגזר ערבי</t>
        </is>
      </c>
      <c r="D204" s="139" t="inlineStr">
        <is>
          <t xml:space="preserve"> איווה פארם זמר ב.מ</t>
        </is>
      </c>
      <c r="E204" s="139" t="n">
        <v>267</v>
      </c>
      <c r="F204" s="140" t="n">
        <v>14240.3</v>
      </c>
      <c r="G204" s="139" t="n">
        <v>234</v>
      </c>
      <c r="H204" s="140" t="n">
        <v>16185.1</v>
      </c>
    </row>
    <row r="205" ht="15" customHeight="1" s="82">
      <c r="A205" s="139" t="inlineStr">
        <is>
          <t>חאזם</t>
        </is>
      </c>
      <c r="B205" s="139">
        <f>IFERROR(INDEX($K$2:$K$5,MATCH(A205,$J$2:$J$5,0)),A205)</f>
        <v/>
      </c>
      <c r="C205" s="139" t="inlineStr">
        <is>
          <t>מגזר ערבי</t>
        </is>
      </c>
      <c r="D205" s="139" t="inlineStr">
        <is>
          <t xml:space="preserve"> אל אח'לאס רמת הגולן ב.מ</t>
        </is>
      </c>
      <c r="E205" s="139" t="n">
        <v>72</v>
      </c>
      <c r="F205" s="140" t="n">
        <v>3566.8</v>
      </c>
      <c r="G205" s="139" t="n">
        <v>23</v>
      </c>
      <c r="H205" s="140" t="n">
        <v>1594.9</v>
      </c>
    </row>
    <row r="206" ht="15" customHeight="1" s="82">
      <c r="A206" s="139" t="inlineStr">
        <is>
          <t>חאזם</t>
        </is>
      </c>
      <c r="B206" s="139">
        <f>IFERROR(INDEX($K$2:$K$5,MATCH(A206,$J$2:$J$5,0)),A206)</f>
        <v/>
      </c>
      <c r="C206" s="139" t="inlineStr">
        <is>
          <t>מגזר ערבי</t>
        </is>
      </c>
      <c r="D206" s="139" t="inlineStr">
        <is>
          <t xml:space="preserve"> .עין קנייה רמת הגולן ב.מ</t>
        </is>
      </c>
      <c r="E206" s="139" t="n">
        <v>158</v>
      </c>
      <c r="F206" s="140" t="n">
        <v>4757</v>
      </c>
      <c r="G206" s="139" t="n">
        <v>136</v>
      </c>
      <c r="H206" s="140" t="n">
        <v>5546.2</v>
      </c>
    </row>
    <row r="207" ht="15" customHeight="1" s="82">
      <c r="A207" s="139" t="inlineStr">
        <is>
          <t>חאזם</t>
        </is>
      </c>
      <c r="B207" s="139">
        <f>IFERROR(INDEX($K$2:$K$5,MATCH(A207,$J$2:$J$5,0)),A207)</f>
        <v/>
      </c>
      <c r="C207" s="139" t="inlineStr">
        <is>
          <t>מגזר ערבי</t>
        </is>
      </c>
      <c r="D207" s="139" t="inlineStr">
        <is>
          <t xml:space="preserve"> (אבן סינא ירכא ב.מ)חדש</t>
        </is>
      </c>
      <c r="E207" s="139" t="n">
        <v>116</v>
      </c>
      <c r="F207" s="140" t="n">
        <v>3064.6</v>
      </c>
      <c r="G207" s="139" t="n">
        <v>0</v>
      </c>
      <c r="H207" s="140" t="n">
        <v>0</v>
      </c>
    </row>
    <row r="208" ht="15" customHeight="1" s="82">
      <c r="A208" s="139" t="inlineStr">
        <is>
          <t>חאזם</t>
        </is>
      </c>
      <c r="B208" s="139">
        <f>IFERROR(INDEX($K$2:$K$5,MATCH(A208,$J$2:$J$5,0)),A208)</f>
        <v/>
      </c>
      <c r="C208" s="139" t="inlineStr">
        <is>
          <t>מגזר ערבי</t>
        </is>
      </c>
      <c r="D208" s="139" t="inlineStr">
        <is>
          <t xml:space="preserve"> אל מרכז ראמה חדש ב.מ</t>
        </is>
      </c>
      <c r="E208" s="139" t="n">
        <v>11</v>
      </c>
      <c r="F208" s="140" t="n">
        <v>453</v>
      </c>
      <c r="G208" s="139" t="n">
        <v>11</v>
      </c>
      <c r="H208" s="140" t="n">
        <v>160.7</v>
      </c>
    </row>
    <row r="209" ht="15" customHeight="1" s="82">
      <c r="A209" s="139" t="inlineStr">
        <is>
          <t>חאזם</t>
        </is>
      </c>
      <c r="B209" s="139">
        <f>IFERROR(INDEX($K$2:$K$5,MATCH(A209,$J$2:$J$5,0)),A209)</f>
        <v/>
      </c>
      <c r="C209" s="139" t="inlineStr">
        <is>
          <t>מגזר ערבי</t>
        </is>
      </c>
      <c r="D209" s="139" t="inlineStr">
        <is>
          <t xml:space="preserve"> אלעין ב.מ שפרעם</t>
        </is>
      </c>
      <c r="E209" s="139" t="n">
        <v>140</v>
      </c>
      <c r="F209" s="140" t="n">
        <v>3516.9</v>
      </c>
      <c r="G209" s="139" t="n">
        <v>39</v>
      </c>
      <c r="H209" s="140" t="n">
        <v>995.6</v>
      </c>
    </row>
    <row r="210" ht="15" customHeight="1" s="82">
      <c r="A210" s="139" t="inlineStr">
        <is>
          <t>חאזם</t>
        </is>
      </c>
      <c r="B210" s="139">
        <f>IFERROR(INDEX($K$2:$K$5,MATCH(A210,$J$2:$J$5,0)),A210)</f>
        <v/>
      </c>
      <c r="C210" s="139" t="inlineStr">
        <is>
          <t>מגזר ערבי</t>
        </is>
      </c>
      <c r="D210" s="139" t="inlineStr">
        <is>
          <t xml:space="preserve"> אבן סינא פארם טמרה ב.מ</t>
        </is>
      </c>
      <c r="E210" s="139" t="n">
        <v>100</v>
      </c>
      <c r="F210" s="140" t="n">
        <v>2693.1</v>
      </c>
      <c r="G210" s="139" t="n">
        <v>83</v>
      </c>
      <c r="H210" s="140" t="n">
        <v>2858.8</v>
      </c>
    </row>
    <row r="211" ht="15" customHeight="1" s="82">
      <c r="A211" s="139" t="inlineStr">
        <is>
          <t>חאזם</t>
        </is>
      </c>
      <c r="B211" s="139">
        <f>IFERROR(INDEX($K$2:$K$5,MATCH(A211,$J$2:$J$5,0)),A211)</f>
        <v/>
      </c>
      <c r="C211" s="139" t="inlineStr">
        <is>
          <t>מגזר ערבי</t>
        </is>
      </c>
      <c r="D211" s="139" t="inlineStr">
        <is>
          <t xml:space="preserve"> נוגידאת פארם ב.מ</t>
        </is>
      </c>
      <c r="E211" s="139" t="n">
        <v>22</v>
      </c>
      <c r="F211" s="140" t="n">
        <v>955.1</v>
      </c>
      <c r="G211" s="139" t="n">
        <v>7</v>
      </c>
      <c r="H211" s="140" t="n">
        <v>371.8</v>
      </c>
    </row>
    <row r="212" ht="15" customHeight="1" s="82">
      <c r="A212" s="139" t="inlineStr">
        <is>
          <t>חאזם</t>
        </is>
      </c>
      <c r="B212" s="139">
        <f>IFERROR(INDEX($K$2:$K$5,MATCH(A212,$J$2:$J$5,0)),A212)</f>
        <v/>
      </c>
      <c r="C212" s="139" t="inlineStr">
        <is>
          <t>מגזר ערבי</t>
        </is>
      </c>
      <c r="D212" s="139" t="inlineStr">
        <is>
          <t xml:space="preserve"> איווה פארם ב.אל גרבייה ב.מ</t>
        </is>
      </c>
      <c r="E212" s="139" t="n">
        <v>140</v>
      </c>
      <c r="F212" s="140" t="n">
        <v>5038.8</v>
      </c>
      <c r="G212" s="139" t="n">
        <v>60</v>
      </c>
      <c r="H212" s="140" t="n">
        <v>2568.8</v>
      </c>
    </row>
    <row r="213" ht="15" customHeight="1" s="82">
      <c r="A213" s="139" t="inlineStr">
        <is>
          <t>חאזם</t>
        </is>
      </c>
      <c r="B213" s="139">
        <f>IFERROR(INDEX($K$2:$K$5,MATCH(A213,$J$2:$J$5,0)),A213)</f>
        <v/>
      </c>
      <c r="C213" s="139" t="inlineStr">
        <is>
          <t>מגזר ערבי</t>
        </is>
      </c>
      <c r="D213" s="139" t="inlineStr">
        <is>
          <t xml:space="preserve"> מרכז שפרעם ב.מ</t>
        </is>
      </c>
      <c r="E213" s="139" t="n">
        <v>22</v>
      </c>
      <c r="F213" s="140" t="n">
        <v>698.9</v>
      </c>
      <c r="G213" s="139" t="n">
        <v>0</v>
      </c>
      <c r="H213" s="140" t="n">
        <v>0</v>
      </c>
    </row>
    <row r="214" ht="15" customHeight="1" s="82">
      <c r="A214" s="139" t="inlineStr">
        <is>
          <t>חאזם</t>
        </is>
      </c>
      <c r="B214" s="139">
        <f>IFERROR(INDEX($K$2:$K$5,MATCH(A214,$J$2:$J$5,0)),A214)</f>
        <v/>
      </c>
      <c r="C214" s="139" t="inlineStr">
        <is>
          <t>מגזר ערבי</t>
        </is>
      </c>
      <c r="D214" s="139" t="inlineStr">
        <is>
          <t xml:space="preserve"> המרכז טמרה ב.מ</t>
        </is>
      </c>
      <c r="E214" s="139" t="n">
        <v>74</v>
      </c>
      <c r="F214" s="140" t="n">
        <v>2736.4</v>
      </c>
      <c r="G214" s="139" t="n">
        <v>1</v>
      </c>
      <c r="H214" s="140" t="n">
        <v>117.1</v>
      </c>
    </row>
    <row r="215" ht="15" customHeight="1" s="82">
      <c r="A215" s="139" t="inlineStr">
        <is>
          <t>חאזם</t>
        </is>
      </c>
      <c r="B215" s="139">
        <f>IFERROR(INDEX($K$2:$K$5,MATCH(A215,$J$2:$J$5,0)),A215)</f>
        <v/>
      </c>
      <c r="C215" s="139" t="inlineStr">
        <is>
          <t>מגזר ערבי</t>
        </is>
      </c>
      <c r="D215" s="139" t="inlineStr">
        <is>
          <t xml:space="preserve"> סנטרלפארם שפרעם ב.מ</t>
        </is>
      </c>
      <c r="E215" s="139" t="n">
        <v>1</v>
      </c>
      <c r="F215" s="140" t="n">
        <v>45.3</v>
      </c>
      <c r="G215" s="139" t="n">
        <v>0</v>
      </c>
      <c r="H215" s="140" t="n">
        <v>0</v>
      </c>
    </row>
    <row r="216" ht="15" customHeight="1" s="82">
      <c r="A216" s="139" t="inlineStr">
        <is>
          <t>חאזם</t>
        </is>
      </c>
      <c r="B216" s="139">
        <f>IFERROR(INDEX($K$2:$K$5,MATCH(A216,$J$2:$J$5,0)),A216)</f>
        <v/>
      </c>
      <c r="C216" s="139" t="inlineStr">
        <is>
          <t>מגזר ערבי</t>
        </is>
      </c>
      <c r="D216" s="139" t="inlineStr">
        <is>
          <t xml:space="preserve"> ריאד נצרת ב.מ</t>
        </is>
      </c>
      <c r="E216" s="139" t="n">
        <v>1</v>
      </c>
      <c r="F216" s="140" t="n">
        <v>71.2</v>
      </c>
      <c r="G216" s="139" t="n">
        <v>0</v>
      </c>
      <c r="H216" s="140" t="n">
        <v>0</v>
      </c>
    </row>
    <row r="217" ht="15" customHeight="1" s="82">
      <c r="A217" s="139" t="inlineStr">
        <is>
          <t>חאזם</t>
        </is>
      </c>
      <c r="B217" s="139">
        <f>IFERROR(INDEX($K$2:$K$5,MATCH(A217,$J$2:$J$5,0)),A217)</f>
        <v/>
      </c>
      <c r="C217" s="139" t="inlineStr">
        <is>
          <t>מגזר ערבי</t>
        </is>
      </c>
      <c r="D217" s="139" t="inlineStr">
        <is>
          <t xml:space="preserve"> ביג פארם כפר ינוח ב.מ</t>
        </is>
      </c>
      <c r="E217" s="139" t="n">
        <v>86</v>
      </c>
      <c r="F217" s="140" t="n">
        <v>3344</v>
      </c>
      <c r="G217" s="139" t="n">
        <v>72</v>
      </c>
      <c r="H217" s="140" t="n">
        <v>3605.7</v>
      </c>
    </row>
    <row r="218" ht="15" customHeight="1" s="82">
      <c r="A218" s="139" t="inlineStr">
        <is>
          <t>חאזם</t>
        </is>
      </c>
      <c r="B218" s="139">
        <f>IFERROR(INDEX($K$2:$K$5,MATCH(A218,$J$2:$J$5,0)),A218)</f>
        <v/>
      </c>
      <c r="C218" s="139" t="inlineStr">
        <is>
          <t>מגזר ערבי</t>
        </is>
      </c>
      <c r="D218" s="139" t="inlineStr">
        <is>
          <t xml:space="preserve"> אקסטרה פארם בע""""מ נצרת ב.מ</t>
        </is>
      </c>
      <c r="E218" s="139" t="n">
        <v>119</v>
      </c>
      <c r="F218" s="140" t="n">
        <v>5297.4</v>
      </c>
      <c r="G218" s="139" t="n">
        <v>58</v>
      </c>
      <c r="H218" s="140" t="n">
        <v>2489</v>
      </c>
    </row>
    <row r="219" ht="15" customHeight="1" s="82">
      <c r="A219" s="139" t="inlineStr">
        <is>
          <t>חאזם</t>
        </is>
      </c>
      <c r="B219" s="139">
        <f>IFERROR(INDEX($K$2:$K$5,MATCH(A219,$J$2:$J$5,0)),A219)</f>
        <v/>
      </c>
      <c r="C219" s="139" t="inlineStr">
        <is>
          <t>מגזר ערבי</t>
        </is>
      </c>
      <c r="D219" s="139" t="inlineStr">
        <is>
          <t xml:space="preserve"> .המרכז כפר ריינה ב.מ</t>
        </is>
      </c>
      <c r="E219" s="139" t="n">
        <v>69</v>
      </c>
      <c r="F219" s="140" t="n">
        <v>3810.9</v>
      </c>
      <c r="G219" s="139" t="n">
        <v>0</v>
      </c>
      <c r="H219" s="140" t="n">
        <v>0</v>
      </c>
    </row>
    <row r="220" ht="15" customHeight="1" s="82">
      <c r="A220" s="139" t="inlineStr">
        <is>
          <t>חאזם</t>
        </is>
      </c>
      <c r="B220" s="139">
        <f>IFERROR(INDEX($K$2:$K$5,MATCH(A220,$J$2:$J$5,0)),A220)</f>
        <v/>
      </c>
      <c r="C220" s="139" t="inlineStr">
        <is>
          <t>מגזר ערבי</t>
        </is>
      </c>
      <c r="D220" s="139" t="inlineStr">
        <is>
          <t xml:space="preserve"> טופ פארם כפר קרע ב.מ. חדש</t>
        </is>
      </c>
      <c r="E220" s="139" t="n">
        <v>40</v>
      </c>
      <c r="F220" s="140" t="n">
        <v>2028.2</v>
      </c>
      <c r="G220" s="139" t="n">
        <v>11</v>
      </c>
      <c r="H220" s="140" t="n">
        <v>838.9</v>
      </c>
    </row>
    <row r="221" ht="15" customHeight="1" s="82">
      <c r="A221" s="139" t="inlineStr">
        <is>
          <t>חאזם</t>
        </is>
      </c>
      <c r="B221" s="139">
        <f>IFERROR(INDEX($K$2:$K$5,MATCH(A221,$J$2:$J$5,0)),A221)</f>
        <v/>
      </c>
      <c r="C221" s="139" t="inlineStr">
        <is>
          <t>מגזר ערבי</t>
        </is>
      </c>
      <c r="D221" s="139" t="inlineStr">
        <is>
          <t xml:space="preserve"> איווה פארם אלרחמה בע""""מ ב.מ</t>
        </is>
      </c>
      <c r="E221" s="139" t="n">
        <v>355</v>
      </c>
      <c r="F221" s="140" t="n">
        <v>12383.9</v>
      </c>
      <c r="G221" s="139" t="n">
        <v>163</v>
      </c>
      <c r="H221" s="140" t="n">
        <v>7187.7</v>
      </c>
    </row>
    <row r="222" ht="15" customHeight="1" s="82">
      <c r="A222" s="139" t="inlineStr">
        <is>
          <t>חאזם</t>
        </is>
      </c>
      <c r="B222" s="139">
        <f>IFERROR(INDEX($K$2:$K$5,MATCH(A222,$J$2:$J$5,0)),A222)</f>
        <v/>
      </c>
      <c r="C222" s="139" t="inlineStr">
        <is>
          <t>מגזר ערבי</t>
        </is>
      </c>
      <c r="D222" s="139" t="inlineStr">
        <is>
          <t xml:space="preserve"> ריאד פארם ב.מ ברטעה חדש</t>
        </is>
      </c>
      <c r="E222" s="139" t="n">
        <v>37</v>
      </c>
      <c r="F222" s="140" t="n">
        <v>2068.4</v>
      </c>
      <c r="G222" s="139" t="n">
        <v>22</v>
      </c>
      <c r="H222" s="140" t="n">
        <v>1095.8</v>
      </c>
    </row>
    <row r="223" ht="15" customHeight="1" s="82">
      <c r="A223" s="139" t="inlineStr">
        <is>
          <t>חאזם</t>
        </is>
      </c>
      <c r="B223" s="139">
        <f>IFERROR(INDEX($K$2:$K$5,MATCH(A223,$J$2:$J$5,0)),A223)</f>
        <v/>
      </c>
      <c r="C223" s="139" t="inlineStr">
        <is>
          <t>מגזר ערבי</t>
        </is>
      </c>
      <c r="D223" s="139" t="inlineStr">
        <is>
          <t xml:space="preserve"> .שרה פארם נצרת ב.מ</t>
        </is>
      </c>
      <c r="E223" s="139" t="n">
        <v>2</v>
      </c>
      <c r="F223" s="140" t="n">
        <v>29</v>
      </c>
      <c r="G223" s="139" t="n">
        <v>0</v>
      </c>
      <c r="H223" s="140" t="n">
        <v>0</v>
      </c>
    </row>
    <row r="224" ht="15" customHeight="1" s="82">
      <c r="A224" s="139" t="inlineStr">
        <is>
          <t>סטאס</t>
        </is>
      </c>
      <c r="B224" s="139">
        <f>IFERROR(INDEX($K$2:$K$5,MATCH(A224,$J$2:$J$5,0)),A224)</f>
        <v/>
      </c>
      <c r="C224" s="139" t="inlineStr">
        <is>
          <t>מגזר ערבי</t>
        </is>
      </c>
      <c r="D224" s="139" t="inlineStr">
        <is>
          <t xml:space="preserve"> אדם רוקחות בע""""מ טירה ב.מ</t>
        </is>
      </c>
      <c r="E224" s="139" t="n">
        <v>195</v>
      </c>
      <c r="F224" s="140" t="n">
        <v>8292.5</v>
      </c>
      <c r="G224" s="139" t="n">
        <v>164</v>
      </c>
      <c r="H224" s="140" t="n">
        <v>5860.1</v>
      </c>
    </row>
    <row r="225" ht="15" customHeight="1" s="82">
      <c r="A225" s="139" t="inlineStr">
        <is>
          <t>סטאס</t>
        </is>
      </c>
      <c r="B225" s="139">
        <f>IFERROR(INDEX($K$2:$K$5,MATCH(A225,$J$2:$J$5,0)),A225)</f>
        <v/>
      </c>
      <c r="C225" s="139" t="inlineStr">
        <is>
          <t>מגזר ערבי</t>
        </is>
      </c>
      <c r="D225" s="139" t="inlineStr">
        <is>
          <t xml:space="preserve"> ורונה פארם טירה ב.מ</t>
        </is>
      </c>
      <c r="E225" s="139" t="n">
        <v>35</v>
      </c>
      <c r="F225" s="140" t="n">
        <v>1143</v>
      </c>
      <c r="G225" s="139" t="n">
        <v>0</v>
      </c>
      <c r="H225" s="140" t="n">
        <v>0</v>
      </c>
    </row>
    <row r="226" ht="15" customHeight="1" s="82">
      <c r="A226" s="139" t="inlineStr">
        <is>
          <t>חאזם</t>
        </is>
      </c>
      <c r="B226" s="139">
        <f>IFERROR(INDEX($K$2:$K$5,MATCH(A226,$J$2:$J$5,0)),A226)</f>
        <v/>
      </c>
      <c r="C226" s="139" t="inlineStr">
        <is>
          <t>מגזר ערבי</t>
        </is>
      </c>
      <c r="D226" s="139" t="inlineStr">
        <is>
          <t xml:space="preserve"> מורינגה פארם בית הבריאות ב.מ מ</t>
        </is>
      </c>
      <c r="E226" s="139" t="n">
        <v>164</v>
      </c>
      <c r="F226" s="140" t="n">
        <v>8109.4</v>
      </c>
      <c r="G226" s="139" t="n">
        <v>8</v>
      </c>
      <c r="H226" s="140" t="n">
        <v>477.2</v>
      </c>
    </row>
    <row r="227" ht="15" customHeight="1" s="82">
      <c r="A227" s="139" t="inlineStr">
        <is>
          <t>חאזם</t>
        </is>
      </c>
      <c r="B227" s="139">
        <f>IFERROR(INDEX($K$2:$K$5,MATCH(A227,$J$2:$J$5,0)),A227)</f>
        <v/>
      </c>
      <c r="C227" s="139" t="inlineStr">
        <is>
          <t>מגזר ערבי</t>
        </is>
      </c>
      <c r="D227" s="139" t="inlineStr">
        <is>
          <t xml:space="preserve"> סיטי פארם נצרת ב.מ</t>
        </is>
      </c>
      <c r="E227" s="139" t="n">
        <v>5</v>
      </c>
      <c r="F227" s="140" t="n">
        <v>216.6</v>
      </c>
      <c r="G227" s="139" t="n">
        <v>3</v>
      </c>
      <c r="H227" s="140" t="n">
        <v>163.4</v>
      </c>
    </row>
    <row r="228" ht="15" customHeight="1" s="82">
      <c r="A228" s="139" t="inlineStr">
        <is>
          <t>חאזם</t>
        </is>
      </c>
      <c r="B228" s="139">
        <f>IFERROR(INDEX($K$2:$K$5,MATCH(A228,$J$2:$J$5,0)),A228)</f>
        <v/>
      </c>
      <c r="C228" s="139" t="inlineStr">
        <is>
          <t>מגזר ערבי</t>
        </is>
      </c>
      <c r="D228" s="139" t="inlineStr">
        <is>
          <t xml:space="preserve"> פארמר פארם טמרה ב.מ</t>
        </is>
      </c>
      <c r="E228" s="139" t="n">
        <v>121</v>
      </c>
      <c r="F228" s="140" t="n">
        <v>5616.2</v>
      </c>
      <c r="G228" s="139" t="n">
        <v>0</v>
      </c>
      <c r="H228" s="140" t="n">
        <v>0</v>
      </c>
    </row>
    <row r="229" ht="15" customHeight="1" s="82">
      <c r="A229" s="139" t="inlineStr">
        <is>
          <t>חאזם</t>
        </is>
      </c>
      <c r="B229" s="139">
        <f>IFERROR(INDEX($K$2:$K$5,MATCH(A229,$J$2:$J$5,0)),A229)</f>
        <v/>
      </c>
      <c r="C229" s="139" t="inlineStr">
        <is>
          <t>מגזר ערבי</t>
        </is>
      </c>
      <c r="D229" s="139" t="inlineStr">
        <is>
          <t xml:space="preserve"> מדיקל פארם שפרעם ב.מ</t>
        </is>
      </c>
      <c r="E229" s="139" t="n">
        <v>188</v>
      </c>
      <c r="F229" s="140" t="n">
        <v>6503.7</v>
      </c>
      <c r="G229" s="139" t="n">
        <v>82</v>
      </c>
      <c r="H229" s="140" t="n">
        <v>2868</v>
      </c>
    </row>
    <row r="230" ht="15" customHeight="1" s="82">
      <c r="A230" s="139" t="inlineStr">
        <is>
          <t>חאזם</t>
        </is>
      </c>
      <c r="B230" s="139">
        <f>IFERROR(INDEX($K$2:$K$5,MATCH(A230,$J$2:$J$5,0)),A230)</f>
        <v/>
      </c>
      <c r="C230" s="139" t="inlineStr">
        <is>
          <t>מגזר ערבי</t>
        </is>
      </c>
      <c r="D230" s="139" t="inlineStr">
        <is>
          <t xml:space="preserve"> פארמה שיא ביר אל מכסור ב.מ</t>
        </is>
      </c>
      <c r="E230" s="139" t="n">
        <v>107</v>
      </c>
      <c r="F230" s="140" t="n">
        <v>4995.7</v>
      </c>
      <c r="G230" s="139" t="n">
        <v>50</v>
      </c>
      <c r="H230" s="140" t="n">
        <v>2356.3</v>
      </c>
    </row>
    <row r="231" ht="15" customHeight="1" s="82">
      <c r="A231" s="139" t="inlineStr">
        <is>
          <t>חיים</t>
        </is>
      </c>
      <c r="B231" s="139">
        <f>IFERROR(INDEX($K$2:$K$5,MATCH(A231,$J$2:$J$5,0)),A231)</f>
        <v/>
      </c>
      <c r="C231" s="139" t="inlineStr">
        <is>
          <t>מגזר ערבי</t>
        </is>
      </c>
      <c r="D231" s="139" t="inlineStr">
        <is>
          <t xml:space="preserve"> ורונה פארם קלנסוואה ב.מ</t>
        </is>
      </c>
      <c r="E231" s="139" t="n">
        <v>11</v>
      </c>
      <c r="F231" s="140" t="n">
        <v>662.7</v>
      </c>
      <c r="G231" s="139" t="n">
        <v>0</v>
      </c>
      <c r="H231" s="140" t="n">
        <v>0</v>
      </c>
    </row>
    <row r="232" ht="15" customHeight="1" s="82">
      <c r="A232" s="139" t="inlineStr">
        <is>
          <t>חאזם</t>
        </is>
      </c>
      <c r="B232" s="139">
        <f>IFERROR(INDEX($K$2:$K$5,MATCH(A232,$J$2:$J$5,0)),A232)</f>
        <v/>
      </c>
      <c r="C232" s="139" t="inlineStr">
        <is>
          <t>מגזר ערבי</t>
        </is>
      </c>
      <c r="D232" s="139" t="inlineStr">
        <is>
          <t xml:space="preserve"> בית מרקחת אוור פארם עוספיא</t>
        </is>
      </c>
      <c r="E232" s="139" t="n">
        <v>60</v>
      </c>
      <c r="F232" s="140" t="n">
        <v>2550.3</v>
      </c>
      <c r="G232" s="139" t="n">
        <v>8</v>
      </c>
      <c r="H232" s="140" t="n">
        <v>369.9</v>
      </c>
    </row>
    <row r="233" ht="15" customHeight="1" s="82">
      <c r="A233" s="139" t="inlineStr">
        <is>
          <t>חאזם</t>
        </is>
      </c>
      <c r="B233" s="139">
        <f>IFERROR(INDEX($K$2:$K$5,MATCH(A233,$J$2:$J$5,0)),A233)</f>
        <v/>
      </c>
      <c r="C233" s="139" t="inlineStr">
        <is>
          <t>מגזר ערבי</t>
        </is>
      </c>
      <c r="D233" s="139" t="inlineStr">
        <is>
          <t xml:space="preserve"> אלח'רובה ב.מ באקה אל גרבייה</t>
        </is>
      </c>
      <c r="E233" s="139" t="n">
        <v>84</v>
      </c>
      <c r="F233" s="140" t="n">
        <v>4104.7</v>
      </c>
      <c r="G233" s="139" t="n">
        <v>16</v>
      </c>
      <c r="H233" s="140" t="n">
        <v>1531</v>
      </c>
    </row>
    <row r="234" ht="15" customHeight="1" s="82">
      <c r="A234" s="139" t="inlineStr">
        <is>
          <t>חאזם</t>
        </is>
      </c>
      <c r="B234" s="139">
        <f>IFERROR(INDEX($K$2:$K$5,MATCH(A234,$J$2:$J$5,0)),A234)</f>
        <v/>
      </c>
      <c r="C234" s="139" t="inlineStr">
        <is>
          <t>מגזר ערבי</t>
        </is>
      </c>
      <c r="D234" s="139" t="inlineStr">
        <is>
          <t xml:space="preserve"> אלחייאת ב.מ אל סייד</t>
        </is>
      </c>
      <c r="E234" s="139" t="n">
        <v>214</v>
      </c>
      <c r="F234" s="140" t="n">
        <v>9469.200000000001</v>
      </c>
      <c r="G234" s="139" t="n">
        <v>158</v>
      </c>
      <c r="H234" s="140" t="n">
        <v>6486.8</v>
      </c>
    </row>
    <row r="235" ht="15" customHeight="1" s="82">
      <c r="A235" s="139" t="inlineStr">
        <is>
          <t>חאזם</t>
        </is>
      </c>
      <c r="B235" s="139">
        <f>IFERROR(INDEX($K$2:$K$5,MATCH(A235,$J$2:$J$5,0)),A235)</f>
        <v/>
      </c>
      <c r="C235" s="139" t="inlineStr">
        <is>
          <t>מגזר ערבי</t>
        </is>
      </c>
      <c r="D235" s="139" t="inlineStr">
        <is>
          <t xml:space="preserve"> פארמה האוס בע""""מ נוף הגליל ב.מ</t>
        </is>
      </c>
      <c r="E235" s="139" t="n">
        <v>4</v>
      </c>
      <c r="F235" s="140" t="n">
        <v>468.5</v>
      </c>
      <c r="G235" s="139" t="n">
        <v>0</v>
      </c>
      <c r="H235" s="140" t="n">
        <v>0</v>
      </c>
    </row>
    <row r="236" ht="15" customHeight="1" s="82">
      <c r="A236" s="139" t="inlineStr">
        <is>
          <t>חאזם</t>
        </is>
      </c>
      <c r="B236" s="139">
        <f>IFERROR(INDEX($K$2:$K$5,MATCH(A236,$J$2:$J$5,0)),A236)</f>
        <v/>
      </c>
      <c r="C236" s="139" t="inlineStr">
        <is>
          <t>מגזר ערבי</t>
        </is>
      </c>
      <c r="D236" s="139" t="inlineStr">
        <is>
          <t xml:space="preserve"> רימא פארם כפר יאסיף ב.מ</t>
        </is>
      </c>
      <c r="E236" s="139" t="n">
        <v>281</v>
      </c>
      <c r="F236" s="140" t="n">
        <v>10150.2</v>
      </c>
      <c r="G236" s="139" t="n">
        <v>202</v>
      </c>
      <c r="H236" s="140" t="n">
        <v>7748.9</v>
      </c>
    </row>
    <row r="237" ht="15" customHeight="1" s="82">
      <c r="A237" s="139" t="inlineStr">
        <is>
          <t>חאזם</t>
        </is>
      </c>
      <c r="B237" s="139">
        <f>IFERROR(INDEX($K$2:$K$5,MATCH(A237,$J$2:$J$5,0)),A237)</f>
        <v/>
      </c>
      <c r="C237" s="139" t="inlineStr">
        <is>
          <t>מגזר ערבי</t>
        </is>
      </c>
      <c r="D237" s="139" t="inlineStr">
        <is>
          <t xml:space="preserve"> .רימא פארם כפר קרע ב.מ</t>
        </is>
      </c>
      <c r="E237" s="139" t="n">
        <v>0</v>
      </c>
      <c r="F237" s="140" t="n">
        <v>0</v>
      </c>
      <c r="G237" s="139" t="n">
        <v>1</v>
      </c>
      <c r="H237" s="140" t="n">
        <v>210.9</v>
      </c>
    </row>
    <row r="238" ht="15" customHeight="1" s="82">
      <c r="A238" s="139" t="inlineStr">
        <is>
          <t>חאזם</t>
        </is>
      </c>
      <c r="B238" s="139">
        <f>IFERROR(INDEX($K$2:$K$5,MATCH(A238,$J$2:$J$5,0)),A238)</f>
        <v/>
      </c>
      <c r="C238" s="139" t="inlineStr">
        <is>
          <t>מגזר ערבי</t>
        </is>
      </c>
      <c r="D238" s="139" t="inlineStr">
        <is>
          <t xml:space="preserve"> אלפרמשאני סכנין ב.מ</t>
        </is>
      </c>
      <c r="E238" s="139" t="n">
        <v>29</v>
      </c>
      <c r="F238" s="140" t="n">
        <v>556.7</v>
      </c>
      <c r="G238" s="139" t="n">
        <v>0</v>
      </c>
      <c r="H238" s="140" t="n">
        <v>0</v>
      </c>
    </row>
    <row r="239" ht="15" customHeight="1" s="82">
      <c r="A239" s="139" t="inlineStr">
        <is>
          <t>חאזם</t>
        </is>
      </c>
      <c r="B239" s="139">
        <f>IFERROR(INDEX($K$2:$K$5,MATCH(A239,$J$2:$J$5,0)),A239)</f>
        <v/>
      </c>
      <c r="C239" s="139" t="inlineStr">
        <is>
          <t>מגזר ערבי</t>
        </is>
      </c>
      <c r="D239" s="139" t="inlineStr">
        <is>
          <t xml:space="preserve"> פארמה לייף יקנעם עילית ב.מ</t>
        </is>
      </c>
      <c r="E239" s="139" t="n">
        <v>97</v>
      </c>
      <c r="F239" s="140" t="n">
        <v>4105.1</v>
      </c>
      <c r="G239" s="139" t="n">
        <v>34</v>
      </c>
      <c r="H239" s="140" t="n">
        <v>1212.9</v>
      </c>
    </row>
    <row r="240" ht="15" customHeight="1" s="82">
      <c r="A240" s="139" t="inlineStr">
        <is>
          <t>חאזם</t>
        </is>
      </c>
      <c r="B240" s="139">
        <f>IFERROR(INDEX($K$2:$K$5,MATCH(A240,$J$2:$J$5,0)),A240)</f>
        <v/>
      </c>
      <c r="C240" s="139" t="inlineStr">
        <is>
          <t>מגזר ערבי</t>
        </is>
      </c>
      <c r="D240" s="139" t="inlineStr">
        <is>
          <t xml:space="preserve"> ראפע פארם בע""""מ נצרת</t>
        </is>
      </c>
      <c r="E240" s="139" t="n">
        <v>0</v>
      </c>
      <c r="F240" s="140" t="n">
        <v>0</v>
      </c>
      <c r="G240" s="139" t="n">
        <v>59</v>
      </c>
      <c r="H240" s="140" t="n">
        <v>3176.5</v>
      </c>
    </row>
    <row r="241" ht="15" customHeight="1" s="82">
      <c r="A241" s="139" t="inlineStr">
        <is>
          <t>חאזם</t>
        </is>
      </c>
      <c r="B241" s="139">
        <f>IFERROR(INDEX($K$2:$K$5,MATCH(A241,$J$2:$J$5,0)),A241)</f>
        <v/>
      </c>
      <c r="C241" s="139" t="inlineStr">
        <is>
          <t>מגזר ערבי</t>
        </is>
      </c>
      <c r="D241" s="139" t="inlineStr">
        <is>
          <t xml:space="preserve"> רונברא ב.מ נהריה</t>
        </is>
      </c>
      <c r="E241" s="139" t="n">
        <v>108</v>
      </c>
      <c r="F241" s="140" t="n">
        <v>3058.7</v>
      </c>
      <c r="G241" s="139" t="n">
        <v>0</v>
      </c>
      <c r="H241" s="140" t="n">
        <v>0</v>
      </c>
    </row>
    <row r="242" ht="15" customHeight="1" s="82">
      <c r="A242" s="139" t="inlineStr">
        <is>
          <t>חאזם</t>
        </is>
      </c>
      <c r="B242" s="139">
        <f>IFERROR(INDEX($K$2:$K$5,MATCH(A242,$J$2:$J$5,0)),A242)</f>
        <v/>
      </c>
      <c r="C242" s="139" t="inlineStr">
        <is>
          <t>מגזר ערבי</t>
        </is>
      </c>
      <c r="D242" s="139" t="inlineStr">
        <is>
          <t xml:space="preserve"> שקד פארם זכרון יעקב ב.מ</t>
        </is>
      </c>
      <c r="E242" s="139" t="n">
        <v>46</v>
      </c>
      <c r="F242" s="140" t="n">
        <v>1587.4</v>
      </c>
      <c r="G242" s="139" t="n">
        <v>12</v>
      </c>
      <c r="H242" s="140" t="n">
        <v>523</v>
      </c>
    </row>
    <row r="243" ht="15" customHeight="1" s="82">
      <c r="A243" s="139" t="inlineStr">
        <is>
          <t>דוד</t>
        </is>
      </c>
      <c r="B243" s="139">
        <f>IFERROR(INDEX($K$2:$K$5,MATCH(A243,$J$2:$J$5,0)),A243)</f>
        <v/>
      </c>
      <c r="C243" s="139" t="inlineStr">
        <is>
          <t>רוקחים עתיד</t>
        </is>
      </c>
      <c r="D243" s="139" t="inlineStr">
        <is>
          <t xml:space="preserve"> 13.03 ערד פארם ב.מ</t>
        </is>
      </c>
      <c r="E243" s="139" t="n">
        <v>518</v>
      </c>
      <c r="F243" s="140" t="n">
        <v>21369.1</v>
      </c>
      <c r="G243" s="139" t="n">
        <v>429</v>
      </c>
      <c r="H243" s="140" t="n">
        <v>15090.1</v>
      </c>
    </row>
    <row r="244" ht="15" customHeight="1" s="82">
      <c r="A244" s="139" t="inlineStr">
        <is>
          <t>סטאס</t>
        </is>
      </c>
      <c r="B244" s="139">
        <f>IFERROR(INDEX($K$2:$K$5,MATCH(A244,$J$2:$J$5,0)),A244)</f>
        <v/>
      </c>
      <c r="C244" s="139" t="inlineStr">
        <is>
          <t>רוקחים עתיד</t>
        </is>
      </c>
      <c r="D244" s="139" t="inlineStr">
        <is>
          <t xml:space="preserve"> 03.13  ב.מ. שבע פארם</t>
        </is>
      </c>
      <c r="E244" s="139" t="n">
        <v>37</v>
      </c>
      <c r="F244" s="140" t="n">
        <v>744.3</v>
      </c>
      <c r="G244" s="139" t="n">
        <v>0</v>
      </c>
      <c r="H244" s="140" t="n">
        <v>0</v>
      </c>
    </row>
    <row r="245" ht="15" customHeight="1" s="82">
      <c r="A245" s="139" t="inlineStr">
        <is>
          <t>חיים</t>
        </is>
      </c>
      <c r="B245" s="139">
        <f>IFERROR(INDEX($K$2:$K$5,MATCH(A245,$J$2:$J$5,0)),A245)</f>
        <v/>
      </c>
      <c r="C245" s="139" t="inlineStr">
        <is>
          <t>רוקחים עתיד</t>
        </is>
      </c>
      <c r="D245" s="139" t="inlineStr">
        <is>
          <t xml:space="preserve"> .קאר פארם כפר יונה ב.מ</t>
        </is>
      </c>
      <c r="E245" s="139" t="n">
        <v>376</v>
      </c>
      <c r="F245" s="140" t="n">
        <v>12204.3</v>
      </c>
      <c r="G245" s="139" t="n">
        <v>80</v>
      </c>
      <c r="H245" s="140" t="n">
        <v>2038.8</v>
      </c>
    </row>
    <row r="246" ht="15" customHeight="1" s="82">
      <c r="A246" s="139" t="inlineStr">
        <is>
          <t>חאזם</t>
        </is>
      </c>
      <c r="B246" s="139">
        <f>IFERROR(INDEX($K$2:$K$5,MATCH(A246,$J$2:$J$5,0)),A246)</f>
        <v/>
      </c>
      <c r="C246" s="139" t="inlineStr">
        <is>
          <t>רוקחים עתיד</t>
        </is>
      </c>
      <c r="D246" s="139" t="inlineStr">
        <is>
          <t xml:space="preserve"> ישי עפולה בע""""מ ב.מ</t>
        </is>
      </c>
      <c r="E246" s="139" t="n">
        <v>12</v>
      </c>
      <c r="F246" s="140" t="n">
        <v>414.7</v>
      </c>
      <c r="G246" s="139" t="n">
        <v>12</v>
      </c>
      <c r="H246" s="140" t="n">
        <v>438.2</v>
      </c>
    </row>
    <row r="247" ht="15" customHeight="1" s="82">
      <c r="A247" s="139" t="inlineStr">
        <is>
          <t>חאזם</t>
        </is>
      </c>
      <c r="B247" s="139">
        <f>IFERROR(INDEX($K$2:$K$5,MATCH(A247,$J$2:$J$5,0)),A247)</f>
        <v/>
      </c>
      <c r="C247" s="139" t="inlineStr">
        <is>
          <t>רוקחים עתיד</t>
        </is>
      </c>
      <c r="D247" s="139" t="inlineStr">
        <is>
          <t xml:space="preserve"> ב.מ סביניה חדש ק.ביאליק</t>
        </is>
      </c>
      <c r="E247" s="139" t="n">
        <v>83</v>
      </c>
      <c r="F247" s="140" t="n">
        <v>2774.7</v>
      </c>
      <c r="G247" s="139" t="n">
        <v>21</v>
      </c>
      <c r="H247" s="140" t="n">
        <v>690.1</v>
      </c>
    </row>
    <row r="248" ht="15" customHeight="1" s="82">
      <c r="A248" s="139" t="inlineStr">
        <is>
          <t>חיים</t>
        </is>
      </c>
      <c r="B248" s="139">
        <f>IFERROR(INDEX($K$2:$K$5,MATCH(A248,$J$2:$J$5,0)),A248)</f>
        <v/>
      </c>
      <c r="C248" s="139" t="inlineStr">
        <is>
          <t>רוקחים עתיד</t>
        </is>
      </c>
      <c r="D248" s="139" t="inlineStr">
        <is>
          <t xml:space="preserve"> מעיין חיים בית דגן</t>
        </is>
      </c>
      <c r="E248" s="139" t="n">
        <v>63</v>
      </c>
      <c r="F248" s="140" t="n">
        <v>2021.4</v>
      </c>
      <c r="G248" s="139" t="n">
        <v>262</v>
      </c>
      <c r="H248" s="140" t="n">
        <v>10841.7</v>
      </c>
    </row>
    <row r="249" ht="15" customHeight="1" s="82">
      <c r="A249" s="139" t="inlineStr">
        <is>
          <t>סטאס</t>
        </is>
      </c>
      <c r="B249" s="139">
        <f>IFERROR(INDEX($K$2:$K$5,MATCH(A249,$J$2:$J$5,0)),A249)</f>
        <v/>
      </c>
      <c r="C249" s="139" t="inlineStr">
        <is>
          <t>רוקחים עתיד</t>
        </is>
      </c>
      <c r="D249" s="139" t="inlineStr">
        <is>
          <t xml:space="preserve"> דאבל די לבונה ב.מ</t>
        </is>
      </c>
      <c r="E249" s="139" t="n">
        <v>20</v>
      </c>
      <c r="F249" s="140" t="n">
        <v>500.1</v>
      </c>
      <c r="G249" s="139" t="n">
        <v>18</v>
      </c>
      <c r="H249" s="140" t="n">
        <v>540.1</v>
      </c>
    </row>
    <row r="250" ht="15" customHeight="1" s="82">
      <c r="A250" s="139" t="inlineStr">
        <is>
          <t>סטאס</t>
        </is>
      </c>
      <c r="B250" s="139">
        <f>IFERROR(INDEX($K$2:$K$5,MATCH(A250,$J$2:$J$5,0)),A250)</f>
        <v/>
      </c>
      <c r="C250" s="139" t="inlineStr">
        <is>
          <t>רוקחים עתיד</t>
        </is>
      </c>
      <c r="D250" s="139" t="inlineStr">
        <is>
          <t xml:space="preserve"> 11.03 פארמה רד ויטה ב.מ</t>
        </is>
      </c>
      <c r="E250" s="139" t="n">
        <v>8</v>
      </c>
      <c r="F250" s="140" t="n">
        <v>302.6</v>
      </c>
      <c r="G250" s="139" t="n">
        <v>0</v>
      </c>
      <c r="H250" s="140" t="n">
        <v>0</v>
      </c>
    </row>
    <row r="251" ht="15" customHeight="1" s="82">
      <c r="A251" s="139" t="inlineStr">
        <is>
          <t>סטאס</t>
        </is>
      </c>
      <c r="B251" s="139">
        <f>IFERROR(INDEX($K$2:$K$5,MATCH(A251,$J$2:$J$5,0)),A251)</f>
        <v/>
      </c>
      <c r="C251" s="139" t="inlineStr">
        <is>
          <t>רוקחים עתיד</t>
        </is>
      </c>
      <c r="D251" s="139" t="inlineStr">
        <is>
          <t xml:space="preserve"> חי ק.מנחם רמלה ב.מ חדש</t>
        </is>
      </c>
      <c r="E251" s="139" t="n">
        <v>344</v>
      </c>
      <c r="F251" s="140" t="n">
        <v>13253.4</v>
      </c>
      <c r="G251" s="139" t="n">
        <v>176</v>
      </c>
      <c r="H251" s="140" t="n">
        <v>8827</v>
      </c>
    </row>
    <row r="252" ht="15" customHeight="1" s="82">
      <c r="A252" s="139" t="inlineStr">
        <is>
          <t>חיים</t>
        </is>
      </c>
      <c r="B252" s="139">
        <f>IFERROR(INDEX($K$2:$K$5,MATCH(A252,$J$2:$J$5,0)),A252)</f>
        <v/>
      </c>
      <c r="C252" s="139" t="inlineStr">
        <is>
          <t>רוקחים עתיד</t>
        </is>
      </c>
      <c r="D252" s="139" t="inlineStr">
        <is>
          <t xml:space="preserve"> ב.מ פארמה גד בני ברק הר סיני</t>
        </is>
      </c>
      <c r="E252" s="139" t="n">
        <v>142</v>
      </c>
      <c r="F252" s="140" t="n">
        <v>5764.5</v>
      </c>
      <c r="G252" s="139" t="n">
        <v>171</v>
      </c>
      <c r="H252" s="140" t="n">
        <v>6041.4</v>
      </c>
    </row>
    <row r="253" ht="15" customHeight="1" s="82">
      <c r="A253" s="139" t="inlineStr">
        <is>
          <t>חיים</t>
        </is>
      </c>
      <c r="B253" s="139">
        <f>IFERROR(INDEX($K$2:$K$5,MATCH(A253,$J$2:$J$5,0)),A253)</f>
        <v/>
      </c>
      <c r="C253" s="139" t="inlineStr">
        <is>
          <t>רוקחים עתיד</t>
        </is>
      </c>
      <c r="D253" s="139" t="inlineStr">
        <is>
          <t xml:space="preserve"> אזורי חן ת""""א ב.מ</t>
        </is>
      </c>
      <c r="E253" s="139" t="n">
        <v>39</v>
      </c>
      <c r="F253" s="140" t="n">
        <v>1247.3</v>
      </c>
      <c r="G253" s="139" t="n">
        <v>0</v>
      </c>
      <c r="H253" s="140" t="n">
        <v>0</v>
      </c>
    </row>
    <row r="254" ht="15" customHeight="1" s="82">
      <c r="A254" s="139" t="inlineStr">
        <is>
          <t>חיים</t>
        </is>
      </c>
      <c r="B254" s="139">
        <f>IFERROR(INDEX($K$2:$K$5,MATCH(A254,$J$2:$J$5,0)),A254)</f>
        <v/>
      </c>
      <c r="C254" s="139" t="inlineStr">
        <is>
          <t>רוקחים עתיד</t>
        </is>
      </c>
      <c r="D254" s="139" t="inlineStr">
        <is>
          <t xml:space="preserve"> אופיר ת""""א ב.מ</t>
        </is>
      </c>
      <c r="E254" s="139" t="n">
        <v>92</v>
      </c>
      <c r="F254" s="140" t="n">
        <v>5047.1</v>
      </c>
      <c r="G254" s="139" t="n">
        <v>308</v>
      </c>
      <c r="H254" s="140" t="n">
        <v>23079.8</v>
      </c>
    </row>
    <row r="255" ht="15" customHeight="1" s="82">
      <c r="A255" s="139" t="inlineStr">
        <is>
          <t>חאזם</t>
        </is>
      </c>
      <c r="B255" s="139">
        <f>IFERROR(INDEX($K$2:$K$5,MATCH(A255,$J$2:$J$5,0)),A255)</f>
        <v/>
      </c>
      <c r="C255" s="139" t="inlineStr">
        <is>
          <t>רוקחים עתיד</t>
        </is>
      </c>
      <c r="D255" s="139" t="inlineStr">
        <is>
          <t xml:space="preserve"> עבד לוטף בריאות הומופטיה בע""""מ</t>
        </is>
      </c>
      <c r="E255" s="139" t="n">
        <v>392</v>
      </c>
      <c r="F255" s="140" t="n">
        <v>16129.3</v>
      </c>
      <c r="G255" s="139" t="n">
        <v>189</v>
      </c>
      <c r="H255" s="140" t="n">
        <v>7173.1</v>
      </c>
    </row>
    <row r="256" ht="15" customHeight="1" s="82">
      <c r="A256" s="139" t="inlineStr">
        <is>
          <t>סטאס</t>
        </is>
      </c>
      <c r="B256" s="139">
        <f>IFERROR(INDEX($K$2:$K$5,MATCH(A256,$J$2:$J$5,0)),A256)</f>
        <v/>
      </c>
      <c r="C256" s="139" t="inlineStr">
        <is>
          <t>רוקחים עתיד</t>
        </is>
      </c>
      <c r="D256" s="139" t="inlineStr">
        <is>
          <t xml:space="preserve"> אהרון חולון ב.מ</t>
        </is>
      </c>
      <c r="E256" s="139" t="n">
        <v>35</v>
      </c>
      <c r="F256" s="140" t="n">
        <v>1511.1</v>
      </c>
      <c r="G256" s="139" t="n">
        <v>7</v>
      </c>
      <c r="H256" s="140" t="n">
        <v>509.7</v>
      </c>
    </row>
    <row r="257" ht="15" customHeight="1" s="82">
      <c r="A257" s="139" t="inlineStr">
        <is>
          <t>חיים</t>
        </is>
      </c>
      <c r="B257" s="139">
        <f>IFERROR(INDEX($K$2:$K$5,MATCH(A257,$J$2:$J$5,0)),A257)</f>
        <v/>
      </c>
      <c r="C257" s="139" t="inlineStr">
        <is>
          <t>רוקחים עתיד</t>
        </is>
      </c>
      <c r="D257" s="139" t="inlineStr">
        <is>
          <t xml:space="preserve"> ביו מקס פארם חולון ב.מ</t>
        </is>
      </c>
      <c r="E257" s="139" t="n">
        <v>0</v>
      </c>
      <c r="F257" s="140" t="n">
        <v>0</v>
      </c>
      <c r="G257" s="139" t="n">
        <v>109</v>
      </c>
      <c r="H257" s="140" t="n">
        <v>4657.8</v>
      </c>
    </row>
    <row r="258" ht="15" customHeight="1" s="82">
      <c r="A258" s="139" t="inlineStr">
        <is>
          <t>חיים</t>
        </is>
      </c>
      <c r="B258" s="139">
        <f>IFERROR(INDEX($K$2:$K$5,MATCH(A258,$J$2:$J$5,0)),A258)</f>
        <v/>
      </c>
      <c r="C258" s="139" t="inlineStr">
        <is>
          <t>רוקחים עתיד</t>
        </is>
      </c>
      <c r="D258" s="139" t="inlineStr">
        <is>
          <t xml:space="preserve"> 2010 ב.מ אחוזה  מאי</t>
        </is>
      </c>
      <c r="E258" s="139" t="n">
        <v>67</v>
      </c>
      <c r="F258" s="140" t="n">
        <v>1636.4</v>
      </c>
      <c r="G258" s="139" t="n">
        <v>0</v>
      </c>
      <c r="H258" s="140" t="n">
        <v>0</v>
      </c>
    </row>
    <row r="259" ht="15" customHeight="1" s="82">
      <c r="A259" s="139" t="inlineStr">
        <is>
          <t>חיים</t>
        </is>
      </c>
      <c r="B259" s="139">
        <f>IFERROR(INDEX($K$2:$K$5,MATCH(A259,$J$2:$J$5,0)),A259)</f>
        <v/>
      </c>
      <c r="C259" s="139" t="inlineStr">
        <is>
          <t>רוקחים עתיד</t>
        </is>
      </c>
      <c r="D259" s="139" t="inlineStr">
        <is>
          <t xml:space="preserve"> דורון רעננה ב.מ</t>
        </is>
      </c>
      <c r="E259" s="139" t="n">
        <v>20</v>
      </c>
      <c r="F259" s="140" t="n">
        <v>449.6</v>
      </c>
      <c r="G259" s="139" t="n">
        <v>0</v>
      </c>
      <c r="H259" s="140" t="n">
        <v>0</v>
      </c>
    </row>
    <row r="260" ht="15" customHeight="1" s="82">
      <c r="A260" s="139" t="inlineStr">
        <is>
          <t>חיים</t>
        </is>
      </c>
      <c r="B260" s="139">
        <f>IFERROR(INDEX($K$2:$K$5,MATCH(A260,$J$2:$J$5,0)),A260)</f>
        <v/>
      </c>
      <c r="C260" s="139" t="inlineStr">
        <is>
          <t>רוקחים עתיד</t>
        </is>
      </c>
      <c r="D260" s="139" t="inlineStr">
        <is>
          <t xml:space="preserve"> כנרת בע""""מ ב.מ כ""""ס</t>
        </is>
      </c>
      <c r="E260" s="139" t="n">
        <v>67</v>
      </c>
      <c r="F260" s="140" t="n">
        <v>2002.7</v>
      </c>
      <c r="G260" s="139" t="n">
        <v>59</v>
      </c>
      <c r="H260" s="140" t="n">
        <v>2669.9</v>
      </c>
    </row>
    <row r="261" ht="15" customHeight="1" s="82">
      <c r="A261" s="139" t="inlineStr">
        <is>
          <t>חיים</t>
        </is>
      </c>
      <c r="B261" s="139">
        <f>IFERROR(INDEX($K$2:$K$5,MATCH(A261,$J$2:$J$5,0)),A261)</f>
        <v/>
      </c>
      <c r="C261" s="139" t="inlineStr">
        <is>
          <t>רוקחים עתיד</t>
        </is>
      </c>
      <c r="D261" s="139" t="inlineStr">
        <is>
          <t xml:space="preserve"> מגדיאל חדש הוד השרון ב.מ</t>
        </is>
      </c>
      <c r="E261" s="139" t="n">
        <v>162</v>
      </c>
      <c r="F261" s="140" t="n">
        <v>6098.9</v>
      </c>
      <c r="G261" s="139" t="n">
        <v>50</v>
      </c>
      <c r="H261" s="140" t="n">
        <v>1506.8</v>
      </c>
    </row>
    <row r="262" ht="15" customHeight="1" s="82">
      <c r="A262" s="139" t="inlineStr">
        <is>
          <t>חיים</t>
        </is>
      </c>
      <c r="B262" s="139">
        <f>IFERROR(INDEX($K$2:$K$5,MATCH(A262,$J$2:$J$5,0)),A262)</f>
        <v/>
      </c>
      <c r="C262" s="139" t="inlineStr">
        <is>
          <t>רוקחים עתיד</t>
        </is>
      </c>
      <c r="D262" s="139" t="inlineStr">
        <is>
          <t xml:space="preserve"> ביו מקס פארם ראשון ב.מ</t>
        </is>
      </c>
      <c r="E262" s="139" t="n">
        <v>0</v>
      </c>
      <c r="F262" s="140" t="n">
        <v>0</v>
      </c>
      <c r="G262" s="139" t="n">
        <v>130</v>
      </c>
      <c r="H262" s="140" t="n">
        <v>5226.4</v>
      </c>
    </row>
    <row r="263" ht="15" customHeight="1" s="82">
      <c r="A263" s="139" t="inlineStr">
        <is>
          <t>סטאס</t>
        </is>
      </c>
      <c r="B263" s="139">
        <f>IFERROR(INDEX($K$2:$K$5,MATCH(A263,$J$2:$J$5,0)),A263)</f>
        <v/>
      </c>
      <c r="C263" s="139" t="inlineStr">
        <is>
          <t>רוקחים עתיד</t>
        </is>
      </c>
      <c r="D263" s="139" t="inlineStr">
        <is>
          <t xml:space="preserve"> רימונים פארם ב""""ב ב.מ</t>
        </is>
      </c>
      <c r="E263" s="139" t="n">
        <v>66</v>
      </c>
      <c r="F263" s="140" t="n">
        <v>2467.9</v>
      </c>
      <c r="G263" s="139" t="n">
        <v>228</v>
      </c>
      <c r="H263" s="140" t="n">
        <v>9166.299999999999</v>
      </c>
    </row>
    <row r="264" ht="15" customHeight="1" s="82">
      <c r="A264" s="139" t="inlineStr">
        <is>
          <t>חיים</t>
        </is>
      </c>
      <c r="B264" s="139">
        <f>IFERROR(INDEX($K$2:$K$5,MATCH(A264,$J$2:$J$5,0)),A264)</f>
        <v/>
      </c>
      <c r="C264" s="139" t="inlineStr">
        <is>
          <t>רוקחים עתיד</t>
        </is>
      </c>
      <c r="D264" s="139" t="inlineStr">
        <is>
          <t xml:space="preserve"> רפואה סנטר ב""""ב ב.מ</t>
        </is>
      </c>
      <c r="E264" s="139" t="n">
        <v>149</v>
      </c>
      <c r="F264" s="140" t="n">
        <v>3336.4</v>
      </c>
      <c r="G264" s="139" t="n">
        <v>158</v>
      </c>
      <c r="H264" s="140" t="n">
        <v>4374.5</v>
      </c>
    </row>
    <row r="265" ht="15" customHeight="1" s="82">
      <c r="A265" s="139" t="inlineStr">
        <is>
          <t>סטאס</t>
        </is>
      </c>
      <c r="B265" s="139">
        <f>IFERROR(INDEX($K$2:$K$5,MATCH(A265,$J$2:$J$5,0)),A265)</f>
        <v/>
      </c>
      <c r="C265" s="139" t="inlineStr">
        <is>
          <t>רוקחים עתיד</t>
        </is>
      </c>
      <c r="D265" s="139" t="inlineStr">
        <is>
          <t xml:space="preserve"> רמת חן ר""""ג ב.מ</t>
        </is>
      </c>
      <c r="E265" s="139" t="n">
        <v>434</v>
      </c>
      <c r="F265" s="140" t="n">
        <v>17687.1</v>
      </c>
      <c r="G265" s="139" t="n">
        <v>258</v>
      </c>
      <c r="H265" s="140" t="n">
        <v>10364.9</v>
      </c>
    </row>
    <row r="266" ht="15" customHeight="1" s="82">
      <c r="A266" s="139" t="inlineStr">
        <is>
          <t>חיים</t>
        </is>
      </c>
      <c r="B266" s="139">
        <f>IFERROR(INDEX($K$2:$K$5,MATCH(A266,$J$2:$J$5,0)),A266)</f>
        <v/>
      </c>
      <c r="C266" s="139" t="inlineStr">
        <is>
          <t>רוקחים עתיד</t>
        </is>
      </c>
      <c r="D266" s="139" t="inlineStr">
        <is>
          <t xml:space="preserve"> שביט/אסידל פארם ת""""א ב.מ</t>
        </is>
      </c>
      <c r="E266" s="139" t="n">
        <v>35</v>
      </c>
      <c r="F266" s="140" t="n">
        <v>1747.1</v>
      </c>
      <c r="G266" s="139" t="n">
        <v>70</v>
      </c>
      <c r="H266" s="140" t="n">
        <v>2465.2</v>
      </c>
    </row>
    <row r="267" ht="15" customHeight="1" s="82">
      <c r="A267" s="139" t="inlineStr">
        <is>
          <t>חיים</t>
        </is>
      </c>
      <c r="B267" s="139">
        <f>IFERROR(INDEX($K$2:$K$5,MATCH(A267,$J$2:$J$5,0)),A267)</f>
        <v/>
      </c>
      <c r="C267" s="139" t="inlineStr">
        <is>
          <t>רוקחים עתיד</t>
        </is>
      </c>
      <c r="D267" s="139" t="inlineStr">
        <is>
          <t xml:space="preserve"> אסידל פארם בע""""מ</t>
        </is>
      </c>
      <c r="E267" s="139" t="n">
        <v>291</v>
      </c>
      <c r="F267" s="140" t="n">
        <v>11880.8</v>
      </c>
      <c r="G267" s="139" t="n">
        <v>362</v>
      </c>
      <c r="H267" s="140" t="n">
        <v>16682.4</v>
      </c>
    </row>
    <row r="268" ht="15" customHeight="1" s="82">
      <c r="A268" s="139" t="inlineStr">
        <is>
          <t>חיים</t>
        </is>
      </c>
      <c r="B268" s="139">
        <f>IFERROR(INDEX($K$2:$K$5,MATCH(A268,$J$2:$J$5,0)),A268)</f>
        <v/>
      </c>
      <c r="C268" s="139" t="inlineStr">
        <is>
          <t>רוקחים עתיד</t>
        </is>
      </c>
      <c r="D268" s="139" t="inlineStr">
        <is>
          <t xml:space="preserve"> גילי תל מונד ב.מ</t>
        </is>
      </c>
      <c r="E268" s="139" t="n">
        <v>320</v>
      </c>
      <c r="F268" s="140" t="n">
        <v>11781.9</v>
      </c>
      <c r="G268" s="139" t="n">
        <v>4</v>
      </c>
      <c r="H268" s="140" t="n">
        <v>703.3</v>
      </c>
    </row>
    <row r="269" ht="15" customHeight="1" s="82">
      <c r="A269" s="139" t="inlineStr">
        <is>
          <t>חאזם</t>
        </is>
      </c>
      <c r="B269" s="139">
        <f>IFERROR(INDEX($K$2:$K$5,MATCH(A269,$J$2:$J$5,0)),A269)</f>
        <v/>
      </c>
      <c r="C269" s="139" t="inlineStr">
        <is>
          <t>רוקחים עתיד</t>
        </is>
      </c>
      <c r="D269" s="139" t="inlineStr">
        <is>
          <t xml:space="preserve"> ד""""ר קיי פארם חדרה</t>
        </is>
      </c>
      <c r="E269" s="139" t="n">
        <v>219</v>
      </c>
      <c r="F269" s="140" t="n">
        <v>7408.2</v>
      </c>
      <c r="G269" s="139" t="n">
        <v>30</v>
      </c>
      <c r="H269" s="140" t="n">
        <v>1070.4</v>
      </c>
    </row>
    <row r="270" ht="15" customHeight="1" s="82">
      <c r="A270" s="139" t="inlineStr">
        <is>
          <t>חאזם</t>
        </is>
      </c>
      <c r="B270" s="139">
        <f>IFERROR(INDEX($K$2:$K$5,MATCH(A270,$J$2:$J$5,0)),A270)</f>
        <v/>
      </c>
      <c r="C270" s="139" t="inlineStr">
        <is>
          <t>רוקחים עתיד</t>
        </is>
      </c>
      <c r="D270" s="139" t="inlineStr">
        <is>
          <t xml:space="preserve"> בריאות הדר פ.חנה בע""""מ ב.מ</t>
        </is>
      </c>
      <c r="E270" s="139" t="n">
        <v>101</v>
      </c>
      <c r="F270" s="140" t="n">
        <v>3000</v>
      </c>
      <c r="G270" s="139" t="n">
        <v>3</v>
      </c>
      <c r="H270" s="140" t="n">
        <v>577.6</v>
      </c>
    </row>
    <row r="271" ht="15" customHeight="1" s="82">
      <c r="A271" s="139" t="inlineStr">
        <is>
          <t>חאזם</t>
        </is>
      </c>
      <c r="B271" s="139">
        <f>IFERROR(INDEX($K$2:$K$5,MATCH(A271,$J$2:$J$5,0)),A271)</f>
        <v/>
      </c>
      <c r="C271" s="139" t="inlineStr">
        <is>
          <t>רוקחים עתיד</t>
        </is>
      </c>
      <c r="D271" s="139" t="inlineStr">
        <is>
          <t xml:space="preserve"> הדר כרכור מרכז ב.מ</t>
        </is>
      </c>
      <c r="E271" s="139" t="n">
        <v>231</v>
      </c>
      <c r="F271" s="140" t="n">
        <v>7966.5</v>
      </c>
      <c r="G271" s="139" t="n">
        <v>91</v>
      </c>
      <c r="H271" s="140" t="n">
        <v>3349.3</v>
      </c>
    </row>
    <row r="272" ht="15" customHeight="1" s="82">
      <c r="A272" s="139" t="inlineStr">
        <is>
          <t>חאזם</t>
        </is>
      </c>
      <c r="B272" s="139">
        <f>IFERROR(INDEX($K$2:$K$5,MATCH(A272,$J$2:$J$5,0)),A272)</f>
        <v/>
      </c>
      <c r="C272" s="139" t="inlineStr">
        <is>
          <t>רוקחים עתיד</t>
        </is>
      </c>
      <c r="D272" s="139" t="inlineStr">
        <is>
          <t xml:space="preserve"> .קיסר פארם )ארט פארם( קיסריה ב</t>
        </is>
      </c>
      <c r="E272" s="139" t="n">
        <v>347</v>
      </c>
      <c r="F272" s="140" t="n">
        <v>12033.7</v>
      </c>
      <c r="G272" s="139" t="n">
        <v>120</v>
      </c>
      <c r="H272" s="140" t="n">
        <v>4741.3</v>
      </c>
    </row>
    <row r="273" ht="15" customHeight="1" s="82">
      <c r="A273" s="139" t="inlineStr">
        <is>
          <t>חאזם</t>
        </is>
      </c>
      <c r="B273" s="139">
        <f>IFERROR(INDEX($K$2:$K$5,MATCH(A273,$J$2:$J$5,0)),A273)</f>
        <v/>
      </c>
      <c r="C273" s="139" t="inlineStr">
        <is>
          <t>רוקחים עתיד</t>
        </is>
      </c>
      <c r="D273" s="139" t="inlineStr">
        <is>
          <t xml:space="preserve"> רווא פארם חדרה בע""""מ חדרה</t>
        </is>
      </c>
      <c r="E273" s="139" t="n">
        <v>60</v>
      </c>
      <c r="F273" s="140" t="n">
        <v>2893.1</v>
      </c>
      <c r="G273" s="139" t="n">
        <v>5</v>
      </c>
      <c r="H273" s="140" t="n">
        <v>249.1</v>
      </c>
    </row>
    <row r="274" ht="15" customHeight="1" s="82">
      <c r="A274" s="139" t="inlineStr">
        <is>
          <t>דוד</t>
        </is>
      </c>
      <c r="B274" s="139">
        <f>IFERROR(INDEX($K$2:$K$5,MATCH(A274,$J$2:$J$5,0)),A274)</f>
        <v/>
      </c>
      <c r="C274" s="139" t="inlineStr">
        <is>
          <t>רוקחים עתיד</t>
        </is>
      </c>
      <c r="D274" s="139" t="inlineStr">
        <is>
          <t xml:space="preserve"> 2010 פארם קניון כסייפה יוני</t>
        </is>
      </c>
      <c r="E274" s="139" t="n">
        <v>262</v>
      </c>
      <c r="F274" s="140" t="n">
        <v>11116.4</v>
      </c>
      <c r="G274" s="139" t="n">
        <v>261</v>
      </c>
      <c r="H274" s="140" t="n">
        <v>10794.1</v>
      </c>
    </row>
    <row r="275" ht="15" customHeight="1" s="82">
      <c r="A275" s="139" t="inlineStr">
        <is>
          <t>סטאס</t>
        </is>
      </c>
      <c r="B275" s="139">
        <f>IFERROR(INDEX($K$2:$K$5,MATCH(A275,$J$2:$J$5,0)),A275)</f>
        <v/>
      </c>
      <c r="C275" s="139" t="inlineStr">
        <is>
          <t>רוקחים עתיד</t>
        </is>
      </c>
      <c r="D275" s="139" t="inlineStr">
        <is>
          <t xml:space="preserve"> קליניק פארם ב.מ. חורה</t>
        </is>
      </c>
      <c r="E275" s="139" t="n">
        <v>28</v>
      </c>
      <c r="F275" s="140" t="n">
        <v>3685.3</v>
      </c>
      <c r="G275" s="139" t="n">
        <v>7</v>
      </c>
      <c r="H275" s="140" t="n">
        <v>982.2</v>
      </c>
    </row>
    <row r="276" ht="15" customHeight="1" s="82">
      <c r="A276" s="139" t="inlineStr">
        <is>
          <t>דוד</t>
        </is>
      </c>
      <c r="B276" s="139">
        <f>IFERROR(INDEX($K$2:$K$5,MATCH(A276,$J$2:$J$5,0)),A276)</f>
        <v/>
      </c>
      <c r="C276" s="139" t="inlineStr">
        <is>
          <t>רוקחים עתיד</t>
        </is>
      </c>
      <c r="D276" s="139" t="inlineStr">
        <is>
          <t xml:space="preserve"> אפרת פארם ב.מ</t>
        </is>
      </c>
      <c r="E276" s="139" t="n">
        <v>67</v>
      </c>
      <c r="F276" s="140" t="n">
        <v>3450</v>
      </c>
      <c r="G276" s="139" t="n">
        <v>153</v>
      </c>
      <c r="H276" s="140" t="n">
        <v>6130.8</v>
      </c>
    </row>
    <row r="277" ht="15" customHeight="1" s="82">
      <c r="A277" s="139" t="inlineStr">
        <is>
          <t>דוד</t>
        </is>
      </c>
      <c r="B277" s="139">
        <f>IFERROR(INDEX($K$2:$K$5,MATCH(A277,$J$2:$J$5,0)),A277)</f>
        <v/>
      </c>
      <c r="C277" s="139" t="inlineStr">
        <is>
          <t>רוקחים עתיד</t>
        </is>
      </c>
      <c r="D277" s="139" t="inlineStr">
        <is>
          <t xml:space="preserve"> .רפאל-שפע פארם י-ם ב.מ</t>
        </is>
      </c>
      <c r="E277" s="139" t="n">
        <v>1390</v>
      </c>
      <c r="F277" s="140" t="n">
        <v>36417.7</v>
      </c>
      <c r="G277" s="139" t="n">
        <v>1087</v>
      </c>
      <c r="H277" s="140" t="n">
        <v>28497.2</v>
      </c>
    </row>
    <row r="278" ht="15" customHeight="1" s="82">
      <c r="A278" s="139" t="inlineStr">
        <is>
          <t>סטאס</t>
        </is>
      </c>
      <c r="B278" s="139">
        <f>IFERROR(INDEX($K$2:$K$5,MATCH(A278,$J$2:$J$5,0)),A278)</f>
        <v/>
      </c>
      <c r="C278" s="139" t="inlineStr">
        <is>
          <t>רוקחים עתיד</t>
        </is>
      </c>
      <c r="D278" s="139" t="inlineStr">
        <is>
          <t xml:space="preserve"> סניטס לוד ב.מ</t>
        </is>
      </c>
      <c r="E278" s="139" t="n">
        <v>8</v>
      </c>
      <c r="F278" s="140" t="n">
        <v>227.6</v>
      </c>
      <c r="G278" s="139" t="n">
        <v>0</v>
      </c>
      <c r="H278" s="140" t="n">
        <v>0</v>
      </c>
    </row>
    <row r="279" ht="15" customHeight="1" s="82">
      <c r="A279" s="139" t="inlineStr">
        <is>
          <t>סטאס</t>
        </is>
      </c>
      <c r="B279" s="139">
        <f>IFERROR(INDEX($K$2:$K$5,MATCH(A279,$J$2:$J$5,0)),A279)</f>
        <v/>
      </c>
      <c r="C279" s="139" t="inlineStr">
        <is>
          <t>רוקחים עתיד</t>
        </is>
      </c>
      <c r="D279" s="139" t="inlineStr">
        <is>
          <t xml:space="preserve"> פארמה סטייל חדש לוד</t>
        </is>
      </c>
      <c r="E279" s="139" t="n">
        <v>33</v>
      </c>
      <c r="F279" s="140" t="n">
        <v>1031.5</v>
      </c>
      <c r="G279" s="139" t="n">
        <v>9</v>
      </c>
      <c r="H279" s="140" t="n">
        <v>458</v>
      </c>
    </row>
    <row r="280" ht="15" customHeight="1" s="82">
      <c r="A280" s="139" t="inlineStr">
        <is>
          <t>חיים</t>
        </is>
      </c>
      <c r="B280" s="139">
        <f>IFERROR(INDEX($K$2:$K$5,MATCH(A280,$J$2:$J$5,0)),A280)</f>
        <v/>
      </c>
      <c r="C280" s="139" t="inlineStr">
        <is>
          <t>רוקחים עתיד</t>
        </is>
      </c>
      <c r="D280" s="139" t="inlineStr">
        <is>
          <t xml:space="preserve"> בכפר כפר יונה בית מרקחת</t>
        </is>
      </c>
      <c r="E280" s="139" t="n">
        <v>86</v>
      </c>
      <c r="F280" s="140" t="n">
        <v>2922.5</v>
      </c>
      <c r="G280" s="139" t="n">
        <v>64</v>
      </c>
      <c r="H280" s="140" t="n">
        <v>2546.8</v>
      </c>
    </row>
    <row r="281" ht="15" customHeight="1" s="82">
      <c r="A281" s="139" t="inlineStr">
        <is>
          <t>סטאס</t>
        </is>
      </c>
      <c r="B281" s="139">
        <f>IFERROR(INDEX($K$2:$K$5,MATCH(A281,$J$2:$J$5,0)),A281)</f>
        <v/>
      </c>
      <c r="C281" s="139" t="inlineStr">
        <is>
          <t>רוקחים עתיד</t>
        </is>
      </c>
      <c r="D281" s="139" t="inlineStr">
        <is>
          <t xml:space="preserve"> מדיקה מסארווה ב.מ</t>
        </is>
      </c>
      <c r="E281" s="139" t="n">
        <v>34</v>
      </c>
      <c r="F281" s="140" t="n">
        <v>1305.2</v>
      </c>
      <c r="G281" s="139" t="n">
        <v>0</v>
      </c>
      <c r="H281" s="140" t="n">
        <v>0</v>
      </c>
    </row>
    <row r="282" ht="15" customHeight="1" s="82">
      <c r="A282" s="139" t="inlineStr">
        <is>
          <t>חיים</t>
        </is>
      </c>
      <c r="B282" s="139">
        <f>IFERROR(INDEX($K$2:$K$5,MATCH(A282,$J$2:$J$5,0)),A282)</f>
        <v/>
      </c>
      <c r="C282" s="139" t="inlineStr">
        <is>
          <t>רוקחים עתיד</t>
        </is>
      </c>
      <c r="D282" s="139" t="inlineStr">
        <is>
          <t xml:space="preserve"> פארמה פירסט ראשל""""צ ב.מ</t>
        </is>
      </c>
      <c r="E282" s="139" t="n">
        <v>375</v>
      </c>
      <c r="F282" s="140" t="n">
        <v>14638.9</v>
      </c>
      <c r="G282" s="139" t="n">
        <v>215</v>
      </c>
      <c r="H282" s="140" t="n">
        <v>10007.3</v>
      </c>
    </row>
    <row r="283" ht="15" customHeight="1" s="82">
      <c r="A283" s="139" t="inlineStr">
        <is>
          <t>חיים</t>
        </is>
      </c>
      <c r="B283" s="139">
        <f>IFERROR(INDEX($K$2:$K$5,MATCH(A283,$J$2:$J$5,0)),A283)</f>
        <v/>
      </c>
      <c r="C283" s="139" t="inlineStr">
        <is>
          <t>רוקחים עתיד</t>
        </is>
      </c>
      <c r="D283" s="139" t="inlineStr">
        <is>
          <t xml:space="preserve"> ישגב ב.מ תל אביב</t>
        </is>
      </c>
      <c r="E283" s="139" t="n">
        <v>226</v>
      </c>
      <c r="F283" s="140" t="n">
        <v>9442.5</v>
      </c>
      <c r="G283" s="139" t="n">
        <v>107</v>
      </c>
      <c r="H283" s="140" t="n">
        <v>4021.2</v>
      </c>
    </row>
    <row r="284" ht="15" customHeight="1" s="82">
      <c r="A284" s="139" t="inlineStr">
        <is>
          <t>חיים</t>
        </is>
      </c>
      <c r="B284" s="139">
        <f>IFERROR(INDEX($K$2:$K$5,MATCH(A284,$J$2:$J$5,0)),A284)</f>
        <v/>
      </c>
      <c r="C284" s="139" t="inlineStr">
        <is>
          <t>רוקחים עתיד</t>
        </is>
      </c>
      <c r="D284" s="139" t="inlineStr">
        <is>
          <t xml:space="preserve"> גבעול כוכב הצפון ב.מ</t>
        </is>
      </c>
      <c r="E284" s="139" t="n">
        <v>195</v>
      </c>
      <c r="F284" s="140" t="n">
        <v>7439.9</v>
      </c>
      <c r="G284" s="139" t="n">
        <v>185</v>
      </c>
      <c r="H284" s="140" t="n">
        <v>7703.1</v>
      </c>
    </row>
    <row r="285" ht="15" customHeight="1" s="82">
      <c r="A285" s="139" t="inlineStr">
        <is>
          <t>חאזם</t>
        </is>
      </c>
      <c r="B285" s="139">
        <f>IFERROR(INDEX($K$2:$K$5,MATCH(A285,$J$2:$J$5,0)),A285)</f>
        <v/>
      </c>
      <c r="C285" s="139" t="inlineStr">
        <is>
          <t>רוקחים עתיד</t>
        </is>
      </c>
      <c r="D285" s="139" t="inlineStr">
        <is>
          <t xml:space="preserve"> נוה שאנן ב.מ-בלטנר את דויטשמן</t>
        </is>
      </c>
      <c r="E285" s="139" t="n">
        <v>0</v>
      </c>
      <c r="F285" s="140" t="n">
        <v>0</v>
      </c>
      <c r="G285" s="139" t="n">
        <v>16</v>
      </c>
      <c r="H285" s="140" t="n">
        <v>275.8</v>
      </c>
    </row>
    <row r="286" ht="15" customHeight="1" s="82">
      <c r="A286" s="139" t="inlineStr">
        <is>
          <t>דוד</t>
        </is>
      </c>
      <c r="B286" s="139">
        <f>IFERROR(INDEX($K$2:$K$5,MATCH(A286,$J$2:$J$5,0)),A286)</f>
        <v/>
      </c>
      <c r="C286" s="139" t="inlineStr">
        <is>
          <t>רוקחים עתיד</t>
        </is>
      </c>
      <c r="D286" s="139" t="inlineStr">
        <is>
          <t xml:space="preserve"> היפר גרין פארם)רח' כינרת( אשדו</t>
        </is>
      </c>
      <c r="E286" s="139" t="n">
        <v>2</v>
      </c>
      <c r="F286" s="140" t="n">
        <v>120</v>
      </c>
      <c r="G286" s="139" t="n">
        <v>0</v>
      </c>
      <c r="H286" s="140" t="n">
        <v>0</v>
      </c>
    </row>
    <row r="287" ht="15" customHeight="1" s="82">
      <c r="A287" s="139" t="inlineStr">
        <is>
          <t>דוד</t>
        </is>
      </c>
      <c r="B287" s="139">
        <f>IFERROR(INDEX($K$2:$K$5,MATCH(A287,$J$2:$J$5,0)),A287)</f>
        <v/>
      </c>
      <c r="C287" s="139" t="inlineStr">
        <is>
          <t>רוקחים עתיד</t>
        </is>
      </c>
      <c r="D287" s="139" t="inlineStr">
        <is>
          <t xml:space="preserve"> היפר גרין פארם )שבט לוי( אשדוד</t>
        </is>
      </c>
      <c r="E287" s="139" t="n">
        <v>2</v>
      </c>
      <c r="F287" s="140" t="n">
        <v>120</v>
      </c>
      <c r="G287" s="139" t="n">
        <v>48</v>
      </c>
      <c r="H287" s="140" t="n">
        <v>960.8</v>
      </c>
    </row>
    <row r="288" ht="15" customHeight="1" s="82">
      <c r="A288" s="139" t="inlineStr">
        <is>
          <t>סטאס</t>
        </is>
      </c>
      <c r="B288" s="139">
        <f>IFERROR(INDEX($K$2:$K$5,MATCH(A288,$J$2:$J$5,0)),A288)</f>
        <v/>
      </c>
      <c r="C288" s="139" t="inlineStr">
        <is>
          <t>רוקחים עתיד</t>
        </is>
      </c>
      <c r="D288" s="139" t="inlineStr">
        <is>
          <t xml:space="preserve"> א.מ.גרין פארמסי ערוער ב.מ</t>
        </is>
      </c>
      <c r="E288" s="139" t="n">
        <v>20</v>
      </c>
      <c r="F288" s="140" t="n">
        <v>1200</v>
      </c>
      <c r="G288" s="139" t="n">
        <v>0</v>
      </c>
      <c r="H288" s="140" t="n">
        <v>0</v>
      </c>
    </row>
    <row r="289" ht="15" customHeight="1" s="82">
      <c r="A289" s="139" t="inlineStr">
        <is>
          <t>סטאס</t>
        </is>
      </c>
      <c r="B289" s="139">
        <f>IFERROR(INDEX($K$2:$K$5,MATCH(A289,$J$2:$J$5,0)),A289)</f>
        <v/>
      </c>
      <c r="C289" s="139" t="inlineStr">
        <is>
          <t>רוקחים עתיד</t>
        </is>
      </c>
      <c r="D289" s="139" t="inlineStr">
        <is>
          <t xml:space="preserve"> פארמה פלוס ב.מ שגב שלום</t>
        </is>
      </c>
      <c r="E289" s="139" t="n">
        <v>14</v>
      </c>
      <c r="F289" s="140" t="n">
        <v>915.6</v>
      </c>
      <c r="G289" s="139" t="n">
        <v>10</v>
      </c>
      <c r="H289" s="140" t="n">
        <v>796.3</v>
      </c>
    </row>
    <row r="290" ht="15" customHeight="1" s="82">
      <c r="A290" s="139" t="inlineStr">
        <is>
          <t>סטאס</t>
        </is>
      </c>
      <c r="B290" s="139">
        <f>IFERROR(INDEX($K$2:$K$5,MATCH(A290,$J$2:$J$5,0)),A290)</f>
        <v/>
      </c>
      <c r="C290" s="139" t="inlineStr">
        <is>
          <t>רוקחים עתיד</t>
        </is>
      </c>
      <c r="D290" s="139" t="inlineStr">
        <is>
          <t xml:space="preserve"> פרמאנייס בע""""מ רהט</t>
        </is>
      </c>
      <c r="E290" s="139" t="n">
        <v>201</v>
      </c>
      <c r="F290" s="140" t="n">
        <v>9888</v>
      </c>
      <c r="G290" s="139" t="n">
        <v>143</v>
      </c>
      <c r="H290" s="140" t="n">
        <v>6040.4</v>
      </c>
    </row>
    <row r="291" ht="15" customHeight="1" s="82">
      <c r="A291" s="139" t="inlineStr">
        <is>
          <t>סטאס</t>
        </is>
      </c>
      <c r="B291" s="139">
        <f>IFERROR(INDEX($K$2:$K$5,MATCH(A291,$J$2:$J$5,0)),A291)</f>
        <v/>
      </c>
      <c r="C291" s="139" t="inlineStr">
        <is>
          <t>רוקחים עתיד</t>
        </is>
      </c>
      <c r="D291" s="139" t="inlineStr">
        <is>
          <t xml:space="preserve"> רמת הנשיא בת ים ב.מ</t>
        </is>
      </c>
      <c r="E291" s="139" t="n">
        <v>4</v>
      </c>
      <c r="F291" s="140" t="n">
        <v>168.5</v>
      </c>
      <c r="G291" s="139" t="n">
        <v>32</v>
      </c>
      <c r="H291" s="140" t="n">
        <v>966.9</v>
      </c>
    </row>
    <row r="292" ht="15" customHeight="1" s="82">
      <c r="A292" s="139" t="inlineStr">
        <is>
          <t>חאזם</t>
        </is>
      </c>
      <c r="B292" s="139">
        <f>IFERROR(INDEX($K$2:$K$5,MATCH(A292,$J$2:$J$5,0)),A292)</f>
        <v/>
      </c>
      <c r="C292" s="139" t="inlineStr">
        <is>
          <t>רוקחים עתיד</t>
        </is>
      </c>
      <c r="D292" s="139" t="inlineStr">
        <is>
          <t xml:space="preserve"> בריאות עמידר נהריה ב.מ</t>
        </is>
      </c>
      <c r="E292" s="139" t="n">
        <v>264</v>
      </c>
      <c r="F292" s="140" t="n">
        <v>8974.700000000001</v>
      </c>
      <c r="G292" s="139" t="n">
        <v>108</v>
      </c>
      <c r="H292" s="140" t="n">
        <v>3378.3</v>
      </c>
    </row>
    <row r="293" ht="15" customHeight="1" s="82">
      <c r="A293" s="139" t="inlineStr">
        <is>
          <t>חאזם</t>
        </is>
      </c>
      <c r="B293" s="139">
        <f>IFERROR(INDEX($K$2:$K$5,MATCH(A293,$J$2:$J$5,0)),A293)</f>
        <v/>
      </c>
      <c r="C293" s="139" t="inlineStr">
        <is>
          <t>רוקחים עתיד</t>
        </is>
      </c>
      <c r="D293" s="139" t="inlineStr">
        <is>
          <t xml:space="preserve"> ב.מ I GREEN 12 איי גרין</t>
        </is>
      </c>
      <c r="E293" s="139" t="n">
        <v>599</v>
      </c>
      <c r="F293" s="140" t="n">
        <v>24436.5</v>
      </c>
      <c r="G293" s="139" t="n">
        <v>358</v>
      </c>
      <c r="H293" s="140" t="n">
        <v>15406.3</v>
      </c>
    </row>
    <row r="294" ht="15" customHeight="1" s="82">
      <c r="A294" s="139" t="inlineStr">
        <is>
          <t>חאזם</t>
        </is>
      </c>
      <c r="B294" s="139">
        <f>IFERROR(INDEX($K$2:$K$5,MATCH(A294,$J$2:$J$5,0)),A294)</f>
        <v/>
      </c>
      <c r="C294" s="139" t="inlineStr">
        <is>
          <t>רוקחים עתיד</t>
        </is>
      </c>
      <c r="D294" s="139" t="inlineStr">
        <is>
          <t xml:space="preserve"> ישי פארם ב.מ. רמת ישי</t>
        </is>
      </c>
      <c r="E294" s="139" t="n">
        <v>119</v>
      </c>
      <c r="F294" s="140" t="n">
        <v>4488</v>
      </c>
      <c r="G294" s="139" t="n">
        <v>24</v>
      </c>
      <c r="H294" s="140" t="n">
        <v>1459.4</v>
      </c>
    </row>
    <row r="295" ht="15" customHeight="1" s="82">
      <c r="A295" s="139" t="inlineStr">
        <is>
          <t>חאזם</t>
        </is>
      </c>
      <c r="B295" s="139">
        <f>IFERROR(INDEX($K$2:$K$5,MATCH(A295,$J$2:$J$5,0)),A295)</f>
        <v/>
      </c>
      <c r="C295" s="139" t="inlineStr">
        <is>
          <t>רוקחים עתיד</t>
        </is>
      </c>
      <c r="D295" s="139" t="inlineStr">
        <is>
          <t xml:space="preserve"> קנגרין מדיקל בע""""מ ב.מ חיפה</t>
        </is>
      </c>
      <c r="E295" s="139" t="n">
        <v>165</v>
      </c>
      <c r="F295" s="140" t="n">
        <v>6236.9</v>
      </c>
      <c r="G295" s="139" t="n">
        <v>16</v>
      </c>
      <c r="H295" s="140" t="n">
        <v>877.6</v>
      </c>
    </row>
    <row r="296" ht="15" customHeight="1" s="82">
      <c r="A296" s="139" t="inlineStr">
        <is>
          <t>חאזם</t>
        </is>
      </c>
      <c r="B296" s="139">
        <f>IFERROR(INDEX($K$2:$K$5,MATCH(A296,$J$2:$J$5,0)),A296)</f>
        <v/>
      </c>
      <c r="C296" s="139" t="inlineStr">
        <is>
          <t>רוקחים עתיד</t>
        </is>
      </c>
      <c r="D296" s="139" t="inlineStr">
        <is>
          <t xml:space="preserve"> .קלאב פארם שלי בנימינה ב.מ</t>
        </is>
      </c>
      <c r="E296" s="139" t="n">
        <v>252</v>
      </c>
      <c r="F296" s="140" t="n">
        <v>8567.4</v>
      </c>
      <c r="G296" s="139" t="n">
        <v>214</v>
      </c>
      <c r="H296" s="140" t="n">
        <v>7943.3</v>
      </c>
    </row>
    <row r="297" ht="15" customHeight="1" s="82">
      <c r="A297" s="139" t="inlineStr">
        <is>
          <t>חאזם</t>
        </is>
      </c>
      <c r="B297" s="139">
        <f>IFERROR(INDEX($K$2:$K$5,MATCH(A297,$J$2:$J$5,0)),A297)</f>
        <v/>
      </c>
      <c r="C297" s="139" t="inlineStr">
        <is>
          <t>רוקחים עתיד</t>
        </is>
      </c>
      <c r="D297" s="139" t="inlineStr">
        <is>
          <t xml:space="preserve"> בריאות שלומי עבד לוטף ב.מ</t>
        </is>
      </c>
      <c r="E297" s="139" t="n">
        <v>33</v>
      </c>
      <c r="F297" s="140" t="n">
        <v>768.9</v>
      </c>
      <c r="G297" s="139" t="n">
        <v>11</v>
      </c>
      <c r="H297" s="140" t="n">
        <v>375.7</v>
      </c>
    </row>
    <row r="298" ht="15" customHeight="1" s="82">
      <c r="A298" s="139" t="inlineStr">
        <is>
          <t>דוד</t>
        </is>
      </c>
      <c r="B298" s="139">
        <f>IFERROR(INDEX($K$2:$K$5,MATCH(A298,$J$2:$J$5,0)),A298)</f>
        <v/>
      </c>
      <c r="C298" s="139" t="inlineStr">
        <is>
          <t>רשת ירושלים</t>
        </is>
      </c>
      <c r="D298" s="139" t="inlineStr">
        <is>
          <t xml:space="preserve"> ירושלים ב.מ</t>
        </is>
      </c>
      <c r="E298" s="139" t="n">
        <v>-6</v>
      </c>
      <c r="F298" s="140" t="n">
        <v>-181.7</v>
      </c>
      <c r="G298" s="139" t="n">
        <v>0</v>
      </c>
      <c r="H298" s="140" t="n">
        <v>0</v>
      </c>
    </row>
    <row r="299" ht="15" customHeight="1" s="82">
      <c r="A299" s="139" t="inlineStr">
        <is>
          <t>דוד</t>
        </is>
      </c>
      <c r="B299" s="139">
        <f>IFERROR(INDEX($K$2:$K$5,MATCH(A299,$J$2:$J$5,0)),A299)</f>
        <v/>
      </c>
      <c r="C299" s="139" t="inlineStr">
        <is>
          <t>רשת ירושלים</t>
        </is>
      </c>
      <c r="D299" s="139" t="inlineStr">
        <is>
          <t xml:space="preserve"> רמת שלמה פארם בע""""מ י-ם ב.מ</t>
        </is>
      </c>
      <c r="E299" s="139" t="n">
        <v>1</v>
      </c>
      <c r="F299" s="140" t="n">
        <v>28.1</v>
      </c>
      <c r="G299" s="139" t="n">
        <v>45</v>
      </c>
      <c r="H299" s="140" t="n">
        <v>1338.5</v>
      </c>
    </row>
    <row r="300" ht="15" customHeight="1" s="82">
      <c r="A300" s="139" t="inlineStr">
        <is>
          <t>דוד</t>
        </is>
      </c>
      <c r="B300" s="139">
        <f>IFERROR(INDEX($K$2:$K$5,MATCH(A300,$J$2:$J$5,0)),A300)</f>
        <v/>
      </c>
      <c r="C300" s="139" t="inlineStr">
        <is>
          <t>רשת ירושלים</t>
        </is>
      </c>
      <c r="D300" s="139" t="inlineStr">
        <is>
          <t xml:space="preserve"> ברודר ב.שמש ב.מ</t>
        </is>
      </c>
      <c r="E300" s="139" t="n">
        <v>16</v>
      </c>
      <c r="F300" s="140" t="n">
        <v>495.5</v>
      </c>
      <c r="G300" s="139" t="n">
        <v>3</v>
      </c>
      <c r="H300" s="140" t="n">
        <v>75.8</v>
      </c>
    </row>
    <row r="301" ht="15" customHeight="1" s="82">
      <c r="A301" s="139" t="inlineStr">
        <is>
          <t>דוד</t>
        </is>
      </c>
      <c r="B301" s="139">
        <f>IFERROR(INDEX($K$2:$K$5,MATCH(A301,$J$2:$J$5,0)),A301)</f>
        <v/>
      </c>
      <c r="C301" s="139" t="inlineStr">
        <is>
          <t>רשת ירושלים</t>
        </is>
      </c>
      <c r="D301" s="139" t="inlineStr">
        <is>
          <t xml:space="preserve"> בקשי מחנה יהודה י-ם ב.מ</t>
        </is>
      </c>
      <c r="E301" s="139" t="n">
        <v>268</v>
      </c>
      <c r="F301" s="140" t="n">
        <v>7083.1</v>
      </c>
      <c r="G301" s="139" t="n">
        <v>201</v>
      </c>
      <c r="H301" s="140" t="n">
        <v>6113.5</v>
      </c>
    </row>
    <row r="302" ht="15" customHeight="1" s="82">
      <c r="A302" s="139" t="inlineStr">
        <is>
          <t>דוד</t>
        </is>
      </c>
      <c r="B302" s="139">
        <f>IFERROR(INDEX($K$2:$K$5,MATCH(A302,$J$2:$J$5,0)),A302)</f>
        <v/>
      </c>
      <c r="C302" s="139" t="inlineStr">
        <is>
          <t>רשת ירושלים</t>
        </is>
      </c>
      <c r="D302" s="139" t="inlineStr">
        <is>
          <t xml:space="preserve"> גאולה י-ם ב.מ</t>
        </is>
      </c>
      <c r="E302" s="139" t="n">
        <v>1023</v>
      </c>
      <c r="F302" s="140" t="n">
        <v>30059.5</v>
      </c>
      <c r="G302" s="139" t="n">
        <v>860</v>
      </c>
      <c r="H302" s="140" t="n">
        <v>23299.4</v>
      </c>
    </row>
    <row r="303" ht="15" customHeight="1" s="82">
      <c r="A303" s="139" t="inlineStr">
        <is>
          <t>דוד</t>
        </is>
      </c>
      <c r="B303" s="139">
        <f>IFERROR(INDEX($K$2:$K$5,MATCH(A303,$J$2:$J$5,0)),A303)</f>
        <v/>
      </c>
      <c r="C303" s="139" t="inlineStr">
        <is>
          <t>רשת ירושלים</t>
        </is>
      </c>
      <c r="D303" s="139" t="inlineStr">
        <is>
          <t xml:space="preserve"> גבעת זאב י-ם ב.מ</t>
        </is>
      </c>
      <c r="E303" s="139" t="n">
        <v>212</v>
      </c>
      <c r="F303" s="140" t="n">
        <v>9444</v>
      </c>
      <c r="G303" s="139" t="n">
        <v>115</v>
      </c>
      <c r="H303" s="140" t="n">
        <v>5997.2</v>
      </c>
    </row>
    <row r="304" ht="15" customHeight="1" s="82">
      <c r="A304" s="139" t="inlineStr">
        <is>
          <t>דוד</t>
        </is>
      </c>
      <c r="B304" s="139">
        <f>IFERROR(INDEX($K$2:$K$5,MATCH(A304,$J$2:$J$5,0)),A304)</f>
        <v/>
      </c>
      <c r="C304" s="139" t="inlineStr">
        <is>
          <t>רשת ירושלים</t>
        </is>
      </c>
      <c r="D304" s="139" t="inlineStr">
        <is>
          <t xml:space="preserve"> גבעת שאול ב.מ-מדי פלוס בע""""מ</t>
        </is>
      </c>
      <c r="E304" s="139" t="n">
        <v>362</v>
      </c>
      <c r="F304" s="140" t="n">
        <v>8944.6</v>
      </c>
      <c r="G304" s="139" t="n">
        <v>281</v>
      </c>
      <c r="H304" s="140" t="n">
        <v>6197.8</v>
      </c>
    </row>
    <row r="305" ht="15" customHeight="1" s="82">
      <c r="A305" s="139" t="inlineStr">
        <is>
          <t>דוד</t>
        </is>
      </c>
      <c r="B305" s="139">
        <f>IFERROR(INDEX($K$2:$K$5,MATCH(A305,$J$2:$J$5,0)),A305)</f>
        <v/>
      </c>
      <c r="C305" s="139" t="inlineStr">
        <is>
          <t>רשת ירושלים</t>
        </is>
      </c>
      <c r="D305" s="139" t="inlineStr">
        <is>
          <t xml:space="preserve"> אורנים פארם ירושלים ב.מ</t>
        </is>
      </c>
      <c r="E305" s="139" t="n">
        <v>506</v>
      </c>
      <c r="F305" s="140" t="n">
        <v>13503.9</v>
      </c>
      <c r="G305" s="139" t="n">
        <v>346</v>
      </c>
      <c r="H305" s="140" t="n">
        <v>9183.200000000001</v>
      </c>
    </row>
    <row r="306" ht="15" customHeight="1" s="82">
      <c r="A306" s="139" t="inlineStr">
        <is>
          <t>דוד</t>
        </is>
      </c>
      <c r="B306" s="139">
        <f>IFERROR(INDEX($K$2:$K$5,MATCH(A306,$J$2:$J$5,0)),A306)</f>
        <v/>
      </c>
      <c r="C306" s="139" t="inlineStr">
        <is>
          <t>רשת ירושלים</t>
        </is>
      </c>
      <c r="D306" s="139" t="inlineStr">
        <is>
          <t xml:space="preserve"> מזור י-ם ב.מ</t>
        </is>
      </c>
      <c r="E306" s="139" t="n">
        <v>46</v>
      </c>
      <c r="F306" s="140" t="n">
        <v>1323.1</v>
      </c>
      <c r="G306" s="139" t="n">
        <v>33</v>
      </c>
      <c r="H306" s="140" t="n">
        <v>805.4</v>
      </c>
    </row>
    <row r="307" ht="15" customHeight="1" s="82">
      <c r="A307" s="139" t="inlineStr">
        <is>
          <t>דוד</t>
        </is>
      </c>
      <c r="B307" s="139">
        <f>IFERROR(INDEX($K$2:$K$5,MATCH(A307,$J$2:$J$5,0)),A307)</f>
        <v/>
      </c>
      <c r="C307" s="139" t="inlineStr">
        <is>
          <t>רשת ירושלים</t>
        </is>
      </c>
      <c r="D307" s="139" t="inlineStr">
        <is>
          <t xml:space="preserve"> ב.מ סנהדריה מדי פלוס</t>
        </is>
      </c>
      <c r="E307" s="139" t="n">
        <v>299</v>
      </c>
      <c r="F307" s="140" t="n">
        <v>9339</v>
      </c>
      <c r="G307" s="139" t="n">
        <v>184</v>
      </c>
      <c r="H307" s="140" t="n">
        <v>5779.5</v>
      </c>
    </row>
    <row r="308" ht="15" customHeight="1" s="82">
      <c r="A308" s="139" t="inlineStr">
        <is>
          <t>דוד</t>
        </is>
      </c>
      <c r="B308" s="139">
        <f>IFERROR(INDEX($K$2:$K$5,MATCH(A308,$J$2:$J$5,0)),A308)</f>
        <v/>
      </c>
      <c r="C308" s="139" t="inlineStr">
        <is>
          <t>רשת ירושלים</t>
        </is>
      </c>
      <c r="D308" s="139" t="inlineStr">
        <is>
          <t xml:space="preserve"> עוזיאל י-ם ב.מ</t>
        </is>
      </c>
      <c r="E308" s="139" t="n">
        <v>263</v>
      </c>
      <c r="F308" s="140" t="n">
        <v>6565.3</v>
      </c>
      <c r="G308" s="139" t="n">
        <v>175</v>
      </c>
      <c r="H308" s="140" t="n">
        <v>5634.5</v>
      </c>
    </row>
    <row r="309" ht="15" customHeight="1" s="82">
      <c r="A309" s="139" t="inlineStr">
        <is>
          <t>דוד</t>
        </is>
      </c>
      <c r="B309" s="139">
        <f>IFERROR(INDEX($K$2:$K$5,MATCH(A309,$J$2:$J$5,0)),A309)</f>
        <v/>
      </c>
      <c r="C309" s="139" t="inlineStr">
        <is>
          <t>רשת ירושלים</t>
        </is>
      </c>
      <c r="D309" s="139" t="inlineStr">
        <is>
          <t xml:space="preserve"> 01.10 ב.מ.פארמה שאול בע""""מ</t>
        </is>
      </c>
      <c r="E309" s="139" t="n">
        <v>102</v>
      </c>
      <c r="F309" s="140" t="n">
        <v>3288.4</v>
      </c>
      <c r="G309" s="139" t="n">
        <v>67</v>
      </c>
      <c r="H309" s="140" t="n">
        <v>1944.3</v>
      </c>
    </row>
    <row r="310" ht="15" customHeight="1" s="82">
      <c r="A310" s="139" t="inlineStr">
        <is>
          <t>דוד</t>
        </is>
      </c>
      <c r="B310" s="139">
        <f>IFERROR(INDEX($K$2:$K$5,MATCH(A310,$J$2:$J$5,0)),A310)</f>
        <v/>
      </c>
      <c r="C310" s="139" t="inlineStr">
        <is>
          <t>רשת ירושלים</t>
        </is>
      </c>
      <c r="D310" s="139" t="inlineStr">
        <is>
          <t xml:space="preserve"> מני י-ם ב.מ חדש</t>
        </is>
      </c>
      <c r="E310" s="139" t="n">
        <v>2</v>
      </c>
      <c r="F310" s="140" t="n">
        <v>29</v>
      </c>
      <c r="G310" s="139" t="n">
        <v>0</v>
      </c>
      <c r="H310" s="140" t="n">
        <v>0</v>
      </c>
    </row>
    <row r="311" ht="15" customHeight="1" s="82">
      <c r="A311" s="139" t="inlineStr">
        <is>
          <t>דוד</t>
        </is>
      </c>
      <c r="B311" s="139">
        <f>IFERROR(INDEX($K$2:$K$5,MATCH(A311,$J$2:$J$5,0)),A311)</f>
        <v/>
      </c>
      <c r="C311" s="139" t="inlineStr">
        <is>
          <t>רשת ירושלים</t>
        </is>
      </c>
      <c r="D311" s="139" t="inlineStr">
        <is>
          <t xml:space="preserve"> הר הזיתים ב.מ</t>
        </is>
      </c>
      <c r="E311" s="139" t="n">
        <v>86</v>
      </c>
      <c r="F311" s="140" t="n">
        <v>4611.2</v>
      </c>
      <c r="G311" s="139" t="n">
        <v>69</v>
      </c>
      <c r="H311" s="140" t="n">
        <v>4022.4</v>
      </c>
    </row>
    <row r="312" ht="15" customHeight="1" s="82">
      <c r="A312" s="139" t="inlineStr">
        <is>
          <t>דוד</t>
        </is>
      </c>
      <c r="B312" s="139">
        <f>IFERROR(INDEX($K$2:$K$5,MATCH(A312,$J$2:$J$5,0)),A312)</f>
        <v/>
      </c>
      <c r="C312" s="139" t="inlineStr">
        <is>
          <t>רשת ירושלים</t>
        </is>
      </c>
      <c r="D312" s="139" t="inlineStr">
        <is>
          <t xml:space="preserve"> דויטש י-ם ב.מ</t>
        </is>
      </c>
      <c r="E312" s="139" t="n">
        <v>348</v>
      </c>
      <c r="F312" s="140" t="n">
        <v>8935.9</v>
      </c>
      <c r="G312" s="139" t="n">
        <v>318</v>
      </c>
      <c r="H312" s="140" t="n">
        <v>7452.8</v>
      </c>
    </row>
    <row r="313" ht="15" customHeight="1" s="82">
      <c r="A313" s="139" t="inlineStr">
        <is>
          <t>דוד</t>
        </is>
      </c>
      <c r="B313" s="139">
        <f>IFERROR(INDEX($K$2:$K$5,MATCH(A313,$J$2:$J$5,0)),A313)</f>
        <v/>
      </c>
      <c r="C313" s="139" t="inlineStr">
        <is>
          <t>רשת ירושלים</t>
        </is>
      </c>
      <c r="D313" s="139" t="inlineStr">
        <is>
          <t xml:space="preserve"> פארם פלוס ירושלים ב.מ</t>
        </is>
      </c>
      <c r="E313" s="139" t="n">
        <v>111</v>
      </c>
      <c r="F313" s="140" t="n">
        <v>2906</v>
      </c>
      <c r="G313" s="139" t="n">
        <v>184</v>
      </c>
      <c r="H313" s="140" t="n">
        <v>5199.2</v>
      </c>
    </row>
    <row r="314" ht="15" customHeight="1" s="82">
      <c r="A314" s="139" t="inlineStr">
        <is>
          <t>דוד</t>
        </is>
      </c>
      <c r="B314" s="139">
        <f>IFERROR(INDEX($K$2:$K$5,MATCH(A314,$J$2:$J$5,0)),A314)</f>
        <v/>
      </c>
      <c r="C314" s="139" t="inlineStr">
        <is>
          <t>רשת ירושלים</t>
        </is>
      </c>
      <c r="D314" s="139" t="inlineStr">
        <is>
          <t xml:space="preserve"> ב.מ ארמון הנציב י-ם</t>
        </is>
      </c>
      <c r="E314" s="139" t="n">
        <v>0</v>
      </c>
      <c r="F314" s="140" t="n">
        <v>0</v>
      </c>
      <c r="G314" s="139" t="n">
        <v>3</v>
      </c>
      <c r="H314" s="140" t="n">
        <v>56.1</v>
      </c>
    </row>
    <row r="315" ht="15" customHeight="1" s="82">
      <c r="A315" s="139" t="inlineStr">
        <is>
          <t>דוד</t>
        </is>
      </c>
      <c r="B315" s="139">
        <f>IFERROR(INDEX($K$2:$K$5,MATCH(A315,$J$2:$J$5,0)),A315)</f>
        <v/>
      </c>
      <c r="C315" s="139" t="inlineStr">
        <is>
          <t>רשת ירושלים</t>
        </is>
      </c>
      <c r="D315" s="139" t="inlineStr">
        <is>
          <t xml:space="preserve"> ג'נא פארם ב.מ מבשרת ציון</t>
        </is>
      </c>
      <c r="E315" s="139" t="n">
        <v>77</v>
      </c>
      <c r="F315" s="140" t="n">
        <v>2437.3</v>
      </c>
      <c r="G315" s="139" t="n">
        <v>71</v>
      </c>
      <c r="H315" s="140" t="n">
        <v>2047.8</v>
      </c>
    </row>
    <row r="316" ht="15" customHeight="1" s="82">
      <c r="A316" s="139" t="inlineStr">
        <is>
          <t>דוד</t>
        </is>
      </c>
      <c r="B316" s="139">
        <f>IFERROR(INDEX($K$2:$K$5,MATCH(A316,$J$2:$J$5,0)),A316)</f>
        <v/>
      </c>
      <c r="C316" s="139" t="inlineStr">
        <is>
          <t>רשת ירושלים</t>
        </is>
      </c>
      <c r="D316" s="139" t="inlineStr">
        <is>
          <t xml:space="preserve"> מקסיפארם ברוכים י-ם ב.מ</t>
        </is>
      </c>
      <c r="E316" s="139" t="n">
        <v>108</v>
      </c>
      <c r="F316" s="140" t="n">
        <v>2817.3</v>
      </c>
      <c r="G316" s="139" t="n">
        <v>104</v>
      </c>
      <c r="H316" s="140" t="n">
        <v>1869.6</v>
      </c>
    </row>
    <row r="317" ht="15" customHeight="1" s="82">
      <c r="A317" s="139" t="inlineStr">
        <is>
          <t>דוד</t>
        </is>
      </c>
      <c r="B317" s="139">
        <f>IFERROR(INDEX($K$2:$K$5,MATCH(A317,$J$2:$J$5,0)),A317)</f>
        <v/>
      </c>
      <c r="C317" s="139" t="inlineStr">
        <is>
          <t>רשת ירושלים</t>
        </is>
      </c>
      <c r="D317" s="139" t="inlineStr">
        <is>
          <t xml:space="preserve"> מוריה י-ם ב.מ</t>
        </is>
      </c>
      <c r="E317" s="139" t="n">
        <v>253</v>
      </c>
      <c r="F317" s="140" t="n">
        <v>7413.7</v>
      </c>
      <c r="G317" s="139" t="n">
        <v>207</v>
      </c>
      <c r="H317" s="140" t="n">
        <v>7751.2</v>
      </c>
    </row>
    <row r="318" ht="15" customHeight="1" s="82">
      <c r="A318" s="139" t="inlineStr">
        <is>
          <t>חיים</t>
        </is>
      </c>
      <c r="B318" s="139">
        <f>IFERROR(INDEX($K$2:$K$5,MATCH(A318,$J$2:$J$5,0)),A318)</f>
        <v/>
      </c>
      <c r="C318" s="139" t="inlineStr">
        <is>
          <t>שור טבצ'ניק</t>
        </is>
      </c>
      <c r="D318" s="139" t="inlineStr">
        <is>
          <t xml:space="preserve"> שור טבצ'ניק ת""""א ב.מ</t>
        </is>
      </c>
      <c r="E318" s="139" t="n">
        <v>253</v>
      </c>
      <c r="F318" s="140" t="n">
        <v>7347.7</v>
      </c>
      <c r="G318" s="139" t="n">
        <v>145</v>
      </c>
      <c r="H318" s="140" t="n">
        <v>3760</v>
      </c>
    </row>
    <row r="319" ht="15" customHeight="1" s="82">
      <c r="A319" s="139" t="inlineStr">
        <is>
          <t>סטאס</t>
        </is>
      </c>
      <c r="B319" s="139">
        <f>IFERROR(INDEX($K$2:$K$5,MATCH(A319,$J$2:$J$5,0)),A319)</f>
        <v/>
      </c>
      <c r="C319" s="139" t="inlineStr">
        <is>
          <t>שרם</t>
        </is>
      </c>
      <c r="D319" s="139" t="inlineStr">
        <is>
          <t xml:space="preserve"> מזור יבנה ב.מ שרמפארם</t>
        </is>
      </c>
      <c r="E319" s="139" t="n">
        <v>25</v>
      </c>
      <c r="F319" s="140" t="n">
        <v>535.7</v>
      </c>
      <c r="G319" s="139" t="n">
        <v>8</v>
      </c>
      <c r="H319" s="140" t="n">
        <v>187.6</v>
      </c>
    </row>
    <row r="320" ht="15" customHeight="1" s="82">
      <c r="A320" s="139" t="inlineStr">
        <is>
          <t>סטאס</t>
        </is>
      </c>
      <c r="B320" s="139">
        <f>IFERROR(INDEX($K$2:$K$5,MATCH(A320,$J$2:$J$5,0)),A320)</f>
        <v/>
      </c>
      <c r="C320" s="139" t="inlineStr">
        <is>
          <t>שרם</t>
        </is>
      </c>
      <c r="D320" s="139" t="inlineStr">
        <is>
          <t xml:space="preserve"> פארם דרום רהט שרם</t>
        </is>
      </c>
      <c r="E320" s="139" t="n">
        <v>0</v>
      </c>
      <c r="F320" s="140" t="n">
        <v>0</v>
      </c>
      <c r="G320" s="139" t="n">
        <v>1</v>
      </c>
      <c r="H320" s="140" t="n">
        <v>262.4</v>
      </c>
    </row>
    <row r="321" ht="15" customHeight="1" s="82">
      <c r="A321" s="139" t="inlineStr">
        <is>
          <t>סטאס</t>
        </is>
      </c>
      <c r="B321" s="139">
        <f>IFERROR(INDEX($K$2:$K$5,MATCH(A321,$J$2:$J$5,0)),A321)</f>
        <v/>
      </c>
      <c r="C321" s="139" t="inlineStr">
        <is>
          <t>שרם</t>
        </is>
      </c>
      <c r="D321" s="139" t="inlineStr">
        <is>
          <t xml:space="preserve"> ב.מ הלא - אלפי מנשה שרמפארם</t>
        </is>
      </c>
      <c r="E321" s="139" t="n">
        <v>196</v>
      </c>
      <c r="F321" s="140" t="n">
        <v>7491.6</v>
      </c>
      <c r="G321" s="139" t="n">
        <v>149</v>
      </c>
      <c r="H321" s="140" t="n">
        <v>5386.6</v>
      </c>
    </row>
    <row r="322" ht="15" customHeight="1" s="82">
      <c r="A322" s="139" t="inlineStr">
        <is>
          <t>סטאס</t>
        </is>
      </c>
      <c r="B322" s="139">
        <f>IFERROR(INDEX($K$2:$K$5,MATCH(A322,$J$2:$J$5,0)),A322)</f>
        <v/>
      </c>
      <c r="C322" s="139" t="inlineStr">
        <is>
          <t>שרם</t>
        </is>
      </c>
      <c r="D322" s="139" t="inlineStr">
        <is>
          <t xml:space="preserve"> הלא ג'לג'וליה ב.מ שרםפארם</t>
        </is>
      </c>
      <c r="E322" s="139" t="n">
        <v>259</v>
      </c>
      <c r="F322" s="140" t="n">
        <v>10989.9</v>
      </c>
      <c r="G322" s="139" t="n">
        <v>248</v>
      </c>
      <c r="H322" s="140" t="n">
        <v>8264.4</v>
      </c>
    </row>
    <row r="323" ht="15" customHeight="1" s="82">
      <c r="A323" s="139" t="inlineStr">
        <is>
          <t>חיים</t>
        </is>
      </c>
      <c r="B323" s="139">
        <f>IFERROR(INDEX($K$2:$K$5,MATCH(A323,$J$2:$J$5,0)),A323)</f>
        <v/>
      </c>
      <c r="C323" s="139" t="inlineStr">
        <is>
          <t>שרם</t>
        </is>
      </c>
      <c r="D323" s="139" t="inlineStr">
        <is>
          <t xml:space="preserve"> המרקחה ב.מ 03.11 שרמפארם</t>
        </is>
      </c>
      <c r="E323" s="139" t="n">
        <v>314</v>
      </c>
      <c r="F323" s="140" t="n">
        <v>9903.200000000001</v>
      </c>
      <c r="G323" s="139" t="n">
        <v>247</v>
      </c>
      <c r="H323" s="140" t="n">
        <v>9794.299999999999</v>
      </c>
    </row>
    <row r="324" ht="15" customHeight="1" s="82">
      <c r="A324" s="139" t="inlineStr">
        <is>
          <t>סטאס</t>
        </is>
      </c>
      <c r="B324" s="139">
        <f>IFERROR(INDEX($K$2:$K$5,MATCH(A324,$J$2:$J$5,0)),A324)</f>
        <v/>
      </c>
      <c r="C324" s="139" t="inlineStr">
        <is>
          <t>שרם</t>
        </is>
      </c>
      <c r="D324" s="139" t="inlineStr">
        <is>
          <t xml:space="preserve"> אבי 2 ר""""ג שרםפארם</t>
        </is>
      </c>
      <c r="E324" s="139" t="n">
        <v>67</v>
      </c>
      <c r="F324" s="140" t="n">
        <v>2089.8</v>
      </c>
      <c r="G324" s="139" t="n">
        <v>93</v>
      </c>
      <c r="H324" s="140" t="n">
        <v>2667.8</v>
      </c>
    </row>
    <row r="325" ht="15" customHeight="1" s="82">
      <c r="A325" s="139" t="inlineStr">
        <is>
          <t>סטאס</t>
        </is>
      </c>
      <c r="B325" s="139">
        <f>IFERROR(INDEX($K$2:$K$5,MATCH(A325,$J$2:$J$5,0)),A325)</f>
        <v/>
      </c>
      <c r="C325" s="139" t="inlineStr">
        <is>
          <t>שרם</t>
        </is>
      </c>
      <c r="D325" s="139" t="inlineStr">
        <is>
          <t xml:space="preserve"> תל גנים ב.מ שרםפארם גבעתיים</t>
        </is>
      </c>
      <c r="E325" s="139" t="n">
        <v>79</v>
      </c>
      <c r="F325" s="140" t="n">
        <v>2802.5</v>
      </c>
      <c r="G325" s="139" t="n">
        <v>91</v>
      </c>
      <c r="H325" s="140" t="n">
        <v>3470.3</v>
      </c>
    </row>
    <row r="326" ht="15" customHeight="1" s="82">
      <c r="A326" s="139" t="inlineStr">
        <is>
          <t>חיים</t>
        </is>
      </c>
      <c r="B326" s="139">
        <f>IFERROR(INDEX($K$2:$K$5,MATCH(A326,$J$2:$J$5,0)),A326)</f>
        <v/>
      </c>
      <c r="C326" s="139" t="inlineStr">
        <is>
          <t>שרם</t>
        </is>
      </c>
      <c r="D326" s="139" t="inlineStr">
        <is>
          <t xml:space="preserve"> טל שחר ת""""א ב.מ שרםפארם</t>
        </is>
      </c>
      <c r="E326" s="139" t="n">
        <v>17</v>
      </c>
      <c r="F326" s="140" t="n">
        <v>841.7</v>
      </c>
      <c r="G326" s="139" t="n">
        <v>40</v>
      </c>
      <c r="H326" s="140" t="n">
        <v>2741.4</v>
      </c>
    </row>
    <row r="327" ht="15" customHeight="1" s="82">
      <c r="A327" s="139" t="inlineStr">
        <is>
          <t>חיים</t>
        </is>
      </c>
      <c r="B327" s="139">
        <f>IFERROR(INDEX($K$2:$K$5,MATCH(A327,$J$2:$J$5,0)),A327)</f>
        <v/>
      </c>
      <c r="C327" s="139" t="inlineStr">
        <is>
          <t>שרם</t>
        </is>
      </c>
      <c r="D327" s="139" t="inlineStr">
        <is>
          <t xml:space="preserve"> יהודית נ.שרת ב.מ שרםפארם</t>
        </is>
      </c>
      <c r="E327" s="139" t="n">
        <v>2</v>
      </c>
      <c r="F327" s="140" t="n">
        <v>93.59999999999999</v>
      </c>
      <c r="G327" s="139" t="n">
        <v>0</v>
      </c>
      <c r="H327" s="140" t="n">
        <v>0</v>
      </c>
    </row>
    <row r="328" ht="15" customHeight="1" s="82">
      <c r="A328" s="139" t="inlineStr">
        <is>
          <t>חיים</t>
        </is>
      </c>
      <c r="B328" s="139">
        <f>IFERROR(INDEX($K$2:$K$5,MATCH(A328,$J$2:$J$5,0)),A328)</f>
        <v/>
      </c>
      <c r="C328" s="139" t="inlineStr">
        <is>
          <t>שרם</t>
        </is>
      </c>
      <c r="D328" s="139" t="inlineStr">
        <is>
          <t xml:space="preserve"> למד ת""""א ב.מ שרםפארם</t>
        </is>
      </c>
      <c r="E328" s="139" t="n">
        <v>16</v>
      </c>
      <c r="F328" s="140" t="n">
        <v>447.1</v>
      </c>
      <c r="G328" s="139" t="n">
        <v>0</v>
      </c>
      <c r="H328" s="140" t="n">
        <v>0</v>
      </c>
    </row>
    <row r="329" ht="15" customHeight="1" s="82">
      <c r="A329" s="139" t="inlineStr">
        <is>
          <t>חיים</t>
        </is>
      </c>
      <c r="B329" s="139">
        <f>IFERROR(INDEX($K$2:$K$5,MATCH(A329,$J$2:$J$5,0)),A329)</f>
        <v/>
      </c>
      <c r="C329" s="139" t="inlineStr">
        <is>
          <t>שרם</t>
        </is>
      </c>
      <c r="D329" s="139" t="inlineStr">
        <is>
          <t xml:space="preserve"> נחמיה ב""""ב ב.מ שרםפארם</t>
        </is>
      </c>
      <c r="E329" s="139" t="n">
        <v>50</v>
      </c>
      <c r="F329" s="140" t="n">
        <v>471.3</v>
      </c>
      <c r="G329" s="139" t="n">
        <v>24</v>
      </c>
      <c r="H329" s="140" t="n">
        <v>240.7</v>
      </c>
    </row>
    <row r="330" ht="15" customHeight="1" s="82">
      <c r="A330" s="139" t="inlineStr">
        <is>
          <t>חיים</t>
        </is>
      </c>
      <c r="B330" s="139">
        <f>IFERROR(INDEX($K$2:$K$5,MATCH(A330,$J$2:$J$5,0)),A330)</f>
        <v/>
      </c>
      <c r="C330" s="139" t="inlineStr">
        <is>
          <t>שרם</t>
        </is>
      </c>
      <c r="D330" s="139" t="inlineStr">
        <is>
          <t xml:space="preserve"> שפירא ב""""ב ב.מ שרםפארם</t>
        </is>
      </c>
      <c r="E330" s="139" t="n">
        <v>1</v>
      </c>
      <c r="F330" s="140" t="n">
        <v>79.59999999999999</v>
      </c>
      <c r="G330" s="139" t="n">
        <v>0</v>
      </c>
      <c r="H330" s="140" t="n">
        <v>0</v>
      </c>
    </row>
    <row r="331" ht="15" customHeight="1" s="82">
      <c r="A331" s="139" t="inlineStr">
        <is>
          <t>חיים</t>
        </is>
      </c>
      <c r="B331" s="139">
        <f>IFERROR(INDEX($K$2:$K$5,MATCH(A331,$J$2:$J$5,0)),A331)</f>
        <v/>
      </c>
      <c r="C331" s="139" t="inlineStr">
        <is>
          <t>שרם</t>
        </is>
      </c>
      <c r="D331" s="139" t="inlineStr">
        <is>
          <t xml:space="preserve"> מרכז צפון ת""""א ב.מ שרםפארם</t>
        </is>
      </c>
      <c r="E331" s="139" t="n">
        <v>67</v>
      </c>
      <c r="F331" s="140" t="n">
        <v>2111.7</v>
      </c>
      <c r="G331" s="139" t="n">
        <v>18</v>
      </c>
      <c r="H331" s="140" t="n">
        <v>1404</v>
      </c>
    </row>
    <row r="332" ht="15" customHeight="1" s="82">
      <c r="A332" s="139" t="inlineStr">
        <is>
          <t>חיים</t>
        </is>
      </c>
      <c r="B332" s="139">
        <f>IFERROR(INDEX($K$2:$K$5,MATCH(A332,$J$2:$J$5,0)),A332)</f>
        <v/>
      </c>
      <c r="C332" s="139" t="inlineStr">
        <is>
          <t>שרם</t>
        </is>
      </c>
      <c r="D332" s="139" t="inlineStr">
        <is>
          <t xml:space="preserve"> בית מרקחת גן העיר ת""""א שרםפארם</t>
        </is>
      </c>
      <c r="E332" s="139" t="n">
        <v>15</v>
      </c>
      <c r="F332" s="140" t="n">
        <v>254.3</v>
      </c>
      <c r="G332" s="139" t="n">
        <v>0</v>
      </c>
      <c r="H332" s="140" t="n">
        <v>0</v>
      </c>
    </row>
    <row r="333" ht="15" customHeight="1" s="82">
      <c r="A333" s="139" t="inlineStr">
        <is>
          <t>חאזם</t>
        </is>
      </c>
      <c r="B333" s="139">
        <f>IFERROR(INDEX($K$2:$K$5,MATCH(A333,$J$2:$J$5,0)),A333)</f>
        <v/>
      </c>
      <c r="C333" s="139" t="inlineStr">
        <is>
          <t>שרם</t>
        </is>
      </c>
      <c r="D333" s="139" t="inlineStr">
        <is>
          <t xml:space="preserve"> בלסם פארם בית ג'אן ב.מ שרמפארם</t>
        </is>
      </c>
      <c r="E333" s="139" t="n">
        <v>22</v>
      </c>
      <c r="F333" s="140" t="n">
        <v>1041.4</v>
      </c>
      <c r="G333" s="139" t="n">
        <v>66</v>
      </c>
      <c r="H333" s="140" t="n">
        <v>2841.2</v>
      </c>
    </row>
    <row r="334" ht="15" customHeight="1" s="82">
      <c r="A334" s="139" t="inlineStr">
        <is>
          <t>חאזם</t>
        </is>
      </c>
      <c r="B334" s="139">
        <f>IFERROR(INDEX($K$2:$K$5,MATCH(A334,$J$2:$J$5,0)),A334)</f>
        <v/>
      </c>
      <c r="C334" s="139" t="inlineStr">
        <is>
          <t>שרם</t>
        </is>
      </c>
      <c r="D334" s="139" t="inlineStr">
        <is>
          <t xml:space="preserve"> הגליל תרשיחא ב.מ שרמפארם</t>
        </is>
      </c>
      <c r="E334" s="139" t="n">
        <v>999</v>
      </c>
      <c r="F334" s="140" t="n">
        <v>34954</v>
      </c>
      <c r="G334" s="139" t="n">
        <v>354</v>
      </c>
      <c r="H334" s="140" t="n">
        <v>14262.8</v>
      </c>
    </row>
    <row r="335" ht="15" customHeight="1" s="82">
      <c r="A335" s="139" t="inlineStr">
        <is>
          <t>חאזם</t>
        </is>
      </c>
      <c r="B335" s="139">
        <f>IFERROR(INDEX($K$2:$K$5,MATCH(A335,$J$2:$J$5,0)),A335)</f>
        <v/>
      </c>
      <c r="C335" s="139" t="inlineStr">
        <is>
          <t>שרם</t>
        </is>
      </c>
      <c r="D335" s="139" t="inlineStr">
        <is>
          <t xml:space="preserve"> מטר פארם ב.מ עכו</t>
        </is>
      </c>
      <c r="E335" s="139" t="n">
        <v>93</v>
      </c>
      <c r="F335" s="140" t="n">
        <v>3479.1</v>
      </c>
      <c r="G335" s="139" t="n">
        <v>34</v>
      </c>
      <c r="H335" s="140" t="n">
        <v>1470.1</v>
      </c>
    </row>
    <row r="336" ht="15" customHeight="1" s="82">
      <c r="A336" s="139" t="inlineStr">
        <is>
          <t>חאזם</t>
        </is>
      </c>
      <c r="B336" s="139">
        <f>IFERROR(INDEX($K$2:$K$5,MATCH(A336,$J$2:$J$5,0)),A336)</f>
        <v/>
      </c>
      <c r="C336" s="139" t="inlineStr">
        <is>
          <t>שרם</t>
        </is>
      </c>
      <c r="D336" s="139" t="inlineStr">
        <is>
          <t xml:space="preserve"> מעלות בע""""מ ב.מ  שרמפארם</t>
        </is>
      </c>
      <c r="E336" s="139" t="n">
        <v>89</v>
      </c>
      <c r="F336" s="140" t="n">
        <v>2180.9</v>
      </c>
      <c r="G336" s="139" t="n">
        <v>0</v>
      </c>
      <c r="H336" s="140" t="n">
        <v>0</v>
      </c>
    </row>
    <row r="337" ht="15" customHeight="1" s="82">
      <c r="A337" s="139" t="inlineStr">
        <is>
          <t>חאזם</t>
        </is>
      </c>
      <c r="B337" s="139">
        <f>IFERROR(INDEX($K$2:$K$5,MATCH(A337,$J$2:$J$5,0)),A337)</f>
        <v/>
      </c>
      <c r="C337" s="139" t="inlineStr">
        <is>
          <t>שרם</t>
        </is>
      </c>
      <c r="D337" s="139" t="inlineStr">
        <is>
          <t xml:space="preserve"> רקפות מעלות ב.מ שרמפארם</t>
        </is>
      </c>
      <c r="E337" s="139" t="n">
        <v>229</v>
      </c>
      <c r="F337" s="140" t="n">
        <v>5673.5</v>
      </c>
      <c r="G337" s="139" t="n">
        <v>150</v>
      </c>
      <c r="H337" s="140" t="n">
        <v>5638.6</v>
      </c>
    </row>
    <row r="338" ht="15" customHeight="1" s="82">
      <c r="A338" s="139" t="inlineStr">
        <is>
          <t>חאזם</t>
        </is>
      </c>
      <c r="B338" s="139">
        <f>IFERROR(INDEX($K$2:$K$5,MATCH(A338,$J$2:$J$5,0)),A338)</f>
        <v/>
      </c>
      <c r="C338" s="139" t="inlineStr">
        <is>
          <t>שרם</t>
        </is>
      </c>
      <c r="D338" s="139" t="inlineStr">
        <is>
          <t xml:space="preserve"> מעלות בעמכ-פר ורדים ב.מ. שרמפא</t>
        </is>
      </c>
      <c r="E338" s="139" t="n">
        <v>149</v>
      </c>
      <c r="F338" s="140" t="n">
        <v>4032.4</v>
      </c>
      <c r="G338" s="139" t="n">
        <v>91</v>
      </c>
      <c r="H338" s="140" t="n">
        <v>2740.7</v>
      </c>
    </row>
    <row r="339" ht="15" customHeight="1" s="82">
      <c r="A339" s="139" t="inlineStr">
        <is>
          <t>חאזם</t>
        </is>
      </c>
      <c r="B339" s="139">
        <f>IFERROR(INDEX($K$2:$K$5,MATCH(A339,$J$2:$J$5,0)),A339)</f>
        <v/>
      </c>
      <c r="C339" s="139" t="inlineStr">
        <is>
          <t>שרם</t>
        </is>
      </c>
      <c r="D339" s="139" t="inlineStr">
        <is>
          <t xml:space="preserve"> נארימאן פארם בע""""מ כפר ראמה שרמ</t>
        </is>
      </c>
      <c r="E339" s="139" t="n">
        <v>213</v>
      </c>
      <c r="F339" s="140" t="n">
        <v>9047.1</v>
      </c>
      <c r="G339" s="139" t="n">
        <v>150</v>
      </c>
      <c r="H339" s="140" t="n">
        <v>6683.7</v>
      </c>
    </row>
    <row r="340" ht="15" customHeight="1" s="82">
      <c r="A340" s="139" t="inlineStr">
        <is>
          <t>חאזם</t>
        </is>
      </c>
      <c r="B340" s="139">
        <f>IFERROR(INDEX($K$2:$K$5,MATCH(A340,$J$2:$J$5,0)),A340)</f>
        <v/>
      </c>
      <c r="C340" s="139" t="inlineStr">
        <is>
          <t>שרם</t>
        </is>
      </c>
      <c r="D340" s="139" t="inlineStr">
        <is>
          <t xml:space="preserve"> ספא פארם נצרת עילית ב.מ שרמפאר</t>
        </is>
      </c>
      <c r="E340" s="139" t="n">
        <v>33</v>
      </c>
      <c r="F340" s="140" t="n">
        <v>1670</v>
      </c>
      <c r="G340" s="139" t="n">
        <v>34</v>
      </c>
      <c r="H340" s="140" t="n">
        <v>1543.6</v>
      </c>
    </row>
    <row r="341" ht="15" customHeight="1" s="82">
      <c r="A341" s="139" t="inlineStr">
        <is>
          <t>חאזם</t>
        </is>
      </c>
      <c r="B341" s="139">
        <f>IFERROR(INDEX($K$2:$K$5,MATCH(A341,$J$2:$J$5,0)),A341)</f>
        <v/>
      </c>
      <c r="C341" s="139" t="inlineStr">
        <is>
          <t>שרם</t>
        </is>
      </c>
      <c r="D341" s="139" t="inlineStr">
        <is>
          <t xml:space="preserve"> טמרה פארם בע""""מ  ב.מ שרמפארם</t>
        </is>
      </c>
      <c r="E341" s="139" t="n">
        <v>358</v>
      </c>
      <c r="F341" s="140" t="n">
        <v>20967</v>
      </c>
      <c r="G341" s="139" t="n">
        <v>204</v>
      </c>
      <c r="H341" s="140" t="n">
        <v>10465.4</v>
      </c>
    </row>
    <row r="342" ht="15" customHeight="1" s="82">
      <c r="A342" s="139" t="inlineStr">
        <is>
          <t>חאזם</t>
        </is>
      </c>
      <c r="B342" s="139">
        <f>IFERROR(INDEX($K$2:$K$5,MATCH(A342,$J$2:$J$5,0)),A342)</f>
        <v/>
      </c>
      <c r="C342" s="139" t="inlineStr">
        <is>
          <t>שרם</t>
        </is>
      </c>
      <c r="D342" s="139" t="inlineStr">
        <is>
          <t xml:space="preserve"> אורנים טבעון ב.מ שרמפארם</t>
        </is>
      </c>
      <c r="E342" s="139" t="n">
        <v>12</v>
      </c>
      <c r="F342" s="140" t="n">
        <v>314.5</v>
      </c>
      <c r="G342" s="139" t="n">
        <v>14</v>
      </c>
      <c r="H342" s="140" t="n">
        <v>590</v>
      </c>
    </row>
    <row r="343" ht="15" customHeight="1" s="82">
      <c r="A343" s="139" t="inlineStr">
        <is>
          <t>חאזם</t>
        </is>
      </c>
      <c r="B343" s="139">
        <f>IFERROR(INDEX($K$2:$K$5,MATCH(A343,$J$2:$J$5,0)),A343)</f>
        <v/>
      </c>
      <c r="C343" s="139" t="inlineStr">
        <is>
          <t>שרם</t>
        </is>
      </c>
      <c r="D343" s="139" t="inlineStr">
        <is>
          <t xml:space="preserve"> לב כרמל בע""""מ ב.מ  שרמפארם</t>
        </is>
      </c>
      <c r="E343" s="139" t="n">
        <v>161</v>
      </c>
      <c r="F343" s="140" t="n">
        <v>4847.3</v>
      </c>
      <c r="G343" s="139" t="n">
        <v>84</v>
      </c>
      <c r="H343" s="140" t="n">
        <v>3536.1</v>
      </c>
    </row>
    <row r="344" ht="15" customHeight="1" s="82">
      <c r="A344" s="139" t="inlineStr">
        <is>
          <t>חאזם</t>
        </is>
      </c>
      <c r="B344" s="139">
        <f>IFERROR(INDEX($K$2:$K$5,MATCH(A344,$J$2:$J$5,0)),A344)</f>
        <v/>
      </c>
      <c r="C344" s="139" t="inlineStr">
        <is>
          <t>שרם</t>
        </is>
      </c>
      <c r="D344" s="139" t="inlineStr">
        <is>
          <t xml:space="preserve"> העליה השניה בע""""מ בימ""""ק שרמפארם</t>
        </is>
      </c>
      <c r="E344" s="139" t="n">
        <v>266</v>
      </c>
      <c r="F344" s="140" t="n">
        <v>8422.5</v>
      </c>
      <c r="G344" s="139" t="n">
        <v>151</v>
      </c>
      <c r="H344" s="140" t="n">
        <v>4596</v>
      </c>
    </row>
    <row r="345" ht="15" customHeight="1" s="82">
      <c r="A345" s="139" t="inlineStr">
        <is>
          <t>חאזם</t>
        </is>
      </c>
      <c r="B345" s="139">
        <f>IFERROR(INDEX($K$2:$K$5,MATCH(A345,$J$2:$J$5,0)),A345)</f>
        <v/>
      </c>
      <c r="C345" s="139" t="inlineStr">
        <is>
          <t>שרם</t>
        </is>
      </c>
      <c r="D345" s="139" t="inlineStr">
        <is>
          <t xml:space="preserve"> צמח פארם ב.מ שרמפארם</t>
        </is>
      </c>
      <c r="E345" s="139" t="n">
        <v>158</v>
      </c>
      <c r="F345" s="140" t="n">
        <v>6314.8</v>
      </c>
      <c r="G345" s="139" t="n">
        <v>72</v>
      </c>
      <c r="H345" s="140" t="n">
        <v>3546.5</v>
      </c>
    </row>
    <row r="346" ht="15" customHeight="1" s="82">
      <c r="A346" s="139" t="inlineStr">
        <is>
          <t>חאזם</t>
        </is>
      </c>
      <c r="B346" s="139">
        <f>IFERROR(INDEX($K$2:$K$5,MATCH(A346,$J$2:$J$5,0)),A346)</f>
        <v/>
      </c>
      <c r="C346" s="139" t="inlineStr">
        <is>
          <t>שרם</t>
        </is>
      </c>
      <c r="D346" s="139" t="inlineStr">
        <is>
          <t xml:space="preserve"> שבתאי לוי ב.מ  חיפה שרמפארם</t>
        </is>
      </c>
      <c r="E346" s="139" t="n">
        <v>0</v>
      </c>
      <c r="F346" s="140" t="n">
        <v>0</v>
      </c>
      <c r="G346" s="139" t="n">
        <v>2</v>
      </c>
      <c r="H346" s="140" t="n">
        <v>243.6</v>
      </c>
    </row>
    <row r="347" ht="15" customHeight="1" s="82">
      <c r="A347" s="139" t="inlineStr">
        <is>
          <t>חאזם</t>
        </is>
      </c>
      <c r="B347" s="139">
        <f>IFERROR(INDEX($K$2:$K$5,MATCH(A347,$J$2:$J$5,0)),A347)</f>
        <v/>
      </c>
      <c r="C347" s="139" t="inlineStr">
        <is>
          <t>שרם</t>
        </is>
      </c>
      <c r="D347" s="139" t="inlineStr">
        <is>
          <t xml:space="preserve"> גולן פארם קצרין ב.מ שרמפארם</t>
        </is>
      </c>
      <c r="E347" s="139" t="n">
        <v>50</v>
      </c>
      <c r="F347" s="140" t="n">
        <v>2565.6</v>
      </c>
      <c r="G347" s="139" t="n">
        <v>28</v>
      </c>
      <c r="H347" s="140" t="n">
        <v>969.2</v>
      </c>
    </row>
    <row r="348" ht="15" customHeight="1" s="82">
      <c r="A348" s="139" t="inlineStr">
        <is>
          <t>סטאס</t>
        </is>
      </c>
      <c r="B348" s="139">
        <f>IFERROR(INDEX($K$2:$K$5,MATCH(A348,$J$2:$J$5,0)),A348)</f>
        <v/>
      </c>
      <c r="C348" s="139" t="inlineStr">
        <is>
          <t>שרם</t>
        </is>
      </c>
      <c r="D348" s="139" t="inlineStr">
        <is>
          <t xml:space="preserve"> פארם לקיה ב.מ  ש.ר.ם</t>
        </is>
      </c>
      <c r="E348" s="139" t="n">
        <v>109</v>
      </c>
      <c r="F348" s="140" t="n">
        <v>4575</v>
      </c>
      <c r="G348" s="139" t="n">
        <v>32</v>
      </c>
      <c r="H348" s="140" t="n">
        <v>1355.6</v>
      </c>
    </row>
    <row r="349" ht="15" customHeight="1" s="82">
      <c r="A349" s="139" t="inlineStr">
        <is>
          <t>חאזם</t>
        </is>
      </c>
      <c r="B349" s="139">
        <f>IFERROR(INDEX($K$2:$K$5,MATCH(A349,$J$2:$J$5,0)),A349)</f>
        <v/>
      </c>
      <c r="C349" s="139" t="inlineStr">
        <is>
          <t>שרם</t>
        </is>
      </c>
      <c r="D349" s="139" t="inlineStr">
        <is>
          <t xml:space="preserve"> נוה גנים ק מוצקין 3178 ב.מ</t>
        </is>
      </c>
      <c r="E349" s="139" t="n">
        <v>20</v>
      </c>
      <c r="F349" s="140" t="n">
        <v>481.7</v>
      </c>
      <c r="G349" s="139" t="n">
        <v>36</v>
      </c>
      <c r="H349" s="140" t="n">
        <v>818</v>
      </c>
    </row>
    <row r="350" ht="15" customHeight="1" s="82">
      <c r="A350" s="139" t="inlineStr">
        <is>
          <t>סטאס</t>
        </is>
      </c>
      <c r="B350" s="139">
        <f>IFERROR(INDEX($K$2:$K$5,MATCH(A350,$J$2:$J$5,0)),A350)</f>
        <v/>
      </c>
      <c r="C350" s="139" t="inlineStr">
        <is>
          <t>שרם</t>
        </is>
      </c>
      <c r="D350" s="139" t="inlineStr">
        <is>
          <t xml:space="preserve"> ב.מ לנא שוכרי פארם סביון שרמפא</t>
        </is>
      </c>
      <c r="E350" s="139" t="n">
        <v>95</v>
      </c>
      <c r="F350" s="140" t="n">
        <v>3998.3</v>
      </c>
      <c r="G350" s="139" t="n">
        <v>58</v>
      </c>
      <c r="H350" s="140" t="n">
        <v>2832.9</v>
      </c>
    </row>
    <row r="351" ht="15" customHeight="1" s="82">
      <c r="A351" s="139" t="inlineStr">
        <is>
          <t>חיים</t>
        </is>
      </c>
      <c r="B351" s="139">
        <f>IFERROR(INDEX($K$2:$K$5,MATCH(A351,$J$2:$J$5,0)),A351)</f>
        <v/>
      </c>
      <c r="C351" s="139" t="inlineStr">
        <is>
          <t>שרם</t>
        </is>
      </c>
      <c r="D351" s="139" t="inlineStr">
        <is>
          <t xml:space="preserve"> בר אילן רעננה ב.מ שרמפארם</t>
        </is>
      </c>
      <c r="E351" s="139" t="n">
        <v>95</v>
      </c>
      <c r="F351" s="140" t="n">
        <v>2422.6</v>
      </c>
      <c r="G351" s="139" t="n">
        <v>47</v>
      </c>
      <c r="H351" s="140" t="n">
        <v>1061.8</v>
      </c>
    </row>
    <row r="352" ht="15" customHeight="1" s="82">
      <c r="A352" s="139" t="inlineStr">
        <is>
          <t>חאזם</t>
        </is>
      </c>
      <c r="B352" s="139">
        <f>IFERROR(INDEX($K$2:$K$5,MATCH(A352,$J$2:$J$5,0)),A352)</f>
        <v/>
      </c>
      <c r="C352" s="139" t="inlineStr">
        <is>
          <t>שרם</t>
        </is>
      </c>
      <c r="D352" s="139" t="inlineStr">
        <is>
          <t xml:space="preserve"> מזרח עכו ב.מ שרמפארם</t>
        </is>
      </c>
      <c r="E352" s="139" t="n">
        <v>422</v>
      </c>
      <c r="F352" s="140" t="n">
        <v>14835.2</v>
      </c>
      <c r="G352" s="139" t="n">
        <v>215</v>
      </c>
      <c r="H352" s="140" t="n">
        <v>9395.1</v>
      </c>
    </row>
    <row r="353" ht="15" customHeight="1" s="82">
      <c r="A353" s="139" t="inlineStr">
        <is>
          <t>חיים</t>
        </is>
      </c>
      <c r="B353" s="139">
        <f>IFERROR(INDEX($K$2:$K$5,MATCH(A353,$J$2:$J$5,0)),A353)</f>
        <v/>
      </c>
      <c r="C353" s="139" t="inlineStr">
        <is>
          <t>שרם</t>
        </is>
      </c>
      <c r="D353" s="139" t="inlineStr">
        <is>
          <t xml:space="preserve"> .ברק )י.מ.שרותי רוקחות(ת""""א ב.מ</t>
        </is>
      </c>
      <c r="E353" s="139" t="n">
        <v>180</v>
      </c>
      <c r="F353" s="140" t="n">
        <v>6545.1</v>
      </c>
      <c r="G353" s="139" t="n">
        <v>81</v>
      </c>
      <c r="H353" s="140" t="n">
        <v>3382.5</v>
      </c>
    </row>
    <row r="354" ht="15" customHeight="1" s="82">
      <c r="A354" s="139" t="inlineStr">
        <is>
          <t>חיים</t>
        </is>
      </c>
      <c r="B354" s="139">
        <f>IFERROR(INDEX($K$2:$K$5,MATCH(A354,$J$2:$J$5,0)),A354)</f>
        <v/>
      </c>
      <c r="C354" s="139" t="inlineStr">
        <is>
          <t>שרם</t>
        </is>
      </c>
      <c r="D354" s="139" t="inlineStr">
        <is>
          <t xml:space="preserve"> פריים פארם-יהודה המכבי ב.מ.שרמ</t>
        </is>
      </c>
      <c r="E354" s="139" t="n">
        <v>413</v>
      </c>
      <c r="F354" s="140" t="n">
        <v>14577.2</v>
      </c>
      <c r="G354" s="139" t="n">
        <v>300</v>
      </c>
      <c r="H354" s="140" t="n">
        <v>9180.299999999999</v>
      </c>
    </row>
    <row r="355" ht="15" customHeight="1" s="82">
      <c r="A355" s="139" t="inlineStr">
        <is>
          <t>דוד</t>
        </is>
      </c>
      <c r="B355" s="139">
        <f>IFERROR(INDEX($K$2:$K$5,MATCH(A355,$J$2:$J$5,0)),A355)</f>
        <v/>
      </c>
      <c r="C355" s="139" t="inlineStr">
        <is>
          <t>שרם</t>
        </is>
      </c>
      <c r="D355" s="139" t="inlineStr">
        <is>
          <t xml:space="preserve"> דן אשדוד ב.מ שרמפארם</t>
        </is>
      </c>
      <c r="E355" s="139" t="n">
        <v>95</v>
      </c>
      <c r="F355" s="140" t="n">
        <v>3309</v>
      </c>
      <c r="G355" s="139" t="n">
        <v>156</v>
      </c>
      <c r="H355" s="140" t="n">
        <v>4284.7</v>
      </c>
    </row>
    <row r="356" ht="15" customHeight="1" s="82">
      <c r="A356" s="139" t="inlineStr">
        <is>
          <t>חאזם</t>
        </is>
      </c>
      <c r="B356" s="139">
        <f>IFERROR(INDEX($K$2:$K$5,MATCH(A356,$J$2:$J$5,0)),A356)</f>
        <v/>
      </c>
      <c r="C356" s="139" t="inlineStr">
        <is>
          <t>שרם</t>
        </is>
      </c>
      <c r="D356" s="139" t="inlineStr">
        <is>
          <t xml:space="preserve"> מדיקה ק.ים-אלבוסתן פארם בע""""מ ב</t>
        </is>
      </c>
      <c r="E356" s="139" t="n">
        <v>89</v>
      </c>
      <c r="F356" s="140" t="n">
        <v>2837.7</v>
      </c>
      <c r="G356" s="139" t="n">
        <v>50</v>
      </c>
      <c r="H356" s="140" t="n">
        <v>1079.9</v>
      </c>
    </row>
    <row r="357" ht="15" customHeight="1" s="82">
      <c r="A357" s="139" t="inlineStr">
        <is>
          <t>סטאס</t>
        </is>
      </c>
      <c r="B357" s="139">
        <f>IFERROR(INDEX($K$2:$K$5,MATCH(A357,$J$2:$J$5,0)),A357)</f>
        <v/>
      </c>
      <c r="C357" s="139" t="inlineStr">
        <is>
          <t>שרם</t>
        </is>
      </c>
      <c r="D357" s="139" t="inlineStr">
        <is>
          <t xml:space="preserve"> א.ג.שפינוזה ר""""ג ב.מ. שרמפארם</t>
        </is>
      </c>
      <c r="E357" s="139" t="n">
        <v>142</v>
      </c>
      <c r="F357" s="140" t="n">
        <v>7890.5</v>
      </c>
      <c r="G357" s="139" t="n">
        <v>87</v>
      </c>
      <c r="H357" s="140" t="n">
        <v>5023.3</v>
      </c>
    </row>
    <row r="358" ht="15" customHeight="1" s="82">
      <c r="A358" s="139" t="inlineStr">
        <is>
          <t>סטאס</t>
        </is>
      </c>
      <c r="B358" s="139">
        <f>IFERROR(INDEX($K$2:$K$5,MATCH(A358,$J$2:$J$5,0)),A358)</f>
        <v/>
      </c>
      <c r="C358" s="139" t="inlineStr">
        <is>
          <t>שרם</t>
        </is>
      </c>
      <c r="D358" s="139" t="inlineStr">
        <is>
          <t xml:space="preserve"> רהט פארם ב.מ שרמפארם</t>
        </is>
      </c>
      <c r="E358" s="139" t="n">
        <v>139</v>
      </c>
      <c r="F358" s="140" t="n">
        <v>6261.5</v>
      </c>
      <c r="G358" s="139" t="n">
        <v>71</v>
      </c>
      <c r="H358" s="140" t="n">
        <v>3309</v>
      </c>
    </row>
    <row r="359" ht="15" customHeight="1" s="82">
      <c r="A359" s="139" t="inlineStr">
        <is>
          <t>סטאס</t>
        </is>
      </c>
      <c r="B359" s="139">
        <f>IFERROR(INDEX($K$2:$K$5,MATCH(A359,$J$2:$J$5,0)),A359)</f>
        <v/>
      </c>
      <c r="C359" s="139" t="inlineStr">
        <is>
          <t>שרם</t>
        </is>
      </c>
      <c r="D359" s="139" t="inlineStr">
        <is>
          <t xml:space="preserve"> ב.מ שרה פארם צור יצחק שרמפארם</t>
        </is>
      </c>
      <c r="E359" s="139" t="n">
        <v>124</v>
      </c>
      <c r="F359" s="140" t="n">
        <v>3597.2</v>
      </c>
      <c r="G359" s="139" t="n">
        <v>167</v>
      </c>
      <c r="H359" s="140" t="n">
        <v>4903.1</v>
      </c>
    </row>
    <row r="360" ht="15" customHeight="1" s="82">
      <c r="A360" s="139" t="inlineStr">
        <is>
          <t>חאזם</t>
        </is>
      </c>
      <c r="B360" s="139">
        <f>IFERROR(INDEX($K$2:$K$5,MATCH(A360,$J$2:$J$5,0)),A360)</f>
        <v/>
      </c>
      <c r="C360" s="139" t="inlineStr">
        <is>
          <t>שרם</t>
        </is>
      </c>
      <c r="D360" s="139" t="inlineStr">
        <is>
          <t xml:space="preserve"> ריינה-אומגה פארם בע""""מ שרמפארם</t>
        </is>
      </c>
      <c r="E360" s="139" t="n">
        <v>133</v>
      </c>
      <c r="F360" s="140" t="n">
        <v>4619.5</v>
      </c>
      <c r="G360" s="139" t="n">
        <v>42</v>
      </c>
      <c r="H360" s="140" t="n">
        <v>2051.3</v>
      </c>
    </row>
    <row r="361" ht="15" customHeight="1" s="82">
      <c r="A361" s="139" t="inlineStr">
        <is>
          <t>חאזם</t>
        </is>
      </c>
      <c r="B361" s="139">
        <f>IFERROR(INDEX($K$2:$K$5,MATCH(A361,$J$2:$J$5,0)),A361)</f>
        <v/>
      </c>
      <c r="C361" s="139" t="inlineStr">
        <is>
          <t>שרם</t>
        </is>
      </c>
      <c r="D361" s="139" t="inlineStr">
        <is>
          <t xml:space="preserve"> רמת רבין ב.מ כרמיאל שרמפארם</t>
        </is>
      </c>
      <c r="E361" s="139" t="n">
        <v>96</v>
      </c>
      <c r="F361" s="140" t="n">
        <v>3701.6</v>
      </c>
      <c r="G361" s="139" t="n">
        <v>3</v>
      </c>
      <c r="H361" s="140" t="n">
        <v>110.5</v>
      </c>
    </row>
    <row r="362" ht="15" customHeight="1" s="82">
      <c r="A362" s="139" t="inlineStr">
        <is>
          <t>דוד</t>
        </is>
      </c>
      <c r="B362" s="139">
        <f>IFERROR(INDEX($K$2:$K$5,MATCH(A362,$J$2:$J$5,0)),A362)</f>
        <v/>
      </c>
      <c r="C362" s="139" t="inlineStr">
        <is>
          <t>שרם</t>
        </is>
      </c>
      <c r="D362" s="139" t="inlineStr">
        <is>
          <t xml:space="preserve"> עילית מודיעין ב.מ שרמפארם</t>
        </is>
      </c>
      <c r="E362" s="139" t="n">
        <v>249</v>
      </c>
      <c r="F362" s="140" t="n">
        <v>6136.8</v>
      </c>
      <c r="G362" s="139" t="n">
        <v>264</v>
      </c>
      <c r="H362" s="140" t="n">
        <v>6076</v>
      </c>
    </row>
    <row r="363" ht="15" customHeight="1" s="82">
      <c r="A363" s="139" t="inlineStr">
        <is>
          <t>חיים</t>
        </is>
      </c>
      <c r="B363" s="139">
        <f>IFERROR(INDEX($K$2:$K$5,MATCH(A363,$J$2:$J$5,0)),A363)</f>
        <v/>
      </c>
      <c r="C363" s="139" t="inlineStr">
        <is>
          <t>שרם</t>
        </is>
      </c>
      <c r="D363" s="139" t="inlineStr">
        <is>
          <t xml:space="preserve"> המרכז נס ציונה ב.מ שרםפארם</t>
        </is>
      </c>
      <c r="E363" s="139" t="n">
        <v>55</v>
      </c>
      <c r="F363" s="140" t="n">
        <v>1558.7</v>
      </c>
      <c r="G363" s="139" t="n">
        <v>57</v>
      </c>
      <c r="H363" s="140" t="n">
        <v>1844.5</v>
      </c>
    </row>
    <row r="364" ht="15" customHeight="1" s="82">
      <c r="A364" s="139" t="inlineStr">
        <is>
          <t>חאזם</t>
        </is>
      </c>
      <c r="B364" s="139">
        <f>IFERROR(INDEX($K$2:$K$5,MATCH(A364,$J$2:$J$5,0)),A364)</f>
        <v/>
      </c>
      <c r="C364" s="139" t="inlineStr">
        <is>
          <t>שרם</t>
        </is>
      </c>
      <c r="D364" s="139" t="inlineStr">
        <is>
          <t xml:space="preserve"> אלאסראא שפרעם ב.מ שרמפארם</t>
        </is>
      </c>
      <c r="E364" s="139" t="n">
        <v>400</v>
      </c>
      <c r="F364" s="140" t="n">
        <v>15091.1</v>
      </c>
      <c r="G364" s="139" t="n">
        <v>96</v>
      </c>
      <c r="H364" s="140" t="n">
        <v>2161.9</v>
      </c>
    </row>
    <row r="365" ht="15" customHeight="1" s="82">
      <c r="A365" s="139" t="inlineStr">
        <is>
          <t>חאזם</t>
        </is>
      </c>
      <c r="B365" s="139">
        <f>IFERROR(INDEX($K$2:$K$5,MATCH(A365,$J$2:$J$5,0)),A365)</f>
        <v/>
      </c>
      <c r="C365" s="139" t="inlineStr">
        <is>
          <t>שרם</t>
        </is>
      </c>
      <c r="D365" s="139" t="inlineStr">
        <is>
          <t xml:space="preserve"> ביר אל מכסור ב.מ שרמפארם</t>
        </is>
      </c>
      <c r="E365" s="139" t="n">
        <v>31</v>
      </c>
      <c r="F365" s="140" t="n">
        <v>946.4</v>
      </c>
      <c r="G365" s="139" t="n">
        <v>0</v>
      </c>
      <c r="H365" s="140" t="n">
        <v>0</v>
      </c>
    </row>
    <row r="366" ht="15" customHeight="1" s="82">
      <c r="A366" s="139" t="inlineStr">
        <is>
          <t>חאזם</t>
        </is>
      </c>
      <c r="B366" s="139">
        <f>IFERROR(INDEX($K$2:$K$5,MATCH(A366,$J$2:$J$5,0)),A366)</f>
        <v/>
      </c>
      <c r="C366" s="139" t="inlineStr">
        <is>
          <t>שרם</t>
        </is>
      </c>
      <c r="D366" s="139" t="inlineStr">
        <is>
          <t xml:space="preserve"> מרכז עכו ב.מ שרמפארם</t>
        </is>
      </c>
      <c r="E366" s="139" t="n">
        <v>76</v>
      </c>
      <c r="F366" s="140" t="n">
        <v>2431.6</v>
      </c>
      <c r="G366" s="139" t="n">
        <v>3</v>
      </c>
      <c r="H366" s="140" t="n">
        <v>43.4</v>
      </c>
    </row>
    <row r="367" ht="15" customHeight="1" s="82">
      <c r="A367" s="139" t="inlineStr">
        <is>
          <t>חאזם</t>
        </is>
      </c>
      <c r="B367" s="139">
        <f>IFERROR(INDEX($K$2:$K$5,MATCH(A367,$J$2:$J$5,0)),A367)</f>
        <v/>
      </c>
      <c r="C367" s="139" t="inlineStr">
        <is>
          <t>שרם</t>
        </is>
      </c>
      <c r="D367" s="139" t="inlineStr">
        <is>
          <t xml:space="preserve"> ספא פארם ב.מ סכנין חדש שרמפארם</t>
        </is>
      </c>
      <c r="E367" s="139" t="n">
        <v>61</v>
      </c>
      <c r="F367" s="140" t="n">
        <v>2837.3</v>
      </c>
      <c r="G367" s="139" t="n">
        <v>21</v>
      </c>
      <c r="H367" s="140" t="n">
        <v>2623.8</v>
      </c>
    </row>
    <row r="368" ht="15" customHeight="1" s="82">
      <c r="A368" s="139" t="inlineStr">
        <is>
          <t>חאזם</t>
        </is>
      </c>
      <c r="B368" s="139">
        <f>IFERROR(INDEX($K$2:$K$5,MATCH(A368,$J$2:$J$5,0)),A368)</f>
        <v/>
      </c>
      <c r="C368" s="139" t="inlineStr">
        <is>
          <t>שרם</t>
        </is>
      </c>
      <c r="D368" s="139" t="inlineStr">
        <is>
          <t xml:space="preserve"> פארמה פלוס שפרעם ב.מ שרמפארם</t>
        </is>
      </c>
      <c r="E368" s="139" t="n">
        <v>315</v>
      </c>
      <c r="F368" s="140" t="n">
        <v>11549.8</v>
      </c>
      <c r="G368" s="139" t="n">
        <v>215</v>
      </c>
      <c r="H368" s="140" t="n">
        <v>8166.8</v>
      </c>
    </row>
    <row r="369" ht="15" customHeight="1" s="82">
      <c r="A369" s="139" t="inlineStr">
        <is>
          <t>חיים</t>
        </is>
      </c>
      <c r="B369" s="139">
        <f>IFERROR(INDEX($K$2:$K$5,MATCH(A369,$J$2:$J$5,0)),A369)</f>
        <v/>
      </c>
      <c r="C369" s="139" t="inlineStr">
        <is>
          <t>שרם</t>
        </is>
      </c>
      <c r="D369" s="139" t="inlineStr">
        <is>
          <t xml:space="preserve"> כפר שמריהו ב.מ )חדש( שרמפארם</t>
        </is>
      </c>
      <c r="E369" s="139" t="n">
        <v>458</v>
      </c>
      <c r="F369" s="140" t="n">
        <v>15288.6</v>
      </c>
      <c r="G369" s="139" t="n">
        <v>287</v>
      </c>
      <c r="H369" s="140" t="n">
        <v>10635.1</v>
      </c>
    </row>
    <row r="370" ht="15" customHeight="1" s="82">
      <c r="A370" s="139" t="inlineStr">
        <is>
          <t>חיים</t>
        </is>
      </c>
      <c r="B370" s="139">
        <f>IFERROR(INDEX($K$2:$K$5,MATCH(A370,$J$2:$J$5,0)),A370)</f>
        <v/>
      </c>
      <c r="C370" s="139" t="inlineStr">
        <is>
          <t>שרם</t>
        </is>
      </c>
      <c r="D370" s="139" t="inlineStr">
        <is>
          <t xml:space="preserve"> לב הרצליה חדש ב.מ שרמפארם</t>
        </is>
      </c>
      <c r="E370" s="139" t="n">
        <v>36</v>
      </c>
      <c r="F370" s="140" t="n">
        <v>965.8</v>
      </c>
      <c r="G370" s="139" t="n">
        <v>8</v>
      </c>
      <c r="H370" s="140" t="n">
        <v>344.1</v>
      </c>
    </row>
    <row r="371" ht="15" customHeight="1" s="82">
      <c r="A371" s="139" t="inlineStr">
        <is>
          <t>סטאס</t>
        </is>
      </c>
      <c r="B371" s="139">
        <f>IFERROR(INDEX($K$2:$K$5,MATCH(A371,$J$2:$J$5,0)),A371)</f>
        <v/>
      </c>
      <c r="C371" s="139" t="inlineStr">
        <is>
          <t>שרם</t>
        </is>
      </c>
      <c r="D371" s="139" t="inlineStr">
        <is>
          <t xml:space="preserve"> רהט פארם סיטי שרמפארם</t>
        </is>
      </c>
      <c r="E371" s="139" t="n">
        <v>315</v>
      </c>
      <c r="F371" s="140" t="n">
        <v>14672.2</v>
      </c>
      <c r="G371" s="139" t="n">
        <v>352</v>
      </c>
      <c r="H371" s="140" t="n">
        <v>18019</v>
      </c>
    </row>
    <row r="372" ht="15" customHeight="1" s="82">
      <c r="A372" s="139" t="inlineStr">
        <is>
          <t>סטאס</t>
        </is>
      </c>
      <c r="B372" s="139">
        <f>IFERROR(INDEX($K$2:$K$5,MATCH(A372,$J$2:$J$5,0)),A372)</f>
        <v/>
      </c>
      <c r="C372" s="139" t="inlineStr">
        <is>
          <t>שרם</t>
        </is>
      </c>
      <c r="D372" s="139" t="inlineStr">
        <is>
          <t xml:space="preserve"> ב.מ.בריאות נאווה בע""""מ חולון</t>
        </is>
      </c>
      <c r="E372" s="139" t="n">
        <v>2</v>
      </c>
      <c r="F372" s="140" t="n">
        <v>42.5</v>
      </c>
      <c r="G372" s="139" t="n">
        <v>0</v>
      </c>
      <c r="H372" s="140" t="n">
        <v>0</v>
      </c>
    </row>
    <row r="373" ht="15" customHeight="1" s="82">
      <c r="A373" s="139" t="inlineStr">
        <is>
          <t>דוד</t>
        </is>
      </c>
      <c r="B373" s="139">
        <f>IFERROR(INDEX($K$2:$K$5,MATCH(A373,$J$2:$J$5,0)),A373)</f>
        <v/>
      </c>
      <c r="C373" s="139" t="inlineStr">
        <is>
          <t>שרם</t>
        </is>
      </c>
      <c r="D373" s="139" t="inlineStr">
        <is>
          <t xml:space="preserve"> הר נוף י-ם ב.מ שרמפארם</t>
        </is>
      </c>
      <c r="E373" s="139" t="n">
        <v>95</v>
      </c>
      <c r="F373" s="140" t="n">
        <v>3019</v>
      </c>
      <c r="G373" s="139" t="n">
        <v>58</v>
      </c>
      <c r="H373" s="140" t="n">
        <v>2061</v>
      </c>
    </row>
    <row r="374" ht="15" customHeight="1" s="82">
      <c r="A374" s="139" t="inlineStr">
        <is>
          <t>סטאס</t>
        </is>
      </c>
      <c r="B374" s="139">
        <f>IFERROR(INDEX($K$2:$K$5,MATCH(A374,$J$2:$J$5,0)),A374)</f>
        <v/>
      </c>
      <c r="C374" s="139" t="inlineStr">
        <is>
          <t>שרם</t>
        </is>
      </c>
      <c r="D374" s="139" t="inlineStr">
        <is>
          <t xml:space="preserve"> בימר""""ק אלחיאת טייבה שרמפארם</t>
        </is>
      </c>
      <c r="E374" s="139" t="n">
        <v>1</v>
      </c>
      <c r="F374" s="140" t="n">
        <v>41.4</v>
      </c>
      <c r="G374" s="139" t="n">
        <v>2</v>
      </c>
      <c r="H374" s="140" t="n">
        <v>82.8</v>
      </c>
    </row>
    <row r="375" ht="15" customHeight="1" s="82">
      <c r="A375" s="139" t="inlineStr">
        <is>
          <t>סטאס</t>
        </is>
      </c>
      <c r="B375" s="139">
        <f>IFERROR(INDEX($K$2:$K$5,MATCH(A375,$J$2:$J$5,0)),A375)</f>
        <v/>
      </c>
      <c r="C375" s="139" t="inlineStr">
        <is>
          <t>שרם</t>
        </is>
      </c>
      <c r="D375" s="139" t="inlineStr">
        <is>
          <t xml:space="preserve"> הלא פארם ג'לג'וליה ב.מ</t>
        </is>
      </c>
      <c r="E375" s="139" t="n">
        <v>294</v>
      </c>
      <c r="F375" s="140" t="n">
        <v>10344.2</v>
      </c>
      <c r="G375" s="139" t="n">
        <v>178</v>
      </c>
      <c r="H375" s="140" t="n">
        <v>6480.9</v>
      </c>
    </row>
    <row r="376" ht="15" customHeight="1" s="82">
      <c r="A376" s="139" t="inlineStr">
        <is>
          <t>חיים</t>
        </is>
      </c>
      <c r="B376" s="139">
        <f>IFERROR(INDEX($K$2:$K$5,MATCH(A376,$J$2:$J$5,0)),A376)</f>
        <v/>
      </c>
      <c r="C376" s="139" t="inlineStr">
        <is>
          <t>שרם</t>
        </is>
      </c>
      <c r="D376" s="139" t="inlineStr">
        <is>
          <t xml:space="preserve"> רמי קלנסואה ב.מ</t>
        </is>
      </c>
      <c r="E376" s="139" t="n">
        <v>114</v>
      </c>
      <c r="F376" s="140" t="n">
        <v>5585.5</v>
      </c>
      <c r="G376" s="139" t="n">
        <v>25</v>
      </c>
      <c r="H376" s="140" t="n">
        <v>2018.5</v>
      </c>
    </row>
    <row r="377" ht="15" customHeight="1" s="82">
      <c r="A377" s="139" t="inlineStr">
        <is>
          <t>חאזם</t>
        </is>
      </c>
      <c r="B377" s="139">
        <f>IFERROR(INDEX($K$2:$K$5,MATCH(A377,$J$2:$J$5,0)),A377)</f>
        <v/>
      </c>
      <c r="C377" s="139" t="inlineStr">
        <is>
          <t>שרם</t>
        </is>
      </c>
      <c r="D377" s="139" t="inlineStr">
        <is>
          <t xml:space="preserve"> אקספו פארם מכר ב.מ שרמפארם</t>
        </is>
      </c>
      <c r="E377" s="139" t="n">
        <v>291</v>
      </c>
      <c r="F377" s="140" t="n">
        <v>10654.4</v>
      </c>
      <c r="G377" s="139" t="n">
        <v>107</v>
      </c>
      <c r="H377" s="140" t="n">
        <v>4370.8</v>
      </c>
    </row>
    <row r="378" ht="15" customHeight="1" s="82">
      <c r="A378" s="139" t="inlineStr">
        <is>
          <t>חאזם</t>
        </is>
      </c>
      <c r="B378" s="139">
        <f>IFERROR(INDEX($K$2:$K$5,MATCH(A378,$J$2:$J$5,0)),A378)</f>
        <v/>
      </c>
      <c r="C378" s="139" t="inlineStr">
        <is>
          <t>שרם</t>
        </is>
      </c>
      <c r="D378" s="139" t="inlineStr">
        <is>
          <t xml:space="preserve"> אקופארם ב.מ מעלות שרמפארם</t>
        </is>
      </c>
      <c r="E378" s="139" t="n">
        <v>168</v>
      </c>
      <c r="F378" s="140" t="n">
        <v>5265</v>
      </c>
      <c r="G378" s="139" t="n">
        <v>124</v>
      </c>
      <c r="H378" s="140" t="n">
        <v>5145.3</v>
      </c>
    </row>
    <row r="379" ht="15" customHeight="1" s="82">
      <c r="A379" s="139" t="inlineStr">
        <is>
          <t>חאזם</t>
        </is>
      </c>
      <c r="B379" s="139">
        <f>IFERROR(INDEX($K$2:$K$5,MATCH(A379,$J$2:$J$5,0)),A379)</f>
        <v/>
      </c>
      <c r="C379" s="139" t="inlineStr">
        <is>
          <t>שרם</t>
        </is>
      </c>
      <c r="D379" s="139" t="inlineStr">
        <is>
          <t xml:space="preserve"> אלשיפאא ב.מ כפר עראבה שרמפארם</t>
        </is>
      </c>
      <c r="E379" s="139" t="n">
        <v>0</v>
      </c>
      <c r="F379" s="140" t="n">
        <v>0</v>
      </c>
      <c r="G379" s="139" t="n">
        <v>1</v>
      </c>
      <c r="H379" s="140" t="n">
        <v>164</v>
      </c>
    </row>
    <row r="380" ht="15" customHeight="1" s="82">
      <c r="A380" s="139" t="inlineStr">
        <is>
          <t>חאזם</t>
        </is>
      </c>
      <c r="B380" s="139">
        <f>IFERROR(INDEX($K$2:$K$5,MATCH(A380,$J$2:$J$5,0)),A380)</f>
        <v/>
      </c>
      <c r="C380" s="139" t="inlineStr">
        <is>
          <t>שרם</t>
        </is>
      </c>
      <c r="D380" s="139" t="inlineStr">
        <is>
          <t xml:space="preserve"> אסף עפולה ב.מ שרמפארם</t>
        </is>
      </c>
      <c r="E380" s="139" t="n">
        <v>29</v>
      </c>
      <c r="F380" s="140" t="n">
        <v>546.2</v>
      </c>
      <c r="G380" s="139" t="n">
        <v>27</v>
      </c>
      <c r="H380" s="140" t="n">
        <v>747.2</v>
      </c>
    </row>
    <row r="381" ht="15" customHeight="1" s="82">
      <c r="A381" s="139" t="inlineStr">
        <is>
          <t>חאזם</t>
        </is>
      </c>
      <c r="B381" s="139">
        <f>IFERROR(INDEX($K$2:$K$5,MATCH(A381,$J$2:$J$5,0)),A381)</f>
        <v/>
      </c>
      <c r="C381" s="139" t="inlineStr">
        <is>
          <t>שרם</t>
        </is>
      </c>
      <c r="D381" s="139" t="inlineStr">
        <is>
          <t xml:space="preserve"> השלום כפר מוקבלה ב.מ</t>
        </is>
      </c>
      <c r="E381" s="139" t="n">
        <v>24</v>
      </c>
      <c r="F381" s="140" t="n">
        <v>852</v>
      </c>
      <c r="G381" s="139" t="n">
        <v>6</v>
      </c>
      <c r="H381" s="140" t="n">
        <v>280.9</v>
      </c>
    </row>
    <row r="382" ht="15" customHeight="1" s="82">
      <c r="A382" s="139" t="inlineStr">
        <is>
          <t>חאזם</t>
        </is>
      </c>
      <c r="B382" s="139">
        <f>IFERROR(INDEX($K$2:$K$5,MATCH(A382,$J$2:$J$5,0)),A382)</f>
        <v/>
      </c>
      <c r="C382" s="139" t="inlineStr">
        <is>
          <t>שרם</t>
        </is>
      </c>
      <c r="D382" s="139" t="inlineStr">
        <is>
          <t xml:space="preserve"> ב.מ CPHARM טשרניחובסקי</t>
        </is>
      </c>
      <c r="E382" s="139" t="n">
        <v>30</v>
      </c>
      <c r="F382" s="140" t="n">
        <v>841.6</v>
      </c>
      <c r="G382" s="139" t="n">
        <v>1</v>
      </c>
      <c r="H382" s="140" t="n">
        <v>47.3</v>
      </c>
    </row>
    <row r="383" ht="15" customHeight="1" s="82">
      <c r="A383" s="139" t="inlineStr">
        <is>
          <t>דוד</t>
        </is>
      </c>
      <c r="B383" s="139">
        <f>IFERROR(INDEX($K$2:$K$5,MATCH(A383,$J$2:$J$5,0)),A383)</f>
        <v/>
      </c>
      <c r="C383" s="139" t="inlineStr">
        <is>
          <t>שרם</t>
        </is>
      </c>
      <c r="D383" s="139" t="inlineStr">
        <is>
          <t xml:space="preserve"> הבירה י-ם ב.מ שרמפארם</t>
        </is>
      </c>
      <c r="E383" s="139" t="n">
        <v>0</v>
      </c>
      <c r="F383" s="140" t="n">
        <v>0</v>
      </c>
      <c r="G383" s="139" t="n">
        <v>5</v>
      </c>
      <c r="H383" s="140" t="n">
        <v>127.3</v>
      </c>
    </row>
    <row r="384" ht="15" customHeight="1" s="82">
      <c r="A384" s="139" t="inlineStr">
        <is>
          <t>דוד</t>
        </is>
      </c>
      <c r="B384" s="139">
        <f>IFERROR(INDEX($K$2:$K$5,MATCH(A384,$J$2:$J$5,0)),A384)</f>
        <v/>
      </c>
      <c r="C384" s="139" t="inlineStr">
        <is>
          <t>שרם</t>
        </is>
      </c>
      <c r="D384" s="139" t="inlineStr">
        <is>
          <t xml:space="preserve"> פארם פור יו ב.מ שרמפארם</t>
        </is>
      </c>
      <c r="E384" s="139" t="n">
        <v>0</v>
      </c>
      <c r="F384" s="140" t="n">
        <v>0</v>
      </c>
      <c r="G384" s="139" t="n">
        <v>185</v>
      </c>
      <c r="H384" s="140" t="n">
        <v>5806.5</v>
      </c>
    </row>
    <row r="385" ht="15" customHeight="1" s="82">
      <c r="A385" s="139" t="inlineStr">
        <is>
          <t>חיים</t>
        </is>
      </c>
      <c r="B385" s="139">
        <f>IFERROR(INDEX($K$2:$K$5,MATCH(A385,$J$2:$J$5,0)),A385)</f>
        <v/>
      </c>
      <c r="C385" s="139" t="inlineStr">
        <is>
          <t>שרם</t>
        </is>
      </c>
      <c r="D385" s="139" t="inlineStr">
        <is>
          <t xml:space="preserve"> פארמה גנים ראשל""""צ ב.מ שרמ</t>
        </is>
      </c>
      <c r="E385" s="139" t="n">
        <v>109</v>
      </c>
      <c r="F385" s="140" t="n">
        <v>3358</v>
      </c>
      <c r="G385" s="139" t="n">
        <v>14</v>
      </c>
      <c r="H385" s="140" t="n">
        <v>485.9</v>
      </c>
    </row>
    <row r="386" ht="15" customHeight="1" s="82">
      <c r="A386" s="139" t="inlineStr">
        <is>
          <t>חיים</t>
        </is>
      </c>
      <c r="B386" s="139">
        <f>IFERROR(INDEX($K$2:$K$5,MATCH(A386,$J$2:$J$5,0)),A386)</f>
        <v/>
      </c>
      <c r="C386" s="139" t="inlineStr">
        <is>
          <t>שרם</t>
        </is>
      </c>
      <c r="D386" s="139" t="inlineStr">
        <is>
          <t xml:space="preserve"> בית מרקחת הרצליה שרמפארם</t>
        </is>
      </c>
      <c r="E386" s="139" t="n">
        <v>20</v>
      </c>
      <c r="F386" s="140" t="n">
        <v>687.3</v>
      </c>
      <c r="G386" s="139" t="n">
        <v>5</v>
      </c>
      <c r="H386" s="140" t="n">
        <v>182.6</v>
      </c>
    </row>
    <row r="387" ht="15" customHeight="1" s="82">
      <c r="A387" s="139" t="inlineStr">
        <is>
          <t>חיים</t>
        </is>
      </c>
      <c r="B387" s="139">
        <f>IFERROR(INDEX($K$2:$K$5,MATCH(A387,$J$2:$J$5,0)),A387)</f>
        <v/>
      </c>
      <c r="C387" s="139" t="inlineStr">
        <is>
          <t>שרם</t>
        </is>
      </c>
      <c r="D387" s="139" t="inlineStr">
        <is>
          <t xml:space="preserve"> למד ת""""א ב.מ שרםפארם</t>
        </is>
      </c>
      <c r="E387" s="139" t="n">
        <v>13</v>
      </c>
      <c r="F387" s="140" t="n">
        <v>463.9</v>
      </c>
      <c r="G387" s="139" t="n">
        <v>11</v>
      </c>
      <c r="H387" s="140" t="n">
        <v>300.4</v>
      </c>
    </row>
    <row r="388" ht="15" customHeight="1" s="82">
      <c r="A388" s="139" t="inlineStr">
        <is>
          <t>חיים</t>
        </is>
      </c>
      <c r="B388" s="139">
        <f>IFERROR(INDEX($K$2:$K$5,MATCH(A388,$J$2:$J$5,0)),A388)</f>
        <v/>
      </c>
      <c r="C388" s="139" t="inlineStr">
        <is>
          <t>שרם</t>
        </is>
      </c>
      <c r="D388" s="139" t="inlineStr">
        <is>
          <t xml:space="preserve"> יהודה הלוי ת""""א ב.מ שרםפארם</t>
        </is>
      </c>
      <c r="E388" s="139" t="n">
        <v>0</v>
      </c>
      <c r="F388" s="140" t="n">
        <v>0</v>
      </c>
      <c r="G388" s="139" t="n">
        <v>74</v>
      </c>
      <c r="H388" s="140" t="n">
        <v>3054.3</v>
      </c>
    </row>
    <row r="389" ht="15" customHeight="1" s="82">
      <c r="A389" s="139" t="inlineStr">
        <is>
          <t>חאזם</t>
        </is>
      </c>
      <c r="B389" s="139">
        <f>IFERROR(INDEX($K$2:$K$5,MATCH(A389,$J$2:$J$5,0)),A389)</f>
        <v/>
      </c>
      <c r="C389" s="139" t="inlineStr">
        <is>
          <t>שרם</t>
        </is>
      </c>
      <c r="D389" s="139" t="inlineStr">
        <is>
          <t xml:space="preserve"> אלשפא בע""""מ א.א.פחם ב.מ  שרמפאר</t>
        </is>
      </c>
      <c r="E389" s="139" t="n">
        <v>29</v>
      </c>
      <c r="F389" s="140" t="n">
        <v>740.5</v>
      </c>
      <c r="G389" s="139" t="n">
        <v>15</v>
      </c>
      <c r="H389" s="140" t="n">
        <v>701.9</v>
      </c>
    </row>
    <row r="390" ht="15" customHeight="1" s="82">
      <c r="A390" s="139" t="inlineStr">
        <is>
          <t>חאזם</t>
        </is>
      </c>
      <c r="B390" s="139">
        <f>IFERROR(INDEX($K$2:$K$5,MATCH(A390,$J$2:$J$5,0)),A390)</f>
        <v/>
      </c>
      <c r="C390" s="139" t="inlineStr">
        <is>
          <t>שרם</t>
        </is>
      </c>
      <c r="D390" s="139" t="inlineStr">
        <is>
          <t xml:space="preserve"> אלעין פקיעין ב.מ</t>
        </is>
      </c>
      <c r="E390" s="139" t="n">
        <v>61</v>
      </c>
      <c r="F390" s="140" t="n">
        <v>2817</v>
      </c>
      <c r="G390" s="139" t="n">
        <v>32</v>
      </c>
      <c r="H390" s="140" t="n">
        <v>1697</v>
      </c>
    </row>
    <row r="391" ht="15" customHeight="1" s="82">
      <c r="A391" s="139" t="inlineStr">
        <is>
          <t>חאזם</t>
        </is>
      </c>
      <c r="B391" s="139">
        <f>IFERROR(INDEX($K$2:$K$5,MATCH(A391,$J$2:$J$5,0)),A391)</f>
        <v/>
      </c>
      <c r="C391" s="139" t="inlineStr">
        <is>
          <t>שרם</t>
        </is>
      </c>
      <c r="D391" s="139" t="inlineStr">
        <is>
          <t xml:space="preserve"> אלסלאם כאבול ב.מ שרמפארם</t>
        </is>
      </c>
      <c r="E391" s="139" t="n">
        <v>255</v>
      </c>
      <c r="F391" s="140" t="n">
        <v>9926</v>
      </c>
      <c r="G391" s="139" t="n">
        <v>0</v>
      </c>
      <c r="H391" s="140" t="n">
        <v>0</v>
      </c>
    </row>
    <row r="392" ht="15" customHeight="1" s="82">
      <c r="A392" s="139" t="inlineStr">
        <is>
          <t>חאזם</t>
        </is>
      </c>
      <c r="B392" s="139">
        <f>IFERROR(INDEX($K$2:$K$5,MATCH(A392,$J$2:$J$5,0)),A392)</f>
        <v/>
      </c>
      <c r="C392" s="139" t="inlineStr">
        <is>
          <t>שרם</t>
        </is>
      </c>
      <c r="D392" s="139" t="inlineStr">
        <is>
          <t xml:space="preserve"> מירוני חיפה ב.מ שרמפארם</t>
        </is>
      </c>
      <c r="E392" s="139" t="n">
        <v>23</v>
      </c>
      <c r="F392" s="140" t="n">
        <v>528</v>
      </c>
      <c r="G392" s="139" t="n">
        <v>7</v>
      </c>
      <c r="H392" s="140" t="n">
        <v>157.2</v>
      </c>
    </row>
    <row r="393" ht="15" customHeight="1" s="82">
      <c r="A393" s="139" t="inlineStr">
        <is>
          <t>חאזם</t>
        </is>
      </c>
      <c r="B393" s="139">
        <f>IFERROR(INDEX($K$2:$K$5,MATCH(A393,$J$2:$J$5,0)),A393)</f>
        <v/>
      </c>
      <c r="C393" s="139" t="inlineStr">
        <is>
          <t>שרם</t>
        </is>
      </c>
      <c r="D393" s="139" t="inlineStr">
        <is>
          <t xml:space="preserve"> השושנים ב.מ שרמפארם</t>
        </is>
      </c>
      <c r="E393" s="139" t="n">
        <v>77</v>
      </c>
      <c r="F393" s="140" t="n">
        <v>2031.2</v>
      </c>
      <c r="G393" s="139" t="n">
        <v>5</v>
      </c>
      <c r="H393" s="140" t="n">
        <v>96.3</v>
      </c>
    </row>
    <row r="394" ht="15" customHeight="1" s="82">
      <c r="A394" s="139" t="inlineStr">
        <is>
          <t>דוד</t>
        </is>
      </c>
      <c r="B394" s="139">
        <f>IFERROR(INDEX($K$2:$K$5,MATCH(A394,$J$2:$J$5,0)),A394)</f>
        <v/>
      </c>
      <c r="C394" s="139" t="inlineStr">
        <is>
          <t>גוד פארם</t>
        </is>
      </c>
      <c r="D394" s="139" t="inlineStr">
        <is>
          <t xml:space="preserve"> גוד פארם קרית גת איי סלומון</t>
        </is>
      </c>
      <c r="E394" s="139" t="n">
        <v>211</v>
      </c>
      <c r="F394" s="140" t="n">
        <v>7580.8</v>
      </c>
      <c r="G394" s="139" t="n">
        <v>133</v>
      </c>
      <c r="H394" s="140" t="n">
        <v>4884.5</v>
      </c>
    </row>
    <row r="395" ht="15" customHeight="1" s="82">
      <c r="A395" s="139" t="inlineStr">
        <is>
          <t>חאזם</t>
        </is>
      </c>
      <c r="B395" s="139">
        <f>IFERROR(INDEX($K$2:$K$5,MATCH(A395,$J$2:$J$5,0)),A395)</f>
        <v/>
      </c>
      <c r="C395" s="139" t="inlineStr">
        <is>
          <t>גוד פארם</t>
        </is>
      </c>
      <c r="D395" s="139" t="inlineStr">
        <is>
          <t xml:space="preserve"> גוד פארם קרית מוצקין בימר""""ק</t>
        </is>
      </c>
      <c r="E395" s="139" t="n">
        <v>444</v>
      </c>
      <c r="F395" s="140" t="n">
        <v>13618.4</v>
      </c>
      <c r="G395" s="139" t="n">
        <v>310</v>
      </c>
      <c r="H395" s="140" t="n">
        <v>8560.4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 filterMode="0">
    <tabColor rgb="FFED7D31"/>
    <outlinePr summaryBelow="1" summaryRight="1"/>
    <pageSetUpPr fitToPage="0"/>
  </sheetPr>
  <dimension ref="A1:J1131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20" customWidth="1" style="81" min="1" max="1"/>
    <col width="24" customWidth="1" style="81" min="2" max="2"/>
    <col width="12" customWidth="1" style="81" min="3" max="3"/>
    <col width="34" customWidth="1" style="81" min="4" max="4"/>
    <col width="14" customWidth="1" style="81" min="5" max="6"/>
    <col width="11" customWidth="1" style="81" min="7" max="8"/>
    <col width="24" customWidth="1" style="81" min="9" max="9"/>
    <col width="46" customWidth="1" style="81" min="10" max="10"/>
  </cols>
  <sheetData>
    <row r="1" ht="16.5" customHeight="1" s="82">
      <c r="A1" s="141" t="inlineStr">
        <is>
          <t>לקוחות לפי סוכן וערוץ — איחוד מקורות: "לקוחות לפי סוכן - מקור" + "מכירות 25-26 לפי לקוח-סוכן" (2025 לעומת 2026)</t>
        </is>
      </c>
    </row>
    <row r="2" ht="15" customHeight="1" s="82">
      <c r="A2" s="142" t="inlineStr">
        <is>
          <t>תאריך חישוב:</t>
        </is>
      </c>
      <c r="B2" s="139" t="inlineStr">
        <is>
          <t>15/10/26</t>
        </is>
      </c>
    </row>
    <row r="4" ht="15" customHeight="1" s="82">
      <c r="A4" s="137" t="inlineStr">
        <is>
          <t>סוכן</t>
        </is>
      </c>
      <c r="B4" s="137" t="inlineStr">
        <is>
          <t>ערוץ / רשת</t>
        </is>
      </c>
      <c r="C4" s="137" t="inlineStr">
        <is>
          <t>קוד לקוח</t>
        </is>
      </c>
      <c r="D4" s="137" t="inlineStr">
        <is>
          <t>שם לקוח/חנות</t>
        </is>
      </c>
      <c r="E4" s="137" t="inlineStr">
        <is>
          <t>מכר 2025 (₪)</t>
        </is>
      </c>
      <c r="F4" s="137" t="inlineStr">
        <is>
          <t>מכר 2026 (₪)</t>
        </is>
      </c>
      <c r="G4" s="137" t="inlineStr">
        <is>
          <t>כמות 2025</t>
        </is>
      </c>
      <c r="H4" s="137" t="inlineStr">
        <is>
          <t>כמות 2026</t>
        </is>
      </c>
      <c r="I4" s="137" t="inlineStr">
        <is>
          <t>מקור הנתון</t>
        </is>
      </c>
      <c r="J4" s="137" t="inlineStr">
        <is>
          <t>סטטוס</t>
        </is>
      </c>
    </row>
    <row r="5" ht="15" customHeight="1" s="82">
      <c r="A5" s="143" t="inlineStr">
        <is>
          <t>אמזלג × מירב שירה</t>
        </is>
      </c>
      <c r="B5" s="144" t="n"/>
      <c r="C5" s="144" t="n"/>
      <c r="D5" s="143" t="inlineStr">
        <is>
          <t>סה"כ 15 חנויות</t>
        </is>
      </c>
      <c r="E5" s="145">
        <f>SUM(E6:E20)</f>
        <v/>
      </c>
      <c r="F5" s="145">
        <f>SUM(F6:F20)</f>
        <v/>
      </c>
      <c r="G5" s="146">
        <f>SUM(G6:G20)</f>
        <v/>
      </c>
      <c r="H5" s="146">
        <f>SUM(H6:H20)</f>
        <v/>
      </c>
      <c r="I5" s="143" t="inlineStr">
        <is>
          <t>שני המקורות (מאוחד)</t>
        </is>
      </c>
      <c r="J5" s="144" t="n"/>
    </row>
    <row r="6" ht="15" customHeight="1" s="82">
      <c r="A6" s="139">
        <f>'לקוחות לפי סוכן - מקור'!A2</f>
        <v/>
      </c>
      <c r="B6" s="139">
        <f>'לקוחות לפי סוכן - מקור'!C2</f>
        <v/>
      </c>
      <c r="C6" s="139">
        <f>'לקוחות לפי סוכן - מקור'!D2</f>
        <v/>
      </c>
      <c r="D6" s="139">
        <f>'לקוחות לפי סוכן - מקור'!E2</f>
        <v/>
      </c>
      <c r="E6" s="147">
        <f>'לקוחות לפי סוכן - מקור'!F2</f>
        <v/>
      </c>
      <c r="F6" s="147">
        <f>'לקוחות לפי סוכן - מקור'!G2</f>
        <v/>
      </c>
      <c r="G6" s="148">
        <f>'לקוחות לפי סוכן - מקור'!H2</f>
        <v/>
      </c>
      <c r="H6" s="148">
        <f>'לקוחות לפי סוכן - מקור'!I2</f>
        <v/>
      </c>
      <c r="I6" s="139">
        <f>'לקוחות לפי סוכן - מקור'!K2</f>
        <v/>
      </c>
      <c r="J6" s="139" t="inlineStr">
        <is>
          <t>קיים במקור</t>
        </is>
      </c>
    </row>
    <row r="7" ht="15" customHeight="1" s="82">
      <c r="A7" s="139">
        <f>'לקוחות לפי סוכן - מקור'!A3</f>
        <v/>
      </c>
      <c r="B7" s="139">
        <f>'לקוחות לפי סוכן - מקור'!C3</f>
        <v/>
      </c>
      <c r="C7" s="139">
        <f>'לקוחות לפי סוכן - מקור'!D3</f>
        <v/>
      </c>
      <c r="D7" s="139">
        <f>'לקוחות לפי סוכן - מקור'!E3</f>
        <v/>
      </c>
      <c r="E7" s="147">
        <f>'לקוחות לפי סוכן - מקור'!F3</f>
        <v/>
      </c>
      <c r="F7" s="147">
        <f>'לקוחות לפי סוכן - מקור'!G3</f>
        <v/>
      </c>
      <c r="G7" s="148">
        <f>'לקוחות לפי סוכן - מקור'!H3</f>
        <v/>
      </c>
      <c r="H7" s="148">
        <f>'לקוחות לפי סוכן - מקור'!I3</f>
        <v/>
      </c>
      <c r="I7" s="139">
        <f>'לקוחות לפי סוכן - מקור'!K3</f>
        <v/>
      </c>
      <c r="J7" s="139" t="inlineStr">
        <is>
          <t>קיים במקור</t>
        </is>
      </c>
    </row>
    <row r="8" ht="15" customHeight="1" s="82">
      <c r="A8" s="139">
        <f>'לקוחות לפי סוכן - מקור'!A4</f>
        <v/>
      </c>
      <c r="B8" s="139">
        <f>'לקוחות לפי סוכן - מקור'!C4</f>
        <v/>
      </c>
      <c r="C8" s="139">
        <f>'לקוחות לפי סוכן - מקור'!D4</f>
        <v/>
      </c>
      <c r="D8" s="139">
        <f>'לקוחות לפי סוכן - מקור'!E4</f>
        <v/>
      </c>
      <c r="E8" s="147">
        <f>'לקוחות לפי סוכן - מקור'!F4</f>
        <v/>
      </c>
      <c r="F8" s="147">
        <f>'לקוחות לפי סוכן - מקור'!G4</f>
        <v/>
      </c>
      <c r="G8" s="148">
        <f>'לקוחות לפי סוכן - מקור'!H4</f>
        <v/>
      </c>
      <c r="H8" s="148">
        <f>'לקוחות לפי סוכן - מקור'!I4</f>
        <v/>
      </c>
      <c r="I8" s="139">
        <f>'לקוחות לפי סוכן - מקור'!K4</f>
        <v/>
      </c>
      <c r="J8" s="139" t="inlineStr">
        <is>
          <t>קיים במקור</t>
        </is>
      </c>
    </row>
    <row r="9" ht="15" customHeight="1" s="82">
      <c r="A9" s="139">
        <f>'לקוחות לפי סוכן - מקור'!A5</f>
        <v/>
      </c>
      <c r="B9" s="139">
        <f>'לקוחות לפי סוכן - מקור'!C5</f>
        <v/>
      </c>
      <c r="C9" s="139">
        <f>'לקוחות לפי סוכן - מקור'!D5</f>
        <v/>
      </c>
      <c r="D9" s="139">
        <f>'לקוחות לפי סוכן - מקור'!E5</f>
        <v/>
      </c>
      <c r="E9" s="147">
        <f>'לקוחות לפי סוכן - מקור'!F5</f>
        <v/>
      </c>
      <c r="F9" s="147">
        <f>'לקוחות לפי סוכן - מקור'!G5</f>
        <v/>
      </c>
      <c r="G9" s="148">
        <f>'לקוחות לפי סוכן - מקור'!H5</f>
        <v/>
      </c>
      <c r="H9" s="148">
        <f>'לקוחות לפי סוכן - מקור'!I5</f>
        <v/>
      </c>
      <c r="I9" s="139">
        <f>'לקוחות לפי סוכן - מקור'!K5</f>
        <v/>
      </c>
      <c r="J9" s="139" t="inlineStr">
        <is>
          <t>קיים במקור</t>
        </is>
      </c>
    </row>
    <row r="10" ht="15" customHeight="1" s="82">
      <c r="A10" s="139">
        <f>'לקוחות לפי סוכן - מקור'!A6</f>
        <v/>
      </c>
      <c r="B10" s="139">
        <f>'לקוחות לפי סוכן - מקור'!C6</f>
        <v/>
      </c>
      <c r="C10" s="139">
        <f>'לקוחות לפי סוכן - מקור'!D6</f>
        <v/>
      </c>
      <c r="D10" s="139">
        <f>'לקוחות לפי סוכן - מקור'!E6</f>
        <v/>
      </c>
      <c r="E10" s="147">
        <f>'לקוחות לפי סוכן - מקור'!F6</f>
        <v/>
      </c>
      <c r="F10" s="147">
        <f>'לקוחות לפי סוכן - מקור'!G6</f>
        <v/>
      </c>
      <c r="G10" s="148">
        <f>'לקוחות לפי סוכן - מקור'!H6</f>
        <v/>
      </c>
      <c r="H10" s="148">
        <f>'לקוחות לפי סוכן - מקור'!I6</f>
        <v/>
      </c>
      <c r="I10" s="139">
        <f>'לקוחות לפי סוכן - מקור'!K6</f>
        <v/>
      </c>
      <c r="J10" s="139" t="inlineStr">
        <is>
          <t>קיים במקור</t>
        </is>
      </c>
    </row>
    <row r="11" ht="15" customHeight="1" s="82">
      <c r="A11" s="139">
        <f>'לקוחות לפי סוכן - מקור'!A7</f>
        <v/>
      </c>
      <c r="B11" s="139">
        <f>'לקוחות לפי סוכן - מקור'!C7</f>
        <v/>
      </c>
      <c r="C11" s="139">
        <f>'לקוחות לפי סוכן - מקור'!D7</f>
        <v/>
      </c>
      <c r="D11" s="139">
        <f>'לקוחות לפי סוכן - מקור'!E7</f>
        <v/>
      </c>
      <c r="E11" s="147">
        <f>'לקוחות לפי סוכן - מקור'!F7</f>
        <v/>
      </c>
      <c r="F11" s="147">
        <f>'לקוחות לפי סוכן - מקור'!G7</f>
        <v/>
      </c>
      <c r="G11" s="148">
        <f>'לקוחות לפי סוכן - מקור'!H7</f>
        <v/>
      </c>
      <c r="H11" s="148">
        <f>'לקוחות לפי סוכן - מקור'!I7</f>
        <v/>
      </c>
      <c r="I11" s="139">
        <f>'לקוחות לפי סוכן - מקור'!K7</f>
        <v/>
      </c>
      <c r="J11" s="139" t="inlineStr">
        <is>
          <t>קיים במקור</t>
        </is>
      </c>
    </row>
    <row r="12" ht="15" customHeight="1" s="82">
      <c r="A12" s="139">
        <f>'לקוחות לפי סוכן - מקור'!A8</f>
        <v/>
      </c>
      <c r="B12" s="139">
        <f>'לקוחות לפי סוכן - מקור'!C8</f>
        <v/>
      </c>
      <c r="C12" s="139">
        <f>'לקוחות לפי סוכן - מקור'!D8</f>
        <v/>
      </c>
      <c r="D12" s="139">
        <f>'לקוחות לפי סוכן - מקור'!E8</f>
        <v/>
      </c>
      <c r="E12" s="147">
        <f>'לקוחות לפי סוכן - מקור'!F8</f>
        <v/>
      </c>
      <c r="F12" s="147">
        <f>'לקוחות לפי סוכן - מקור'!G8</f>
        <v/>
      </c>
      <c r="G12" s="148">
        <f>'לקוחות לפי סוכן - מקור'!H8</f>
        <v/>
      </c>
      <c r="H12" s="148">
        <f>'לקוחות לפי סוכן - מקור'!I8</f>
        <v/>
      </c>
      <c r="I12" s="139">
        <f>'לקוחות לפי סוכן - מקור'!K8</f>
        <v/>
      </c>
      <c r="J12" s="139" t="inlineStr">
        <is>
          <t>קיים במקור</t>
        </is>
      </c>
    </row>
    <row r="13" ht="15" customHeight="1" s="82">
      <c r="A13" s="139">
        <f>'לקוחות לפי סוכן - מקור'!A9</f>
        <v/>
      </c>
      <c r="B13" s="139">
        <f>'לקוחות לפי סוכן - מקור'!C9</f>
        <v/>
      </c>
      <c r="C13" s="139">
        <f>'לקוחות לפי סוכן - מקור'!D9</f>
        <v/>
      </c>
      <c r="D13" s="139">
        <f>'לקוחות לפי סוכן - מקור'!E9</f>
        <v/>
      </c>
      <c r="E13" s="147">
        <f>'לקוחות לפי סוכן - מקור'!F9</f>
        <v/>
      </c>
      <c r="F13" s="147">
        <f>'לקוחות לפי סוכן - מקור'!G9</f>
        <v/>
      </c>
      <c r="G13" s="148">
        <f>'לקוחות לפי סוכן - מקור'!H9</f>
        <v/>
      </c>
      <c r="H13" s="148">
        <f>'לקוחות לפי סוכן - מקור'!I9</f>
        <v/>
      </c>
      <c r="I13" s="139">
        <f>'לקוחות לפי סוכן - מקור'!K9</f>
        <v/>
      </c>
      <c r="J13" s="139" t="inlineStr">
        <is>
          <t>קיים במקור</t>
        </is>
      </c>
    </row>
    <row r="14" ht="15" customHeight="1" s="82">
      <c r="A14" s="139">
        <f>'לקוחות לפי סוכן - מקור'!A10</f>
        <v/>
      </c>
      <c r="B14" s="139">
        <f>'לקוחות לפי סוכן - מקור'!C10</f>
        <v/>
      </c>
      <c r="C14" s="139">
        <f>'לקוחות לפי סוכן - מקור'!D10</f>
        <v/>
      </c>
      <c r="D14" s="139">
        <f>'לקוחות לפי סוכן - מקור'!E10</f>
        <v/>
      </c>
      <c r="E14" s="147">
        <f>'לקוחות לפי סוכן - מקור'!F10</f>
        <v/>
      </c>
      <c r="F14" s="147">
        <f>'לקוחות לפי סוכן - מקור'!G10</f>
        <v/>
      </c>
      <c r="G14" s="148">
        <f>'לקוחות לפי סוכן - מקור'!H10</f>
        <v/>
      </c>
      <c r="H14" s="148">
        <f>'לקוחות לפי סוכן - מקור'!I10</f>
        <v/>
      </c>
      <c r="I14" s="139">
        <f>'לקוחות לפי סוכן - מקור'!K10</f>
        <v/>
      </c>
      <c r="J14" s="139" t="inlineStr">
        <is>
          <t>קיים במקור</t>
        </is>
      </c>
    </row>
    <row r="15" ht="15" customHeight="1" s="82">
      <c r="A15" s="139">
        <f>'לקוחות לפי סוכן - מקור'!A11</f>
        <v/>
      </c>
      <c r="B15" s="139">
        <f>'לקוחות לפי סוכן - מקור'!C11</f>
        <v/>
      </c>
      <c r="C15" s="139">
        <f>'לקוחות לפי סוכן - מקור'!D11</f>
        <v/>
      </c>
      <c r="D15" s="139">
        <f>'לקוחות לפי סוכן - מקור'!E11</f>
        <v/>
      </c>
      <c r="E15" s="147">
        <f>'לקוחות לפי סוכן - מקור'!F11</f>
        <v/>
      </c>
      <c r="F15" s="147">
        <f>'לקוחות לפי סוכן - מקור'!G11</f>
        <v/>
      </c>
      <c r="G15" s="148">
        <f>'לקוחות לפי סוכן - מקור'!H11</f>
        <v/>
      </c>
      <c r="H15" s="148">
        <f>'לקוחות לפי סוכן - מקור'!I11</f>
        <v/>
      </c>
      <c r="I15" s="139">
        <f>'לקוחות לפי סוכן - מקור'!K11</f>
        <v/>
      </c>
      <c r="J15" s="139" t="inlineStr">
        <is>
          <t>קיים במקור</t>
        </is>
      </c>
    </row>
    <row r="16" ht="15" customHeight="1" s="82">
      <c r="A16" s="139">
        <f>'לקוחות לפי סוכן - מקור'!A12</f>
        <v/>
      </c>
      <c r="B16" s="139">
        <f>'לקוחות לפי סוכן - מקור'!C12</f>
        <v/>
      </c>
      <c r="C16" s="139">
        <f>'לקוחות לפי סוכן - מקור'!D12</f>
        <v/>
      </c>
      <c r="D16" s="139">
        <f>'לקוחות לפי סוכן - מקור'!E12</f>
        <v/>
      </c>
      <c r="E16" s="147">
        <f>'לקוחות לפי סוכן - מקור'!F12</f>
        <v/>
      </c>
      <c r="F16" s="147">
        <f>'לקוחות לפי סוכן - מקור'!G12</f>
        <v/>
      </c>
      <c r="G16" s="148">
        <f>'לקוחות לפי סוכן - מקור'!H12</f>
        <v/>
      </c>
      <c r="H16" s="148">
        <f>'לקוחות לפי סוכן - מקור'!I12</f>
        <v/>
      </c>
      <c r="I16" s="139">
        <f>'לקוחות לפי סוכן - מקור'!K12</f>
        <v/>
      </c>
      <c r="J16" s="139" t="inlineStr">
        <is>
          <t>קיים במקור</t>
        </is>
      </c>
    </row>
    <row r="17" ht="15" customHeight="1" s="82">
      <c r="A17" s="139">
        <f>'לקוחות לפי סוכן - מקור'!A13</f>
        <v/>
      </c>
      <c r="B17" s="139">
        <f>'לקוחות לפי סוכן - מקור'!C13</f>
        <v/>
      </c>
      <c r="C17" s="139">
        <f>'לקוחות לפי סוכן - מקור'!D13</f>
        <v/>
      </c>
      <c r="D17" s="139">
        <f>'לקוחות לפי סוכן - מקור'!E13</f>
        <v/>
      </c>
      <c r="E17" s="147">
        <f>'לקוחות לפי סוכן - מקור'!F13</f>
        <v/>
      </c>
      <c r="F17" s="147">
        <f>'לקוחות לפי סוכן - מקור'!G13</f>
        <v/>
      </c>
      <c r="G17" s="148">
        <f>'לקוחות לפי סוכן - מקור'!H13</f>
        <v/>
      </c>
      <c r="H17" s="148">
        <f>'לקוחות לפי סוכן - מקור'!I13</f>
        <v/>
      </c>
      <c r="I17" s="139">
        <f>'לקוחות לפי סוכן - מקור'!K13</f>
        <v/>
      </c>
      <c r="J17" s="139" t="inlineStr">
        <is>
          <t>קיים במקור</t>
        </is>
      </c>
    </row>
    <row r="18" ht="15" customHeight="1" s="82">
      <c r="A18" s="139">
        <f>'לקוחות לפי סוכן - מקור'!A14</f>
        <v/>
      </c>
      <c r="B18" s="139">
        <f>'לקוחות לפי סוכן - מקור'!C14</f>
        <v/>
      </c>
      <c r="C18" s="139">
        <f>'לקוחות לפי סוכן - מקור'!D14</f>
        <v/>
      </c>
      <c r="D18" s="139">
        <f>'לקוחות לפי סוכן - מקור'!E14</f>
        <v/>
      </c>
      <c r="E18" s="147">
        <f>'לקוחות לפי סוכן - מקור'!F14</f>
        <v/>
      </c>
      <c r="F18" s="147">
        <f>'לקוחות לפי סוכן - מקור'!G14</f>
        <v/>
      </c>
      <c r="G18" s="148">
        <f>'לקוחות לפי סוכן - מקור'!H14</f>
        <v/>
      </c>
      <c r="H18" s="148">
        <f>'לקוחות לפי סוכן - מקור'!I14</f>
        <v/>
      </c>
      <c r="I18" s="139">
        <f>'לקוחות לפי סוכן - מקור'!K14</f>
        <v/>
      </c>
      <c r="J18" s="139" t="inlineStr">
        <is>
          <t>קיים במקור</t>
        </is>
      </c>
    </row>
    <row r="19" ht="15" customHeight="1" s="82">
      <c r="A19" s="139">
        <f>'לקוחות לפי סוכן - מקור'!A15</f>
        <v/>
      </c>
      <c r="B19" s="139">
        <f>'לקוחות לפי סוכן - מקור'!C15</f>
        <v/>
      </c>
      <c r="C19" s="139">
        <f>'לקוחות לפי סוכן - מקור'!D15</f>
        <v/>
      </c>
      <c r="D19" s="139">
        <f>'לקוחות לפי סוכן - מקור'!E15</f>
        <v/>
      </c>
      <c r="E19" s="147">
        <f>'לקוחות לפי סוכן - מקור'!F15</f>
        <v/>
      </c>
      <c r="F19" s="147">
        <f>'לקוחות לפי סוכן - מקור'!G15</f>
        <v/>
      </c>
      <c r="G19" s="148">
        <f>'לקוחות לפי סוכן - מקור'!H15</f>
        <v/>
      </c>
      <c r="H19" s="148">
        <f>'לקוחות לפי סוכן - מקור'!I15</f>
        <v/>
      </c>
      <c r="I19" s="139">
        <f>'לקוחות לפי סוכן - מקור'!K15</f>
        <v/>
      </c>
      <c r="J19" s="139" t="inlineStr">
        <is>
          <t>קיים במקור</t>
        </is>
      </c>
    </row>
    <row r="20" ht="15" customHeight="1" s="82">
      <c r="A20" s="139">
        <f>'לקוחות לפי סוכן - מקור'!A16</f>
        <v/>
      </c>
      <c r="B20" s="139">
        <f>'לקוחות לפי סוכן - מקור'!C16</f>
        <v/>
      </c>
      <c r="C20" s="139">
        <f>'לקוחות לפי סוכן - מקור'!D16</f>
        <v/>
      </c>
      <c r="D20" s="139">
        <f>'לקוחות לפי סוכן - מקור'!E16</f>
        <v/>
      </c>
      <c r="E20" s="147">
        <f>'לקוחות לפי סוכן - מקור'!F16</f>
        <v/>
      </c>
      <c r="F20" s="147">
        <f>'לקוחות לפי סוכן - מקור'!G16</f>
        <v/>
      </c>
      <c r="G20" s="148">
        <f>'לקוחות לפי סוכן - מקור'!H16</f>
        <v/>
      </c>
      <c r="H20" s="148">
        <f>'לקוחות לפי סוכן - מקור'!I16</f>
        <v/>
      </c>
      <c r="I20" s="139">
        <f>'לקוחות לפי סוכן - מקור'!K16</f>
        <v/>
      </c>
      <c r="J20" s="139" t="inlineStr">
        <is>
          <t>קיים במקור</t>
        </is>
      </c>
    </row>
    <row r="22" ht="15" customHeight="1" s="82">
      <c r="A22" s="143" t="inlineStr">
        <is>
          <t>אזולאי דוד</t>
        </is>
      </c>
      <c r="B22" s="144" t="n"/>
      <c r="C22" s="144" t="n"/>
      <c r="D22" s="143" t="inlineStr">
        <is>
          <t>סה"כ 240 חנויות</t>
        </is>
      </c>
      <c r="E22" s="145">
        <f>SUM(E23:E262)</f>
        <v/>
      </c>
      <c r="F22" s="145">
        <f>SUM(F23:F262)</f>
        <v/>
      </c>
      <c r="G22" s="146">
        <f>SUM(G23:G262)</f>
        <v/>
      </c>
      <c r="H22" s="146">
        <f>SUM(H23:H262)</f>
        <v/>
      </c>
      <c r="I22" s="143" t="inlineStr">
        <is>
          <t>שני המקורות (מאוחד)</t>
        </is>
      </c>
      <c r="J22" s="144" t="n"/>
    </row>
    <row r="23" ht="15" customHeight="1" s="82">
      <c r="A23" s="139">
        <f>'לקוחות לפי סוכן - מקור'!A17</f>
        <v/>
      </c>
      <c r="B23" s="139">
        <f>'לקוחות לפי סוכן - מקור'!C17</f>
        <v/>
      </c>
      <c r="C23" s="139">
        <f>'לקוחות לפי סוכן - מקור'!D17</f>
        <v/>
      </c>
      <c r="D23" s="139">
        <f>'לקוחות לפי סוכן - מקור'!E17</f>
        <v/>
      </c>
      <c r="E23" s="147">
        <f>'לקוחות לפי סוכן - מקור'!F17</f>
        <v/>
      </c>
      <c r="F23" s="147">
        <f>'לקוחות לפי סוכן - מקור'!G17</f>
        <v/>
      </c>
      <c r="G23" s="148">
        <f>'לקוחות לפי סוכן - מקור'!H17</f>
        <v/>
      </c>
      <c r="H23" s="148">
        <f>'לקוחות לפי סוכן - מקור'!I17</f>
        <v/>
      </c>
      <c r="I23" s="139">
        <f>'לקוחות לפי סוכן - מקור'!K17</f>
        <v/>
      </c>
      <c r="J23" s="139" t="inlineStr">
        <is>
          <t>קיים במקור</t>
        </is>
      </c>
    </row>
    <row r="24" ht="15" customHeight="1" s="82">
      <c r="A24" s="139">
        <f>'לקוחות לפי סוכן - מקור'!A18</f>
        <v/>
      </c>
      <c r="B24" s="139">
        <f>'לקוחות לפי סוכן - מקור'!C18</f>
        <v/>
      </c>
      <c r="C24" s="139">
        <f>'לקוחות לפי סוכן - מקור'!D18</f>
        <v/>
      </c>
      <c r="D24" s="139">
        <f>'לקוחות לפי סוכן - מקור'!E18</f>
        <v/>
      </c>
      <c r="E24" s="147">
        <f>'לקוחות לפי סוכן - מקור'!F18</f>
        <v/>
      </c>
      <c r="F24" s="147">
        <f>'לקוחות לפי סוכן - מקור'!G18</f>
        <v/>
      </c>
      <c r="G24" s="148">
        <f>'לקוחות לפי סוכן - מקור'!H18</f>
        <v/>
      </c>
      <c r="H24" s="148">
        <f>'לקוחות לפי סוכן - מקור'!I18</f>
        <v/>
      </c>
      <c r="I24" s="139">
        <f>'לקוחות לפי סוכן - מקור'!K18</f>
        <v/>
      </c>
      <c r="J24" s="139" t="inlineStr">
        <is>
          <t>קיים במקור</t>
        </is>
      </c>
    </row>
    <row r="25" ht="15" customHeight="1" s="82">
      <c r="A25" s="139">
        <f>'לקוחות לפי סוכן - מקור'!A19</f>
        <v/>
      </c>
      <c r="B25" s="139">
        <f>'לקוחות לפי סוכן - מקור'!C19</f>
        <v/>
      </c>
      <c r="C25" s="139">
        <f>'לקוחות לפי סוכן - מקור'!D19</f>
        <v/>
      </c>
      <c r="D25" s="139">
        <f>'לקוחות לפי סוכן - מקור'!E19</f>
        <v/>
      </c>
      <c r="E25" s="147">
        <f>'לקוחות לפי סוכן - מקור'!F19</f>
        <v/>
      </c>
      <c r="F25" s="147">
        <f>'לקוחות לפי סוכן - מקור'!G19</f>
        <v/>
      </c>
      <c r="G25" s="148">
        <f>'לקוחות לפי סוכן - מקור'!H19</f>
        <v/>
      </c>
      <c r="H25" s="148">
        <f>'לקוחות לפי סוכן - מקור'!I19</f>
        <v/>
      </c>
      <c r="I25" s="139">
        <f>'לקוחות לפי סוכן - מקור'!K19</f>
        <v/>
      </c>
      <c r="J25" s="139" t="inlineStr">
        <is>
          <t>קיים במקור</t>
        </is>
      </c>
    </row>
    <row r="26" ht="15" customHeight="1" s="82">
      <c r="A26" s="139">
        <f>'לקוחות לפי סוכן - מקור'!A20</f>
        <v/>
      </c>
      <c r="B26" s="139">
        <f>'לקוחות לפי סוכן - מקור'!C20</f>
        <v/>
      </c>
      <c r="C26" s="139">
        <f>'לקוחות לפי סוכן - מקור'!D20</f>
        <v/>
      </c>
      <c r="D26" s="139">
        <f>'לקוחות לפי סוכן - מקור'!E20</f>
        <v/>
      </c>
      <c r="E26" s="147">
        <f>'לקוחות לפי סוכן - מקור'!F20</f>
        <v/>
      </c>
      <c r="F26" s="147">
        <f>'לקוחות לפי סוכן - מקור'!G20</f>
        <v/>
      </c>
      <c r="G26" s="148">
        <f>'לקוחות לפי סוכן - מקור'!H20</f>
        <v/>
      </c>
      <c r="H26" s="148">
        <f>'לקוחות לפי סוכן - מקור'!I20</f>
        <v/>
      </c>
      <c r="I26" s="139">
        <f>'לקוחות לפי סוכן - מקור'!K20</f>
        <v/>
      </c>
      <c r="J26" s="139" t="inlineStr">
        <is>
          <t>קיים במקור</t>
        </is>
      </c>
    </row>
    <row r="27" ht="15" customHeight="1" s="82">
      <c r="A27" s="139">
        <f>'לקוחות לפי סוכן - מקור'!A21</f>
        <v/>
      </c>
      <c r="B27" s="139">
        <f>'לקוחות לפי סוכן - מקור'!C21</f>
        <v/>
      </c>
      <c r="C27" s="139">
        <f>'לקוחות לפי סוכן - מקור'!D21</f>
        <v/>
      </c>
      <c r="D27" s="139">
        <f>'לקוחות לפי סוכן - מקור'!E21</f>
        <v/>
      </c>
      <c r="E27" s="147">
        <f>'לקוחות לפי סוכן - מקור'!F21</f>
        <v/>
      </c>
      <c r="F27" s="147">
        <f>'לקוחות לפי סוכן - מקור'!G21</f>
        <v/>
      </c>
      <c r="G27" s="148">
        <f>'לקוחות לפי סוכן - מקור'!H21</f>
        <v/>
      </c>
      <c r="H27" s="148">
        <f>'לקוחות לפי סוכן - מקור'!I21</f>
        <v/>
      </c>
      <c r="I27" s="139">
        <f>'לקוחות לפי סוכן - מקור'!K21</f>
        <v/>
      </c>
      <c r="J27" s="139" t="inlineStr">
        <is>
          <t>קיים במקור</t>
        </is>
      </c>
    </row>
    <row r="28" ht="15" customHeight="1" s="82">
      <c r="A28" s="139">
        <f>'לקוחות לפי סוכן - מקור'!A22</f>
        <v/>
      </c>
      <c r="B28" s="139">
        <f>'לקוחות לפי סוכן - מקור'!C22</f>
        <v/>
      </c>
      <c r="C28" s="139">
        <f>'לקוחות לפי סוכן - מקור'!D22</f>
        <v/>
      </c>
      <c r="D28" s="139">
        <f>'לקוחות לפי סוכן - מקור'!E22</f>
        <v/>
      </c>
      <c r="E28" s="147">
        <f>'לקוחות לפי סוכן - מקור'!F22</f>
        <v/>
      </c>
      <c r="F28" s="147">
        <f>'לקוחות לפי סוכן - מקור'!G22</f>
        <v/>
      </c>
      <c r="G28" s="148">
        <f>'לקוחות לפי סוכן - מקור'!H22</f>
        <v/>
      </c>
      <c r="H28" s="148">
        <f>'לקוחות לפי סוכן - מקור'!I22</f>
        <v/>
      </c>
      <c r="I28" s="139">
        <f>'לקוחות לפי סוכן - מקור'!K22</f>
        <v/>
      </c>
      <c r="J28" s="139" t="inlineStr">
        <is>
          <t>קיים במקור</t>
        </is>
      </c>
    </row>
    <row r="29" ht="15" customHeight="1" s="82">
      <c r="A29" s="139">
        <f>'לקוחות לפי סוכן - מקור'!A23</f>
        <v/>
      </c>
      <c r="B29" s="139">
        <f>'לקוחות לפי סוכן - מקור'!C23</f>
        <v/>
      </c>
      <c r="C29" s="139">
        <f>'לקוחות לפי סוכן - מקור'!D23</f>
        <v/>
      </c>
      <c r="D29" s="139">
        <f>'לקוחות לפי סוכן - מקור'!E23</f>
        <v/>
      </c>
      <c r="E29" s="147">
        <f>'לקוחות לפי סוכן - מקור'!F23</f>
        <v/>
      </c>
      <c r="F29" s="147">
        <f>'לקוחות לפי סוכן - מקור'!G23</f>
        <v/>
      </c>
      <c r="G29" s="148">
        <f>'לקוחות לפי סוכן - מקור'!H23</f>
        <v/>
      </c>
      <c r="H29" s="148">
        <f>'לקוחות לפי סוכן - מקור'!I23</f>
        <v/>
      </c>
      <c r="I29" s="139">
        <f>'לקוחות לפי סוכן - מקור'!K23</f>
        <v/>
      </c>
      <c r="J29" s="139" t="inlineStr">
        <is>
          <t>קיים במקור</t>
        </is>
      </c>
    </row>
    <row r="30" ht="15" customHeight="1" s="82">
      <c r="A30" s="139">
        <f>'לקוחות לפי סוכן - מקור'!A24</f>
        <v/>
      </c>
      <c r="B30" s="139">
        <f>'לקוחות לפי סוכן - מקור'!C24</f>
        <v/>
      </c>
      <c r="C30" s="139">
        <f>'לקוחות לפי סוכן - מקור'!D24</f>
        <v/>
      </c>
      <c r="D30" s="139">
        <f>'לקוחות לפי סוכן - מקור'!E24</f>
        <v/>
      </c>
      <c r="E30" s="147">
        <f>'לקוחות לפי סוכן - מקור'!F24</f>
        <v/>
      </c>
      <c r="F30" s="147">
        <f>'לקוחות לפי סוכן - מקור'!G24</f>
        <v/>
      </c>
      <c r="G30" s="148">
        <f>'לקוחות לפי סוכן - מקור'!H24</f>
        <v/>
      </c>
      <c r="H30" s="148">
        <f>'לקוחות לפי סוכן - מקור'!I24</f>
        <v/>
      </c>
      <c r="I30" s="139">
        <f>'לקוחות לפי סוכן - מקור'!K24</f>
        <v/>
      </c>
      <c r="J30" s="139" t="inlineStr">
        <is>
          <t>קיים במקור</t>
        </is>
      </c>
    </row>
    <row r="31" ht="15" customHeight="1" s="82">
      <c r="A31" s="139">
        <f>'לקוחות לפי סוכן - מקור'!A25</f>
        <v/>
      </c>
      <c r="B31" s="139">
        <f>'לקוחות לפי סוכן - מקור'!C25</f>
        <v/>
      </c>
      <c r="C31" s="139">
        <f>'לקוחות לפי סוכן - מקור'!D25</f>
        <v/>
      </c>
      <c r="D31" s="139">
        <f>'לקוחות לפי סוכן - מקור'!E25</f>
        <v/>
      </c>
      <c r="E31" s="147">
        <f>'לקוחות לפי סוכן - מקור'!F25</f>
        <v/>
      </c>
      <c r="F31" s="147">
        <f>'לקוחות לפי סוכן - מקור'!G25</f>
        <v/>
      </c>
      <c r="G31" s="148">
        <f>'לקוחות לפי סוכן - מקור'!H25</f>
        <v/>
      </c>
      <c r="H31" s="148">
        <f>'לקוחות לפי סוכן - מקור'!I25</f>
        <v/>
      </c>
      <c r="I31" s="139">
        <f>'לקוחות לפי סוכן - מקור'!K25</f>
        <v/>
      </c>
      <c r="J31" s="139" t="inlineStr">
        <is>
          <t>קיים במקור</t>
        </is>
      </c>
    </row>
    <row r="32" ht="15" customHeight="1" s="82">
      <c r="A32" s="139">
        <f>'לקוחות לפי סוכן - מקור'!A26</f>
        <v/>
      </c>
      <c r="B32" s="139">
        <f>'לקוחות לפי סוכן - מקור'!C26</f>
        <v/>
      </c>
      <c r="C32" s="139">
        <f>'לקוחות לפי סוכן - מקור'!D26</f>
        <v/>
      </c>
      <c r="D32" s="139">
        <f>'לקוחות לפי סוכן - מקור'!E26</f>
        <v/>
      </c>
      <c r="E32" s="147">
        <f>'לקוחות לפי סוכן - מקור'!F26</f>
        <v/>
      </c>
      <c r="F32" s="147">
        <f>'לקוחות לפי סוכן - מקור'!G26</f>
        <v/>
      </c>
      <c r="G32" s="148">
        <f>'לקוחות לפי סוכן - מקור'!H26</f>
        <v/>
      </c>
      <c r="H32" s="148">
        <f>'לקוחות לפי סוכן - מקור'!I26</f>
        <v/>
      </c>
      <c r="I32" s="139">
        <f>'לקוחות לפי סוכן - מקור'!K26</f>
        <v/>
      </c>
      <c r="J32" s="139" t="inlineStr">
        <is>
          <t>קיים במקור</t>
        </is>
      </c>
    </row>
    <row r="33" ht="15" customHeight="1" s="82">
      <c r="A33" s="139">
        <f>'לקוחות לפי סוכן - מקור'!A27</f>
        <v/>
      </c>
      <c r="B33" s="139">
        <f>'לקוחות לפי סוכן - מקור'!C27</f>
        <v/>
      </c>
      <c r="C33" s="139">
        <f>'לקוחות לפי סוכן - מקור'!D27</f>
        <v/>
      </c>
      <c r="D33" s="139">
        <f>'לקוחות לפי סוכן - מקור'!E27</f>
        <v/>
      </c>
      <c r="E33" s="147">
        <f>'לקוחות לפי סוכן - מקור'!F27</f>
        <v/>
      </c>
      <c r="F33" s="147">
        <f>'לקוחות לפי סוכן - מקור'!G27</f>
        <v/>
      </c>
      <c r="G33" s="148">
        <f>'לקוחות לפי סוכן - מקור'!H27</f>
        <v/>
      </c>
      <c r="H33" s="148">
        <f>'לקוחות לפי סוכן - מקור'!I27</f>
        <v/>
      </c>
      <c r="I33" s="139">
        <f>'לקוחות לפי סוכן - מקור'!K27</f>
        <v/>
      </c>
      <c r="J33" s="139" t="inlineStr">
        <is>
          <t>קיים במקור</t>
        </is>
      </c>
    </row>
    <row r="34" ht="15" customHeight="1" s="82">
      <c r="A34" s="139">
        <f>'לקוחות לפי סוכן - מקור'!A28</f>
        <v/>
      </c>
      <c r="B34" s="139">
        <f>'לקוחות לפי סוכן - מקור'!C28</f>
        <v/>
      </c>
      <c r="C34" s="139">
        <f>'לקוחות לפי סוכן - מקור'!D28</f>
        <v/>
      </c>
      <c r="D34" s="139">
        <f>'לקוחות לפי סוכן - מקור'!E28</f>
        <v/>
      </c>
      <c r="E34" s="147">
        <f>'לקוחות לפי סוכן - מקור'!F28</f>
        <v/>
      </c>
      <c r="F34" s="147">
        <f>'לקוחות לפי סוכן - מקור'!G28</f>
        <v/>
      </c>
      <c r="G34" s="148">
        <f>'לקוחות לפי סוכן - מקור'!H28</f>
        <v/>
      </c>
      <c r="H34" s="148">
        <f>'לקוחות לפי סוכן - מקור'!I28</f>
        <v/>
      </c>
      <c r="I34" s="139">
        <f>'לקוחות לפי סוכן - מקור'!K28</f>
        <v/>
      </c>
      <c r="J34" s="139" t="inlineStr">
        <is>
          <t>קיים במקור</t>
        </is>
      </c>
    </row>
    <row r="35" ht="15" customHeight="1" s="82">
      <c r="A35" s="139">
        <f>'לקוחות לפי סוכן - מקור'!A29</f>
        <v/>
      </c>
      <c r="B35" s="139">
        <f>'לקוחות לפי סוכן - מקור'!C29</f>
        <v/>
      </c>
      <c r="C35" s="139">
        <f>'לקוחות לפי סוכן - מקור'!D29</f>
        <v/>
      </c>
      <c r="D35" s="139">
        <f>'לקוחות לפי סוכן - מקור'!E29</f>
        <v/>
      </c>
      <c r="E35" s="147">
        <f>'לקוחות לפי סוכן - מקור'!F29</f>
        <v/>
      </c>
      <c r="F35" s="147">
        <f>'לקוחות לפי סוכן - מקור'!G29</f>
        <v/>
      </c>
      <c r="G35" s="148">
        <f>'לקוחות לפי סוכן - מקור'!H29</f>
        <v/>
      </c>
      <c r="H35" s="148">
        <f>'לקוחות לפי סוכן - מקור'!I29</f>
        <v/>
      </c>
      <c r="I35" s="139">
        <f>'לקוחות לפי סוכן - מקור'!K29</f>
        <v/>
      </c>
      <c r="J35" s="139" t="inlineStr">
        <is>
          <t>קיים במקור</t>
        </is>
      </c>
    </row>
    <row r="36" ht="15" customHeight="1" s="82">
      <c r="A36" s="139">
        <f>'לקוחות לפי סוכן - מקור'!A30</f>
        <v/>
      </c>
      <c r="B36" s="139">
        <f>'לקוחות לפי סוכן - מקור'!C30</f>
        <v/>
      </c>
      <c r="C36" s="139">
        <f>'לקוחות לפי סוכן - מקור'!D30</f>
        <v/>
      </c>
      <c r="D36" s="139">
        <f>'לקוחות לפי סוכן - מקור'!E30</f>
        <v/>
      </c>
      <c r="E36" s="147">
        <f>'לקוחות לפי סוכן - מקור'!F30</f>
        <v/>
      </c>
      <c r="F36" s="147">
        <f>'לקוחות לפי סוכן - מקור'!G30</f>
        <v/>
      </c>
      <c r="G36" s="148">
        <f>'לקוחות לפי סוכן - מקור'!H30</f>
        <v/>
      </c>
      <c r="H36" s="148">
        <f>'לקוחות לפי סוכן - מקור'!I30</f>
        <v/>
      </c>
      <c r="I36" s="139">
        <f>'לקוחות לפי סוכן - מקור'!K30</f>
        <v/>
      </c>
      <c r="J36" s="139" t="inlineStr">
        <is>
          <t>קיים במקור</t>
        </is>
      </c>
    </row>
    <row r="37" ht="15" customHeight="1" s="82">
      <c r="A37" s="139">
        <f>'לקוחות לפי סוכן - מקור'!A31</f>
        <v/>
      </c>
      <c r="B37" s="139">
        <f>'לקוחות לפי סוכן - מקור'!C31</f>
        <v/>
      </c>
      <c r="C37" s="139">
        <f>'לקוחות לפי סוכן - מקור'!D31</f>
        <v/>
      </c>
      <c r="D37" s="139">
        <f>'לקוחות לפי סוכן - מקור'!E31</f>
        <v/>
      </c>
      <c r="E37" s="147">
        <f>'לקוחות לפי סוכן - מקור'!F31</f>
        <v/>
      </c>
      <c r="F37" s="147">
        <f>'לקוחות לפי סוכן - מקור'!G31</f>
        <v/>
      </c>
      <c r="G37" s="148">
        <f>'לקוחות לפי סוכן - מקור'!H31</f>
        <v/>
      </c>
      <c r="H37" s="148">
        <f>'לקוחות לפי סוכן - מקור'!I31</f>
        <v/>
      </c>
      <c r="I37" s="139">
        <f>'לקוחות לפי סוכן - מקור'!K31</f>
        <v/>
      </c>
      <c r="J37" s="139" t="inlineStr">
        <is>
          <t>קיים במקור</t>
        </is>
      </c>
    </row>
    <row r="38" ht="15" customHeight="1" s="82">
      <c r="A38" s="139">
        <f>'לקוחות לפי סוכן - מקור'!A32</f>
        <v/>
      </c>
      <c r="B38" s="139">
        <f>'לקוחות לפי סוכן - מקור'!C32</f>
        <v/>
      </c>
      <c r="C38" s="139">
        <f>'לקוחות לפי סוכן - מקור'!D32</f>
        <v/>
      </c>
      <c r="D38" s="139">
        <f>'לקוחות לפי סוכן - מקור'!E32</f>
        <v/>
      </c>
      <c r="E38" s="147">
        <f>'לקוחות לפי סוכן - מקור'!F32</f>
        <v/>
      </c>
      <c r="F38" s="147">
        <f>'לקוחות לפי סוכן - מקור'!G32</f>
        <v/>
      </c>
      <c r="G38" s="148">
        <f>'לקוחות לפי סוכן - מקור'!H32</f>
        <v/>
      </c>
      <c r="H38" s="148">
        <f>'לקוחות לפי סוכן - מקור'!I32</f>
        <v/>
      </c>
      <c r="I38" s="139">
        <f>'לקוחות לפי סוכן - מקור'!K32</f>
        <v/>
      </c>
      <c r="J38" s="139" t="inlineStr">
        <is>
          <t>קיים במקור</t>
        </is>
      </c>
    </row>
    <row r="39" ht="15" customHeight="1" s="82">
      <c r="A39" s="139">
        <f>'לקוחות לפי סוכן - מקור'!A33</f>
        <v/>
      </c>
      <c r="B39" s="139">
        <f>'לקוחות לפי סוכן - מקור'!C33</f>
        <v/>
      </c>
      <c r="C39" s="139">
        <f>'לקוחות לפי סוכן - מקור'!D33</f>
        <v/>
      </c>
      <c r="D39" s="139">
        <f>'לקוחות לפי סוכן - מקור'!E33</f>
        <v/>
      </c>
      <c r="E39" s="147">
        <f>'לקוחות לפי סוכן - מקור'!F33</f>
        <v/>
      </c>
      <c r="F39" s="147">
        <f>'לקוחות לפי סוכן - מקור'!G33</f>
        <v/>
      </c>
      <c r="G39" s="148">
        <f>'לקוחות לפי סוכן - מקור'!H33</f>
        <v/>
      </c>
      <c r="H39" s="148">
        <f>'לקוחות לפי סוכן - מקור'!I33</f>
        <v/>
      </c>
      <c r="I39" s="139">
        <f>'לקוחות לפי סוכן - מקור'!K33</f>
        <v/>
      </c>
      <c r="J39" s="139" t="inlineStr">
        <is>
          <t>קיים במקור</t>
        </is>
      </c>
    </row>
    <row r="40" ht="15" customHeight="1" s="82">
      <c r="A40" s="139">
        <f>'לקוחות לפי סוכן - מקור'!A34</f>
        <v/>
      </c>
      <c r="B40" s="139">
        <f>'לקוחות לפי סוכן - מקור'!C34</f>
        <v/>
      </c>
      <c r="C40" s="139">
        <f>'לקוחות לפי סוכן - מקור'!D34</f>
        <v/>
      </c>
      <c r="D40" s="139">
        <f>'לקוחות לפי סוכן - מקור'!E34</f>
        <v/>
      </c>
      <c r="E40" s="147">
        <f>'לקוחות לפי סוכן - מקור'!F34</f>
        <v/>
      </c>
      <c r="F40" s="147">
        <f>'לקוחות לפי סוכן - מקור'!G34</f>
        <v/>
      </c>
      <c r="G40" s="148">
        <f>'לקוחות לפי סוכן - מקור'!H34</f>
        <v/>
      </c>
      <c r="H40" s="148">
        <f>'לקוחות לפי סוכן - מקור'!I34</f>
        <v/>
      </c>
      <c r="I40" s="139">
        <f>'לקוחות לפי סוכן - מקור'!K34</f>
        <v/>
      </c>
      <c r="J40" s="139" t="inlineStr">
        <is>
          <t>קיים במקור</t>
        </is>
      </c>
    </row>
    <row r="41" ht="15" customHeight="1" s="82">
      <c r="A41" s="139">
        <f>'לקוחות לפי סוכן - מקור'!A35</f>
        <v/>
      </c>
      <c r="B41" s="139">
        <f>'לקוחות לפי סוכן - מקור'!C35</f>
        <v/>
      </c>
      <c r="C41" s="139">
        <f>'לקוחות לפי סוכן - מקור'!D35</f>
        <v/>
      </c>
      <c r="D41" s="139">
        <f>'לקוחות לפי סוכן - מקור'!E35</f>
        <v/>
      </c>
      <c r="E41" s="147">
        <f>'לקוחות לפי סוכן - מקור'!F35</f>
        <v/>
      </c>
      <c r="F41" s="147">
        <f>'לקוחות לפי סוכן - מקור'!G35</f>
        <v/>
      </c>
      <c r="G41" s="148">
        <f>'לקוחות לפי סוכן - מקור'!H35</f>
        <v/>
      </c>
      <c r="H41" s="148">
        <f>'לקוחות לפי סוכן - מקור'!I35</f>
        <v/>
      </c>
      <c r="I41" s="139">
        <f>'לקוחות לפי סוכן - מקור'!K35</f>
        <v/>
      </c>
      <c r="J41" s="139" t="inlineStr">
        <is>
          <t>קיים במקור</t>
        </is>
      </c>
    </row>
    <row r="42" ht="15" customHeight="1" s="82">
      <c r="A42" s="139">
        <f>'לקוחות לפי סוכן - מקור'!A36</f>
        <v/>
      </c>
      <c r="B42" s="139">
        <f>'לקוחות לפי סוכן - מקור'!C36</f>
        <v/>
      </c>
      <c r="C42" s="139">
        <f>'לקוחות לפי סוכן - מקור'!D36</f>
        <v/>
      </c>
      <c r="D42" s="139">
        <f>'לקוחות לפי סוכן - מקור'!E36</f>
        <v/>
      </c>
      <c r="E42" s="147">
        <f>'לקוחות לפי סוכן - מקור'!F36</f>
        <v/>
      </c>
      <c r="F42" s="147">
        <f>'לקוחות לפי סוכן - מקור'!G36</f>
        <v/>
      </c>
      <c r="G42" s="148">
        <f>'לקוחות לפי סוכן - מקור'!H36</f>
        <v/>
      </c>
      <c r="H42" s="148">
        <f>'לקוחות לפי סוכן - מקור'!I36</f>
        <v/>
      </c>
      <c r="I42" s="139">
        <f>'לקוחות לפי סוכן - מקור'!K36</f>
        <v/>
      </c>
      <c r="J42" s="139" t="inlineStr">
        <is>
          <t>קיים במקור</t>
        </is>
      </c>
    </row>
    <row r="43" ht="15" customHeight="1" s="82">
      <c r="A43" s="139">
        <f>'לקוחות לפי סוכן - מקור'!A37</f>
        <v/>
      </c>
      <c r="B43" s="139">
        <f>'לקוחות לפי סוכן - מקור'!C37</f>
        <v/>
      </c>
      <c r="C43" s="139">
        <f>'לקוחות לפי סוכן - מקור'!D37</f>
        <v/>
      </c>
      <c r="D43" s="139">
        <f>'לקוחות לפי סוכן - מקור'!E37</f>
        <v/>
      </c>
      <c r="E43" s="147">
        <f>'לקוחות לפי סוכן - מקור'!F37</f>
        <v/>
      </c>
      <c r="F43" s="147">
        <f>'לקוחות לפי סוכן - מקור'!G37</f>
        <v/>
      </c>
      <c r="G43" s="148">
        <f>'לקוחות לפי סוכן - מקור'!H37</f>
        <v/>
      </c>
      <c r="H43" s="148">
        <f>'לקוחות לפי סוכן - מקור'!I37</f>
        <v/>
      </c>
      <c r="I43" s="139">
        <f>'לקוחות לפי סוכן - מקור'!K37</f>
        <v/>
      </c>
      <c r="J43" s="139" t="inlineStr">
        <is>
          <t>קיים במקור</t>
        </is>
      </c>
    </row>
    <row r="44" ht="15" customHeight="1" s="82">
      <c r="A44" s="139">
        <f>'לקוחות לפי סוכן - מקור'!A38</f>
        <v/>
      </c>
      <c r="B44" s="139">
        <f>'לקוחות לפי סוכן - מקור'!C38</f>
        <v/>
      </c>
      <c r="C44" s="139">
        <f>'לקוחות לפי סוכן - מקור'!D38</f>
        <v/>
      </c>
      <c r="D44" s="139">
        <f>'לקוחות לפי סוכן - מקור'!E38</f>
        <v/>
      </c>
      <c r="E44" s="147">
        <f>'לקוחות לפי סוכן - מקור'!F38</f>
        <v/>
      </c>
      <c r="F44" s="147">
        <f>'לקוחות לפי סוכן - מקור'!G38</f>
        <v/>
      </c>
      <c r="G44" s="148">
        <f>'לקוחות לפי סוכן - מקור'!H38</f>
        <v/>
      </c>
      <c r="H44" s="148">
        <f>'לקוחות לפי סוכן - מקור'!I38</f>
        <v/>
      </c>
      <c r="I44" s="139">
        <f>'לקוחות לפי סוכן - מקור'!K38</f>
        <v/>
      </c>
      <c r="J44" s="139" t="inlineStr">
        <is>
          <t>קיים במקור</t>
        </is>
      </c>
    </row>
    <row r="45" ht="15" customHeight="1" s="82">
      <c r="A45" s="139">
        <f>'לקוחות לפי סוכן - מקור'!A39</f>
        <v/>
      </c>
      <c r="B45" s="139">
        <f>'לקוחות לפי סוכן - מקור'!C39</f>
        <v/>
      </c>
      <c r="C45" s="139">
        <f>'לקוחות לפי סוכן - מקור'!D39</f>
        <v/>
      </c>
      <c r="D45" s="139">
        <f>'לקוחות לפי סוכן - מקור'!E39</f>
        <v/>
      </c>
      <c r="E45" s="147">
        <f>'לקוחות לפי סוכן - מקור'!F39</f>
        <v/>
      </c>
      <c r="F45" s="147">
        <f>'לקוחות לפי סוכן - מקור'!G39</f>
        <v/>
      </c>
      <c r="G45" s="148">
        <f>'לקוחות לפי סוכן - מקור'!H39</f>
        <v/>
      </c>
      <c r="H45" s="148">
        <f>'לקוחות לפי סוכן - מקור'!I39</f>
        <v/>
      </c>
      <c r="I45" s="139">
        <f>'לקוחות לפי סוכן - מקור'!K39</f>
        <v/>
      </c>
      <c r="J45" s="139" t="inlineStr">
        <is>
          <t>קיים במקור</t>
        </is>
      </c>
    </row>
    <row r="46" ht="15" customHeight="1" s="82">
      <c r="A46" s="139">
        <f>'לקוחות לפי סוכן - מקור'!A40</f>
        <v/>
      </c>
      <c r="B46" s="139">
        <f>'לקוחות לפי סוכן - מקור'!C40</f>
        <v/>
      </c>
      <c r="C46" s="139">
        <f>'לקוחות לפי סוכן - מקור'!D40</f>
        <v/>
      </c>
      <c r="D46" s="139">
        <f>'לקוחות לפי סוכן - מקור'!E40</f>
        <v/>
      </c>
      <c r="E46" s="147">
        <f>'לקוחות לפי סוכן - מקור'!F40</f>
        <v/>
      </c>
      <c r="F46" s="147">
        <f>'לקוחות לפי סוכן - מקור'!G40</f>
        <v/>
      </c>
      <c r="G46" s="148">
        <f>'לקוחות לפי סוכן - מקור'!H40</f>
        <v/>
      </c>
      <c r="H46" s="148">
        <f>'לקוחות לפי סוכן - מקור'!I40</f>
        <v/>
      </c>
      <c r="I46" s="139">
        <f>'לקוחות לפי סוכן - מקור'!K40</f>
        <v/>
      </c>
      <c r="J46" s="139" t="inlineStr">
        <is>
          <t>קיים במקור</t>
        </is>
      </c>
    </row>
    <row r="47" ht="15" customHeight="1" s="82">
      <c r="A47" s="139">
        <f>'לקוחות לפי סוכן - מקור'!A41</f>
        <v/>
      </c>
      <c r="B47" s="139">
        <f>'לקוחות לפי סוכן - מקור'!C41</f>
        <v/>
      </c>
      <c r="C47" s="139">
        <f>'לקוחות לפי סוכן - מקור'!D41</f>
        <v/>
      </c>
      <c r="D47" s="139">
        <f>'לקוחות לפי סוכן - מקור'!E41</f>
        <v/>
      </c>
      <c r="E47" s="147">
        <f>'לקוחות לפי סוכן - מקור'!F41</f>
        <v/>
      </c>
      <c r="F47" s="147">
        <f>'לקוחות לפי סוכן - מקור'!G41</f>
        <v/>
      </c>
      <c r="G47" s="148">
        <f>'לקוחות לפי סוכן - מקור'!H41</f>
        <v/>
      </c>
      <c r="H47" s="148">
        <f>'לקוחות לפי סוכן - מקור'!I41</f>
        <v/>
      </c>
      <c r="I47" s="139">
        <f>'לקוחות לפי סוכן - מקור'!K41</f>
        <v/>
      </c>
      <c r="J47" s="139" t="inlineStr">
        <is>
          <t>קיים במקור</t>
        </is>
      </c>
    </row>
    <row r="48" ht="15" customHeight="1" s="82">
      <c r="A48" s="139">
        <f>'לקוחות לפי סוכן - מקור'!A42</f>
        <v/>
      </c>
      <c r="B48" s="139">
        <f>'לקוחות לפי סוכן - מקור'!C42</f>
        <v/>
      </c>
      <c r="C48" s="139">
        <f>'לקוחות לפי סוכן - מקור'!D42</f>
        <v/>
      </c>
      <c r="D48" s="139">
        <f>'לקוחות לפי סוכן - מקור'!E42</f>
        <v/>
      </c>
      <c r="E48" s="147">
        <f>'לקוחות לפי סוכן - מקור'!F42</f>
        <v/>
      </c>
      <c r="F48" s="147">
        <f>'לקוחות לפי סוכן - מקור'!G42</f>
        <v/>
      </c>
      <c r="G48" s="148">
        <f>'לקוחות לפי סוכן - מקור'!H42</f>
        <v/>
      </c>
      <c r="H48" s="148">
        <f>'לקוחות לפי סוכן - מקור'!I42</f>
        <v/>
      </c>
      <c r="I48" s="139">
        <f>'לקוחות לפי סוכן - מקור'!K42</f>
        <v/>
      </c>
      <c r="J48" s="139" t="inlineStr">
        <is>
          <t>קיים במקור</t>
        </is>
      </c>
    </row>
    <row r="49" ht="15" customHeight="1" s="82">
      <c r="A49" s="139">
        <f>'לקוחות לפי סוכן - מקור'!A43</f>
        <v/>
      </c>
      <c r="B49" s="139">
        <f>'לקוחות לפי סוכן - מקור'!C43</f>
        <v/>
      </c>
      <c r="C49" s="139">
        <f>'לקוחות לפי סוכן - מקור'!D43</f>
        <v/>
      </c>
      <c r="D49" s="139">
        <f>'לקוחות לפי סוכן - מקור'!E43</f>
        <v/>
      </c>
      <c r="E49" s="147">
        <f>'לקוחות לפי סוכן - מקור'!F43</f>
        <v/>
      </c>
      <c r="F49" s="147">
        <f>'לקוחות לפי סוכן - מקור'!G43</f>
        <v/>
      </c>
      <c r="G49" s="148">
        <f>'לקוחות לפי סוכן - מקור'!H43</f>
        <v/>
      </c>
      <c r="H49" s="148">
        <f>'לקוחות לפי סוכן - מקור'!I43</f>
        <v/>
      </c>
      <c r="I49" s="139">
        <f>'לקוחות לפי סוכן - מקור'!K43</f>
        <v/>
      </c>
      <c r="J49" s="139" t="inlineStr">
        <is>
          <t>קיים במקור</t>
        </is>
      </c>
    </row>
    <row r="50" ht="15" customHeight="1" s="82">
      <c r="A50" s="139">
        <f>'לקוחות לפי סוכן - מקור'!A44</f>
        <v/>
      </c>
      <c r="B50" s="139">
        <f>'לקוחות לפי סוכן - מקור'!C44</f>
        <v/>
      </c>
      <c r="C50" s="139">
        <f>'לקוחות לפי סוכן - מקור'!D44</f>
        <v/>
      </c>
      <c r="D50" s="139">
        <f>'לקוחות לפי סוכן - מקור'!E44</f>
        <v/>
      </c>
      <c r="E50" s="147">
        <f>'לקוחות לפי סוכן - מקור'!F44</f>
        <v/>
      </c>
      <c r="F50" s="147">
        <f>'לקוחות לפי סוכן - מקור'!G44</f>
        <v/>
      </c>
      <c r="G50" s="148">
        <f>'לקוחות לפי סוכן - מקור'!H44</f>
        <v/>
      </c>
      <c r="H50" s="148">
        <f>'לקוחות לפי סוכן - מקור'!I44</f>
        <v/>
      </c>
      <c r="I50" s="139">
        <f>'לקוחות לפי סוכן - מקור'!K44</f>
        <v/>
      </c>
      <c r="J50" s="139" t="inlineStr">
        <is>
          <t>קיים במקור</t>
        </is>
      </c>
    </row>
    <row r="51" ht="15" customHeight="1" s="82">
      <c r="A51" s="139">
        <f>'לקוחות לפי סוכן - מקור'!A45</f>
        <v/>
      </c>
      <c r="B51" s="139">
        <f>'לקוחות לפי סוכן - מקור'!C45</f>
        <v/>
      </c>
      <c r="C51" s="139">
        <f>'לקוחות לפי סוכן - מקור'!D45</f>
        <v/>
      </c>
      <c r="D51" s="139">
        <f>'לקוחות לפי סוכן - מקור'!E45</f>
        <v/>
      </c>
      <c r="E51" s="147">
        <f>'לקוחות לפי סוכן - מקור'!F45</f>
        <v/>
      </c>
      <c r="F51" s="147">
        <f>'לקוחות לפי סוכן - מקור'!G45</f>
        <v/>
      </c>
      <c r="G51" s="148">
        <f>'לקוחות לפי סוכן - מקור'!H45</f>
        <v/>
      </c>
      <c r="H51" s="148">
        <f>'לקוחות לפי סוכן - מקור'!I45</f>
        <v/>
      </c>
      <c r="I51" s="139">
        <f>'לקוחות לפי סוכן - מקור'!K45</f>
        <v/>
      </c>
      <c r="J51" s="139" t="inlineStr">
        <is>
          <t>קיים במקור</t>
        </is>
      </c>
    </row>
    <row r="52" ht="15" customHeight="1" s="82">
      <c r="A52" s="139">
        <f>'לקוחות לפי סוכן - מקור'!A46</f>
        <v/>
      </c>
      <c r="B52" s="139">
        <f>'לקוחות לפי סוכן - מקור'!C46</f>
        <v/>
      </c>
      <c r="C52" s="139">
        <f>'לקוחות לפי סוכן - מקור'!D46</f>
        <v/>
      </c>
      <c r="D52" s="139">
        <f>'לקוחות לפי סוכן - מקור'!E46</f>
        <v/>
      </c>
      <c r="E52" s="147">
        <f>'לקוחות לפי סוכן - מקור'!F46</f>
        <v/>
      </c>
      <c r="F52" s="147">
        <f>'לקוחות לפי סוכן - מקור'!G46</f>
        <v/>
      </c>
      <c r="G52" s="148">
        <f>'לקוחות לפי סוכן - מקור'!H46</f>
        <v/>
      </c>
      <c r="H52" s="148">
        <f>'לקוחות לפי סוכן - מקור'!I46</f>
        <v/>
      </c>
      <c r="I52" s="139">
        <f>'לקוחות לפי סוכן - מקור'!K46</f>
        <v/>
      </c>
      <c r="J52" s="139" t="inlineStr">
        <is>
          <t>קיים במקור</t>
        </is>
      </c>
    </row>
    <row r="53" ht="15" customHeight="1" s="82">
      <c r="A53" s="139">
        <f>'לקוחות לפי סוכן - מקור'!A47</f>
        <v/>
      </c>
      <c r="B53" s="139">
        <f>'לקוחות לפי סוכן - מקור'!C47</f>
        <v/>
      </c>
      <c r="C53" s="139">
        <f>'לקוחות לפי סוכן - מקור'!D47</f>
        <v/>
      </c>
      <c r="D53" s="139">
        <f>'לקוחות לפי סוכן - מקור'!E47</f>
        <v/>
      </c>
      <c r="E53" s="147">
        <f>'לקוחות לפי סוכן - מקור'!F47</f>
        <v/>
      </c>
      <c r="F53" s="147">
        <f>'לקוחות לפי סוכן - מקור'!G47</f>
        <v/>
      </c>
      <c r="G53" s="148">
        <f>'לקוחות לפי סוכן - מקור'!H47</f>
        <v/>
      </c>
      <c r="H53" s="148">
        <f>'לקוחות לפי סוכן - מקור'!I47</f>
        <v/>
      </c>
      <c r="I53" s="139">
        <f>'לקוחות לפי סוכן - מקור'!K47</f>
        <v/>
      </c>
      <c r="J53" s="139" t="inlineStr">
        <is>
          <t>קיים במקור</t>
        </is>
      </c>
    </row>
    <row r="54" ht="15" customHeight="1" s="82">
      <c r="A54" s="139">
        <f>'לקוחות לפי סוכן - מקור'!A48</f>
        <v/>
      </c>
      <c r="B54" s="139">
        <f>'לקוחות לפי סוכן - מקור'!C48</f>
        <v/>
      </c>
      <c r="C54" s="139">
        <f>'לקוחות לפי סוכן - מקור'!D48</f>
        <v/>
      </c>
      <c r="D54" s="139">
        <f>'לקוחות לפי סוכן - מקור'!E48</f>
        <v/>
      </c>
      <c r="E54" s="147">
        <f>'לקוחות לפי סוכן - מקור'!F48</f>
        <v/>
      </c>
      <c r="F54" s="147">
        <f>'לקוחות לפי סוכן - מקור'!G48</f>
        <v/>
      </c>
      <c r="G54" s="148">
        <f>'לקוחות לפי סוכן - מקור'!H48</f>
        <v/>
      </c>
      <c r="H54" s="148">
        <f>'לקוחות לפי סוכן - מקור'!I48</f>
        <v/>
      </c>
      <c r="I54" s="139">
        <f>'לקוחות לפי סוכן - מקור'!K48</f>
        <v/>
      </c>
      <c r="J54" s="139" t="inlineStr">
        <is>
          <t>קיים במקור</t>
        </is>
      </c>
    </row>
    <row r="55" ht="15" customHeight="1" s="82">
      <c r="A55" s="139">
        <f>'לקוחות לפי סוכן - מקור'!A49</f>
        <v/>
      </c>
      <c r="B55" s="139">
        <f>'לקוחות לפי סוכן - מקור'!C49</f>
        <v/>
      </c>
      <c r="C55" s="139">
        <f>'לקוחות לפי סוכן - מקור'!D49</f>
        <v/>
      </c>
      <c r="D55" s="139">
        <f>'לקוחות לפי סוכן - מקור'!E49</f>
        <v/>
      </c>
      <c r="E55" s="147">
        <f>'לקוחות לפי סוכן - מקור'!F49</f>
        <v/>
      </c>
      <c r="F55" s="147">
        <f>'לקוחות לפי סוכן - מקור'!G49</f>
        <v/>
      </c>
      <c r="G55" s="148">
        <f>'לקוחות לפי סוכן - מקור'!H49</f>
        <v/>
      </c>
      <c r="H55" s="148">
        <f>'לקוחות לפי סוכן - מקור'!I49</f>
        <v/>
      </c>
      <c r="I55" s="139">
        <f>'לקוחות לפי סוכן - מקור'!K49</f>
        <v/>
      </c>
      <c r="J55" s="139" t="inlineStr">
        <is>
          <t>קיים במקור</t>
        </is>
      </c>
    </row>
    <row r="56" ht="15" customHeight="1" s="82">
      <c r="A56" s="139">
        <f>'לקוחות לפי סוכן - מקור'!A50</f>
        <v/>
      </c>
      <c r="B56" s="139">
        <f>'לקוחות לפי סוכן - מקור'!C50</f>
        <v/>
      </c>
      <c r="C56" s="139">
        <f>'לקוחות לפי סוכן - מקור'!D50</f>
        <v/>
      </c>
      <c r="D56" s="139">
        <f>'לקוחות לפי סוכן - מקור'!E50</f>
        <v/>
      </c>
      <c r="E56" s="147">
        <f>'לקוחות לפי סוכן - מקור'!F50</f>
        <v/>
      </c>
      <c r="F56" s="147">
        <f>'לקוחות לפי סוכן - מקור'!G50</f>
        <v/>
      </c>
      <c r="G56" s="148">
        <f>'לקוחות לפי סוכן - מקור'!H50</f>
        <v/>
      </c>
      <c r="H56" s="148">
        <f>'לקוחות לפי סוכן - מקור'!I50</f>
        <v/>
      </c>
      <c r="I56" s="139">
        <f>'לקוחות לפי סוכן - מקור'!K50</f>
        <v/>
      </c>
      <c r="J56" s="139" t="inlineStr">
        <is>
          <t>קיים במקור</t>
        </is>
      </c>
    </row>
    <row r="57" ht="15" customHeight="1" s="82">
      <c r="A57" s="139">
        <f>'לקוחות לפי סוכן - מקור'!A51</f>
        <v/>
      </c>
      <c r="B57" s="139">
        <f>'לקוחות לפי סוכן - מקור'!C51</f>
        <v/>
      </c>
      <c r="C57" s="139">
        <f>'לקוחות לפי סוכן - מקור'!D51</f>
        <v/>
      </c>
      <c r="D57" s="139">
        <f>'לקוחות לפי סוכן - מקור'!E51</f>
        <v/>
      </c>
      <c r="E57" s="147">
        <f>'לקוחות לפי סוכן - מקור'!F51</f>
        <v/>
      </c>
      <c r="F57" s="147">
        <f>'לקוחות לפי סוכן - מקור'!G51</f>
        <v/>
      </c>
      <c r="G57" s="148">
        <f>'לקוחות לפי סוכן - מקור'!H51</f>
        <v/>
      </c>
      <c r="H57" s="148">
        <f>'לקוחות לפי סוכן - מקור'!I51</f>
        <v/>
      </c>
      <c r="I57" s="139">
        <f>'לקוחות לפי סוכן - מקור'!K51</f>
        <v/>
      </c>
      <c r="J57" s="139" t="inlineStr">
        <is>
          <t>קיים במקור</t>
        </is>
      </c>
    </row>
    <row r="58" ht="15" customHeight="1" s="82">
      <c r="A58" s="139">
        <f>'לקוחות לפי סוכן - מקור'!A52</f>
        <v/>
      </c>
      <c r="B58" s="139">
        <f>'לקוחות לפי סוכן - מקור'!C52</f>
        <v/>
      </c>
      <c r="C58" s="139">
        <f>'לקוחות לפי סוכן - מקור'!D52</f>
        <v/>
      </c>
      <c r="D58" s="139">
        <f>'לקוחות לפי סוכן - מקור'!E52</f>
        <v/>
      </c>
      <c r="E58" s="147">
        <f>'לקוחות לפי סוכן - מקור'!F52</f>
        <v/>
      </c>
      <c r="F58" s="147">
        <f>'לקוחות לפי סוכן - מקור'!G52</f>
        <v/>
      </c>
      <c r="G58" s="148">
        <f>'לקוחות לפי סוכן - מקור'!H52</f>
        <v/>
      </c>
      <c r="H58" s="148">
        <f>'לקוחות לפי סוכן - מקור'!I52</f>
        <v/>
      </c>
      <c r="I58" s="139">
        <f>'לקוחות לפי סוכן - מקור'!K52</f>
        <v/>
      </c>
      <c r="J58" s="139" t="inlineStr">
        <is>
          <t>קיים במקור</t>
        </is>
      </c>
    </row>
    <row r="59" ht="15" customHeight="1" s="82">
      <c r="A59" s="139">
        <f>'לקוחות לפי סוכן - מקור'!A53</f>
        <v/>
      </c>
      <c r="B59" s="139">
        <f>'לקוחות לפי סוכן - מקור'!C53</f>
        <v/>
      </c>
      <c r="C59" s="139">
        <f>'לקוחות לפי סוכן - מקור'!D53</f>
        <v/>
      </c>
      <c r="D59" s="139">
        <f>'לקוחות לפי סוכן - מקור'!E53</f>
        <v/>
      </c>
      <c r="E59" s="147">
        <f>'לקוחות לפי סוכן - מקור'!F53</f>
        <v/>
      </c>
      <c r="F59" s="147">
        <f>'לקוחות לפי סוכן - מקור'!G53</f>
        <v/>
      </c>
      <c r="G59" s="148">
        <f>'לקוחות לפי סוכן - מקור'!H53</f>
        <v/>
      </c>
      <c r="H59" s="148">
        <f>'לקוחות לפי סוכן - מקור'!I53</f>
        <v/>
      </c>
      <c r="I59" s="139">
        <f>'לקוחות לפי סוכן - מקור'!K53</f>
        <v/>
      </c>
      <c r="J59" s="139" t="inlineStr">
        <is>
          <t>קיים במקור</t>
        </is>
      </c>
    </row>
    <row r="60" ht="15" customHeight="1" s="82">
      <c r="A60" s="139">
        <f>'לקוחות לפי סוכן - מקור'!A54</f>
        <v/>
      </c>
      <c r="B60" s="139">
        <f>'לקוחות לפי סוכן - מקור'!C54</f>
        <v/>
      </c>
      <c r="C60" s="139">
        <f>'לקוחות לפי סוכן - מקור'!D54</f>
        <v/>
      </c>
      <c r="D60" s="139">
        <f>'לקוחות לפי סוכן - מקור'!E54</f>
        <v/>
      </c>
      <c r="E60" s="147">
        <f>'לקוחות לפי סוכן - מקור'!F54</f>
        <v/>
      </c>
      <c r="F60" s="147">
        <f>'לקוחות לפי סוכן - מקור'!G54</f>
        <v/>
      </c>
      <c r="G60" s="148">
        <f>'לקוחות לפי סוכן - מקור'!H54</f>
        <v/>
      </c>
      <c r="H60" s="148">
        <f>'לקוחות לפי סוכן - מקור'!I54</f>
        <v/>
      </c>
      <c r="I60" s="139">
        <f>'לקוחות לפי סוכן - מקור'!K54</f>
        <v/>
      </c>
      <c r="J60" s="139" t="inlineStr">
        <is>
          <t>קיים במקור</t>
        </is>
      </c>
    </row>
    <row r="61" ht="15" customHeight="1" s="82">
      <c r="A61" s="139">
        <f>'לקוחות לפי סוכן - מקור'!A55</f>
        <v/>
      </c>
      <c r="B61" s="139">
        <f>'לקוחות לפי סוכן - מקור'!C55</f>
        <v/>
      </c>
      <c r="C61" s="139">
        <f>'לקוחות לפי סוכן - מקור'!D55</f>
        <v/>
      </c>
      <c r="D61" s="139">
        <f>'לקוחות לפי סוכן - מקור'!E55</f>
        <v/>
      </c>
      <c r="E61" s="147">
        <f>'לקוחות לפי סוכן - מקור'!F55</f>
        <v/>
      </c>
      <c r="F61" s="147">
        <f>'לקוחות לפי סוכן - מקור'!G55</f>
        <v/>
      </c>
      <c r="G61" s="148">
        <f>'לקוחות לפי סוכן - מקור'!H55</f>
        <v/>
      </c>
      <c r="H61" s="148">
        <f>'לקוחות לפי סוכן - מקור'!I55</f>
        <v/>
      </c>
      <c r="I61" s="139">
        <f>'לקוחות לפי סוכן - מקור'!K55</f>
        <v/>
      </c>
      <c r="J61" s="139" t="inlineStr">
        <is>
          <t>קיים במקור</t>
        </is>
      </c>
    </row>
    <row r="62" ht="15" customHeight="1" s="82">
      <c r="A62" s="139">
        <f>'לקוחות לפי סוכן - מקור'!A56</f>
        <v/>
      </c>
      <c r="B62" s="139">
        <f>'לקוחות לפי סוכן - מקור'!C56</f>
        <v/>
      </c>
      <c r="C62" s="139">
        <f>'לקוחות לפי סוכן - מקור'!D56</f>
        <v/>
      </c>
      <c r="D62" s="139">
        <f>'לקוחות לפי סוכן - מקור'!E56</f>
        <v/>
      </c>
      <c r="E62" s="147">
        <f>'לקוחות לפי סוכן - מקור'!F56</f>
        <v/>
      </c>
      <c r="F62" s="147">
        <f>'לקוחות לפי סוכן - מקור'!G56</f>
        <v/>
      </c>
      <c r="G62" s="148">
        <f>'לקוחות לפי סוכן - מקור'!H56</f>
        <v/>
      </c>
      <c r="H62" s="148">
        <f>'לקוחות לפי סוכן - מקור'!I56</f>
        <v/>
      </c>
      <c r="I62" s="139">
        <f>'לקוחות לפי סוכן - מקור'!K56</f>
        <v/>
      </c>
      <c r="J62" s="139" t="inlineStr">
        <is>
          <t>קיים במקור</t>
        </is>
      </c>
    </row>
    <row r="63" ht="15" customHeight="1" s="82">
      <c r="A63" s="139">
        <f>'לקוחות לפי סוכן - מקור'!A57</f>
        <v/>
      </c>
      <c r="B63" s="139">
        <f>'לקוחות לפי סוכן - מקור'!C57</f>
        <v/>
      </c>
      <c r="C63" s="139">
        <f>'לקוחות לפי סוכן - מקור'!D57</f>
        <v/>
      </c>
      <c r="D63" s="139">
        <f>'לקוחות לפי סוכן - מקור'!E57</f>
        <v/>
      </c>
      <c r="E63" s="147">
        <f>IF('לקוחות לפי סוכן - מקור'!F57="",'לקוחות לפי סוכן - מקור חדש'!F299,'לקוחות לפי סוכן - מקור'!F57)</f>
        <v/>
      </c>
      <c r="F63" s="147">
        <f>IF('לקוחות לפי סוכן - מקור'!G57="",'לקוחות לפי סוכן - מקור חדש'!H299,'לקוחות לפי סוכן - מקור'!G57)</f>
        <v/>
      </c>
      <c r="G63" s="148">
        <f>IF('לקוחות לפי סוכן - מקור'!H57="",'לקוחות לפי סוכן - מקור חדש'!E299,'לקוחות לפי סוכן - מקור'!H57)</f>
        <v/>
      </c>
      <c r="H63" s="148">
        <f>IF('לקוחות לפי סוכן - מקור'!I57="",'לקוחות לפי סוכן - מקור חדש'!G299,'לקוחות לפי סוכן - מקור'!I57)</f>
        <v/>
      </c>
      <c r="I63" s="139" t="inlineStr">
        <is>
          <t>שני המקורות</t>
        </is>
      </c>
      <c r="J63" s="139" t="inlineStr">
        <is>
          <t>קיים במקור (CHMI) + מכר 2025/כמויות הושלמו מהקובץ החדש</t>
        </is>
      </c>
    </row>
    <row r="64" ht="15" customHeight="1" s="82">
      <c r="A64" s="139">
        <f>'לקוחות לפי סוכן - מקור'!A58</f>
        <v/>
      </c>
      <c r="B64" s="139">
        <f>'לקוחות לפי סוכן - מקור'!C58</f>
        <v/>
      </c>
      <c r="C64" s="139">
        <f>'לקוחות לפי סוכן - מקור'!D58</f>
        <v/>
      </c>
      <c r="D64" s="139">
        <f>'לקוחות לפי סוכן - מקור'!E58</f>
        <v/>
      </c>
      <c r="E64" s="147">
        <f>IF('לקוחות לפי סוכן - מקור'!F58="",'לקוחות לפי סוכן - מקור חדש'!F300,'לקוחות לפי סוכן - מקור'!F58)</f>
        <v/>
      </c>
      <c r="F64" s="147">
        <f>IF('לקוחות לפי סוכן - מקור'!G58="",'לקוחות לפי סוכן - מקור חדש'!H300,'לקוחות לפי סוכן - מקור'!G58)</f>
        <v/>
      </c>
      <c r="G64" s="148">
        <f>IF('לקוחות לפי סוכן - מקור'!H58="",'לקוחות לפי סוכן - מקור חדש'!E300,'לקוחות לפי סוכן - מקור'!H58)</f>
        <v/>
      </c>
      <c r="H64" s="148">
        <f>IF('לקוחות לפי סוכן - מקור'!I58="",'לקוחות לפי סוכן - מקור חדש'!G300,'לקוחות לפי סוכן - מקור'!I58)</f>
        <v/>
      </c>
      <c r="I64" s="139" t="inlineStr">
        <is>
          <t>שני המקורות</t>
        </is>
      </c>
      <c r="J64" s="139" t="inlineStr">
        <is>
          <t>קיים במקור (CHMI) + מכר 2025/כמויות הושלמו מהקובץ החדש</t>
        </is>
      </c>
    </row>
    <row r="65" ht="15" customHeight="1" s="82">
      <c r="A65" s="139">
        <f>'לקוחות לפי סוכן - מקור'!A59</f>
        <v/>
      </c>
      <c r="B65" s="139">
        <f>'לקוחות לפי סוכן - מקור'!C59</f>
        <v/>
      </c>
      <c r="C65" s="139">
        <f>'לקוחות לפי סוכן - מקור'!D59</f>
        <v/>
      </c>
      <c r="D65" s="139">
        <f>'לקוחות לפי סוכן - מקור'!E59</f>
        <v/>
      </c>
      <c r="E65" s="147">
        <f>IF('לקוחות לפי סוכן - מקור'!F59="",'לקוחות לפי סוכן - מקור חדש'!F301,'לקוחות לפי סוכן - מקור'!F59)</f>
        <v/>
      </c>
      <c r="F65" s="147">
        <f>IF('לקוחות לפי סוכן - מקור'!G59="",'לקוחות לפי סוכן - מקור חדש'!H301,'לקוחות לפי סוכן - מקור'!G59)</f>
        <v/>
      </c>
      <c r="G65" s="148">
        <f>IF('לקוחות לפי סוכן - מקור'!H59="",'לקוחות לפי סוכן - מקור חדש'!E301,'לקוחות לפי סוכן - מקור'!H59)</f>
        <v/>
      </c>
      <c r="H65" s="148">
        <f>IF('לקוחות לפי סוכן - מקור'!I59="",'לקוחות לפי סוכן - מקור חדש'!G301,'לקוחות לפי סוכן - מקור'!I59)</f>
        <v/>
      </c>
      <c r="I65" s="139" t="inlineStr">
        <is>
          <t>שני המקורות</t>
        </is>
      </c>
      <c r="J65" s="139" t="inlineStr">
        <is>
          <t>קיים במקור (CHMI) + מכר 2025/כמויות הושלמו מהקובץ החדש — פער ב-2026 מול הקובץ החדש, נבחר המקור</t>
        </is>
      </c>
    </row>
    <row r="66" ht="15" customHeight="1" s="82">
      <c r="A66" s="139">
        <f>'לקוחות לפי סוכן - מקור'!A60</f>
        <v/>
      </c>
      <c r="B66" s="139">
        <f>'לקוחות לפי סוכן - מקור'!C60</f>
        <v/>
      </c>
      <c r="C66" s="139">
        <f>'לקוחות לפי סוכן - מקור'!D60</f>
        <v/>
      </c>
      <c r="D66" s="139">
        <f>'לקוחות לפי סוכן - מקור'!E60</f>
        <v/>
      </c>
      <c r="E66" s="147">
        <f>IF('לקוחות לפי סוכן - מקור'!F60="",'לקוחות לפי סוכן - מקור חדש'!F302,'לקוחות לפי סוכן - מקור'!F60)</f>
        <v/>
      </c>
      <c r="F66" s="147">
        <f>IF('לקוחות לפי סוכן - מקור'!G60="",'לקוחות לפי סוכן - מקור חדש'!H302,'לקוחות לפי סוכן - מקור'!G60)</f>
        <v/>
      </c>
      <c r="G66" s="148">
        <f>IF('לקוחות לפי סוכן - מקור'!H60="",'לקוחות לפי סוכן - מקור חדש'!E302,'לקוחות לפי סוכן - מקור'!H60)</f>
        <v/>
      </c>
      <c r="H66" s="148">
        <f>IF('לקוחות לפי סוכן - מקור'!I60="",'לקוחות לפי סוכן - מקור חדש'!G302,'לקוחות לפי סוכן - מקור'!I60)</f>
        <v/>
      </c>
      <c r="I66" s="139" t="inlineStr">
        <is>
          <t>שני המקורות</t>
        </is>
      </c>
      <c r="J66" s="139" t="inlineStr">
        <is>
          <t>קיים במקור (CHMI) + מכר 2025/כמויות הושלמו מהקובץ החדש</t>
        </is>
      </c>
    </row>
    <row r="67" ht="15" customHeight="1" s="82">
      <c r="A67" s="139">
        <f>'לקוחות לפי סוכן - מקור'!A61</f>
        <v/>
      </c>
      <c r="B67" s="139">
        <f>'לקוחות לפי סוכן - מקור'!C61</f>
        <v/>
      </c>
      <c r="C67" s="139">
        <f>'לקוחות לפי סוכן - מקור'!D61</f>
        <v/>
      </c>
      <c r="D67" s="139">
        <f>'לקוחות לפי סוכן - מקור'!E61</f>
        <v/>
      </c>
      <c r="E67" s="147">
        <f>IF('לקוחות לפי סוכן - מקור'!F61="",'לקוחות לפי סוכן - מקור חדש'!F303,'לקוחות לפי סוכן - מקור'!F61)</f>
        <v/>
      </c>
      <c r="F67" s="147">
        <f>IF('לקוחות לפי סוכן - מקור'!G61="",'לקוחות לפי סוכן - מקור חדש'!H303,'לקוחות לפי סוכן - מקור'!G61)</f>
        <v/>
      </c>
      <c r="G67" s="148">
        <f>IF('לקוחות לפי סוכן - מקור'!H61="",'לקוחות לפי סוכן - מקור חדש'!E303,'לקוחות לפי סוכן - מקור'!H61)</f>
        <v/>
      </c>
      <c r="H67" s="148">
        <f>IF('לקוחות לפי סוכן - מקור'!I61="",'לקוחות לפי סוכן - מקור חדש'!G303,'לקוחות לפי סוכן - מקור'!I61)</f>
        <v/>
      </c>
      <c r="I67" s="139" t="inlineStr">
        <is>
          <t>שני המקורות</t>
        </is>
      </c>
      <c r="J67" s="139" t="inlineStr">
        <is>
          <t>קיים במקור (CHMI) + מכר 2025/כמויות הושלמו מהקובץ החדש</t>
        </is>
      </c>
    </row>
    <row r="68" ht="15" customHeight="1" s="82">
      <c r="A68" s="139">
        <f>'לקוחות לפי סוכן - מקור'!A62</f>
        <v/>
      </c>
      <c r="B68" s="139">
        <f>'לקוחות לפי סוכן - מקור'!C62</f>
        <v/>
      </c>
      <c r="C68" s="139">
        <f>'לקוחות לפי סוכן - מקור'!D62</f>
        <v/>
      </c>
      <c r="D68" s="139">
        <f>'לקוחות לפי סוכן - מקור'!E62</f>
        <v/>
      </c>
      <c r="E68" s="147">
        <f>IF('לקוחות לפי סוכן - מקור'!F62="",'לקוחות לפי סוכן - מקור חדש'!F304,'לקוחות לפי סוכן - מקור'!F62)</f>
        <v/>
      </c>
      <c r="F68" s="147">
        <f>IF('לקוחות לפי סוכן - מקור'!G62="",'לקוחות לפי סוכן - מקור חדש'!H304,'לקוחות לפי סוכן - מקור'!G62)</f>
        <v/>
      </c>
      <c r="G68" s="148">
        <f>IF('לקוחות לפי סוכן - מקור'!H62="",'לקוחות לפי סוכן - מקור חדש'!E304,'לקוחות לפי סוכן - מקור'!H62)</f>
        <v/>
      </c>
      <c r="H68" s="148">
        <f>IF('לקוחות לפי סוכן - מקור'!I62="",'לקוחות לפי סוכן - מקור חדש'!G304,'לקוחות לפי סוכן - מקור'!I62)</f>
        <v/>
      </c>
      <c r="I68" s="139" t="inlineStr">
        <is>
          <t>שני המקורות</t>
        </is>
      </c>
      <c r="J68" s="139" t="inlineStr">
        <is>
          <t>קיים במקור (CHMI) + מכר 2025/כמויות הושלמו מהקובץ החדש</t>
        </is>
      </c>
    </row>
    <row r="69" ht="15" customHeight="1" s="82">
      <c r="A69" s="139">
        <f>'לקוחות לפי סוכן - מקור'!A63</f>
        <v/>
      </c>
      <c r="B69" s="139">
        <f>'לקוחות לפי סוכן - מקור'!C63</f>
        <v/>
      </c>
      <c r="C69" s="139">
        <f>'לקוחות לפי סוכן - מקור'!D63</f>
        <v/>
      </c>
      <c r="D69" s="139">
        <f>'לקוחות לפי סוכן - מקור'!E63</f>
        <v/>
      </c>
      <c r="E69" s="147">
        <f>IF('לקוחות לפי סוכן - מקור'!F63="",'לקוחות לפי סוכן - מקור חדש'!F305,'לקוחות לפי סוכן - מקור'!F63)</f>
        <v/>
      </c>
      <c r="F69" s="147">
        <f>IF('לקוחות לפי סוכן - מקור'!G63="",'לקוחות לפי סוכן - מקור חדש'!H305,'לקוחות לפי סוכן - מקור'!G63)</f>
        <v/>
      </c>
      <c r="G69" s="148">
        <f>IF('לקוחות לפי סוכן - מקור'!H63="",'לקוחות לפי סוכן - מקור חדש'!E305,'לקוחות לפי סוכן - מקור'!H63)</f>
        <v/>
      </c>
      <c r="H69" s="148">
        <f>IF('לקוחות לפי סוכן - מקור'!I63="",'לקוחות לפי סוכן - מקור חדש'!G305,'לקוחות לפי סוכן - מקור'!I63)</f>
        <v/>
      </c>
      <c r="I69" s="139" t="inlineStr">
        <is>
          <t>שני המקורות</t>
        </is>
      </c>
      <c r="J69" s="139" t="inlineStr">
        <is>
          <t>קיים במקור (CHMI) + מכר 2025/כמויות הושלמו מהקובץ החדש</t>
        </is>
      </c>
    </row>
    <row r="70" ht="15" customHeight="1" s="82">
      <c r="A70" s="139">
        <f>'לקוחות לפי סוכן - מקור'!A64</f>
        <v/>
      </c>
      <c r="B70" s="139">
        <f>'לקוחות לפי סוכן - מקור'!C64</f>
        <v/>
      </c>
      <c r="C70" s="139">
        <f>'לקוחות לפי סוכן - מקור'!D64</f>
        <v/>
      </c>
      <c r="D70" s="139">
        <f>'לקוחות לפי סוכן - מקור'!E64</f>
        <v/>
      </c>
      <c r="E70" s="147">
        <f>IF('לקוחות לפי סוכן - מקור'!F64="",'לקוחות לפי סוכן - מקור חדש'!F306,'לקוחות לפי סוכן - מקור'!F64)</f>
        <v/>
      </c>
      <c r="F70" s="147">
        <f>IF('לקוחות לפי סוכן - מקור'!G64="",'לקוחות לפי סוכן - מקור חדש'!H306,'לקוחות לפי סוכן - מקור'!G64)</f>
        <v/>
      </c>
      <c r="G70" s="148">
        <f>IF('לקוחות לפי סוכן - מקור'!H64="",'לקוחות לפי סוכן - מקור חדש'!E306,'לקוחות לפי סוכן - מקור'!H64)</f>
        <v/>
      </c>
      <c r="H70" s="148">
        <f>IF('לקוחות לפי סוכן - מקור'!I64="",'לקוחות לפי סוכן - מקור חדש'!G306,'לקוחות לפי סוכן - מקור'!I64)</f>
        <v/>
      </c>
      <c r="I70" s="139" t="inlineStr">
        <is>
          <t>שני המקורות</t>
        </is>
      </c>
      <c r="J70" s="139" t="inlineStr">
        <is>
          <t>קיים במקור (CHMI) + מכר 2025/כמויות הושלמו מהקובץ החדש</t>
        </is>
      </c>
    </row>
    <row r="71" ht="15" customHeight="1" s="82">
      <c r="A71" s="139">
        <f>'לקוחות לפי סוכן - מקור'!A65</f>
        <v/>
      </c>
      <c r="B71" s="139">
        <f>'לקוחות לפי סוכן - מקור'!C65</f>
        <v/>
      </c>
      <c r="C71" s="139">
        <f>'לקוחות לפי סוכן - מקור'!D65</f>
        <v/>
      </c>
      <c r="D71" s="139">
        <f>'לקוחות לפי סוכן - מקור'!E65</f>
        <v/>
      </c>
      <c r="E71" s="147">
        <f>IF('לקוחות לפי סוכן - מקור'!F65="",'לקוחות לפי סוכן - מקור חדש'!F307,'לקוחות לפי סוכן - מקור'!F65)</f>
        <v/>
      </c>
      <c r="F71" s="147">
        <f>IF('לקוחות לפי סוכן - מקור'!G65="",'לקוחות לפי סוכן - מקור חדש'!H307,'לקוחות לפי סוכן - מקור'!G65)</f>
        <v/>
      </c>
      <c r="G71" s="148">
        <f>IF('לקוחות לפי סוכן - מקור'!H65="",'לקוחות לפי סוכן - מקור חדש'!E307,'לקוחות לפי סוכן - מקור'!H65)</f>
        <v/>
      </c>
      <c r="H71" s="148">
        <f>IF('לקוחות לפי סוכן - מקור'!I65="",'לקוחות לפי סוכן - מקור חדש'!G307,'לקוחות לפי סוכן - מקור'!I65)</f>
        <v/>
      </c>
      <c r="I71" s="139" t="inlineStr">
        <is>
          <t>שני המקורות</t>
        </is>
      </c>
      <c r="J71" s="139" t="inlineStr">
        <is>
          <t>קיים במקור (CHMI) + מכר 2025/כמויות הושלמו מהקובץ החדש — פער ב-2026 מול הקובץ החדש, נבחר המקור</t>
        </is>
      </c>
    </row>
    <row r="72" ht="15" customHeight="1" s="82">
      <c r="A72" s="139">
        <f>'לקוחות לפי סוכן - מקור'!A66</f>
        <v/>
      </c>
      <c r="B72" s="139">
        <f>'לקוחות לפי סוכן - מקור'!C66</f>
        <v/>
      </c>
      <c r="C72" s="139">
        <f>'לקוחות לפי סוכן - מקור'!D66</f>
        <v/>
      </c>
      <c r="D72" s="139">
        <f>'לקוחות לפי סוכן - מקור'!E66</f>
        <v/>
      </c>
      <c r="E72" s="147">
        <f>IF('לקוחות לפי סוכן - מקור'!F66="",'לקוחות לפי סוכן - מקור חדש'!F308,'לקוחות לפי סוכן - מקור'!F66)</f>
        <v/>
      </c>
      <c r="F72" s="147">
        <f>IF('לקוחות לפי סוכן - מקור'!G66="",'לקוחות לפי סוכן - מקור חדש'!H308,'לקוחות לפי סוכן - מקור'!G66)</f>
        <v/>
      </c>
      <c r="G72" s="148">
        <f>IF('לקוחות לפי סוכן - מקור'!H66="",'לקוחות לפי סוכן - מקור חדש'!E308,'לקוחות לפי סוכן - מקור'!H66)</f>
        <v/>
      </c>
      <c r="H72" s="148">
        <f>IF('לקוחות לפי סוכן - מקור'!I66="",'לקוחות לפי סוכן - מקור חדש'!G308,'לקוחות לפי סוכן - מקור'!I66)</f>
        <v/>
      </c>
      <c r="I72" s="139" t="inlineStr">
        <is>
          <t>שני המקורות</t>
        </is>
      </c>
      <c r="J72" s="139" t="inlineStr">
        <is>
          <t>קיים במקור (CHMI) + מכר 2025/כמויות הושלמו מהקובץ החדש</t>
        </is>
      </c>
    </row>
    <row r="73" ht="15" customHeight="1" s="82">
      <c r="A73" s="139">
        <f>'לקוחות לפי סוכן - מקור'!A67</f>
        <v/>
      </c>
      <c r="B73" s="139">
        <f>'לקוחות לפי סוכן - מקור'!C67</f>
        <v/>
      </c>
      <c r="C73" s="139">
        <f>'לקוחות לפי סוכן - מקור'!D67</f>
        <v/>
      </c>
      <c r="D73" s="139">
        <f>'לקוחות לפי סוכן - מקור'!E67</f>
        <v/>
      </c>
      <c r="E73" s="147">
        <f>IF('לקוחות לפי סוכן - מקור'!F67="",'לקוחות לפי סוכן - מקור חדש'!F309,'לקוחות לפי סוכן - מקור'!F67)</f>
        <v/>
      </c>
      <c r="F73" s="147">
        <f>IF('לקוחות לפי סוכן - מקור'!G67="",'לקוחות לפי סוכן - מקור חדש'!H309,'לקוחות לפי סוכן - מקור'!G67)</f>
        <v/>
      </c>
      <c r="G73" s="148">
        <f>IF('לקוחות לפי סוכן - מקור'!H67="",'לקוחות לפי סוכן - מקור חדש'!E309,'לקוחות לפי סוכן - מקור'!H67)</f>
        <v/>
      </c>
      <c r="H73" s="148">
        <f>IF('לקוחות לפי סוכן - מקור'!I67="",'לקוחות לפי סוכן - מקור חדש'!G309,'לקוחות לפי סוכן - מקור'!I67)</f>
        <v/>
      </c>
      <c r="I73" s="139" t="inlineStr">
        <is>
          <t>שני המקורות</t>
        </is>
      </c>
      <c r="J73" s="139" t="inlineStr">
        <is>
          <t>קיים במקור (CHMI) + מכר 2025/כמויות הושלמו מהקובץ החדש</t>
        </is>
      </c>
    </row>
    <row r="74" ht="15" customHeight="1" s="82">
      <c r="A74" s="139">
        <f>'לקוחות לפי סוכן - מקור'!A68</f>
        <v/>
      </c>
      <c r="B74" s="139">
        <f>'לקוחות לפי סוכן - מקור'!C68</f>
        <v/>
      </c>
      <c r="C74" s="139">
        <f>'לקוחות לפי סוכן - מקור'!D68</f>
        <v/>
      </c>
      <c r="D74" s="139">
        <f>'לקוחות לפי סוכן - מקור'!E68</f>
        <v/>
      </c>
      <c r="E74" s="147">
        <f>IF('לקוחות לפי סוכן - מקור'!F68="",'לקוחות לפי סוכן - מקור חדש'!F311,'לקוחות לפי סוכן - מקור'!F68)</f>
        <v/>
      </c>
      <c r="F74" s="147">
        <f>IF('לקוחות לפי סוכן - מקור'!G68="",'לקוחות לפי סוכן - מקור חדש'!H311,'לקוחות לפי סוכן - מקור'!G68)</f>
        <v/>
      </c>
      <c r="G74" s="148">
        <f>IF('לקוחות לפי סוכן - מקור'!H68="",'לקוחות לפי סוכן - מקור חדש'!E311,'לקוחות לפי סוכן - מקור'!H68)</f>
        <v/>
      </c>
      <c r="H74" s="148">
        <f>IF('לקוחות לפי סוכן - מקור'!I68="",'לקוחות לפי סוכן - מקור חדש'!G311,'לקוחות לפי סוכן - מקור'!I68)</f>
        <v/>
      </c>
      <c r="I74" s="139" t="inlineStr">
        <is>
          <t>שני המקורות</t>
        </is>
      </c>
      <c r="J74" s="139" t="inlineStr">
        <is>
          <t>קיים במקור (CHMI) + מכר 2025/כמויות הושלמו מהקובץ החדש</t>
        </is>
      </c>
    </row>
    <row r="75" ht="15" customHeight="1" s="82">
      <c r="A75" s="139">
        <f>'לקוחות לפי סוכן - מקור'!A69</f>
        <v/>
      </c>
      <c r="B75" s="139">
        <f>'לקוחות לפי סוכן - מקור'!C69</f>
        <v/>
      </c>
      <c r="C75" s="139">
        <f>'לקוחות לפי סוכן - מקור'!D69</f>
        <v/>
      </c>
      <c r="D75" s="139">
        <f>'לקוחות לפי סוכן - מקור'!E69</f>
        <v/>
      </c>
      <c r="E75" s="147">
        <f>IF('לקוחות לפי סוכן - מקור'!F69="",'לקוחות לפי סוכן - מקור חדש'!F312,'לקוחות לפי סוכן - מקור'!F69)</f>
        <v/>
      </c>
      <c r="F75" s="147">
        <f>IF('לקוחות לפי סוכן - מקור'!G69="",'לקוחות לפי סוכן - מקור חדש'!H312,'לקוחות לפי סוכן - מקור'!G69)</f>
        <v/>
      </c>
      <c r="G75" s="148">
        <f>IF('לקוחות לפי סוכן - מקור'!H69="",'לקוחות לפי סוכן - מקור חדש'!E312,'לקוחות לפי סוכן - מקור'!H69)</f>
        <v/>
      </c>
      <c r="H75" s="148">
        <f>IF('לקוחות לפי סוכן - מקור'!I69="",'לקוחות לפי סוכן - מקור חדש'!G312,'לקוחות לפי סוכן - מקור'!I69)</f>
        <v/>
      </c>
      <c r="I75" s="139" t="inlineStr">
        <is>
          <t>שני המקורות</t>
        </is>
      </c>
      <c r="J75" s="139" t="inlineStr">
        <is>
          <t>קיים במקור (CHMI) + מכר 2025/כמויות הושלמו מהקובץ החדש — פער ב-2026 מול הקובץ החדש, נבחר המקור</t>
        </is>
      </c>
    </row>
    <row r="76" ht="15" customHeight="1" s="82">
      <c r="A76" s="139">
        <f>'לקוחות לפי סוכן - מקור'!A70</f>
        <v/>
      </c>
      <c r="B76" s="139">
        <f>'לקוחות לפי סוכן - מקור'!C70</f>
        <v/>
      </c>
      <c r="C76" s="139">
        <f>'לקוחות לפי סוכן - מקור'!D70</f>
        <v/>
      </c>
      <c r="D76" s="139">
        <f>'לקוחות לפי סוכן - מקור'!E70</f>
        <v/>
      </c>
      <c r="E76" s="147">
        <f>IF('לקוחות לפי סוכן - מקור'!F70="",'לקוחות לפי סוכן - מקור חדש'!F313,'לקוחות לפי סוכן - מקור'!F70)</f>
        <v/>
      </c>
      <c r="F76" s="147">
        <f>IF('לקוחות לפי סוכן - מקור'!G70="",'לקוחות לפי סוכן - מקור חדש'!H313,'לקוחות לפי סוכן - מקור'!G70)</f>
        <v/>
      </c>
      <c r="G76" s="148">
        <f>IF('לקוחות לפי סוכן - מקור'!H70="",'לקוחות לפי סוכן - מקור חדש'!E313,'לקוחות לפי סוכן - מקור'!H70)</f>
        <v/>
      </c>
      <c r="H76" s="148">
        <f>IF('לקוחות לפי סוכן - מקור'!I70="",'לקוחות לפי סוכן - מקור חדש'!G313,'לקוחות לפי סוכן - מקור'!I70)</f>
        <v/>
      </c>
      <c r="I76" s="139" t="inlineStr">
        <is>
          <t>שני המקורות</t>
        </is>
      </c>
      <c r="J76" s="139" t="inlineStr">
        <is>
          <t>קיים במקור (CHMI) + מכר 2025/כמויות הושלמו מהקובץ החדש</t>
        </is>
      </c>
    </row>
    <row r="77" ht="15" customHeight="1" s="82">
      <c r="A77" s="139">
        <f>'לקוחות לפי סוכן - מקור'!A71</f>
        <v/>
      </c>
      <c r="B77" s="139">
        <f>'לקוחות לפי סוכן - מקור'!C71</f>
        <v/>
      </c>
      <c r="C77" s="139">
        <f>'לקוחות לפי סוכן - מקור'!D71</f>
        <v/>
      </c>
      <c r="D77" s="139">
        <f>'לקוחות לפי סוכן - מקור'!E71</f>
        <v/>
      </c>
      <c r="E77" s="147">
        <f>IF('לקוחות לפי סוכן - מקור'!F71="",'לקוחות לפי סוכן - מקור חדש'!F314,'לקוחות לפי סוכן - מקור'!F71)</f>
        <v/>
      </c>
      <c r="F77" s="147">
        <f>IF('לקוחות לפי סוכן - מקור'!G71="",'לקוחות לפי סוכן - מקור חדש'!H314,'לקוחות לפי סוכן - מקור'!G71)</f>
        <v/>
      </c>
      <c r="G77" s="148">
        <f>IF('לקוחות לפי סוכן - מקור'!H71="",'לקוחות לפי סוכן - מקור חדש'!E314,'לקוחות לפי סוכן - מקור'!H71)</f>
        <v/>
      </c>
      <c r="H77" s="148">
        <f>IF('לקוחות לפי סוכן - מקור'!I71="",'לקוחות לפי סוכן - מקור חדש'!G314,'לקוחות לפי סוכן - מקור'!I71)</f>
        <v/>
      </c>
      <c r="I77" s="139" t="inlineStr">
        <is>
          <t>שני המקורות</t>
        </is>
      </c>
      <c r="J77" s="139" t="inlineStr">
        <is>
          <t>קיים במקור (CHMI) + מכר 2025/כמויות הושלמו מהקובץ החדש</t>
        </is>
      </c>
    </row>
    <row r="78" ht="15" customHeight="1" s="82">
      <c r="A78" s="139">
        <f>'לקוחות לפי סוכן - מקור'!A72</f>
        <v/>
      </c>
      <c r="B78" s="139">
        <f>'לקוחות לפי סוכן - מקור'!C72</f>
        <v/>
      </c>
      <c r="C78" s="139">
        <f>'לקוחות לפי סוכן - מקור'!D72</f>
        <v/>
      </c>
      <c r="D78" s="139">
        <f>'לקוחות לפי סוכן - מקור'!E72</f>
        <v/>
      </c>
      <c r="E78" s="147">
        <f>IF('לקוחות לפי סוכן - מקור'!F72="",'לקוחות לפי סוכן - מקור חדש'!F315,'לקוחות לפי סוכן - מקור'!F72)</f>
        <v/>
      </c>
      <c r="F78" s="147">
        <f>IF('לקוחות לפי סוכן - מקור'!G72="",'לקוחות לפי סוכן - מקור חדש'!H315,'לקוחות לפי סוכן - מקור'!G72)</f>
        <v/>
      </c>
      <c r="G78" s="148">
        <f>IF('לקוחות לפי סוכן - מקור'!H72="",'לקוחות לפי סוכן - מקור חדש'!E315,'לקוחות לפי סוכן - מקור'!H72)</f>
        <v/>
      </c>
      <c r="H78" s="148">
        <f>IF('לקוחות לפי סוכן - מקור'!I72="",'לקוחות לפי סוכן - מקור חדש'!G315,'לקוחות לפי סוכן - מקור'!I72)</f>
        <v/>
      </c>
      <c r="I78" s="139" t="inlineStr">
        <is>
          <t>שני המקורות</t>
        </is>
      </c>
      <c r="J78" s="139" t="inlineStr">
        <is>
          <t>קיים במקור (CHMI) + מכר 2025/כמויות הושלמו מהקובץ החדש</t>
        </is>
      </c>
    </row>
    <row r="79" ht="15" customHeight="1" s="82">
      <c r="A79" s="139">
        <f>'לקוחות לפי סוכן - מקור'!A73</f>
        <v/>
      </c>
      <c r="B79" s="139">
        <f>'לקוחות לפי סוכן - מקור'!C73</f>
        <v/>
      </c>
      <c r="C79" s="139">
        <f>'לקוחות לפי סוכן - מקור'!D73</f>
        <v/>
      </c>
      <c r="D79" s="139">
        <f>'לקוחות לפי סוכן - מקור'!E73</f>
        <v/>
      </c>
      <c r="E79" s="147">
        <f>IF('לקוחות לפי סוכן - מקור'!F73="",'לקוחות לפי סוכן - מקור חדש'!F316,'לקוחות לפי סוכן - מקור'!F73)</f>
        <v/>
      </c>
      <c r="F79" s="147">
        <f>IF('לקוחות לפי סוכן - מקור'!G73="",'לקוחות לפי סוכן - מקור חדש'!H316,'לקוחות לפי סוכן - מקור'!G73)</f>
        <v/>
      </c>
      <c r="G79" s="148">
        <f>IF('לקוחות לפי סוכן - מקור'!H73="",'לקוחות לפי סוכן - מקור חדש'!E316,'לקוחות לפי סוכן - מקור'!H73)</f>
        <v/>
      </c>
      <c r="H79" s="148">
        <f>IF('לקוחות לפי סוכן - מקור'!I73="",'לקוחות לפי סוכן - מקור חדש'!G316,'לקוחות לפי סוכן - מקור'!I73)</f>
        <v/>
      </c>
      <c r="I79" s="139" t="inlineStr">
        <is>
          <t>שני המקורות</t>
        </is>
      </c>
      <c r="J79" s="139" t="inlineStr">
        <is>
          <t>קיים במקור (CHMI) + מכר 2025/כמויות הושלמו מהקובץ החדש</t>
        </is>
      </c>
    </row>
    <row r="80" ht="15" customHeight="1" s="82">
      <c r="A80" s="139">
        <f>'לקוחות לפי סוכן - מקור'!A74</f>
        <v/>
      </c>
      <c r="B80" s="139">
        <f>'לקוחות לפי סוכן - מקור'!C74</f>
        <v/>
      </c>
      <c r="C80" s="139">
        <f>'לקוחות לפי סוכן - מקור'!D74</f>
        <v/>
      </c>
      <c r="D80" s="139">
        <f>'לקוחות לפי סוכן - מקור'!E74</f>
        <v/>
      </c>
      <c r="E80" s="147">
        <f>IF('לקוחות לפי סוכן - מקור'!F74="",'לקוחות לפי סוכן - מקור חדש'!F317,'לקוחות לפי סוכן - מקור'!F74)</f>
        <v/>
      </c>
      <c r="F80" s="147">
        <f>IF('לקוחות לפי סוכן - מקור'!G74="",'לקוחות לפי סוכן - מקור חדש'!H317,'לקוחות לפי סוכן - מקור'!G74)</f>
        <v/>
      </c>
      <c r="G80" s="148">
        <f>IF('לקוחות לפי סוכן - מקור'!H74="",'לקוחות לפי סוכן - מקור חדש'!E317,'לקוחות לפי סוכן - מקור'!H74)</f>
        <v/>
      </c>
      <c r="H80" s="148">
        <f>IF('לקוחות לפי סוכן - מקור'!I74="",'לקוחות לפי סוכן - מקור חדש'!G317,'לקוחות לפי סוכן - מקור'!I74)</f>
        <v/>
      </c>
      <c r="I80" s="139" t="inlineStr">
        <is>
          <t>שני המקורות</t>
        </is>
      </c>
      <c r="J80" s="139" t="inlineStr">
        <is>
          <t>קיים במקור (CHMI) + מכר 2025/כמויות הושלמו מהקובץ החדש — פער ב-2026 מול הקובץ החדש, נבחר המקור</t>
        </is>
      </c>
    </row>
    <row r="81" ht="15" customHeight="1" s="82">
      <c r="A81" s="139">
        <f>'לקוחות לפי סוכן - מקור'!A75</f>
        <v/>
      </c>
      <c r="B81" s="139">
        <f>'לקוחות לפי סוכן - מקור'!C75</f>
        <v/>
      </c>
      <c r="C81" s="139">
        <f>'לקוחות לפי סוכן - מקור'!D75</f>
        <v/>
      </c>
      <c r="D81" s="139">
        <f>'לקוחות לפי סוכן - מקור'!E75</f>
        <v/>
      </c>
      <c r="E81" s="147">
        <f>IF('לקוחות לפי סוכן - מקור'!F75="",'לקוחות לפי סוכן - מקור חדש'!F355,'לקוחות לפי סוכן - מקור'!F75)</f>
        <v/>
      </c>
      <c r="F81" s="147">
        <f>IF('לקוחות לפי סוכן - מקור'!G75="",'לקוחות לפי סוכן - מקור חדש'!H355,'לקוחות לפי סוכן - מקור'!G75)</f>
        <v/>
      </c>
      <c r="G81" s="148">
        <f>IF('לקוחות לפי סוכן - מקור'!H75="",'לקוחות לפי סוכן - מקור חדש'!E355,'לקוחות לפי סוכן - מקור'!H75)</f>
        <v/>
      </c>
      <c r="H81" s="148">
        <f>IF('לקוחות לפי סוכן - מקור'!I75="",'לקוחות לפי סוכן - מקור חדש'!G355,'לקוחות לפי סוכן - מקור'!I75)</f>
        <v/>
      </c>
      <c r="I81" s="139" t="inlineStr">
        <is>
          <t>שני המקורות</t>
        </is>
      </c>
      <c r="J81" s="139" t="inlineStr">
        <is>
          <t>קיים במקור (CHMI) + מכר 2025/כמויות הושלמו מהקובץ החדש</t>
        </is>
      </c>
    </row>
    <row r="82" ht="15" customHeight="1" s="82">
      <c r="A82" s="139">
        <f>'לקוחות לפי סוכן - מקור'!A76</f>
        <v/>
      </c>
      <c r="B82" s="139">
        <f>'לקוחות לפי סוכן - מקור'!C76</f>
        <v/>
      </c>
      <c r="C82" s="139">
        <f>'לקוחות לפי סוכן - מקור'!D76</f>
        <v/>
      </c>
      <c r="D82" s="139">
        <f>'לקוחות לפי סוכן - מקור'!E76</f>
        <v/>
      </c>
      <c r="E82" s="147">
        <f>IF('לקוחות לפי סוכן - מקור'!F76="",'לקוחות לפי סוכן - מקור חדש'!F362,'לקוחות לפי סוכן - מקור'!F76)</f>
        <v/>
      </c>
      <c r="F82" s="147">
        <f>IF('לקוחות לפי סוכן - מקור'!G76="",'לקוחות לפי סוכן - מקור חדש'!H362,'לקוחות לפי סוכן - מקור'!G76)</f>
        <v/>
      </c>
      <c r="G82" s="148">
        <f>IF('לקוחות לפי סוכן - מקור'!H76="",'לקוחות לפי סוכן - מקור חדש'!E362,'לקוחות לפי סוכן - מקור'!H76)</f>
        <v/>
      </c>
      <c r="H82" s="148">
        <f>IF('לקוחות לפי סוכן - מקור'!I76="",'לקוחות לפי סוכן - מקור חדש'!G362,'לקוחות לפי סוכן - מקור'!I76)</f>
        <v/>
      </c>
      <c r="I82" s="139" t="inlineStr">
        <is>
          <t>שני המקורות</t>
        </is>
      </c>
      <c r="J82" s="139" t="inlineStr">
        <is>
          <t>קיים במקור (CHMI) + מכר 2025/כמויות הושלמו מהקובץ החדש</t>
        </is>
      </c>
    </row>
    <row r="83" ht="15" customHeight="1" s="82">
      <c r="A83" s="139">
        <f>'לקוחות לפי סוכן - מקור'!A77</f>
        <v/>
      </c>
      <c r="B83" s="139">
        <f>'לקוחות לפי סוכן - מקור'!C77</f>
        <v/>
      </c>
      <c r="C83" s="139">
        <f>'לקוחות לפי סוכן - מקור'!D77</f>
        <v/>
      </c>
      <c r="D83" s="139">
        <f>'לקוחות לפי סוכן - מקור'!E77</f>
        <v/>
      </c>
      <c r="E83" s="147">
        <f>'לקוחות לפי סוכן - מקור'!F77</f>
        <v/>
      </c>
      <c r="F83" s="147">
        <f>'לקוחות לפי סוכן - מקור'!G77</f>
        <v/>
      </c>
      <c r="G83" s="148">
        <f>'לקוחות לפי סוכן - מקור'!H77</f>
        <v/>
      </c>
      <c r="H83" s="148">
        <f>'לקוחות לפי סוכן - מקור'!I77</f>
        <v/>
      </c>
      <c r="I83" s="139">
        <f>'לקוחות לפי סוכן - מקור'!K77</f>
        <v/>
      </c>
      <c r="J83" s="139" t="inlineStr">
        <is>
          <t>קיים במקור</t>
        </is>
      </c>
    </row>
    <row r="84" ht="15" customHeight="1" s="82">
      <c r="A84" s="139">
        <f>'לקוחות לפי סוכן - מקור'!A78</f>
        <v/>
      </c>
      <c r="B84" s="139">
        <f>'לקוחות לפי סוכן - מקור'!C78</f>
        <v/>
      </c>
      <c r="C84" s="139">
        <f>'לקוחות לפי סוכן - מקור'!D78</f>
        <v/>
      </c>
      <c r="D84" s="139">
        <f>'לקוחות לפי סוכן - מקור'!E78</f>
        <v/>
      </c>
      <c r="E84" s="147">
        <f>IF('לקוחות לפי סוכן - מקור'!F78="",'לקוחות לפי סוכן - מקור חדש'!F373,'לקוחות לפי סוכן - מקור'!F78)</f>
        <v/>
      </c>
      <c r="F84" s="147">
        <f>IF('לקוחות לפי סוכן - מקור'!G78="",'לקוחות לפי סוכן - מקור חדש'!H373,'לקוחות לפי סוכן - מקור'!G78)</f>
        <v/>
      </c>
      <c r="G84" s="148">
        <f>IF('לקוחות לפי סוכן - מקור'!H78="",'לקוחות לפי סוכן - מקור חדש'!E373,'לקוחות לפי סוכן - מקור'!H78)</f>
        <v/>
      </c>
      <c r="H84" s="148">
        <f>IF('לקוחות לפי סוכן - מקור'!I78="",'לקוחות לפי סוכן - מקור חדש'!G373,'לקוחות לפי סוכן - מקור'!I78)</f>
        <v/>
      </c>
      <c r="I84" s="139" t="inlineStr">
        <is>
          <t>שני המקורות</t>
        </is>
      </c>
      <c r="J84" s="139" t="inlineStr">
        <is>
          <t>קיים במקור (CHMI) + מכר 2025/כמויות הושלמו מהקובץ החדש</t>
        </is>
      </c>
    </row>
    <row r="85" ht="15" customHeight="1" s="82">
      <c r="A85" s="139">
        <f>'לקוחות לפי סוכן - מקור'!A79</f>
        <v/>
      </c>
      <c r="B85" s="139">
        <f>'לקוחות לפי סוכן - מקור'!C79</f>
        <v/>
      </c>
      <c r="C85" s="139">
        <f>'לקוחות לפי סוכן - מקור'!D79</f>
        <v/>
      </c>
      <c r="D85" s="139">
        <f>'לקוחות לפי סוכן - מקור'!E79</f>
        <v/>
      </c>
      <c r="E85" s="147">
        <f>'לקוחות לפי סוכן - מקור'!F79</f>
        <v/>
      </c>
      <c r="F85" s="147">
        <f>'לקוחות לפי סוכן - מקור'!G79</f>
        <v/>
      </c>
      <c r="G85" s="148">
        <f>'לקוחות לפי סוכן - מקור'!H79</f>
        <v/>
      </c>
      <c r="H85" s="148">
        <f>'לקוחות לפי סוכן - מקור'!I79</f>
        <v/>
      </c>
      <c r="I85" s="139">
        <f>'לקוחות לפי סוכן - מקור'!K79</f>
        <v/>
      </c>
      <c r="J85" s="139" t="inlineStr">
        <is>
          <t>קיים במקור</t>
        </is>
      </c>
    </row>
    <row r="86" ht="15" customHeight="1" s="82">
      <c r="A86" s="139">
        <f>'לקוחות לפי סוכן - מקור'!A80</f>
        <v/>
      </c>
      <c r="B86" s="139">
        <f>'לקוחות לפי סוכן - מקור'!C80</f>
        <v/>
      </c>
      <c r="C86" s="139">
        <f>'לקוחות לפי סוכן - מקור'!D80</f>
        <v/>
      </c>
      <c r="D86" s="139">
        <f>'לקוחות לפי סוכן - מקור'!E80</f>
        <v/>
      </c>
      <c r="E86" s="147">
        <f>'לקוחות לפי סוכן - מקור'!F80</f>
        <v/>
      </c>
      <c r="F86" s="147">
        <f>'לקוחות לפי סוכן - מקור'!G80</f>
        <v/>
      </c>
      <c r="G86" s="148">
        <f>'לקוחות לפי סוכן - מקור'!H80</f>
        <v/>
      </c>
      <c r="H86" s="148">
        <f>'לקוחות לפי סוכן - מקור'!I80</f>
        <v/>
      </c>
      <c r="I86" s="139">
        <f>'לקוחות לפי סוכן - מקור'!K80</f>
        <v/>
      </c>
      <c r="J86" s="139" t="inlineStr">
        <is>
          <t>קיים במקור</t>
        </is>
      </c>
    </row>
    <row r="87" ht="15" customHeight="1" s="82">
      <c r="A87" s="139">
        <f>'לקוחות לפי סוכן - מקור'!A81</f>
        <v/>
      </c>
      <c r="B87" s="139">
        <f>'לקוחות לפי סוכן - מקור'!C81</f>
        <v/>
      </c>
      <c r="C87" s="139">
        <f>'לקוחות לפי סוכן - מקור'!D81</f>
        <v/>
      </c>
      <c r="D87" s="139">
        <f>'לקוחות לפי סוכן - מקור'!E81</f>
        <v/>
      </c>
      <c r="E87" s="147">
        <f>'לקוחות לפי סוכן - מקור'!F81</f>
        <v/>
      </c>
      <c r="F87" s="147">
        <f>'לקוחות לפי סוכן - מקור'!G81</f>
        <v/>
      </c>
      <c r="G87" s="148">
        <f>'לקוחות לפי סוכן - מקור'!H81</f>
        <v/>
      </c>
      <c r="H87" s="148">
        <f>'לקוחות לפי סוכן - מקור'!I81</f>
        <v/>
      </c>
      <c r="I87" s="139">
        <f>'לקוחות לפי סוכן - מקור'!K81</f>
        <v/>
      </c>
      <c r="J87" s="139" t="inlineStr">
        <is>
          <t>קיים במקור</t>
        </is>
      </c>
    </row>
    <row r="88" ht="15" customHeight="1" s="82">
      <c r="A88" s="139">
        <f>'לקוחות לפי סוכן - מקור'!A82</f>
        <v/>
      </c>
      <c r="B88" s="139">
        <f>'לקוחות לפי סוכן - מקור'!C82</f>
        <v/>
      </c>
      <c r="C88" s="139">
        <f>'לקוחות לפי סוכן - מקור'!D82</f>
        <v/>
      </c>
      <c r="D88" s="139">
        <f>'לקוחות לפי סוכן - מקור'!E82</f>
        <v/>
      </c>
      <c r="E88" s="147">
        <f>'לקוחות לפי סוכן - מקור'!F82</f>
        <v/>
      </c>
      <c r="F88" s="147">
        <f>'לקוחות לפי סוכן - מקור'!G82</f>
        <v/>
      </c>
      <c r="G88" s="148">
        <f>'לקוחות לפי סוכן - מקור'!H82</f>
        <v/>
      </c>
      <c r="H88" s="148">
        <f>'לקוחות לפי סוכן - מקור'!I82</f>
        <v/>
      </c>
      <c r="I88" s="139">
        <f>'לקוחות לפי סוכן - מקור'!K82</f>
        <v/>
      </c>
      <c r="J88" s="139" t="inlineStr">
        <is>
          <t>קיים במקור</t>
        </is>
      </c>
    </row>
    <row r="89" ht="15" customHeight="1" s="82">
      <c r="A89" s="139">
        <f>'לקוחות לפי סוכן - מקור'!A83</f>
        <v/>
      </c>
      <c r="B89" s="139">
        <f>'לקוחות לפי סוכן - מקור'!C83</f>
        <v/>
      </c>
      <c r="C89" s="139">
        <f>'לקוחות לפי סוכן - מקור'!D83</f>
        <v/>
      </c>
      <c r="D89" s="139">
        <f>'לקוחות לפי סוכן - מקור'!E83</f>
        <v/>
      </c>
      <c r="E89" s="147">
        <f>'לקוחות לפי סוכן - מקור'!F83</f>
        <v/>
      </c>
      <c r="F89" s="147">
        <f>'לקוחות לפי סוכן - מקור'!G83</f>
        <v/>
      </c>
      <c r="G89" s="148">
        <f>'לקוחות לפי סוכן - מקור'!H83</f>
        <v/>
      </c>
      <c r="H89" s="148">
        <f>'לקוחות לפי סוכן - מקור'!I83</f>
        <v/>
      </c>
      <c r="I89" s="139">
        <f>'לקוחות לפי סוכן - מקור'!K83</f>
        <v/>
      </c>
      <c r="J89" s="139" t="inlineStr">
        <is>
          <t>קיים במקור</t>
        </is>
      </c>
    </row>
    <row r="90" ht="15" customHeight="1" s="82">
      <c r="A90" s="139">
        <f>'לקוחות לפי סוכן - מקור'!A84</f>
        <v/>
      </c>
      <c r="B90" s="139">
        <f>'לקוחות לפי סוכן - מקור'!C84</f>
        <v/>
      </c>
      <c r="C90" s="139">
        <f>'לקוחות לפי סוכן - מקור'!D84</f>
        <v/>
      </c>
      <c r="D90" s="139">
        <f>'לקוחות לפי סוכן - מקור'!E84</f>
        <v/>
      </c>
      <c r="E90" s="147">
        <f>'לקוחות לפי סוכן - מקור'!F84</f>
        <v/>
      </c>
      <c r="F90" s="147">
        <f>'לקוחות לפי סוכן - מקור'!G84</f>
        <v/>
      </c>
      <c r="G90" s="148">
        <f>'לקוחות לפי סוכן - מקור'!H84</f>
        <v/>
      </c>
      <c r="H90" s="148">
        <f>'לקוחות לפי סוכן - מקור'!I84</f>
        <v/>
      </c>
      <c r="I90" s="139">
        <f>'לקוחות לפי סוכן - מקור'!K84</f>
        <v/>
      </c>
      <c r="J90" s="139" t="inlineStr">
        <is>
          <t>קיים במקור</t>
        </is>
      </c>
    </row>
    <row r="91" ht="15" customHeight="1" s="82">
      <c r="A91" s="139">
        <f>'לקוחות לפי סוכן - מקור'!A85</f>
        <v/>
      </c>
      <c r="B91" s="139">
        <f>'לקוחות לפי סוכן - מקור'!C85</f>
        <v/>
      </c>
      <c r="C91" s="139">
        <f>'לקוחות לפי סוכן - מקור'!D85</f>
        <v/>
      </c>
      <c r="D91" s="139">
        <f>'לקוחות לפי סוכן - מקור'!E85</f>
        <v/>
      </c>
      <c r="E91" s="147">
        <f>'לקוחות לפי סוכן - מקור'!F85</f>
        <v/>
      </c>
      <c r="F91" s="147">
        <f>'לקוחות לפי סוכן - מקור'!G85</f>
        <v/>
      </c>
      <c r="G91" s="148">
        <f>'לקוחות לפי סוכן - מקור'!H85</f>
        <v/>
      </c>
      <c r="H91" s="148">
        <f>'לקוחות לפי סוכן - מקור'!I85</f>
        <v/>
      </c>
      <c r="I91" s="139">
        <f>'לקוחות לפי סוכן - מקור'!K85</f>
        <v/>
      </c>
      <c r="J91" s="139" t="inlineStr">
        <is>
          <t>קיים במקור</t>
        </is>
      </c>
    </row>
    <row r="92" ht="15" customHeight="1" s="82">
      <c r="A92" s="139">
        <f>'לקוחות לפי סוכן - מקור'!A86</f>
        <v/>
      </c>
      <c r="B92" s="139">
        <f>'לקוחות לפי סוכן - מקור'!C86</f>
        <v/>
      </c>
      <c r="C92" s="139">
        <f>'לקוחות לפי סוכן - מקור'!D86</f>
        <v/>
      </c>
      <c r="D92" s="139">
        <f>'לקוחות לפי סוכן - מקור'!E86</f>
        <v/>
      </c>
      <c r="E92" s="147">
        <f>'לקוחות לפי סוכן - מקור'!F86</f>
        <v/>
      </c>
      <c r="F92" s="147">
        <f>'לקוחות לפי סוכן - מקור'!G86</f>
        <v/>
      </c>
      <c r="G92" s="148">
        <f>'לקוחות לפי סוכן - מקור'!H86</f>
        <v/>
      </c>
      <c r="H92" s="148">
        <f>'לקוחות לפי סוכן - מקור'!I86</f>
        <v/>
      </c>
      <c r="I92" s="139">
        <f>'לקוחות לפי סוכן - מקור'!K86</f>
        <v/>
      </c>
      <c r="J92" s="139" t="inlineStr">
        <is>
          <t>קיים במקור</t>
        </is>
      </c>
    </row>
    <row r="93" ht="15" customHeight="1" s="82">
      <c r="A93" s="139">
        <f>'לקוחות לפי סוכן - מקור'!A87</f>
        <v/>
      </c>
      <c r="B93" s="139">
        <f>'לקוחות לפי סוכן - מקור'!C87</f>
        <v/>
      </c>
      <c r="C93" s="139">
        <f>'לקוחות לפי סוכן - מקור'!D87</f>
        <v/>
      </c>
      <c r="D93" s="139">
        <f>'לקוחות לפי סוכן - מקור'!E87</f>
        <v/>
      </c>
      <c r="E93" s="147">
        <f>'לקוחות לפי סוכן - מקור'!F87</f>
        <v/>
      </c>
      <c r="F93" s="147">
        <f>'לקוחות לפי סוכן - מקור'!G87</f>
        <v/>
      </c>
      <c r="G93" s="148">
        <f>'לקוחות לפי סוכן - מקור'!H87</f>
        <v/>
      </c>
      <c r="H93" s="148">
        <f>'לקוחות לפי סוכן - מקור'!I87</f>
        <v/>
      </c>
      <c r="I93" s="139">
        <f>'לקוחות לפי סוכן - מקור'!K87</f>
        <v/>
      </c>
      <c r="J93" s="139" t="inlineStr">
        <is>
          <t>קיים במקור</t>
        </is>
      </c>
    </row>
    <row r="94" ht="15" customHeight="1" s="82">
      <c r="A94" s="139">
        <f>'לקוחות לפי סוכן - מקור'!A88</f>
        <v/>
      </c>
      <c r="B94" s="139">
        <f>'לקוחות לפי סוכן - מקור'!C88</f>
        <v/>
      </c>
      <c r="C94" s="139">
        <f>'לקוחות לפי סוכן - מקור'!D88</f>
        <v/>
      </c>
      <c r="D94" s="139">
        <f>'לקוחות לפי סוכן - מקור'!E88</f>
        <v/>
      </c>
      <c r="E94" s="147">
        <f>'לקוחות לפי סוכן - מקור'!F88</f>
        <v/>
      </c>
      <c r="F94" s="147">
        <f>'לקוחות לפי סוכן - מקור'!G88</f>
        <v/>
      </c>
      <c r="G94" s="148">
        <f>'לקוחות לפי סוכן - מקור'!H88</f>
        <v/>
      </c>
      <c r="H94" s="148">
        <f>'לקוחות לפי סוכן - מקור'!I88</f>
        <v/>
      </c>
      <c r="I94" s="139">
        <f>'לקוחות לפי סוכן - מקור'!K88</f>
        <v/>
      </c>
      <c r="J94" s="139" t="inlineStr">
        <is>
          <t>קיים במקור</t>
        </is>
      </c>
    </row>
    <row r="95" ht="15" customHeight="1" s="82">
      <c r="A95" s="139">
        <f>'לקוחות לפי סוכן - מקור'!A89</f>
        <v/>
      </c>
      <c r="B95" s="139">
        <f>'לקוחות לפי סוכן - מקור'!C89</f>
        <v/>
      </c>
      <c r="C95" s="139">
        <f>'לקוחות לפי סוכן - מקור'!D89</f>
        <v/>
      </c>
      <c r="D95" s="139">
        <f>'לקוחות לפי סוכן - מקור'!E89</f>
        <v/>
      </c>
      <c r="E95" s="147">
        <f>'לקוחות לפי סוכן - מקור'!F89</f>
        <v/>
      </c>
      <c r="F95" s="147">
        <f>'לקוחות לפי סוכן - מקור'!G89</f>
        <v/>
      </c>
      <c r="G95" s="148">
        <f>'לקוחות לפי סוכן - מקור'!H89</f>
        <v/>
      </c>
      <c r="H95" s="148">
        <f>'לקוחות לפי סוכן - מקור'!I89</f>
        <v/>
      </c>
      <c r="I95" s="139">
        <f>'לקוחות לפי סוכן - מקור'!K89</f>
        <v/>
      </c>
      <c r="J95" s="139" t="inlineStr">
        <is>
          <t>קיים במקור</t>
        </is>
      </c>
    </row>
    <row r="96" ht="15" customHeight="1" s="82">
      <c r="A96" s="139">
        <f>'לקוחות לפי סוכן - מקור'!A90</f>
        <v/>
      </c>
      <c r="B96" s="139">
        <f>'לקוחות לפי סוכן - מקור'!C90</f>
        <v/>
      </c>
      <c r="C96" s="139">
        <f>'לקוחות לפי סוכן - מקור'!D90</f>
        <v/>
      </c>
      <c r="D96" s="139">
        <f>'לקוחות לפי סוכן - מקור'!E90</f>
        <v/>
      </c>
      <c r="E96" s="147">
        <f>'לקוחות לפי סוכן - מקור'!F90</f>
        <v/>
      </c>
      <c r="F96" s="147">
        <f>'לקוחות לפי סוכן - מקור'!G90</f>
        <v/>
      </c>
      <c r="G96" s="148">
        <f>'לקוחות לפי סוכן - מקור'!H90</f>
        <v/>
      </c>
      <c r="H96" s="148">
        <f>'לקוחות לפי סוכן - מקור'!I90</f>
        <v/>
      </c>
      <c r="I96" s="139">
        <f>'לקוחות לפי סוכן - מקור'!K90</f>
        <v/>
      </c>
      <c r="J96" s="139" t="inlineStr">
        <is>
          <t>קיים במקור</t>
        </is>
      </c>
    </row>
    <row r="97" ht="15" customHeight="1" s="82">
      <c r="A97" s="139">
        <f>'לקוחות לפי סוכן - מקור'!A91</f>
        <v/>
      </c>
      <c r="B97" s="139">
        <f>'לקוחות לפי סוכן - מקור'!C91</f>
        <v/>
      </c>
      <c r="C97" s="139">
        <f>'לקוחות לפי סוכן - מקור'!D91</f>
        <v/>
      </c>
      <c r="D97" s="139">
        <f>'לקוחות לפי סוכן - מקור'!E91</f>
        <v/>
      </c>
      <c r="E97" s="147">
        <f>'לקוחות לפי סוכן - מקור'!F91</f>
        <v/>
      </c>
      <c r="F97" s="147">
        <f>'לקוחות לפי סוכן - מקור'!G91</f>
        <v/>
      </c>
      <c r="G97" s="148">
        <f>'לקוחות לפי סוכן - מקור'!H91</f>
        <v/>
      </c>
      <c r="H97" s="148">
        <f>'לקוחות לפי סוכן - מקור'!I91</f>
        <v/>
      </c>
      <c r="I97" s="139">
        <f>'לקוחות לפי סוכן - מקור'!K91</f>
        <v/>
      </c>
      <c r="J97" s="139" t="inlineStr">
        <is>
          <t>קיים במקור</t>
        </is>
      </c>
    </row>
    <row r="98" ht="15" customHeight="1" s="82">
      <c r="A98" s="139">
        <f>'לקוחות לפי סוכן - מקור'!A92</f>
        <v/>
      </c>
      <c r="B98" s="139">
        <f>'לקוחות לפי סוכן - מקור'!C92</f>
        <v/>
      </c>
      <c r="C98" s="139">
        <f>'לקוחות לפי סוכן - מקור'!D92</f>
        <v/>
      </c>
      <c r="D98" s="139">
        <f>'לקוחות לפי סוכן - מקור'!E92</f>
        <v/>
      </c>
      <c r="E98" s="147">
        <f>'לקוחות לפי סוכן - מקור'!F92</f>
        <v/>
      </c>
      <c r="F98" s="147">
        <f>'לקוחות לפי סוכן - מקור'!G92</f>
        <v/>
      </c>
      <c r="G98" s="148">
        <f>'לקוחות לפי סוכן - מקור'!H92</f>
        <v/>
      </c>
      <c r="H98" s="148">
        <f>'לקוחות לפי סוכן - מקור'!I92</f>
        <v/>
      </c>
      <c r="I98" s="139">
        <f>'לקוחות לפי סוכן - מקור'!K92</f>
        <v/>
      </c>
      <c r="J98" s="139" t="inlineStr">
        <is>
          <t>קיים במקור</t>
        </is>
      </c>
    </row>
    <row r="99" ht="15" customHeight="1" s="82">
      <c r="A99" s="139">
        <f>'לקוחות לפי סוכן - מקור'!A93</f>
        <v/>
      </c>
      <c r="B99" s="139">
        <f>'לקוחות לפי סוכן - מקור'!C93</f>
        <v/>
      </c>
      <c r="C99" s="139">
        <f>'לקוחות לפי סוכן - מקור'!D93</f>
        <v/>
      </c>
      <c r="D99" s="139">
        <f>'לקוחות לפי סוכן - מקור'!E93</f>
        <v/>
      </c>
      <c r="E99" s="147">
        <f>'לקוחות לפי סוכן - מקור'!F93</f>
        <v/>
      </c>
      <c r="F99" s="147">
        <f>'לקוחות לפי סוכן - מקור'!G93</f>
        <v/>
      </c>
      <c r="G99" s="148">
        <f>'לקוחות לפי סוכן - מקור'!H93</f>
        <v/>
      </c>
      <c r="H99" s="148">
        <f>'לקוחות לפי סוכן - מקור'!I93</f>
        <v/>
      </c>
      <c r="I99" s="139">
        <f>'לקוחות לפי סוכן - מקור'!K93</f>
        <v/>
      </c>
      <c r="J99" s="139" t="inlineStr">
        <is>
          <t>קיים במקור</t>
        </is>
      </c>
    </row>
    <row r="100" ht="15" customHeight="1" s="82">
      <c r="A100" s="139">
        <f>'לקוחות לפי סוכן - מקור'!A94</f>
        <v/>
      </c>
      <c r="B100" s="139">
        <f>'לקוחות לפי סוכן - מקור'!C94</f>
        <v/>
      </c>
      <c r="C100" s="139">
        <f>'לקוחות לפי סוכן - מקור'!D94</f>
        <v/>
      </c>
      <c r="D100" s="139">
        <f>'לקוחות לפי סוכן - מקור'!E94</f>
        <v/>
      </c>
      <c r="E100" s="147">
        <f>'לקוחות לפי סוכן - מקור'!F94</f>
        <v/>
      </c>
      <c r="F100" s="147">
        <f>'לקוחות לפי סוכן - מקור'!G94</f>
        <v/>
      </c>
      <c r="G100" s="148">
        <f>'לקוחות לפי סוכן - מקור'!H94</f>
        <v/>
      </c>
      <c r="H100" s="148">
        <f>'לקוחות לפי סוכן - מקור'!I94</f>
        <v/>
      </c>
      <c r="I100" s="139">
        <f>'לקוחות לפי סוכן - מקור'!K94</f>
        <v/>
      </c>
      <c r="J100" s="139" t="inlineStr">
        <is>
          <t>קיים במקור</t>
        </is>
      </c>
    </row>
    <row r="101" ht="15" customHeight="1" s="82">
      <c r="A101" s="139">
        <f>'לקוחות לפי סוכן - מקור'!A95</f>
        <v/>
      </c>
      <c r="B101" s="139">
        <f>'לקוחות לפי סוכן - מקור'!C95</f>
        <v/>
      </c>
      <c r="C101" s="139">
        <f>'לקוחות לפי סוכן - מקור'!D95</f>
        <v/>
      </c>
      <c r="D101" s="139">
        <f>'לקוחות לפי סוכן - מקור'!E95</f>
        <v/>
      </c>
      <c r="E101" s="147">
        <f>'לקוחות לפי סוכן - מקור'!F95</f>
        <v/>
      </c>
      <c r="F101" s="147">
        <f>'לקוחות לפי סוכן - מקור'!G95</f>
        <v/>
      </c>
      <c r="G101" s="148">
        <f>'לקוחות לפי סוכן - מקור'!H95</f>
        <v/>
      </c>
      <c r="H101" s="148">
        <f>'לקוחות לפי סוכן - מקור'!I95</f>
        <v/>
      </c>
      <c r="I101" s="139">
        <f>'לקוחות לפי סוכן - מקור'!K95</f>
        <v/>
      </c>
      <c r="J101" s="139" t="inlineStr">
        <is>
          <t>קיים במקור</t>
        </is>
      </c>
    </row>
    <row r="102" ht="15" customHeight="1" s="82">
      <c r="A102" s="139">
        <f>'לקוחות לפי סוכן - מקור'!A96</f>
        <v/>
      </c>
      <c r="B102" s="139">
        <f>'לקוחות לפי סוכן - מקור'!C96</f>
        <v/>
      </c>
      <c r="C102" s="139">
        <f>'לקוחות לפי סוכן - מקור'!D96</f>
        <v/>
      </c>
      <c r="D102" s="139">
        <f>'לקוחות לפי סוכן - מקור'!E96</f>
        <v/>
      </c>
      <c r="E102" s="147">
        <f>'לקוחות לפי סוכן - מקור'!F96</f>
        <v/>
      </c>
      <c r="F102" s="147">
        <f>'לקוחות לפי סוכן - מקור'!G96</f>
        <v/>
      </c>
      <c r="G102" s="148">
        <f>'לקוחות לפי סוכן - מקור'!H96</f>
        <v/>
      </c>
      <c r="H102" s="148">
        <f>'לקוחות לפי סוכן - מקור'!I96</f>
        <v/>
      </c>
      <c r="I102" s="139">
        <f>'לקוחות לפי סוכן - מקור'!K96</f>
        <v/>
      </c>
      <c r="J102" s="139" t="inlineStr">
        <is>
          <t>קיים במקור</t>
        </is>
      </c>
    </row>
    <row r="103" ht="15" customHeight="1" s="82">
      <c r="A103" s="139">
        <f>'לקוחות לפי סוכן - מקור'!A97</f>
        <v/>
      </c>
      <c r="B103" s="139">
        <f>'לקוחות לפי סוכן - מקור'!C97</f>
        <v/>
      </c>
      <c r="C103" s="139">
        <f>'לקוחות לפי סוכן - מקור'!D97</f>
        <v/>
      </c>
      <c r="D103" s="139">
        <f>'לקוחות לפי סוכן - מקור'!E97</f>
        <v/>
      </c>
      <c r="E103" s="147">
        <f>'לקוחות לפי סוכן - מקור'!F97</f>
        <v/>
      </c>
      <c r="F103" s="147">
        <f>'לקוחות לפי סוכן - מקור'!G97</f>
        <v/>
      </c>
      <c r="G103" s="148">
        <f>'לקוחות לפי סוכן - מקור'!H97</f>
        <v/>
      </c>
      <c r="H103" s="148">
        <f>'לקוחות לפי סוכן - מקור'!I97</f>
        <v/>
      </c>
      <c r="I103" s="139">
        <f>'לקוחות לפי סוכן - מקור'!K97</f>
        <v/>
      </c>
      <c r="J103" s="139" t="inlineStr">
        <is>
          <t>קיים במקור</t>
        </is>
      </c>
    </row>
    <row r="104" ht="15" customHeight="1" s="82">
      <c r="A104" s="139">
        <f>'לקוחות לפי סוכן - מקור'!A98</f>
        <v/>
      </c>
      <c r="B104" s="139">
        <f>'לקוחות לפי סוכן - מקור'!C98</f>
        <v/>
      </c>
      <c r="C104" s="139">
        <f>'לקוחות לפי סוכן - מקור'!D98</f>
        <v/>
      </c>
      <c r="D104" s="139">
        <f>'לקוחות לפי סוכן - מקור'!E98</f>
        <v/>
      </c>
      <c r="E104" s="147">
        <f>'לקוחות לפי סוכן - מקור'!F98</f>
        <v/>
      </c>
      <c r="F104" s="147">
        <f>'לקוחות לפי סוכן - מקור'!G98</f>
        <v/>
      </c>
      <c r="G104" s="148">
        <f>'לקוחות לפי סוכן - מקור'!H98</f>
        <v/>
      </c>
      <c r="H104" s="148">
        <f>'לקוחות לפי סוכן - מקור'!I98</f>
        <v/>
      </c>
      <c r="I104" s="139">
        <f>'לקוחות לפי סוכן - מקור'!K98</f>
        <v/>
      </c>
      <c r="J104" s="139" t="inlineStr">
        <is>
          <t>קיים במקור</t>
        </is>
      </c>
    </row>
    <row r="105" ht="15" customHeight="1" s="82">
      <c r="A105" s="139">
        <f>'לקוחות לפי סוכן - מקור'!A99</f>
        <v/>
      </c>
      <c r="B105" s="139">
        <f>'לקוחות לפי סוכן - מקור'!C99</f>
        <v/>
      </c>
      <c r="C105" s="139">
        <f>'לקוחות לפי סוכן - מקור'!D99</f>
        <v/>
      </c>
      <c r="D105" s="139">
        <f>'לקוחות לפי סוכן - מקור'!E99</f>
        <v/>
      </c>
      <c r="E105" s="147">
        <f>'לקוחות לפי סוכן - מקור'!F99</f>
        <v/>
      </c>
      <c r="F105" s="147">
        <f>'לקוחות לפי סוכן - מקור'!G99</f>
        <v/>
      </c>
      <c r="G105" s="148">
        <f>'לקוחות לפי סוכן - מקור'!H99</f>
        <v/>
      </c>
      <c r="H105" s="148">
        <f>'לקוחות לפי סוכן - מקור'!I99</f>
        <v/>
      </c>
      <c r="I105" s="139">
        <f>'לקוחות לפי סוכן - מקור'!K99</f>
        <v/>
      </c>
      <c r="J105" s="139" t="inlineStr">
        <is>
          <t>קיים במקור</t>
        </is>
      </c>
    </row>
    <row r="106" ht="15" customHeight="1" s="82">
      <c r="A106" s="139">
        <f>'לקוחות לפי סוכן - מקור'!A100</f>
        <v/>
      </c>
      <c r="B106" s="139">
        <f>'לקוחות לפי סוכן - מקור'!C100</f>
        <v/>
      </c>
      <c r="C106" s="139">
        <f>'לקוחות לפי סוכן - מקור'!D100</f>
        <v/>
      </c>
      <c r="D106" s="139">
        <f>'לקוחות לפי סוכן - מקור'!E100</f>
        <v/>
      </c>
      <c r="E106" s="147">
        <f>'לקוחות לפי סוכן - מקור'!F100</f>
        <v/>
      </c>
      <c r="F106" s="147">
        <f>'לקוחות לפי סוכן - מקור'!G100</f>
        <v/>
      </c>
      <c r="G106" s="148">
        <f>'לקוחות לפי סוכן - מקור'!H100</f>
        <v/>
      </c>
      <c r="H106" s="148">
        <f>'לקוחות לפי סוכן - מקור'!I100</f>
        <v/>
      </c>
      <c r="I106" s="139">
        <f>'לקוחות לפי סוכן - מקור'!K100</f>
        <v/>
      </c>
      <c r="J106" s="139" t="inlineStr">
        <is>
          <t>קיים במקור</t>
        </is>
      </c>
    </row>
    <row r="107" ht="15" customHeight="1" s="82">
      <c r="A107" s="139">
        <f>'לקוחות לפי סוכן - מקור'!A101</f>
        <v/>
      </c>
      <c r="B107" s="139">
        <f>'לקוחות לפי סוכן - מקור'!C101</f>
        <v/>
      </c>
      <c r="C107" s="139">
        <f>'לקוחות לפי סוכן - מקור'!D101</f>
        <v/>
      </c>
      <c r="D107" s="139">
        <f>'לקוחות לפי סוכן - מקור'!E101</f>
        <v/>
      </c>
      <c r="E107" s="147">
        <f>'לקוחות לפי סוכן - מקור'!F101</f>
        <v/>
      </c>
      <c r="F107" s="147">
        <f>'לקוחות לפי סוכן - מקור'!G101</f>
        <v/>
      </c>
      <c r="G107" s="148">
        <f>'לקוחות לפי סוכן - מקור'!H101</f>
        <v/>
      </c>
      <c r="H107" s="148">
        <f>'לקוחות לפי סוכן - מקור'!I101</f>
        <v/>
      </c>
      <c r="I107" s="139">
        <f>'לקוחות לפי סוכן - מקור'!K101</f>
        <v/>
      </c>
      <c r="J107" s="139" t="inlineStr">
        <is>
          <t>קיים במקור</t>
        </is>
      </c>
    </row>
    <row r="108" ht="15" customHeight="1" s="82">
      <c r="A108" s="139">
        <f>'לקוחות לפי סוכן - מקור'!A102</f>
        <v/>
      </c>
      <c r="B108" s="139">
        <f>'לקוחות לפי סוכן - מקור'!C102</f>
        <v/>
      </c>
      <c r="C108" s="139">
        <f>'לקוחות לפי סוכן - מקור'!D102</f>
        <v/>
      </c>
      <c r="D108" s="139">
        <f>'לקוחות לפי סוכן - מקור'!E102</f>
        <v/>
      </c>
      <c r="E108" s="147">
        <f>'לקוחות לפי סוכן - מקור'!F102</f>
        <v/>
      </c>
      <c r="F108" s="147">
        <f>'לקוחות לפי סוכן - מקור'!G102</f>
        <v/>
      </c>
      <c r="G108" s="148">
        <f>'לקוחות לפי סוכן - מקור'!H102</f>
        <v/>
      </c>
      <c r="H108" s="148">
        <f>'לקוחות לפי סוכן - מקור'!I102</f>
        <v/>
      </c>
      <c r="I108" s="139">
        <f>'לקוחות לפי סוכן - מקור'!K102</f>
        <v/>
      </c>
      <c r="J108" s="139" t="inlineStr">
        <is>
          <t>קיים במקור</t>
        </is>
      </c>
    </row>
    <row r="109" ht="15" customHeight="1" s="82">
      <c r="A109" s="139">
        <f>'לקוחות לפי סוכן - מקור'!A103</f>
        <v/>
      </c>
      <c r="B109" s="139">
        <f>'לקוחות לפי סוכן - מקור'!C103</f>
        <v/>
      </c>
      <c r="C109" s="139">
        <f>'לקוחות לפי סוכן - מקור'!D103</f>
        <v/>
      </c>
      <c r="D109" s="139">
        <f>'לקוחות לפי סוכן - מקור'!E103</f>
        <v/>
      </c>
      <c r="E109" s="147">
        <f>'לקוחות לפי סוכן - מקור'!F103</f>
        <v/>
      </c>
      <c r="F109" s="147">
        <f>'לקוחות לפי סוכן - מקור'!G103</f>
        <v/>
      </c>
      <c r="G109" s="148">
        <f>'לקוחות לפי סוכן - מקור'!H103</f>
        <v/>
      </c>
      <c r="H109" s="148">
        <f>'לקוחות לפי סוכן - מקור'!I103</f>
        <v/>
      </c>
      <c r="I109" s="139">
        <f>'לקוחות לפי סוכן - מקור'!K103</f>
        <v/>
      </c>
      <c r="J109" s="139" t="inlineStr">
        <is>
          <t>קיים במקור</t>
        </is>
      </c>
    </row>
    <row r="110" ht="15" customHeight="1" s="82">
      <c r="A110" s="139">
        <f>'לקוחות לפי סוכן - מקור'!A104</f>
        <v/>
      </c>
      <c r="B110" s="139">
        <f>'לקוחות לפי סוכן - מקור'!C104</f>
        <v/>
      </c>
      <c r="C110" s="139">
        <f>'לקוחות לפי סוכן - מקור'!D104</f>
        <v/>
      </c>
      <c r="D110" s="139">
        <f>'לקוחות לפי סוכן - מקור'!E104</f>
        <v/>
      </c>
      <c r="E110" s="147">
        <f>'לקוחות לפי סוכן - מקור'!F104</f>
        <v/>
      </c>
      <c r="F110" s="147">
        <f>'לקוחות לפי סוכן - מקור'!G104</f>
        <v/>
      </c>
      <c r="G110" s="148">
        <f>'לקוחות לפי סוכן - מקור'!H104</f>
        <v/>
      </c>
      <c r="H110" s="148">
        <f>'לקוחות לפי סוכן - מקור'!I104</f>
        <v/>
      </c>
      <c r="I110" s="139">
        <f>'לקוחות לפי סוכן - מקור'!K104</f>
        <v/>
      </c>
      <c r="J110" s="139" t="inlineStr">
        <is>
          <t>קיים במקור</t>
        </is>
      </c>
    </row>
    <row r="111" ht="15" customHeight="1" s="82">
      <c r="A111" s="139">
        <f>'לקוחות לפי סוכן - מקור'!A105</f>
        <v/>
      </c>
      <c r="B111" s="139">
        <f>'לקוחות לפי סוכן - מקור'!C105</f>
        <v/>
      </c>
      <c r="C111" s="139">
        <f>'לקוחות לפי סוכן - מקור'!D105</f>
        <v/>
      </c>
      <c r="D111" s="139">
        <f>'לקוחות לפי סוכן - מקור'!E105</f>
        <v/>
      </c>
      <c r="E111" s="147">
        <f>'לקוחות לפי סוכן - מקור'!F105</f>
        <v/>
      </c>
      <c r="F111" s="147">
        <f>'לקוחות לפי סוכן - מקור'!G105</f>
        <v/>
      </c>
      <c r="G111" s="148">
        <f>'לקוחות לפי סוכן - מקור'!H105</f>
        <v/>
      </c>
      <c r="H111" s="148">
        <f>'לקוחות לפי סוכן - מקור'!I105</f>
        <v/>
      </c>
      <c r="I111" s="139">
        <f>'לקוחות לפי סוכן - מקור'!K105</f>
        <v/>
      </c>
      <c r="J111" s="139" t="inlineStr">
        <is>
          <t>קיים במקור</t>
        </is>
      </c>
    </row>
    <row r="112" ht="15" customHeight="1" s="82">
      <c r="A112" s="139">
        <f>'לקוחות לפי סוכן - מקור'!A106</f>
        <v/>
      </c>
      <c r="B112" s="139">
        <f>'לקוחות לפי סוכן - מקור'!C106</f>
        <v/>
      </c>
      <c r="C112" s="139">
        <f>'לקוחות לפי סוכן - מקור'!D106</f>
        <v/>
      </c>
      <c r="D112" s="139">
        <f>'לקוחות לפי סוכן - מקור'!E106</f>
        <v/>
      </c>
      <c r="E112" s="147">
        <f>'לקוחות לפי סוכן - מקור'!F106</f>
        <v/>
      </c>
      <c r="F112" s="147">
        <f>'לקוחות לפי סוכן - מקור'!G106</f>
        <v/>
      </c>
      <c r="G112" s="148">
        <f>'לקוחות לפי סוכן - מקור'!H106</f>
        <v/>
      </c>
      <c r="H112" s="148">
        <f>'לקוחות לפי סוכן - מקור'!I106</f>
        <v/>
      </c>
      <c r="I112" s="139">
        <f>'לקוחות לפי סוכן - מקור'!K106</f>
        <v/>
      </c>
      <c r="J112" s="139" t="inlineStr">
        <is>
          <t>קיים במקור</t>
        </is>
      </c>
    </row>
    <row r="113" ht="15" customHeight="1" s="82">
      <c r="A113" s="139">
        <f>'לקוחות לפי סוכן - מקור'!A107</f>
        <v/>
      </c>
      <c r="B113" s="139">
        <f>'לקוחות לפי סוכן - מקור'!C107</f>
        <v/>
      </c>
      <c r="C113" s="139">
        <f>'לקוחות לפי סוכן - מקור'!D107</f>
        <v/>
      </c>
      <c r="D113" s="139">
        <f>'לקוחות לפי סוכן - מקור'!E107</f>
        <v/>
      </c>
      <c r="E113" s="147">
        <f>'לקוחות לפי סוכן - מקור'!F107</f>
        <v/>
      </c>
      <c r="F113" s="147">
        <f>'לקוחות לפי סוכן - מקור'!G107</f>
        <v/>
      </c>
      <c r="G113" s="148">
        <f>'לקוחות לפי סוכן - מקור'!H107</f>
        <v/>
      </c>
      <c r="H113" s="148">
        <f>'לקוחות לפי סוכן - מקור'!I107</f>
        <v/>
      </c>
      <c r="I113" s="139">
        <f>'לקוחות לפי סוכן - מקור'!K107</f>
        <v/>
      </c>
      <c r="J113" s="139" t="inlineStr">
        <is>
          <t>קיים במקור</t>
        </is>
      </c>
    </row>
    <row r="114" ht="15" customHeight="1" s="82">
      <c r="A114" s="139">
        <f>'לקוחות לפי סוכן - מקור'!A108</f>
        <v/>
      </c>
      <c r="B114" s="139">
        <f>'לקוחות לפי סוכן - מקור'!C108</f>
        <v/>
      </c>
      <c r="C114" s="139">
        <f>'לקוחות לפי סוכן - מקור'!D108</f>
        <v/>
      </c>
      <c r="D114" s="139">
        <f>'לקוחות לפי סוכן - מקור'!E108</f>
        <v/>
      </c>
      <c r="E114" s="147">
        <f>'לקוחות לפי סוכן - מקור'!F108</f>
        <v/>
      </c>
      <c r="F114" s="147">
        <f>'לקוחות לפי סוכן - מקור'!G108</f>
        <v/>
      </c>
      <c r="G114" s="148">
        <f>'לקוחות לפי סוכן - מקור'!H108</f>
        <v/>
      </c>
      <c r="H114" s="148">
        <f>'לקוחות לפי סוכן - מקור'!I108</f>
        <v/>
      </c>
      <c r="I114" s="139">
        <f>'לקוחות לפי סוכן - מקור'!K108</f>
        <v/>
      </c>
      <c r="J114" s="139" t="inlineStr">
        <is>
          <t>קיים במקור</t>
        </is>
      </c>
    </row>
    <row r="115" ht="15" customHeight="1" s="82">
      <c r="A115" s="139">
        <f>'לקוחות לפי סוכן - מקור'!A109</f>
        <v/>
      </c>
      <c r="B115" s="139">
        <f>'לקוחות לפי סוכן - מקור'!C109</f>
        <v/>
      </c>
      <c r="C115" s="139">
        <f>'לקוחות לפי סוכן - מקור'!D109</f>
        <v/>
      </c>
      <c r="D115" s="139">
        <f>'לקוחות לפי סוכן - מקור'!E109</f>
        <v/>
      </c>
      <c r="E115" s="147">
        <f>'לקוחות לפי סוכן - מקור'!F109</f>
        <v/>
      </c>
      <c r="F115" s="147">
        <f>'לקוחות לפי סוכן - מקור'!G109</f>
        <v/>
      </c>
      <c r="G115" s="148">
        <f>'לקוחות לפי סוכן - מקור'!H109</f>
        <v/>
      </c>
      <c r="H115" s="148">
        <f>'לקוחות לפי סוכן - מקור'!I109</f>
        <v/>
      </c>
      <c r="I115" s="139">
        <f>'לקוחות לפי סוכן - מקור'!K109</f>
        <v/>
      </c>
      <c r="J115" s="139" t="inlineStr">
        <is>
          <t>קיים במקור</t>
        </is>
      </c>
    </row>
    <row r="116" ht="15" customHeight="1" s="82">
      <c r="A116" s="139">
        <f>'לקוחות לפי סוכן - מקור'!A110</f>
        <v/>
      </c>
      <c r="B116" s="139">
        <f>'לקוחות לפי סוכן - מקור'!C110</f>
        <v/>
      </c>
      <c r="C116" s="139">
        <f>'לקוחות לפי סוכן - מקור'!D110</f>
        <v/>
      </c>
      <c r="D116" s="139">
        <f>'לקוחות לפי סוכן - מקור'!E110</f>
        <v/>
      </c>
      <c r="E116" s="147">
        <f>'לקוחות לפי סוכן - מקור'!F110</f>
        <v/>
      </c>
      <c r="F116" s="147">
        <f>'לקוחות לפי סוכן - מקור'!G110</f>
        <v/>
      </c>
      <c r="G116" s="148">
        <f>'לקוחות לפי סוכן - מקור'!H110</f>
        <v/>
      </c>
      <c r="H116" s="148">
        <f>'לקוחות לפי סוכן - מקור'!I110</f>
        <v/>
      </c>
      <c r="I116" s="139">
        <f>'לקוחות לפי סוכן - מקור'!K110</f>
        <v/>
      </c>
      <c r="J116" s="139" t="inlineStr">
        <is>
          <t>קיים במקור</t>
        </is>
      </c>
    </row>
    <row r="117" ht="15" customHeight="1" s="82">
      <c r="A117" s="139">
        <f>'לקוחות לפי סוכן - מקור'!A111</f>
        <v/>
      </c>
      <c r="B117" s="139">
        <f>'לקוחות לפי סוכן - מקור'!C111</f>
        <v/>
      </c>
      <c r="C117" s="139">
        <f>'לקוחות לפי סוכן - מקור'!D111</f>
        <v/>
      </c>
      <c r="D117" s="139">
        <f>'לקוחות לפי סוכן - מקור'!E111</f>
        <v/>
      </c>
      <c r="E117" s="147">
        <f>'לקוחות לפי סוכן - מקור'!F111</f>
        <v/>
      </c>
      <c r="F117" s="147">
        <f>'לקוחות לפי סוכן - מקור'!G111</f>
        <v/>
      </c>
      <c r="G117" s="148">
        <f>'לקוחות לפי סוכן - מקור'!H111</f>
        <v/>
      </c>
      <c r="H117" s="148">
        <f>'לקוחות לפי סוכן - מקור'!I111</f>
        <v/>
      </c>
      <c r="I117" s="139">
        <f>'לקוחות לפי סוכן - מקור'!K111</f>
        <v/>
      </c>
      <c r="J117" s="139" t="inlineStr">
        <is>
          <t>קיים במקור</t>
        </is>
      </c>
    </row>
    <row r="118" ht="15" customHeight="1" s="82">
      <c r="A118" s="139">
        <f>'לקוחות לפי סוכן - מקור'!A112</f>
        <v/>
      </c>
      <c r="B118" s="139">
        <f>'לקוחות לפי סוכן - מקור'!C112</f>
        <v/>
      </c>
      <c r="C118" s="139">
        <f>'לקוחות לפי סוכן - מקור'!D112</f>
        <v/>
      </c>
      <c r="D118" s="139">
        <f>'לקוחות לפי סוכן - מקור'!E112</f>
        <v/>
      </c>
      <c r="E118" s="147">
        <f>'לקוחות לפי סוכן - מקור'!F112</f>
        <v/>
      </c>
      <c r="F118" s="147">
        <f>'לקוחות לפי סוכן - מקור'!G112</f>
        <v/>
      </c>
      <c r="G118" s="148">
        <f>'לקוחות לפי סוכן - מקור'!H112</f>
        <v/>
      </c>
      <c r="H118" s="148">
        <f>'לקוחות לפי סוכן - מקור'!I112</f>
        <v/>
      </c>
      <c r="I118" s="139">
        <f>'לקוחות לפי סוכן - מקור'!K112</f>
        <v/>
      </c>
      <c r="J118" s="139" t="inlineStr">
        <is>
          <t>קיים במקור</t>
        </is>
      </c>
    </row>
    <row r="119" ht="15" customHeight="1" s="82">
      <c r="A119" s="139">
        <f>'לקוחות לפי סוכן - מקור'!A113</f>
        <v/>
      </c>
      <c r="B119" s="139">
        <f>'לקוחות לפי סוכן - מקור'!C113</f>
        <v/>
      </c>
      <c r="C119" s="139">
        <f>'לקוחות לפי סוכן - מקור'!D113</f>
        <v/>
      </c>
      <c r="D119" s="139">
        <f>'לקוחות לפי סוכן - מקור'!E113</f>
        <v/>
      </c>
      <c r="E119" s="147">
        <f>'לקוחות לפי סוכן - מקור'!F113</f>
        <v/>
      </c>
      <c r="F119" s="147">
        <f>'לקוחות לפי סוכן - מקור'!G113</f>
        <v/>
      </c>
      <c r="G119" s="148">
        <f>'לקוחות לפי סוכן - מקור'!H113</f>
        <v/>
      </c>
      <c r="H119" s="148">
        <f>'לקוחות לפי סוכן - מקור'!I113</f>
        <v/>
      </c>
      <c r="I119" s="139">
        <f>'לקוחות לפי סוכן - מקור'!K113</f>
        <v/>
      </c>
      <c r="J119" s="139" t="inlineStr">
        <is>
          <t>קיים במקור</t>
        </is>
      </c>
    </row>
    <row r="120" ht="15" customHeight="1" s="82">
      <c r="A120" s="139">
        <f>'לקוחות לפי סוכן - מקור'!A114</f>
        <v/>
      </c>
      <c r="B120" s="139">
        <f>'לקוחות לפי סוכן - מקור'!C114</f>
        <v/>
      </c>
      <c r="C120" s="139">
        <f>'לקוחות לפי סוכן - מקור'!D114</f>
        <v/>
      </c>
      <c r="D120" s="139">
        <f>'לקוחות לפי סוכן - מקור'!E114</f>
        <v/>
      </c>
      <c r="E120" s="147">
        <f>'לקוחות לפי סוכן - מקור'!F114</f>
        <v/>
      </c>
      <c r="F120" s="147">
        <f>'לקוחות לפי סוכן - מקור'!G114</f>
        <v/>
      </c>
      <c r="G120" s="148">
        <f>'לקוחות לפי סוכן - מקור'!H114</f>
        <v/>
      </c>
      <c r="H120" s="148">
        <f>'לקוחות לפי סוכן - מקור'!I114</f>
        <v/>
      </c>
      <c r="I120" s="139">
        <f>'לקוחות לפי סוכן - מקור'!K114</f>
        <v/>
      </c>
      <c r="J120" s="139" t="inlineStr">
        <is>
          <t>קיים במקור</t>
        </is>
      </c>
    </row>
    <row r="121" ht="15" customHeight="1" s="82">
      <c r="A121" s="139">
        <f>'לקוחות לפי סוכן - מקור'!A115</f>
        <v/>
      </c>
      <c r="B121" s="139">
        <f>'לקוחות לפי סוכן - מקור'!C115</f>
        <v/>
      </c>
      <c r="C121" s="139">
        <f>'לקוחות לפי סוכן - מקור'!D115</f>
        <v/>
      </c>
      <c r="D121" s="139">
        <f>'לקוחות לפי סוכן - מקור'!E115</f>
        <v/>
      </c>
      <c r="E121" s="147">
        <f>'לקוחות לפי סוכן - מקור'!F115</f>
        <v/>
      </c>
      <c r="F121" s="147">
        <f>'לקוחות לפי סוכן - מקור'!G115</f>
        <v/>
      </c>
      <c r="G121" s="148">
        <f>'לקוחות לפי סוכן - מקור'!H115</f>
        <v/>
      </c>
      <c r="H121" s="148">
        <f>'לקוחות לפי סוכן - מקור'!I115</f>
        <v/>
      </c>
      <c r="I121" s="139">
        <f>'לקוחות לפי סוכן - מקור'!K115</f>
        <v/>
      </c>
      <c r="J121" s="139" t="inlineStr">
        <is>
          <t>קיים במקור</t>
        </is>
      </c>
    </row>
    <row r="122" ht="15" customHeight="1" s="82">
      <c r="A122" s="139">
        <f>'לקוחות לפי סוכן - מקור'!A116</f>
        <v/>
      </c>
      <c r="B122" s="139">
        <f>'לקוחות לפי סוכן - מקור'!C116</f>
        <v/>
      </c>
      <c r="C122" s="139">
        <f>'לקוחות לפי סוכן - מקור'!D116</f>
        <v/>
      </c>
      <c r="D122" s="139">
        <f>'לקוחות לפי סוכן - מקור'!E116</f>
        <v/>
      </c>
      <c r="E122" s="147">
        <f>'לקוחות לפי סוכן - מקור'!F116</f>
        <v/>
      </c>
      <c r="F122" s="147">
        <f>'לקוחות לפי סוכן - מקור'!G116</f>
        <v/>
      </c>
      <c r="G122" s="148">
        <f>'לקוחות לפי סוכן - מקור'!H116</f>
        <v/>
      </c>
      <c r="H122" s="148">
        <f>'לקוחות לפי סוכן - מקור'!I116</f>
        <v/>
      </c>
      <c r="I122" s="139">
        <f>'לקוחות לפי סוכן - מקור'!K116</f>
        <v/>
      </c>
      <c r="J122" s="139" t="inlineStr">
        <is>
          <t>קיים במקור</t>
        </is>
      </c>
    </row>
    <row r="123" ht="15" customHeight="1" s="82">
      <c r="A123" s="139">
        <f>'לקוחות לפי סוכן - מקור'!A117</f>
        <v/>
      </c>
      <c r="B123" s="139">
        <f>'לקוחות לפי סוכן - מקור'!C117</f>
        <v/>
      </c>
      <c r="C123" s="139">
        <f>'לקוחות לפי סוכן - מקור'!D117</f>
        <v/>
      </c>
      <c r="D123" s="139">
        <f>'לקוחות לפי סוכן - מקור'!E117</f>
        <v/>
      </c>
      <c r="E123" s="147">
        <f>'לקוחות לפי סוכן - מקור'!F117</f>
        <v/>
      </c>
      <c r="F123" s="147">
        <f>'לקוחות לפי סוכן - מקור'!G117</f>
        <v/>
      </c>
      <c r="G123" s="148">
        <f>'לקוחות לפי סוכן - מקור'!H117</f>
        <v/>
      </c>
      <c r="H123" s="148">
        <f>'לקוחות לפי סוכן - מקור'!I117</f>
        <v/>
      </c>
      <c r="I123" s="139">
        <f>'לקוחות לפי סוכן - מקור'!K117</f>
        <v/>
      </c>
      <c r="J123" s="139" t="inlineStr">
        <is>
          <t>קיים במקור</t>
        </is>
      </c>
    </row>
    <row r="124" ht="15" customHeight="1" s="82">
      <c r="A124" s="139">
        <f>'לקוחות לפי סוכן - מקור'!A118</f>
        <v/>
      </c>
      <c r="B124" s="139">
        <f>'לקוחות לפי סוכן - מקור'!C118</f>
        <v/>
      </c>
      <c r="C124" s="139">
        <f>'לקוחות לפי סוכן - מקור'!D118</f>
        <v/>
      </c>
      <c r="D124" s="139">
        <f>'לקוחות לפי סוכן - מקור'!E118</f>
        <v/>
      </c>
      <c r="E124" s="147">
        <f>'לקוחות לפי סוכן - מקור'!F118</f>
        <v/>
      </c>
      <c r="F124" s="147">
        <f>'לקוחות לפי סוכן - מקור'!G118</f>
        <v/>
      </c>
      <c r="G124" s="148">
        <f>'לקוחות לפי סוכן - מקור'!H118</f>
        <v/>
      </c>
      <c r="H124" s="148">
        <f>'לקוחות לפי סוכן - מקור'!I118</f>
        <v/>
      </c>
      <c r="I124" s="139">
        <f>'לקוחות לפי סוכן - מקור'!K118</f>
        <v/>
      </c>
      <c r="J124" s="139" t="inlineStr">
        <is>
          <t>קיים במקור</t>
        </is>
      </c>
    </row>
    <row r="125" ht="15" customHeight="1" s="82">
      <c r="A125" s="139">
        <f>'לקוחות לפי סוכן - מקור'!A119</f>
        <v/>
      </c>
      <c r="B125" s="139">
        <f>'לקוחות לפי סוכן - מקור'!C119</f>
        <v/>
      </c>
      <c r="C125" s="139">
        <f>'לקוחות לפי סוכן - מקור'!D119</f>
        <v/>
      </c>
      <c r="D125" s="139">
        <f>'לקוחות לפי סוכן - מקור'!E119</f>
        <v/>
      </c>
      <c r="E125" s="147">
        <f>'לקוחות לפי סוכן - מקור'!F119</f>
        <v/>
      </c>
      <c r="F125" s="147">
        <f>'לקוחות לפי סוכן - מקור'!G119</f>
        <v/>
      </c>
      <c r="G125" s="148">
        <f>'לקוחות לפי סוכן - מקור'!H119</f>
        <v/>
      </c>
      <c r="H125" s="148">
        <f>'לקוחות לפי סוכן - מקור'!I119</f>
        <v/>
      </c>
      <c r="I125" s="139">
        <f>'לקוחות לפי סוכן - מקור'!K119</f>
        <v/>
      </c>
      <c r="J125" s="139" t="inlineStr">
        <is>
          <t>קיים במקור</t>
        </is>
      </c>
    </row>
    <row r="126" ht="15" customHeight="1" s="82">
      <c r="A126" s="139">
        <f>'לקוחות לפי סוכן - מקור'!A120</f>
        <v/>
      </c>
      <c r="B126" s="139">
        <f>'לקוחות לפי סוכן - מקור'!C120</f>
        <v/>
      </c>
      <c r="C126" s="139">
        <f>'לקוחות לפי סוכן - מקור'!D120</f>
        <v/>
      </c>
      <c r="D126" s="139">
        <f>'לקוחות לפי סוכן - מקור'!E120</f>
        <v/>
      </c>
      <c r="E126" s="147">
        <f>'לקוחות לפי סוכן - מקור'!F120</f>
        <v/>
      </c>
      <c r="F126" s="147">
        <f>'לקוחות לפי סוכן - מקור'!G120</f>
        <v/>
      </c>
      <c r="G126" s="148">
        <f>'לקוחות לפי סוכן - מקור'!H120</f>
        <v/>
      </c>
      <c r="H126" s="148">
        <f>'לקוחות לפי סוכן - מקור'!I120</f>
        <v/>
      </c>
      <c r="I126" s="139">
        <f>'לקוחות לפי סוכן - מקור'!K120</f>
        <v/>
      </c>
      <c r="J126" s="139" t="inlineStr">
        <is>
          <t>קיים במקור</t>
        </is>
      </c>
    </row>
    <row r="127" ht="15" customHeight="1" s="82">
      <c r="A127" s="139">
        <f>'לקוחות לפי סוכן - מקור'!A121</f>
        <v/>
      </c>
      <c r="B127" s="139">
        <f>'לקוחות לפי סוכן - מקור'!C121</f>
        <v/>
      </c>
      <c r="C127" s="139">
        <f>'לקוחות לפי סוכן - מקור'!D121</f>
        <v/>
      </c>
      <c r="D127" s="139">
        <f>'לקוחות לפי סוכן - מקור'!E121</f>
        <v/>
      </c>
      <c r="E127" s="147">
        <f>'לקוחות לפי סוכן - מקור'!F121</f>
        <v/>
      </c>
      <c r="F127" s="147">
        <f>'לקוחות לפי סוכן - מקור'!G121</f>
        <v/>
      </c>
      <c r="G127" s="148">
        <f>'לקוחות לפי סוכן - מקור'!H121</f>
        <v/>
      </c>
      <c r="H127" s="148">
        <f>'לקוחות לפי סוכן - מקור'!I121</f>
        <v/>
      </c>
      <c r="I127" s="139">
        <f>'לקוחות לפי סוכן - מקור'!K121</f>
        <v/>
      </c>
      <c r="J127" s="139" t="inlineStr">
        <is>
          <t>קיים במקור</t>
        </is>
      </c>
    </row>
    <row r="128" ht="15" customHeight="1" s="82">
      <c r="A128" s="139">
        <f>'לקוחות לפי סוכן - מקור'!A122</f>
        <v/>
      </c>
      <c r="B128" s="139">
        <f>'לקוחות לפי סוכן - מקור'!C122</f>
        <v/>
      </c>
      <c r="C128" s="139">
        <f>'לקוחות לפי סוכן - מקור'!D122</f>
        <v/>
      </c>
      <c r="D128" s="139">
        <f>'לקוחות לפי סוכן - מקור'!E122</f>
        <v/>
      </c>
      <c r="E128" s="147">
        <f>'לקוחות לפי סוכן - מקור'!F122</f>
        <v/>
      </c>
      <c r="F128" s="147">
        <f>'לקוחות לפי סוכן - מקור'!G122</f>
        <v/>
      </c>
      <c r="G128" s="148">
        <f>'לקוחות לפי סוכן - מקור'!H122</f>
        <v/>
      </c>
      <c r="H128" s="148">
        <f>'לקוחות לפי סוכן - מקור'!I122</f>
        <v/>
      </c>
      <c r="I128" s="139">
        <f>'לקוחות לפי סוכן - מקור'!K122</f>
        <v/>
      </c>
      <c r="J128" s="139" t="inlineStr">
        <is>
          <t>קיים במקור</t>
        </is>
      </c>
    </row>
    <row r="129" ht="15" customHeight="1" s="82">
      <c r="A129" s="139">
        <f>'לקוחות לפי סוכן - מקור'!A123</f>
        <v/>
      </c>
      <c r="B129" s="139">
        <f>'לקוחות לפי סוכן - מקור'!C123</f>
        <v/>
      </c>
      <c r="C129" s="139">
        <f>'לקוחות לפי סוכן - מקור'!D123</f>
        <v/>
      </c>
      <c r="D129" s="139">
        <f>'לקוחות לפי סוכן - מקור'!E123</f>
        <v/>
      </c>
      <c r="E129" s="147">
        <f>'לקוחות לפי סוכן - מקור'!F123</f>
        <v/>
      </c>
      <c r="F129" s="147">
        <f>'לקוחות לפי סוכן - מקור'!G123</f>
        <v/>
      </c>
      <c r="G129" s="148">
        <f>'לקוחות לפי סוכן - מקור'!H123</f>
        <v/>
      </c>
      <c r="H129" s="148">
        <f>'לקוחות לפי סוכן - מקור'!I123</f>
        <v/>
      </c>
      <c r="I129" s="139">
        <f>'לקוחות לפי סוכן - מקור'!K123</f>
        <v/>
      </c>
      <c r="J129" s="139" t="inlineStr">
        <is>
          <t>קיים במקור</t>
        </is>
      </c>
    </row>
    <row r="130" ht="15" customHeight="1" s="82">
      <c r="A130" s="139">
        <f>'לקוחות לפי סוכן - מקור'!A124</f>
        <v/>
      </c>
      <c r="B130" s="139">
        <f>'לקוחות לפי סוכן - מקור'!C124</f>
        <v/>
      </c>
      <c r="C130" s="139">
        <f>'לקוחות לפי סוכן - מקור'!D124</f>
        <v/>
      </c>
      <c r="D130" s="139">
        <f>'לקוחות לפי סוכן - מקור'!E124</f>
        <v/>
      </c>
      <c r="E130" s="147">
        <f>'לקוחות לפי סוכן - מקור'!F124</f>
        <v/>
      </c>
      <c r="F130" s="147">
        <f>'לקוחות לפי סוכן - מקור'!G124</f>
        <v/>
      </c>
      <c r="G130" s="148">
        <f>'לקוחות לפי סוכן - מקור'!H124</f>
        <v/>
      </c>
      <c r="H130" s="148">
        <f>'לקוחות לפי סוכן - מקור'!I124</f>
        <v/>
      </c>
      <c r="I130" s="139">
        <f>'לקוחות לפי סוכן - מקור'!K124</f>
        <v/>
      </c>
      <c r="J130" s="139" t="inlineStr">
        <is>
          <t>קיים במקור</t>
        </is>
      </c>
    </row>
    <row r="131" ht="15" customHeight="1" s="82">
      <c r="A131" s="139">
        <f>'לקוחות לפי סוכן - מקור'!A125</f>
        <v/>
      </c>
      <c r="B131" s="139">
        <f>'לקוחות לפי סוכן - מקור'!C125</f>
        <v/>
      </c>
      <c r="C131" s="139">
        <f>'לקוחות לפי סוכן - מקור'!D125</f>
        <v/>
      </c>
      <c r="D131" s="139">
        <f>'לקוחות לפי סוכן - מקור'!E125</f>
        <v/>
      </c>
      <c r="E131" s="147">
        <f>'לקוחות לפי סוכן - מקור'!F125</f>
        <v/>
      </c>
      <c r="F131" s="147">
        <f>'לקוחות לפי סוכן - מקור'!G125</f>
        <v/>
      </c>
      <c r="G131" s="148">
        <f>'לקוחות לפי סוכן - מקור'!H125</f>
        <v/>
      </c>
      <c r="H131" s="148">
        <f>'לקוחות לפי סוכן - מקור'!I125</f>
        <v/>
      </c>
      <c r="I131" s="139">
        <f>'לקוחות לפי סוכן - מקור'!K125</f>
        <v/>
      </c>
      <c r="J131" s="139" t="inlineStr">
        <is>
          <t>קיים במקור</t>
        </is>
      </c>
    </row>
    <row r="132" ht="15" customHeight="1" s="82">
      <c r="A132" s="139">
        <f>'לקוחות לפי סוכן - מקור'!A126</f>
        <v/>
      </c>
      <c r="B132" s="139">
        <f>'לקוחות לפי סוכן - מקור'!C126</f>
        <v/>
      </c>
      <c r="C132" s="139">
        <f>'לקוחות לפי סוכן - מקור'!D126</f>
        <v/>
      </c>
      <c r="D132" s="139">
        <f>'לקוחות לפי סוכן - מקור'!E126</f>
        <v/>
      </c>
      <c r="E132" s="147">
        <f>'לקוחות לפי סוכן - מקור'!F126</f>
        <v/>
      </c>
      <c r="F132" s="147">
        <f>'לקוחות לפי סוכן - מקור'!G126</f>
        <v/>
      </c>
      <c r="G132" s="148">
        <f>'לקוחות לפי סוכן - מקור'!H126</f>
        <v/>
      </c>
      <c r="H132" s="148">
        <f>'לקוחות לפי סוכן - מקור'!I126</f>
        <v/>
      </c>
      <c r="I132" s="139">
        <f>'לקוחות לפי סוכן - מקור'!K126</f>
        <v/>
      </c>
      <c r="J132" s="139" t="inlineStr">
        <is>
          <t>קיים במקור</t>
        </is>
      </c>
    </row>
    <row r="133" ht="15" customHeight="1" s="82">
      <c r="A133" s="139">
        <f>'לקוחות לפי סוכן - מקור'!A127</f>
        <v/>
      </c>
      <c r="B133" s="139">
        <f>'לקוחות לפי סוכן - מקור'!C127</f>
        <v/>
      </c>
      <c r="C133" s="139">
        <f>'לקוחות לפי סוכן - מקור'!D127</f>
        <v/>
      </c>
      <c r="D133" s="139">
        <f>'לקוחות לפי סוכן - מקור'!E127</f>
        <v/>
      </c>
      <c r="E133" s="147">
        <f>'לקוחות לפי סוכן - מקור'!F127</f>
        <v/>
      </c>
      <c r="F133" s="147">
        <f>'לקוחות לפי סוכן - מקור'!G127</f>
        <v/>
      </c>
      <c r="G133" s="148">
        <f>'לקוחות לפי סוכן - מקור'!H127</f>
        <v/>
      </c>
      <c r="H133" s="148">
        <f>'לקוחות לפי סוכן - מקור'!I127</f>
        <v/>
      </c>
      <c r="I133" s="139">
        <f>'לקוחות לפי סוכן - מקור'!K127</f>
        <v/>
      </c>
      <c r="J133" s="139" t="inlineStr">
        <is>
          <t>קיים במקור</t>
        </is>
      </c>
    </row>
    <row r="134" ht="15" customHeight="1" s="82">
      <c r="A134" s="139">
        <f>'לקוחות לפי סוכן - מקור'!A128</f>
        <v/>
      </c>
      <c r="B134" s="139">
        <f>'לקוחות לפי סוכן - מקור'!C128</f>
        <v/>
      </c>
      <c r="C134" s="139">
        <f>'לקוחות לפי סוכן - מקור'!D128</f>
        <v/>
      </c>
      <c r="D134" s="139">
        <f>'לקוחות לפי סוכן - מקור'!E128</f>
        <v/>
      </c>
      <c r="E134" s="147">
        <f>'לקוחות לפי סוכן - מקור'!F128</f>
        <v/>
      </c>
      <c r="F134" s="147">
        <f>'לקוחות לפי סוכן - מקור'!G128</f>
        <v/>
      </c>
      <c r="G134" s="148">
        <f>'לקוחות לפי סוכן - מקור'!H128</f>
        <v/>
      </c>
      <c r="H134" s="148">
        <f>'לקוחות לפי סוכן - מקור'!I128</f>
        <v/>
      </c>
      <c r="I134" s="139">
        <f>'לקוחות לפי סוכן - מקור'!K128</f>
        <v/>
      </c>
      <c r="J134" s="139" t="inlineStr">
        <is>
          <t>קיים במקור</t>
        </is>
      </c>
    </row>
    <row r="135" ht="15" customHeight="1" s="82">
      <c r="A135" s="139">
        <f>'לקוחות לפי סוכן - מקור'!A129</f>
        <v/>
      </c>
      <c r="B135" s="139">
        <f>'לקוחות לפי סוכן - מקור'!C129</f>
        <v/>
      </c>
      <c r="C135" s="139">
        <f>'לקוחות לפי סוכן - מקור'!D129</f>
        <v/>
      </c>
      <c r="D135" s="139">
        <f>'לקוחות לפי סוכן - מקור'!E129</f>
        <v/>
      </c>
      <c r="E135" s="147">
        <f>'לקוחות לפי סוכן - מקור'!F129</f>
        <v/>
      </c>
      <c r="F135" s="147">
        <f>'לקוחות לפי סוכן - מקור'!G129</f>
        <v/>
      </c>
      <c r="G135" s="148">
        <f>'לקוחות לפי סוכן - מקור'!H129</f>
        <v/>
      </c>
      <c r="H135" s="148">
        <f>'לקוחות לפי סוכן - מקור'!I129</f>
        <v/>
      </c>
      <c r="I135" s="139">
        <f>'לקוחות לפי סוכן - מקור'!K129</f>
        <v/>
      </c>
      <c r="J135" s="139" t="inlineStr">
        <is>
          <t>קיים במקור</t>
        </is>
      </c>
    </row>
    <row r="136" ht="15" customHeight="1" s="82">
      <c r="A136" s="139">
        <f>'לקוחות לפי סוכן - מקור'!A130</f>
        <v/>
      </c>
      <c r="B136" s="139">
        <f>'לקוחות לפי סוכן - מקור'!C130</f>
        <v/>
      </c>
      <c r="C136" s="139">
        <f>'לקוחות לפי סוכן - מקור'!D130</f>
        <v/>
      </c>
      <c r="D136" s="139">
        <f>'לקוחות לפי סוכן - מקור'!E130</f>
        <v/>
      </c>
      <c r="E136" s="147">
        <f>'לקוחות לפי סוכן - מקור'!F130</f>
        <v/>
      </c>
      <c r="F136" s="147">
        <f>'לקוחות לפי סוכן - מקור'!G130</f>
        <v/>
      </c>
      <c r="G136" s="148">
        <f>'לקוחות לפי סוכן - מקור'!H130</f>
        <v/>
      </c>
      <c r="H136" s="148">
        <f>'לקוחות לפי סוכן - מקור'!I130</f>
        <v/>
      </c>
      <c r="I136" s="139">
        <f>'לקוחות לפי סוכן - מקור'!K130</f>
        <v/>
      </c>
      <c r="J136" s="139" t="inlineStr">
        <is>
          <t>קיים במקור</t>
        </is>
      </c>
    </row>
    <row r="137" ht="15" customHeight="1" s="82">
      <c r="A137" s="139">
        <f>'לקוחות לפי סוכן - מקור'!A131</f>
        <v/>
      </c>
      <c r="B137" s="139">
        <f>'לקוחות לפי סוכן - מקור'!C131</f>
        <v/>
      </c>
      <c r="C137" s="139">
        <f>'לקוחות לפי סוכן - מקור'!D131</f>
        <v/>
      </c>
      <c r="D137" s="139">
        <f>'לקוחות לפי סוכן - מקור'!E131</f>
        <v/>
      </c>
      <c r="E137" s="147">
        <f>'לקוחות לפי סוכן - מקור'!F131</f>
        <v/>
      </c>
      <c r="F137" s="147">
        <f>'לקוחות לפי סוכן - מקור'!G131</f>
        <v/>
      </c>
      <c r="G137" s="148">
        <f>'לקוחות לפי סוכן - מקור'!H131</f>
        <v/>
      </c>
      <c r="H137" s="148">
        <f>'לקוחות לפי סוכן - מקור'!I131</f>
        <v/>
      </c>
      <c r="I137" s="139">
        <f>'לקוחות לפי סוכן - מקור'!K131</f>
        <v/>
      </c>
      <c r="J137" s="139" t="inlineStr">
        <is>
          <t>קיים במקור</t>
        </is>
      </c>
    </row>
    <row r="138" ht="15" customHeight="1" s="82">
      <c r="A138" s="139">
        <f>'לקוחות לפי סוכן - מקור'!A132</f>
        <v/>
      </c>
      <c r="B138" s="139">
        <f>'לקוחות לפי סוכן - מקור'!C132</f>
        <v/>
      </c>
      <c r="C138" s="139">
        <f>'לקוחות לפי סוכן - מקור'!D132</f>
        <v/>
      </c>
      <c r="D138" s="139">
        <f>'לקוחות לפי סוכן - מקור'!E132</f>
        <v/>
      </c>
      <c r="E138" s="147">
        <f>'לקוחות לפי סוכן - מקור'!F132</f>
        <v/>
      </c>
      <c r="F138" s="147">
        <f>'לקוחות לפי סוכן - מקור'!G132</f>
        <v/>
      </c>
      <c r="G138" s="148">
        <f>'לקוחות לפי סוכן - מקור'!H132</f>
        <v/>
      </c>
      <c r="H138" s="148">
        <f>'לקוחות לפי סוכן - מקור'!I132</f>
        <v/>
      </c>
      <c r="I138" s="139">
        <f>'לקוחות לפי סוכן - מקור'!K132</f>
        <v/>
      </c>
      <c r="J138" s="139" t="inlineStr">
        <is>
          <t>קיים במקור</t>
        </is>
      </c>
    </row>
    <row r="139" ht="15" customHeight="1" s="82">
      <c r="A139" s="139">
        <f>'לקוחות לפי סוכן - מקור'!A133</f>
        <v/>
      </c>
      <c r="B139" s="139">
        <f>'לקוחות לפי סוכן - מקור'!C133</f>
        <v/>
      </c>
      <c r="C139" s="139">
        <f>'לקוחות לפי סוכן - מקור'!D133</f>
        <v/>
      </c>
      <c r="D139" s="139">
        <f>'לקוחות לפי סוכן - מקור'!E133</f>
        <v/>
      </c>
      <c r="E139" s="147">
        <f>'לקוחות לפי סוכן - מקור'!F133</f>
        <v/>
      </c>
      <c r="F139" s="147">
        <f>'לקוחות לפי סוכן - מקור'!G133</f>
        <v/>
      </c>
      <c r="G139" s="148">
        <f>'לקוחות לפי סוכן - מקור'!H133</f>
        <v/>
      </c>
      <c r="H139" s="148">
        <f>'לקוחות לפי סוכן - מקור'!I133</f>
        <v/>
      </c>
      <c r="I139" s="139">
        <f>'לקוחות לפי סוכן - מקור'!K133</f>
        <v/>
      </c>
      <c r="J139" s="139" t="inlineStr">
        <is>
          <t>קיים במקור</t>
        </is>
      </c>
    </row>
    <row r="140" ht="15" customHeight="1" s="82">
      <c r="A140" s="139">
        <f>'לקוחות לפי סוכן - מקור'!A134</f>
        <v/>
      </c>
      <c r="B140" s="139">
        <f>'לקוחות לפי סוכן - מקור'!C134</f>
        <v/>
      </c>
      <c r="C140" s="139">
        <f>'לקוחות לפי סוכן - מקור'!D134</f>
        <v/>
      </c>
      <c r="D140" s="139">
        <f>'לקוחות לפי סוכן - מקור'!E134</f>
        <v/>
      </c>
      <c r="E140" s="147">
        <f>'לקוחות לפי סוכן - מקור'!F134</f>
        <v/>
      </c>
      <c r="F140" s="147">
        <f>'לקוחות לפי סוכן - מקור'!G134</f>
        <v/>
      </c>
      <c r="G140" s="148">
        <f>'לקוחות לפי סוכן - מקור'!H134</f>
        <v/>
      </c>
      <c r="H140" s="148">
        <f>'לקוחות לפי סוכן - מקור'!I134</f>
        <v/>
      </c>
      <c r="I140" s="139">
        <f>'לקוחות לפי סוכן - מקור'!K134</f>
        <v/>
      </c>
      <c r="J140" s="139" t="inlineStr">
        <is>
          <t>קיים במקור</t>
        </is>
      </c>
    </row>
    <row r="141" ht="15" customHeight="1" s="82">
      <c r="A141" s="139">
        <f>'לקוחות לפי סוכן - מקור'!A135</f>
        <v/>
      </c>
      <c r="B141" s="139">
        <f>'לקוחות לפי סוכן - מקור'!C135</f>
        <v/>
      </c>
      <c r="C141" s="139">
        <f>'לקוחות לפי סוכן - מקור'!D135</f>
        <v/>
      </c>
      <c r="D141" s="139">
        <f>'לקוחות לפי סוכן - מקור'!E135</f>
        <v/>
      </c>
      <c r="E141" s="147">
        <f>'לקוחות לפי סוכן - מקור'!F135</f>
        <v/>
      </c>
      <c r="F141" s="147">
        <f>'לקוחות לפי סוכן - מקור'!G135</f>
        <v/>
      </c>
      <c r="G141" s="148">
        <f>'לקוחות לפי סוכן - מקור'!H135</f>
        <v/>
      </c>
      <c r="H141" s="148">
        <f>'לקוחות לפי סוכן - מקור'!I135</f>
        <v/>
      </c>
      <c r="I141" s="139">
        <f>'לקוחות לפי סוכן - מקור'!K135</f>
        <v/>
      </c>
      <c r="J141" s="139" t="inlineStr">
        <is>
          <t>קיים במקור</t>
        </is>
      </c>
    </row>
    <row r="142" ht="15" customHeight="1" s="82">
      <c r="A142" s="139">
        <f>'לקוחות לפי סוכן - מקור'!A136</f>
        <v/>
      </c>
      <c r="B142" s="139">
        <f>'לקוחות לפי סוכן - מקור'!C136</f>
        <v/>
      </c>
      <c r="C142" s="139">
        <f>'לקוחות לפי סוכן - מקור'!D136</f>
        <v/>
      </c>
      <c r="D142" s="139">
        <f>'לקוחות לפי סוכן - מקור'!E136</f>
        <v/>
      </c>
      <c r="E142" s="147">
        <f>'לקוחות לפי סוכן - מקור'!F136</f>
        <v/>
      </c>
      <c r="F142" s="147">
        <f>'לקוחות לפי סוכן - מקור'!G136</f>
        <v/>
      </c>
      <c r="G142" s="148">
        <f>'לקוחות לפי סוכן - מקור'!H136</f>
        <v/>
      </c>
      <c r="H142" s="148">
        <f>'לקוחות לפי סוכן - מקור'!I136</f>
        <v/>
      </c>
      <c r="I142" s="139">
        <f>'לקוחות לפי סוכן - מקור'!K136</f>
        <v/>
      </c>
      <c r="J142" s="139" t="inlineStr">
        <is>
          <t>קיים במקור</t>
        </is>
      </c>
    </row>
    <row r="143" ht="15" customHeight="1" s="82">
      <c r="A143" s="139">
        <f>'לקוחות לפי סוכן - מקור'!A137</f>
        <v/>
      </c>
      <c r="B143" s="139">
        <f>'לקוחות לפי סוכן - מקור'!C137</f>
        <v/>
      </c>
      <c r="C143" s="139">
        <f>'לקוחות לפי סוכן - מקור'!D137</f>
        <v/>
      </c>
      <c r="D143" s="139">
        <f>'לקוחות לפי סוכן - מקור'!E137</f>
        <v/>
      </c>
      <c r="E143" s="147">
        <f>'לקוחות לפי סוכן - מקור'!F137</f>
        <v/>
      </c>
      <c r="F143" s="147">
        <f>'לקוחות לפי סוכן - מקור'!G137</f>
        <v/>
      </c>
      <c r="G143" s="148">
        <f>'לקוחות לפי סוכן - מקור'!H137</f>
        <v/>
      </c>
      <c r="H143" s="148">
        <f>'לקוחות לפי סוכן - מקור'!I137</f>
        <v/>
      </c>
      <c r="I143" s="139">
        <f>'לקוחות לפי סוכן - מקור'!K137</f>
        <v/>
      </c>
      <c r="J143" s="139" t="inlineStr">
        <is>
          <t>קיים במקור</t>
        </is>
      </c>
    </row>
    <row r="144" ht="15" customHeight="1" s="82">
      <c r="A144" s="139">
        <f>'לקוחות לפי סוכן - מקור'!A138</f>
        <v/>
      </c>
      <c r="B144" s="139">
        <f>'לקוחות לפי סוכן - מקור'!C138</f>
        <v/>
      </c>
      <c r="C144" s="139">
        <f>'לקוחות לפי סוכן - מקור'!D138</f>
        <v/>
      </c>
      <c r="D144" s="139">
        <f>'לקוחות לפי סוכן - מקור'!E138</f>
        <v/>
      </c>
      <c r="E144" s="147">
        <f>'לקוחות לפי סוכן - מקור'!F138</f>
        <v/>
      </c>
      <c r="F144" s="147">
        <f>'לקוחות לפי סוכן - מקור'!G138</f>
        <v/>
      </c>
      <c r="G144" s="148">
        <f>'לקוחות לפי סוכן - מקור'!H138</f>
        <v/>
      </c>
      <c r="H144" s="148">
        <f>'לקוחות לפי סוכן - מקור'!I138</f>
        <v/>
      </c>
      <c r="I144" s="139">
        <f>'לקוחות לפי סוכן - מקור'!K138</f>
        <v/>
      </c>
      <c r="J144" s="139" t="inlineStr">
        <is>
          <t>קיים במקור</t>
        </is>
      </c>
    </row>
    <row r="145" ht="15" customHeight="1" s="82">
      <c r="A145" s="139">
        <f>'לקוחות לפי סוכן - מקור'!A139</f>
        <v/>
      </c>
      <c r="B145" s="139">
        <f>'לקוחות לפי סוכן - מקור'!C139</f>
        <v/>
      </c>
      <c r="C145" s="139">
        <f>'לקוחות לפי סוכן - מקור'!D139</f>
        <v/>
      </c>
      <c r="D145" s="139">
        <f>'לקוחות לפי סוכן - מקור'!E139</f>
        <v/>
      </c>
      <c r="E145" s="147">
        <f>'לקוחות לפי סוכן - מקור'!F139</f>
        <v/>
      </c>
      <c r="F145" s="147">
        <f>'לקוחות לפי סוכן - מקור'!G139</f>
        <v/>
      </c>
      <c r="G145" s="148">
        <f>'לקוחות לפי סוכן - מקור'!H139</f>
        <v/>
      </c>
      <c r="H145" s="148">
        <f>'לקוחות לפי סוכן - מקור'!I139</f>
        <v/>
      </c>
      <c r="I145" s="139">
        <f>'לקוחות לפי סוכן - מקור'!K139</f>
        <v/>
      </c>
      <c r="J145" s="139" t="inlineStr">
        <is>
          <t>קיים במקור</t>
        </is>
      </c>
    </row>
    <row r="146" ht="15" customHeight="1" s="82">
      <c r="A146" s="139">
        <f>'לקוחות לפי סוכן - מקור'!A140</f>
        <v/>
      </c>
      <c r="B146" s="139">
        <f>'לקוחות לפי סוכן - מקור'!C140</f>
        <v/>
      </c>
      <c r="C146" s="139">
        <f>'לקוחות לפי סוכן - מקור'!D140</f>
        <v/>
      </c>
      <c r="D146" s="139">
        <f>'לקוחות לפי סוכן - מקור'!E140</f>
        <v/>
      </c>
      <c r="E146" s="147">
        <f>'לקוחות לפי סוכן - מקור'!F140</f>
        <v/>
      </c>
      <c r="F146" s="147">
        <f>'לקוחות לפי סוכן - מקור'!G140</f>
        <v/>
      </c>
      <c r="G146" s="148">
        <f>'לקוחות לפי סוכן - מקור'!H140</f>
        <v/>
      </c>
      <c r="H146" s="148">
        <f>'לקוחות לפי סוכן - מקור'!I140</f>
        <v/>
      </c>
      <c r="I146" s="139">
        <f>'לקוחות לפי סוכן - מקור'!K140</f>
        <v/>
      </c>
      <c r="J146" s="139" t="inlineStr">
        <is>
          <t>קיים במקור</t>
        </is>
      </c>
    </row>
    <row r="147" ht="15" customHeight="1" s="82">
      <c r="A147" s="139">
        <f>'לקוחות לפי סוכן - מקור'!A141</f>
        <v/>
      </c>
      <c r="B147" s="139">
        <f>'לקוחות לפי סוכן - מקור'!C141</f>
        <v/>
      </c>
      <c r="C147" s="139">
        <f>'לקוחות לפי סוכן - מקור'!D141</f>
        <v/>
      </c>
      <c r="D147" s="139">
        <f>'לקוחות לפי סוכן - מקור'!E141</f>
        <v/>
      </c>
      <c r="E147" s="147">
        <f>'לקוחות לפי סוכן - מקור'!F141</f>
        <v/>
      </c>
      <c r="F147" s="147">
        <f>'לקוחות לפי סוכן - מקור'!G141</f>
        <v/>
      </c>
      <c r="G147" s="148">
        <f>'לקוחות לפי סוכן - מקור'!H141</f>
        <v/>
      </c>
      <c r="H147" s="148">
        <f>'לקוחות לפי סוכן - מקור'!I141</f>
        <v/>
      </c>
      <c r="I147" s="139">
        <f>'לקוחות לפי סוכן - מקור'!K141</f>
        <v/>
      </c>
      <c r="J147" s="139" t="inlineStr">
        <is>
          <t>קיים במקור</t>
        </is>
      </c>
    </row>
    <row r="148" ht="15" customHeight="1" s="82">
      <c r="A148" s="139">
        <f>'לקוחות לפי סוכן - מקור'!A142</f>
        <v/>
      </c>
      <c r="B148" s="139">
        <f>'לקוחות לפי סוכן - מקור'!C142</f>
        <v/>
      </c>
      <c r="C148" s="139">
        <f>'לקוחות לפי סוכן - מקור'!D142</f>
        <v/>
      </c>
      <c r="D148" s="139">
        <f>'לקוחות לפי סוכן - מקור'!E142</f>
        <v/>
      </c>
      <c r="E148" s="147">
        <f>'לקוחות לפי סוכן - מקור'!F142</f>
        <v/>
      </c>
      <c r="F148" s="147">
        <f>'לקוחות לפי סוכן - מקור'!G142</f>
        <v/>
      </c>
      <c r="G148" s="148">
        <f>'לקוחות לפי סוכן - מקור'!H142</f>
        <v/>
      </c>
      <c r="H148" s="148">
        <f>'לקוחות לפי סוכן - מקור'!I142</f>
        <v/>
      </c>
      <c r="I148" s="139">
        <f>'לקוחות לפי סוכן - מקור'!K142</f>
        <v/>
      </c>
      <c r="J148" s="139" t="inlineStr">
        <is>
          <t>קיים במקור</t>
        </is>
      </c>
    </row>
    <row r="149" ht="15" customHeight="1" s="82">
      <c r="A149" s="139">
        <f>'לקוחות לפי סוכן - מקור'!A143</f>
        <v/>
      </c>
      <c r="B149" s="139">
        <f>'לקוחות לפי סוכן - מקור'!C143</f>
        <v/>
      </c>
      <c r="C149" s="139">
        <f>'לקוחות לפי סוכן - מקור'!D143</f>
        <v/>
      </c>
      <c r="D149" s="139">
        <f>'לקוחות לפי סוכן - מקור'!E143</f>
        <v/>
      </c>
      <c r="E149" s="147">
        <f>'לקוחות לפי סוכן - מקור'!F143</f>
        <v/>
      </c>
      <c r="F149" s="147">
        <f>'לקוחות לפי סוכן - מקור'!G143</f>
        <v/>
      </c>
      <c r="G149" s="148">
        <f>'לקוחות לפי סוכן - מקור'!H143</f>
        <v/>
      </c>
      <c r="H149" s="148">
        <f>'לקוחות לפי סוכן - מקור'!I143</f>
        <v/>
      </c>
      <c r="I149" s="139">
        <f>'לקוחות לפי סוכן - מקור'!K143</f>
        <v/>
      </c>
      <c r="J149" s="139" t="inlineStr">
        <is>
          <t>קיים במקור</t>
        </is>
      </c>
    </row>
    <row r="150" ht="15" customHeight="1" s="82">
      <c r="A150" s="139">
        <f>'לקוחות לפי סוכן - מקור'!A144</f>
        <v/>
      </c>
      <c r="B150" s="139">
        <f>'לקוחות לפי סוכן - מקור'!C144</f>
        <v/>
      </c>
      <c r="C150" s="139">
        <f>'לקוחות לפי סוכן - מקור'!D144</f>
        <v/>
      </c>
      <c r="D150" s="139">
        <f>'לקוחות לפי סוכן - מקור'!E144</f>
        <v/>
      </c>
      <c r="E150" s="147">
        <f>'לקוחות לפי סוכן - מקור'!F144</f>
        <v/>
      </c>
      <c r="F150" s="147">
        <f>'לקוחות לפי סוכן - מקור'!G144</f>
        <v/>
      </c>
      <c r="G150" s="148">
        <f>'לקוחות לפי סוכן - מקור'!H144</f>
        <v/>
      </c>
      <c r="H150" s="148">
        <f>'לקוחות לפי סוכן - מקור'!I144</f>
        <v/>
      </c>
      <c r="I150" s="139">
        <f>'לקוחות לפי סוכן - מקור'!K144</f>
        <v/>
      </c>
      <c r="J150" s="139" t="inlineStr">
        <is>
          <t>קיים במקור</t>
        </is>
      </c>
    </row>
    <row r="151" ht="15" customHeight="1" s="82">
      <c r="A151" s="139">
        <f>'לקוחות לפי סוכן - מקור'!A145</f>
        <v/>
      </c>
      <c r="B151" s="139">
        <f>'לקוחות לפי סוכן - מקור'!C145</f>
        <v/>
      </c>
      <c r="C151" s="139">
        <f>'לקוחות לפי סוכן - מקור'!D145</f>
        <v/>
      </c>
      <c r="D151" s="139">
        <f>'לקוחות לפי סוכן - מקור'!E145</f>
        <v/>
      </c>
      <c r="E151" s="147">
        <f>'לקוחות לפי סוכן - מקור'!F145</f>
        <v/>
      </c>
      <c r="F151" s="147">
        <f>'לקוחות לפי סוכן - מקור'!G145</f>
        <v/>
      </c>
      <c r="G151" s="148">
        <f>'לקוחות לפי סוכן - מקור'!H145</f>
        <v/>
      </c>
      <c r="H151" s="148">
        <f>'לקוחות לפי סוכן - מקור'!I145</f>
        <v/>
      </c>
      <c r="I151" s="139">
        <f>'לקוחות לפי סוכן - מקור'!K145</f>
        <v/>
      </c>
      <c r="J151" s="139" t="inlineStr">
        <is>
          <t>קיים במקור</t>
        </is>
      </c>
    </row>
    <row r="152" ht="15" customHeight="1" s="82">
      <c r="A152" s="139">
        <f>'לקוחות לפי סוכן - מקור'!A146</f>
        <v/>
      </c>
      <c r="B152" s="139">
        <f>'לקוחות לפי סוכן - מקור'!C146</f>
        <v/>
      </c>
      <c r="C152" s="139">
        <f>'לקוחות לפי סוכן - מקור'!D146</f>
        <v/>
      </c>
      <c r="D152" s="139">
        <f>'לקוחות לפי סוכן - מקור'!E146</f>
        <v/>
      </c>
      <c r="E152" s="147">
        <f>'לקוחות לפי סוכן - מקור'!F146</f>
        <v/>
      </c>
      <c r="F152" s="147">
        <f>'לקוחות לפי סוכן - מקור'!G146</f>
        <v/>
      </c>
      <c r="G152" s="148">
        <f>'לקוחות לפי סוכן - מקור'!H146</f>
        <v/>
      </c>
      <c r="H152" s="148">
        <f>'לקוחות לפי סוכן - מקור'!I146</f>
        <v/>
      </c>
      <c r="I152" s="139">
        <f>'לקוחות לפי סוכן - מקור'!K146</f>
        <v/>
      </c>
      <c r="J152" s="139" t="inlineStr">
        <is>
          <t>קיים במקור</t>
        </is>
      </c>
    </row>
    <row r="153" ht="15" customHeight="1" s="82">
      <c r="A153" s="139">
        <f>'לקוחות לפי סוכן - מקור'!A147</f>
        <v/>
      </c>
      <c r="B153" s="139">
        <f>'לקוחות לפי סוכן - מקור'!C147</f>
        <v/>
      </c>
      <c r="C153" s="139">
        <f>'לקוחות לפי סוכן - מקור'!D147</f>
        <v/>
      </c>
      <c r="D153" s="139">
        <f>'לקוחות לפי סוכן - מקור'!E147</f>
        <v/>
      </c>
      <c r="E153" s="147">
        <f>'לקוחות לפי סוכן - מקור'!F147</f>
        <v/>
      </c>
      <c r="F153" s="147">
        <f>'לקוחות לפי סוכן - מקור'!G147</f>
        <v/>
      </c>
      <c r="G153" s="148">
        <f>'לקוחות לפי סוכן - מקור'!H147</f>
        <v/>
      </c>
      <c r="H153" s="148">
        <f>'לקוחות לפי סוכן - מקור'!I147</f>
        <v/>
      </c>
      <c r="I153" s="139">
        <f>'לקוחות לפי סוכן - מקור'!K147</f>
        <v/>
      </c>
      <c r="J153" s="139" t="inlineStr">
        <is>
          <t>קיים במקור</t>
        </is>
      </c>
    </row>
    <row r="154" ht="15" customHeight="1" s="82">
      <c r="A154" s="139">
        <f>'לקוחות לפי סוכן - מקור'!A148</f>
        <v/>
      </c>
      <c r="B154" s="139">
        <f>'לקוחות לפי סוכן - מקור'!C148</f>
        <v/>
      </c>
      <c r="C154" s="139">
        <f>'לקוחות לפי סוכן - מקור'!D148</f>
        <v/>
      </c>
      <c r="D154" s="139">
        <f>'לקוחות לפי סוכן - מקור'!E148</f>
        <v/>
      </c>
      <c r="E154" s="147">
        <f>'לקוחות לפי סוכן - מקור'!F148</f>
        <v/>
      </c>
      <c r="F154" s="147">
        <f>'לקוחות לפי סוכן - מקור'!G148</f>
        <v/>
      </c>
      <c r="G154" s="148">
        <f>'לקוחות לפי סוכן - מקור'!H148</f>
        <v/>
      </c>
      <c r="H154" s="148">
        <f>'לקוחות לפי סוכן - מקור'!I148</f>
        <v/>
      </c>
      <c r="I154" s="139">
        <f>'לקוחות לפי סוכן - מקור'!K148</f>
        <v/>
      </c>
      <c r="J154" s="139" t="inlineStr">
        <is>
          <t>קיים במקור</t>
        </is>
      </c>
    </row>
    <row r="155" ht="15" customHeight="1" s="82">
      <c r="A155" s="139">
        <f>'לקוחות לפי סוכן - מקור'!A149</f>
        <v/>
      </c>
      <c r="B155" s="139">
        <f>'לקוחות לפי סוכן - מקור'!C149</f>
        <v/>
      </c>
      <c r="C155" s="139">
        <f>'לקוחות לפי סוכן - מקור'!D149</f>
        <v/>
      </c>
      <c r="D155" s="139">
        <f>'לקוחות לפי סוכן - מקור'!E149</f>
        <v/>
      </c>
      <c r="E155" s="147">
        <f>'לקוחות לפי סוכן - מקור'!F149</f>
        <v/>
      </c>
      <c r="F155" s="147">
        <f>'לקוחות לפי סוכן - מקור'!G149</f>
        <v/>
      </c>
      <c r="G155" s="148">
        <f>'לקוחות לפי סוכן - מקור'!H149</f>
        <v/>
      </c>
      <c r="H155" s="148">
        <f>'לקוחות לפי סוכן - מקור'!I149</f>
        <v/>
      </c>
      <c r="I155" s="139">
        <f>'לקוחות לפי סוכן - מקור'!K149</f>
        <v/>
      </c>
      <c r="J155" s="139" t="inlineStr">
        <is>
          <t>קיים במקור</t>
        </is>
      </c>
    </row>
    <row r="156" ht="15" customHeight="1" s="82">
      <c r="A156" s="139">
        <f>'לקוחות לפי סוכן - מקור'!A150</f>
        <v/>
      </c>
      <c r="B156" s="139">
        <f>'לקוחות לפי סוכן - מקור'!C150</f>
        <v/>
      </c>
      <c r="C156" s="139">
        <f>'לקוחות לפי סוכן - מקור'!D150</f>
        <v/>
      </c>
      <c r="D156" s="139">
        <f>'לקוחות לפי סוכן - מקור'!E150</f>
        <v/>
      </c>
      <c r="E156" s="147">
        <f>'לקוחות לפי סוכן - מקור'!F150</f>
        <v/>
      </c>
      <c r="F156" s="147">
        <f>'לקוחות לפי סוכן - מקור'!G150</f>
        <v/>
      </c>
      <c r="G156" s="148">
        <f>'לקוחות לפי סוכן - מקור'!H150</f>
        <v/>
      </c>
      <c r="H156" s="148">
        <f>'לקוחות לפי סוכן - מקור'!I150</f>
        <v/>
      </c>
      <c r="I156" s="139">
        <f>'לקוחות לפי סוכן - מקור'!K150</f>
        <v/>
      </c>
      <c r="J156" s="139" t="inlineStr">
        <is>
          <t>קיים במקור</t>
        </is>
      </c>
    </row>
    <row r="157" ht="15" customHeight="1" s="82">
      <c r="A157" s="139">
        <f>'לקוחות לפי סוכן - מקור'!A151</f>
        <v/>
      </c>
      <c r="B157" s="139">
        <f>'לקוחות לפי סוכן - מקור'!C151</f>
        <v/>
      </c>
      <c r="C157" s="139">
        <f>'לקוחות לפי סוכן - מקור'!D151</f>
        <v/>
      </c>
      <c r="D157" s="139">
        <f>'לקוחות לפי סוכן - מקור'!E151</f>
        <v/>
      </c>
      <c r="E157" s="147">
        <f>'לקוחות לפי סוכן - מקור'!F151</f>
        <v/>
      </c>
      <c r="F157" s="147">
        <f>'לקוחות לפי סוכן - מקור'!G151</f>
        <v/>
      </c>
      <c r="G157" s="148">
        <f>'לקוחות לפי סוכן - מקור'!H151</f>
        <v/>
      </c>
      <c r="H157" s="148">
        <f>'לקוחות לפי סוכן - מקור'!I151</f>
        <v/>
      </c>
      <c r="I157" s="139">
        <f>'לקוחות לפי סוכן - מקור'!K151</f>
        <v/>
      </c>
      <c r="J157" s="139" t="inlineStr">
        <is>
          <t>קיים במקור</t>
        </is>
      </c>
    </row>
    <row r="158" ht="15" customHeight="1" s="82">
      <c r="A158" s="139">
        <f>'לקוחות לפי סוכן - מקור'!A152</f>
        <v/>
      </c>
      <c r="B158" s="139">
        <f>'לקוחות לפי סוכן - מקור'!C152</f>
        <v/>
      </c>
      <c r="C158" s="139">
        <f>'לקוחות לפי סוכן - מקור'!D152</f>
        <v/>
      </c>
      <c r="D158" s="139">
        <f>'לקוחות לפי סוכן - מקור'!E152</f>
        <v/>
      </c>
      <c r="E158" s="147">
        <f>'לקוחות לפי סוכן - מקור'!F152</f>
        <v/>
      </c>
      <c r="F158" s="147">
        <f>'לקוחות לפי סוכן - מקור'!G152</f>
        <v/>
      </c>
      <c r="G158" s="148">
        <f>'לקוחות לפי סוכן - מקור'!H152</f>
        <v/>
      </c>
      <c r="H158" s="148">
        <f>'לקוחות לפי סוכן - מקור'!I152</f>
        <v/>
      </c>
      <c r="I158" s="139">
        <f>'לקוחות לפי סוכן - מקור'!K152</f>
        <v/>
      </c>
      <c r="J158" s="139" t="inlineStr">
        <is>
          <t>קיים במקור</t>
        </is>
      </c>
    </row>
    <row r="159" ht="15" customHeight="1" s="82">
      <c r="A159" s="139">
        <f>'לקוחות לפי סוכן - מקור'!A153</f>
        <v/>
      </c>
      <c r="B159" s="139">
        <f>'לקוחות לפי סוכן - מקור'!C153</f>
        <v/>
      </c>
      <c r="C159" s="139">
        <f>'לקוחות לפי סוכן - מקור'!D153</f>
        <v/>
      </c>
      <c r="D159" s="139">
        <f>'לקוחות לפי סוכן - מקור'!E153</f>
        <v/>
      </c>
      <c r="E159" s="147">
        <f>'לקוחות לפי סוכן - מקור'!F153</f>
        <v/>
      </c>
      <c r="F159" s="147">
        <f>'לקוחות לפי סוכן - מקור'!G153</f>
        <v/>
      </c>
      <c r="G159" s="148">
        <f>'לקוחות לפי סוכן - מקור'!H153</f>
        <v/>
      </c>
      <c r="H159" s="148">
        <f>'לקוחות לפי סוכן - מקור'!I153</f>
        <v/>
      </c>
      <c r="I159" s="139">
        <f>'לקוחות לפי סוכן - מקור'!K153</f>
        <v/>
      </c>
      <c r="J159" s="139" t="inlineStr">
        <is>
          <t>קיים במקור</t>
        </is>
      </c>
    </row>
    <row r="160" ht="15" customHeight="1" s="82">
      <c r="A160" s="139">
        <f>'לקוחות לפי סוכן - מקור'!A154</f>
        <v/>
      </c>
      <c r="B160" s="139">
        <f>'לקוחות לפי סוכן - מקור'!C154</f>
        <v/>
      </c>
      <c r="C160" s="139">
        <f>'לקוחות לפי סוכן - מקור'!D154</f>
        <v/>
      </c>
      <c r="D160" s="139">
        <f>'לקוחות לפי סוכן - מקור'!E154</f>
        <v/>
      </c>
      <c r="E160" s="147">
        <f>'לקוחות לפי סוכן - מקור'!F154</f>
        <v/>
      </c>
      <c r="F160" s="147">
        <f>'לקוחות לפי סוכן - מקור'!G154</f>
        <v/>
      </c>
      <c r="G160" s="148">
        <f>'לקוחות לפי סוכן - מקור'!H154</f>
        <v/>
      </c>
      <c r="H160" s="148">
        <f>'לקוחות לפי סוכן - מקור'!I154</f>
        <v/>
      </c>
      <c r="I160" s="139">
        <f>'לקוחות לפי סוכן - מקור'!K154</f>
        <v/>
      </c>
      <c r="J160" s="139" t="inlineStr">
        <is>
          <t>קיים במקור</t>
        </is>
      </c>
    </row>
    <row r="161" ht="15" customHeight="1" s="82">
      <c r="A161" s="139">
        <f>'לקוחות לפי סוכן - מקור'!A155</f>
        <v/>
      </c>
      <c r="B161" s="139">
        <f>'לקוחות לפי סוכן - מקור'!C155</f>
        <v/>
      </c>
      <c r="C161" s="139">
        <f>'לקוחות לפי סוכן - מקור'!D155</f>
        <v/>
      </c>
      <c r="D161" s="139">
        <f>'לקוחות לפי סוכן - מקור'!E155</f>
        <v/>
      </c>
      <c r="E161" s="147">
        <f>'לקוחות לפי סוכן - מקור'!F155</f>
        <v/>
      </c>
      <c r="F161" s="147">
        <f>'לקוחות לפי סוכן - מקור'!G155</f>
        <v/>
      </c>
      <c r="G161" s="148">
        <f>'לקוחות לפי סוכן - מקור'!H155</f>
        <v/>
      </c>
      <c r="H161" s="148">
        <f>'לקוחות לפי סוכן - מקור'!I155</f>
        <v/>
      </c>
      <c r="I161" s="139">
        <f>'לקוחות לפי סוכן - מקור'!K155</f>
        <v/>
      </c>
      <c r="J161" s="139" t="inlineStr">
        <is>
          <t>קיים במקור</t>
        </is>
      </c>
    </row>
    <row r="162" ht="15" customHeight="1" s="82">
      <c r="A162" s="139">
        <f>'לקוחות לפי סוכן - מקור'!A156</f>
        <v/>
      </c>
      <c r="B162" s="139">
        <f>'לקוחות לפי סוכן - מקור'!C156</f>
        <v/>
      </c>
      <c r="C162" s="139">
        <f>'לקוחות לפי סוכן - מקור'!D156</f>
        <v/>
      </c>
      <c r="D162" s="139">
        <f>'לקוחות לפי סוכן - מקור'!E156</f>
        <v/>
      </c>
      <c r="E162" s="147">
        <f>'לקוחות לפי סוכן - מקור'!F156</f>
        <v/>
      </c>
      <c r="F162" s="147">
        <f>'לקוחות לפי סוכן - מקור'!G156</f>
        <v/>
      </c>
      <c r="G162" s="148">
        <f>'לקוחות לפי סוכן - מקור'!H156</f>
        <v/>
      </c>
      <c r="H162" s="148">
        <f>'לקוחות לפי סוכן - מקור'!I156</f>
        <v/>
      </c>
      <c r="I162" s="139">
        <f>'לקוחות לפי סוכן - מקור'!K156</f>
        <v/>
      </c>
      <c r="J162" s="139" t="inlineStr">
        <is>
          <t>קיים במקור</t>
        </is>
      </c>
    </row>
    <row r="163" ht="15" customHeight="1" s="82">
      <c r="A163" s="139">
        <f>'לקוחות לפי סוכן - מקור'!A157</f>
        <v/>
      </c>
      <c r="B163" s="139">
        <f>'לקוחות לפי סוכן - מקור'!C157</f>
        <v/>
      </c>
      <c r="C163" s="139">
        <f>'לקוחות לפי סוכן - מקור'!D157</f>
        <v/>
      </c>
      <c r="D163" s="139">
        <f>'לקוחות לפי סוכן - מקור'!E157</f>
        <v/>
      </c>
      <c r="E163" s="147">
        <f>'לקוחות לפי סוכן - מקור'!F157</f>
        <v/>
      </c>
      <c r="F163" s="147">
        <f>'לקוחות לפי סוכן - מקור'!G157</f>
        <v/>
      </c>
      <c r="G163" s="148">
        <f>'לקוחות לפי סוכן - מקור'!H157</f>
        <v/>
      </c>
      <c r="H163" s="148">
        <f>'לקוחות לפי סוכן - מקור'!I157</f>
        <v/>
      </c>
      <c r="I163" s="139">
        <f>'לקוחות לפי סוכן - מקור'!K157</f>
        <v/>
      </c>
      <c r="J163" s="139" t="inlineStr">
        <is>
          <t>קיים במקור</t>
        </is>
      </c>
    </row>
    <row r="164" ht="15" customHeight="1" s="82">
      <c r="A164" s="139">
        <f>'לקוחות לפי סוכן - מקור'!A158</f>
        <v/>
      </c>
      <c r="B164" s="139">
        <f>'לקוחות לפי סוכן - מקור'!C158</f>
        <v/>
      </c>
      <c r="C164" s="139">
        <f>'לקוחות לפי סוכן - מקור'!D158</f>
        <v/>
      </c>
      <c r="D164" s="139">
        <f>'לקוחות לפי סוכן - מקור'!E158</f>
        <v/>
      </c>
      <c r="E164" s="147">
        <f>'לקוחות לפי סוכן - מקור'!F158</f>
        <v/>
      </c>
      <c r="F164" s="147">
        <f>'לקוחות לפי סוכן - מקור'!G158</f>
        <v/>
      </c>
      <c r="G164" s="148">
        <f>'לקוחות לפי סוכן - מקור'!H158</f>
        <v/>
      </c>
      <c r="H164" s="148">
        <f>'לקוחות לפי סוכן - מקור'!I158</f>
        <v/>
      </c>
      <c r="I164" s="139">
        <f>'לקוחות לפי סוכן - מקור'!K158</f>
        <v/>
      </c>
      <c r="J164" s="139" t="inlineStr">
        <is>
          <t>קיים במקור</t>
        </is>
      </c>
    </row>
    <row r="165" ht="15" customHeight="1" s="82">
      <c r="A165" s="139">
        <f>'לקוחות לפי סוכן - מקור'!A159</f>
        <v/>
      </c>
      <c r="B165" s="139">
        <f>'לקוחות לפי סוכן - מקור'!C159</f>
        <v/>
      </c>
      <c r="C165" s="139">
        <f>'לקוחות לפי סוכן - מקור'!D159</f>
        <v/>
      </c>
      <c r="D165" s="139">
        <f>'לקוחות לפי סוכן - מקור'!E159</f>
        <v/>
      </c>
      <c r="E165" s="147">
        <f>'לקוחות לפי סוכן - מקור'!F159</f>
        <v/>
      </c>
      <c r="F165" s="147">
        <f>'לקוחות לפי סוכן - מקור'!G159</f>
        <v/>
      </c>
      <c r="G165" s="148">
        <f>'לקוחות לפי סוכן - מקור'!H159</f>
        <v/>
      </c>
      <c r="H165" s="148">
        <f>'לקוחות לפי סוכן - מקור'!I159</f>
        <v/>
      </c>
      <c r="I165" s="139">
        <f>'לקוחות לפי סוכן - מקור'!K159</f>
        <v/>
      </c>
      <c r="J165" s="139" t="inlineStr">
        <is>
          <t>קיים במקור</t>
        </is>
      </c>
    </row>
    <row r="166" ht="15" customHeight="1" s="82">
      <c r="A166" s="139">
        <f>'לקוחות לפי סוכן - מקור'!A160</f>
        <v/>
      </c>
      <c r="B166" s="139">
        <f>'לקוחות לפי סוכן - מקור'!C160</f>
        <v/>
      </c>
      <c r="C166" s="139">
        <f>'לקוחות לפי סוכן - מקור'!D160</f>
        <v/>
      </c>
      <c r="D166" s="139">
        <f>'לקוחות לפי סוכן - מקור'!E160</f>
        <v/>
      </c>
      <c r="E166" s="147">
        <f>'לקוחות לפי סוכן - מקור'!F160</f>
        <v/>
      </c>
      <c r="F166" s="147">
        <f>'לקוחות לפי סוכן - מקור'!G160</f>
        <v/>
      </c>
      <c r="G166" s="148">
        <f>'לקוחות לפי סוכן - מקור'!H160</f>
        <v/>
      </c>
      <c r="H166" s="148">
        <f>'לקוחות לפי סוכן - מקור'!I160</f>
        <v/>
      </c>
      <c r="I166" s="139">
        <f>'לקוחות לפי סוכן - מקור'!K160</f>
        <v/>
      </c>
      <c r="J166" s="139" t="inlineStr">
        <is>
          <t>קיים במקור</t>
        </is>
      </c>
    </row>
    <row r="167" ht="15" customHeight="1" s="82">
      <c r="A167" s="139">
        <f>'לקוחות לפי סוכן - מקור'!A161</f>
        <v/>
      </c>
      <c r="B167" s="139">
        <f>'לקוחות לפי סוכן - מקור'!C161</f>
        <v/>
      </c>
      <c r="C167" s="139">
        <f>'לקוחות לפי סוכן - מקור'!D161</f>
        <v/>
      </c>
      <c r="D167" s="139">
        <f>'לקוחות לפי סוכן - מקור'!E161</f>
        <v/>
      </c>
      <c r="E167" s="147">
        <f>'לקוחות לפי סוכן - מקור'!F161</f>
        <v/>
      </c>
      <c r="F167" s="147">
        <f>'לקוחות לפי סוכן - מקור'!G161</f>
        <v/>
      </c>
      <c r="G167" s="148">
        <f>'לקוחות לפי סוכן - מקור'!H161</f>
        <v/>
      </c>
      <c r="H167" s="148">
        <f>'לקוחות לפי סוכן - מקור'!I161</f>
        <v/>
      </c>
      <c r="I167" s="139">
        <f>'לקוחות לפי סוכן - מקור'!K161</f>
        <v/>
      </c>
      <c r="J167" s="139" t="inlineStr">
        <is>
          <t>קיים במקור</t>
        </is>
      </c>
    </row>
    <row r="168" ht="15" customHeight="1" s="82">
      <c r="A168" s="139">
        <f>'לקוחות לפי סוכן - מקור'!A162</f>
        <v/>
      </c>
      <c r="B168" s="139">
        <f>'לקוחות לפי סוכן - מקור'!C162</f>
        <v/>
      </c>
      <c r="C168" s="139">
        <f>'לקוחות לפי סוכן - מקור'!D162</f>
        <v/>
      </c>
      <c r="D168" s="139">
        <f>'לקוחות לפי סוכן - מקור'!E162</f>
        <v/>
      </c>
      <c r="E168" s="147">
        <f>'לקוחות לפי סוכן - מקור'!F162</f>
        <v/>
      </c>
      <c r="F168" s="147">
        <f>'לקוחות לפי סוכן - מקור'!G162</f>
        <v/>
      </c>
      <c r="G168" s="148">
        <f>'לקוחות לפי סוכן - מקור'!H162</f>
        <v/>
      </c>
      <c r="H168" s="148">
        <f>'לקוחות לפי סוכן - מקור'!I162</f>
        <v/>
      </c>
      <c r="I168" s="139">
        <f>'לקוחות לפי סוכן - מקור'!K162</f>
        <v/>
      </c>
      <c r="J168" s="139" t="inlineStr">
        <is>
          <t>קיים במקור</t>
        </is>
      </c>
    </row>
    <row r="169" ht="15" customHeight="1" s="82">
      <c r="A169" s="139">
        <f>'לקוחות לפי סוכן - מקור'!A164</f>
        <v/>
      </c>
      <c r="B169" s="139">
        <f>'לקוחות לפי סוכן - מקור'!C164</f>
        <v/>
      </c>
      <c r="C169" s="139">
        <f>'לקוחות לפי סוכן - מקור'!D164</f>
        <v/>
      </c>
      <c r="D169" s="139">
        <f>'לקוחות לפי סוכן - מקור'!E164</f>
        <v/>
      </c>
      <c r="E169" s="147">
        <f>'לקוחות לפי סוכן - מקור'!F164</f>
        <v/>
      </c>
      <c r="F169" s="147">
        <f>'לקוחות לפי סוכן - מקור'!G164</f>
        <v/>
      </c>
      <c r="G169" s="148">
        <f>'לקוחות לפי סוכן - מקור'!H164</f>
        <v/>
      </c>
      <c r="H169" s="148">
        <f>'לקוחות לפי סוכן - מקור'!I164</f>
        <v/>
      </c>
      <c r="I169" s="139">
        <f>'לקוחות לפי סוכן - מקור'!K164</f>
        <v/>
      </c>
      <c r="J169" s="139" t="inlineStr">
        <is>
          <t>קיים במקור</t>
        </is>
      </c>
    </row>
    <row r="170" ht="15" customHeight="1" s="82">
      <c r="A170" s="139">
        <f>'לקוחות לפי סוכן - מקור'!A165</f>
        <v/>
      </c>
      <c r="B170" s="139">
        <f>'לקוחות לפי סוכן - מקור'!C165</f>
        <v/>
      </c>
      <c r="C170" s="139">
        <f>'לקוחות לפי סוכן - מקור'!D165</f>
        <v/>
      </c>
      <c r="D170" s="139">
        <f>'לקוחות לפי סוכן - מקור'!E165</f>
        <v/>
      </c>
      <c r="E170" s="147">
        <f>'לקוחות לפי סוכן - מקור'!F165</f>
        <v/>
      </c>
      <c r="F170" s="147">
        <f>'לקוחות לפי סוכן - מקור'!G165</f>
        <v/>
      </c>
      <c r="G170" s="148">
        <f>'לקוחות לפי סוכן - מקור'!H165</f>
        <v/>
      </c>
      <c r="H170" s="148">
        <f>'לקוחות לפי סוכן - מקור'!I165</f>
        <v/>
      </c>
      <c r="I170" s="139">
        <f>'לקוחות לפי סוכן - מקור'!K165</f>
        <v/>
      </c>
      <c r="J170" s="139" t="inlineStr">
        <is>
          <t>קיים במקור</t>
        </is>
      </c>
    </row>
    <row r="171" ht="15" customHeight="1" s="82">
      <c r="A171" s="139">
        <f>'לקוחות לפי סוכן - מקור'!A166</f>
        <v/>
      </c>
      <c r="B171" s="139">
        <f>'לקוחות לפי סוכן - מקור'!C166</f>
        <v/>
      </c>
      <c r="C171" s="139">
        <f>'לקוחות לפי סוכן - מקור'!D166</f>
        <v/>
      </c>
      <c r="D171" s="139">
        <f>'לקוחות לפי סוכן - מקור'!E166</f>
        <v/>
      </c>
      <c r="E171" s="147">
        <f>'לקוחות לפי סוכן - מקור'!F166</f>
        <v/>
      </c>
      <c r="F171" s="147">
        <f>'לקוחות לפי סוכן - מקור'!G166</f>
        <v/>
      </c>
      <c r="G171" s="148">
        <f>'לקוחות לפי סוכן - מקור'!H166</f>
        <v/>
      </c>
      <c r="H171" s="148">
        <f>'לקוחות לפי סוכן - מקור'!I166</f>
        <v/>
      </c>
      <c r="I171" s="139">
        <f>'לקוחות לפי סוכן - מקור'!K166</f>
        <v/>
      </c>
      <c r="J171" s="139" t="inlineStr">
        <is>
          <t>קיים במקור</t>
        </is>
      </c>
    </row>
    <row r="172" ht="15" customHeight="1" s="82">
      <c r="A172" s="139">
        <f>'לקוחות לפי סוכן - מקור'!A167</f>
        <v/>
      </c>
      <c r="B172" s="139">
        <f>'לקוחות לפי סוכן - מקור'!C167</f>
        <v/>
      </c>
      <c r="C172" s="139">
        <f>'לקוחות לפי סוכן - מקור'!D167</f>
        <v/>
      </c>
      <c r="D172" s="139">
        <f>'לקוחות לפי סוכן - מקור'!E167</f>
        <v/>
      </c>
      <c r="E172" s="147">
        <f>'לקוחות לפי סוכן - מקור'!F167</f>
        <v/>
      </c>
      <c r="F172" s="147">
        <f>'לקוחות לפי סוכן - מקור'!G167</f>
        <v/>
      </c>
      <c r="G172" s="148">
        <f>'לקוחות לפי סוכן - מקור'!H167</f>
        <v/>
      </c>
      <c r="H172" s="148">
        <f>'לקוחות לפי סוכן - מקור'!I167</f>
        <v/>
      </c>
      <c r="I172" s="139">
        <f>'לקוחות לפי סוכן - מקור'!K167</f>
        <v/>
      </c>
      <c r="J172" s="139" t="inlineStr">
        <is>
          <t>קיים במקור</t>
        </is>
      </c>
    </row>
    <row r="173" ht="15" customHeight="1" s="82">
      <c r="A173" s="139">
        <f>'לקוחות לפי סוכן - מקור'!A168</f>
        <v/>
      </c>
      <c r="B173" s="139">
        <f>'לקוחות לפי סוכן - מקור'!C168</f>
        <v/>
      </c>
      <c r="C173" s="139">
        <f>'לקוחות לפי סוכן - מקור'!D168</f>
        <v/>
      </c>
      <c r="D173" s="139">
        <f>'לקוחות לפי סוכן - מקור'!E168</f>
        <v/>
      </c>
      <c r="E173" s="147">
        <f>'לקוחות לפי סוכן - מקור'!F168</f>
        <v/>
      </c>
      <c r="F173" s="147">
        <f>'לקוחות לפי סוכן - מקור'!G168</f>
        <v/>
      </c>
      <c r="G173" s="148">
        <f>'לקוחות לפי סוכן - מקור'!H168</f>
        <v/>
      </c>
      <c r="H173" s="148">
        <f>'לקוחות לפי סוכן - מקור'!I168</f>
        <v/>
      </c>
      <c r="I173" s="139">
        <f>'לקוחות לפי סוכן - מקור'!K168</f>
        <v/>
      </c>
      <c r="J173" s="139" t="inlineStr">
        <is>
          <t>קיים במקור</t>
        </is>
      </c>
    </row>
    <row r="174" ht="15" customHeight="1" s="82">
      <c r="A174" s="139">
        <f>'לקוחות לפי סוכן - מקור'!A169</f>
        <v/>
      </c>
      <c r="B174" s="139">
        <f>'לקוחות לפי סוכן - מקור'!C169</f>
        <v/>
      </c>
      <c r="C174" s="139">
        <f>'לקוחות לפי סוכן - מקור'!D169</f>
        <v/>
      </c>
      <c r="D174" s="139">
        <f>'לקוחות לפי סוכן - מקור'!E169</f>
        <v/>
      </c>
      <c r="E174" s="147">
        <f>'לקוחות לפי סוכן - מקור'!F169</f>
        <v/>
      </c>
      <c r="F174" s="147">
        <f>'לקוחות לפי סוכן - מקור'!G169</f>
        <v/>
      </c>
      <c r="G174" s="148">
        <f>'לקוחות לפי סוכן - מקור'!H169</f>
        <v/>
      </c>
      <c r="H174" s="148">
        <f>'לקוחות לפי סוכן - מקור'!I169</f>
        <v/>
      </c>
      <c r="I174" s="139">
        <f>'לקוחות לפי סוכן - מקור'!K169</f>
        <v/>
      </c>
      <c r="J174" s="139" t="inlineStr">
        <is>
          <t>קיים במקור</t>
        </is>
      </c>
    </row>
    <row r="175" ht="15" customHeight="1" s="82">
      <c r="A175" s="139">
        <f>'לקוחות לפי סוכן - מקור'!A170</f>
        <v/>
      </c>
      <c r="B175" s="139">
        <f>'לקוחות לפי סוכן - מקור'!C170</f>
        <v/>
      </c>
      <c r="C175" s="139">
        <f>'לקוחות לפי סוכן - מקור'!D170</f>
        <v/>
      </c>
      <c r="D175" s="139">
        <f>'לקוחות לפי סוכן - מקור'!E170</f>
        <v/>
      </c>
      <c r="E175" s="147">
        <f>'לקוחות לפי סוכן - מקור'!F170</f>
        <v/>
      </c>
      <c r="F175" s="147">
        <f>'לקוחות לפי סוכן - מקור'!G170</f>
        <v/>
      </c>
      <c r="G175" s="148">
        <f>'לקוחות לפי סוכן - מקור'!H170</f>
        <v/>
      </c>
      <c r="H175" s="148">
        <f>'לקוחות לפי סוכן - מקור'!I170</f>
        <v/>
      </c>
      <c r="I175" s="139">
        <f>'לקוחות לפי סוכן - מקור'!K170</f>
        <v/>
      </c>
      <c r="J175" s="139" t="inlineStr">
        <is>
          <t>קיים במקור</t>
        </is>
      </c>
    </row>
    <row r="176" ht="15" customHeight="1" s="82">
      <c r="A176" s="139">
        <f>'לקוחות לפי סוכן - מקור'!A171</f>
        <v/>
      </c>
      <c r="B176" s="139">
        <f>'לקוחות לפי סוכן - מקור'!C171</f>
        <v/>
      </c>
      <c r="C176" s="139">
        <f>'לקוחות לפי סוכן - מקור'!D171</f>
        <v/>
      </c>
      <c r="D176" s="139">
        <f>'לקוחות לפי סוכן - מקור'!E171</f>
        <v/>
      </c>
      <c r="E176" s="147">
        <f>'לקוחות לפי סוכן - מקור'!F171</f>
        <v/>
      </c>
      <c r="F176" s="147">
        <f>'לקוחות לפי סוכן - מקור'!G171</f>
        <v/>
      </c>
      <c r="G176" s="148">
        <f>'לקוחות לפי סוכן - מקור'!H171</f>
        <v/>
      </c>
      <c r="H176" s="148">
        <f>'לקוחות לפי סוכן - מקור'!I171</f>
        <v/>
      </c>
      <c r="I176" s="139">
        <f>'לקוחות לפי סוכן - מקור'!K171</f>
        <v/>
      </c>
      <c r="J176" s="139" t="inlineStr">
        <is>
          <t>קיים במקור</t>
        </is>
      </c>
    </row>
    <row r="177" ht="15" customHeight="1" s="82">
      <c r="A177" s="139">
        <f>'לקוחות לפי סוכן - מקור'!A172</f>
        <v/>
      </c>
      <c r="B177" s="139">
        <f>'לקוחות לפי סוכן - מקור'!C172</f>
        <v/>
      </c>
      <c r="C177" s="139">
        <f>'לקוחות לפי סוכן - מקור'!D172</f>
        <v/>
      </c>
      <c r="D177" s="139">
        <f>'לקוחות לפי סוכן - מקור'!E172</f>
        <v/>
      </c>
      <c r="E177" s="147">
        <f>'לקוחות לפי סוכן - מקור'!F172</f>
        <v/>
      </c>
      <c r="F177" s="147">
        <f>'לקוחות לפי סוכן - מקור'!G172</f>
        <v/>
      </c>
      <c r="G177" s="148">
        <f>'לקוחות לפי סוכן - מקור'!H172</f>
        <v/>
      </c>
      <c r="H177" s="148">
        <f>'לקוחות לפי סוכן - מקור'!I172</f>
        <v/>
      </c>
      <c r="I177" s="139">
        <f>'לקוחות לפי סוכן - מקור'!K172</f>
        <v/>
      </c>
      <c r="J177" s="139" t="inlineStr">
        <is>
          <t>קיים במקור</t>
        </is>
      </c>
    </row>
    <row r="178" ht="15" customHeight="1" s="82">
      <c r="A178" s="139">
        <f>'לקוחות לפי סוכן - מקור'!A173</f>
        <v/>
      </c>
      <c r="B178" s="139">
        <f>'לקוחות לפי סוכן - מקור'!C173</f>
        <v/>
      </c>
      <c r="C178" s="139">
        <f>'לקוחות לפי סוכן - מקור'!D173</f>
        <v/>
      </c>
      <c r="D178" s="139">
        <f>'לקוחות לפי סוכן - מקור'!E173</f>
        <v/>
      </c>
      <c r="E178" s="147">
        <f>'לקוחות לפי סוכן - מקור'!F173</f>
        <v/>
      </c>
      <c r="F178" s="147">
        <f>'לקוחות לפי סוכן - מקור'!G173</f>
        <v/>
      </c>
      <c r="G178" s="148">
        <f>'לקוחות לפי סוכן - מקור'!H173</f>
        <v/>
      </c>
      <c r="H178" s="148">
        <f>'לקוחות לפי סוכן - מקור'!I173</f>
        <v/>
      </c>
      <c r="I178" s="139">
        <f>'לקוחות לפי סוכן - מקור'!K173</f>
        <v/>
      </c>
      <c r="J178" s="139" t="inlineStr">
        <is>
          <t>קיים במקור</t>
        </is>
      </c>
    </row>
    <row r="179" ht="15" customHeight="1" s="82">
      <c r="A179" s="139">
        <f>'לקוחות לפי סוכן - מקור'!A174</f>
        <v/>
      </c>
      <c r="B179" s="139">
        <f>'לקוחות לפי סוכן - מקור'!C174</f>
        <v/>
      </c>
      <c r="C179" s="139">
        <f>'לקוחות לפי סוכן - מקור'!D174</f>
        <v/>
      </c>
      <c r="D179" s="139">
        <f>'לקוחות לפי סוכן - מקור'!E174</f>
        <v/>
      </c>
      <c r="E179" s="147">
        <f>'לקוחות לפי סוכן - מקור'!F174</f>
        <v/>
      </c>
      <c r="F179" s="147">
        <f>'לקוחות לפי סוכן - מקור'!G174</f>
        <v/>
      </c>
      <c r="G179" s="148">
        <f>'לקוחות לפי סוכן - מקור'!H174</f>
        <v/>
      </c>
      <c r="H179" s="148">
        <f>'לקוחות לפי סוכן - מקור'!I174</f>
        <v/>
      </c>
      <c r="I179" s="139">
        <f>'לקוחות לפי סוכן - מקור'!K174</f>
        <v/>
      </c>
      <c r="J179" s="139" t="inlineStr">
        <is>
          <t>קיים במקור</t>
        </is>
      </c>
    </row>
    <row r="180" ht="15" customHeight="1" s="82">
      <c r="A180" s="139">
        <f>'לקוחות לפי סוכן - מקור'!A175</f>
        <v/>
      </c>
      <c r="B180" s="139">
        <f>'לקוחות לפי סוכן - מקור'!C175</f>
        <v/>
      </c>
      <c r="C180" s="139">
        <f>'לקוחות לפי סוכן - מקור'!D175</f>
        <v/>
      </c>
      <c r="D180" s="139">
        <f>'לקוחות לפי סוכן - מקור'!E175</f>
        <v/>
      </c>
      <c r="E180" s="147">
        <f>'לקוחות לפי סוכן - מקור'!F175</f>
        <v/>
      </c>
      <c r="F180" s="147">
        <f>'לקוחות לפי סוכן - מקור'!G175</f>
        <v/>
      </c>
      <c r="G180" s="148">
        <f>'לקוחות לפי סוכן - מקור'!H175</f>
        <v/>
      </c>
      <c r="H180" s="148">
        <f>'לקוחות לפי סוכן - מקור'!I175</f>
        <v/>
      </c>
      <c r="I180" s="139">
        <f>'לקוחות לפי סוכן - מקור'!K175</f>
        <v/>
      </c>
      <c r="J180" s="139" t="inlineStr">
        <is>
          <t>קיים במקור</t>
        </is>
      </c>
    </row>
    <row r="181" ht="15" customHeight="1" s="82">
      <c r="A181" s="139">
        <f>'לקוחות לפי סוכן - מקור'!A176</f>
        <v/>
      </c>
      <c r="B181" s="139">
        <f>'לקוחות לפי סוכן - מקור'!C176</f>
        <v/>
      </c>
      <c r="C181" s="139">
        <f>'לקוחות לפי סוכן - מקור'!D176</f>
        <v/>
      </c>
      <c r="D181" s="139">
        <f>'לקוחות לפי סוכן - מקור'!E176</f>
        <v/>
      </c>
      <c r="E181" s="147">
        <f>'לקוחות לפי סוכן - מקור'!F176</f>
        <v/>
      </c>
      <c r="F181" s="147">
        <f>'לקוחות לפי סוכן - מקור'!G176</f>
        <v/>
      </c>
      <c r="G181" s="148">
        <f>'לקוחות לפי סוכן - מקור'!H176</f>
        <v/>
      </c>
      <c r="H181" s="148">
        <f>'לקוחות לפי סוכן - מקור'!I176</f>
        <v/>
      </c>
      <c r="I181" s="139">
        <f>'לקוחות לפי סוכן - מקור'!K176</f>
        <v/>
      </c>
      <c r="J181" s="139" t="inlineStr">
        <is>
          <t>קיים במקור</t>
        </is>
      </c>
    </row>
    <row r="182" ht="15" customHeight="1" s="82">
      <c r="A182" s="139">
        <f>'לקוחות לפי סוכן - מקור'!A177</f>
        <v/>
      </c>
      <c r="B182" s="139">
        <f>'לקוחות לפי סוכן - מקור'!C177</f>
        <v/>
      </c>
      <c r="C182" s="139">
        <f>'לקוחות לפי סוכן - מקור'!D177</f>
        <v/>
      </c>
      <c r="D182" s="139">
        <f>'לקוחות לפי סוכן - מקור'!E177</f>
        <v/>
      </c>
      <c r="E182" s="147">
        <f>'לקוחות לפי סוכן - מקור'!F177</f>
        <v/>
      </c>
      <c r="F182" s="147">
        <f>'לקוחות לפי סוכן - מקור'!G177</f>
        <v/>
      </c>
      <c r="G182" s="148">
        <f>'לקוחות לפי סוכן - מקור'!H177</f>
        <v/>
      </c>
      <c r="H182" s="148">
        <f>'לקוחות לפי סוכן - מקור'!I177</f>
        <v/>
      </c>
      <c r="I182" s="139">
        <f>'לקוחות לפי סוכן - מקור'!K177</f>
        <v/>
      </c>
      <c r="J182" s="139" t="inlineStr">
        <is>
          <t>קיים במקור</t>
        </is>
      </c>
    </row>
    <row r="183" ht="15" customHeight="1" s="82">
      <c r="A183" s="139">
        <f>'לקוחות לפי סוכן - מקור'!A178</f>
        <v/>
      </c>
      <c r="B183" s="139">
        <f>'לקוחות לפי סוכן - מקור'!C178</f>
        <v/>
      </c>
      <c r="C183" s="139">
        <f>'לקוחות לפי סוכן - מקור'!D178</f>
        <v/>
      </c>
      <c r="D183" s="139">
        <f>'לקוחות לפי סוכן - מקור'!E178</f>
        <v/>
      </c>
      <c r="E183" s="147">
        <f>'לקוחות לפי סוכן - מקור'!F178</f>
        <v/>
      </c>
      <c r="F183" s="147">
        <f>'לקוחות לפי סוכן - מקור'!G178</f>
        <v/>
      </c>
      <c r="G183" s="148">
        <f>'לקוחות לפי סוכן - מקור'!H178</f>
        <v/>
      </c>
      <c r="H183" s="148">
        <f>'לקוחות לפי סוכן - מקור'!I178</f>
        <v/>
      </c>
      <c r="I183" s="139">
        <f>'לקוחות לפי סוכן - מקור'!K178</f>
        <v/>
      </c>
      <c r="J183" s="139" t="inlineStr">
        <is>
          <t>קיים במקור</t>
        </is>
      </c>
    </row>
    <row r="184" ht="15" customHeight="1" s="82">
      <c r="A184" s="139">
        <f>'לקוחות לפי סוכן - מקור'!A179</f>
        <v/>
      </c>
      <c r="B184" s="139">
        <f>'לקוחות לפי סוכן - מקור'!C179</f>
        <v/>
      </c>
      <c r="C184" s="139">
        <f>'לקוחות לפי סוכן - מקור'!D179</f>
        <v/>
      </c>
      <c r="D184" s="139">
        <f>'לקוחות לפי סוכן - מקור'!E179</f>
        <v/>
      </c>
      <c r="E184" s="147">
        <f>'לקוחות לפי סוכן - מקור'!F179</f>
        <v/>
      </c>
      <c r="F184" s="147">
        <f>'לקוחות לפי סוכן - מקור'!G179</f>
        <v/>
      </c>
      <c r="G184" s="148">
        <f>'לקוחות לפי סוכן - מקור'!H179</f>
        <v/>
      </c>
      <c r="H184" s="148">
        <f>'לקוחות לפי סוכן - מקור'!I179</f>
        <v/>
      </c>
      <c r="I184" s="139">
        <f>'לקוחות לפי סוכן - מקור'!K179</f>
        <v/>
      </c>
      <c r="J184" s="139" t="inlineStr">
        <is>
          <t>קיים במקור</t>
        </is>
      </c>
    </row>
    <row r="185" ht="15" customHeight="1" s="82">
      <c r="A185" s="139">
        <f>'לקוחות לפי סוכן - מקור'!A180</f>
        <v/>
      </c>
      <c r="B185" s="139">
        <f>'לקוחות לפי סוכן - מקור'!C180</f>
        <v/>
      </c>
      <c r="C185" s="139">
        <f>'לקוחות לפי סוכן - מקור'!D180</f>
        <v/>
      </c>
      <c r="D185" s="139">
        <f>'לקוחות לפי סוכן - מקור'!E180</f>
        <v/>
      </c>
      <c r="E185" s="147">
        <f>'לקוחות לפי סוכן - מקור'!F180</f>
        <v/>
      </c>
      <c r="F185" s="147">
        <f>'לקוחות לפי סוכן - מקור'!G180</f>
        <v/>
      </c>
      <c r="G185" s="148">
        <f>'לקוחות לפי סוכן - מקור'!H180</f>
        <v/>
      </c>
      <c r="H185" s="148">
        <f>'לקוחות לפי סוכן - מקור'!I180</f>
        <v/>
      </c>
      <c r="I185" s="139">
        <f>'לקוחות לפי סוכן - מקור'!K180</f>
        <v/>
      </c>
      <c r="J185" s="139" t="inlineStr">
        <is>
          <t>קיים במקור</t>
        </is>
      </c>
    </row>
    <row r="186" ht="15" customHeight="1" s="82">
      <c r="A186" s="139">
        <f>'לקוחות לפי סוכן - מקור'!A181</f>
        <v/>
      </c>
      <c r="B186" s="139">
        <f>'לקוחות לפי סוכן - מקור'!C181</f>
        <v/>
      </c>
      <c r="C186" s="139">
        <f>'לקוחות לפי סוכן - מקור'!D181</f>
        <v/>
      </c>
      <c r="D186" s="139">
        <f>'לקוחות לפי סוכן - מקור'!E181</f>
        <v/>
      </c>
      <c r="E186" s="147">
        <f>'לקוחות לפי סוכן - מקור'!F181</f>
        <v/>
      </c>
      <c r="F186" s="147">
        <f>'לקוחות לפי סוכן - מקור'!G181</f>
        <v/>
      </c>
      <c r="G186" s="148">
        <f>'לקוחות לפי סוכן - מקור'!H181</f>
        <v/>
      </c>
      <c r="H186" s="148">
        <f>'לקוחות לפי סוכן - מקור'!I181</f>
        <v/>
      </c>
      <c r="I186" s="139">
        <f>'לקוחות לפי סוכן - מקור'!K181</f>
        <v/>
      </c>
      <c r="J186" s="139" t="inlineStr">
        <is>
          <t>קיים במקור</t>
        </is>
      </c>
    </row>
    <row r="187" ht="15" customHeight="1" s="82">
      <c r="A187" s="139">
        <f>'לקוחות לפי סוכן - מקור'!A182</f>
        <v/>
      </c>
      <c r="B187" s="139">
        <f>'לקוחות לפי סוכן - מקור'!C182</f>
        <v/>
      </c>
      <c r="C187" s="139">
        <f>'לקוחות לפי סוכן - מקור'!D182</f>
        <v/>
      </c>
      <c r="D187" s="139">
        <f>'לקוחות לפי סוכן - מקור'!E182</f>
        <v/>
      </c>
      <c r="E187" s="147">
        <f>'לקוחות לפי סוכן - מקור'!F182</f>
        <v/>
      </c>
      <c r="F187" s="147">
        <f>'לקוחות לפי סוכן - מקור'!G182</f>
        <v/>
      </c>
      <c r="G187" s="148">
        <f>'לקוחות לפי סוכן - מקור'!H182</f>
        <v/>
      </c>
      <c r="H187" s="148">
        <f>'לקוחות לפי סוכן - מקור'!I182</f>
        <v/>
      </c>
      <c r="I187" s="139">
        <f>'לקוחות לפי סוכן - מקור'!K182</f>
        <v/>
      </c>
      <c r="J187" s="139" t="inlineStr">
        <is>
          <t>קיים במקור</t>
        </is>
      </c>
    </row>
    <row r="188" ht="15" customHeight="1" s="82">
      <c r="A188" s="139">
        <f>'לקוחות לפי סוכן - מקור'!A183</f>
        <v/>
      </c>
      <c r="B188" s="139">
        <f>'לקוחות לפי סוכן - מקור'!C183</f>
        <v/>
      </c>
      <c r="C188" s="139">
        <f>'לקוחות לפי סוכן - מקור'!D183</f>
        <v/>
      </c>
      <c r="D188" s="139">
        <f>'לקוחות לפי סוכן - מקור'!E183</f>
        <v/>
      </c>
      <c r="E188" s="147">
        <f>'לקוחות לפי סוכן - מקור'!F183</f>
        <v/>
      </c>
      <c r="F188" s="147">
        <f>'לקוחות לפי סוכן - מקור'!G183</f>
        <v/>
      </c>
      <c r="G188" s="148">
        <f>'לקוחות לפי סוכן - מקור'!H183</f>
        <v/>
      </c>
      <c r="H188" s="148">
        <f>'לקוחות לפי סוכן - מקור'!I183</f>
        <v/>
      </c>
      <c r="I188" s="139">
        <f>'לקוחות לפי סוכן - מקור'!K183</f>
        <v/>
      </c>
      <c r="J188" s="139" t="inlineStr">
        <is>
          <t>קיים במקור</t>
        </is>
      </c>
    </row>
    <row r="189" ht="15" customHeight="1" s="82">
      <c r="A189" s="139">
        <f>'לקוחות לפי סוכן - מקור'!A184</f>
        <v/>
      </c>
      <c r="B189" s="139">
        <f>'לקוחות לפי סוכן - מקור'!C184</f>
        <v/>
      </c>
      <c r="C189" s="139">
        <f>'לקוחות לפי סוכן - מקור'!D184</f>
        <v/>
      </c>
      <c r="D189" s="139">
        <f>'לקוחות לפי סוכן - מקור'!E184</f>
        <v/>
      </c>
      <c r="E189" s="147">
        <f>'לקוחות לפי סוכן - מקור'!F184</f>
        <v/>
      </c>
      <c r="F189" s="147">
        <f>'לקוחות לפי סוכן - מקור'!G184</f>
        <v/>
      </c>
      <c r="G189" s="148">
        <f>'לקוחות לפי סוכן - מקור'!H184</f>
        <v/>
      </c>
      <c r="H189" s="148">
        <f>'לקוחות לפי סוכן - מקור'!I184</f>
        <v/>
      </c>
      <c r="I189" s="139">
        <f>'לקוחות לפי סוכן - מקור'!K184</f>
        <v/>
      </c>
      <c r="J189" s="139" t="inlineStr">
        <is>
          <t>קיים במקור</t>
        </is>
      </c>
    </row>
    <row r="190" ht="15" customHeight="1" s="82">
      <c r="A190" s="139">
        <f>'לקוחות לפי סוכן - מקור'!A185</f>
        <v/>
      </c>
      <c r="B190" s="139">
        <f>'לקוחות לפי סוכן - מקור'!C185</f>
        <v/>
      </c>
      <c r="C190" s="139">
        <f>'לקוחות לפי סוכן - מקור'!D185</f>
        <v/>
      </c>
      <c r="D190" s="139">
        <f>'לקוחות לפי סוכן - מקור'!E185</f>
        <v/>
      </c>
      <c r="E190" s="147">
        <f>'לקוחות לפי סוכן - מקור'!F185</f>
        <v/>
      </c>
      <c r="F190" s="147">
        <f>'לקוחות לפי סוכן - מקור'!G185</f>
        <v/>
      </c>
      <c r="G190" s="148">
        <f>'לקוחות לפי סוכן - מקור'!H185</f>
        <v/>
      </c>
      <c r="H190" s="148">
        <f>'לקוחות לפי סוכן - מקור'!I185</f>
        <v/>
      </c>
      <c r="I190" s="139">
        <f>'לקוחות לפי סוכן - מקור'!K185</f>
        <v/>
      </c>
      <c r="J190" s="139" t="inlineStr">
        <is>
          <t>קיים במקור</t>
        </is>
      </c>
    </row>
    <row r="191" ht="15" customHeight="1" s="82">
      <c r="A191" s="139">
        <f>'לקוחות לפי סוכן - מקור'!A186</f>
        <v/>
      </c>
      <c r="B191" s="139">
        <f>'לקוחות לפי סוכן - מקור'!C186</f>
        <v/>
      </c>
      <c r="C191" s="139">
        <f>'לקוחות לפי סוכן - מקור'!D186</f>
        <v/>
      </c>
      <c r="D191" s="139">
        <f>'לקוחות לפי סוכן - מקור'!E186</f>
        <v/>
      </c>
      <c r="E191" s="147">
        <f>'לקוחות לפי סוכן - מקור'!F186</f>
        <v/>
      </c>
      <c r="F191" s="147">
        <f>'לקוחות לפי סוכן - מקור'!G186</f>
        <v/>
      </c>
      <c r="G191" s="148">
        <f>'לקוחות לפי סוכן - מקור'!H186</f>
        <v/>
      </c>
      <c r="H191" s="148">
        <f>'לקוחות לפי סוכן - מקור'!I186</f>
        <v/>
      </c>
      <c r="I191" s="139">
        <f>'לקוחות לפי סוכן - מקור'!K186</f>
        <v/>
      </c>
      <c r="J191" s="139" t="inlineStr">
        <is>
          <t>קיים במקור</t>
        </is>
      </c>
    </row>
    <row r="192" ht="15" customHeight="1" s="82">
      <c r="A192" s="139">
        <f>'לקוחות לפי סוכן - מקור'!A187</f>
        <v/>
      </c>
      <c r="B192" s="139">
        <f>'לקוחות לפי סוכן - מקור'!C187</f>
        <v/>
      </c>
      <c r="C192" s="139">
        <f>'לקוחות לפי סוכן - מקור'!D187</f>
        <v/>
      </c>
      <c r="D192" s="139">
        <f>'לקוחות לפי סוכן - מקור'!E187</f>
        <v/>
      </c>
      <c r="E192" s="147">
        <f>'לקוחות לפי סוכן - מקור'!F187</f>
        <v/>
      </c>
      <c r="F192" s="147">
        <f>'לקוחות לפי סוכן - מקור'!G187</f>
        <v/>
      </c>
      <c r="G192" s="148">
        <f>'לקוחות לפי סוכן - מקור'!H187</f>
        <v/>
      </c>
      <c r="H192" s="148">
        <f>'לקוחות לפי סוכן - מקור'!I187</f>
        <v/>
      </c>
      <c r="I192" s="139">
        <f>'לקוחות לפי סוכן - מקור'!K187</f>
        <v/>
      </c>
      <c r="J192" s="139" t="inlineStr">
        <is>
          <t>קיים במקור</t>
        </is>
      </c>
    </row>
    <row r="193" ht="15" customHeight="1" s="82">
      <c r="A193" s="139">
        <f>'לקוחות לפי סוכן - מקור'!A188</f>
        <v/>
      </c>
      <c r="B193" s="139">
        <f>'לקוחות לפי סוכן - מקור'!C188</f>
        <v/>
      </c>
      <c r="C193" s="139">
        <f>'לקוחות לפי סוכן - מקור'!D188</f>
        <v/>
      </c>
      <c r="D193" s="139">
        <f>'לקוחות לפי סוכן - מקור'!E188</f>
        <v/>
      </c>
      <c r="E193" s="147">
        <f>'לקוחות לפי סוכן - מקור'!F188</f>
        <v/>
      </c>
      <c r="F193" s="147">
        <f>'לקוחות לפי סוכן - מקור'!G188</f>
        <v/>
      </c>
      <c r="G193" s="148">
        <f>'לקוחות לפי סוכן - מקור'!H188</f>
        <v/>
      </c>
      <c r="H193" s="148">
        <f>'לקוחות לפי סוכן - מקור'!I188</f>
        <v/>
      </c>
      <c r="I193" s="139">
        <f>'לקוחות לפי סוכן - מקור'!K188</f>
        <v/>
      </c>
      <c r="J193" s="139" t="inlineStr">
        <is>
          <t>קיים במקור</t>
        </is>
      </c>
    </row>
    <row r="194" ht="15" customHeight="1" s="82">
      <c r="A194" s="139">
        <f>'לקוחות לפי סוכן - מקור'!A189</f>
        <v/>
      </c>
      <c r="B194" s="139">
        <f>'לקוחות לפי סוכן - מקור'!C189</f>
        <v/>
      </c>
      <c r="C194" s="139">
        <f>'לקוחות לפי סוכן - מקור'!D189</f>
        <v/>
      </c>
      <c r="D194" s="139">
        <f>'לקוחות לפי סוכן - מקור'!E189</f>
        <v/>
      </c>
      <c r="E194" s="147">
        <f>'לקוחות לפי סוכן - מקור'!F189</f>
        <v/>
      </c>
      <c r="F194" s="147">
        <f>'לקוחות לפי סוכן - מקור'!G189</f>
        <v/>
      </c>
      <c r="G194" s="148">
        <f>'לקוחות לפי סוכן - מקור'!H189</f>
        <v/>
      </c>
      <c r="H194" s="148">
        <f>'לקוחות לפי סוכן - מקור'!I189</f>
        <v/>
      </c>
      <c r="I194" s="139">
        <f>'לקוחות לפי סוכן - מקור'!K189</f>
        <v/>
      </c>
      <c r="J194" s="139" t="inlineStr">
        <is>
          <t>קיים במקור</t>
        </is>
      </c>
    </row>
    <row r="195" ht="15" customHeight="1" s="82">
      <c r="A195" s="139">
        <f>'לקוחות לפי סוכן - מקור'!A190</f>
        <v/>
      </c>
      <c r="B195" s="139">
        <f>'לקוחות לפי סוכן - מקור'!C190</f>
        <v/>
      </c>
      <c r="C195" s="139">
        <f>'לקוחות לפי סוכן - מקור'!D190</f>
        <v/>
      </c>
      <c r="D195" s="139">
        <f>'לקוחות לפי סוכן - מקור'!E190</f>
        <v/>
      </c>
      <c r="E195" s="147">
        <f>'לקוחות לפי סוכן - מקור'!F190</f>
        <v/>
      </c>
      <c r="F195" s="147">
        <f>'לקוחות לפי סוכן - מקור'!G190</f>
        <v/>
      </c>
      <c r="G195" s="148">
        <f>'לקוחות לפי סוכן - מקור'!H190</f>
        <v/>
      </c>
      <c r="H195" s="148">
        <f>'לקוחות לפי סוכן - מקור'!I190</f>
        <v/>
      </c>
      <c r="I195" s="139">
        <f>'לקוחות לפי סוכן - מקור'!K190</f>
        <v/>
      </c>
      <c r="J195" s="139" t="inlineStr">
        <is>
          <t>קיים במקור</t>
        </is>
      </c>
    </row>
    <row r="196" ht="15" customHeight="1" s="82">
      <c r="A196" s="139">
        <f>'לקוחות לפי סוכן - מקור'!A191</f>
        <v/>
      </c>
      <c r="B196" s="139">
        <f>'לקוחות לפי סוכן - מקור'!C191</f>
        <v/>
      </c>
      <c r="C196" s="139">
        <f>'לקוחות לפי סוכן - מקור'!D191</f>
        <v/>
      </c>
      <c r="D196" s="139">
        <f>'לקוחות לפי סוכן - מקור'!E191</f>
        <v/>
      </c>
      <c r="E196" s="147">
        <f>'לקוחות לפי סוכן - מקור'!F191</f>
        <v/>
      </c>
      <c r="F196" s="147">
        <f>'לקוחות לפי סוכן - מקור'!G191</f>
        <v/>
      </c>
      <c r="G196" s="148">
        <f>'לקוחות לפי סוכן - מקור'!H191</f>
        <v/>
      </c>
      <c r="H196" s="148">
        <f>'לקוחות לפי סוכן - מקור'!I191</f>
        <v/>
      </c>
      <c r="I196" s="139">
        <f>'לקוחות לפי סוכן - מקור'!K191</f>
        <v/>
      </c>
      <c r="J196" s="139" t="inlineStr">
        <is>
          <t>קיים במקור</t>
        </is>
      </c>
    </row>
    <row r="197" ht="15" customHeight="1" s="82">
      <c r="A197" s="139">
        <f>'לקוחות לפי סוכן - מקור'!A192</f>
        <v/>
      </c>
      <c r="B197" s="139">
        <f>'לקוחות לפי סוכן - מקור'!C192</f>
        <v/>
      </c>
      <c r="C197" s="139">
        <f>'לקוחות לפי סוכן - מקור'!D192</f>
        <v/>
      </c>
      <c r="D197" s="139">
        <f>'לקוחות לפי סוכן - מקור'!E192</f>
        <v/>
      </c>
      <c r="E197" s="147">
        <f>'לקוחות לפי סוכן - מקור'!F192</f>
        <v/>
      </c>
      <c r="F197" s="147">
        <f>'לקוחות לפי סוכן - מקור'!G192</f>
        <v/>
      </c>
      <c r="G197" s="148">
        <f>'לקוחות לפי סוכן - מקור'!H192</f>
        <v/>
      </c>
      <c r="H197" s="148">
        <f>'לקוחות לפי סוכן - מקור'!I192</f>
        <v/>
      </c>
      <c r="I197" s="139">
        <f>'לקוחות לפי סוכן - מקור'!K192</f>
        <v/>
      </c>
      <c r="J197" s="139" t="inlineStr">
        <is>
          <t>קיים במקור</t>
        </is>
      </c>
    </row>
    <row r="198" ht="15" customHeight="1" s="82">
      <c r="A198" s="139">
        <f>'לקוחות לפי סוכן - מקור'!A193</f>
        <v/>
      </c>
      <c r="B198" s="139">
        <f>'לקוחות לפי סוכן - מקור'!C193</f>
        <v/>
      </c>
      <c r="C198" s="139">
        <f>'לקוחות לפי סוכן - מקור'!D193</f>
        <v/>
      </c>
      <c r="D198" s="139">
        <f>'לקוחות לפי סוכן - מקור'!E193</f>
        <v/>
      </c>
      <c r="E198" s="147">
        <f>'לקוחות לפי סוכן - מקור'!F193</f>
        <v/>
      </c>
      <c r="F198" s="147">
        <f>'לקוחות לפי סוכן - מקור'!G193</f>
        <v/>
      </c>
      <c r="G198" s="148">
        <f>'לקוחות לפי סוכן - מקור'!H193</f>
        <v/>
      </c>
      <c r="H198" s="148">
        <f>'לקוחות לפי סוכן - מקור'!I193</f>
        <v/>
      </c>
      <c r="I198" s="139">
        <f>'לקוחות לפי סוכן - מקור'!K193</f>
        <v/>
      </c>
      <c r="J198" s="139" t="inlineStr">
        <is>
          <t>קיים במקור</t>
        </is>
      </c>
    </row>
    <row r="199" ht="15" customHeight="1" s="82">
      <c r="A199" s="139">
        <f>'לקוחות לפי סוכן - מקור'!A194</f>
        <v/>
      </c>
      <c r="B199" s="139">
        <f>'לקוחות לפי סוכן - מקור'!C194</f>
        <v/>
      </c>
      <c r="C199" s="139">
        <f>'לקוחות לפי סוכן - מקור'!D194</f>
        <v/>
      </c>
      <c r="D199" s="139">
        <f>'לקוחות לפי סוכן - מקור'!E194</f>
        <v/>
      </c>
      <c r="E199" s="147">
        <f>'לקוחות לפי סוכן - מקור'!F194</f>
        <v/>
      </c>
      <c r="F199" s="147">
        <f>'לקוחות לפי סוכן - מקור'!G194</f>
        <v/>
      </c>
      <c r="G199" s="148">
        <f>'לקוחות לפי סוכן - מקור'!H194</f>
        <v/>
      </c>
      <c r="H199" s="148">
        <f>'לקוחות לפי סוכן - מקור'!I194</f>
        <v/>
      </c>
      <c r="I199" s="139">
        <f>'לקוחות לפי סוכן - מקור'!K194</f>
        <v/>
      </c>
      <c r="J199" s="139" t="inlineStr">
        <is>
          <t>קיים במקור</t>
        </is>
      </c>
    </row>
    <row r="200" ht="15" customHeight="1" s="82">
      <c r="A200" s="139">
        <f>'לקוחות לפי סוכן - מקור'!A195</f>
        <v/>
      </c>
      <c r="B200" s="139">
        <f>'לקוחות לפי סוכן - מקור'!C195</f>
        <v/>
      </c>
      <c r="C200" s="139">
        <f>'לקוחות לפי סוכן - מקור'!D195</f>
        <v/>
      </c>
      <c r="D200" s="139">
        <f>'לקוחות לפי סוכן - מקור'!E195</f>
        <v/>
      </c>
      <c r="E200" s="147">
        <f>'לקוחות לפי סוכן - מקור'!F195</f>
        <v/>
      </c>
      <c r="F200" s="147">
        <f>'לקוחות לפי סוכן - מקור'!G195</f>
        <v/>
      </c>
      <c r="G200" s="148">
        <f>'לקוחות לפי סוכן - מקור'!H195</f>
        <v/>
      </c>
      <c r="H200" s="148">
        <f>'לקוחות לפי סוכן - מקור'!I195</f>
        <v/>
      </c>
      <c r="I200" s="139">
        <f>'לקוחות לפי סוכן - מקור'!K195</f>
        <v/>
      </c>
      <c r="J200" s="139" t="inlineStr">
        <is>
          <t>קיים במקור</t>
        </is>
      </c>
    </row>
    <row r="201" ht="15" customHeight="1" s="82">
      <c r="A201" s="139">
        <f>'לקוחות לפי סוכן - מקור'!A196</f>
        <v/>
      </c>
      <c r="B201" s="139">
        <f>'לקוחות לפי סוכן - מקור'!C196</f>
        <v/>
      </c>
      <c r="C201" s="139">
        <f>'לקוחות לפי סוכן - מקור'!D196</f>
        <v/>
      </c>
      <c r="D201" s="139">
        <f>'לקוחות לפי סוכן - מקור'!E196</f>
        <v/>
      </c>
      <c r="E201" s="147">
        <f>'לקוחות לפי סוכן - מקור'!F196</f>
        <v/>
      </c>
      <c r="F201" s="147">
        <f>'לקוחות לפי סוכן - מקור'!G196</f>
        <v/>
      </c>
      <c r="G201" s="148">
        <f>'לקוחות לפי סוכן - מקור'!H196</f>
        <v/>
      </c>
      <c r="H201" s="148">
        <f>'לקוחות לפי סוכן - מקור'!I196</f>
        <v/>
      </c>
      <c r="I201" s="139">
        <f>'לקוחות לפי סוכן - מקור'!K196</f>
        <v/>
      </c>
      <c r="J201" s="139" t="inlineStr">
        <is>
          <t>קיים במקור</t>
        </is>
      </c>
    </row>
    <row r="202" ht="15" customHeight="1" s="82">
      <c r="A202" s="139">
        <f>'לקוחות לפי סוכן - מקור'!A197</f>
        <v/>
      </c>
      <c r="B202" s="139">
        <f>'לקוחות לפי סוכן - מקור'!C197</f>
        <v/>
      </c>
      <c r="C202" s="139">
        <f>'לקוחות לפי סוכן - מקור'!D197</f>
        <v/>
      </c>
      <c r="D202" s="139">
        <f>'לקוחות לפי סוכן - מקור'!E197</f>
        <v/>
      </c>
      <c r="E202" s="147">
        <f>'לקוחות לפי סוכן - מקור'!F197</f>
        <v/>
      </c>
      <c r="F202" s="147">
        <f>'לקוחות לפי סוכן - מקור'!G197</f>
        <v/>
      </c>
      <c r="G202" s="148">
        <f>'לקוחות לפי סוכן - מקור'!H197</f>
        <v/>
      </c>
      <c r="H202" s="148">
        <f>'לקוחות לפי סוכן - מקור'!I197</f>
        <v/>
      </c>
      <c r="I202" s="139">
        <f>'לקוחות לפי סוכן - מקור'!K197</f>
        <v/>
      </c>
      <c r="J202" s="139" t="inlineStr">
        <is>
          <t>קיים במקור</t>
        </is>
      </c>
    </row>
    <row r="203" ht="15" customHeight="1" s="82">
      <c r="A203" s="139">
        <f>'לקוחות לפי סוכן - מקור'!A198</f>
        <v/>
      </c>
      <c r="B203" s="139">
        <f>'לקוחות לפי סוכן - מקור'!C198</f>
        <v/>
      </c>
      <c r="C203" s="139">
        <f>'לקוחות לפי סוכן - מקור'!D198</f>
        <v/>
      </c>
      <c r="D203" s="139">
        <f>'לקוחות לפי סוכן - מקור'!E198</f>
        <v/>
      </c>
      <c r="E203" s="147">
        <f>'לקוחות לפי סוכן - מקור'!F198</f>
        <v/>
      </c>
      <c r="F203" s="147">
        <f>'לקוחות לפי סוכן - מקור'!G198</f>
        <v/>
      </c>
      <c r="G203" s="148">
        <f>'לקוחות לפי סוכן - מקור'!H198</f>
        <v/>
      </c>
      <c r="H203" s="148">
        <f>'לקוחות לפי סוכן - מקור'!I198</f>
        <v/>
      </c>
      <c r="I203" s="139">
        <f>'לקוחות לפי סוכן - מקור'!K198</f>
        <v/>
      </c>
      <c r="J203" s="139" t="inlineStr">
        <is>
          <t>קיים במקור</t>
        </is>
      </c>
    </row>
    <row r="204" ht="15" customHeight="1" s="82">
      <c r="A204" s="139">
        <f>'לקוחות לפי סוכן - מקור'!A199</f>
        <v/>
      </c>
      <c r="B204" s="139">
        <f>'לקוחות לפי סוכן - מקור'!C199</f>
        <v/>
      </c>
      <c r="C204" s="139">
        <f>'לקוחות לפי סוכן - מקור'!D199</f>
        <v/>
      </c>
      <c r="D204" s="139">
        <f>'לקוחות לפי סוכן - מקור'!E199</f>
        <v/>
      </c>
      <c r="E204" s="147">
        <f>'לקוחות לפי סוכן - מקור'!F199</f>
        <v/>
      </c>
      <c r="F204" s="147">
        <f>'לקוחות לפי סוכן - מקור'!G199</f>
        <v/>
      </c>
      <c r="G204" s="148">
        <f>'לקוחות לפי סוכן - מקור'!H199</f>
        <v/>
      </c>
      <c r="H204" s="148">
        <f>'לקוחות לפי סוכן - מקור'!I199</f>
        <v/>
      </c>
      <c r="I204" s="139">
        <f>'לקוחות לפי סוכן - מקור'!K199</f>
        <v/>
      </c>
      <c r="J204" s="139" t="inlineStr">
        <is>
          <t>קיים במקור</t>
        </is>
      </c>
    </row>
    <row r="205" ht="15" customHeight="1" s="82">
      <c r="A205" s="139">
        <f>'לקוחות לפי סוכן - מקור'!A200</f>
        <v/>
      </c>
      <c r="B205" s="139">
        <f>'לקוחות לפי סוכן - מקור'!C200</f>
        <v/>
      </c>
      <c r="C205" s="139">
        <f>'לקוחות לפי סוכן - מקור'!D200</f>
        <v/>
      </c>
      <c r="D205" s="139">
        <f>'לקוחות לפי סוכן - מקור'!E200</f>
        <v/>
      </c>
      <c r="E205" s="147">
        <f>'לקוחות לפי סוכן - מקור'!F200</f>
        <v/>
      </c>
      <c r="F205" s="147">
        <f>'לקוחות לפי סוכן - מקור'!G200</f>
        <v/>
      </c>
      <c r="G205" s="148">
        <f>'לקוחות לפי סוכן - מקור'!H200</f>
        <v/>
      </c>
      <c r="H205" s="148">
        <f>'לקוחות לפי סוכן - מקור'!I200</f>
        <v/>
      </c>
      <c r="I205" s="139">
        <f>'לקוחות לפי סוכן - מקור'!K200</f>
        <v/>
      </c>
      <c r="J205" s="139" t="inlineStr">
        <is>
          <t>קיים במקור</t>
        </is>
      </c>
    </row>
    <row r="206" ht="15" customHeight="1" s="82">
      <c r="A206" s="139">
        <f>'לקוחות לפי סוכן - מקור'!A201</f>
        <v/>
      </c>
      <c r="B206" s="139">
        <f>'לקוחות לפי סוכן - מקור'!C201</f>
        <v/>
      </c>
      <c r="C206" s="139">
        <f>'לקוחות לפי סוכן - מקור'!D201</f>
        <v/>
      </c>
      <c r="D206" s="139">
        <f>'לקוחות לפי סוכן - מקור'!E201</f>
        <v/>
      </c>
      <c r="E206" s="147">
        <f>'לקוחות לפי סוכן - מקור'!F201</f>
        <v/>
      </c>
      <c r="F206" s="147">
        <f>'לקוחות לפי סוכן - מקור'!G201</f>
        <v/>
      </c>
      <c r="G206" s="148">
        <f>'לקוחות לפי סוכן - מקור'!H201</f>
        <v/>
      </c>
      <c r="H206" s="148">
        <f>'לקוחות לפי סוכן - מקור'!I201</f>
        <v/>
      </c>
      <c r="I206" s="139">
        <f>'לקוחות לפי סוכן - מקור'!K201</f>
        <v/>
      </c>
      <c r="J206" s="139" t="inlineStr">
        <is>
          <t>קיים במקור</t>
        </is>
      </c>
    </row>
    <row r="207" ht="15" customHeight="1" s="82">
      <c r="A207" s="139">
        <f>'לקוחות לפי סוכן - מקור'!A202</f>
        <v/>
      </c>
      <c r="B207" s="139">
        <f>'לקוחות לפי סוכן - מקור'!C202</f>
        <v/>
      </c>
      <c r="C207" s="139">
        <f>'לקוחות לפי סוכן - מקור'!D202</f>
        <v/>
      </c>
      <c r="D207" s="139">
        <f>'לקוחות לפי סוכן - מקור'!E202</f>
        <v/>
      </c>
      <c r="E207" s="147">
        <f>'לקוחות לפי סוכן - מקור'!F202</f>
        <v/>
      </c>
      <c r="F207" s="147">
        <f>'לקוחות לפי סוכן - מקור'!G202</f>
        <v/>
      </c>
      <c r="G207" s="148">
        <f>'לקוחות לפי סוכן - מקור'!H202</f>
        <v/>
      </c>
      <c r="H207" s="148">
        <f>'לקוחות לפי סוכן - מקור'!I202</f>
        <v/>
      </c>
      <c r="I207" s="139">
        <f>'לקוחות לפי סוכן - מקור'!K202</f>
        <v/>
      </c>
      <c r="J207" s="139" t="inlineStr">
        <is>
          <t>קיים במקור</t>
        </is>
      </c>
    </row>
    <row r="208" ht="15" customHeight="1" s="82">
      <c r="A208" s="139">
        <f>'לקוחות לפי סוכן - מקור'!A203</f>
        <v/>
      </c>
      <c r="B208" s="139">
        <f>'לקוחות לפי סוכן - מקור'!C203</f>
        <v/>
      </c>
      <c r="C208" s="139">
        <f>'לקוחות לפי סוכן - מקור'!D203</f>
        <v/>
      </c>
      <c r="D208" s="139">
        <f>'לקוחות לפי סוכן - מקור'!E203</f>
        <v/>
      </c>
      <c r="E208" s="147">
        <f>'לקוחות לפי סוכן - מקור'!F203</f>
        <v/>
      </c>
      <c r="F208" s="147">
        <f>'לקוחות לפי סוכן - מקור'!G203</f>
        <v/>
      </c>
      <c r="G208" s="148">
        <f>'לקוחות לפי סוכן - מקור'!H203</f>
        <v/>
      </c>
      <c r="H208" s="148">
        <f>'לקוחות לפי סוכן - מקור'!I203</f>
        <v/>
      </c>
      <c r="I208" s="139">
        <f>'לקוחות לפי סוכן - מקור'!K203</f>
        <v/>
      </c>
      <c r="J208" s="139" t="inlineStr">
        <is>
          <t>קיים במקור</t>
        </is>
      </c>
    </row>
    <row r="209" ht="15" customHeight="1" s="82">
      <c r="A209" s="139">
        <f>'לקוחות לפי סוכן - מקור'!A204</f>
        <v/>
      </c>
      <c r="B209" s="139">
        <f>'לקוחות לפי סוכן - מקור'!C204</f>
        <v/>
      </c>
      <c r="C209" s="139">
        <f>'לקוחות לפי סוכן - מקור'!D204</f>
        <v/>
      </c>
      <c r="D209" s="139">
        <f>'לקוחות לפי סוכן - מקור'!E204</f>
        <v/>
      </c>
      <c r="E209" s="147">
        <f>'לקוחות לפי סוכן - מקור'!F204</f>
        <v/>
      </c>
      <c r="F209" s="147">
        <f>'לקוחות לפי סוכן - מקור'!G204</f>
        <v/>
      </c>
      <c r="G209" s="148">
        <f>'לקוחות לפי סוכן - מקור'!H204</f>
        <v/>
      </c>
      <c r="H209" s="148">
        <f>'לקוחות לפי סוכן - מקור'!I204</f>
        <v/>
      </c>
      <c r="I209" s="139">
        <f>'לקוחות לפי סוכן - מקור'!K204</f>
        <v/>
      </c>
      <c r="J209" s="139" t="inlineStr">
        <is>
          <t>קיים במקור</t>
        </is>
      </c>
    </row>
    <row r="210" ht="15" customHeight="1" s="82">
      <c r="A210" s="139">
        <f>'לקוחות לפי סוכן - מקור'!A205</f>
        <v/>
      </c>
      <c r="B210" s="139">
        <f>'לקוחות לפי סוכן - מקור'!C205</f>
        <v/>
      </c>
      <c r="C210" s="139">
        <f>'לקוחות לפי סוכן - מקור'!D205</f>
        <v/>
      </c>
      <c r="D210" s="139">
        <f>'לקוחות לפי סוכן - מקור'!E205</f>
        <v/>
      </c>
      <c r="E210" s="147">
        <f>'לקוחות לפי סוכן - מקור'!F205</f>
        <v/>
      </c>
      <c r="F210" s="147">
        <f>'לקוחות לפי סוכן - מקור'!G205</f>
        <v/>
      </c>
      <c r="G210" s="148">
        <f>'לקוחות לפי סוכן - מקור'!H205</f>
        <v/>
      </c>
      <c r="H210" s="148">
        <f>'לקוחות לפי סוכן - מקור'!I205</f>
        <v/>
      </c>
      <c r="I210" s="139">
        <f>'לקוחות לפי סוכן - מקור'!K205</f>
        <v/>
      </c>
      <c r="J210" s="139" t="inlineStr">
        <is>
          <t>קיים במקור</t>
        </is>
      </c>
    </row>
    <row r="211" ht="15" customHeight="1" s="82">
      <c r="A211" s="139">
        <f>'לקוחות לפי סוכן - מקור'!A206</f>
        <v/>
      </c>
      <c r="B211" s="139">
        <f>'לקוחות לפי סוכן - מקור'!C206</f>
        <v/>
      </c>
      <c r="C211" s="139">
        <f>'לקוחות לפי סוכן - מקור'!D206</f>
        <v/>
      </c>
      <c r="D211" s="139">
        <f>'לקוחות לפי סוכן - מקור'!E206</f>
        <v/>
      </c>
      <c r="E211" s="147">
        <f>'לקוחות לפי סוכן - מקור'!F206</f>
        <v/>
      </c>
      <c r="F211" s="147">
        <f>'לקוחות לפי סוכן - מקור'!G206</f>
        <v/>
      </c>
      <c r="G211" s="148">
        <f>'לקוחות לפי סוכן - מקור'!H206</f>
        <v/>
      </c>
      <c r="H211" s="148">
        <f>'לקוחות לפי סוכן - מקור'!I206</f>
        <v/>
      </c>
      <c r="I211" s="139">
        <f>'לקוחות לפי סוכן - מקור'!K206</f>
        <v/>
      </c>
      <c r="J211" s="139" t="inlineStr">
        <is>
          <t>קיים במקור</t>
        </is>
      </c>
    </row>
    <row r="212" ht="15" customHeight="1" s="82">
      <c r="A212" s="139">
        <f>'לקוחות לפי סוכן - מקור'!A207</f>
        <v/>
      </c>
      <c r="B212" s="139">
        <f>'לקוחות לפי סוכן - מקור'!C207</f>
        <v/>
      </c>
      <c r="C212" s="139">
        <f>'לקוחות לפי סוכן - מקור'!D207</f>
        <v/>
      </c>
      <c r="D212" s="139">
        <f>'לקוחות לפי סוכן - מקור'!E207</f>
        <v/>
      </c>
      <c r="E212" s="147">
        <f>'לקוחות לפי סוכן - מקור'!F207</f>
        <v/>
      </c>
      <c r="F212" s="147">
        <f>'לקוחות לפי סוכן - מקור'!G207</f>
        <v/>
      </c>
      <c r="G212" s="148">
        <f>'לקוחות לפי סוכן - מקור'!H207</f>
        <v/>
      </c>
      <c r="H212" s="148">
        <f>'לקוחות לפי סוכן - מקור'!I207</f>
        <v/>
      </c>
      <c r="I212" s="139">
        <f>'לקוחות לפי סוכן - מקור'!K207</f>
        <v/>
      </c>
      <c r="J212" s="139" t="inlineStr">
        <is>
          <t>קיים במקור</t>
        </is>
      </c>
    </row>
    <row r="213" ht="15" customHeight="1" s="82">
      <c r="A213" s="139">
        <f>'לקוחות לפי סוכן - מקור'!A208</f>
        <v/>
      </c>
      <c r="B213" s="139">
        <f>'לקוחות לפי סוכן - מקור'!C208</f>
        <v/>
      </c>
      <c r="C213" s="139">
        <f>'לקוחות לפי סוכן - מקור'!D208</f>
        <v/>
      </c>
      <c r="D213" s="139">
        <f>'לקוחות לפי סוכן - מקור'!E208</f>
        <v/>
      </c>
      <c r="E213" s="147">
        <f>'לקוחות לפי סוכן - מקור'!F208</f>
        <v/>
      </c>
      <c r="F213" s="147">
        <f>'לקוחות לפי סוכן - מקור'!G208</f>
        <v/>
      </c>
      <c r="G213" s="148">
        <f>'לקוחות לפי סוכן - מקור'!H208</f>
        <v/>
      </c>
      <c r="H213" s="148">
        <f>'לקוחות לפי סוכן - מקור'!I208</f>
        <v/>
      </c>
      <c r="I213" s="139">
        <f>'לקוחות לפי סוכן - מקור'!K208</f>
        <v/>
      </c>
      <c r="J213" s="139" t="inlineStr">
        <is>
          <t>קיים במקור</t>
        </is>
      </c>
    </row>
    <row r="214" ht="15" customHeight="1" s="82">
      <c r="A214" s="139">
        <f>'לקוחות לפי סוכן - מקור'!A209</f>
        <v/>
      </c>
      <c r="B214" s="139">
        <f>'לקוחות לפי סוכן - מקור'!C209</f>
        <v/>
      </c>
      <c r="C214" s="139">
        <f>'לקוחות לפי סוכן - מקור'!D209</f>
        <v/>
      </c>
      <c r="D214" s="139">
        <f>'לקוחות לפי סוכן - מקור'!E209</f>
        <v/>
      </c>
      <c r="E214" s="147">
        <f>'לקוחות לפי סוכן - מקור'!F209</f>
        <v/>
      </c>
      <c r="F214" s="147">
        <f>'לקוחות לפי סוכן - מקור'!G209</f>
        <v/>
      </c>
      <c r="G214" s="148">
        <f>'לקוחות לפי סוכן - מקור'!H209</f>
        <v/>
      </c>
      <c r="H214" s="148">
        <f>'לקוחות לפי סוכן - מקור'!I209</f>
        <v/>
      </c>
      <c r="I214" s="139">
        <f>'לקוחות לפי סוכן - מקור'!K209</f>
        <v/>
      </c>
      <c r="J214" s="139" t="inlineStr">
        <is>
          <t>קיים במקור</t>
        </is>
      </c>
    </row>
    <row r="215" ht="15" customHeight="1" s="82">
      <c r="A215" s="139">
        <f>'לקוחות לפי סוכן - מקור'!A210</f>
        <v/>
      </c>
      <c r="B215" s="139">
        <f>'לקוחות לפי סוכן - מקור'!C210</f>
        <v/>
      </c>
      <c r="C215" s="139">
        <f>'לקוחות לפי סוכן - מקור'!D210</f>
        <v/>
      </c>
      <c r="D215" s="139">
        <f>'לקוחות לפי סוכן - מקור'!E210</f>
        <v/>
      </c>
      <c r="E215" s="147">
        <f>'לקוחות לפי סוכן - מקור'!F210</f>
        <v/>
      </c>
      <c r="F215" s="147">
        <f>'לקוחות לפי סוכן - מקור'!G210</f>
        <v/>
      </c>
      <c r="G215" s="148">
        <f>'לקוחות לפי סוכן - מקור'!H210</f>
        <v/>
      </c>
      <c r="H215" s="148">
        <f>'לקוחות לפי סוכן - מקור'!I210</f>
        <v/>
      </c>
      <c r="I215" s="139">
        <f>'לקוחות לפי סוכן - מקור'!K210</f>
        <v/>
      </c>
      <c r="J215" s="139" t="inlineStr">
        <is>
          <t>קיים במקור</t>
        </is>
      </c>
    </row>
    <row r="216" ht="15" customHeight="1" s="82">
      <c r="A216" s="139">
        <f>'לקוחות לפי סוכן - מקור'!A211</f>
        <v/>
      </c>
      <c r="B216" s="139">
        <f>'לקוחות לפי סוכן - מקור'!C211</f>
        <v/>
      </c>
      <c r="C216" s="139">
        <f>'לקוחות לפי סוכן - מקור'!D211</f>
        <v/>
      </c>
      <c r="D216" s="139">
        <f>'לקוחות לפי סוכן - מקור'!E211</f>
        <v/>
      </c>
      <c r="E216" s="147">
        <f>'לקוחות לפי סוכן - מקור'!F211</f>
        <v/>
      </c>
      <c r="F216" s="147">
        <f>'לקוחות לפי סוכן - מקור'!G211</f>
        <v/>
      </c>
      <c r="G216" s="148">
        <f>'לקוחות לפי סוכן - מקור'!H211</f>
        <v/>
      </c>
      <c r="H216" s="148">
        <f>'לקוחות לפי סוכן - מקור'!I211</f>
        <v/>
      </c>
      <c r="I216" s="139">
        <f>'לקוחות לפי סוכן - מקור'!K211</f>
        <v/>
      </c>
      <c r="J216" s="139" t="inlineStr">
        <is>
          <t>קיים במקור</t>
        </is>
      </c>
    </row>
    <row r="217" ht="15" customHeight="1" s="82">
      <c r="A217" s="139">
        <f>'לקוחות לפי סוכן - מקור'!A212</f>
        <v/>
      </c>
      <c r="B217" s="139">
        <f>'לקוחות לפי סוכן - מקור'!C212</f>
        <v/>
      </c>
      <c r="C217" s="139">
        <f>'לקוחות לפי סוכן - מקור'!D212</f>
        <v/>
      </c>
      <c r="D217" s="139">
        <f>'לקוחות לפי סוכן - מקור'!E212</f>
        <v/>
      </c>
      <c r="E217" s="147">
        <f>'לקוחות לפי סוכן - מקור'!F212</f>
        <v/>
      </c>
      <c r="F217" s="147">
        <f>'לקוחות לפי סוכן - מקור'!G212</f>
        <v/>
      </c>
      <c r="G217" s="148">
        <f>'לקוחות לפי סוכן - מקור'!H212</f>
        <v/>
      </c>
      <c r="H217" s="148">
        <f>'לקוחות לפי סוכן - מקור'!I212</f>
        <v/>
      </c>
      <c r="I217" s="139">
        <f>'לקוחות לפי סוכן - מקור'!K212</f>
        <v/>
      </c>
      <c r="J217" s="139" t="inlineStr">
        <is>
          <t>קיים במקור</t>
        </is>
      </c>
    </row>
    <row r="218" ht="15" customHeight="1" s="82">
      <c r="A218" s="139">
        <f>'לקוחות לפי סוכן - מקור'!A213</f>
        <v/>
      </c>
      <c r="B218" s="139">
        <f>'לקוחות לפי סוכן - מקור'!C213</f>
        <v/>
      </c>
      <c r="C218" s="139">
        <f>'לקוחות לפי סוכן - מקור'!D213</f>
        <v/>
      </c>
      <c r="D218" s="139">
        <f>'לקוחות לפי סוכן - מקור'!E213</f>
        <v/>
      </c>
      <c r="E218" s="147">
        <f>'לקוחות לפי סוכן - מקור'!F213</f>
        <v/>
      </c>
      <c r="F218" s="147">
        <f>'לקוחות לפי סוכן - מקור'!G213</f>
        <v/>
      </c>
      <c r="G218" s="148">
        <f>'לקוחות לפי סוכן - מקור'!H213</f>
        <v/>
      </c>
      <c r="H218" s="148">
        <f>'לקוחות לפי סוכן - מקור'!I213</f>
        <v/>
      </c>
      <c r="I218" s="139">
        <f>'לקוחות לפי סוכן - מקור'!K213</f>
        <v/>
      </c>
      <c r="J218" s="139" t="inlineStr">
        <is>
          <t>קיים במקור</t>
        </is>
      </c>
    </row>
    <row r="219" ht="15" customHeight="1" s="82">
      <c r="A219" s="149">
        <f>'לקוחות לפי סוכן - מקור חדש'!B16</f>
        <v/>
      </c>
      <c r="B219" s="149">
        <f>'לקוחות לפי סוכן - מקור חדש'!C16</f>
        <v/>
      </c>
      <c r="C219" s="149" t="n"/>
      <c r="D219" s="149">
        <f>TRIM('לקוחות לפי סוכן - מקור חדש'!D16)</f>
        <v/>
      </c>
      <c r="E219" s="147">
        <f>'לקוחות לפי סוכן - מקור חדש'!F16</f>
        <v/>
      </c>
      <c r="F219" s="147">
        <f>'לקוחות לפי סוכן - מקור חדש'!H16</f>
        <v/>
      </c>
      <c r="G219" s="148">
        <f>'לקוחות לפי סוכן - מקור חדש'!E16</f>
        <v/>
      </c>
      <c r="H219" s="148">
        <f>'לקוחות לפי סוכן - מקור חדש'!G16</f>
        <v/>
      </c>
      <c r="I219" s="149" t="inlineStr">
        <is>
          <t>מכירות 25-26 לפי לקוח-סוכן</t>
        </is>
      </c>
      <c r="J219" s="149" t="inlineStr">
        <is>
          <t>חדש — לא היה ב-מקור</t>
        </is>
      </c>
    </row>
    <row r="220" ht="15" customHeight="1" s="82">
      <c r="A220" s="149">
        <f>'לקוחות לפי סוכן - מקור חדש'!B18</f>
        <v/>
      </c>
      <c r="B220" s="149">
        <f>'לקוחות לפי סוכן - מקור חדש'!C18</f>
        <v/>
      </c>
      <c r="C220" s="149" t="n"/>
      <c r="D220" s="149">
        <f>TRIM('לקוחות לפי סוכן - מקור חדש'!D18)</f>
        <v/>
      </c>
      <c r="E220" s="147">
        <f>'לקוחות לפי סוכן - מקור חדש'!F18</f>
        <v/>
      </c>
      <c r="F220" s="147">
        <f>'לקוחות לפי סוכן - מקור חדש'!H18</f>
        <v/>
      </c>
      <c r="G220" s="148">
        <f>'לקוחות לפי סוכן - מקור חדש'!E18</f>
        <v/>
      </c>
      <c r="H220" s="148">
        <f>'לקוחות לפי סוכן - מקור חדש'!G18</f>
        <v/>
      </c>
      <c r="I220" s="149" t="inlineStr">
        <is>
          <t>מכירות 25-26 לפי לקוח-סוכן</t>
        </is>
      </c>
      <c r="J220" s="149" t="inlineStr">
        <is>
          <t>חדש — לא היה ב-מקור</t>
        </is>
      </c>
    </row>
    <row r="221" ht="15" customHeight="1" s="82">
      <c r="A221" s="149">
        <f>'לקוחות לפי סוכן - מקור חדש'!B21</f>
        <v/>
      </c>
      <c r="B221" s="149">
        <f>'לקוחות לפי סוכן - מקור חדש'!C21</f>
        <v/>
      </c>
      <c r="C221" s="149" t="n"/>
      <c r="D221" s="149">
        <f>TRIM('לקוחות לפי סוכן - מקור חדש'!D21)</f>
        <v/>
      </c>
      <c r="E221" s="147">
        <f>'לקוחות לפי סוכן - מקור חדש'!F21</f>
        <v/>
      </c>
      <c r="F221" s="147">
        <f>'לקוחות לפי סוכן - מקור חדש'!H21</f>
        <v/>
      </c>
      <c r="G221" s="148">
        <f>'לקוחות לפי סוכן - מקור חדש'!E21</f>
        <v/>
      </c>
      <c r="H221" s="148">
        <f>'לקוחות לפי סוכן - מקור חדש'!G21</f>
        <v/>
      </c>
      <c r="I221" s="149" t="inlineStr">
        <is>
          <t>מכירות 25-26 לפי לקוח-סוכן</t>
        </is>
      </c>
      <c r="J221" s="149" t="inlineStr">
        <is>
          <t>חדש — לא היה ב-מקור</t>
        </is>
      </c>
    </row>
    <row r="222" ht="15" customHeight="1" s="82">
      <c r="A222" s="149">
        <f>'לקוחות לפי סוכן - מקור חדש'!B25</f>
        <v/>
      </c>
      <c r="B222" s="149">
        <f>'לקוחות לפי סוכן - מקור חדש'!C25</f>
        <v/>
      </c>
      <c r="C222" s="149" t="n"/>
      <c r="D222" s="149">
        <f>TRIM('לקוחות לפי סוכן - מקור חדש'!D25)</f>
        <v/>
      </c>
      <c r="E222" s="147">
        <f>'לקוחות לפי סוכן - מקור חדש'!F25</f>
        <v/>
      </c>
      <c r="F222" s="147">
        <f>'לקוחות לפי סוכן - מקור חדש'!H25</f>
        <v/>
      </c>
      <c r="G222" s="148">
        <f>'לקוחות לפי סוכן - מקור חדש'!E25</f>
        <v/>
      </c>
      <c r="H222" s="148">
        <f>'לקוחות לפי סוכן - מקור חדש'!G25</f>
        <v/>
      </c>
      <c r="I222" s="149" t="inlineStr">
        <is>
          <t>מכירות 25-26 לפי לקוח-סוכן</t>
        </is>
      </c>
      <c r="J222" s="149" t="inlineStr">
        <is>
          <t>חדש — לא היה ב-מקור</t>
        </is>
      </c>
    </row>
    <row r="223" ht="15" customHeight="1" s="82">
      <c r="A223" s="149">
        <f>'לקוחות לפי סוכן - מקור חדש'!B26</f>
        <v/>
      </c>
      <c r="B223" s="149">
        <f>'לקוחות לפי סוכן - מקור חדש'!C26</f>
        <v/>
      </c>
      <c r="C223" s="149" t="n"/>
      <c r="D223" s="149">
        <f>TRIM('לקוחות לפי סוכן - מקור חדש'!D26)</f>
        <v/>
      </c>
      <c r="E223" s="147">
        <f>'לקוחות לפי סוכן - מקור חדש'!F26</f>
        <v/>
      </c>
      <c r="F223" s="147">
        <f>'לקוחות לפי סוכן - מקור חדש'!H26</f>
        <v/>
      </c>
      <c r="G223" s="148">
        <f>'לקוחות לפי סוכן - מקור חדש'!E26</f>
        <v/>
      </c>
      <c r="H223" s="148">
        <f>'לקוחות לפי סוכן - מקור חדש'!G26</f>
        <v/>
      </c>
      <c r="I223" s="149" t="inlineStr">
        <is>
          <t>מכירות 25-26 לפי לקוח-סוכן</t>
        </is>
      </c>
      <c r="J223" s="149" t="inlineStr">
        <is>
          <t>חדש — לא היה ב-מקור</t>
        </is>
      </c>
    </row>
    <row r="224" ht="15" customHeight="1" s="82">
      <c r="A224" s="149">
        <f>'לקוחות לפי סוכן - מקור חדש'!B30</f>
        <v/>
      </c>
      <c r="B224" s="149">
        <f>'לקוחות לפי סוכן - מקור חדש'!C30</f>
        <v/>
      </c>
      <c r="C224" s="149" t="n"/>
      <c r="D224" s="149">
        <f>TRIM('לקוחות לפי סוכן - מקור חדש'!D30)</f>
        <v/>
      </c>
      <c r="E224" s="147">
        <f>'לקוחות לפי סוכן - מקור חדש'!F30</f>
        <v/>
      </c>
      <c r="F224" s="147">
        <f>'לקוחות לפי סוכן - מקור חדש'!H30</f>
        <v/>
      </c>
      <c r="G224" s="148">
        <f>'לקוחות לפי סוכן - מקור חדש'!E30</f>
        <v/>
      </c>
      <c r="H224" s="148">
        <f>'לקוחות לפי סוכן - מקור חדש'!G30</f>
        <v/>
      </c>
      <c r="I224" s="149" t="inlineStr">
        <is>
          <t>מכירות 25-26 לפי לקוח-סוכן</t>
        </is>
      </c>
      <c r="J224" s="149" t="inlineStr">
        <is>
          <t>חדש — לא היה ב-מקור</t>
        </is>
      </c>
    </row>
    <row r="225" ht="15" customHeight="1" s="82">
      <c r="A225" s="149">
        <f>'לקוחות לפי סוכן - מקור חדש'!B31</f>
        <v/>
      </c>
      <c r="B225" s="149">
        <f>'לקוחות לפי סוכן - מקור חדש'!C31</f>
        <v/>
      </c>
      <c r="C225" s="149" t="n"/>
      <c r="D225" s="149">
        <f>TRIM('לקוחות לפי סוכן - מקור חדש'!D31)</f>
        <v/>
      </c>
      <c r="E225" s="147">
        <f>'לקוחות לפי סוכן - מקור חדש'!F31</f>
        <v/>
      </c>
      <c r="F225" s="147">
        <f>'לקוחות לפי סוכן - מקור חדש'!H31</f>
        <v/>
      </c>
      <c r="G225" s="148">
        <f>'לקוחות לפי סוכן - מקור חדש'!E31</f>
        <v/>
      </c>
      <c r="H225" s="148">
        <f>'לקוחות לפי סוכן - מקור חדש'!G31</f>
        <v/>
      </c>
      <c r="I225" s="149" t="inlineStr">
        <is>
          <t>מכירות 25-26 לפי לקוח-סוכן</t>
        </is>
      </c>
      <c r="J225" s="149" t="inlineStr">
        <is>
          <t>חדש — לא היה ב-מקור</t>
        </is>
      </c>
    </row>
    <row r="226" ht="15" customHeight="1" s="82">
      <c r="A226" s="149">
        <f>'לקוחות לפי סוכן - מקור חדש'!B32</f>
        <v/>
      </c>
      <c r="B226" s="149">
        <f>'לקוחות לפי סוכן - מקור חדש'!C32</f>
        <v/>
      </c>
      <c r="C226" s="149" t="n"/>
      <c r="D226" s="149">
        <f>TRIM('לקוחות לפי סוכן - מקור חדש'!D32)</f>
        <v/>
      </c>
      <c r="E226" s="147">
        <f>'לקוחות לפי סוכן - מקור חדש'!F32</f>
        <v/>
      </c>
      <c r="F226" s="147">
        <f>'לקוחות לפי סוכן - מקור חדש'!H32</f>
        <v/>
      </c>
      <c r="G226" s="148">
        <f>'לקוחות לפי סוכן - מקור חדש'!E32</f>
        <v/>
      </c>
      <c r="H226" s="148">
        <f>'לקוחות לפי סוכן - מקור חדש'!G32</f>
        <v/>
      </c>
      <c r="I226" s="149" t="inlineStr">
        <is>
          <t>מכירות 25-26 לפי לקוח-סוכן</t>
        </is>
      </c>
      <c r="J226" s="149" t="inlineStr">
        <is>
          <t>חדש — לא היה ב-מקור</t>
        </is>
      </c>
    </row>
    <row r="227" ht="15" customHeight="1" s="82">
      <c r="A227" s="149">
        <f>'לקוחות לפי סוכן - מקור חדש'!B33</f>
        <v/>
      </c>
      <c r="B227" s="149">
        <f>'לקוחות לפי סוכן - מקור חדש'!C33</f>
        <v/>
      </c>
      <c r="C227" s="149" t="n"/>
      <c r="D227" s="149">
        <f>TRIM('לקוחות לפי סוכן - מקור חדש'!D33)</f>
        <v/>
      </c>
      <c r="E227" s="147">
        <f>'לקוחות לפי סוכן - מקור חדש'!F33</f>
        <v/>
      </c>
      <c r="F227" s="147">
        <f>'לקוחות לפי סוכן - מקור חדש'!H33</f>
        <v/>
      </c>
      <c r="G227" s="148">
        <f>'לקוחות לפי סוכן - מקור חדש'!E33</f>
        <v/>
      </c>
      <c r="H227" s="148">
        <f>'לקוחות לפי סוכן - מקור חדש'!G33</f>
        <v/>
      </c>
      <c r="I227" s="149" t="inlineStr">
        <is>
          <t>מכירות 25-26 לפי לקוח-סוכן</t>
        </is>
      </c>
      <c r="J227" s="149" t="inlineStr">
        <is>
          <t>חדש — לא היה ב-מקור</t>
        </is>
      </c>
    </row>
    <row r="228" ht="15" customHeight="1" s="82">
      <c r="A228" s="149">
        <f>'לקוחות לפי סוכן - מקור חדש'!B34</f>
        <v/>
      </c>
      <c r="B228" s="149">
        <f>'לקוחות לפי סוכן - מקור חדש'!C34</f>
        <v/>
      </c>
      <c r="C228" s="149" t="n"/>
      <c r="D228" s="149">
        <f>TRIM('לקוחות לפי סוכן - מקור חדש'!D34)</f>
        <v/>
      </c>
      <c r="E228" s="147">
        <f>'לקוחות לפי סוכן - מקור חדש'!F34</f>
        <v/>
      </c>
      <c r="F228" s="147">
        <f>'לקוחות לפי סוכן - מקור חדש'!H34</f>
        <v/>
      </c>
      <c r="G228" s="148">
        <f>'לקוחות לפי סוכן - מקור חדש'!E34</f>
        <v/>
      </c>
      <c r="H228" s="148">
        <f>'לקוחות לפי סוכן - מקור חדש'!G34</f>
        <v/>
      </c>
      <c r="I228" s="149" t="inlineStr">
        <is>
          <t>מכירות 25-26 לפי לקוח-סוכן</t>
        </is>
      </c>
      <c r="J228" s="149" t="inlineStr">
        <is>
          <t>חדש — לא היה ב-מקור</t>
        </is>
      </c>
    </row>
    <row r="229" ht="15" customHeight="1" s="82">
      <c r="A229" s="149">
        <f>'לקוחות לפי סוכן - מקור חדש'!B84</f>
        <v/>
      </c>
      <c r="B229" s="149">
        <f>'לקוחות לפי סוכן - מקור חדש'!C84</f>
        <v/>
      </c>
      <c r="C229" s="149" t="n"/>
      <c r="D229" s="149">
        <f>TRIM('לקוחות לפי סוכן - מקור חדש'!D84)</f>
        <v/>
      </c>
      <c r="E229" s="147">
        <f>'לקוחות לפי סוכן - מקור חדש'!F84</f>
        <v/>
      </c>
      <c r="F229" s="147">
        <f>'לקוחות לפי סוכן - מקור חדש'!H84</f>
        <v/>
      </c>
      <c r="G229" s="148">
        <f>'לקוחות לפי סוכן - מקור חדש'!E84</f>
        <v/>
      </c>
      <c r="H229" s="148">
        <f>'לקוחות לפי סוכן - מקור חדש'!G84</f>
        <v/>
      </c>
      <c r="I229" s="149" t="inlineStr">
        <is>
          <t>מכירות 25-26 לפי לקוח-סוכן</t>
        </is>
      </c>
      <c r="J229" s="149" t="inlineStr">
        <is>
          <t>חדש — לא היה ב-מקור</t>
        </is>
      </c>
    </row>
    <row r="230" ht="15" customHeight="1" s="82">
      <c r="A230" s="149">
        <f>'לקוחות לפי סוכן - מקור חדש'!B97</f>
        <v/>
      </c>
      <c r="B230" s="149">
        <f>'לקוחות לפי סוכן - מקור חדש'!C97</f>
        <v/>
      </c>
      <c r="C230" s="149" t="n"/>
      <c r="D230" s="149">
        <f>TRIM('לקוחות לפי סוכן - מקור חדש'!D97)</f>
        <v/>
      </c>
      <c r="E230" s="147">
        <f>'לקוחות לפי סוכן - מקור חדש'!F97</f>
        <v/>
      </c>
      <c r="F230" s="147">
        <f>'לקוחות לפי סוכן - מקור חדש'!H97</f>
        <v/>
      </c>
      <c r="G230" s="148">
        <f>'לקוחות לפי סוכן - מקור חדש'!E97</f>
        <v/>
      </c>
      <c r="H230" s="148">
        <f>'לקוחות לפי סוכן - מקור חדש'!G97</f>
        <v/>
      </c>
      <c r="I230" s="149" t="inlineStr">
        <is>
          <t>מכירות 25-26 לפי לקוח-סוכן</t>
        </is>
      </c>
      <c r="J230" s="149" t="inlineStr">
        <is>
          <t>חדש — לא היה ב-מקור</t>
        </is>
      </c>
    </row>
    <row r="231" ht="15" customHeight="1" s="82">
      <c r="A231" s="149">
        <f>'לקוחות לפי סוכן - מקור חדש'!B101</f>
        <v/>
      </c>
      <c r="B231" s="149">
        <f>'לקוחות לפי סוכן - מקור חדש'!C101</f>
        <v/>
      </c>
      <c r="C231" s="149" t="n"/>
      <c r="D231" s="149">
        <f>TRIM('לקוחות לפי סוכן - מקור חדש'!D101)</f>
        <v/>
      </c>
      <c r="E231" s="147">
        <f>'לקוחות לפי סוכן - מקור חדש'!F101</f>
        <v/>
      </c>
      <c r="F231" s="147">
        <f>'לקוחות לפי סוכן - מקור חדש'!H101</f>
        <v/>
      </c>
      <c r="G231" s="148">
        <f>'לקוחות לפי סוכן - מקור חדש'!E101</f>
        <v/>
      </c>
      <c r="H231" s="148">
        <f>'לקוחות לפי סוכן - מקור חדש'!G101</f>
        <v/>
      </c>
      <c r="I231" s="149" t="inlineStr">
        <is>
          <t>מכירות 25-26 לפי לקוח-סוכן</t>
        </is>
      </c>
      <c r="J231" s="149" t="inlineStr">
        <is>
          <t>חדש — לא היה ב-מקור</t>
        </is>
      </c>
    </row>
    <row r="232" ht="15" customHeight="1" s="82">
      <c r="A232" s="149">
        <f>'לקוחות לפי סוכן - מקור חדש'!B104</f>
        <v/>
      </c>
      <c r="B232" s="149">
        <f>'לקוחות לפי סוכן - מקור חדש'!C104</f>
        <v/>
      </c>
      <c r="C232" s="149" t="n"/>
      <c r="D232" s="149">
        <f>TRIM('לקוחות לפי סוכן - מקור חדש'!D104)</f>
        <v/>
      </c>
      <c r="E232" s="147">
        <f>'לקוחות לפי סוכן - מקור חדש'!F104</f>
        <v/>
      </c>
      <c r="F232" s="147">
        <f>'לקוחות לפי סוכן - מקור חדש'!H104</f>
        <v/>
      </c>
      <c r="G232" s="148">
        <f>'לקוחות לפי סוכן - מקור חדש'!E104</f>
        <v/>
      </c>
      <c r="H232" s="148">
        <f>'לקוחות לפי סוכן - מקור חדש'!G104</f>
        <v/>
      </c>
      <c r="I232" s="149" t="inlineStr">
        <is>
          <t>מכירות 25-26 לפי לקוח-סוכן</t>
        </is>
      </c>
      <c r="J232" s="149" t="inlineStr">
        <is>
          <t>חדש — לא היה ב-מקור</t>
        </is>
      </c>
    </row>
    <row r="233" ht="15" customHeight="1" s="82">
      <c r="A233" s="149">
        <f>'לקוחות לפי סוכן - מקור חדש'!B105</f>
        <v/>
      </c>
      <c r="B233" s="149">
        <f>'לקוחות לפי סוכן - מקור חדש'!C105</f>
        <v/>
      </c>
      <c r="C233" s="149" t="n"/>
      <c r="D233" s="149">
        <f>TRIM('לקוחות לפי סוכן - מקור חדש'!D105)</f>
        <v/>
      </c>
      <c r="E233" s="147">
        <f>'לקוחות לפי סוכן - מקור חדש'!F105</f>
        <v/>
      </c>
      <c r="F233" s="147">
        <f>'לקוחות לפי סוכן - מקור חדש'!H105</f>
        <v/>
      </c>
      <c r="G233" s="148">
        <f>'לקוחות לפי סוכן - מקור חדש'!E105</f>
        <v/>
      </c>
      <c r="H233" s="148">
        <f>'לקוחות לפי סוכן - מקור חדש'!G105</f>
        <v/>
      </c>
      <c r="I233" s="149" t="inlineStr">
        <is>
          <t>מכירות 25-26 לפי לקוח-סוכן</t>
        </is>
      </c>
      <c r="J233" s="149" t="inlineStr">
        <is>
          <t>חדש — לא היה ב-מקור</t>
        </is>
      </c>
    </row>
    <row r="234" ht="15" customHeight="1" s="82">
      <c r="A234" s="149">
        <f>'לקוחות לפי סוכן - מקור חדש'!B106</f>
        <v/>
      </c>
      <c r="B234" s="149">
        <f>'לקוחות לפי סוכן - מקור חדש'!C106</f>
        <v/>
      </c>
      <c r="C234" s="149" t="n"/>
      <c r="D234" s="149">
        <f>TRIM('לקוחות לפי סוכן - מקור חדש'!D106)</f>
        <v/>
      </c>
      <c r="E234" s="147">
        <f>'לקוחות לפי סוכן - מקור חדש'!F106</f>
        <v/>
      </c>
      <c r="F234" s="147">
        <f>'לקוחות לפי סוכן - מקור חדש'!H106</f>
        <v/>
      </c>
      <c r="G234" s="148">
        <f>'לקוחות לפי סוכן - מקור חדש'!E106</f>
        <v/>
      </c>
      <c r="H234" s="148">
        <f>'לקוחות לפי סוכן - מקור חדש'!G106</f>
        <v/>
      </c>
      <c r="I234" s="149" t="inlineStr">
        <is>
          <t>מכירות 25-26 לפי לקוח-סוכן</t>
        </is>
      </c>
      <c r="J234" s="149" t="inlineStr">
        <is>
          <t>חדש — לא היה ב-מקור</t>
        </is>
      </c>
    </row>
    <row r="235" ht="15" customHeight="1" s="82">
      <c r="A235" s="149">
        <f>'לקוחות לפי סוכן - מקור חדש'!B107</f>
        <v/>
      </c>
      <c r="B235" s="149">
        <f>'לקוחות לפי סוכן - מקור חדש'!C107</f>
        <v/>
      </c>
      <c r="C235" s="149" t="n"/>
      <c r="D235" s="149">
        <f>TRIM('לקוחות לפי סוכן - מקור חדש'!D107)</f>
        <v/>
      </c>
      <c r="E235" s="147">
        <f>'לקוחות לפי סוכן - מקור חדש'!F107</f>
        <v/>
      </c>
      <c r="F235" s="147">
        <f>'לקוחות לפי סוכן - מקור חדש'!H107</f>
        <v/>
      </c>
      <c r="G235" s="148">
        <f>'לקוחות לפי סוכן - מקור חדש'!E107</f>
        <v/>
      </c>
      <c r="H235" s="148">
        <f>'לקוחות לפי סוכן - מקור חדש'!G107</f>
        <v/>
      </c>
      <c r="I235" s="149" t="inlineStr">
        <is>
          <t>מכירות 25-26 לפי לקוח-סוכן</t>
        </is>
      </c>
      <c r="J235" s="149" t="inlineStr">
        <is>
          <t>חדש — לא היה ב-מקור</t>
        </is>
      </c>
    </row>
    <row r="236" ht="15" customHeight="1" s="82">
      <c r="A236" s="149">
        <f>'לקוחות לפי סוכן - מקור חדש'!B108</f>
        <v/>
      </c>
      <c r="B236" s="149">
        <f>'לקוחות לפי סוכן - מקור חדש'!C108</f>
        <v/>
      </c>
      <c r="C236" s="149" t="n"/>
      <c r="D236" s="149">
        <f>TRIM('לקוחות לפי סוכן - מקור חדש'!D108)</f>
        <v/>
      </c>
      <c r="E236" s="147">
        <f>'לקוחות לפי סוכן - מקור חדש'!F108</f>
        <v/>
      </c>
      <c r="F236" s="147">
        <f>'לקוחות לפי סוכן - מקור חדש'!H108</f>
        <v/>
      </c>
      <c r="G236" s="148">
        <f>'לקוחות לפי סוכן - מקור חדש'!E108</f>
        <v/>
      </c>
      <c r="H236" s="148">
        <f>'לקוחות לפי סוכן - מקור חדש'!G108</f>
        <v/>
      </c>
      <c r="I236" s="149" t="inlineStr">
        <is>
          <t>מכירות 25-26 לפי לקוח-סוכן</t>
        </is>
      </c>
      <c r="J236" s="149" t="inlineStr">
        <is>
          <t>חדש — לא היה ב-מקור</t>
        </is>
      </c>
    </row>
    <row r="237" ht="15" customHeight="1" s="82">
      <c r="A237" s="149">
        <f>'לקוחות לפי סוכן - מקור חדש'!B109</f>
        <v/>
      </c>
      <c r="B237" s="149">
        <f>'לקוחות לפי סוכן - מקור חדש'!C109</f>
        <v/>
      </c>
      <c r="C237" s="149" t="n"/>
      <c r="D237" s="149">
        <f>TRIM('לקוחות לפי סוכן - מקור חדש'!D109)</f>
        <v/>
      </c>
      <c r="E237" s="147">
        <f>'לקוחות לפי סוכן - מקור חדש'!F109</f>
        <v/>
      </c>
      <c r="F237" s="147">
        <f>'לקוחות לפי סוכן - מקור חדש'!H109</f>
        <v/>
      </c>
      <c r="G237" s="148">
        <f>'לקוחות לפי סוכן - מקור חדש'!E109</f>
        <v/>
      </c>
      <c r="H237" s="148">
        <f>'לקוחות לפי סוכן - מקור חדש'!G109</f>
        <v/>
      </c>
      <c r="I237" s="149" t="inlineStr">
        <is>
          <t>מכירות 25-26 לפי לקוח-סוכן</t>
        </is>
      </c>
      <c r="J237" s="149" t="inlineStr">
        <is>
          <t>חדש — לא היה ב-מקור</t>
        </is>
      </c>
    </row>
    <row r="238" ht="15" customHeight="1" s="82">
      <c r="A238" s="149">
        <f>'לקוחות לפי סוכן - מקור חדש'!B122</f>
        <v/>
      </c>
      <c r="B238" s="149">
        <f>'לקוחות לפי סוכן - מקור חדש'!C122</f>
        <v/>
      </c>
      <c r="C238" s="149" t="n"/>
      <c r="D238" s="149">
        <f>TRIM('לקוחות לפי סוכן - מקור חדש'!D122)</f>
        <v/>
      </c>
      <c r="E238" s="147">
        <f>'לקוחות לפי סוכן - מקור חדש'!F122</f>
        <v/>
      </c>
      <c r="F238" s="147">
        <f>'לקוחות לפי סוכן - מקור חדש'!H122</f>
        <v/>
      </c>
      <c r="G238" s="148">
        <f>'לקוחות לפי סוכן - מקור חדש'!E122</f>
        <v/>
      </c>
      <c r="H238" s="148">
        <f>'לקוחות לפי סוכן - מקור חדש'!G122</f>
        <v/>
      </c>
      <c r="I238" s="149" t="inlineStr">
        <is>
          <t>מכירות 25-26 לפי לקוח-סוכן</t>
        </is>
      </c>
      <c r="J238" s="149" t="inlineStr">
        <is>
          <t>חדש — לא היה ב-מקור</t>
        </is>
      </c>
    </row>
    <row r="239" ht="15" customHeight="1" s="82">
      <c r="A239" s="149">
        <f>'לקוחות לפי סוכן - מקור חדש'!B124</f>
        <v/>
      </c>
      <c r="B239" s="149">
        <f>'לקוחות לפי סוכן - מקור חדש'!C124</f>
        <v/>
      </c>
      <c r="C239" s="149" t="n"/>
      <c r="D239" s="149">
        <f>TRIM('לקוחות לפי סוכן - מקור חדש'!D124)</f>
        <v/>
      </c>
      <c r="E239" s="147">
        <f>'לקוחות לפי סוכן - מקור חדש'!F124</f>
        <v/>
      </c>
      <c r="F239" s="147">
        <f>'לקוחות לפי סוכן - מקור חדש'!H124</f>
        <v/>
      </c>
      <c r="G239" s="148">
        <f>'לקוחות לפי סוכן - מקור חדש'!E124</f>
        <v/>
      </c>
      <c r="H239" s="148">
        <f>'לקוחות לפי סוכן - מקור חדש'!G124</f>
        <v/>
      </c>
      <c r="I239" s="149" t="inlineStr">
        <is>
          <t>מכירות 25-26 לפי לקוח-סוכן</t>
        </is>
      </c>
      <c r="J239" s="149" t="inlineStr">
        <is>
          <t>חדש — לא היה ב-מקור</t>
        </is>
      </c>
    </row>
    <row r="240" ht="15" customHeight="1" s="82">
      <c r="A240" s="149">
        <f>'לקוחות לפי סוכן - מקור חדש'!B126</f>
        <v/>
      </c>
      <c r="B240" s="149">
        <f>'לקוחות לפי סוכן - מקור חדש'!C126</f>
        <v/>
      </c>
      <c r="C240" s="149" t="n"/>
      <c r="D240" s="149">
        <f>TRIM('לקוחות לפי סוכן - מקור חדש'!D126)</f>
        <v/>
      </c>
      <c r="E240" s="147">
        <f>'לקוחות לפי סוכן - מקור חדש'!F126</f>
        <v/>
      </c>
      <c r="F240" s="147">
        <f>'לקוחות לפי סוכן - מקור חדש'!H126</f>
        <v/>
      </c>
      <c r="G240" s="148">
        <f>'לקוחות לפי סוכן - מקור חדש'!E126</f>
        <v/>
      </c>
      <c r="H240" s="148">
        <f>'לקוחות לפי סוכן - מקור חדש'!G126</f>
        <v/>
      </c>
      <c r="I240" s="149" t="inlineStr">
        <is>
          <t>מכירות 25-26 לפי לקוח-סוכן</t>
        </is>
      </c>
      <c r="J240" s="149" t="inlineStr">
        <is>
          <t>חדש — לא היה ב-מקור</t>
        </is>
      </c>
    </row>
    <row r="241" ht="15" customHeight="1" s="82">
      <c r="A241" s="149">
        <f>'לקוחות לפי סוכן - מקור חדש'!B127</f>
        <v/>
      </c>
      <c r="B241" s="149">
        <f>'לקוחות לפי סוכן - מקור חדש'!C127</f>
        <v/>
      </c>
      <c r="C241" s="149" t="n"/>
      <c r="D241" s="149">
        <f>TRIM('לקוחות לפי סוכן - מקור חדש'!D127)</f>
        <v/>
      </c>
      <c r="E241" s="147">
        <f>'לקוחות לפי סוכן - מקור חדש'!F127</f>
        <v/>
      </c>
      <c r="F241" s="147">
        <f>'לקוחות לפי סוכן - מקור חדש'!H127</f>
        <v/>
      </c>
      <c r="G241" s="148">
        <f>'לקוחות לפי סוכן - מקור חדש'!E127</f>
        <v/>
      </c>
      <c r="H241" s="148">
        <f>'לקוחות לפי סוכן - מקור חדש'!G127</f>
        <v/>
      </c>
      <c r="I241" s="149" t="inlineStr">
        <is>
          <t>מכירות 25-26 לפי לקוח-סוכן</t>
        </is>
      </c>
      <c r="J241" s="149" t="inlineStr">
        <is>
          <t>חדש — לא היה ב-מקור</t>
        </is>
      </c>
    </row>
    <row r="242" ht="15" customHeight="1" s="82">
      <c r="A242" s="149">
        <f>'לקוחות לפי סוכן - מקור חדש'!B128</f>
        <v/>
      </c>
      <c r="B242" s="149">
        <f>'לקוחות לפי סוכן - מקור חדש'!C128</f>
        <v/>
      </c>
      <c r="C242" s="149" t="n"/>
      <c r="D242" s="149">
        <f>TRIM('לקוחות לפי סוכן - מקור חדש'!D128)</f>
        <v/>
      </c>
      <c r="E242" s="147">
        <f>'לקוחות לפי סוכן - מקור חדש'!F128</f>
        <v/>
      </c>
      <c r="F242" s="147">
        <f>'לקוחות לפי סוכן - מקור חדש'!H128</f>
        <v/>
      </c>
      <c r="G242" s="148">
        <f>'לקוחות לפי סוכן - מקור חדש'!E128</f>
        <v/>
      </c>
      <c r="H242" s="148">
        <f>'לקוחות לפי סוכן - מקור חדש'!G128</f>
        <v/>
      </c>
      <c r="I242" s="149" t="inlineStr">
        <is>
          <t>מכירות 25-26 לפי לקוח-סוכן</t>
        </is>
      </c>
      <c r="J242" s="149" t="inlineStr">
        <is>
          <t>חדש — לא היה ב-מקור</t>
        </is>
      </c>
    </row>
    <row r="243" ht="15" customHeight="1" s="82">
      <c r="A243" s="149">
        <f>'לקוחות לפי סוכן - מקור חדש'!B130</f>
        <v/>
      </c>
      <c r="B243" s="149">
        <f>'לקוחות לפי סוכן - מקור חדש'!C130</f>
        <v/>
      </c>
      <c r="C243" s="149" t="n"/>
      <c r="D243" s="149">
        <f>TRIM('לקוחות לפי סוכן - מקור חדש'!D130)</f>
        <v/>
      </c>
      <c r="E243" s="147">
        <f>'לקוחות לפי סוכן - מקור חדש'!F130</f>
        <v/>
      </c>
      <c r="F243" s="147">
        <f>'לקוחות לפי סוכן - מקור חדש'!H130</f>
        <v/>
      </c>
      <c r="G243" s="148">
        <f>'לקוחות לפי סוכן - מקור חדש'!E130</f>
        <v/>
      </c>
      <c r="H243" s="148">
        <f>'לקוחות לפי סוכן - מקור חדש'!G130</f>
        <v/>
      </c>
      <c r="I243" s="149" t="inlineStr">
        <is>
          <t>מכירות 25-26 לפי לקוח-סוכן</t>
        </is>
      </c>
      <c r="J243" s="149" t="inlineStr">
        <is>
          <t>חדש — לא היה ב-מקור</t>
        </is>
      </c>
    </row>
    <row r="244" ht="15" customHeight="1" s="82">
      <c r="A244" s="149">
        <f>'לקוחות לפי סוכן - מקור חדש'!B135</f>
        <v/>
      </c>
      <c r="B244" s="149">
        <f>'לקוחות לפי סוכן - מקור חדש'!C135</f>
        <v/>
      </c>
      <c r="C244" s="149" t="n"/>
      <c r="D244" s="149">
        <f>TRIM('לקוחות לפי סוכן - מקור חדש'!D135)</f>
        <v/>
      </c>
      <c r="E244" s="147">
        <f>'לקוחות לפי סוכן - מקור חדש'!F135</f>
        <v/>
      </c>
      <c r="F244" s="147">
        <f>'לקוחות לפי סוכן - מקור חדש'!H135</f>
        <v/>
      </c>
      <c r="G244" s="148">
        <f>'לקוחות לפי סוכן - מקור חדש'!E135</f>
        <v/>
      </c>
      <c r="H244" s="148">
        <f>'לקוחות לפי סוכן - מקור חדש'!G135</f>
        <v/>
      </c>
      <c r="I244" s="149" t="inlineStr">
        <is>
          <t>מכירות 25-26 לפי לקוח-סוכן</t>
        </is>
      </c>
      <c r="J244" s="149" t="inlineStr">
        <is>
          <t>חדש — לא היה ב-מקור</t>
        </is>
      </c>
    </row>
    <row r="245" ht="15" customHeight="1" s="82">
      <c r="A245" s="149">
        <f>'לקוחות לפי סוכן - מקור חדש'!B137</f>
        <v/>
      </c>
      <c r="B245" s="149">
        <f>'לקוחות לפי סוכן - מקור חדש'!C137</f>
        <v/>
      </c>
      <c r="C245" s="149" t="n"/>
      <c r="D245" s="149">
        <f>TRIM('לקוחות לפי סוכן - מקור חדש'!D137)</f>
        <v/>
      </c>
      <c r="E245" s="147">
        <f>'לקוחות לפי סוכן - מקור חדש'!F137</f>
        <v/>
      </c>
      <c r="F245" s="147">
        <f>'לקוחות לפי סוכן - מקור חדש'!H137</f>
        <v/>
      </c>
      <c r="G245" s="148">
        <f>'לקוחות לפי סוכן - מקור חדש'!E137</f>
        <v/>
      </c>
      <c r="H245" s="148">
        <f>'לקוחות לפי סוכן - מקור חדש'!G137</f>
        <v/>
      </c>
      <c r="I245" s="149" t="inlineStr">
        <is>
          <t>מכירות 25-26 לפי לקוח-סוכן</t>
        </is>
      </c>
      <c r="J245" s="149" t="inlineStr">
        <is>
          <t>חדש — לא היה ב-מקור</t>
        </is>
      </c>
    </row>
    <row r="246" ht="15" customHeight="1" s="82">
      <c r="A246" s="149">
        <f>'לקוחות לפי סוכן - מקור חדש'!B138</f>
        <v/>
      </c>
      <c r="B246" s="149">
        <f>'לקוחות לפי סוכן - מקור חדש'!C138</f>
        <v/>
      </c>
      <c r="C246" s="149" t="n"/>
      <c r="D246" s="149">
        <f>TRIM('לקוחות לפי סוכן - מקור חדש'!D138)</f>
        <v/>
      </c>
      <c r="E246" s="147">
        <f>'לקוחות לפי סוכן - מקור חדש'!F138</f>
        <v/>
      </c>
      <c r="F246" s="147">
        <f>'לקוחות לפי סוכן - מקור חדש'!H138</f>
        <v/>
      </c>
      <c r="G246" s="148">
        <f>'לקוחות לפי סוכן - מקור חדש'!E138</f>
        <v/>
      </c>
      <c r="H246" s="148">
        <f>'לקוחות לפי סוכן - מקור חדש'!G138</f>
        <v/>
      </c>
      <c r="I246" s="149" t="inlineStr">
        <is>
          <t>מכירות 25-26 לפי לקוח-סוכן</t>
        </is>
      </c>
      <c r="J246" s="149" t="inlineStr">
        <is>
          <t>חדש — לא היה ב-מקור</t>
        </is>
      </c>
    </row>
    <row r="247" ht="15" customHeight="1" s="82">
      <c r="A247" s="149">
        <f>'לקוחות לפי סוכן - מקור חדש'!B160</f>
        <v/>
      </c>
      <c r="B247" s="149">
        <f>'לקוחות לפי סוכן - מקור חדש'!C160</f>
        <v/>
      </c>
      <c r="C247" s="149" t="n"/>
      <c r="D247" s="149">
        <f>TRIM('לקוחות לפי סוכן - מקור חדש'!D160)</f>
        <v/>
      </c>
      <c r="E247" s="147">
        <f>'לקוחות לפי סוכן - מקור חדש'!F160</f>
        <v/>
      </c>
      <c r="F247" s="147">
        <f>'לקוחות לפי סוכן - מקור חדש'!H160</f>
        <v/>
      </c>
      <c r="G247" s="148">
        <f>'לקוחות לפי סוכן - מקור חדש'!E160</f>
        <v/>
      </c>
      <c r="H247" s="148">
        <f>'לקוחות לפי סוכן - מקור חדש'!G160</f>
        <v/>
      </c>
      <c r="I247" s="149" t="inlineStr">
        <is>
          <t>מכירות 25-26 לפי לקוח-סוכן</t>
        </is>
      </c>
      <c r="J247" s="149" t="inlineStr">
        <is>
          <t>חדש — לא היה ב-מקור</t>
        </is>
      </c>
    </row>
    <row r="248" ht="15" customHeight="1" s="82">
      <c r="A248" s="149">
        <f>'לקוחות לפי סוכן - מקור חדש'!B161</f>
        <v/>
      </c>
      <c r="B248" s="149">
        <f>'לקוחות לפי סוכן - מקור חדש'!C161</f>
        <v/>
      </c>
      <c r="C248" s="149" t="n"/>
      <c r="D248" s="149">
        <f>TRIM('לקוחות לפי סוכן - מקור חדש'!D161)</f>
        <v/>
      </c>
      <c r="E248" s="147">
        <f>'לקוחות לפי סוכן - מקור חדש'!F161</f>
        <v/>
      </c>
      <c r="F248" s="147">
        <f>'לקוחות לפי סוכן - מקור חדש'!H161</f>
        <v/>
      </c>
      <c r="G248" s="148">
        <f>'לקוחות לפי סוכן - מקור חדש'!E161</f>
        <v/>
      </c>
      <c r="H248" s="148">
        <f>'לקוחות לפי סוכן - מקור חדש'!G161</f>
        <v/>
      </c>
      <c r="I248" s="149" t="inlineStr">
        <is>
          <t>מכירות 25-26 לפי לקוח-סוכן</t>
        </is>
      </c>
      <c r="J248" s="149" t="inlineStr">
        <is>
          <t>חדש — לא היה ב-מקור</t>
        </is>
      </c>
    </row>
    <row r="249" ht="15" customHeight="1" s="82">
      <c r="A249" s="149">
        <f>'לקוחות לפי סוכן - מקור חדש'!B162</f>
        <v/>
      </c>
      <c r="B249" s="149">
        <f>'לקוחות לפי סוכן - מקור חדש'!C162</f>
        <v/>
      </c>
      <c r="C249" s="149" t="n"/>
      <c r="D249" s="149">
        <f>TRIM('לקוחות לפי סוכן - מקור חדש'!D162)</f>
        <v/>
      </c>
      <c r="E249" s="147">
        <f>'לקוחות לפי סוכן - מקור חדש'!F162</f>
        <v/>
      </c>
      <c r="F249" s="147">
        <f>'לקוחות לפי סוכן - מקור חדש'!H162</f>
        <v/>
      </c>
      <c r="G249" s="148">
        <f>'לקוחות לפי סוכן - מקור חדש'!E162</f>
        <v/>
      </c>
      <c r="H249" s="148">
        <f>'לקוחות לפי סוכן - מקור חדש'!G162</f>
        <v/>
      </c>
      <c r="I249" s="149" t="inlineStr">
        <is>
          <t>מכירות 25-26 לפי לקוח-סוכן</t>
        </is>
      </c>
      <c r="J249" s="149" t="inlineStr">
        <is>
          <t>חדש — לא היה ב-מקור</t>
        </is>
      </c>
    </row>
    <row r="250" ht="15" customHeight="1" s="82">
      <c r="A250" s="149">
        <f>'לקוחות לפי סוכן - מקור חדש'!B163</f>
        <v/>
      </c>
      <c r="B250" s="149">
        <f>'לקוחות לפי סוכן - מקור חדש'!C163</f>
        <v/>
      </c>
      <c r="C250" s="149" t="n"/>
      <c r="D250" s="149">
        <f>TRIM('לקוחות לפי סוכן - מקור חדש'!D163)</f>
        <v/>
      </c>
      <c r="E250" s="147">
        <f>'לקוחות לפי סוכן - מקור חדש'!F163</f>
        <v/>
      </c>
      <c r="F250" s="147">
        <f>'לקוחות לפי סוכן - מקור חדש'!H163</f>
        <v/>
      </c>
      <c r="G250" s="148">
        <f>'לקוחות לפי סוכן - מקור חדש'!E163</f>
        <v/>
      </c>
      <c r="H250" s="148">
        <f>'לקוחות לפי סוכן - מקור חדש'!G163</f>
        <v/>
      </c>
      <c r="I250" s="149" t="inlineStr">
        <is>
          <t>מכירות 25-26 לפי לקוח-סוכן</t>
        </is>
      </c>
      <c r="J250" s="149" t="inlineStr">
        <is>
          <t>חדש — לא היה ב-מקור</t>
        </is>
      </c>
    </row>
    <row r="251" ht="15" customHeight="1" s="82">
      <c r="A251" s="149">
        <f>'לקוחות לפי סוכן - מקור חדש'!B164</f>
        <v/>
      </c>
      <c r="B251" s="149">
        <f>'לקוחות לפי סוכן - מקור חדש'!C164</f>
        <v/>
      </c>
      <c r="C251" s="149" t="n"/>
      <c r="D251" s="149">
        <f>TRIM('לקוחות לפי סוכן - מקור חדש'!D164)</f>
        <v/>
      </c>
      <c r="E251" s="147">
        <f>'לקוחות לפי סוכן - מקור חדש'!F164</f>
        <v/>
      </c>
      <c r="F251" s="147">
        <f>'לקוחות לפי סוכן - מקור חדש'!H164</f>
        <v/>
      </c>
      <c r="G251" s="148">
        <f>'לקוחות לפי סוכן - מקור חדש'!E164</f>
        <v/>
      </c>
      <c r="H251" s="148">
        <f>'לקוחות לפי סוכן - מקור חדש'!G164</f>
        <v/>
      </c>
      <c r="I251" s="149" t="inlineStr">
        <is>
          <t>מכירות 25-26 לפי לקוח-סוכן</t>
        </is>
      </c>
      <c r="J251" s="149" t="inlineStr">
        <is>
          <t>חדש — לא היה ב-מקור</t>
        </is>
      </c>
    </row>
    <row r="252" ht="15" customHeight="1" s="82">
      <c r="A252" s="149">
        <f>'לקוחות לפי סוכן - מקור חדש'!B243</f>
        <v/>
      </c>
      <c r="B252" s="149">
        <f>'לקוחות לפי סוכן - מקור חדש'!C243</f>
        <v/>
      </c>
      <c r="C252" s="149" t="n"/>
      <c r="D252" s="149">
        <f>TRIM('לקוחות לפי סוכן - מקור חדש'!D243)</f>
        <v/>
      </c>
      <c r="E252" s="147">
        <f>'לקוחות לפי סוכן - מקור חדש'!F243</f>
        <v/>
      </c>
      <c r="F252" s="147">
        <f>'לקוחות לפי סוכן - מקור חדש'!H243</f>
        <v/>
      </c>
      <c r="G252" s="148">
        <f>'לקוחות לפי סוכן - מקור חדש'!E243</f>
        <v/>
      </c>
      <c r="H252" s="148">
        <f>'לקוחות לפי סוכן - מקור חדש'!G243</f>
        <v/>
      </c>
      <c r="I252" s="149" t="inlineStr">
        <is>
          <t>מכירות 25-26 לפי לקוח-סוכן</t>
        </is>
      </c>
      <c r="J252" s="149" t="inlineStr">
        <is>
          <t>חדש — לא היה ב-מקור</t>
        </is>
      </c>
    </row>
    <row r="253" ht="15" customHeight="1" s="82">
      <c r="A253" s="149">
        <f>'לקוחות לפי סוכן - מקור חדש'!B274</f>
        <v/>
      </c>
      <c r="B253" s="149">
        <f>'לקוחות לפי סוכן - מקור חדש'!C274</f>
        <v/>
      </c>
      <c r="C253" s="149" t="n"/>
      <c r="D253" s="149">
        <f>TRIM('לקוחות לפי סוכן - מקור חדש'!D274)</f>
        <v/>
      </c>
      <c r="E253" s="147">
        <f>'לקוחות לפי סוכן - מקור חדש'!F274</f>
        <v/>
      </c>
      <c r="F253" s="147">
        <f>'לקוחות לפי סוכן - מקור חדש'!H274</f>
        <v/>
      </c>
      <c r="G253" s="148">
        <f>'לקוחות לפי סוכן - מקור חדש'!E274</f>
        <v/>
      </c>
      <c r="H253" s="148">
        <f>'לקוחות לפי סוכן - מקור חדש'!G274</f>
        <v/>
      </c>
      <c r="I253" s="149" t="inlineStr">
        <is>
          <t>מכירות 25-26 לפי לקוח-סוכן</t>
        </is>
      </c>
      <c r="J253" s="149" t="inlineStr">
        <is>
          <t>חדש — לא היה ב-מקור</t>
        </is>
      </c>
    </row>
    <row r="254" ht="15" customHeight="1" s="82">
      <c r="A254" s="149">
        <f>'לקוחות לפי סוכן - מקור חדש'!B276</f>
        <v/>
      </c>
      <c r="B254" s="149">
        <f>'לקוחות לפי סוכן - מקור חדש'!C276</f>
        <v/>
      </c>
      <c r="C254" s="149" t="n"/>
      <c r="D254" s="149">
        <f>TRIM('לקוחות לפי סוכן - מקור חדש'!D276)</f>
        <v/>
      </c>
      <c r="E254" s="147">
        <f>'לקוחות לפי סוכן - מקור חדש'!F276</f>
        <v/>
      </c>
      <c r="F254" s="147">
        <f>'לקוחות לפי סוכן - מקור חדש'!H276</f>
        <v/>
      </c>
      <c r="G254" s="148">
        <f>'לקוחות לפי סוכן - מקור חדש'!E276</f>
        <v/>
      </c>
      <c r="H254" s="148">
        <f>'לקוחות לפי סוכן - מקור חדש'!G276</f>
        <v/>
      </c>
      <c r="I254" s="149" t="inlineStr">
        <is>
          <t>מכירות 25-26 לפי לקוח-סוכן</t>
        </is>
      </c>
      <c r="J254" s="149" t="inlineStr">
        <is>
          <t>חדש — לא היה ב-מקור</t>
        </is>
      </c>
    </row>
    <row r="255" ht="15" customHeight="1" s="82">
      <c r="A255" s="149">
        <f>'לקוחות לפי סוכן - מקור חדש'!B277</f>
        <v/>
      </c>
      <c r="B255" s="149">
        <f>'לקוחות לפי סוכן - מקור חדש'!C277</f>
        <v/>
      </c>
      <c r="C255" s="149" t="n"/>
      <c r="D255" s="149">
        <f>TRIM('לקוחות לפי סוכן - מקור חדש'!D277)</f>
        <v/>
      </c>
      <c r="E255" s="147">
        <f>'לקוחות לפי סוכן - מקור חדש'!F277</f>
        <v/>
      </c>
      <c r="F255" s="147">
        <f>'לקוחות לפי סוכן - מקור חדש'!H277</f>
        <v/>
      </c>
      <c r="G255" s="148">
        <f>'לקוחות לפי סוכן - מקור חדש'!E277</f>
        <v/>
      </c>
      <c r="H255" s="148">
        <f>'לקוחות לפי סוכן - מקור חדש'!G277</f>
        <v/>
      </c>
      <c r="I255" s="149" t="inlineStr">
        <is>
          <t>מכירות 25-26 לפי לקוח-סוכן</t>
        </is>
      </c>
      <c r="J255" s="149" t="inlineStr">
        <is>
          <t>חדש — לא היה ב-מקור</t>
        </is>
      </c>
    </row>
    <row r="256" ht="15" customHeight="1" s="82">
      <c r="A256" s="149">
        <f>'לקוחות לפי סוכן - מקור חדש'!B286</f>
        <v/>
      </c>
      <c r="B256" s="149">
        <f>'לקוחות לפי סוכן - מקור חדש'!C286</f>
        <v/>
      </c>
      <c r="C256" s="149" t="n"/>
      <c r="D256" s="149">
        <f>TRIM('לקוחות לפי סוכן - מקור חדש'!D286)</f>
        <v/>
      </c>
      <c r="E256" s="147">
        <f>'לקוחות לפי סוכן - מקור חדש'!F286</f>
        <v/>
      </c>
      <c r="F256" s="147">
        <f>'לקוחות לפי סוכן - מקור חדש'!H286</f>
        <v/>
      </c>
      <c r="G256" s="148">
        <f>'לקוחות לפי סוכן - מקור חדש'!E286</f>
        <v/>
      </c>
      <c r="H256" s="148">
        <f>'לקוחות לפי סוכן - מקור חדש'!G286</f>
        <v/>
      </c>
      <c r="I256" s="149" t="inlineStr">
        <is>
          <t>מכירות 25-26 לפי לקוח-סוכן</t>
        </is>
      </c>
      <c r="J256" s="149" t="inlineStr">
        <is>
          <t>חדש — לא היה ב-מקור</t>
        </is>
      </c>
    </row>
    <row r="257" ht="15" customHeight="1" s="82">
      <c r="A257" s="149">
        <f>'לקוחות לפי סוכן - מקור חדש'!B287</f>
        <v/>
      </c>
      <c r="B257" s="149">
        <f>'לקוחות לפי סוכן - מקור חדש'!C287</f>
        <v/>
      </c>
      <c r="C257" s="149" t="n"/>
      <c r="D257" s="149">
        <f>TRIM('לקוחות לפי סוכן - מקור חדש'!D287)</f>
        <v/>
      </c>
      <c r="E257" s="147">
        <f>'לקוחות לפי סוכן - מקור חדש'!F287</f>
        <v/>
      </c>
      <c r="F257" s="147">
        <f>'לקוחות לפי סוכן - מקור חדש'!H287</f>
        <v/>
      </c>
      <c r="G257" s="148">
        <f>'לקוחות לפי סוכן - מקור חדש'!E287</f>
        <v/>
      </c>
      <c r="H257" s="148">
        <f>'לקוחות לפי סוכן - מקור חדש'!G287</f>
        <v/>
      </c>
      <c r="I257" s="149" t="inlineStr">
        <is>
          <t>מכירות 25-26 לפי לקוח-סוכן</t>
        </is>
      </c>
      <c r="J257" s="149" t="inlineStr">
        <is>
          <t>חדש — לא היה ב-מקור</t>
        </is>
      </c>
    </row>
    <row r="258" ht="15" customHeight="1" s="82">
      <c r="A258" s="149">
        <f>'לקוחות לפי סוכן - מקור חדש'!B298</f>
        <v/>
      </c>
      <c r="B258" s="149">
        <f>'לקוחות לפי סוכן - מקור חדש'!C298</f>
        <v/>
      </c>
      <c r="C258" s="149" t="n"/>
      <c r="D258" s="149">
        <f>TRIM('לקוחות לפי סוכן - מקור חדש'!D298)</f>
        <v/>
      </c>
      <c r="E258" s="147">
        <f>'לקוחות לפי סוכן - מקור חדש'!F298</f>
        <v/>
      </c>
      <c r="F258" s="147">
        <f>'לקוחות לפי סוכן - מקור חדש'!H298</f>
        <v/>
      </c>
      <c r="G258" s="148">
        <f>'לקוחות לפי סוכן - מקור חדש'!E298</f>
        <v/>
      </c>
      <c r="H258" s="148">
        <f>'לקוחות לפי סוכן - מקור חדש'!G298</f>
        <v/>
      </c>
      <c r="I258" s="149" t="inlineStr">
        <is>
          <t>מכירות 25-26 לפי לקוח-סוכן</t>
        </is>
      </c>
      <c r="J258" s="149" t="inlineStr">
        <is>
          <t>חדש — לא היה ב-מקור</t>
        </is>
      </c>
    </row>
    <row r="259" ht="15" customHeight="1" s="82">
      <c r="A259" s="149">
        <f>'לקוחות לפי סוכן - מקור חדש'!B310</f>
        <v/>
      </c>
      <c r="B259" s="149">
        <f>'לקוחות לפי סוכן - מקור חדש'!C310</f>
        <v/>
      </c>
      <c r="C259" s="149" t="n"/>
      <c r="D259" s="149">
        <f>TRIM('לקוחות לפי סוכן - מקור חדש'!D310)</f>
        <v/>
      </c>
      <c r="E259" s="147">
        <f>'לקוחות לפי סוכן - מקור חדש'!F310</f>
        <v/>
      </c>
      <c r="F259" s="147">
        <f>'לקוחות לפי סוכן - מקור חדש'!H310</f>
        <v/>
      </c>
      <c r="G259" s="148">
        <f>'לקוחות לפי סוכן - מקור חדש'!E310</f>
        <v/>
      </c>
      <c r="H259" s="148">
        <f>'לקוחות לפי סוכן - מקור חדש'!G310</f>
        <v/>
      </c>
      <c r="I259" s="149" t="inlineStr">
        <is>
          <t>מכירות 25-26 לפי לקוח-סוכן</t>
        </is>
      </c>
      <c r="J259" s="149" t="inlineStr">
        <is>
          <t>חדש — לא היה ב-מקור</t>
        </is>
      </c>
    </row>
    <row r="260" ht="15" customHeight="1" s="82">
      <c r="A260" s="149">
        <f>'לקוחות לפי סוכן - מקור חדש'!B384</f>
        <v/>
      </c>
      <c r="B260" s="149">
        <f>'לקוחות לפי סוכן - מקור חדש'!C384</f>
        <v/>
      </c>
      <c r="C260" s="149" t="n"/>
      <c r="D260" s="149">
        <f>TRIM('לקוחות לפי סוכן - מקור חדש'!D384)</f>
        <v/>
      </c>
      <c r="E260" s="147">
        <f>'לקוחות לפי סוכן - מקור חדש'!F384</f>
        <v/>
      </c>
      <c r="F260" s="147">
        <f>'לקוחות לפי סוכן - מקור חדש'!H384</f>
        <v/>
      </c>
      <c r="G260" s="148">
        <f>'לקוחות לפי סוכן - מקור חדש'!E384</f>
        <v/>
      </c>
      <c r="H260" s="148">
        <f>'לקוחות לפי סוכן - מקור חדש'!G384</f>
        <v/>
      </c>
      <c r="I260" s="149" t="inlineStr">
        <is>
          <t>מכירות 25-26 לפי לקוח-סוכן</t>
        </is>
      </c>
      <c r="J260" s="149" t="inlineStr">
        <is>
          <t>חדש — לא היה ב-מקור</t>
        </is>
      </c>
    </row>
    <row r="261" ht="15" customHeight="1" s="82">
      <c r="A261" s="149">
        <f>'לקוחות לפי סוכן - מקור חדש'!B394</f>
        <v/>
      </c>
      <c r="B261" s="149">
        <f>'לקוחות לפי סוכן - מקור חדש'!C394</f>
        <v/>
      </c>
      <c r="C261" s="149" t="n"/>
      <c r="D261" s="149">
        <f>TRIM('לקוחות לפי סוכן - מקור חדש'!D394)</f>
        <v/>
      </c>
      <c r="E261" s="147">
        <f>'לקוחות לפי סוכן - מקור חדש'!F394</f>
        <v/>
      </c>
      <c r="F261" s="147">
        <f>'לקוחות לפי סוכן - מקור חדש'!H394</f>
        <v/>
      </c>
      <c r="G261" s="148">
        <f>'לקוחות לפי סוכן - מקור חדש'!E394</f>
        <v/>
      </c>
      <c r="H261" s="148">
        <f>'לקוחות לפי סוכן - מקור חדש'!G394</f>
        <v/>
      </c>
      <c r="I261" s="149" t="inlineStr">
        <is>
          <t>מכירות 25-26 לפי לקוח-סוכן</t>
        </is>
      </c>
      <c r="J261" s="149" t="inlineStr">
        <is>
          <t>חדש — לא היה ב-מקור</t>
        </is>
      </c>
    </row>
    <row r="262" ht="15" customHeight="1" s="82">
      <c r="A262" s="150">
        <f>'לקוחות לפי סוכן - מקור חדש'!B19</f>
        <v/>
      </c>
      <c r="B262" s="150">
        <f>'לקוחות לפי סוכן - מקור חדש'!C19</f>
        <v/>
      </c>
      <c r="C262" s="150" t="n"/>
      <c r="D262" s="150">
        <f>TRIM('לקוחות לפי סוכן - מקור חדש'!D19)</f>
        <v/>
      </c>
      <c r="E262" s="151">
        <f>'לקוחות לפי סוכן - מקור חדש'!F19</f>
        <v/>
      </c>
      <c r="F262" s="151">
        <f>'לקוחות לפי סוכן - מקור חדש'!H19</f>
        <v/>
      </c>
      <c r="G262" s="152">
        <f>'לקוחות לפי סוכן - מקור חדש'!E19</f>
        <v/>
      </c>
      <c r="H262" s="152">
        <f>'לקוחות לפי סוכן - מקור חדש'!G19</f>
        <v/>
      </c>
      <c r="I262" s="150" t="inlineStr">
        <is>
          <t>מכירות 25-26 לפי לקוח-סוכן</t>
        </is>
      </c>
      <c r="J262" s="150" t="inlineStr">
        <is>
          <t>התאמה לא ודאית — לבדיקת המשתמש</t>
        </is>
      </c>
    </row>
    <row r="264" ht="15" customHeight="1" s="82">
      <c r="A264" s="143" t="inlineStr">
        <is>
          <t>סטניסלב נסאר</t>
        </is>
      </c>
      <c r="B264" s="144" t="n"/>
      <c r="C264" s="144" t="n"/>
      <c r="D264" s="143" t="inlineStr">
        <is>
          <t>סה"כ 224 חנויות</t>
        </is>
      </c>
      <c r="E264" s="145">
        <f>SUM(E265:E488)</f>
        <v/>
      </c>
      <c r="F264" s="145">
        <f>SUM(F265:F488)</f>
        <v/>
      </c>
      <c r="G264" s="146">
        <f>SUM(G265:G488)</f>
        <v/>
      </c>
      <c r="H264" s="146">
        <f>SUM(H265:H488)</f>
        <v/>
      </c>
      <c r="I264" s="143" t="inlineStr">
        <is>
          <t>שני המקורות (מאוחד)</t>
        </is>
      </c>
      <c r="J264" s="144" t="n"/>
    </row>
    <row r="265" ht="15" customHeight="1" s="82">
      <c r="A265" s="139">
        <f>'לקוחות לפי סוכן - מקור'!A214</f>
        <v/>
      </c>
      <c r="B265" s="139">
        <f>'לקוחות לפי סוכן - מקור'!C214</f>
        <v/>
      </c>
      <c r="C265" s="139">
        <f>'לקוחות לפי סוכן - מקור'!D214</f>
        <v/>
      </c>
      <c r="D265" s="139">
        <f>'לקוחות לפי סוכן - מקור'!E214</f>
        <v/>
      </c>
      <c r="E265" s="147">
        <f>'לקוחות לפי סוכן - מקור'!F214</f>
        <v/>
      </c>
      <c r="F265" s="147">
        <f>'לקוחות לפי סוכן - מקור'!G214</f>
        <v/>
      </c>
      <c r="G265" s="148">
        <f>'לקוחות לפי סוכן - מקור'!H214</f>
        <v/>
      </c>
      <c r="H265" s="148">
        <f>'לקוחות לפי סוכן - מקור'!I214</f>
        <v/>
      </c>
      <c r="I265" s="139">
        <f>'לקוחות לפי סוכן - מקור'!K214</f>
        <v/>
      </c>
      <c r="J265" s="139" t="inlineStr">
        <is>
          <t>קיים במקור</t>
        </is>
      </c>
    </row>
    <row r="266" ht="15" customHeight="1" s="82">
      <c r="A266" s="139">
        <f>'לקוחות לפי סוכן - מקור'!A215</f>
        <v/>
      </c>
      <c r="B266" s="139">
        <f>'לקוחות לפי סוכן - מקור'!C215</f>
        <v/>
      </c>
      <c r="C266" s="139">
        <f>'לקוחות לפי סוכן - מקור'!D215</f>
        <v/>
      </c>
      <c r="D266" s="139">
        <f>'לקוחות לפי סוכן - מקור'!E215</f>
        <v/>
      </c>
      <c r="E266" s="147">
        <f>'לקוחות לפי סוכן - מקור'!F215</f>
        <v/>
      </c>
      <c r="F266" s="147">
        <f>'לקוחות לפי סוכן - מקור'!G215</f>
        <v/>
      </c>
      <c r="G266" s="148">
        <f>'לקוחות לפי סוכן - מקור'!H215</f>
        <v/>
      </c>
      <c r="H266" s="148">
        <f>'לקוחות לפי סוכן - מקור'!I215</f>
        <v/>
      </c>
      <c r="I266" s="139">
        <f>'לקוחות לפי סוכן - מקור'!K215</f>
        <v/>
      </c>
      <c r="J266" s="139" t="inlineStr">
        <is>
          <t>קיים במקור</t>
        </is>
      </c>
    </row>
    <row r="267" ht="15" customHeight="1" s="82">
      <c r="A267" s="139">
        <f>'לקוחות לפי סוכן - מקור'!A216</f>
        <v/>
      </c>
      <c r="B267" s="139">
        <f>'לקוחות לפי סוכן - מקור'!C216</f>
        <v/>
      </c>
      <c r="C267" s="139">
        <f>'לקוחות לפי סוכן - מקור'!D216</f>
        <v/>
      </c>
      <c r="D267" s="139">
        <f>'לקוחות לפי סוכן - מקור'!E216</f>
        <v/>
      </c>
      <c r="E267" s="147">
        <f>'לקוחות לפי סוכן - מקור'!F216</f>
        <v/>
      </c>
      <c r="F267" s="147">
        <f>'לקוחות לפי סוכן - מקור'!G216</f>
        <v/>
      </c>
      <c r="G267" s="148">
        <f>'לקוחות לפי סוכן - מקור'!H216</f>
        <v/>
      </c>
      <c r="H267" s="148">
        <f>'לקוחות לפי סוכן - מקור'!I216</f>
        <v/>
      </c>
      <c r="I267" s="139">
        <f>'לקוחות לפי סוכן - מקור'!K216</f>
        <v/>
      </c>
      <c r="J267" s="139" t="inlineStr">
        <is>
          <t>קיים במקור</t>
        </is>
      </c>
    </row>
    <row r="268" ht="15" customHeight="1" s="82">
      <c r="A268" s="139">
        <f>'לקוחות לפי סוכן - מקור'!A217</f>
        <v/>
      </c>
      <c r="B268" s="139">
        <f>'לקוחות לפי סוכן - מקור'!C217</f>
        <v/>
      </c>
      <c r="C268" s="139">
        <f>'לקוחות לפי סוכן - מקור'!D217</f>
        <v/>
      </c>
      <c r="D268" s="139">
        <f>'לקוחות לפי סוכן - מקור'!E217</f>
        <v/>
      </c>
      <c r="E268" s="147">
        <f>'לקוחות לפי סוכן - מקור'!F217</f>
        <v/>
      </c>
      <c r="F268" s="147">
        <f>'לקוחות לפי סוכן - מקור'!G217</f>
        <v/>
      </c>
      <c r="G268" s="148">
        <f>'לקוחות לפי סוכן - מקור'!H217</f>
        <v/>
      </c>
      <c r="H268" s="148">
        <f>'לקוחות לפי סוכן - מקור'!I217</f>
        <v/>
      </c>
      <c r="I268" s="139">
        <f>'לקוחות לפי סוכן - מקור'!K217</f>
        <v/>
      </c>
      <c r="J268" s="139" t="inlineStr">
        <is>
          <t>קיים במקור</t>
        </is>
      </c>
    </row>
    <row r="269" ht="15" customHeight="1" s="82">
      <c r="A269" s="139">
        <f>'לקוחות לפי סוכן - מקור'!A218</f>
        <v/>
      </c>
      <c r="B269" s="139">
        <f>'לקוחות לפי סוכן - מקור'!C218</f>
        <v/>
      </c>
      <c r="C269" s="139">
        <f>'לקוחות לפי סוכן - מקור'!D218</f>
        <v/>
      </c>
      <c r="D269" s="139">
        <f>'לקוחות לפי סוכן - מקור'!E218</f>
        <v/>
      </c>
      <c r="E269" s="147">
        <f>'לקוחות לפי סוכן - מקור'!F218</f>
        <v/>
      </c>
      <c r="F269" s="147">
        <f>'לקוחות לפי סוכן - מקור'!G218</f>
        <v/>
      </c>
      <c r="G269" s="148">
        <f>'לקוחות לפי סוכן - מקור'!H218</f>
        <v/>
      </c>
      <c r="H269" s="148">
        <f>'לקוחות לפי סוכן - מקור'!I218</f>
        <v/>
      </c>
      <c r="I269" s="139">
        <f>'לקוחות לפי סוכן - מקור'!K218</f>
        <v/>
      </c>
      <c r="J269" s="139" t="inlineStr">
        <is>
          <t>קיים במקור</t>
        </is>
      </c>
    </row>
    <row r="270" ht="15" customHeight="1" s="82">
      <c r="A270" s="139">
        <f>'לקוחות לפי סוכן - מקור'!A219</f>
        <v/>
      </c>
      <c r="B270" s="139">
        <f>'לקוחות לפי סוכן - מקור'!C219</f>
        <v/>
      </c>
      <c r="C270" s="139">
        <f>'לקוחות לפי סוכן - מקור'!D219</f>
        <v/>
      </c>
      <c r="D270" s="139">
        <f>'לקוחות לפי סוכן - מקור'!E219</f>
        <v/>
      </c>
      <c r="E270" s="147">
        <f>'לקוחות לפי סוכן - מקור'!F219</f>
        <v/>
      </c>
      <c r="F270" s="147">
        <f>'לקוחות לפי סוכן - מקור'!G219</f>
        <v/>
      </c>
      <c r="G270" s="148">
        <f>'לקוחות לפי סוכן - מקור'!H219</f>
        <v/>
      </c>
      <c r="H270" s="148">
        <f>'לקוחות לפי סוכן - מקור'!I219</f>
        <v/>
      </c>
      <c r="I270" s="139">
        <f>'לקוחות לפי סוכן - מקור'!K219</f>
        <v/>
      </c>
      <c r="J270" s="139" t="inlineStr">
        <is>
          <t>קיים במקור</t>
        </is>
      </c>
    </row>
    <row r="271" ht="15" customHeight="1" s="82">
      <c r="A271" s="139">
        <f>'לקוחות לפי סוכן - מקור'!A220</f>
        <v/>
      </c>
      <c r="B271" s="139">
        <f>'לקוחות לפי סוכן - מקור'!C220</f>
        <v/>
      </c>
      <c r="C271" s="139">
        <f>'לקוחות לפי סוכן - מקור'!D220</f>
        <v/>
      </c>
      <c r="D271" s="139">
        <f>'לקוחות לפי סוכן - מקור'!E220</f>
        <v/>
      </c>
      <c r="E271" s="147">
        <f>'לקוחות לפי סוכן - מקור'!F220</f>
        <v/>
      </c>
      <c r="F271" s="147">
        <f>'לקוחות לפי סוכן - מקור'!G220</f>
        <v/>
      </c>
      <c r="G271" s="148">
        <f>'לקוחות לפי סוכן - מקור'!H220</f>
        <v/>
      </c>
      <c r="H271" s="148">
        <f>'לקוחות לפי סוכן - מקור'!I220</f>
        <v/>
      </c>
      <c r="I271" s="139">
        <f>'לקוחות לפי סוכן - מקור'!K220</f>
        <v/>
      </c>
      <c r="J271" s="139" t="inlineStr">
        <is>
          <t>קיים במקור</t>
        </is>
      </c>
    </row>
    <row r="272" ht="15" customHeight="1" s="82">
      <c r="A272" s="139">
        <f>'לקוחות לפי סוכן - מקור'!A221</f>
        <v/>
      </c>
      <c r="B272" s="139">
        <f>'לקוחות לפי סוכן - מקור'!C221</f>
        <v/>
      </c>
      <c r="C272" s="139">
        <f>'לקוחות לפי סוכן - מקור'!D221</f>
        <v/>
      </c>
      <c r="D272" s="139">
        <f>'לקוחות לפי סוכן - מקור'!E221</f>
        <v/>
      </c>
      <c r="E272" s="147">
        <f>'לקוחות לפי סוכן - מקור'!F221</f>
        <v/>
      </c>
      <c r="F272" s="147">
        <f>'לקוחות לפי סוכן - מקור'!G221</f>
        <v/>
      </c>
      <c r="G272" s="148">
        <f>'לקוחות לפי סוכן - מקור'!H221</f>
        <v/>
      </c>
      <c r="H272" s="148">
        <f>'לקוחות לפי סוכן - מקור'!I221</f>
        <v/>
      </c>
      <c r="I272" s="139">
        <f>'לקוחות לפי סוכן - מקור'!K221</f>
        <v/>
      </c>
      <c r="J272" s="139" t="inlineStr">
        <is>
          <t>קיים במקור</t>
        </is>
      </c>
    </row>
    <row r="273" ht="15" customHeight="1" s="82">
      <c r="A273" s="139">
        <f>'לקוחות לפי סוכן - מקור'!A222</f>
        <v/>
      </c>
      <c r="B273" s="139">
        <f>'לקוחות לפי סוכן - מקור'!C222</f>
        <v/>
      </c>
      <c r="C273" s="139">
        <f>'לקוחות לפי סוכן - מקור'!D222</f>
        <v/>
      </c>
      <c r="D273" s="139">
        <f>'לקוחות לפי סוכן - מקור'!E222</f>
        <v/>
      </c>
      <c r="E273" s="147">
        <f>'לקוחות לפי סוכן - מקור'!F222</f>
        <v/>
      </c>
      <c r="F273" s="147">
        <f>'לקוחות לפי סוכן - מקור'!G222</f>
        <v/>
      </c>
      <c r="G273" s="148">
        <f>'לקוחות לפי סוכן - מקור'!H222</f>
        <v/>
      </c>
      <c r="H273" s="148">
        <f>'לקוחות לפי סוכן - מקור'!I222</f>
        <v/>
      </c>
      <c r="I273" s="139">
        <f>'לקוחות לפי סוכן - מקור'!K222</f>
        <v/>
      </c>
      <c r="J273" s="139" t="inlineStr">
        <is>
          <t>קיים במקור</t>
        </is>
      </c>
    </row>
    <row r="274" ht="15" customHeight="1" s="82">
      <c r="A274" s="139">
        <f>'לקוחות לפי סוכן - מקור'!A223</f>
        <v/>
      </c>
      <c r="B274" s="139">
        <f>'לקוחות לפי סוכן - מקור'!C223</f>
        <v/>
      </c>
      <c r="C274" s="139">
        <f>'לקוחות לפי סוכן - מקור'!D223</f>
        <v/>
      </c>
      <c r="D274" s="139">
        <f>'לקוחות לפי סוכן - מקור'!E223</f>
        <v/>
      </c>
      <c r="E274" s="147">
        <f>'לקוחות לפי סוכן - מקור'!F223</f>
        <v/>
      </c>
      <c r="F274" s="147">
        <f>'לקוחות לפי סוכן - מקור'!G223</f>
        <v/>
      </c>
      <c r="G274" s="148">
        <f>'לקוחות לפי סוכן - מקור'!H223</f>
        <v/>
      </c>
      <c r="H274" s="148">
        <f>'לקוחות לפי סוכן - מקור'!I223</f>
        <v/>
      </c>
      <c r="I274" s="139">
        <f>'לקוחות לפי סוכן - מקור'!K223</f>
        <v/>
      </c>
      <c r="J274" s="139" t="inlineStr">
        <is>
          <t>קיים במקור</t>
        </is>
      </c>
    </row>
    <row r="275" ht="15" customHeight="1" s="82">
      <c r="A275" s="139">
        <f>'לקוחות לפי סוכן - מקור'!A224</f>
        <v/>
      </c>
      <c r="B275" s="139">
        <f>'לקוחות לפי סוכן - מקור'!C224</f>
        <v/>
      </c>
      <c r="C275" s="139">
        <f>'לקוחות לפי סוכן - מקור'!D224</f>
        <v/>
      </c>
      <c r="D275" s="139">
        <f>'לקוחות לפי סוכן - מקור'!E224</f>
        <v/>
      </c>
      <c r="E275" s="147">
        <f>'לקוחות לפי סוכן - מקור'!F224</f>
        <v/>
      </c>
      <c r="F275" s="147">
        <f>'לקוחות לפי סוכן - מקור'!G224</f>
        <v/>
      </c>
      <c r="G275" s="148">
        <f>'לקוחות לפי סוכן - מקור'!H224</f>
        <v/>
      </c>
      <c r="H275" s="148">
        <f>'לקוחות לפי סוכן - מקור'!I224</f>
        <v/>
      </c>
      <c r="I275" s="139">
        <f>'לקוחות לפי סוכן - מקור'!K224</f>
        <v/>
      </c>
      <c r="J275" s="139" t="inlineStr">
        <is>
          <t>קיים במקור</t>
        </is>
      </c>
    </row>
    <row r="276" ht="15" customHeight="1" s="82">
      <c r="A276" s="139">
        <f>'לקוחות לפי סוכן - מקור'!A225</f>
        <v/>
      </c>
      <c r="B276" s="139">
        <f>'לקוחות לפי סוכן - מקור'!C225</f>
        <v/>
      </c>
      <c r="C276" s="139">
        <f>'לקוחות לפי סוכן - מקור'!D225</f>
        <v/>
      </c>
      <c r="D276" s="139">
        <f>'לקוחות לפי סוכן - מקור'!E225</f>
        <v/>
      </c>
      <c r="E276" s="147">
        <f>'לקוחות לפי סוכן - מקור'!F225</f>
        <v/>
      </c>
      <c r="F276" s="147">
        <f>'לקוחות לפי סוכן - מקור'!G225</f>
        <v/>
      </c>
      <c r="G276" s="148">
        <f>'לקוחות לפי סוכן - מקור'!H225</f>
        <v/>
      </c>
      <c r="H276" s="148">
        <f>'לקוחות לפי סוכן - מקור'!I225</f>
        <v/>
      </c>
      <c r="I276" s="139">
        <f>'לקוחות לפי סוכן - מקור'!K225</f>
        <v/>
      </c>
      <c r="J276" s="139" t="inlineStr">
        <is>
          <t>קיים במקור</t>
        </is>
      </c>
    </row>
    <row r="277" ht="15" customHeight="1" s="82">
      <c r="A277" s="139">
        <f>'לקוחות לפי סוכן - מקור'!A226</f>
        <v/>
      </c>
      <c r="B277" s="139">
        <f>'לקוחות לפי סוכן - מקור'!C226</f>
        <v/>
      </c>
      <c r="C277" s="139">
        <f>'לקוחות לפי סוכן - מקור'!D226</f>
        <v/>
      </c>
      <c r="D277" s="139">
        <f>'לקוחות לפי סוכן - מקור'!E226</f>
        <v/>
      </c>
      <c r="E277" s="147">
        <f>'לקוחות לפי סוכן - מקור'!F226</f>
        <v/>
      </c>
      <c r="F277" s="147">
        <f>'לקוחות לפי סוכן - מקור'!G226</f>
        <v/>
      </c>
      <c r="G277" s="148">
        <f>'לקוחות לפי סוכן - מקור'!H226</f>
        <v/>
      </c>
      <c r="H277" s="148">
        <f>'לקוחות לפי סוכן - מקור'!I226</f>
        <v/>
      </c>
      <c r="I277" s="139">
        <f>'לקוחות לפי סוכן - מקור'!K226</f>
        <v/>
      </c>
      <c r="J277" s="139" t="inlineStr">
        <is>
          <t>קיים במקור</t>
        </is>
      </c>
    </row>
    <row r="278" ht="15" customHeight="1" s="82">
      <c r="A278" s="139">
        <f>'לקוחות לפי סוכן - מקור'!A227</f>
        <v/>
      </c>
      <c r="B278" s="139">
        <f>'לקוחות לפי סוכן - מקור'!C227</f>
        <v/>
      </c>
      <c r="C278" s="139">
        <f>'לקוחות לפי סוכן - מקור'!D227</f>
        <v/>
      </c>
      <c r="D278" s="139">
        <f>'לקוחות לפי סוכן - מקור'!E227</f>
        <v/>
      </c>
      <c r="E278" s="147">
        <f>'לקוחות לפי סוכן - מקור'!F227</f>
        <v/>
      </c>
      <c r="F278" s="147">
        <f>'לקוחות לפי סוכן - מקור'!G227</f>
        <v/>
      </c>
      <c r="G278" s="148">
        <f>'לקוחות לפי סוכן - מקור'!H227</f>
        <v/>
      </c>
      <c r="H278" s="148">
        <f>'לקוחות לפי סוכן - מקור'!I227</f>
        <v/>
      </c>
      <c r="I278" s="139">
        <f>'לקוחות לפי סוכן - מקור'!K227</f>
        <v/>
      </c>
      <c r="J278" s="139" t="inlineStr">
        <is>
          <t>קיים במקור</t>
        </is>
      </c>
    </row>
    <row r="279" ht="15" customHeight="1" s="82">
      <c r="A279" s="139">
        <f>'לקוחות לפי סוכן - מקור'!A228</f>
        <v/>
      </c>
      <c r="B279" s="139">
        <f>'לקוחות לפי סוכן - מקור'!C228</f>
        <v/>
      </c>
      <c r="C279" s="139">
        <f>'לקוחות לפי סוכן - מקור'!D228</f>
        <v/>
      </c>
      <c r="D279" s="139">
        <f>'לקוחות לפי סוכן - מקור'!E228</f>
        <v/>
      </c>
      <c r="E279" s="147">
        <f>'לקוחות לפי סוכן - מקור'!F228</f>
        <v/>
      </c>
      <c r="F279" s="147">
        <f>'לקוחות לפי סוכן - מקור'!G228</f>
        <v/>
      </c>
      <c r="G279" s="148">
        <f>'לקוחות לפי סוכן - מקור'!H228</f>
        <v/>
      </c>
      <c r="H279" s="148">
        <f>'לקוחות לפי סוכן - מקור'!I228</f>
        <v/>
      </c>
      <c r="I279" s="139">
        <f>'לקוחות לפי סוכן - מקור'!K228</f>
        <v/>
      </c>
      <c r="J279" s="139" t="inlineStr">
        <is>
          <t>קיים במקור</t>
        </is>
      </c>
    </row>
    <row r="280" ht="15" customHeight="1" s="82">
      <c r="A280" s="139">
        <f>'לקוחות לפי סוכן - מקור'!A229</f>
        <v/>
      </c>
      <c r="B280" s="139">
        <f>'לקוחות לפי סוכן - מקור'!C229</f>
        <v/>
      </c>
      <c r="C280" s="139">
        <f>'לקוחות לפי סוכן - מקור'!D229</f>
        <v/>
      </c>
      <c r="D280" s="139">
        <f>'לקוחות לפי סוכן - מקור'!E229</f>
        <v/>
      </c>
      <c r="E280" s="147">
        <f>'לקוחות לפי סוכן - מקור'!F229</f>
        <v/>
      </c>
      <c r="F280" s="147">
        <f>'לקוחות לפי סוכן - מקור'!G229</f>
        <v/>
      </c>
      <c r="G280" s="148">
        <f>'לקוחות לפי סוכן - מקור'!H229</f>
        <v/>
      </c>
      <c r="H280" s="148">
        <f>'לקוחות לפי סוכן - מקור'!I229</f>
        <v/>
      </c>
      <c r="I280" s="139">
        <f>'לקוחות לפי סוכן - מקור'!K229</f>
        <v/>
      </c>
      <c r="J280" s="139" t="inlineStr">
        <is>
          <t>קיים במקור</t>
        </is>
      </c>
    </row>
    <row r="281" ht="15" customHeight="1" s="82">
      <c r="A281" s="139">
        <f>'לקוחות לפי סוכן - מקור'!A230</f>
        <v/>
      </c>
      <c r="B281" s="139">
        <f>'לקוחות לפי סוכן - מקור'!C230</f>
        <v/>
      </c>
      <c r="C281" s="139">
        <f>'לקוחות לפי סוכן - מקור'!D230</f>
        <v/>
      </c>
      <c r="D281" s="139">
        <f>'לקוחות לפי סוכן - מקור'!E230</f>
        <v/>
      </c>
      <c r="E281" s="147">
        <f>'לקוחות לפי סוכן - מקור'!F230</f>
        <v/>
      </c>
      <c r="F281" s="147">
        <f>'לקוחות לפי סוכן - מקור'!G230</f>
        <v/>
      </c>
      <c r="G281" s="148">
        <f>'לקוחות לפי סוכן - מקור'!H230</f>
        <v/>
      </c>
      <c r="H281" s="148">
        <f>'לקוחות לפי סוכן - מקור'!I230</f>
        <v/>
      </c>
      <c r="I281" s="139">
        <f>'לקוחות לפי סוכן - מקור'!K230</f>
        <v/>
      </c>
      <c r="J281" s="139" t="inlineStr">
        <is>
          <t>קיים במקור</t>
        </is>
      </c>
    </row>
    <row r="282" ht="15" customHeight="1" s="82">
      <c r="A282" s="139">
        <f>'לקוחות לפי סוכן - מקור'!A231</f>
        <v/>
      </c>
      <c r="B282" s="139">
        <f>'לקוחות לפי סוכן - מקור'!C231</f>
        <v/>
      </c>
      <c r="C282" s="139">
        <f>'לקוחות לפי סוכן - מקור'!D231</f>
        <v/>
      </c>
      <c r="D282" s="139">
        <f>'לקוחות לפי סוכן - מקור'!E231</f>
        <v/>
      </c>
      <c r="E282" s="147">
        <f>'לקוחות לפי סוכן - מקור'!F231</f>
        <v/>
      </c>
      <c r="F282" s="147">
        <f>'לקוחות לפי סוכן - מקור'!G231</f>
        <v/>
      </c>
      <c r="G282" s="148">
        <f>'לקוחות לפי סוכן - מקור'!H231</f>
        <v/>
      </c>
      <c r="H282" s="148">
        <f>'לקוחות לפי סוכן - מקור'!I231</f>
        <v/>
      </c>
      <c r="I282" s="139">
        <f>'לקוחות לפי סוכן - מקור'!K231</f>
        <v/>
      </c>
      <c r="J282" s="139" t="inlineStr">
        <is>
          <t>קיים במקור</t>
        </is>
      </c>
    </row>
    <row r="283" ht="15" customHeight="1" s="82">
      <c r="A283" s="139">
        <f>'לקוחות לפי סוכן - מקור'!A232</f>
        <v/>
      </c>
      <c r="B283" s="139">
        <f>'לקוחות לפי סוכן - מקור'!C232</f>
        <v/>
      </c>
      <c r="C283" s="139">
        <f>'לקוחות לפי סוכן - מקור'!D232</f>
        <v/>
      </c>
      <c r="D283" s="139">
        <f>'לקוחות לפי סוכן - מקור'!E232</f>
        <v/>
      </c>
      <c r="E283" s="147">
        <f>'לקוחות לפי סוכן - מקור'!F232</f>
        <v/>
      </c>
      <c r="F283" s="147">
        <f>'לקוחות לפי סוכן - מקור'!G232</f>
        <v/>
      </c>
      <c r="G283" s="148">
        <f>'לקוחות לפי סוכן - מקור'!H232</f>
        <v/>
      </c>
      <c r="H283" s="148">
        <f>'לקוחות לפי סוכן - מקור'!I232</f>
        <v/>
      </c>
      <c r="I283" s="139">
        <f>'לקוחות לפי סוכן - מקור'!K232</f>
        <v/>
      </c>
      <c r="J283" s="139" t="inlineStr">
        <is>
          <t>קיים במקור</t>
        </is>
      </c>
    </row>
    <row r="284" ht="15" customHeight="1" s="82">
      <c r="A284" s="139">
        <f>'לקוחות לפי סוכן - מקור'!A233</f>
        <v/>
      </c>
      <c r="B284" s="139">
        <f>'לקוחות לפי סוכן - מקור'!C233</f>
        <v/>
      </c>
      <c r="C284" s="139">
        <f>'לקוחות לפי סוכן - מקור'!D233</f>
        <v/>
      </c>
      <c r="D284" s="139">
        <f>'לקוחות לפי סוכן - מקור'!E233</f>
        <v/>
      </c>
      <c r="E284" s="147">
        <f>'לקוחות לפי סוכן - מקור'!F233</f>
        <v/>
      </c>
      <c r="F284" s="147">
        <f>'לקוחות לפי סוכן - מקור'!G233</f>
        <v/>
      </c>
      <c r="G284" s="148">
        <f>'לקוחות לפי סוכן - מקור'!H233</f>
        <v/>
      </c>
      <c r="H284" s="148">
        <f>'לקוחות לפי סוכן - מקור'!I233</f>
        <v/>
      </c>
      <c r="I284" s="139">
        <f>'לקוחות לפי סוכן - מקור'!K233</f>
        <v/>
      </c>
      <c r="J284" s="139" t="inlineStr">
        <is>
          <t>קיים במקור</t>
        </is>
      </c>
    </row>
    <row r="285" ht="15" customHeight="1" s="82">
      <c r="A285" s="139">
        <f>'לקוחות לפי סוכן - מקור'!A234</f>
        <v/>
      </c>
      <c r="B285" s="139">
        <f>'לקוחות לפי סוכן - מקור'!C234</f>
        <v/>
      </c>
      <c r="C285" s="139">
        <f>'לקוחות לפי סוכן - מקור'!D234</f>
        <v/>
      </c>
      <c r="D285" s="139">
        <f>'לקוחות לפי סוכן - מקור'!E234</f>
        <v/>
      </c>
      <c r="E285" s="147">
        <f>'לקוחות לפי סוכן - מקור'!F234</f>
        <v/>
      </c>
      <c r="F285" s="147">
        <f>'לקוחות לפי סוכן - מקור'!G234</f>
        <v/>
      </c>
      <c r="G285" s="148">
        <f>'לקוחות לפי סוכן - מקור'!H234</f>
        <v/>
      </c>
      <c r="H285" s="148">
        <f>'לקוחות לפי סוכן - מקור'!I234</f>
        <v/>
      </c>
      <c r="I285" s="139">
        <f>'לקוחות לפי סוכן - מקור'!K234</f>
        <v/>
      </c>
      <c r="J285" s="139" t="inlineStr">
        <is>
          <t>קיים במקור</t>
        </is>
      </c>
    </row>
    <row r="286" ht="15" customHeight="1" s="82">
      <c r="A286" s="139">
        <f>'לקוחות לפי סוכן - מקור'!A235</f>
        <v/>
      </c>
      <c r="B286" s="139">
        <f>'לקוחות לפי סוכן - מקור'!C235</f>
        <v/>
      </c>
      <c r="C286" s="139">
        <f>'לקוחות לפי סוכן - מקור'!D235</f>
        <v/>
      </c>
      <c r="D286" s="139">
        <f>'לקוחות לפי סוכן - מקור'!E235</f>
        <v/>
      </c>
      <c r="E286" s="147">
        <f>'לקוחות לפי סוכן - מקור'!F235</f>
        <v/>
      </c>
      <c r="F286" s="147">
        <f>'לקוחות לפי סוכן - מקור'!G235</f>
        <v/>
      </c>
      <c r="G286" s="148">
        <f>'לקוחות לפי סוכן - מקור'!H235</f>
        <v/>
      </c>
      <c r="H286" s="148">
        <f>'לקוחות לפי סוכן - מקור'!I235</f>
        <v/>
      </c>
      <c r="I286" s="139">
        <f>'לקוחות לפי סוכן - מקור'!K235</f>
        <v/>
      </c>
      <c r="J286" s="139" t="inlineStr">
        <is>
          <t>קיים במקור</t>
        </is>
      </c>
    </row>
    <row r="287" ht="15" customHeight="1" s="82">
      <c r="A287" s="139">
        <f>'לקוחות לפי סוכן - מקור'!A236</f>
        <v/>
      </c>
      <c r="B287" s="139">
        <f>'לקוחות לפי סוכן - מקור'!C236</f>
        <v/>
      </c>
      <c r="C287" s="139">
        <f>'לקוחות לפי סוכן - מקור'!D236</f>
        <v/>
      </c>
      <c r="D287" s="139">
        <f>'לקוחות לפי סוכן - מקור'!E236</f>
        <v/>
      </c>
      <c r="E287" s="147">
        <f>'לקוחות לפי סוכן - מקור'!F236</f>
        <v/>
      </c>
      <c r="F287" s="147">
        <f>'לקוחות לפי סוכן - מקור'!G236</f>
        <v/>
      </c>
      <c r="G287" s="148">
        <f>'לקוחות לפי סוכן - מקור'!H236</f>
        <v/>
      </c>
      <c r="H287" s="148">
        <f>'לקוחות לפי סוכן - מקור'!I236</f>
        <v/>
      </c>
      <c r="I287" s="139">
        <f>'לקוחות לפי סוכן - מקור'!K236</f>
        <v/>
      </c>
      <c r="J287" s="139" t="inlineStr">
        <is>
          <t>קיים במקור</t>
        </is>
      </c>
    </row>
    <row r="288" ht="15" customHeight="1" s="82">
      <c r="A288" s="139">
        <f>'לקוחות לפי סוכן - מקור'!A237</f>
        <v/>
      </c>
      <c r="B288" s="139">
        <f>'לקוחות לפי סוכן - מקור'!C237</f>
        <v/>
      </c>
      <c r="C288" s="139">
        <f>'לקוחות לפי סוכן - מקור'!D237</f>
        <v/>
      </c>
      <c r="D288" s="139">
        <f>'לקוחות לפי סוכן - מקור'!E237</f>
        <v/>
      </c>
      <c r="E288" s="147">
        <f>'לקוחות לפי סוכן - מקור'!F237</f>
        <v/>
      </c>
      <c r="F288" s="147">
        <f>'לקוחות לפי סוכן - מקור'!G237</f>
        <v/>
      </c>
      <c r="G288" s="148">
        <f>'לקוחות לפי סוכן - מקור'!H237</f>
        <v/>
      </c>
      <c r="H288" s="148">
        <f>'לקוחות לפי סוכן - מקור'!I237</f>
        <v/>
      </c>
      <c r="I288" s="139">
        <f>'לקוחות לפי סוכן - מקור'!K237</f>
        <v/>
      </c>
      <c r="J288" s="139" t="inlineStr">
        <is>
          <t>קיים במקור</t>
        </is>
      </c>
    </row>
    <row r="289" ht="15" customHeight="1" s="82">
      <c r="A289" s="139">
        <f>'לקוחות לפי סוכן - מקור'!A238</f>
        <v/>
      </c>
      <c r="B289" s="139">
        <f>'לקוחות לפי סוכן - מקור'!C238</f>
        <v/>
      </c>
      <c r="C289" s="139">
        <f>'לקוחות לפי סוכן - מקור'!D238</f>
        <v/>
      </c>
      <c r="D289" s="139">
        <f>'לקוחות לפי סוכן - מקור'!E238</f>
        <v/>
      </c>
      <c r="E289" s="147">
        <f>'לקוחות לפי סוכן - מקור'!F238</f>
        <v/>
      </c>
      <c r="F289" s="147">
        <f>'לקוחות לפי סוכן - מקור'!G238</f>
        <v/>
      </c>
      <c r="G289" s="148">
        <f>'לקוחות לפי סוכן - מקור'!H238</f>
        <v/>
      </c>
      <c r="H289" s="148">
        <f>'לקוחות לפי סוכן - מקור'!I238</f>
        <v/>
      </c>
      <c r="I289" s="139">
        <f>'לקוחות לפי סוכן - מקור'!K238</f>
        <v/>
      </c>
      <c r="J289" s="139" t="inlineStr">
        <is>
          <t>קיים במקור</t>
        </is>
      </c>
    </row>
    <row r="290" ht="15" customHeight="1" s="82">
      <c r="A290" s="139">
        <f>'לקוחות לפי סוכן - מקור'!A239</f>
        <v/>
      </c>
      <c r="B290" s="139">
        <f>'לקוחות לפי סוכן - מקור'!C239</f>
        <v/>
      </c>
      <c r="C290" s="139">
        <f>'לקוחות לפי סוכן - מקור'!D239</f>
        <v/>
      </c>
      <c r="D290" s="139">
        <f>'לקוחות לפי סוכן - מקור'!E239</f>
        <v/>
      </c>
      <c r="E290" s="147">
        <f>'לקוחות לפי סוכן - מקור'!F239</f>
        <v/>
      </c>
      <c r="F290" s="147">
        <f>'לקוחות לפי סוכן - מקור'!G239</f>
        <v/>
      </c>
      <c r="G290" s="148">
        <f>'לקוחות לפי סוכן - מקור'!H239</f>
        <v/>
      </c>
      <c r="H290" s="148">
        <f>'לקוחות לפי סוכן - מקור'!I239</f>
        <v/>
      </c>
      <c r="I290" s="139">
        <f>'לקוחות לפי סוכן - מקור'!K239</f>
        <v/>
      </c>
      <c r="J290" s="139" t="inlineStr">
        <is>
          <t>קיים במקור</t>
        </is>
      </c>
    </row>
    <row r="291" ht="15" customHeight="1" s="82">
      <c r="A291" s="139">
        <f>'לקוחות לפי סוכן - מקור'!A240</f>
        <v/>
      </c>
      <c r="B291" s="139">
        <f>'לקוחות לפי סוכן - מקור'!C240</f>
        <v/>
      </c>
      <c r="C291" s="139">
        <f>'לקוחות לפי סוכן - מקור'!D240</f>
        <v/>
      </c>
      <c r="D291" s="139">
        <f>'לקוחות לפי סוכן - מקור'!E240</f>
        <v/>
      </c>
      <c r="E291" s="147">
        <f>'לקוחות לפי סוכן - מקור'!F240</f>
        <v/>
      </c>
      <c r="F291" s="147">
        <f>'לקוחות לפי סוכן - מקור'!G240</f>
        <v/>
      </c>
      <c r="G291" s="148">
        <f>'לקוחות לפי סוכן - מקור'!H240</f>
        <v/>
      </c>
      <c r="H291" s="148">
        <f>'לקוחות לפי סוכן - מקור'!I240</f>
        <v/>
      </c>
      <c r="I291" s="139">
        <f>'לקוחות לפי סוכן - מקור'!K240</f>
        <v/>
      </c>
      <c r="J291" s="139" t="inlineStr">
        <is>
          <t>קיים במקור</t>
        </is>
      </c>
    </row>
    <row r="292" ht="15" customHeight="1" s="82">
      <c r="A292" s="139">
        <f>'לקוחות לפי סוכן - מקור'!A241</f>
        <v/>
      </c>
      <c r="B292" s="139">
        <f>'לקוחות לפי סוכן - מקור'!C241</f>
        <v/>
      </c>
      <c r="C292" s="139">
        <f>'לקוחות לפי סוכן - מקור'!D241</f>
        <v/>
      </c>
      <c r="D292" s="139">
        <f>'לקוחות לפי סוכן - מקור'!E241</f>
        <v/>
      </c>
      <c r="E292" s="147">
        <f>IF('לקוחות לפי סוכן - מקור'!F241="",'לקוחות לפי סוכן - מקור חדש'!F184,'לקוחות לפי סוכן - מקור'!F241)</f>
        <v/>
      </c>
      <c r="F292" s="147">
        <f>IF('לקוחות לפי סוכן - מקור'!G241="",'לקוחות לפי סוכן - מקור חדש'!H184,'לקוחות לפי סוכן - מקור'!G241)</f>
        <v/>
      </c>
      <c r="G292" s="148">
        <f>IF('לקוחות לפי סוכן - מקור'!H241="",'לקוחות לפי סוכן - מקור חדש'!E184,'לקוחות לפי סוכן - מקור'!H241)</f>
        <v/>
      </c>
      <c r="H292" s="148">
        <f>IF('לקוחות לפי סוכן - מקור'!I241="",'לקוחות לפי סוכן - מקור חדש'!G184,'לקוחות לפי סוכן - מקור'!I241)</f>
        <v/>
      </c>
      <c r="I292" s="139" t="inlineStr">
        <is>
          <t>שני המקורות</t>
        </is>
      </c>
      <c r="J292" s="139" t="inlineStr">
        <is>
          <t>קיים במקור (CHMI) + מכר 2025/כמויות הושלמו מהקובץ החדש</t>
        </is>
      </c>
    </row>
    <row r="293" ht="15" customHeight="1" s="82">
      <c r="A293" s="139">
        <f>'לקוחות לפי סוכן - מקור'!A242</f>
        <v/>
      </c>
      <c r="B293" s="139">
        <f>'לקוחות לפי סוכן - מקור'!C242</f>
        <v/>
      </c>
      <c r="C293" s="139">
        <f>'לקוחות לפי סוכן - מקור'!D242</f>
        <v/>
      </c>
      <c r="D293" s="139">
        <f>'לקוחות לפי סוכן - מקור'!E242</f>
        <v/>
      </c>
      <c r="E293" s="147">
        <f>'לקוחות לפי סוכן - מקור'!F242</f>
        <v/>
      </c>
      <c r="F293" s="147">
        <f>'לקוחות לפי סוכן - מקור'!G242</f>
        <v/>
      </c>
      <c r="G293" s="148">
        <f>'לקוחות לפי סוכן - מקור'!H242</f>
        <v/>
      </c>
      <c r="H293" s="148">
        <f>'לקוחות לפי סוכן - מקור'!I242</f>
        <v/>
      </c>
      <c r="I293" s="139">
        <f>'לקוחות לפי סוכן - מקור'!K242</f>
        <v/>
      </c>
      <c r="J293" s="139" t="inlineStr">
        <is>
          <t>קיים במקור</t>
        </is>
      </c>
    </row>
    <row r="294" ht="15" customHeight="1" s="82">
      <c r="A294" s="139">
        <f>'לקוחות לפי סוכן - מקור'!A243</f>
        <v/>
      </c>
      <c r="B294" s="139">
        <f>'לקוחות לפי סוכן - מקור'!C243</f>
        <v/>
      </c>
      <c r="C294" s="139">
        <f>'לקוחות לפי סוכן - מקור'!D243</f>
        <v/>
      </c>
      <c r="D294" s="139">
        <f>'לקוחות לפי סוכן - מקור'!E243</f>
        <v/>
      </c>
      <c r="E294" s="147">
        <f>IF('לקוחות לפי סוכן - מקור'!F243="",'לקוחות לפי סוכן - מקור חדש'!F224,'לקוחות לפי סוכן - מקור'!F243)</f>
        <v/>
      </c>
      <c r="F294" s="147">
        <f>IF('לקוחות לפי סוכן - מקור'!G243="",'לקוחות לפי סוכן - מקור חדש'!H224,'לקוחות לפי סוכן - מקור'!G243)</f>
        <v/>
      </c>
      <c r="G294" s="148">
        <f>IF('לקוחות לפי סוכן - מקור'!H243="",'לקוחות לפי סוכן - מקור חדש'!E224,'לקוחות לפי סוכן - מקור'!H243)</f>
        <v/>
      </c>
      <c r="H294" s="148">
        <f>IF('לקוחות לפי סוכן - מקור'!I243="",'לקוחות לפי סוכן - מקור חדש'!G224,'לקוחות לפי סוכן - מקור'!I243)</f>
        <v/>
      </c>
      <c r="I294" s="139" t="inlineStr">
        <is>
          <t>שני המקורות</t>
        </is>
      </c>
      <c r="J294" s="139" t="inlineStr">
        <is>
          <t>קיים במקור (CHMI) + מכר 2025/כמויות הושלמו מהקובץ החדש</t>
        </is>
      </c>
    </row>
    <row r="295" ht="15" customHeight="1" s="82">
      <c r="A295" s="139">
        <f>'לקוחות לפי סוכן - מקור'!A244</f>
        <v/>
      </c>
      <c r="B295" s="139">
        <f>'לקוחות לפי סוכן - מקור'!C244</f>
        <v/>
      </c>
      <c r="C295" s="139">
        <f>'לקוחות לפי סוכן - מקור'!D244</f>
        <v/>
      </c>
      <c r="D295" s="139">
        <f>'לקוחות לפי סוכן - מקור'!E244</f>
        <v/>
      </c>
      <c r="E295" s="147">
        <f>'לקוחות לפי סוכן - מקור'!F244</f>
        <v/>
      </c>
      <c r="F295" s="147">
        <f>'לקוחות לפי סוכן - מקור'!G244</f>
        <v/>
      </c>
      <c r="G295" s="148">
        <f>'לקוחות לפי סוכן - מקור'!H244</f>
        <v/>
      </c>
      <c r="H295" s="148">
        <f>'לקוחות לפי סוכן - מקור'!I244</f>
        <v/>
      </c>
      <c r="I295" s="139">
        <f>'לקוחות לפי סוכן - מקור'!K244</f>
        <v/>
      </c>
      <c r="J295" s="139" t="inlineStr">
        <is>
          <t>קיים במקור</t>
        </is>
      </c>
    </row>
    <row r="296" ht="15" customHeight="1" s="82">
      <c r="A296" s="139">
        <f>'לקוחות לפי סוכן - מקור'!A245</f>
        <v/>
      </c>
      <c r="B296" s="139">
        <f>'לקוחות לפי סוכן - מקור'!C245</f>
        <v/>
      </c>
      <c r="C296" s="139">
        <f>'לקוחות לפי סוכן - מקור'!D245</f>
        <v/>
      </c>
      <c r="D296" s="139">
        <f>'לקוחות לפי סוכן - מקור'!E245</f>
        <v/>
      </c>
      <c r="E296" s="147">
        <f>IF('לקוחות לפי סוכן - מקור'!F245="",'לקוחות לפי סוכן - מקור חדש'!F319,'לקוחות לפי סוכן - מקור'!F245)</f>
        <v/>
      </c>
      <c r="F296" s="147">
        <f>IF('לקוחות לפי סוכן - מקור'!G245="",'לקוחות לפי סוכן - מקור חדש'!H319,'לקוחות לפי סוכן - מקור'!G245)</f>
        <v/>
      </c>
      <c r="G296" s="148">
        <f>IF('לקוחות לפי סוכן - מקור'!H245="",'לקוחות לפי סוכן - מקור חדש'!E319,'לקוחות לפי סוכן - מקור'!H245)</f>
        <v/>
      </c>
      <c r="H296" s="148">
        <f>IF('לקוחות לפי סוכן - מקור'!I245="",'לקוחות לפי סוכן - מקור חדש'!G319,'לקוחות לפי סוכן - מקור'!I245)</f>
        <v/>
      </c>
      <c r="I296" s="139" t="inlineStr">
        <is>
          <t>שני המקורות</t>
        </is>
      </c>
      <c r="J296" s="139" t="inlineStr">
        <is>
          <t>קיים במקור (CHMI) + מכר 2025/כמויות הושלמו מהקובץ החדש — פער ב-2026 מול הקובץ החדש, נבחר המקור</t>
        </is>
      </c>
    </row>
    <row r="297" ht="15" customHeight="1" s="82">
      <c r="A297" s="139">
        <f>'לקוחות לפי סוכן - מקור'!A246</f>
        <v/>
      </c>
      <c r="B297" s="139">
        <f>'לקוחות לפי סוכן - מקור'!C246</f>
        <v/>
      </c>
      <c r="C297" s="139">
        <f>'לקוחות לפי סוכן - מקור'!D246</f>
        <v/>
      </c>
      <c r="D297" s="139">
        <f>'לקוחות לפי סוכן - מקור'!E246</f>
        <v/>
      </c>
      <c r="E297" s="147">
        <f>IF('לקוחות לפי סוכן - מקור'!F246="",'לקוחות לפי סוכן - מקור חדש'!F320,'לקוחות לפי סוכן - מקור'!F246)</f>
        <v/>
      </c>
      <c r="F297" s="147">
        <f>IF('לקוחות לפי סוכן - מקור'!G246="",'לקוחות לפי סוכן - מקור חדש'!H320,'לקוחות לפי סוכן - מקור'!G246)</f>
        <v/>
      </c>
      <c r="G297" s="148">
        <f>IF('לקוחות לפי סוכן - מקור'!H246="",'לקוחות לפי סוכן - מקור חדש'!E320,'לקוחות לפי סוכן - מקור'!H246)</f>
        <v/>
      </c>
      <c r="H297" s="148">
        <f>IF('לקוחות לפי סוכן - מקור'!I246="",'לקוחות לפי סוכן - מקור חדש'!G320,'לקוחות לפי סוכן - מקור'!I246)</f>
        <v/>
      </c>
      <c r="I297" s="139" t="inlineStr">
        <is>
          <t>שני המקורות</t>
        </is>
      </c>
      <c r="J297" s="139" t="inlineStr">
        <is>
          <t>קיים במקור (CHMI) + מכר 2025/כמויות הושלמו מהקובץ החדש</t>
        </is>
      </c>
    </row>
    <row r="298" ht="15" customHeight="1" s="82">
      <c r="A298" s="139">
        <f>'לקוחות לפי סוכן - מקור'!A247</f>
        <v/>
      </c>
      <c r="B298" s="139">
        <f>'לקוחות לפי סוכן - מקור'!C247</f>
        <v/>
      </c>
      <c r="C298" s="139">
        <f>'לקוחות לפי סוכן - מקור'!D247</f>
        <v/>
      </c>
      <c r="D298" s="139">
        <f>'לקוחות לפי סוכן - מקור'!E247</f>
        <v/>
      </c>
      <c r="E298" s="147">
        <f>IF('לקוחות לפי סוכן - מקור'!F247="",'לקוחות לפי סוכן - מקור חדש'!F321,'לקוחות לפי סוכן - מקור'!F247)</f>
        <v/>
      </c>
      <c r="F298" s="147">
        <f>IF('לקוחות לפי סוכן - מקור'!G247="",'לקוחות לפי סוכן - מקור חדש'!H321,'לקוחות לפי סוכן - מקור'!G247)</f>
        <v/>
      </c>
      <c r="G298" s="148">
        <f>IF('לקוחות לפי סוכן - מקור'!H247="",'לקוחות לפי סוכן - מקור חדש'!E321,'לקוחות לפי סוכן - מקור'!H247)</f>
        <v/>
      </c>
      <c r="H298" s="148">
        <f>IF('לקוחות לפי סוכן - מקור'!I247="",'לקוחות לפי סוכן - מקור חדש'!G321,'לקוחות לפי סוכן - מקור'!I247)</f>
        <v/>
      </c>
      <c r="I298" s="139" t="inlineStr">
        <is>
          <t>שני המקורות</t>
        </is>
      </c>
      <c r="J298" s="139" t="inlineStr">
        <is>
          <t>קיים במקור (CHMI) + מכר 2025/כמויות הושלמו מהקובץ החדש</t>
        </is>
      </c>
    </row>
    <row r="299" ht="15" customHeight="1" s="82">
      <c r="A299" s="139">
        <f>'לקוחות לפי סוכן - מקור'!A248</f>
        <v/>
      </c>
      <c r="B299" s="139">
        <f>'לקוחות לפי סוכן - מקור'!C248</f>
        <v/>
      </c>
      <c r="C299" s="139">
        <f>'לקוחות לפי סוכן - מקור'!D248</f>
        <v/>
      </c>
      <c r="D299" s="139">
        <f>'לקוחות לפי סוכן - מקור'!E248</f>
        <v/>
      </c>
      <c r="E299" s="147">
        <f>IF('לקוחות לפי סוכן - מקור'!F248="",'לקוחות לפי סוכן - מקור חדש'!F322,'לקוחות לפי סוכן - מקור'!F248)</f>
        <v/>
      </c>
      <c r="F299" s="147">
        <f>IF('לקוחות לפי סוכן - מקור'!G248="",'לקוחות לפי סוכן - מקור חדש'!H322,'לקוחות לפי סוכן - מקור'!G248)</f>
        <v/>
      </c>
      <c r="G299" s="148">
        <f>IF('לקוחות לפי סוכן - מקור'!H248="",'לקוחות לפי סוכן - מקור חדש'!E322,'לקוחות לפי סוכן - מקור'!H248)</f>
        <v/>
      </c>
      <c r="H299" s="148">
        <f>IF('לקוחות לפי סוכן - מקור'!I248="",'לקוחות לפי סוכן - מקור חדש'!G322,'לקוחות לפי סוכן - מקור'!I248)</f>
        <v/>
      </c>
      <c r="I299" s="139" t="inlineStr">
        <is>
          <t>שני המקורות</t>
        </is>
      </c>
      <c r="J299" s="139" t="inlineStr">
        <is>
          <t>קיים במקור (CHMI) + מכר 2025/כמויות הושלמו מהקובץ החדש</t>
        </is>
      </c>
    </row>
    <row r="300" ht="15" customHeight="1" s="82">
      <c r="A300" s="139">
        <f>'לקוחות לפי סוכן - מקור'!A249</f>
        <v/>
      </c>
      <c r="B300" s="139">
        <f>'לקוחות לפי סוכן - מקור'!C249</f>
        <v/>
      </c>
      <c r="C300" s="139">
        <f>'לקוחות לפי סוכן - מקור'!D249</f>
        <v/>
      </c>
      <c r="D300" s="139">
        <f>'לקוחות לפי סוכן - מקור'!E249</f>
        <v/>
      </c>
      <c r="E300" s="147">
        <f>IF('לקוחות לפי סוכן - מקור'!F249="",'לקוחות לפי סוכן - מקור חדש'!F324,'לקוחות לפי סוכן - מקור'!F249)</f>
        <v/>
      </c>
      <c r="F300" s="147">
        <f>IF('לקוחות לפי סוכן - מקור'!G249="",'לקוחות לפי סוכן - מקור חדש'!H324,'לקוחות לפי סוכן - מקור'!G249)</f>
        <v/>
      </c>
      <c r="G300" s="148">
        <f>IF('לקוחות לפי סוכן - מקור'!H249="",'לקוחות לפי סוכן - מקור חדש'!E324,'לקוחות לפי סוכן - מקור'!H249)</f>
        <v/>
      </c>
      <c r="H300" s="148">
        <f>IF('לקוחות לפי סוכן - מקור'!I249="",'לקוחות לפי סוכן - מקור חדש'!G324,'לקוחות לפי סוכן - מקור'!I249)</f>
        <v/>
      </c>
      <c r="I300" s="139" t="inlineStr">
        <is>
          <t>שני המקורות</t>
        </is>
      </c>
      <c r="J300" s="139" t="inlineStr">
        <is>
          <t>קיים במקור (CHMI) + מכר 2025/כמויות הושלמו מהקובץ החדש</t>
        </is>
      </c>
    </row>
    <row r="301" ht="15" customHeight="1" s="82">
      <c r="A301" s="139">
        <f>'לקוחות לפי סוכן - מקור'!A250</f>
        <v/>
      </c>
      <c r="B301" s="139">
        <f>'לקוחות לפי סוכן - מקור'!C250</f>
        <v/>
      </c>
      <c r="C301" s="139">
        <f>'לקוחות לפי סוכן - מקור'!D250</f>
        <v/>
      </c>
      <c r="D301" s="139">
        <f>'לקוחות לפי סוכן - מקור'!E250</f>
        <v/>
      </c>
      <c r="E301" s="147">
        <f>IF('לקוחות לפי סוכן - מקור'!F250="",'לקוחות לפי סוכן - מקור חדש'!F325,'לקוחות לפי סוכן - מקור'!F250)</f>
        <v/>
      </c>
      <c r="F301" s="147">
        <f>IF('לקוחות לפי סוכן - מקור'!G250="",'לקוחות לפי סוכן - מקור חדש'!H325,'לקוחות לפי סוכן - מקור'!G250)</f>
        <v/>
      </c>
      <c r="G301" s="148">
        <f>IF('לקוחות לפי סוכן - מקור'!H250="",'לקוחות לפי סוכן - מקור חדש'!E325,'לקוחות לפי סוכן - מקור'!H250)</f>
        <v/>
      </c>
      <c r="H301" s="148">
        <f>IF('לקוחות לפי סוכן - מקור'!I250="",'לקוחות לפי סוכן - מקור חדש'!G325,'לקוחות לפי סוכן - מקור'!I250)</f>
        <v/>
      </c>
      <c r="I301" s="139" t="inlineStr">
        <is>
          <t>שני המקורות</t>
        </is>
      </c>
      <c r="J301" s="139" t="inlineStr">
        <is>
          <t>קיים במקור (CHMI) + מכר 2025/כמויות הושלמו מהקובץ החדש</t>
        </is>
      </c>
    </row>
    <row r="302" ht="15" customHeight="1" s="82">
      <c r="A302" s="139">
        <f>'לקוחות לפי סוכן - מקור'!A251</f>
        <v/>
      </c>
      <c r="B302" s="139">
        <f>'לקוחות לפי סוכן - מקור'!C251</f>
        <v/>
      </c>
      <c r="C302" s="139">
        <f>'לקוחות לפי סוכן - מקור'!D251</f>
        <v/>
      </c>
      <c r="D302" s="139">
        <f>'לקוחות לפי סוכן - מקור'!E251</f>
        <v/>
      </c>
      <c r="E302" s="147">
        <f>IF('לקוחות לפי סוכן - מקור'!F251="",'לקוחות לפי סוכן - מקור חדש'!F348,'לקוחות לפי סוכן - מקור'!F251)</f>
        <v/>
      </c>
      <c r="F302" s="147">
        <f>IF('לקוחות לפי סוכן - מקור'!G251="",'לקוחות לפי סוכן - מקור חדש'!H348,'לקוחות לפי סוכן - מקור'!G251)</f>
        <v/>
      </c>
      <c r="G302" s="148">
        <f>IF('לקוחות לפי סוכן - מקור'!H251="",'לקוחות לפי סוכן - מקור חדש'!E348,'לקוחות לפי סוכן - מקור'!H251)</f>
        <v/>
      </c>
      <c r="H302" s="148">
        <f>IF('לקוחות לפי סוכן - מקור'!I251="",'לקוחות לפי סוכן - מקור חדש'!G348,'לקוחות לפי סוכן - מקור'!I251)</f>
        <v/>
      </c>
      <c r="I302" s="139" t="inlineStr">
        <is>
          <t>שני המקורות</t>
        </is>
      </c>
      <c r="J302" s="139" t="inlineStr">
        <is>
          <t>קיים במקור (CHMI) + מכר 2025/כמויות הושלמו מהקובץ החדש</t>
        </is>
      </c>
    </row>
    <row r="303" ht="15" customHeight="1" s="82">
      <c r="A303" s="139">
        <f>'לקוחות לפי סוכן - מקור'!A252</f>
        <v/>
      </c>
      <c r="B303" s="139">
        <f>'לקוחות לפי סוכן - מקור'!C252</f>
        <v/>
      </c>
      <c r="C303" s="139">
        <f>'לקוחות לפי סוכן - מקור'!D252</f>
        <v/>
      </c>
      <c r="D303" s="139">
        <f>'לקוחות לפי סוכן - מקור'!E252</f>
        <v/>
      </c>
      <c r="E303" s="147">
        <f>IF('לקוחות לפי סוכן - מקור'!F252="",'לקוחות לפי סוכן - מקור חדש'!F350,'לקוחות לפי סוכן - מקור'!F252)</f>
        <v/>
      </c>
      <c r="F303" s="147">
        <f>IF('לקוחות לפי סוכן - מקור'!G252="",'לקוחות לפי סוכן - מקור חדש'!H350,'לקוחות לפי סוכן - מקור'!G252)</f>
        <v/>
      </c>
      <c r="G303" s="148">
        <f>IF('לקוחות לפי סוכן - מקור'!H252="",'לקוחות לפי סוכן - מקור חדש'!E350,'לקוחות לפי סוכן - מקור'!H252)</f>
        <v/>
      </c>
      <c r="H303" s="148">
        <f>IF('לקוחות לפי סוכן - מקור'!I252="",'לקוחות לפי סוכן - מקור חדש'!G350,'לקוחות לפי סוכן - מקור'!I252)</f>
        <v/>
      </c>
      <c r="I303" s="139" t="inlineStr">
        <is>
          <t>שני המקורות</t>
        </is>
      </c>
      <c r="J303" s="139" t="inlineStr">
        <is>
          <t>קיים במקור (CHMI) + מכר 2025/כמויות הושלמו מהקובץ החדש</t>
        </is>
      </c>
    </row>
    <row r="304" ht="15" customHeight="1" s="82">
      <c r="A304" s="139">
        <f>'לקוחות לפי סוכן - מקור'!A253</f>
        <v/>
      </c>
      <c r="B304" s="139">
        <f>'לקוחות לפי סוכן - מקור'!C253</f>
        <v/>
      </c>
      <c r="C304" s="139">
        <f>'לקוחות לפי סוכן - מקור'!D253</f>
        <v/>
      </c>
      <c r="D304" s="139">
        <f>'לקוחות לפי סוכן - מקור'!E253</f>
        <v/>
      </c>
      <c r="E304" s="147">
        <f>IF('לקוחות לפי סוכן - מקור'!F253="",'לקוחות לפי סוכן - מקור חדש'!F357,'לקוחות לפי סוכן - מקור'!F253)</f>
        <v/>
      </c>
      <c r="F304" s="147">
        <f>IF('לקוחות לפי סוכן - מקור'!G253="",'לקוחות לפי סוכן - מקור חדש'!H357,'לקוחות לפי סוכן - מקור'!G253)</f>
        <v/>
      </c>
      <c r="G304" s="148">
        <f>IF('לקוחות לפי סוכן - מקור'!H253="",'לקוחות לפי סוכן - מקור חדש'!E357,'לקוחות לפי סוכן - מקור'!H253)</f>
        <v/>
      </c>
      <c r="H304" s="148">
        <f>IF('לקוחות לפי סוכן - מקור'!I253="",'לקוחות לפי סוכן - מקור חדש'!G357,'לקוחות לפי סוכן - מקור'!I253)</f>
        <v/>
      </c>
      <c r="I304" s="139" t="inlineStr">
        <is>
          <t>שני המקורות</t>
        </is>
      </c>
      <c r="J304" s="139" t="inlineStr">
        <is>
          <t>קיים במקור (CHMI) + מכר 2025/כמויות הושלמו מהקובץ החדש</t>
        </is>
      </c>
    </row>
    <row r="305" ht="15" customHeight="1" s="82">
      <c r="A305" s="139">
        <f>'לקוחות לפי סוכן - מקור'!A254</f>
        <v/>
      </c>
      <c r="B305" s="139">
        <f>'לקוחות לפי סוכן - מקור'!C254</f>
        <v/>
      </c>
      <c r="C305" s="139">
        <f>'לקוחות לפי סוכן - מקור'!D254</f>
        <v/>
      </c>
      <c r="D305" s="139">
        <f>'לקוחות לפי סוכן - מקור'!E254</f>
        <v/>
      </c>
      <c r="E305" s="147">
        <f>IF('לקוחות לפי סוכן - מקור'!F254="",'לקוחות לפי סוכן - מקור חדש'!F358,'לקוחות לפי סוכן - מקור'!F254)</f>
        <v/>
      </c>
      <c r="F305" s="147">
        <f>IF('לקוחות לפי סוכן - מקור'!G254="",'לקוחות לפי סוכן - מקור חדש'!H358,'לקוחות לפי סוכן - מקור'!G254)</f>
        <v/>
      </c>
      <c r="G305" s="148">
        <f>IF('לקוחות לפי סוכן - מקור'!H254="",'לקוחות לפי סוכן - מקור חדש'!E358,'לקוחות לפי סוכן - מקור'!H254)</f>
        <v/>
      </c>
      <c r="H305" s="148">
        <f>IF('לקוחות לפי סוכן - מקור'!I254="",'לקוחות לפי סוכן - מקור חדש'!G358,'לקוחות לפי סוכן - מקור'!I254)</f>
        <v/>
      </c>
      <c r="I305" s="139" t="inlineStr">
        <is>
          <t>שני המקורות</t>
        </is>
      </c>
      <c r="J305" s="139" t="inlineStr">
        <is>
          <t>קיים במקור (CHMI) + מכר 2025/כמויות הושלמו מהקובץ החדש</t>
        </is>
      </c>
    </row>
    <row r="306" ht="15" customHeight="1" s="82">
      <c r="A306" s="139">
        <f>'לקוחות לפי סוכן - מקור'!A255</f>
        <v/>
      </c>
      <c r="B306" s="139">
        <f>'לקוחות לפי סוכן - מקור'!C255</f>
        <v/>
      </c>
      <c r="C306" s="139">
        <f>'לקוחות לפי סוכן - מקור'!D255</f>
        <v/>
      </c>
      <c r="D306" s="139">
        <f>'לקוחות לפי סוכן - מקור'!E255</f>
        <v/>
      </c>
      <c r="E306" s="147">
        <f>IF('לקוחות לפי סוכן - מקור'!F255="",'לקוחות לפי סוכן - מקור חדש'!F359,'לקוחות לפי סוכן - מקור'!F255)</f>
        <v/>
      </c>
      <c r="F306" s="147">
        <f>IF('לקוחות לפי סוכן - מקור'!G255="",'לקוחות לפי סוכן - מקור חדש'!H359,'לקוחות לפי סוכן - מקור'!G255)</f>
        <v/>
      </c>
      <c r="G306" s="148">
        <f>IF('לקוחות לפי סוכן - מקור'!H255="",'לקוחות לפי סוכן - מקור חדש'!E359,'לקוחות לפי סוכן - מקור'!H255)</f>
        <v/>
      </c>
      <c r="H306" s="148">
        <f>IF('לקוחות לפי סוכן - מקור'!I255="",'לקוחות לפי סוכן - מקור חדש'!G359,'לקוחות לפי סוכן - מקור'!I255)</f>
        <v/>
      </c>
      <c r="I306" s="139" t="inlineStr">
        <is>
          <t>שני המקורות</t>
        </is>
      </c>
      <c r="J306" s="139" t="inlineStr">
        <is>
          <t>קיים במקור (CHMI) + מכר 2025/כמויות הושלמו מהקובץ החדש — פער ב-2026 מול הקובץ החדש, נבחר המקור</t>
        </is>
      </c>
    </row>
    <row r="307" ht="15" customHeight="1" s="82">
      <c r="A307" s="139">
        <f>'לקוחות לפי סוכן - מקור'!A256</f>
        <v/>
      </c>
      <c r="B307" s="139">
        <f>'לקוחות לפי סוכן - מקור'!C256</f>
        <v/>
      </c>
      <c r="C307" s="139">
        <f>'לקוחות לפי סוכן - מקור'!D256</f>
        <v/>
      </c>
      <c r="D307" s="139">
        <f>'לקוחות לפי סוכן - מקור'!E256</f>
        <v/>
      </c>
      <c r="E307" s="147">
        <f>IF('לקוחות לפי סוכן - מקור'!F256="",'לקוחות לפי סוכן - מקור חדש'!F371,'לקוחות לפי סוכן - מקור'!F256)</f>
        <v/>
      </c>
      <c r="F307" s="147">
        <f>IF('לקוחות לפי סוכן - מקור'!G256="",'לקוחות לפי סוכן - מקור חדש'!H371,'לקוחות לפי סוכן - מקור'!G256)</f>
        <v/>
      </c>
      <c r="G307" s="148">
        <f>IF('לקוחות לפי סוכן - מקור'!H256="",'לקוחות לפי סוכן - מקור חדש'!E371,'לקוחות לפי סוכן - מקור'!H256)</f>
        <v/>
      </c>
      <c r="H307" s="148">
        <f>IF('לקוחות לפי סוכן - מקור'!I256="",'לקוחות לפי סוכן - מקור חדש'!G371,'לקוחות לפי סוכן - מקור'!I256)</f>
        <v/>
      </c>
      <c r="I307" s="139" t="inlineStr">
        <is>
          <t>שני המקורות</t>
        </is>
      </c>
      <c r="J307" s="139" t="inlineStr">
        <is>
          <t>קיים במקור (CHMI) + מכר 2025/כמויות הושלמו מהקובץ החדש</t>
        </is>
      </c>
    </row>
    <row r="308" ht="15" customHeight="1" s="82">
      <c r="A308" s="139">
        <f>'לקוחות לפי סוכן - מקור'!A257</f>
        <v/>
      </c>
      <c r="B308" s="139">
        <f>'לקוחות לפי סוכן - מקור'!C257</f>
        <v/>
      </c>
      <c r="C308" s="139">
        <f>'לקוחות לפי סוכן - מקור'!D257</f>
        <v/>
      </c>
      <c r="D308" s="139">
        <f>'לקוחות לפי סוכן - מקור'!E257</f>
        <v/>
      </c>
      <c r="E308" s="147">
        <f>IF('לקוחות לפי סוכן - מקור'!F257="",'לקוחות לפי סוכן - מקור חדש'!F374,'לקוחות לפי סוכן - מקור'!F257)</f>
        <v/>
      </c>
      <c r="F308" s="147">
        <f>IF('לקוחות לפי סוכן - מקור'!G257="",'לקוחות לפי סוכן - מקור חדש'!H374,'לקוחות לפי סוכן - מקור'!G257)</f>
        <v/>
      </c>
      <c r="G308" s="148">
        <f>IF('לקוחות לפי סוכן - מקור'!H257="",'לקוחות לפי סוכן - מקור חדש'!E374,'לקוחות לפי סוכן - מקור'!H257)</f>
        <v/>
      </c>
      <c r="H308" s="148">
        <f>IF('לקוחות לפי סוכן - מקור'!I257="",'לקוחות לפי סוכן - מקור חדש'!G374,'לקוחות לפי סוכן - מקור'!I257)</f>
        <v/>
      </c>
      <c r="I308" s="139" t="inlineStr">
        <is>
          <t>שני המקורות</t>
        </is>
      </c>
      <c r="J308" s="139" t="inlineStr">
        <is>
          <t>קיים במקור (CHMI) + מכר 2025/כמויות הושלמו מהקובץ החדש</t>
        </is>
      </c>
    </row>
    <row r="309" ht="15" customHeight="1" s="82">
      <c r="A309" s="139">
        <f>'לקוחות לפי סוכן - מקור'!A258</f>
        <v/>
      </c>
      <c r="B309" s="139">
        <f>'לקוחות לפי סוכן - מקור'!C258</f>
        <v/>
      </c>
      <c r="C309" s="139">
        <f>'לקוחות לפי סוכן - מקור'!D258</f>
        <v/>
      </c>
      <c r="D309" s="139">
        <f>'לקוחות לפי סוכן - מקור'!E258</f>
        <v/>
      </c>
      <c r="E309" s="147">
        <f>IF('לקוחות לפי סוכן - מקור'!F258="",'לקוחות לפי סוכן - מקור חדש'!F375,'לקוחות לפי סוכן - מקור'!F258)</f>
        <v/>
      </c>
      <c r="F309" s="147">
        <f>IF('לקוחות לפי סוכן - מקור'!G258="",'לקוחות לפי סוכן - מקור חדש'!H375,'לקוחות לפי סוכן - מקור'!G258)</f>
        <v/>
      </c>
      <c r="G309" s="148">
        <f>IF('לקוחות לפי סוכן - מקור'!H258="",'לקוחות לפי סוכן - מקור חדש'!E375,'לקוחות לפי סוכן - מקור'!H258)</f>
        <v/>
      </c>
      <c r="H309" s="148">
        <f>IF('לקוחות לפי סוכן - מקור'!I258="",'לקוחות לפי סוכן - מקור חדש'!G375,'לקוחות לפי סוכן - מקור'!I258)</f>
        <v/>
      </c>
      <c r="I309" s="139" t="inlineStr">
        <is>
          <t>שני המקורות</t>
        </is>
      </c>
      <c r="J309" s="139" t="inlineStr">
        <is>
          <t>קיים במקור (CHMI) + מכר 2025/כמויות הושלמו מהקובץ החדש</t>
        </is>
      </c>
    </row>
    <row r="310" ht="15" customHeight="1" s="82">
      <c r="A310" s="139">
        <f>'לקוחות לפי סוכן - מקור'!A259</f>
        <v/>
      </c>
      <c r="B310" s="139">
        <f>'לקוחות לפי סוכן - מקור'!C259</f>
        <v/>
      </c>
      <c r="C310" s="139">
        <f>'לקוחות לפי סוכן - מקור'!D259</f>
        <v/>
      </c>
      <c r="D310" s="139">
        <f>'לקוחות לפי סוכן - מקור'!E259</f>
        <v/>
      </c>
      <c r="E310" s="147">
        <f>'לקוחות לפי סוכן - מקור'!F259</f>
        <v/>
      </c>
      <c r="F310" s="147">
        <f>'לקוחות לפי סוכן - מקור'!G259</f>
        <v/>
      </c>
      <c r="G310" s="148">
        <f>'לקוחות לפי סוכן - מקור'!H259</f>
        <v/>
      </c>
      <c r="H310" s="148">
        <f>'לקוחות לפי סוכן - מקור'!I259</f>
        <v/>
      </c>
      <c r="I310" s="139">
        <f>'לקוחות לפי סוכן - מקור'!K259</f>
        <v/>
      </c>
      <c r="J310" s="139" t="inlineStr">
        <is>
          <t>קיים במקור</t>
        </is>
      </c>
    </row>
    <row r="311" ht="15" customHeight="1" s="82">
      <c r="A311" s="139">
        <f>'לקוחות לפי סוכן - מקור'!A260</f>
        <v/>
      </c>
      <c r="B311" s="139">
        <f>'לקוחות לפי סוכן - מקור'!C260</f>
        <v/>
      </c>
      <c r="C311" s="139">
        <f>'לקוחות לפי סוכן - מקור'!D260</f>
        <v/>
      </c>
      <c r="D311" s="139">
        <f>'לקוחות לפי סוכן - מקור'!E260</f>
        <v/>
      </c>
      <c r="E311" s="147">
        <f>'לקוחות לפי סוכן - מקור'!F260</f>
        <v/>
      </c>
      <c r="F311" s="147">
        <f>'לקוחות לפי סוכן - מקור'!G260</f>
        <v/>
      </c>
      <c r="G311" s="148">
        <f>'לקוחות לפי סוכן - מקור'!H260</f>
        <v/>
      </c>
      <c r="H311" s="148">
        <f>'לקוחות לפי סוכן - מקור'!I260</f>
        <v/>
      </c>
      <c r="I311" s="139">
        <f>'לקוחות לפי סוכן - מקור'!K260</f>
        <v/>
      </c>
      <c r="J311" s="139" t="inlineStr">
        <is>
          <t>קיים במקור</t>
        </is>
      </c>
    </row>
    <row r="312" ht="15" customHeight="1" s="82">
      <c r="A312" s="139">
        <f>'לקוחות לפי סוכן - מקור'!A261</f>
        <v/>
      </c>
      <c r="B312" s="139">
        <f>'לקוחות לפי סוכן - מקור'!C261</f>
        <v/>
      </c>
      <c r="C312" s="139">
        <f>'לקוחות לפי סוכן - מקור'!D261</f>
        <v/>
      </c>
      <c r="D312" s="139">
        <f>'לקוחות לפי סוכן - מקור'!E261</f>
        <v/>
      </c>
      <c r="E312" s="147">
        <f>'לקוחות לפי סוכן - מקור'!F261</f>
        <v/>
      </c>
      <c r="F312" s="147">
        <f>'לקוחות לפי סוכן - מקור'!G261</f>
        <v/>
      </c>
      <c r="G312" s="148">
        <f>'לקוחות לפי סוכן - מקור'!H261</f>
        <v/>
      </c>
      <c r="H312" s="148">
        <f>'לקוחות לפי סוכן - מקור'!I261</f>
        <v/>
      </c>
      <c r="I312" s="139">
        <f>'לקוחות לפי סוכן - מקור'!K261</f>
        <v/>
      </c>
      <c r="J312" s="139" t="inlineStr">
        <is>
          <t>קיים במקור</t>
        </is>
      </c>
    </row>
    <row r="313" ht="15" customHeight="1" s="82">
      <c r="A313" s="139">
        <f>'לקוחות לפי סוכן - מקור'!A262</f>
        <v/>
      </c>
      <c r="B313" s="139">
        <f>'לקוחות לפי סוכן - מקור'!C262</f>
        <v/>
      </c>
      <c r="C313" s="139">
        <f>'לקוחות לפי סוכן - מקור'!D262</f>
        <v/>
      </c>
      <c r="D313" s="139">
        <f>'לקוחות לפי סוכן - מקור'!E262</f>
        <v/>
      </c>
      <c r="E313" s="147">
        <f>'לקוחות לפי סוכן - מקור'!F262</f>
        <v/>
      </c>
      <c r="F313" s="147">
        <f>'לקוחות לפי סוכן - מקור'!G262</f>
        <v/>
      </c>
      <c r="G313" s="148">
        <f>'לקוחות לפי סוכן - מקור'!H262</f>
        <v/>
      </c>
      <c r="H313" s="148">
        <f>'לקוחות לפי סוכן - מקור'!I262</f>
        <v/>
      </c>
      <c r="I313" s="139">
        <f>'לקוחות לפי סוכן - מקור'!K262</f>
        <v/>
      </c>
      <c r="J313" s="139" t="inlineStr">
        <is>
          <t>קיים במקור</t>
        </is>
      </c>
    </row>
    <row r="314" ht="15" customHeight="1" s="82">
      <c r="A314" s="139">
        <f>'לקוחות לפי סוכן - מקור'!A263</f>
        <v/>
      </c>
      <c r="B314" s="139">
        <f>'לקוחות לפי סוכן - מקור'!C263</f>
        <v/>
      </c>
      <c r="C314" s="139">
        <f>'לקוחות לפי סוכן - מקור'!D263</f>
        <v/>
      </c>
      <c r="D314" s="139">
        <f>'לקוחות לפי סוכן - מקור'!E263</f>
        <v/>
      </c>
      <c r="E314" s="147">
        <f>'לקוחות לפי סוכן - מקור'!F263</f>
        <v/>
      </c>
      <c r="F314" s="147">
        <f>'לקוחות לפי סוכן - מקור'!G263</f>
        <v/>
      </c>
      <c r="G314" s="148">
        <f>'לקוחות לפי סוכן - מקור'!H263</f>
        <v/>
      </c>
      <c r="H314" s="148">
        <f>'לקוחות לפי סוכן - מקור'!I263</f>
        <v/>
      </c>
      <c r="I314" s="139">
        <f>'לקוחות לפי סוכן - מקור'!K263</f>
        <v/>
      </c>
      <c r="J314" s="139" t="inlineStr">
        <is>
          <t>קיים במקור</t>
        </is>
      </c>
    </row>
    <row r="315" ht="15" customHeight="1" s="82">
      <c r="A315" s="139">
        <f>'לקוחות לפי סוכן - מקור'!A264</f>
        <v/>
      </c>
      <c r="B315" s="139">
        <f>'לקוחות לפי סוכן - מקור'!C264</f>
        <v/>
      </c>
      <c r="C315" s="139">
        <f>'לקוחות לפי סוכן - מקור'!D264</f>
        <v/>
      </c>
      <c r="D315" s="139">
        <f>'לקוחות לפי סוכן - מקור'!E264</f>
        <v/>
      </c>
      <c r="E315" s="147">
        <f>'לקוחות לפי סוכן - מקור'!F264</f>
        <v/>
      </c>
      <c r="F315" s="147">
        <f>'לקוחות לפי סוכן - מקור'!G264</f>
        <v/>
      </c>
      <c r="G315" s="148">
        <f>'לקוחות לפי סוכן - מקור'!H264</f>
        <v/>
      </c>
      <c r="H315" s="148">
        <f>'לקוחות לפי סוכן - מקור'!I264</f>
        <v/>
      </c>
      <c r="I315" s="139">
        <f>'לקוחות לפי סוכן - מקור'!K264</f>
        <v/>
      </c>
      <c r="J315" s="139" t="inlineStr">
        <is>
          <t>קיים במקור</t>
        </is>
      </c>
    </row>
    <row r="316" ht="15" customHeight="1" s="82">
      <c r="A316" s="139">
        <f>'לקוחות לפי סוכן - מקור'!A265</f>
        <v/>
      </c>
      <c r="B316" s="139">
        <f>'לקוחות לפי סוכן - מקור'!C265</f>
        <v/>
      </c>
      <c r="C316" s="139">
        <f>'לקוחות לפי סוכן - מקור'!D265</f>
        <v/>
      </c>
      <c r="D316" s="139">
        <f>'לקוחות לפי סוכן - מקור'!E265</f>
        <v/>
      </c>
      <c r="E316" s="147">
        <f>'לקוחות לפי סוכן - מקור'!F265</f>
        <v/>
      </c>
      <c r="F316" s="147">
        <f>'לקוחות לפי סוכן - מקור'!G265</f>
        <v/>
      </c>
      <c r="G316" s="148">
        <f>'לקוחות לפי סוכן - מקור'!H265</f>
        <v/>
      </c>
      <c r="H316" s="148">
        <f>'לקוחות לפי סוכן - מקור'!I265</f>
        <v/>
      </c>
      <c r="I316" s="139">
        <f>'לקוחות לפי סוכן - מקור'!K265</f>
        <v/>
      </c>
      <c r="J316" s="139" t="inlineStr">
        <is>
          <t>קיים במקור</t>
        </is>
      </c>
    </row>
    <row r="317" ht="15" customHeight="1" s="82">
      <c r="A317" s="139">
        <f>'לקוחות לפי סוכן - מקור'!A266</f>
        <v/>
      </c>
      <c r="B317" s="139">
        <f>'לקוחות לפי סוכן - מקור'!C266</f>
        <v/>
      </c>
      <c r="C317" s="139">
        <f>'לקוחות לפי סוכן - מקור'!D266</f>
        <v/>
      </c>
      <c r="D317" s="139">
        <f>'לקוחות לפי סוכן - מקור'!E266</f>
        <v/>
      </c>
      <c r="E317" s="147">
        <f>'לקוחות לפי סוכן - מקור'!F266</f>
        <v/>
      </c>
      <c r="F317" s="147">
        <f>'לקוחות לפי סוכן - מקור'!G266</f>
        <v/>
      </c>
      <c r="G317" s="148">
        <f>'לקוחות לפי סוכן - מקור'!H266</f>
        <v/>
      </c>
      <c r="H317" s="148">
        <f>'לקוחות לפי סוכן - מקור'!I266</f>
        <v/>
      </c>
      <c r="I317" s="139">
        <f>'לקוחות לפי סוכן - מקור'!K266</f>
        <v/>
      </c>
      <c r="J317" s="139" t="inlineStr">
        <is>
          <t>קיים במקור</t>
        </is>
      </c>
    </row>
    <row r="318" ht="15" customHeight="1" s="82">
      <c r="A318" s="139">
        <f>'לקוחות לפי סוכן - מקור'!A267</f>
        <v/>
      </c>
      <c r="B318" s="139">
        <f>'לקוחות לפי סוכן - מקור'!C267</f>
        <v/>
      </c>
      <c r="C318" s="139">
        <f>'לקוחות לפי סוכן - מקור'!D267</f>
        <v/>
      </c>
      <c r="D318" s="139">
        <f>'לקוחות לפי סוכן - מקור'!E267</f>
        <v/>
      </c>
      <c r="E318" s="147">
        <f>'לקוחות לפי סוכן - מקור'!F267</f>
        <v/>
      </c>
      <c r="F318" s="147">
        <f>'לקוחות לפי סוכן - מקור'!G267</f>
        <v/>
      </c>
      <c r="G318" s="148">
        <f>'לקוחות לפי סוכן - מקור'!H267</f>
        <v/>
      </c>
      <c r="H318" s="148">
        <f>'לקוחות לפי סוכן - מקור'!I267</f>
        <v/>
      </c>
      <c r="I318" s="139">
        <f>'לקוחות לפי סוכן - מקור'!K267</f>
        <v/>
      </c>
      <c r="J318" s="139" t="inlineStr">
        <is>
          <t>קיים במקור</t>
        </is>
      </c>
    </row>
    <row r="319" ht="15" customHeight="1" s="82">
      <c r="A319" s="139">
        <f>'לקוחות לפי סוכן - מקור'!A268</f>
        <v/>
      </c>
      <c r="B319" s="139">
        <f>'לקוחות לפי סוכן - מקור'!C268</f>
        <v/>
      </c>
      <c r="C319" s="139">
        <f>'לקוחות לפי סוכן - מקור'!D268</f>
        <v/>
      </c>
      <c r="D319" s="139">
        <f>'לקוחות לפי סוכן - מקור'!E268</f>
        <v/>
      </c>
      <c r="E319" s="147">
        <f>'לקוחות לפי סוכן - מקור'!F268</f>
        <v/>
      </c>
      <c r="F319" s="147">
        <f>'לקוחות לפי סוכן - מקור'!G268</f>
        <v/>
      </c>
      <c r="G319" s="148">
        <f>'לקוחות לפי סוכן - מקור'!H268</f>
        <v/>
      </c>
      <c r="H319" s="148">
        <f>'לקוחות לפי סוכן - מקור'!I268</f>
        <v/>
      </c>
      <c r="I319" s="139">
        <f>'לקוחות לפי סוכן - מקור'!K268</f>
        <v/>
      </c>
      <c r="J319" s="139" t="inlineStr">
        <is>
          <t>קיים במקור</t>
        </is>
      </c>
    </row>
    <row r="320" ht="15" customHeight="1" s="82">
      <c r="A320" s="139">
        <f>'לקוחות לפי סוכן - מקור'!A269</f>
        <v/>
      </c>
      <c r="B320" s="139">
        <f>'לקוחות לפי סוכן - מקור'!C269</f>
        <v/>
      </c>
      <c r="C320" s="139">
        <f>'לקוחות לפי סוכן - מקור'!D269</f>
        <v/>
      </c>
      <c r="D320" s="139">
        <f>'לקוחות לפי סוכן - מקור'!E269</f>
        <v/>
      </c>
      <c r="E320" s="147">
        <f>'לקוחות לפי סוכן - מקור'!F269</f>
        <v/>
      </c>
      <c r="F320" s="147">
        <f>'לקוחות לפי סוכן - מקור'!G269</f>
        <v/>
      </c>
      <c r="G320" s="148">
        <f>'לקוחות לפי סוכן - מקור'!H269</f>
        <v/>
      </c>
      <c r="H320" s="148">
        <f>'לקוחות לפי סוכן - מקור'!I269</f>
        <v/>
      </c>
      <c r="I320" s="139">
        <f>'לקוחות לפי סוכן - מקור'!K269</f>
        <v/>
      </c>
      <c r="J320" s="139" t="inlineStr">
        <is>
          <t>קיים במקור</t>
        </is>
      </c>
    </row>
    <row r="321" ht="15" customHeight="1" s="82">
      <c r="A321" s="139">
        <f>'לקוחות לפי סוכן - מקור'!A270</f>
        <v/>
      </c>
      <c r="B321" s="139">
        <f>'לקוחות לפי סוכן - מקור'!C270</f>
        <v/>
      </c>
      <c r="C321" s="139">
        <f>'לקוחות לפי סוכן - מקור'!D270</f>
        <v/>
      </c>
      <c r="D321" s="139">
        <f>'לקוחות לפי סוכן - מקור'!E270</f>
        <v/>
      </c>
      <c r="E321" s="147">
        <f>'לקוחות לפי סוכן - מקור'!F270</f>
        <v/>
      </c>
      <c r="F321" s="147">
        <f>'לקוחות לפי סוכן - מקור'!G270</f>
        <v/>
      </c>
      <c r="G321" s="148">
        <f>'לקוחות לפי סוכן - מקור'!H270</f>
        <v/>
      </c>
      <c r="H321" s="148">
        <f>'לקוחות לפי סוכן - מקור'!I270</f>
        <v/>
      </c>
      <c r="I321" s="139">
        <f>'לקוחות לפי סוכן - מקור'!K270</f>
        <v/>
      </c>
      <c r="J321" s="139" t="inlineStr">
        <is>
          <t>קיים במקור</t>
        </is>
      </c>
    </row>
    <row r="322" ht="15" customHeight="1" s="82">
      <c r="A322" s="139">
        <f>'לקוחות לפי סוכן - מקור'!A271</f>
        <v/>
      </c>
      <c r="B322" s="139">
        <f>'לקוחות לפי סוכן - מקור'!C271</f>
        <v/>
      </c>
      <c r="C322" s="139">
        <f>'לקוחות לפי סוכן - מקור'!D271</f>
        <v/>
      </c>
      <c r="D322" s="139">
        <f>'לקוחות לפי סוכן - מקור'!E271</f>
        <v/>
      </c>
      <c r="E322" s="147">
        <f>'לקוחות לפי סוכן - מקור'!F271</f>
        <v/>
      </c>
      <c r="F322" s="147">
        <f>'לקוחות לפי סוכן - מקור'!G271</f>
        <v/>
      </c>
      <c r="G322" s="148">
        <f>'לקוחות לפי סוכן - מקור'!H271</f>
        <v/>
      </c>
      <c r="H322" s="148">
        <f>'לקוחות לפי סוכן - מקור'!I271</f>
        <v/>
      </c>
      <c r="I322" s="139">
        <f>'לקוחות לפי סוכן - מקור'!K271</f>
        <v/>
      </c>
      <c r="J322" s="139" t="inlineStr">
        <is>
          <t>קיים במקור</t>
        </is>
      </c>
    </row>
    <row r="323" ht="15" customHeight="1" s="82">
      <c r="A323" s="139">
        <f>'לקוחות לפי סוכן - מקור'!A272</f>
        <v/>
      </c>
      <c r="B323" s="139">
        <f>'לקוחות לפי סוכן - מקור'!C272</f>
        <v/>
      </c>
      <c r="C323" s="139">
        <f>'לקוחות לפי סוכן - מקור'!D272</f>
        <v/>
      </c>
      <c r="D323" s="139">
        <f>'לקוחות לפי סוכן - מקור'!E272</f>
        <v/>
      </c>
      <c r="E323" s="147">
        <f>'לקוחות לפי סוכן - מקור'!F272</f>
        <v/>
      </c>
      <c r="F323" s="147">
        <f>'לקוחות לפי סוכן - מקור'!G272</f>
        <v/>
      </c>
      <c r="G323" s="148">
        <f>'לקוחות לפי סוכן - מקור'!H272</f>
        <v/>
      </c>
      <c r="H323" s="148">
        <f>'לקוחות לפי סוכן - מקור'!I272</f>
        <v/>
      </c>
      <c r="I323" s="139">
        <f>'לקוחות לפי סוכן - מקור'!K272</f>
        <v/>
      </c>
      <c r="J323" s="139" t="inlineStr">
        <is>
          <t>קיים במקור</t>
        </is>
      </c>
    </row>
    <row r="324" ht="15" customHeight="1" s="82">
      <c r="A324" s="139">
        <f>'לקוחות לפי סוכן - מקור'!A273</f>
        <v/>
      </c>
      <c r="B324" s="139">
        <f>'לקוחות לפי סוכן - מקור'!C273</f>
        <v/>
      </c>
      <c r="C324" s="139">
        <f>'לקוחות לפי סוכן - מקור'!D273</f>
        <v/>
      </c>
      <c r="D324" s="139">
        <f>'לקוחות לפי סוכן - מקור'!E273</f>
        <v/>
      </c>
      <c r="E324" s="147">
        <f>'לקוחות לפי סוכן - מקור'!F273</f>
        <v/>
      </c>
      <c r="F324" s="147">
        <f>'לקוחות לפי סוכן - מקור'!G273</f>
        <v/>
      </c>
      <c r="G324" s="148">
        <f>'לקוחות לפי סוכן - מקור'!H273</f>
        <v/>
      </c>
      <c r="H324" s="148">
        <f>'לקוחות לפי סוכן - מקור'!I273</f>
        <v/>
      </c>
      <c r="I324" s="139">
        <f>'לקוחות לפי סוכן - מקור'!K273</f>
        <v/>
      </c>
      <c r="J324" s="139" t="inlineStr">
        <is>
          <t>קיים במקור</t>
        </is>
      </c>
    </row>
    <row r="325" ht="15" customHeight="1" s="82">
      <c r="A325" s="139">
        <f>'לקוחות לפי סוכן - מקור'!A274</f>
        <v/>
      </c>
      <c r="B325" s="139">
        <f>'לקוחות לפי סוכן - מקור'!C274</f>
        <v/>
      </c>
      <c r="C325" s="139">
        <f>'לקוחות לפי סוכן - מקור'!D274</f>
        <v/>
      </c>
      <c r="D325" s="139">
        <f>'לקוחות לפי סוכן - מקור'!E274</f>
        <v/>
      </c>
      <c r="E325" s="147">
        <f>'לקוחות לפי סוכן - מקור'!F274</f>
        <v/>
      </c>
      <c r="F325" s="147">
        <f>'לקוחות לפי סוכן - מקור'!G274</f>
        <v/>
      </c>
      <c r="G325" s="148">
        <f>'לקוחות לפי סוכן - מקור'!H274</f>
        <v/>
      </c>
      <c r="H325" s="148">
        <f>'לקוחות לפי סוכן - מקור'!I274</f>
        <v/>
      </c>
      <c r="I325" s="139">
        <f>'לקוחות לפי סוכן - מקור'!K274</f>
        <v/>
      </c>
      <c r="J325" s="139" t="inlineStr">
        <is>
          <t>קיים במקור</t>
        </is>
      </c>
    </row>
    <row r="326" ht="15" customHeight="1" s="82">
      <c r="A326" s="139">
        <f>'לקוחות לפי סוכן - מקור'!A275</f>
        <v/>
      </c>
      <c r="B326" s="139">
        <f>'לקוחות לפי סוכן - מקור'!C275</f>
        <v/>
      </c>
      <c r="C326" s="139">
        <f>'לקוחות לפי סוכן - מקור'!D275</f>
        <v/>
      </c>
      <c r="D326" s="139">
        <f>'לקוחות לפי סוכן - מקור'!E275</f>
        <v/>
      </c>
      <c r="E326" s="147">
        <f>'לקוחות לפי סוכן - מקור'!F275</f>
        <v/>
      </c>
      <c r="F326" s="147">
        <f>'לקוחות לפי סוכן - מקור'!G275</f>
        <v/>
      </c>
      <c r="G326" s="148">
        <f>'לקוחות לפי סוכן - מקור'!H275</f>
        <v/>
      </c>
      <c r="H326" s="148">
        <f>'לקוחות לפי סוכן - מקור'!I275</f>
        <v/>
      </c>
      <c r="I326" s="139">
        <f>'לקוחות לפי סוכן - מקור'!K275</f>
        <v/>
      </c>
      <c r="J326" s="139" t="inlineStr">
        <is>
          <t>קיים במקור</t>
        </is>
      </c>
    </row>
    <row r="327" ht="15" customHeight="1" s="82">
      <c r="A327" s="139">
        <f>'לקוחות לפי סוכן - מקור'!A276</f>
        <v/>
      </c>
      <c r="B327" s="139">
        <f>'לקוחות לפי סוכן - מקור'!C276</f>
        <v/>
      </c>
      <c r="C327" s="139">
        <f>'לקוחות לפי סוכן - מקור'!D276</f>
        <v/>
      </c>
      <c r="D327" s="139">
        <f>'לקוחות לפי סוכן - מקור'!E276</f>
        <v/>
      </c>
      <c r="E327" s="147">
        <f>'לקוחות לפי סוכן - מקור'!F276</f>
        <v/>
      </c>
      <c r="F327" s="147">
        <f>'לקוחות לפי סוכן - מקור'!G276</f>
        <v/>
      </c>
      <c r="G327" s="148">
        <f>'לקוחות לפי סוכן - מקור'!H276</f>
        <v/>
      </c>
      <c r="H327" s="148">
        <f>'לקוחות לפי סוכן - מקור'!I276</f>
        <v/>
      </c>
      <c r="I327" s="139">
        <f>'לקוחות לפי סוכן - מקור'!K276</f>
        <v/>
      </c>
      <c r="J327" s="139" t="inlineStr">
        <is>
          <t>קיים במקור</t>
        </is>
      </c>
    </row>
    <row r="328" ht="15" customHeight="1" s="82">
      <c r="A328" s="139">
        <f>'לקוחות לפי סוכן - מקור'!A277</f>
        <v/>
      </c>
      <c r="B328" s="139">
        <f>'לקוחות לפי סוכן - מקור'!C277</f>
        <v/>
      </c>
      <c r="C328" s="139">
        <f>'לקוחות לפי סוכן - מקור'!D277</f>
        <v/>
      </c>
      <c r="D328" s="139">
        <f>'לקוחות לפי סוכן - מקור'!E277</f>
        <v/>
      </c>
      <c r="E328" s="147">
        <f>'לקוחות לפי סוכן - מקור'!F277</f>
        <v/>
      </c>
      <c r="F328" s="147">
        <f>'לקוחות לפי סוכן - מקור'!G277</f>
        <v/>
      </c>
      <c r="G328" s="148">
        <f>'לקוחות לפי סוכן - מקור'!H277</f>
        <v/>
      </c>
      <c r="H328" s="148">
        <f>'לקוחות לפי סוכן - מקור'!I277</f>
        <v/>
      </c>
      <c r="I328" s="139">
        <f>'לקוחות לפי סוכן - מקור'!K277</f>
        <v/>
      </c>
      <c r="J328" s="139" t="inlineStr">
        <is>
          <t>קיים במקור</t>
        </is>
      </c>
    </row>
    <row r="329" ht="15" customHeight="1" s="82">
      <c r="A329" s="139">
        <f>'לקוחות לפי סוכן - מקור'!A278</f>
        <v/>
      </c>
      <c r="B329" s="139">
        <f>'לקוחות לפי סוכן - מקור'!C278</f>
        <v/>
      </c>
      <c r="C329" s="139">
        <f>'לקוחות לפי סוכן - מקור'!D278</f>
        <v/>
      </c>
      <c r="D329" s="139">
        <f>'לקוחות לפי סוכן - מקור'!E278</f>
        <v/>
      </c>
      <c r="E329" s="147">
        <f>'לקוחות לפי סוכן - מקור'!F278</f>
        <v/>
      </c>
      <c r="F329" s="147">
        <f>'לקוחות לפי סוכן - מקור'!G278</f>
        <v/>
      </c>
      <c r="G329" s="148">
        <f>'לקוחות לפי סוכן - מקור'!H278</f>
        <v/>
      </c>
      <c r="H329" s="148">
        <f>'לקוחות לפי סוכן - מקור'!I278</f>
        <v/>
      </c>
      <c r="I329" s="139">
        <f>'לקוחות לפי סוכן - מקור'!K278</f>
        <v/>
      </c>
      <c r="J329" s="139" t="inlineStr">
        <is>
          <t>קיים במקור</t>
        </is>
      </c>
    </row>
    <row r="330" ht="15" customHeight="1" s="82">
      <c r="A330" s="139">
        <f>'לקוחות לפי סוכן - מקור'!A279</f>
        <v/>
      </c>
      <c r="B330" s="139">
        <f>'לקוחות לפי סוכן - מקור'!C279</f>
        <v/>
      </c>
      <c r="C330" s="139">
        <f>'לקוחות לפי סוכן - מקור'!D279</f>
        <v/>
      </c>
      <c r="D330" s="139">
        <f>'לקוחות לפי סוכן - מקור'!E279</f>
        <v/>
      </c>
      <c r="E330" s="147">
        <f>'לקוחות לפי סוכן - מקור'!F279</f>
        <v/>
      </c>
      <c r="F330" s="147">
        <f>'לקוחות לפי סוכן - מקור'!G279</f>
        <v/>
      </c>
      <c r="G330" s="148">
        <f>'לקוחות לפי סוכן - מקור'!H279</f>
        <v/>
      </c>
      <c r="H330" s="148">
        <f>'לקוחות לפי סוכן - מקור'!I279</f>
        <v/>
      </c>
      <c r="I330" s="139">
        <f>'לקוחות לפי סוכן - מקור'!K279</f>
        <v/>
      </c>
      <c r="J330" s="139" t="inlineStr">
        <is>
          <t>קיים במקור</t>
        </is>
      </c>
    </row>
    <row r="331" ht="15" customHeight="1" s="82">
      <c r="A331" s="139">
        <f>'לקוחות לפי סוכן - מקור'!A280</f>
        <v/>
      </c>
      <c r="B331" s="139">
        <f>'לקוחות לפי סוכן - מקור'!C280</f>
        <v/>
      </c>
      <c r="C331" s="139">
        <f>'לקוחות לפי סוכן - מקור'!D280</f>
        <v/>
      </c>
      <c r="D331" s="139">
        <f>'לקוחות לפי סוכן - מקור'!E280</f>
        <v/>
      </c>
      <c r="E331" s="147">
        <f>'לקוחות לפי סוכן - מקור'!F280</f>
        <v/>
      </c>
      <c r="F331" s="147">
        <f>'לקוחות לפי סוכן - מקור'!G280</f>
        <v/>
      </c>
      <c r="G331" s="148">
        <f>'לקוחות לפי סוכן - מקור'!H280</f>
        <v/>
      </c>
      <c r="H331" s="148">
        <f>'לקוחות לפי סוכן - מקור'!I280</f>
        <v/>
      </c>
      <c r="I331" s="139">
        <f>'לקוחות לפי סוכן - מקור'!K280</f>
        <v/>
      </c>
      <c r="J331" s="139" t="inlineStr">
        <is>
          <t>קיים במקור</t>
        </is>
      </c>
    </row>
    <row r="332" ht="15" customHeight="1" s="82">
      <c r="A332" s="139">
        <f>'לקוחות לפי סוכן - מקור'!A281</f>
        <v/>
      </c>
      <c r="B332" s="139">
        <f>'לקוחות לפי סוכן - מקור'!C281</f>
        <v/>
      </c>
      <c r="C332" s="139">
        <f>'לקוחות לפי סוכן - מקור'!D281</f>
        <v/>
      </c>
      <c r="D332" s="139">
        <f>'לקוחות לפי סוכן - מקור'!E281</f>
        <v/>
      </c>
      <c r="E332" s="147">
        <f>'לקוחות לפי סוכן - מקור'!F281</f>
        <v/>
      </c>
      <c r="F332" s="147">
        <f>'לקוחות לפי סוכן - מקור'!G281</f>
        <v/>
      </c>
      <c r="G332" s="148">
        <f>'לקוחות לפי סוכן - מקור'!H281</f>
        <v/>
      </c>
      <c r="H332" s="148">
        <f>'לקוחות לפי סוכן - מקור'!I281</f>
        <v/>
      </c>
      <c r="I332" s="139">
        <f>'לקוחות לפי סוכן - מקור'!K281</f>
        <v/>
      </c>
      <c r="J332" s="139" t="inlineStr">
        <is>
          <t>קיים במקור</t>
        </is>
      </c>
    </row>
    <row r="333" ht="15" customHeight="1" s="82">
      <c r="A333" s="139">
        <f>'לקוחות לפי סוכן - מקור'!A282</f>
        <v/>
      </c>
      <c r="B333" s="139">
        <f>'לקוחות לפי סוכן - מקור'!C282</f>
        <v/>
      </c>
      <c r="C333" s="139">
        <f>'לקוחות לפי סוכן - מקור'!D282</f>
        <v/>
      </c>
      <c r="D333" s="139">
        <f>'לקוחות לפי סוכן - מקור'!E282</f>
        <v/>
      </c>
      <c r="E333" s="147">
        <f>'לקוחות לפי סוכן - מקור'!F282</f>
        <v/>
      </c>
      <c r="F333" s="147">
        <f>'לקוחות לפי סוכן - מקור'!G282</f>
        <v/>
      </c>
      <c r="G333" s="148">
        <f>'לקוחות לפי סוכן - מקור'!H282</f>
        <v/>
      </c>
      <c r="H333" s="148">
        <f>'לקוחות לפי סוכן - מקור'!I282</f>
        <v/>
      </c>
      <c r="I333" s="139">
        <f>'לקוחות לפי סוכן - מקור'!K282</f>
        <v/>
      </c>
      <c r="J333" s="139" t="inlineStr">
        <is>
          <t>קיים במקור</t>
        </is>
      </c>
    </row>
    <row r="334" ht="15" customHeight="1" s="82">
      <c r="A334" s="139">
        <f>'לקוחות לפי סוכן - מקור'!A283</f>
        <v/>
      </c>
      <c r="B334" s="139">
        <f>'לקוחות לפי סוכן - מקור'!C283</f>
        <v/>
      </c>
      <c r="C334" s="139">
        <f>'לקוחות לפי סוכן - מקור'!D283</f>
        <v/>
      </c>
      <c r="D334" s="139">
        <f>'לקוחות לפי סוכן - מקור'!E283</f>
        <v/>
      </c>
      <c r="E334" s="147">
        <f>'לקוחות לפי סוכן - מקור'!F283</f>
        <v/>
      </c>
      <c r="F334" s="147">
        <f>'לקוחות לפי סוכן - מקור'!G283</f>
        <v/>
      </c>
      <c r="G334" s="148">
        <f>'לקוחות לפי סוכן - מקור'!H283</f>
        <v/>
      </c>
      <c r="H334" s="148">
        <f>'לקוחות לפי סוכן - מקור'!I283</f>
        <v/>
      </c>
      <c r="I334" s="139">
        <f>'לקוחות לפי סוכן - מקור'!K283</f>
        <v/>
      </c>
      <c r="J334" s="139" t="inlineStr">
        <is>
          <t>קיים במקור</t>
        </is>
      </c>
    </row>
    <row r="335" ht="15" customHeight="1" s="82">
      <c r="A335" s="139">
        <f>'לקוחות לפי סוכן - מקור'!A284</f>
        <v/>
      </c>
      <c r="B335" s="139">
        <f>'לקוחות לפי סוכן - מקור'!C284</f>
        <v/>
      </c>
      <c r="C335" s="139">
        <f>'לקוחות לפי סוכן - מקור'!D284</f>
        <v/>
      </c>
      <c r="D335" s="139">
        <f>'לקוחות לפי סוכן - מקור'!E284</f>
        <v/>
      </c>
      <c r="E335" s="147">
        <f>'לקוחות לפי סוכן - מקור'!F284</f>
        <v/>
      </c>
      <c r="F335" s="147">
        <f>'לקוחות לפי סוכן - מקור'!G284</f>
        <v/>
      </c>
      <c r="G335" s="148">
        <f>'לקוחות לפי סוכן - מקור'!H284</f>
        <v/>
      </c>
      <c r="H335" s="148">
        <f>'לקוחות לפי סוכן - מקור'!I284</f>
        <v/>
      </c>
      <c r="I335" s="139">
        <f>'לקוחות לפי סוכן - מקור'!K284</f>
        <v/>
      </c>
      <c r="J335" s="139" t="inlineStr">
        <is>
          <t>קיים במקור</t>
        </is>
      </c>
    </row>
    <row r="336" ht="15" customHeight="1" s="82">
      <c r="A336" s="139">
        <f>'לקוחות לפי סוכן - מקור'!A285</f>
        <v/>
      </c>
      <c r="B336" s="139">
        <f>'לקוחות לפי סוכן - מקור'!C285</f>
        <v/>
      </c>
      <c r="C336" s="139">
        <f>'לקוחות לפי סוכן - מקור'!D285</f>
        <v/>
      </c>
      <c r="D336" s="139">
        <f>'לקוחות לפי סוכן - מקור'!E285</f>
        <v/>
      </c>
      <c r="E336" s="147">
        <f>'לקוחות לפי סוכן - מקור'!F285</f>
        <v/>
      </c>
      <c r="F336" s="147">
        <f>'לקוחות לפי סוכן - מקור'!G285</f>
        <v/>
      </c>
      <c r="G336" s="148">
        <f>'לקוחות לפי סוכן - מקור'!H285</f>
        <v/>
      </c>
      <c r="H336" s="148">
        <f>'לקוחות לפי סוכן - מקור'!I285</f>
        <v/>
      </c>
      <c r="I336" s="139">
        <f>'לקוחות לפי סוכן - מקור'!K285</f>
        <v/>
      </c>
      <c r="J336" s="139" t="inlineStr">
        <is>
          <t>קיים במקור</t>
        </is>
      </c>
    </row>
    <row r="337" ht="15" customHeight="1" s="82">
      <c r="A337" s="139">
        <f>'לקוחות לפי סוכן - מקור'!A286</f>
        <v/>
      </c>
      <c r="B337" s="139">
        <f>'לקוחות לפי סוכן - מקור'!C286</f>
        <v/>
      </c>
      <c r="C337" s="139">
        <f>'לקוחות לפי סוכן - מקור'!D286</f>
        <v/>
      </c>
      <c r="D337" s="139">
        <f>'לקוחות לפי סוכן - מקור'!E286</f>
        <v/>
      </c>
      <c r="E337" s="147">
        <f>'לקוחות לפי סוכן - מקור'!F286</f>
        <v/>
      </c>
      <c r="F337" s="147">
        <f>'לקוחות לפי סוכן - מקור'!G286</f>
        <v/>
      </c>
      <c r="G337" s="148">
        <f>'לקוחות לפי סוכן - מקור'!H286</f>
        <v/>
      </c>
      <c r="H337" s="148">
        <f>'לקוחות לפי סוכן - מקור'!I286</f>
        <v/>
      </c>
      <c r="I337" s="139">
        <f>'לקוחות לפי סוכן - מקור'!K286</f>
        <v/>
      </c>
      <c r="J337" s="139" t="inlineStr">
        <is>
          <t>קיים במקור</t>
        </is>
      </c>
    </row>
    <row r="338" ht="15" customHeight="1" s="82">
      <c r="A338" s="139">
        <f>'לקוחות לפי סוכן - מקור'!A287</f>
        <v/>
      </c>
      <c r="B338" s="139">
        <f>'לקוחות לפי סוכן - מקור'!C287</f>
        <v/>
      </c>
      <c r="C338" s="139">
        <f>'לקוחות לפי סוכן - מקור'!D287</f>
        <v/>
      </c>
      <c r="D338" s="139">
        <f>'לקוחות לפי סוכן - מקור'!E287</f>
        <v/>
      </c>
      <c r="E338" s="147">
        <f>'לקוחות לפי סוכן - מקור'!F287</f>
        <v/>
      </c>
      <c r="F338" s="147">
        <f>'לקוחות לפי סוכן - מקור'!G287</f>
        <v/>
      </c>
      <c r="G338" s="148">
        <f>'לקוחות לפי סוכן - מקור'!H287</f>
        <v/>
      </c>
      <c r="H338" s="148">
        <f>'לקוחות לפי סוכן - מקור'!I287</f>
        <v/>
      </c>
      <c r="I338" s="139">
        <f>'לקוחות לפי סוכן - מקור'!K287</f>
        <v/>
      </c>
      <c r="J338" s="139" t="inlineStr">
        <is>
          <t>קיים במקור</t>
        </is>
      </c>
    </row>
    <row r="339" ht="15" customHeight="1" s="82">
      <c r="A339" s="139">
        <f>'לקוחות לפי סוכן - מקור'!A288</f>
        <v/>
      </c>
      <c r="B339" s="139">
        <f>'לקוחות לפי סוכן - מקור'!C288</f>
        <v/>
      </c>
      <c r="C339" s="139">
        <f>'לקוחות לפי סוכן - מקור'!D288</f>
        <v/>
      </c>
      <c r="D339" s="139">
        <f>'לקוחות לפי סוכן - מקור'!E288</f>
        <v/>
      </c>
      <c r="E339" s="147">
        <f>'לקוחות לפי סוכן - מקור'!F288</f>
        <v/>
      </c>
      <c r="F339" s="147">
        <f>'לקוחות לפי סוכן - מקור'!G288</f>
        <v/>
      </c>
      <c r="G339" s="148">
        <f>'לקוחות לפי סוכן - מקור'!H288</f>
        <v/>
      </c>
      <c r="H339" s="148">
        <f>'לקוחות לפי סוכן - מקור'!I288</f>
        <v/>
      </c>
      <c r="I339" s="139">
        <f>'לקוחות לפי סוכן - מקור'!K288</f>
        <v/>
      </c>
      <c r="J339" s="139" t="inlineStr">
        <is>
          <t>קיים במקור</t>
        </is>
      </c>
    </row>
    <row r="340" ht="15" customHeight="1" s="82">
      <c r="A340" s="139">
        <f>'לקוחות לפי סוכן - מקור'!A289</f>
        <v/>
      </c>
      <c r="B340" s="139">
        <f>'לקוחות לפי סוכן - מקור'!C289</f>
        <v/>
      </c>
      <c r="C340" s="139">
        <f>'לקוחות לפי סוכן - מקור'!D289</f>
        <v/>
      </c>
      <c r="D340" s="139">
        <f>'לקוחות לפי סוכן - מקור'!E289</f>
        <v/>
      </c>
      <c r="E340" s="147">
        <f>'לקוחות לפי סוכן - מקור'!F289</f>
        <v/>
      </c>
      <c r="F340" s="147">
        <f>'לקוחות לפי סוכן - מקור'!G289</f>
        <v/>
      </c>
      <c r="G340" s="148">
        <f>'לקוחות לפי סוכן - מקור'!H289</f>
        <v/>
      </c>
      <c r="H340" s="148">
        <f>'לקוחות לפי סוכן - מקור'!I289</f>
        <v/>
      </c>
      <c r="I340" s="139">
        <f>'לקוחות לפי סוכן - מקור'!K289</f>
        <v/>
      </c>
      <c r="J340" s="139" t="inlineStr">
        <is>
          <t>קיים במקור</t>
        </is>
      </c>
    </row>
    <row r="341" ht="15" customHeight="1" s="82">
      <c r="A341" s="139">
        <f>'לקוחות לפי סוכן - מקור'!A290</f>
        <v/>
      </c>
      <c r="B341" s="139">
        <f>'לקוחות לפי סוכן - מקור'!C290</f>
        <v/>
      </c>
      <c r="C341" s="139">
        <f>'לקוחות לפי סוכן - מקור'!D290</f>
        <v/>
      </c>
      <c r="D341" s="139">
        <f>'לקוחות לפי סוכן - מקור'!E290</f>
        <v/>
      </c>
      <c r="E341" s="147">
        <f>'לקוחות לפי סוכן - מקור'!F290</f>
        <v/>
      </c>
      <c r="F341" s="147">
        <f>'לקוחות לפי סוכן - מקור'!G290</f>
        <v/>
      </c>
      <c r="G341" s="148">
        <f>'לקוחות לפי סוכן - מקור'!H290</f>
        <v/>
      </c>
      <c r="H341" s="148">
        <f>'לקוחות לפי סוכן - מקור'!I290</f>
        <v/>
      </c>
      <c r="I341" s="139">
        <f>'לקוחות לפי סוכן - מקור'!K290</f>
        <v/>
      </c>
      <c r="J341" s="139" t="inlineStr">
        <is>
          <t>קיים במקור</t>
        </is>
      </c>
    </row>
    <row r="342" ht="15" customHeight="1" s="82">
      <c r="A342" s="139">
        <f>'לקוחות לפי סוכן - מקור'!A291</f>
        <v/>
      </c>
      <c r="B342" s="139">
        <f>'לקוחות לפי סוכן - מקור'!C291</f>
        <v/>
      </c>
      <c r="C342" s="139">
        <f>'לקוחות לפי סוכן - מקור'!D291</f>
        <v/>
      </c>
      <c r="D342" s="139">
        <f>'לקוחות לפי סוכן - מקור'!E291</f>
        <v/>
      </c>
      <c r="E342" s="147">
        <f>'לקוחות לפי סוכן - מקור'!F291</f>
        <v/>
      </c>
      <c r="F342" s="147">
        <f>'לקוחות לפי סוכן - מקור'!G291</f>
        <v/>
      </c>
      <c r="G342" s="148">
        <f>'לקוחות לפי סוכן - מקור'!H291</f>
        <v/>
      </c>
      <c r="H342" s="148">
        <f>'לקוחות לפי סוכן - מקור'!I291</f>
        <v/>
      </c>
      <c r="I342" s="139">
        <f>'לקוחות לפי סוכן - מקור'!K291</f>
        <v/>
      </c>
      <c r="J342" s="139" t="inlineStr">
        <is>
          <t>קיים במקור</t>
        </is>
      </c>
    </row>
    <row r="343" ht="15" customHeight="1" s="82">
      <c r="A343" s="139">
        <f>'לקוחות לפי סוכן - מקור'!A292</f>
        <v/>
      </c>
      <c r="B343" s="139">
        <f>'לקוחות לפי סוכן - מקור'!C292</f>
        <v/>
      </c>
      <c r="C343" s="139">
        <f>'לקוחות לפי סוכן - מקור'!D292</f>
        <v/>
      </c>
      <c r="D343" s="139">
        <f>'לקוחות לפי סוכן - מקור'!E292</f>
        <v/>
      </c>
      <c r="E343" s="147">
        <f>'לקוחות לפי סוכן - מקור'!F292</f>
        <v/>
      </c>
      <c r="F343" s="147">
        <f>'לקוחות לפי סוכן - מקור'!G292</f>
        <v/>
      </c>
      <c r="G343" s="148">
        <f>'לקוחות לפי סוכן - מקור'!H292</f>
        <v/>
      </c>
      <c r="H343" s="148">
        <f>'לקוחות לפי סוכן - מקור'!I292</f>
        <v/>
      </c>
      <c r="I343" s="139">
        <f>'לקוחות לפי סוכן - מקור'!K292</f>
        <v/>
      </c>
      <c r="J343" s="139" t="inlineStr">
        <is>
          <t>קיים במקור</t>
        </is>
      </c>
    </row>
    <row r="344" ht="15" customHeight="1" s="82">
      <c r="A344" s="139">
        <f>'לקוחות לפי סוכן - מקור'!A293</f>
        <v/>
      </c>
      <c r="B344" s="139">
        <f>'לקוחות לפי סוכן - מקור'!C293</f>
        <v/>
      </c>
      <c r="C344" s="139">
        <f>'לקוחות לפי סוכן - מקור'!D293</f>
        <v/>
      </c>
      <c r="D344" s="139">
        <f>'לקוחות לפי סוכן - מקור'!E293</f>
        <v/>
      </c>
      <c r="E344" s="147">
        <f>'לקוחות לפי סוכן - מקור'!F293</f>
        <v/>
      </c>
      <c r="F344" s="147">
        <f>'לקוחות לפי סוכן - מקור'!G293</f>
        <v/>
      </c>
      <c r="G344" s="148">
        <f>'לקוחות לפי סוכן - מקור'!H293</f>
        <v/>
      </c>
      <c r="H344" s="148">
        <f>'לקוחות לפי סוכן - מקור'!I293</f>
        <v/>
      </c>
      <c r="I344" s="139">
        <f>'לקוחות לפי סוכן - מקור'!K293</f>
        <v/>
      </c>
      <c r="J344" s="139" t="inlineStr">
        <is>
          <t>קיים במקור</t>
        </is>
      </c>
    </row>
    <row r="345" ht="15" customHeight="1" s="82">
      <c r="A345" s="139">
        <f>'לקוחות לפי סוכן - מקור'!A294</f>
        <v/>
      </c>
      <c r="B345" s="139">
        <f>'לקוחות לפי סוכן - מקור'!C294</f>
        <v/>
      </c>
      <c r="C345" s="139">
        <f>'לקוחות לפי סוכן - מקור'!D294</f>
        <v/>
      </c>
      <c r="D345" s="139">
        <f>'לקוחות לפי סוכן - מקור'!E294</f>
        <v/>
      </c>
      <c r="E345" s="147">
        <f>'לקוחות לפי סוכן - מקור'!F294</f>
        <v/>
      </c>
      <c r="F345" s="147">
        <f>'לקוחות לפי סוכן - מקור'!G294</f>
        <v/>
      </c>
      <c r="G345" s="148">
        <f>'לקוחות לפי סוכן - מקור'!H294</f>
        <v/>
      </c>
      <c r="H345" s="148">
        <f>'לקוחות לפי סוכן - מקור'!I294</f>
        <v/>
      </c>
      <c r="I345" s="139">
        <f>'לקוחות לפי סוכן - מקור'!K294</f>
        <v/>
      </c>
      <c r="J345" s="139" t="inlineStr">
        <is>
          <t>קיים במקור</t>
        </is>
      </c>
    </row>
    <row r="346" ht="15" customHeight="1" s="82">
      <c r="A346" s="139">
        <f>'לקוחות לפי סוכן - מקור'!A295</f>
        <v/>
      </c>
      <c r="B346" s="139">
        <f>'לקוחות לפי סוכן - מקור'!C295</f>
        <v/>
      </c>
      <c r="C346" s="139">
        <f>'לקוחות לפי סוכן - מקור'!D295</f>
        <v/>
      </c>
      <c r="D346" s="139">
        <f>'לקוחות לפי סוכן - מקור'!E295</f>
        <v/>
      </c>
      <c r="E346" s="147">
        <f>'לקוחות לפי סוכן - מקור'!F295</f>
        <v/>
      </c>
      <c r="F346" s="147">
        <f>'לקוחות לפי סוכן - מקור'!G295</f>
        <v/>
      </c>
      <c r="G346" s="148">
        <f>'לקוחות לפי סוכן - מקור'!H295</f>
        <v/>
      </c>
      <c r="H346" s="148">
        <f>'לקוחות לפי סוכן - מקור'!I295</f>
        <v/>
      </c>
      <c r="I346" s="139">
        <f>'לקוחות לפי סוכן - מקור'!K295</f>
        <v/>
      </c>
      <c r="J346" s="139" t="inlineStr">
        <is>
          <t>קיים במקור</t>
        </is>
      </c>
    </row>
    <row r="347" ht="15" customHeight="1" s="82">
      <c r="A347" s="139">
        <f>'לקוחות לפי סוכן - מקור'!A296</f>
        <v/>
      </c>
      <c r="B347" s="139">
        <f>'לקוחות לפי סוכן - מקור'!C296</f>
        <v/>
      </c>
      <c r="C347" s="139">
        <f>'לקוחות לפי סוכן - מקור'!D296</f>
        <v/>
      </c>
      <c r="D347" s="139">
        <f>'לקוחות לפי סוכן - מקור'!E296</f>
        <v/>
      </c>
      <c r="E347" s="147">
        <f>'לקוחות לפי סוכן - מקור'!F296</f>
        <v/>
      </c>
      <c r="F347" s="147">
        <f>'לקוחות לפי סוכן - מקור'!G296</f>
        <v/>
      </c>
      <c r="G347" s="148">
        <f>'לקוחות לפי סוכן - מקור'!H296</f>
        <v/>
      </c>
      <c r="H347" s="148">
        <f>'לקוחות לפי סוכן - מקור'!I296</f>
        <v/>
      </c>
      <c r="I347" s="139">
        <f>'לקוחות לפי סוכן - מקור'!K296</f>
        <v/>
      </c>
      <c r="J347" s="139" t="inlineStr">
        <is>
          <t>קיים במקור</t>
        </is>
      </c>
    </row>
    <row r="348" ht="15" customHeight="1" s="82">
      <c r="A348" s="139">
        <f>'לקוחות לפי סוכן - מקור'!A297</f>
        <v/>
      </c>
      <c r="B348" s="139">
        <f>'לקוחות לפי סוכן - מקור'!C297</f>
        <v/>
      </c>
      <c r="C348" s="139">
        <f>'לקוחות לפי סוכן - מקור'!D297</f>
        <v/>
      </c>
      <c r="D348" s="139">
        <f>'לקוחות לפי סוכן - מקור'!E297</f>
        <v/>
      </c>
      <c r="E348" s="147">
        <f>'לקוחות לפי סוכן - מקור'!F297</f>
        <v/>
      </c>
      <c r="F348" s="147">
        <f>'לקוחות לפי סוכן - מקור'!G297</f>
        <v/>
      </c>
      <c r="G348" s="148">
        <f>'לקוחות לפי סוכן - מקור'!H297</f>
        <v/>
      </c>
      <c r="H348" s="148">
        <f>'לקוחות לפי סוכן - מקור'!I297</f>
        <v/>
      </c>
      <c r="I348" s="139">
        <f>'לקוחות לפי סוכן - מקור'!K297</f>
        <v/>
      </c>
      <c r="J348" s="139" t="inlineStr">
        <is>
          <t>קיים במקור</t>
        </is>
      </c>
    </row>
    <row r="349" ht="15" customHeight="1" s="82">
      <c r="A349" s="139">
        <f>'לקוחות לפי סוכן - מקור'!A298</f>
        <v/>
      </c>
      <c r="B349" s="139">
        <f>'לקוחות לפי סוכן - מקור'!C298</f>
        <v/>
      </c>
      <c r="C349" s="139">
        <f>'לקוחות לפי סוכן - מקור'!D298</f>
        <v/>
      </c>
      <c r="D349" s="139">
        <f>'לקוחות לפי סוכן - מקור'!E298</f>
        <v/>
      </c>
      <c r="E349" s="147">
        <f>'לקוחות לפי סוכן - מקור'!F298</f>
        <v/>
      </c>
      <c r="F349" s="147">
        <f>'לקוחות לפי סוכן - מקור'!G298</f>
        <v/>
      </c>
      <c r="G349" s="148">
        <f>'לקוחות לפי סוכן - מקור'!H298</f>
        <v/>
      </c>
      <c r="H349" s="148">
        <f>'לקוחות לפי סוכן - מקור'!I298</f>
        <v/>
      </c>
      <c r="I349" s="139">
        <f>'לקוחות לפי סוכן - מקור'!K298</f>
        <v/>
      </c>
      <c r="J349" s="139" t="inlineStr">
        <is>
          <t>קיים במקור</t>
        </is>
      </c>
    </row>
    <row r="350" ht="15" customHeight="1" s="82">
      <c r="A350" s="139">
        <f>'לקוחות לפי סוכן - מקור'!A299</f>
        <v/>
      </c>
      <c r="B350" s="139">
        <f>'לקוחות לפי סוכן - מקור'!C299</f>
        <v/>
      </c>
      <c r="C350" s="139">
        <f>'לקוחות לפי סוכן - מקור'!D299</f>
        <v/>
      </c>
      <c r="D350" s="139">
        <f>'לקוחות לפי סוכן - מקור'!E299</f>
        <v/>
      </c>
      <c r="E350" s="147">
        <f>'לקוחות לפי סוכן - מקור'!F299</f>
        <v/>
      </c>
      <c r="F350" s="147">
        <f>'לקוחות לפי סוכן - מקור'!G299</f>
        <v/>
      </c>
      <c r="G350" s="148">
        <f>'לקוחות לפי סוכן - מקור'!H299</f>
        <v/>
      </c>
      <c r="H350" s="148">
        <f>'לקוחות לפי סוכן - מקור'!I299</f>
        <v/>
      </c>
      <c r="I350" s="139">
        <f>'לקוחות לפי סוכן - מקור'!K299</f>
        <v/>
      </c>
      <c r="J350" s="139" t="inlineStr">
        <is>
          <t>קיים במקור</t>
        </is>
      </c>
    </row>
    <row r="351" ht="15" customHeight="1" s="82">
      <c r="A351" s="139">
        <f>'לקוחות לפי סוכן - מקור'!A300</f>
        <v/>
      </c>
      <c r="B351" s="139">
        <f>'לקוחות לפי סוכן - מקור'!C300</f>
        <v/>
      </c>
      <c r="C351" s="139">
        <f>'לקוחות לפי סוכן - מקור'!D300</f>
        <v/>
      </c>
      <c r="D351" s="139">
        <f>'לקוחות לפי סוכן - מקור'!E300</f>
        <v/>
      </c>
      <c r="E351" s="147">
        <f>'לקוחות לפי סוכן - מקור'!F300</f>
        <v/>
      </c>
      <c r="F351" s="147">
        <f>'לקוחות לפי סוכן - מקור'!G300</f>
        <v/>
      </c>
      <c r="G351" s="148">
        <f>'לקוחות לפי סוכן - מקור'!H300</f>
        <v/>
      </c>
      <c r="H351" s="148">
        <f>'לקוחות לפי סוכן - מקור'!I300</f>
        <v/>
      </c>
      <c r="I351" s="139">
        <f>'לקוחות לפי סוכן - מקור'!K300</f>
        <v/>
      </c>
      <c r="J351" s="139" t="inlineStr">
        <is>
          <t>קיים במקור</t>
        </is>
      </c>
    </row>
    <row r="352" ht="15" customHeight="1" s="82">
      <c r="A352" s="139">
        <f>'לקוחות לפי סוכן - מקור'!A301</f>
        <v/>
      </c>
      <c r="B352" s="139">
        <f>'לקוחות לפי סוכן - מקור'!C301</f>
        <v/>
      </c>
      <c r="C352" s="139">
        <f>'לקוחות לפי סוכן - מקור'!D301</f>
        <v/>
      </c>
      <c r="D352" s="139">
        <f>'לקוחות לפי סוכן - מקור'!E301</f>
        <v/>
      </c>
      <c r="E352" s="147">
        <f>'לקוחות לפי סוכן - מקור'!F301</f>
        <v/>
      </c>
      <c r="F352" s="147">
        <f>'לקוחות לפי סוכן - מקור'!G301</f>
        <v/>
      </c>
      <c r="G352" s="148">
        <f>'לקוחות לפי סוכן - מקור'!H301</f>
        <v/>
      </c>
      <c r="H352" s="148">
        <f>'לקוחות לפי סוכן - מקור'!I301</f>
        <v/>
      </c>
      <c r="I352" s="139">
        <f>'לקוחות לפי סוכן - מקור'!K301</f>
        <v/>
      </c>
      <c r="J352" s="139" t="inlineStr">
        <is>
          <t>קיים במקור</t>
        </is>
      </c>
    </row>
    <row r="353" ht="15" customHeight="1" s="82">
      <c r="A353" s="139">
        <f>'לקוחות לפי סוכן - מקור'!A302</f>
        <v/>
      </c>
      <c r="B353" s="139">
        <f>'לקוחות לפי סוכן - מקור'!C302</f>
        <v/>
      </c>
      <c r="C353" s="139">
        <f>'לקוחות לפי סוכן - מקור'!D302</f>
        <v/>
      </c>
      <c r="D353" s="139">
        <f>'לקוחות לפי סוכן - מקור'!E302</f>
        <v/>
      </c>
      <c r="E353" s="147">
        <f>'לקוחות לפי סוכן - מקור'!F302</f>
        <v/>
      </c>
      <c r="F353" s="147">
        <f>'לקוחות לפי סוכן - מקור'!G302</f>
        <v/>
      </c>
      <c r="G353" s="148">
        <f>'לקוחות לפי סוכן - מקור'!H302</f>
        <v/>
      </c>
      <c r="H353" s="148">
        <f>'לקוחות לפי סוכן - מקור'!I302</f>
        <v/>
      </c>
      <c r="I353" s="139">
        <f>'לקוחות לפי סוכן - מקור'!K302</f>
        <v/>
      </c>
      <c r="J353" s="139" t="inlineStr">
        <is>
          <t>קיים במקור</t>
        </is>
      </c>
    </row>
    <row r="354" ht="15" customHeight="1" s="82">
      <c r="A354" s="139">
        <f>'לקוחות לפי סוכן - מקור'!A303</f>
        <v/>
      </c>
      <c r="B354" s="139">
        <f>'לקוחות לפי סוכן - מקור'!C303</f>
        <v/>
      </c>
      <c r="C354" s="139">
        <f>'לקוחות לפי סוכן - מקור'!D303</f>
        <v/>
      </c>
      <c r="D354" s="139">
        <f>'לקוחות לפי סוכן - מקור'!E303</f>
        <v/>
      </c>
      <c r="E354" s="147">
        <f>'לקוחות לפי סוכן - מקור'!F303</f>
        <v/>
      </c>
      <c r="F354" s="147">
        <f>'לקוחות לפי סוכן - מקור'!G303</f>
        <v/>
      </c>
      <c r="G354" s="148">
        <f>'לקוחות לפי סוכן - מקור'!H303</f>
        <v/>
      </c>
      <c r="H354" s="148">
        <f>'לקוחות לפי סוכן - מקור'!I303</f>
        <v/>
      </c>
      <c r="I354" s="139">
        <f>'לקוחות לפי סוכן - מקור'!K303</f>
        <v/>
      </c>
      <c r="J354" s="139" t="inlineStr">
        <is>
          <t>קיים במקור</t>
        </is>
      </c>
    </row>
    <row r="355" ht="15" customHeight="1" s="82">
      <c r="A355" s="139">
        <f>'לקוחות לפי סוכן - מקור'!A304</f>
        <v/>
      </c>
      <c r="B355" s="139">
        <f>'לקוחות לפי סוכן - מקור'!C304</f>
        <v/>
      </c>
      <c r="C355" s="139">
        <f>'לקוחות לפי סוכן - מקור'!D304</f>
        <v/>
      </c>
      <c r="D355" s="139">
        <f>'לקוחות לפי סוכן - מקור'!E304</f>
        <v/>
      </c>
      <c r="E355" s="147">
        <f>'לקוחות לפי סוכן - מקור'!F304</f>
        <v/>
      </c>
      <c r="F355" s="147">
        <f>'לקוחות לפי סוכן - מקור'!G304</f>
        <v/>
      </c>
      <c r="G355" s="148">
        <f>'לקוחות לפי סוכן - מקור'!H304</f>
        <v/>
      </c>
      <c r="H355" s="148">
        <f>'לקוחות לפי סוכן - מקור'!I304</f>
        <v/>
      </c>
      <c r="I355" s="139">
        <f>'לקוחות לפי סוכן - מקור'!K304</f>
        <v/>
      </c>
      <c r="J355" s="139" t="inlineStr">
        <is>
          <t>קיים במקור</t>
        </is>
      </c>
    </row>
    <row r="356" ht="15" customHeight="1" s="82">
      <c r="A356" s="139">
        <f>'לקוחות לפי סוכן - מקור'!A305</f>
        <v/>
      </c>
      <c r="B356" s="139">
        <f>'לקוחות לפי סוכן - מקור'!C305</f>
        <v/>
      </c>
      <c r="C356" s="139">
        <f>'לקוחות לפי סוכן - מקור'!D305</f>
        <v/>
      </c>
      <c r="D356" s="139">
        <f>'לקוחות לפי סוכן - מקור'!E305</f>
        <v/>
      </c>
      <c r="E356" s="147">
        <f>'לקוחות לפי סוכן - מקור'!F305</f>
        <v/>
      </c>
      <c r="F356" s="147">
        <f>'לקוחות לפי סוכן - מקור'!G305</f>
        <v/>
      </c>
      <c r="G356" s="148">
        <f>'לקוחות לפי סוכן - מקור'!H305</f>
        <v/>
      </c>
      <c r="H356" s="148">
        <f>'לקוחות לפי סוכן - מקור'!I305</f>
        <v/>
      </c>
      <c r="I356" s="139">
        <f>'לקוחות לפי סוכן - מקור'!K305</f>
        <v/>
      </c>
      <c r="J356" s="139" t="inlineStr">
        <is>
          <t>קיים במקור</t>
        </is>
      </c>
    </row>
    <row r="357" ht="15" customHeight="1" s="82">
      <c r="A357" s="139">
        <f>'לקוחות לפי סוכן - מקור'!A306</f>
        <v/>
      </c>
      <c r="B357" s="139">
        <f>'לקוחות לפי סוכן - מקור'!C306</f>
        <v/>
      </c>
      <c r="C357" s="139">
        <f>'לקוחות לפי סוכן - מקור'!D306</f>
        <v/>
      </c>
      <c r="D357" s="139">
        <f>'לקוחות לפי סוכן - מקור'!E306</f>
        <v/>
      </c>
      <c r="E357" s="147">
        <f>'לקוחות לפי סוכן - מקור'!F306</f>
        <v/>
      </c>
      <c r="F357" s="147">
        <f>'לקוחות לפי סוכן - מקור'!G306</f>
        <v/>
      </c>
      <c r="G357" s="148">
        <f>'לקוחות לפי סוכן - מקור'!H306</f>
        <v/>
      </c>
      <c r="H357" s="148">
        <f>'לקוחות לפי סוכן - מקור'!I306</f>
        <v/>
      </c>
      <c r="I357" s="139">
        <f>'לקוחות לפי סוכן - מקור'!K306</f>
        <v/>
      </c>
      <c r="J357" s="139" t="inlineStr">
        <is>
          <t>קיים במקור</t>
        </is>
      </c>
    </row>
    <row r="358" ht="15" customHeight="1" s="82">
      <c r="A358" s="139">
        <f>'לקוחות לפי סוכן - מקור'!A307</f>
        <v/>
      </c>
      <c r="B358" s="139">
        <f>'לקוחות לפי סוכן - מקור'!C307</f>
        <v/>
      </c>
      <c r="C358" s="139">
        <f>'לקוחות לפי סוכן - מקור'!D307</f>
        <v/>
      </c>
      <c r="D358" s="139">
        <f>'לקוחות לפי סוכן - מקור'!E307</f>
        <v/>
      </c>
      <c r="E358" s="147">
        <f>'לקוחות לפי סוכן - מקור'!F307</f>
        <v/>
      </c>
      <c r="F358" s="147">
        <f>'לקוחות לפי סוכן - מקור'!G307</f>
        <v/>
      </c>
      <c r="G358" s="148">
        <f>'לקוחות לפי סוכן - מקור'!H307</f>
        <v/>
      </c>
      <c r="H358" s="148">
        <f>'לקוחות לפי סוכן - מקור'!I307</f>
        <v/>
      </c>
      <c r="I358" s="139">
        <f>'לקוחות לפי סוכן - מקור'!K307</f>
        <v/>
      </c>
      <c r="J358" s="139" t="inlineStr">
        <is>
          <t>קיים במקור</t>
        </is>
      </c>
    </row>
    <row r="359" ht="15" customHeight="1" s="82">
      <c r="A359" s="139">
        <f>'לקוחות לפי סוכן - מקור'!A308</f>
        <v/>
      </c>
      <c r="B359" s="139">
        <f>'לקוחות לפי סוכן - מקור'!C308</f>
        <v/>
      </c>
      <c r="C359" s="139">
        <f>'לקוחות לפי סוכן - מקור'!D308</f>
        <v/>
      </c>
      <c r="D359" s="139">
        <f>'לקוחות לפי סוכן - מקור'!E308</f>
        <v/>
      </c>
      <c r="E359" s="147">
        <f>'לקוחות לפי סוכן - מקור'!F308</f>
        <v/>
      </c>
      <c r="F359" s="147">
        <f>'לקוחות לפי סוכן - מקור'!G308</f>
        <v/>
      </c>
      <c r="G359" s="148">
        <f>'לקוחות לפי סוכן - מקור'!H308</f>
        <v/>
      </c>
      <c r="H359" s="148">
        <f>'לקוחות לפי סוכן - מקור'!I308</f>
        <v/>
      </c>
      <c r="I359" s="139">
        <f>'לקוחות לפי סוכן - מקור'!K308</f>
        <v/>
      </c>
      <c r="J359" s="139" t="inlineStr">
        <is>
          <t>קיים במקור</t>
        </is>
      </c>
    </row>
    <row r="360" ht="15" customHeight="1" s="82">
      <c r="A360" s="139">
        <f>'לקוחות לפי סוכן - מקור'!A309</f>
        <v/>
      </c>
      <c r="B360" s="139">
        <f>'לקוחות לפי סוכן - מקור'!C309</f>
        <v/>
      </c>
      <c r="C360" s="139">
        <f>'לקוחות לפי סוכן - מקור'!D309</f>
        <v/>
      </c>
      <c r="D360" s="139">
        <f>'לקוחות לפי סוכן - מקור'!E309</f>
        <v/>
      </c>
      <c r="E360" s="147">
        <f>'לקוחות לפי סוכן - מקור'!F309</f>
        <v/>
      </c>
      <c r="F360" s="147">
        <f>'לקוחות לפי סוכן - מקור'!G309</f>
        <v/>
      </c>
      <c r="G360" s="148">
        <f>'לקוחות לפי סוכן - מקור'!H309</f>
        <v/>
      </c>
      <c r="H360" s="148">
        <f>'לקוחות לפי סוכן - מקור'!I309</f>
        <v/>
      </c>
      <c r="I360" s="139">
        <f>'לקוחות לפי סוכן - מקור'!K309</f>
        <v/>
      </c>
      <c r="J360" s="139" t="inlineStr">
        <is>
          <t>קיים במקור</t>
        </is>
      </c>
    </row>
    <row r="361" ht="15" customHeight="1" s="82">
      <c r="A361" s="139">
        <f>'לקוחות לפי סוכן - מקור'!A310</f>
        <v/>
      </c>
      <c r="B361" s="139">
        <f>'לקוחות לפי סוכן - מקור'!C310</f>
        <v/>
      </c>
      <c r="C361" s="139">
        <f>'לקוחות לפי סוכן - מקור'!D310</f>
        <v/>
      </c>
      <c r="D361" s="139">
        <f>'לקוחות לפי סוכן - מקור'!E310</f>
        <v/>
      </c>
      <c r="E361" s="147">
        <f>'לקוחות לפי סוכן - מקור'!F310</f>
        <v/>
      </c>
      <c r="F361" s="147">
        <f>'לקוחות לפי סוכן - מקור'!G310</f>
        <v/>
      </c>
      <c r="G361" s="148">
        <f>'לקוחות לפי סוכן - מקור'!H310</f>
        <v/>
      </c>
      <c r="H361" s="148">
        <f>'לקוחות לפי סוכן - מקור'!I310</f>
        <v/>
      </c>
      <c r="I361" s="139">
        <f>'לקוחות לפי סוכן - מקור'!K310</f>
        <v/>
      </c>
      <c r="J361" s="139" t="inlineStr">
        <is>
          <t>קיים במקור</t>
        </is>
      </c>
    </row>
    <row r="362" ht="15" customHeight="1" s="82">
      <c r="A362" s="139">
        <f>'לקוחות לפי סוכן - מקור'!A311</f>
        <v/>
      </c>
      <c r="B362" s="139">
        <f>'לקוחות לפי סוכן - מקור'!C311</f>
        <v/>
      </c>
      <c r="C362" s="139">
        <f>'לקוחות לפי סוכן - מקור'!D311</f>
        <v/>
      </c>
      <c r="D362" s="139">
        <f>'לקוחות לפי סוכן - מקור'!E311</f>
        <v/>
      </c>
      <c r="E362" s="147">
        <f>'לקוחות לפי סוכן - מקור'!F311</f>
        <v/>
      </c>
      <c r="F362" s="147">
        <f>'לקוחות לפי סוכן - מקור'!G311</f>
        <v/>
      </c>
      <c r="G362" s="148">
        <f>'לקוחות לפי סוכן - מקור'!H311</f>
        <v/>
      </c>
      <c r="H362" s="148">
        <f>'לקוחות לפי סוכן - מקור'!I311</f>
        <v/>
      </c>
      <c r="I362" s="139">
        <f>'לקוחות לפי סוכן - מקור'!K311</f>
        <v/>
      </c>
      <c r="J362" s="139" t="inlineStr">
        <is>
          <t>קיים במקור</t>
        </is>
      </c>
    </row>
    <row r="363" ht="15" customHeight="1" s="82">
      <c r="A363" s="139">
        <f>'לקוחות לפי סוכן - מקור'!A312</f>
        <v/>
      </c>
      <c r="B363" s="139">
        <f>'לקוחות לפי סוכן - מקור'!C312</f>
        <v/>
      </c>
      <c r="C363" s="139">
        <f>'לקוחות לפי סוכן - מקור'!D312</f>
        <v/>
      </c>
      <c r="D363" s="139">
        <f>'לקוחות לפי סוכן - מקור'!E312</f>
        <v/>
      </c>
      <c r="E363" s="147">
        <f>'לקוחות לפי סוכן - מקור'!F312</f>
        <v/>
      </c>
      <c r="F363" s="147">
        <f>'לקוחות לפי סוכן - מקור'!G312</f>
        <v/>
      </c>
      <c r="G363" s="148">
        <f>'לקוחות לפי סוכן - מקור'!H312</f>
        <v/>
      </c>
      <c r="H363" s="148">
        <f>'לקוחות לפי סוכן - מקור'!I312</f>
        <v/>
      </c>
      <c r="I363" s="139">
        <f>'לקוחות לפי סוכן - מקור'!K312</f>
        <v/>
      </c>
      <c r="J363" s="139" t="inlineStr">
        <is>
          <t>קיים במקור</t>
        </is>
      </c>
    </row>
    <row r="364" ht="15" customHeight="1" s="82">
      <c r="A364" s="139">
        <f>'לקוחות לפי סוכן - מקור'!A313</f>
        <v/>
      </c>
      <c r="B364" s="139">
        <f>'לקוחות לפי סוכן - מקור'!C313</f>
        <v/>
      </c>
      <c r="C364" s="139">
        <f>'לקוחות לפי סוכן - מקור'!D313</f>
        <v/>
      </c>
      <c r="D364" s="139">
        <f>'לקוחות לפי סוכן - מקור'!E313</f>
        <v/>
      </c>
      <c r="E364" s="147">
        <f>'לקוחות לפי סוכן - מקור'!F313</f>
        <v/>
      </c>
      <c r="F364" s="147">
        <f>'לקוחות לפי סוכן - מקור'!G313</f>
        <v/>
      </c>
      <c r="G364" s="148">
        <f>'לקוחות לפי סוכן - מקור'!H313</f>
        <v/>
      </c>
      <c r="H364" s="148">
        <f>'לקוחות לפי סוכן - מקור'!I313</f>
        <v/>
      </c>
      <c r="I364" s="139">
        <f>'לקוחות לפי סוכן - מקור'!K313</f>
        <v/>
      </c>
      <c r="J364" s="139" t="inlineStr">
        <is>
          <t>קיים במקור</t>
        </is>
      </c>
    </row>
    <row r="365" ht="15" customHeight="1" s="82">
      <c r="A365" s="139">
        <f>'לקוחות לפי סוכן - מקור'!A314</f>
        <v/>
      </c>
      <c r="B365" s="139">
        <f>'לקוחות לפי סוכן - מקור'!C314</f>
        <v/>
      </c>
      <c r="C365" s="139">
        <f>'לקוחות לפי סוכן - מקור'!D314</f>
        <v/>
      </c>
      <c r="D365" s="139">
        <f>'לקוחות לפי סוכן - מקור'!E314</f>
        <v/>
      </c>
      <c r="E365" s="147">
        <f>'לקוחות לפי סוכן - מקור'!F314</f>
        <v/>
      </c>
      <c r="F365" s="147">
        <f>'לקוחות לפי סוכן - מקור'!G314</f>
        <v/>
      </c>
      <c r="G365" s="148">
        <f>'לקוחות לפי סוכן - מקור'!H314</f>
        <v/>
      </c>
      <c r="H365" s="148">
        <f>'לקוחות לפי סוכן - מקור'!I314</f>
        <v/>
      </c>
      <c r="I365" s="139">
        <f>'לקוחות לפי סוכן - מקור'!K314</f>
        <v/>
      </c>
      <c r="J365" s="139" t="inlineStr">
        <is>
          <t>קיים במקור</t>
        </is>
      </c>
    </row>
    <row r="366" ht="15" customHeight="1" s="82">
      <c r="A366" s="139">
        <f>'לקוחות לפי סוכן - מקור'!A315</f>
        <v/>
      </c>
      <c r="B366" s="139">
        <f>'לקוחות לפי סוכן - מקור'!C315</f>
        <v/>
      </c>
      <c r="C366" s="139">
        <f>'לקוחות לפי סוכן - מקור'!D315</f>
        <v/>
      </c>
      <c r="D366" s="139">
        <f>'לקוחות לפי סוכן - מקור'!E315</f>
        <v/>
      </c>
      <c r="E366" s="147">
        <f>'לקוחות לפי סוכן - מקור'!F315</f>
        <v/>
      </c>
      <c r="F366" s="147">
        <f>'לקוחות לפי סוכן - מקור'!G315</f>
        <v/>
      </c>
      <c r="G366" s="148">
        <f>'לקוחות לפי סוכן - מקור'!H315</f>
        <v/>
      </c>
      <c r="H366" s="148">
        <f>'לקוחות לפי סוכן - מקור'!I315</f>
        <v/>
      </c>
      <c r="I366" s="139">
        <f>'לקוחות לפי סוכן - מקור'!K315</f>
        <v/>
      </c>
      <c r="J366" s="139" t="inlineStr">
        <is>
          <t>קיים במקור</t>
        </is>
      </c>
    </row>
    <row r="367" ht="15" customHeight="1" s="82">
      <c r="A367" s="139">
        <f>'לקוחות לפי סוכן - מקור'!A316</f>
        <v/>
      </c>
      <c r="B367" s="139">
        <f>'לקוחות לפי סוכן - מקור'!C316</f>
        <v/>
      </c>
      <c r="C367" s="139">
        <f>'לקוחות לפי סוכן - מקור'!D316</f>
        <v/>
      </c>
      <c r="D367" s="139">
        <f>'לקוחות לפי סוכן - מקור'!E316</f>
        <v/>
      </c>
      <c r="E367" s="147">
        <f>'לקוחות לפי סוכן - מקור'!F316</f>
        <v/>
      </c>
      <c r="F367" s="147">
        <f>'לקוחות לפי סוכן - מקור'!G316</f>
        <v/>
      </c>
      <c r="G367" s="148">
        <f>'לקוחות לפי סוכן - מקור'!H316</f>
        <v/>
      </c>
      <c r="H367" s="148">
        <f>'לקוחות לפי סוכן - מקור'!I316</f>
        <v/>
      </c>
      <c r="I367" s="139">
        <f>'לקוחות לפי סוכן - מקור'!K316</f>
        <v/>
      </c>
      <c r="J367" s="139" t="inlineStr">
        <is>
          <t>קיים במקור</t>
        </is>
      </c>
    </row>
    <row r="368" ht="15" customHeight="1" s="82">
      <c r="A368" s="139">
        <f>'לקוחות לפי סוכן - מקור'!A317</f>
        <v/>
      </c>
      <c r="B368" s="139">
        <f>'לקוחות לפי סוכן - מקור'!C317</f>
        <v/>
      </c>
      <c r="C368" s="139">
        <f>'לקוחות לפי סוכן - מקור'!D317</f>
        <v/>
      </c>
      <c r="D368" s="139">
        <f>'לקוחות לפי סוכן - מקור'!E317</f>
        <v/>
      </c>
      <c r="E368" s="147">
        <f>'לקוחות לפי סוכן - מקור'!F317</f>
        <v/>
      </c>
      <c r="F368" s="147">
        <f>'לקוחות לפי סוכן - מקור'!G317</f>
        <v/>
      </c>
      <c r="G368" s="148">
        <f>'לקוחות לפי סוכן - מקור'!H317</f>
        <v/>
      </c>
      <c r="H368" s="148">
        <f>'לקוחות לפי סוכן - מקור'!I317</f>
        <v/>
      </c>
      <c r="I368" s="139">
        <f>'לקוחות לפי סוכן - מקור'!K317</f>
        <v/>
      </c>
      <c r="J368" s="139" t="inlineStr">
        <is>
          <t>קיים במקור</t>
        </is>
      </c>
    </row>
    <row r="369" ht="15" customHeight="1" s="82">
      <c r="A369" s="139">
        <f>'לקוחות לפי סוכן - מקור'!A318</f>
        <v/>
      </c>
      <c r="B369" s="139">
        <f>'לקוחות לפי סוכן - מקור'!C318</f>
        <v/>
      </c>
      <c r="C369" s="139">
        <f>'לקוחות לפי סוכן - מקור'!D318</f>
        <v/>
      </c>
      <c r="D369" s="139">
        <f>'לקוחות לפי סוכן - מקור'!E318</f>
        <v/>
      </c>
      <c r="E369" s="147">
        <f>'לקוחות לפי סוכן - מקור'!F318</f>
        <v/>
      </c>
      <c r="F369" s="147">
        <f>'לקוחות לפי סוכן - מקור'!G318</f>
        <v/>
      </c>
      <c r="G369" s="148">
        <f>'לקוחות לפי סוכן - מקור'!H318</f>
        <v/>
      </c>
      <c r="H369" s="148">
        <f>'לקוחות לפי סוכן - מקור'!I318</f>
        <v/>
      </c>
      <c r="I369" s="139">
        <f>'לקוחות לפי סוכן - מקור'!K318</f>
        <v/>
      </c>
      <c r="J369" s="139" t="inlineStr">
        <is>
          <t>קיים במקור</t>
        </is>
      </c>
    </row>
    <row r="370" ht="15" customHeight="1" s="82">
      <c r="A370" s="139">
        <f>'לקוחות לפי סוכן - מקור'!A319</f>
        <v/>
      </c>
      <c r="B370" s="139">
        <f>'לקוחות לפי סוכן - מקור'!C319</f>
        <v/>
      </c>
      <c r="C370" s="139">
        <f>'לקוחות לפי סוכן - מקור'!D319</f>
        <v/>
      </c>
      <c r="D370" s="139">
        <f>'לקוחות לפי סוכן - מקור'!E319</f>
        <v/>
      </c>
      <c r="E370" s="147">
        <f>'לקוחות לפי סוכן - מקור'!F319</f>
        <v/>
      </c>
      <c r="F370" s="147">
        <f>'לקוחות לפי סוכן - מקור'!G319</f>
        <v/>
      </c>
      <c r="G370" s="148">
        <f>'לקוחות לפי סוכן - מקור'!H319</f>
        <v/>
      </c>
      <c r="H370" s="148">
        <f>'לקוחות לפי סוכן - מקור'!I319</f>
        <v/>
      </c>
      <c r="I370" s="139">
        <f>'לקוחות לפי סוכן - מקור'!K319</f>
        <v/>
      </c>
      <c r="J370" s="139" t="inlineStr">
        <is>
          <t>קיים במקור</t>
        </is>
      </c>
    </row>
    <row r="371" ht="15" customHeight="1" s="82">
      <c r="A371" s="139">
        <f>'לקוחות לפי סוכן - מקור'!A320</f>
        <v/>
      </c>
      <c r="B371" s="139">
        <f>'לקוחות לפי סוכן - מקור'!C320</f>
        <v/>
      </c>
      <c r="C371" s="139">
        <f>'לקוחות לפי סוכן - מקור'!D320</f>
        <v/>
      </c>
      <c r="D371" s="139">
        <f>'לקוחות לפי סוכן - מקור'!E320</f>
        <v/>
      </c>
      <c r="E371" s="147">
        <f>'לקוחות לפי סוכן - מקור'!F320</f>
        <v/>
      </c>
      <c r="F371" s="147">
        <f>'לקוחות לפי סוכן - מקור'!G320</f>
        <v/>
      </c>
      <c r="G371" s="148">
        <f>'לקוחות לפי סוכן - מקור'!H320</f>
        <v/>
      </c>
      <c r="H371" s="148">
        <f>'לקוחות לפי סוכן - מקור'!I320</f>
        <v/>
      </c>
      <c r="I371" s="139">
        <f>'לקוחות לפי סוכן - מקור'!K320</f>
        <v/>
      </c>
      <c r="J371" s="139" t="inlineStr">
        <is>
          <t>קיים במקור</t>
        </is>
      </c>
    </row>
    <row r="372" ht="15" customHeight="1" s="82">
      <c r="A372" s="139">
        <f>'לקוחות לפי סוכן - מקור'!A321</f>
        <v/>
      </c>
      <c r="B372" s="139">
        <f>'לקוחות לפי סוכן - מקור'!C321</f>
        <v/>
      </c>
      <c r="C372" s="139">
        <f>'לקוחות לפי סוכן - מקור'!D321</f>
        <v/>
      </c>
      <c r="D372" s="139">
        <f>'לקוחות לפי סוכן - מקור'!E321</f>
        <v/>
      </c>
      <c r="E372" s="147">
        <f>'לקוחות לפי סוכן - מקור'!F321</f>
        <v/>
      </c>
      <c r="F372" s="147">
        <f>'לקוחות לפי סוכן - מקור'!G321</f>
        <v/>
      </c>
      <c r="G372" s="148">
        <f>'לקוחות לפי סוכן - מקור'!H321</f>
        <v/>
      </c>
      <c r="H372" s="148">
        <f>'לקוחות לפי סוכן - מקור'!I321</f>
        <v/>
      </c>
      <c r="I372" s="139">
        <f>'לקוחות לפי סוכן - מקור'!K321</f>
        <v/>
      </c>
      <c r="J372" s="139" t="inlineStr">
        <is>
          <t>קיים במקור</t>
        </is>
      </c>
    </row>
    <row r="373" ht="15" customHeight="1" s="82">
      <c r="A373" s="139">
        <f>'לקוחות לפי סוכן - מקור'!A322</f>
        <v/>
      </c>
      <c r="B373" s="139">
        <f>'לקוחות לפי סוכן - מקור'!C322</f>
        <v/>
      </c>
      <c r="C373" s="139">
        <f>'לקוחות לפי סוכן - מקור'!D322</f>
        <v/>
      </c>
      <c r="D373" s="139">
        <f>'לקוחות לפי סוכן - מקור'!E322</f>
        <v/>
      </c>
      <c r="E373" s="147">
        <f>'לקוחות לפי סוכן - מקור'!F322</f>
        <v/>
      </c>
      <c r="F373" s="147">
        <f>'לקוחות לפי סוכן - מקור'!G322</f>
        <v/>
      </c>
      <c r="G373" s="148">
        <f>'לקוחות לפי סוכן - מקור'!H322</f>
        <v/>
      </c>
      <c r="H373" s="148">
        <f>'לקוחות לפי סוכן - מקור'!I322</f>
        <v/>
      </c>
      <c r="I373" s="139">
        <f>'לקוחות לפי סוכן - מקור'!K322</f>
        <v/>
      </c>
      <c r="J373" s="139" t="inlineStr">
        <is>
          <t>קיים במקור</t>
        </is>
      </c>
    </row>
    <row r="374" ht="15" customHeight="1" s="82">
      <c r="A374" s="139">
        <f>'לקוחות לפי סוכן - מקור'!A323</f>
        <v/>
      </c>
      <c r="B374" s="139">
        <f>'לקוחות לפי סוכן - מקור'!C323</f>
        <v/>
      </c>
      <c r="C374" s="139">
        <f>'לקוחות לפי סוכן - מקור'!D323</f>
        <v/>
      </c>
      <c r="D374" s="139">
        <f>'לקוחות לפי סוכן - מקור'!E323</f>
        <v/>
      </c>
      <c r="E374" s="147">
        <f>'לקוחות לפי סוכן - מקור'!F323</f>
        <v/>
      </c>
      <c r="F374" s="147">
        <f>'לקוחות לפי סוכן - מקור'!G323</f>
        <v/>
      </c>
      <c r="G374" s="148">
        <f>'לקוחות לפי סוכן - מקור'!H323</f>
        <v/>
      </c>
      <c r="H374" s="148">
        <f>'לקוחות לפי סוכן - מקור'!I323</f>
        <v/>
      </c>
      <c r="I374" s="139">
        <f>'לקוחות לפי סוכן - מקור'!K323</f>
        <v/>
      </c>
      <c r="J374" s="139" t="inlineStr">
        <is>
          <t>קיים במקור</t>
        </is>
      </c>
    </row>
    <row r="375" ht="15" customHeight="1" s="82">
      <c r="A375" s="139">
        <f>'לקוחות לפי סוכן - מקור'!A324</f>
        <v/>
      </c>
      <c r="B375" s="139">
        <f>'לקוחות לפי סוכן - מקור'!C324</f>
        <v/>
      </c>
      <c r="C375" s="139">
        <f>'לקוחות לפי סוכן - מקור'!D324</f>
        <v/>
      </c>
      <c r="D375" s="139">
        <f>'לקוחות לפי סוכן - מקור'!E324</f>
        <v/>
      </c>
      <c r="E375" s="147">
        <f>'לקוחות לפי סוכן - מקור'!F324</f>
        <v/>
      </c>
      <c r="F375" s="147">
        <f>'לקוחות לפי סוכן - מקור'!G324</f>
        <v/>
      </c>
      <c r="G375" s="148">
        <f>'לקוחות לפי סוכן - מקור'!H324</f>
        <v/>
      </c>
      <c r="H375" s="148">
        <f>'לקוחות לפי סוכן - מקור'!I324</f>
        <v/>
      </c>
      <c r="I375" s="139">
        <f>'לקוחות לפי סוכן - מקור'!K324</f>
        <v/>
      </c>
      <c r="J375" s="139" t="inlineStr">
        <is>
          <t>קיים במקור</t>
        </is>
      </c>
    </row>
    <row r="376" ht="15" customHeight="1" s="82">
      <c r="A376" s="139">
        <f>'לקוחות לפי סוכן - מקור'!A325</f>
        <v/>
      </c>
      <c r="B376" s="139">
        <f>'לקוחות לפי סוכן - מקור'!C325</f>
        <v/>
      </c>
      <c r="C376" s="139">
        <f>'לקוחות לפי סוכן - מקור'!D325</f>
        <v/>
      </c>
      <c r="D376" s="139">
        <f>'לקוחות לפי סוכן - מקור'!E325</f>
        <v/>
      </c>
      <c r="E376" s="147">
        <f>'לקוחות לפי סוכן - מקור'!F325</f>
        <v/>
      </c>
      <c r="F376" s="147">
        <f>'לקוחות לפי סוכן - מקור'!G325</f>
        <v/>
      </c>
      <c r="G376" s="148">
        <f>'לקוחות לפי סוכן - מקור'!H325</f>
        <v/>
      </c>
      <c r="H376" s="148">
        <f>'לקוחות לפי סוכן - מקור'!I325</f>
        <v/>
      </c>
      <c r="I376" s="139">
        <f>'לקוחות לפי סוכן - מקור'!K325</f>
        <v/>
      </c>
      <c r="J376" s="139" t="inlineStr">
        <is>
          <t>קיים במקור</t>
        </is>
      </c>
    </row>
    <row r="377" ht="15" customHeight="1" s="82">
      <c r="A377" s="139">
        <f>'לקוחות לפי סוכן - מקור'!A326</f>
        <v/>
      </c>
      <c r="B377" s="139">
        <f>'לקוחות לפי סוכן - מקור'!C326</f>
        <v/>
      </c>
      <c r="C377" s="139">
        <f>'לקוחות לפי סוכן - מקור'!D326</f>
        <v/>
      </c>
      <c r="D377" s="139">
        <f>'לקוחות לפי סוכן - מקור'!E326</f>
        <v/>
      </c>
      <c r="E377" s="147">
        <f>'לקוחות לפי סוכן - מקור'!F326</f>
        <v/>
      </c>
      <c r="F377" s="147">
        <f>'לקוחות לפי סוכן - מקור'!G326</f>
        <v/>
      </c>
      <c r="G377" s="148">
        <f>'לקוחות לפי סוכן - מקור'!H326</f>
        <v/>
      </c>
      <c r="H377" s="148">
        <f>'לקוחות לפי סוכן - מקור'!I326</f>
        <v/>
      </c>
      <c r="I377" s="139">
        <f>'לקוחות לפי סוכן - מקור'!K326</f>
        <v/>
      </c>
      <c r="J377" s="139" t="inlineStr">
        <is>
          <t>קיים במקור</t>
        </is>
      </c>
    </row>
    <row r="378" ht="15" customHeight="1" s="82">
      <c r="A378" s="139">
        <f>'לקוחות לפי סוכן - מקור'!A327</f>
        <v/>
      </c>
      <c r="B378" s="139">
        <f>'לקוחות לפי סוכן - מקור'!C327</f>
        <v/>
      </c>
      <c r="C378" s="139">
        <f>'לקוחות לפי סוכן - מקור'!D327</f>
        <v/>
      </c>
      <c r="D378" s="139">
        <f>'לקוחות לפי סוכן - מקור'!E327</f>
        <v/>
      </c>
      <c r="E378" s="147">
        <f>'לקוחות לפי סוכן - מקור'!F327</f>
        <v/>
      </c>
      <c r="F378" s="147">
        <f>'לקוחות לפי סוכן - מקור'!G327</f>
        <v/>
      </c>
      <c r="G378" s="148">
        <f>'לקוחות לפי סוכן - מקור'!H327</f>
        <v/>
      </c>
      <c r="H378" s="148">
        <f>'לקוחות לפי סוכן - מקור'!I327</f>
        <v/>
      </c>
      <c r="I378" s="139">
        <f>'לקוחות לפי סוכן - מקור'!K327</f>
        <v/>
      </c>
      <c r="J378" s="139" t="inlineStr">
        <is>
          <t>קיים במקור</t>
        </is>
      </c>
    </row>
    <row r="379" ht="15" customHeight="1" s="82">
      <c r="A379" s="139">
        <f>'לקוחות לפי סוכן - מקור'!A328</f>
        <v/>
      </c>
      <c r="B379" s="139">
        <f>'לקוחות לפי סוכן - מקור'!C328</f>
        <v/>
      </c>
      <c r="C379" s="139">
        <f>'לקוחות לפי סוכן - מקור'!D328</f>
        <v/>
      </c>
      <c r="D379" s="139">
        <f>'לקוחות לפי סוכן - מקור'!E328</f>
        <v/>
      </c>
      <c r="E379" s="147">
        <f>'לקוחות לפי סוכן - מקור'!F328</f>
        <v/>
      </c>
      <c r="F379" s="147">
        <f>'לקוחות לפי סוכן - מקור'!G328</f>
        <v/>
      </c>
      <c r="G379" s="148">
        <f>'לקוחות לפי סוכן - מקור'!H328</f>
        <v/>
      </c>
      <c r="H379" s="148">
        <f>'לקוחות לפי סוכן - מקור'!I328</f>
        <v/>
      </c>
      <c r="I379" s="139">
        <f>'לקוחות לפי סוכן - מקור'!K328</f>
        <v/>
      </c>
      <c r="J379" s="139" t="inlineStr">
        <is>
          <t>קיים במקור</t>
        </is>
      </c>
    </row>
    <row r="380" ht="15" customHeight="1" s="82">
      <c r="A380" s="139">
        <f>'לקוחות לפי סוכן - מקור'!A329</f>
        <v/>
      </c>
      <c r="B380" s="139">
        <f>'לקוחות לפי סוכן - מקור'!C329</f>
        <v/>
      </c>
      <c r="C380" s="139">
        <f>'לקוחות לפי סוכן - מקור'!D329</f>
        <v/>
      </c>
      <c r="D380" s="139">
        <f>'לקוחות לפי סוכן - מקור'!E329</f>
        <v/>
      </c>
      <c r="E380" s="147">
        <f>'לקוחות לפי סוכן - מקור'!F329</f>
        <v/>
      </c>
      <c r="F380" s="147">
        <f>'לקוחות לפי סוכן - מקור'!G329</f>
        <v/>
      </c>
      <c r="G380" s="148">
        <f>'לקוחות לפי סוכן - מקור'!H329</f>
        <v/>
      </c>
      <c r="H380" s="148">
        <f>'לקוחות לפי סוכן - מקור'!I329</f>
        <v/>
      </c>
      <c r="I380" s="139">
        <f>'לקוחות לפי סוכן - מקור'!K329</f>
        <v/>
      </c>
      <c r="J380" s="139" t="inlineStr">
        <is>
          <t>קיים במקור</t>
        </is>
      </c>
    </row>
    <row r="381" ht="15" customHeight="1" s="82">
      <c r="A381" s="139">
        <f>'לקוחות לפי סוכן - מקור'!A330</f>
        <v/>
      </c>
      <c r="B381" s="139">
        <f>'לקוחות לפי סוכן - מקור'!C330</f>
        <v/>
      </c>
      <c r="C381" s="139">
        <f>'לקוחות לפי סוכן - מקור'!D330</f>
        <v/>
      </c>
      <c r="D381" s="139">
        <f>'לקוחות לפי סוכן - מקור'!E330</f>
        <v/>
      </c>
      <c r="E381" s="147">
        <f>'לקוחות לפי סוכן - מקור'!F330</f>
        <v/>
      </c>
      <c r="F381" s="147">
        <f>'לקוחות לפי סוכן - מקור'!G330</f>
        <v/>
      </c>
      <c r="G381" s="148">
        <f>'לקוחות לפי סוכן - מקור'!H330</f>
        <v/>
      </c>
      <c r="H381" s="148">
        <f>'לקוחות לפי סוכן - מקור'!I330</f>
        <v/>
      </c>
      <c r="I381" s="139">
        <f>'לקוחות לפי סוכן - מקור'!K330</f>
        <v/>
      </c>
      <c r="J381" s="139" t="inlineStr">
        <is>
          <t>קיים במקור</t>
        </is>
      </c>
    </row>
    <row r="382" ht="15" customHeight="1" s="82">
      <c r="A382" s="139">
        <f>'לקוחות לפי סוכן - מקור'!A331</f>
        <v/>
      </c>
      <c r="B382" s="139">
        <f>'לקוחות לפי סוכן - מקור'!C331</f>
        <v/>
      </c>
      <c r="C382" s="139">
        <f>'לקוחות לפי סוכן - מקור'!D331</f>
        <v/>
      </c>
      <c r="D382" s="139">
        <f>'לקוחות לפי סוכן - מקור'!E331</f>
        <v/>
      </c>
      <c r="E382" s="147">
        <f>'לקוחות לפי סוכן - מקור'!F331</f>
        <v/>
      </c>
      <c r="F382" s="147">
        <f>'לקוחות לפי סוכן - מקור'!G331</f>
        <v/>
      </c>
      <c r="G382" s="148">
        <f>'לקוחות לפי סוכן - מקור'!H331</f>
        <v/>
      </c>
      <c r="H382" s="148">
        <f>'לקוחות לפי סוכן - מקור'!I331</f>
        <v/>
      </c>
      <c r="I382" s="139">
        <f>'לקוחות לפי סוכן - מקור'!K331</f>
        <v/>
      </c>
      <c r="J382" s="139" t="inlineStr">
        <is>
          <t>קיים במקור</t>
        </is>
      </c>
    </row>
    <row r="383" ht="15" customHeight="1" s="82">
      <c r="A383" s="139">
        <f>'לקוחות לפי סוכן - מקור'!A332</f>
        <v/>
      </c>
      <c r="B383" s="139">
        <f>'לקוחות לפי סוכן - מקור'!C332</f>
        <v/>
      </c>
      <c r="C383" s="139">
        <f>'לקוחות לפי סוכן - מקור'!D332</f>
        <v/>
      </c>
      <c r="D383" s="139">
        <f>'לקוחות לפי סוכן - מקור'!E332</f>
        <v/>
      </c>
      <c r="E383" s="147">
        <f>'לקוחות לפי סוכן - מקור'!F332</f>
        <v/>
      </c>
      <c r="F383" s="147">
        <f>'לקוחות לפי סוכן - מקור'!G332</f>
        <v/>
      </c>
      <c r="G383" s="148">
        <f>'לקוחות לפי סוכן - מקור'!H332</f>
        <v/>
      </c>
      <c r="H383" s="148">
        <f>'לקוחות לפי סוכן - מקור'!I332</f>
        <v/>
      </c>
      <c r="I383" s="139">
        <f>'לקוחות לפי סוכן - מקור'!K332</f>
        <v/>
      </c>
      <c r="J383" s="139" t="inlineStr">
        <is>
          <t>קיים במקור</t>
        </is>
      </c>
    </row>
    <row r="384" ht="15" customHeight="1" s="82">
      <c r="A384" s="139">
        <f>'לקוחות לפי סוכן - מקור'!A333</f>
        <v/>
      </c>
      <c r="B384" s="139">
        <f>'לקוחות לפי סוכן - מקור'!C333</f>
        <v/>
      </c>
      <c r="C384" s="139">
        <f>'לקוחות לפי סוכן - מקור'!D333</f>
        <v/>
      </c>
      <c r="D384" s="139">
        <f>'לקוחות לפי סוכן - מקור'!E333</f>
        <v/>
      </c>
      <c r="E384" s="147">
        <f>'לקוחות לפי סוכן - מקור'!F333</f>
        <v/>
      </c>
      <c r="F384" s="147">
        <f>'לקוחות לפי סוכן - מקור'!G333</f>
        <v/>
      </c>
      <c r="G384" s="148">
        <f>'לקוחות לפי סוכן - מקור'!H333</f>
        <v/>
      </c>
      <c r="H384" s="148">
        <f>'לקוחות לפי סוכן - מקור'!I333</f>
        <v/>
      </c>
      <c r="I384" s="139">
        <f>'לקוחות לפי סוכן - מקור'!K333</f>
        <v/>
      </c>
      <c r="J384" s="139" t="inlineStr">
        <is>
          <t>קיים במקור</t>
        </is>
      </c>
    </row>
    <row r="385" ht="15" customHeight="1" s="82">
      <c r="A385" s="139">
        <f>'לקוחות לפי סוכן - מקור'!A334</f>
        <v/>
      </c>
      <c r="B385" s="139">
        <f>'לקוחות לפי סוכן - מקור'!C334</f>
        <v/>
      </c>
      <c r="C385" s="139">
        <f>'לקוחות לפי סוכן - מקור'!D334</f>
        <v/>
      </c>
      <c r="D385" s="139">
        <f>'לקוחות לפי סוכן - מקור'!E334</f>
        <v/>
      </c>
      <c r="E385" s="147">
        <f>'לקוחות לפי סוכן - מקור'!F334</f>
        <v/>
      </c>
      <c r="F385" s="147">
        <f>'לקוחות לפי סוכן - מקור'!G334</f>
        <v/>
      </c>
      <c r="G385" s="148">
        <f>'לקוחות לפי סוכן - מקור'!H334</f>
        <v/>
      </c>
      <c r="H385" s="148">
        <f>'לקוחות לפי סוכן - מקור'!I334</f>
        <v/>
      </c>
      <c r="I385" s="139">
        <f>'לקוחות לפי סוכן - מקור'!K334</f>
        <v/>
      </c>
      <c r="J385" s="139" t="inlineStr">
        <is>
          <t>קיים במקור</t>
        </is>
      </c>
    </row>
    <row r="386" ht="15" customHeight="1" s="82">
      <c r="A386" s="139">
        <f>'לקוחות לפי סוכן - מקור'!A335</f>
        <v/>
      </c>
      <c r="B386" s="139">
        <f>'לקוחות לפי סוכן - מקור'!C335</f>
        <v/>
      </c>
      <c r="C386" s="139">
        <f>'לקוחות לפי סוכן - מקור'!D335</f>
        <v/>
      </c>
      <c r="D386" s="139">
        <f>'לקוחות לפי סוכן - מקור'!E335</f>
        <v/>
      </c>
      <c r="E386" s="147">
        <f>'לקוחות לפי סוכן - מקור'!F335</f>
        <v/>
      </c>
      <c r="F386" s="147">
        <f>'לקוחות לפי סוכן - מקור'!G335</f>
        <v/>
      </c>
      <c r="G386" s="148">
        <f>'לקוחות לפי סוכן - מקור'!H335</f>
        <v/>
      </c>
      <c r="H386" s="148">
        <f>'לקוחות לפי סוכן - מקור'!I335</f>
        <v/>
      </c>
      <c r="I386" s="139">
        <f>'לקוחות לפי סוכן - מקור'!K335</f>
        <v/>
      </c>
      <c r="J386" s="139" t="inlineStr">
        <is>
          <t>קיים במקור</t>
        </is>
      </c>
    </row>
    <row r="387" ht="15" customHeight="1" s="82">
      <c r="A387" s="139">
        <f>'לקוחות לפי סוכן - מקור'!A336</f>
        <v/>
      </c>
      <c r="B387" s="139">
        <f>'לקוחות לפי סוכן - מקור'!C336</f>
        <v/>
      </c>
      <c r="C387" s="139">
        <f>'לקוחות לפי סוכן - מקור'!D336</f>
        <v/>
      </c>
      <c r="D387" s="139">
        <f>'לקוחות לפי סוכן - מקור'!E336</f>
        <v/>
      </c>
      <c r="E387" s="147">
        <f>'לקוחות לפי סוכן - מקור'!F336</f>
        <v/>
      </c>
      <c r="F387" s="147">
        <f>'לקוחות לפי סוכן - מקור'!G336</f>
        <v/>
      </c>
      <c r="G387" s="148">
        <f>'לקוחות לפי סוכן - מקור'!H336</f>
        <v/>
      </c>
      <c r="H387" s="148">
        <f>'לקוחות לפי סוכן - מקור'!I336</f>
        <v/>
      </c>
      <c r="I387" s="139">
        <f>'לקוחות לפי סוכן - מקור'!K336</f>
        <v/>
      </c>
      <c r="J387" s="139" t="inlineStr">
        <is>
          <t>קיים במקור</t>
        </is>
      </c>
    </row>
    <row r="388" ht="15" customHeight="1" s="82">
      <c r="A388" s="139">
        <f>'לקוחות לפי סוכן - מקור'!A337</f>
        <v/>
      </c>
      <c r="B388" s="139">
        <f>'לקוחות לפי סוכן - מקור'!C337</f>
        <v/>
      </c>
      <c r="C388" s="139">
        <f>'לקוחות לפי סוכן - מקור'!D337</f>
        <v/>
      </c>
      <c r="D388" s="139">
        <f>'לקוחות לפי סוכן - מקור'!E337</f>
        <v/>
      </c>
      <c r="E388" s="147">
        <f>'לקוחות לפי סוכן - מקור'!F337</f>
        <v/>
      </c>
      <c r="F388" s="147">
        <f>'לקוחות לפי סוכן - מקור'!G337</f>
        <v/>
      </c>
      <c r="G388" s="148">
        <f>'לקוחות לפי סוכן - מקור'!H337</f>
        <v/>
      </c>
      <c r="H388" s="148">
        <f>'לקוחות לפי סוכן - מקור'!I337</f>
        <v/>
      </c>
      <c r="I388" s="139">
        <f>'לקוחות לפי סוכן - מקור'!K337</f>
        <v/>
      </c>
      <c r="J388" s="139" t="inlineStr">
        <is>
          <t>קיים במקור</t>
        </is>
      </c>
    </row>
    <row r="389" ht="15" customHeight="1" s="82">
      <c r="A389" s="139">
        <f>'לקוחות לפי סוכן - מקור'!A338</f>
        <v/>
      </c>
      <c r="B389" s="139">
        <f>'לקוחות לפי סוכן - מקור'!C338</f>
        <v/>
      </c>
      <c r="C389" s="139">
        <f>'לקוחות לפי סוכן - מקור'!D338</f>
        <v/>
      </c>
      <c r="D389" s="139">
        <f>'לקוחות לפי סוכן - מקור'!E338</f>
        <v/>
      </c>
      <c r="E389" s="147">
        <f>'לקוחות לפי סוכן - מקור'!F338</f>
        <v/>
      </c>
      <c r="F389" s="147">
        <f>'לקוחות לפי סוכן - מקור'!G338</f>
        <v/>
      </c>
      <c r="G389" s="148">
        <f>'לקוחות לפי סוכן - מקור'!H338</f>
        <v/>
      </c>
      <c r="H389" s="148">
        <f>'לקוחות לפי סוכן - מקור'!I338</f>
        <v/>
      </c>
      <c r="I389" s="139">
        <f>'לקוחות לפי סוכן - מקור'!K338</f>
        <v/>
      </c>
      <c r="J389" s="139" t="inlineStr">
        <is>
          <t>קיים במקור</t>
        </is>
      </c>
    </row>
    <row r="390" ht="15" customHeight="1" s="82">
      <c r="A390" s="139">
        <f>'לקוחות לפי סוכן - מקור'!A339</f>
        <v/>
      </c>
      <c r="B390" s="139">
        <f>'לקוחות לפי סוכן - מקור'!C339</f>
        <v/>
      </c>
      <c r="C390" s="139">
        <f>'לקוחות לפי סוכן - מקור'!D339</f>
        <v/>
      </c>
      <c r="D390" s="139">
        <f>'לקוחות לפי סוכן - מקור'!E339</f>
        <v/>
      </c>
      <c r="E390" s="147">
        <f>'לקוחות לפי סוכן - מקור'!F339</f>
        <v/>
      </c>
      <c r="F390" s="147">
        <f>'לקוחות לפי סוכן - מקור'!G339</f>
        <v/>
      </c>
      <c r="G390" s="148">
        <f>'לקוחות לפי סוכן - מקור'!H339</f>
        <v/>
      </c>
      <c r="H390" s="148">
        <f>'לקוחות לפי סוכן - מקור'!I339</f>
        <v/>
      </c>
      <c r="I390" s="139">
        <f>'לקוחות לפי סוכן - מקור'!K339</f>
        <v/>
      </c>
      <c r="J390" s="139" t="inlineStr">
        <is>
          <t>קיים במקור</t>
        </is>
      </c>
    </row>
    <row r="391" ht="15" customHeight="1" s="82">
      <c r="A391" s="139">
        <f>'לקוחות לפי סוכן - מקור'!A340</f>
        <v/>
      </c>
      <c r="B391" s="139">
        <f>'לקוחות לפי סוכן - מקור'!C340</f>
        <v/>
      </c>
      <c r="C391" s="139">
        <f>'לקוחות לפי סוכן - מקור'!D340</f>
        <v/>
      </c>
      <c r="D391" s="139">
        <f>'לקוחות לפי סוכן - מקור'!E340</f>
        <v/>
      </c>
      <c r="E391" s="147">
        <f>'לקוחות לפי סוכן - מקור'!F340</f>
        <v/>
      </c>
      <c r="F391" s="147">
        <f>'לקוחות לפי סוכן - מקור'!G340</f>
        <v/>
      </c>
      <c r="G391" s="148">
        <f>'לקוחות לפי סוכן - מקור'!H340</f>
        <v/>
      </c>
      <c r="H391" s="148">
        <f>'לקוחות לפי סוכן - מקור'!I340</f>
        <v/>
      </c>
      <c r="I391" s="139">
        <f>'לקוחות לפי סוכן - מקור'!K340</f>
        <v/>
      </c>
      <c r="J391" s="139" t="inlineStr">
        <is>
          <t>קיים במקור</t>
        </is>
      </c>
    </row>
    <row r="392" ht="15" customHeight="1" s="82">
      <c r="A392" s="139">
        <f>'לקוחות לפי סוכן - מקור'!A341</f>
        <v/>
      </c>
      <c r="B392" s="139">
        <f>'לקוחות לפי סוכן - מקור'!C341</f>
        <v/>
      </c>
      <c r="C392" s="139">
        <f>'לקוחות לפי סוכן - מקור'!D341</f>
        <v/>
      </c>
      <c r="D392" s="139">
        <f>'לקוחות לפי סוכן - מקור'!E341</f>
        <v/>
      </c>
      <c r="E392" s="147">
        <f>'לקוחות לפי סוכן - מקור'!F341</f>
        <v/>
      </c>
      <c r="F392" s="147">
        <f>'לקוחות לפי סוכן - מקור'!G341</f>
        <v/>
      </c>
      <c r="G392" s="148">
        <f>'לקוחות לפי סוכן - מקור'!H341</f>
        <v/>
      </c>
      <c r="H392" s="148">
        <f>'לקוחות לפי סוכן - מקור'!I341</f>
        <v/>
      </c>
      <c r="I392" s="139">
        <f>'לקוחות לפי סוכן - מקור'!K341</f>
        <v/>
      </c>
      <c r="J392" s="139" t="inlineStr">
        <is>
          <t>קיים במקור</t>
        </is>
      </c>
    </row>
    <row r="393" ht="15" customHeight="1" s="82">
      <c r="A393" s="139">
        <f>'לקוחות לפי סוכן - מקור'!A342</f>
        <v/>
      </c>
      <c r="B393" s="139">
        <f>'לקוחות לפי סוכן - מקור'!C342</f>
        <v/>
      </c>
      <c r="C393" s="139">
        <f>'לקוחות לפי סוכן - מקור'!D342</f>
        <v/>
      </c>
      <c r="D393" s="139">
        <f>'לקוחות לפי סוכן - מקור'!E342</f>
        <v/>
      </c>
      <c r="E393" s="147">
        <f>'לקוחות לפי סוכן - מקור'!F342</f>
        <v/>
      </c>
      <c r="F393" s="147">
        <f>'לקוחות לפי סוכן - מקור'!G342</f>
        <v/>
      </c>
      <c r="G393" s="148">
        <f>'לקוחות לפי סוכן - מקור'!H342</f>
        <v/>
      </c>
      <c r="H393" s="148">
        <f>'לקוחות לפי סוכן - מקור'!I342</f>
        <v/>
      </c>
      <c r="I393" s="139">
        <f>'לקוחות לפי סוכן - מקור'!K342</f>
        <v/>
      </c>
      <c r="J393" s="139" t="inlineStr">
        <is>
          <t>קיים במקור</t>
        </is>
      </c>
    </row>
    <row r="394" ht="15" customHeight="1" s="82">
      <c r="A394" s="139">
        <f>'לקוחות לפי סוכן - מקור'!A343</f>
        <v/>
      </c>
      <c r="B394" s="139">
        <f>'לקוחות לפי סוכן - מקור'!C343</f>
        <v/>
      </c>
      <c r="C394" s="139">
        <f>'לקוחות לפי סוכן - מקור'!D343</f>
        <v/>
      </c>
      <c r="D394" s="139">
        <f>'לקוחות לפי סוכן - מקור'!E343</f>
        <v/>
      </c>
      <c r="E394" s="147">
        <f>'לקוחות לפי סוכן - מקור'!F343</f>
        <v/>
      </c>
      <c r="F394" s="147">
        <f>'לקוחות לפי סוכן - מקור'!G343</f>
        <v/>
      </c>
      <c r="G394" s="148">
        <f>'לקוחות לפי סוכן - מקור'!H343</f>
        <v/>
      </c>
      <c r="H394" s="148">
        <f>'לקוחות לפי סוכן - מקור'!I343</f>
        <v/>
      </c>
      <c r="I394" s="139">
        <f>'לקוחות לפי סוכן - מקור'!K343</f>
        <v/>
      </c>
      <c r="J394" s="139" t="inlineStr">
        <is>
          <t>קיים במקור</t>
        </is>
      </c>
    </row>
    <row r="395" ht="15" customHeight="1" s="82">
      <c r="A395" s="139">
        <f>'לקוחות לפי סוכן - מקור'!A344</f>
        <v/>
      </c>
      <c r="B395" s="139">
        <f>'לקוחות לפי סוכן - מקור'!C344</f>
        <v/>
      </c>
      <c r="C395" s="139">
        <f>'לקוחות לפי סוכן - מקור'!D344</f>
        <v/>
      </c>
      <c r="D395" s="139">
        <f>'לקוחות לפי סוכן - מקור'!E344</f>
        <v/>
      </c>
      <c r="E395" s="147">
        <f>'לקוחות לפי סוכן - מקור'!F344</f>
        <v/>
      </c>
      <c r="F395" s="147">
        <f>'לקוחות לפי סוכן - מקור'!G344</f>
        <v/>
      </c>
      <c r="G395" s="148">
        <f>'לקוחות לפי סוכן - מקור'!H344</f>
        <v/>
      </c>
      <c r="H395" s="148">
        <f>'לקוחות לפי סוכן - מקור'!I344</f>
        <v/>
      </c>
      <c r="I395" s="139">
        <f>'לקוחות לפי סוכן - מקור'!K344</f>
        <v/>
      </c>
      <c r="J395" s="139" t="inlineStr">
        <is>
          <t>קיים במקור</t>
        </is>
      </c>
    </row>
    <row r="396" ht="15" customHeight="1" s="82">
      <c r="A396" s="139">
        <f>'לקוחות לפי סוכן - מקור'!A345</f>
        <v/>
      </c>
      <c r="B396" s="139">
        <f>'לקוחות לפי סוכן - מקור'!C345</f>
        <v/>
      </c>
      <c r="C396" s="139">
        <f>'לקוחות לפי סוכן - מקור'!D345</f>
        <v/>
      </c>
      <c r="D396" s="139">
        <f>'לקוחות לפי סוכן - מקור'!E345</f>
        <v/>
      </c>
      <c r="E396" s="147">
        <f>'לקוחות לפי סוכן - מקור'!F345</f>
        <v/>
      </c>
      <c r="F396" s="147">
        <f>'לקוחות לפי סוכן - מקור'!G345</f>
        <v/>
      </c>
      <c r="G396" s="148">
        <f>'לקוחות לפי סוכן - מקור'!H345</f>
        <v/>
      </c>
      <c r="H396" s="148">
        <f>'לקוחות לפי סוכן - מקור'!I345</f>
        <v/>
      </c>
      <c r="I396" s="139">
        <f>'לקוחות לפי סוכן - מקור'!K345</f>
        <v/>
      </c>
      <c r="J396" s="139" t="inlineStr">
        <is>
          <t>קיים במקור</t>
        </is>
      </c>
    </row>
    <row r="397" ht="15" customHeight="1" s="82">
      <c r="A397" s="139">
        <f>'לקוחות לפי סוכן - מקור'!A346</f>
        <v/>
      </c>
      <c r="B397" s="139">
        <f>'לקוחות לפי סוכן - מקור'!C346</f>
        <v/>
      </c>
      <c r="C397" s="139">
        <f>'לקוחות לפי סוכן - מקור'!D346</f>
        <v/>
      </c>
      <c r="D397" s="139">
        <f>'לקוחות לפי סוכן - מקור'!E346</f>
        <v/>
      </c>
      <c r="E397" s="147">
        <f>'לקוחות לפי סוכן - מקור'!F346</f>
        <v/>
      </c>
      <c r="F397" s="147">
        <f>'לקוחות לפי סוכן - מקור'!G346</f>
        <v/>
      </c>
      <c r="G397" s="148">
        <f>'לקוחות לפי סוכן - מקור'!H346</f>
        <v/>
      </c>
      <c r="H397" s="148">
        <f>'לקוחות לפי סוכן - מקור'!I346</f>
        <v/>
      </c>
      <c r="I397" s="139">
        <f>'לקוחות לפי סוכן - מקור'!K346</f>
        <v/>
      </c>
      <c r="J397" s="139" t="inlineStr">
        <is>
          <t>קיים במקור</t>
        </is>
      </c>
    </row>
    <row r="398" ht="15" customHeight="1" s="82">
      <c r="A398" s="139">
        <f>'לקוחות לפי סוכן - מקור'!A347</f>
        <v/>
      </c>
      <c r="B398" s="139">
        <f>'לקוחות לפי סוכן - מקור'!C347</f>
        <v/>
      </c>
      <c r="C398" s="139">
        <f>'לקוחות לפי סוכן - מקור'!D347</f>
        <v/>
      </c>
      <c r="D398" s="139">
        <f>'לקוחות לפי סוכן - מקור'!E347</f>
        <v/>
      </c>
      <c r="E398" s="147">
        <f>'לקוחות לפי סוכן - מקור'!F347</f>
        <v/>
      </c>
      <c r="F398" s="147">
        <f>'לקוחות לפי סוכן - מקור'!G347</f>
        <v/>
      </c>
      <c r="G398" s="148">
        <f>'לקוחות לפי סוכן - מקור'!H347</f>
        <v/>
      </c>
      <c r="H398" s="148">
        <f>'לקוחות לפי סוכן - מקור'!I347</f>
        <v/>
      </c>
      <c r="I398" s="139">
        <f>'לקוחות לפי סוכן - מקור'!K347</f>
        <v/>
      </c>
      <c r="J398" s="139" t="inlineStr">
        <is>
          <t>קיים במקור</t>
        </is>
      </c>
    </row>
    <row r="399" ht="15" customHeight="1" s="82">
      <c r="A399" s="139">
        <f>'לקוחות לפי סוכן - מקור'!A348</f>
        <v/>
      </c>
      <c r="B399" s="139">
        <f>'לקוחות לפי סוכן - מקור'!C348</f>
        <v/>
      </c>
      <c r="C399" s="139">
        <f>'לקוחות לפי סוכן - מקור'!D348</f>
        <v/>
      </c>
      <c r="D399" s="139">
        <f>'לקוחות לפי סוכן - מקור'!E348</f>
        <v/>
      </c>
      <c r="E399" s="147">
        <f>'לקוחות לפי סוכן - מקור'!F348</f>
        <v/>
      </c>
      <c r="F399" s="147">
        <f>'לקוחות לפי סוכן - מקור'!G348</f>
        <v/>
      </c>
      <c r="G399" s="148">
        <f>'לקוחות לפי סוכן - מקור'!H348</f>
        <v/>
      </c>
      <c r="H399" s="148">
        <f>'לקוחות לפי סוכן - מקור'!I348</f>
        <v/>
      </c>
      <c r="I399" s="139">
        <f>'לקוחות לפי סוכן - מקור'!K348</f>
        <v/>
      </c>
      <c r="J399" s="139" t="inlineStr">
        <is>
          <t>קיים במקור</t>
        </is>
      </c>
    </row>
    <row r="400" ht="15" customHeight="1" s="82">
      <c r="A400" s="139">
        <f>'לקוחות לפי סוכן - מקור'!A349</f>
        <v/>
      </c>
      <c r="B400" s="139">
        <f>'לקוחות לפי סוכן - מקור'!C349</f>
        <v/>
      </c>
      <c r="C400" s="139">
        <f>'לקוחות לפי סוכן - מקור'!D349</f>
        <v/>
      </c>
      <c r="D400" s="139">
        <f>'לקוחות לפי סוכן - מקור'!E349</f>
        <v/>
      </c>
      <c r="E400" s="147">
        <f>'לקוחות לפי סוכן - מקור'!F349</f>
        <v/>
      </c>
      <c r="F400" s="147">
        <f>'לקוחות לפי סוכן - מקור'!G349</f>
        <v/>
      </c>
      <c r="G400" s="148">
        <f>'לקוחות לפי סוכן - מקור'!H349</f>
        <v/>
      </c>
      <c r="H400" s="148">
        <f>'לקוחות לפי סוכן - מקור'!I349</f>
        <v/>
      </c>
      <c r="I400" s="139">
        <f>'לקוחות לפי סוכן - מקור'!K349</f>
        <v/>
      </c>
      <c r="J400" s="139" t="inlineStr">
        <is>
          <t>קיים במקור</t>
        </is>
      </c>
    </row>
    <row r="401" ht="15" customHeight="1" s="82">
      <c r="A401" s="139">
        <f>'לקוחות לפי סוכן - מקור'!A350</f>
        <v/>
      </c>
      <c r="B401" s="139">
        <f>'לקוחות לפי סוכן - מקור'!C350</f>
        <v/>
      </c>
      <c r="C401" s="139">
        <f>'לקוחות לפי סוכן - מקור'!D350</f>
        <v/>
      </c>
      <c r="D401" s="139">
        <f>'לקוחות לפי סוכן - מקור'!E350</f>
        <v/>
      </c>
      <c r="E401" s="147">
        <f>'לקוחות לפי סוכן - מקור'!F350</f>
        <v/>
      </c>
      <c r="F401" s="147">
        <f>'לקוחות לפי סוכן - מקור'!G350</f>
        <v/>
      </c>
      <c r="G401" s="148">
        <f>'לקוחות לפי סוכן - מקור'!H350</f>
        <v/>
      </c>
      <c r="H401" s="148">
        <f>'לקוחות לפי סוכן - מקור'!I350</f>
        <v/>
      </c>
      <c r="I401" s="139">
        <f>'לקוחות לפי סוכן - מקור'!K350</f>
        <v/>
      </c>
      <c r="J401" s="139" t="inlineStr">
        <is>
          <t>קיים במקור</t>
        </is>
      </c>
    </row>
    <row r="402" ht="15" customHeight="1" s="82">
      <c r="A402" s="139">
        <f>'לקוחות לפי סוכן - מקור'!A351</f>
        <v/>
      </c>
      <c r="B402" s="139">
        <f>'לקוחות לפי סוכן - מקור'!C351</f>
        <v/>
      </c>
      <c r="C402" s="139">
        <f>'לקוחות לפי סוכן - מקור'!D351</f>
        <v/>
      </c>
      <c r="D402" s="139">
        <f>'לקוחות לפי סוכן - מקור'!E351</f>
        <v/>
      </c>
      <c r="E402" s="147">
        <f>'לקוחות לפי סוכן - מקור'!F351</f>
        <v/>
      </c>
      <c r="F402" s="147">
        <f>'לקוחות לפי סוכן - מקור'!G351</f>
        <v/>
      </c>
      <c r="G402" s="148">
        <f>'לקוחות לפי סוכן - מקור'!H351</f>
        <v/>
      </c>
      <c r="H402" s="148">
        <f>'לקוחות לפי סוכן - מקור'!I351</f>
        <v/>
      </c>
      <c r="I402" s="139">
        <f>'לקוחות לפי סוכן - מקור'!K351</f>
        <v/>
      </c>
      <c r="J402" s="139" t="inlineStr">
        <is>
          <t>קיים במקור</t>
        </is>
      </c>
    </row>
    <row r="403" ht="15" customHeight="1" s="82">
      <c r="A403" s="139">
        <f>'לקוחות לפי סוכן - מקור'!A352</f>
        <v/>
      </c>
      <c r="B403" s="139">
        <f>'לקוחות לפי סוכן - מקור'!C352</f>
        <v/>
      </c>
      <c r="C403" s="139">
        <f>'לקוחות לפי סוכן - מקור'!D352</f>
        <v/>
      </c>
      <c r="D403" s="139">
        <f>'לקוחות לפי סוכן - מקור'!E352</f>
        <v/>
      </c>
      <c r="E403" s="147">
        <f>'לקוחות לפי סוכן - מקור'!F352</f>
        <v/>
      </c>
      <c r="F403" s="147">
        <f>'לקוחות לפי סוכן - מקור'!G352</f>
        <v/>
      </c>
      <c r="G403" s="148">
        <f>'לקוחות לפי סוכן - מקור'!H352</f>
        <v/>
      </c>
      <c r="H403" s="148">
        <f>'לקוחות לפי סוכן - מקור'!I352</f>
        <v/>
      </c>
      <c r="I403" s="139">
        <f>'לקוחות לפי סוכן - מקור'!K352</f>
        <v/>
      </c>
      <c r="J403" s="139" t="inlineStr">
        <is>
          <t>קיים במקור</t>
        </is>
      </c>
    </row>
    <row r="404" ht="15" customHeight="1" s="82">
      <c r="A404" s="139">
        <f>'לקוחות לפי סוכן - מקור'!A353</f>
        <v/>
      </c>
      <c r="B404" s="139">
        <f>'לקוחות לפי סוכן - מקור'!C353</f>
        <v/>
      </c>
      <c r="C404" s="139">
        <f>'לקוחות לפי סוכן - מקור'!D353</f>
        <v/>
      </c>
      <c r="D404" s="139">
        <f>'לקוחות לפי סוכן - מקור'!E353</f>
        <v/>
      </c>
      <c r="E404" s="147">
        <f>'לקוחות לפי סוכן - מקור'!F353</f>
        <v/>
      </c>
      <c r="F404" s="147">
        <f>'לקוחות לפי סוכן - מקור'!G353</f>
        <v/>
      </c>
      <c r="G404" s="148">
        <f>'לקוחות לפי סוכן - מקור'!H353</f>
        <v/>
      </c>
      <c r="H404" s="148">
        <f>'לקוחות לפי סוכן - מקור'!I353</f>
        <v/>
      </c>
      <c r="I404" s="139">
        <f>'לקוחות לפי סוכן - מקור'!K353</f>
        <v/>
      </c>
      <c r="J404" s="139" t="inlineStr">
        <is>
          <t>קיים במקור</t>
        </is>
      </c>
    </row>
    <row r="405" ht="15" customHeight="1" s="82">
      <c r="A405" s="139">
        <f>'לקוחות לפי סוכן - מקור'!A354</f>
        <v/>
      </c>
      <c r="B405" s="139">
        <f>'לקוחות לפי סוכן - מקור'!C354</f>
        <v/>
      </c>
      <c r="C405" s="139">
        <f>'לקוחות לפי סוכן - מקור'!D354</f>
        <v/>
      </c>
      <c r="D405" s="139">
        <f>'לקוחות לפי סוכן - מקור'!E354</f>
        <v/>
      </c>
      <c r="E405" s="147">
        <f>'לקוחות לפי סוכן - מקור'!F354</f>
        <v/>
      </c>
      <c r="F405" s="147">
        <f>'לקוחות לפי סוכן - מקור'!G354</f>
        <v/>
      </c>
      <c r="G405" s="148">
        <f>'לקוחות לפי סוכן - מקור'!H354</f>
        <v/>
      </c>
      <c r="H405" s="148">
        <f>'לקוחות לפי סוכן - מקור'!I354</f>
        <v/>
      </c>
      <c r="I405" s="139">
        <f>'לקוחות לפי סוכן - מקור'!K354</f>
        <v/>
      </c>
      <c r="J405" s="139" t="inlineStr">
        <is>
          <t>קיים במקור</t>
        </is>
      </c>
    </row>
    <row r="406" ht="15" customHeight="1" s="82">
      <c r="A406" s="139">
        <f>'לקוחות לפי סוכן - מקור'!A355</f>
        <v/>
      </c>
      <c r="B406" s="139">
        <f>'לקוחות לפי סוכן - מקור'!C355</f>
        <v/>
      </c>
      <c r="C406" s="139">
        <f>'לקוחות לפי סוכן - מקור'!D355</f>
        <v/>
      </c>
      <c r="D406" s="139">
        <f>'לקוחות לפי סוכן - מקור'!E355</f>
        <v/>
      </c>
      <c r="E406" s="147">
        <f>'לקוחות לפי סוכן - מקור'!F355</f>
        <v/>
      </c>
      <c r="F406" s="147">
        <f>'לקוחות לפי סוכן - מקור'!G355</f>
        <v/>
      </c>
      <c r="G406" s="148">
        <f>'לקוחות לפי סוכן - מקור'!H355</f>
        <v/>
      </c>
      <c r="H406" s="148">
        <f>'לקוחות לפי סוכן - מקור'!I355</f>
        <v/>
      </c>
      <c r="I406" s="139">
        <f>'לקוחות לפי סוכן - מקור'!K355</f>
        <v/>
      </c>
      <c r="J406" s="139" t="inlineStr">
        <is>
          <t>קיים במקור</t>
        </is>
      </c>
    </row>
    <row r="407" ht="15" customHeight="1" s="82">
      <c r="A407" s="139">
        <f>'לקוחות לפי סוכן - מקור'!A356</f>
        <v/>
      </c>
      <c r="B407" s="139">
        <f>'לקוחות לפי סוכן - מקור'!C356</f>
        <v/>
      </c>
      <c r="C407" s="139">
        <f>'לקוחות לפי סוכן - מקור'!D356</f>
        <v/>
      </c>
      <c r="D407" s="139">
        <f>'לקוחות לפי סוכן - מקור'!E356</f>
        <v/>
      </c>
      <c r="E407" s="147">
        <f>'לקוחות לפי סוכן - מקור'!F356</f>
        <v/>
      </c>
      <c r="F407" s="147">
        <f>'לקוחות לפי סוכן - מקור'!G356</f>
        <v/>
      </c>
      <c r="G407" s="148">
        <f>'לקוחות לפי סוכן - מקור'!H356</f>
        <v/>
      </c>
      <c r="H407" s="148">
        <f>'לקוחות לפי סוכן - מקור'!I356</f>
        <v/>
      </c>
      <c r="I407" s="139">
        <f>'לקוחות לפי סוכן - מקור'!K356</f>
        <v/>
      </c>
      <c r="J407" s="139" t="inlineStr">
        <is>
          <t>קיים במקור</t>
        </is>
      </c>
    </row>
    <row r="408" ht="15" customHeight="1" s="82">
      <c r="A408" s="139">
        <f>'לקוחות לפי סוכן - מקור'!A357</f>
        <v/>
      </c>
      <c r="B408" s="139">
        <f>'לקוחות לפי סוכן - מקור'!C357</f>
        <v/>
      </c>
      <c r="C408" s="139">
        <f>'לקוחות לפי סוכן - מקור'!D357</f>
        <v/>
      </c>
      <c r="D408" s="139">
        <f>'לקוחות לפי סוכן - מקור'!E357</f>
        <v/>
      </c>
      <c r="E408" s="147">
        <f>'לקוחות לפי סוכן - מקור'!F357</f>
        <v/>
      </c>
      <c r="F408" s="147">
        <f>'לקוחות לפי סוכן - מקור'!G357</f>
        <v/>
      </c>
      <c r="G408" s="148">
        <f>'לקוחות לפי סוכן - מקור'!H357</f>
        <v/>
      </c>
      <c r="H408" s="148">
        <f>'לקוחות לפי סוכן - מקור'!I357</f>
        <v/>
      </c>
      <c r="I408" s="139">
        <f>'לקוחות לפי סוכן - מקור'!K357</f>
        <v/>
      </c>
      <c r="J408" s="139" t="inlineStr">
        <is>
          <t>קיים במקור</t>
        </is>
      </c>
    </row>
    <row r="409" ht="15" customHeight="1" s="82">
      <c r="A409" s="139">
        <f>'לקוחות לפי סוכן - מקור'!A358</f>
        <v/>
      </c>
      <c r="B409" s="139">
        <f>'לקוחות לפי סוכן - מקור'!C358</f>
        <v/>
      </c>
      <c r="C409" s="139">
        <f>'לקוחות לפי סוכן - מקור'!D358</f>
        <v/>
      </c>
      <c r="D409" s="139">
        <f>'לקוחות לפי סוכן - מקור'!E358</f>
        <v/>
      </c>
      <c r="E409" s="147">
        <f>'לקוחות לפי סוכן - מקור'!F358</f>
        <v/>
      </c>
      <c r="F409" s="147">
        <f>'לקוחות לפי סוכן - מקור'!G358</f>
        <v/>
      </c>
      <c r="G409" s="148">
        <f>'לקוחות לפי סוכן - מקור'!H358</f>
        <v/>
      </c>
      <c r="H409" s="148">
        <f>'לקוחות לפי סוכן - מקור'!I358</f>
        <v/>
      </c>
      <c r="I409" s="139">
        <f>'לקוחות לפי סוכן - מקור'!K358</f>
        <v/>
      </c>
      <c r="J409" s="139" t="inlineStr">
        <is>
          <t>קיים במקור</t>
        </is>
      </c>
    </row>
    <row r="410" ht="15" customHeight="1" s="82">
      <c r="A410" s="139">
        <f>'לקוחות לפי סוכן - מקור'!A359</f>
        <v/>
      </c>
      <c r="B410" s="139">
        <f>'לקוחות לפי סוכן - מקור'!C359</f>
        <v/>
      </c>
      <c r="C410" s="139">
        <f>'לקוחות לפי סוכן - מקור'!D359</f>
        <v/>
      </c>
      <c r="D410" s="139">
        <f>'לקוחות לפי סוכן - מקור'!E359</f>
        <v/>
      </c>
      <c r="E410" s="147">
        <f>'לקוחות לפי סוכן - מקור'!F359</f>
        <v/>
      </c>
      <c r="F410" s="147">
        <f>'לקוחות לפי סוכן - מקור'!G359</f>
        <v/>
      </c>
      <c r="G410" s="148">
        <f>'לקוחות לפי סוכן - מקור'!H359</f>
        <v/>
      </c>
      <c r="H410" s="148">
        <f>'לקוחות לפי סוכן - מקור'!I359</f>
        <v/>
      </c>
      <c r="I410" s="139">
        <f>'לקוחות לפי סוכן - מקור'!K359</f>
        <v/>
      </c>
      <c r="J410" s="139" t="inlineStr">
        <is>
          <t>קיים במקור</t>
        </is>
      </c>
    </row>
    <row r="411" ht="15" customHeight="1" s="82">
      <c r="A411" s="139">
        <f>'לקוחות לפי סוכן - מקור'!A360</f>
        <v/>
      </c>
      <c r="B411" s="139">
        <f>'לקוחות לפי סוכן - מקור'!C360</f>
        <v/>
      </c>
      <c r="C411" s="139">
        <f>'לקוחות לפי סוכן - מקור'!D360</f>
        <v/>
      </c>
      <c r="D411" s="139">
        <f>'לקוחות לפי סוכן - מקור'!E360</f>
        <v/>
      </c>
      <c r="E411" s="147">
        <f>'לקוחות לפי סוכן - מקור'!F360</f>
        <v/>
      </c>
      <c r="F411" s="147">
        <f>'לקוחות לפי סוכן - מקור'!G360</f>
        <v/>
      </c>
      <c r="G411" s="148">
        <f>'לקוחות לפי סוכן - מקור'!H360</f>
        <v/>
      </c>
      <c r="H411" s="148">
        <f>'לקוחות לפי סוכן - מקור'!I360</f>
        <v/>
      </c>
      <c r="I411" s="139">
        <f>'לקוחות לפי סוכן - מקור'!K360</f>
        <v/>
      </c>
      <c r="J411" s="139" t="inlineStr">
        <is>
          <t>קיים במקור</t>
        </is>
      </c>
    </row>
    <row r="412" ht="15" customHeight="1" s="82">
      <c r="A412" s="139">
        <f>'לקוחות לפי סוכן - מקור'!A361</f>
        <v/>
      </c>
      <c r="B412" s="139">
        <f>'לקוחות לפי סוכן - מקור'!C361</f>
        <v/>
      </c>
      <c r="C412" s="139">
        <f>'לקוחות לפי סוכן - מקור'!D361</f>
        <v/>
      </c>
      <c r="D412" s="139">
        <f>'לקוחות לפי סוכן - מקור'!E361</f>
        <v/>
      </c>
      <c r="E412" s="147">
        <f>'לקוחות לפי סוכן - מקור'!F361</f>
        <v/>
      </c>
      <c r="F412" s="147">
        <f>'לקוחות לפי סוכן - מקור'!G361</f>
        <v/>
      </c>
      <c r="G412" s="148">
        <f>'לקוחות לפי סוכן - מקור'!H361</f>
        <v/>
      </c>
      <c r="H412" s="148">
        <f>'לקוחות לפי סוכן - מקור'!I361</f>
        <v/>
      </c>
      <c r="I412" s="139">
        <f>'לקוחות לפי סוכן - מקור'!K361</f>
        <v/>
      </c>
      <c r="J412" s="139" t="inlineStr">
        <is>
          <t>קיים במקור</t>
        </is>
      </c>
    </row>
    <row r="413" ht="15" customHeight="1" s="82">
      <c r="A413" s="139">
        <f>'לקוחות לפי סוכן - מקור'!A362</f>
        <v/>
      </c>
      <c r="B413" s="139">
        <f>'לקוחות לפי סוכן - מקור'!C362</f>
        <v/>
      </c>
      <c r="C413" s="139">
        <f>'לקוחות לפי סוכן - מקור'!D362</f>
        <v/>
      </c>
      <c r="D413" s="139">
        <f>'לקוחות לפי סוכן - מקור'!E362</f>
        <v/>
      </c>
      <c r="E413" s="147">
        <f>'לקוחות לפי סוכן - מקור'!F362</f>
        <v/>
      </c>
      <c r="F413" s="147">
        <f>'לקוחות לפי סוכן - מקור'!G362</f>
        <v/>
      </c>
      <c r="G413" s="148">
        <f>'לקוחות לפי סוכן - מקור'!H362</f>
        <v/>
      </c>
      <c r="H413" s="148">
        <f>'לקוחות לפי סוכן - מקור'!I362</f>
        <v/>
      </c>
      <c r="I413" s="139">
        <f>'לקוחות לפי סוכן - מקור'!K362</f>
        <v/>
      </c>
      <c r="J413" s="139" t="inlineStr">
        <is>
          <t>קיים במקור</t>
        </is>
      </c>
    </row>
    <row r="414" ht="15" customHeight="1" s="82">
      <c r="A414" s="139">
        <f>'לקוחות לפי סוכן - מקור'!A363</f>
        <v/>
      </c>
      <c r="B414" s="139">
        <f>'לקוחות לפי סוכן - מקור'!C363</f>
        <v/>
      </c>
      <c r="C414" s="139">
        <f>'לקוחות לפי סוכן - מקור'!D363</f>
        <v/>
      </c>
      <c r="D414" s="139">
        <f>'לקוחות לפי סוכן - מקור'!E363</f>
        <v/>
      </c>
      <c r="E414" s="147">
        <f>'לקוחות לפי סוכן - מקור'!F363</f>
        <v/>
      </c>
      <c r="F414" s="147">
        <f>'לקוחות לפי סוכן - מקור'!G363</f>
        <v/>
      </c>
      <c r="G414" s="148">
        <f>'לקוחות לפי סוכן - מקור'!H363</f>
        <v/>
      </c>
      <c r="H414" s="148">
        <f>'לקוחות לפי סוכן - מקור'!I363</f>
        <v/>
      </c>
      <c r="I414" s="139">
        <f>'לקוחות לפי סוכן - מקור'!K363</f>
        <v/>
      </c>
      <c r="J414" s="139" t="inlineStr">
        <is>
          <t>קיים במקור</t>
        </is>
      </c>
    </row>
    <row r="415" ht="15" customHeight="1" s="82">
      <c r="A415" s="139">
        <f>'לקוחות לפי סוכן - מקור'!A364</f>
        <v/>
      </c>
      <c r="B415" s="139">
        <f>'לקוחות לפי סוכן - מקור'!C364</f>
        <v/>
      </c>
      <c r="C415" s="139">
        <f>'לקוחות לפי סוכן - מקור'!D364</f>
        <v/>
      </c>
      <c r="D415" s="139">
        <f>'לקוחות לפי סוכן - מקור'!E364</f>
        <v/>
      </c>
      <c r="E415" s="147">
        <f>'לקוחות לפי סוכן - מקור'!F364</f>
        <v/>
      </c>
      <c r="F415" s="147">
        <f>'לקוחות לפי סוכן - מקור'!G364</f>
        <v/>
      </c>
      <c r="G415" s="148">
        <f>'לקוחות לפי סוכן - מקור'!H364</f>
        <v/>
      </c>
      <c r="H415" s="148">
        <f>'לקוחות לפי סוכן - מקור'!I364</f>
        <v/>
      </c>
      <c r="I415" s="139">
        <f>'לקוחות לפי סוכן - מקור'!K364</f>
        <v/>
      </c>
      <c r="J415" s="139" t="inlineStr">
        <is>
          <t>קיים במקור</t>
        </is>
      </c>
    </row>
    <row r="416" ht="15" customHeight="1" s="82">
      <c r="A416" s="139">
        <f>'לקוחות לפי סוכן - מקור'!A365</f>
        <v/>
      </c>
      <c r="B416" s="139">
        <f>'לקוחות לפי סוכן - מקור'!C365</f>
        <v/>
      </c>
      <c r="C416" s="139">
        <f>'לקוחות לפי סוכן - מקור'!D365</f>
        <v/>
      </c>
      <c r="D416" s="139">
        <f>'לקוחות לפי סוכן - מקור'!E365</f>
        <v/>
      </c>
      <c r="E416" s="147">
        <f>'לקוחות לפי סוכן - מקור'!F365</f>
        <v/>
      </c>
      <c r="F416" s="147">
        <f>'לקוחות לפי סוכן - מקור'!G365</f>
        <v/>
      </c>
      <c r="G416" s="148">
        <f>'לקוחות לפי סוכן - מקור'!H365</f>
        <v/>
      </c>
      <c r="H416" s="148">
        <f>'לקוחות לפי סוכן - מקור'!I365</f>
        <v/>
      </c>
      <c r="I416" s="139">
        <f>'לקוחות לפי סוכן - מקור'!K365</f>
        <v/>
      </c>
      <c r="J416" s="139" t="inlineStr">
        <is>
          <t>קיים במקור</t>
        </is>
      </c>
    </row>
    <row r="417" ht="15" customHeight="1" s="82">
      <c r="A417" s="139">
        <f>'לקוחות לפי סוכן - מקור'!A367</f>
        <v/>
      </c>
      <c r="B417" s="139">
        <f>'לקוחות לפי סוכן - מקור'!C367</f>
        <v/>
      </c>
      <c r="C417" s="139">
        <f>'לקוחות לפי סוכן - מקור'!D367</f>
        <v/>
      </c>
      <c r="D417" s="139">
        <f>'לקוחות לפי סוכן - מקור'!E367</f>
        <v/>
      </c>
      <c r="E417" s="147">
        <f>'לקוחות לפי סוכן - מקור'!F367</f>
        <v/>
      </c>
      <c r="F417" s="147">
        <f>'לקוחות לפי סוכן - מקור'!G367</f>
        <v/>
      </c>
      <c r="G417" s="148">
        <f>'לקוחות לפי סוכן - מקור'!H367</f>
        <v/>
      </c>
      <c r="H417" s="148">
        <f>'לקוחות לפי סוכן - מקור'!I367</f>
        <v/>
      </c>
      <c r="I417" s="139">
        <f>'לקוחות לפי סוכן - מקור'!K367</f>
        <v/>
      </c>
      <c r="J417" s="139" t="inlineStr">
        <is>
          <t>קיים במקור</t>
        </is>
      </c>
    </row>
    <row r="418" ht="15" customHeight="1" s="82">
      <c r="A418" s="139">
        <f>'לקוחות לפי סוכן - מקור'!A368</f>
        <v/>
      </c>
      <c r="B418" s="139">
        <f>'לקוחות לפי סוכן - מקור'!C368</f>
        <v/>
      </c>
      <c r="C418" s="139">
        <f>'לקוחות לפי סוכן - מקור'!D368</f>
        <v/>
      </c>
      <c r="D418" s="139">
        <f>'לקוחות לפי סוכן - מקור'!E368</f>
        <v/>
      </c>
      <c r="E418" s="147">
        <f>'לקוחות לפי סוכן - מקור'!F368</f>
        <v/>
      </c>
      <c r="F418" s="147">
        <f>'לקוחות לפי סוכן - מקור'!G368</f>
        <v/>
      </c>
      <c r="G418" s="148">
        <f>'לקוחות לפי סוכן - מקור'!H368</f>
        <v/>
      </c>
      <c r="H418" s="148">
        <f>'לקוחות לפי סוכן - מקור'!I368</f>
        <v/>
      </c>
      <c r="I418" s="139">
        <f>'לקוחות לפי סוכן - מקור'!K368</f>
        <v/>
      </c>
      <c r="J418" s="139" t="inlineStr">
        <is>
          <t>קיים במקור</t>
        </is>
      </c>
    </row>
    <row r="419" ht="15" customHeight="1" s="82">
      <c r="A419" s="139">
        <f>'לקוחות לפי סוכן - מקור'!A369</f>
        <v/>
      </c>
      <c r="B419" s="139">
        <f>'לקוחות לפי סוכן - מקור'!C369</f>
        <v/>
      </c>
      <c r="C419" s="139">
        <f>'לקוחות לפי סוכן - מקור'!D369</f>
        <v/>
      </c>
      <c r="D419" s="139">
        <f>'לקוחות לפי סוכן - מקור'!E369</f>
        <v/>
      </c>
      <c r="E419" s="147">
        <f>'לקוחות לפי סוכן - מקור'!F369</f>
        <v/>
      </c>
      <c r="F419" s="147">
        <f>'לקוחות לפי סוכן - מקור'!G369</f>
        <v/>
      </c>
      <c r="G419" s="148">
        <f>'לקוחות לפי סוכן - מקור'!H369</f>
        <v/>
      </c>
      <c r="H419" s="148">
        <f>'לקוחות לפי סוכן - מקור'!I369</f>
        <v/>
      </c>
      <c r="I419" s="139">
        <f>'לקוחות לפי סוכן - מקור'!K369</f>
        <v/>
      </c>
      <c r="J419" s="139" t="inlineStr">
        <is>
          <t>קיים במקור</t>
        </is>
      </c>
    </row>
    <row r="420" ht="15" customHeight="1" s="82">
      <c r="A420" s="139">
        <f>'לקוחות לפי סוכן - מקור'!A370</f>
        <v/>
      </c>
      <c r="B420" s="139">
        <f>'לקוחות לפי סוכן - מקור'!C370</f>
        <v/>
      </c>
      <c r="C420" s="139">
        <f>'לקוחות לפי סוכן - מקור'!D370</f>
        <v/>
      </c>
      <c r="D420" s="139">
        <f>'לקוחות לפי סוכן - מקור'!E370</f>
        <v/>
      </c>
      <c r="E420" s="147">
        <f>'לקוחות לפי סוכן - מקור'!F370</f>
        <v/>
      </c>
      <c r="F420" s="147">
        <f>'לקוחות לפי סוכן - מקור'!G370</f>
        <v/>
      </c>
      <c r="G420" s="148">
        <f>'לקוחות לפי סוכן - מקור'!H370</f>
        <v/>
      </c>
      <c r="H420" s="148">
        <f>'לקוחות לפי סוכן - מקור'!I370</f>
        <v/>
      </c>
      <c r="I420" s="139">
        <f>'לקוחות לפי סוכן - מקור'!K370</f>
        <v/>
      </c>
      <c r="J420" s="139" t="inlineStr">
        <is>
          <t>קיים במקור</t>
        </is>
      </c>
    </row>
    <row r="421" ht="15" customHeight="1" s="82">
      <c r="A421" s="139">
        <f>'לקוחות לפי סוכן - מקור'!A371</f>
        <v/>
      </c>
      <c r="B421" s="139">
        <f>'לקוחות לפי סוכן - מקור'!C371</f>
        <v/>
      </c>
      <c r="C421" s="139">
        <f>'לקוחות לפי סוכן - מקור'!D371</f>
        <v/>
      </c>
      <c r="D421" s="139">
        <f>'לקוחות לפי סוכן - מקור'!E371</f>
        <v/>
      </c>
      <c r="E421" s="147">
        <f>'לקוחות לפי סוכן - מקור'!F371</f>
        <v/>
      </c>
      <c r="F421" s="147">
        <f>'לקוחות לפי סוכן - מקור'!G371</f>
        <v/>
      </c>
      <c r="G421" s="148">
        <f>'לקוחות לפי סוכן - מקור'!H371</f>
        <v/>
      </c>
      <c r="H421" s="148">
        <f>'לקוחות לפי סוכן - מקור'!I371</f>
        <v/>
      </c>
      <c r="I421" s="139">
        <f>'לקוחות לפי סוכן - מקור'!K371</f>
        <v/>
      </c>
      <c r="J421" s="139" t="inlineStr">
        <is>
          <t>קיים במקור</t>
        </is>
      </c>
    </row>
    <row r="422" ht="15" customHeight="1" s="82">
      <c r="A422" s="139">
        <f>'לקוחות לפי סוכן - מקור'!A372</f>
        <v/>
      </c>
      <c r="B422" s="139">
        <f>'לקוחות לפי סוכן - מקור'!C372</f>
        <v/>
      </c>
      <c r="C422" s="139">
        <f>'לקוחות לפי סוכן - מקור'!D372</f>
        <v/>
      </c>
      <c r="D422" s="139">
        <f>'לקוחות לפי סוכן - מקור'!E372</f>
        <v/>
      </c>
      <c r="E422" s="147">
        <f>'לקוחות לפי סוכן - מקור'!F372</f>
        <v/>
      </c>
      <c r="F422" s="147">
        <f>'לקוחות לפי סוכן - מקור'!G372</f>
        <v/>
      </c>
      <c r="G422" s="148">
        <f>'לקוחות לפי סוכן - מקור'!H372</f>
        <v/>
      </c>
      <c r="H422" s="148">
        <f>'לקוחות לפי סוכן - מקור'!I372</f>
        <v/>
      </c>
      <c r="I422" s="139">
        <f>'לקוחות לפי סוכן - מקור'!K372</f>
        <v/>
      </c>
      <c r="J422" s="139" t="inlineStr">
        <is>
          <t>קיים במקור</t>
        </is>
      </c>
    </row>
    <row r="423" ht="15" customHeight="1" s="82">
      <c r="A423" s="139">
        <f>'לקוחות לפי סוכן - מקור'!A373</f>
        <v/>
      </c>
      <c r="B423" s="139">
        <f>'לקוחות לפי סוכן - מקור'!C373</f>
        <v/>
      </c>
      <c r="C423" s="139">
        <f>'לקוחות לפי סוכן - מקור'!D373</f>
        <v/>
      </c>
      <c r="D423" s="139">
        <f>'לקוחות לפי סוכן - מקור'!E373</f>
        <v/>
      </c>
      <c r="E423" s="147">
        <f>'לקוחות לפי סוכן - מקור'!F373</f>
        <v/>
      </c>
      <c r="F423" s="147">
        <f>'לקוחות לפי סוכן - מקור'!G373</f>
        <v/>
      </c>
      <c r="G423" s="148">
        <f>'לקוחות לפי סוכן - מקור'!H373</f>
        <v/>
      </c>
      <c r="H423" s="148">
        <f>'לקוחות לפי סוכן - מקור'!I373</f>
        <v/>
      </c>
      <c r="I423" s="139">
        <f>'לקוחות לפי סוכן - מקור'!K373</f>
        <v/>
      </c>
      <c r="J423" s="139" t="inlineStr">
        <is>
          <t>קיים במקור</t>
        </is>
      </c>
    </row>
    <row r="424" ht="15" customHeight="1" s="82">
      <c r="A424" s="139">
        <f>'לקוחות לפי סוכן - מקור'!A374</f>
        <v/>
      </c>
      <c r="B424" s="139">
        <f>'לקוחות לפי סוכן - מקור'!C374</f>
        <v/>
      </c>
      <c r="C424" s="139">
        <f>'לקוחות לפי סוכן - מקור'!D374</f>
        <v/>
      </c>
      <c r="D424" s="139">
        <f>'לקוחות לפי סוכן - מקור'!E374</f>
        <v/>
      </c>
      <c r="E424" s="147">
        <f>'לקוחות לפי סוכן - מקור'!F374</f>
        <v/>
      </c>
      <c r="F424" s="147">
        <f>'לקוחות לפי סוכן - מקור'!G374</f>
        <v/>
      </c>
      <c r="G424" s="148">
        <f>'לקוחות לפי סוכן - מקור'!H374</f>
        <v/>
      </c>
      <c r="H424" s="148">
        <f>'לקוחות לפי סוכן - מקור'!I374</f>
        <v/>
      </c>
      <c r="I424" s="139">
        <f>'לקוחות לפי סוכן - מקור'!K374</f>
        <v/>
      </c>
      <c r="J424" s="139" t="inlineStr">
        <is>
          <t>קיים במקור</t>
        </is>
      </c>
    </row>
    <row r="425" ht="15" customHeight="1" s="82">
      <c r="A425" s="139">
        <f>'לקוחות לפי סוכן - מקור'!A375</f>
        <v/>
      </c>
      <c r="B425" s="139">
        <f>'לקוחות לפי סוכן - מקור'!C375</f>
        <v/>
      </c>
      <c r="C425" s="139">
        <f>'לקוחות לפי סוכן - מקור'!D375</f>
        <v/>
      </c>
      <c r="D425" s="139">
        <f>'לקוחות לפי סוכן - מקור'!E375</f>
        <v/>
      </c>
      <c r="E425" s="147">
        <f>'לקוחות לפי סוכן - מקור'!F375</f>
        <v/>
      </c>
      <c r="F425" s="147">
        <f>'לקוחות לפי סוכן - מקור'!G375</f>
        <v/>
      </c>
      <c r="G425" s="148">
        <f>'לקוחות לפי סוכן - מקור'!H375</f>
        <v/>
      </c>
      <c r="H425" s="148">
        <f>'לקוחות לפי סוכן - מקור'!I375</f>
        <v/>
      </c>
      <c r="I425" s="139">
        <f>'לקוחות לפי סוכן - מקור'!K375</f>
        <v/>
      </c>
      <c r="J425" s="139" t="inlineStr">
        <is>
          <t>קיים במקור</t>
        </is>
      </c>
    </row>
    <row r="426" ht="15" customHeight="1" s="82">
      <c r="A426" s="139">
        <f>'לקוחות לפי סוכן - מקור'!A376</f>
        <v/>
      </c>
      <c r="B426" s="139">
        <f>'לקוחות לפי סוכן - מקור'!C376</f>
        <v/>
      </c>
      <c r="C426" s="139">
        <f>'לקוחות לפי סוכן - מקור'!D376</f>
        <v/>
      </c>
      <c r="D426" s="139">
        <f>'לקוחות לפי סוכן - מקור'!E376</f>
        <v/>
      </c>
      <c r="E426" s="147">
        <f>'לקוחות לפי סוכן - מקור'!F376</f>
        <v/>
      </c>
      <c r="F426" s="147">
        <f>'לקוחות לפי סוכן - מקור'!G376</f>
        <v/>
      </c>
      <c r="G426" s="148">
        <f>'לקוחות לפי סוכן - מקור'!H376</f>
        <v/>
      </c>
      <c r="H426" s="148">
        <f>'לקוחות לפי סוכן - מקור'!I376</f>
        <v/>
      </c>
      <c r="I426" s="139">
        <f>'לקוחות לפי סוכן - מקור'!K376</f>
        <v/>
      </c>
      <c r="J426" s="139" t="inlineStr">
        <is>
          <t>קיים במקור</t>
        </is>
      </c>
    </row>
    <row r="427" ht="15" customHeight="1" s="82">
      <c r="A427" s="139">
        <f>'לקוחות לפי סוכן - מקור'!A377</f>
        <v/>
      </c>
      <c r="B427" s="139">
        <f>'לקוחות לפי סוכן - מקור'!C377</f>
        <v/>
      </c>
      <c r="C427" s="139">
        <f>'לקוחות לפי סוכן - מקור'!D377</f>
        <v/>
      </c>
      <c r="D427" s="139">
        <f>'לקוחות לפי סוכן - מקור'!E377</f>
        <v/>
      </c>
      <c r="E427" s="147">
        <f>'לקוחות לפי סוכן - מקור'!F377</f>
        <v/>
      </c>
      <c r="F427" s="147">
        <f>'לקוחות לפי סוכן - מקור'!G377</f>
        <v/>
      </c>
      <c r="G427" s="148">
        <f>'לקוחות לפי סוכן - מקור'!H377</f>
        <v/>
      </c>
      <c r="H427" s="148">
        <f>'לקוחות לפי סוכן - מקור'!I377</f>
        <v/>
      </c>
      <c r="I427" s="139">
        <f>'לקוחות לפי סוכן - מקור'!K377</f>
        <v/>
      </c>
      <c r="J427" s="139" t="inlineStr">
        <is>
          <t>קיים במקור</t>
        </is>
      </c>
    </row>
    <row r="428" ht="15" customHeight="1" s="82">
      <c r="A428" s="139">
        <f>'לקוחות לפי סוכן - מקור'!A378</f>
        <v/>
      </c>
      <c r="B428" s="139">
        <f>'לקוחות לפי סוכן - מקור'!C378</f>
        <v/>
      </c>
      <c r="C428" s="139">
        <f>'לקוחות לפי סוכן - מקור'!D378</f>
        <v/>
      </c>
      <c r="D428" s="139">
        <f>'לקוחות לפי סוכן - מקור'!E378</f>
        <v/>
      </c>
      <c r="E428" s="147">
        <f>'לקוחות לפי סוכן - מקור'!F378</f>
        <v/>
      </c>
      <c r="F428" s="147">
        <f>'לקוחות לפי סוכן - מקור'!G378</f>
        <v/>
      </c>
      <c r="G428" s="148">
        <f>'לקוחות לפי סוכן - מקור'!H378</f>
        <v/>
      </c>
      <c r="H428" s="148">
        <f>'לקוחות לפי סוכן - מקור'!I378</f>
        <v/>
      </c>
      <c r="I428" s="139">
        <f>'לקוחות לפי סוכן - מקור'!K378</f>
        <v/>
      </c>
      <c r="J428" s="139" t="inlineStr">
        <is>
          <t>קיים במקור</t>
        </is>
      </c>
    </row>
    <row r="429" ht="15" customHeight="1" s="82">
      <c r="A429" s="139">
        <f>'לקוחות לפי סוכן - מקור'!A379</f>
        <v/>
      </c>
      <c r="B429" s="139">
        <f>'לקוחות לפי סוכן - מקור'!C379</f>
        <v/>
      </c>
      <c r="C429" s="139">
        <f>'לקוחות לפי סוכן - מקור'!D379</f>
        <v/>
      </c>
      <c r="D429" s="139">
        <f>'לקוחות לפי סוכן - מקור'!E379</f>
        <v/>
      </c>
      <c r="E429" s="147">
        <f>'לקוחות לפי סוכן - מקור'!F379</f>
        <v/>
      </c>
      <c r="F429" s="147">
        <f>'לקוחות לפי סוכן - מקור'!G379</f>
        <v/>
      </c>
      <c r="G429" s="148">
        <f>'לקוחות לפי סוכן - מקור'!H379</f>
        <v/>
      </c>
      <c r="H429" s="148">
        <f>'לקוחות לפי סוכן - מקור'!I379</f>
        <v/>
      </c>
      <c r="I429" s="139">
        <f>'לקוחות לפי סוכן - מקור'!K379</f>
        <v/>
      </c>
      <c r="J429" s="139" t="inlineStr">
        <is>
          <t>קיים במקור</t>
        </is>
      </c>
    </row>
    <row r="430" ht="15" customHeight="1" s="82">
      <c r="A430" s="139">
        <f>'לקוחות לפי סוכן - מקור'!A380</f>
        <v/>
      </c>
      <c r="B430" s="139">
        <f>'לקוחות לפי סוכן - מקור'!C380</f>
        <v/>
      </c>
      <c r="C430" s="139">
        <f>'לקוחות לפי סוכן - מקור'!D380</f>
        <v/>
      </c>
      <c r="D430" s="139">
        <f>'לקוחות לפי סוכן - מקור'!E380</f>
        <v/>
      </c>
      <c r="E430" s="147">
        <f>'לקוחות לפי סוכן - מקור'!F380</f>
        <v/>
      </c>
      <c r="F430" s="147">
        <f>'לקוחות לפי סוכן - מקור'!G380</f>
        <v/>
      </c>
      <c r="G430" s="148">
        <f>'לקוחות לפי סוכן - מקור'!H380</f>
        <v/>
      </c>
      <c r="H430" s="148">
        <f>'לקוחות לפי סוכן - מקור'!I380</f>
        <v/>
      </c>
      <c r="I430" s="139">
        <f>'לקוחות לפי סוכן - מקור'!K380</f>
        <v/>
      </c>
      <c r="J430" s="139" t="inlineStr">
        <is>
          <t>קיים במקור</t>
        </is>
      </c>
    </row>
    <row r="431" ht="15" customHeight="1" s="82">
      <c r="A431" s="139">
        <f>'לקוחות לפי סוכן - מקור'!A381</f>
        <v/>
      </c>
      <c r="B431" s="139">
        <f>'לקוחות לפי סוכן - מקור'!C381</f>
        <v/>
      </c>
      <c r="C431" s="139">
        <f>'לקוחות לפי סוכן - מקור'!D381</f>
        <v/>
      </c>
      <c r="D431" s="139">
        <f>'לקוחות לפי סוכן - מקור'!E381</f>
        <v/>
      </c>
      <c r="E431" s="147">
        <f>'לקוחות לפי סוכן - מקור'!F381</f>
        <v/>
      </c>
      <c r="F431" s="147">
        <f>'לקוחות לפי סוכן - מקור'!G381</f>
        <v/>
      </c>
      <c r="G431" s="148">
        <f>'לקוחות לפי סוכן - מקור'!H381</f>
        <v/>
      </c>
      <c r="H431" s="148">
        <f>'לקוחות לפי סוכן - מקור'!I381</f>
        <v/>
      </c>
      <c r="I431" s="139">
        <f>'לקוחות לפי סוכן - מקור'!K381</f>
        <v/>
      </c>
      <c r="J431" s="139" t="inlineStr">
        <is>
          <t>קיים במקור</t>
        </is>
      </c>
    </row>
    <row r="432" ht="15" customHeight="1" s="82">
      <c r="A432" s="139">
        <f>'לקוחות לפי סוכן - מקור'!A382</f>
        <v/>
      </c>
      <c r="B432" s="139">
        <f>'לקוחות לפי סוכן - מקור'!C382</f>
        <v/>
      </c>
      <c r="C432" s="139">
        <f>'לקוחות לפי סוכן - מקור'!D382</f>
        <v/>
      </c>
      <c r="D432" s="139">
        <f>'לקוחות לפי סוכן - מקור'!E382</f>
        <v/>
      </c>
      <c r="E432" s="147">
        <f>'לקוחות לפי סוכן - מקור'!F382</f>
        <v/>
      </c>
      <c r="F432" s="147">
        <f>'לקוחות לפי סוכן - מקור'!G382</f>
        <v/>
      </c>
      <c r="G432" s="148">
        <f>'לקוחות לפי סוכן - מקור'!H382</f>
        <v/>
      </c>
      <c r="H432" s="148">
        <f>'לקוחות לפי סוכן - מקור'!I382</f>
        <v/>
      </c>
      <c r="I432" s="139">
        <f>'לקוחות לפי סוכן - מקור'!K382</f>
        <v/>
      </c>
      <c r="J432" s="139" t="inlineStr">
        <is>
          <t>קיים במקור</t>
        </is>
      </c>
    </row>
    <row r="433" ht="15" customHeight="1" s="82">
      <c r="A433" s="139">
        <f>'לקוחות לפי סוכן - מקור'!A383</f>
        <v/>
      </c>
      <c r="B433" s="139">
        <f>'לקוחות לפי סוכן - מקור'!C383</f>
        <v/>
      </c>
      <c r="C433" s="139">
        <f>'לקוחות לפי סוכן - מקור'!D383</f>
        <v/>
      </c>
      <c r="D433" s="139">
        <f>'לקוחות לפי סוכן - מקור'!E383</f>
        <v/>
      </c>
      <c r="E433" s="147">
        <f>'לקוחות לפי סוכן - מקור'!F383</f>
        <v/>
      </c>
      <c r="F433" s="147">
        <f>'לקוחות לפי סוכן - מקור'!G383</f>
        <v/>
      </c>
      <c r="G433" s="148">
        <f>'לקוחות לפי סוכן - מקור'!H383</f>
        <v/>
      </c>
      <c r="H433" s="148">
        <f>'לקוחות לפי סוכן - מקור'!I383</f>
        <v/>
      </c>
      <c r="I433" s="139">
        <f>'לקוחות לפי סוכן - מקור'!K383</f>
        <v/>
      </c>
      <c r="J433" s="139" t="inlineStr">
        <is>
          <t>קיים במקור</t>
        </is>
      </c>
    </row>
    <row r="434" ht="15" customHeight="1" s="82">
      <c r="A434" s="139">
        <f>'לקוחות לפי סוכן - מקור'!A384</f>
        <v/>
      </c>
      <c r="B434" s="139">
        <f>'לקוחות לפי סוכן - מקור'!C384</f>
        <v/>
      </c>
      <c r="C434" s="139">
        <f>'לקוחות לפי סוכן - מקור'!D384</f>
        <v/>
      </c>
      <c r="D434" s="139">
        <f>'לקוחות לפי סוכן - מקור'!E384</f>
        <v/>
      </c>
      <c r="E434" s="147">
        <f>'לקוחות לפי סוכן - מקור'!F384</f>
        <v/>
      </c>
      <c r="F434" s="147">
        <f>'לקוחות לפי סוכן - מקור'!G384</f>
        <v/>
      </c>
      <c r="G434" s="148">
        <f>'לקוחות לפי סוכן - מקור'!H384</f>
        <v/>
      </c>
      <c r="H434" s="148">
        <f>'לקוחות לפי סוכן - מקור'!I384</f>
        <v/>
      </c>
      <c r="I434" s="139">
        <f>'לקוחות לפי סוכן - מקור'!K384</f>
        <v/>
      </c>
      <c r="J434" s="139" t="inlineStr">
        <is>
          <t>קיים במקור</t>
        </is>
      </c>
    </row>
    <row r="435" ht="15" customHeight="1" s="82">
      <c r="A435" s="139">
        <f>'לקוחות לפי סוכן - מקור'!A385</f>
        <v/>
      </c>
      <c r="B435" s="139">
        <f>'לקוחות לפי סוכן - מקור'!C385</f>
        <v/>
      </c>
      <c r="C435" s="139">
        <f>'לקוחות לפי סוכן - מקור'!D385</f>
        <v/>
      </c>
      <c r="D435" s="139">
        <f>'לקוחות לפי סוכן - מקור'!E385</f>
        <v/>
      </c>
      <c r="E435" s="147">
        <f>'לקוחות לפי סוכן - מקור'!F385</f>
        <v/>
      </c>
      <c r="F435" s="147">
        <f>'לקוחות לפי סוכן - מקור'!G385</f>
        <v/>
      </c>
      <c r="G435" s="148">
        <f>'לקוחות לפי סוכן - מקור'!H385</f>
        <v/>
      </c>
      <c r="H435" s="148">
        <f>'לקוחות לפי סוכן - מקור'!I385</f>
        <v/>
      </c>
      <c r="I435" s="139">
        <f>'לקוחות לפי סוכן - מקור'!K385</f>
        <v/>
      </c>
      <c r="J435" s="139" t="inlineStr">
        <is>
          <t>קיים במקור</t>
        </is>
      </c>
    </row>
    <row r="436" ht="15" customHeight="1" s="82">
      <c r="A436" s="139">
        <f>'לקוחות לפי סוכן - מקור'!A386</f>
        <v/>
      </c>
      <c r="B436" s="139">
        <f>'לקוחות לפי סוכן - מקור'!C386</f>
        <v/>
      </c>
      <c r="C436" s="139">
        <f>'לקוחות לפי סוכן - מקור'!D386</f>
        <v/>
      </c>
      <c r="D436" s="139">
        <f>'לקוחות לפי סוכן - מקור'!E386</f>
        <v/>
      </c>
      <c r="E436" s="147">
        <f>'לקוחות לפי סוכן - מקור'!F386</f>
        <v/>
      </c>
      <c r="F436" s="147">
        <f>'לקוחות לפי סוכן - מקור'!G386</f>
        <v/>
      </c>
      <c r="G436" s="148">
        <f>'לקוחות לפי סוכן - מקור'!H386</f>
        <v/>
      </c>
      <c r="H436" s="148">
        <f>'לקוחות לפי סוכן - מקור'!I386</f>
        <v/>
      </c>
      <c r="I436" s="139">
        <f>'לקוחות לפי סוכן - מקור'!K386</f>
        <v/>
      </c>
      <c r="J436" s="139" t="inlineStr">
        <is>
          <t>קיים במקור</t>
        </is>
      </c>
    </row>
    <row r="437" ht="15" customHeight="1" s="82">
      <c r="A437" s="139">
        <f>'לקוחות לפי סוכן - מקור'!A387</f>
        <v/>
      </c>
      <c r="B437" s="139">
        <f>'לקוחות לפי סוכן - מקור'!C387</f>
        <v/>
      </c>
      <c r="C437" s="139">
        <f>'לקוחות לפי סוכן - מקור'!D387</f>
        <v/>
      </c>
      <c r="D437" s="139">
        <f>'לקוחות לפי סוכן - מקור'!E387</f>
        <v/>
      </c>
      <c r="E437" s="147">
        <f>'לקוחות לפי סוכן - מקור'!F387</f>
        <v/>
      </c>
      <c r="F437" s="147">
        <f>'לקוחות לפי סוכן - מקור'!G387</f>
        <v/>
      </c>
      <c r="G437" s="148">
        <f>'לקוחות לפי סוכן - מקור'!H387</f>
        <v/>
      </c>
      <c r="H437" s="148">
        <f>'לקוחות לפי סוכן - מקור'!I387</f>
        <v/>
      </c>
      <c r="I437" s="139">
        <f>'לקוחות לפי סוכן - מקור'!K387</f>
        <v/>
      </c>
      <c r="J437" s="139" t="inlineStr">
        <is>
          <t>קיים במקור</t>
        </is>
      </c>
    </row>
    <row r="438" ht="15" customHeight="1" s="82">
      <c r="A438" s="139">
        <f>'לקוחות לפי סוכן - מקור'!A388</f>
        <v/>
      </c>
      <c r="B438" s="139">
        <f>'לקוחות לפי סוכן - מקור'!C388</f>
        <v/>
      </c>
      <c r="C438" s="139">
        <f>'לקוחות לפי סוכן - מקור'!D388</f>
        <v/>
      </c>
      <c r="D438" s="139">
        <f>'לקוחות לפי סוכן - מקור'!E388</f>
        <v/>
      </c>
      <c r="E438" s="147">
        <f>'לקוחות לפי סוכן - מקור'!F388</f>
        <v/>
      </c>
      <c r="F438" s="147">
        <f>'לקוחות לפי סוכן - מקור'!G388</f>
        <v/>
      </c>
      <c r="G438" s="148">
        <f>'לקוחות לפי סוכן - מקור'!H388</f>
        <v/>
      </c>
      <c r="H438" s="148">
        <f>'לקוחות לפי סוכן - מקור'!I388</f>
        <v/>
      </c>
      <c r="I438" s="139">
        <f>'לקוחות לפי סוכן - מקור'!K388</f>
        <v/>
      </c>
      <c r="J438" s="139" t="inlineStr">
        <is>
          <t>קיים במקור</t>
        </is>
      </c>
    </row>
    <row r="439" ht="15" customHeight="1" s="82">
      <c r="A439" s="139">
        <f>'לקוחות לפי סוכן - מקור'!A389</f>
        <v/>
      </c>
      <c r="B439" s="139">
        <f>'לקוחות לפי סוכן - מקור'!C389</f>
        <v/>
      </c>
      <c r="C439" s="139">
        <f>'לקוחות לפי סוכן - מקור'!D389</f>
        <v/>
      </c>
      <c r="D439" s="139">
        <f>'לקוחות לפי סוכן - מקור'!E389</f>
        <v/>
      </c>
      <c r="E439" s="147">
        <f>'לקוחות לפי סוכן - מקור'!F389</f>
        <v/>
      </c>
      <c r="F439" s="147">
        <f>'לקוחות לפי סוכן - מקור'!G389</f>
        <v/>
      </c>
      <c r="G439" s="148">
        <f>'לקוחות לפי סוכן - מקור'!H389</f>
        <v/>
      </c>
      <c r="H439" s="148">
        <f>'לקוחות לפי סוכן - מקור'!I389</f>
        <v/>
      </c>
      <c r="I439" s="139">
        <f>'לקוחות לפי סוכן - מקור'!K389</f>
        <v/>
      </c>
      <c r="J439" s="139" t="inlineStr">
        <is>
          <t>קיים במקור</t>
        </is>
      </c>
    </row>
    <row r="440" ht="15" customHeight="1" s="82">
      <c r="A440" s="139">
        <f>'לקוחות לפי סוכן - מקור'!A390</f>
        <v/>
      </c>
      <c r="B440" s="139">
        <f>'לקוחות לפי סוכן - מקור'!C390</f>
        <v/>
      </c>
      <c r="C440" s="139">
        <f>'לקוחות לפי סוכן - מקור'!D390</f>
        <v/>
      </c>
      <c r="D440" s="139">
        <f>'לקוחות לפי סוכן - מקור'!E390</f>
        <v/>
      </c>
      <c r="E440" s="147">
        <f>'לקוחות לפי סוכן - מקור'!F390</f>
        <v/>
      </c>
      <c r="F440" s="147">
        <f>'לקוחות לפי סוכן - מקור'!G390</f>
        <v/>
      </c>
      <c r="G440" s="148">
        <f>'לקוחות לפי סוכן - מקור'!H390</f>
        <v/>
      </c>
      <c r="H440" s="148">
        <f>'לקוחות לפי סוכן - מקור'!I390</f>
        <v/>
      </c>
      <c r="I440" s="139">
        <f>'לקוחות לפי סוכן - מקור'!K390</f>
        <v/>
      </c>
      <c r="J440" s="139" t="inlineStr">
        <is>
          <t>קיים במקור</t>
        </is>
      </c>
    </row>
    <row r="441" ht="15" customHeight="1" s="82">
      <c r="A441" s="139">
        <f>'לקוחות לפי סוכן - מקור'!A391</f>
        <v/>
      </c>
      <c r="B441" s="139">
        <f>'לקוחות לפי סוכן - מקור'!C391</f>
        <v/>
      </c>
      <c r="C441" s="139">
        <f>'לקוחות לפי סוכן - מקור'!D391</f>
        <v/>
      </c>
      <c r="D441" s="139">
        <f>'לקוחות לפי סוכן - מקור'!E391</f>
        <v/>
      </c>
      <c r="E441" s="147">
        <f>'לקוחות לפי סוכן - מקור'!F391</f>
        <v/>
      </c>
      <c r="F441" s="147">
        <f>'לקוחות לפי סוכן - מקור'!G391</f>
        <v/>
      </c>
      <c r="G441" s="148">
        <f>'לקוחות לפי סוכן - מקור'!H391</f>
        <v/>
      </c>
      <c r="H441" s="148">
        <f>'לקוחות לפי סוכן - מקור'!I391</f>
        <v/>
      </c>
      <c r="I441" s="139">
        <f>'לקוחות לפי סוכן - מקור'!K391</f>
        <v/>
      </c>
      <c r="J441" s="139" t="inlineStr">
        <is>
          <t>קיים במקור</t>
        </is>
      </c>
    </row>
    <row r="442" ht="15" customHeight="1" s="82">
      <c r="A442" s="149">
        <f>'לקוחות לפי סוכן - מקור חדש'!B17</f>
        <v/>
      </c>
      <c r="B442" s="149">
        <f>'לקוחות לפי סוכן - מקור חדש'!C17</f>
        <v/>
      </c>
      <c r="C442" s="149" t="n"/>
      <c r="D442" s="149">
        <f>TRIM('לקוחות לפי סוכן - מקור חדש'!D17)</f>
        <v/>
      </c>
      <c r="E442" s="147">
        <f>'לקוחות לפי סוכן - מקור חדש'!F17</f>
        <v/>
      </c>
      <c r="F442" s="147">
        <f>'לקוחות לפי סוכן - מקור חדש'!H17</f>
        <v/>
      </c>
      <c r="G442" s="148">
        <f>'לקוחות לפי סוכן - מקור חדש'!E17</f>
        <v/>
      </c>
      <c r="H442" s="148">
        <f>'לקוחות לפי סוכן - מקור חדש'!G17</f>
        <v/>
      </c>
      <c r="I442" s="149" t="inlineStr">
        <is>
          <t>מכירות 25-26 לפי לקוח-סוכן</t>
        </is>
      </c>
      <c r="J442" s="149" t="inlineStr">
        <is>
          <t>חדש — לא היה ב-מקור</t>
        </is>
      </c>
    </row>
    <row r="443" ht="15" customHeight="1" s="82">
      <c r="A443" s="149">
        <f>'לקוחות לפי סוכן - מקור חדש'!B20</f>
        <v/>
      </c>
      <c r="B443" s="149">
        <f>'לקוחות לפי סוכן - מקור חדש'!C20</f>
        <v/>
      </c>
      <c r="C443" s="149" t="n"/>
      <c r="D443" s="149">
        <f>TRIM('לקוחות לפי סוכן - מקור חדש'!D20)</f>
        <v/>
      </c>
      <c r="E443" s="147">
        <f>'לקוחות לפי סוכן - מקור חדש'!F20</f>
        <v/>
      </c>
      <c r="F443" s="147">
        <f>'לקוחות לפי סוכן - מקור חדש'!H20</f>
        <v/>
      </c>
      <c r="G443" s="148">
        <f>'לקוחות לפי סוכן - מקור חדש'!E20</f>
        <v/>
      </c>
      <c r="H443" s="148">
        <f>'לקוחות לפי סוכן - מקור חדש'!G20</f>
        <v/>
      </c>
      <c r="I443" s="149" t="inlineStr">
        <is>
          <t>מכירות 25-26 לפי לקוח-סוכן</t>
        </is>
      </c>
      <c r="J443" s="149" t="inlineStr">
        <is>
          <t>חדש — לא היה ב-מקור</t>
        </is>
      </c>
    </row>
    <row r="444" ht="15" customHeight="1" s="82">
      <c r="A444" s="149">
        <f>'לקוחות לפי סוכן - מקור חדש'!B27</f>
        <v/>
      </c>
      <c r="B444" s="149">
        <f>'לקוחות לפי סוכן - מקור חדש'!C27</f>
        <v/>
      </c>
      <c r="C444" s="149" t="n"/>
      <c r="D444" s="149">
        <f>TRIM('לקוחות לפי סוכן - מקור חדש'!D27)</f>
        <v/>
      </c>
      <c r="E444" s="147">
        <f>'לקוחות לפי סוכן - מקור חדש'!F27</f>
        <v/>
      </c>
      <c r="F444" s="147">
        <f>'לקוחות לפי סוכן - מקור חדש'!H27</f>
        <v/>
      </c>
      <c r="G444" s="148">
        <f>'לקוחות לפי סוכן - מקור חדש'!E27</f>
        <v/>
      </c>
      <c r="H444" s="148">
        <f>'לקוחות לפי סוכן - מקור חדש'!G27</f>
        <v/>
      </c>
      <c r="I444" s="149" t="inlineStr">
        <is>
          <t>מכירות 25-26 לפי לקוח-סוכן</t>
        </is>
      </c>
      <c r="J444" s="149" t="inlineStr">
        <is>
          <t>חדש — לא היה ב-מקור</t>
        </is>
      </c>
    </row>
    <row r="445" ht="15" customHeight="1" s="82">
      <c r="A445" s="149">
        <f>'לקוחות לפי סוכן - מקור חדש'!B28</f>
        <v/>
      </c>
      <c r="B445" s="149">
        <f>'לקוחות לפי סוכן - מקור חדש'!C28</f>
        <v/>
      </c>
      <c r="C445" s="149" t="n"/>
      <c r="D445" s="149">
        <f>TRIM('לקוחות לפי סוכן - מקור חדש'!D28)</f>
        <v/>
      </c>
      <c r="E445" s="147">
        <f>'לקוחות לפי סוכן - מקור חדש'!F28</f>
        <v/>
      </c>
      <c r="F445" s="147">
        <f>'לקוחות לפי סוכן - מקור חדש'!H28</f>
        <v/>
      </c>
      <c r="G445" s="148">
        <f>'לקוחות לפי סוכן - מקור חדש'!E28</f>
        <v/>
      </c>
      <c r="H445" s="148">
        <f>'לקוחות לפי סוכן - מקור חדש'!G28</f>
        <v/>
      </c>
      <c r="I445" s="149" t="inlineStr">
        <is>
          <t>מכירות 25-26 לפי לקוח-סוכן</t>
        </is>
      </c>
      <c r="J445" s="149" t="inlineStr">
        <is>
          <t>חדש — לא היה ב-מקור</t>
        </is>
      </c>
    </row>
    <row r="446" ht="15" customHeight="1" s="82">
      <c r="A446" s="149">
        <f>'לקוחות לפי סוכן - מקור חדש'!B29</f>
        <v/>
      </c>
      <c r="B446" s="149">
        <f>'לקוחות לפי סוכן - מקור חדש'!C29</f>
        <v/>
      </c>
      <c r="C446" s="149" t="n"/>
      <c r="D446" s="149">
        <f>TRIM('לקוחות לפי סוכן - מקור חדש'!D29)</f>
        <v/>
      </c>
      <c r="E446" s="147">
        <f>'לקוחות לפי סוכן - מקור חדש'!F29</f>
        <v/>
      </c>
      <c r="F446" s="147">
        <f>'לקוחות לפי סוכן - מקור חדש'!H29</f>
        <v/>
      </c>
      <c r="G446" s="148">
        <f>'לקוחות לפי סוכן - מקור חדש'!E29</f>
        <v/>
      </c>
      <c r="H446" s="148">
        <f>'לקוחות לפי סוכן - מקור חדש'!G29</f>
        <v/>
      </c>
      <c r="I446" s="149" t="inlineStr">
        <is>
          <t>מכירות 25-26 לפי לקוח-סוכן</t>
        </is>
      </c>
      <c r="J446" s="149" t="inlineStr">
        <is>
          <t>חדש — לא היה ב-מקור</t>
        </is>
      </c>
    </row>
    <row r="447" ht="15" customHeight="1" s="82">
      <c r="A447" s="149">
        <f>'לקוחות לפי סוכן - מקור חדש'!B35</f>
        <v/>
      </c>
      <c r="B447" s="149">
        <f>'לקוחות לפי סוכן - מקור חדש'!C35</f>
        <v/>
      </c>
      <c r="C447" s="149" t="n"/>
      <c r="D447" s="149">
        <f>TRIM('לקוחות לפי סוכן - מקור חדש'!D35)</f>
        <v/>
      </c>
      <c r="E447" s="147">
        <f>'לקוחות לפי סוכן - מקור חדש'!F35</f>
        <v/>
      </c>
      <c r="F447" s="147">
        <f>'לקוחות לפי סוכן - מקור חדש'!H35</f>
        <v/>
      </c>
      <c r="G447" s="148">
        <f>'לקוחות לפי סוכן - מקור חדש'!E35</f>
        <v/>
      </c>
      <c r="H447" s="148">
        <f>'לקוחות לפי סוכן - מקור חדש'!G35</f>
        <v/>
      </c>
      <c r="I447" s="149" t="inlineStr">
        <is>
          <t>מכירות 25-26 לפי לקוח-סוכן</t>
        </is>
      </c>
      <c r="J447" s="149" t="inlineStr">
        <is>
          <t>חדש — לא היה ב-מקור</t>
        </is>
      </c>
    </row>
    <row r="448" ht="15" customHeight="1" s="82">
      <c r="A448" s="149">
        <f>'לקוחות לפי סוכן - מקור חדש'!B39</f>
        <v/>
      </c>
      <c r="B448" s="149">
        <f>'לקוחות לפי סוכן - מקור חדש'!C39</f>
        <v/>
      </c>
      <c r="C448" s="149" t="n"/>
      <c r="D448" s="149">
        <f>TRIM('לקוחות לפי סוכן - מקור חדש'!D39)</f>
        <v/>
      </c>
      <c r="E448" s="147">
        <f>'לקוחות לפי סוכן - מקור חדש'!F39</f>
        <v/>
      </c>
      <c r="F448" s="147">
        <f>'לקוחות לפי סוכן - מקור חדש'!H39</f>
        <v/>
      </c>
      <c r="G448" s="148">
        <f>'לקוחות לפי סוכן - מקור חדש'!E39</f>
        <v/>
      </c>
      <c r="H448" s="148">
        <f>'לקוחות לפי סוכן - מקור חדש'!G39</f>
        <v/>
      </c>
      <c r="I448" s="149" t="inlineStr">
        <is>
          <t>מכירות 25-26 לפי לקוח-סוכן</t>
        </is>
      </c>
      <c r="J448" s="149" t="inlineStr">
        <is>
          <t>חדש — לא היה ב-מקור</t>
        </is>
      </c>
    </row>
    <row r="449" ht="15" customHeight="1" s="82">
      <c r="A449" s="149">
        <f>'לקוחות לפי סוכן - מקור חדש'!B67</f>
        <v/>
      </c>
      <c r="B449" s="149">
        <f>'לקוחות לפי סוכן - מקור חדש'!C67</f>
        <v/>
      </c>
      <c r="C449" s="149" t="n"/>
      <c r="D449" s="149">
        <f>TRIM('לקוחות לפי סוכן - מקור חדש'!D67)</f>
        <v/>
      </c>
      <c r="E449" s="147">
        <f>'לקוחות לפי סוכן - מקור חדש'!F67</f>
        <v/>
      </c>
      <c r="F449" s="147">
        <f>'לקוחות לפי סוכן - מקור חדש'!H67</f>
        <v/>
      </c>
      <c r="G449" s="148">
        <f>'לקוחות לפי סוכן - מקור חדש'!E67</f>
        <v/>
      </c>
      <c r="H449" s="148">
        <f>'לקוחות לפי סוכן - מקור חדש'!G67</f>
        <v/>
      </c>
      <c r="I449" s="149" t="inlineStr">
        <is>
          <t>מכירות 25-26 לפי לקוח-סוכן</t>
        </is>
      </c>
      <c r="J449" s="149" t="inlineStr">
        <is>
          <t>חדש — לא היה ב-מקור</t>
        </is>
      </c>
    </row>
    <row r="450" ht="15" customHeight="1" s="82">
      <c r="A450" s="149">
        <f>'לקוחות לפי סוכן - מקור חדש'!B74</f>
        <v/>
      </c>
      <c r="B450" s="149">
        <f>'לקוחות לפי סוכן - מקור חדש'!C74</f>
        <v/>
      </c>
      <c r="C450" s="149" t="n"/>
      <c r="D450" s="149">
        <f>TRIM('לקוחות לפי סוכן - מקור חדש'!D74)</f>
        <v/>
      </c>
      <c r="E450" s="147">
        <f>'לקוחות לפי סוכן - מקור חדש'!F74</f>
        <v/>
      </c>
      <c r="F450" s="147">
        <f>'לקוחות לפי סוכן - מקור חדש'!H74</f>
        <v/>
      </c>
      <c r="G450" s="148">
        <f>'לקוחות לפי סוכן - מקור חדש'!E74</f>
        <v/>
      </c>
      <c r="H450" s="148">
        <f>'לקוחות לפי סוכן - מקור חדש'!G74</f>
        <v/>
      </c>
      <c r="I450" s="149" t="inlineStr">
        <is>
          <t>מכירות 25-26 לפי לקוח-סוכן</t>
        </is>
      </c>
      <c r="J450" s="149" t="inlineStr">
        <is>
          <t>חדש — לא היה ב-מקור</t>
        </is>
      </c>
    </row>
    <row r="451" ht="15" customHeight="1" s="82">
      <c r="A451" s="149">
        <f>'לקוחות לפי סוכן - מקור חדש'!B77</f>
        <v/>
      </c>
      <c r="B451" s="149">
        <f>'לקוחות לפי סוכן - מקור חדש'!C77</f>
        <v/>
      </c>
      <c r="C451" s="149" t="n"/>
      <c r="D451" s="149">
        <f>TRIM('לקוחות לפי סוכן - מקור חדש'!D77)</f>
        <v/>
      </c>
      <c r="E451" s="147">
        <f>'לקוחות לפי סוכן - מקור חדש'!F77</f>
        <v/>
      </c>
      <c r="F451" s="147">
        <f>'לקוחות לפי סוכן - מקור חדש'!H77</f>
        <v/>
      </c>
      <c r="G451" s="148">
        <f>'לקוחות לפי סוכן - מקור חדש'!E77</f>
        <v/>
      </c>
      <c r="H451" s="148">
        <f>'לקוחות לפי סוכן - מקור חדש'!G77</f>
        <v/>
      </c>
      <c r="I451" s="149" t="inlineStr">
        <is>
          <t>מכירות 25-26 לפי לקוח-סוכן</t>
        </is>
      </c>
      <c r="J451" s="149" t="inlineStr">
        <is>
          <t>חדש — לא היה ב-מקור</t>
        </is>
      </c>
    </row>
    <row r="452" ht="15" customHeight="1" s="82">
      <c r="A452" s="149">
        <f>'לקוחות לפי סוכן - מקור חדש'!B78</f>
        <v/>
      </c>
      <c r="B452" s="149">
        <f>'לקוחות לפי סוכן - מקור חדש'!C78</f>
        <v/>
      </c>
      <c r="C452" s="149" t="n"/>
      <c r="D452" s="149">
        <f>TRIM('לקוחות לפי סוכן - מקור חדש'!D78)</f>
        <v/>
      </c>
      <c r="E452" s="147">
        <f>'לקוחות לפי סוכן - מקור חדש'!F78</f>
        <v/>
      </c>
      <c r="F452" s="147">
        <f>'לקוחות לפי סוכן - מקור חדש'!H78</f>
        <v/>
      </c>
      <c r="G452" s="148">
        <f>'לקוחות לפי סוכן - מקור חדש'!E78</f>
        <v/>
      </c>
      <c r="H452" s="148">
        <f>'לקוחות לפי סוכן - מקור חדש'!G78</f>
        <v/>
      </c>
      <c r="I452" s="149" t="inlineStr">
        <is>
          <t>מכירות 25-26 לפי לקוח-סוכן</t>
        </is>
      </c>
      <c r="J452" s="149" t="inlineStr">
        <is>
          <t>חדש — לא היה ב-מקור</t>
        </is>
      </c>
    </row>
    <row r="453" ht="15" customHeight="1" s="82">
      <c r="A453" s="149">
        <f>'לקוחות לפי סוכן - מקור חדש'!B83</f>
        <v/>
      </c>
      <c r="B453" s="149">
        <f>'לקוחות לפי סוכן - מקור חדש'!C83</f>
        <v/>
      </c>
      <c r="C453" s="149" t="n"/>
      <c r="D453" s="149">
        <f>TRIM('לקוחות לפי סוכן - מקור חדש'!D83)</f>
        <v/>
      </c>
      <c r="E453" s="147">
        <f>'לקוחות לפי סוכן - מקור חדש'!F83</f>
        <v/>
      </c>
      <c r="F453" s="147">
        <f>'לקוחות לפי סוכן - מקור חדש'!H83</f>
        <v/>
      </c>
      <c r="G453" s="148">
        <f>'לקוחות לפי סוכן - מקור חדש'!E83</f>
        <v/>
      </c>
      <c r="H453" s="148">
        <f>'לקוחות לפי סוכן - מקור חדש'!G83</f>
        <v/>
      </c>
      <c r="I453" s="149" t="inlineStr">
        <is>
          <t>מכירות 25-26 לפי לקוח-סוכן</t>
        </is>
      </c>
      <c r="J453" s="149" t="inlineStr">
        <is>
          <t>חדש — לא היה ב-מקור</t>
        </is>
      </c>
    </row>
    <row r="454" ht="15" customHeight="1" s="82">
      <c r="A454" s="149">
        <f>'לקוחות לפי סוכן - מקור חדש'!B85</f>
        <v/>
      </c>
      <c r="B454" s="149">
        <f>'לקוחות לפי סוכן - מקור חדש'!C85</f>
        <v/>
      </c>
      <c r="C454" s="149" t="n"/>
      <c r="D454" s="149">
        <f>TRIM('לקוחות לפי סוכן - מקור חדש'!D85)</f>
        <v/>
      </c>
      <c r="E454" s="147">
        <f>'לקוחות לפי סוכן - מקור חדש'!F85</f>
        <v/>
      </c>
      <c r="F454" s="147">
        <f>'לקוחות לפי סוכן - מקור חדש'!H85</f>
        <v/>
      </c>
      <c r="G454" s="148">
        <f>'לקוחות לפי סוכן - מקור חדש'!E85</f>
        <v/>
      </c>
      <c r="H454" s="148">
        <f>'לקוחות לפי סוכן - מקור חדש'!G85</f>
        <v/>
      </c>
      <c r="I454" s="149" t="inlineStr">
        <is>
          <t>מכירות 25-26 לפי לקוח-סוכן</t>
        </is>
      </c>
      <c r="J454" s="149" t="inlineStr">
        <is>
          <t>חדש — לא היה ב-מקור</t>
        </is>
      </c>
    </row>
    <row r="455" ht="15" customHeight="1" s="82">
      <c r="A455" s="149">
        <f>'לקוחות לפי סוכן - מקור חדש'!B93</f>
        <v/>
      </c>
      <c r="B455" s="149">
        <f>'לקוחות לפי סוכן - מקור חדש'!C93</f>
        <v/>
      </c>
      <c r="C455" s="149" t="n"/>
      <c r="D455" s="149">
        <f>TRIM('לקוחות לפי סוכן - מקור חדש'!D93)</f>
        <v/>
      </c>
      <c r="E455" s="147">
        <f>'לקוחות לפי סוכן - מקור חדש'!F93</f>
        <v/>
      </c>
      <c r="F455" s="147">
        <f>'לקוחות לפי סוכן - מקור חדש'!H93</f>
        <v/>
      </c>
      <c r="G455" s="148">
        <f>'לקוחות לפי סוכן - מקור חדש'!E93</f>
        <v/>
      </c>
      <c r="H455" s="148">
        <f>'לקוחות לפי סוכן - מקור חדש'!G93</f>
        <v/>
      </c>
      <c r="I455" s="149" t="inlineStr">
        <is>
          <t>מכירות 25-26 לפי לקוח-סוכן</t>
        </is>
      </c>
      <c r="J455" s="149" t="inlineStr">
        <is>
          <t>חדש — לא היה ב-מקור</t>
        </is>
      </c>
    </row>
    <row r="456" ht="15" customHeight="1" s="82">
      <c r="A456" s="149">
        <f>'לקוחות לפי סוכן - מקור חדש'!B98</f>
        <v/>
      </c>
      <c r="B456" s="149">
        <f>'לקוחות לפי סוכן - מקור חדש'!C98</f>
        <v/>
      </c>
      <c r="C456" s="149" t="n"/>
      <c r="D456" s="149">
        <f>TRIM('לקוחות לפי סוכן - מקור חדש'!D98)</f>
        <v/>
      </c>
      <c r="E456" s="147">
        <f>'לקוחות לפי סוכן - מקור חדש'!F98</f>
        <v/>
      </c>
      <c r="F456" s="147">
        <f>'לקוחות לפי סוכן - מקור חדש'!H98</f>
        <v/>
      </c>
      <c r="G456" s="148">
        <f>'לקוחות לפי סוכן - מקור חדש'!E98</f>
        <v/>
      </c>
      <c r="H456" s="148">
        <f>'לקוחות לפי סוכן - מקור חדש'!G98</f>
        <v/>
      </c>
      <c r="I456" s="149" t="inlineStr">
        <is>
          <t>מכירות 25-26 לפי לקוח-סוכן</t>
        </is>
      </c>
      <c r="J456" s="149" t="inlineStr">
        <is>
          <t>חדש — לא היה ב-מקור</t>
        </is>
      </c>
    </row>
    <row r="457" ht="15" customHeight="1" s="82">
      <c r="A457" s="149">
        <f>'לקוחות לפי סוכן - מקור חדש'!B102</f>
        <v/>
      </c>
      <c r="B457" s="149">
        <f>'לקוחות לפי סוכן - מקור חדש'!C102</f>
        <v/>
      </c>
      <c r="C457" s="149" t="n"/>
      <c r="D457" s="149">
        <f>TRIM('לקוחות לפי סוכן - מקור חדש'!D102)</f>
        <v/>
      </c>
      <c r="E457" s="147">
        <f>'לקוחות לפי סוכן - מקור חדש'!F102</f>
        <v/>
      </c>
      <c r="F457" s="147">
        <f>'לקוחות לפי סוכן - מקור חדש'!H102</f>
        <v/>
      </c>
      <c r="G457" s="148">
        <f>'לקוחות לפי סוכן - מקור חדש'!E102</f>
        <v/>
      </c>
      <c r="H457" s="148">
        <f>'לקוחות לפי סוכן - מקור חדש'!G102</f>
        <v/>
      </c>
      <c r="I457" s="149" t="inlineStr">
        <is>
          <t>מכירות 25-26 לפי לקוח-סוכן</t>
        </is>
      </c>
      <c r="J457" s="149" t="inlineStr">
        <is>
          <t>חדש — לא היה ב-מקור</t>
        </is>
      </c>
    </row>
    <row r="458" ht="15" customHeight="1" s="82">
      <c r="A458" s="149">
        <f>'לקוחות לפי סוכן - מקור חדש'!B103</f>
        <v/>
      </c>
      <c r="B458" s="149">
        <f>'לקוחות לפי סוכן - מקור חדש'!C103</f>
        <v/>
      </c>
      <c r="C458" s="149" t="n"/>
      <c r="D458" s="149">
        <f>TRIM('לקוחות לפי סוכן - מקור חדש'!D103)</f>
        <v/>
      </c>
      <c r="E458" s="147">
        <f>'לקוחות לפי סוכן - מקור חדש'!F103</f>
        <v/>
      </c>
      <c r="F458" s="147">
        <f>'לקוחות לפי סוכן - מקור חדש'!H103</f>
        <v/>
      </c>
      <c r="G458" s="148">
        <f>'לקוחות לפי סוכן - מקור חדש'!E103</f>
        <v/>
      </c>
      <c r="H458" s="148">
        <f>'לקוחות לפי סוכן - מקור חדש'!G103</f>
        <v/>
      </c>
      <c r="I458" s="149" t="inlineStr">
        <is>
          <t>מכירות 25-26 לפי לקוח-סוכן</t>
        </is>
      </c>
      <c r="J458" s="149" t="inlineStr">
        <is>
          <t>חדש — לא היה ב-מקור</t>
        </is>
      </c>
    </row>
    <row r="459" ht="15" customHeight="1" s="82">
      <c r="A459" s="149">
        <f>'לקוחות לפי סוכן - מקור חדש'!B123</f>
        <v/>
      </c>
      <c r="B459" s="149">
        <f>'לקוחות לפי סוכן - מקור חדש'!C123</f>
        <v/>
      </c>
      <c r="C459" s="149" t="n"/>
      <c r="D459" s="149">
        <f>TRIM('לקוחות לפי סוכן - מקור חדש'!D123)</f>
        <v/>
      </c>
      <c r="E459" s="147">
        <f>'לקוחות לפי סוכן - מקור חדש'!F123</f>
        <v/>
      </c>
      <c r="F459" s="147">
        <f>'לקוחות לפי סוכן - מקור חדש'!H123</f>
        <v/>
      </c>
      <c r="G459" s="148">
        <f>'לקוחות לפי סוכן - מקור חדש'!E123</f>
        <v/>
      </c>
      <c r="H459" s="148">
        <f>'לקוחות לפי סוכן - מקור חדש'!G123</f>
        <v/>
      </c>
      <c r="I459" s="149" t="inlineStr">
        <is>
          <t>מכירות 25-26 לפי לקוח-סוכן</t>
        </is>
      </c>
      <c r="J459" s="149" t="inlineStr">
        <is>
          <t>חדש — לא היה ב-מקור</t>
        </is>
      </c>
    </row>
    <row r="460" ht="15" customHeight="1" s="82">
      <c r="A460" s="149">
        <f>'לקוחות לפי סוכן - מקור חדש'!B129</f>
        <v/>
      </c>
      <c r="B460" s="149">
        <f>'לקוחות לפי סוכן - מקור חדש'!C129</f>
        <v/>
      </c>
      <c r="C460" s="149" t="n"/>
      <c r="D460" s="149">
        <f>TRIM('לקוחות לפי סוכן - מקור חדש'!D129)</f>
        <v/>
      </c>
      <c r="E460" s="147">
        <f>'לקוחות לפי סוכן - מקור חדש'!F129</f>
        <v/>
      </c>
      <c r="F460" s="147">
        <f>'לקוחות לפי סוכן - מקור חדש'!H129</f>
        <v/>
      </c>
      <c r="G460" s="148">
        <f>'לקוחות לפי סוכן - מקור חדש'!E129</f>
        <v/>
      </c>
      <c r="H460" s="148">
        <f>'לקוחות לפי סוכן - מקור חדש'!G129</f>
        <v/>
      </c>
      <c r="I460" s="149" t="inlineStr">
        <is>
          <t>מכירות 25-26 לפי לקוח-סוכן</t>
        </is>
      </c>
      <c r="J460" s="149" t="inlineStr">
        <is>
          <t>חדש — לא היה ב-מקור</t>
        </is>
      </c>
    </row>
    <row r="461" ht="15" customHeight="1" s="82">
      <c r="A461" s="149">
        <f>'לקוחות לפי סוכן - מקור חדש'!B131</f>
        <v/>
      </c>
      <c r="B461" s="149">
        <f>'לקוחות לפי סוכן - מקור חדש'!C131</f>
        <v/>
      </c>
      <c r="C461" s="149" t="n"/>
      <c r="D461" s="149">
        <f>TRIM('לקוחות לפי סוכן - מקור חדש'!D131)</f>
        <v/>
      </c>
      <c r="E461" s="147">
        <f>'לקוחות לפי סוכן - מקור חדש'!F131</f>
        <v/>
      </c>
      <c r="F461" s="147">
        <f>'לקוחות לפי סוכן - מקור חדש'!H131</f>
        <v/>
      </c>
      <c r="G461" s="148">
        <f>'לקוחות לפי סוכן - מקור חדש'!E131</f>
        <v/>
      </c>
      <c r="H461" s="148">
        <f>'לקוחות לפי סוכן - מקור חדש'!G131</f>
        <v/>
      </c>
      <c r="I461" s="149" t="inlineStr">
        <is>
          <t>מכירות 25-26 לפי לקוח-סוכן</t>
        </is>
      </c>
      <c r="J461" s="149" t="inlineStr">
        <is>
          <t>חדש — לא היה ב-מקור</t>
        </is>
      </c>
    </row>
    <row r="462" ht="15" customHeight="1" s="82">
      <c r="A462" s="149">
        <f>'לקוחות לפי סוכן - מקור חדש'!B132</f>
        <v/>
      </c>
      <c r="B462" s="149">
        <f>'לקוחות לפי סוכן - מקור חדש'!C132</f>
        <v/>
      </c>
      <c r="C462" s="149" t="n"/>
      <c r="D462" s="149">
        <f>TRIM('לקוחות לפי סוכן - מקור חדש'!D132)</f>
        <v/>
      </c>
      <c r="E462" s="147">
        <f>'לקוחות לפי סוכן - מקור חדש'!F132</f>
        <v/>
      </c>
      <c r="F462" s="147">
        <f>'לקוחות לפי סוכן - מקור חדש'!H132</f>
        <v/>
      </c>
      <c r="G462" s="148">
        <f>'לקוחות לפי סוכן - מקור חדש'!E132</f>
        <v/>
      </c>
      <c r="H462" s="148">
        <f>'לקוחות לפי סוכן - מקור חדש'!G132</f>
        <v/>
      </c>
      <c r="I462" s="149" t="inlineStr">
        <is>
          <t>מכירות 25-26 לפי לקוח-סוכן</t>
        </is>
      </c>
      <c r="J462" s="149" t="inlineStr">
        <is>
          <t>חדש — לא היה ב-מקור</t>
        </is>
      </c>
    </row>
    <row r="463" ht="15" customHeight="1" s="82">
      <c r="A463" s="149">
        <f>'לקוחות לפי סוכן - מקור חדש'!B133</f>
        <v/>
      </c>
      <c r="B463" s="149">
        <f>'לקוחות לפי סוכן - מקור חדש'!C133</f>
        <v/>
      </c>
      <c r="C463" s="149" t="n"/>
      <c r="D463" s="149">
        <f>TRIM('לקוחות לפי סוכן - מקור חדש'!D133)</f>
        <v/>
      </c>
      <c r="E463" s="147">
        <f>'לקוחות לפי סוכן - מקור חדש'!F133</f>
        <v/>
      </c>
      <c r="F463" s="147">
        <f>'לקוחות לפי סוכן - מקור חדש'!H133</f>
        <v/>
      </c>
      <c r="G463" s="148">
        <f>'לקוחות לפי סוכן - מקור חדש'!E133</f>
        <v/>
      </c>
      <c r="H463" s="148">
        <f>'לקוחות לפי סוכן - מקור חדש'!G133</f>
        <v/>
      </c>
      <c r="I463" s="149" t="inlineStr">
        <is>
          <t>מכירות 25-26 לפי לקוח-סוכן</t>
        </is>
      </c>
      <c r="J463" s="149" t="inlineStr">
        <is>
          <t>חדש — לא היה ב-מקור</t>
        </is>
      </c>
    </row>
    <row r="464" ht="15" customHeight="1" s="82">
      <c r="A464" s="149">
        <f>'לקוחות לפי סוכן - מקור חדש'!B134</f>
        <v/>
      </c>
      <c r="B464" s="149">
        <f>'לקוחות לפי סוכן - מקור חדש'!C134</f>
        <v/>
      </c>
      <c r="C464" s="149" t="n"/>
      <c r="D464" s="149">
        <f>TRIM('לקוחות לפי סוכן - מקור חדש'!D134)</f>
        <v/>
      </c>
      <c r="E464" s="147">
        <f>'לקוחות לפי סוכן - מקור חדש'!F134</f>
        <v/>
      </c>
      <c r="F464" s="147">
        <f>'לקוחות לפי סוכן - מקור חדש'!H134</f>
        <v/>
      </c>
      <c r="G464" s="148">
        <f>'לקוחות לפי סוכן - מקור חדש'!E134</f>
        <v/>
      </c>
      <c r="H464" s="148">
        <f>'לקוחות לפי סוכן - מקור חדש'!G134</f>
        <v/>
      </c>
      <c r="I464" s="149" t="inlineStr">
        <is>
          <t>מכירות 25-26 לפי לקוח-סוכן</t>
        </is>
      </c>
      <c r="J464" s="149" t="inlineStr">
        <is>
          <t>חדש — לא היה ב-מקור</t>
        </is>
      </c>
    </row>
    <row r="465" ht="15" customHeight="1" s="82">
      <c r="A465" s="149">
        <f>'לקוחות לפי סוכן - מקור חדש'!B136</f>
        <v/>
      </c>
      <c r="B465" s="149">
        <f>'לקוחות לפי סוכן - מקור חדש'!C136</f>
        <v/>
      </c>
      <c r="C465" s="149" t="n"/>
      <c r="D465" s="149">
        <f>TRIM('לקוחות לפי סוכן - מקור חדש'!D136)</f>
        <v/>
      </c>
      <c r="E465" s="147">
        <f>'לקוחות לפי סוכן - מקור חדש'!F136</f>
        <v/>
      </c>
      <c r="F465" s="147">
        <f>'לקוחות לפי סוכן - מקור חדש'!H136</f>
        <v/>
      </c>
      <c r="G465" s="148">
        <f>'לקוחות לפי סוכן - מקור חדש'!E136</f>
        <v/>
      </c>
      <c r="H465" s="148">
        <f>'לקוחות לפי סוכן - מקור חדש'!G136</f>
        <v/>
      </c>
      <c r="I465" s="149" t="inlineStr">
        <is>
          <t>מכירות 25-26 לפי לקוח-סוכן</t>
        </is>
      </c>
      <c r="J465" s="149" t="inlineStr">
        <is>
          <t>חדש — לא היה ב-מקור</t>
        </is>
      </c>
    </row>
    <row r="466" ht="15" customHeight="1" s="82">
      <c r="A466" s="149">
        <f>'לקוחות לפי סוכן - מקור חדש'!B155</f>
        <v/>
      </c>
      <c r="B466" s="149">
        <f>'לקוחות לפי סוכן - מקור חדש'!C155</f>
        <v/>
      </c>
      <c r="C466" s="149" t="n"/>
      <c r="D466" s="149">
        <f>TRIM('לקוחות לפי סוכן - מקור חדש'!D155)</f>
        <v/>
      </c>
      <c r="E466" s="147">
        <f>'לקוחות לפי סוכן - מקור חדש'!F155</f>
        <v/>
      </c>
      <c r="F466" s="147">
        <f>'לקוחות לפי סוכן - מקור חדש'!H155</f>
        <v/>
      </c>
      <c r="G466" s="148">
        <f>'לקוחות לפי סוכן - מקור חדש'!E155</f>
        <v/>
      </c>
      <c r="H466" s="148">
        <f>'לקוחות לפי סוכן - מקור חדש'!G155</f>
        <v/>
      </c>
      <c r="I466" s="149" t="inlineStr">
        <is>
          <t>מכירות 25-26 לפי לקוח-סוכן</t>
        </is>
      </c>
      <c r="J466" s="149" t="inlineStr">
        <is>
          <t>חדש — לא היה ב-מקור</t>
        </is>
      </c>
    </row>
    <row r="467" ht="15" customHeight="1" s="82">
      <c r="A467" s="149">
        <f>'לקוחות לפי סוכן - מקור חדש'!B156</f>
        <v/>
      </c>
      <c r="B467" s="149">
        <f>'לקוחות לפי סוכן - מקור חדש'!C156</f>
        <v/>
      </c>
      <c r="C467" s="149" t="n"/>
      <c r="D467" s="149">
        <f>TRIM('לקוחות לפי סוכן - מקור חדש'!D156)</f>
        <v/>
      </c>
      <c r="E467" s="147">
        <f>'לקוחות לפי סוכן - מקור חדש'!F156</f>
        <v/>
      </c>
      <c r="F467" s="147">
        <f>'לקוחות לפי סוכן - מקור חדש'!H156</f>
        <v/>
      </c>
      <c r="G467" s="148">
        <f>'לקוחות לפי סוכן - מקור חדש'!E156</f>
        <v/>
      </c>
      <c r="H467" s="148">
        <f>'לקוחות לפי סוכן - מקור חדש'!G156</f>
        <v/>
      </c>
      <c r="I467" s="149" t="inlineStr">
        <is>
          <t>מכירות 25-26 לפי לקוח-סוכן</t>
        </is>
      </c>
      <c r="J467" s="149" t="inlineStr">
        <is>
          <t>חדש — לא היה ב-מקור</t>
        </is>
      </c>
    </row>
    <row r="468" ht="15" customHeight="1" s="82">
      <c r="A468" s="149">
        <f>'לקוחות לפי סוכן - מקור חדש'!B157</f>
        <v/>
      </c>
      <c r="B468" s="149">
        <f>'לקוחות לפי סוכן - מקור חדש'!C157</f>
        <v/>
      </c>
      <c r="C468" s="149" t="n"/>
      <c r="D468" s="149">
        <f>TRIM('לקוחות לפי סוכן - מקור חדש'!D157)</f>
        <v/>
      </c>
      <c r="E468" s="147">
        <f>'לקוחות לפי סוכן - מקור חדש'!F157</f>
        <v/>
      </c>
      <c r="F468" s="147">
        <f>'לקוחות לפי סוכן - מקור חדש'!H157</f>
        <v/>
      </c>
      <c r="G468" s="148">
        <f>'לקוחות לפי סוכן - מקור חדש'!E157</f>
        <v/>
      </c>
      <c r="H468" s="148">
        <f>'לקוחות לפי סוכן - מקור חדש'!G157</f>
        <v/>
      </c>
      <c r="I468" s="149" t="inlineStr">
        <is>
          <t>מכירות 25-26 לפי לקוח-סוכן</t>
        </is>
      </c>
      <c r="J468" s="149" t="inlineStr">
        <is>
          <t>חדש — לא היה ב-מקור</t>
        </is>
      </c>
    </row>
    <row r="469" ht="15" customHeight="1" s="82">
      <c r="A469" s="149">
        <f>'לקוחות לפי סוכן - מקור חדש'!B158</f>
        <v/>
      </c>
      <c r="B469" s="149">
        <f>'לקוחות לפי סוכן - מקור חדש'!C158</f>
        <v/>
      </c>
      <c r="C469" s="149" t="n"/>
      <c r="D469" s="149">
        <f>TRIM('לקוחות לפי סוכן - מקור חדש'!D158)</f>
        <v/>
      </c>
      <c r="E469" s="147">
        <f>'לקוחות לפי סוכן - מקור חדש'!F158</f>
        <v/>
      </c>
      <c r="F469" s="147">
        <f>'לקוחות לפי סוכן - מקור חדש'!H158</f>
        <v/>
      </c>
      <c r="G469" s="148">
        <f>'לקוחות לפי סוכן - מקור חדש'!E158</f>
        <v/>
      </c>
      <c r="H469" s="148">
        <f>'לקוחות לפי סוכן - מקור חדש'!G158</f>
        <v/>
      </c>
      <c r="I469" s="149" t="inlineStr">
        <is>
          <t>מכירות 25-26 לפי לקוח-סוכן</t>
        </is>
      </c>
      <c r="J469" s="149" t="inlineStr">
        <is>
          <t>חדש — לא היה ב-מקור</t>
        </is>
      </c>
    </row>
    <row r="470" ht="15" customHeight="1" s="82">
      <c r="A470" s="149">
        <f>'לקוחות לפי סוכן - מקור חדש'!B165</f>
        <v/>
      </c>
      <c r="B470" s="149">
        <f>'לקוחות לפי סוכן - מקור חדש'!C165</f>
        <v/>
      </c>
      <c r="C470" s="149" t="n"/>
      <c r="D470" s="149">
        <f>TRIM('לקוחות לפי סוכן - מקור חדש'!D165)</f>
        <v/>
      </c>
      <c r="E470" s="147">
        <f>'לקוחות לפי סוכן - מקור חדש'!F165</f>
        <v/>
      </c>
      <c r="F470" s="147">
        <f>'לקוחות לפי סוכן - מקור חדש'!H165</f>
        <v/>
      </c>
      <c r="G470" s="148">
        <f>'לקוחות לפי סוכן - מקור חדש'!E165</f>
        <v/>
      </c>
      <c r="H470" s="148">
        <f>'לקוחות לפי סוכן - מקור חדש'!G165</f>
        <v/>
      </c>
      <c r="I470" s="149" t="inlineStr">
        <is>
          <t>מכירות 25-26 לפי לקוח-סוכן</t>
        </is>
      </c>
      <c r="J470" s="149" t="inlineStr">
        <is>
          <t>חדש — לא היה ב-מקור</t>
        </is>
      </c>
    </row>
    <row r="471" ht="15" customHeight="1" s="82">
      <c r="A471" s="149">
        <f>'לקוחות לפי סוכן - מקור חדש'!B167</f>
        <v/>
      </c>
      <c r="B471" s="149">
        <f>'לקוחות לפי סוכן - מקור חדש'!C167</f>
        <v/>
      </c>
      <c r="C471" s="149" t="n"/>
      <c r="D471" s="149">
        <f>TRIM('לקוחות לפי סוכן - מקור חדש'!D167)</f>
        <v/>
      </c>
      <c r="E471" s="147">
        <f>'לקוחות לפי סוכן - מקור חדש'!F167</f>
        <v/>
      </c>
      <c r="F471" s="147">
        <f>'לקוחות לפי סוכן - מקור חדש'!H167</f>
        <v/>
      </c>
      <c r="G471" s="148">
        <f>'לקוחות לפי סוכן - מקור חדש'!E167</f>
        <v/>
      </c>
      <c r="H471" s="148">
        <f>'לקוחות לפי סוכן - מקור חדש'!G167</f>
        <v/>
      </c>
      <c r="I471" s="149" t="inlineStr">
        <is>
          <t>מכירות 25-26 לפי לקוח-סוכן</t>
        </is>
      </c>
      <c r="J471" s="149" t="inlineStr">
        <is>
          <t>חדש — לא היה ב-מקור</t>
        </is>
      </c>
    </row>
    <row r="472" ht="15" customHeight="1" s="82">
      <c r="A472" s="149">
        <f>'לקוחות לפי סוכן - מקור חדש'!B225</f>
        <v/>
      </c>
      <c r="B472" s="149">
        <f>'לקוחות לפי סוכן - מקור חדש'!C225</f>
        <v/>
      </c>
      <c r="C472" s="149" t="n"/>
      <c r="D472" s="149">
        <f>TRIM('לקוחות לפי סוכן - מקור חדש'!D225)</f>
        <v/>
      </c>
      <c r="E472" s="147">
        <f>'לקוחות לפי סוכן - מקור חדש'!F225</f>
        <v/>
      </c>
      <c r="F472" s="147">
        <f>'לקוחות לפי סוכן - מקור חדש'!H225</f>
        <v/>
      </c>
      <c r="G472" s="148">
        <f>'לקוחות לפי סוכן - מקור חדש'!E225</f>
        <v/>
      </c>
      <c r="H472" s="148">
        <f>'לקוחות לפי סוכן - מקור חדש'!G225</f>
        <v/>
      </c>
      <c r="I472" s="149" t="inlineStr">
        <is>
          <t>מכירות 25-26 לפי לקוח-סוכן</t>
        </is>
      </c>
      <c r="J472" s="149" t="inlineStr">
        <is>
          <t>חדש — לא היה ב-מקור</t>
        </is>
      </c>
    </row>
    <row r="473" ht="15" customHeight="1" s="82">
      <c r="A473" s="149">
        <f>'לקוחות לפי סוכן - מקור חדש'!B244</f>
        <v/>
      </c>
      <c r="B473" s="149">
        <f>'לקוחות לפי סוכן - מקור חדש'!C244</f>
        <v/>
      </c>
      <c r="C473" s="149" t="n"/>
      <c r="D473" s="149">
        <f>TRIM('לקוחות לפי סוכן - מקור חדש'!D244)</f>
        <v/>
      </c>
      <c r="E473" s="147">
        <f>'לקוחות לפי סוכן - מקור חדש'!F244</f>
        <v/>
      </c>
      <c r="F473" s="147">
        <f>'לקוחות לפי סוכן - מקור חדש'!H244</f>
        <v/>
      </c>
      <c r="G473" s="148">
        <f>'לקוחות לפי סוכן - מקור חדש'!E244</f>
        <v/>
      </c>
      <c r="H473" s="148">
        <f>'לקוחות לפי סוכן - מקור חדש'!G244</f>
        <v/>
      </c>
      <c r="I473" s="149" t="inlineStr">
        <is>
          <t>מכירות 25-26 לפי לקוח-סוכן</t>
        </is>
      </c>
      <c r="J473" s="149" t="inlineStr">
        <is>
          <t>חדש — לא היה ב-מקור</t>
        </is>
      </c>
    </row>
    <row r="474" ht="15" customHeight="1" s="82">
      <c r="A474" s="149">
        <f>'לקוחות לפי סוכן - מקור חדש'!B249</f>
        <v/>
      </c>
      <c r="B474" s="149">
        <f>'לקוחות לפי סוכן - מקור חדש'!C249</f>
        <v/>
      </c>
      <c r="C474" s="149" t="n"/>
      <c r="D474" s="149">
        <f>TRIM('לקוחות לפי סוכן - מקור חדש'!D249)</f>
        <v/>
      </c>
      <c r="E474" s="147">
        <f>'לקוחות לפי סוכן - מקור חדש'!F249</f>
        <v/>
      </c>
      <c r="F474" s="147">
        <f>'לקוחות לפי סוכן - מקור חדש'!H249</f>
        <v/>
      </c>
      <c r="G474" s="148">
        <f>'לקוחות לפי סוכן - מקור חדש'!E249</f>
        <v/>
      </c>
      <c r="H474" s="148">
        <f>'לקוחות לפי סוכן - מקור חדש'!G249</f>
        <v/>
      </c>
      <c r="I474" s="149" t="inlineStr">
        <is>
          <t>מכירות 25-26 לפי לקוח-סוכן</t>
        </is>
      </c>
      <c r="J474" s="149" t="inlineStr">
        <is>
          <t>חדש — לא היה ב-מקור</t>
        </is>
      </c>
    </row>
    <row r="475" ht="15" customHeight="1" s="82">
      <c r="A475" s="149">
        <f>'לקוחות לפי סוכן - מקור חדש'!B250</f>
        <v/>
      </c>
      <c r="B475" s="149">
        <f>'לקוחות לפי סוכן - מקור חדש'!C250</f>
        <v/>
      </c>
      <c r="C475" s="149" t="n"/>
      <c r="D475" s="149">
        <f>TRIM('לקוחות לפי סוכן - מקור חדש'!D250)</f>
        <v/>
      </c>
      <c r="E475" s="147">
        <f>'לקוחות לפי סוכן - מקור חדש'!F250</f>
        <v/>
      </c>
      <c r="F475" s="147">
        <f>'לקוחות לפי סוכן - מקור חדש'!H250</f>
        <v/>
      </c>
      <c r="G475" s="148">
        <f>'לקוחות לפי סוכן - מקור חדש'!E250</f>
        <v/>
      </c>
      <c r="H475" s="148">
        <f>'לקוחות לפי סוכן - מקור חדש'!G250</f>
        <v/>
      </c>
      <c r="I475" s="149" t="inlineStr">
        <is>
          <t>מכירות 25-26 לפי לקוח-סוכן</t>
        </is>
      </c>
      <c r="J475" s="149" t="inlineStr">
        <is>
          <t>חדש — לא היה ב-מקור</t>
        </is>
      </c>
    </row>
    <row r="476" ht="15" customHeight="1" s="82">
      <c r="A476" s="149">
        <f>'לקוחות לפי סוכן - מקור חדש'!B251</f>
        <v/>
      </c>
      <c r="B476" s="149">
        <f>'לקוחות לפי סוכן - מקור חדש'!C251</f>
        <v/>
      </c>
      <c r="C476" s="149" t="n"/>
      <c r="D476" s="149">
        <f>TRIM('לקוחות לפי סוכן - מקור חדש'!D251)</f>
        <v/>
      </c>
      <c r="E476" s="147">
        <f>'לקוחות לפי סוכן - מקור חדש'!F251</f>
        <v/>
      </c>
      <c r="F476" s="147">
        <f>'לקוחות לפי סוכן - מקור חדש'!H251</f>
        <v/>
      </c>
      <c r="G476" s="148">
        <f>'לקוחות לפי סוכן - מקור חדש'!E251</f>
        <v/>
      </c>
      <c r="H476" s="148">
        <f>'לקוחות לפי סוכן - מקור חדש'!G251</f>
        <v/>
      </c>
      <c r="I476" s="149" t="inlineStr">
        <is>
          <t>מכירות 25-26 לפי לקוח-סוכן</t>
        </is>
      </c>
      <c r="J476" s="149" t="inlineStr">
        <is>
          <t>חדש — לא היה ב-מקור</t>
        </is>
      </c>
    </row>
    <row r="477" ht="15" customHeight="1" s="82">
      <c r="A477" s="149">
        <f>'לקוחות לפי סוכן - מקור חדש'!B256</f>
        <v/>
      </c>
      <c r="B477" s="149">
        <f>'לקוחות לפי סוכן - מקור חדש'!C256</f>
        <v/>
      </c>
      <c r="C477" s="149" t="n"/>
      <c r="D477" s="149">
        <f>TRIM('לקוחות לפי סוכן - מקור חדש'!D256)</f>
        <v/>
      </c>
      <c r="E477" s="147">
        <f>'לקוחות לפי סוכן - מקור חדש'!F256</f>
        <v/>
      </c>
      <c r="F477" s="147">
        <f>'לקוחות לפי סוכן - מקור חדש'!H256</f>
        <v/>
      </c>
      <c r="G477" s="148">
        <f>'לקוחות לפי סוכן - מקור חדש'!E256</f>
        <v/>
      </c>
      <c r="H477" s="148">
        <f>'לקוחות לפי סוכן - מקור חדש'!G256</f>
        <v/>
      </c>
      <c r="I477" s="149" t="inlineStr">
        <is>
          <t>מכירות 25-26 לפי לקוח-סוכן</t>
        </is>
      </c>
      <c r="J477" s="149" t="inlineStr">
        <is>
          <t>חדש — לא היה ב-מקור</t>
        </is>
      </c>
    </row>
    <row r="478" ht="15" customHeight="1" s="82">
      <c r="A478" s="149">
        <f>'לקוחות לפי סוכן - מקור חדש'!B263</f>
        <v/>
      </c>
      <c r="B478" s="149">
        <f>'לקוחות לפי סוכן - מקור חדש'!C263</f>
        <v/>
      </c>
      <c r="C478" s="149" t="n"/>
      <c r="D478" s="149">
        <f>TRIM('לקוחות לפי סוכן - מקור חדש'!D263)</f>
        <v/>
      </c>
      <c r="E478" s="147">
        <f>'לקוחות לפי סוכן - מקור חדש'!F263</f>
        <v/>
      </c>
      <c r="F478" s="147">
        <f>'לקוחות לפי סוכן - מקור חדש'!H263</f>
        <v/>
      </c>
      <c r="G478" s="148">
        <f>'לקוחות לפי סוכן - מקור חדש'!E263</f>
        <v/>
      </c>
      <c r="H478" s="148">
        <f>'לקוחות לפי סוכן - מקור חדש'!G263</f>
        <v/>
      </c>
      <c r="I478" s="149" t="inlineStr">
        <is>
          <t>מכירות 25-26 לפי לקוח-סוכן</t>
        </is>
      </c>
      <c r="J478" s="149" t="inlineStr">
        <is>
          <t>חדש — לא היה ב-מקור</t>
        </is>
      </c>
    </row>
    <row r="479" ht="15" customHeight="1" s="82">
      <c r="A479" s="149">
        <f>'לקוחות לפי סוכן - מקור חדש'!B275</f>
        <v/>
      </c>
      <c r="B479" s="149">
        <f>'לקוחות לפי סוכן - מקור חדש'!C275</f>
        <v/>
      </c>
      <c r="C479" s="149" t="n"/>
      <c r="D479" s="149">
        <f>TRIM('לקוחות לפי סוכן - מקור חדש'!D275)</f>
        <v/>
      </c>
      <c r="E479" s="147">
        <f>'לקוחות לפי סוכן - מקור חדש'!F275</f>
        <v/>
      </c>
      <c r="F479" s="147">
        <f>'לקוחות לפי סוכן - מקור חדש'!H275</f>
        <v/>
      </c>
      <c r="G479" s="148">
        <f>'לקוחות לפי סוכן - מקור חדש'!E275</f>
        <v/>
      </c>
      <c r="H479" s="148">
        <f>'לקוחות לפי סוכן - מקור חדש'!G275</f>
        <v/>
      </c>
      <c r="I479" s="149" t="inlineStr">
        <is>
          <t>מכירות 25-26 לפי לקוח-סוכן</t>
        </is>
      </c>
      <c r="J479" s="149" t="inlineStr">
        <is>
          <t>חדש — לא היה ב-מקור</t>
        </is>
      </c>
    </row>
    <row r="480" ht="15" customHeight="1" s="82">
      <c r="A480" s="149">
        <f>'לקוחות לפי סוכן - מקור חדש'!B278</f>
        <v/>
      </c>
      <c r="B480" s="149">
        <f>'לקוחות לפי סוכן - מקור חדש'!C278</f>
        <v/>
      </c>
      <c r="C480" s="149" t="n"/>
      <c r="D480" s="149">
        <f>TRIM('לקוחות לפי סוכן - מקור חדש'!D278)</f>
        <v/>
      </c>
      <c r="E480" s="147">
        <f>'לקוחות לפי סוכן - מקור חדש'!F278</f>
        <v/>
      </c>
      <c r="F480" s="147">
        <f>'לקוחות לפי סוכן - מקור חדש'!H278</f>
        <v/>
      </c>
      <c r="G480" s="148">
        <f>'לקוחות לפי סוכן - מקור חדש'!E278</f>
        <v/>
      </c>
      <c r="H480" s="148">
        <f>'לקוחות לפי סוכן - מקור חדש'!G278</f>
        <v/>
      </c>
      <c r="I480" s="149" t="inlineStr">
        <is>
          <t>מכירות 25-26 לפי לקוח-סוכן</t>
        </is>
      </c>
      <c r="J480" s="149" t="inlineStr">
        <is>
          <t>חדש — לא היה ב-מקור</t>
        </is>
      </c>
    </row>
    <row r="481" ht="15" customHeight="1" s="82">
      <c r="A481" s="149">
        <f>'לקוחות לפי סוכן - מקור חדש'!B279</f>
        <v/>
      </c>
      <c r="B481" s="149">
        <f>'לקוחות לפי סוכן - מקור חדש'!C279</f>
        <v/>
      </c>
      <c r="C481" s="149" t="n"/>
      <c r="D481" s="149">
        <f>TRIM('לקוחות לפי סוכן - מקור חדש'!D279)</f>
        <v/>
      </c>
      <c r="E481" s="147">
        <f>'לקוחות לפי סוכן - מקור חדש'!F279</f>
        <v/>
      </c>
      <c r="F481" s="147">
        <f>'לקוחות לפי סוכן - מקור חדש'!H279</f>
        <v/>
      </c>
      <c r="G481" s="148">
        <f>'לקוחות לפי סוכן - מקור חדש'!E279</f>
        <v/>
      </c>
      <c r="H481" s="148">
        <f>'לקוחות לפי סוכן - מקור חדש'!G279</f>
        <v/>
      </c>
      <c r="I481" s="149" t="inlineStr">
        <is>
          <t>מכירות 25-26 לפי לקוח-סוכן</t>
        </is>
      </c>
      <c r="J481" s="149" t="inlineStr">
        <is>
          <t>חדש — לא היה ב-מקור</t>
        </is>
      </c>
    </row>
    <row r="482" ht="15" customHeight="1" s="82">
      <c r="A482" s="149">
        <f>'לקוחות לפי סוכן - מקור חדש'!B281</f>
        <v/>
      </c>
      <c r="B482" s="149">
        <f>'לקוחות לפי סוכן - מקור חדש'!C281</f>
        <v/>
      </c>
      <c r="C482" s="149" t="n"/>
      <c r="D482" s="149">
        <f>TRIM('לקוחות לפי סוכן - מקור חדש'!D281)</f>
        <v/>
      </c>
      <c r="E482" s="147">
        <f>'לקוחות לפי סוכן - מקור חדש'!F281</f>
        <v/>
      </c>
      <c r="F482" s="147">
        <f>'לקוחות לפי סוכן - מקור חדש'!H281</f>
        <v/>
      </c>
      <c r="G482" s="148">
        <f>'לקוחות לפי סוכן - מקור חדש'!E281</f>
        <v/>
      </c>
      <c r="H482" s="148">
        <f>'לקוחות לפי סוכן - מקור חדש'!G281</f>
        <v/>
      </c>
      <c r="I482" s="149" t="inlineStr">
        <is>
          <t>מכירות 25-26 לפי לקוח-סוכן</t>
        </is>
      </c>
      <c r="J482" s="149" t="inlineStr">
        <is>
          <t>חדש — לא היה ב-מקור</t>
        </is>
      </c>
    </row>
    <row r="483" ht="15" customHeight="1" s="82">
      <c r="A483" s="149">
        <f>'לקוחות לפי סוכן - מקור חדש'!B288</f>
        <v/>
      </c>
      <c r="B483" s="149">
        <f>'לקוחות לפי סוכן - מקור חדש'!C288</f>
        <v/>
      </c>
      <c r="C483" s="149" t="n"/>
      <c r="D483" s="149">
        <f>TRIM('לקוחות לפי סוכן - מקור חדש'!D288)</f>
        <v/>
      </c>
      <c r="E483" s="147">
        <f>'לקוחות לפי סוכן - מקור חדש'!F288</f>
        <v/>
      </c>
      <c r="F483" s="147">
        <f>'לקוחות לפי סוכן - מקור חדש'!H288</f>
        <v/>
      </c>
      <c r="G483" s="148">
        <f>'לקוחות לפי סוכן - מקור חדש'!E288</f>
        <v/>
      </c>
      <c r="H483" s="148">
        <f>'לקוחות לפי סוכן - מקור חדש'!G288</f>
        <v/>
      </c>
      <c r="I483" s="149" t="inlineStr">
        <is>
          <t>מכירות 25-26 לפי לקוח-סוכן</t>
        </is>
      </c>
      <c r="J483" s="149" t="inlineStr">
        <is>
          <t>חדש — לא היה ב-מקור</t>
        </is>
      </c>
    </row>
    <row r="484" ht="15" customHeight="1" s="82">
      <c r="A484" s="149">
        <f>'לקוחות לפי סוכן - מקור חדש'!B289</f>
        <v/>
      </c>
      <c r="B484" s="149">
        <f>'לקוחות לפי סוכן - מקור חדש'!C289</f>
        <v/>
      </c>
      <c r="C484" s="149" t="n"/>
      <c r="D484" s="149">
        <f>TRIM('לקוחות לפי סוכן - מקור חדש'!D289)</f>
        <v/>
      </c>
      <c r="E484" s="147">
        <f>'לקוחות לפי סוכן - מקור חדש'!F289</f>
        <v/>
      </c>
      <c r="F484" s="147">
        <f>'לקוחות לפי סוכן - מקור חדש'!H289</f>
        <v/>
      </c>
      <c r="G484" s="148">
        <f>'לקוחות לפי סוכן - מקור חדש'!E289</f>
        <v/>
      </c>
      <c r="H484" s="148">
        <f>'לקוחות לפי סוכן - מקור חדש'!G289</f>
        <v/>
      </c>
      <c r="I484" s="149" t="inlineStr">
        <is>
          <t>מכירות 25-26 לפי לקוח-סוכן</t>
        </is>
      </c>
      <c r="J484" s="149" t="inlineStr">
        <is>
          <t>חדש — לא היה ב-מקור</t>
        </is>
      </c>
    </row>
    <row r="485" ht="15" customHeight="1" s="82">
      <c r="A485" s="149">
        <f>'לקוחות לפי סוכן - מקור חדש'!B290</f>
        <v/>
      </c>
      <c r="B485" s="149">
        <f>'לקוחות לפי סוכן - מקור חדש'!C290</f>
        <v/>
      </c>
      <c r="C485" s="149" t="n"/>
      <c r="D485" s="149">
        <f>TRIM('לקוחות לפי סוכן - מקור חדש'!D290)</f>
        <v/>
      </c>
      <c r="E485" s="147">
        <f>'לקוחות לפי סוכן - מקור חדש'!F290</f>
        <v/>
      </c>
      <c r="F485" s="147">
        <f>'לקוחות לפי סוכן - מקור חדש'!H290</f>
        <v/>
      </c>
      <c r="G485" s="148">
        <f>'לקוחות לפי סוכן - מקור חדש'!E290</f>
        <v/>
      </c>
      <c r="H485" s="148">
        <f>'לקוחות לפי סוכן - מקור חדש'!G290</f>
        <v/>
      </c>
      <c r="I485" s="149" t="inlineStr">
        <is>
          <t>מכירות 25-26 לפי לקוח-סוכן</t>
        </is>
      </c>
      <c r="J485" s="149" t="inlineStr">
        <is>
          <t>חדש — לא היה ב-מקור</t>
        </is>
      </c>
    </row>
    <row r="486" ht="15" customHeight="1" s="82">
      <c r="A486" s="149">
        <f>'לקוחות לפי סוכן - מקור חדש'!B291</f>
        <v/>
      </c>
      <c r="B486" s="149">
        <f>'לקוחות לפי סוכן - מקור חדש'!C291</f>
        <v/>
      </c>
      <c r="C486" s="149" t="n"/>
      <c r="D486" s="149">
        <f>TRIM('לקוחות לפי סוכן - מקור חדש'!D291)</f>
        <v/>
      </c>
      <c r="E486" s="147">
        <f>'לקוחות לפי סוכן - מקור חדש'!F291</f>
        <v/>
      </c>
      <c r="F486" s="147">
        <f>'לקוחות לפי סוכן - מקור חדש'!H291</f>
        <v/>
      </c>
      <c r="G486" s="148">
        <f>'לקוחות לפי סוכן - מקור חדש'!E291</f>
        <v/>
      </c>
      <c r="H486" s="148">
        <f>'לקוחות לפי סוכן - מקור חדש'!G291</f>
        <v/>
      </c>
      <c r="I486" s="149" t="inlineStr">
        <is>
          <t>מכירות 25-26 לפי לקוח-סוכן</t>
        </is>
      </c>
      <c r="J486" s="149" t="inlineStr">
        <is>
          <t>חדש — לא היה ב-מקור</t>
        </is>
      </c>
    </row>
    <row r="487" ht="15" customHeight="1" s="82">
      <c r="A487" s="149">
        <f>'לקוחות לפי סוכן - מקור חדש'!B372</f>
        <v/>
      </c>
      <c r="B487" s="149">
        <f>'לקוחות לפי סוכן - מקור חדש'!C372</f>
        <v/>
      </c>
      <c r="C487" s="149" t="n"/>
      <c r="D487" s="149">
        <f>TRIM('לקוחות לפי סוכן - מקור חדש'!D372)</f>
        <v/>
      </c>
      <c r="E487" s="147">
        <f>'לקוחות לפי סוכן - מקור חדש'!F372</f>
        <v/>
      </c>
      <c r="F487" s="147">
        <f>'לקוחות לפי סוכן - מקור חדש'!H372</f>
        <v/>
      </c>
      <c r="G487" s="148">
        <f>'לקוחות לפי סוכן - מקור חדש'!E372</f>
        <v/>
      </c>
      <c r="H487" s="148">
        <f>'לקוחות לפי סוכן - מקור חדש'!G372</f>
        <v/>
      </c>
      <c r="I487" s="149" t="inlineStr">
        <is>
          <t>מכירות 25-26 לפי לקוח-סוכן</t>
        </is>
      </c>
      <c r="J487" s="149" t="inlineStr">
        <is>
          <t>חדש — לא היה ב-מקור</t>
        </is>
      </c>
    </row>
    <row r="488" ht="15" customHeight="1" s="82">
      <c r="A488" s="150">
        <f>'לקוחות לפי סוכן - מקור חדש'!B265</f>
        <v/>
      </c>
      <c r="B488" s="150">
        <f>'לקוחות לפי סוכן - מקור חדש'!C265</f>
        <v/>
      </c>
      <c r="C488" s="150" t="n"/>
      <c r="D488" s="150">
        <f>TRIM('לקוחות לפי סוכן - מקור חדש'!D265)</f>
        <v/>
      </c>
      <c r="E488" s="151">
        <f>'לקוחות לפי סוכן - מקור חדש'!F265</f>
        <v/>
      </c>
      <c r="F488" s="151">
        <f>'לקוחות לפי סוכן - מקור חדש'!H265</f>
        <v/>
      </c>
      <c r="G488" s="152">
        <f>'לקוחות לפי סוכן - מקור חדש'!E265</f>
        <v/>
      </c>
      <c r="H488" s="152">
        <f>'לקוחות לפי סוכן - מקור חדש'!G265</f>
        <v/>
      </c>
      <c r="I488" s="150" t="inlineStr">
        <is>
          <t>מכירות 25-26 לפי לקוח-סוכן</t>
        </is>
      </c>
      <c r="J488" s="150" t="inlineStr">
        <is>
          <t>התאמה לא ודאית — לבדיקת המשתמש</t>
        </is>
      </c>
    </row>
    <row r="490" ht="15" customHeight="1" s="82">
      <c r="A490" s="143" t="inlineStr">
        <is>
          <t>חיים ויצמן</t>
        </is>
      </c>
      <c r="B490" s="144" t="n"/>
      <c r="C490" s="144" t="n"/>
      <c r="D490" s="143" t="inlineStr">
        <is>
          <t>סה"כ 215 חנויות</t>
        </is>
      </c>
      <c r="E490" s="145">
        <f>SUM(E491:E705)</f>
        <v/>
      </c>
      <c r="F490" s="145">
        <f>SUM(F491:F705)</f>
        <v/>
      </c>
      <c r="G490" s="146">
        <f>SUM(G491:G705)</f>
        <v/>
      </c>
      <c r="H490" s="146">
        <f>SUM(H491:H705)</f>
        <v/>
      </c>
      <c r="I490" s="143" t="inlineStr">
        <is>
          <t>שני המקורות (מאוחד)</t>
        </is>
      </c>
      <c r="J490" s="144" t="n"/>
    </row>
    <row r="491" ht="15" customHeight="1" s="82">
      <c r="A491" s="139">
        <f>'לקוחות לפי סוכן - מקור'!A453</f>
        <v/>
      </c>
      <c r="B491" s="139">
        <f>'לקוחות לפי סוכן - מקור'!C453</f>
        <v/>
      </c>
      <c r="C491" s="139">
        <f>'לקוחות לפי סוכן - מקור'!D453</f>
        <v/>
      </c>
      <c r="D491" s="139">
        <f>'לקוחות לפי סוכן - מקור'!E453</f>
        <v/>
      </c>
      <c r="E491" s="147">
        <f>'לקוחות לפי סוכן - מקור'!F453</f>
        <v/>
      </c>
      <c r="F491" s="147">
        <f>'לקוחות לפי סוכן - מקור'!G453</f>
        <v/>
      </c>
      <c r="G491" s="148">
        <f>'לקוחות לפי סוכן - מקור'!H453</f>
        <v/>
      </c>
      <c r="H491" s="148">
        <f>'לקוחות לפי סוכן - מקור'!I453</f>
        <v/>
      </c>
      <c r="I491" s="139">
        <f>'לקוחות לפי סוכן - מקור'!K453</f>
        <v/>
      </c>
      <c r="J491" s="139" t="inlineStr">
        <is>
          <t>קיים במקור</t>
        </is>
      </c>
    </row>
    <row r="492" ht="15" customHeight="1" s="82">
      <c r="A492" s="139">
        <f>'לקוחות לפי סוכן - מקור'!A454</f>
        <v/>
      </c>
      <c r="B492" s="139">
        <f>'לקוחות לפי סוכן - מקור'!C454</f>
        <v/>
      </c>
      <c r="C492" s="139">
        <f>'לקוחות לפי סוכן - מקור'!D454</f>
        <v/>
      </c>
      <c r="D492" s="139">
        <f>'לקוחות לפי סוכן - מקור'!E454</f>
        <v/>
      </c>
      <c r="E492" s="147">
        <f>'לקוחות לפי סוכן - מקור'!F454</f>
        <v/>
      </c>
      <c r="F492" s="147">
        <f>'לקוחות לפי סוכן - מקור'!G454</f>
        <v/>
      </c>
      <c r="G492" s="148">
        <f>'לקוחות לפי סוכן - מקור'!H454</f>
        <v/>
      </c>
      <c r="H492" s="148">
        <f>'לקוחות לפי סוכן - מקור'!I454</f>
        <v/>
      </c>
      <c r="I492" s="139">
        <f>'לקוחות לפי סוכן - מקור'!K454</f>
        <v/>
      </c>
      <c r="J492" s="139" t="inlineStr">
        <is>
          <t>קיים במקור</t>
        </is>
      </c>
    </row>
    <row r="493" ht="15" customHeight="1" s="82">
      <c r="A493" s="139">
        <f>'לקוחות לפי סוכן - מקור'!A455</f>
        <v/>
      </c>
      <c r="B493" s="139">
        <f>'לקוחות לפי סוכן - מקור'!C455</f>
        <v/>
      </c>
      <c r="C493" s="139">
        <f>'לקוחות לפי סוכן - מקור'!D455</f>
        <v/>
      </c>
      <c r="D493" s="139">
        <f>'לקוחות לפי סוכן - מקור'!E455</f>
        <v/>
      </c>
      <c r="E493" s="147">
        <f>'לקוחות לפי סוכן - מקור'!F455</f>
        <v/>
      </c>
      <c r="F493" s="147">
        <f>'לקוחות לפי סוכן - מקור'!G455</f>
        <v/>
      </c>
      <c r="G493" s="148">
        <f>'לקוחות לפי סוכן - מקור'!H455</f>
        <v/>
      </c>
      <c r="H493" s="148">
        <f>'לקוחות לפי סוכן - מקור'!I455</f>
        <v/>
      </c>
      <c r="I493" s="139">
        <f>'לקוחות לפי סוכן - מקור'!K455</f>
        <v/>
      </c>
      <c r="J493" s="139" t="inlineStr">
        <is>
          <t>קיים במקור</t>
        </is>
      </c>
    </row>
    <row r="494" ht="15" customHeight="1" s="82">
      <c r="A494" s="139">
        <f>'לקוחות לפי סוכן - מקור'!A456</f>
        <v/>
      </c>
      <c r="B494" s="139">
        <f>'לקוחות לפי סוכן - מקור'!C456</f>
        <v/>
      </c>
      <c r="C494" s="139">
        <f>'לקוחות לפי סוכן - מקור'!D456</f>
        <v/>
      </c>
      <c r="D494" s="139">
        <f>'לקוחות לפי סוכן - מקור'!E456</f>
        <v/>
      </c>
      <c r="E494" s="147">
        <f>'לקוחות לפי סוכן - מקור'!F456</f>
        <v/>
      </c>
      <c r="F494" s="147">
        <f>'לקוחות לפי סוכן - מקור'!G456</f>
        <v/>
      </c>
      <c r="G494" s="148">
        <f>'לקוחות לפי סוכן - מקור'!H456</f>
        <v/>
      </c>
      <c r="H494" s="148">
        <f>'לקוחות לפי סוכן - מקור'!I456</f>
        <v/>
      </c>
      <c r="I494" s="139">
        <f>'לקוחות לפי סוכן - מקור'!K456</f>
        <v/>
      </c>
      <c r="J494" s="139" t="inlineStr">
        <is>
          <t>קיים במקור</t>
        </is>
      </c>
    </row>
    <row r="495" ht="15" customHeight="1" s="82">
      <c r="A495" s="139">
        <f>'לקוחות לפי סוכן - מקור'!A457</f>
        <v/>
      </c>
      <c r="B495" s="139">
        <f>'לקוחות לפי סוכן - מקור'!C457</f>
        <v/>
      </c>
      <c r="C495" s="139">
        <f>'לקוחות לפי סוכן - מקור'!D457</f>
        <v/>
      </c>
      <c r="D495" s="139">
        <f>'לקוחות לפי סוכן - מקור'!E457</f>
        <v/>
      </c>
      <c r="E495" s="147">
        <f>'לקוחות לפי סוכן - מקור'!F457</f>
        <v/>
      </c>
      <c r="F495" s="147">
        <f>'לקוחות לפי סוכן - מקור'!G457</f>
        <v/>
      </c>
      <c r="G495" s="148">
        <f>'לקוחות לפי סוכן - מקור'!H457</f>
        <v/>
      </c>
      <c r="H495" s="148">
        <f>'לקוחות לפי סוכן - מקור'!I457</f>
        <v/>
      </c>
      <c r="I495" s="139">
        <f>'לקוחות לפי סוכן - מקור'!K457</f>
        <v/>
      </c>
      <c r="J495" s="139" t="inlineStr">
        <is>
          <t>קיים במקור</t>
        </is>
      </c>
    </row>
    <row r="496" ht="15" customHeight="1" s="82">
      <c r="A496" s="139">
        <f>'לקוחות לפי סוכן - מקור'!A458</f>
        <v/>
      </c>
      <c r="B496" s="139">
        <f>'לקוחות לפי סוכן - מקור'!C458</f>
        <v/>
      </c>
      <c r="C496" s="139">
        <f>'לקוחות לפי סוכן - מקור'!D458</f>
        <v/>
      </c>
      <c r="D496" s="139">
        <f>'לקוחות לפי סוכן - מקור'!E458</f>
        <v/>
      </c>
      <c r="E496" s="147">
        <f>'לקוחות לפי סוכן - מקור'!F458</f>
        <v/>
      </c>
      <c r="F496" s="147">
        <f>'לקוחות לפי סוכן - מקור'!G458</f>
        <v/>
      </c>
      <c r="G496" s="148">
        <f>'לקוחות לפי סוכן - מקור'!H458</f>
        <v/>
      </c>
      <c r="H496" s="148">
        <f>'לקוחות לפי סוכן - מקור'!I458</f>
        <v/>
      </c>
      <c r="I496" s="139">
        <f>'לקוחות לפי סוכן - מקור'!K458</f>
        <v/>
      </c>
      <c r="J496" s="139" t="inlineStr">
        <is>
          <t>קיים במקור</t>
        </is>
      </c>
    </row>
    <row r="497" ht="15" customHeight="1" s="82">
      <c r="A497" s="139">
        <f>'לקוחות לפי סוכן - מקור'!A459</f>
        <v/>
      </c>
      <c r="B497" s="139">
        <f>'לקוחות לפי סוכן - מקור'!C459</f>
        <v/>
      </c>
      <c r="C497" s="139">
        <f>'לקוחות לפי סוכן - מקור'!D459</f>
        <v/>
      </c>
      <c r="D497" s="139">
        <f>'לקוחות לפי סוכן - מקור'!E459</f>
        <v/>
      </c>
      <c r="E497" s="147">
        <f>'לקוחות לפי סוכן - מקור'!F459</f>
        <v/>
      </c>
      <c r="F497" s="147">
        <f>'לקוחות לפי סוכן - מקור'!G459</f>
        <v/>
      </c>
      <c r="G497" s="148">
        <f>'לקוחות לפי סוכן - מקור'!H459</f>
        <v/>
      </c>
      <c r="H497" s="148">
        <f>'לקוחות לפי סוכן - מקור'!I459</f>
        <v/>
      </c>
      <c r="I497" s="139">
        <f>'לקוחות לפי סוכן - מקור'!K459</f>
        <v/>
      </c>
      <c r="J497" s="139" t="inlineStr">
        <is>
          <t>קיים במקור</t>
        </is>
      </c>
    </row>
    <row r="498" ht="15" customHeight="1" s="82">
      <c r="A498" s="139">
        <f>'לקוחות לפי סוכן - מקור'!A460</f>
        <v/>
      </c>
      <c r="B498" s="139">
        <f>'לקוחות לפי סוכן - מקור'!C460</f>
        <v/>
      </c>
      <c r="C498" s="139">
        <f>'לקוחות לפי סוכן - מקור'!D460</f>
        <v/>
      </c>
      <c r="D498" s="139">
        <f>'לקוחות לפי סוכן - מקור'!E460</f>
        <v/>
      </c>
      <c r="E498" s="147">
        <f>'לקוחות לפי סוכן - מקור'!F460</f>
        <v/>
      </c>
      <c r="F498" s="147">
        <f>'לקוחות לפי סוכן - מקור'!G460</f>
        <v/>
      </c>
      <c r="G498" s="148">
        <f>'לקוחות לפי סוכן - מקור'!H460</f>
        <v/>
      </c>
      <c r="H498" s="148">
        <f>'לקוחות לפי סוכן - מקור'!I460</f>
        <v/>
      </c>
      <c r="I498" s="139">
        <f>'לקוחות לפי סוכן - מקור'!K460</f>
        <v/>
      </c>
      <c r="J498" s="139" t="inlineStr">
        <is>
          <t>קיים במקור</t>
        </is>
      </c>
    </row>
    <row r="499" ht="15" customHeight="1" s="82">
      <c r="A499" s="139">
        <f>'לקוחות לפי סוכן - מקור'!A461</f>
        <v/>
      </c>
      <c r="B499" s="139">
        <f>'לקוחות לפי סוכן - מקור'!C461</f>
        <v/>
      </c>
      <c r="C499" s="139">
        <f>'לקוחות לפי סוכן - מקור'!D461</f>
        <v/>
      </c>
      <c r="D499" s="139">
        <f>'לקוחות לפי סוכן - מקור'!E461</f>
        <v/>
      </c>
      <c r="E499" s="147">
        <f>'לקוחות לפי סוכן - מקור'!F461</f>
        <v/>
      </c>
      <c r="F499" s="147">
        <f>'לקוחות לפי סוכן - מקור'!G461</f>
        <v/>
      </c>
      <c r="G499" s="148">
        <f>'לקוחות לפי סוכן - מקור'!H461</f>
        <v/>
      </c>
      <c r="H499" s="148">
        <f>'לקוחות לפי סוכן - מקור'!I461</f>
        <v/>
      </c>
      <c r="I499" s="139">
        <f>'לקוחות לפי סוכן - מקור'!K461</f>
        <v/>
      </c>
      <c r="J499" s="139" t="inlineStr">
        <is>
          <t>קיים במקור</t>
        </is>
      </c>
    </row>
    <row r="500" ht="15" customHeight="1" s="82">
      <c r="A500" s="139">
        <f>'לקוחות לפי סוכן - מקור'!A462</f>
        <v/>
      </c>
      <c r="B500" s="139">
        <f>'לקוחות לפי סוכן - מקור'!C462</f>
        <v/>
      </c>
      <c r="C500" s="139">
        <f>'לקוחות לפי סוכן - מקור'!D462</f>
        <v/>
      </c>
      <c r="D500" s="139">
        <f>'לקוחות לפי סוכן - מקור'!E462</f>
        <v/>
      </c>
      <c r="E500" s="147">
        <f>'לקוחות לפי סוכן - מקור'!F462</f>
        <v/>
      </c>
      <c r="F500" s="147">
        <f>'לקוחות לפי סוכן - מקור'!G462</f>
        <v/>
      </c>
      <c r="G500" s="148">
        <f>'לקוחות לפי סוכן - מקור'!H462</f>
        <v/>
      </c>
      <c r="H500" s="148">
        <f>'לקוחות לפי סוכן - מקור'!I462</f>
        <v/>
      </c>
      <c r="I500" s="139">
        <f>'לקוחות לפי סוכן - מקור'!K462</f>
        <v/>
      </c>
      <c r="J500" s="139" t="inlineStr">
        <is>
          <t>קיים במקור</t>
        </is>
      </c>
    </row>
    <row r="501" ht="15" customHeight="1" s="82">
      <c r="A501" s="139">
        <f>'לקוחות לפי סוכן - מקור'!A463</f>
        <v/>
      </c>
      <c r="B501" s="139">
        <f>'לקוחות לפי סוכן - מקור'!C463</f>
        <v/>
      </c>
      <c r="C501" s="139">
        <f>'לקוחות לפי סוכן - מקור'!D463</f>
        <v/>
      </c>
      <c r="D501" s="139">
        <f>'לקוחות לפי סוכן - מקור'!E463</f>
        <v/>
      </c>
      <c r="E501" s="147">
        <f>'לקוחות לפי סוכן - מקור'!F463</f>
        <v/>
      </c>
      <c r="F501" s="147">
        <f>'לקוחות לפי סוכן - מקור'!G463</f>
        <v/>
      </c>
      <c r="G501" s="148">
        <f>'לקוחות לפי סוכן - מקור'!H463</f>
        <v/>
      </c>
      <c r="H501" s="148">
        <f>'לקוחות לפי סוכן - מקור'!I463</f>
        <v/>
      </c>
      <c r="I501" s="139">
        <f>'לקוחות לפי סוכן - מקור'!K463</f>
        <v/>
      </c>
      <c r="J501" s="139" t="inlineStr">
        <is>
          <t>קיים במקור</t>
        </is>
      </c>
    </row>
    <row r="502" ht="15" customHeight="1" s="82">
      <c r="A502" s="139">
        <f>'לקוחות לפי סוכן - מקור'!A464</f>
        <v/>
      </c>
      <c r="B502" s="139">
        <f>'לקוחות לפי סוכן - מקור'!C464</f>
        <v/>
      </c>
      <c r="C502" s="139">
        <f>'לקוחות לפי סוכן - מקור'!D464</f>
        <v/>
      </c>
      <c r="D502" s="139">
        <f>'לקוחות לפי סוכן - מקור'!E464</f>
        <v/>
      </c>
      <c r="E502" s="147">
        <f>'לקוחות לפי סוכן - מקור'!F464</f>
        <v/>
      </c>
      <c r="F502" s="147">
        <f>'לקוחות לפי סוכן - מקור'!G464</f>
        <v/>
      </c>
      <c r="G502" s="148">
        <f>'לקוחות לפי סוכן - מקור'!H464</f>
        <v/>
      </c>
      <c r="H502" s="148">
        <f>'לקוחות לפי סוכן - מקור'!I464</f>
        <v/>
      </c>
      <c r="I502" s="139">
        <f>'לקוחות לפי סוכן - מקור'!K464</f>
        <v/>
      </c>
      <c r="J502" s="139" t="inlineStr">
        <is>
          <t>קיים במקור</t>
        </is>
      </c>
    </row>
    <row r="503" ht="15" customHeight="1" s="82">
      <c r="A503" s="139">
        <f>'לקוחות לפי סוכן - מקור'!A465</f>
        <v/>
      </c>
      <c r="B503" s="139">
        <f>'לקוחות לפי סוכן - מקור'!C465</f>
        <v/>
      </c>
      <c r="C503" s="139">
        <f>'לקוחות לפי סוכן - מקור'!D465</f>
        <v/>
      </c>
      <c r="D503" s="139">
        <f>'לקוחות לפי סוכן - מקור'!E465</f>
        <v/>
      </c>
      <c r="E503" s="147">
        <f>'לקוחות לפי סוכן - מקור'!F465</f>
        <v/>
      </c>
      <c r="F503" s="147">
        <f>'לקוחות לפי סוכן - מקור'!G465</f>
        <v/>
      </c>
      <c r="G503" s="148">
        <f>'לקוחות לפי סוכן - מקור'!H465</f>
        <v/>
      </c>
      <c r="H503" s="148">
        <f>'לקוחות לפי סוכן - מקור'!I465</f>
        <v/>
      </c>
      <c r="I503" s="139">
        <f>'לקוחות לפי סוכן - מקור'!K465</f>
        <v/>
      </c>
      <c r="J503" s="139" t="inlineStr">
        <is>
          <t>קיים במקור</t>
        </is>
      </c>
    </row>
    <row r="504" ht="15" customHeight="1" s="82">
      <c r="A504" s="139">
        <f>'לקוחות לפי סוכן - מקור'!A466</f>
        <v/>
      </c>
      <c r="B504" s="139">
        <f>'לקוחות לפי סוכן - מקור'!C466</f>
        <v/>
      </c>
      <c r="C504" s="139">
        <f>'לקוחות לפי סוכן - מקור'!D466</f>
        <v/>
      </c>
      <c r="D504" s="139">
        <f>'לקוחות לפי סוכן - מקור'!E466</f>
        <v/>
      </c>
      <c r="E504" s="147">
        <f>'לקוחות לפי סוכן - מקור'!F466</f>
        <v/>
      </c>
      <c r="F504" s="147">
        <f>'לקוחות לפי סוכן - מקור'!G466</f>
        <v/>
      </c>
      <c r="G504" s="148">
        <f>'לקוחות לפי סוכן - מקור'!H466</f>
        <v/>
      </c>
      <c r="H504" s="148">
        <f>'לקוחות לפי סוכן - מקור'!I466</f>
        <v/>
      </c>
      <c r="I504" s="139">
        <f>'לקוחות לפי סוכן - מקור'!K466</f>
        <v/>
      </c>
      <c r="J504" s="139" t="inlineStr">
        <is>
          <t>קיים במקור</t>
        </is>
      </c>
    </row>
    <row r="505" ht="15" customHeight="1" s="82">
      <c r="A505" s="139">
        <f>'לקוחות לפי סוכן - מקור'!A467</f>
        <v/>
      </c>
      <c r="B505" s="139">
        <f>'לקוחות לפי סוכן - מקור'!C467</f>
        <v/>
      </c>
      <c r="C505" s="139">
        <f>'לקוחות לפי סוכן - מקור'!D467</f>
        <v/>
      </c>
      <c r="D505" s="139">
        <f>'לקוחות לפי סוכן - מקור'!E467</f>
        <v/>
      </c>
      <c r="E505" s="147">
        <f>'לקוחות לפי סוכן - מקור'!F467</f>
        <v/>
      </c>
      <c r="F505" s="147">
        <f>'לקוחות לפי סוכן - מקור'!G467</f>
        <v/>
      </c>
      <c r="G505" s="148">
        <f>'לקוחות לפי סוכן - מקור'!H467</f>
        <v/>
      </c>
      <c r="H505" s="148">
        <f>'לקוחות לפי סוכן - מקור'!I467</f>
        <v/>
      </c>
      <c r="I505" s="139">
        <f>'לקוחות לפי סוכן - מקור'!K467</f>
        <v/>
      </c>
      <c r="J505" s="139" t="inlineStr">
        <is>
          <t>קיים במקור</t>
        </is>
      </c>
    </row>
    <row r="506" ht="15" customHeight="1" s="82">
      <c r="A506" s="139">
        <f>'לקוחות לפי סוכן - מקור'!A468</f>
        <v/>
      </c>
      <c r="B506" s="139">
        <f>'לקוחות לפי סוכן - מקור'!C468</f>
        <v/>
      </c>
      <c r="C506" s="139">
        <f>'לקוחות לפי סוכן - מקור'!D468</f>
        <v/>
      </c>
      <c r="D506" s="139">
        <f>'לקוחות לפי סוכן - מקור'!E468</f>
        <v/>
      </c>
      <c r="E506" s="147">
        <f>'לקוחות לפי סוכן - מקור'!F468</f>
        <v/>
      </c>
      <c r="F506" s="147">
        <f>'לקוחות לפי סוכן - מקור'!G468</f>
        <v/>
      </c>
      <c r="G506" s="148">
        <f>'לקוחות לפי סוכן - מקור'!H468</f>
        <v/>
      </c>
      <c r="H506" s="148">
        <f>'לקוחות לפי סוכן - מקור'!I468</f>
        <v/>
      </c>
      <c r="I506" s="139">
        <f>'לקוחות לפי סוכן - מקור'!K468</f>
        <v/>
      </c>
      <c r="J506" s="139" t="inlineStr">
        <is>
          <t>קיים במקור</t>
        </is>
      </c>
    </row>
    <row r="507" ht="15" customHeight="1" s="82">
      <c r="A507" s="139">
        <f>'לקוחות לפי סוכן - מקור'!A469</f>
        <v/>
      </c>
      <c r="B507" s="139">
        <f>'לקוחות לפי סוכן - מקור'!C469</f>
        <v/>
      </c>
      <c r="C507" s="139">
        <f>'לקוחות לפי סוכן - מקור'!D469</f>
        <v/>
      </c>
      <c r="D507" s="139">
        <f>'לקוחות לפי סוכן - מקור'!E469</f>
        <v/>
      </c>
      <c r="E507" s="147">
        <f>'לקוחות לפי סוכן - מקור'!F469</f>
        <v/>
      </c>
      <c r="F507" s="147">
        <f>'לקוחות לפי סוכן - מקור'!G469</f>
        <v/>
      </c>
      <c r="G507" s="148">
        <f>'לקוחות לפי סוכן - מקור'!H469</f>
        <v/>
      </c>
      <c r="H507" s="148">
        <f>'לקוחות לפי סוכן - מקור'!I469</f>
        <v/>
      </c>
      <c r="I507" s="139">
        <f>'לקוחות לפי סוכן - מקור'!K469</f>
        <v/>
      </c>
      <c r="J507" s="139" t="inlineStr">
        <is>
          <t>קיים במקור</t>
        </is>
      </c>
    </row>
    <row r="508" ht="15" customHeight="1" s="82">
      <c r="A508" s="139">
        <f>'לקוחות לפי סוכן - מקור'!A470</f>
        <v/>
      </c>
      <c r="B508" s="139">
        <f>'לקוחות לפי סוכן - מקור'!C470</f>
        <v/>
      </c>
      <c r="C508" s="139">
        <f>'לקוחות לפי סוכן - מקור'!D470</f>
        <v/>
      </c>
      <c r="D508" s="139">
        <f>'לקוחות לפי סוכן - מקור'!E470</f>
        <v/>
      </c>
      <c r="E508" s="147">
        <f>'לקוחות לפי סוכן - מקור'!F470</f>
        <v/>
      </c>
      <c r="F508" s="147">
        <f>'לקוחות לפי סוכן - מקור'!G470</f>
        <v/>
      </c>
      <c r="G508" s="148">
        <f>'לקוחות לפי סוכן - מקור'!H470</f>
        <v/>
      </c>
      <c r="H508" s="148">
        <f>'לקוחות לפי סוכן - מקור'!I470</f>
        <v/>
      </c>
      <c r="I508" s="139">
        <f>'לקוחות לפי סוכן - מקור'!K470</f>
        <v/>
      </c>
      <c r="J508" s="139" t="inlineStr">
        <is>
          <t>קיים במקור</t>
        </is>
      </c>
    </row>
    <row r="509" ht="15" customHeight="1" s="82">
      <c r="A509" s="139">
        <f>'לקוחות לפי סוכן - מקור'!A471</f>
        <v/>
      </c>
      <c r="B509" s="139">
        <f>'לקוחות לפי סוכן - מקור'!C471</f>
        <v/>
      </c>
      <c r="C509" s="139">
        <f>'לקוחות לפי סוכן - מקור'!D471</f>
        <v/>
      </c>
      <c r="D509" s="139">
        <f>'לקוחות לפי סוכן - מקור'!E471</f>
        <v/>
      </c>
      <c r="E509" s="147">
        <f>'לקוחות לפי סוכן - מקור'!F471</f>
        <v/>
      </c>
      <c r="F509" s="147">
        <f>'לקוחות לפי סוכן - מקור'!G471</f>
        <v/>
      </c>
      <c r="G509" s="148">
        <f>'לקוחות לפי סוכן - מקור'!H471</f>
        <v/>
      </c>
      <c r="H509" s="148">
        <f>'לקוחות לפי סוכן - מקור'!I471</f>
        <v/>
      </c>
      <c r="I509" s="139">
        <f>'לקוחות לפי סוכן - מקור'!K471</f>
        <v/>
      </c>
      <c r="J509" s="139" t="inlineStr">
        <is>
          <t>קיים במקור</t>
        </is>
      </c>
    </row>
    <row r="510" ht="15" customHeight="1" s="82">
      <c r="A510" s="139">
        <f>'לקוחות לפי סוכן - מקור'!A472</f>
        <v/>
      </c>
      <c r="B510" s="139">
        <f>'לקוחות לפי סוכן - מקור'!C472</f>
        <v/>
      </c>
      <c r="C510" s="139">
        <f>'לקוחות לפי סוכן - מקור'!D472</f>
        <v/>
      </c>
      <c r="D510" s="139">
        <f>'לקוחות לפי סוכן - מקור'!E472</f>
        <v/>
      </c>
      <c r="E510" s="147">
        <f>'לקוחות לפי סוכן - מקור'!F472</f>
        <v/>
      </c>
      <c r="F510" s="147">
        <f>'לקוחות לפי סוכן - מקור'!G472</f>
        <v/>
      </c>
      <c r="G510" s="148">
        <f>'לקוחות לפי סוכן - מקור'!H472</f>
        <v/>
      </c>
      <c r="H510" s="148">
        <f>'לקוחות לפי סוכן - מקור'!I472</f>
        <v/>
      </c>
      <c r="I510" s="139">
        <f>'לקוחות לפי סוכן - מקור'!K472</f>
        <v/>
      </c>
      <c r="J510" s="139" t="inlineStr">
        <is>
          <t>קיים במקור</t>
        </is>
      </c>
    </row>
    <row r="511" ht="15" customHeight="1" s="82">
      <c r="A511" s="139">
        <f>'לקוחות לפי סוכן - מקור'!A473</f>
        <v/>
      </c>
      <c r="B511" s="139">
        <f>'לקוחות לפי סוכן - מקור'!C473</f>
        <v/>
      </c>
      <c r="C511" s="139">
        <f>'לקוחות לפי סוכן - מקור'!D473</f>
        <v/>
      </c>
      <c r="D511" s="139">
        <f>'לקוחות לפי סוכן - מקור'!E473</f>
        <v/>
      </c>
      <c r="E511" s="147">
        <f>'לקוחות לפי סוכן - מקור'!F473</f>
        <v/>
      </c>
      <c r="F511" s="147">
        <f>'לקוחות לפי סוכן - מקור'!G473</f>
        <v/>
      </c>
      <c r="G511" s="148">
        <f>'לקוחות לפי סוכן - מקור'!H473</f>
        <v/>
      </c>
      <c r="H511" s="148">
        <f>'לקוחות לפי סוכן - מקור'!I473</f>
        <v/>
      </c>
      <c r="I511" s="139">
        <f>'לקוחות לפי סוכן - מקור'!K473</f>
        <v/>
      </c>
      <c r="J511" s="139" t="inlineStr">
        <is>
          <t>קיים במקור</t>
        </is>
      </c>
    </row>
    <row r="512" ht="15" customHeight="1" s="82">
      <c r="A512" s="139">
        <f>'לקוחות לפי סוכן - מקור'!A474</f>
        <v/>
      </c>
      <c r="B512" s="139">
        <f>'לקוחות לפי סוכן - מקור'!C474</f>
        <v/>
      </c>
      <c r="C512" s="139">
        <f>'לקוחות לפי סוכן - מקור'!D474</f>
        <v/>
      </c>
      <c r="D512" s="139">
        <f>'לקוחות לפי סוכן - מקור'!E474</f>
        <v/>
      </c>
      <c r="E512" s="147">
        <f>'לקוחות לפי סוכן - מקור'!F474</f>
        <v/>
      </c>
      <c r="F512" s="147">
        <f>'לקוחות לפי סוכן - מקור'!G474</f>
        <v/>
      </c>
      <c r="G512" s="148">
        <f>'לקוחות לפי סוכן - מקור'!H474</f>
        <v/>
      </c>
      <c r="H512" s="148">
        <f>'לקוחות לפי סוכן - מקור'!I474</f>
        <v/>
      </c>
      <c r="I512" s="139">
        <f>'לקוחות לפי סוכן - מקור'!K474</f>
        <v/>
      </c>
      <c r="J512" s="139" t="inlineStr">
        <is>
          <t>קיים במקור</t>
        </is>
      </c>
    </row>
    <row r="513" ht="15" customHeight="1" s="82">
      <c r="A513" s="139">
        <f>'לקוחות לפי סוכן - מקור'!A475</f>
        <v/>
      </c>
      <c r="B513" s="139">
        <f>'לקוחות לפי סוכן - מקור'!C475</f>
        <v/>
      </c>
      <c r="C513" s="139">
        <f>'לקוחות לפי סוכן - מקור'!D475</f>
        <v/>
      </c>
      <c r="D513" s="139">
        <f>'לקוחות לפי סוכן - מקור'!E475</f>
        <v/>
      </c>
      <c r="E513" s="147">
        <f>'לקוחות לפי סוכן - מקור'!F475</f>
        <v/>
      </c>
      <c r="F513" s="147">
        <f>'לקוחות לפי סוכן - מקור'!G475</f>
        <v/>
      </c>
      <c r="G513" s="148">
        <f>'לקוחות לפי סוכן - מקור'!H475</f>
        <v/>
      </c>
      <c r="H513" s="148">
        <f>'לקוחות לפי סוכן - מקור'!I475</f>
        <v/>
      </c>
      <c r="I513" s="139">
        <f>'לקוחות לפי סוכן - מקור'!K475</f>
        <v/>
      </c>
      <c r="J513" s="139" t="inlineStr">
        <is>
          <t>קיים במקור</t>
        </is>
      </c>
    </row>
    <row r="514" ht="15" customHeight="1" s="82">
      <c r="A514" s="139">
        <f>'לקוחות לפי סוכן - מקור'!A476</f>
        <v/>
      </c>
      <c r="B514" s="139">
        <f>'לקוחות לפי סוכן - מקור'!C476</f>
        <v/>
      </c>
      <c r="C514" s="139">
        <f>'לקוחות לפי סוכן - מקור'!D476</f>
        <v/>
      </c>
      <c r="D514" s="139">
        <f>'לקוחות לפי סוכן - מקור'!E476</f>
        <v/>
      </c>
      <c r="E514" s="147">
        <f>'לקוחות לפי סוכן - מקור'!F476</f>
        <v/>
      </c>
      <c r="F514" s="147">
        <f>'לקוחות לפי סוכן - מקור'!G476</f>
        <v/>
      </c>
      <c r="G514" s="148">
        <f>'לקוחות לפי סוכן - מקור'!H476</f>
        <v/>
      </c>
      <c r="H514" s="148">
        <f>'לקוחות לפי סוכן - מקור'!I476</f>
        <v/>
      </c>
      <c r="I514" s="139">
        <f>'לקוחות לפי סוכן - מקור'!K476</f>
        <v/>
      </c>
      <c r="J514" s="139" t="inlineStr">
        <is>
          <t>קיים במקור</t>
        </is>
      </c>
    </row>
    <row r="515" ht="15" customHeight="1" s="82">
      <c r="A515" s="139">
        <f>'לקוחות לפי סוכן - מקור'!A477</f>
        <v/>
      </c>
      <c r="B515" s="139">
        <f>'לקוחות לפי סוכן - מקור'!C477</f>
        <v/>
      </c>
      <c r="C515" s="139">
        <f>'לקוחות לפי סוכן - מקור'!D477</f>
        <v/>
      </c>
      <c r="D515" s="139">
        <f>'לקוחות לפי סוכן - מקור'!E477</f>
        <v/>
      </c>
      <c r="E515" s="147">
        <f>'לקוחות לפי סוכן - מקור'!F477</f>
        <v/>
      </c>
      <c r="F515" s="147">
        <f>'לקוחות לפי סוכן - מקור'!G477</f>
        <v/>
      </c>
      <c r="G515" s="148">
        <f>'לקוחות לפי סוכן - מקור'!H477</f>
        <v/>
      </c>
      <c r="H515" s="148">
        <f>'לקוחות לפי סוכן - מקור'!I477</f>
        <v/>
      </c>
      <c r="I515" s="139">
        <f>'לקוחות לפי סוכן - מקור'!K477</f>
        <v/>
      </c>
      <c r="J515" s="139" t="inlineStr">
        <is>
          <t>קיים במקור</t>
        </is>
      </c>
    </row>
    <row r="516" ht="15" customHeight="1" s="82">
      <c r="A516" s="139">
        <f>'לקוחות לפי סוכן - מקור'!A478</f>
        <v/>
      </c>
      <c r="B516" s="139">
        <f>'לקוחות לפי סוכן - מקור'!C478</f>
        <v/>
      </c>
      <c r="C516" s="139">
        <f>'לקוחות לפי סוכן - מקור'!D478</f>
        <v/>
      </c>
      <c r="D516" s="139">
        <f>'לקוחות לפי סוכן - מקור'!E478</f>
        <v/>
      </c>
      <c r="E516" s="147">
        <f>'לקוחות לפי סוכן - מקור'!F478</f>
        <v/>
      </c>
      <c r="F516" s="147">
        <f>'לקוחות לפי סוכן - מקור'!G478</f>
        <v/>
      </c>
      <c r="G516" s="148">
        <f>'לקוחות לפי סוכן - מקור'!H478</f>
        <v/>
      </c>
      <c r="H516" s="148">
        <f>'לקוחות לפי סוכן - מקור'!I478</f>
        <v/>
      </c>
      <c r="I516" s="139">
        <f>'לקוחות לפי סוכן - מקור'!K478</f>
        <v/>
      </c>
      <c r="J516" s="139" t="inlineStr">
        <is>
          <t>קיים במקור</t>
        </is>
      </c>
    </row>
    <row r="517" ht="15" customHeight="1" s="82">
      <c r="A517" s="139">
        <f>'לקוחות לפי סוכן - מקור'!A479</f>
        <v/>
      </c>
      <c r="B517" s="139">
        <f>'לקוחות לפי סוכן - מקור'!C479</f>
        <v/>
      </c>
      <c r="C517" s="139">
        <f>'לקוחות לפי סוכן - מקור'!D479</f>
        <v/>
      </c>
      <c r="D517" s="139">
        <f>'לקוחות לפי סוכן - מקור'!E479</f>
        <v/>
      </c>
      <c r="E517" s="147">
        <f>'לקוחות לפי סוכן - מקור'!F479</f>
        <v/>
      </c>
      <c r="F517" s="147">
        <f>'לקוחות לפי סוכן - מקור'!G479</f>
        <v/>
      </c>
      <c r="G517" s="148">
        <f>'לקוחות לפי סוכן - מקור'!H479</f>
        <v/>
      </c>
      <c r="H517" s="148">
        <f>'לקוחות לפי סוכן - מקור'!I479</f>
        <v/>
      </c>
      <c r="I517" s="139">
        <f>'לקוחות לפי סוכן - מקור'!K479</f>
        <v/>
      </c>
      <c r="J517" s="139" t="inlineStr">
        <is>
          <t>קיים במקור</t>
        </is>
      </c>
    </row>
    <row r="518" ht="15" customHeight="1" s="82">
      <c r="A518" s="139">
        <f>'לקוחות לפי סוכן - מקור'!A480</f>
        <v/>
      </c>
      <c r="B518" s="139">
        <f>'לקוחות לפי סוכן - מקור'!C480</f>
        <v/>
      </c>
      <c r="C518" s="139">
        <f>'לקוחות לפי סוכן - מקור'!D480</f>
        <v/>
      </c>
      <c r="D518" s="139">
        <f>'לקוחות לפי סוכן - מקור'!E480</f>
        <v/>
      </c>
      <c r="E518" s="147">
        <f>'לקוחות לפי סוכן - מקור'!F480</f>
        <v/>
      </c>
      <c r="F518" s="147">
        <f>'לקוחות לפי סוכן - מקור'!G480</f>
        <v/>
      </c>
      <c r="G518" s="148">
        <f>'לקוחות לפי סוכן - מקור'!H480</f>
        <v/>
      </c>
      <c r="H518" s="148">
        <f>'לקוחות לפי סוכן - מקור'!I480</f>
        <v/>
      </c>
      <c r="I518" s="139">
        <f>'לקוחות לפי סוכן - מקור'!K480</f>
        <v/>
      </c>
      <c r="J518" s="139" t="inlineStr">
        <is>
          <t>קיים במקור</t>
        </is>
      </c>
    </row>
    <row r="519" ht="15" customHeight="1" s="82">
      <c r="A519" s="139">
        <f>'לקוחות לפי סוכן - מקור'!A481</f>
        <v/>
      </c>
      <c r="B519" s="139">
        <f>'לקוחות לפי סוכן - מקור'!C481</f>
        <v/>
      </c>
      <c r="C519" s="139">
        <f>'לקוחות לפי סוכן - מקור'!D481</f>
        <v/>
      </c>
      <c r="D519" s="139">
        <f>'לקוחות לפי סוכן - מקור'!E481</f>
        <v/>
      </c>
      <c r="E519" s="147">
        <f>'לקוחות לפי סוכן - מקור'!F481</f>
        <v/>
      </c>
      <c r="F519" s="147">
        <f>'לקוחות לפי סוכן - מקור'!G481</f>
        <v/>
      </c>
      <c r="G519" s="148">
        <f>'לקוחות לפי סוכן - מקור'!H481</f>
        <v/>
      </c>
      <c r="H519" s="148">
        <f>'לקוחות לפי סוכן - מקור'!I481</f>
        <v/>
      </c>
      <c r="I519" s="139">
        <f>'לקוחות לפי סוכן - מקור'!K481</f>
        <v/>
      </c>
      <c r="J519" s="139" t="inlineStr">
        <is>
          <t>קיים במקור</t>
        </is>
      </c>
    </row>
    <row r="520" ht="15" customHeight="1" s="82">
      <c r="A520" s="139">
        <f>'לקוחות לפי סוכן - מקור'!A482</f>
        <v/>
      </c>
      <c r="B520" s="139">
        <f>'לקוחות לפי סוכן - מקור'!C482</f>
        <v/>
      </c>
      <c r="C520" s="139">
        <f>'לקוחות לפי סוכן - מקור'!D482</f>
        <v/>
      </c>
      <c r="D520" s="139">
        <f>'לקוחות לפי סוכן - מקור'!E482</f>
        <v/>
      </c>
      <c r="E520" s="147">
        <f>'לקוחות לפי סוכן - מקור'!F482</f>
        <v/>
      </c>
      <c r="F520" s="147">
        <f>'לקוחות לפי סוכן - מקור'!G482</f>
        <v/>
      </c>
      <c r="G520" s="148">
        <f>'לקוחות לפי סוכן - מקור'!H482</f>
        <v/>
      </c>
      <c r="H520" s="148">
        <f>'לקוחות לפי סוכן - מקור'!I482</f>
        <v/>
      </c>
      <c r="I520" s="139">
        <f>'לקוחות לפי סוכן - מקור'!K482</f>
        <v/>
      </c>
      <c r="J520" s="139" t="inlineStr">
        <is>
          <t>קיים במקור</t>
        </is>
      </c>
    </row>
    <row r="521" ht="15" customHeight="1" s="82">
      <c r="A521" s="139">
        <f>'לקוחות לפי סוכן - מקור'!A483</f>
        <v/>
      </c>
      <c r="B521" s="139">
        <f>'לקוחות לפי סוכן - מקור'!C483</f>
        <v/>
      </c>
      <c r="C521" s="139">
        <f>'לקוחות לפי סוכן - מקור'!D483</f>
        <v/>
      </c>
      <c r="D521" s="139">
        <f>'לקוחות לפי סוכן - מקור'!E483</f>
        <v/>
      </c>
      <c r="E521" s="147">
        <f>'לקוחות לפי סוכן - מקור'!F483</f>
        <v/>
      </c>
      <c r="F521" s="147">
        <f>'לקוחות לפי סוכן - מקור'!G483</f>
        <v/>
      </c>
      <c r="G521" s="148">
        <f>'לקוחות לפי סוכן - מקור'!H483</f>
        <v/>
      </c>
      <c r="H521" s="148">
        <f>'לקוחות לפי סוכן - מקור'!I483</f>
        <v/>
      </c>
      <c r="I521" s="139">
        <f>'לקוחות לפי סוכן - מקור'!K483</f>
        <v/>
      </c>
      <c r="J521" s="139" t="inlineStr">
        <is>
          <t>קיים במקור</t>
        </is>
      </c>
    </row>
    <row r="522" ht="15" customHeight="1" s="82">
      <c r="A522" s="139">
        <f>'לקוחות לפי סוכן - מקור'!A484</f>
        <v/>
      </c>
      <c r="B522" s="139">
        <f>'לקוחות לפי סוכן - מקור'!C484</f>
        <v/>
      </c>
      <c r="C522" s="139">
        <f>'לקוחות לפי סוכן - מקור'!D484</f>
        <v/>
      </c>
      <c r="D522" s="139">
        <f>'לקוחות לפי סוכן - מקור'!E484</f>
        <v/>
      </c>
      <c r="E522" s="147">
        <f>'לקוחות לפי סוכן - מקור'!F484</f>
        <v/>
      </c>
      <c r="F522" s="147">
        <f>'לקוחות לפי סוכן - מקור'!G484</f>
        <v/>
      </c>
      <c r="G522" s="148">
        <f>'לקוחות לפי סוכן - מקור'!H484</f>
        <v/>
      </c>
      <c r="H522" s="148">
        <f>'לקוחות לפי סוכן - מקור'!I484</f>
        <v/>
      </c>
      <c r="I522" s="139">
        <f>'לקוחות לפי סוכן - מקור'!K484</f>
        <v/>
      </c>
      <c r="J522" s="139" t="inlineStr">
        <is>
          <t>קיים במקור</t>
        </is>
      </c>
    </row>
    <row r="523" ht="15" customHeight="1" s="82">
      <c r="A523" s="139">
        <f>'לקוחות לפי סוכן - מקור'!A485</f>
        <v/>
      </c>
      <c r="B523" s="139">
        <f>'לקוחות לפי סוכן - מקור'!C485</f>
        <v/>
      </c>
      <c r="C523" s="139">
        <f>'לקוחות לפי סוכן - מקור'!D485</f>
        <v/>
      </c>
      <c r="D523" s="139">
        <f>'לקוחות לפי סוכן - מקור'!E485</f>
        <v/>
      </c>
      <c r="E523" s="147">
        <f>IF('לקוחות לפי סוכן - מקור'!F485="",'לקוחות לפי סוכן - מקור חדש'!F318,'לקוחות לפי סוכן - מקור'!F485)</f>
        <v/>
      </c>
      <c r="F523" s="147">
        <f>IF('לקוחות לפי סוכן - מקור'!G485="",'לקוחות לפי סוכן - מקור חדש'!H318,'לקוחות לפי סוכן - מקור'!G485)</f>
        <v/>
      </c>
      <c r="G523" s="148">
        <f>IF('לקוחות לפי סוכן - מקור'!H485="",'לקוחות לפי סוכן - מקור חדש'!E318,'לקוחות לפי סוכן - מקור'!H485)</f>
        <v/>
      </c>
      <c r="H523" s="148">
        <f>IF('לקוחות לפי סוכן - מקור'!I485="",'לקוחות לפי סוכן - מקור חדש'!G318,'לקוחות לפי סוכן - מקור'!I485)</f>
        <v/>
      </c>
      <c r="I523" s="139" t="inlineStr">
        <is>
          <t>שני המקורות</t>
        </is>
      </c>
      <c r="J523" s="139" t="inlineStr">
        <is>
          <t>קיים במקור (CHMI) + מכר 2025/כמויות הושלמו מהקובץ החדש</t>
        </is>
      </c>
    </row>
    <row r="524" ht="15" customHeight="1" s="82">
      <c r="A524" s="139">
        <f>'לקוחות לפי סוכן - מקור'!A486</f>
        <v/>
      </c>
      <c r="B524" s="139">
        <f>'לקוחות לפי סוכן - מקור'!C486</f>
        <v/>
      </c>
      <c r="C524" s="139">
        <f>'לקוחות לפי סוכן - מקור'!D486</f>
        <v/>
      </c>
      <c r="D524" s="139">
        <f>'לקוחות לפי סוכן - מקור'!E486</f>
        <v/>
      </c>
      <c r="E524" s="147">
        <f>IF('לקוחות לפי סוכן - מקור'!F486="",'לקוחות לפי סוכן - מקור חדש'!F323,'לקוחות לפי סוכן - מקור'!F486)</f>
        <v/>
      </c>
      <c r="F524" s="147">
        <f>IF('לקוחות לפי סוכן - מקור'!G486="",'לקוחות לפי סוכן - מקור חדש'!H323,'לקוחות לפי סוכן - מקור'!G486)</f>
        <v/>
      </c>
      <c r="G524" s="148">
        <f>IF('לקוחות לפי סוכן - מקור'!H486="",'לקוחות לפי סוכן - מקור חדש'!E323,'לקוחות לפי סוכן - מקור'!H486)</f>
        <v/>
      </c>
      <c r="H524" s="148">
        <f>IF('לקוחות לפי סוכן - מקור'!I486="",'לקוחות לפי סוכן - מקור חדש'!G323,'לקוחות לפי סוכן - מקור'!I486)</f>
        <v/>
      </c>
      <c r="I524" s="139" t="inlineStr">
        <is>
          <t>שני המקורות</t>
        </is>
      </c>
      <c r="J524" s="139" t="inlineStr">
        <is>
          <t>קיים במקור (CHMI) + מכר 2025/כמויות הושלמו מהקובץ החדש</t>
        </is>
      </c>
    </row>
    <row r="525" ht="15" customHeight="1" s="82">
      <c r="A525" s="139">
        <f>'לקוחות לפי סוכן - מקור'!A487</f>
        <v/>
      </c>
      <c r="B525" s="139">
        <f>'לקוחות לפי סוכן - מקור'!C487</f>
        <v/>
      </c>
      <c r="C525" s="139">
        <f>'לקוחות לפי סוכן - מקור'!D487</f>
        <v/>
      </c>
      <c r="D525" s="139">
        <f>'לקוחות לפי סוכן - מקור'!E487</f>
        <v/>
      </c>
      <c r="E525" s="147">
        <f>IF('לקוחות לפי סוכן - מקור'!F487="",'לקוחות לפי סוכן - מקור חדש'!F326,'לקוחות לפי סוכן - מקור'!F487)</f>
        <v/>
      </c>
      <c r="F525" s="147">
        <f>IF('לקוחות לפי סוכן - מקור'!G487="",'לקוחות לפי סוכן - מקור חדש'!H326,'לקוחות לפי סוכן - מקור'!G487)</f>
        <v/>
      </c>
      <c r="G525" s="148">
        <f>IF('לקוחות לפי סוכן - מקור'!H487="",'לקוחות לפי סוכן - מקור חדש'!E326,'לקוחות לפי סוכן - מקור'!H487)</f>
        <v/>
      </c>
      <c r="H525" s="148">
        <f>IF('לקוחות לפי סוכן - מקור'!I487="",'לקוחות לפי סוכן - מקור חדש'!G326,'לקוחות לפי סוכן - מקור'!I487)</f>
        <v/>
      </c>
      <c r="I525" s="139" t="inlineStr">
        <is>
          <t>שני המקורות</t>
        </is>
      </c>
      <c r="J525" s="139" t="inlineStr">
        <is>
          <t>קיים במקור (CHMI) + מכר 2025/כמויות הושלמו מהקובץ החדש — פער ב-2026 מול הקובץ החדש, נבחר המקור</t>
        </is>
      </c>
    </row>
    <row r="526" ht="15" customHeight="1" s="82">
      <c r="A526" s="139">
        <f>'לקוחות לפי סוכן - מקור'!A488</f>
        <v/>
      </c>
      <c r="B526" s="139">
        <f>'לקוחות לפי סוכן - מקור'!C488</f>
        <v/>
      </c>
      <c r="C526" s="139">
        <f>'לקוחות לפי סוכן - מקור'!D488</f>
        <v/>
      </c>
      <c r="D526" s="139">
        <f>'לקוחות לפי סוכן - מקור'!E488</f>
        <v/>
      </c>
      <c r="E526" s="147">
        <f>IF('לקוחות לפי סוכן - מקור'!F488="",'לקוחות לפי סוכן - מקור חדש'!F329,'לקוחות לפי סוכן - מקור'!F488)</f>
        <v/>
      </c>
      <c r="F526" s="147">
        <f>IF('לקוחות לפי סוכן - מקור'!G488="",'לקוחות לפי סוכן - מקור חדש'!H329,'לקוחות לפי סוכן - מקור'!G488)</f>
        <v/>
      </c>
      <c r="G526" s="148">
        <f>IF('לקוחות לפי סוכן - מקור'!H488="",'לקוחות לפי סוכן - מקור חדש'!E329,'לקוחות לפי סוכן - מקור'!H488)</f>
        <v/>
      </c>
      <c r="H526" s="148">
        <f>IF('לקוחות לפי סוכן - מקור'!I488="",'לקוחות לפי סוכן - מקור חדש'!G329,'לקוחות לפי סוכן - מקור'!I488)</f>
        <v/>
      </c>
      <c r="I526" s="139" t="inlineStr">
        <is>
          <t>שני המקורות</t>
        </is>
      </c>
      <c r="J526" s="139" t="inlineStr">
        <is>
          <t>קיים במקור (CHMI) + מכר 2025/כמויות הושלמו מהקובץ החדש</t>
        </is>
      </c>
    </row>
    <row r="527" ht="15" customHeight="1" s="82">
      <c r="A527" s="139">
        <f>'לקוחות לפי סוכן - מקור'!A489</f>
        <v/>
      </c>
      <c r="B527" s="139">
        <f>'לקוחות לפי סוכן - מקור'!C489</f>
        <v/>
      </c>
      <c r="C527" s="139">
        <f>'לקוחות לפי סוכן - מקור'!D489</f>
        <v/>
      </c>
      <c r="D527" s="139">
        <f>'לקוחות לפי סוכן - מקור'!E489</f>
        <v/>
      </c>
      <c r="E527" s="147">
        <f>'לקוחות לפי סוכן - מקור'!F489</f>
        <v/>
      </c>
      <c r="F527" s="147">
        <f>'לקוחות לפי סוכן - מקור'!G489</f>
        <v/>
      </c>
      <c r="G527" s="148">
        <f>'לקוחות לפי סוכן - מקור'!H489</f>
        <v/>
      </c>
      <c r="H527" s="148">
        <f>'לקוחות לפי סוכן - מקור'!I489</f>
        <v/>
      </c>
      <c r="I527" s="139">
        <f>'לקוחות לפי סוכן - מקור'!K489</f>
        <v/>
      </c>
      <c r="J527" s="139" t="inlineStr">
        <is>
          <t>קיים במקור</t>
        </is>
      </c>
    </row>
    <row r="528" ht="15" customHeight="1" s="82">
      <c r="A528" s="139">
        <f>'לקוחות לפי סוכן - מקור'!A490</f>
        <v/>
      </c>
      <c r="B528" s="139">
        <f>'לקוחות לפי סוכן - מקור'!C490</f>
        <v/>
      </c>
      <c r="C528" s="139">
        <f>'לקוחות לפי סוכן - מקור'!D490</f>
        <v/>
      </c>
      <c r="D528" s="139">
        <f>'לקוחות לפי סוכן - מקור'!E490</f>
        <v/>
      </c>
      <c r="E528" s="147">
        <f>IF('לקוחות לפי סוכן - מקור'!F490="",'לקוחות לפי סוכן - מקור חדש'!F331,'לקוחות לפי סוכן - מקור'!F490)</f>
        <v/>
      </c>
      <c r="F528" s="147">
        <f>IF('לקוחות לפי סוכן - מקור'!G490="",'לקוחות לפי סוכן - מקור חדש'!H331,'לקוחות לפי סוכן - מקור'!G490)</f>
        <v/>
      </c>
      <c r="G528" s="148">
        <f>IF('לקוחות לפי סוכן - מקור'!H490="",'לקוחות לפי סוכן - מקור חדש'!E331,'לקוחות לפי סוכן - מקור'!H490)</f>
        <v/>
      </c>
      <c r="H528" s="148">
        <f>IF('לקוחות לפי סוכן - מקור'!I490="",'לקוחות לפי סוכן - מקור חדש'!G331,'לקוחות לפי סוכן - מקור'!I490)</f>
        <v/>
      </c>
      <c r="I528" s="139" t="inlineStr">
        <is>
          <t>שני המקורות</t>
        </is>
      </c>
      <c r="J528" s="139" t="inlineStr">
        <is>
          <t>קיים במקור (CHMI) + מכר 2025/כמויות הושלמו מהקובץ החדש</t>
        </is>
      </c>
    </row>
    <row r="529" ht="15" customHeight="1" s="82">
      <c r="A529" s="139">
        <f>'לקוחות לפי סוכן - מקור'!A491</f>
        <v/>
      </c>
      <c r="B529" s="139">
        <f>'לקוחות לפי סוכן - מקור'!C491</f>
        <v/>
      </c>
      <c r="C529" s="139">
        <f>'לקוחות לפי סוכן - מקור'!D491</f>
        <v/>
      </c>
      <c r="D529" s="139">
        <f>'לקוחות לפי סוכן - מקור'!E491</f>
        <v/>
      </c>
      <c r="E529" s="147">
        <f>IF('לקוחות לפי סוכן - מקור'!F491="",'לקוחות לפי סוכן - מקור חדש'!F351,'לקוחות לפי סוכן - מקור'!F491)</f>
        <v/>
      </c>
      <c r="F529" s="147">
        <f>IF('לקוחות לפי סוכן - מקור'!G491="",'לקוחות לפי סוכן - מקור חדש'!H351,'לקוחות לפי סוכן - מקור'!G491)</f>
        <v/>
      </c>
      <c r="G529" s="148">
        <f>IF('לקוחות לפי סוכן - מקור'!H491="",'לקוחות לפי סוכן - מקור חדש'!E351,'לקוחות לפי סוכן - מקור'!H491)</f>
        <v/>
      </c>
      <c r="H529" s="148">
        <f>IF('לקוחות לפי סוכן - מקור'!I491="",'לקוחות לפי סוכן - מקור חדש'!G351,'לקוחות לפי סוכן - מקור'!I491)</f>
        <v/>
      </c>
      <c r="I529" s="139" t="inlineStr">
        <is>
          <t>שני המקורות</t>
        </is>
      </c>
      <c r="J529" s="139" t="inlineStr">
        <is>
          <t>קיים במקור (CHMI) + מכר 2025/כמויות הושלמו מהקובץ החדש</t>
        </is>
      </c>
    </row>
    <row r="530" ht="15" customHeight="1" s="82">
      <c r="A530" s="139">
        <f>'לקוחות לפי סוכן - מקור'!A492</f>
        <v/>
      </c>
      <c r="B530" s="139">
        <f>'לקוחות לפי סוכן - מקור'!C492</f>
        <v/>
      </c>
      <c r="C530" s="139">
        <f>'לקוחות לפי סוכן - מקור'!D492</f>
        <v/>
      </c>
      <c r="D530" s="139">
        <f>'לקוחות לפי סוכן - מקור'!E492</f>
        <v/>
      </c>
      <c r="E530" s="147">
        <f>IF('לקוחות לפי סוכן - מקור'!F492="",'לקוחות לפי סוכן - מקור חדש'!F353,'לקוחות לפי סוכן - מקור'!F492)</f>
        <v/>
      </c>
      <c r="F530" s="147">
        <f>IF('לקוחות לפי סוכן - מקור'!G492="",'לקוחות לפי סוכן - מקור חדש'!H353,'לקוחות לפי סוכן - מקור'!G492)</f>
        <v/>
      </c>
      <c r="G530" s="148">
        <f>IF('לקוחות לפי סוכן - מקור'!H492="",'לקוחות לפי סוכן - מקור חדש'!E353,'לקוחות לפי סוכן - מקור'!H492)</f>
        <v/>
      </c>
      <c r="H530" s="148">
        <f>IF('לקוחות לפי סוכן - מקור'!I492="",'לקוחות לפי סוכן - מקור חדש'!G353,'לקוחות לפי סוכן - מקור'!I492)</f>
        <v/>
      </c>
      <c r="I530" s="139" t="inlineStr">
        <is>
          <t>שני המקורות</t>
        </is>
      </c>
      <c r="J530" s="139" t="inlineStr">
        <is>
          <t>קיים במקור (CHMI) + מכר 2025/כמויות הושלמו מהקובץ החדש</t>
        </is>
      </c>
    </row>
    <row r="531" ht="15" customHeight="1" s="82">
      <c r="A531" s="139">
        <f>'לקוחות לפי סוכן - מקור'!A493</f>
        <v/>
      </c>
      <c r="B531" s="139">
        <f>'לקוחות לפי סוכן - מקור'!C493</f>
        <v/>
      </c>
      <c r="C531" s="139">
        <f>'לקוחות לפי סוכן - מקור'!D493</f>
        <v/>
      </c>
      <c r="D531" s="139">
        <f>'לקוחות לפי סוכן - מקור'!E493</f>
        <v/>
      </c>
      <c r="E531" s="147">
        <f>IF('לקוחות לפי סוכן - מקור'!F493="",'לקוחות לפי סוכן - מקור חדש'!F354,'לקוחות לפי סוכן - מקור'!F493)</f>
        <v/>
      </c>
      <c r="F531" s="147">
        <f>IF('לקוחות לפי סוכן - מקור'!G493="",'לקוחות לפי סוכן - מקור חדש'!H354,'לקוחות לפי סוכן - מקור'!G493)</f>
        <v/>
      </c>
      <c r="G531" s="148">
        <f>IF('לקוחות לפי סוכן - מקור'!H493="",'לקוחות לפי סוכן - מקור חדש'!E354,'לקוחות לפי סוכן - מקור'!H493)</f>
        <v/>
      </c>
      <c r="H531" s="148">
        <f>IF('לקוחות לפי סוכן - מקור'!I493="",'לקוחות לפי סוכן - מקור חדש'!G354,'לקוחות לפי סוכן - מקור'!I493)</f>
        <v/>
      </c>
      <c r="I531" s="139" t="inlineStr">
        <is>
          <t>שני המקורות</t>
        </is>
      </c>
      <c r="J531" s="139" t="inlineStr">
        <is>
          <t>קיים במקור (CHMI) + מכר 2025/כמויות הושלמו מהקובץ החדש</t>
        </is>
      </c>
    </row>
    <row r="532" ht="15" customHeight="1" s="82">
      <c r="A532" s="139">
        <f>'לקוחות לפי סוכן - מקור'!A494</f>
        <v/>
      </c>
      <c r="B532" s="139">
        <f>'לקוחות לפי סוכן - מקור'!C494</f>
        <v/>
      </c>
      <c r="C532" s="139">
        <f>'לקוחות לפי סוכן - מקור'!D494</f>
        <v/>
      </c>
      <c r="D532" s="139">
        <f>'לקוחות לפי סוכן - מקור'!E494</f>
        <v/>
      </c>
      <c r="E532" s="147">
        <f>IF('לקוחות לפי סוכן - מקור'!F494="",'לקוחות לפי סוכן - מקור חדש'!F363,'לקוחות לפי סוכן - מקור'!F494)</f>
        <v/>
      </c>
      <c r="F532" s="147">
        <f>IF('לקוחות לפי סוכן - מקור'!G494="",'לקוחות לפי סוכן - מקור חדש'!H363,'לקוחות לפי סוכן - מקור'!G494)</f>
        <v/>
      </c>
      <c r="G532" s="148">
        <f>IF('לקוחות לפי סוכן - מקור'!H494="",'לקוחות לפי סוכן - מקור חדש'!E363,'לקוחות לפי סוכן - מקור'!H494)</f>
        <v/>
      </c>
      <c r="H532" s="148">
        <f>IF('לקוחות לפי סוכן - מקור'!I494="",'לקוחות לפי סוכן - מקור חדש'!G363,'לקוחות לפי סוכן - מקור'!I494)</f>
        <v/>
      </c>
      <c r="I532" s="139" t="inlineStr">
        <is>
          <t>שני המקורות</t>
        </is>
      </c>
      <c r="J532" s="139" t="inlineStr">
        <is>
          <t>קיים במקור (CHMI) + מכר 2025/כמויות הושלמו מהקובץ החדש</t>
        </is>
      </c>
    </row>
    <row r="533" ht="15" customHeight="1" s="82">
      <c r="A533" s="139">
        <f>'לקוחות לפי סוכן - מקור'!A495</f>
        <v/>
      </c>
      <c r="B533" s="139">
        <f>'לקוחות לפי סוכן - מקור'!C495</f>
        <v/>
      </c>
      <c r="C533" s="139">
        <f>'לקוחות לפי סוכן - מקור'!D495</f>
        <v/>
      </c>
      <c r="D533" s="139">
        <f>'לקוחות לפי סוכן - מקור'!E495</f>
        <v/>
      </c>
      <c r="E533" s="147">
        <f>IF('לקוחות לפי סוכן - מקור'!F495="",'לקוחות לפי סוכן - מקור חדש'!F369,'לקוחות לפי סוכן - מקור'!F495)</f>
        <v/>
      </c>
      <c r="F533" s="147">
        <f>IF('לקוחות לפי סוכן - מקור'!G495="",'לקוחות לפי סוכן - מקור חדש'!H369,'לקוחות לפי סוכן - מקור'!G495)</f>
        <v/>
      </c>
      <c r="G533" s="148">
        <f>IF('לקוחות לפי סוכן - מקור'!H495="",'לקוחות לפי סוכן - מקור חדש'!E369,'לקוחות לפי סוכן - מקור'!H495)</f>
        <v/>
      </c>
      <c r="H533" s="148">
        <f>IF('לקוחות לפי סוכן - מקור'!I495="",'לקוחות לפי סוכן - מקור חדש'!G369,'לקוחות לפי סוכן - מקור'!I495)</f>
        <v/>
      </c>
      <c r="I533" s="139" t="inlineStr">
        <is>
          <t>שני המקורות</t>
        </is>
      </c>
      <c r="J533" s="139" t="inlineStr">
        <is>
          <t>קיים במקור (CHMI) + מכר 2025/כמויות הושלמו מהקובץ החדש</t>
        </is>
      </c>
    </row>
    <row r="534" ht="15" customHeight="1" s="82">
      <c r="A534" s="139">
        <f>'לקוחות לפי סוכן - מקור'!A496</f>
        <v/>
      </c>
      <c r="B534" s="139">
        <f>'לקוחות לפי סוכן - מקור'!C496</f>
        <v/>
      </c>
      <c r="C534" s="139">
        <f>'לקוחות לפי סוכן - מקור'!D496</f>
        <v/>
      </c>
      <c r="D534" s="139">
        <f>'לקוחות לפי סוכן - מקור'!E496</f>
        <v/>
      </c>
      <c r="E534" s="147">
        <f>IF('לקוחות לפי סוכן - מקור'!F496="",'לקוחות לפי סוכן - מקור חדש'!F370,'לקוחות לפי סוכן - מקור'!F496)</f>
        <v/>
      </c>
      <c r="F534" s="147">
        <f>IF('לקוחות לפי סוכן - מקור'!G496="",'לקוחות לפי סוכן - מקור חדש'!H370,'לקוחות לפי סוכן - מקור'!G496)</f>
        <v/>
      </c>
      <c r="G534" s="148">
        <f>IF('לקוחות לפי סוכן - מקור'!H496="",'לקוחות לפי סוכן - מקור חדש'!E370,'לקוחות לפי סוכן - מקור'!H496)</f>
        <v/>
      </c>
      <c r="H534" s="148">
        <f>IF('לקוחות לפי סוכן - מקור'!I496="",'לקוחות לפי סוכן - מקור חדש'!G370,'לקוחות לפי סוכן - מקור'!I496)</f>
        <v/>
      </c>
      <c r="I534" s="139" t="inlineStr">
        <is>
          <t>שני המקורות</t>
        </is>
      </c>
      <c r="J534" s="139" t="inlineStr">
        <is>
          <t>קיים במקור (CHMI) + מכר 2025/כמויות הושלמו מהקובץ החדש</t>
        </is>
      </c>
    </row>
    <row r="535" ht="15" customHeight="1" s="82">
      <c r="A535" s="139">
        <f>'לקוחות לפי סוכן - מקור'!A497</f>
        <v/>
      </c>
      <c r="B535" s="139">
        <f>'לקוחות לפי סוכן - מקור'!C497</f>
        <v/>
      </c>
      <c r="C535" s="139">
        <f>'לקוחות לפי סוכן - מקור'!D497</f>
        <v/>
      </c>
      <c r="D535" s="139">
        <f>'לקוחות לפי סוכן - מקור'!E497</f>
        <v/>
      </c>
      <c r="E535" s="147">
        <f>IF('לקוחות לפי סוכן - מקור'!F497="",'לקוחות לפי סוכן - מקור חדש'!F385,'לקוחות לפי סוכן - מקור'!F497)</f>
        <v/>
      </c>
      <c r="F535" s="147">
        <f>IF('לקוחות לפי סוכן - מקור'!G497="",'לקוחות לפי סוכן - מקור חדש'!H385,'לקוחות לפי סוכן - מקור'!G497)</f>
        <v/>
      </c>
      <c r="G535" s="148">
        <f>IF('לקוחות לפי סוכן - מקור'!H497="",'לקוחות לפי סוכן - מקור חדש'!E385,'לקוחות לפי סוכן - מקור'!H497)</f>
        <v/>
      </c>
      <c r="H535" s="148">
        <f>IF('לקוחות לפי סוכן - מקור'!I497="",'לקוחות לפי סוכן - מקור חדש'!G385,'לקוחות לפי סוכן - מקור'!I497)</f>
        <v/>
      </c>
      <c r="I535" s="139" t="inlineStr">
        <is>
          <t>שני המקורות</t>
        </is>
      </c>
      <c r="J535" s="139" t="inlineStr">
        <is>
          <t>קיים במקור (CHMI) + מכר 2025/כמויות הושלמו מהקובץ החדש</t>
        </is>
      </c>
    </row>
    <row r="536" ht="15" customHeight="1" s="82">
      <c r="A536" s="139">
        <f>'לקוחות לפי סוכן - מקור'!A498</f>
        <v/>
      </c>
      <c r="B536" s="139">
        <f>'לקוחות לפי סוכן - מקור'!C498</f>
        <v/>
      </c>
      <c r="C536" s="139">
        <f>'לקוחות לפי סוכן - מקור'!D498</f>
        <v/>
      </c>
      <c r="D536" s="139">
        <f>'לקוחות לפי סוכן - מקור'!E498</f>
        <v/>
      </c>
      <c r="E536" s="147">
        <f>IF('לקוחות לפי סוכן - מקור'!F498="",'לקוחות לפי סוכן - מקור חדש'!F386,'לקוחות לפי סוכן - מקור'!F498)</f>
        <v/>
      </c>
      <c r="F536" s="147">
        <f>IF('לקוחות לפי סוכן - מקור'!G498="",'לקוחות לפי סוכן - מקור חדש'!H386,'לקוחות לפי סוכן - מקור'!G498)</f>
        <v/>
      </c>
      <c r="G536" s="148">
        <f>IF('לקוחות לפי סוכן - מקור'!H498="",'לקוחות לפי סוכן - מקור חדש'!E386,'לקוחות לפי סוכן - מקור'!H498)</f>
        <v/>
      </c>
      <c r="H536" s="148">
        <f>IF('לקוחות לפי סוכן - מקור'!I498="",'לקוחות לפי סוכן - מקור חדש'!G386,'לקוחות לפי סוכן - מקור'!I498)</f>
        <v/>
      </c>
      <c r="I536" s="139" t="inlineStr">
        <is>
          <t>שני המקורות</t>
        </is>
      </c>
      <c r="J536" s="139" t="inlineStr">
        <is>
          <t>קיים במקור (CHMI) + מכר 2025/כמויות הושלמו מהקובץ החדש</t>
        </is>
      </c>
    </row>
    <row r="537" ht="15" customHeight="1" s="82">
      <c r="A537" s="139">
        <f>'לקוחות לפי סוכן - מקור'!A499</f>
        <v/>
      </c>
      <c r="B537" s="139">
        <f>'לקוחות לפי סוכן - מקור'!C499</f>
        <v/>
      </c>
      <c r="C537" s="139">
        <f>'לקוחות לפי סוכן - מקור'!D499</f>
        <v/>
      </c>
      <c r="D537" s="139">
        <f>'לקוחות לפי סוכן - מקור'!E499</f>
        <v/>
      </c>
      <c r="E537" s="147">
        <f>IF('לקוחות לפי סוכן - מקור'!F499="",SUM('לקוחות לפי סוכן - מקור חדש'!F328,'לקוחות לפי סוכן - מקור חדש'!F387),'לקוחות לפי סוכן - מקור'!F499)</f>
        <v/>
      </c>
      <c r="F537" s="147">
        <f>IF('לקוחות לפי סוכן - מקור'!G499="",SUM('לקוחות לפי סוכן - מקור חדש'!H328,'לקוחות לפי סוכן - מקור חדש'!H387),'לקוחות לפי סוכן - מקור'!G499)</f>
        <v/>
      </c>
      <c r="G537" s="148">
        <f>IF('לקוחות לפי סוכן - מקור'!H499="",SUM('לקוחות לפי סוכן - מקור חדש'!E328,'לקוחות לפי סוכן - מקור חדש'!E387),'לקוחות לפי סוכן - מקור'!H499)</f>
        <v/>
      </c>
      <c r="H537" s="148">
        <f>IF('לקוחות לפי סוכן - מקור'!I499="",SUM('לקוחות לפי סוכן - מקור חדש'!G328,'לקוחות לפי סוכן - מקור חדש'!G387),'לקוחות לפי סוכן - מקור'!I499)</f>
        <v/>
      </c>
      <c r="I537" s="139" t="inlineStr">
        <is>
          <t>שני המקורות</t>
        </is>
      </c>
      <c r="J537" s="139" t="inlineStr">
        <is>
          <t>קיים במקור (CHMI) + מכר 2025/כמויות הושלמו מהקובץ החדש (אוחדו 2 שורות מהקובץ החדש לאותה חנות) — פער ב-2026 מול הקובץ החדש, נבחר המקור</t>
        </is>
      </c>
    </row>
    <row r="538" ht="15" customHeight="1" s="82">
      <c r="A538" s="139">
        <f>'לקוחות לפי סוכן - מקור'!A500</f>
        <v/>
      </c>
      <c r="B538" s="139">
        <f>'לקוחות לפי סוכן - מקור'!C500</f>
        <v/>
      </c>
      <c r="C538" s="139">
        <f>'לקוחות לפי סוכן - מקור'!D500</f>
        <v/>
      </c>
      <c r="D538" s="139">
        <f>'לקוחות לפי סוכן - מקור'!E500</f>
        <v/>
      </c>
      <c r="E538" s="147">
        <f>'לקוחות לפי סוכן - מקור'!F500</f>
        <v/>
      </c>
      <c r="F538" s="147">
        <f>'לקוחות לפי סוכן - מקור'!G500</f>
        <v/>
      </c>
      <c r="G538" s="148">
        <f>'לקוחות לפי סוכן - מקור'!H500</f>
        <v/>
      </c>
      <c r="H538" s="148">
        <f>'לקוחות לפי סוכן - מקור'!I500</f>
        <v/>
      </c>
      <c r="I538" s="139">
        <f>'לקוחות לפי סוכן - מקור'!K500</f>
        <v/>
      </c>
      <c r="J538" s="139" t="inlineStr">
        <is>
          <t>קיים במקור</t>
        </is>
      </c>
    </row>
    <row r="539" ht="15" customHeight="1" s="82">
      <c r="A539" s="139">
        <f>'לקוחות לפי סוכן - מקור'!A501</f>
        <v/>
      </c>
      <c r="B539" s="139">
        <f>'לקוחות לפי סוכן - מקור'!C501</f>
        <v/>
      </c>
      <c r="C539" s="139">
        <f>'לקוחות לפי סוכן - מקור'!D501</f>
        <v/>
      </c>
      <c r="D539" s="139">
        <f>'לקוחות לפי סוכן - מקור'!E501</f>
        <v/>
      </c>
      <c r="E539" s="147">
        <f>'לקוחות לפי סוכן - מקור'!F501</f>
        <v/>
      </c>
      <c r="F539" s="147">
        <f>'לקוחות לפי סוכן - מקור'!G501</f>
        <v/>
      </c>
      <c r="G539" s="148">
        <f>'לקוחות לפי סוכן - מקור'!H501</f>
        <v/>
      </c>
      <c r="H539" s="148">
        <f>'לקוחות לפי סוכן - מקור'!I501</f>
        <v/>
      </c>
      <c r="I539" s="139">
        <f>'לקוחות לפי סוכן - מקור'!K501</f>
        <v/>
      </c>
      <c r="J539" s="139" t="inlineStr">
        <is>
          <t>קיים במקור</t>
        </is>
      </c>
    </row>
    <row r="540" ht="15" customHeight="1" s="82">
      <c r="A540" s="139">
        <f>'לקוחות לפי סוכן - מקור'!A502</f>
        <v/>
      </c>
      <c r="B540" s="139">
        <f>'לקוחות לפי סוכן - מקור'!C502</f>
        <v/>
      </c>
      <c r="C540" s="139">
        <f>'לקוחות לפי סוכן - מקור'!D502</f>
        <v/>
      </c>
      <c r="D540" s="139">
        <f>'לקוחות לפי סוכן - מקור'!E502</f>
        <v/>
      </c>
      <c r="E540" s="147">
        <f>'לקוחות לפי סוכן - מקור'!F502</f>
        <v/>
      </c>
      <c r="F540" s="147">
        <f>'לקוחות לפי סוכן - מקור'!G502</f>
        <v/>
      </c>
      <c r="G540" s="148">
        <f>'לקוחות לפי סוכן - מקור'!H502</f>
        <v/>
      </c>
      <c r="H540" s="148">
        <f>'לקוחות לפי סוכן - מקור'!I502</f>
        <v/>
      </c>
      <c r="I540" s="139">
        <f>'לקוחות לפי סוכן - מקור'!K502</f>
        <v/>
      </c>
      <c r="J540" s="139" t="inlineStr">
        <is>
          <t>קיים במקור</t>
        </is>
      </c>
    </row>
    <row r="541" ht="15" customHeight="1" s="82">
      <c r="A541" s="139">
        <f>'לקוחות לפי סוכן - מקור'!A503</f>
        <v/>
      </c>
      <c r="B541" s="139">
        <f>'לקוחות לפי סוכן - מקור'!C503</f>
        <v/>
      </c>
      <c r="C541" s="139">
        <f>'לקוחות לפי סוכן - מקור'!D503</f>
        <v/>
      </c>
      <c r="D541" s="139">
        <f>'לקוחות לפי סוכן - מקור'!E503</f>
        <v/>
      </c>
      <c r="E541" s="147">
        <f>'לקוחות לפי סוכן - מקור'!F503</f>
        <v/>
      </c>
      <c r="F541" s="147">
        <f>'לקוחות לפי סוכן - מקור'!G503</f>
        <v/>
      </c>
      <c r="G541" s="148">
        <f>'לקוחות לפי סוכן - מקור'!H503</f>
        <v/>
      </c>
      <c r="H541" s="148">
        <f>'לקוחות לפי סוכן - מקור'!I503</f>
        <v/>
      </c>
      <c r="I541" s="139">
        <f>'לקוחות לפי סוכן - מקור'!K503</f>
        <v/>
      </c>
      <c r="J541" s="139" t="inlineStr">
        <is>
          <t>קיים במקור</t>
        </is>
      </c>
    </row>
    <row r="542" ht="15" customHeight="1" s="82">
      <c r="A542" s="139">
        <f>'לקוחות לפי סוכן - מקור'!A504</f>
        <v/>
      </c>
      <c r="B542" s="139">
        <f>'לקוחות לפי סוכן - מקור'!C504</f>
        <v/>
      </c>
      <c r="C542" s="139">
        <f>'לקוחות לפי סוכן - מקור'!D504</f>
        <v/>
      </c>
      <c r="D542" s="139">
        <f>'לקוחות לפי סוכן - מקור'!E504</f>
        <v/>
      </c>
      <c r="E542" s="147">
        <f>'לקוחות לפי סוכן - מקור'!F504</f>
        <v/>
      </c>
      <c r="F542" s="147">
        <f>'לקוחות לפי סוכן - מקור'!G504</f>
        <v/>
      </c>
      <c r="G542" s="148">
        <f>'לקוחות לפי סוכן - מקור'!H504</f>
        <v/>
      </c>
      <c r="H542" s="148">
        <f>'לקוחות לפי סוכן - מקור'!I504</f>
        <v/>
      </c>
      <c r="I542" s="139">
        <f>'לקוחות לפי סוכן - מקור'!K504</f>
        <v/>
      </c>
      <c r="J542" s="139" t="inlineStr">
        <is>
          <t>קיים במקור</t>
        </is>
      </c>
    </row>
    <row r="543" ht="15" customHeight="1" s="82">
      <c r="A543" s="139">
        <f>'לקוחות לפי סוכן - מקור'!A505</f>
        <v/>
      </c>
      <c r="B543" s="139">
        <f>'לקוחות לפי סוכן - מקור'!C505</f>
        <v/>
      </c>
      <c r="C543" s="139">
        <f>'לקוחות לפי סוכן - מקור'!D505</f>
        <v/>
      </c>
      <c r="D543" s="139">
        <f>'לקוחות לפי סוכן - מקור'!E505</f>
        <v/>
      </c>
      <c r="E543" s="147">
        <f>'לקוחות לפי סוכן - מקור'!F505</f>
        <v/>
      </c>
      <c r="F543" s="147">
        <f>'לקוחות לפי סוכן - מקור'!G505</f>
        <v/>
      </c>
      <c r="G543" s="148">
        <f>'לקוחות לפי סוכן - מקור'!H505</f>
        <v/>
      </c>
      <c r="H543" s="148">
        <f>'לקוחות לפי סוכן - מקור'!I505</f>
        <v/>
      </c>
      <c r="I543" s="139">
        <f>'לקוחות לפי סוכן - מקור'!K505</f>
        <v/>
      </c>
      <c r="J543" s="139" t="inlineStr">
        <is>
          <t>קיים במקור</t>
        </is>
      </c>
    </row>
    <row r="544" ht="15" customHeight="1" s="82">
      <c r="A544" s="139">
        <f>'לקוחות לפי סוכן - מקור'!A506</f>
        <v/>
      </c>
      <c r="B544" s="139">
        <f>'לקוחות לפי סוכן - מקור'!C506</f>
        <v/>
      </c>
      <c r="C544" s="139">
        <f>'לקוחות לפי סוכן - מקור'!D506</f>
        <v/>
      </c>
      <c r="D544" s="139">
        <f>'לקוחות לפי סוכן - מקור'!E506</f>
        <v/>
      </c>
      <c r="E544" s="147">
        <f>'לקוחות לפי סוכן - מקור'!F506</f>
        <v/>
      </c>
      <c r="F544" s="147">
        <f>'לקוחות לפי סוכן - מקור'!G506</f>
        <v/>
      </c>
      <c r="G544" s="148">
        <f>'לקוחות לפי סוכן - מקור'!H506</f>
        <v/>
      </c>
      <c r="H544" s="148">
        <f>'לקוחות לפי סוכן - מקור'!I506</f>
        <v/>
      </c>
      <c r="I544" s="139">
        <f>'לקוחות לפי סוכן - מקור'!K506</f>
        <v/>
      </c>
      <c r="J544" s="139" t="inlineStr">
        <is>
          <t>קיים במקור</t>
        </is>
      </c>
    </row>
    <row r="545" ht="15" customHeight="1" s="82">
      <c r="A545" s="139">
        <f>'לקוחות לפי סוכן - מקור'!A507</f>
        <v/>
      </c>
      <c r="B545" s="139">
        <f>'לקוחות לפי סוכן - מקור'!C507</f>
        <v/>
      </c>
      <c r="C545" s="139">
        <f>'לקוחות לפי סוכן - מקור'!D507</f>
        <v/>
      </c>
      <c r="D545" s="139">
        <f>'לקוחות לפי סוכן - מקור'!E507</f>
        <v/>
      </c>
      <c r="E545" s="147">
        <f>'לקוחות לפי סוכן - מקור'!F507</f>
        <v/>
      </c>
      <c r="F545" s="147">
        <f>'לקוחות לפי סוכן - מקור'!G507</f>
        <v/>
      </c>
      <c r="G545" s="148">
        <f>'לקוחות לפי סוכן - מקור'!H507</f>
        <v/>
      </c>
      <c r="H545" s="148">
        <f>'לקוחות לפי סוכן - מקור'!I507</f>
        <v/>
      </c>
      <c r="I545" s="139">
        <f>'לקוחות לפי סוכן - מקור'!K507</f>
        <v/>
      </c>
      <c r="J545" s="139" t="inlineStr">
        <is>
          <t>קיים במקור</t>
        </is>
      </c>
    </row>
    <row r="546" ht="15" customHeight="1" s="82">
      <c r="A546" s="139">
        <f>'לקוחות לפי סוכן - מקור'!A508</f>
        <v/>
      </c>
      <c r="B546" s="139">
        <f>'לקוחות לפי סוכן - מקור'!C508</f>
        <v/>
      </c>
      <c r="C546" s="139">
        <f>'לקוחות לפי סוכן - מקור'!D508</f>
        <v/>
      </c>
      <c r="D546" s="139">
        <f>'לקוחות לפי סוכן - מקור'!E508</f>
        <v/>
      </c>
      <c r="E546" s="147">
        <f>'לקוחות לפי סוכן - מקור'!F508</f>
        <v/>
      </c>
      <c r="F546" s="147">
        <f>'לקוחות לפי סוכן - מקור'!G508</f>
        <v/>
      </c>
      <c r="G546" s="148">
        <f>'לקוחות לפי סוכן - מקור'!H508</f>
        <v/>
      </c>
      <c r="H546" s="148">
        <f>'לקוחות לפי סוכן - מקור'!I508</f>
        <v/>
      </c>
      <c r="I546" s="139">
        <f>'לקוחות לפי סוכן - מקור'!K508</f>
        <v/>
      </c>
      <c r="J546" s="139" t="inlineStr">
        <is>
          <t>קיים במקור</t>
        </is>
      </c>
    </row>
    <row r="547" ht="15" customHeight="1" s="82">
      <c r="A547" s="139">
        <f>'לקוחות לפי סוכן - מקור'!A509</f>
        <v/>
      </c>
      <c r="B547" s="139">
        <f>'לקוחות לפי סוכן - מקור'!C509</f>
        <v/>
      </c>
      <c r="C547" s="139">
        <f>'לקוחות לפי סוכן - מקור'!D509</f>
        <v/>
      </c>
      <c r="D547" s="139">
        <f>'לקוחות לפי סוכן - מקור'!E509</f>
        <v/>
      </c>
      <c r="E547" s="147">
        <f>'לקוחות לפי סוכן - מקור'!F509</f>
        <v/>
      </c>
      <c r="F547" s="147">
        <f>'לקוחות לפי סוכן - מקור'!G509</f>
        <v/>
      </c>
      <c r="G547" s="148">
        <f>'לקוחות לפי סוכן - מקור'!H509</f>
        <v/>
      </c>
      <c r="H547" s="148">
        <f>'לקוחות לפי סוכן - מקור'!I509</f>
        <v/>
      </c>
      <c r="I547" s="139">
        <f>'לקוחות לפי סוכן - מקור'!K509</f>
        <v/>
      </c>
      <c r="J547" s="139" t="inlineStr">
        <is>
          <t>קיים במקור</t>
        </is>
      </c>
    </row>
    <row r="548" ht="15" customHeight="1" s="82">
      <c r="A548" s="139">
        <f>'לקוחות לפי סוכן - מקור'!A510</f>
        <v/>
      </c>
      <c r="B548" s="139">
        <f>'לקוחות לפי סוכן - מקור'!C510</f>
        <v/>
      </c>
      <c r="C548" s="139">
        <f>'לקוחות לפי סוכן - מקור'!D510</f>
        <v/>
      </c>
      <c r="D548" s="139">
        <f>'לקוחות לפי סוכן - מקור'!E510</f>
        <v/>
      </c>
      <c r="E548" s="147">
        <f>'לקוחות לפי סוכן - מקור'!F510</f>
        <v/>
      </c>
      <c r="F548" s="147">
        <f>'לקוחות לפי סוכן - מקור'!G510</f>
        <v/>
      </c>
      <c r="G548" s="148">
        <f>'לקוחות לפי סוכן - מקור'!H510</f>
        <v/>
      </c>
      <c r="H548" s="148">
        <f>'לקוחות לפי סוכן - מקור'!I510</f>
        <v/>
      </c>
      <c r="I548" s="139">
        <f>'לקוחות לפי סוכן - מקור'!K510</f>
        <v/>
      </c>
      <c r="J548" s="139" t="inlineStr">
        <is>
          <t>קיים במקור</t>
        </is>
      </c>
    </row>
    <row r="549" ht="15" customHeight="1" s="82">
      <c r="A549" s="139">
        <f>'לקוחות לפי סוכן - מקור'!A511</f>
        <v/>
      </c>
      <c r="B549" s="139">
        <f>'לקוחות לפי סוכן - מקור'!C511</f>
        <v/>
      </c>
      <c r="C549" s="139">
        <f>'לקוחות לפי סוכן - מקור'!D511</f>
        <v/>
      </c>
      <c r="D549" s="139">
        <f>'לקוחות לפי סוכן - מקור'!E511</f>
        <v/>
      </c>
      <c r="E549" s="147">
        <f>'לקוחות לפי סוכן - מקור'!F511</f>
        <v/>
      </c>
      <c r="F549" s="147">
        <f>'לקוחות לפי סוכן - מקור'!G511</f>
        <v/>
      </c>
      <c r="G549" s="148">
        <f>'לקוחות לפי סוכן - מקור'!H511</f>
        <v/>
      </c>
      <c r="H549" s="148">
        <f>'לקוחות לפי סוכן - מקור'!I511</f>
        <v/>
      </c>
      <c r="I549" s="139">
        <f>'לקוחות לפי סוכן - מקור'!K511</f>
        <v/>
      </c>
      <c r="J549" s="139" t="inlineStr">
        <is>
          <t>קיים במקור</t>
        </is>
      </c>
    </row>
    <row r="550" ht="15" customHeight="1" s="82">
      <c r="A550" s="139">
        <f>'לקוחות לפי סוכן - מקור'!A512</f>
        <v/>
      </c>
      <c r="B550" s="139">
        <f>'לקוחות לפי סוכן - מקור'!C512</f>
        <v/>
      </c>
      <c r="C550" s="139">
        <f>'לקוחות לפי סוכן - מקור'!D512</f>
        <v/>
      </c>
      <c r="D550" s="139">
        <f>'לקוחות לפי סוכן - מקור'!E512</f>
        <v/>
      </c>
      <c r="E550" s="147">
        <f>'לקוחות לפי סוכן - מקור'!F512</f>
        <v/>
      </c>
      <c r="F550" s="147">
        <f>'לקוחות לפי סוכן - מקור'!G512</f>
        <v/>
      </c>
      <c r="G550" s="148">
        <f>'לקוחות לפי סוכן - מקור'!H512</f>
        <v/>
      </c>
      <c r="H550" s="148">
        <f>'לקוחות לפי סוכן - מקור'!I512</f>
        <v/>
      </c>
      <c r="I550" s="139">
        <f>'לקוחות לפי סוכן - מקור'!K512</f>
        <v/>
      </c>
      <c r="J550" s="139" t="inlineStr">
        <is>
          <t>קיים במקור</t>
        </is>
      </c>
    </row>
    <row r="551" ht="15" customHeight="1" s="82">
      <c r="A551" s="139">
        <f>'לקוחות לפי סוכן - מקור'!A513</f>
        <v/>
      </c>
      <c r="B551" s="139">
        <f>'לקוחות לפי סוכן - מקור'!C513</f>
        <v/>
      </c>
      <c r="C551" s="139">
        <f>'לקוחות לפי סוכן - מקור'!D513</f>
        <v/>
      </c>
      <c r="D551" s="139">
        <f>'לקוחות לפי סוכן - מקור'!E513</f>
        <v/>
      </c>
      <c r="E551" s="147">
        <f>'לקוחות לפי סוכן - מקור'!F513</f>
        <v/>
      </c>
      <c r="F551" s="147">
        <f>'לקוחות לפי סוכן - מקור'!G513</f>
        <v/>
      </c>
      <c r="G551" s="148">
        <f>'לקוחות לפי סוכן - מקור'!H513</f>
        <v/>
      </c>
      <c r="H551" s="148">
        <f>'לקוחות לפי סוכן - מקור'!I513</f>
        <v/>
      </c>
      <c r="I551" s="139">
        <f>'לקוחות לפי סוכן - מקור'!K513</f>
        <v/>
      </c>
      <c r="J551" s="139" t="inlineStr">
        <is>
          <t>קיים במקור</t>
        </is>
      </c>
    </row>
    <row r="552" ht="15" customHeight="1" s="82">
      <c r="A552" s="139">
        <f>'לקוחות לפי סוכן - מקור'!A514</f>
        <v/>
      </c>
      <c r="B552" s="139">
        <f>'לקוחות לפי סוכן - מקור'!C514</f>
        <v/>
      </c>
      <c r="C552" s="139">
        <f>'לקוחות לפי סוכן - מקור'!D514</f>
        <v/>
      </c>
      <c r="D552" s="139">
        <f>'לקוחות לפי סוכן - מקור'!E514</f>
        <v/>
      </c>
      <c r="E552" s="147">
        <f>'לקוחות לפי סוכן - מקור'!F514</f>
        <v/>
      </c>
      <c r="F552" s="147">
        <f>'לקוחות לפי סוכן - מקור'!G514</f>
        <v/>
      </c>
      <c r="G552" s="148">
        <f>'לקוחות לפי סוכן - מקור'!H514</f>
        <v/>
      </c>
      <c r="H552" s="148">
        <f>'לקוחות לפי סוכן - מקור'!I514</f>
        <v/>
      </c>
      <c r="I552" s="139">
        <f>'לקוחות לפי סוכן - מקור'!K514</f>
        <v/>
      </c>
      <c r="J552" s="139" t="inlineStr">
        <is>
          <t>קיים במקור</t>
        </is>
      </c>
    </row>
    <row r="553" ht="15" customHeight="1" s="82">
      <c r="A553" s="139">
        <f>'לקוחות לפי סוכן - מקור'!A515</f>
        <v/>
      </c>
      <c r="B553" s="139">
        <f>'לקוחות לפי סוכן - מקור'!C515</f>
        <v/>
      </c>
      <c r="C553" s="139">
        <f>'לקוחות לפי סוכן - מקור'!D515</f>
        <v/>
      </c>
      <c r="D553" s="139">
        <f>'לקוחות לפי סוכן - מקור'!E515</f>
        <v/>
      </c>
      <c r="E553" s="147">
        <f>'לקוחות לפי סוכן - מקור'!F515</f>
        <v/>
      </c>
      <c r="F553" s="147">
        <f>'לקוחות לפי סוכן - מקור'!G515</f>
        <v/>
      </c>
      <c r="G553" s="148">
        <f>'לקוחות לפי סוכן - מקור'!H515</f>
        <v/>
      </c>
      <c r="H553" s="148">
        <f>'לקוחות לפי סוכן - מקור'!I515</f>
        <v/>
      </c>
      <c r="I553" s="139">
        <f>'לקוחות לפי סוכן - מקור'!K515</f>
        <v/>
      </c>
      <c r="J553" s="139" t="inlineStr">
        <is>
          <t>קיים במקור</t>
        </is>
      </c>
    </row>
    <row r="554" ht="15" customHeight="1" s="82">
      <c r="A554" s="139">
        <f>'לקוחות לפי סוכן - מקור'!A516</f>
        <v/>
      </c>
      <c r="B554" s="139">
        <f>'לקוחות לפי סוכן - מקור'!C516</f>
        <v/>
      </c>
      <c r="C554" s="139">
        <f>'לקוחות לפי סוכן - מקור'!D516</f>
        <v/>
      </c>
      <c r="D554" s="139">
        <f>'לקוחות לפי סוכן - מקור'!E516</f>
        <v/>
      </c>
      <c r="E554" s="147">
        <f>'לקוחות לפי סוכן - מקור'!F516</f>
        <v/>
      </c>
      <c r="F554" s="147">
        <f>'לקוחות לפי סוכן - מקור'!G516</f>
        <v/>
      </c>
      <c r="G554" s="148">
        <f>'לקוחות לפי סוכן - מקור'!H516</f>
        <v/>
      </c>
      <c r="H554" s="148">
        <f>'לקוחות לפי סוכן - מקור'!I516</f>
        <v/>
      </c>
      <c r="I554" s="139">
        <f>'לקוחות לפי סוכן - מקור'!K516</f>
        <v/>
      </c>
      <c r="J554" s="139" t="inlineStr">
        <is>
          <t>קיים במקור</t>
        </is>
      </c>
    </row>
    <row r="555" ht="15" customHeight="1" s="82">
      <c r="A555" s="139">
        <f>'לקוחות לפי סוכן - מקור'!A517</f>
        <v/>
      </c>
      <c r="B555" s="139">
        <f>'לקוחות לפי סוכן - מקור'!C517</f>
        <v/>
      </c>
      <c r="C555" s="139">
        <f>'לקוחות לפי סוכן - מקור'!D517</f>
        <v/>
      </c>
      <c r="D555" s="139">
        <f>'לקוחות לפי סוכן - מקור'!E517</f>
        <v/>
      </c>
      <c r="E555" s="147">
        <f>'לקוחות לפי סוכן - מקור'!F517</f>
        <v/>
      </c>
      <c r="F555" s="147">
        <f>'לקוחות לפי סוכן - מקור'!G517</f>
        <v/>
      </c>
      <c r="G555" s="148">
        <f>'לקוחות לפי סוכן - מקור'!H517</f>
        <v/>
      </c>
      <c r="H555" s="148">
        <f>'לקוחות לפי סוכן - מקור'!I517</f>
        <v/>
      </c>
      <c r="I555" s="139">
        <f>'לקוחות לפי סוכן - מקור'!K517</f>
        <v/>
      </c>
      <c r="J555" s="139" t="inlineStr">
        <is>
          <t>קיים במקור</t>
        </is>
      </c>
    </row>
    <row r="556" ht="15" customHeight="1" s="82">
      <c r="A556" s="139">
        <f>'לקוחות לפי סוכן - מקור'!A518</f>
        <v/>
      </c>
      <c r="B556" s="139">
        <f>'לקוחות לפי סוכן - מקור'!C518</f>
        <v/>
      </c>
      <c r="C556" s="139">
        <f>'לקוחות לפי סוכן - מקור'!D518</f>
        <v/>
      </c>
      <c r="D556" s="139">
        <f>'לקוחות לפי סוכן - מקור'!E518</f>
        <v/>
      </c>
      <c r="E556" s="147">
        <f>'לקוחות לפי סוכן - מקור'!F518</f>
        <v/>
      </c>
      <c r="F556" s="147">
        <f>'לקוחות לפי סוכן - מקור'!G518</f>
        <v/>
      </c>
      <c r="G556" s="148">
        <f>'לקוחות לפי סוכן - מקור'!H518</f>
        <v/>
      </c>
      <c r="H556" s="148">
        <f>'לקוחות לפי סוכן - מקור'!I518</f>
        <v/>
      </c>
      <c r="I556" s="139">
        <f>'לקוחות לפי סוכן - מקור'!K518</f>
        <v/>
      </c>
      <c r="J556" s="139" t="inlineStr">
        <is>
          <t>קיים במקור</t>
        </is>
      </c>
    </row>
    <row r="557" ht="15" customHeight="1" s="82">
      <c r="A557" s="139">
        <f>'לקוחות לפי סוכן - מקור'!A519</f>
        <v/>
      </c>
      <c r="B557" s="139">
        <f>'לקוחות לפי סוכן - מקור'!C519</f>
        <v/>
      </c>
      <c r="C557" s="139">
        <f>'לקוחות לפי סוכן - מקור'!D519</f>
        <v/>
      </c>
      <c r="D557" s="139">
        <f>'לקוחות לפי סוכן - מקור'!E519</f>
        <v/>
      </c>
      <c r="E557" s="147">
        <f>'לקוחות לפי סוכן - מקור'!F519</f>
        <v/>
      </c>
      <c r="F557" s="147">
        <f>'לקוחות לפי סוכן - מקור'!G519</f>
        <v/>
      </c>
      <c r="G557" s="148">
        <f>'לקוחות לפי סוכן - מקור'!H519</f>
        <v/>
      </c>
      <c r="H557" s="148">
        <f>'לקוחות לפי סוכן - מקור'!I519</f>
        <v/>
      </c>
      <c r="I557" s="139">
        <f>'לקוחות לפי סוכן - מקור'!K519</f>
        <v/>
      </c>
      <c r="J557" s="139" t="inlineStr">
        <is>
          <t>קיים במקור</t>
        </is>
      </c>
    </row>
    <row r="558" ht="15" customHeight="1" s="82">
      <c r="A558" s="139">
        <f>'לקוחות לפי סוכן - מקור'!A520</f>
        <v/>
      </c>
      <c r="B558" s="139">
        <f>'לקוחות לפי סוכן - מקור'!C520</f>
        <v/>
      </c>
      <c r="C558" s="139">
        <f>'לקוחות לפי סוכן - מקור'!D520</f>
        <v/>
      </c>
      <c r="D558" s="139">
        <f>'לקוחות לפי סוכן - מקור'!E520</f>
        <v/>
      </c>
      <c r="E558" s="147">
        <f>'לקוחות לפי סוכן - מקור'!F520</f>
        <v/>
      </c>
      <c r="F558" s="147">
        <f>'לקוחות לפי סוכן - מקור'!G520</f>
        <v/>
      </c>
      <c r="G558" s="148">
        <f>'לקוחות לפי סוכן - מקור'!H520</f>
        <v/>
      </c>
      <c r="H558" s="148">
        <f>'לקוחות לפי סוכן - מקור'!I520</f>
        <v/>
      </c>
      <c r="I558" s="139">
        <f>'לקוחות לפי סוכן - מקור'!K520</f>
        <v/>
      </c>
      <c r="J558" s="139" t="inlineStr">
        <is>
          <t>קיים במקור</t>
        </is>
      </c>
    </row>
    <row r="559" ht="15" customHeight="1" s="82">
      <c r="A559" s="139">
        <f>'לקוחות לפי סוכן - מקור'!A521</f>
        <v/>
      </c>
      <c r="B559" s="139">
        <f>'לקוחות לפי סוכן - מקור'!C521</f>
        <v/>
      </c>
      <c r="C559" s="139">
        <f>'לקוחות לפי סוכן - מקור'!D521</f>
        <v/>
      </c>
      <c r="D559" s="139">
        <f>'לקוחות לפי סוכן - מקור'!E521</f>
        <v/>
      </c>
      <c r="E559" s="147">
        <f>'לקוחות לפי סוכן - מקור'!F521</f>
        <v/>
      </c>
      <c r="F559" s="147">
        <f>'לקוחות לפי סוכן - מקור'!G521</f>
        <v/>
      </c>
      <c r="G559" s="148">
        <f>'לקוחות לפי סוכן - מקור'!H521</f>
        <v/>
      </c>
      <c r="H559" s="148">
        <f>'לקוחות לפי סוכן - מקור'!I521</f>
        <v/>
      </c>
      <c r="I559" s="139">
        <f>'לקוחות לפי סוכן - מקור'!K521</f>
        <v/>
      </c>
      <c r="J559" s="139" t="inlineStr">
        <is>
          <t>קיים במקור</t>
        </is>
      </c>
    </row>
    <row r="560" ht="15" customHeight="1" s="82">
      <c r="A560" s="139">
        <f>'לקוחות לפי סוכן - מקור'!A522</f>
        <v/>
      </c>
      <c r="B560" s="139">
        <f>'לקוחות לפי סוכן - מקור'!C522</f>
        <v/>
      </c>
      <c r="C560" s="139">
        <f>'לקוחות לפי סוכן - מקור'!D522</f>
        <v/>
      </c>
      <c r="D560" s="139">
        <f>'לקוחות לפי סוכן - מקור'!E522</f>
        <v/>
      </c>
      <c r="E560" s="147">
        <f>'לקוחות לפי סוכן - מקור'!F522</f>
        <v/>
      </c>
      <c r="F560" s="147">
        <f>'לקוחות לפי סוכן - מקור'!G522</f>
        <v/>
      </c>
      <c r="G560" s="148">
        <f>'לקוחות לפי סוכן - מקור'!H522</f>
        <v/>
      </c>
      <c r="H560" s="148">
        <f>'לקוחות לפי סוכן - מקור'!I522</f>
        <v/>
      </c>
      <c r="I560" s="139">
        <f>'לקוחות לפי סוכן - מקור'!K522</f>
        <v/>
      </c>
      <c r="J560" s="139" t="inlineStr">
        <is>
          <t>קיים במקור</t>
        </is>
      </c>
    </row>
    <row r="561" ht="15" customHeight="1" s="82">
      <c r="A561" s="139">
        <f>'לקוחות לפי סוכן - מקור'!A523</f>
        <v/>
      </c>
      <c r="B561" s="139">
        <f>'לקוחות לפי סוכן - מקור'!C523</f>
        <v/>
      </c>
      <c r="C561" s="139">
        <f>'לקוחות לפי סוכן - מקור'!D523</f>
        <v/>
      </c>
      <c r="D561" s="139">
        <f>'לקוחות לפי סוכן - מקור'!E523</f>
        <v/>
      </c>
      <c r="E561" s="147">
        <f>'לקוחות לפי סוכן - מקור'!F523</f>
        <v/>
      </c>
      <c r="F561" s="147">
        <f>'לקוחות לפי סוכן - מקור'!G523</f>
        <v/>
      </c>
      <c r="G561" s="148">
        <f>'לקוחות לפי סוכן - מקור'!H523</f>
        <v/>
      </c>
      <c r="H561" s="148">
        <f>'לקוחות לפי סוכן - מקור'!I523</f>
        <v/>
      </c>
      <c r="I561" s="139">
        <f>'לקוחות לפי סוכן - מקור'!K523</f>
        <v/>
      </c>
      <c r="J561" s="139" t="inlineStr">
        <is>
          <t>קיים במקור</t>
        </is>
      </c>
    </row>
    <row r="562" ht="15" customHeight="1" s="82">
      <c r="A562" s="139">
        <f>'לקוחות לפי סוכן - מקור'!A524</f>
        <v/>
      </c>
      <c r="B562" s="139">
        <f>'לקוחות לפי סוכן - מקור'!C524</f>
        <v/>
      </c>
      <c r="C562" s="139">
        <f>'לקוחות לפי סוכן - מקור'!D524</f>
        <v/>
      </c>
      <c r="D562" s="139">
        <f>'לקוחות לפי סוכן - מקור'!E524</f>
        <v/>
      </c>
      <c r="E562" s="147">
        <f>'לקוחות לפי סוכן - מקור'!F524</f>
        <v/>
      </c>
      <c r="F562" s="147">
        <f>'לקוחות לפי סוכן - מקור'!G524</f>
        <v/>
      </c>
      <c r="G562" s="148">
        <f>'לקוחות לפי סוכן - מקור'!H524</f>
        <v/>
      </c>
      <c r="H562" s="148">
        <f>'לקוחות לפי סוכן - מקור'!I524</f>
        <v/>
      </c>
      <c r="I562" s="139">
        <f>'לקוחות לפי סוכן - מקור'!K524</f>
        <v/>
      </c>
      <c r="J562" s="139" t="inlineStr">
        <is>
          <t>קיים במקור</t>
        </is>
      </c>
    </row>
    <row r="563" ht="15" customHeight="1" s="82">
      <c r="A563" s="139">
        <f>'לקוחות לפי סוכן - מקור'!A525</f>
        <v/>
      </c>
      <c r="B563" s="139">
        <f>'לקוחות לפי סוכן - מקור'!C525</f>
        <v/>
      </c>
      <c r="C563" s="139">
        <f>'לקוחות לפי סוכן - מקור'!D525</f>
        <v/>
      </c>
      <c r="D563" s="139">
        <f>'לקוחות לפי סוכן - מקור'!E525</f>
        <v/>
      </c>
      <c r="E563" s="147">
        <f>'לקוחות לפי סוכן - מקור'!F525</f>
        <v/>
      </c>
      <c r="F563" s="147">
        <f>'לקוחות לפי סוכן - מקור'!G525</f>
        <v/>
      </c>
      <c r="G563" s="148">
        <f>'לקוחות לפי סוכן - מקור'!H525</f>
        <v/>
      </c>
      <c r="H563" s="148">
        <f>'לקוחות לפי סוכן - מקור'!I525</f>
        <v/>
      </c>
      <c r="I563" s="139">
        <f>'לקוחות לפי סוכן - מקור'!K525</f>
        <v/>
      </c>
      <c r="J563" s="139" t="inlineStr">
        <is>
          <t>קיים במקור</t>
        </is>
      </c>
    </row>
    <row r="564" ht="15" customHeight="1" s="82">
      <c r="A564" s="139">
        <f>'לקוחות לפי סוכן - מקור'!A526</f>
        <v/>
      </c>
      <c r="B564" s="139">
        <f>'לקוחות לפי סוכן - מקור'!C526</f>
        <v/>
      </c>
      <c r="C564" s="139">
        <f>'לקוחות לפי סוכן - מקור'!D526</f>
        <v/>
      </c>
      <c r="D564" s="139">
        <f>'לקוחות לפי סוכן - מקור'!E526</f>
        <v/>
      </c>
      <c r="E564" s="147">
        <f>'לקוחות לפי סוכן - מקור'!F526</f>
        <v/>
      </c>
      <c r="F564" s="147">
        <f>'לקוחות לפי סוכן - מקור'!G526</f>
        <v/>
      </c>
      <c r="G564" s="148">
        <f>'לקוחות לפי סוכן - מקור'!H526</f>
        <v/>
      </c>
      <c r="H564" s="148">
        <f>'לקוחות לפי סוכן - מקור'!I526</f>
        <v/>
      </c>
      <c r="I564" s="139">
        <f>'לקוחות לפי סוכן - מקור'!K526</f>
        <v/>
      </c>
      <c r="J564" s="139" t="inlineStr">
        <is>
          <t>קיים במקור</t>
        </is>
      </c>
    </row>
    <row r="565" ht="15" customHeight="1" s="82">
      <c r="A565" s="139">
        <f>'לקוחות לפי סוכן - מקור'!A527</f>
        <v/>
      </c>
      <c r="B565" s="139">
        <f>'לקוחות לפי סוכן - מקור'!C527</f>
        <v/>
      </c>
      <c r="C565" s="139">
        <f>'לקוחות לפי סוכן - מקור'!D527</f>
        <v/>
      </c>
      <c r="D565" s="139">
        <f>'לקוחות לפי סוכן - מקור'!E527</f>
        <v/>
      </c>
      <c r="E565" s="147">
        <f>'לקוחות לפי סוכן - מקור'!F527</f>
        <v/>
      </c>
      <c r="F565" s="147">
        <f>'לקוחות לפי סוכן - מקור'!G527</f>
        <v/>
      </c>
      <c r="G565" s="148">
        <f>'לקוחות לפי סוכן - מקור'!H527</f>
        <v/>
      </c>
      <c r="H565" s="148">
        <f>'לקוחות לפי סוכן - מקור'!I527</f>
        <v/>
      </c>
      <c r="I565" s="139">
        <f>'לקוחות לפי סוכן - מקור'!K527</f>
        <v/>
      </c>
      <c r="J565" s="139" t="inlineStr">
        <is>
          <t>קיים במקור</t>
        </is>
      </c>
    </row>
    <row r="566" ht="15" customHeight="1" s="82">
      <c r="A566" s="139">
        <f>'לקוחות לפי סוכן - מקור'!A528</f>
        <v/>
      </c>
      <c r="B566" s="139">
        <f>'לקוחות לפי סוכן - מקור'!C528</f>
        <v/>
      </c>
      <c r="C566" s="139">
        <f>'לקוחות לפי סוכן - מקור'!D528</f>
        <v/>
      </c>
      <c r="D566" s="139">
        <f>'לקוחות לפי סוכן - מקור'!E528</f>
        <v/>
      </c>
      <c r="E566" s="147">
        <f>'לקוחות לפי סוכן - מקור'!F528</f>
        <v/>
      </c>
      <c r="F566" s="147">
        <f>'לקוחות לפי סוכן - מקור'!G528</f>
        <v/>
      </c>
      <c r="G566" s="148">
        <f>'לקוחות לפי סוכן - מקור'!H528</f>
        <v/>
      </c>
      <c r="H566" s="148">
        <f>'לקוחות לפי סוכן - מקור'!I528</f>
        <v/>
      </c>
      <c r="I566" s="139">
        <f>'לקוחות לפי סוכן - מקור'!K528</f>
        <v/>
      </c>
      <c r="J566" s="139" t="inlineStr">
        <is>
          <t>קיים במקור</t>
        </is>
      </c>
    </row>
    <row r="567" ht="15" customHeight="1" s="82">
      <c r="A567" s="139">
        <f>'לקוחות לפי סוכן - מקור'!A529</f>
        <v/>
      </c>
      <c r="B567" s="139">
        <f>'לקוחות לפי סוכן - מקור'!C529</f>
        <v/>
      </c>
      <c r="C567" s="139">
        <f>'לקוחות לפי סוכן - מקור'!D529</f>
        <v/>
      </c>
      <c r="D567" s="139">
        <f>'לקוחות לפי סוכן - מקור'!E529</f>
        <v/>
      </c>
      <c r="E567" s="147">
        <f>'לקוחות לפי סוכן - מקור'!F529</f>
        <v/>
      </c>
      <c r="F567" s="147">
        <f>'לקוחות לפי סוכן - מקור'!G529</f>
        <v/>
      </c>
      <c r="G567" s="148">
        <f>'לקוחות לפי סוכן - מקור'!H529</f>
        <v/>
      </c>
      <c r="H567" s="148">
        <f>'לקוחות לפי סוכן - מקור'!I529</f>
        <v/>
      </c>
      <c r="I567" s="139">
        <f>'לקוחות לפי סוכן - מקור'!K529</f>
        <v/>
      </c>
      <c r="J567" s="139" t="inlineStr">
        <is>
          <t>קיים במקור</t>
        </is>
      </c>
    </row>
    <row r="568" ht="15" customHeight="1" s="82">
      <c r="A568" s="139">
        <f>'לקוחות לפי סוכן - מקור'!A530</f>
        <v/>
      </c>
      <c r="B568" s="139">
        <f>'לקוחות לפי סוכן - מקור'!C530</f>
        <v/>
      </c>
      <c r="C568" s="139">
        <f>'לקוחות לפי סוכן - מקור'!D530</f>
        <v/>
      </c>
      <c r="D568" s="139">
        <f>'לקוחות לפי סוכן - מקור'!E530</f>
        <v/>
      </c>
      <c r="E568" s="147">
        <f>'לקוחות לפי סוכן - מקור'!F530</f>
        <v/>
      </c>
      <c r="F568" s="147">
        <f>'לקוחות לפי סוכן - מקור'!G530</f>
        <v/>
      </c>
      <c r="G568" s="148">
        <f>'לקוחות לפי סוכן - מקור'!H530</f>
        <v/>
      </c>
      <c r="H568" s="148">
        <f>'לקוחות לפי סוכן - מקור'!I530</f>
        <v/>
      </c>
      <c r="I568" s="139">
        <f>'לקוחות לפי סוכן - מקור'!K530</f>
        <v/>
      </c>
      <c r="J568" s="139" t="inlineStr">
        <is>
          <t>קיים במקור</t>
        </is>
      </c>
    </row>
    <row r="569" ht="15" customHeight="1" s="82">
      <c r="A569" s="139">
        <f>'לקוחות לפי סוכן - מקור'!A531</f>
        <v/>
      </c>
      <c r="B569" s="139">
        <f>'לקוחות לפי סוכן - מקור'!C531</f>
        <v/>
      </c>
      <c r="C569" s="139">
        <f>'לקוחות לפי סוכן - מקור'!D531</f>
        <v/>
      </c>
      <c r="D569" s="139">
        <f>'לקוחות לפי סוכן - מקור'!E531</f>
        <v/>
      </c>
      <c r="E569" s="147">
        <f>'לקוחות לפי סוכן - מקור'!F531</f>
        <v/>
      </c>
      <c r="F569" s="147">
        <f>'לקוחות לפי סוכן - מקור'!G531</f>
        <v/>
      </c>
      <c r="G569" s="148">
        <f>'לקוחות לפי סוכן - מקור'!H531</f>
        <v/>
      </c>
      <c r="H569" s="148">
        <f>'לקוחות לפי סוכן - מקור'!I531</f>
        <v/>
      </c>
      <c r="I569" s="139">
        <f>'לקוחות לפי סוכן - מקור'!K531</f>
        <v/>
      </c>
      <c r="J569" s="139" t="inlineStr">
        <is>
          <t>קיים במקור</t>
        </is>
      </c>
    </row>
    <row r="570" ht="15" customHeight="1" s="82">
      <c r="A570" s="139">
        <f>'לקוחות לפי סוכן - מקור'!A532</f>
        <v/>
      </c>
      <c r="B570" s="139">
        <f>'לקוחות לפי סוכן - מקור'!C532</f>
        <v/>
      </c>
      <c r="C570" s="139">
        <f>'לקוחות לפי סוכן - מקור'!D532</f>
        <v/>
      </c>
      <c r="D570" s="139">
        <f>'לקוחות לפי סוכן - מקור'!E532</f>
        <v/>
      </c>
      <c r="E570" s="147">
        <f>'לקוחות לפי סוכן - מקור'!F532</f>
        <v/>
      </c>
      <c r="F570" s="147">
        <f>'לקוחות לפי סוכן - מקור'!G532</f>
        <v/>
      </c>
      <c r="G570" s="148">
        <f>'לקוחות לפי סוכן - מקור'!H532</f>
        <v/>
      </c>
      <c r="H570" s="148">
        <f>'לקוחות לפי סוכן - מקור'!I532</f>
        <v/>
      </c>
      <c r="I570" s="139">
        <f>'לקוחות לפי סוכן - מקור'!K532</f>
        <v/>
      </c>
      <c r="J570" s="139" t="inlineStr">
        <is>
          <t>קיים במקור</t>
        </is>
      </c>
    </row>
    <row r="571" ht="15" customHeight="1" s="82">
      <c r="A571" s="139">
        <f>'לקוחות לפי סוכן - מקור'!A533</f>
        <v/>
      </c>
      <c r="B571" s="139">
        <f>'לקוחות לפי סוכן - מקור'!C533</f>
        <v/>
      </c>
      <c r="C571" s="139">
        <f>'לקוחות לפי סוכן - מקור'!D533</f>
        <v/>
      </c>
      <c r="D571" s="139">
        <f>'לקוחות לפי סוכן - מקור'!E533</f>
        <v/>
      </c>
      <c r="E571" s="147">
        <f>'לקוחות לפי סוכן - מקור'!F533</f>
        <v/>
      </c>
      <c r="F571" s="147">
        <f>'לקוחות לפי סוכן - מקור'!G533</f>
        <v/>
      </c>
      <c r="G571" s="148">
        <f>'לקוחות לפי סוכן - מקור'!H533</f>
        <v/>
      </c>
      <c r="H571" s="148">
        <f>'לקוחות לפי סוכן - מקור'!I533</f>
        <v/>
      </c>
      <c r="I571" s="139">
        <f>'לקוחות לפי סוכן - מקור'!K533</f>
        <v/>
      </c>
      <c r="J571" s="139" t="inlineStr">
        <is>
          <t>קיים במקור</t>
        </is>
      </c>
    </row>
    <row r="572" ht="15" customHeight="1" s="82">
      <c r="A572" s="139">
        <f>'לקוחות לפי סוכן - מקור'!A534</f>
        <v/>
      </c>
      <c r="B572" s="139">
        <f>'לקוחות לפי סוכן - מקור'!C534</f>
        <v/>
      </c>
      <c r="C572" s="139">
        <f>'לקוחות לפי סוכן - מקור'!D534</f>
        <v/>
      </c>
      <c r="D572" s="139">
        <f>'לקוחות לפי סוכן - מקור'!E534</f>
        <v/>
      </c>
      <c r="E572" s="147">
        <f>'לקוחות לפי סוכן - מקור'!F534</f>
        <v/>
      </c>
      <c r="F572" s="147">
        <f>'לקוחות לפי סוכן - מקור'!G534</f>
        <v/>
      </c>
      <c r="G572" s="148">
        <f>'לקוחות לפי סוכן - מקור'!H534</f>
        <v/>
      </c>
      <c r="H572" s="148">
        <f>'לקוחות לפי סוכן - מקור'!I534</f>
        <v/>
      </c>
      <c r="I572" s="139">
        <f>'לקוחות לפי סוכן - מקור'!K534</f>
        <v/>
      </c>
      <c r="J572" s="139" t="inlineStr">
        <is>
          <t>קיים במקור</t>
        </is>
      </c>
    </row>
    <row r="573" ht="15" customHeight="1" s="82">
      <c r="A573" s="139">
        <f>'לקוחות לפי סוכן - מקור'!A535</f>
        <v/>
      </c>
      <c r="B573" s="139">
        <f>'לקוחות לפי סוכן - מקור'!C535</f>
        <v/>
      </c>
      <c r="C573" s="139">
        <f>'לקוחות לפי סוכן - מקור'!D535</f>
        <v/>
      </c>
      <c r="D573" s="139">
        <f>'לקוחות לפי סוכן - מקור'!E535</f>
        <v/>
      </c>
      <c r="E573" s="147">
        <f>'לקוחות לפי סוכן - מקור'!F535</f>
        <v/>
      </c>
      <c r="F573" s="147">
        <f>'לקוחות לפי סוכן - מקור'!G535</f>
        <v/>
      </c>
      <c r="G573" s="148">
        <f>'לקוחות לפי סוכן - מקור'!H535</f>
        <v/>
      </c>
      <c r="H573" s="148">
        <f>'לקוחות לפי סוכן - מקור'!I535</f>
        <v/>
      </c>
      <c r="I573" s="139">
        <f>'לקוחות לפי סוכן - מקור'!K535</f>
        <v/>
      </c>
      <c r="J573" s="139" t="inlineStr">
        <is>
          <t>קיים במקור</t>
        </is>
      </c>
    </row>
    <row r="574" ht="15" customHeight="1" s="82">
      <c r="A574" s="139">
        <f>'לקוחות לפי סוכן - מקור'!A536</f>
        <v/>
      </c>
      <c r="B574" s="139">
        <f>'לקוחות לפי סוכן - מקור'!C536</f>
        <v/>
      </c>
      <c r="C574" s="139">
        <f>'לקוחות לפי סוכן - מקור'!D536</f>
        <v/>
      </c>
      <c r="D574" s="139">
        <f>'לקוחות לפי סוכן - מקור'!E536</f>
        <v/>
      </c>
      <c r="E574" s="147">
        <f>'לקוחות לפי סוכן - מקור'!F536</f>
        <v/>
      </c>
      <c r="F574" s="147">
        <f>'לקוחות לפי סוכן - מקור'!G536</f>
        <v/>
      </c>
      <c r="G574" s="148">
        <f>'לקוחות לפי סוכן - מקור'!H536</f>
        <v/>
      </c>
      <c r="H574" s="148">
        <f>'לקוחות לפי סוכן - מקור'!I536</f>
        <v/>
      </c>
      <c r="I574" s="139">
        <f>'לקוחות לפי סוכן - מקור'!K536</f>
        <v/>
      </c>
      <c r="J574" s="139" t="inlineStr">
        <is>
          <t>קיים במקור</t>
        </is>
      </c>
    </row>
    <row r="575" ht="15" customHeight="1" s="82">
      <c r="A575" s="139">
        <f>'לקוחות לפי סוכן - מקור'!A537</f>
        <v/>
      </c>
      <c r="B575" s="139">
        <f>'לקוחות לפי סוכן - מקור'!C537</f>
        <v/>
      </c>
      <c r="C575" s="139">
        <f>'לקוחות לפי סוכן - מקור'!D537</f>
        <v/>
      </c>
      <c r="D575" s="139">
        <f>'לקוחות לפי סוכן - מקור'!E537</f>
        <v/>
      </c>
      <c r="E575" s="147">
        <f>'לקוחות לפי סוכן - מקור'!F537</f>
        <v/>
      </c>
      <c r="F575" s="147">
        <f>'לקוחות לפי סוכן - מקור'!G537</f>
        <v/>
      </c>
      <c r="G575" s="148">
        <f>'לקוחות לפי סוכן - מקור'!H537</f>
        <v/>
      </c>
      <c r="H575" s="148">
        <f>'לקוחות לפי סוכן - מקור'!I537</f>
        <v/>
      </c>
      <c r="I575" s="139">
        <f>'לקוחות לפי סוכן - מקור'!K537</f>
        <v/>
      </c>
      <c r="J575" s="139" t="inlineStr">
        <is>
          <t>קיים במקור</t>
        </is>
      </c>
    </row>
    <row r="576" ht="15" customHeight="1" s="82">
      <c r="A576" s="139">
        <f>'לקוחות לפי סוכן - מקור'!A538</f>
        <v/>
      </c>
      <c r="B576" s="139">
        <f>'לקוחות לפי סוכן - מקור'!C538</f>
        <v/>
      </c>
      <c r="C576" s="139">
        <f>'לקוחות לפי סוכן - מקור'!D538</f>
        <v/>
      </c>
      <c r="D576" s="139">
        <f>'לקוחות לפי סוכן - מקור'!E538</f>
        <v/>
      </c>
      <c r="E576" s="147">
        <f>'לקוחות לפי סוכן - מקור'!F538</f>
        <v/>
      </c>
      <c r="F576" s="147">
        <f>'לקוחות לפי סוכן - מקור'!G538</f>
        <v/>
      </c>
      <c r="G576" s="148">
        <f>'לקוחות לפי סוכן - מקור'!H538</f>
        <v/>
      </c>
      <c r="H576" s="148">
        <f>'לקוחות לפי סוכן - מקור'!I538</f>
        <v/>
      </c>
      <c r="I576" s="139">
        <f>'לקוחות לפי סוכן - מקור'!K538</f>
        <v/>
      </c>
      <c r="J576" s="139" t="inlineStr">
        <is>
          <t>קיים במקור</t>
        </is>
      </c>
    </row>
    <row r="577" ht="15" customHeight="1" s="82">
      <c r="A577" s="139">
        <f>'לקוחות לפי סוכן - מקור'!A539</f>
        <v/>
      </c>
      <c r="B577" s="139">
        <f>'לקוחות לפי סוכן - מקור'!C539</f>
        <v/>
      </c>
      <c r="C577" s="139">
        <f>'לקוחות לפי סוכן - מקור'!D539</f>
        <v/>
      </c>
      <c r="D577" s="139">
        <f>'לקוחות לפי סוכן - מקור'!E539</f>
        <v/>
      </c>
      <c r="E577" s="147">
        <f>'לקוחות לפי סוכן - מקור'!F539</f>
        <v/>
      </c>
      <c r="F577" s="147">
        <f>'לקוחות לפי סוכן - מקור'!G539</f>
        <v/>
      </c>
      <c r="G577" s="148">
        <f>'לקוחות לפי סוכן - מקור'!H539</f>
        <v/>
      </c>
      <c r="H577" s="148">
        <f>'לקוחות לפי סוכן - מקור'!I539</f>
        <v/>
      </c>
      <c r="I577" s="139">
        <f>'לקוחות לפי סוכן - מקור'!K539</f>
        <v/>
      </c>
      <c r="J577" s="139" t="inlineStr">
        <is>
          <t>קיים במקור</t>
        </is>
      </c>
    </row>
    <row r="578" ht="15" customHeight="1" s="82">
      <c r="A578" s="139">
        <f>'לקוחות לפי סוכן - מקור'!A540</f>
        <v/>
      </c>
      <c r="B578" s="139">
        <f>'לקוחות לפי סוכן - מקור'!C540</f>
        <v/>
      </c>
      <c r="C578" s="139">
        <f>'לקוחות לפי סוכן - מקור'!D540</f>
        <v/>
      </c>
      <c r="D578" s="139">
        <f>'לקוחות לפי סוכן - מקור'!E540</f>
        <v/>
      </c>
      <c r="E578" s="147">
        <f>'לקוחות לפי סוכן - מקור'!F540</f>
        <v/>
      </c>
      <c r="F578" s="147">
        <f>'לקוחות לפי סוכן - מקור'!G540</f>
        <v/>
      </c>
      <c r="G578" s="148">
        <f>'לקוחות לפי סוכן - מקור'!H540</f>
        <v/>
      </c>
      <c r="H578" s="148">
        <f>'לקוחות לפי סוכן - מקור'!I540</f>
        <v/>
      </c>
      <c r="I578" s="139">
        <f>'לקוחות לפי סוכן - מקור'!K540</f>
        <v/>
      </c>
      <c r="J578" s="139" t="inlineStr">
        <is>
          <t>קיים במקור</t>
        </is>
      </c>
    </row>
    <row r="579" ht="15" customHeight="1" s="82">
      <c r="A579" s="139">
        <f>'לקוחות לפי סוכן - מקור'!A541</f>
        <v/>
      </c>
      <c r="B579" s="139">
        <f>'לקוחות לפי סוכן - מקור'!C541</f>
        <v/>
      </c>
      <c r="C579" s="139">
        <f>'לקוחות לפי סוכן - מקור'!D541</f>
        <v/>
      </c>
      <c r="D579" s="139">
        <f>'לקוחות לפי סוכן - מקור'!E541</f>
        <v/>
      </c>
      <c r="E579" s="147">
        <f>'לקוחות לפי סוכן - מקור'!F541</f>
        <v/>
      </c>
      <c r="F579" s="147">
        <f>'לקוחות לפי סוכן - מקור'!G541</f>
        <v/>
      </c>
      <c r="G579" s="148">
        <f>'לקוחות לפי סוכן - מקור'!H541</f>
        <v/>
      </c>
      <c r="H579" s="148">
        <f>'לקוחות לפי סוכן - מקור'!I541</f>
        <v/>
      </c>
      <c r="I579" s="139">
        <f>'לקוחות לפי סוכן - מקור'!K541</f>
        <v/>
      </c>
      <c r="J579" s="139" t="inlineStr">
        <is>
          <t>קיים במקור</t>
        </is>
      </c>
    </row>
    <row r="580" ht="15" customHeight="1" s="82">
      <c r="A580" s="139">
        <f>'לקוחות לפי סוכן - מקור'!A542</f>
        <v/>
      </c>
      <c r="B580" s="139">
        <f>'לקוחות לפי סוכן - מקור'!C542</f>
        <v/>
      </c>
      <c r="C580" s="139">
        <f>'לקוחות לפי סוכן - מקור'!D542</f>
        <v/>
      </c>
      <c r="D580" s="139">
        <f>'לקוחות לפי סוכן - מקור'!E542</f>
        <v/>
      </c>
      <c r="E580" s="147">
        <f>'לקוחות לפי סוכן - מקור'!F542</f>
        <v/>
      </c>
      <c r="F580" s="147">
        <f>'לקוחות לפי סוכן - מקור'!G542</f>
        <v/>
      </c>
      <c r="G580" s="148">
        <f>'לקוחות לפי סוכן - מקור'!H542</f>
        <v/>
      </c>
      <c r="H580" s="148">
        <f>'לקוחות לפי סוכן - מקור'!I542</f>
        <v/>
      </c>
      <c r="I580" s="139">
        <f>'לקוחות לפי סוכן - מקור'!K542</f>
        <v/>
      </c>
      <c r="J580" s="139" t="inlineStr">
        <is>
          <t>קיים במקור</t>
        </is>
      </c>
    </row>
    <row r="581" ht="15" customHeight="1" s="82">
      <c r="A581" s="139">
        <f>'לקוחות לפי סוכן - מקור'!A543</f>
        <v/>
      </c>
      <c r="B581" s="139">
        <f>'לקוחות לפי סוכן - מקור'!C543</f>
        <v/>
      </c>
      <c r="C581" s="139">
        <f>'לקוחות לפי סוכן - מקור'!D543</f>
        <v/>
      </c>
      <c r="D581" s="139">
        <f>'לקוחות לפי סוכן - מקור'!E543</f>
        <v/>
      </c>
      <c r="E581" s="147">
        <f>'לקוחות לפי סוכן - מקור'!F543</f>
        <v/>
      </c>
      <c r="F581" s="147">
        <f>'לקוחות לפי סוכן - מקור'!G543</f>
        <v/>
      </c>
      <c r="G581" s="148">
        <f>'לקוחות לפי סוכן - מקור'!H543</f>
        <v/>
      </c>
      <c r="H581" s="148">
        <f>'לקוחות לפי סוכן - מקור'!I543</f>
        <v/>
      </c>
      <c r="I581" s="139">
        <f>'לקוחות לפי סוכן - מקור'!K543</f>
        <v/>
      </c>
      <c r="J581" s="139" t="inlineStr">
        <is>
          <t>קיים במקור</t>
        </is>
      </c>
    </row>
    <row r="582" ht="15" customHeight="1" s="82">
      <c r="A582" s="139">
        <f>'לקוחות לפי סוכן - מקור'!A544</f>
        <v/>
      </c>
      <c r="B582" s="139">
        <f>'לקוחות לפי סוכן - מקור'!C544</f>
        <v/>
      </c>
      <c r="C582" s="139">
        <f>'לקוחות לפי סוכן - מקור'!D544</f>
        <v/>
      </c>
      <c r="D582" s="139">
        <f>'לקוחות לפי סוכן - מקור'!E544</f>
        <v/>
      </c>
      <c r="E582" s="147">
        <f>'לקוחות לפי סוכן - מקור'!F544</f>
        <v/>
      </c>
      <c r="F582" s="147">
        <f>'לקוחות לפי סוכן - מקור'!G544</f>
        <v/>
      </c>
      <c r="G582" s="148">
        <f>'לקוחות לפי סוכן - מקור'!H544</f>
        <v/>
      </c>
      <c r="H582" s="148">
        <f>'לקוחות לפי סוכן - מקור'!I544</f>
        <v/>
      </c>
      <c r="I582" s="139">
        <f>'לקוחות לפי סוכן - מקור'!K544</f>
        <v/>
      </c>
      <c r="J582" s="139" t="inlineStr">
        <is>
          <t>קיים במקור</t>
        </is>
      </c>
    </row>
    <row r="583" ht="15" customHeight="1" s="82">
      <c r="A583" s="139">
        <f>'לקוחות לפי סוכן - מקור'!A545</f>
        <v/>
      </c>
      <c r="B583" s="139">
        <f>'לקוחות לפי סוכן - מקור'!C545</f>
        <v/>
      </c>
      <c r="C583" s="139">
        <f>'לקוחות לפי סוכן - מקור'!D545</f>
        <v/>
      </c>
      <c r="D583" s="139">
        <f>'לקוחות לפי סוכן - מקור'!E545</f>
        <v/>
      </c>
      <c r="E583" s="147">
        <f>'לקוחות לפי סוכן - מקור'!F545</f>
        <v/>
      </c>
      <c r="F583" s="147">
        <f>'לקוחות לפי סוכן - מקור'!G545</f>
        <v/>
      </c>
      <c r="G583" s="148">
        <f>'לקוחות לפי סוכן - מקור'!H545</f>
        <v/>
      </c>
      <c r="H583" s="148">
        <f>'לקוחות לפי סוכן - מקור'!I545</f>
        <v/>
      </c>
      <c r="I583" s="139">
        <f>'לקוחות לפי סוכן - מקור'!K545</f>
        <v/>
      </c>
      <c r="J583" s="139" t="inlineStr">
        <is>
          <t>קיים במקור</t>
        </is>
      </c>
    </row>
    <row r="584" ht="15" customHeight="1" s="82">
      <c r="A584" s="139">
        <f>'לקוחות לפי סוכן - מקור'!A546</f>
        <v/>
      </c>
      <c r="B584" s="139">
        <f>'לקוחות לפי סוכן - מקור'!C546</f>
        <v/>
      </c>
      <c r="C584" s="139">
        <f>'לקוחות לפי סוכן - מקור'!D546</f>
        <v/>
      </c>
      <c r="D584" s="139">
        <f>'לקוחות לפי סוכן - מקור'!E546</f>
        <v/>
      </c>
      <c r="E584" s="147">
        <f>'לקוחות לפי סוכן - מקור'!F546</f>
        <v/>
      </c>
      <c r="F584" s="147">
        <f>'לקוחות לפי סוכן - מקור'!G546</f>
        <v/>
      </c>
      <c r="G584" s="148">
        <f>'לקוחות לפי סוכן - מקור'!H546</f>
        <v/>
      </c>
      <c r="H584" s="148">
        <f>'לקוחות לפי סוכן - מקור'!I546</f>
        <v/>
      </c>
      <c r="I584" s="139">
        <f>'לקוחות לפי סוכן - מקור'!K546</f>
        <v/>
      </c>
      <c r="J584" s="139" t="inlineStr">
        <is>
          <t>קיים במקור</t>
        </is>
      </c>
    </row>
    <row r="585" ht="15" customHeight="1" s="82">
      <c r="A585" s="139">
        <f>'לקוחות לפי סוכן - מקור'!A547</f>
        <v/>
      </c>
      <c r="B585" s="139">
        <f>'לקוחות לפי סוכן - מקור'!C547</f>
        <v/>
      </c>
      <c r="C585" s="139">
        <f>'לקוחות לפי סוכן - מקור'!D547</f>
        <v/>
      </c>
      <c r="D585" s="139">
        <f>'לקוחות לפי סוכן - מקור'!E547</f>
        <v/>
      </c>
      <c r="E585" s="147">
        <f>'לקוחות לפי סוכן - מקור'!F547</f>
        <v/>
      </c>
      <c r="F585" s="147">
        <f>'לקוחות לפי סוכן - מקור'!G547</f>
        <v/>
      </c>
      <c r="G585" s="148">
        <f>'לקוחות לפי סוכן - מקור'!H547</f>
        <v/>
      </c>
      <c r="H585" s="148">
        <f>'לקוחות לפי סוכן - מקור'!I547</f>
        <v/>
      </c>
      <c r="I585" s="139">
        <f>'לקוחות לפי סוכן - מקור'!K547</f>
        <v/>
      </c>
      <c r="J585" s="139" t="inlineStr">
        <is>
          <t>קיים במקור</t>
        </is>
      </c>
    </row>
    <row r="586" ht="15" customHeight="1" s="82">
      <c r="A586" s="139">
        <f>'לקוחות לפי סוכן - מקור'!A548</f>
        <v/>
      </c>
      <c r="B586" s="139">
        <f>'לקוחות לפי סוכן - מקור'!C548</f>
        <v/>
      </c>
      <c r="C586" s="139">
        <f>'לקוחות לפי סוכן - מקור'!D548</f>
        <v/>
      </c>
      <c r="D586" s="139">
        <f>'לקוחות לפי סוכן - מקור'!E548</f>
        <v/>
      </c>
      <c r="E586" s="147">
        <f>'לקוחות לפי סוכן - מקור'!F548</f>
        <v/>
      </c>
      <c r="F586" s="147">
        <f>'לקוחות לפי סוכן - מקור'!G548</f>
        <v/>
      </c>
      <c r="G586" s="148">
        <f>'לקוחות לפי סוכן - מקור'!H548</f>
        <v/>
      </c>
      <c r="H586" s="148">
        <f>'לקוחות לפי סוכן - מקור'!I548</f>
        <v/>
      </c>
      <c r="I586" s="139">
        <f>'לקוחות לפי סוכן - מקור'!K548</f>
        <v/>
      </c>
      <c r="J586" s="139" t="inlineStr">
        <is>
          <t>קיים במקור</t>
        </is>
      </c>
    </row>
    <row r="587" ht="15" customHeight="1" s="82">
      <c r="A587" s="139">
        <f>'לקוחות לפי סוכן - מקור'!A549</f>
        <v/>
      </c>
      <c r="B587" s="139">
        <f>'לקוחות לפי סוכן - מקור'!C549</f>
        <v/>
      </c>
      <c r="C587" s="139">
        <f>'לקוחות לפי סוכן - מקור'!D549</f>
        <v/>
      </c>
      <c r="D587" s="139">
        <f>'לקוחות לפי סוכן - מקור'!E549</f>
        <v/>
      </c>
      <c r="E587" s="147">
        <f>'לקוחות לפי סוכן - מקור'!F549</f>
        <v/>
      </c>
      <c r="F587" s="147">
        <f>'לקוחות לפי סוכן - מקור'!G549</f>
        <v/>
      </c>
      <c r="G587" s="148">
        <f>'לקוחות לפי סוכן - מקור'!H549</f>
        <v/>
      </c>
      <c r="H587" s="148">
        <f>'לקוחות לפי סוכן - מקור'!I549</f>
        <v/>
      </c>
      <c r="I587" s="139">
        <f>'לקוחות לפי סוכן - מקור'!K549</f>
        <v/>
      </c>
      <c r="J587" s="139" t="inlineStr">
        <is>
          <t>קיים במקור</t>
        </is>
      </c>
    </row>
    <row r="588" ht="15" customHeight="1" s="82">
      <c r="A588" s="139">
        <f>'לקוחות לפי סוכן - מקור'!A550</f>
        <v/>
      </c>
      <c r="B588" s="139">
        <f>'לקוחות לפי סוכן - מקור'!C550</f>
        <v/>
      </c>
      <c r="C588" s="139">
        <f>'לקוחות לפי סוכן - מקור'!D550</f>
        <v/>
      </c>
      <c r="D588" s="139">
        <f>'לקוחות לפי סוכן - מקור'!E550</f>
        <v/>
      </c>
      <c r="E588" s="147">
        <f>'לקוחות לפי סוכן - מקור'!F550</f>
        <v/>
      </c>
      <c r="F588" s="147">
        <f>'לקוחות לפי סוכן - מקור'!G550</f>
        <v/>
      </c>
      <c r="G588" s="148">
        <f>'לקוחות לפי סוכן - מקור'!H550</f>
        <v/>
      </c>
      <c r="H588" s="148">
        <f>'לקוחות לפי סוכן - מקור'!I550</f>
        <v/>
      </c>
      <c r="I588" s="139">
        <f>'לקוחות לפי סוכן - מקור'!K550</f>
        <v/>
      </c>
      <c r="J588" s="139" t="inlineStr">
        <is>
          <t>קיים במקור</t>
        </is>
      </c>
    </row>
    <row r="589" ht="15" customHeight="1" s="82">
      <c r="A589" s="139">
        <f>'לקוחות לפי סוכן - מקור'!A551</f>
        <v/>
      </c>
      <c r="B589" s="139">
        <f>'לקוחות לפי סוכן - מקור'!C551</f>
        <v/>
      </c>
      <c r="C589" s="139">
        <f>'לקוחות לפי סוכן - מקור'!D551</f>
        <v/>
      </c>
      <c r="D589" s="139">
        <f>'לקוחות לפי סוכן - מקור'!E551</f>
        <v/>
      </c>
      <c r="E589" s="147">
        <f>'לקוחות לפי סוכן - מקור'!F551</f>
        <v/>
      </c>
      <c r="F589" s="147">
        <f>'לקוחות לפי סוכן - מקור'!G551</f>
        <v/>
      </c>
      <c r="G589" s="148">
        <f>'לקוחות לפי סוכן - מקור'!H551</f>
        <v/>
      </c>
      <c r="H589" s="148">
        <f>'לקוחות לפי סוכן - מקור'!I551</f>
        <v/>
      </c>
      <c r="I589" s="139">
        <f>'לקוחות לפי סוכן - מקור'!K551</f>
        <v/>
      </c>
      <c r="J589" s="139" t="inlineStr">
        <is>
          <t>קיים במקור</t>
        </is>
      </c>
    </row>
    <row r="590" ht="15" customHeight="1" s="82">
      <c r="A590" s="139">
        <f>'לקוחות לפי סוכן - מקור'!A552</f>
        <v/>
      </c>
      <c r="B590" s="139">
        <f>'לקוחות לפי סוכן - מקור'!C552</f>
        <v/>
      </c>
      <c r="C590" s="139">
        <f>'לקוחות לפי סוכן - מקור'!D552</f>
        <v/>
      </c>
      <c r="D590" s="139">
        <f>'לקוחות לפי סוכן - מקור'!E552</f>
        <v/>
      </c>
      <c r="E590" s="147">
        <f>'לקוחות לפי סוכן - מקור'!F552</f>
        <v/>
      </c>
      <c r="F590" s="147">
        <f>'לקוחות לפי סוכן - מקור'!G552</f>
        <v/>
      </c>
      <c r="G590" s="148">
        <f>'לקוחות לפי סוכן - מקור'!H552</f>
        <v/>
      </c>
      <c r="H590" s="148">
        <f>'לקוחות לפי סוכן - מקור'!I552</f>
        <v/>
      </c>
      <c r="I590" s="139">
        <f>'לקוחות לפי סוכן - מקור'!K552</f>
        <v/>
      </c>
      <c r="J590" s="139" t="inlineStr">
        <is>
          <t>קיים במקור</t>
        </is>
      </c>
    </row>
    <row r="591" ht="15" customHeight="1" s="82">
      <c r="A591" s="139">
        <f>'לקוחות לפי סוכן - מקור'!A553</f>
        <v/>
      </c>
      <c r="B591" s="139">
        <f>'לקוחות לפי סוכן - מקור'!C553</f>
        <v/>
      </c>
      <c r="C591" s="139">
        <f>'לקוחות לפי סוכן - מקור'!D553</f>
        <v/>
      </c>
      <c r="D591" s="139">
        <f>'לקוחות לפי סוכן - מקור'!E553</f>
        <v/>
      </c>
      <c r="E591" s="147">
        <f>'לקוחות לפי סוכן - מקור'!F553</f>
        <v/>
      </c>
      <c r="F591" s="147">
        <f>'לקוחות לפי סוכן - מקור'!G553</f>
        <v/>
      </c>
      <c r="G591" s="148">
        <f>'לקוחות לפי סוכן - מקור'!H553</f>
        <v/>
      </c>
      <c r="H591" s="148">
        <f>'לקוחות לפי סוכן - מקור'!I553</f>
        <v/>
      </c>
      <c r="I591" s="139">
        <f>'לקוחות לפי סוכן - מקור'!K553</f>
        <v/>
      </c>
      <c r="J591" s="139" t="inlineStr">
        <is>
          <t>קיים במקור</t>
        </is>
      </c>
    </row>
    <row r="592" ht="15" customHeight="1" s="82">
      <c r="A592" s="139">
        <f>'לקוחות לפי סוכן - מקור'!A554</f>
        <v/>
      </c>
      <c r="B592" s="139">
        <f>'לקוחות לפי סוכן - מקור'!C554</f>
        <v/>
      </c>
      <c r="C592" s="139">
        <f>'לקוחות לפי סוכן - מקור'!D554</f>
        <v/>
      </c>
      <c r="D592" s="139">
        <f>'לקוחות לפי סוכן - מקור'!E554</f>
        <v/>
      </c>
      <c r="E592" s="147">
        <f>'לקוחות לפי סוכן - מקור'!F554</f>
        <v/>
      </c>
      <c r="F592" s="147">
        <f>'לקוחות לפי סוכן - מקור'!G554</f>
        <v/>
      </c>
      <c r="G592" s="148">
        <f>'לקוחות לפי סוכן - מקור'!H554</f>
        <v/>
      </c>
      <c r="H592" s="148">
        <f>'לקוחות לפי סוכן - מקור'!I554</f>
        <v/>
      </c>
      <c r="I592" s="139">
        <f>'לקוחות לפי סוכן - מקור'!K554</f>
        <v/>
      </c>
      <c r="J592" s="139" t="inlineStr">
        <is>
          <t>קיים במקור</t>
        </is>
      </c>
    </row>
    <row r="593" ht="15" customHeight="1" s="82">
      <c r="A593" s="139">
        <f>'לקוחות לפי סוכן - מקור'!A555</f>
        <v/>
      </c>
      <c r="B593" s="139">
        <f>'לקוחות לפי סוכן - מקור'!C555</f>
        <v/>
      </c>
      <c r="C593" s="139">
        <f>'לקוחות לפי סוכן - מקור'!D555</f>
        <v/>
      </c>
      <c r="D593" s="139">
        <f>'לקוחות לפי סוכן - מקור'!E555</f>
        <v/>
      </c>
      <c r="E593" s="147">
        <f>'לקוחות לפי סוכן - מקור'!F555</f>
        <v/>
      </c>
      <c r="F593" s="147">
        <f>'לקוחות לפי סוכן - מקור'!G555</f>
        <v/>
      </c>
      <c r="G593" s="148">
        <f>'לקוחות לפי סוכן - מקור'!H555</f>
        <v/>
      </c>
      <c r="H593" s="148">
        <f>'לקוחות לפי סוכן - מקור'!I555</f>
        <v/>
      </c>
      <c r="I593" s="139">
        <f>'לקוחות לפי סוכן - מקור'!K555</f>
        <v/>
      </c>
      <c r="J593" s="139" t="inlineStr">
        <is>
          <t>קיים במקור</t>
        </is>
      </c>
    </row>
    <row r="594" ht="15" customHeight="1" s="82">
      <c r="A594" s="139">
        <f>'לקוחות לפי סוכן - מקור'!A556</f>
        <v/>
      </c>
      <c r="B594" s="139">
        <f>'לקוחות לפי סוכן - מקור'!C556</f>
        <v/>
      </c>
      <c r="C594" s="139">
        <f>'לקוחות לפי סוכן - מקור'!D556</f>
        <v/>
      </c>
      <c r="D594" s="139">
        <f>'לקוחות לפי סוכן - מקור'!E556</f>
        <v/>
      </c>
      <c r="E594" s="147">
        <f>'לקוחות לפי סוכן - מקור'!F556</f>
        <v/>
      </c>
      <c r="F594" s="147">
        <f>'לקוחות לפי סוכן - מקור'!G556</f>
        <v/>
      </c>
      <c r="G594" s="148">
        <f>'לקוחות לפי סוכן - מקור'!H556</f>
        <v/>
      </c>
      <c r="H594" s="148">
        <f>'לקוחות לפי סוכן - מקור'!I556</f>
        <v/>
      </c>
      <c r="I594" s="139">
        <f>'לקוחות לפי סוכן - מקור'!K556</f>
        <v/>
      </c>
      <c r="J594" s="139" t="inlineStr">
        <is>
          <t>קיים במקור</t>
        </is>
      </c>
    </row>
    <row r="595" ht="15" customHeight="1" s="82">
      <c r="A595" s="139">
        <f>'לקוחות לפי סוכן - מקור'!A557</f>
        <v/>
      </c>
      <c r="B595" s="139">
        <f>'לקוחות לפי סוכן - מקור'!C557</f>
        <v/>
      </c>
      <c r="C595" s="139">
        <f>'לקוחות לפי סוכן - מקור'!D557</f>
        <v/>
      </c>
      <c r="D595" s="139">
        <f>'לקוחות לפי סוכן - מקור'!E557</f>
        <v/>
      </c>
      <c r="E595" s="147">
        <f>'לקוחות לפי סוכן - מקור'!F557</f>
        <v/>
      </c>
      <c r="F595" s="147">
        <f>'לקוחות לפי סוכן - מקור'!G557</f>
        <v/>
      </c>
      <c r="G595" s="148">
        <f>'לקוחות לפי סוכן - מקור'!H557</f>
        <v/>
      </c>
      <c r="H595" s="148">
        <f>'לקוחות לפי סוכן - מקור'!I557</f>
        <v/>
      </c>
      <c r="I595" s="139">
        <f>'לקוחות לפי סוכן - מקור'!K557</f>
        <v/>
      </c>
      <c r="J595" s="139" t="inlineStr">
        <is>
          <t>קיים במקור</t>
        </is>
      </c>
    </row>
    <row r="596" ht="15" customHeight="1" s="82">
      <c r="A596" s="139">
        <f>'לקוחות לפי סוכן - מקור'!A558</f>
        <v/>
      </c>
      <c r="B596" s="139">
        <f>'לקוחות לפי סוכן - מקור'!C558</f>
        <v/>
      </c>
      <c r="C596" s="139">
        <f>'לקוחות לפי סוכן - מקור'!D558</f>
        <v/>
      </c>
      <c r="D596" s="139">
        <f>'לקוחות לפי סוכן - מקור'!E558</f>
        <v/>
      </c>
      <c r="E596" s="147">
        <f>'לקוחות לפי סוכן - מקור'!F558</f>
        <v/>
      </c>
      <c r="F596" s="147">
        <f>'לקוחות לפי סוכן - מקור'!G558</f>
        <v/>
      </c>
      <c r="G596" s="148">
        <f>'לקוחות לפי סוכן - מקור'!H558</f>
        <v/>
      </c>
      <c r="H596" s="148">
        <f>'לקוחות לפי סוכן - מקור'!I558</f>
        <v/>
      </c>
      <c r="I596" s="139">
        <f>'לקוחות לפי סוכן - מקור'!K558</f>
        <v/>
      </c>
      <c r="J596" s="139" t="inlineStr">
        <is>
          <t>קיים במקור</t>
        </is>
      </c>
    </row>
    <row r="597" ht="15" customHeight="1" s="82">
      <c r="A597" s="139">
        <f>'לקוחות לפי סוכן - מקור'!A559</f>
        <v/>
      </c>
      <c r="B597" s="139">
        <f>'לקוחות לפי סוכן - מקור'!C559</f>
        <v/>
      </c>
      <c r="C597" s="139">
        <f>'לקוחות לפי סוכן - מקור'!D559</f>
        <v/>
      </c>
      <c r="D597" s="139">
        <f>'לקוחות לפי סוכן - מקור'!E559</f>
        <v/>
      </c>
      <c r="E597" s="147">
        <f>'לקוחות לפי סוכן - מקור'!F559</f>
        <v/>
      </c>
      <c r="F597" s="147">
        <f>'לקוחות לפי סוכן - מקור'!G559</f>
        <v/>
      </c>
      <c r="G597" s="148">
        <f>'לקוחות לפי סוכן - מקור'!H559</f>
        <v/>
      </c>
      <c r="H597" s="148">
        <f>'לקוחות לפי סוכן - מקור'!I559</f>
        <v/>
      </c>
      <c r="I597" s="139">
        <f>'לקוחות לפי סוכן - מקור'!K559</f>
        <v/>
      </c>
      <c r="J597" s="139" t="inlineStr">
        <is>
          <t>קיים במקור</t>
        </is>
      </c>
    </row>
    <row r="598" ht="15" customHeight="1" s="82">
      <c r="A598" s="139">
        <f>'לקוחות לפי סוכן - מקור'!A560</f>
        <v/>
      </c>
      <c r="B598" s="139">
        <f>'לקוחות לפי סוכן - מקור'!C560</f>
        <v/>
      </c>
      <c r="C598" s="139">
        <f>'לקוחות לפי סוכן - מקור'!D560</f>
        <v/>
      </c>
      <c r="D598" s="139">
        <f>'לקוחות לפי סוכן - מקור'!E560</f>
        <v/>
      </c>
      <c r="E598" s="147">
        <f>'לקוחות לפי סוכן - מקור'!F560</f>
        <v/>
      </c>
      <c r="F598" s="147">
        <f>'לקוחות לפי סוכן - מקור'!G560</f>
        <v/>
      </c>
      <c r="G598" s="148">
        <f>'לקוחות לפי סוכן - מקור'!H560</f>
        <v/>
      </c>
      <c r="H598" s="148">
        <f>'לקוחות לפי סוכן - מקור'!I560</f>
        <v/>
      </c>
      <c r="I598" s="139">
        <f>'לקוחות לפי סוכן - מקור'!K560</f>
        <v/>
      </c>
      <c r="J598" s="139" t="inlineStr">
        <is>
          <t>קיים במקור</t>
        </is>
      </c>
    </row>
    <row r="599" ht="15" customHeight="1" s="82">
      <c r="A599" s="139">
        <f>'לקוחות לפי סוכן - מקור'!A561</f>
        <v/>
      </c>
      <c r="B599" s="139">
        <f>'לקוחות לפי סוכן - מקור'!C561</f>
        <v/>
      </c>
      <c r="C599" s="139">
        <f>'לקוחות לפי סוכן - מקור'!D561</f>
        <v/>
      </c>
      <c r="D599" s="139">
        <f>'לקוחות לפי סוכן - מקור'!E561</f>
        <v/>
      </c>
      <c r="E599" s="147">
        <f>'לקוחות לפי סוכן - מקור'!F561</f>
        <v/>
      </c>
      <c r="F599" s="147">
        <f>'לקוחות לפי סוכן - מקור'!G561</f>
        <v/>
      </c>
      <c r="G599" s="148">
        <f>'לקוחות לפי סוכן - מקור'!H561</f>
        <v/>
      </c>
      <c r="H599" s="148">
        <f>'לקוחות לפי סוכן - מקור'!I561</f>
        <v/>
      </c>
      <c r="I599" s="139">
        <f>'לקוחות לפי סוכן - מקור'!K561</f>
        <v/>
      </c>
      <c r="J599" s="139" t="inlineStr">
        <is>
          <t>קיים במקור</t>
        </is>
      </c>
    </row>
    <row r="600" ht="15" customHeight="1" s="82">
      <c r="A600" s="139">
        <f>'לקוחות לפי סוכן - מקור'!A562</f>
        <v/>
      </c>
      <c r="B600" s="139">
        <f>'לקוחות לפי סוכן - מקור'!C562</f>
        <v/>
      </c>
      <c r="C600" s="139">
        <f>'לקוחות לפי סוכן - מקור'!D562</f>
        <v/>
      </c>
      <c r="D600" s="139">
        <f>'לקוחות לפי סוכן - מקור'!E562</f>
        <v/>
      </c>
      <c r="E600" s="147">
        <f>'לקוחות לפי סוכן - מקור'!F562</f>
        <v/>
      </c>
      <c r="F600" s="147">
        <f>'לקוחות לפי סוכן - מקור'!G562</f>
        <v/>
      </c>
      <c r="G600" s="148">
        <f>'לקוחות לפי סוכן - מקור'!H562</f>
        <v/>
      </c>
      <c r="H600" s="148">
        <f>'לקוחות לפי סוכן - מקור'!I562</f>
        <v/>
      </c>
      <c r="I600" s="139">
        <f>'לקוחות לפי סוכן - מקור'!K562</f>
        <v/>
      </c>
      <c r="J600" s="139" t="inlineStr">
        <is>
          <t>קיים במקור</t>
        </is>
      </c>
    </row>
    <row r="601" ht="15" customHeight="1" s="82">
      <c r="A601" s="139">
        <f>'לקוחות לפי סוכן - מקור'!A563</f>
        <v/>
      </c>
      <c r="B601" s="139">
        <f>'לקוחות לפי סוכן - מקור'!C563</f>
        <v/>
      </c>
      <c r="C601" s="139">
        <f>'לקוחות לפי סוכן - מקור'!D563</f>
        <v/>
      </c>
      <c r="D601" s="139">
        <f>'לקוחות לפי סוכן - מקור'!E563</f>
        <v/>
      </c>
      <c r="E601" s="147">
        <f>'לקוחות לפי סוכן - מקור'!F563</f>
        <v/>
      </c>
      <c r="F601" s="147">
        <f>'לקוחות לפי סוכן - מקור'!G563</f>
        <v/>
      </c>
      <c r="G601" s="148">
        <f>'לקוחות לפי סוכן - מקור'!H563</f>
        <v/>
      </c>
      <c r="H601" s="148">
        <f>'לקוחות לפי סוכן - מקור'!I563</f>
        <v/>
      </c>
      <c r="I601" s="139">
        <f>'לקוחות לפי סוכן - מקור'!K563</f>
        <v/>
      </c>
      <c r="J601" s="139" t="inlineStr">
        <is>
          <t>קיים במקור</t>
        </is>
      </c>
    </row>
    <row r="602" ht="15" customHeight="1" s="82">
      <c r="A602" s="139">
        <f>'לקוחות לפי סוכן - מקור'!A564</f>
        <v/>
      </c>
      <c r="B602" s="139">
        <f>'לקוחות לפי סוכן - מקור'!C564</f>
        <v/>
      </c>
      <c r="C602" s="139">
        <f>'לקוחות לפי סוכן - מקור'!D564</f>
        <v/>
      </c>
      <c r="D602" s="139">
        <f>'לקוחות לפי סוכן - מקור'!E564</f>
        <v/>
      </c>
      <c r="E602" s="147">
        <f>'לקוחות לפי סוכן - מקור'!F564</f>
        <v/>
      </c>
      <c r="F602" s="147">
        <f>'לקוחות לפי סוכן - מקור'!G564</f>
        <v/>
      </c>
      <c r="G602" s="148">
        <f>'לקוחות לפי סוכן - מקור'!H564</f>
        <v/>
      </c>
      <c r="H602" s="148">
        <f>'לקוחות לפי סוכן - מקור'!I564</f>
        <v/>
      </c>
      <c r="I602" s="139">
        <f>'לקוחות לפי סוכן - מקור'!K564</f>
        <v/>
      </c>
      <c r="J602" s="139" t="inlineStr">
        <is>
          <t>קיים במקור</t>
        </is>
      </c>
    </row>
    <row r="603" ht="15" customHeight="1" s="82">
      <c r="A603" s="139">
        <f>'לקוחות לפי סוכן - מקור'!A565</f>
        <v/>
      </c>
      <c r="B603" s="139">
        <f>'לקוחות לפי סוכן - מקור'!C565</f>
        <v/>
      </c>
      <c r="C603" s="139">
        <f>'לקוחות לפי סוכן - מקור'!D565</f>
        <v/>
      </c>
      <c r="D603" s="139">
        <f>'לקוחות לפי סוכן - מקור'!E565</f>
        <v/>
      </c>
      <c r="E603" s="147">
        <f>'לקוחות לפי סוכן - מקור'!F565</f>
        <v/>
      </c>
      <c r="F603" s="147">
        <f>'לקוחות לפי סוכן - מקור'!G565</f>
        <v/>
      </c>
      <c r="G603" s="148">
        <f>'לקוחות לפי סוכן - מקור'!H565</f>
        <v/>
      </c>
      <c r="H603" s="148">
        <f>'לקוחות לפי סוכן - מקור'!I565</f>
        <v/>
      </c>
      <c r="I603" s="139">
        <f>'לקוחות לפי סוכן - מקור'!K565</f>
        <v/>
      </c>
      <c r="J603" s="139" t="inlineStr">
        <is>
          <t>קיים במקור</t>
        </is>
      </c>
    </row>
    <row r="604" ht="15" customHeight="1" s="82">
      <c r="A604" s="139">
        <f>'לקוחות לפי סוכן - מקור'!A566</f>
        <v/>
      </c>
      <c r="B604" s="139">
        <f>'לקוחות לפי סוכן - מקור'!C566</f>
        <v/>
      </c>
      <c r="C604" s="139">
        <f>'לקוחות לפי סוכן - מקור'!D566</f>
        <v/>
      </c>
      <c r="D604" s="139">
        <f>'לקוחות לפי סוכן - מקור'!E566</f>
        <v/>
      </c>
      <c r="E604" s="147">
        <f>'לקוחות לפי סוכן - מקור'!F566</f>
        <v/>
      </c>
      <c r="F604" s="147">
        <f>'לקוחות לפי סוכן - מקור'!G566</f>
        <v/>
      </c>
      <c r="G604" s="148">
        <f>'לקוחות לפי סוכן - מקור'!H566</f>
        <v/>
      </c>
      <c r="H604" s="148">
        <f>'לקוחות לפי סוכן - מקור'!I566</f>
        <v/>
      </c>
      <c r="I604" s="139">
        <f>'לקוחות לפי סוכן - מקור'!K566</f>
        <v/>
      </c>
      <c r="J604" s="139" t="inlineStr">
        <is>
          <t>קיים במקור</t>
        </is>
      </c>
    </row>
    <row r="605" ht="15" customHeight="1" s="82">
      <c r="A605" s="139">
        <f>'לקוחות לפי סוכן - מקור'!A567</f>
        <v/>
      </c>
      <c r="B605" s="139">
        <f>'לקוחות לפי סוכן - מקור'!C567</f>
        <v/>
      </c>
      <c r="C605" s="139">
        <f>'לקוחות לפי סוכן - מקור'!D567</f>
        <v/>
      </c>
      <c r="D605" s="139">
        <f>'לקוחות לפי סוכן - מקור'!E567</f>
        <v/>
      </c>
      <c r="E605" s="147">
        <f>'לקוחות לפי סוכן - מקור'!F567</f>
        <v/>
      </c>
      <c r="F605" s="147">
        <f>'לקוחות לפי סוכן - מקור'!G567</f>
        <v/>
      </c>
      <c r="G605" s="148">
        <f>'לקוחות לפי סוכן - מקור'!H567</f>
        <v/>
      </c>
      <c r="H605" s="148">
        <f>'לקוחות לפי סוכן - מקור'!I567</f>
        <v/>
      </c>
      <c r="I605" s="139">
        <f>'לקוחות לפי סוכן - מקור'!K567</f>
        <v/>
      </c>
      <c r="J605" s="139" t="inlineStr">
        <is>
          <t>קיים במקור</t>
        </is>
      </c>
    </row>
    <row r="606" ht="15" customHeight="1" s="82">
      <c r="A606" s="139">
        <f>'לקוחות לפי סוכן - מקור'!A568</f>
        <v/>
      </c>
      <c r="B606" s="139">
        <f>'לקוחות לפי סוכן - מקור'!C568</f>
        <v/>
      </c>
      <c r="C606" s="139">
        <f>'לקוחות לפי סוכן - מקור'!D568</f>
        <v/>
      </c>
      <c r="D606" s="139">
        <f>'לקוחות לפי סוכן - מקור'!E568</f>
        <v/>
      </c>
      <c r="E606" s="147">
        <f>'לקוחות לפי סוכן - מקור'!F568</f>
        <v/>
      </c>
      <c r="F606" s="147">
        <f>'לקוחות לפי סוכן - מקור'!G568</f>
        <v/>
      </c>
      <c r="G606" s="148">
        <f>'לקוחות לפי סוכן - מקור'!H568</f>
        <v/>
      </c>
      <c r="H606" s="148">
        <f>'לקוחות לפי סוכן - מקור'!I568</f>
        <v/>
      </c>
      <c r="I606" s="139">
        <f>'לקוחות לפי סוכן - מקור'!K568</f>
        <v/>
      </c>
      <c r="J606" s="139" t="inlineStr">
        <is>
          <t>קיים במקור</t>
        </is>
      </c>
    </row>
    <row r="607" ht="15" customHeight="1" s="82">
      <c r="A607" s="139">
        <f>'לקוחות לפי סוכן - מקור'!A569</f>
        <v/>
      </c>
      <c r="B607" s="139">
        <f>'לקוחות לפי סוכן - מקור'!C569</f>
        <v/>
      </c>
      <c r="C607" s="139">
        <f>'לקוחות לפי סוכן - מקור'!D569</f>
        <v/>
      </c>
      <c r="D607" s="139">
        <f>'לקוחות לפי סוכן - מקור'!E569</f>
        <v/>
      </c>
      <c r="E607" s="147">
        <f>'לקוחות לפי סוכן - מקור'!F569</f>
        <v/>
      </c>
      <c r="F607" s="147">
        <f>'לקוחות לפי סוכן - מקור'!G569</f>
        <v/>
      </c>
      <c r="G607" s="148">
        <f>'לקוחות לפי סוכן - מקור'!H569</f>
        <v/>
      </c>
      <c r="H607" s="148">
        <f>'לקוחות לפי סוכן - מקור'!I569</f>
        <v/>
      </c>
      <c r="I607" s="139">
        <f>'לקוחות לפי סוכן - מקור'!K569</f>
        <v/>
      </c>
      <c r="J607" s="139" t="inlineStr">
        <is>
          <t>קיים במקור</t>
        </is>
      </c>
    </row>
    <row r="608" ht="15" customHeight="1" s="82">
      <c r="A608" s="139">
        <f>'לקוחות לפי סוכן - מקור'!A570</f>
        <v/>
      </c>
      <c r="B608" s="139">
        <f>'לקוחות לפי סוכן - מקור'!C570</f>
        <v/>
      </c>
      <c r="C608" s="139">
        <f>'לקוחות לפי סוכן - מקור'!D570</f>
        <v/>
      </c>
      <c r="D608" s="139">
        <f>'לקוחות לפי סוכן - מקור'!E570</f>
        <v/>
      </c>
      <c r="E608" s="147">
        <f>'לקוחות לפי סוכן - מקור'!F570</f>
        <v/>
      </c>
      <c r="F608" s="147">
        <f>'לקוחות לפי סוכן - מקור'!G570</f>
        <v/>
      </c>
      <c r="G608" s="148">
        <f>'לקוחות לפי סוכן - מקור'!H570</f>
        <v/>
      </c>
      <c r="H608" s="148">
        <f>'לקוחות לפי סוכן - מקור'!I570</f>
        <v/>
      </c>
      <c r="I608" s="139">
        <f>'לקוחות לפי סוכן - מקור'!K570</f>
        <v/>
      </c>
      <c r="J608" s="139" t="inlineStr">
        <is>
          <t>קיים במקור</t>
        </is>
      </c>
    </row>
    <row r="609" ht="15" customHeight="1" s="82">
      <c r="A609" s="139">
        <f>'לקוחות לפי סוכן - מקור'!A571</f>
        <v/>
      </c>
      <c r="B609" s="139">
        <f>'לקוחות לפי סוכן - מקור'!C571</f>
        <v/>
      </c>
      <c r="C609" s="139">
        <f>'לקוחות לפי סוכן - מקור'!D571</f>
        <v/>
      </c>
      <c r="D609" s="139">
        <f>'לקוחות לפי סוכן - מקור'!E571</f>
        <v/>
      </c>
      <c r="E609" s="147">
        <f>'לקוחות לפי סוכן - מקור'!F571</f>
        <v/>
      </c>
      <c r="F609" s="147">
        <f>'לקוחות לפי סוכן - מקור'!G571</f>
        <v/>
      </c>
      <c r="G609" s="148">
        <f>'לקוחות לפי סוכן - מקור'!H571</f>
        <v/>
      </c>
      <c r="H609" s="148">
        <f>'לקוחות לפי סוכן - מקור'!I571</f>
        <v/>
      </c>
      <c r="I609" s="139">
        <f>'לקוחות לפי סוכן - מקור'!K571</f>
        <v/>
      </c>
      <c r="J609" s="139" t="inlineStr">
        <is>
          <t>קיים במקור</t>
        </is>
      </c>
    </row>
    <row r="610" ht="15" customHeight="1" s="82">
      <c r="A610" s="139">
        <f>'לקוחות לפי סוכן - מקור'!A572</f>
        <v/>
      </c>
      <c r="B610" s="139">
        <f>'לקוחות לפי סוכן - מקור'!C572</f>
        <v/>
      </c>
      <c r="C610" s="139">
        <f>'לקוחות לפי סוכן - מקור'!D572</f>
        <v/>
      </c>
      <c r="D610" s="139">
        <f>'לקוחות לפי סוכן - מקור'!E572</f>
        <v/>
      </c>
      <c r="E610" s="147">
        <f>'לקוחות לפי סוכן - מקור'!F572</f>
        <v/>
      </c>
      <c r="F610" s="147">
        <f>'לקוחות לפי סוכן - מקור'!G572</f>
        <v/>
      </c>
      <c r="G610" s="148">
        <f>'לקוחות לפי סוכן - מקור'!H572</f>
        <v/>
      </c>
      <c r="H610" s="148">
        <f>'לקוחות לפי סוכן - מקור'!I572</f>
        <v/>
      </c>
      <c r="I610" s="139">
        <f>'לקוחות לפי סוכן - מקור'!K572</f>
        <v/>
      </c>
      <c r="J610" s="139" t="inlineStr">
        <is>
          <t>קיים במקור</t>
        </is>
      </c>
    </row>
    <row r="611" ht="15" customHeight="1" s="82">
      <c r="A611" s="139">
        <f>'לקוחות לפי סוכן - מקור'!A573</f>
        <v/>
      </c>
      <c r="B611" s="139">
        <f>'לקוחות לפי סוכן - מקור'!C573</f>
        <v/>
      </c>
      <c r="C611" s="139">
        <f>'לקוחות לפי סוכן - מקור'!D573</f>
        <v/>
      </c>
      <c r="D611" s="139">
        <f>'לקוחות לפי סוכן - מקור'!E573</f>
        <v/>
      </c>
      <c r="E611" s="147">
        <f>'לקוחות לפי סוכן - מקור'!F573</f>
        <v/>
      </c>
      <c r="F611" s="147">
        <f>'לקוחות לפי סוכן - מקור'!G573</f>
        <v/>
      </c>
      <c r="G611" s="148">
        <f>'לקוחות לפי סוכן - מקור'!H573</f>
        <v/>
      </c>
      <c r="H611" s="148">
        <f>'לקוחות לפי סוכן - מקור'!I573</f>
        <v/>
      </c>
      <c r="I611" s="139">
        <f>'לקוחות לפי סוכן - מקור'!K573</f>
        <v/>
      </c>
      <c r="J611" s="139" t="inlineStr">
        <is>
          <t>קיים במקור</t>
        </is>
      </c>
    </row>
    <row r="612" ht="15" customHeight="1" s="82">
      <c r="A612" s="139">
        <f>'לקוחות לפי סוכן - מקור'!A574</f>
        <v/>
      </c>
      <c r="B612" s="139">
        <f>'לקוחות לפי סוכן - מקור'!C574</f>
        <v/>
      </c>
      <c r="C612" s="139">
        <f>'לקוחות לפי סוכן - מקור'!D574</f>
        <v/>
      </c>
      <c r="D612" s="139">
        <f>'לקוחות לפי סוכן - מקור'!E574</f>
        <v/>
      </c>
      <c r="E612" s="147">
        <f>'לקוחות לפי סוכן - מקור'!F574</f>
        <v/>
      </c>
      <c r="F612" s="147">
        <f>'לקוחות לפי סוכן - מקור'!G574</f>
        <v/>
      </c>
      <c r="G612" s="148">
        <f>'לקוחות לפי סוכן - מקור'!H574</f>
        <v/>
      </c>
      <c r="H612" s="148">
        <f>'לקוחות לפי סוכן - מקור'!I574</f>
        <v/>
      </c>
      <c r="I612" s="139">
        <f>'לקוחות לפי סוכן - מקור'!K574</f>
        <v/>
      </c>
      <c r="J612" s="139" t="inlineStr">
        <is>
          <t>קיים במקור</t>
        </is>
      </c>
    </row>
    <row r="613" ht="15" customHeight="1" s="82">
      <c r="A613" s="139">
        <f>'לקוחות לפי סוכן - מקור'!A575</f>
        <v/>
      </c>
      <c r="B613" s="139">
        <f>'לקוחות לפי סוכן - מקור'!C575</f>
        <v/>
      </c>
      <c r="C613" s="139">
        <f>'לקוחות לפי סוכן - מקור'!D575</f>
        <v/>
      </c>
      <c r="D613" s="139">
        <f>'לקוחות לפי סוכן - מקור'!E575</f>
        <v/>
      </c>
      <c r="E613" s="147">
        <f>'לקוחות לפי סוכן - מקור'!F575</f>
        <v/>
      </c>
      <c r="F613" s="147">
        <f>'לקוחות לפי סוכן - מקור'!G575</f>
        <v/>
      </c>
      <c r="G613" s="148">
        <f>'לקוחות לפי סוכן - מקור'!H575</f>
        <v/>
      </c>
      <c r="H613" s="148">
        <f>'לקוחות לפי סוכן - מקור'!I575</f>
        <v/>
      </c>
      <c r="I613" s="139">
        <f>'לקוחות לפי סוכן - מקור'!K575</f>
        <v/>
      </c>
      <c r="J613" s="139" t="inlineStr">
        <is>
          <t>קיים במקור</t>
        </is>
      </c>
    </row>
    <row r="614" ht="15" customHeight="1" s="82">
      <c r="A614" s="139">
        <f>'לקוחות לפי סוכן - מקור'!A576</f>
        <v/>
      </c>
      <c r="B614" s="139">
        <f>'לקוחות לפי סוכן - מקור'!C576</f>
        <v/>
      </c>
      <c r="C614" s="139">
        <f>'לקוחות לפי סוכן - מקור'!D576</f>
        <v/>
      </c>
      <c r="D614" s="139">
        <f>'לקוחות לפי סוכן - מקור'!E576</f>
        <v/>
      </c>
      <c r="E614" s="147">
        <f>'לקוחות לפי סוכן - מקור'!F576</f>
        <v/>
      </c>
      <c r="F614" s="147">
        <f>'לקוחות לפי סוכן - מקור'!G576</f>
        <v/>
      </c>
      <c r="G614" s="148">
        <f>'לקוחות לפי סוכן - מקור'!H576</f>
        <v/>
      </c>
      <c r="H614" s="148">
        <f>'לקוחות לפי סוכן - מקור'!I576</f>
        <v/>
      </c>
      <c r="I614" s="139">
        <f>'לקוחות לפי סוכן - מקור'!K576</f>
        <v/>
      </c>
      <c r="J614" s="139" t="inlineStr">
        <is>
          <t>קיים במקור</t>
        </is>
      </c>
    </row>
    <row r="615" ht="15" customHeight="1" s="82">
      <c r="A615" s="139">
        <f>'לקוחות לפי סוכן - מקור'!A577</f>
        <v/>
      </c>
      <c r="B615" s="139">
        <f>'לקוחות לפי סוכן - מקור'!C577</f>
        <v/>
      </c>
      <c r="C615" s="139">
        <f>'לקוחות לפי סוכן - מקור'!D577</f>
        <v/>
      </c>
      <c r="D615" s="139">
        <f>'לקוחות לפי סוכן - מקור'!E577</f>
        <v/>
      </c>
      <c r="E615" s="147">
        <f>'לקוחות לפי סוכן - מקור'!F577</f>
        <v/>
      </c>
      <c r="F615" s="147">
        <f>'לקוחות לפי סוכן - מקור'!G577</f>
        <v/>
      </c>
      <c r="G615" s="148">
        <f>'לקוחות לפי סוכן - מקור'!H577</f>
        <v/>
      </c>
      <c r="H615" s="148">
        <f>'לקוחות לפי סוכן - מקור'!I577</f>
        <v/>
      </c>
      <c r="I615" s="139">
        <f>'לקוחות לפי סוכן - מקור'!K577</f>
        <v/>
      </c>
      <c r="J615" s="139" t="inlineStr">
        <is>
          <t>קיים במקור</t>
        </is>
      </c>
    </row>
    <row r="616" ht="15" customHeight="1" s="82">
      <c r="A616" s="139">
        <f>'לקוחות לפי סוכן - מקור'!A578</f>
        <v/>
      </c>
      <c r="B616" s="139">
        <f>'לקוחות לפי סוכן - מקור'!C578</f>
        <v/>
      </c>
      <c r="C616" s="139">
        <f>'לקוחות לפי סוכן - מקור'!D578</f>
        <v/>
      </c>
      <c r="D616" s="139">
        <f>'לקוחות לפי סוכן - מקור'!E578</f>
        <v/>
      </c>
      <c r="E616" s="147">
        <f>'לקוחות לפי סוכן - מקור'!F578</f>
        <v/>
      </c>
      <c r="F616" s="147">
        <f>'לקוחות לפי סוכן - מקור'!G578</f>
        <v/>
      </c>
      <c r="G616" s="148">
        <f>'לקוחות לפי סוכן - מקור'!H578</f>
        <v/>
      </c>
      <c r="H616" s="148">
        <f>'לקוחות לפי סוכן - מקור'!I578</f>
        <v/>
      </c>
      <c r="I616" s="139">
        <f>'לקוחות לפי סוכן - מקור'!K578</f>
        <v/>
      </c>
      <c r="J616" s="139" t="inlineStr">
        <is>
          <t>קיים במקור</t>
        </is>
      </c>
    </row>
    <row r="617" ht="15" customHeight="1" s="82">
      <c r="A617" s="139">
        <f>'לקוחות לפי סוכן - מקור'!A579</f>
        <v/>
      </c>
      <c r="B617" s="139">
        <f>'לקוחות לפי סוכן - מקור'!C579</f>
        <v/>
      </c>
      <c r="C617" s="139">
        <f>'לקוחות לפי סוכן - מקור'!D579</f>
        <v/>
      </c>
      <c r="D617" s="139">
        <f>'לקוחות לפי סוכן - מקור'!E579</f>
        <v/>
      </c>
      <c r="E617" s="147">
        <f>'לקוחות לפי סוכן - מקור'!F579</f>
        <v/>
      </c>
      <c r="F617" s="147">
        <f>'לקוחות לפי סוכן - מקור'!G579</f>
        <v/>
      </c>
      <c r="G617" s="148">
        <f>'לקוחות לפי סוכן - מקור'!H579</f>
        <v/>
      </c>
      <c r="H617" s="148">
        <f>'לקוחות לפי סוכן - מקור'!I579</f>
        <v/>
      </c>
      <c r="I617" s="139">
        <f>'לקוחות לפי סוכן - מקור'!K579</f>
        <v/>
      </c>
      <c r="J617" s="139" t="inlineStr">
        <is>
          <t>קיים במקור</t>
        </is>
      </c>
    </row>
    <row r="618" ht="15" customHeight="1" s="82">
      <c r="A618" s="139">
        <f>'לקוחות לפי סוכן - מקור'!A580</f>
        <v/>
      </c>
      <c r="B618" s="139">
        <f>'לקוחות לפי סוכן - מקור'!C580</f>
        <v/>
      </c>
      <c r="C618" s="139">
        <f>'לקוחות לפי סוכן - מקור'!D580</f>
        <v/>
      </c>
      <c r="D618" s="139">
        <f>'לקוחות לפי סוכן - מקור'!E580</f>
        <v/>
      </c>
      <c r="E618" s="147">
        <f>'לקוחות לפי סוכן - מקור'!F580</f>
        <v/>
      </c>
      <c r="F618" s="147">
        <f>'לקוחות לפי סוכן - מקור'!G580</f>
        <v/>
      </c>
      <c r="G618" s="148">
        <f>'לקוחות לפי סוכן - מקור'!H580</f>
        <v/>
      </c>
      <c r="H618" s="148">
        <f>'לקוחות לפי סוכן - מקור'!I580</f>
        <v/>
      </c>
      <c r="I618" s="139">
        <f>'לקוחות לפי סוכן - מקור'!K580</f>
        <v/>
      </c>
      <c r="J618" s="139" t="inlineStr">
        <is>
          <t>קיים במקור</t>
        </is>
      </c>
    </row>
    <row r="619" ht="15" customHeight="1" s="82">
      <c r="A619" s="139">
        <f>'לקוחות לפי סוכן - מקור'!A581</f>
        <v/>
      </c>
      <c r="B619" s="139">
        <f>'לקוחות לפי סוכן - מקור'!C581</f>
        <v/>
      </c>
      <c r="C619" s="139">
        <f>'לקוחות לפי סוכן - מקור'!D581</f>
        <v/>
      </c>
      <c r="D619" s="139">
        <f>'לקוחות לפי סוכן - מקור'!E581</f>
        <v/>
      </c>
      <c r="E619" s="147">
        <f>'לקוחות לפי סוכן - מקור'!F581</f>
        <v/>
      </c>
      <c r="F619" s="147">
        <f>'לקוחות לפי סוכן - מקור'!G581</f>
        <v/>
      </c>
      <c r="G619" s="148">
        <f>'לקוחות לפי סוכן - מקור'!H581</f>
        <v/>
      </c>
      <c r="H619" s="148">
        <f>'לקוחות לפי סוכן - מקור'!I581</f>
        <v/>
      </c>
      <c r="I619" s="139">
        <f>'לקוחות לפי סוכן - מקור'!K581</f>
        <v/>
      </c>
      <c r="J619" s="139" t="inlineStr">
        <is>
          <t>קיים במקור</t>
        </is>
      </c>
    </row>
    <row r="620" ht="15" customHeight="1" s="82">
      <c r="A620" s="139">
        <f>'לקוחות לפי סוכן - מקור'!A582</f>
        <v/>
      </c>
      <c r="B620" s="139">
        <f>'לקוחות לפי סוכן - מקור'!C582</f>
        <v/>
      </c>
      <c r="C620" s="139">
        <f>'לקוחות לפי סוכן - מקור'!D582</f>
        <v/>
      </c>
      <c r="D620" s="139">
        <f>'לקוחות לפי סוכן - מקור'!E582</f>
        <v/>
      </c>
      <c r="E620" s="147">
        <f>'לקוחות לפי סוכן - מקור'!F582</f>
        <v/>
      </c>
      <c r="F620" s="147">
        <f>'לקוחות לפי סוכן - מקור'!G582</f>
        <v/>
      </c>
      <c r="G620" s="148">
        <f>'לקוחות לפי סוכן - מקור'!H582</f>
        <v/>
      </c>
      <c r="H620" s="148">
        <f>'לקוחות לפי סוכן - מקור'!I582</f>
        <v/>
      </c>
      <c r="I620" s="139">
        <f>'לקוחות לפי סוכן - מקור'!K582</f>
        <v/>
      </c>
      <c r="J620" s="139" t="inlineStr">
        <is>
          <t>קיים במקור</t>
        </is>
      </c>
    </row>
    <row r="621" ht="15" customHeight="1" s="82">
      <c r="A621" s="139">
        <f>'לקוחות לפי סוכן - מקור'!A583</f>
        <v/>
      </c>
      <c r="B621" s="139">
        <f>'לקוחות לפי סוכן - מקור'!C583</f>
        <v/>
      </c>
      <c r="C621" s="139">
        <f>'לקוחות לפי סוכן - מקור'!D583</f>
        <v/>
      </c>
      <c r="D621" s="139">
        <f>'לקוחות לפי סוכן - מקור'!E583</f>
        <v/>
      </c>
      <c r="E621" s="147">
        <f>'לקוחות לפי סוכן - מקור'!F583</f>
        <v/>
      </c>
      <c r="F621" s="147">
        <f>'לקוחות לפי סוכן - מקור'!G583</f>
        <v/>
      </c>
      <c r="G621" s="148">
        <f>'לקוחות לפי סוכן - מקור'!H583</f>
        <v/>
      </c>
      <c r="H621" s="148">
        <f>'לקוחות לפי סוכן - מקור'!I583</f>
        <v/>
      </c>
      <c r="I621" s="139">
        <f>'לקוחות לפי סוכן - מקור'!K583</f>
        <v/>
      </c>
      <c r="J621" s="139" t="inlineStr">
        <is>
          <t>קיים במקור</t>
        </is>
      </c>
    </row>
    <row r="622" ht="15" customHeight="1" s="82">
      <c r="A622" s="139">
        <f>'לקוחות לפי סוכן - מקור'!A584</f>
        <v/>
      </c>
      <c r="B622" s="139">
        <f>'לקוחות לפי סוכן - מקור'!C584</f>
        <v/>
      </c>
      <c r="C622" s="139">
        <f>'לקוחות לפי סוכן - מקור'!D584</f>
        <v/>
      </c>
      <c r="D622" s="139">
        <f>'לקוחות לפי סוכן - מקור'!E584</f>
        <v/>
      </c>
      <c r="E622" s="147">
        <f>'לקוחות לפי סוכן - מקור'!F584</f>
        <v/>
      </c>
      <c r="F622" s="147">
        <f>'לקוחות לפי סוכן - מקור'!G584</f>
        <v/>
      </c>
      <c r="G622" s="148">
        <f>'לקוחות לפי סוכן - מקור'!H584</f>
        <v/>
      </c>
      <c r="H622" s="148">
        <f>'לקוחות לפי סוכן - מקור'!I584</f>
        <v/>
      </c>
      <c r="I622" s="139">
        <f>'לקוחות לפי סוכן - מקור'!K584</f>
        <v/>
      </c>
      <c r="J622" s="139" t="inlineStr">
        <is>
          <t>קיים במקור</t>
        </is>
      </c>
    </row>
    <row r="623" ht="15" customHeight="1" s="82">
      <c r="A623" s="139">
        <f>'לקוחות לפי סוכן - מקור'!A585</f>
        <v/>
      </c>
      <c r="B623" s="139">
        <f>'לקוחות לפי סוכן - מקור'!C585</f>
        <v/>
      </c>
      <c r="C623" s="139">
        <f>'לקוחות לפי סוכן - מקור'!D585</f>
        <v/>
      </c>
      <c r="D623" s="139">
        <f>'לקוחות לפי סוכן - מקור'!E585</f>
        <v/>
      </c>
      <c r="E623" s="147">
        <f>'לקוחות לפי סוכן - מקור'!F585</f>
        <v/>
      </c>
      <c r="F623" s="147">
        <f>'לקוחות לפי סוכן - מקור'!G585</f>
        <v/>
      </c>
      <c r="G623" s="148">
        <f>'לקוחות לפי סוכן - מקור'!H585</f>
        <v/>
      </c>
      <c r="H623" s="148">
        <f>'לקוחות לפי סוכן - מקור'!I585</f>
        <v/>
      </c>
      <c r="I623" s="139">
        <f>'לקוחות לפי סוכן - מקור'!K585</f>
        <v/>
      </c>
      <c r="J623" s="139" t="inlineStr">
        <is>
          <t>קיים במקור</t>
        </is>
      </c>
    </row>
    <row r="624" ht="15" customHeight="1" s="82">
      <c r="A624" s="139">
        <f>'לקוחות לפי סוכן - מקור'!A586</f>
        <v/>
      </c>
      <c r="B624" s="139">
        <f>'לקוחות לפי סוכן - מקור'!C586</f>
        <v/>
      </c>
      <c r="C624" s="139">
        <f>'לקוחות לפי סוכן - מקור'!D586</f>
        <v/>
      </c>
      <c r="D624" s="139">
        <f>'לקוחות לפי סוכן - מקור'!E586</f>
        <v/>
      </c>
      <c r="E624" s="147">
        <f>'לקוחות לפי סוכן - מקור'!F586</f>
        <v/>
      </c>
      <c r="F624" s="147">
        <f>'לקוחות לפי סוכן - מקור'!G586</f>
        <v/>
      </c>
      <c r="G624" s="148">
        <f>'לקוחות לפי סוכן - מקור'!H586</f>
        <v/>
      </c>
      <c r="H624" s="148">
        <f>'לקוחות לפי סוכן - מקור'!I586</f>
        <v/>
      </c>
      <c r="I624" s="139">
        <f>'לקוחות לפי סוכן - מקור'!K586</f>
        <v/>
      </c>
      <c r="J624" s="139" t="inlineStr">
        <is>
          <t>קיים במקור</t>
        </is>
      </c>
    </row>
    <row r="625" ht="15" customHeight="1" s="82">
      <c r="A625" s="139">
        <f>'לקוחות לפי סוכן - מקור'!A587</f>
        <v/>
      </c>
      <c r="B625" s="139">
        <f>'לקוחות לפי סוכן - מקור'!C587</f>
        <v/>
      </c>
      <c r="C625" s="139">
        <f>'לקוחות לפי סוכן - מקור'!D587</f>
        <v/>
      </c>
      <c r="D625" s="139">
        <f>'לקוחות לפי סוכן - מקור'!E587</f>
        <v/>
      </c>
      <c r="E625" s="147">
        <f>'לקוחות לפי סוכן - מקור'!F587</f>
        <v/>
      </c>
      <c r="F625" s="147">
        <f>'לקוחות לפי סוכן - מקור'!G587</f>
        <v/>
      </c>
      <c r="G625" s="148">
        <f>'לקוחות לפי סוכן - מקור'!H587</f>
        <v/>
      </c>
      <c r="H625" s="148">
        <f>'לקוחות לפי סוכן - מקור'!I587</f>
        <v/>
      </c>
      <c r="I625" s="139">
        <f>'לקוחות לפי סוכן - מקור'!K587</f>
        <v/>
      </c>
      <c r="J625" s="139" t="inlineStr">
        <is>
          <t>קיים במקור</t>
        </is>
      </c>
    </row>
    <row r="626" ht="15" customHeight="1" s="82">
      <c r="A626" s="139">
        <f>'לקוחות לפי סוכן - מקור'!A588</f>
        <v/>
      </c>
      <c r="B626" s="139">
        <f>'לקוחות לפי סוכן - מקור'!C588</f>
        <v/>
      </c>
      <c r="C626" s="139">
        <f>'לקוחות לפי סוכן - מקור'!D588</f>
        <v/>
      </c>
      <c r="D626" s="139">
        <f>'לקוחות לפי סוכן - מקור'!E588</f>
        <v/>
      </c>
      <c r="E626" s="147">
        <f>'לקוחות לפי סוכן - מקור'!F588</f>
        <v/>
      </c>
      <c r="F626" s="147">
        <f>'לקוחות לפי סוכן - מקור'!G588</f>
        <v/>
      </c>
      <c r="G626" s="148">
        <f>'לקוחות לפי סוכן - מקור'!H588</f>
        <v/>
      </c>
      <c r="H626" s="148">
        <f>'לקוחות לפי סוכן - מקור'!I588</f>
        <v/>
      </c>
      <c r="I626" s="139">
        <f>'לקוחות לפי סוכן - מקור'!K588</f>
        <v/>
      </c>
      <c r="J626" s="139" t="inlineStr">
        <is>
          <t>קיים במקור</t>
        </is>
      </c>
    </row>
    <row r="627" ht="15" customHeight="1" s="82">
      <c r="A627" s="139">
        <f>'לקוחות לפי סוכן - מקור'!A589</f>
        <v/>
      </c>
      <c r="B627" s="139">
        <f>'לקוחות לפי סוכן - מקור'!C589</f>
        <v/>
      </c>
      <c r="C627" s="139">
        <f>'לקוחות לפי סוכן - מקור'!D589</f>
        <v/>
      </c>
      <c r="D627" s="139">
        <f>'לקוחות לפי סוכן - מקור'!E589</f>
        <v/>
      </c>
      <c r="E627" s="147">
        <f>'לקוחות לפי סוכן - מקור'!F589</f>
        <v/>
      </c>
      <c r="F627" s="147">
        <f>'לקוחות לפי סוכן - מקור'!G589</f>
        <v/>
      </c>
      <c r="G627" s="148">
        <f>'לקוחות לפי סוכן - מקור'!H589</f>
        <v/>
      </c>
      <c r="H627" s="148">
        <f>'לקוחות לפי סוכן - מקור'!I589</f>
        <v/>
      </c>
      <c r="I627" s="139">
        <f>'לקוחות לפי סוכן - מקור'!K589</f>
        <v/>
      </c>
      <c r="J627" s="139" t="inlineStr">
        <is>
          <t>קיים במקור</t>
        </is>
      </c>
    </row>
    <row r="628" ht="15" customHeight="1" s="82">
      <c r="A628" s="139">
        <f>'לקוחות לפי סוכן - מקור'!A590</f>
        <v/>
      </c>
      <c r="B628" s="139">
        <f>'לקוחות לפי סוכן - מקור'!C590</f>
        <v/>
      </c>
      <c r="C628" s="139">
        <f>'לקוחות לפי סוכן - מקור'!D590</f>
        <v/>
      </c>
      <c r="D628" s="139">
        <f>'לקוחות לפי סוכן - מקור'!E590</f>
        <v/>
      </c>
      <c r="E628" s="147">
        <f>'לקוחות לפי סוכן - מקור'!F590</f>
        <v/>
      </c>
      <c r="F628" s="147">
        <f>'לקוחות לפי סוכן - מקור'!G590</f>
        <v/>
      </c>
      <c r="G628" s="148">
        <f>'לקוחות לפי סוכן - מקור'!H590</f>
        <v/>
      </c>
      <c r="H628" s="148">
        <f>'לקוחות לפי סוכן - מקור'!I590</f>
        <v/>
      </c>
      <c r="I628" s="139">
        <f>'לקוחות לפי סוכן - מקור'!K590</f>
        <v/>
      </c>
      <c r="J628" s="139" t="inlineStr">
        <is>
          <t>קיים במקור</t>
        </is>
      </c>
    </row>
    <row r="629" ht="15" customHeight="1" s="82">
      <c r="A629" s="139">
        <f>'לקוחות לפי סוכן - מקור'!A591</f>
        <v/>
      </c>
      <c r="B629" s="139">
        <f>'לקוחות לפי סוכן - מקור'!C591</f>
        <v/>
      </c>
      <c r="C629" s="139">
        <f>'לקוחות לפי סוכן - מקור'!D591</f>
        <v/>
      </c>
      <c r="D629" s="139">
        <f>'לקוחות לפי סוכן - מקור'!E591</f>
        <v/>
      </c>
      <c r="E629" s="147">
        <f>'לקוחות לפי סוכן - מקור'!F591</f>
        <v/>
      </c>
      <c r="F629" s="147">
        <f>'לקוחות לפי סוכן - מקור'!G591</f>
        <v/>
      </c>
      <c r="G629" s="148">
        <f>'לקוחות לפי סוכן - מקור'!H591</f>
        <v/>
      </c>
      <c r="H629" s="148">
        <f>'לקוחות לפי סוכן - מקור'!I591</f>
        <v/>
      </c>
      <c r="I629" s="139">
        <f>'לקוחות לפי סוכן - מקור'!K591</f>
        <v/>
      </c>
      <c r="J629" s="139" t="inlineStr">
        <is>
          <t>קיים במקור</t>
        </is>
      </c>
    </row>
    <row r="630" ht="15" customHeight="1" s="82">
      <c r="A630" s="139">
        <f>'לקוחות לפי סוכן - מקור'!A592</f>
        <v/>
      </c>
      <c r="B630" s="139">
        <f>'לקוחות לפי סוכן - מקור'!C592</f>
        <v/>
      </c>
      <c r="C630" s="139">
        <f>'לקוחות לפי סוכן - מקור'!D592</f>
        <v/>
      </c>
      <c r="D630" s="139">
        <f>'לקוחות לפי סוכן - מקור'!E592</f>
        <v/>
      </c>
      <c r="E630" s="147">
        <f>'לקוחות לפי סוכן - מקור'!F592</f>
        <v/>
      </c>
      <c r="F630" s="147">
        <f>'לקוחות לפי סוכן - מקור'!G592</f>
        <v/>
      </c>
      <c r="G630" s="148">
        <f>'לקוחות לפי סוכן - מקור'!H592</f>
        <v/>
      </c>
      <c r="H630" s="148">
        <f>'לקוחות לפי סוכן - מקור'!I592</f>
        <v/>
      </c>
      <c r="I630" s="139">
        <f>'לקוחות לפי סוכן - מקור'!K592</f>
        <v/>
      </c>
      <c r="J630" s="139" t="inlineStr">
        <is>
          <t>קיים במקור</t>
        </is>
      </c>
    </row>
    <row r="631" ht="15" customHeight="1" s="82">
      <c r="A631" s="139">
        <f>'לקוחות לפי סוכן - מקור'!A593</f>
        <v/>
      </c>
      <c r="B631" s="139">
        <f>'לקוחות לפי סוכן - מקור'!C593</f>
        <v/>
      </c>
      <c r="C631" s="139">
        <f>'לקוחות לפי סוכן - מקור'!D593</f>
        <v/>
      </c>
      <c r="D631" s="139">
        <f>'לקוחות לפי סוכן - מקור'!E593</f>
        <v/>
      </c>
      <c r="E631" s="147">
        <f>'לקוחות לפי סוכן - מקור'!F593</f>
        <v/>
      </c>
      <c r="F631" s="147">
        <f>'לקוחות לפי סוכן - מקור'!G593</f>
        <v/>
      </c>
      <c r="G631" s="148">
        <f>'לקוחות לפי סוכן - מקור'!H593</f>
        <v/>
      </c>
      <c r="H631" s="148">
        <f>'לקוחות לפי סוכן - מקור'!I593</f>
        <v/>
      </c>
      <c r="I631" s="139">
        <f>'לקוחות לפי סוכן - מקור'!K593</f>
        <v/>
      </c>
      <c r="J631" s="139" t="inlineStr">
        <is>
          <t>קיים במקור</t>
        </is>
      </c>
    </row>
    <row r="632" ht="15" customHeight="1" s="82">
      <c r="A632" s="139">
        <f>'לקוחות לפי סוכן - מקור'!A594</f>
        <v/>
      </c>
      <c r="B632" s="139">
        <f>'לקוחות לפי סוכן - מקור'!C594</f>
        <v/>
      </c>
      <c r="C632" s="139">
        <f>'לקוחות לפי סוכן - מקור'!D594</f>
        <v/>
      </c>
      <c r="D632" s="139">
        <f>'לקוחות לפי סוכן - מקור'!E594</f>
        <v/>
      </c>
      <c r="E632" s="147">
        <f>'לקוחות לפי סוכן - מקור'!F594</f>
        <v/>
      </c>
      <c r="F632" s="147">
        <f>'לקוחות לפי סוכן - מקור'!G594</f>
        <v/>
      </c>
      <c r="G632" s="148">
        <f>'לקוחות לפי סוכן - מקור'!H594</f>
        <v/>
      </c>
      <c r="H632" s="148">
        <f>'לקוחות לפי סוכן - מקור'!I594</f>
        <v/>
      </c>
      <c r="I632" s="139">
        <f>'לקוחות לפי סוכן - מקור'!K594</f>
        <v/>
      </c>
      <c r="J632" s="139" t="inlineStr">
        <is>
          <t>קיים במקור</t>
        </is>
      </c>
    </row>
    <row r="633" ht="15" customHeight="1" s="82">
      <c r="A633" s="139">
        <f>'לקוחות לפי סוכן - מקור'!A595</f>
        <v/>
      </c>
      <c r="B633" s="139">
        <f>'לקוחות לפי סוכן - מקור'!C595</f>
        <v/>
      </c>
      <c r="C633" s="139">
        <f>'לקוחות לפי סוכן - מקור'!D595</f>
        <v/>
      </c>
      <c r="D633" s="139">
        <f>'לקוחות לפי סוכן - מקור'!E595</f>
        <v/>
      </c>
      <c r="E633" s="147">
        <f>'לקוחות לפי סוכן - מקור'!F595</f>
        <v/>
      </c>
      <c r="F633" s="147">
        <f>'לקוחות לפי סוכן - מקור'!G595</f>
        <v/>
      </c>
      <c r="G633" s="148">
        <f>'לקוחות לפי סוכן - מקור'!H595</f>
        <v/>
      </c>
      <c r="H633" s="148">
        <f>'לקוחות לפי סוכן - מקור'!I595</f>
        <v/>
      </c>
      <c r="I633" s="139">
        <f>'לקוחות לפי סוכן - מקור'!K595</f>
        <v/>
      </c>
      <c r="J633" s="139" t="inlineStr">
        <is>
          <t>קיים במקור</t>
        </is>
      </c>
    </row>
    <row r="634" ht="15" customHeight="1" s="82">
      <c r="A634" s="139">
        <f>'לקוחות לפי סוכן - מקור'!A596</f>
        <v/>
      </c>
      <c r="B634" s="139">
        <f>'לקוחות לפי סוכן - מקור'!C596</f>
        <v/>
      </c>
      <c r="C634" s="139">
        <f>'לקוחות לפי סוכן - מקור'!D596</f>
        <v/>
      </c>
      <c r="D634" s="139">
        <f>'לקוחות לפי סוכן - מקור'!E596</f>
        <v/>
      </c>
      <c r="E634" s="147">
        <f>'לקוחות לפי סוכן - מקור'!F596</f>
        <v/>
      </c>
      <c r="F634" s="147">
        <f>'לקוחות לפי סוכן - מקור'!G596</f>
        <v/>
      </c>
      <c r="G634" s="148">
        <f>'לקוחות לפי סוכן - מקור'!H596</f>
        <v/>
      </c>
      <c r="H634" s="148">
        <f>'לקוחות לפי סוכן - מקור'!I596</f>
        <v/>
      </c>
      <c r="I634" s="139">
        <f>'לקוחות לפי סוכן - מקור'!K596</f>
        <v/>
      </c>
      <c r="J634" s="139" t="inlineStr">
        <is>
          <t>קיים במקור</t>
        </is>
      </c>
    </row>
    <row r="635" ht="15" customHeight="1" s="82">
      <c r="A635" s="139">
        <f>'לקוחות לפי סוכן - מקור'!A597</f>
        <v/>
      </c>
      <c r="B635" s="139">
        <f>'לקוחות לפי סוכן - מקור'!C597</f>
        <v/>
      </c>
      <c r="C635" s="139">
        <f>'לקוחות לפי סוכן - מקור'!D597</f>
        <v/>
      </c>
      <c r="D635" s="139">
        <f>'לקוחות לפי סוכן - מקור'!E597</f>
        <v/>
      </c>
      <c r="E635" s="147">
        <f>'לקוחות לפי סוכן - מקור'!F597</f>
        <v/>
      </c>
      <c r="F635" s="147">
        <f>'לקוחות לפי סוכן - מקור'!G597</f>
        <v/>
      </c>
      <c r="G635" s="148">
        <f>'לקוחות לפי סוכן - מקור'!H597</f>
        <v/>
      </c>
      <c r="H635" s="148">
        <f>'לקוחות לפי סוכן - מקור'!I597</f>
        <v/>
      </c>
      <c r="I635" s="139">
        <f>'לקוחות לפי סוכן - מקור'!K597</f>
        <v/>
      </c>
      <c r="J635" s="139" t="inlineStr">
        <is>
          <t>קיים במקור</t>
        </is>
      </c>
    </row>
    <row r="636" ht="15" customHeight="1" s="82">
      <c r="A636" s="139">
        <f>'לקוחות לפי סוכן - מקור'!A598</f>
        <v/>
      </c>
      <c r="B636" s="139">
        <f>'לקוחות לפי סוכן - מקור'!C598</f>
        <v/>
      </c>
      <c r="C636" s="139">
        <f>'לקוחות לפי סוכן - מקור'!D598</f>
        <v/>
      </c>
      <c r="D636" s="139">
        <f>'לקוחות לפי סוכן - מקור'!E598</f>
        <v/>
      </c>
      <c r="E636" s="147">
        <f>'לקוחות לפי סוכן - מקור'!F598</f>
        <v/>
      </c>
      <c r="F636" s="147">
        <f>'לקוחות לפי סוכן - מקור'!G598</f>
        <v/>
      </c>
      <c r="G636" s="148">
        <f>'לקוחות לפי סוכן - מקור'!H598</f>
        <v/>
      </c>
      <c r="H636" s="148">
        <f>'לקוחות לפי סוכן - מקור'!I598</f>
        <v/>
      </c>
      <c r="I636" s="139">
        <f>'לקוחות לפי סוכן - מקור'!K598</f>
        <v/>
      </c>
      <c r="J636" s="139" t="inlineStr">
        <is>
          <t>קיים במקור</t>
        </is>
      </c>
    </row>
    <row r="637" ht="15" customHeight="1" s="82">
      <c r="A637" s="139">
        <f>'לקוחות לפי סוכן - מקור'!A599</f>
        <v/>
      </c>
      <c r="B637" s="139">
        <f>'לקוחות לפי סוכן - מקור'!C599</f>
        <v/>
      </c>
      <c r="C637" s="139">
        <f>'לקוחות לפי סוכן - מקור'!D599</f>
        <v/>
      </c>
      <c r="D637" s="139">
        <f>'לקוחות לפי סוכן - מקור'!E599</f>
        <v/>
      </c>
      <c r="E637" s="147">
        <f>'לקוחות לפי סוכן - מקור'!F599</f>
        <v/>
      </c>
      <c r="F637" s="147">
        <f>'לקוחות לפי סוכן - מקור'!G599</f>
        <v/>
      </c>
      <c r="G637" s="148">
        <f>'לקוחות לפי סוכן - מקור'!H599</f>
        <v/>
      </c>
      <c r="H637" s="148">
        <f>'לקוחות לפי סוכן - מקור'!I599</f>
        <v/>
      </c>
      <c r="I637" s="139">
        <f>'לקוחות לפי סוכן - מקור'!K599</f>
        <v/>
      </c>
      <c r="J637" s="139" t="inlineStr">
        <is>
          <t>קיים במקור</t>
        </is>
      </c>
    </row>
    <row r="638" ht="15" customHeight="1" s="82">
      <c r="A638" s="139">
        <f>'לקוחות לפי סוכן - מקור'!A600</f>
        <v/>
      </c>
      <c r="B638" s="139">
        <f>'לקוחות לפי סוכן - מקור'!C600</f>
        <v/>
      </c>
      <c r="C638" s="139">
        <f>'לקוחות לפי סוכן - מקור'!D600</f>
        <v/>
      </c>
      <c r="D638" s="139">
        <f>'לקוחות לפי סוכן - מקור'!E600</f>
        <v/>
      </c>
      <c r="E638" s="147">
        <f>'לקוחות לפי סוכן - מקור'!F600</f>
        <v/>
      </c>
      <c r="F638" s="147">
        <f>'לקוחות לפי סוכן - מקור'!G600</f>
        <v/>
      </c>
      <c r="G638" s="148">
        <f>'לקוחות לפי סוכן - מקור'!H600</f>
        <v/>
      </c>
      <c r="H638" s="148">
        <f>'לקוחות לפי סוכן - מקור'!I600</f>
        <v/>
      </c>
      <c r="I638" s="139">
        <f>'לקוחות לפי סוכן - מקור'!K600</f>
        <v/>
      </c>
      <c r="J638" s="139" t="inlineStr">
        <is>
          <t>קיים במקור</t>
        </is>
      </c>
    </row>
    <row r="639" ht="15" customHeight="1" s="82">
      <c r="A639" s="139">
        <f>'לקוחות לפי סוכן - מקור'!A601</f>
        <v/>
      </c>
      <c r="B639" s="139">
        <f>'לקוחות לפי סוכן - מקור'!C601</f>
        <v/>
      </c>
      <c r="C639" s="139">
        <f>'לקוחות לפי סוכן - מקור'!D601</f>
        <v/>
      </c>
      <c r="D639" s="139">
        <f>'לקוחות לפי סוכן - מקור'!E601</f>
        <v/>
      </c>
      <c r="E639" s="147">
        <f>'לקוחות לפי סוכן - מקור'!F601</f>
        <v/>
      </c>
      <c r="F639" s="147">
        <f>'לקוחות לפי סוכן - מקור'!G601</f>
        <v/>
      </c>
      <c r="G639" s="148">
        <f>'לקוחות לפי סוכן - מקור'!H601</f>
        <v/>
      </c>
      <c r="H639" s="148">
        <f>'לקוחות לפי סוכן - מקור'!I601</f>
        <v/>
      </c>
      <c r="I639" s="139">
        <f>'לקוחות לפי סוכן - מקור'!K601</f>
        <v/>
      </c>
      <c r="J639" s="139" t="inlineStr">
        <is>
          <t>קיים במקור</t>
        </is>
      </c>
    </row>
    <row r="640" ht="15" customHeight="1" s="82">
      <c r="A640" s="139">
        <f>'לקוחות לפי סוכן - מקור'!A602</f>
        <v/>
      </c>
      <c r="B640" s="139">
        <f>'לקוחות לפי סוכן - מקור'!C602</f>
        <v/>
      </c>
      <c r="C640" s="139">
        <f>'לקוחות לפי סוכן - מקור'!D602</f>
        <v/>
      </c>
      <c r="D640" s="139">
        <f>'לקוחות לפי סוכן - מקור'!E602</f>
        <v/>
      </c>
      <c r="E640" s="147">
        <f>'לקוחות לפי סוכן - מקור'!F602</f>
        <v/>
      </c>
      <c r="F640" s="147">
        <f>'לקוחות לפי סוכן - מקור'!G602</f>
        <v/>
      </c>
      <c r="G640" s="148">
        <f>'לקוחות לפי סוכן - מקור'!H602</f>
        <v/>
      </c>
      <c r="H640" s="148">
        <f>'לקוחות לפי סוכן - מקור'!I602</f>
        <v/>
      </c>
      <c r="I640" s="139">
        <f>'לקוחות לפי סוכן - מקור'!K602</f>
        <v/>
      </c>
      <c r="J640" s="139" t="inlineStr">
        <is>
          <t>קיים במקור</t>
        </is>
      </c>
    </row>
    <row r="641" ht="15" customHeight="1" s="82">
      <c r="A641" s="139">
        <f>'לקוחות לפי סוכן - מקור'!A603</f>
        <v/>
      </c>
      <c r="B641" s="139">
        <f>'לקוחות לפי סוכן - מקור'!C603</f>
        <v/>
      </c>
      <c r="C641" s="139">
        <f>'לקוחות לפי סוכן - מקור'!D603</f>
        <v/>
      </c>
      <c r="D641" s="139">
        <f>'לקוחות לפי סוכן - מקור'!E603</f>
        <v/>
      </c>
      <c r="E641" s="147">
        <f>'לקוחות לפי סוכן - מקור'!F603</f>
        <v/>
      </c>
      <c r="F641" s="147">
        <f>'לקוחות לפי סוכן - מקור'!G603</f>
        <v/>
      </c>
      <c r="G641" s="148">
        <f>'לקוחות לפי סוכן - מקור'!H603</f>
        <v/>
      </c>
      <c r="H641" s="148">
        <f>'לקוחות לפי סוכן - מקור'!I603</f>
        <v/>
      </c>
      <c r="I641" s="139">
        <f>'לקוחות לפי סוכן - מקור'!K603</f>
        <v/>
      </c>
      <c r="J641" s="139" t="inlineStr">
        <is>
          <t>קיים במקור</t>
        </is>
      </c>
    </row>
    <row r="642" ht="15" customHeight="1" s="82">
      <c r="A642" s="139">
        <f>'לקוחות לפי סוכן - מקור'!A604</f>
        <v/>
      </c>
      <c r="B642" s="139">
        <f>'לקוחות לפי סוכן - מקור'!C604</f>
        <v/>
      </c>
      <c r="C642" s="139">
        <f>'לקוחות לפי סוכן - מקור'!D604</f>
        <v/>
      </c>
      <c r="D642" s="139">
        <f>'לקוחות לפי סוכן - מקור'!E604</f>
        <v/>
      </c>
      <c r="E642" s="147">
        <f>'לקוחות לפי סוכן - מקור'!F604</f>
        <v/>
      </c>
      <c r="F642" s="147">
        <f>'לקוחות לפי סוכן - מקור'!G604</f>
        <v/>
      </c>
      <c r="G642" s="148">
        <f>'לקוחות לפי סוכן - מקור'!H604</f>
        <v/>
      </c>
      <c r="H642" s="148">
        <f>'לקוחות לפי סוכן - מקור'!I604</f>
        <v/>
      </c>
      <c r="I642" s="139">
        <f>'לקוחות לפי סוכן - מקור'!K604</f>
        <v/>
      </c>
      <c r="J642" s="139" t="inlineStr">
        <is>
          <t>קיים במקור</t>
        </is>
      </c>
    </row>
    <row r="643" ht="15" customHeight="1" s="82">
      <c r="A643" s="139">
        <f>'לקוחות לפי סוכן - מקור'!A605</f>
        <v/>
      </c>
      <c r="B643" s="139">
        <f>'לקוחות לפי סוכן - מקור'!C605</f>
        <v/>
      </c>
      <c r="C643" s="139">
        <f>'לקוחות לפי סוכן - מקור'!D605</f>
        <v/>
      </c>
      <c r="D643" s="139">
        <f>'לקוחות לפי סוכן - מקור'!E605</f>
        <v/>
      </c>
      <c r="E643" s="147">
        <f>'לקוחות לפי סוכן - מקור'!F605</f>
        <v/>
      </c>
      <c r="F643" s="147">
        <f>'לקוחות לפי סוכן - מקור'!G605</f>
        <v/>
      </c>
      <c r="G643" s="148">
        <f>'לקוחות לפי סוכן - מקור'!H605</f>
        <v/>
      </c>
      <c r="H643" s="148">
        <f>'לקוחות לפי סוכן - מקור'!I605</f>
        <v/>
      </c>
      <c r="I643" s="139">
        <f>'לקוחות לפי סוכן - מקור'!K605</f>
        <v/>
      </c>
      <c r="J643" s="139" t="inlineStr">
        <is>
          <t>קיים במקור</t>
        </is>
      </c>
    </row>
    <row r="644" ht="15" customHeight="1" s="82">
      <c r="A644" s="139">
        <f>'לקוחות לפי סוכן - מקור'!A606</f>
        <v/>
      </c>
      <c r="B644" s="139">
        <f>'לקוחות לפי סוכן - מקור'!C606</f>
        <v/>
      </c>
      <c r="C644" s="139">
        <f>'לקוחות לפי סוכן - מקור'!D606</f>
        <v/>
      </c>
      <c r="D644" s="139">
        <f>'לקוחות לפי סוכן - מקור'!E606</f>
        <v/>
      </c>
      <c r="E644" s="147">
        <f>'לקוחות לפי סוכן - מקור'!F606</f>
        <v/>
      </c>
      <c r="F644" s="147">
        <f>'לקוחות לפי סוכן - מקור'!G606</f>
        <v/>
      </c>
      <c r="G644" s="148">
        <f>'לקוחות לפי סוכן - מקור'!H606</f>
        <v/>
      </c>
      <c r="H644" s="148">
        <f>'לקוחות לפי סוכן - מקור'!I606</f>
        <v/>
      </c>
      <c r="I644" s="139">
        <f>'לקוחות לפי סוכן - מקור'!K606</f>
        <v/>
      </c>
      <c r="J644" s="139" t="inlineStr">
        <is>
          <t>קיים במקור</t>
        </is>
      </c>
    </row>
    <row r="645" ht="15" customHeight="1" s="82">
      <c r="A645" s="139">
        <f>'לקוחות לפי סוכן - מקור'!A608</f>
        <v/>
      </c>
      <c r="B645" s="139">
        <f>'לקוחות לפי סוכן - מקור'!C608</f>
        <v/>
      </c>
      <c r="C645" s="139">
        <f>'לקוחות לפי סוכן - מקור'!D608</f>
        <v/>
      </c>
      <c r="D645" s="139">
        <f>'לקוחות לפי סוכן - מקור'!E608</f>
        <v/>
      </c>
      <c r="E645" s="147">
        <f>'לקוחות לפי סוכן - מקור'!F608</f>
        <v/>
      </c>
      <c r="F645" s="147">
        <f>'לקוחות לפי סוכן - מקור'!G608</f>
        <v/>
      </c>
      <c r="G645" s="148">
        <f>'לקוחות לפי סוכן - מקור'!H608</f>
        <v/>
      </c>
      <c r="H645" s="148">
        <f>'לקוחות לפי סוכן - מקור'!I608</f>
        <v/>
      </c>
      <c r="I645" s="139">
        <f>'לקוחות לפי סוכן - מקור'!K608</f>
        <v/>
      </c>
      <c r="J645" s="139" t="inlineStr">
        <is>
          <t>קיים במקור</t>
        </is>
      </c>
    </row>
    <row r="646" ht="15" customHeight="1" s="82">
      <c r="A646" s="139">
        <f>'לקוחות לפי סוכן - מקור'!A609</f>
        <v/>
      </c>
      <c r="B646" s="139">
        <f>'לקוחות לפי סוכן - מקור'!C609</f>
        <v/>
      </c>
      <c r="C646" s="139">
        <f>'לקוחות לפי סוכן - מקור'!D609</f>
        <v/>
      </c>
      <c r="D646" s="139">
        <f>'לקוחות לפי סוכן - מקור'!E609</f>
        <v/>
      </c>
      <c r="E646" s="147">
        <f>'לקוחות לפי סוכן - מקור'!F609</f>
        <v/>
      </c>
      <c r="F646" s="147">
        <f>'לקוחות לפי סוכן - מקור'!G609</f>
        <v/>
      </c>
      <c r="G646" s="148">
        <f>'לקוחות לפי סוכן - מקור'!H609</f>
        <v/>
      </c>
      <c r="H646" s="148">
        <f>'לקוחות לפי סוכן - מקור'!I609</f>
        <v/>
      </c>
      <c r="I646" s="139">
        <f>'לקוחות לפי סוכן - מקור'!K609</f>
        <v/>
      </c>
      <c r="J646" s="139" t="inlineStr">
        <is>
          <t>קיים במקור</t>
        </is>
      </c>
    </row>
    <row r="647" ht="15" customHeight="1" s="82">
      <c r="A647" s="139">
        <f>'לקוחות לפי סוכן - מקור'!A610</f>
        <v/>
      </c>
      <c r="B647" s="139">
        <f>'לקוחות לפי סוכן - מקור'!C610</f>
        <v/>
      </c>
      <c r="C647" s="139">
        <f>'לקוחות לפי סוכן - מקור'!D610</f>
        <v/>
      </c>
      <c r="D647" s="139">
        <f>'לקוחות לפי סוכן - מקור'!E610</f>
        <v/>
      </c>
      <c r="E647" s="147">
        <f>'לקוחות לפי סוכן - מקור'!F610</f>
        <v/>
      </c>
      <c r="F647" s="147">
        <f>'לקוחות לפי סוכן - מקור'!G610</f>
        <v/>
      </c>
      <c r="G647" s="148">
        <f>'לקוחות לפי סוכן - מקור'!H610</f>
        <v/>
      </c>
      <c r="H647" s="148">
        <f>'לקוחות לפי סוכן - מקור'!I610</f>
        <v/>
      </c>
      <c r="I647" s="139">
        <f>'לקוחות לפי סוכן - מקור'!K610</f>
        <v/>
      </c>
      <c r="J647" s="139" t="inlineStr">
        <is>
          <t>קיים במקור</t>
        </is>
      </c>
    </row>
    <row r="648" ht="15" customHeight="1" s="82">
      <c r="A648" s="139">
        <f>'לקוחות לפי סוכן - מקור'!A611</f>
        <v/>
      </c>
      <c r="B648" s="139">
        <f>'לקוחות לפי סוכן - מקור'!C611</f>
        <v/>
      </c>
      <c r="C648" s="139">
        <f>'לקוחות לפי סוכן - מקור'!D611</f>
        <v/>
      </c>
      <c r="D648" s="139">
        <f>'לקוחות לפי סוכן - מקור'!E611</f>
        <v/>
      </c>
      <c r="E648" s="147">
        <f>'לקוחות לפי סוכן - מקור'!F611</f>
        <v/>
      </c>
      <c r="F648" s="147">
        <f>'לקוחות לפי סוכן - מקור'!G611</f>
        <v/>
      </c>
      <c r="G648" s="148">
        <f>'לקוחות לפי סוכן - מקור'!H611</f>
        <v/>
      </c>
      <c r="H648" s="148">
        <f>'לקוחות לפי סוכן - מקור'!I611</f>
        <v/>
      </c>
      <c r="I648" s="139">
        <f>'לקוחות לפי סוכן - מקור'!K611</f>
        <v/>
      </c>
      <c r="J648" s="139" t="inlineStr">
        <is>
          <t>קיים במקור</t>
        </is>
      </c>
    </row>
    <row r="649" ht="15" customHeight="1" s="82">
      <c r="A649" s="139">
        <f>'לקוחות לפי סוכן - מקור'!A612</f>
        <v/>
      </c>
      <c r="B649" s="139">
        <f>'לקוחות לפי סוכן - מקור'!C612</f>
        <v/>
      </c>
      <c r="C649" s="139">
        <f>'לקוחות לפי סוכן - מקור'!D612</f>
        <v/>
      </c>
      <c r="D649" s="139">
        <f>'לקוחות לפי סוכן - מקור'!E612</f>
        <v/>
      </c>
      <c r="E649" s="147">
        <f>'לקוחות לפי סוכן - מקור'!F612</f>
        <v/>
      </c>
      <c r="F649" s="147">
        <f>'לקוחות לפי סוכן - מקור'!G612</f>
        <v/>
      </c>
      <c r="G649" s="148">
        <f>'לקוחות לפי סוכן - מקור'!H612</f>
        <v/>
      </c>
      <c r="H649" s="148">
        <f>'לקוחות לפי סוכן - מקור'!I612</f>
        <v/>
      </c>
      <c r="I649" s="139">
        <f>'לקוחות לפי סוכן - מקור'!K612</f>
        <v/>
      </c>
      <c r="J649" s="139" t="inlineStr">
        <is>
          <t>קיים במקור</t>
        </is>
      </c>
    </row>
    <row r="650" ht="15" customHeight="1" s="82">
      <c r="A650" s="139">
        <f>'לקוחות לפי סוכן - מקור'!A613</f>
        <v/>
      </c>
      <c r="B650" s="139">
        <f>'לקוחות לפי סוכן - מקור'!C613</f>
        <v/>
      </c>
      <c r="C650" s="139">
        <f>'לקוחות לפי סוכן - מקור'!D613</f>
        <v/>
      </c>
      <c r="D650" s="139">
        <f>'לקוחות לפי סוכן - מקור'!E613</f>
        <v/>
      </c>
      <c r="E650" s="147">
        <f>'לקוחות לפי סוכן - מקור'!F613</f>
        <v/>
      </c>
      <c r="F650" s="147">
        <f>'לקוחות לפי סוכן - מקור'!G613</f>
        <v/>
      </c>
      <c r="G650" s="148">
        <f>'לקוחות לפי סוכן - מקור'!H613</f>
        <v/>
      </c>
      <c r="H650" s="148">
        <f>'לקוחות לפי סוכן - מקור'!I613</f>
        <v/>
      </c>
      <c r="I650" s="139">
        <f>'לקוחות לפי סוכן - מקור'!K613</f>
        <v/>
      </c>
      <c r="J650" s="139" t="inlineStr">
        <is>
          <t>קיים במקור</t>
        </is>
      </c>
    </row>
    <row r="651" ht="15" customHeight="1" s="82">
      <c r="A651" s="139">
        <f>'לקוחות לפי סוכן - מקור'!A614</f>
        <v/>
      </c>
      <c r="B651" s="139">
        <f>'לקוחות לפי סוכן - מקור'!C614</f>
        <v/>
      </c>
      <c r="C651" s="139">
        <f>'לקוחות לפי סוכן - מקור'!D614</f>
        <v/>
      </c>
      <c r="D651" s="139">
        <f>'לקוחות לפי סוכן - מקור'!E614</f>
        <v/>
      </c>
      <c r="E651" s="147">
        <f>'לקוחות לפי סוכן - מקור'!F614</f>
        <v/>
      </c>
      <c r="F651" s="147">
        <f>'לקוחות לפי סוכן - מקור'!G614</f>
        <v/>
      </c>
      <c r="G651" s="148">
        <f>'לקוחות לפי סוכן - מקור'!H614</f>
        <v/>
      </c>
      <c r="H651" s="148">
        <f>'לקוחות לפי סוכן - מקור'!I614</f>
        <v/>
      </c>
      <c r="I651" s="139">
        <f>'לקוחות לפי סוכן - מקור'!K614</f>
        <v/>
      </c>
      <c r="J651" s="139" t="inlineStr">
        <is>
          <t>קיים במקור</t>
        </is>
      </c>
    </row>
    <row r="652" ht="15" customHeight="1" s="82">
      <c r="A652" s="139">
        <f>'לקוחות לפי סוכן - מקור'!A615</f>
        <v/>
      </c>
      <c r="B652" s="139">
        <f>'לקוחות לפי סוכן - מקור'!C615</f>
        <v/>
      </c>
      <c r="C652" s="139">
        <f>'לקוחות לפי סוכן - מקור'!D615</f>
        <v/>
      </c>
      <c r="D652" s="139">
        <f>'לקוחות לפי סוכן - מקור'!E615</f>
        <v/>
      </c>
      <c r="E652" s="147">
        <f>'לקוחות לפי סוכן - מקור'!F615</f>
        <v/>
      </c>
      <c r="F652" s="147">
        <f>'לקוחות לפי סוכן - מקור'!G615</f>
        <v/>
      </c>
      <c r="G652" s="148">
        <f>'לקוחות לפי סוכן - מקור'!H615</f>
        <v/>
      </c>
      <c r="H652" s="148">
        <f>'לקוחות לפי סוכן - מקור'!I615</f>
        <v/>
      </c>
      <c r="I652" s="139">
        <f>'לקוחות לפי סוכן - מקור'!K615</f>
        <v/>
      </c>
      <c r="J652" s="139" t="inlineStr">
        <is>
          <t>קיים במקור</t>
        </is>
      </c>
    </row>
    <row r="653" ht="15" customHeight="1" s="82">
      <c r="A653" s="139">
        <f>'לקוחות לפי סוכן - מקור'!A616</f>
        <v/>
      </c>
      <c r="B653" s="139">
        <f>'לקוחות לפי סוכן - מקור'!C616</f>
        <v/>
      </c>
      <c r="C653" s="139">
        <f>'לקוחות לפי סוכן - מקור'!D616</f>
        <v/>
      </c>
      <c r="D653" s="139">
        <f>'לקוחות לפי סוכן - מקור'!E616</f>
        <v/>
      </c>
      <c r="E653" s="147">
        <f>'לקוחות לפי סוכן - מקור'!F616</f>
        <v/>
      </c>
      <c r="F653" s="147">
        <f>'לקוחות לפי סוכן - מקור'!G616</f>
        <v/>
      </c>
      <c r="G653" s="148">
        <f>'לקוחות לפי סוכן - מקור'!H616</f>
        <v/>
      </c>
      <c r="H653" s="148">
        <f>'לקוחות לפי סוכן - מקור'!I616</f>
        <v/>
      </c>
      <c r="I653" s="139">
        <f>'לקוחות לפי סוכן - מקור'!K616</f>
        <v/>
      </c>
      <c r="J653" s="139" t="inlineStr">
        <is>
          <t>קיים במקור</t>
        </is>
      </c>
    </row>
    <row r="654" ht="15" customHeight="1" s="82">
      <c r="A654" s="139">
        <f>'לקוחות לפי סוכן - מקור'!A617</f>
        <v/>
      </c>
      <c r="B654" s="139">
        <f>'לקוחות לפי סוכן - מקור'!C617</f>
        <v/>
      </c>
      <c r="C654" s="139">
        <f>'לקוחות לפי סוכן - מקור'!D617</f>
        <v/>
      </c>
      <c r="D654" s="139">
        <f>'לקוחות לפי סוכן - מקור'!E617</f>
        <v/>
      </c>
      <c r="E654" s="147">
        <f>'לקוחות לפי סוכן - מקור'!F617</f>
        <v/>
      </c>
      <c r="F654" s="147">
        <f>'לקוחות לפי סוכן - מקור'!G617</f>
        <v/>
      </c>
      <c r="G654" s="148">
        <f>'לקוחות לפי סוכן - מקור'!H617</f>
        <v/>
      </c>
      <c r="H654" s="148">
        <f>'לקוחות לפי סוכן - מקור'!I617</f>
        <v/>
      </c>
      <c r="I654" s="139">
        <f>'לקוחות לפי סוכן - מקור'!K617</f>
        <v/>
      </c>
      <c r="J654" s="139" t="inlineStr">
        <is>
          <t>קיים במקור</t>
        </is>
      </c>
    </row>
    <row r="655" ht="15" customHeight="1" s="82">
      <c r="A655" s="139">
        <f>'לקוחות לפי סוכן - מקור'!A618</f>
        <v/>
      </c>
      <c r="B655" s="139">
        <f>'לקוחות לפי סוכן - מקור'!C618</f>
        <v/>
      </c>
      <c r="C655" s="139">
        <f>'לקוחות לפי סוכן - מקור'!D618</f>
        <v/>
      </c>
      <c r="D655" s="139">
        <f>'לקוחות לפי סוכן - מקור'!E618</f>
        <v/>
      </c>
      <c r="E655" s="147">
        <f>'לקוחות לפי סוכן - מקור'!F618</f>
        <v/>
      </c>
      <c r="F655" s="147">
        <f>'לקוחות לפי סוכן - מקור'!G618</f>
        <v/>
      </c>
      <c r="G655" s="148">
        <f>'לקוחות לפי סוכן - מקור'!H618</f>
        <v/>
      </c>
      <c r="H655" s="148">
        <f>'לקוחות לפי סוכן - מקור'!I618</f>
        <v/>
      </c>
      <c r="I655" s="139">
        <f>'לקוחות לפי סוכן - מקור'!K618</f>
        <v/>
      </c>
      <c r="J655" s="139" t="inlineStr">
        <is>
          <t>קיים במקור</t>
        </is>
      </c>
    </row>
    <row r="656" ht="15" customHeight="1" s="82">
      <c r="A656" s="139">
        <f>'לקוחות לפי סוכן - מקור'!A619</f>
        <v/>
      </c>
      <c r="B656" s="139">
        <f>'לקוחות לפי סוכן - מקור'!C619</f>
        <v/>
      </c>
      <c r="C656" s="139">
        <f>'לקוחות לפי סוכן - מקור'!D619</f>
        <v/>
      </c>
      <c r="D656" s="139">
        <f>'לקוחות לפי סוכן - מקור'!E619</f>
        <v/>
      </c>
      <c r="E656" s="147">
        <f>'לקוחות לפי סוכן - מקור'!F619</f>
        <v/>
      </c>
      <c r="F656" s="147">
        <f>'לקוחות לפי סוכן - מקור'!G619</f>
        <v/>
      </c>
      <c r="G656" s="148">
        <f>'לקוחות לפי סוכן - מקור'!H619</f>
        <v/>
      </c>
      <c r="H656" s="148">
        <f>'לקוחות לפי סוכן - מקור'!I619</f>
        <v/>
      </c>
      <c r="I656" s="139">
        <f>'לקוחות לפי סוכן - מקור'!K619</f>
        <v/>
      </c>
      <c r="J656" s="139" t="inlineStr">
        <is>
          <t>קיים במקור</t>
        </is>
      </c>
    </row>
    <row r="657" ht="15" customHeight="1" s="82">
      <c r="A657" s="139">
        <f>'לקוחות לפי סוכן - מקור'!A620</f>
        <v/>
      </c>
      <c r="B657" s="139">
        <f>'לקוחות לפי סוכן - מקור'!C620</f>
        <v/>
      </c>
      <c r="C657" s="139">
        <f>'לקוחות לפי סוכן - מקור'!D620</f>
        <v/>
      </c>
      <c r="D657" s="139">
        <f>'לקוחות לפי סוכן - מקור'!E620</f>
        <v/>
      </c>
      <c r="E657" s="147">
        <f>'לקוחות לפי סוכן - מקור'!F620</f>
        <v/>
      </c>
      <c r="F657" s="147">
        <f>'לקוחות לפי סוכן - מקור'!G620</f>
        <v/>
      </c>
      <c r="G657" s="148">
        <f>'לקוחות לפי סוכן - מקור'!H620</f>
        <v/>
      </c>
      <c r="H657" s="148">
        <f>'לקוחות לפי סוכן - מקור'!I620</f>
        <v/>
      </c>
      <c r="I657" s="139">
        <f>'לקוחות לפי סוכן - מקור'!K620</f>
        <v/>
      </c>
      <c r="J657" s="139" t="inlineStr">
        <is>
          <t>קיים במקור</t>
        </is>
      </c>
    </row>
    <row r="658" ht="15" customHeight="1" s="82">
      <c r="A658" s="139">
        <f>'לקוחות לפי סוכן - מקור'!A621</f>
        <v/>
      </c>
      <c r="B658" s="139">
        <f>'לקוחות לפי סוכן - מקור'!C621</f>
        <v/>
      </c>
      <c r="C658" s="139">
        <f>'לקוחות לפי סוכן - מקור'!D621</f>
        <v/>
      </c>
      <c r="D658" s="139">
        <f>'לקוחות לפי סוכן - מקור'!E621</f>
        <v/>
      </c>
      <c r="E658" s="147">
        <f>'לקוחות לפי סוכן - מקור'!F621</f>
        <v/>
      </c>
      <c r="F658" s="147">
        <f>'לקוחות לפי סוכן - מקור'!G621</f>
        <v/>
      </c>
      <c r="G658" s="148">
        <f>'לקוחות לפי סוכן - מקור'!H621</f>
        <v/>
      </c>
      <c r="H658" s="148">
        <f>'לקוחות לפי סוכן - מקור'!I621</f>
        <v/>
      </c>
      <c r="I658" s="139">
        <f>'לקוחות לפי סוכן - מקור'!K621</f>
        <v/>
      </c>
      <c r="J658" s="139" t="inlineStr">
        <is>
          <t>קיים במקור</t>
        </is>
      </c>
    </row>
    <row r="659" ht="15" customHeight="1" s="82">
      <c r="A659" s="139">
        <f>'לקוחות לפי סוכן - מקור'!A622</f>
        <v/>
      </c>
      <c r="B659" s="139">
        <f>'לקוחות לפי סוכן - מקור'!C622</f>
        <v/>
      </c>
      <c r="C659" s="139">
        <f>'לקוחות לפי סוכן - מקור'!D622</f>
        <v/>
      </c>
      <c r="D659" s="139">
        <f>'לקוחות לפי סוכן - מקור'!E622</f>
        <v/>
      </c>
      <c r="E659" s="147">
        <f>'לקוחות לפי סוכן - מקור'!F622</f>
        <v/>
      </c>
      <c r="F659" s="147">
        <f>'לקוחות לפי סוכן - מקור'!G622</f>
        <v/>
      </c>
      <c r="G659" s="148">
        <f>'לקוחות לפי סוכן - מקור'!H622</f>
        <v/>
      </c>
      <c r="H659" s="148">
        <f>'לקוחות לפי סוכן - מקור'!I622</f>
        <v/>
      </c>
      <c r="I659" s="139">
        <f>'לקוחות לפי סוכן - מקור'!K622</f>
        <v/>
      </c>
      <c r="J659" s="139" t="inlineStr">
        <is>
          <t>קיים במקור</t>
        </is>
      </c>
    </row>
    <row r="660" ht="15" customHeight="1" s="82">
      <c r="A660" s="139">
        <f>'לקוחות לפי סוכן - מקור'!A623</f>
        <v/>
      </c>
      <c r="B660" s="139">
        <f>'לקוחות לפי סוכן - מקור'!C623</f>
        <v/>
      </c>
      <c r="C660" s="139">
        <f>'לקוחות לפי סוכן - מקור'!D623</f>
        <v/>
      </c>
      <c r="D660" s="139">
        <f>'לקוחות לפי סוכן - מקור'!E623</f>
        <v/>
      </c>
      <c r="E660" s="147">
        <f>'לקוחות לפי סוכן - מקור'!F623</f>
        <v/>
      </c>
      <c r="F660" s="147">
        <f>'לקוחות לפי סוכן - מקור'!G623</f>
        <v/>
      </c>
      <c r="G660" s="148">
        <f>'לקוחות לפי סוכן - מקור'!H623</f>
        <v/>
      </c>
      <c r="H660" s="148">
        <f>'לקוחות לפי סוכן - מקור'!I623</f>
        <v/>
      </c>
      <c r="I660" s="139">
        <f>'לקוחות לפי סוכן - מקור'!K623</f>
        <v/>
      </c>
      <c r="J660" s="139" t="inlineStr">
        <is>
          <t>קיים במקור</t>
        </is>
      </c>
    </row>
    <row r="661" ht="15" customHeight="1" s="82">
      <c r="A661" s="139">
        <f>'לקוחות לפי סוכן - מקור'!A624</f>
        <v/>
      </c>
      <c r="B661" s="139">
        <f>'לקוחות לפי סוכן - מקור'!C624</f>
        <v/>
      </c>
      <c r="C661" s="139">
        <f>'לקוחות לפי סוכן - מקור'!D624</f>
        <v/>
      </c>
      <c r="D661" s="139">
        <f>'לקוחות לפי סוכן - מקור'!E624</f>
        <v/>
      </c>
      <c r="E661" s="147">
        <f>'לקוחות לפי סוכן - מקור'!F624</f>
        <v/>
      </c>
      <c r="F661" s="147">
        <f>'לקוחות לפי סוכן - מקור'!G624</f>
        <v/>
      </c>
      <c r="G661" s="148">
        <f>'לקוחות לפי סוכן - מקור'!H624</f>
        <v/>
      </c>
      <c r="H661" s="148">
        <f>'לקוחות לפי סוכן - מקור'!I624</f>
        <v/>
      </c>
      <c r="I661" s="139">
        <f>'לקוחות לפי סוכן - מקור'!K624</f>
        <v/>
      </c>
      <c r="J661" s="139" t="inlineStr">
        <is>
          <t>קיים במקור</t>
        </is>
      </c>
    </row>
    <row r="662" ht="15" customHeight="1" s="82">
      <c r="A662" s="139">
        <f>'לקוחות לפי סוכן - מקור'!A625</f>
        <v/>
      </c>
      <c r="B662" s="139">
        <f>'לקוחות לפי סוכן - מקור'!C625</f>
        <v/>
      </c>
      <c r="C662" s="139">
        <f>'לקוחות לפי סוכן - מקור'!D625</f>
        <v/>
      </c>
      <c r="D662" s="139">
        <f>'לקוחות לפי סוכן - מקור'!E625</f>
        <v/>
      </c>
      <c r="E662" s="147">
        <f>'לקוחות לפי סוכן - מקור'!F625</f>
        <v/>
      </c>
      <c r="F662" s="147">
        <f>'לקוחות לפי סוכן - מקור'!G625</f>
        <v/>
      </c>
      <c r="G662" s="148">
        <f>'לקוחות לפי סוכן - מקור'!H625</f>
        <v/>
      </c>
      <c r="H662" s="148">
        <f>'לקוחות לפי סוכן - מקור'!I625</f>
        <v/>
      </c>
      <c r="I662" s="139">
        <f>'לקוחות לפי סוכן - מקור'!K625</f>
        <v/>
      </c>
      <c r="J662" s="139" t="inlineStr">
        <is>
          <t>קיים במקור</t>
        </is>
      </c>
    </row>
    <row r="663" ht="15" customHeight="1" s="82">
      <c r="A663" s="139">
        <f>'לקוחות לפי סוכן - מקור'!A626</f>
        <v/>
      </c>
      <c r="B663" s="139">
        <f>'לקוחות לפי סוכן - מקור'!C626</f>
        <v/>
      </c>
      <c r="C663" s="139">
        <f>'לקוחות לפי סוכן - מקור'!D626</f>
        <v/>
      </c>
      <c r="D663" s="139">
        <f>'לקוחות לפי סוכן - מקור'!E626</f>
        <v/>
      </c>
      <c r="E663" s="147">
        <f>'לקוחות לפי סוכן - מקור'!F626</f>
        <v/>
      </c>
      <c r="F663" s="147">
        <f>'לקוחות לפי סוכן - מקור'!G626</f>
        <v/>
      </c>
      <c r="G663" s="148">
        <f>'לקוחות לפי סוכן - מקור'!H626</f>
        <v/>
      </c>
      <c r="H663" s="148">
        <f>'לקוחות לפי סוכן - מקור'!I626</f>
        <v/>
      </c>
      <c r="I663" s="139">
        <f>'לקוחות לפי סוכן - מקור'!K626</f>
        <v/>
      </c>
      <c r="J663" s="139" t="inlineStr">
        <is>
          <t>קיים במקור</t>
        </is>
      </c>
    </row>
    <row r="664" ht="15" customHeight="1" s="82">
      <c r="A664" s="139">
        <f>'לקוחות לפי סוכן - מקור'!A627</f>
        <v/>
      </c>
      <c r="B664" s="139">
        <f>'לקוחות לפי סוכן - מקור'!C627</f>
        <v/>
      </c>
      <c r="C664" s="139">
        <f>'לקוחות לפי סוכן - מקור'!D627</f>
        <v/>
      </c>
      <c r="D664" s="139">
        <f>'לקוחות לפי סוכן - מקור'!E627</f>
        <v/>
      </c>
      <c r="E664" s="147">
        <f>'לקוחות לפי סוכן - מקור'!F627</f>
        <v/>
      </c>
      <c r="F664" s="147">
        <f>'לקוחות לפי סוכן - מקור'!G627</f>
        <v/>
      </c>
      <c r="G664" s="148">
        <f>'לקוחות לפי סוכן - מקור'!H627</f>
        <v/>
      </c>
      <c r="H664" s="148">
        <f>'לקוחות לפי סוכן - מקור'!I627</f>
        <v/>
      </c>
      <c r="I664" s="139">
        <f>'לקוחות לפי סוכן - מקור'!K627</f>
        <v/>
      </c>
      <c r="J664" s="139" t="inlineStr">
        <is>
          <t>קיים במקור</t>
        </is>
      </c>
    </row>
    <row r="665" ht="15" customHeight="1" s="82">
      <c r="A665" s="149">
        <f>'לקוחות לפי סוכן - מקור חדש'!B36</f>
        <v/>
      </c>
      <c r="B665" s="149">
        <f>'לקוחות לפי סוכן - מקור חדש'!C36</f>
        <v/>
      </c>
      <c r="C665" s="149" t="n"/>
      <c r="D665" s="149">
        <f>TRIM('לקוחות לפי סוכן - מקור חדש'!D36)</f>
        <v/>
      </c>
      <c r="E665" s="147">
        <f>'לקוחות לפי סוכן - מקור חדש'!F36</f>
        <v/>
      </c>
      <c r="F665" s="147">
        <f>'לקוחות לפי סוכן - מקור חדש'!H36</f>
        <v/>
      </c>
      <c r="G665" s="148">
        <f>'לקוחות לפי סוכן - מקור חדש'!E36</f>
        <v/>
      </c>
      <c r="H665" s="148">
        <f>'לקוחות לפי סוכן - מקור חדש'!G36</f>
        <v/>
      </c>
      <c r="I665" s="149" t="inlineStr">
        <is>
          <t>מכירות 25-26 לפי לקוח-סוכן</t>
        </is>
      </c>
      <c r="J665" s="149" t="inlineStr">
        <is>
          <t>חדש — לא היה ב-מקור</t>
        </is>
      </c>
    </row>
    <row r="666" ht="15" customHeight="1" s="82">
      <c r="A666" s="149">
        <f>'לקוחות לפי סוכן - מקור חדש'!B37</f>
        <v/>
      </c>
      <c r="B666" s="149">
        <f>'לקוחות לפי סוכן - מקור חדש'!C37</f>
        <v/>
      </c>
      <c r="C666" s="149" t="n"/>
      <c r="D666" s="149">
        <f>TRIM('לקוחות לפי סוכן - מקור חדש'!D37)</f>
        <v/>
      </c>
      <c r="E666" s="147">
        <f>'לקוחות לפי סוכן - מקור חדש'!F37</f>
        <v/>
      </c>
      <c r="F666" s="147">
        <f>'לקוחות לפי סוכן - מקור חדש'!H37</f>
        <v/>
      </c>
      <c r="G666" s="148">
        <f>'לקוחות לפי סוכן - מקור חדש'!E37</f>
        <v/>
      </c>
      <c r="H666" s="148">
        <f>'לקוחות לפי סוכן - מקור חדש'!G37</f>
        <v/>
      </c>
      <c r="I666" s="149" t="inlineStr">
        <is>
          <t>מכירות 25-26 לפי לקוח-סוכן</t>
        </is>
      </c>
      <c r="J666" s="149" t="inlineStr">
        <is>
          <t>חדש — לא היה ב-מקור</t>
        </is>
      </c>
    </row>
    <row r="667" ht="15" customHeight="1" s="82">
      <c r="A667" s="149">
        <f>'לקוחות לפי סוכן - מקור חדש'!B40</f>
        <v/>
      </c>
      <c r="B667" s="149">
        <f>'לקוחות לפי סוכן - מקור חדש'!C40</f>
        <v/>
      </c>
      <c r="C667" s="149" t="n"/>
      <c r="D667" s="149">
        <f>TRIM('לקוחות לפי סוכן - מקור חדש'!D40)</f>
        <v/>
      </c>
      <c r="E667" s="147">
        <f>'לקוחות לפי סוכן - מקור חדש'!F40</f>
        <v/>
      </c>
      <c r="F667" s="147">
        <f>'לקוחות לפי סוכן - מקור חדש'!H40</f>
        <v/>
      </c>
      <c r="G667" s="148">
        <f>'לקוחות לפי סוכן - מקור חדש'!E40</f>
        <v/>
      </c>
      <c r="H667" s="148">
        <f>'לקוחות לפי סוכן - מקור חדש'!G40</f>
        <v/>
      </c>
      <c r="I667" s="149" t="inlineStr">
        <is>
          <t>מכירות 25-26 לפי לקוח-סוכן</t>
        </is>
      </c>
      <c r="J667" s="149" t="inlineStr">
        <is>
          <t>חדש — לא היה ב-מקור</t>
        </is>
      </c>
    </row>
    <row r="668" ht="15" customHeight="1" s="82">
      <c r="A668" s="149">
        <f>'לקוחות לפי סוכן - מקור חדש'!B42</f>
        <v/>
      </c>
      <c r="B668" s="149">
        <f>'לקוחות לפי סוכן - מקור חדש'!C42</f>
        <v/>
      </c>
      <c r="C668" s="149" t="n"/>
      <c r="D668" s="149">
        <f>TRIM('לקוחות לפי סוכן - מקור חדש'!D42)</f>
        <v/>
      </c>
      <c r="E668" s="147">
        <f>'לקוחות לפי סוכן - מקור חדש'!F42</f>
        <v/>
      </c>
      <c r="F668" s="147">
        <f>'לקוחות לפי סוכן - מקור חדש'!H42</f>
        <v/>
      </c>
      <c r="G668" s="148">
        <f>'לקוחות לפי סוכן - מקור חדש'!E42</f>
        <v/>
      </c>
      <c r="H668" s="148">
        <f>'לקוחות לפי סוכן - מקור חדש'!G42</f>
        <v/>
      </c>
      <c r="I668" s="149" t="inlineStr">
        <is>
          <t>מכירות 25-26 לפי לקוח-סוכן</t>
        </is>
      </c>
      <c r="J668" s="149" t="inlineStr">
        <is>
          <t>חדש — לא היה ב-מקור</t>
        </is>
      </c>
    </row>
    <row r="669" ht="15" customHeight="1" s="82">
      <c r="A669" s="149">
        <f>'לקוחות לפי סוכן - מקור חדש'!B68</f>
        <v/>
      </c>
      <c r="B669" s="149">
        <f>'לקוחות לפי סוכן - מקור חדש'!C68</f>
        <v/>
      </c>
      <c r="C669" s="149" t="n"/>
      <c r="D669" s="149">
        <f>TRIM('לקוחות לפי סוכן - מקור חדש'!D68)</f>
        <v/>
      </c>
      <c r="E669" s="147">
        <f>'לקוחות לפי סוכן - מקור חדש'!F68</f>
        <v/>
      </c>
      <c r="F669" s="147">
        <f>'לקוחות לפי סוכן - מקור חדש'!H68</f>
        <v/>
      </c>
      <c r="G669" s="148">
        <f>'לקוחות לפי סוכן - מקור חדש'!E68</f>
        <v/>
      </c>
      <c r="H669" s="148">
        <f>'לקוחות לפי סוכן - מקור חדש'!G68</f>
        <v/>
      </c>
      <c r="I669" s="149" t="inlineStr">
        <is>
          <t>מכירות 25-26 לפי לקוח-סוכן</t>
        </is>
      </c>
      <c r="J669" s="149" t="inlineStr">
        <is>
          <t>חדש — לא היה ב-מקור</t>
        </is>
      </c>
    </row>
    <row r="670" ht="15" customHeight="1" s="82">
      <c r="A670" s="149">
        <f>'לקוחות לפי סוכן - מקור חדש'!B80</f>
        <v/>
      </c>
      <c r="B670" s="149">
        <f>'לקוחות לפי סוכן - מקור חדש'!C80</f>
        <v/>
      </c>
      <c r="C670" s="149" t="n"/>
      <c r="D670" s="149">
        <f>TRIM('לקוחות לפי סוכן - מקור חדש'!D80)</f>
        <v/>
      </c>
      <c r="E670" s="147">
        <f>'לקוחות לפי סוכן - מקור חדש'!F80</f>
        <v/>
      </c>
      <c r="F670" s="147">
        <f>'לקוחות לפי סוכן - מקור חדש'!H80</f>
        <v/>
      </c>
      <c r="G670" s="148">
        <f>'לקוחות לפי סוכן - מקור חדש'!E80</f>
        <v/>
      </c>
      <c r="H670" s="148">
        <f>'לקוחות לפי סוכן - מקור חדש'!G80</f>
        <v/>
      </c>
      <c r="I670" s="149" t="inlineStr">
        <is>
          <t>מכירות 25-26 לפי לקוח-סוכן</t>
        </is>
      </c>
      <c r="J670" s="149" t="inlineStr">
        <is>
          <t>חדש — לא היה ב-מקור</t>
        </is>
      </c>
    </row>
    <row r="671" ht="15" customHeight="1" s="82">
      <c r="A671" s="149">
        <f>'לקוחות לפי סוכן - מקור חדש'!B94</f>
        <v/>
      </c>
      <c r="B671" s="149">
        <f>'לקוחות לפי סוכן - מקור חדש'!C94</f>
        <v/>
      </c>
      <c r="C671" s="149" t="n"/>
      <c r="D671" s="149">
        <f>TRIM('לקוחות לפי סוכן - מקור חדש'!D94)</f>
        <v/>
      </c>
      <c r="E671" s="147">
        <f>'לקוחות לפי סוכן - מקור חדש'!F94</f>
        <v/>
      </c>
      <c r="F671" s="147">
        <f>'לקוחות לפי סוכן - מקור חדש'!H94</f>
        <v/>
      </c>
      <c r="G671" s="148">
        <f>'לקוחות לפי סוכן - מקור חדש'!E94</f>
        <v/>
      </c>
      <c r="H671" s="148">
        <f>'לקוחות לפי סוכן - מקור חדש'!G94</f>
        <v/>
      </c>
      <c r="I671" s="149" t="inlineStr">
        <is>
          <t>מכירות 25-26 לפי לקוח-סוכן</t>
        </is>
      </c>
      <c r="J671" s="149" t="inlineStr">
        <is>
          <t>חדש — לא היה ב-מקור</t>
        </is>
      </c>
    </row>
    <row r="672" ht="15" customHeight="1" s="82">
      <c r="A672" s="149">
        <f>'לקוחות לפי סוכן - מקור חדש'!B121</f>
        <v/>
      </c>
      <c r="B672" s="149">
        <f>'לקוחות לפי סוכן - מקור חדש'!C121</f>
        <v/>
      </c>
      <c r="C672" s="149" t="n"/>
      <c r="D672" s="149">
        <f>TRIM('לקוחות לפי סוכן - מקור חדש'!D121)</f>
        <v/>
      </c>
      <c r="E672" s="147">
        <f>'לקוחות לפי סוכן - מקור חדש'!F121</f>
        <v/>
      </c>
      <c r="F672" s="147">
        <f>'לקוחות לפי סוכן - מקור חדש'!H121</f>
        <v/>
      </c>
      <c r="G672" s="148">
        <f>'לקוחות לפי סוכן - מקור חדש'!E121</f>
        <v/>
      </c>
      <c r="H672" s="148">
        <f>'לקוחות לפי סוכן - מקור חדש'!G121</f>
        <v/>
      </c>
      <c r="I672" s="149" t="inlineStr">
        <is>
          <t>מכירות 25-26 לפי לקוח-סוכן</t>
        </is>
      </c>
      <c r="J672" s="149" t="inlineStr">
        <is>
          <t>חדש — לא היה ב-מקור</t>
        </is>
      </c>
    </row>
    <row r="673" ht="15" customHeight="1" s="82">
      <c r="A673" s="149">
        <f>'לקוחות לפי סוכן - מקור חדש'!B139</f>
        <v/>
      </c>
      <c r="B673" s="149">
        <f>'לקוחות לפי סוכן - מקור חדש'!C139</f>
        <v/>
      </c>
      <c r="C673" s="149" t="n"/>
      <c r="D673" s="149">
        <f>TRIM('לקוחות לפי סוכן - מקור חדש'!D139)</f>
        <v/>
      </c>
      <c r="E673" s="147">
        <f>'לקוחות לפי סוכן - מקור חדש'!F139</f>
        <v/>
      </c>
      <c r="F673" s="147">
        <f>'לקוחות לפי סוכן - מקור חדש'!H139</f>
        <v/>
      </c>
      <c r="G673" s="148">
        <f>'לקוחות לפי סוכן - מקור חדש'!E139</f>
        <v/>
      </c>
      <c r="H673" s="148">
        <f>'לקוחות לפי סוכן - מקור חדש'!G139</f>
        <v/>
      </c>
      <c r="I673" s="149" t="inlineStr">
        <is>
          <t>מכירות 25-26 לפי לקוח-סוכן</t>
        </is>
      </c>
      <c r="J673" s="149" t="inlineStr">
        <is>
          <t>חדש — לא היה ב-מקור</t>
        </is>
      </c>
    </row>
    <row r="674" ht="15" customHeight="1" s="82">
      <c r="A674" s="149">
        <f>'לקוחות לפי סוכן - מקור חדש'!B140</f>
        <v/>
      </c>
      <c r="B674" s="149">
        <f>'לקוחות לפי סוכן - מקור חדש'!C140</f>
        <v/>
      </c>
      <c r="C674" s="149" t="n"/>
      <c r="D674" s="149">
        <f>TRIM('לקוחות לפי סוכן - מקור חדש'!D140)</f>
        <v/>
      </c>
      <c r="E674" s="147">
        <f>'לקוחות לפי סוכן - מקור חדש'!F140</f>
        <v/>
      </c>
      <c r="F674" s="147">
        <f>'לקוחות לפי סוכן - מקור חדש'!H140</f>
        <v/>
      </c>
      <c r="G674" s="148">
        <f>'לקוחות לפי סוכן - מקור חדש'!E140</f>
        <v/>
      </c>
      <c r="H674" s="148">
        <f>'לקוחות לפי סוכן - מקור חדש'!G140</f>
        <v/>
      </c>
      <c r="I674" s="149" t="inlineStr">
        <is>
          <t>מכירות 25-26 לפי לקוח-סוכן</t>
        </is>
      </c>
      <c r="J674" s="149" t="inlineStr">
        <is>
          <t>חדש — לא היה ב-מקור</t>
        </is>
      </c>
    </row>
    <row r="675" ht="15" customHeight="1" s="82">
      <c r="A675" s="149">
        <f>'לקוחות לפי סוכן - מקור חדש'!B141</f>
        <v/>
      </c>
      <c r="B675" s="149">
        <f>'לקוחות לפי סוכן - מקור חדש'!C141</f>
        <v/>
      </c>
      <c r="C675" s="149" t="n"/>
      <c r="D675" s="149">
        <f>TRIM('לקוחות לפי סוכן - מקור חדש'!D141)</f>
        <v/>
      </c>
      <c r="E675" s="147">
        <f>'לקוחות לפי סוכן - מקור חדש'!F141</f>
        <v/>
      </c>
      <c r="F675" s="147">
        <f>'לקוחות לפי סוכן - מקור חדש'!H141</f>
        <v/>
      </c>
      <c r="G675" s="148">
        <f>'לקוחות לפי סוכן - מקור חדש'!E141</f>
        <v/>
      </c>
      <c r="H675" s="148">
        <f>'לקוחות לפי סוכן - מקור חדש'!G141</f>
        <v/>
      </c>
      <c r="I675" s="149" t="inlineStr">
        <is>
          <t>מכירות 25-26 לפי לקוח-סוכן</t>
        </is>
      </c>
      <c r="J675" s="149" t="inlineStr">
        <is>
          <t>חדש — לא היה ב-מקור</t>
        </is>
      </c>
    </row>
    <row r="676" ht="15" customHeight="1" s="82">
      <c r="A676" s="149">
        <f>'לקוחות לפי סוכן - מקור חדש'!B159</f>
        <v/>
      </c>
      <c r="B676" s="149">
        <f>'לקוחות לפי סוכן - מקור חדש'!C159</f>
        <v/>
      </c>
      <c r="C676" s="149" t="n"/>
      <c r="D676" s="149">
        <f>TRIM('לקוחות לפי סוכן - מקור חדש'!D159)</f>
        <v/>
      </c>
      <c r="E676" s="147">
        <f>'לקוחות לפי סוכן - מקור חדש'!F159</f>
        <v/>
      </c>
      <c r="F676" s="147">
        <f>'לקוחות לפי סוכן - מקור חדש'!H159</f>
        <v/>
      </c>
      <c r="G676" s="148">
        <f>'לקוחות לפי סוכן - מקור חדש'!E159</f>
        <v/>
      </c>
      <c r="H676" s="148">
        <f>'לקוחות לפי סוכן - מקור חדש'!G159</f>
        <v/>
      </c>
      <c r="I676" s="149" t="inlineStr">
        <is>
          <t>מכירות 25-26 לפי לקוח-סוכן</t>
        </is>
      </c>
      <c r="J676" s="149" t="inlineStr">
        <is>
          <t>חדש — לא היה ב-מקור</t>
        </is>
      </c>
    </row>
    <row r="677" ht="15" customHeight="1" s="82">
      <c r="A677" s="149">
        <f>'לקוחות לפי סוכן - מקור חדש'!B166</f>
        <v/>
      </c>
      <c r="B677" s="149">
        <f>'לקוחות לפי סוכן - מקור חדש'!C166</f>
        <v/>
      </c>
      <c r="C677" s="149" t="n"/>
      <c r="D677" s="149">
        <f>TRIM('לקוחות לפי סוכן - מקור חדש'!D166)</f>
        <v/>
      </c>
      <c r="E677" s="147">
        <f>'לקוחות לפי סוכן - מקור חדש'!F166</f>
        <v/>
      </c>
      <c r="F677" s="147">
        <f>'לקוחות לפי סוכן - מקור חדש'!H166</f>
        <v/>
      </c>
      <c r="G677" s="148">
        <f>'לקוחות לפי סוכן - מקור חדש'!E166</f>
        <v/>
      </c>
      <c r="H677" s="148">
        <f>'לקוחות לפי סוכן - מקור חדש'!G166</f>
        <v/>
      </c>
      <c r="I677" s="149" t="inlineStr">
        <is>
          <t>מכירות 25-26 לפי לקוח-סוכן</t>
        </is>
      </c>
      <c r="J677" s="149" t="inlineStr">
        <is>
          <t>חדש — לא היה ב-מקור</t>
        </is>
      </c>
    </row>
    <row r="678" ht="15" customHeight="1" s="82">
      <c r="A678" s="149">
        <f>'לקוחות לפי סוכן - מקור חדש'!B168</f>
        <v/>
      </c>
      <c r="B678" s="149">
        <f>'לקוחות לפי סוכן - מקור חדש'!C168</f>
        <v/>
      </c>
      <c r="C678" s="149" t="n"/>
      <c r="D678" s="149">
        <f>TRIM('לקוחות לפי סוכן - מקור חדש'!D168)</f>
        <v/>
      </c>
      <c r="E678" s="147">
        <f>'לקוחות לפי סוכן - מקור חדש'!F168</f>
        <v/>
      </c>
      <c r="F678" s="147">
        <f>'לקוחות לפי סוכן - מקור חדש'!H168</f>
        <v/>
      </c>
      <c r="G678" s="148">
        <f>'לקוחות לפי סוכן - מקור חדש'!E168</f>
        <v/>
      </c>
      <c r="H678" s="148">
        <f>'לקוחות לפי סוכן - מקור חדש'!G168</f>
        <v/>
      </c>
      <c r="I678" s="149" t="inlineStr">
        <is>
          <t>מכירות 25-26 לפי לקוח-סוכן</t>
        </is>
      </c>
      <c r="J678" s="149" t="inlineStr">
        <is>
          <t>חדש — לא היה ב-מקור</t>
        </is>
      </c>
    </row>
    <row r="679" ht="15" customHeight="1" s="82">
      <c r="A679" s="149">
        <f>'לקוחות לפי סוכן - מקור חדש'!B169</f>
        <v/>
      </c>
      <c r="B679" s="149">
        <f>'לקוחות לפי סוכן - מקור חדש'!C169</f>
        <v/>
      </c>
      <c r="C679" s="149" t="n"/>
      <c r="D679" s="149">
        <f>TRIM('לקוחות לפי סוכן - מקור חדש'!D169)</f>
        <v/>
      </c>
      <c r="E679" s="147">
        <f>'לקוחות לפי סוכן - מקור חדש'!F169</f>
        <v/>
      </c>
      <c r="F679" s="147">
        <f>'לקוחות לפי סוכן - מקור חדש'!H169</f>
        <v/>
      </c>
      <c r="G679" s="148">
        <f>'לקוחות לפי סוכן - מקור חדש'!E169</f>
        <v/>
      </c>
      <c r="H679" s="148">
        <f>'לקוחות לפי סוכן - מקור חדש'!G169</f>
        <v/>
      </c>
      <c r="I679" s="149" t="inlineStr">
        <is>
          <t>מכירות 25-26 לפי לקוח-סוכן</t>
        </is>
      </c>
      <c r="J679" s="149" t="inlineStr">
        <is>
          <t>חדש — לא היה ב-מקור</t>
        </is>
      </c>
    </row>
    <row r="680" ht="15" customHeight="1" s="82">
      <c r="A680" s="149">
        <f>'לקוחות לפי סוכן - מקור חדש'!B170</f>
        <v/>
      </c>
      <c r="B680" s="149">
        <f>'לקוחות לפי סוכן - מקור חדש'!C170</f>
        <v/>
      </c>
      <c r="C680" s="149" t="n"/>
      <c r="D680" s="149">
        <f>TRIM('לקוחות לפי סוכן - מקור חדש'!D170)</f>
        <v/>
      </c>
      <c r="E680" s="147">
        <f>'לקוחות לפי סוכן - מקור חדש'!F170</f>
        <v/>
      </c>
      <c r="F680" s="147">
        <f>'לקוחות לפי סוכן - מקור חדש'!H170</f>
        <v/>
      </c>
      <c r="G680" s="148">
        <f>'לקוחות לפי סוכן - מקור חדש'!E170</f>
        <v/>
      </c>
      <c r="H680" s="148">
        <f>'לקוחות לפי סוכן - מקור חדש'!G170</f>
        <v/>
      </c>
      <c r="I680" s="149" t="inlineStr">
        <is>
          <t>מכירות 25-26 לפי לקוח-סוכן</t>
        </is>
      </c>
      <c r="J680" s="149" t="inlineStr">
        <is>
          <t>חדש — לא היה ב-מקור</t>
        </is>
      </c>
    </row>
    <row r="681" ht="15" customHeight="1" s="82">
      <c r="A681" s="149">
        <f>'לקוחות לפי סוכן - מקור חדש'!B171</f>
        <v/>
      </c>
      <c r="B681" s="149">
        <f>'לקוחות לפי סוכן - מקור חדש'!C171</f>
        <v/>
      </c>
      <c r="C681" s="149" t="n"/>
      <c r="D681" s="149">
        <f>TRIM('לקוחות לפי סוכן - מקור חדש'!D171)</f>
        <v/>
      </c>
      <c r="E681" s="147">
        <f>'לקוחות לפי סוכן - מקור חדש'!F171</f>
        <v/>
      </c>
      <c r="F681" s="147">
        <f>'לקוחות לפי סוכן - מקור חדש'!H171</f>
        <v/>
      </c>
      <c r="G681" s="148">
        <f>'לקוחות לפי סוכן - מקור חדש'!E171</f>
        <v/>
      </c>
      <c r="H681" s="148">
        <f>'לקוחות לפי סוכן - מקור חדש'!G171</f>
        <v/>
      </c>
      <c r="I681" s="149" t="inlineStr">
        <is>
          <t>מכירות 25-26 לפי לקוח-סוכן</t>
        </is>
      </c>
      <c r="J681" s="149" t="inlineStr">
        <is>
          <t>חדש — לא היה ב-מקור</t>
        </is>
      </c>
    </row>
    <row r="682" ht="15" customHeight="1" s="82">
      <c r="A682" s="149">
        <f>'לקוחות לפי סוכן - מקור חדש'!B231</f>
        <v/>
      </c>
      <c r="B682" s="149">
        <f>'לקוחות לפי סוכן - מקור חדש'!C231</f>
        <v/>
      </c>
      <c r="C682" s="149" t="n"/>
      <c r="D682" s="149">
        <f>TRIM('לקוחות לפי סוכן - מקור חדש'!D231)</f>
        <v/>
      </c>
      <c r="E682" s="147">
        <f>'לקוחות לפי סוכן - מקור חדש'!F231</f>
        <v/>
      </c>
      <c r="F682" s="147">
        <f>'לקוחות לפי סוכן - מקור חדש'!H231</f>
        <v/>
      </c>
      <c r="G682" s="148">
        <f>'לקוחות לפי סוכן - מקור חדש'!E231</f>
        <v/>
      </c>
      <c r="H682" s="148">
        <f>'לקוחות לפי סוכן - מקור חדש'!G231</f>
        <v/>
      </c>
      <c r="I682" s="149" t="inlineStr">
        <is>
          <t>מכירות 25-26 לפי לקוח-סוכן</t>
        </is>
      </c>
      <c r="J682" s="149" t="inlineStr">
        <is>
          <t>חדש — לא היה ב-מקור</t>
        </is>
      </c>
    </row>
    <row r="683" ht="15" customHeight="1" s="82">
      <c r="A683" s="149">
        <f>'לקוחות לפי סוכן - מקור חדש'!B245</f>
        <v/>
      </c>
      <c r="B683" s="149">
        <f>'לקוחות לפי סוכן - מקור חדש'!C245</f>
        <v/>
      </c>
      <c r="C683" s="149" t="n"/>
      <c r="D683" s="149">
        <f>TRIM('לקוחות לפי סוכן - מקור חדש'!D245)</f>
        <v/>
      </c>
      <c r="E683" s="147">
        <f>'לקוחות לפי סוכן - מקור חדש'!F245</f>
        <v/>
      </c>
      <c r="F683" s="147">
        <f>'לקוחות לפי סוכן - מקור חדש'!H245</f>
        <v/>
      </c>
      <c r="G683" s="148">
        <f>'לקוחות לפי סוכן - מקור חדש'!E245</f>
        <v/>
      </c>
      <c r="H683" s="148">
        <f>'לקוחות לפי סוכן - מקור חדש'!G245</f>
        <v/>
      </c>
      <c r="I683" s="149" t="inlineStr">
        <is>
          <t>מכירות 25-26 לפי לקוח-סוכן</t>
        </is>
      </c>
      <c r="J683" s="149" t="inlineStr">
        <is>
          <t>חדש — לא היה ב-מקור</t>
        </is>
      </c>
    </row>
    <row r="684" ht="15" customHeight="1" s="82">
      <c r="A684" s="149">
        <f>'לקוחות לפי סוכן - מקור חדש'!B248</f>
        <v/>
      </c>
      <c r="B684" s="149">
        <f>'לקוחות לפי סוכן - מקור חדש'!C248</f>
        <v/>
      </c>
      <c r="C684" s="149" t="n"/>
      <c r="D684" s="149">
        <f>TRIM('לקוחות לפי סוכן - מקור חדש'!D248)</f>
        <v/>
      </c>
      <c r="E684" s="147">
        <f>'לקוחות לפי סוכן - מקור חדש'!F248</f>
        <v/>
      </c>
      <c r="F684" s="147">
        <f>'לקוחות לפי סוכן - מקור חדש'!H248</f>
        <v/>
      </c>
      <c r="G684" s="148">
        <f>'לקוחות לפי סוכן - מקור חדש'!E248</f>
        <v/>
      </c>
      <c r="H684" s="148">
        <f>'לקוחות לפי סוכן - מקור חדש'!G248</f>
        <v/>
      </c>
      <c r="I684" s="149" t="inlineStr">
        <is>
          <t>מכירות 25-26 לפי לקוח-סוכן</t>
        </is>
      </c>
      <c r="J684" s="149" t="inlineStr">
        <is>
          <t>חדש — לא היה ב-מקור</t>
        </is>
      </c>
    </row>
    <row r="685" ht="15" customHeight="1" s="82">
      <c r="A685" s="149">
        <f>'לקוחות לפי סוכן - מקור חדש'!B252</f>
        <v/>
      </c>
      <c r="B685" s="149">
        <f>'לקוחות לפי סוכן - מקור חדש'!C252</f>
        <v/>
      </c>
      <c r="C685" s="149" t="n"/>
      <c r="D685" s="149">
        <f>TRIM('לקוחות לפי סוכן - מקור חדש'!D252)</f>
        <v/>
      </c>
      <c r="E685" s="147">
        <f>'לקוחות לפי סוכן - מקור חדש'!F252</f>
        <v/>
      </c>
      <c r="F685" s="147">
        <f>'לקוחות לפי סוכן - מקור חדש'!H252</f>
        <v/>
      </c>
      <c r="G685" s="148">
        <f>'לקוחות לפי סוכן - מקור חדש'!E252</f>
        <v/>
      </c>
      <c r="H685" s="148">
        <f>'לקוחות לפי סוכן - מקור חדש'!G252</f>
        <v/>
      </c>
      <c r="I685" s="149" t="inlineStr">
        <is>
          <t>מכירות 25-26 לפי לקוח-סוכן</t>
        </is>
      </c>
      <c r="J685" s="149" t="inlineStr">
        <is>
          <t>חדש — לא היה ב-מקור</t>
        </is>
      </c>
    </row>
    <row r="686" ht="15" customHeight="1" s="82">
      <c r="A686" s="149">
        <f>'לקוחות לפי סוכן - מקור חדש'!B253</f>
        <v/>
      </c>
      <c r="B686" s="149">
        <f>'לקוחות לפי סוכן - מקור חדש'!C253</f>
        <v/>
      </c>
      <c r="C686" s="149" t="n"/>
      <c r="D686" s="149">
        <f>TRIM('לקוחות לפי סוכן - מקור חדש'!D253)</f>
        <v/>
      </c>
      <c r="E686" s="147">
        <f>'לקוחות לפי סוכן - מקור חדש'!F253</f>
        <v/>
      </c>
      <c r="F686" s="147">
        <f>'לקוחות לפי סוכן - מקור חדש'!H253</f>
        <v/>
      </c>
      <c r="G686" s="148">
        <f>'לקוחות לפי סוכן - מקור חדש'!E253</f>
        <v/>
      </c>
      <c r="H686" s="148">
        <f>'לקוחות לפי סוכן - מקור חדש'!G253</f>
        <v/>
      </c>
      <c r="I686" s="149" t="inlineStr">
        <is>
          <t>מכירות 25-26 לפי לקוח-סוכן</t>
        </is>
      </c>
      <c r="J686" s="149" t="inlineStr">
        <is>
          <t>חדש — לא היה ב-מקור</t>
        </is>
      </c>
    </row>
    <row r="687" ht="15" customHeight="1" s="82">
      <c r="A687" s="149">
        <f>'לקוחות לפי סוכן - מקור חדש'!B254</f>
        <v/>
      </c>
      <c r="B687" s="149">
        <f>'לקוחות לפי סוכן - מקור חדש'!C254</f>
        <v/>
      </c>
      <c r="C687" s="149" t="n"/>
      <c r="D687" s="149">
        <f>TRIM('לקוחות לפי סוכן - מקור חדש'!D254)</f>
        <v/>
      </c>
      <c r="E687" s="147">
        <f>'לקוחות לפי סוכן - מקור חדש'!F254</f>
        <v/>
      </c>
      <c r="F687" s="147">
        <f>'לקוחות לפי סוכן - מקור חדש'!H254</f>
        <v/>
      </c>
      <c r="G687" s="148">
        <f>'לקוחות לפי סוכן - מקור חדש'!E254</f>
        <v/>
      </c>
      <c r="H687" s="148">
        <f>'לקוחות לפי סוכן - מקור חדש'!G254</f>
        <v/>
      </c>
      <c r="I687" s="149" t="inlineStr">
        <is>
          <t>מכירות 25-26 לפי לקוח-סוכן</t>
        </is>
      </c>
      <c r="J687" s="149" t="inlineStr">
        <is>
          <t>חדש — לא היה ב-מקור</t>
        </is>
      </c>
    </row>
    <row r="688" ht="15" customHeight="1" s="82">
      <c r="A688" s="149">
        <f>'לקוחות לפי סוכן - מקור חדש'!B257</f>
        <v/>
      </c>
      <c r="B688" s="149">
        <f>'לקוחות לפי סוכן - מקור חדש'!C257</f>
        <v/>
      </c>
      <c r="C688" s="149" t="n"/>
      <c r="D688" s="149">
        <f>TRIM('לקוחות לפי סוכן - מקור חדש'!D257)</f>
        <v/>
      </c>
      <c r="E688" s="147">
        <f>'לקוחות לפי סוכן - מקור חדש'!F257</f>
        <v/>
      </c>
      <c r="F688" s="147">
        <f>'לקוחות לפי סוכן - מקור חדש'!H257</f>
        <v/>
      </c>
      <c r="G688" s="148">
        <f>'לקוחות לפי סוכן - מקור חדש'!E257</f>
        <v/>
      </c>
      <c r="H688" s="148">
        <f>'לקוחות לפי סוכן - מקור חדש'!G257</f>
        <v/>
      </c>
      <c r="I688" s="149" t="inlineStr">
        <is>
          <t>מכירות 25-26 לפי לקוח-סוכן</t>
        </is>
      </c>
      <c r="J688" s="149" t="inlineStr">
        <is>
          <t>חדש — לא היה ב-מקור</t>
        </is>
      </c>
    </row>
    <row r="689" ht="15" customHeight="1" s="82">
      <c r="A689" s="149">
        <f>'לקוחות לפי סוכן - מקור חדש'!B258</f>
        <v/>
      </c>
      <c r="B689" s="149">
        <f>'לקוחות לפי סוכן - מקור חדש'!C258</f>
        <v/>
      </c>
      <c r="C689" s="149" t="n"/>
      <c r="D689" s="149">
        <f>TRIM('לקוחות לפי סוכן - מקור חדש'!D258)</f>
        <v/>
      </c>
      <c r="E689" s="147">
        <f>'לקוחות לפי סוכן - מקור חדש'!F258</f>
        <v/>
      </c>
      <c r="F689" s="147">
        <f>'לקוחות לפי סוכן - מקור חדש'!H258</f>
        <v/>
      </c>
      <c r="G689" s="148">
        <f>'לקוחות לפי סוכן - מקור חדש'!E258</f>
        <v/>
      </c>
      <c r="H689" s="148">
        <f>'לקוחות לפי סוכן - מקור חדש'!G258</f>
        <v/>
      </c>
      <c r="I689" s="149" t="inlineStr">
        <is>
          <t>מכירות 25-26 לפי לקוח-סוכן</t>
        </is>
      </c>
      <c r="J689" s="149" t="inlineStr">
        <is>
          <t>חדש — לא היה ב-מקור</t>
        </is>
      </c>
    </row>
    <row r="690" ht="15" customHeight="1" s="82">
      <c r="A690" s="149">
        <f>'לקוחות לפי סוכן - מקור חדש'!B259</f>
        <v/>
      </c>
      <c r="B690" s="149">
        <f>'לקוחות לפי סוכן - מקור חדש'!C259</f>
        <v/>
      </c>
      <c r="C690" s="149" t="n"/>
      <c r="D690" s="149">
        <f>TRIM('לקוחות לפי סוכן - מקור חדש'!D259)</f>
        <v/>
      </c>
      <c r="E690" s="147">
        <f>'לקוחות לפי סוכן - מקור חדש'!F259</f>
        <v/>
      </c>
      <c r="F690" s="147">
        <f>'לקוחות לפי סוכן - מקור חדש'!H259</f>
        <v/>
      </c>
      <c r="G690" s="148">
        <f>'לקוחות לפי סוכן - מקור חדש'!E259</f>
        <v/>
      </c>
      <c r="H690" s="148">
        <f>'לקוחות לפי סוכן - מקור חדש'!G259</f>
        <v/>
      </c>
      <c r="I690" s="149" t="inlineStr">
        <is>
          <t>מכירות 25-26 לפי לקוח-סוכן</t>
        </is>
      </c>
      <c r="J690" s="149" t="inlineStr">
        <is>
          <t>חדש — לא היה ב-מקור</t>
        </is>
      </c>
    </row>
    <row r="691" ht="15" customHeight="1" s="82">
      <c r="A691" s="149">
        <f>'לקוחות לפי סוכן - מקור חדש'!B260</f>
        <v/>
      </c>
      <c r="B691" s="149">
        <f>'לקוחות לפי סוכן - מקור חדש'!C260</f>
        <v/>
      </c>
      <c r="C691" s="149" t="n"/>
      <c r="D691" s="149">
        <f>TRIM('לקוחות לפי סוכן - מקור חדש'!D260)</f>
        <v/>
      </c>
      <c r="E691" s="147">
        <f>'לקוחות לפי סוכן - מקור חדש'!F260</f>
        <v/>
      </c>
      <c r="F691" s="147">
        <f>'לקוחות לפי סוכן - מקור חדש'!H260</f>
        <v/>
      </c>
      <c r="G691" s="148">
        <f>'לקוחות לפי סוכן - מקור חדש'!E260</f>
        <v/>
      </c>
      <c r="H691" s="148">
        <f>'לקוחות לפי סוכן - מקור חדש'!G260</f>
        <v/>
      </c>
      <c r="I691" s="149" t="inlineStr">
        <is>
          <t>מכירות 25-26 לפי לקוח-סוכן</t>
        </is>
      </c>
      <c r="J691" s="149" t="inlineStr">
        <is>
          <t>חדש — לא היה ב-מקור</t>
        </is>
      </c>
    </row>
    <row r="692" ht="15" customHeight="1" s="82">
      <c r="A692" s="149">
        <f>'לקוחות לפי סוכן - מקור חדש'!B261</f>
        <v/>
      </c>
      <c r="B692" s="149">
        <f>'לקוחות לפי סוכן - מקור חדש'!C261</f>
        <v/>
      </c>
      <c r="C692" s="149" t="n"/>
      <c r="D692" s="149">
        <f>TRIM('לקוחות לפי סוכן - מקור חדש'!D261)</f>
        <v/>
      </c>
      <c r="E692" s="147">
        <f>'לקוחות לפי סוכן - מקור חדש'!F261</f>
        <v/>
      </c>
      <c r="F692" s="147">
        <f>'לקוחות לפי סוכן - מקור חדש'!H261</f>
        <v/>
      </c>
      <c r="G692" s="148">
        <f>'לקוחות לפי סוכן - מקור חדש'!E261</f>
        <v/>
      </c>
      <c r="H692" s="148">
        <f>'לקוחות לפי סוכן - מקור חדש'!G261</f>
        <v/>
      </c>
      <c r="I692" s="149" t="inlineStr">
        <is>
          <t>מכירות 25-26 לפי לקוח-סוכן</t>
        </is>
      </c>
      <c r="J692" s="149" t="inlineStr">
        <is>
          <t>חדש — לא היה ב-מקור</t>
        </is>
      </c>
    </row>
    <row r="693" ht="15" customHeight="1" s="82">
      <c r="A693" s="149">
        <f>'לקוחות לפי סוכן - מקור חדש'!B262</f>
        <v/>
      </c>
      <c r="B693" s="149">
        <f>'לקוחות לפי סוכן - מקור חדש'!C262</f>
        <v/>
      </c>
      <c r="C693" s="149" t="n"/>
      <c r="D693" s="149">
        <f>TRIM('לקוחות לפי סוכן - מקור חדש'!D262)</f>
        <v/>
      </c>
      <c r="E693" s="147">
        <f>'לקוחות לפי סוכן - מקור חדש'!F262</f>
        <v/>
      </c>
      <c r="F693" s="147">
        <f>'לקוחות לפי סוכן - מקור חדש'!H262</f>
        <v/>
      </c>
      <c r="G693" s="148">
        <f>'לקוחות לפי סוכן - מקור חדש'!E262</f>
        <v/>
      </c>
      <c r="H693" s="148">
        <f>'לקוחות לפי סוכן - מקור חדש'!G262</f>
        <v/>
      </c>
      <c r="I693" s="149" t="inlineStr">
        <is>
          <t>מכירות 25-26 לפי לקוח-סוכן</t>
        </is>
      </c>
      <c r="J693" s="149" t="inlineStr">
        <is>
          <t>חדש — לא היה ב-מקור</t>
        </is>
      </c>
    </row>
    <row r="694" ht="15" customHeight="1" s="82">
      <c r="A694" s="149">
        <f>'לקוחות לפי סוכן - מקור חדש'!B264</f>
        <v/>
      </c>
      <c r="B694" s="149">
        <f>'לקוחות לפי סוכן - מקור חדש'!C264</f>
        <v/>
      </c>
      <c r="C694" s="149" t="n"/>
      <c r="D694" s="149">
        <f>TRIM('לקוחות לפי סוכן - מקור חדש'!D264)</f>
        <v/>
      </c>
      <c r="E694" s="147">
        <f>'לקוחות לפי סוכן - מקור חדש'!F264</f>
        <v/>
      </c>
      <c r="F694" s="147">
        <f>'לקוחות לפי סוכן - מקור חדש'!H264</f>
        <v/>
      </c>
      <c r="G694" s="148">
        <f>'לקוחות לפי סוכן - מקור חדש'!E264</f>
        <v/>
      </c>
      <c r="H694" s="148">
        <f>'לקוחות לפי סוכן - מקור חדש'!G264</f>
        <v/>
      </c>
      <c r="I694" s="149" t="inlineStr">
        <is>
          <t>מכירות 25-26 לפי לקוח-סוכן</t>
        </is>
      </c>
      <c r="J694" s="149" t="inlineStr">
        <is>
          <t>חדש — לא היה ב-מקור</t>
        </is>
      </c>
    </row>
    <row r="695" ht="15" customHeight="1" s="82">
      <c r="A695" s="149">
        <f>'לקוחות לפי סוכן - מקור חדש'!B266</f>
        <v/>
      </c>
      <c r="B695" s="149">
        <f>'לקוחות לפי סוכן - מקור חדש'!C266</f>
        <v/>
      </c>
      <c r="C695" s="149" t="n"/>
      <c r="D695" s="149">
        <f>TRIM('לקוחות לפי סוכן - מקור חדש'!D266)</f>
        <v/>
      </c>
      <c r="E695" s="147">
        <f>'לקוחות לפי סוכן - מקור חדש'!F266</f>
        <v/>
      </c>
      <c r="F695" s="147">
        <f>'לקוחות לפי סוכן - מקור חדש'!H266</f>
        <v/>
      </c>
      <c r="G695" s="148">
        <f>'לקוחות לפי סוכן - מקור חדש'!E266</f>
        <v/>
      </c>
      <c r="H695" s="148">
        <f>'לקוחות לפי סוכן - מקור חדש'!G266</f>
        <v/>
      </c>
      <c r="I695" s="149" t="inlineStr">
        <is>
          <t>מכירות 25-26 לפי לקוח-סוכן</t>
        </is>
      </c>
      <c r="J695" s="149" t="inlineStr">
        <is>
          <t>חדש — לא היה ב-מקור</t>
        </is>
      </c>
    </row>
    <row r="696" ht="15" customHeight="1" s="82">
      <c r="A696" s="149">
        <f>'לקוחות לפי סוכן - מקור חדש'!B267</f>
        <v/>
      </c>
      <c r="B696" s="149">
        <f>'לקוחות לפי סוכן - מקור חדש'!C267</f>
        <v/>
      </c>
      <c r="C696" s="149" t="n"/>
      <c r="D696" s="149">
        <f>TRIM('לקוחות לפי סוכן - מקור חדש'!D267)</f>
        <v/>
      </c>
      <c r="E696" s="147">
        <f>'לקוחות לפי סוכן - מקור חדש'!F267</f>
        <v/>
      </c>
      <c r="F696" s="147">
        <f>'לקוחות לפי סוכן - מקור חדש'!H267</f>
        <v/>
      </c>
      <c r="G696" s="148">
        <f>'לקוחות לפי סוכן - מקור חדש'!E267</f>
        <v/>
      </c>
      <c r="H696" s="148">
        <f>'לקוחות לפי סוכן - מקור חדש'!G267</f>
        <v/>
      </c>
      <c r="I696" s="149" t="inlineStr">
        <is>
          <t>מכירות 25-26 לפי לקוח-סוכן</t>
        </is>
      </c>
      <c r="J696" s="149" t="inlineStr">
        <is>
          <t>חדש — לא היה ב-מקור</t>
        </is>
      </c>
    </row>
    <row r="697" ht="15" customHeight="1" s="82">
      <c r="A697" s="149">
        <f>'לקוחות לפי סוכן - מקור חדש'!B268</f>
        <v/>
      </c>
      <c r="B697" s="149">
        <f>'לקוחות לפי סוכן - מקור חדש'!C268</f>
        <v/>
      </c>
      <c r="C697" s="149" t="n"/>
      <c r="D697" s="149">
        <f>TRIM('לקוחות לפי סוכן - מקור חדש'!D268)</f>
        <v/>
      </c>
      <c r="E697" s="147">
        <f>'לקוחות לפי סוכן - מקור חדש'!F268</f>
        <v/>
      </c>
      <c r="F697" s="147">
        <f>'לקוחות לפי סוכן - מקור חדש'!H268</f>
        <v/>
      </c>
      <c r="G697" s="148">
        <f>'לקוחות לפי סוכן - מקור חדש'!E268</f>
        <v/>
      </c>
      <c r="H697" s="148">
        <f>'לקוחות לפי סוכן - מקור חדש'!G268</f>
        <v/>
      </c>
      <c r="I697" s="149" t="inlineStr">
        <is>
          <t>מכירות 25-26 לפי לקוח-סוכן</t>
        </is>
      </c>
      <c r="J697" s="149" t="inlineStr">
        <is>
          <t>חדש — לא היה ב-מקור</t>
        </is>
      </c>
    </row>
    <row r="698" ht="15" customHeight="1" s="82">
      <c r="A698" s="149">
        <f>'לקוחות לפי סוכן - מקור חדש'!B280</f>
        <v/>
      </c>
      <c r="B698" s="149">
        <f>'לקוחות לפי סוכן - מקור חדש'!C280</f>
        <v/>
      </c>
      <c r="C698" s="149" t="n"/>
      <c r="D698" s="149">
        <f>TRIM('לקוחות לפי סוכן - מקור חדש'!D280)</f>
        <v/>
      </c>
      <c r="E698" s="147">
        <f>'לקוחות לפי סוכן - מקור חדש'!F280</f>
        <v/>
      </c>
      <c r="F698" s="147">
        <f>'לקוחות לפי סוכן - מקור חדש'!H280</f>
        <v/>
      </c>
      <c r="G698" s="148">
        <f>'לקוחות לפי סוכן - מקור חדש'!E280</f>
        <v/>
      </c>
      <c r="H698" s="148">
        <f>'לקוחות לפי סוכן - מקור חדש'!G280</f>
        <v/>
      </c>
      <c r="I698" s="149" t="inlineStr">
        <is>
          <t>מכירות 25-26 לפי לקוח-סוכן</t>
        </is>
      </c>
      <c r="J698" s="149" t="inlineStr">
        <is>
          <t>חדש — לא היה ב-מקור</t>
        </is>
      </c>
    </row>
    <row r="699" ht="15" customHeight="1" s="82">
      <c r="A699" s="149">
        <f>'לקוחות לפי סוכן - מקור חדש'!B282</f>
        <v/>
      </c>
      <c r="B699" s="149">
        <f>'לקוחות לפי סוכן - מקור חדש'!C282</f>
        <v/>
      </c>
      <c r="C699" s="149" t="n"/>
      <c r="D699" s="149">
        <f>TRIM('לקוחות לפי סוכן - מקור חדש'!D282)</f>
        <v/>
      </c>
      <c r="E699" s="147">
        <f>'לקוחות לפי סוכן - מקור חדש'!F282</f>
        <v/>
      </c>
      <c r="F699" s="147">
        <f>'לקוחות לפי סוכן - מקור חדש'!H282</f>
        <v/>
      </c>
      <c r="G699" s="148">
        <f>'לקוחות לפי סוכן - מקור חדש'!E282</f>
        <v/>
      </c>
      <c r="H699" s="148">
        <f>'לקוחות לפי סוכן - מקור חדש'!G282</f>
        <v/>
      </c>
      <c r="I699" s="149" t="inlineStr">
        <is>
          <t>מכירות 25-26 לפי לקוח-סוכן</t>
        </is>
      </c>
      <c r="J699" s="149" t="inlineStr">
        <is>
          <t>חדש — לא היה ב-מקור</t>
        </is>
      </c>
    </row>
    <row r="700" ht="15" customHeight="1" s="82">
      <c r="A700" s="149">
        <f>'לקוחות לפי סוכן - מקור חדש'!B283</f>
        <v/>
      </c>
      <c r="B700" s="149">
        <f>'לקוחות לפי סוכן - מקור חדש'!C283</f>
        <v/>
      </c>
      <c r="C700" s="149" t="n"/>
      <c r="D700" s="149">
        <f>TRIM('לקוחות לפי סוכן - מקור חדש'!D283)</f>
        <v/>
      </c>
      <c r="E700" s="147">
        <f>'לקוחות לפי סוכן - מקור חדש'!F283</f>
        <v/>
      </c>
      <c r="F700" s="147">
        <f>'לקוחות לפי סוכן - מקור חדש'!H283</f>
        <v/>
      </c>
      <c r="G700" s="148">
        <f>'לקוחות לפי סוכן - מקור חדש'!E283</f>
        <v/>
      </c>
      <c r="H700" s="148">
        <f>'לקוחות לפי סוכן - מקור חדש'!G283</f>
        <v/>
      </c>
      <c r="I700" s="149" t="inlineStr">
        <is>
          <t>מכירות 25-26 לפי לקוח-סוכן</t>
        </is>
      </c>
      <c r="J700" s="149" t="inlineStr">
        <is>
          <t>חדש — לא היה ב-מקור</t>
        </is>
      </c>
    </row>
    <row r="701" ht="15" customHeight="1" s="82">
      <c r="A701" s="149">
        <f>'לקוחות לפי סוכן - מקור חדש'!B284</f>
        <v/>
      </c>
      <c r="B701" s="149">
        <f>'לקוחות לפי סוכן - מקור חדש'!C284</f>
        <v/>
      </c>
      <c r="C701" s="149" t="n"/>
      <c r="D701" s="149">
        <f>TRIM('לקוחות לפי סוכן - מקור חדש'!D284)</f>
        <v/>
      </c>
      <c r="E701" s="147">
        <f>'לקוחות לפי סוכן - מקור חדש'!F284</f>
        <v/>
      </c>
      <c r="F701" s="147">
        <f>'לקוחות לפי סוכן - מקור חדש'!H284</f>
        <v/>
      </c>
      <c r="G701" s="148">
        <f>'לקוחות לפי סוכן - מקור חדש'!E284</f>
        <v/>
      </c>
      <c r="H701" s="148">
        <f>'לקוחות לפי סוכן - מקור חדש'!G284</f>
        <v/>
      </c>
      <c r="I701" s="149" t="inlineStr">
        <is>
          <t>מכירות 25-26 לפי לקוח-סוכן</t>
        </is>
      </c>
      <c r="J701" s="149" t="inlineStr">
        <is>
          <t>חדש — לא היה ב-מקור</t>
        </is>
      </c>
    </row>
    <row r="702" ht="15" customHeight="1" s="82">
      <c r="A702" s="149">
        <f>'לקוחות לפי סוכן - מקור חדש'!B327</f>
        <v/>
      </c>
      <c r="B702" s="149">
        <f>'לקוחות לפי סוכן - מקור חדש'!C327</f>
        <v/>
      </c>
      <c r="C702" s="149" t="n"/>
      <c r="D702" s="149">
        <f>TRIM('לקוחות לפי סוכן - מקור חדש'!D327)</f>
        <v/>
      </c>
      <c r="E702" s="147">
        <f>'לקוחות לפי סוכן - מקור חדש'!F327</f>
        <v/>
      </c>
      <c r="F702" s="147">
        <f>'לקוחות לפי סוכן - מקור חדש'!H327</f>
        <v/>
      </c>
      <c r="G702" s="148">
        <f>'לקוחות לפי סוכן - מקור חדש'!E327</f>
        <v/>
      </c>
      <c r="H702" s="148">
        <f>'לקוחות לפי סוכן - מקור חדש'!G327</f>
        <v/>
      </c>
      <c r="I702" s="149" t="inlineStr">
        <is>
          <t>מכירות 25-26 לפי לקוח-סוכן</t>
        </is>
      </c>
      <c r="J702" s="149" t="inlineStr">
        <is>
          <t>חדש — לא היה ב-מקור</t>
        </is>
      </c>
    </row>
    <row r="703" ht="15" customHeight="1" s="82">
      <c r="A703" s="149">
        <f>'לקוחות לפי סוכן - מקור חדש'!B330</f>
        <v/>
      </c>
      <c r="B703" s="149">
        <f>'לקוחות לפי סוכן - מקור חדש'!C330</f>
        <v/>
      </c>
      <c r="C703" s="149" t="n"/>
      <c r="D703" s="149">
        <f>TRIM('לקוחות לפי סוכן - מקור חדש'!D330)</f>
        <v/>
      </c>
      <c r="E703" s="147">
        <f>'לקוחות לפי סוכן - מקור חדש'!F330</f>
        <v/>
      </c>
      <c r="F703" s="147">
        <f>'לקוחות לפי סוכן - מקור חדש'!H330</f>
        <v/>
      </c>
      <c r="G703" s="148">
        <f>'לקוחות לפי סוכן - מקור חדש'!E330</f>
        <v/>
      </c>
      <c r="H703" s="148">
        <f>'לקוחות לפי סוכן - מקור חדש'!G330</f>
        <v/>
      </c>
      <c r="I703" s="149" t="inlineStr">
        <is>
          <t>מכירות 25-26 לפי לקוח-סוכן</t>
        </is>
      </c>
      <c r="J703" s="149" t="inlineStr">
        <is>
          <t>חדש — לא היה ב-מקור</t>
        </is>
      </c>
    </row>
    <row r="704" ht="15" customHeight="1" s="82">
      <c r="A704" s="149">
        <f>'לקוחות לפי סוכן - מקור חדש'!B332</f>
        <v/>
      </c>
      <c r="B704" s="149">
        <f>'לקוחות לפי סוכן - מקור חדש'!C332</f>
        <v/>
      </c>
      <c r="C704" s="149" t="n"/>
      <c r="D704" s="149">
        <f>TRIM('לקוחות לפי סוכן - מקור חדש'!D332)</f>
        <v/>
      </c>
      <c r="E704" s="147">
        <f>'לקוחות לפי סוכן - מקור חדש'!F332</f>
        <v/>
      </c>
      <c r="F704" s="147">
        <f>'לקוחות לפי סוכן - מקור חדש'!H332</f>
        <v/>
      </c>
      <c r="G704" s="148">
        <f>'לקוחות לפי סוכן - מקור חדש'!E332</f>
        <v/>
      </c>
      <c r="H704" s="148">
        <f>'לקוחות לפי סוכן - מקור חדש'!G332</f>
        <v/>
      </c>
      <c r="I704" s="149" t="inlineStr">
        <is>
          <t>מכירות 25-26 לפי לקוח-סוכן</t>
        </is>
      </c>
      <c r="J704" s="149" t="inlineStr">
        <is>
          <t>חדש — לא היה ב-מקור</t>
        </is>
      </c>
    </row>
    <row r="705" ht="15" customHeight="1" s="82">
      <c r="A705" s="149">
        <f>'לקוחות לפי סוכן - מקור חדש'!B376</f>
        <v/>
      </c>
      <c r="B705" s="149">
        <f>'לקוחות לפי סוכן - מקור חדש'!C376</f>
        <v/>
      </c>
      <c r="C705" s="149" t="n"/>
      <c r="D705" s="149">
        <f>TRIM('לקוחות לפי סוכן - מקור חדש'!D376)</f>
        <v/>
      </c>
      <c r="E705" s="147">
        <f>'לקוחות לפי סוכן - מקור חדש'!F376</f>
        <v/>
      </c>
      <c r="F705" s="147">
        <f>'לקוחות לפי סוכן - מקור חדש'!H376</f>
        <v/>
      </c>
      <c r="G705" s="148">
        <f>'לקוחות לפי סוכן - מקור חדש'!E376</f>
        <v/>
      </c>
      <c r="H705" s="148">
        <f>'לקוחות לפי סוכן - מקור חדש'!G376</f>
        <v/>
      </c>
      <c r="I705" s="149" t="inlineStr">
        <is>
          <t>מכירות 25-26 לפי לקוח-סוכן</t>
        </is>
      </c>
      <c r="J705" s="149" t="inlineStr">
        <is>
          <t>חדש — לא היה ב-מקור</t>
        </is>
      </c>
    </row>
    <row r="707" ht="15" customHeight="1" s="82">
      <c r="A707" s="143" t="inlineStr">
        <is>
          <t>חאזם תלחמי</t>
        </is>
      </c>
      <c r="B707" s="144" t="n"/>
      <c r="C707" s="144" t="n"/>
      <c r="D707" s="143" t="inlineStr">
        <is>
          <t>סה"כ 420 חנויות</t>
        </is>
      </c>
      <c r="E707" s="145">
        <f>SUM(E708:E1127)</f>
        <v/>
      </c>
      <c r="F707" s="145">
        <f>SUM(F708:F1127)</f>
        <v/>
      </c>
      <c r="G707" s="146">
        <f>SUM(G708:G1127)</f>
        <v/>
      </c>
      <c r="H707" s="146">
        <f>SUM(H708:H1127)</f>
        <v/>
      </c>
      <c r="I707" s="143" t="inlineStr">
        <is>
          <t>שני המקורות (מאוחד)</t>
        </is>
      </c>
      <c r="J707" s="144" t="n"/>
    </row>
    <row r="708" ht="15" customHeight="1" s="82">
      <c r="A708" s="139">
        <f>'לקוחות לפי סוכן - מקור'!A392</f>
        <v/>
      </c>
      <c r="B708" s="139">
        <f>'לקוחות לפי סוכן - מקור'!C392</f>
        <v/>
      </c>
      <c r="C708" s="139">
        <f>'לקוחות לפי סוכן - מקור'!D392</f>
        <v/>
      </c>
      <c r="D708" s="139">
        <f>'לקוחות לפי סוכן - מקור'!E392</f>
        <v/>
      </c>
      <c r="E708" s="147">
        <f>'לקוחות לפי סוכן - מקור'!F392</f>
        <v/>
      </c>
      <c r="F708" s="147">
        <f>'לקוחות לפי סוכן - מקור'!G392</f>
        <v/>
      </c>
      <c r="G708" s="148">
        <f>'לקוחות לפי סוכן - מקור'!H392</f>
        <v/>
      </c>
      <c r="H708" s="148">
        <f>'לקוחות לפי סוכן - מקור'!I392</f>
        <v/>
      </c>
      <c r="I708" s="139">
        <f>'לקוחות לפי סוכן - מקור'!K392</f>
        <v/>
      </c>
      <c r="J708" s="139" t="inlineStr">
        <is>
          <t>קיים במקור</t>
        </is>
      </c>
    </row>
    <row r="709" ht="15" customHeight="1" s="82">
      <c r="A709" s="139">
        <f>'לקוחות לפי סוכן - מקור'!A393</f>
        <v/>
      </c>
      <c r="B709" s="139">
        <f>'לקוחות לפי סוכן - מקור'!C393</f>
        <v/>
      </c>
      <c r="C709" s="139">
        <f>'לקוחות לפי סוכן - מקור'!D393</f>
        <v/>
      </c>
      <c r="D709" s="139">
        <f>'לקוחות לפי סוכן - מקור'!E393</f>
        <v/>
      </c>
      <c r="E709" s="147">
        <f>'לקוחות לפי סוכן - מקור'!F393</f>
        <v/>
      </c>
      <c r="F709" s="147">
        <f>'לקוחות לפי סוכן - מקור'!G393</f>
        <v/>
      </c>
      <c r="G709" s="148">
        <f>'לקוחות לפי סוכן - מקור'!H393</f>
        <v/>
      </c>
      <c r="H709" s="148">
        <f>'לקוחות לפי סוכן - מקור'!I393</f>
        <v/>
      </c>
      <c r="I709" s="139">
        <f>'לקוחות לפי סוכן - מקור'!K393</f>
        <v/>
      </c>
      <c r="J709" s="139" t="inlineStr">
        <is>
          <t>קיים במקור</t>
        </is>
      </c>
    </row>
    <row r="710" ht="15" customHeight="1" s="82">
      <c r="A710" s="139">
        <f>'לקוחות לפי סוכן - מקור'!A394</f>
        <v/>
      </c>
      <c r="B710" s="139">
        <f>'לקוחות לפי סוכן - מקור'!C394</f>
        <v/>
      </c>
      <c r="C710" s="139">
        <f>'לקוחות לפי סוכן - מקור'!D394</f>
        <v/>
      </c>
      <c r="D710" s="139">
        <f>'לקוחות לפי סוכן - מקור'!E394</f>
        <v/>
      </c>
      <c r="E710" s="147">
        <f>'לקוחות לפי סוכן - מקור'!F394</f>
        <v/>
      </c>
      <c r="F710" s="147">
        <f>'לקוחות לפי סוכן - מקור'!G394</f>
        <v/>
      </c>
      <c r="G710" s="148">
        <f>'לקוחות לפי סוכן - מקור'!H394</f>
        <v/>
      </c>
      <c r="H710" s="148">
        <f>'לקוחות לפי סוכן - מקור'!I394</f>
        <v/>
      </c>
      <c r="I710" s="139">
        <f>'לקוחות לפי סוכן - מקור'!K394</f>
        <v/>
      </c>
      <c r="J710" s="139" t="inlineStr">
        <is>
          <t>קיים במקור</t>
        </is>
      </c>
    </row>
    <row r="711" ht="15" customHeight="1" s="82">
      <c r="A711" s="139">
        <f>'לקוחות לפי סוכן - מקור'!A395</f>
        <v/>
      </c>
      <c r="B711" s="139">
        <f>'לקוחות לפי סוכן - מקור'!C395</f>
        <v/>
      </c>
      <c r="C711" s="139">
        <f>'לקוחות לפי סוכן - מקור'!D395</f>
        <v/>
      </c>
      <c r="D711" s="139">
        <f>'לקוחות לפי סוכן - מקור'!E395</f>
        <v/>
      </c>
      <c r="E711" s="147">
        <f>'לקוחות לפי סוכן - מקור'!F395</f>
        <v/>
      </c>
      <c r="F711" s="147">
        <f>'לקוחות לפי סוכן - מקור'!G395</f>
        <v/>
      </c>
      <c r="G711" s="148">
        <f>'לקוחות לפי סוכן - מקור'!H395</f>
        <v/>
      </c>
      <c r="H711" s="148">
        <f>'לקוחות לפי סוכן - מקור'!I395</f>
        <v/>
      </c>
      <c r="I711" s="139">
        <f>'לקוחות לפי סוכן - מקור'!K395</f>
        <v/>
      </c>
      <c r="J711" s="139" t="inlineStr">
        <is>
          <t>קיים במקור</t>
        </is>
      </c>
    </row>
    <row r="712" ht="15" customHeight="1" s="82">
      <c r="A712" s="139">
        <f>'לקוחות לפי סוכן - מקור'!A396</f>
        <v/>
      </c>
      <c r="B712" s="139">
        <f>'לקוחות לפי סוכן - מקור'!C396</f>
        <v/>
      </c>
      <c r="C712" s="139">
        <f>'לקוחות לפי סוכן - מקור'!D396</f>
        <v/>
      </c>
      <c r="D712" s="139">
        <f>'לקוחות לפי סוכן - מקור'!E396</f>
        <v/>
      </c>
      <c r="E712" s="147">
        <f>'לקוחות לפי סוכן - מקור'!F396</f>
        <v/>
      </c>
      <c r="F712" s="147">
        <f>'לקוחות לפי סוכן - מקור'!G396</f>
        <v/>
      </c>
      <c r="G712" s="148">
        <f>'לקוחות לפי סוכן - מקור'!H396</f>
        <v/>
      </c>
      <c r="H712" s="148">
        <f>'לקוחות לפי סוכן - מקור'!I396</f>
        <v/>
      </c>
      <c r="I712" s="139">
        <f>'לקוחות לפי סוכן - מקור'!K396</f>
        <v/>
      </c>
      <c r="J712" s="139" t="inlineStr">
        <is>
          <t>קיים במקור</t>
        </is>
      </c>
    </row>
    <row r="713" ht="15" customHeight="1" s="82">
      <c r="A713" s="139">
        <f>'לקוחות לפי סוכן - מקור'!A397</f>
        <v/>
      </c>
      <c r="B713" s="139">
        <f>'לקוחות לפי סוכן - מקור'!C397</f>
        <v/>
      </c>
      <c r="C713" s="139">
        <f>'לקוחות לפי סוכן - מקור'!D397</f>
        <v/>
      </c>
      <c r="D713" s="139">
        <f>'לקוחות לפי סוכן - מקור'!E397</f>
        <v/>
      </c>
      <c r="E713" s="147">
        <f>'לקוחות לפי סוכן - מקור'!F397</f>
        <v/>
      </c>
      <c r="F713" s="147">
        <f>'לקוחות לפי סוכן - מקור'!G397</f>
        <v/>
      </c>
      <c r="G713" s="148">
        <f>'לקוחות לפי סוכן - מקור'!H397</f>
        <v/>
      </c>
      <c r="H713" s="148">
        <f>'לקוחות לפי סוכן - מקור'!I397</f>
        <v/>
      </c>
      <c r="I713" s="139">
        <f>'לקוחות לפי סוכן - מקור'!K397</f>
        <v/>
      </c>
      <c r="J713" s="139" t="inlineStr">
        <is>
          <t>קיים במקור</t>
        </is>
      </c>
    </row>
    <row r="714" ht="15" customHeight="1" s="82">
      <c r="A714" s="139">
        <f>'לקוחות לפי סוכן - מקור'!A398</f>
        <v/>
      </c>
      <c r="B714" s="139">
        <f>'לקוחות לפי סוכן - מקור'!C398</f>
        <v/>
      </c>
      <c r="C714" s="139">
        <f>'לקוחות לפי סוכן - מקור'!D398</f>
        <v/>
      </c>
      <c r="D714" s="139">
        <f>'לקוחות לפי סוכן - מקור'!E398</f>
        <v/>
      </c>
      <c r="E714" s="147">
        <f>'לקוחות לפי סוכן - מקור'!F398</f>
        <v/>
      </c>
      <c r="F714" s="147">
        <f>'לקוחות לפי סוכן - מקור'!G398</f>
        <v/>
      </c>
      <c r="G714" s="148">
        <f>'לקוחות לפי סוכן - מקור'!H398</f>
        <v/>
      </c>
      <c r="H714" s="148">
        <f>'לקוחות לפי סוכן - מקור'!I398</f>
        <v/>
      </c>
      <c r="I714" s="139">
        <f>'לקוחות לפי סוכן - מקור'!K398</f>
        <v/>
      </c>
      <c r="J714" s="139" t="inlineStr">
        <is>
          <t>קיים במקור</t>
        </is>
      </c>
    </row>
    <row r="715" ht="15" customHeight="1" s="82">
      <c r="A715" s="139">
        <f>'לקוחות לפי סוכן - מקור'!A399</f>
        <v/>
      </c>
      <c r="B715" s="139">
        <f>'לקוחות לפי סוכן - מקור'!C399</f>
        <v/>
      </c>
      <c r="C715" s="139">
        <f>'לקוחות לפי סוכן - מקור'!D399</f>
        <v/>
      </c>
      <c r="D715" s="139">
        <f>'לקוחות לפי סוכן - מקור'!E399</f>
        <v/>
      </c>
      <c r="E715" s="147">
        <f>'לקוחות לפי סוכן - מקור'!F399</f>
        <v/>
      </c>
      <c r="F715" s="147">
        <f>'לקוחות לפי סוכן - מקור'!G399</f>
        <v/>
      </c>
      <c r="G715" s="148">
        <f>'לקוחות לפי סוכן - מקור'!H399</f>
        <v/>
      </c>
      <c r="H715" s="148">
        <f>'לקוחות לפי סוכן - מקור'!I399</f>
        <v/>
      </c>
      <c r="I715" s="139">
        <f>'לקוחות לפי סוכן - מקור'!K399</f>
        <v/>
      </c>
      <c r="J715" s="139" t="inlineStr">
        <is>
          <t>קיים במקור</t>
        </is>
      </c>
    </row>
    <row r="716" ht="15" customHeight="1" s="82">
      <c r="A716" s="139">
        <f>'לקוחות לפי סוכן - מקור'!A400</f>
        <v/>
      </c>
      <c r="B716" s="139">
        <f>'לקוחות לפי סוכן - מקור'!C400</f>
        <v/>
      </c>
      <c r="C716" s="139">
        <f>'לקוחות לפי סוכן - מקור'!D400</f>
        <v/>
      </c>
      <c r="D716" s="139">
        <f>'לקוחות לפי סוכן - מקור'!E400</f>
        <v/>
      </c>
      <c r="E716" s="147">
        <f>'לקוחות לפי סוכן - מקור'!F400</f>
        <v/>
      </c>
      <c r="F716" s="147">
        <f>'לקוחות לפי סוכן - מקור'!G400</f>
        <v/>
      </c>
      <c r="G716" s="148">
        <f>'לקוחות לפי סוכן - מקור'!H400</f>
        <v/>
      </c>
      <c r="H716" s="148">
        <f>'לקוחות לפי סוכן - מקור'!I400</f>
        <v/>
      </c>
      <c r="I716" s="139">
        <f>'לקוחות לפי סוכן - מקור'!K400</f>
        <v/>
      </c>
      <c r="J716" s="139" t="inlineStr">
        <is>
          <t>קיים במקור</t>
        </is>
      </c>
    </row>
    <row r="717" ht="15" customHeight="1" s="82">
      <c r="A717" s="139">
        <f>'לקוחות לפי סוכן - מקור'!A401</f>
        <v/>
      </c>
      <c r="B717" s="139">
        <f>'לקוחות לפי סוכן - מקור'!C401</f>
        <v/>
      </c>
      <c r="C717" s="139">
        <f>'לקוחות לפי סוכן - מקור'!D401</f>
        <v/>
      </c>
      <c r="D717" s="139">
        <f>'לקוחות לפי סוכן - מקור'!E401</f>
        <v/>
      </c>
      <c r="E717" s="147">
        <f>'לקוחות לפי סוכן - מקור'!F401</f>
        <v/>
      </c>
      <c r="F717" s="147">
        <f>'לקוחות לפי סוכן - מקור'!G401</f>
        <v/>
      </c>
      <c r="G717" s="148">
        <f>'לקוחות לפי סוכן - מקור'!H401</f>
        <v/>
      </c>
      <c r="H717" s="148">
        <f>'לקוחות לפי סוכן - מקור'!I401</f>
        <v/>
      </c>
      <c r="I717" s="139">
        <f>'לקוחות לפי סוכן - מקור'!K401</f>
        <v/>
      </c>
      <c r="J717" s="139" t="inlineStr">
        <is>
          <t>קיים במקור</t>
        </is>
      </c>
    </row>
    <row r="718" ht="15" customHeight="1" s="82">
      <c r="A718" s="139">
        <f>'לקוחות לפי סוכן - מקור'!A402</f>
        <v/>
      </c>
      <c r="B718" s="139">
        <f>'לקוחות לפי סוכן - מקור'!C402</f>
        <v/>
      </c>
      <c r="C718" s="139">
        <f>'לקוחות לפי סוכן - מקור'!D402</f>
        <v/>
      </c>
      <c r="D718" s="139">
        <f>'לקוחות לפי סוכן - מקור'!E402</f>
        <v/>
      </c>
      <c r="E718" s="147">
        <f>'לקוחות לפי סוכן - מקור'!F402</f>
        <v/>
      </c>
      <c r="F718" s="147">
        <f>'לקוחות לפי סוכן - מקור'!G402</f>
        <v/>
      </c>
      <c r="G718" s="148">
        <f>'לקוחות לפי סוכן - מקור'!H402</f>
        <v/>
      </c>
      <c r="H718" s="148">
        <f>'לקוחות לפי סוכן - מקור'!I402</f>
        <v/>
      </c>
      <c r="I718" s="139">
        <f>'לקוחות לפי סוכן - מקור'!K402</f>
        <v/>
      </c>
      <c r="J718" s="139" t="inlineStr">
        <is>
          <t>קיים במקור</t>
        </is>
      </c>
    </row>
    <row r="719" ht="15" customHeight="1" s="82">
      <c r="A719" s="139">
        <f>'לקוחות לפי סוכן - מקור'!A403</f>
        <v/>
      </c>
      <c r="B719" s="139">
        <f>'לקוחות לפי סוכן - מקור'!C403</f>
        <v/>
      </c>
      <c r="C719" s="139">
        <f>'לקוחות לפי סוכן - מקור'!D403</f>
        <v/>
      </c>
      <c r="D719" s="139">
        <f>'לקוחות לפי סוכן - מקור'!E403</f>
        <v/>
      </c>
      <c r="E719" s="147">
        <f>'לקוחות לפי סוכן - מקור'!F403</f>
        <v/>
      </c>
      <c r="F719" s="147">
        <f>'לקוחות לפי סוכן - מקור'!G403</f>
        <v/>
      </c>
      <c r="G719" s="148">
        <f>'לקוחות לפי סוכן - מקור'!H403</f>
        <v/>
      </c>
      <c r="H719" s="148">
        <f>'לקוחות לפי סוכן - מקור'!I403</f>
        <v/>
      </c>
      <c r="I719" s="139">
        <f>'לקוחות לפי סוכן - מקור'!K403</f>
        <v/>
      </c>
      <c r="J719" s="139" t="inlineStr">
        <is>
          <t>קיים במקור</t>
        </is>
      </c>
    </row>
    <row r="720" ht="15" customHeight="1" s="82">
      <c r="A720" s="139">
        <f>'לקוחות לפי סוכן - מקור'!A404</f>
        <v/>
      </c>
      <c r="B720" s="139">
        <f>'לקוחות לפי סוכן - מקור'!C404</f>
        <v/>
      </c>
      <c r="C720" s="139">
        <f>'לקוחות לפי סוכן - מקור'!D404</f>
        <v/>
      </c>
      <c r="D720" s="139">
        <f>'לקוחות לפי סוכן - מקור'!E404</f>
        <v/>
      </c>
      <c r="E720" s="147">
        <f>'לקוחות לפי סוכן - מקור'!F404</f>
        <v/>
      </c>
      <c r="F720" s="147">
        <f>'לקוחות לפי סוכן - מקור'!G404</f>
        <v/>
      </c>
      <c r="G720" s="148">
        <f>'לקוחות לפי סוכן - מקור'!H404</f>
        <v/>
      </c>
      <c r="H720" s="148">
        <f>'לקוחות לפי סוכן - מקור'!I404</f>
        <v/>
      </c>
      <c r="I720" s="139">
        <f>'לקוחות לפי סוכן - מקור'!K404</f>
        <v/>
      </c>
      <c r="J720" s="139" t="inlineStr">
        <is>
          <t>קיים במקור</t>
        </is>
      </c>
    </row>
    <row r="721" ht="15" customHeight="1" s="82">
      <c r="A721" s="139">
        <f>'לקוחות לפי סוכן - מקור'!A405</f>
        <v/>
      </c>
      <c r="B721" s="139">
        <f>'לקוחות לפי סוכן - מקור'!C405</f>
        <v/>
      </c>
      <c r="C721" s="139">
        <f>'לקוחות לפי סוכן - מקור'!D405</f>
        <v/>
      </c>
      <c r="D721" s="139">
        <f>'לקוחות לפי סוכן - מקור'!E405</f>
        <v/>
      </c>
      <c r="E721" s="147">
        <f>'לקוחות לפי סוכן - מקור'!F405</f>
        <v/>
      </c>
      <c r="F721" s="147">
        <f>'לקוחות לפי סוכן - מקור'!G405</f>
        <v/>
      </c>
      <c r="G721" s="148">
        <f>'לקוחות לפי סוכן - מקור'!H405</f>
        <v/>
      </c>
      <c r="H721" s="148">
        <f>'לקוחות לפי סוכן - מקור'!I405</f>
        <v/>
      </c>
      <c r="I721" s="139">
        <f>'לקוחות לפי סוכן - מקור'!K405</f>
        <v/>
      </c>
      <c r="J721" s="139" t="inlineStr">
        <is>
          <t>קיים במקור</t>
        </is>
      </c>
    </row>
    <row r="722" ht="15" customHeight="1" s="82">
      <c r="A722" s="139">
        <f>'לקוחות לפי סוכן - מקור'!A406</f>
        <v/>
      </c>
      <c r="B722" s="139">
        <f>'לקוחות לפי סוכן - מקור'!C406</f>
        <v/>
      </c>
      <c r="C722" s="139">
        <f>'לקוחות לפי סוכן - מקור'!D406</f>
        <v/>
      </c>
      <c r="D722" s="139">
        <f>'לקוחות לפי סוכן - מקור'!E406</f>
        <v/>
      </c>
      <c r="E722" s="147">
        <f>'לקוחות לפי סוכן - מקור'!F406</f>
        <v/>
      </c>
      <c r="F722" s="147">
        <f>'לקוחות לפי סוכן - מקור'!G406</f>
        <v/>
      </c>
      <c r="G722" s="148">
        <f>'לקוחות לפי סוכן - מקור'!H406</f>
        <v/>
      </c>
      <c r="H722" s="148">
        <f>'לקוחות לפי סוכן - מקור'!I406</f>
        <v/>
      </c>
      <c r="I722" s="139">
        <f>'לקוחות לפי סוכן - מקור'!K406</f>
        <v/>
      </c>
      <c r="J722" s="139" t="inlineStr">
        <is>
          <t>קיים במקור</t>
        </is>
      </c>
    </row>
    <row r="723" ht="15" customHeight="1" s="82">
      <c r="A723" s="139">
        <f>'לקוחות לפי סוכן - מקור'!A407</f>
        <v/>
      </c>
      <c r="B723" s="139">
        <f>'לקוחות לפי סוכן - מקור'!C407</f>
        <v/>
      </c>
      <c r="C723" s="139">
        <f>'לקוחות לפי סוכן - מקור'!D407</f>
        <v/>
      </c>
      <c r="D723" s="139">
        <f>'לקוחות לפי סוכן - מקור'!E407</f>
        <v/>
      </c>
      <c r="E723" s="147">
        <f>'לקוחות לפי סוכן - מקור'!F407</f>
        <v/>
      </c>
      <c r="F723" s="147">
        <f>'לקוחות לפי סוכן - מקור'!G407</f>
        <v/>
      </c>
      <c r="G723" s="148">
        <f>'לקוחות לפי סוכן - מקור'!H407</f>
        <v/>
      </c>
      <c r="H723" s="148">
        <f>'לקוחות לפי סוכן - מקור'!I407</f>
        <v/>
      </c>
      <c r="I723" s="139">
        <f>'לקוחות לפי סוכן - מקור'!K407</f>
        <v/>
      </c>
      <c r="J723" s="139" t="inlineStr">
        <is>
          <t>קיים במקור</t>
        </is>
      </c>
    </row>
    <row r="724" ht="15" customHeight="1" s="82">
      <c r="A724" s="139">
        <f>'לקוחות לפי סוכן - מקור'!A408</f>
        <v/>
      </c>
      <c r="B724" s="139">
        <f>'לקוחות לפי סוכן - מקור'!C408</f>
        <v/>
      </c>
      <c r="C724" s="139">
        <f>'לקוחות לפי סוכן - מקור'!D408</f>
        <v/>
      </c>
      <c r="D724" s="139">
        <f>'לקוחות לפי סוכן - מקור'!E408</f>
        <v/>
      </c>
      <c r="E724" s="147">
        <f>'לקוחות לפי סוכן - מקור'!F408</f>
        <v/>
      </c>
      <c r="F724" s="147">
        <f>'לקוחות לפי סוכן - מקור'!G408</f>
        <v/>
      </c>
      <c r="G724" s="148">
        <f>'לקוחות לפי סוכן - מקור'!H408</f>
        <v/>
      </c>
      <c r="H724" s="148">
        <f>'לקוחות לפי סוכן - מקור'!I408</f>
        <v/>
      </c>
      <c r="I724" s="139">
        <f>'לקוחות לפי סוכן - מקור'!K408</f>
        <v/>
      </c>
      <c r="J724" s="139" t="inlineStr">
        <is>
          <t>קיים במקור</t>
        </is>
      </c>
    </row>
    <row r="725" ht="15" customHeight="1" s="82">
      <c r="A725" s="139">
        <f>'לקוחות לפי סוכן - מקור'!A409</f>
        <v/>
      </c>
      <c r="B725" s="139">
        <f>'לקוחות לפי סוכן - מקור'!C409</f>
        <v/>
      </c>
      <c r="C725" s="139">
        <f>'לקוחות לפי סוכן - מקור'!D409</f>
        <v/>
      </c>
      <c r="D725" s="139">
        <f>'לקוחות לפי סוכן - מקור'!E409</f>
        <v/>
      </c>
      <c r="E725" s="147">
        <f>'לקוחות לפי סוכן - מקור'!F409</f>
        <v/>
      </c>
      <c r="F725" s="147">
        <f>'לקוחות לפי סוכן - מקור'!G409</f>
        <v/>
      </c>
      <c r="G725" s="148">
        <f>'לקוחות לפי סוכן - מקור'!H409</f>
        <v/>
      </c>
      <c r="H725" s="148">
        <f>'לקוחות לפי סוכן - מקור'!I409</f>
        <v/>
      </c>
      <c r="I725" s="139">
        <f>'לקוחות לפי סוכן - מקור'!K409</f>
        <v/>
      </c>
      <c r="J725" s="139" t="inlineStr">
        <is>
          <t>קיים במקור</t>
        </is>
      </c>
    </row>
    <row r="726" ht="15" customHeight="1" s="82">
      <c r="A726" s="139">
        <f>'לקוחות לפי סוכן - מקור'!A410</f>
        <v/>
      </c>
      <c r="B726" s="139">
        <f>'לקוחות לפי סוכן - מקור'!C410</f>
        <v/>
      </c>
      <c r="C726" s="139">
        <f>'לקוחות לפי סוכן - מקור'!D410</f>
        <v/>
      </c>
      <c r="D726" s="139">
        <f>'לקוחות לפי סוכן - מקור'!E410</f>
        <v/>
      </c>
      <c r="E726" s="147">
        <f>'לקוחות לפי סוכן - מקור'!F410</f>
        <v/>
      </c>
      <c r="F726" s="147">
        <f>'לקוחות לפי סוכן - מקור'!G410</f>
        <v/>
      </c>
      <c r="G726" s="148">
        <f>'לקוחות לפי סוכן - מקור'!H410</f>
        <v/>
      </c>
      <c r="H726" s="148">
        <f>'לקוחות לפי סוכן - מקור'!I410</f>
        <v/>
      </c>
      <c r="I726" s="139">
        <f>'לקוחות לפי סוכן - מקור'!K410</f>
        <v/>
      </c>
      <c r="J726" s="139" t="inlineStr">
        <is>
          <t>קיים במקור</t>
        </is>
      </c>
    </row>
    <row r="727" ht="15" customHeight="1" s="82">
      <c r="A727" s="139">
        <f>'לקוחות לפי סוכן - מקור'!A411</f>
        <v/>
      </c>
      <c r="B727" s="139">
        <f>'לקוחות לפי סוכן - מקור'!C411</f>
        <v/>
      </c>
      <c r="C727" s="139">
        <f>'לקוחות לפי סוכן - מקור'!D411</f>
        <v/>
      </c>
      <c r="D727" s="139">
        <f>'לקוחות לפי סוכן - מקור'!E411</f>
        <v/>
      </c>
      <c r="E727" s="147">
        <f>'לקוחות לפי סוכן - מקור'!F411</f>
        <v/>
      </c>
      <c r="F727" s="147">
        <f>'לקוחות לפי סוכן - מקור'!G411</f>
        <v/>
      </c>
      <c r="G727" s="148">
        <f>'לקוחות לפי סוכן - מקור'!H411</f>
        <v/>
      </c>
      <c r="H727" s="148">
        <f>'לקוחות לפי סוכן - מקור'!I411</f>
        <v/>
      </c>
      <c r="I727" s="139">
        <f>'לקוחות לפי סוכן - מקור'!K411</f>
        <v/>
      </c>
      <c r="J727" s="139" t="inlineStr">
        <is>
          <t>קיים במקור</t>
        </is>
      </c>
    </row>
    <row r="728" ht="15" customHeight="1" s="82">
      <c r="A728" s="139">
        <f>'לקוחות לפי סוכן - מקור'!A412</f>
        <v/>
      </c>
      <c r="B728" s="139">
        <f>'לקוחות לפי סוכן - מקור'!C412</f>
        <v/>
      </c>
      <c r="C728" s="139">
        <f>'לקוחות לפי סוכן - מקור'!D412</f>
        <v/>
      </c>
      <c r="D728" s="139">
        <f>'לקוחות לפי סוכן - מקור'!E412</f>
        <v/>
      </c>
      <c r="E728" s="147">
        <f>'לקוחות לפי סוכן - מקור'!F412</f>
        <v/>
      </c>
      <c r="F728" s="147">
        <f>'לקוחות לפי סוכן - מקור'!G412</f>
        <v/>
      </c>
      <c r="G728" s="148">
        <f>'לקוחות לפי סוכן - מקור'!H412</f>
        <v/>
      </c>
      <c r="H728" s="148">
        <f>'לקוחות לפי סוכן - מקור'!I412</f>
        <v/>
      </c>
      <c r="I728" s="139">
        <f>'לקוחות לפי סוכן - מקור'!K412</f>
        <v/>
      </c>
      <c r="J728" s="139" t="inlineStr">
        <is>
          <t>קיים במקור</t>
        </is>
      </c>
    </row>
    <row r="729" ht="15" customHeight="1" s="82">
      <c r="A729" s="139">
        <f>'לקוחות לפי סוכן - מקור'!A413</f>
        <v/>
      </c>
      <c r="B729" s="139">
        <f>'לקוחות לפי סוכן - מקור'!C413</f>
        <v/>
      </c>
      <c r="C729" s="139">
        <f>'לקוחות לפי סוכן - מקור'!D413</f>
        <v/>
      </c>
      <c r="D729" s="139">
        <f>'לקוחות לפי סוכן - מקור'!E413</f>
        <v/>
      </c>
      <c r="E729" s="147">
        <f>'לקוחות לפי סוכן - מקור'!F413</f>
        <v/>
      </c>
      <c r="F729" s="147">
        <f>'לקוחות לפי סוכן - מקור'!G413</f>
        <v/>
      </c>
      <c r="G729" s="148">
        <f>'לקוחות לפי סוכן - מקור'!H413</f>
        <v/>
      </c>
      <c r="H729" s="148">
        <f>'לקוחות לפי סוכן - מקור'!I413</f>
        <v/>
      </c>
      <c r="I729" s="139">
        <f>'לקוחות לפי סוכן - מקור'!K413</f>
        <v/>
      </c>
      <c r="J729" s="139" t="inlineStr">
        <is>
          <t>קיים במקור</t>
        </is>
      </c>
    </row>
    <row r="730" ht="15" customHeight="1" s="82">
      <c r="A730" s="139">
        <f>'לקוחות לפי סוכן - מקור'!A414</f>
        <v/>
      </c>
      <c r="B730" s="139">
        <f>'לקוחות לפי סוכן - מקור'!C414</f>
        <v/>
      </c>
      <c r="C730" s="139">
        <f>'לקוחות לפי סוכן - מקור'!D414</f>
        <v/>
      </c>
      <c r="D730" s="139">
        <f>'לקוחות לפי סוכן - מקור'!E414</f>
        <v/>
      </c>
      <c r="E730" s="147">
        <f>'לקוחות לפי סוכן - מקור'!F414</f>
        <v/>
      </c>
      <c r="F730" s="147">
        <f>'לקוחות לפי סוכן - מקור'!G414</f>
        <v/>
      </c>
      <c r="G730" s="148">
        <f>'לקוחות לפי סוכן - מקור'!H414</f>
        <v/>
      </c>
      <c r="H730" s="148">
        <f>'לקוחות לפי סוכן - מקור'!I414</f>
        <v/>
      </c>
      <c r="I730" s="139">
        <f>'לקוחות לפי סוכן - מקור'!K414</f>
        <v/>
      </c>
      <c r="J730" s="139" t="inlineStr">
        <is>
          <t>קיים במקור</t>
        </is>
      </c>
    </row>
    <row r="731" ht="15" customHeight="1" s="82">
      <c r="A731" s="139">
        <f>'לקוחות לפי סוכן - מקור'!A415</f>
        <v/>
      </c>
      <c r="B731" s="139">
        <f>'לקוחות לפי סוכן - מקור'!C415</f>
        <v/>
      </c>
      <c r="C731" s="139">
        <f>'לקוחות לפי סוכן - מקור'!D415</f>
        <v/>
      </c>
      <c r="D731" s="139">
        <f>'לקוחות לפי סוכן - מקור'!E415</f>
        <v/>
      </c>
      <c r="E731" s="147">
        <f>'לקוחות לפי סוכן - מקור'!F415</f>
        <v/>
      </c>
      <c r="F731" s="147">
        <f>'לקוחות לפי סוכן - מקור'!G415</f>
        <v/>
      </c>
      <c r="G731" s="148">
        <f>'לקוחות לפי סוכן - מקור'!H415</f>
        <v/>
      </c>
      <c r="H731" s="148">
        <f>'לקוחות לפי סוכן - מקור'!I415</f>
        <v/>
      </c>
      <c r="I731" s="139">
        <f>'לקוחות לפי סוכן - מקור'!K415</f>
        <v/>
      </c>
      <c r="J731" s="139" t="inlineStr">
        <is>
          <t>קיים במקור</t>
        </is>
      </c>
    </row>
    <row r="732" ht="15" customHeight="1" s="82">
      <c r="A732" s="139">
        <f>'לקוחות לפי סוכן - מקור'!A416</f>
        <v/>
      </c>
      <c r="B732" s="139">
        <f>'לקוחות לפי סוכן - מקור'!C416</f>
        <v/>
      </c>
      <c r="C732" s="139">
        <f>'לקוחות לפי סוכן - מקור'!D416</f>
        <v/>
      </c>
      <c r="D732" s="139">
        <f>'לקוחות לפי סוכן - מקור'!E416</f>
        <v/>
      </c>
      <c r="E732" s="147">
        <f>'לקוחות לפי סוכן - מקור'!F416</f>
        <v/>
      </c>
      <c r="F732" s="147">
        <f>'לקוחות לפי סוכן - מקור'!G416</f>
        <v/>
      </c>
      <c r="G732" s="148">
        <f>'לקוחות לפי סוכן - מקור'!H416</f>
        <v/>
      </c>
      <c r="H732" s="148">
        <f>'לקוחות לפי סוכן - מקור'!I416</f>
        <v/>
      </c>
      <c r="I732" s="139">
        <f>'לקוחות לפי סוכן - מקור'!K416</f>
        <v/>
      </c>
      <c r="J732" s="139" t="inlineStr">
        <is>
          <t>קיים במקור</t>
        </is>
      </c>
    </row>
    <row r="733" ht="15" customHeight="1" s="82">
      <c r="A733" s="139">
        <f>'לקוחות לפי סוכן - מקור'!A417</f>
        <v/>
      </c>
      <c r="B733" s="139">
        <f>'לקוחות לפי סוכן - מקור'!C417</f>
        <v/>
      </c>
      <c r="C733" s="139">
        <f>'לקוחות לפי סוכן - מקור'!D417</f>
        <v/>
      </c>
      <c r="D733" s="139">
        <f>'לקוחות לפי סוכן - מקור'!E417</f>
        <v/>
      </c>
      <c r="E733" s="147">
        <f>'לקוחות לפי סוכן - מקור'!F417</f>
        <v/>
      </c>
      <c r="F733" s="147">
        <f>'לקוחות לפי סוכן - מקור'!G417</f>
        <v/>
      </c>
      <c r="G733" s="148">
        <f>'לקוחות לפי סוכן - מקור'!H417</f>
        <v/>
      </c>
      <c r="H733" s="148">
        <f>'לקוחות לפי סוכן - מקור'!I417</f>
        <v/>
      </c>
      <c r="I733" s="139">
        <f>'לקוחות לפי סוכן - מקור'!K417</f>
        <v/>
      </c>
      <c r="J733" s="139" t="inlineStr">
        <is>
          <t>קיים במקור</t>
        </is>
      </c>
    </row>
    <row r="734" ht="15" customHeight="1" s="82">
      <c r="A734" s="139">
        <f>'לקוחות לפי סוכן - מקור'!A418</f>
        <v/>
      </c>
      <c r="B734" s="139">
        <f>'לקוחות לפי סוכן - מקור'!C418</f>
        <v/>
      </c>
      <c r="C734" s="139">
        <f>'לקוחות לפי סוכן - מקור'!D418</f>
        <v/>
      </c>
      <c r="D734" s="139">
        <f>'לקוחות לפי סוכן - מקור'!E418</f>
        <v/>
      </c>
      <c r="E734" s="147">
        <f>'לקוחות לפי סוכן - מקור'!F418</f>
        <v/>
      </c>
      <c r="F734" s="147">
        <f>'לקוחות לפי סוכן - מקור'!G418</f>
        <v/>
      </c>
      <c r="G734" s="148">
        <f>'לקוחות לפי סוכן - מקור'!H418</f>
        <v/>
      </c>
      <c r="H734" s="148">
        <f>'לקוחות לפי סוכן - מקור'!I418</f>
        <v/>
      </c>
      <c r="I734" s="139">
        <f>'לקוחות לפי סוכן - מקור'!K418</f>
        <v/>
      </c>
      <c r="J734" s="139" t="inlineStr">
        <is>
          <t>קיים במקור</t>
        </is>
      </c>
    </row>
    <row r="735" ht="15" customHeight="1" s="82">
      <c r="A735" s="139">
        <f>'לקוחות לפי סוכן - מקור'!A419</f>
        <v/>
      </c>
      <c r="B735" s="139">
        <f>'לקוחות לפי סוכן - מקור'!C419</f>
        <v/>
      </c>
      <c r="C735" s="139">
        <f>'לקוחות לפי סוכן - מקור'!D419</f>
        <v/>
      </c>
      <c r="D735" s="139">
        <f>'לקוחות לפי סוכן - מקור'!E419</f>
        <v/>
      </c>
      <c r="E735" s="147">
        <f>'לקוחות לפי סוכן - מקור'!F419</f>
        <v/>
      </c>
      <c r="F735" s="147">
        <f>'לקוחות לפי סוכן - מקור'!G419</f>
        <v/>
      </c>
      <c r="G735" s="148">
        <f>'לקוחות לפי סוכן - מקור'!H419</f>
        <v/>
      </c>
      <c r="H735" s="148">
        <f>'לקוחות לפי סוכן - מקור'!I419</f>
        <v/>
      </c>
      <c r="I735" s="139">
        <f>'לקוחות לפי סוכן - מקור'!K419</f>
        <v/>
      </c>
      <c r="J735" s="139" t="inlineStr">
        <is>
          <t>קיים במקור</t>
        </is>
      </c>
    </row>
    <row r="736" ht="15" customHeight="1" s="82">
      <c r="A736" s="139">
        <f>'לקוחות לפי סוכן - מקור'!A420</f>
        <v/>
      </c>
      <c r="B736" s="139">
        <f>'לקוחות לפי סוכן - מקור'!C420</f>
        <v/>
      </c>
      <c r="C736" s="139">
        <f>'לקוחות לפי סוכן - מקור'!D420</f>
        <v/>
      </c>
      <c r="D736" s="139">
        <f>'לקוחות לפי סוכן - מקור'!E420</f>
        <v/>
      </c>
      <c r="E736" s="147">
        <f>'לקוחות לפי סוכן - מקור'!F420</f>
        <v/>
      </c>
      <c r="F736" s="147">
        <f>'לקוחות לפי סוכן - מקור'!G420</f>
        <v/>
      </c>
      <c r="G736" s="148">
        <f>'לקוחות לפי סוכן - מקור'!H420</f>
        <v/>
      </c>
      <c r="H736" s="148">
        <f>'לקוחות לפי סוכן - מקור'!I420</f>
        <v/>
      </c>
      <c r="I736" s="139">
        <f>'לקוחות לפי סוכן - מקור'!K420</f>
        <v/>
      </c>
      <c r="J736" s="139" t="inlineStr">
        <is>
          <t>קיים במקור</t>
        </is>
      </c>
    </row>
    <row r="737" ht="15" customHeight="1" s="82">
      <c r="A737" s="139">
        <f>'לקוחות לפי סוכן - מקור'!A421</f>
        <v/>
      </c>
      <c r="B737" s="139">
        <f>'לקוחות לפי סוכן - מקור'!C421</f>
        <v/>
      </c>
      <c r="C737" s="139">
        <f>'לקוחות לפי סוכן - מקור'!D421</f>
        <v/>
      </c>
      <c r="D737" s="139">
        <f>'לקוחות לפי סוכן - מקור'!E421</f>
        <v/>
      </c>
      <c r="E737" s="147">
        <f>'לקוחות לפי סוכן - מקור'!F421</f>
        <v/>
      </c>
      <c r="F737" s="147">
        <f>'לקוחות לפי סוכן - מקור'!G421</f>
        <v/>
      </c>
      <c r="G737" s="148">
        <f>'לקוחות לפי סוכן - מקור'!H421</f>
        <v/>
      </c>
      <c r="H737" s="148">
        <f>'לקוחות לפי סוכן - מקור'!I421</f>
        <v/>
      </c>
      <c r="I737" s="139">
        <f>'לקוחות לפי סוכן - מקור'!K421</f>
        <v/>
      </c>
      <c r="J737" s="139" t="inlineStr">
        <is>
          <t>קיים במקור</t>
        </is>
      </c>
    </row>
    <row r="738" ht="15" customHeight="1" s="82">
      <c r="A738" s="139">
        <f>'לקוחות לפי סוכן - מקור'!A422</f>
        <v/>
      </c>
      <c r="B738" s="139">
        <f>'לקוחות לפי סוכן - מקור'!C422</f>
        <v/>
      </c>
      <c r="C738" s="139">
        <f>'לקוחות לפי סוכן - מקור'!D422</f>
        <v/>
      </c>
      <c r="D738" s="139">
        <f>'לקוחות לפי סוכן - מקור'!E422</f>
        <v/>
      </c>
      <c r="E738" s="147">
        <f>'לקוחות לפי סוכן - מקור'!F422</f>
        <v/>
      </c>
      <c r="F738" s="147">
        <f>'לקוחות לפי סוכן - מקור'!G422</f>
        <v/>
      </c>
      <c r="G738" s="148">
        <f>'לקוחות לפי סוכן - מקור'!H422</f>
        <v/>
      </c>
      <c r="H738" s="148">
        <f>'לקוחות לפי סוכן - מקור'!I422</f>
        <v/>
      </c>
      <c r="I738" s="139">
        <f>'לקוחות לפי סוכן - מקור'!K422</f>
        <v/>
      </c>
      <c r="J738" s="139" t="inlineStr">
        <is>
          <t>קיים במקור</t>
        </is>
      </c>
    </row>
    <row r="739" ht="15" customHeight="1" s="82">
      <c r="A739" s="139">
        <f>'לקוחות לפי סוכן - מקור'!A423</f>
        <v/>
      </c>
      <c r="B739" s="139">
        <f>'לקוחות לפי סוכן - מקור'!C423</f>
        <v/>
      </c>
      <c r="C739" s="139">
        <f>'לקוחות לפי סוכן - מקור'!D423</f>
        <v/>
      </c>
      <c r="D739" s="139">
        <f>'לקוחות לפי סוכן - מקור'!E423</f>
        <v/>
      </c>
      <c r="E739" s="147">
        <f>'לקוחות לפי סוכן - מקור'!F423</f>
        <v/>
      </c>
      <c r="F739" s="147">
        <f>'לקוחות לפי סוכן - מקור'!G423</f>
        <v/>
      </c>
      <c r="G739" s="148">
        <f>'לקוחות לפי סוכן - מקור'!H423</f>
        <v/>
      </c>
      <c r="H739" s="148">
        <f>'לקוחות לפי סוכן - מקור'!I423</f>
        <v/>
      </c>
      <c r="I739" s="139">
        <f>'לקוחות לפי סוכן - מקור'!K423</f>
        <v/>
      </c>
      <c r="J739" s="139" t="inlineStr">
        <is>
          <t>קיים במקור</t>
        </is>
      </c>
    </row>
    <row r="740" ht="15" customHeight="1" s="82">
      <c r="A740" s="139">
        <f>'לקוחות לפי סוכן - מקור'!A424</f>
        <v/>
      </c>
      <c r="B740" s="139">
        <f>'לקוחות לפי סוכן - מקור'!C424</f>
        <v/>
      </c>
      <c r="C740" s="139">
        <f>'לקוחות לפי סוכן - מקור'!D424</f>
        <v/>
      </c>
      <c r="D740" s="139">
        <f>'לקוחות לפי סוכן - מקור'!E424</f>
        <v/>
      </c>
      <c r="E740" s="147">
        <f>'לקוחות לפי סוכן - מקור'!F424</f>
        <v/>
      </c>
      <c r="F740" s="147">
        <f>'לקוחות לפי סוכן - מקור'!G424</f>
        <v/>
      </c>
      <c r="G740" s="148">
        <f>'לקוחות לפי סוכן - מקור'!H424</f>
        <v/>
      </c>
      <c r="H740" s="148">
        <f>'לקוחות לפי סוכן - מקור'!I424</f>
        <v/>
      </c>
      <c r="I740" s="139">
        <f>'לקוחות לפי סוכן - מקור'!K424</f>
        <v/>
      </c>
      <c r="J740" s="139" t="inlineStr">
        <is>
          <t>קיים במקור</t>
        </is>
      </c>
    </row>
    <row r="741" ht="15" customHeight="1" s="82">
      <c r="A741" s="139">
        <f>'לקוחות לפי סוכן - מקור'!A425</f>
        <v/>
      </c>
      <c r="B741" s="139">
        <f>'לקוחות לפי סוכן - מקור'!C425</f>
        <v/>
      </c>
      <c r="C741" s="139">
        <f>'לקוחות לפי סוכן - מקור'!D425</f>
        <v/>
      </c>
      <c r="D741" s="139">
        <f>'לקוחות לפי סוכן - מקור'!E425</f>
        <v/>
      </c>
      <c r="E741" s="147">
        <f>'לקוחות לפי סוכן - מקור'!F425</f>
        <v/>
      </c>
      <c r="F741" s="147">
        <f>'לקוחות לפי סוכן - מקור'!G425</f>
        <v/>
      </c>
      <c r="G741" s="148">
        <f>'לקוחות לפי סוכן - מקור'!H425</f>
        <v/>
      </c>
      <c r="H741" s="148">
        <f>'לקוחות לפי סוכן - מקור'!I425</f>
        <v/>
      </c>
      <c r="I741" s="139">
        <f>'לקוחות לפי סוכן - מקור'!K425</f>
        <v/>
      </c>
      <c r="J741" s="139" t="inlineStr">
        <is>
          <t>קיים במקור</t>
        </is>
      </c>
    </row>
    <row r="742" ht="15" customHeight="1" s="82">
      <c r="A742" s="139">
        <f>'לקוחות לפי סוכן - מקור'!A426</f>
        <v/>
      </c>
      <c r="B742" s="139">
        <f>'לקוחות לפי סוכן - מקור'!C426</f>
        <v/>
      </c>
      <c r="C742" s="139">
        <f>'לקוחות לפי סוכן - מקור'!D426</f>
        <v/>
      </c>
      <c r="D742" s="139">
        <f>'לקוחות לפי סוכן - מקור'!E426</f>
        <v/>
      </c>
      <c r="E742" s="147">
        <f>'לקוחות לפי סוכן - מקור'!F426</f>
        <v/>
      </c>
      <c r="F742" s="147">
        <f>'לקוחות לפי סוכן - מקור'!G426</f>
        <v/>
      </c>
      <c r="G742" s="148">
        <f>'לקוחות לפי סוכן - מקור'!H426</f>
        <v/>
      </c>
      <c r="H742" s="148">
        <f>'לקוחות לפי סוכן - מקור'!I426</f>
        <v/>
      </c>
      <c r="I742" s="139">
        <f>'לקוחות לפי סוכן - מקור'!K426</f>
        <v/>
      </c>
      <c r="J742" s="139" t="inlineStr">
        <is>
          <t>קיים במקור</t>
        </is>
      </c>
    </row>
    <row r="743" ht="15" customHeight="1" s="82">
      <c r="A743" s="139">
        <f>'לקוחות לפי סוכן - מקור'!A427</f>
        <v/>
      </c>
      <c r="B743" s="139">
        <f>'לקוחות לפי סוכן - מקור'!C427</f>
        <v/>
      </c>
      <c r="C743" s="139">
        <f>'לקוחות לפי סוכן - מקור'!D427</f>
        <v/>
      </c>
      <c r="D743" s="139">
        <f>'לקוחות לפי סוכן - מקור'!E427</f>
        <v/>
      </c>
      <c r="E743" s="147">
        <f>'לקוחות לפי סוכן - מקור'!F427</f>
        <v/>
      </c>
      <c r="F743" s="147">
        <f>'לקוחות לפי סוכן - מקור'!G427</f>
        <v/>
      </c>
      <c r="G743" s="148">
        <f>'לקוחות לפי סוכן - מקור'!H427</f>
        <v/>
      </c>
      <c r="H743" s="148">
        <f>'לקוחות לפי סוכן - מקור'!I427</f>
        <v/>
      </c>
      <c r="I743" s="139">
        <f>'לקוחות לפי סוכן - מקור'!K427</f>
        <v/>
      </c>
      <c r="J743" s="139" t="inlineStr">
        <is>
          <t>קיים במקור</t>
        </is>
      </c>
    </row>
    <row r="744" ht="15" customHeight="1" s="82">
      <c r="A744" s="139">
        <f>'לקוחות לפי סוכן - מקור'!A428</f>
        <v/>
      </c>
      <c r="B744" s="139">
        <f>'לקוחות לפי סוכן - מקור'!C428</f>
        <v/>
      </c>
      <c r="C744" s="139">
        <f>'לקוחות לפי סוכן - מקור'!D428</f>
        <v/>
      </c>
      <c r="D744" s="139">
        <f>'לקוחות לפי סוכן - מקור'!E428</f>
        <v/>
      </c>
      <c r="E744" s="147">
        <f>'לקוחות לפי סוכן - מקור'!F428</f>
        <v/>
      </c>
      <c r="F744" s="147">
        <f>'לקוחות לפי סוכן - מקור'!G428</f>
        <v/>
      </c>
      <c r="G744" s="148">
        <f>'לקוחות לפי סוכן - מקור'!H428</f>
        <v/>
      </c>
      <c r="H744" s="148">
        <f>'לקוחות לפי סוכן - מקור'!I428</f>
        <v/>
      </c>
      <c r="I744" s="139">
        <f>'לקוחות לפי סוכן - מקור'!K428</f>
        <v/>
      </c>
      <c r="J744" s="139" t="inlineStr">
        <is>
          <t>קיים במקור</t>
        </is>
      </c>
    </row>
    <row r="745" ht="15" customHeight="1" s="82">
      <c r="A745" s="139">
        <f>'לקוחות לפי סוכן - מקור'!A429</f>
        <v/>
      </c>
      <c r="B745" s="139">
        <f>'לקוחות לפי סוכן - מקור'!C429</f>
        <v/>
      </c>
      <c r="C745" s="139">
        <f>'לקוחות לפי סוכן - מקור'!D429</f>
        <v/>
      </c>
      <c r="D745" s="139">
        <f>'לקוחות לפי סוכן - מקור'!E429</f>
        <v/>
      </c>
      <c r="E745" s="147">
        <f>'לקוחות לפי סוכן - מקור'!F429</f>
        <v/>
      </c>
      <c r="F745" s="147">
        <f>'לקוחות לפי סוכן - מקור'!G429</f>
        <v/>
      </c>
      <c r="G745" s="148">
        <f>'לקוחות לפי סוכן - מקור'!H429</f>
        <v/>
      </c>
      <c r="H745" s="148">
        <f>'לקוחות לפי סוכן - מקור'!I429</f>
        <v/>
      </c>
      <c r="I745" s="139">
        <f>'לקוחות לפי סוכן - מקור'!K429</f>
        <v/>
      </c>
      <c r="J745" s="139" t="inlineStr">
        <is>
          <t>קיים במקור</t>
        </is>
      </c>
    </row>
    <row r="746" ht="15" customHeight="1" s="82">
      <c r="A746" s="139">
        <f>'לקוחות לפי סוכן - מקור'!A430</f>
        <v/>
      </c>
      <c r="B746" s="139">
        <f>'לקוחות לפי סוכן - מקור'!C430</f>
        <v/>
      </c>
      <c r="C746" s="139">
        <f>'לקוחות לפי סוכן - מקור'!D430</f>
        <v/>
      </c>
      <c r="D746" s="139">
        <f>'לקוחות לפי סוכן - מקור'!E430</f>
        <v/>
      </c>
      <c r="E746" s="147">
        <f>'לקוחות לפי סוכן - מקור'!F430</f>
        <v/>
      </c>
      <c r="F746" s="147">
        <f>'לקוחות לפי סוכן - מקור'!G430</f>
        <v/>
      </c>
      <c r="G746" s="148">
        <f>'לקוחות לפי סוכן - מקור'!H430</f>
        <v/>
      </c>
      <c r="H746" s="148">
        <f>'לקוחות לפי סוכן - מקור'!I430</f>
        <v/>
      </c>
      <c r="I746" s="139">
        <f>'לקוחות לפי סוכן - מקור'!K430</f>
        <v/>
      </c>
      <c r="J746" s="139" t="inlineStr">
        <is>
          <t>קיים במקור</t>
        </is>
      </c>
    </row>
    <row r="747" ht="15" customHeight="1" s="82">
      <c r="A747" s="139">
        <f>'לקוחות לפי סוכן - מקור'!A431</f>
        <v/>
      </c>
      <c r="B747" s="139">
        <f>'לקוחות לפי סוכן - מקור'!C431</f>
        <v/>
      </c>
      <c r="C747" s="139">
        <f>'לקוחות לפי סוכן - מקור'!D431</f>
        <v/>
      </c>
      <c r="D747" s="139">
        <f>'לקוחות לפי סוכן - מקור'!E431</f>
        <v/>
      </c>
      <c r="E747" s="147">
        <f>'לקוחות לפי סוכן - מקור'!F431</f>
        <v/>
      </c>
      <c r="F747" s="147">
        <f>'לקוחות לפי סוכן - מקור'!G431</f>
        <v/>
      </c>
      <c r="G747" s="148">
        <f>'לקוחות לפי סוכן - מקור'!H431</f>
        <v/>
      </c>
      <c r="H747" s="148">
        <f>'לקוחות לפי סוכן - מקור'!I431</f>
        <v/>
      </c>
      <c r="I747" s="139">
        <f>'לקוחות לפי סוכן - מקור'!K431</f>
        <v/>
      </c>
      <c r="J747" s="139" t="inlineStr">
        <is>
          <t>קיים במקור</t>
        </is>
      </c>
    </row>
    <row r="748" ht="15" customHeight="1" s="82">
      <c r="A748" s="139">
        <f>'לקוחות לפי סוכן - מקור'!A432</f>
        <v/>
      </c>
      <c r="B748" s="139">
        <f>'לקוחות לפי סוכן - מקור'!C432</f>
        <v/>
      </c>
      <c r="C748" s="139">
        <f>'לקוחות לפי סוכן - מקור'!D432</f>
        <v/>
      </c>
      <c r="D748" s="139">
        <f>'לקוחות לפי סוכן - מקור'!E432</f>
        <v/>
      </c>
      <c r="E748" s="147">
        <f>'לקוחות לפי סוכן - מקור'!F432</f>
        <v/>
      </c>
      <c r="F748" s="147">
        <f>'לקוחות לפי סוכן - מקור'!G432</f>
        <v/>
      </c>
      <c r="G748" s="148">
        <f>'לקוחות לפי סוכן - מקור'!H432</f>
        <v/>
      </c>
      <c r="H748" s="148">
        <f>'לקוחות לפי סוכן - מקור'!I432</f>
        <v/>
      </c>
      <c r="I748" s="139">
        <f>'לקוחות לפי סוכן - מקור'!K432</f>
        <v/>
      </c>
      <c r="J748" s="139" t="inlineStr">
        <is>
          <t>קיים במקור</t>
        </is>
      </c>
    </row>
    <row r="749" ht="15" customHeight="1" s="82">
      <c r="A749" s="139">
        <f>'לקוחות לפי סוכן - מקור'!A433</f>
        <v/>
      </c>
      <c r="B749" s="139">
        <f>'לקוחות לפי סוכן - מקור'!C433</f>
        <v/>
      </c>
      <c r="C749" s="139">
        <f>'לקוחות לפי סוכן - מקור'!D433</f>
        <v/>
      </c>
      <c r="D749" s="139">
        <f>'לקוחות לפי סוכן - מקור'!E433</f>
        <v/>
      </c>
      <c r="E749" s="147">
        <f>'לקוחות לפי סוכן - מקור'!F433</f>
        <v/>
      </c>
      <c r="F749" s="147">
        <f>'לקוחות לפי סוכן - מקור'!G433</f>
        <v/>
      </c>
      <c r="G749" s="148">
        <f>'לקוחות לפי סוכן - מקור'!H433</f>
        <v/>
      </c>
      <c r="H749" s="148">
        <f>'לקוחות לפי סוכן - מקור'!I433</f>
        <v/>
      </c>
      <c r="I749" s="139">
        <f>'לקוחות לפי סוכן - מקור'!K433</f>
        <v/>
      </c>
      <c r="J749" s="139" t="inlineStr">
        <is>
          <t>קיים במקור</t>
        </is>
      </c>
    </row>
    <row r="750" ht="15" customHeight="1" s="82">
      <c r="A750" s="139">
        <f>'לקוחות לפי סוכן - מקור'!A434</f>
        <v/>
      </c>
      <c r="B750" s="139">
        <f>'לקוחות לפי סוכן - מקור'!C434</f>
        <v/>
      </c>
      <c r="C750" s="139">
        <f>'לקוחות לפי סוכן - מקור'!D434</f>
        <v/>
      </c>
      <c r="D750" s="139">
        <f>'לקוחות לפי סוכן - מקור'!E434</f>
        <v/>
      </c>
      <c r="E750" s="147">
        <f>'לקוחות לפי סוכן - מקור'!F434</f>
        <v/>
      </c>
      <c r="F750" s="147">
        <f>'לקוחות לפי סוכן - מקור'!G434</f>
        <v/>
      </c>
      <c r="G750" s="148">
        <f>'לקוחות לפי סוכן - מקור'!H434</f>
        <v/>
      </c>
      <c r="H750" s="148">
        <f>'לקוחות לפי סוכן - מקור'!I434</f>
        <v/>
      </c>
      <c r="I750" s="139">
        <f>'לקוחות לפי סוכן - מקור'!K434</f>
        <v/>
      </c>
      <c r="J750" s="139" t="inlineStr">
        <is>
          <t>קיים במקור</t>
        </is>
      </c>
    </row>
    <row r="751" ht="15" customHeight="1" s="82">
      <c r="A751" s="139">
        <f>'לקוחות לפי סוכן - מקור'!A435</f>
        <v/>
      </c>
      <c r="B751" s="139">
        <f>'לקוחות לפי סוכן - מקור'!C435</f>
        <v/>
      </c>
      <c r="C751" s="139">
        <f>'לקוחות לפי סוכן - מקור'!D435</f>
        <v/>
      </c>
      <c r="D751" s="139">
        <f>'לקוחות לפי סוכן - מקור'!E435</f>
        <v/>
      </c>
      <c r="E751" s="147">
        <f>'לקוחות לפי סוכן - מקור'!F435</f>
        <v/>
      </c>
      <c r="F751" s="147">
        <f>'לקוחות לפי סוכן - מקור'!G435</f>
        <v/>
      </c>
      <c r="G751" s="148">
        <f>'לקוחות לפי סוכן - מקור'!H435</f>
        <v/>
      </c>
      <c r="H751" s="148">
        <f>'לקוחות לפי סוכן - מקור'!I435</f>
        <v/>
      </c>
      <c r="I751" s="139">
        <f>'לקוחות לפי סוכן - מקור'!K435</f>
        <v/>
      </c>
      <c r="J751" s="139" t="inlineStr">
        <is>
          <t>קיים במקור</t>
        </is>
      </c>
    </row>
    <row r="752" ht="15" customHeight="1" s="82">
      <c r="A752" s="139">
        <f>'לקוחות לפי סוכן - מקור'!A436</f>
        <v/>
      </c>
      <c r="B752" s="139">
        <f>'לקוחות לפי סוכן - מקור'!C436</f>
        <v/>
      </c>
      <c r="C752" s="139">
        <f>'לקוחות לפי סוכן - מקור'!D436</f>
        <v/>
      </c>
      <c r="D752" s="139">
        <f>'לקוחות לפי סוכן - מקור'!E436</f>
        <v/>
      </c>
      <c r="E752" s="147">
        <f>'לקוחות לפי סוכן - מקור'!F436</f>
        <v/>
      </c>
      <c r="F752" s="147">
        <f>'לקוחות לפי סוכן - מקור'!G436</f>
        <v/>
      </c>
      <c r="G752" s="148">
        <f>'לקוחות לפי סוכן - מקור'!H436</f>
        <v/>
      </c>
      <c r="H752" s="148">
        <f>'לקוחות לפי סוכן - מקור'!I436</f>
        <v/>
      </c>
      <c r="I752" s="139">
        <f>'לקוחות לפי סוכן - מקור'!K436</f>
        <v/>
      </c>
      <c r="J752" s="139" t="inlineStr">
        <is>
          <t>קיים במקור</t>
        </is>
      </c>
    </row>
    <row r="753" ht="15" customHeight="1" s="82">
      <c r="A753" s="139">
        <f>'לקוחות לפי סוכן - מקור'!A437</f>
        <v/>
      </c>
      <c r="B753" s="139">
        <f>'לקוחות לפי סוכן - מקור'!C437</f>
        <v/>
      </c>
      <c r="C753" s="139">
        <f>'לקוחות לפי סוכן - מקור'!D437</f>
        <v/>
      </c>
      <c r="D753" s="139">
        <f>'לקוחות לפי סוכן - מקור'!E437</f>
        <v/>
      </c>
      <c r="E753" s="147">
        <f>'לקוחות לפי סוכן - מקור'!F437</f>
        <v/>
      </c>
      <c r="F753" s="147">
        <f>'לקוחות לפי סוכן - מקור'!G437</f>
        <v/>
      </c>
      <c r="G753" s="148">
        <f>'לקוחות לפי סוכן - מקור'!H437</f>
        <v/>
      </c>
      <c r="H753" s="148">
        <f>'לקוחות לפי סוכן - מקור'!I437</f>
        <v/>
      </c>
      <c r="I753" s="139">
        <f>'לקוחות לפי סוכן - מקור'!K437</f>
        <v/>
      </c>
      <c r="J753" s="139" t="inlineStr">
        <is>
          <t>קיים במקור</t>
        </is>
      </c>
    </row>
    <row r="754" ht="15" customHeight="1" s="82">
      <c r="A754" s="139">
        <f>'לקוחות לפי סוכן - מקור'!A438</f>
        <v/>
      </c>
      <c r="B754" s="139">
        <f>'לקוחות לפי סוכן - מקור'!C438</f>
        <v/>
      </c>
      <c r="C754" s="139">
        <f>'לקוחות לפי סוכן - מקור'!D438</f>
        <v/>
      </c>
      <c r="D754" s="139">
        <f>'לקוחות לפי סוכן - מקור'!E438</f>
        <v/>
      </c>
      <c r="E754" s="147">
        <f>'לקוחות לפי סוכן - מקור'!F438</f>
        <v/>
      </c>
      <c r="F754" s="147">
        <f>'לקוחות לפי סוכן - מקור'!G438</f>
        <v/>
      </c>
      <c r="G754" s="148">
        <f>'לקוחות לפי סוכן - מקור'!H438</f>
        <v/>
      </c>
      <c r="H754" s="148">
        <f>'לקוחות לפי סוכן - מקור'!I438</f>
        <v/>
      </c>
      <c r="I754" s="139">
        <f>'לקוחות לפי סוכן - מקור'!K438</f>
        <v/>
      </c>
      <c r="J754" s="139" t="inlineStr">
        <is>
          <t>קיים במקור</t>
        </is>
      </c>
    </row>
    <row r="755" ht="15" customHeight="1" s="82">
      <c r="A755" s="139">
        <f>'לקוחות לפי סוכן - מקור'!A439</f>
        <v/>
      </c>
      <c r="B755" s="139">
        <f>'לקוחות לפי סוכן - מקור'!C439</f>
        <v/>
      </c>
      <c r="C755" s="139">
        <f>'לקוחות לפי סוכן - מקור'!D439</f>
        <v/>
      </c>
      <c r="D755" s="139">
        <f>'לקוחות לפי סוכן - מקור'!E439</f>
        <v/>
      </c>
      <c r="E755" s="147">
        <f>'לקוחות לפי סוכן - מקור'!F439</f>
        <v/>
      </c>
      <c r="F755" s="147">
        <f>'לקוחות לפי סוכן - מקור'!G439</f>
        <v/>
      </c>
      <c r="G755" s="148">
        <f>'לקוחות לפי סוכן - מקור'!H439</f>
        <v/>
      </c>
      <c r="H755" s="148">
        <f>'לקוחות לפי סוכן - מקור'!I439</f>
        <v/>
      </c>
      <c r="I755" s="139">
        <f>'לקוחות לפי סוכן - מקור'!K439</f>
        <v/>
      </c>
      <c r="J755" s="139" t="inlineStr">
        <is>
          <t>קיים במקור</t>
        </is>
      </c>
    </row>
    <row r="756" ht="15" customHeight="1" s="82">
      <c r="A756" s="139">
        <f>'לקוחות לפי סוכן - מקור'!A440</f>
        <v/>
      </c>
      <c r="B756" s="139">
        <f>'לקוחות לפי סוכן - מקור'!C440</f>
        <v/>
      </c>
      <c r="C756" s="139">
        <f>'לקוחות לפי סוכן - מקור'!D440</f>
        <v/>
      </c>
      <c r="D756" s="139">
        <f>'לקוחות לפי סוכן - מקור'!E440</f>
        <v/>
      </c>
      <c r="E756" s="147">
        <f>'לקוחות לפי סוכן - מקור'!F440</f>
        <v/>
      </c>
      <c r="F756" s="147">
        <f>'לקוחות לפי סוכן - מקור'!G440</f>
        <v/>
      </c>
      <c r="G756" s="148">
        <f>'לקוחות לפי סוכן - מקור'!H440</f>
        <v/>
      </c>
      <c r="H756" s="148">
        <f>'לקוחות לפי סוכן - מקור'!I440</f>
        <v/>
      </c>
      <c r="I756" s="139">
        <f>'לקוחות לפי סוכן - מקור'!K440</f>
        <v/>
      </c>
      <c r="J756" s="139" t="inlineStr">
        <is>
          <t>קיים במקור</t>
        </is>
      </c>
    </row>
    <row r="757" ht="15" customHeight="1" s="82">
      <c r="A757" s="139">
        <f>'לקוחות לפי סוכן - מקור'!A441</f>
        <v/>
      </c>
      <c r="B757" s="139">
        <f>'לקוחות לפי סוכן - מקור'!C441</f>
        <v/>
      </c>
      <c r="C757" s="139">
        <f>'לקוחות לפי סוכן - מקור'!D441</f>
        <v/>
      </c>
      <c r="D757" s="139">
        <f>'לקוחות לפי סוכן - מקור'!E441</f>
        <v/>
      </c>
      <c r="E757" s="147">
        <f>'לקוחות לפי סוכן - מקור'!F441</f>
        <v/>
      </c>
      <c r="F757" s="147">
        <f>'לקוחות לפי סוכן - מקור'!G441</f>
        <v/>
      </c>
      <c r="G757" s="148">
        <f>'לקוחות לפי סוכן - מקור'!H441</f>
        <v/>
      </c>
      <c r="H757" s="148">
        <f>'לקוחות לפי סוכן - מקור'!I441</f>
        <v/>
      </c>
      <c r="I757" s="139">
        <f>'לקוחות לפי סוכן - מקור'!K441</f>
        <v/>
      </c>
      <c r="J757" s="139" t="inlineStr">
        <is>
          <t>קיים במקור</t>
        </is>
      </c>
    </row>
    <row r="758" ht="15" customHeight="1" s="82">
      <c r="A758" s="139">
        <f>'לקוחות לפי סוכן - מקור'!A442</f>
        <v/>
      </c>
      <c r="B758" s="139">
        <f>'לקוחות לפי סוכן - מקור'!C442</f>
        <v/>
      </c>
      <c r="C758" s="139">
        <f>'לקוחות לפי סוכן - מקור'!D442</f>
        <v/>
      </c>
      <c r="D758" s="139">
        <f>'לקוחות לפי סוכן - מקור'!E442</f>
        <v/>
      </c>
      <c r="E758" s="147">
        <f>'לקוחות לפי סוכן - מקור'!F442</f>
        <v/>
      </c>
      <c r="F758" s="147">
        <f>'לקוחות לפי סוכן - מקור'!G442</f>
        <v/>
      </c>
      <c r="G758" s="148">
        <f>'לקוחות לפי סוכן - מקור'!H442</f>
        <v/>
      </c>
      <c r="H758" s="148">
        <f>'לקוחות לפי סוכן - מקור'!I442</f>
        <v/>
      </c>
      <c r="I758" s="139">
        <f>'לקוחות לפי סוכן - מקור'!K442</f>
        <v/>
      </c>
      <c r="J758" s="139" t="inlineStr">
        <is>
          <t>קיים במקור</t>
        </is>
      </c>
    </row>
    <row r="759" ht="15" customHeight="1" s="82">
      <c r="A759" s="139">
        <f>'לקוחות לפי סוכן - מקור'!A443</f>
        <v/>
      </c>
      <c r="B759" s="139">
        <f>'לקוחות לפי סוכן - מקור'!C443</f>
        <v/>
      </c>
      <c r="C759" s="139">
        <f>'לקוחות לפי סוכן - מקור'!D443</f>
        <v/>
      </c>
      <c r="D759" s="139">
        <f>'לקוחות לפי סוכן - מקור'!E443</f>
        <v/>
      </c>
      <c r="E759" s="147">
        <f>'לקוחות לפי סוכן - מקור'!F443</f>
        <v/>
      </c>
      <c r="F759" s="147">
        <f>'לקוחות לפי סוכן - מקור'!G443</f>
        <v/>
      </c>
      <c r="G759" s="148">
        <f>'לקוחות לפי סוכן - מקור'!H443</f>
        <v/>
      </c>
      <c r="H759" s="148">
        <f>'לקוחות לפי סוכן - מקור'!I443</f>
        <v/>
      </c>
      <c r="I759" s="139">
        <f>'לקוחות לפי סוכן - מקור'!K443</f>
        <v/>
      </c>
      <c r="J759" s="139" t="inlineStr">
        <is>
          <t>קיים במקור</t>
        </is>
      </c>
    </row>
    <row r="760" ht="15" customHeight="1" s="82">
      <c r="A760" s="139">
        <f>'לקוחות לפי סוכן - מקור'!A444</f>
        <v/>
      </c>
      <c r="B760" s="139">
        <f>'לקוחות לפי סוכן - מקור'!C444</f>
        <v/>
      </c>
      <c r="C760" s="139">
        <f>'לקוחות לפי סוכן - מקור'!D444</f>
        <v/>
      </c>
      <c r="D760" s="139">
        <f>'לקוחות לפי סוכן - מקור'!E444</f>
        <v/>
      </c>
      <c r="E760" s="147">
        <f>'לקוחות לפי סוכן - מקור'!F444</f>
        <v/>
      </c>
      <c r="F760" s="147">
        <f>'לקוחות לפי סוכן - מקור'!G444</f>
        <v/>
      </c>
      <c r="G760" s="148">
        <f>'לקוחות לפי סוכן - מקור'!H444</f>
        <v/>
      </c>
      <c r="H760" s="148">
        <f>'לקוחות לפי סוכן - מקור'!I444</f>
        <v/>
      </c>
      <c r="I760" s="139">
        <f>'לקוחות לפי סוכן - מקור'!K444</f>
        <v/>
      </c>
      <c r="J760" s="139" t="inlineStr">
        <is>
          <t>קיים במקור</t>
        </is>
      </c>
    </row>
    <row r="761" ht="15" customHeight="1" s="82">
      <c r="A761" s="139">
        <f>'לקוחות לפי סוכן - מקור'!A445</f>
        <v/>
      </c>
      <c r="B761" s="139">
        <f>'לקוחות לפי סוכן - מקור'!C445</f>
        <v/>
      </c>
      <c r="C761" s="139">
        <f>'לקוחות לפי סוכן - מקור'!D445</f>
        <v/>
      </c>
      <c r="D761" s="139">
        <f>'לקוחות לפי סוכן - מקור'!E445</f>
        <v/>
      </c>
      <c r="E761" s="147">
        <f>'לקוחות לפי סוכן - מקור'!F445</f>
        <v/>
      </c>
      <c r="F761" s="147">
        <f>'לקוחות לפי סוכן - מקור'!G445</f>
        <v/>
      </c>
      <c r="G761" s="148">
        <f>'לקוחות לפי סוכן - מקור'!H445</f>
        <v/>
      </c>
      <c r="H761" s="148">
        <f>'לקוחות לפי סוכן - מקור'!I445</f>
        <v/>
      </c>
      <c r="I761" s="139">
        <f>'לקוחות לפי סוכן - מקור'!K445</f>
        <v/>
      </c>
      <c r="J761" s="139" t="inlineStr">
        <is>
          <t>קיים במקור</t>
        </is>
      </c>
    </row>
    <row r="762" ht="15" customHeight="1" s="82">
      <c r="A762" s="139">
        <f>'לקוחות לפי סוכן - מקור'!A446</f>
        <v/>
      </c>
      <c r="B762" s="139">
        <f>'לקוחות לפי סוכן - מקור'!C446</f>
        <v/>
      </c>
      <c r="C762" s="139">
        <f>'לקוחות לפי סוכן - מקור'!D446</f>
        <v/>
      </c>
      <c r="D762" s="139">
        <f>'לקוחות לפי סוכן - מקור'!E446</f>
        <v/>
      </c>
      <c r="E762" s="147">
        <f>'לקוחות לפי סוכן - מקור'!F446</f>
        <v/>
      </c>
      <c r="F762" s="147">
        <f>'לקוחות לפי סוכן - מקור'!G446</f>
        <v/>
      </c>
      <c r="G762" s="148">
        <f>'לקוחות לפי סוכן - מקור'!H446</f>
        <v/>
      </c>
      <c r="H762" s="148">
        <f>'לקוחות לפי סוכן - מקור'!I446</f>
        <v/>
      </c>
      <c r="I762" s="139">
        <f>'לקוחות לפי סוכן - מקור'!K446</f>
        <v/>
      </c>
      <c r="J762" s="139" t="inlineStr">
        <is>
          <t>קיים במקור</t>
        </is>
      </c>
    </row>
    <row r="763" ht="15" customHeight="1" s="82">
      <c r="A763" s="139">
        <f>'לקוחות לפי סוכן - מקור'!A447</f>
        <v/>
      </c>
      <c r="B763" s="139">
        <f>'לקוחות לפי סוכן - מקור'!C447</f>
        <v/>
      </c>
      <c r="C763" s="139">
        <f>'לקוחות לפי סוכן - מקור'!D447</f>
        <v/>
      </c>
      <c r="D763" s="139">
        <f>'לקוחות לפי סוכן - מקור'!E447</f>
        <v/>
      </c>
      <c r="E763" s="147">
        <f>'לקוחות לפי סוכן - מקור'!F447</f>
        <v/>
      </c>
      <c r="F763" s="147">
        <f>'לקוחות לפי סוכן - מקור'!G447</f>
        <v/>
      </c>
      <c r="G763" s="148">
        <f>'לקוחות לפי סוכן - מקור'!H447</f>
        <v/>
      </c>
      <c r="H763" s="148">
        <f>'לקוחות לפי סוכן - מקור'!I447</f>
        <v/>
      </c>
      <c r="I763" s="139">
        <f>'לקוחות לפי סוכן - מקור'!K447</f>
        <v/>
      </c>
      <c r="J763" s="139" t="inlineStr">
        <is>
          <t>קיים במקור</t>
        </is>
      </c>
    </row>
    <row r="764" ht="15" customHeight="1" s="82">
      <c r="A764" s="139">
        <f>'לקוחות לפי סוכן - מקור'!A448</f>
        <v/>
      </c>
      <c r="B764" s="139">
        <f>'לקוחות לפי סוכן - מקור'!C448</f>
        <v/>
      </c>
      <c r="C764" s="139">
        <f>'לקוחות לפי סוכן - מקור'!D448</f>
        <v/>
      </c>
      <c r="D764" s="139">
        <f>'לקוחות לפי סוכן - מקור'!E448</f>
        <v/>
      </c>
      <c r="E764" s="147">
        <f>'לקוחות לפי סוכן - מקור'!F448</f>
        <v/>
      </c>
      <c r="F764" s="147">
        <f>'לקוחות לפי סוכן - מקור'!G448</f>
        <v/>
      </c>
      <c r="G764" s="148">
        <f>'לקוחות לפי סוכן - מקור'!H448</f>
        <v/>
      </c>
      <c r="H764" s="148">
        <f>'לקוחות לפי סוכן - מקור'!I448</f>
        <v/>
      </c>
      <c r="I764" s="139">
        <f>'לקוחות לפי סוכן - מקור'!K448</f>
        <v/>
      </c>
      <c r="J764" s="139" t="inlineStr">
        <is>
          <t>קיים במקור</t>
        </is>
      </c>
    </row>
    <row r="765" ht="15" customHeight="1" s="82">
      <c r="A765" s="139">
        <f>'לקוחות לפי סוכן - מקור'!A449</f>
        <v/>
      </c>
      <c r="B765" s="139">
        <f>'לקוחות לפי סוכן - מקור'!C449</f>
        <v/>
      </c>
      <c r="C765" s="139">
        <f>'לקוחות לפי סוכן - מקור'!D449</f>
        <v/>
      </c>
      <c r="D765" s="139">
        <f>'לקוחות לפי סוכן - מקור'!E449</f>
        <v/>
      </c>
      <c r="E765" s="147">
        <f>'לקוחות לפי סוכן - מקור'!F449</f>
        <v/>
      </c>
      <c r="F765" s="147">
        <f>'לקוחות לפי סוכן - מקור'!G449</f>
        <v/>
      </c>
      <c r="G765" s="148">
        <f>'לקוחות לפי סוכן - מקור'!H449</f>
        <v/>
      </c>
      <c r="H765" s="148">
        <f>'לקוחות לפי סוכן - מקור'!I449</f>
        <v/>
      </c>
      <c r="I765" s="139">
        <f>'לקוחות לפי סוכן - מקור'!K449</f>
        <v/>
      </c>
      <c r="J765" s="139" t="inlineStr">
        <is>
          <t>קיים במקור</t>
        </is>
      </c>
    </row>
    <row r="766" ht="15" customHeight="1" s="82">
      <c r="A766" s="139">
        <f>'לקוחות לפי סוכן - מקור'!A450</f>
        <v/>
      </c>
      <c r="B766" s="139">
        <f>'לקוחות לפי סוכן - מקור'!C450</f>
        <v/>
      </c>
      <c r="C766" s="139">
        <f>'לקוחות לפי סוכן - מקור'!D450</f>
        <v/>
      </c>
      <c r="D766" s="139">
        <f>'לקוחות לפי סוכן - מקור'!E450</f>
        <v/>
      </c>
      <c r="E766" s="147">
        <f>'לקוחות לפי סוכן - מקור'!F450</f>
        <v/>
      </c>
      <c r="F766" s="147">
        <f>'לקוחות לפי סוכן - מקור'!G450</f>
        <v/>
      </c>
      <c r="G766" s="148">
        <f>'לקוחות לפי סוכן - מקור'!H450</f>
        <v/>
      </c>
      <c r="H766" s="148">
        <f>'לקוחות לפי סוכן - מקור'!I450</f>
        <v/>
      </c>
      <c r="I766" s="139">
        <f>'לקוחות לפי סוכן - מקור'!K450</f>
        <v/>
      </c>
      <c r="J766" s="139" t="inlineStr">
        <is>
          <t>קיים במקור</t>
        </is>
      </c>
    </row>
    <row r="767" ht="15" customHeight="1" s="82">
      <c r="A767" s="139">
        <f>'לקוחות לפי סוכן - מקור'!A451</f>
        <v/>
      </c>
      <c r="B767" s="139">
        <f>'לקוחות לפי סוכן - מקור'!C451</f>
        <v/>
      </c>
      <c r="C767" s="139">
        <f>'לקוחות לפי סוכן - מקור'!D451</f>
        <v/>
      </c>
      <c r="D767" s="139">
        <f>'לקוחות לפי סוכן - מקור'!E451</f>
        <v/>
      </c>
      <c r="E767" s="147">
        <f>'לקוחות לפי סוכן - מקור'!F451</f>
        <v/>
      </c>
      <c r="F767" s="147">
        <f>'לקוחות לפי סוכן - מקור'!G451</f>
        <v/>
      </c>
      <c r="G767" s="148">
        <f>'לקוחות לפי סוכן - מקור'!H451</f>
        <v/>
      </c>
      <c r="H767" s="148">
        <f>'לקוחות לפי סוכן - מקור'!I451</f>
        <v/>
      </c>
      <c r="I767" s="139">
        <f>'לקוחות לפי סוכן - מקור'!K451</f>
        <v/>
      </c>
      <c r="J767" s="139" t="inlineStr">
        <is>
          <t>קיים במקור</t>
        </is>
      </c>
    </row>
    <row r="768" ht="15" customHeight="1" s="82">
      <c r="A768" s="139">
        <f>'לקוחות לפי סוכן - מקור'!A452</f>
        <v/>
      </c>
      <c r="B768" s="139">
        <f>'לקוחות לפי סוכן - מקור'!C452</f>
        <v/>
      </c>
      <c r="C768" s="139">
        <f>'לקוחות לפי סוכן - מקור'!D452</f>
        <v/>
      </c>
      <c r="D768" s="139">
        <f>'לקוחות לפי סוכן - מקור'!E452</f>
        <v/>
      </c>
      <c r="E768" s="147">
        <f>'לקוחות לפי סוכן - מקור'!F452</f>
        <v/>
      </c>
      <c r="F768" s="147">
        <f>'לקוחות לפי סוכן - מקור'!G452</f>
        <v/>
      </c>
      <c r="G768" s="148">
        <f>'לקוחות לפי סוכן - מקור'!H452</f>
        <v/>
      </c>
      <c r="H768" s="148">
        <f>'לקוחות לפי סוכן - מקור'!I452</f>
        <v/>
      </c>
      <c r="I768" s="139">
        <f>'לקוחות לפי סוכן - מקור'!K452</f>
        <v/>
      </c>
      <c r="J768" s="139" t="inlineStr">
        <is>
          <t>קיים במקור</t>
        </is>
      </c>
    </row>
    <row r="769" ht="15" customHeight="1" s="82">
      <c r="A769" s="139">
        <f>'לקוחות לפי סוכן - מקור'!A628</f>
        <v/>
      </c>
      <c r="B769" s="139">
        <f>'לקוחות לפי סוכן - מקור'!C628</f>
        <v/>
      </c>
      <c r="C769" s="139">
        <f>'לקוחות לפי סוכן - מקור'!D628</f>
        <v/>
      </c>
      <c r="D769" s="139">
        <f>'לקוחות לפי סוכן - מקור'!E628</f>
        <v/>
      </c>
      <c r="E769" s="147">
        <f>IF('לקוחות לפי סוכן - מקור'!F628="",'לקוחות לפי סוכן - מקור חדש'!F2,'לקוחות לפי סוכן - מקור'!F628)</f>
        <v/>
      </c>
      <c r="F769" s="147">
        <f>IF('לקוחות לפי סוכן - מקור'!G628="",'לקוחות לפי סוכן - מקור חדש'!H2,'לקוחות לפי סוכן - מקור'!G628)</f>
        <v/>
      </c>
      <c r="G769" s="148">
        <f>IF('לקוחות לפי סוכן - מקור'!H628="",'לקוחות לפי סוכן - מקור חדש'!E2,'לקוחות לפי סוכן - מקור'!H628)</f>
        <v/>
      </c>
      <c r="H769" s="148">
        <f>IF('לקוחות לפי סוכן - מקור'!I628="",'לקוחות לפי סוכן - מקור חדש'!G2,'לקוחות לפי סוכן - מקור'!I628)</f>
        <v/>
      </c>
      <c r="I769" s="139" t="inlineStr">
        <is>
          <t>שני המקורות</t>
        </is>
      </c>
      <c r="J769" s="139" t="inlineStr">
        <is>
          <t>קיים במקור (CHMI) + מכר 2025/כמויות הושלמו מהקובץ החדש</t>
        </is>
      </c>
    </row>
    <row r="770" ht="15" customHeight="1" s="82">
      <c r="A770" s="139">
        <f>'לקוחות לפי סוכן - מקור'!A629</f>
        <v/>
      </c>
      <c r="B770" s="139">
        <f>'לקוחות לפי סוכן - מקור'!C629</f>
        <v/>
      </c>
      <c r="C770" s="139">
        <f>'לקוחות לפי סוכן - מקור'!D629</f>
        <v/>
      </c>
      <c r="D770" s="139">
        <f>'לקוחות לפי סוכן - מקור'!E629</f>
        <v/>
      </c>
      <c r="E770" s="147">
        <f>IF('לקוחות לפי סוכן - מקור'!F629="",'לקוחות לפי סוכן - מקור חדש'!F3,'לקוחות לפי סוכן - מקור'!F629)</f>
        <v/>
      </c>
      <c r="F770" s="147">
        <f>IF('לקוחות לפי סוכן - מקור'!G629="",'לקוחות לפי סוכן - מקור חדש'!H3,'לקוחות לפי סוכן - מקור'!G629)</f>
        <v/>
      </c>
      <c r="G770" s="148">
        <f>IF('לקוחות לפי סוכן - מקור'!H629="",'לקוחות לפי סוכן - מקור חדש'!E3,'לקוחות לפי סוכן - מקור'!H629)</f>
        <v/>
      </c>
      <c r="H770" s="148">
        <f>IF('לקוחות לפי סוכן - מקור'!I629="",'לקוחות לפי סוכן - מקור חדש'!G3,'לקוחות לפי סוכן - מקור'!I629)</f>
        <v/>
      </c>
      <c r="I770" s="139" t="inlineStr">
        <is>
          <t>שני המקורות</t>
        </is>
      </c>
      <c r="J770" s="139" t="inlineStr">
        <is>
          <t>קיים במקור (CHMI) + מכר 2025/כמויות הושלמו מהקובץ החדש</t>
        </is>
      </c>
    </row>
    <row r="771" ht="15" customHeight="1" s="82">
      <c r="A771" s="139">
        <f>'לקוחות לפי סוכן - מקור'!A630</f>
        <v/>
      </c>
      <c r="B771" s="139">
        <f>'לקוחות לפי סוכן - מקור'!C630</f>
        <v/>
      </c>
      <c r="C771" s="139">
        <f>'לקוחות לפי סוכן - מקור'!D630</f>
        <v/>
      </c>
      <c r="D771" s="139">
        <f>'לקוחות לפי סוכן - מקור'!E630</f>
        <v/>
      </c>
      <c r="E771" s="147">
        <f>IF('לקוחות לפי סוכן - מקור'!F630="",'לקוחות לפי סוכן - מקור חדש'!F4,'לקוחות לפי סוכן - מקור'!F630)</f>
        <v/>
      </c>
      <c r="F771" s="147">
        <f>IF('לקוחות לפי סוכן - מקור'!G630="",'לקוחות לפי סוכן - מקור חדש'!H4,'לקוחות לפי סוכן - מקור'!G630)</f>
        <v/>
      </c>
      <c r="G771" s="148">
        <f>IF('לקוחות לפי סוכן - מקור'!H630="",'לקוחות לפי סוכן - מקור חדש'!E4,'לקוחות לפי סוכן - מקור'!H630)</f>
        <v/>
      </c>
      <c r="H771" s="148">
        <f>IF('לקוחות לפי סוכן - מקור'!I630="",'לקוחות לפי סוכן - מקור חדש'!G4,'לקוחות לפי סוכן - מקור'!I630)</f>
        <v/>
      </c>
      <c r="I771" s="139" t="inlineStr">
        <is>
          <t>שני המקורות</t>
        </is>
      </c>
      <c r="J771" s="139" t="inlineStr">
        <is>
          <t>קיים במקור (CHMI) + מכר 2025/כמויות הושלמו מהקובץ החדש</t>
        </is>
      </c>
    </row>
    <row r="772" ht="15" customHeight="1" s="82">
      <c r="A772" s="139">
        <f>'לקוחות לפי סוכן - מקור'!A631</f>
        <v/>
      </c>
      <c r="B772" s="139">
        <f>'לקוחות לפי סוכן - מקור'!C631</f>
        <v/>
      </c>
      <c r="C772" s="139">
        <f>'לקוחות לפי סוכן - מקור'!D631</f>
        <v/>
      </c>
      <c r="D772" s="139">
        <f>'לקוחות לפי סוכן - מקור'!E631</f>
        <v/>
      </c>
      <c r="E772" s="147">
        <f>IF('לקוחות לפי סוכן - מקור'!F631="",'לקוחות לפי סוכן - מקור חדש'!F5,'לקוחות לפי סוכן - מקור'!F631)</f>
        <v/>
      </c>
      <c r="F772" s="147">
        <f>IF('לקוחות לפי סוכן - מקור'!G631="",'לקוחות לפי סוכן - מקור חדש'!H5,'לקוחות לפי סוכן - מקור'!G631)</f>
        <v/>
      </c>
      <c r="G772" s="148">
        <f>IF('לקוחות לפי סוכן - מקור'!H631="",'לקוחות לפי סוכן - מקור חדש'!E5,'לקוחות לפי סוכן - מקור'!H631)</f>
        <v/>
      </c>
      <c r="H772" s="148">
        <f>IF('לקוחות לפי סוכן - מקור'!I631="",'לקוחות לפי סוכן - מקור חדש'!G5,'לקוחות לפי סוכן - מקור'!I631)</f>
        <v/>
      </c>
      <c r="I772" s="139" t="inlineStr">
        <is>
          <t>שני המקורות</t>
        </is>
      </c>
      <c r="J772" s="139" t="inlineStr">
        <is>
          <t>קיים במקור (CHMI) + מכר 2025/כמויות הושלמו מהקובץ החדש</t>
        </is>
      </c>
    </row>
    <row r="773" ht="15" customHeight="1" s="82">
      <c r="A773" s="139">
        <f>'לקוחות לפי סוכן - מקור'!A632</f>
        <v/>
      </c>
      <c r="B773" s="139">
        <f>'לקוחות לפי סוכן - מקור'!C632</f>
        <v/>
      </c>
      <c r="C773" s="139">
        <f>'לקוחות לפי סוכן - מקור'!D632</f>
        <v/>
      </c>
      <c r="D773" s="139">
        <f>'לקוחות לפי סוכן - מקור'!E632</f>
        <v/>
      </c>
      <c r="E773" s="147">
        <f>IF('לקוחות לפי סוכן - מקור'!F632="",'לקוחות לפי סוכן - מקור חדש'!F6,'לקוחות לפי סוכן - מקור'!F632)</f>
        <v/>
      </c>
      <c r="F773" s="147">
        <f>IF('לקוחות לפי סוכן - מקור'!G632="",'לקוחות לפי סוכן - מקור חדש'!H6,'לקוחות לפי סוכן - מקור'!G632)</f>
        <v/>
      </c>
      <c r="G773" s="148">
        <f>IF('לקוחות לפי סוכן - מקור'!H632="",'לקוחות לפי סוכן - מקור חדש'!E6,'לקוחות לפי סוכן - מקור'!H632)</f>
        <v/>
      </c>
      <c r="H773" s="148">
        <f>IF('לקוחות לפי סוכן - מקור'!I632="",'לקוחות לפי סוכן - מקור חדש'!G6,'לקוחות לפי סוכן - מקור'!I632)</f>
        <v/>
      </c>
      <c r="I773" s="139" t="inlineStr">
        <is>
          <t>שני המקורות</t>
        </is>
      </c>
      <c r="J773" s="139" t="inlineStr">
        <is>
          <t>קיים במקור (CHMI) + מכר 2025/כמויות הושלמו מהקובץ החדש</t>
        </is>
      </c>
    </row>
    <row r="774" ht="15" customHeight="1" s="82">
      <c r="A774" s="139">
        <f>'לקוחות לפי סוכן - מקור'!A633</f>
        <v/>
      </c>
      <c r="B774" s="139">
        <f>'לקוחות לפי סוכן - מקור'!C633</f>
        <v/>
      </c>
      <c r="C774" s="139">
        <f>'לקוחות לפי סוכן - מקור'!D633</f>
        <v/>
      </c>
      <c r="D774" s="139">
        <f>'לקוחות לפי סוכן - מקור'!E633</f>
        <v/>
      </c>
      <c r="E774" s="147">
        <f>IF('לקוחות לפי סוכן - מקור'!F633="",'לקוחות לפי סוכן - מקור חדש'!F7,'לקוחות לפי סוכן - מקור'!F633)</f>
        <v/>
      </c>
      <c r="F774" s="147">
        <f>IF('לקוחות לפי סוכן - מקור'!G633="",'לקוחות לפי סוכן - מקור חדש'!H7,'לקוחות לפי סוכן - מקור'!G633)</f>
        <v/>
      </c>
      <c r="G774" s="148">
        <f>IF('לקוחות לפי סוכן - מקור'!H633="",'לקוחות לפי סוכן - מקור חדש'!E7,'לקוחות לפי סוכן - מקור'!H633)</f>
        <v/>
      </c>
      <c r="H774" s="148">
        <f>IF('לקוחות לפי סוכן - מקור'!I633="",'לקוחות לפי סוכן - מקור חדש'!G7,'לקוחות לפי סוכן - מקור'!I633)</f>
        <v/>
      </c>
      <c r="I774" s="139" t="inlineStr">
        <is>
          <t>שני המקורות</t>
        </is>
      </c>
      <c r="J774" s="139" t="inlineStr">
        <is>
          <t>קיים במקור (CHMI) + מכר 2025/כמויות הושלמו מהקובץ החדש</t>
        </is>
      </c>
    </row>
    <row r="775" ht="15" customHeight="1" s="82">
      <c r="A775" s="139">
        <f>'לקוחות לפי סוכן - מקור'!A634</f>
        <v/>
      </c>
      <c r="B775" s="139">
        <f>'לקוחות לפי סוכן - מקור'!C634</f>
        <v/>
      </c>
      <c r="C775" s="139">
        <f>'לקוחות לפי סוכן - מקור'!D634</f>
        <v/>
      </c>
      <c r="D775" s="139">
        <f>'לקוחות לפי סוכן - מקור'!E634</f>
        <v/>
      </c>
      <c r="E775" s="147">
        <f>IF('לקוחות לפי סוכן - מקור'!F634="",'לקוחות לפי סוכן - מקור חדש'!F8,'לקוחות לפי סוכן - מקור'!F634)</f>
        <v/>
      </c>
      <c r="F775" s="147">
        <f>IF('לקוחות לפי סוכן - מקור'!G634="",'לקוחות לפי סוכן - מקור חדש'!H8,'לקוחות לפי סוכן - מקור'!G634)</f>
        <v/>
      </c>
      <c r="G775" s="148">
        <f>IF('לקוחות לפי סוכן - מקור'!H634="",'לקוחות לפי סוכן - מקור חדש'!E8,'לקוחות לפי סוכן - מקור'!H634)</f>
        <v/>
      </c>
      <c r="H775" s="148">
        <f>IF('לקוחות לפי סוכן - מקור'!I634="",'לקוחות לפי סוכן - מקור חדש'!G8,'לקוחות לפי סוכן - מקור'!I634)</f>
        <v/>
      </c>
      <c r="I775" s="139" t="inlineStr">
        <is>
          <t>שני המקורות</t>
        </is>
      </c>
      <c r="J775" s="139" t="inlineStr">
        <is>
          <t>קיים במקור (CHMI) + מכר 2025/כמויות הושלמו מהקובץ החדש</t>
        </is>
      </c>
    </row>
    <row r="776" ht="15" customHeight="1" s="82">
      <c r="A776" s="139">
        <f>'לקוחות לפי סוכן - מקור'!A635</f>
        <v/>
      </c>
      <c r="B776" s="139">
        <f>'לקוחות לפי סוכן - מקור'!C635</f>
        <v/>
      </c>
      <c r="C776" s="139">
        <f>'לקוחות לפי סוכן - מקור'!D635</f>
        <v/>
      </c>
      <c r="D776" s="139">
        <f>'לקוחות לפי סוכן - מקור'!E635</f>
        <v/>
      </c>
      <c r="E776" s="147">
        <f>IF('לקוחות לפי סוכן - מקור'!F635="",'לקוחות לפי סוכן - מקור חדש'!F9,'לקוחות לפי סוכן - מקור'!F635)</f>
        <v/>
      </c>
      <c r="F776" s="147">
        <f>IF('לקוחות לפי סוכן - מקור'!G635="",'לקוחות לפי סוכן - מקור חדש'!H9,'לקוחות לפי סוכן - מקור'!G635)</f>
        <v/>
      </c>
      <c r="G776" s="148">
        <f>IF('לקוחות לפי סוכן - מקור'!H635="",'לקוחות לפי סוכן - מקור חדש'!E9,'לקוחות לפי סוכן - מקור'!H635)</f>
        <v/>
      </c>
      <c r="H776" s="148">
        <f>IF('לקוחות לפי סוכן - מקור'!I635="",'לקוחות לפי סוכן - מקור חדש'!G9,'לקוחות לפי סוכן - מקור'!I635)</f>
        <v/>
      </c>
      <c r="I776" s="139" t="inlineStr">
        <is>
          <t>שני המקורות</t>
        </is>
      </c>
      <c r="J776" s="139" t="inlineStr">
        <is>
          <t>קיים במקור (CHMI) + מכר 2025/כמויות הושלמו מהקובץ החדש</t>
        </is>
      </c>
    </row>
    <row r="777" ht="15" customHeight="1" s="82">
      <c r="A777" s="139">
        <f>'לקוחות לפי סוכן - מקור'!A636</f>
        <v/>
      </c>
      <c r="B777" s="139">
        <f>'לקוחות לפי סוכן - מקור'!C636</f>
        <v/>
      </c>
      <c r="C777" s="139">
        <f>'לקוחות לפי סוכן - מקור'!D636</f>
        <v/>
      </c>
      <c r="D777" s="139">
        <f>'לקוחות לפי סוכן - מקור'!E636</f>
        <v/>
      </c>
      <c r="E777" s="147">
        <f>'לקוחות לפי סוכן - מקור'!F636</f>
        <v/>
      </c>
      <c r="F777" s="147">
        <f>'לקוחות לפי סוכן - מקור'!G636</f>
        <v/>
      </c>
      <c r="G777" s="148">
        <f>'לקוחות לפי סוכן - מקור'!H636</f>
        <v/>
      </c>
      <c r="H777" s="148">
        <f>'לקוחות לפי סוכן - מקור'!I636</f>
        <v/>
      </c>
      <c r="I777" s="139">
        <f>'לקוחות לפי סוכן - מקור'!K636</f>
        <v/>
      </c>
      <c r="J777" s="139" t="inlineStr">
        <is>
          <t>קיים במקור</t>
        </is>
      </c>
    </row>
    <row r="778" ht="15" customHeight="1" s="82">
      <c r="A778" s="139">
        <f>'לקוחות לפי סוכן - מקור'!A637</f>
        <v/>
      </c>
      <c r="B778" s="139">
        <f>'לקוחות לפי סוכן - מקור'!C637</f>
        <v/>
      </c>
      <c r="C778" s="139">
        <f>'לקוחות לפי סוכן - מקור'!D637</f>
        <v/>
      </c>
      <c r="D778" s="139">
        <f>'לקוחות לפי סוכן - מקור'!E637</f>
        <v/>
      </c>
      <c r="E778" s="147">
        <f>IF('לקוחות לפי סוכן - מקור'!F637="",'לקוחות לפי סוכן - מקור חדש'!F10,'לקוחות לפי סוכן - מקור'!F637)</f>
        <v/>
      </c>
      <c r="F778" s="147">
        <f>IF('לקוחות לפי סוכן - מקור'!G637="",'לקוחות לפי סוכן - מקור חדש'!H10,'לקוחות לפי סוכן - מקור'!G637)</f>
        <v/>
      </c>
      <c r="G778" s="148">
        <f>IF('לקוחות לפי סוכן - מקור'!H637="",'לקוחות לפי סוכן - מקור חדש'!E10,'לקוחות לפי סוכן - מקור'!H637)</f>
        <v/>
      </c>
      <c r="H778" s="148">
        <f>IF('לקוחות לפי סוכן - מקור'!I637="",'לקוחות לפי סוכן - מקור חדש'!G10,'לקוחות לפי סוכן - מקור'!I637)</f>
        <v/>
      </c>
      <c r="I778" s="139" t="inlineStr">
        <is>
          <t>שני המקורות</t>
        </is>
      </c>
      <c r="J778" s="139" t="inlineStr">
        <is>
          <t>קיים במקור (CHMI) + מכר 2025/כמויות הושלמו מהקובץ החדש</t>
        </is>
      </c>
    </row>
    <row r="779" ht="15" customHeight="1" s="82">
      <c r="A779" s="139">
        <f>'לקוחות לפי סוכן - מקור'!A638</f>
        <v/>
      </c>
      <c r="B779" s="139">
        <f>'לקוחות לפי סוכן - מקור'!C638</f>
        <v/>
      </c>
      <c r="C779" s="139">
        <f>'לקוחות לפי סוכן - מקור'!D638</f>
        <v/>
      </c>
      <c r="D779" s="139">
        <f>'לקוחות לפי סוכן - מקור'!E638</f>
        <v/>
      </c>
      <c r="E779" s="147">
        <f>IF('לקוחות לפי סוכן - מקור'!F638="",'לקוחות לפי סוכן - מקור חדש'!F11,'לקוחות לפי סוכן - מקור'!F638)</f>
        <v/>
      </c>
      <c r="F779" s="147">
        <f>IF('לקוחות לפי סוכן - מקור'!G638="",'לקוחות לפי סוכן - מקור חדש'!H11,'לקוחות לפי סוכן - מקור'!G638)</f>
        <v/>
      </c>
      <c r="G779" s="148">
        <f>IF('לקוחות לפי סוכן - מקור'!H638="",'לקוחות לפי סוכן - מקור חדש'!E11,'לקוחות לפי סוכן - מקור'!H638)</f>
        <v/>
      </c>
      <c r="H779" s="148">
        <f>IF('לקוחות לפי סוכן - מקור'!I638="",'לקוחות לפי סוכן - מקור חדש'!G11,'לקוחות לפי סוכן - מקור'!I638)</f>
        <v/>
      </c>
      <c r="I779" s="139" t="inlineStr">
        <is>
          <t>שני המקורות</t>
        </is>
      </c>
      <c r="J779" s="139" t="inlineStr">
        <is>
          <t>קיים במקור (CHMI) + מכר 2025/כמויות הושלמו מהקובץ החדש</t>
        </is>
      </c>
    </row>
    <row r="780" ht="15" customHeight="1" s="82">
      <c r="A780" s="139">
        <f>'לקוחות לפי סוכן - מקור'!A639</f>
        <v/>
      </c>
      <c r="B780" s="139">
        <f>'לקוחות לפי סוכן - מקור'!C639</f>
        <v/>
      </c>
      <c r="C780" s="139">
        <f>'לקוחות לפי סוכן - מקור'!D639</f>
        <v/>
      </c>
      <c r="D780" s="139">
        <f>'לקוחות לפי סוכן - מקור'!E639</f>
        <v/>
      </c>
      <c r="E780" s="147">
        <f>IF('לקוחות לפי סוכן - מקור'!F639="",'לקוחות לפי סוכן - מקור חדש'!F12,'לקוחות לפי סוכן - מקור'!F639)</f>
        <v/>
      </c>
      <c r="F780" s="147">
        <f>IF('לקוחות לפי סוכן - מקור'!G639="",'לקוחות לפי סוכן - מקור חדש'!H12,'לקוחות לפי סוכן - מקור'!G639)</f>
        <v/>
      </c>
      <c r="G780" s="148">
        <f>IF('לקוחות לפי סוכן - מקור'!H639="",'לקוחות לפי סוכן - מקור חדש'!E12,'לקוחות לפי סוכן - מקור'!H639)</f>
        <v/>
      </c>
      <c r="H780" s="148">
        <f>IF('לקוחות לפי סוכן - מקור'!I639="",'לקוחות לפי סוכן - מקור חדש'!G12,'לקוחות לפי סוכן - מקור'!I639)</f>
        <v/>
      </c>
      <c r="I780" s="139" t="inlineStr">
        <is>
          <t>שני המקורות</t>
        </is>
      </c>
      <c r="J780" s="139" t="inlineStr">
        <is>
          <t>קיים במקור (CHMI) + מכר 2025/כמויות הושלמו מהקובץ החדש</t>
        </is>
      </c>
    </row>
    <row r="781" ht="15" customHeight="1" s="82">
      <c r="A781" s="139">
        <f>'לקוחות לפי סוכן - מקור'!A640</f>
        <v/>
      </c>
      <c r="B781" s="139">
        <f>'לקוחות לפי סוכן - מקור'!C640</f>
        <v/>
      </c>
      <c r="C781" s="139">
        <f>'לקוחות לפי סוכן - מקור'!D640</f>
        <v/>
      </c>
      <c r="D781" s="139">
        <f>'לקוחות לפי סוכן - מקור'!E640</f>
        <v/>
      </c>
      <c r="E781" s="147">
        <f>IF('לקוחות לפי סוכן - מקור'!F640="",'לקוחות לפי סוכן - מקור חדש'!F13,'לקוחות לפי סוכן - מקור'!F640)</f>
        <v/>
      </c>
      <c r="F781" s="147">
        <f>IF('לקוחות לפי סוכן - מקור'!G640="",'לקוחות לפי סוכן - מקור חדש'!H13,'לקוחות לפי סוכן - מקור'!G640)</f>
        <v/>
      </c>
      <c r="G781" s="148">
        <f>IF('לקוחות לפי סוכן - מקור'!H640="",'לקוחות לפי סוכן - מקור חדש'!E13,'לקוחות לפי סוכן - מקור'!H640)</f>
        <v/>
      </c>
      <c r="H781" s="148">
        <f>IF('לקוחות לפי סוכן - מקור'!I640="",'לקוחות לפי סוכן - מקור חדש'!G13,'לקוחות לפי סוכן - מקור'!I640)</f>
        <v/>
      </c>
      <c r="I781" s="139" t="inlineStr">
        <is>
          <t>שני המקורות</t>
        </is>
      </c>
      <c r="J781" s="139" t="inlineStr">
        <is>
          <t>קיים במקור (CHMI) + מכר 2025/כמויות הושלמו מהקובץ החדש</t>
        </is>
      </c>
    </row>
    <row r="782" ht="15" customHeight="1" s="82">
      <c r="A782" s="139">
        <f>'לקוחות לפי סוכן - מקור'!A641</f>
        <v/>
      </c>
      <c r="B782" s="139">
        <f>'לקוחות לפי סוכן - מקור'!C641</f>
        <v/>
      </c>
      <c r="C782" s="139">
        <f>'לקוחות לפי סוכן - מקור'!D641</f>
        <v/>
      </c>
      <c r="D782" s="139">
        <f>'לקוחות לפי סוכן - מקור'!E641</f>
        <v/>
      </c>
      <c r="E782" s="147">
        <f>IF('לקוחות לפי סוכן - מקור'!F641="",'לקוחות לפי סוכן - מקור חדש'!F14,'לקוחות לפי סוכן - מקור'!F641)</f>
        <v/>
      </c>
      <c r="F782" s="147">
        <f>IF('לקוחות לפי סוכן - מקור'!G641="",'לקוחות לפי סוכן - מקור חדש'!H14,'לקוחות לפי סוכן - מקור'!G641)</f>
        <v/>
      </c>
      <c r="G782" s="148">
        <f>IF('לקוחות לפי סוכן - מקור'!H641="",'לקוחות לפי סוכן - מקור חדש'!E14,'לקוחות לפי סוכן - מקור'!H641)</f>
        <v/>
      </c>
      <c r="H782" s="148">
        <f>IF('לקוחות לפי סוכן - מקור'!I641="",'לקוחות לפי סוכן - מקור חדש'!G14,'לקוחות לפי סוכן - מקור'!I641)</f>
        <v/>
      </c>
      <c r="I782" s="139" t="inlineStr">
        <is>
          <t>שני המקורות</t>
        </is>
      </c>
      <c r="J782" s="139" t="inlineStr">
        <is>
          <t>קיים במקור (CHMI) + מכר 2025/כמויות הושלמו מהקובץ החדש</t>
        </is>
      </c>
    </row>
    <row r="783" ht="15" customHeight="1" s="82">
      <c r="A783" s="139">
        <f>'לקוחות לפי סוכן - מקור'!A642</f>
        <v/>
      </c>
      <c r="B783" s="139">
        <f>'לקוחות לפי סוכן - מקור'!C642</f>
        <v/>
      </c>
      <c r="C783" s="139">
        <f>'לקוחות לפי סוכן - מקור'!D642</f>
        <v/>
      </c>
      <c r="D783" s="139">
        <f>'לקוחות לפי סוכן - מקור'!E642</f>
        <v/>
      </c>
      <c r="E783" s="147">
        <f>IF('לקוחות לפי סוכן - מקור'!F642="",'לקוחות לפי סוכן - מקור חדש'!F15,'לקוחות לפי סוכן - מקור'!F642)</f>
        <v/>
      </c>
      <c r="F783" s="147">
        <f>IF('לקוחות לפי סוכן - מקור'!G642="",'לקוחות לפי סוכן - מקור חדש'!H15,'לקוחות לפי סוכן - מקור'!G642)</f>
        <v/>
      </c>
      <c r="G783" s="148">
        <f>IF('לקוחות לפי סוכן - מקור'!H642="",'לקוחות לפי סוכן - מקור חדש'!E15,'לקוחות לפי סוכן - מקור'!H642)</f>
        <v/>
      </c>
      <c r="H783" s="148">
        <f>IF('לקוחות לפי סוכן - מקור'!I642="",'לקוחות לפי סוכן - מקור חדש'!G15,'לקוחות לפי סוכן - מקור'!I642)</f>
        <v/>
      </c>
      <c r="I783" s="139" t="inlineStr">
        <is>
          <t>שני המקורות</t>
        </is>
      </c>
      <c r="J783" s="139" t="inlineStr">
        <is>
          <t>קיים במקור (CHMI) + מכר 2025/כמויות הושלמו מהקובץ החדש</t>
        </is>
      </c>
    </row>
    <row r="784" ht="15" customHeight="1" s="82">
      <c r="A784" s="139">
        <f>'לקוחות לפי סוכן - מקור'!A643</f>
        <v/>
      </c>
      <c r="B784" s="139">
        <f>'לקוחות לפי סוכן - מקור'!C643</f>
        <v/>
      </c>
      <c r="C784" s="139">
        <f>'לקוחות לפי סוכן - מקור'!D643</f>
        <v/>
      </c>
      <c r="D784" s="139">
        <f>'לקוחות לפי סוכן - מקור'!E643</f>
        <v/>
      </c>
      <c r="E784" s="147">
        <f>'לקוחות לפי סוכן - מקור'!F643</f>
        <v/>
      </c>
      <c r="F784" s="147">
        <f>'לקוחות לפי סוכן - מקור'!G643</f>
        <v/>
      </c>
      <c r="G784" s="148">
        <f>'לקוחות לפי סוכן - מקור'!H643</f>
        <v/>
      </c>
      <c r="H784" s="148">
        <f>'לקוחות לפי סוכן - מקור'!I643</f>
        <v/>
      </c>
      <c r="I784" s="139">
        <f>'לקוחות לפי סוכן - מקור'!K643</f>
        <v/>
      </c>
      <c r="J784" s="139" t="inlineStr">
        <is>
          <t>קיים במקור</t>
        </is>
      </c>
    </row>
    <row r="785" ht="15" customHeight="1" s="82">
      <c r="A785" s="139">
        <f>'לקוחות לפי סוכן - מקור'!A644</f>
        <v/>
      </c>
      <c r="B785" s="139">
        <f>'לקוחות לפי סוכן - מקור'!C644</f>
        <v/>
      </c>
      <c r="C785" s="139">
        <f>'לקוחות לפי סוכן - מקור'!D644</f>
        <v/>
      </c>
      <c r="D785" s="139">
        <f>'לקוחות לפי סוכן - מקור'!E644</f>
        <v/>
      </c>
      <c r="E785" s="147">
        <f>IF('לקוחות לפי סוכן - מקור'!F644="",'לקוחות לפי סוכן - מקור חדש'!F186,'לקוחות לפי סוכן - מקור'!F644)</f>
        <v/>
      </c>
      <c r="F785" s="147">
        <f>IF('לקוחות לפי סוכן - מקור'!G644="",'לקוחות לפי סוכן - מקור חדש'!H186,'לקוחות לפי סוכן - מקור'!G644)</f>
        <v/>
      </c>
      <c r="G785" s="148">
        <f>IF('לקוחות לפי סוכן - מקור'!H644="",'לקוחות לפי סוכן - מקור חדש'!E186,'לקוחות לפי סוכן - מקור'!H644)</f>
        <v/>
      </c>
      <c r="H785" s="148">
        <f>IF('לקוחות לפי סוכן - מקור'!I644="",'לקוחות לפי סוכן - מקור חדש'!G186,'לקוחות לפי סוכן - מקור'!I644)</f>
        <v/>
      </c>
      <c r="I785" s="139" t="inlineStr">
        <is>
          <t>שני המקורות</t>
        </is>
      </c>
      <c r="J785" s="139" t="inlineStr">
        <is>
          <t>קיים במקור (CHMI) + מכר 2025/כמויות הושלמו מהקובץ החדש — פער ב-2026 מול הקובץ החדש, נבחר המקור</t>
        </is>
      </c>
    </row>
    <row r="786" ht="15" customHeight="1" s="82">
      <c r="A786" s="139">
        <f>'לקוחות לפי סוכן - מקור'!A645</f>
        <v/>
      </c>
      <c r="B786" s="139">
        <f>'לקוחות לפי סוכן - מקור'!C645</f>
        <v/>
      </c>
      <c r="C786" s="139">
        <f>'לקוחות לפי סוכן - מקור'!D645</f>
        <v/>
      </c>
      <c r="D786" s="139">
        <f>'לקוחות לפי סוכן - מקור'!E645</f>
        <v/>
      </c>
      <c r="E786" s="147">
        <f>IF('לקוחות לפי סוכן - מקור'!F645="",'לקוחות לפי סוכן - מקור חדש'!F188,'לקוחות לפי סוכן - מקור'!F645)</f>
        <v/>
      </c>
      <c r="F786" s="147">
        <f>IF('לקוחות לפי סוכן - מקור'!G645="",'לקוחות לפי סוכן - מקור חדש'!H188,'לקוחות לפי סוכן - מקור'!G645)</f>
        <v/>
      </c>
      <c r="G786" s="148">
        <f>IF('לקוחות לפי סוכן - מקור'!H645="",'לקוחות לפי סוכן - מקור חדש'!E188,'לקוחות לפי סוכן - מקור'!H645)</f>
        <v/>
      </c>
      <c r="H786" s="148">
        <f>IF('לקוחות לפי סוכן - מקור'!I645="",'לקוחות לפי סוכן - מקור חדש'!G188,'לקוחות לפי סוכן - מקור'!I645)</f>
        <v/>
      </c>
      <c r="I786" s="139" t="inlineStr">
        <is>
          <t>שני המקורות</t>
        </is>
      </c>
      <c r="J786" s="139" t="inlineStr">
        <is>
          <t>קיים במקור (CHMI) + מכר 2025/כמויות הושלמו מהקובץ החדש — פער ב-2026 מול הקובץ החדש, נבחר המקור</t>
        </is>
      </c>
    </row>
    <row r="787" ht="15" customHeight="1" s="82">
      <c r="A787" s="139">
        <f>'לקוחות לפי סוכן - מקור'!A646</f>
        <v/>
      </c>
      <c r="B787" s="139">
        <f>'לקוחות לפי סוכן - מקור'!C646</f>
        <v/>
      </c>
      <c r="C787" s="139">
        <f>'לקוחות לפי סוכן - מקור'!D646</f>
        <v/>
      </c>
      <c r="D787" s="139">
        <f>'לקוחות לפי סוכן - מקור'!E646</f>
        <v/>
      </c>
      <c r="E787" s="147">
        <f>IF('לקוחות לפי סוכן - מקור'!F646="",'לקוחות לפי סוכן - מקור חדש'!F189,'לקוחות לפי סוכן - מקור'!F646)</f>
        <v/>
      </c>
      <c r="F787" s="147">
        <f>IF('לקוחות לפי סוכן - מקור'!G646="",'לקוחות לפי סוכן - מקור חדש'!H189,'לקוחות לפי סוכן - מקור'!G646)</f>
        <v/>
      </c>
      <c r="G787" s="148">
        <f>IF('לקוחות לפי סוכן - מקור'!H646="",'לקוחות לפי סוכן - מקור חדש'!E189,'לקוחות לפי סוכן - מקור'!H646)</f>
        <v/>
      </c>
      <c r="H787" s="148">
        <f>IF('לקוחות לפי סוכן - מקור'!I646="",'לקוחות לפי סוכן - מקור חדש'!G189,'לקוחות לפי סוכן - מקור'!I646)</f>
        <v/>
      </c>
      <c r="I787" s="139" t="inlineStr">
        <is>
          <t>שני המקורות</t>
        </is>
      </c>
      <c r="J787" s="139" t="inlineStr">
        <is>
          <t>קיים במקור (CHMI) + מכר 2025/כמויות הושלמו מהקובץ החדש</t>
        </is>
      </c>
    </row>
    <row r="788" ht="15" customHeight="1" s="82">
      <c r="A788" s="139">
        <f>'לקוחות לפי סוכן - מקור'!A647</f>
        <v/>
      </c>
      <c r="B788" s="139">
        <f>'לקוחות לפי סוכן - מקור'!C647</f>
        <v/>
      </c>
      <c r="C788" s="139">
        <f>'לקוחות לפי סוכן - מקור'!D647</f>
        <v/>
      </c>
      <c r="D788" s="139">
        <f>'לקוחות לפי סוכן - מקור'!E647</f>
        <v/>
      </c>
      <c r="E788" s="147">
        <f>IF('לקוחות לפי סוכן - מקור'!F647="",'לקוחות לפי סוכן - מקור חדש'!F191,'לקוחות לפי סוכן - מקור'!F647)</f>
        <v/>
      </c>
      <c r="F788" s="147">
        <f>IF('לקוחות לפי סוכן - מקור'!G647="",'לקוחות לפי סוכן - מקור חדש'!H191,'לקוחות לפי סוכן - מקור'!G647)</f>
        <v/>
      </c>
      <c r="G788" s="148">
        <f>IF('לקוחות לפי סוכן - מקור'!H647="",'לקוחות לפי סוכן - מקור חדש'!E191,'לקוחות לפי סוכן - מקור'!H647)</f>
        <v/>
      </c>
      <c r="H788" s="148">
        <f>IF('לקוחות לפי סוכן - מקור'!I647="",'לקוחות לפי סוכן - מקור חדש'!G191,'לקוחות לפי סוכן - מקור'!I647)</f>
        <v/>
      </c>
      <c r="I788" s="139" t="inlineStr">
        <is>
          <t>שני המקורות</t>
        </is>
      </c>
      <c r="J788" s="139" t="inlineStr">
        <is>
          <t>קיים במקור (CHMI) + מכר 2025/כמויות הושלמו מהקובץ החדש</t>
        </is>
      </c>
    </row>
    <row r="789" ht="15" customHeight="1" s="82">
      <c r="A789" s="139">
        <f>'לקוחות לפי סוכן - מקור'!A648</f>
        <v/>
      </c>
      <c r="B789" s="139">
        <f>'לקוחות לפי סוכן - מקור'!C648</f>
        <v/>
      </c>
      <c r="C789" s="139">
        <f>'לקוחות לפי סוכן - מקור'!D648</f>
        <v/>
      </c>
      <c r="D789" s="139">
        <f>'לקוחות לפי סוכן - מקור'!E648</f>
        <v/>
      </c>
      <c r="E789" s="147">
        <f>IF('לקוחות לפי סוכן - מקור'!F648="",'לקוחות לפי סוכן - מקור חדש'!F192,'לקוחות לפי סוכן - מקור'!F648)</f>
        <v/>
      </c>
      <c r="F789" s="147">
        <f>IF('לקוחות לפי סוכן - מקור'!G648="",'לקוחות לפי סוכן - מקור חדש'!H192,'לקוחות לפי סוכן - מקור'!G648)</f>
        <v/>
      </c>
      <c r="G789" s="148">
        <f>IF('לקוחות לפי סוכן - מקור'!H648="",'לקוחות לפי סוכן - מקור חדש'!E192,'לקוחות לפי סוכן - מקור'!H648)</f>
        <v/>
      </c>
      <c r="H789" s="148">
        <f>IF('לקוחות לפי סוכן - מקור'!I648="",'לקוחות לפי סוכן - מקור חדש'!G192,'לקוחות לפי סוכן - מקור'!I648)</f>
        <v/>
      </c>
      <c r="I789" s="139" t="inlineStr">
        <is>
          <t>שני המקורות</t>
        </is>
      </c>
      <c r="J789" s="139" t="inlineStr">
        <is>
          <t>קיים במקור (CHMI) + מכר 2025/כמויות הושלמו מהקובץ החדש</t>
        </is>
      </c>
    </row>
    <row r="790" ht="15" customHeight="1" s="82">
      <c r="A790" s="139">
        <f>'לקוחות לפי סוכן - מקור'!A649</f>
        <v/>
      </c>
      <c r="B790" s="139">
        <f>'לקוחות לפי סוכן - מקור'!C649</f>
        <v/>
      </c>
      <c r="C790" s="139">
        <f>'לקוחות לפי סוכן - מקור'!D649</f>
        <v/>
      </c>
      <c r="D790" s="139">
        <f>'לקוחות לפי סוכן - מקור'!E649</f>
        <v/>
      </c>
      <c r="E790" s="147">
        <f>IF('לקוחות לפי סוכן - מקור'!F649="",'לקוחות לפי סוכן - מקור חדש'!F193,'לקוחות לפי סוכן - מקור'!F649)</f>
        <v/>
      </c>
      <c r="F790" s="147">
        <f>IF('לקוחות לפי סוכן - מקור'!G649="",'לקוחות לפי סוכן - מקור חדש'!H193,'לקוחות לפי סוכן - מקור'!G649)</f>
        <v/>
      </c>
      <c r="G790" s="148">
        <f>IF('לקוחות לפי סוכן - מקור'!H649="",'לקוחות לפי סוכן - מקור חדש'!E193,'לקוחות לפי סוכן - מקור'!H649)</f>
        <v/>
      </c>
      <c r="H790" s="148">
        <f>IF('לקוחות לפי סוכן - מקור'!I649="",'לקוחות לפי סוכן - מקור חדש'!G193,'לקוחות לפי סוכן - מקור'!I649)</f>
        <v/>
      </c>
      <c r="I790" s="139" t="inlineStr">
        <is>
          <t>שני המקורות</t>
        </is>
      </c>
      <c r="J790" s="139" t="inlineStr">
        <is>
          <t>קיים במקור (CHMI) + מכר 2025/כמויות הושלמו מהקובץ החדש — פער ב-2026 מול הקובץ החדש, נבחר המקור</t>
        </is>
      </c>
    </row>
    <row r="791" ht="15" customHeight="1" s="82">
      <c r="A791" s="139">
        <f>'לקוחות לפי סוכן - מקור'!A650</f>
        <v/>
      </c>
      <c r="B791" s="139">
        <f>'לקוחות לפי סוכן - מקור'!C650</f>
        <v/>
      </c>
      <c r="C791" s="139">
        <f>'לקוחות לפי סוכן - מקור'!D650</f>
        <v/>
      </c>
      <c r="D791" s="139">
        <f>'לקוחות לפי סוכן - מקור'!E650</f>
        <v/>
      </c>
      <c r="E791" s="147">
        <f>IF('לקוחות לפי סוכן - מקור'!F650="",'לקוחות לפי סוכן - מקור חדש'!F194,'לקוחות לפי סוכן - מקור'!F650)</f>
        <v/>
      </c>
      <c r="F791" s="147">
        <f>IF('לקוחות לפי סוכן - מקור'!G650="",'לקוחות לפי סוכן - מקור חדש'!H194,'לקוחות לפי סוכן - מקור'!G650)</f>
        <v/>
      </c>
      <c r="G791" s="148">
        <f>IF('לקוחות לפי סוכן - מקור'!H650="",'לקוחות לפי סוכן - מקור חדש'!E194,'לקוחות לפי סוכן - מקור'!H650)</f>
        <v/>
      </c>
      <c r="H791" s="148">
        <f>IF('לקוחות לפי סוכן - מקור'!I650="",'לקוחות לפי סוכן - מקור חדש'!G194,'לקוחות לפי סוכן - מקור'!I650)</f>
        <v/>
      </c>
      <c r="I791" s="139" t="inlineStr">
        <is>
          <t>שני המקורות</t>
        </is>
      </c>
      <c r="J791" s="139" t="inlineStr">
        <is>
          <t>קיים במקור (CHMI) + מכר 2025/כמויות הושלמו מהקובץ החדש</t>
        </is>
      </c>
    </row>
    <row r="792" ht="15" customHeight="1" s="82">
      <c r="A792" s="139">
        <f>'לקוחות לפי סוכן - מקור'!A651</f>
        <v/>
      </c>
      <c r="B792" s="139">
        <f>'לקוחות לפי סוכן - מקור'!C651</f>
        <v/>
      </c>
      <c r="C792" s="139">
        <f>'לקוחות לפי סוכן - מקור'!D651</f>
        <v/>
      </c>
      <c r="D792" s="139">
        <f>'לקוחות לפי סוכן - מקור'!E651</f>
        <v/>
      </c>
      <c r="E792" s="147">
        <f>IF('לקוחות לפי סוכן - מקור'!F651="",'לקוחות לפי סוכן - מקור חדש'!F195,'לקוחות לפי סוכן - מקור'!F651)</f>
        <v/>
      </c>
      <c r="F792" s="147">
        <f>IF('לקוחות לפי סוכן - מקור'!G651="",'לקוחות לפי סוכן - מקור חדש'!H195,'לקוחות לפי סוכן - מקור'!G651)</f>
        <v/>
      </c>
      <c r="G792" s="148">
        <f>IF('לקוחות לפי סוכן - מקור'!H651="",'לקוחות לפי סוכן - מקור חדש'!E195,'לקוחות לפי סוכן - מקור'!H651)</f>
        <v/>
      </c>
      <c r="H792" s="148">
        <f>IF('לקוחות לפי סוכן - מקור'!I651="",'לקוחות לפי סוכן - מקור חדש'!G195,'לקוחות לפי סוכן - מקור'!I651)</f>
        <v/>
      </c>
      <c r="I792" s="139" t="inlineStr">
        <is>
          <t>שני המקורות</t>
        </is>
      </c>
      <c r="J792" s="139" t="inlineStr">
        <is>
          <t>קיים במקור (CHMI) + מכר 2025/כמויות הושלמו מהקובץ החדש — פער ב-2026 מול הקובץ החדש, נבחר המקור</t>
        </is>
      </c>
    </row>
    <row r="793" ht="15" customHeight="1" s="82">
      <c r="A793" s="139">
        <f>'לקוחות לפי סוכן - מקור'!A652</f>
        <v/>
      </c>
      <c r="B793" s="139">
        <f>'לקוחות לפי סוכן - מקור'!C652</f>
        <v/>
      </c>
      <c r="C793" s="139">
        <f>'לקוחות לפי סוכן - מקור'!D652</f>
        <v/>
      </c>
      <c r="D793" s="139">
        <f>'לקוחות לפי סוכן - מקור'!E652</f>
        <v/>
      </c>
      <c r="E793" s="147">
        <f>IF('לקוחות לפי סוכן - מקור'!F652="",'לקוחות לפי סוכן - מקור חדש'!F196,'לקוחות לפי סוכן - מקור'!F652)</f>
        <v/>
      </c>
      <c r="F793" s="147">
        <f>IF('לקוחות לפי סוכן - מקור'!G652="",'לקוחות לפי סוכן - מקור חדש'!H196,'לקוחות לפי סוכן - מקור'!G652)</f>
        <v/>
      </c>
      <c r="G793" s="148">
        <f>IF('לקוחות לפי סוכן - מקור'!H652="",'לקוחות לפי סוכן - מקור חדש'!E196,'לקוחות לפי סוכן - מקור'!H652)</f>
        <v/>
      </c>
      <c r="H793" s="148">
        <f>IF('לקוחות לפי סוכן - מקור'!I652="",'לקוחות לפי סוכן - מקור חדש'!G196,'לקוחות לפי סוכן - מקור'!I652)</f>
        <v/>
      </c>
      <c r="I793" s="139" t="inlineStr">
        <is>
          <t>שני המקורות</t>
        </is>
      </c>
      <c r="J793" s="139" t="inlineStr">
        <is>
          <t>קיים במקור (CHMI) + מכר 2025/כמויות הושלמו מהקובץ החדש</t>
        </is>
      </c>
    </row>
    <row r="794" ht="15" customHeight="1" s="82">
      <c r="A794" s="139">
        <f>'לקוחות לפי סוכן - מקור'!A653</f>
        <v/>
      </c>
      <c r="B794" s="139">
        <f>'לקוחות לפי סוכן - מקור'!C653</f>
        <v/>
      </c>
      <c r="C794" s="139">
        <f>'לקוחות לפי סוכן - מקור'!D653</f>
        <v/>
      </c>
      <c r="D794" s="139">
        <f>'לקוחות לפי סוכן - מקור'!E653</f>
        <v/>
      </c>
      <c r="E794" s="147">
        <f>IF('לקוחות לפי סוכן - מקור'!F653="",'לקוחות לפי סוכן - מקור חדש'!F197,'לקוחות לפי סוכן - מקור'!F653)</f>
        <v/>
      </c>
      <c r="F794" s="147">
        <f>IF('לקוחות לפי סוכן - מקור'!G653="",'לקוחות לפי סוכן - מקור חדש'!H197,'לקוחות לפי סוכן - מקור'!G653)</f>
        <v/>
      </c>
      <c r="G794" s="148">
        <f>IF('לקוחות לפי סוכן - מקור'!H653="",'לקוחות לפי סוכן - מקור חדש'!E197,'לקוחות לפי סוכן - מקור'!H653)</f>
        <v/>
      </c>
      <c r="H794" s="148">
        <f>IF('לקוחות לפי סוכן - מקור'!I653="",'לקוחות לפי סוכן - מקור חדש'!G197,'לקוחות לפי סוכן - מקור'!I653)</f>
        <v/>
      </c>
      <c r="I794" s="139" t="inlineStr">
        <is>
          <t>שני המקורות</t>
        </is>
      </c>
      <c r="J794" s="139" t="inlineStr">
        <is>
          <t>קיים במקור (CHMI) + מכר 2025/כמויות הושלמו מהקובץ החדש</t>
        </is>
      </c>
    </row>
    <row r="795" ht="15" customHeight="1" s="82">
      <c r="A795" s="139">
        <f>'לקוחות לפי סוכן - מקור'!A654</f>
        <v/>
      </c>
      <c r="B795" s="139">
        <f>'לקוחות לפי סוכן - מקור'!C654</f>
        <v/>
      </c>
      <c r="C795" s="139">
        <f>'לקוחות לפי סוכן - מקור'!D654</f>
        <v/>
      </c>
      <c r="D795" s="139">
        <f>'לקוחות לפי סוכן - מקור'!E654</f>
        <v/>
      </c>
      <c r="E795" s="147">
        <f>IF('לקוחות לפי סוכן - מקור'!F654="",'לקוחות לפי סוכן - מקור חדש'!F198,'לקוחות לפי סוכן - מקור'!F654)</f>
        <v/>
      </c>
      <c r="F795" s="147">
        <f>IF('לקוחות לפי סוכן - מקור'!G654="",'לקוחות לפי סוכן - מקור חדש'!H198,'לקוחות לפי סוכן - מקור'!G654)</f>
        <v/>
      </c>
      <c r="G795" s="148">
        <f>IF('לקוחות לפי סוכן - מקור'!H654="",'לקוחות לפי סוכן - מקור חדש'!E198,'לקוחות לפי סוכן - מקור'!H654)</f>
        <v/>
      </c>
      <c r="H795" s="148">
        <f>IF('לקוחות לפי סוכן - מקור'!I654="",'לקוחות לפי סוכן - מקור חדש'!G198,'לקוחות לפי סוכן - מקור'!I654)</f>
        <v/>
      </c>
      <c r="I795" s="139" t="inlineStr">
        <is>
          <t>שני המקורות</t>
        </is>
      </c>
      <c r="J795" s="139" t="inlineStr">
        <is>
          <t>קיים במקור (CHMI) + מכר 2025/כמויות הושלמו מהקובץ החדש</t>
        </is>
      </c>
    </row>
    <row r="796" ht="15" customHeight="1" s="82">
      <c r="A796" s="139">
        <f>'לקוחות לפי סוכן - מקור'!A655</f>
        <v/>
      </c>
      <c r="B796" s="139">
        <f>'לקוחות לפי סוכן - מקור'!C655</f>
        <v/>
      </c>
      <c r="C796" s="139">
        <f>'לקוחות לפי סוכן - מקור'!D655</f>
        <v/>
      </c>
      <c r="D796" s="139">
        <f>'לקוחות לפי סוכן - מקור'!E655</f>
        <v/>
      </c>
      <c r="E796" s="147">
        <f>IF('לקוחות לפי סוכן - מקור'!F655="",'לקוחות לפי סוכן - מקור חדש'!F199,'לקוחות לפי סוכן - מקור'!F655)</f>
        <v/>
      </c>
      <c r="F796" s="147">
        <f>IF('לקוחות לפי סוכן - מקור'!G655="",'לקוחות לפי סוכן - מקור חדש'!H199,'לקוחות לפי סוכן - מקור'!G655)</f>
        <v/>
      </c>
      <c r="G796" s="148">
        <f>IF('לקוחות לפי סוכן - מקור'!H655="",'לקוחות לפי סוכן - מקור חדש'!E199,'לקוחות לפי סוכן - מקור'!H655)</f>
        <v/>
      </c>
      <c r="H796" s="148">
        <f>IF('לקוחות לפי סוכן - מקור'!I655="",'לקוחות לפי סוכן - מקור חדש'!G199,'לקוחות לפי סוכן - מקור'!I655)</f>
        <v/>
      </c>
      <c r="I796" s="139" t="inlineStr">
        <is>
          <t>שני המקורות</t>
        </is>
      </c>
      <c r="J796" s="139" t="inlineStr">
        <is>
          <t>קיים במקור (CHMI) + מכר 2025/כמויות הושלמו מהקובץ החדש</t>
        </is>
      </c>
    </row>
    <row r="797" ht="15" customHeight="1" s="82">
      <c r="A797" s="139">
        <f>'לקוחות לפי סוכן - מקור'!A656</f>
        <v/>
      </c>
      <c r="B797" s="139">
        <f>'לקוחות לפי סוכן - מקור'!C656</f>
        <v/>
      </c>
      <c r="C797" s="139">
        <f>'לקוחות לפי סוכן - מקור'!D656</f>
        <v/>
      </c>
      <c r="D797" s="139">
        <f>'לקוחות לפי סוכן - מקור'!E656</f>
        <v/>
      </c>
      <c r="E797" s="147">
        <f>IF('לקוחות לפי סוכן - מקור'!F656="",'לקוחות לפי סוכן - מקור חדש'!F200,'לקוחות לפי סוכן - מקור'!F656)</f>
        <v/>
      </c>
      <c r="F797" s="147">
        <f>IF('לקוחות לפי סוכן - מקור'!G656="",'לקוחות לפי סוכן - מקור חדש'!H200,'לקוחות לפי סוכן - מקור'!G656)</f>
        <v/>
      </c>
      <c r="G797" s="148">
        <f>IF('לקוחות לפי סוכן - מקור'!H656="",'לקוחות לפי סוכן - מקור חדש'!E200,'לקוחות לפי סוכן - מקור'!H656)</f>
        <v/>
      </c>
      <c r="H797" s="148">
        <f>IF('לקוחות לפי סוכן - מקור'!I656="",'לקוחות לפי סוכן - מקור חדש'!G200,'לקוחות לפי סוכן - מקור'!I656)</f>
        <v/>
      </c>
      <c r="I797" s="139" t="inlineStr">
        <is>
          <t>שני המקורות</t>
        </is>
      </c>
      <c r="J797" s="139" t="inlineStr">
        <is>
          <t>קיים במקור (CHMI) + מכר 2025/כמויות הושלמו מהקובץ החדש</t>
        </is>
      </c>
    </row>
    <row r="798" ht="15" customHeight="1" s="82">
      <c r="A798" s="139">
        <f>'לקוחות לפי סוכן - מקור'!A657</f>
        <v/>
      </c>
      <c r="B798" s="139">
        <f>'לקוחות לפי סוכן - מקור'!C657</f>
        <v/>
      </c>
      <c r="C798" s="139">
        <f>'לקוחות לפי סוכן - מקור'!D657</f>
        <v/>
      </c>
      <c r="D798" s="139">
        <f>'לקוחות לפי סוכן - מקור'!E657</f>
        <v/>
      </c>
      <c r="E798" s="147">
        <f>IF('לקוחות לפי סוכן - מקור'!F657="",'לקוחות לפי סוכן - מקור חדש'!F203,'לקוחות לפי סוכן - מקור'!F657)</f>
        <v/>
      </c>
      <c r="F798" s="147">
        <f>IF('לקוחות לפי סוכן - מקור'!G657="",'לקוחות לפי סוכן - מקור חדש'!H203,'לקוחות לפי סוכן - מקור'!G657)</f>
        <v/>
      </c>
      <c r="G798" s="148">
        <f>IF('לקוחות לפי סוכן - מקור'!H657="",'לקוחות לפי סוכן - מקור חדש'!E203,'לקוחות לפי סוכן - מקור'!H657)</f>
        <v/>
      </c>
      <c r="H798" s="148">
        <f>IF('לקוחות לפי סוכן - מקור'!I657="",'לקוחות לפי סוכן - מקור חדש'!G203,'לקוחות לפי סוכן - מקור'!I657)</f>
        <v/>
      </c>
      <c r="I798" s="139" t="inlineStr">
        <is>
          <t>שני המקורות</t>
        </is>
      </c>
      <c r="J798" s="139" t="inlineStr">
        <is>
          <t>קיים במקור (CHMI) + מכר 2025/כמויות הושלמו מהקובץ החדש</t>
        </is>
      </c>
    </row>
    <row r="799" ht="15" customHeight="1" s="82">
      <c r="A799" s="139">
        <f>'לקוחות לפי סוכן - מקור'!A658</f>
        <v/>
      </c>
      <c r="B799" s="139">
        <f>'לקוחות לפי סוכן - מקור'!C658</f>
        <v/>
      </c>
      <c r="C799" s="139">
        <f>'לקוחות לפי סוכן - מקור'!D658</f>
        <v/>
      </c>
      <c r="D799" s="139">
        <f>'לקוחות לפי סוכן - מקור'!E658</f>
        <v/>
      </c>
      <c r="E799" s="147">
        <f>IF('לקוחות לפי סוכן - מקור'!F658="",'לקוחות לפי סוכן - מקור חדש'!F204,'לקוחות לפי סוכן - מקור'!F658)</f>
        <v/>
      </c>
      <c r="F799" s="147">
        <f>IF('לקוחות לפי סוכן - מקור'!G658="",'לקוחות לפי סוכן - מקור חדש'!H204,'לקוחות לפי סוכן - מקור'!G658)</f>
        <v/>
      </c>
      <c r="G799" s="148">
        <f>IF('לקוחות לפי סוכן - מקור'!H658="",'לקוחות לפי סוכן - מקור חדש'!E204,'לקוחות לפי סוכן - מקור'!H658)</f>
        <v/>
      </c>
      <c r="H799" s="148">
        <f>IF('לקוחות לפי סוכן - מקור'!I658="",'לקוחות לפי סוכן - מקור חדש'!G204,'לקוחות לפי סוכן - מקור'!I658)</f>
        <v/>
      </c>
      <c r="I799" s="139" t="inlineStr">
        <is>
          <t>שני המקורות</t>
        </is>
      </c>
      <c r="J799" s="139" t="inlineStr">
        <is>
          <t>קיים במקור (CHMI) + מכר 2025/כמויות הושלמו מהקובץ החדש — פער ב-2026 מול הקובץ החדש, נבחר המקור</t>
        </is>
      </c>
    </row>
    <row r="800" ht="15" customHeight="1" s="82">
      <c r="A800" s="139">
        <f>'לקוחות לפי סוכן - מקור'!A659</f>
        <v/>
      </c>
      <c r="B800" s="139">
        <f>'לקוחות לפי סוכן - מקור'!C659</f>
        <v/>
      </c>
      <c r="C800" s="139">
        <f>'לקוחות לפי סוכן - מקור'!D659</f>
        <v/>
      </c>
      <c r="D800" s="139">
        <f>'לקוחות לפי סוכן - מקור'!E659</f>
        <v/>
      </c>
      <c r="E800" s="147">
        <f>IF('לקוחות לפי סוכן - מקור'!F659="",'לקוחות לפי סוכן - מקור חדש'!F205,'לקוחות לפי סוכן - מקור'!F659)</f>
        <v/>
      </c>
      <c r="F800" s="147">
        <f>IF('לקוחות לפי סוכן - מקור'!G659="",'לקוחות לפי סוכן - מקור חדש'!H205,'לקוחות לפי סוכן - מקור'!G659)</f>
        <v/>
      </c>
      <c r="G800" s="148">
        <f>IF('לקוחות לפי סוכן - מקור'!H659="",'לקוחות לפי סוכן - מקור חדש'!E205,'לקוחות לפי סוכן - מקור'!H659)</f>
        <v/>
      </c>
      <c r="H800" s="148">
        <f>IF('לקוחות לפי סוכן - מקור'!I659="",'לקוחות לפי סוכן - מקור חדש'!G205,'לקוחות לפי סוכן - מקור'!I659)</f>
        <v/>
      </c>
      <c r="I800" s="139" t="inlineStr">
        <is>
          <t>שני המקורות</t>
        </is>
      </c>
      <c r="J800" s="139" t="inlineStr">
        <is>
          <t>קיים במקור (CHMI) + מכר 2025/כמויות הושלמו מהקובץ החדש</t>
        </is>
      </c>
    </row>
    <row r="801" ht="15" customHeight="1" s="82">
      <c r="A801" s="139">
        <f>'לקוחות לפי סוכן - מקור'!A660</f>
        <v/>
      </c>
      <c r="B801" s="139">
        <f>'לקוחות לפי סוכן - מקור'!C660</f>
        <v/>
      </c>
      <c r="C801" s="139">
        <f>'לקוחות לפי סוכן - מקור'!D660</f>
        <v/>
      </c>
      <c r="D801" s="139">
        <f>'לקוחות לפי סוכן - מקור'!E660</f>
        <v/>
      </c>
      <c r="E801" s="147">
        <f>IF('לקוחות לפי סוכן - מקור'!F660="",'לקוחות לפי סוכן - מקור חדש'!F206,'לקוחות לפי סוכן - מקור'!F660)</f>
        <v/>
      </c>
      <c r="F801" s="147">
        <f>IF('לקוחות לפי סוכן - מקור'!G660="",'לקוחות לפי סוכן - מקור חדש'!H206,'לקוחות לפי סוכן - מקור'!G660)</f>
        <v/>
      </c>
      <c r="G801" s="148">
        <f>IF('לקוחות לפי סוכן - מקור'!H660="",'לקוחות לפי סוכן - מקור חדש'!E206,'לקוחות לפי סוכן - מקור'!H660)</f>
        <v/>
      </c>
      <c r="H801" s="148">
        <f>IF('לקוחות לפי סוכן - מקור'!I660="",'לקוחות לפי סוכן - מקור חדש'!G206,'לקוחות לפי סוכן - מקור'!I660)</f>
        <v/>
      </c>
      <c r="I801" s="139" t="inlineStr">
        <is>
          <t>שני המקורות</t>
        </is>
      </c>
      <c r="J801" s="139" t="inlineStr">
        <is>
          <t>קיים במקור (CHMI) + מכר 2025/כמויות הושלמו מהקובץ החדש — פער ב-2026 מול הקובץ החדש, נבחר המקור</t>
        </is>
      </c>
    </row>
    <row r="802" ht="15" customHeight="1" s="82">
      <c r="A802" s="139">
        <f>'לקוחות לפי סוכן - מקור'!A661</f>
        <v/>
      </c>
      <c r="B802" s="139">
        <f>'לקוחות לפי סוכן - מקור'!C661</f>
        <v/>
      </c>
      <c r="C802" s="139">
        <f>'לקוחות לפי סוכן - מקור'!D661</f>
        <v/>
      </c>
      <c r="D802" s="139">
        <f>'לקוחות לפי סוכן - מקור'!E661</f>
        <v/>
      </c>
      <c r="E802" s="147">
        <f>'לקוחות לפי סוכן - מקור'!F661</f>
        <v/>
      </c>
      <c r="F802" s="147">
        <f>'לקוחות לפי סוכן - מקור'!G661</f>
        <v/>
      </c>
      <c r="G802" s="148">
        <f>'לקוחות לפי סוכן - מקור'!H661</f>
        <v/>
      </c>
      <c r="H802" s="148">
        <f>'לקוחות לפי סוכן - מקור'!I661</f>
        <v/>
      </c>
      <c r="I802" s="139">
        <f>'לקוחות לפי סוכן - מקור'!K661</f>
        <v/>
      </c>
      <c r="J802" s="139" t="inlineStr">
        <is>
          <t>קיים במקור</t>
        </is>
      </c>
    </row>
    <row r="803" ht="15" customHeight="1" s="82">
      <c r="A803" s="139">
        <f>'לקוחות לפי סוכן - מקור'!A662</f>
        <v/>
      </c>
      <c r="B803" s="139">
        <f>'לקוחות לפי סוכן - מקור'!C662</f>
        <v/>
      </c>
      <c r="C803" s="139">
        <f>'לקוחות לפי סוכן - מקור'!D662</f>
        <v/>
      </c>
      <c r="D803" s="139">
        <f>'לקוחות לפי סוכן - מקור'!E662</f>
        <v/>
      </c>
      <c r="E803" s="147">
        <f>IF('לקוחות לפי סוכן - מקור'!F662="",'לקוחות לפי סוכן - מקור חדש'!F208,'לקוחות לפי סוכן - מקור'!F662)</f>
        <v/>
      </c>
      <c r="F803" s="147">
        <f>IF('לקוחות לפי סוכן - מקור'!G662="",'לקוחות לפי סוכן - מקור חדש'!H208,'לקוחות לפי סוכן - מקור'!G662)</f>
        <v/>
      </c>
      <c r="G803" s="148">
        <f>IF('לקוחות לפי סוכן - מקור'!H662="",'לקוחות לפי סוכן - מקור חדש'!E208,'לקוחות לפי סוכן - מקור'!H662)</f>
        <v/>
      </c>
      <c r="H803" s="148">
        <f>IF('לקוחות לפי סוכן - מקור'!I662="",'לקוחות לפי סוכן - מקור חדש'!G208,'לקוחות לפי סוכן - מקור'!I662)</f>
        <v/>
      </c>
      <c r="I803" s="139" t="inlineStr">
        <is>
          <t>שני המקורות</t>
        </is>
      </c>
      <c r="J803" s="139" t="inlineStr">
        <is>
          <t>קיים במקור (CHMI) + מכר 2025/כמויות הושלמו מהקובץ החדש</t>
        </is>
      </c>
    </row>
    <row r="804" ht="15" customHeight="1" s="82">
      <c r="A804" s="139">
        <f>'לקוחות לפי סוכן - מקור'!A663</f>
        <v/>
      </c>
      <c r="B804" s="139">
        <f>'לקוחות לפי סוכן - מקור'!C663</f>
        <v/>
      </c>
      <c r="C804" s="139">
        <f>'לקוחות לפי סוכן - מקור'!D663</f>
        <v/>
      </c>
      <c r="D804" s="139">
        <f>'לקוחות לפי סוכן - מקור'!E663</f>
        <v/>
      </c>
      <c r="E804" s="147">
        <f>IF('לקוחות לפי סוכן - מקור'!F663="",'לקוחות לפי סוכן - מקור חדש'!F209,'לקוחות לפי סוכן - מקור'!F663)</f>
        <v/>
      </c>
      <c r="F804" s="147">
        <f>IF('לקוחות לפי סוכן - מקור'!G663="",'לקוחות לפי סוכן - מקור חדש'!H209,'לקוחות לפי סוכן - מקור'!G663)</f>
        <v/>
      </c>
      <c r="G804" s="148">
        <f>IF('לקוחות לפי סוכן - מקור'!H663="",'לקוחות לפי סוכן - מקור חדש'!E209,'לקוחות לפי סוכן - מקור'!H663)</f>
        <v/>
      </c>
      <c r="H804" s="148">
        <f>IF('לקוחות לפי סוכן - מקור'!I663="",'לקוחות לפי סוכן - מקור חדש'!G209,'לקוחות לפי סוכן - מקור'!I663)</f>
        <v/>
      </c>
      <c r="I804" s="139" t="inlineStr">
        <is>
          <t>שני המקורות</t>
        </is>
      </c>
      <c r="J804" s="139" t="inlineStr">
        <is>
          <t>קיים במקור (CHMI) + מכר 2025/כמויות הושלמו מהקובץ החדש</t>
        </is>
      </c>
    </row>
    <row r="805" ht="15" customHeight="1" s="82">
      <c r="A805" s="139">
        <f>'לקוחות לפי סוכן - מקור'!A664</f>
        <v/>
      </c>
      <c r="B805" s="139">
        <f>'לקוחות לפי סוכן - מקור'!C664</f>
        <v/>
      </c>
      <c r="C805" s="139">
        <f>'לקוחות לפי סוכן - מקור'!D664</f>
        <v/>
      </c>
      <c r="D805" s="139">
        <f>'לקוחות לפי סוכן - מקור'!E664</f>
        <v/>
      </c>
      <c r="E805" s="147">
        <f>IF('לקוחות לפי סוכן - מקור'!F664="",'לקוחות לפי סוכן - מקור חדש'!F210,'לקוחות לפי סוכן - מקור'!F664)</f>
        <v/>
      </c>
      <c r="F805" s="147">
        <f>IF('לקוחות לפי סוכן - מקור'!G664="",'לקוחות לפי סוכן - מקור חדש'!H210,'לקוחות לפי סוכן - מקור'!G664)</f>
        <v/>
      </c>
      <c r="G805" s="148">
        <f>IF('לקוחות לפי סוכן - מקור'!H664="",'לקוחות לפי סוכן - מקור חדש'!E210,'לקוחות לפי סוכן - מקור'!H664)</f>
        <v/>
      </c>
      <c r="H805" s="148">
        <f>IF('לקוחות לפי סוכן - מקור'!I664="",'לקוחות לפי סוכן - מקור חדש'!G210,'לקוחות לפי סוכן - מקור'!I664)</f>
        <v/>
      </c>
      <c r="I805" s="139" t="inlineStr">
        <is>
          <t>שני המקורות</t>
        </is>
      </c>
      <c r="J805" s="139" t="inlineStr">
        <is>
          <t>קיים במקור (CHMI) + מכר 2025/כמויות הושלמו מהקובץ החדש — פער ב-2026 מול הקובץ החדש, נבחר המקור</t>
        </is>
      </c>
    </row>
    <row r="806" ht="15" customHeight="1" s="82">
      <c r="A806" s="139">
        <f>'לקוחות לפי סוכן - מקור'!A665</f>
        <v/>
      </c>
      <c r="B806" s="139">
        <f>'לקוחות לפי סוכן - מקור'!C665</f>
        <v/>
      </c>
      <c r="C806" s="139">
        <f>'לקוחות לפי סוכן - מקור'!D665</f>
        <v/>
      </c>
      <c r="D806" s="139">
        <f>'לקוחות לפי סוכן - מקור'!E665</f>
        <v/>
      </c>
      <c r="E806" s="147">
        <f>IF('לקוחות לפי סוכן - מקור'!F665="",'לקוחות לפי סוכן - מקור חדש'!F211,'לקוחות לפי סוכן - מקור'!F665)</f>
        <v/>
      </c>
      <c r="F806" s="147">
        <f>IF('לקוחות לפי סוכן - מקור'!G665="",'לקוחות לפי סוכן - מקור חדש'!H211,'לקוחות לפי סוכן - מקור'!G665)</f>
        <v/>
      </c>
      <c r="G806" s="148">
        <f>IF('לקוחות לפי סוכן - מקור'!H665="",'לקוחות לפי סוכן - מקור חדש'!E211,'לקוחות לפי סוכן - מקור'!H665)</f>
        <v/>
      </c>
      <c r="H806" s="148">
        <f>IF('לקוחות לפי סוכן - מקור'!I665="",'לקוחות לפי סוכן - מקור חדש'!G211,'לקוחות לפי סוכן - מקור'!I665)</f>
        <v/>
      </c>
      <c r="I806" s="139" t="inlineStr">
        <is>
          <t>שני המקורות</t>
        </is>
      </c>
      <c r="J806" s="139" t="inlineStr">
        <is>
          <t>קיים במקור (CHMI) + מכר 2025/כמויות הושלמו מהקובץ החדש</t>
        </is>
      </c>
    </row>
    <row r="807" ht="15" customHeight="1" s="82">
      <c r="A807" s="139">
        <f>'לקוחות לפי סוכן - מקור'!A666</f>
        <v/>
      </c>
      <c r="B807" s="139">
        <f>'לקוחות לפי סוכן - מקור'!C666</f>
        <v/>
      </c>
      <c r="C807" s="139">
        <f>'לקוחות לפי סוכן - מקור'!D666</f>
        <v/>
      </c>
      <c r="D807" s="139">
        <f>'לקוחות לפי סוכן - מקור'!E666</f>
        <v/>
      </c>
      <c r="E807" s="147">
        <f>IF('לקוחות לפי סוכן - מקור'!F666="",'לקוחות לפי סוכן - מקור חדש'!F212,'לקוחות לפי סוכן - מקור'!F666)</f>
        <v/>
      </c>
      <c r="F807" s="147">
        <f>IF('לקוחות לפי סוכן - מקור'!G666="",'לקוחות לפי סוכן - מקור חדש'!H212,'לקוחות לפי סוכן - מקור'!G666)</f>
        <v/>
      </c>
      <c r="G807" s="148">
        <f>IF('לקוחות לפי סוכן - מקור'!H666="",'לקוחות לפי סוכן - מקור חדש'!E212,'לקוחות לפי סוכן - מקור'!H666)</f>
        <v/>
      </c>
      <c r="H807" s="148">
        <f>IF('לקוחות לפי סוכן - מקור'!I666="",'לקוחות לפי סוכן - מקור חדש'!G212,'לקוחות לפי סוכן - מקור'!I666)</f>
        <v/>
      </c>
      <c r="I807" s="139" t="inlineStr">
        <is>
          <t>שני המקורות</t>
        </is>
      </c>
      <c r="J807" s="139" t="inlineStr">
        <is>
          <t>קיים במקור (CHMI) + מכר 2025/כמויות הושלמו מהקובץ החדש</t>
        </is>
      </c>
    </row>
    <row r="808" ht="15" customHeight="1" s="82">
      <c r="A808" s="139">
        <f>'לקוחות לפי סוכן - מקור'!A667</f>
        <v/>
      </c>
      <c r="B808" s="139">
        <f>'לקוחות לפי סוכן - מקור'!C667</f>
        <v/>
      </c>
      <c r="C808" s="139">
        <f>'לקוחות לפי סוכן - מקור'!D667</f>
        <v/>
      </c>
      <c r="D808" s="139">
        <f>'לקוחות לפי סוכן - מקור'!E667</f>
        <v/>
      </c>
      <c r="E808" s="147">
        <f>IF('לקוחות לפי סוכן - מקור'!F667="",'לקוחות לפי סוכן - מקור חדש'!F214,'לקוחות לפי סוכן - מקור'!F667)</f>
        <v/>
      </c>
      <c r="F808" s="147">
        <f>IF('לקוחות לפי סוכן - מקור'!G667="",'לקוחות לפי סוכן - מקור חדש'!H214,'לקוחות לפי סוכן - מקור'!G667)</f>
        <v/>
      </c>
      <c r="G808" s="148">
        <f>IF('לקוחות לפי סוכן - מקור'!H667="",'לקוחות לפי סוכן - מקור חדש'!E214,'לקוחות לפי סוכן - מקור'!H667)</f>
        <v/>
      </c>
      <c r="H808" s="148">
        <f>IF('לקוחות לפי סוכן - מקור'!I667="",'לקוחות לפי סוכן - מקור חדש'!G214,'לקוחות לפי סוכן - מקור'!I667)</f>
        <v/>
      </c>
      <c r="I808" s="139" t="inlineStr">
        <is>
          <t>שני המקורות</t>
        </is>
      </c>
      <c r="J808" s="139" t="inlineStr">
        <is>
          <t>קיים במקור (CHMI) + מכר 2025/כמויות הושלמו מהקובץ החדש</t>
        </is>
      </c>
    </row>
    <row r="809" ht="15" customHeight="1" s="82">
      <c r="A809" s="139">
        <f>'לקוחות לפי סוכן - מקור'!A668</f>
        <v/>
      </c>
      <c r="B809" s="139">
        <f>'לקוחות לפי סוכן - מקור'!C668</f>
        <v/>
      </c>
      <c r="C809" s="139">
        <f>'לקוחות לפי סוכן - מקור'!D668</f>
        <v/>
      </c>
      <c r="D809" s="139">
        <f>'לקוחות לפי סוכן - מקור'!E668</f>
        <v/>
      </c>
      <c r="E809" s="147">
        <f>IF('לקוחות לפי סוכן - מקור'!F668="",'לקוחות לפי סוכן - מקור חדש'!F217,'לקוחות לפי סוכן - מקור'!F668)</f>
        <v/>
      </c>
      <c r="F809" s="147">
        <f>IF('לקוחות לפי סוכן - מקור'!G668="",'לקוחות לפי סוכן - מקור חדש'!H217,'לקוחות לפי סוכן - מקור'!G668)</f>
        <v/>
      </c>
      <c r="G809" s="148">
        <f>IF('לקוחות לפי סוכן - מקור'!H668="",'לקוחות לפי סוכן - מקור חדש'!E217,'לקוחות לפי סוכן - מקור'!H668)</f>
        <v/>
      </c>
      <c r="H809" s="148">
        <f>IF('לקוחות לפי סוכן - מקור'!I668="",'לקוחות לפי סוכן - מקור חדש'!G217,'לקוחות לפי סוכן - מקור'!I668)</f>
        <v/>
      </c>
      <c r="I809" s="139" t="inlineStr">
        <is>
          <t>שני המקורות</t>
        </is>
      </c>
      <c r="J809" s="139" t="inlineStr">
        <is>
          <t>קיים במקור (CHMI) + מכר 2025/כמויות הושלמו מהקובץ החדש — פער ב-2026 מול הקובץ החדש, נבחר המקור</t>
        </is>
      </c>
    </row>
    <row r="810" ht="15" customHeight="1" s="82">
      <c r="A810" s="139">
        <f>'לקוחות לפי סוכן - מקור'!A669</f>
        <v/>
      </c>
      <c r="B810" s="139">
        <f>'לקוחות לפי סוכן - מקור'!C669</f>
        <v/>
      </c>
      <c r="C810" s="139">
        <f>'לקוחות לפי סוכן - מקור'!D669</f>
        <v/>
      </c>
      <c r="D810" s="139">
        <f>'לקוחות לפי סוכן - מקור'!E669</f>
        <v/>
      </c>
      <c r="E810" s="147">
        <f>IF('לקוחות לפי סוכן - מקור'!F669="",'לקוחות לפי סוכן - מקור חדש'!F218,'לקוחות לפי סוכן - מקור'!F669)</f>
        <v/>
      </c>
      <c r="F810" s="147">
        <f>IF('לקוחות לפי סוכן - מקור'!G669="",'לקוחות לפי סוכן - מקור חדש'!H218,'לקוחות לפי סוכן - מקור'!G669)</f>
        <v/>
      </c>
      <c r="G810" s="148">
        <f>IF('לקוחות לפי סוכן - מקור'!H669="",'לקוחות לפי סוכן - מקור חדש'!E218,'לקוחות לפי סוכן - מקור'!H669)</f>
        <v/>
      </c>
      <c r="H810" s="148">
        <f>IF('לקוחות לפי סוכן - מקור'!I669="",'לקוחות לפי סוכן - מקור חדש'!G218,'לקוחות לפי סוכן - מקור'!I669)</f>
        <v/>
      </c>
      <c r="I810" s="139" t="inlineStr">
        <is>
          <t>שני המקורות</t>
        </is>
      </c>
      <c r="J810" s="139" t="inlineStr">
        <is>
          <t>קיים במקור (CHMI) + מכר 2025/כמויות הושלמו מהקובץ החדש</t>
        </is>
      </c>
    </row>
    <row r="811" ht="15" customHeight="1" s="82">
      <c r="A811" s="139">
        <f>'לקוחות לפי סוכן - מקור'!A670</f>
        <v/>
      </c>
      <c r="B811" s="139">
        <f>'לקוחות לפי סוכן - מקור'!C670</f>
        <v/>
      </c>
      <c r="C811" s="139">
        <f>'לקוחות לפי סוכן - מקור'!D670</f>
        <v/>
      </c>
      <c r="D811" s="139">
        <f>'לקוחות לפי סוכן - מקור'!E670</f>
        <v/>
      </c>
      <c r="E811" s="147">
        <f>IF('לקוחות לפי סוכן - מקור'!F670="",'לקוחות לפי סוכן - מקור חדש'!F220,'לקוחות לפי סוכן - מקור'!F670)</f>
        <v/>
      </c>
      <c r="F811" s="147">
        <f>IF('לקוחות לפי סוכן - מקור'!G670="",'לקוחות לפי סוכן - מקור חדש'!H220,'לקוחות לפי סוכן - מקור'!G670)</f>
        <v/>
      </c>
      <c r="G811" s="148">
        <f>IF('לקוחות לפי סוכן - מקור'!H670="",'לקוחות לפי סוכן - מקור חדש'!E220,'לקוחות לפי סוכן - מקור'!H670)</f>
        <v/>
      </c>
      <c r="H811" s="148">
        <f>IF('לקוחות לפי סוכן - מקור'!I670="",'לקוחות לפי סוכן - מקור חדש'!G220,'לקוחות לפי סוכן - מקור'!I670)</f>
        <v/>
      </c>
      <c r="I811" s="139" t="inlineStr">
        <is>
          <t>שני המקורות</t>
        </is>
      </c>
      <c r="J811" s="139" t="inlineStr">
        <is>
          <t>קיים במקור (CHMI) + מכר 2025/כמויות הושלמו מהקובץ החדש</t>
        </is>
      </c>
    </row>
    <row r="812" ht="15" customHeight="1" s="82">
      <c r="A812" s="139">
        <f>'לקוחות לפי סוכן - מקור'!A671</f>
        <v/>
      </c>
      <c r="B812" s="139">
        <f>'לקוחות לפי סוכן - מקור'!C671</f>
        <v/>
      </c>
      <c r="C812" s="139">
        <f>'לקוחות לפי סוכן - מקור'!D671</f>
        <v/>
      </c>
      <c r="D812" s="139">
        <f>'לקוחות לפי סוכן - מקור'!E671</f>
        <v/>
      </c>
      <c r="E812" s="147">
        <f>IF('לקוחות לפי סוכן - מקור'!F671="",'לקוחות לפי סוכן - מקור חדש'!F221,'לקוחות לפי סוכן - מקור'!F671)</f>
        <v/>
      </c>
      <c r="F812" s="147">
        <f>IF('לקוחות לפי סוכן - מקור'!G671="",'לקוחות לפי סוכן - מקור חדש'!H221,'לקוחות לפי סוכן - מקור'!G671)</f>
        <v/>
      </c>
      <c r="G812" s="148">
        <f>IF('לקוחות לפי סוכן - מקור'!H671="",'לקוחות לפי סוכן - מקור חדש'!E221,'לקוחות לפי סוכן - מקור'!H671)</f>
        <v/>
      </c>
      <c r="H812" s="148">
        <f>IF('לקוחות לפי סוכן - מקור'!I671="",'לקוחות לפי סוכן - מקור חדש'!G221,'לקוחות לפי סוכן - מקור'!I671)</f>
        <v/>
      </c>
      <c r="I812" s="139" t="inlineStr">
        <is>
          <t>שני המקורות</t>
        </is>
      </c>
      <c r="J812" s="139" t="inlineStr">
        <is>
          <t>קיים במקור (CHMI) + מכר 2025/כמויות הושלמו מהקובץ החדש — פער ב-2026 מול הקובץ החדש, נבחר המקור</t>
        </is>
      </c>
    </row>
    <row r="813" ht="15" customHeight="1" s="82">
      <c r="A813" s="139">
        <f>'לקוחות לפי סוכן - מקור'!A672</f>
        <v/>
      </c>
      <c r="B813" s="139">
        <f>'לקוחות לפי סוכן - מקור'!C672</f>
        <v/>
      </c>
      <c r="C813" s="139">
        <f>'לקוחות לפי סוכן - מקור'!D672</f>
        <v/>
      </c>
      <c r="D813" s="139">
        <f>'לקוחות לפי סוכן - מקור'!E672</f>
        <v/>
      </c>
      <c r="E813" s="147">
        <f>IF('לקוחות לפי סוכן - מקור'!F672="",'לקוחות לפי סוכן - מקור חדש'!F222,'לקוחות לפי סוכן - מקור'!F672)</f>
        <v/>
      </c>
      <c r="F813" s="147">
        <f>IF('לקוחות לפי סוכן - מקור'!G672="",'לקוחות לפי סוכן - מקור חדש'!H222,'לקוחות לפי סוכן - מקור'!G672)</f>
        <v/>
      </c>
      <c r="G813" s="148">
        <f>IF('לקוחות לפי סוכן - מקור'!H672="",'לקוחות לפי סוכן - מקור חדש'!E222,'לקוחות לפי סוכן - מקור'!H672)</f>
        <v/>
      </c>
      <c r="H813" s="148">
        <f>IF('לקוחות לפי סוכן - מקור'!I672="",'לקוחות לפי סוכן - מקור חדש'!G222,'לקוחות לפי סוכן - מקור'!I672)</f>
        <v/>
      </c>
      <c r="I813" s="139" t="inlineStr">
        <is>
          <t>שני המקורות</t>
        </is>
      </c>
      <c r="J813" s="139" t="inlineStr">
        <is>
          <t>קיים במקור (CHMI) + מכר 2025/כמויות הושלמו מהקובץ החדש</t>
        </is>
      </c>
    </row>
    <row r="814" ht="15" customHeight="1" s="82">
      <c r="A814" s="139">
        <f>'לקוחות לפי סוכן - מקור'!A673</f>
        <v/>
      </c>
      <c r="B814" s="139">
        <f>'לקוחות לפי סוכן - מקור'!C673</f>
        <v/>
      </c>
      <c r="C814" s="139">
        <f>'לקוחות לפי סוכן - מקור'!D673</f>
        <v/>
      </c>
      <c r="D814" s="139">
        <f>'לקוחות לפי סוכן - מקור'!E673</f>
        <v/>
      </c>
      <c r="E814" s="147">
        <f>IF('לקוחות לפי סוכן - מקור'!F673="",'לקוחות לפי סוכן - מקור חדש'!F226,'לקוחות לפי סוכן - מקור'!F673)</f>
        <v/>
      </c>
      <c r="F814" s="147">
        <f>IF('לקוחות לפי סוכן - מקור'!G673="",'לקוחות לפי סוכן - מקור חדש'!H226,'לקוחות לפי סוכן - מקור'!G673)</f>
        <v/>
      </c>
      <c r="G814" s="148">
        <f>IF('לקוחות לפי סוכן - מקור'!H673="",'לקוחות לפי סוכן - מקור חדש'!E226,'לקוחות לפי סוכן - מקור'!H673)</f>
        <v/>
      </c>
      <c r="H814" s="148">
        <f>IF('לקוחות לפי סוכן - מקור'!I673="",'לקוחות לפי סוכן - מקור חדש'!G226,'לקוחות לפי סוכן - מקור'!I673)</f>
        <v/>
      </c>
      <c r="I814" s="139" t="inlineStr">
        <is>
          <t>שני המקורות</t>
        </is>
      </c>
      <c r="J814" s="139" t="inlineStr">
        <is>
          <t>קיים במקור (CHMI) + מכר 2025/כמויות הושלמו מהקובץ החדש</t>
        </is>
      </c>
    </row>
    <row r="815" ht="15" customHeight="1" s="82">
      <c r="A815" s="139">
        <f>'לקוחות לפי סוכן - מקור'!A674</f>
        <v/>
      </c>
      <c r="B815" s="139">
        <f>'לקוחות לפי סוכן - מקור'!C674</f>
        <v/>
      </c>
      <c r="C815" s="139">
        <f>'לקוחות לפי סוכן - מקור'!D674</f>
        <v/>
      </c>
      <c r="D815" s="139">
        <f>'לקוחות לפי סוכן - מקור'!E674</f>
        <v/>
      </c>
      <c r="E815" s="147">
        <f>IF('לקוחות לפי סוכן - מקור'!F674="",'לקוחות לפי סוכן - מקור חדש'!F227,'לקוחות לפי סוכן - מקור'!F674)</f>
        <v/>
      </c>
      <c r="F815" s="147">
        <f>IF('לקוחות לפי סוכן - מקור'!G674="",'לקוחות לפי סוכן - מקור חדש'!H227,'לקוחות לפי סוכן - מקור'!G674)</f>
        <v/>
      </c>
      <c r="G815" s="148">
        <f>IF('לקוחות לפי סוכן - מקור'!H674="",'לקוחות לפי סוכן - מקור חדש'!E227,'לקוחות לפי סוכן - מקור'!H674)</f>
        <v/>
      </c>
      <c r="H815" s="148">
        <f>IF('לקוחות לפי סוכן - מקור'!I674="",'לקוחות לפי סוכן - מקור חדש'!G227,'לקוחות לפי סוכן - מקור'!I674)</f>
        <v/>
      </c>
      <c r="I815" s="139" t="inlineStr">
        <is>
          <t>שני המקורות</t>
        </is>
      </c>
      <c r="J815" s="139" t="inlineStr">
        <is>
          <t>קיים במקור (CHMI) + מכר 2025/כמויות הושלמו מהקובץ החדש</t>
        </is>
      </c>
    </row>
    <row r="816" ht="15" customHeight="1" s="82">
      <c r="A816" s="139">
        <f>'לקוחות לפי סוכן - מקור'!A675</f>
        <v/>
      </c>
      <c r="B816" s="139">
        <f>'לקוחות לפי סוכן - מקור'!C675</f>
        <v/>
      </c>
      <c r="C816" s="139">
        <f>'לקוחות לפי סוכן - מקור'!D675</f>
        <v/>
      </c>
      <c r="D816" s="139">
        <f>'לקוחות לפי סוכן - מקור'!E675</f>
        <v/>
      </c>
      <c r="E816" s="147">
        <f>IF('לקוחות לפי סוכן - מקור'!F675="",'לקוחות לפי סוכן - מקור חדש'!F229,'לקוחות לפי סוכן - מקור'!F675)</f>
        <v/>
      </c>
      <c r="F816" s="147">
        <f>IF('לקוחות לפי סוכן - מקור'!G675="",'לקוחות לפי סוכן - מקור חדש'!H229,'לקוחות לפי סוכן - מקור'!G675)</f>
        <v/>
      </c>
      <c r="G816" s="148">
        <f>IF('לקוחות לפי סוכן - מקור'!H675="",'לקוחות לפי סוכן - מקור חדש'!E229,'לקוחות לפי סוכן - מקור'!H675)</f>
        <v/>
      </c>
      <c r="H816" s="148">
        <f>IF('לקוחות לפי סוכן - מקור'!I675="",'לקוחות לפי סוכן - מקור חדש'!G229,'לקוחות לפי סוכן - מקור'!I675)</f>
        <v/>
      </c>
      <c r="I816" s="139" t="inlineStr">
        <is>
          <t>שני המקורות</t>
        </is>
      </c>
      <c r="J816" s="139" t="inlineStr">
        <is>
          <t>קיים במקור (CHMI) + מכר 2025/כמויות הושלמו מהקובץ החדש</t>
        </is>
      </c>
    </row>
    <row r="817" ht="15" customHeight="1" s="82">
      <c r="A817" s="139">
        <f>'לקוחות לפי סוכן - מקור'!A676</f>
        <v/>
      </c>
      <c r="B817" s="139">
        <f>'לקוחות לפי סוכן - מקור'!C676</f>
        <v/>
      </c>
      <c r="C817" s="139">
        <f>'לקוחות לפי סוכן - מקור'!D676</f>
        <v/>
      </c>
      <c r="D817" s="139">
        <f>'לקוחות לפי סוכן - מקור'!E676</f>
        <v/>
      </c>
      <c r="E817" s="147">
        <f>IF('לקוחות לפי סוכן - מקור'!F676="",'לקוחות לפי סוכן - מקור חדש'!F230,'לקוחות לפי סוכן - מקור'!F676)</f>
        <v/>
      </c>
      <c r="F817" s="147">
        <f>IF('לקוחות לפי סוכן - מקור'!G676="",'לקוחות לפי סוכן - מקור חדש'!H230,'לקוחות לפי סוכן - מקור'!G676)</f>
        <v/>
      </c>
      <c r="G817" s="148">
        <f>IF('לקוחות לפי סוכן - מקור'!H676="",'לקוחות לפי סוכן - מקור חדש'!E230,'לקוחות לפי סוכן - מקור'!H676)</f>
        <v/>
      </c>
      <c r="H817" s="148">
        <f>IF('לקוחות לפי סוכן - מקור'!I676="",'לקוחות לפי סוכן - מקור חדש'!G230,'לקוחות לפי סוכן - מקור'!I676)</f>
        <v/>
      </c>
      <c r="I817" s="139" t="inlineStr">
        <is>
          <t>שני המקורות</t>
        </is>
      </c>
      <c r="J817" s="139" t="inlineStr">
        <is>
          <t>קיים במקור (CHMI) + מכר 2025/כמויות הושלמו מהקובץ החדש</t>
        </is>
      </c>
    </row>
    <row r="818" ht="15" customHeight="1" s="82">
      <c r="A818" s="139">
        <f>'לקוחות לפי סוכן - מקור'!A677</f>
        <v/>
      </c>
      <c r="B818" s="139">
        <f>'לקוחות לפי סוכן - מקור'!C677</f>
        <v/>
      </c>
      <c r="C818" s="139">
        <f>'לקוחות לפי סוכן - מקור'!D677</f>
        <v/>
      </c>
      <c r="D818" s="139">
        <f>'לקוחות לפי סוכן - מקור'!E677</f>
        <v/>
      </c>
      <c r="E818" s="147">
        <f>IF('לקוחות לפי סוכן - מקור'!F677="",'לקוחות לפי סוכן - מקור חדש'!F232,'לקוחות לפי סוכן - מקור'!F677)</f>
        <v/>
      </c>
      <c r="F818" s="147">
        <f>IF('לקוחות לפי סוכן - מקור'!G677="",'לקוחות לפי סוכן - מקור חדש'!H232,'לקוחות לפי סוכן - מקור'!G677)</f>
        <v/>
      </c>
      <c r="G818" s="148">
        <f>IF('לקוחות לפי סוכן - מקור'!H677="",'לקוחות לפי סוכן - מקור חדש'!E232,'לקוחות לפי סוכן - מקור'!H677)</f>
        <v/>
      </c>
      <c r="H818" s="148">
        <f>IF('לקוחות לפי סוכן - מקור'!I677="",'לקוחות לפי סוכן - מקור חדש'!G232,'לקוחות לפי סוכן - מקור'!I677)</f>
        <v/>
      </c>
      <c r="I818" s="139" t="inlineStr">
        <is>
          <t>שני המקורות</t>
        </is>
      </c>
      <c r="J818" s="139" t="inlineStr">
        <is>
          <t>קיים במקור (CHMI) + מכר 2025/כמויות הושלמו מהקובץ החדש</t>
        </is>
      </c>
    </row>
    <row r="819" ht="15" customHeight="1" s="82">
      <c r="A819" s="139">
        <f>'לקוחות לפי סוכן - מקור'!A678</f>
        <v/>
      </c>
      <c r="B819" s="139">
        <f>'לקוחות לפי סוכן - מקור'!C678</f>
        <v/>
      </c>
      <c r="C819" s="139">
        <f>'לקוחות לפי סוכן - מקור'!D678</f>
        <v/>
      </c>
      <c r="D819" s="139">
        <f>'לקוחות לפי סוכן - מקור'!E678</f>
        <v/>
      </c>
      <c r="E819" s="147">
        <f>IF('לקוחות לפי סוכן - מקור'!F678="",'לקוחות לפי סוכן - מקור חדש'!F233,'לקוחות לפי סוכן - מקור'!F678)</f>
        <v/>
      </c>
      <c r="F819" s="147">
        <f>IF('לקוחות לפי סוכן - מקור'!G678="",'לקוחות לפי סוכן - מקור חדש'!H233,'לקוחות לפי סוכן - מקור'!G678)</f>
        <v/>
      </c>
      <c r="G819" s="148">
        <f>IF('לקוחות לפי סוכן - מקור'!H678="",'לקוחות לפי סוכן - מקור חדש'!E233,'לקוחות לפי סוכן - מקור'!H678)</f>
        <v/>
      </c>
      <c r="H819" s="148">
        <f>IF('לקוחות לפי סוכן - מקור'!I678="",'לקוחות לפי סוכן - מקור חדש'!G233,'לקוחות לפי סוכן - מקור'!I678)</f>
        <v/>
      </c>
      <c r="I819" s="139" t="inlineStr">
        <is>
          <t>שני המקורות</t>
        </is>
      </c>
      <c r="J819" s="139" t="inlineStr">
        <is>
          <t>קיים במקור (CHMI) + מכר 2025/כמויות הושלמו מהקובץ החדש</t>
        </is>
      </c>
    </row>
    <row r="820" ht="15" customHeight="1" s="82">
      <c r="A820" s="139">
        <f>'לקוחות לפי סוכן - מקור'!A679</f>
        <v/>
      </c>
      <c r="B820" s="139">
        <f>'לקוחות לפי סוכן - מקור'!C679</f>
        <v/>
      </c>
      <c r="C820" s="139">
        <f>'לקוחות לפי סוכן - מקור'!D679</f>
        <v/>
      </c>
      <c r="D820" s="139">
        <f>'לקוחות לפי סוכן - מקור'!E679</f>
        <v/>
      </c>
      <c r="E820" s="147">
        <f>IF('לקוחות לפי סוכן - מקור'!F679="",'לקוחות לפי סוכן - מקור חדש'!F236,'לקוחות לפי סוכן - מקור'!F679)</f>
        <v/>
      </c>
      <c r="F820" s="147">
        <f>IF('לקוחות לפי סוכן - מקור'!G679="",'לקוחות לפי סוכן - מקור חדש'!H236,'לקוחות לפי סוכן - מקור'!G679)</f>
        <v/>
      </c>
      <c r="G820" s="148">
        <f>IF('לקוחות לפי סוכן - מקור'!H679="",'לקוחות לפי סוכן - מקור חדש'!E236,'לקוחות לפי סוכן - מקור'!H679)</f>
        <v/>
      </c>
      <c r="H820" s="148">
        <f>IF('לקוחות לפי סוכן - מקור'!I679="",'לקוחות לפי סוכן - מקור חדש'!G236,'לקוחות לפי סוכן - מקור'!I679)</f>
        <v/>
      </c>
      <c r="I820" s="139" t="inlineStr">
        <is>
          <t>שני המקורות</t>
        </is>
      </c>
      <c r="J820" s="139" t="inlineStr">
        <is>
          <t>קיים במקור (CHMI) + מכר 2025/כמויות הושלמו מהקובץ החדש</t>
        </is>
      </c>
    </row>
    <row r="821" ht="15" customHeight="1" s="82">
      <c r="A821" s="139">
        <f>'לקוחות לפי סוכן - מקור'!A680</f>
        <v/>
      </c>
      <c r="B821" s="139">
        <f>'לקוחות לפי סוכן - מקור'!C680</f>
        <v/>
      </c>
      <c r="C821" s="139">
        <f>'לקוחות לפי סוכן - מקור'!D680</f>
        <v/>
      </c>
      <c r="D821" s="139">
        <f>'לקוחות לפי סוכן - מקור'!E680</f>
        <v/>
      </c>
      <c r="E821" s="147">
        <f>IF('לקוחות לפי סוכן - מקור'!F680="",'לקוחות לפי סוכן - מקור חדש'!F237,'לקוחות לפי סוכן - מקור'!F680)</f>
        <v/>
      </c>
      <c r="F821" s="147">
        <f>IF('לקוחות לפי סוכן - מקור'!G680="",'לקוחות לפי סוכן - מקור חדש'!H237,'לקוחות לפי סוכן - מקור'!G680)</f>
        <v/>
      </c>
      <c r="G821" s="148">
        <f>IF('לקוחות לפי סוכן - מקור'!H680="",'לקוחות לפי סוכן - מקור חדש'!E237,'לקוחות לפי סוכן - מקור'!H680)</f>
        <v/>
      </c>
      <c r="H821" s="148">
        <f>IF('לקוחות לפי סוכן - מקור'!I680="",'לקוחות לפי סוכן - מקור חדש'!G237,'לקוחות לפי סוכן - מקור'!I680)</f>
        <v/>
      </c>
      <c r="I821" s="139" t="inlineStr">
        <is>
          <t>שני המקורות</t>
        </is>
      </c>
      <c r="J821" s="139" t="inlineStr">
        <is>
          <t>קיים במקור (CHMI) + מכר 2025/כמויות הושלמו מהקובץ החדש</t>
        </is>
      </c>
    </row>
    <row r="822" ht="15" customHeight="1" s="82">
      <c r="A822" s="139">
        <f>'לקוחות לפי סוכן - מקור'!A681</f>
        <v/>
      </c>
      <c r="B822" s="139">
        <f>'לקוחות לפי סוכן - מקור'!C681</f>
        <v/>
      </c>
      <c r="C822" s="139">
        <f>'לקוחות לפי סוכן - מקור'!D681</f>
        <v/>
      </c>
      <c r="D822" s="139">
        <f>'לקוחות לפי סוכן - מקור'!E681</f>
        <v/>
      </c>
      <c r="E822" s="147">
        <f>'לקוחות לפי סוכן - מקור'!F681</f>
        <v/>
      </c>
      <c r="F822" s="147">
        <f>'לקוחות לפי סוכן - מקור'!G681</f>
        <v/>
      </c>
      <c r="G822" s="148">
        <f>'לקוחות לפי סוכן - מקור'!H681</f>
        <v/>
      </c>
      <c r="H822" s="148">
        <f>'לקוחות לפי סוכן - מקור'!I681</f>
        <v/>
      </c>
      <c r="I822" s="139">
        <f>'לקוחות לפי סוכן - מקור'!K681</f>
        <v/>
      </c>
      <c r="J822" s="139" t="inlineStr">
        <is>
          <t>קיים במקור</t>
        </is>
      </c>
    </row>
    <row r="823" ht="15" customHeight="1" s="82">
      <c r="A823" s="139">
        <f>'לקוחות לפי סוכן - מקור'!A682</f>
        <v/>
      </c>
      <c r="B823" s="139">
        <f>'לקוחות לפי סוכן - מקור'!C682</f>
        <v/>
      </c>
      <c r="C823" s="139">
        <f>'לקוחות לפי סוכן - מקור'!D682</f>
        <v/>
      </c>
      <c r="D823" s="139">
        <f>'לקוחות לפי סוכן - מקור'!E682</f>
        <v/>
      </c>
      <c r="E823" s="147">
        <f>IF('לקוחות לפי סוכן - מקור'!F682="",'לקוחות לפי סוכן - מקור חדש'!F239,'לקוחות לפי סוכן - מקור'!F682)</f>
        <v/>
      </c>
      <c r="F823" s="147">
        <f>IF('לקוחות לפי סוכן - מקור'!G682="",'לקוחות לפי סוכן - מקור חדש'!H239,'לקוחות לפי סוכן - מקור'!G682)</f>
        <v/>
      </c>
      <c r="G823" s="148">
        <f>IF('לקוחות לפי סוכן - מקור'!H682="",'לקוחות לפי סוכן - מקור חדש'!E239,'לקוחות לפי סוכן - מקור'!H682)</f>
        <v/>
      </c>
      <c r="H823" s="148">
        <f>IF('לקוחות לפי סוכן - מקור'!I682="",'לקוחות לפי סוכן - מקור חדש'!G239,'לקוחות לפי סוכן - מקור'!I682)</f>
        <v/>
      </c>
      <c r="I823" s="139" t="inlineStr">
        <is>
          <t>שני המקורות</t>
        </is>
      </c>
      <c r="J823" s="139" t="inlineStr">
        <is>
          <t>קיים במקור (CHMI) + מכר 2025/כמויות הושלמו מהקובץ החדש</t>
        </is>
      </c>
    </row>
    <row r="824" ht="15" customHeight="1" s="82">
      <c r="A824" s="139">
        <f>'לקוחות לפי סוכן - מקור'!A683</f>
        <v/>
      </c>
      <c r="B824" s="139">
        <f>'לקוחות לפי סוכן - מקור'!C683</f>
        <v/>
      </c>
      <c r="C824" s="139">
        <f>'לקוחות לפי סוכן - מקור'!D683</f>
        <v/>
      </c>
      <c r="D824" s="139">
        <f>'לקוחות לפי סוכן - מקור'!E683</f>
        <v/>
      </c>
      <c r="E824" s="147">
        <f>IF('לקוחות לפי סוכן - מקור'!F683="",'לקוחות לפי סוכן - מקור חדש'!F240,'לקוחות לפי סוכן - מקור'!F683)</f>
        <v/>
      </c>
      <c r="F824" s="147">
        <f>IF('לקוחות לפי סוכן - מקור'!G683="",'לקוחות לפי סוכן - מקור חדש'!H240,'לקוחות לפי סוכן - מקור'!G683)</f>
        <v/>
      </c>
      <c r="G824" s="148">
        <f>IF('לקוחות לפי סוכן - מקור'!H683="",'לקוחות לפי סוכן - מקור חדש'!E240,'לקוחות לפי סוכן - מקור'!H683)</f>
        <v/>
      </c>
      <c r="H824" s="148">
        <f>IF('לקוחות לפי סוכן - מקור'!I683="",'לקוחות לפי סוכן - מקור חדש'!G240,'לקוחות לפי סוכן - מקור'!I683)</f>
        <v/>
      </c>
      <c r="I824" s="139" t="inlineStr">
        <is>
          <t>שני המקורות</t>
        </is>
      </c>
      <c r="J824" s="139" t="inlineStr">
        <is>
          <t>קיים במקור (CHMI) + מכר 2025/כמויות הושלמו מהקובץ החדש</t>
        </is>
      </c>
    </row>
    <row r="825" ht="15" customHeight="1" s="82">
      <c r="A825" s="139">
        <f>'לקוחות לפי סוכן - מקור'!A684</f>
        <v/>
      </c>
      <c r="B825" s="139">
        <f>'לקוחות לפי סוכן - מקור'!C684</f>
        <v/>
      </c>
      <c r="C825" s="139">
        <f>'לקוחות לפי סוכן - מקור'!D684</f>
        <v/>
      </c>
      <c r="D825" s="139">
        <f>'לקוחות לפי סוכן - מקור'!E684</f>
        <v/>
      </c>
      <c r="E825" s="147">
        <f>IF('לקוחות לפי סוכן - מקור'!F684="",'לקוחות לפי סוכן - מקור חדש'!F242,'לקוחות לפי סוכן - מקור'!F684)</f>
        <v/>
      </c>
      <c r="F825" s="147">
        <f>IF('לקוחות לפי סוכן - מקור'!G684="",'לקוחות לפי סוכן - מקור חדש'!H242,'לקוחות לפי סוכן - מקור'!G684)</f>
        <v/>
      </c>
      <c r="G825" s="148">
        <f>IF('לקוחות לפי סוכן - מקור'!H684="",'לקוחות לפי סוכן - מקור חדש'!E242,'לקוחות לפי סוכן - מקור'!H684)</f>
        <v/>
      </c>
      <c r="H825" s="148">
        <f>IF('לקוחות לפי סוכן - מקור'!I684="",'לקוחות לפי סוכן - מקור חדש'!G242,'לקוחות לפי סוכן - מקור'!I684)</f>
        <v/>
      </c>
      <c r="I825" s="139" t="inlineStr">
        <is>
          <t>שני המקורות</t>
        </is>
      </c>
      <c r="J825" s="139" t="inlineStr">
        <is>
          <t>קיים במקור (CHMI) + מכר 2025/כמויות הושלמו מהקובץ החדש</t>
        </is>
      </c>
    </row>
    <row r="826" ht="15" customHeight="1" s="82">
      <c r="A826" s="139">
        <f>'לקוחות לפי סוכן - מקור'!A685</f>
        <v/>
      </c>
      <c r="B826" s="139">
        <f>'לקוחות לפי סוכן - מקור'!C685</f>
        <v/>
      </c>
      <c r="C826" s="139">
        <f>'לקוחות לפי סוכן - מקור'!D685</f>
        <v/>
      </c>
      <c r="D826" s="139">
        <f>'לקוחות לפי סוכן - מקור'!E685</f>
        <v/>
      </c>
      <c r="E826" s="147">
        <f>IF('לקוחות לפי סוכן - מקור'!F685="",'לקוחות לפי סוכן - מקור חדש'!F333,'לקוחות לפי סוכן - מקור'!F685)</f>
        <v/>
      </c>
      <c r="F826" s="147">
        <f>IF('לקוחות לפי סוכן - מקור'!G685="",'לקוחות לפי סוכן - מקור חדש'!H333,'לקוחות לפי סוכן - מקור'!G685)</f>
        <v/>
      </c>
      <c r="G826" s="148">
        <f>IF('לקוחות לפי סוכן - מקור'!H685="",'לקוחות לפי סוכן - מקור חדש'!E333,'לקוחות לפי סוכן - מקור'!H685)</f>
        <v/>
      </c>
      <c r="H826" s="148">
        <f>IF('לקוחות לפי סוכן - מקור'!I685="",'לקוחות לפי סוכן - מקור חדש'!G333,'לקוחות לפי סוכן - מקור'!I685)</f>
        <v/>
      </c>
      <c r="I826" s="139" t="inlineStr">
        <is>
          <t>שני המקורות</t>
        </is>
      </c>
      <c r="J826" s="139" t="inlineStr">
        <is>
          <t>קיים במקור (CHMI) + מכר 2025/כמויות הושלמו מהקובץ החדש</t>
        </is>
      </c>
    </row>
    <row r="827" ht="15" customHeight="1" s="82">
      <c r="A827" s="139">
        <f>'לקוחות לפי סוכן - מקור'!A686</f>
        <v/>
      </c>
      <c r="B827" s="139">
        <f>'לקוחות לפי סוכן - מקור'!C686</f>
        <v/>
      </c>
      <c r="C827" s="139">
        <f>'לקוחות לפי סוכן - מקור'!D686</f>
        <v/>
      </c>
      <c r="D827" s="139">
        <f>'לקוחות לפי סוכן - מקור'!E686</f>
        <v/>
      </c>
      <c r="E827" s="147">
        <f>IF('לקוחות לפי סוכן - מקור'!F686="",'לקוחות לפי סוכן - מקור חדש'!F334,'לקוחות לפי סוכן - מקור'!F686)</f>
        <v/>
      </c>
      <c r="F827" s="147">
        <f>IF('לקוחות לפי סוכן - מקור'!G686="",'לקוחות לפי סוכן - מקור חדש'!H334,'לקוחות לפי סוכן - מקור'!G686)</f>
        <v/>
      </c>
      <c r="G827" s="148">
        <f>IF('לקוחות לפי סוכן - מקור'!H686="",'לקוחות לפי סוכן - מקור חדש'!E334,'לקוחות לפי סוכן - מקור'!H686)</f>
        <v/>
      </c>
      <c r="H827" s="148">
        <f>IF('לקוחות לפי סוכן - מקור'!I686="",'לקוחות לפי סוכן - מקור חדש'!G334,'לקוחות לפי סוכן - מקור'!I686)</f>
        <v/>
      </c>
      <c r="I827" s="139" t="inlineStr">
        <is>
          <t>שני המקורות</t>
        </is>
      </c>
      <c r="J827" s="139" t="inlineStr">
        <is>
          <t>קיים במקור (CHMI) + מכר 2025/כמויות הושלמו מהקובץ החדש</t>
        </is>
      </c>
    </row>
    <row r="828" ht="15" customHeight="1" s="82">
      <c r="A828" s="139">
        <f>'לקוחות לפי סוכן - מקור'!A687</f>
        <v/>
      </c>
      <c r="B828" s="139">
        <f>'לקוחות לפי סוכן - מקור'!C687</f>
        <v/>
      </c>
      <c r="C828" s="139">
        <f>'לקוחות לפי סוכן - מקור'!D687</f>
        <v/>
      </c>
      <c r="D828" s="139">
        <f>'לקוחות לפי סוכן - מקור'!E687</f>
        <v/>
      </c>
      <c r="E828" s="147">
        <f>IF('לקוחות לפי סוכן - מקור'!F687="",'לקוחות לפי סוכן - מקור חדש'!F335,'לקוחות לפי סוכן - מקור'!F687)</f>
        <v/>
      </c>
      <c r="F828" s="147">
        <f>IF('לקוחות לפי סוכן - מקור'!G687="",'לקוחות לפי סוכן - מקור חדש'!H335,'לקוחות לפי סוכן - מקור'!G687)</f>
        <v/>
      </c>
      <c r="G828" s="148">
        <f>IF('לקוחות לפי סוכן - מקור'!H687="",'לקוחות לפי סוכן - מקור חדש'!E335,'לקוחות לפי סוכן - מקור'!H687)</f>
        <v/>
      </c>
      <c r="H828" s="148">
        <f>IF('לקוחות לפי סוכן - מקור'!I687="",'לקוחות לפי סוכן - מקור חדש'!G335,'לקוחות לפי סוכן - מקור'!I687)</f>
        <v/>
      </c>
      <c r="I828" s="139" t="inlineStr">
        <is>
          <t>שני המקורות</t>
        </is>
      </c>
      <c r="J828" s="139" t="inlineStr">
        <is>
          <t>קיים במקור (CHMI) + מכר 2025/כמויות הושלמו מהקובץ החדש — פער ב-2026 מול הקובץ החדש, נבחר המקור</t>
        </is>
      </c>
    </row>
    <row r="829" ht="15" customHeight="1" s="82">
      <c r="A829" s="139">
        <f>'לקוחות לפי סוכן - מקור'!A688</f>
        <v/>
      </c>
      <c r="B829" s="139">
        <f>'לקוחות לפי סוכן - מקור'!C688</f>
        <v/>
      </c>
      <c r="C829" s="139">
        <f>'לקוחות לפי סוכן - מקור'!D688</f>
        <v/>
      </c>
      <c r="D829" s="139">
        <f>'לקוחות לפי סוכן - מקור'!E688</f>
        <v/>
      </c>
      <c r="E829" s="147">
        <f>IF('לקוחות לפי סוכן - מקור'!F688="",'לקוחות לפי סוכן - מקור חדש'!F337,'לקוחות לפי סוכן - מקור'!F688)</f>
        <v/>
      </c>
      <c r="F829" s="147">
        <f>IF('לקוחות לפי סוכן - מקור'!G688="",'לקוחות לפי סוכן - מקור חדש'!H337,'לקוחות לפי סוכן - מקור'!G688)</f>
        <v/>
      </c>
      <c r="G829" s="148">
        <f>IF('לקוחות לפי סוכן - מקור'!H688="",'לקוחות לפי סוכן - מקור חדש'!E337,'לקוחות לפי סוכן - מקור'!H688)</f>
        <v/>
      </c>
      <c r="H829" s="148">
        <f>IF('לקוחות לפי סוכן - מקור'!I688="",'לקוחות לפי סוכן - מקור חדש'!G337,'לקוחות לפי סוכן - מקור'!I688)</f>
        <v/>
      </c>
      <c r="I829" s="139" t="inlineStr">
        <is>
          <t>שני המקורות</t>
        </is>
      </c>
      <c r="J829" s="139" t="inlineStr">
        <is>
          <t>קיים במקור (CHMI) + מכר 2025/כמויות הושלמו מהקובץ החדש</t>
        </is>
      </c>
    </row>
    <row r="830" ht="15" customHeight="1" s="82">
      <c r="A830" s="139">
        <f>'לקוחות לפי סוכן - מקור'!A689</f>
        <v/>
      </c>
      <c r="B830" s="139">
        <f>'לקוחות לפי סוכן - מקור'!C689</f>
        <v/>
      </c>
      <c r="C830" s="139">
        <f>'לקוחות לפי סוכן - מקור'!D689</f>
        <v/>
      </c>
      <c r="D830" s="139">
        <f>'לקוחות לפי סוכן - מקור'!E689</f>
        <v/>
      </c>
      <c r="E830" s="147">
        <f>IF('לקוחות לפי סוכן - מקור'!F689="",'לקוחות לפי סוכן - מקור חדש'!F338,'לקוחות לפי סוכן - מקור'!F689)</f>
        <v/>
      </c>
      <c r="F830" s="147">
        <f>IF('לקוחות לפי סוכן - מקור'!G689="",'לקוחות לפי סוכן - מקור חדש'!H338,'לקוחות לפי סוכן - מקור'!G689)</f>
        <v/>
      </c>
      <c r="G830" s="148">
        <f>IF('לקוחות לפי סוכן - מקור'!H689="",'לקוחות לפי סוכן - מקור חדש'!E338,'לקוחות לפי סוכן - מקור'!H689)</f>
        <v/>
      </c>
      <c r="H830" s="148">
        <f>IF('לקוחות לפי סוכן - מקור'!I689="",'לקוחות לפי סוכן - מקור חדש'!G338,'לקוחות לפי סוכן - מקור'!I689)</f>
        <v/>
      </c>
      <c r="I830" s="139" t="inlineStr">
        <is>
          <t>שני המקורות</t>
        </is>
      </c>
      <c r="J830" s="139" t="inlineStr">
        <is>
          <t>קיים במקור (CHMI) + מכר 2025/כמויות הושלמו מהקובץ החדש</t>
        </is>
      </c>
    </row>
    <row r="831" ht="15" customHeight="1" s="82">
      <c r="A831" s="139">
        <f>'לקוחות לפי סוכן - מקור'!A690</f>
        <v/>
      </c>
      <c r="B831" s="139">
        <f>'לקוחות לפי סוכן - מקור'!C690</f>
        <v/>
      </c>
      <c r="C831" s="139">
        <f>'לקוחות לפי סוכן - מקור'!D690</f>
        <v/>
      </c>
      <c r="D831" s="139">
        <f>'לקוחות לפי סוכן - מקור'!E690</f>
        <v/>
      </c>
      <c r="E831" s="147">
        <f>IF('לקוחות לפי סוכן - מקור'!F690="",'לקוחות לפי סוכן - מקור חדש'!F339,'לקוחות לפי סוכן - מקור'!F690)</f>
        <v/>
      </c>
      <c r="F831" s="147">
        <f>IF('לקוחות לפי סוכן - מקור'!G690="",'לקוחות לפי סוכן - מקור חדש'!H339,'לקוחות לפי סוכן - מקור'!G690)</f>
        <v/>
      </c>
      <c r="G831" s="148">
        <f>IF('לקוחות לפי סוכן - מקור'!H690="",'לקוחות לפי סוכן - מקור חדש'!E339,'לקוחות לפי סוכן - מקור'!H690)</f>
        <v/>
      </c>
      <c r="H831" s="148">
        <f>IF('לקוחות לפי סוכן - מקור'!I690="",'לקוחות לפי סוכן - מקור חדש'!G339,'לקוחות לפי סוכן - מקור'!I690)</f>
        <v/>
      </c>
      <c r="I831" s="139" t="inlineStr">
        <is>
          <t>שני המקורות</t>
        </is>
      </c>
      <c r="J831" s="139" t="inlineStr">
        <is>
          <t>קיים במקור (CHMI) + מכר 2025/כמויות הושלמו מהקובץ החדש</t>
        </is>
      </c>
    </row>
    <row r="832" ht="15" customHeight="1" s="82">
      <c r="A832" s="139">
        <f>'לקוחות לפי סוכן - מקור'!A691</f>
        <v/>
      </c>
      <c r="B832" s="139">
        <f>'לקוחות לפי סוכן - מקור'!C691</f>
        <v/>
      </c>
      <c r="C832" s="139">
        <f>'לקוחות לפי סוכן - מקור'!D691</f>
        <v/>
      </c>
      <c r="D832" s="139">
        <f>'לקוחות לפי סוכן - מקור'!E691</f>
        <v/>
      </c>
      <c r="E832" s="147">
        <f>IF('לקוחות לפי סוכן - מקור'!F691="",'לקוחות לפי סוכן - מקור חדש'!F340,'לקוחות לפי סוכן - מקור'!F691)</f>
        <v/>
      </c>
      <c r="F832" s="147">
        <f>IF('לקוחות לפי סוכן - מקור'!G691="",'לקוחות לפי סוכן - מקור חדש'!H340,'לקוחות לפי סוכן - מקור'!G691)</f>
        <v/>
      </c>
      <c r="G832" s="148">
        <f>IF('לקוחות לפי סוכן - מקור'!H691="",'לקוחות לפי סוכן - מקור חדש'!E340,'לקוחות לפי סוכן - מקור'!H691)</f>
        <v/>
      </c>
      <c r="H832" s="148">
        <f>IF('לקוחות לפי סוכן - מקור'!I691="",'לקוחות לפי סוכן - מקור חדש'!G340,'לקוחות לפי סוכן - מקור'!I691)</f>
        <v/>
      </c>
      <c r="I832" s="139" t="inlineStr">
        <is>
          <t>שני המקורות</t>
        </is>
      </c>
      <c r="J832" s="139" t="inlineStr">
        <is>
          <t>קיים במקור (CHMI) + מכר 2025/כמויות הושלמו מהקובץ החדש — פער ב-2026 מול הקובץ החדש, נבחר המקור</t>
        </is>
      </c>
    </row>
    <row r="833" ht="15" customHeight="1" s="82">
      <c r="A833" s="139">
        <f>'לקוחות לפי סוכן - מקור'!A692</f>
        <v/>
      </c>
      <c r="B833" s="139">
        <f>'לקוחות לפי סוכן - מקור'!C692</f>
        <v/>
      </c>
      <c r="C833" s="139">
        <f>'לקוחות לפי סוכן - מקור'!D692</f>
        <v/>
      </c>
      <c r="D833" s="139">
        <f>'לקוחות לפי סוכן - מקור'!E692</f>
        <v/>
      </c>
      <c r="E833" s="147">
        <f>IF('לקוחות לפי סוכן - מקור'!F692="",'לקוחות לפי סוכן - מקור חדש'!F341,'לקוחות לפי סוכן - מקור'!F692)</f>
        <v/>
      </c>
      <c r="F833" s="147">
        <f>IF('לקוחות לפי סוכן - מקור'!G692="",'לקוחות לפי סוכן - מקור חדש'!H341,'לקוחות לפי סוכן - מקור'!G692)</f>
        <v/>
      </c>
      <c r="G833" s="148">
        <f>IF('לקוחות לפי סוכן - מקור'!H692="",'לקוחות לפי סוכן - מקור חדש'!E341,'לקוחות לפי סוכן - מקור'!H692)</f>
        <v/>
      </c>
      <c r="H833" s="148">
        <f>IF('לקוחות לפי סוכן - מקור'!I692="",'לקוחות לפי סוכן - מקור חדש'!G341,'לקוחות לפי סוכן - מקור'!I692)</f>
        <v/>
      </c>
      <c r="I833" s="139" t="inlineStr">
        <is>
          <t>שני המקורות</t>
        </is>
      </c>
      <c r="J833" s="139" t="inlineStr">
        <is>
          <t>קיים במקור (CHMI) + מכר 2025/כמויות הושלמו מהקובץ החדש — פער ב-2026 מול הקובץ החדש, נבחר המקור</t>
        </is>
      </c>
    </row>
    <row r="834" ht="15" customHeight="1" s="82">
      <c r="A834" s="139">
        <f>'לקוחות לפי סוכן - מקור'!A693</f>
        <v/>
      </c>
      <c r="B834" s="139">
        <f>'לקוחות לפי סוכן - מקור'!C693</f>
        <v/>
      </c>
      <c r="C834" s="139">
        <f>'לקוחות לפי סוכן - מקור'!D693</f>
        <v/>
      </c>
      <c r="D834" s="139">
        <f>'לקוחות לפי סוכן - מקור'!E693</f>
        <v/>
      </c>
      <c r="E834" s="147">
        <f>IF('לקוחות לפי סוכן - מקור'!F693="",'לקוחות לפי סוכן - מקור חדש'!F342,'לקוחות לפי סוכן - מקור'!F693)</f>
        <v/>
      </c>
      <c r="F834" s="147">
        <f>IF('לקוחות לפי סוכן - מקור'!G693="",'לקוחות לפי סוכן - מקור חדש'!H342,'לקוחות לפי סוכן - מקור'!G693)</f>
        <v/>
      </c>
      <c r="G834" s="148">
        <f>IF('לקוחות לפי סוכן - מקור'!H693="",'לקוחות לפי סוכן - מקור חדש'!E342,'לקוחות לפי סוכן - מקור'!H693)</f>
        <v/>
      </c>
      <c r="H834" s="148">
        <f>IF('לקוחות לפי סוכן - מקור'!I693="",'לקוחות לפי סוכן - מקור חדש'!G342,'לקוחות לפי סוכן - מקור'!I693)</f>
        <v/>
      </c>
      <c r="I834" s="139" t="inlineStr">
        <is>
          <t>שני המקורות</t>
        </is>
      </c>
      <c r="J834" s="139" t="inlineStr">
        <is>
          <t>קיים במקור (CHMI) + מכר 2025/כמויות הושלמו מהקובץ החדש</t>
        </is>
      </c>
    </row>
    <row r="835" ht="15" customHeight="1" s="82">
      <c r="A835" s="139">
        <f>'לקוחות לפי סוכן - מקור'!A694</f>
        <v/>
      </c>
      <c r="B835" s="139">
        <f>'לקוחות לפי סוכן - מקור'!C694</f>
        <v/>
      </c>
      <c r="C835" s="139">
        <f>'לקוחות לפי סוכן - מקור'!D694</f>
        <v/>
      </c>
      <c r="D835" s="139">
        <f>'לקוחות לפי סוכן - מקור'!E694</f>
        <v/>
      </c>
      <c r="E835" s="147">
        <f>IF('לקוחות לפי סוכן - מקור'!F694="",'לקוחות לפי סוכן - מקור חדש'!F343,'לקוחות לפי סוכן - מקור'!F694)</f>
        <v/>
      </c>
      <c r="F835" s="147">
        <f>IF('לקוחות לפי סוכן - מקור'!G694="",'לקוחות לפי סוכן - מקור חדש'!H343,'לקוחות לפי סוכן - מקור'!G694)</f>
        <v/>
      </c>
      <c r="G835" s="148">
        <f>IF('לקוחות לפי סוכן - מקור'!H694="",'לקוחות לפי סוכן - מקור חדש'!E343,'לקוחות לפי סוכן - מקור'!H694)</f>
        <v/>
      </c>
      <c r="H835" s="148">
        <f>IF('לקוחות לפי סוכן - מקור'!I694="",'לקוחות לפי סוכן - מקור חדש'!G343,'לקוחות לפי סוכן - מקור'!I694)</f>
        <v/>
      </c>
      <c r="I835" s="139" t="inlineStr">
        <is>
          <t>שני המקורות</t>
        </is>
      </c>
      <c r="J835" s="139" t="inlineStr">
        <is>
          <t>קיים במקור (CHMI) + מכר 2025/כמויות הושלמו מהקובץ החדש — פער ב-2026 מול הקובץ החדש, נבחר המקור</t>
        </is>
      </c>
    </row>
    <row r="836" ht="15" customHeight="1" s="82">
      <c r="A836" s="139">
        <f>'לקוחות לפי סוכן - מקור'!A695</f>
        <v/>
      </c>
      <c r="B836" s="139">
        <f>'לקוחות לפי סוכן - מקור'!C695</f>
        <v/>
      </c>
      <c r="C836" s="139">
        <f>'לקוחות לפי סוכן - מקור'!D695</f>
        <v/>
      </c>
      <c r="D836" s="139">
        <f>'לקוחות לפי סוכן - מקור'!E695</f>
        <v/>
      </c>
      <c r="E836" s="147">
        <f>IF('לקוחות לפי סוכן - מקור'!F695="",'לקוחות לפי סוכן - מקור חדש'!F344,'לקוחות לפי סוכן - מקור'!F695)</f>
        <v/>
      </c>
      <c r="F836" s="147">
        <f>IF('לקוחות לפי סוכן - מקור'!G695="",'לקוחות לפי סוכן - מקור חדש'!H344,'לקוחות לפי סוכן - מקור'!G695)</f>
        <v/>
      </c>
      <c r="G836" s="148">
        <f>IF('לקוחות לפי סוכן - מקור'!H695="",'לקוחות לפי סוכן - מקור חדש'!E344,'לקוחות לפי סוכן - מקור'!H695)</f>
        <v/>
      </c>
      <c r="H836" s="148">
        <f>IF('לקוחות לפי סוכן - מקור'!I695="",'לקוחות לפי סוכן - מקור חדש'!G344,'לקוחות לפי סוכן - מקור'!I695)</f>
        <v/>
      </c>
      <c r="I836" s="139" t="inlineStr">
        <is>
          <t>שני המקורות</t>
        </is>
      </c>
      <c r="J836" s="139" t="inlineStr">
        <is>
          <t>קיים במקור (CHMI) + מכר 2025/כמויות הושלמו מהקובץ החדש</t>
        </is>
      </c>
    </row>
    <row r="837" ht="15" customHeight="1" s="82">
      <c r="A837" s="139">
        <f>'לקוחות לפי סוכן - מקור'!A696</f>
        <v/>
      </c>
      <c r="B837" s="139">
        <f>'לקוחות לפי סוכן - מקור'!C696</f>
        <v/>
      </c>
      <c r="C837" s="139">
        <f>'לקוחות לפי סוכן - מקור'!D696</f>
        <v/>
      </c>
      <c r="D837" s="139">
        <f>'לקוחות לפי סוכן - מקור'!E696</f>
        <v/>
      </c>
      <c r="E837" s="147">
        <f>IF('לקוחות לפי סוכן - מקור'!F696="",'לקוחות לפי סוכן - מקור חדש'!F345,'לקוחות לפי סוכן - מקור'!F696)</f>
        <v/>
      </c>
      <c r="F837" s="147">
        <f>IF('לקוחות לפי סוכן - מקור'!G696="",'לקוחות לפי סוכן - מקור חדש'!H345,'לקוחות לפי סוכן - מקור'!G696)</f>
        <v/>
      </c>
      <c r="G837" s="148">
        <f>IF('לקוחות לפי סוכן - מקור'!H696="",'לקוחות לפי סוכן - מקור חדש'!E345,'לקוחות לפי סוכן - מקור'!H696)</f>
        <v/>
      </c>
      <c r="H837" s="148">
        <f>IF('לקוחות לפי סוכן - מקור'!I696="",'לקוחות לפי סוכן - מקור חדש'!G345,'לקוחות לפי סוכן - מקור'!I696)</f>
        <v/>
      </c>
      <c r="I837" s="139" t="inlineStr">
        <is>
          <t>שני המקורות</t>
        </is>
      </c>
      <c r="J837" s="139" t="inlineStr">
        <is>
          <t>קיים במקור (CHMI) + מכר 2025/כמויות הושלמו מהקובץ החדש</t>
        </is>
      </c>
    </row>
    <row r="838" ht="15" customHeight="1" s="82">
      <c r="A838" s="139">
        <f>'לקוחות לפי סוכן - מקור'!A697</f>
        <v/>
      </c>
      <c r="B838" s="139">
        <f>'לקוחות לפי סוכן - מקור'!C697</f>
        <v/>
      </c>
      <c r="C838" s="139">
        <f>'לקוחות לפי סוכן - מקור'!D697</f>
        <v/>
      </c>
      <c r="D838" s="139">
        <f>'לקוחות לפי סוכן - מקור'!E697</f>
        <v/>
      </c>
      <c r="E838" s="147">
        <f>IF('לקוחות לפי סוכן - מקור'!F697="",'לקוחות לפי סוכן - מקור חדש'!F346,'לקוחות לפי סוכן - מקור'!F697)</f>
        <v/>
      </c>
      <c r="F838" s="147">
        <f>IF('לקוחות לפי סוכן - מקור'!G697="",'לקוחות לפי סוכן - מקור חדש'!H346,'לקוחות לפי סוכן - מקור'!G697)</f>
        <v/>
      </c>
      <c r="G838" s="148">
        <f>IF('לקוחות לפי סוכן - מקור'!H697="",'לקוחות לפי סוכן - מקור חדש'!E346,'לקוחות לפי סוכן - מקור'!H697)</f>
        <v/>
      </c>
      <c r="H838" s="148">
        <f>IF('לקוחות לפי סוכן - מקור'!I697="",'לקוחות לפי סוכן - מקור חדש'!G346,'לקוחות לפי סוכן - מקור'!I697)</f>
        <v/>
      </c>
      <c r="I838" s="139" t="inlineStr">
        <is>
          <t>שני המקורות</t>
        </is>
      </c>
      <c r="J838" s="139" t="inlineStr">
        <is>
          <t>קיים במקור (CHMI) + מכר 2025/כמויות הושלמו מהקובץ החדש</t>
        </is>
      </c>
    </row>
    <row r="839" ht="15" customHeight="1" s="82">
      <c r="A839" s="139">
        <f>'לקוחות לפי סוכן - מקור'!A698</f>
        <v/>
      </c>
      <c r="B839" s="139">
        <f>'לקוחות לפי סוכן - מקור'!C698</f>
        <v/>
      </c>
      <c r="C839" s="139">
        <f>'לקוחות לפי סוכן - מקור'!D698</f>
        <v/>
      </c>
      <c r="D839" s="139">
        <f>'לקוחות לפי סוכן - מקור'!E698</f>
        <v/>
      </c>
      <c r="E839" s="147">
        <f>IF('לקוחות לפי סוכן - מקור'!F698="",'לקוחות לפי סוכן - מקור חדש'!F347,'לקוחות לפי סוכן - מקור'!F698)</f>
        <v/>
      </c>
      <c r="F839" s="147">
        <f>IF('לקוחות לפי סוכן - מקור'!G698="",'לקוחות לפי סוכן - מקור חדש'!H347,'לקוחות לפי סוכן - מקור'!G698)</f>
        <v/>
      </c>
      <c r="G839" s="148">
        <f>IF('לקוחות לפי סוכן - מקור'!H698="",'לקוחות לפי סוכן - מקור חדש'!E347,'לקוחות לפי סוכן - מקור'!H698)</f>
        <v/>
      </c>
      <c r="H839" s="148">
        <f>IF('לקוחות לפי סוכן - מקור'!I698="",'לקוחות לפי סוכן - מקור חדש'!G347,'לקוחות לפי סוכן - מקור'!I698)</f>
        <v/>
      </c>
      <c r="I839" s="139" t="inlineStr">
        <is>
          <t>שני המקורות</t>
        </is>
      </c>
      <c r="J839" s="139" t="inlineStr">
        <is>
          <t>קיים במקור (CHMI) + מכר 2025/כמויות הושלמו מהקובץ החדש</t>
        </is>
      </c>
    </row>
    <row r="840" ht="15" customHeight="1" s="82">
      <c r="A840" s="139">
        <f>'לקוחות לפי סוכן - מקור'!A699</f>
        <v/>
      </c>
      <c r="B840" s="139">
        <f>'לקוחות לפי סוכן - מקור'!C699</f>
        <v/>
      </c>
      <c r="C840" s="139">
        <f>'לקוחות לפי סוכן - מקור'!D699</f>
        <v/>
      </c>
      <c r="D840" s="139">
        <f>'לקוחות לפי סוכן - מקור'!E699</f>
        <v/>
      </c>
      <c r="E840" s="147">
        <f>IF('לקוחות לפי סוכן - מקור'!F699="",'לקוחות לפי סוכן - מקור חדש'!F349,'לקוחות לפי סוכן - מקור'!F699)</f>
        <v/>
      </c>
      <c r="F840" s="147">
        <f>IF('לקוחות לפי סוכן - מקור'!G699="",'לקוחות לפי סוכן - מקור חדש'!H349,'לקוחות לפי סוכן - מקור'!G699)</f>
        <v/>
      </c>
      <c r="G840" s="148">
        <f>IF('לקוחות לפי סוכן - מקור'!H699="",'לקוחות לפי סוכן - מקור חדש'!E349,'לקוחות לפי סוכן - מקור'!H699)</f>
        <v/>
      </c>
      <c r="H840" s="148">
        <f>IF('לקוחות לפי סוכן - מקור'!I699="",'לקוחות לפי סוכן - מקור חדש'!G349,'לקוחות לפי סוכן - מקור'!I699)</f>
        <v/>
      </c>
      <c r="I840" s="139" t="inlineStr">
        <is>
          <t>שני המקורות</t>
        </is>
      </c>
      <c r="J840" s="139" t="inlineStr">
        <is>
          <t>קיים במקור (CHMI) + מכר 2025/כמויות הושלמו מהקובץ החדש</t>
        </is>
      </c>
    </row>
    <row r="841" ht="15" customHeight="1" s="82">
      <c r="A841" s="139">
        <f>'לקוחות לפי סוכן - מקור'!A700</f>
        <v/>
      </c>
      <c r="B841" s="139">
        <f>'לקוחות לפי סוכן - מקור'!C700</f>
        <v/>
      </c>
      <c r="C841" s="139">
        <f>'לקוחות לפי סוכן - מקור'!D700</f>
        <v/>
      </c>
      <c r="D841" s="139">
        <f>'לקוחות לפי סוכן - מקור'!E700</f>
        <v/>
      </c>
      <c r="E841" s="147">
        <f>IF('לקוחות לפי סוכן - מקור'!F700="",'לקוחות לפי סוכן - מקור חדש'!F352,'לקוחות לפי סוכן - מקור'!F700)</f>
        <v/>
      </c>
      <c r="F841" s="147">
        <f>IF('לקוחות לפי סוכן - מקור'!G700="",'לקוחות לפי סוכן - מקור חדש'!H352,'לקוחות לפי סוכן - מקור'!G700)</f>
        <v/>
      </c>
      <c r="G841" s="148">
        <f>IF('לקוחות לפי סוכן - מקור'!H700="",'לקוחות לפי סוכן - מקור חדש'!E352,'לקוחות לפי סוכן - מקור'!H700)</f>
        <v/>
      </c>
      <c r="H841" s="148">
        <f>IF('לקוחות לפי סוכן - מקור'!I700="",'לקוחות לפי סוכן - מקור חדש'!G352,'לקוחות לפי סוכן - מקור'!I700)</f>
        <v/>
      </c>
      <c r="I841" s="139" t="inlineStr">
        <is>
          <t>שני המקורות</t>
        </is>
      </c>
      <c r="J841" s="139" t="inlineStr">
        <is>
          <t>קיים במקור (CHMI) + מכר 2025/כמויות הושלמו מהקובץ החדש</t>
        </is>
      </c>
    </row>
    <row r="842" ht="15" customHeight="1" s="82">
      <c r="A842" s="139">
        <f>'לקוחות לפי סוכן - מקור'!A701</f>
        <v/>
      </c>
      <c r="B842" s="139">
        <f>'לקוחות לפי סוכן - מקור'!C701</f>
        <v/>
      </c>
      <c r="C842" s="139">
        <f>'לקוחות לפי סוכן - מקור'!D701</f>
        <v/>
      </c>
      <c r="D842" s="139">
        <f>'לקוחות לפי סוכן - מקור'!E701</f>
        <v/>
      </c>
      <c r="E842" s="147">
        <f>IF('לקוחות לפי סוכן - מקור'!F701="",'לקוחות לפי סוכן - מקור חדש'!F356,'לקוחות לפי סוכן - מקור'!F701)</f>
        <v/>
      </c>
      <c r="F842" s="147">
        <f>IF('לקוחות לפי סוכן - מקור'!G701="",'לקוחות לפי סוכן - מקור חדש'!H356,'לקוחות לפי סוכן - מקור'!G701)</f>
        <v/>
      </c>
      <c r="G842" s="148">
        <f>IF('לקוחות לפי סוכן - מקור'!H701="",'לקוחות לפי סוכן - מקור חדש'!E356,'לקוחות לפי סוכן - מקור'!H701)</f>
        <v/>
      </c>
      <c r="H842" s="148">
        <f>IF('לקוחות לפי סוכן - מקור'!I701="",'לקוחות לפי סוכן - מקור חדש'!G356,'לקוחות לפי סוכן - מקור'!I701)</f>
        <v/>
      </c>
      <c r="I842" s="139" t="inlineStr">
        <is>
          <t>שני המקורות</t>
        </is>
      </c>
      <c r="J842" s="139" t="inlineStr">
        <is>
          <t>קיים במקור (CHMI) + מכר 2025/כמויות הושלמו מהקובץ החדש</t>
        </is>
      </c>
    </row>
    <row r="843" ht="15" customHeight="1" s="82">
      <c r="A843" s="139">
        <f>'לקוחות לפי סוכן - מקור'!A702</f>
        <v/>
      </c>
      <c r="B843" s="139">
        <f>'לקוחות לפי סוכן - מקור'!C702</f>
        <v/>
      </c>
      <c r="C843" s="139">
        <f>'לקוחות לפי סוכן - מקור'!D702</f>
        <v/>
      </c>
      <c r="D843" s="139">
        <f>'לקוחות לפי סוכן - מקור'!E702</f>
        <v/>
      </c>
      <c r="E843" s="147">
        <f>'לקוחות לפי סוכן - מקור'!F702</f>
        <v/>
      </c>
      <c r="F843" s="147">
        <f>'לקוחות לפי סוכן - מקור'!G702</f>
        <v/>
      </c>
      <c r="G843" s="148">
        <f>'לקוחות לפי סוכן - מקור'!H702</f>
        <v/>
      </c>
      <c r="H843" s="148">
        <f>'לקוחות לפי סוכן - מקור'!I702</f>
        <v/>
      </c>
      <c r="I843" s="139">
        <f>'לקוחות לפי סוכן - מקור'!K702</f>
        <v/>
      </c>
      <c r="J843" s="139" t="inlineStr">
        <is>
          <t>קיים במקור</t>
        </is>
      </c>
    </row>
    <row r="844" ht="15" customHeight="1" s="82">
      <c r="A844" s="139">
        <f>'לקוחות לפי סוכן - מקור'!A703</f>
        <v/>
      </c>
      <c r="B844" s="139">
        <f>'לקוחות לפי סוכן - מקור'!C703</f>
        <v/>
      </c>
      <c r="C844" s="139">
        <f>'לקוחות לפי סוכן - מקור'!D703</f>
        <v/>
      </c>
      <c r="D844" s="139">
        <f>'לקוחות לפי סוכן - מקור'!E703</f>
        <v/>
      </c>
      <c r="E844" s="147">
        <f>IF('לקוחות לפי סוכן - מקור'!F703="",'לקוחות לפי סוכן - מקור חדש'!F360,'לקוחות לפי סוכן - מקור'!F703)</f>
        <v/>
      </c>
      <c r="F844" s="147">
        <f>IF('לקוחות לפי סוכן - מקור'!G703="",'לקוחות לפי סוכן - מקור חדש'!H360,'לקוחות לפי סוכן - מקור'!G703)</f>
        <v/>
      </c>
      <c r="G844" s="148">
        <f>IF('לקוחות לפי סוכן - מקור'!H703="",'לקוחות לפי סוכן - מקור חדש'!E360,'לקוחות לפי סוכן - מקור'!H703)</f>
        <v/>
      </c>
      <c r="H844" s="148">
        <f>IF('לקוחות לפי סוכן - מקור'!I703="",'לקוחות לפי סוכן - מקור חדש'!G360,'לקוחות לפי סוכן - מקור'!I703)</f>
        <v/>
      </c>
      <c r="I844" s="139" t="inlineStr">
        <is>
          <t>שני המקורות</t>
        </is>
      </c>
      <c r="J844" s="139" t="inlineStr">
        <is>
          <t>קיים במקור (CHMI) + מכר 2025/כמויות הושלמו מהקובץ החדש</t>
        </is>
      </c>
    </row>
    <row r="845" ht="15" customHeight="1" s="82">
      <c r="A845" s="139">
        <f>'לקוחות לפי סוכן - מקור'!A704</f>
        <v/>
      </c>
      <c r="B845" s="139">
        <f>'לקוחות לפי סוכן - מקור'!C704</f>
        <v/>
      </c>
      <c r="C845" s="139">
        <f>'לקוחות לפי סוכן - מקור'!D704</f>
        <v/>
      </c>
      <c r="D845" s="139">
        <f>'לקוחות לפי סוכן - מקור'!E704</f>
        <v/>
      </c>
      <c r="E845" s="147">
        <f>IF('לקוחות לפי סוכן - מקור'!F704="",'לקוחות לפי סוכן - מקור חדש'!F361,'לקוחות לפי סוכן - מקור'!F704)</f>
        <v/>
      </c>
      <c r="F845" s="147">
        <f>IF('לקוחות לפי סוכן - מקור'!G704="",'לקוחות לפי סוכן - מקור חדש'!H361,'לקוחות לפי סוכן - מקור'!G704)</f>
        <v/>
      </c>
      <c r="G845" s="148">
        <f>IF('לקוחות לפי סוכן - מקור'!H704="",'לקוחות לפי סוכן - מקור חדש'!E361,'לקוחות לפי סוכן - מקור'!H704)</f>
        <v/>
      </c>
      <c r="H845" s="148">
        <f>IF('לקוחות לפי סוכן - מקור'!I704="",'לקוחות לפי סוכן - מקור חדש'!G361,'לקוחות לפי סוכן - מקור'!I704)</f>
        <v/>
      </c>
      <c r="I845" s="139" t="inlineStr">
        <is>
          <t>שני המקורות</t>
        </is>
      </c>
      <c r="J845" s="139" t="inlineStr">
        <is>
          <t>קיים במקור (CHMI) + מכר 2025/כמויות הושלמו מהקובץ החדש</t>
        </is>
      </c>
    </row>
    <row r="846" ht="15" customHeight="1" s="82">
      <c r="A846" s="139">
        <f>'לקוחות לפי סוכן - מקור'!A705</f>
        <v/>
      </c>
      <c r="B846" s="139">
        <f>'לקוחות לפי סוכן - מקור'!C705</f>
        <v/>
      </c>
      <c r="C846" s="139">
        <f>'לקוחות לפי סוכן - מקור'!D705</f>
        <v/>
      </c>
      <c r="D846" s="139">
        <f>'לקוחות לפי סוכן - מקור'!E705</f>
        <v/>
      </c>
      <c r="E846" s="147">
        <f>IF('לקוחות לפי סוכן - מקור'!F705="",'לקוחות לפי סוכן - מקור חדש'!F364,'לקוחות לפי סוכן - מקור'!F705)</f>
        <v/>
      </c>
      <c r="F846" s="147">
        <f>IF('לקוחות לפי סוכן - מקור'!G705="",'לקוחות לפי סוכן - מקור חדש'!H364,'לקוחות לפי סוכן - מקור'!G705)</f>
        <v/>
      </c>
      <c r="G846" s="148">
        <f>IF('לקוחות לפי סוכן - מקור'!H705="",'לקוחות לפי סוכן - מקור חדש'!E364,'לקוחות לפי סוכן - מקור'!H705)</f>
        <v/>
      </c>
      <c r="H846" s="148">
        <f>IF('לקוחות לפי סוכן - מקור'!I705="",'לקוחות לפי סוכן - מקור חדש'!G364,'לקוחות לפי סוכן - מקור'!I705)</f>
        <v/>
      </c>
      <c r="I846" s="139" t="inlineStr">
        <is>
          <t>שני המקורות</t>
        </is>
      </c>
      <c r="J846" s="139" t="inlineStr">
        <is>
          <t>קיים במקור (CHMI) + מכר 2025/כמויות הושלמו מהקובץ החדש — פער ב-2026 מול הקובץ החדש, נבחר המקור</t>
        </is>
      </c>
    </row>
    <row r="847" ht="15" customHeight="1" s="82">
      <c r="A847" s="139">
        <f>'לקוחות לפי סוכן - מקור'!A706</f>
        <v/>
      </c>
      <c r="B847" s="139">
        <f>'לקוחות לפי סוכן - מקור'!C706</f>
        <v/>
      </c>
      <c r="C847" s="139">
        <f>'לקוחות לפי סוכן - מקור'!D706</f>
        <v/>
      </c>
      <c r="D847" s="139">
        <f>'לקוחות לפי סוכן - מקור'!E706</f>
        <v/>
      </c>
      <c r="E847" s="147">
        <f>IF('לקוחות לפי סוכן - מקור'!F706="",'לקוחות לפי סוכן - מקור חדש'!F366,'לקוחות לפי סוכן - מקור'!F706)</f>
        <v/>
      </c>
      <c r="F847" s="147">
        <f>IF('לקוחות לפי סוכן - מקור'!G706="",'לקוחות לפי סוכן - מקור חדש'!H366,'לקוחות לפי סוכן - מקור'!G706)</f>
        <v/>
      </c>
      <c r="G847" s="148">
        <f>IF('לקוחות לפי סוכן - מקור'!H706="",'לקוחות לפי סוכן - מקור חדש'!E366,'לקוחות לפי סוכן - מקור'!H706)</f>
        <v/>
      </c>
      <c r="H847" s="148">
        <f>IF('לקוחות לפי סוכן - מקור'!I706="",'לקוחות לפי סוכן - מקור חדש'!G366,'לקוחות לפי סוכן - מקור'!I706)</f>
        <v/>
      </c>
      <c r="I847" s="139" t="inlineStr">
        <is>
          <t>שני המקורות</t>
        </is>
      </c>
      <c r="J847" s="139" t="inlineStr">
        <is>
          <t>קיים במקור (CHMI) + מכר 2025/כמויות הושלמו מהקובץ החדש</t>
        </is>
      </c>
    </row>
    <row r="848" ht="15" customHeight="1" s="82">
      <c r="A848" s="139">
        <f>'לקוחות לפי סוכן - מקור'!A707</f>
        <v/>
      </c>
      <c r="B848" s="139">
        <f>'לקוחות לפי סוכן - מקור'!C707</f>
        <v/>
      </c>
      <c r="C848" s="139">
        <f>'לקוחות לפי סוכן - מקור'!D707</f>
        <v/>
      </c>
      <c r="D848" s="139">
        <f>'לקוחות לפי סוכן - מקור'!E707</f>
        <v/>
      </c>
      <c r="E848" s="147">
        <f>IF('לקוחות לפי סוכן - מקור'!F707="",'לקוחות לפי סוכן - מקור חדש'!F367,'לקוחות לפי סוכן - מקור'!F707)</f>
        <v/>
      </c>
      <c r="F848" s="147">
        <f>IF('לקוחות לפי סוכן - מקור'!G707="",'לקוחות לפי סוכן - מקור חדש'!H367,'לקוחות לפי סוכן - מקור'!G707)</f>
        <v/>
      </c>
      <c r="G848" s="148">
        <f>IF('לקוחות לפי סוכן - מקור'!H707="",'לקוחות לפי סוכן - מקור חדש'!E367,'לקוחות לפי סוכן - מקור'!H707)</f>
        <v/>
      </c>
      <c r="H848" s="148">
        <f>IF('לקוחות לפי סוכן - מקור'!I707="",'לקוחות לפי סוכן - מקור חדש'!G367,'לקוחות לפי סוכן - מקור'!I707)</f>
        <v/>
      </c>
      <c r="I848" s="139" t="inlineStr">
        <is>
          <t>שני המקורות</t>
        </is>
      </c>
      <c r="J848" s="139" t="inlineStr">
        <is>
          <t>קיים במקור (CHMI) + מכר 2025/כמויות הושלמו מהקובץ החדש</t>
        </is>
      </c>
    </row>
    <row r="849" ht="15" customHeight="1" s="82">
      <c r="A849" s="139">
        <f>'לקוחות לפי סוכן - מקור'!A708</f>
        <v/>
      </c>
      <c r="B849" s="139">
        <f>'לקוחות לפי סוכן - מקור'!C708</f>
        <v/>
      </c>
      <c r="C849" s="139">
        <f>'לקוחות לפי סוכן - מקור'!D708</f>
        <v/>
      </c>
      <c r="D849" s="139">
        <f>'לקוחות לפי סוכן - מקור'!E708</f>
        <v/>
      </c>
      <c r="E849" s="147">
        <f>IF('לקוחות לפי סוכן - מקור'!F708="",'לקוחות לפי סוכן - מקור חדש'!F368,'לקוחות לפי סוכן - מקור'!F708)</f>
        <v/>
      </c>
      <c r="F849" s="147">
        <f>IF('לקוחות לפי סוכן - מקור'!G708="",'לקוחות לפי סוכן - מקור חדש'!H368,'לקוחות לפי סוכן - מקור'!G708)</f>
        <v/>
      </c>
      <c r="G849" s="148">
        <f>IF('לקוחות לפי סוכן - מקור'!H708="",'לקוחות לפי סוכן - מקור חדש'!E368,'לקוחות לפי סוכן - מקור'!H708)</f>
        <v/>
      </c>
      <c r="H849" s="148">
        <f>IF('לקוחות לפי סוכן - מקור'!I708="",'לקוחות לפי סוכן - מקור חדש'!G368,'לקוחות לפי סוכן - מקור'!I708)</f>
        <v/>
      </c>
      <c r="I849" s="139" t="inlineStr">
        <is>
          <t>שני המקורות</t>
        </is>
      </c>
      <c r="J849" s="139" t="inlineStr">
        <is>
          <t>קיים במקור (CHMI) + מכר 2025/כמויות הושלמו מהקובץ החדש</t>
        </is>
      </c>
    </row>
    <row r="850" ht="15" customHeight="1" s="82">
      <c r="A850" s="139">
        <f>'לקוחות לפי סוכן - מקור'!A709</f>
        <v/>
      </c>
      <c r="B850" s="139">
        <f>'לקוחות לפי סוכן - מקור'!C709</f>
        <v/>
      </c>
      <c r="C850" s="139">
        <f>'לקוחות לפי סוכן - מקור'!D709</f>
        <v/>
      </c>
      <c r="D850" s="139">
        <f>'לקוחות לפי סוכן - מקור'!E709</f>
        <v/>
      </c>
      <c r="E850" s="147">
        <f>IF('לקוחות לפי סוכן - מקור'!F709="",'לקוחות לפי סוכן - מקור חדש'!F377,'לקוחות לפי סוכן - מקור'!F709)</f>
        <v/>
      </c>
      <c r="F850" s="147">
        <f>IF('לקוחות לפי סוכן - מקור'!G709="",'לקוחות לפי סוכן - מקור חדש'!H377,'לקוחות לפי סוכן - מקור'!G709)</f>
        <v/>
      </c>
      <c r="G850" s="148">
        <f>IF('לקוחות לפי סוכן - מקור'!H709="",'לקוחות לפי סוכן - מקור חדש'!E377,'לקוחות לפי סוכן - מקור'!H709)</f>
        <v/>
      </c>
      <c r="H850" s="148">
        <f>IF('לקוחות לפי סוכן - מקור'!I709="",'לקוחות לפי סוכן - מקור חדש'!G377,'לקוחות לפי סוכן - מקור'!I709)</f>
        <v/>
      </c>
      <c r="I850" s="139" t="inlineStr">
        <is>
          <t>שני המקורות</t>
        </is>
      </c>
      <c r="J850" s="139" t="inlineStr">
        <is>
          <t>קיים במקור (CHMI) + מכר 2025/כמויות הושלמו מהקובץ החדש</t>
        </is>
      </c>
    </row>
    <row r="851" ht="15" customHeight="1" s="82">
      <c r="A851" s="139">
        <f>'לקוחות לפי סוכן - מקור'!A710</f>
        <v/>
      </c>
      <c r="B851" s="139">
        <f>'לקוחות לפי סוכן - מקור'!C710</f>
        <v/>
      </c>
      <c r="C851" s="139">
        <f>'לקוחות לפי סוכן - מקור'!D710</f>
        <v/>
      </c>
      <c r="D851" s="139">
        <f>'לקוחות לפי סוכן - מקור'!E710</f>
        <v/>
      </c>
      <c r="E851" s="147">
        <f>IF('לקוחות לפי סוכן - מקור'!F710="",'לקוחות לפי סוכן - מקור חדש'!F378,'לקוחות לפי סוכן - מקור'!F710)</f>
        <v/>
      </c>
      <c r="F851" s="147">
        <f>IF('לקוחות לפי סוכן - מקור'!G710="",'לקוחות לפי סוכן - מקור חדש'!H378,'לקוחות לפי סוכן - מקור'!G710)</f>
        <v/>
      </c>
      <c r="G851" s="148">
        <f>IF('לקוחות לפי סוכן - מקור'!H710="",'לקוחות לפי סוכן - מקור חדש'!E378,'לקוחות לפי סוכן - מקור'!H710)</f>
        <v/>
      </c>
      <c r="H851" s="148">
        <f>IF('לקוחות לפי סוכן - מקור'!I710="",'לקוחות לפי סוכן - מקור חדש'!G378,'לקוחות לפי סוכן - מקור'!I710)</f>
        <v/>
      </c>
      <c r="I851" s="139" t="inlineStr">
        <is>
          <t>שני המקורות</t>
        </is>
      </c>
      <c r="J851" s="139" t="inlineStr">
        <is>
          <t>קיים במקור (CHMI) + מכר 2025/כמויות הושלמו מהקובץ החדש — פער ב-2026 מול הקובץ החדש, נבחר המקור</t>
        </is>
      </c>
    </row>
    <row r="852" ht="15" customHeight="1" s="82">
      <c r="A852" s="139">
        <f>'לקוחות לפי סוכן - מקור'!A711</f>
        <v/>
      </c>
      <c r="B852" s="139">
        <f>'לקוחות לפי סוכן - מקור'!C711</f>
        <v/>
      </c>
      <c r="C852" s="139">
        <f>'לקוחות לפי סוכן - מקור'!D711</f>
        <v/>
      </c>
      <c r="D852" s="139">
        <f>'לקוחות לפי סוכן - מקור'!E711</f>
        <v/>
      </c>
      <c r="E852" s="147">
        <f>IF('לקוחות לפי סוכן - מקור'!F711="",'לקוחות לפי סוכן - מקור חדש'!F379,'לקוחות לפי סוכן - מקור'!F711)</f>
        <v/>
      </c>
      <c r="F852" s="147">
        <f>IF('לקוחות לפי סוכן - מקור'!G711="",'לקוחות לפי סוכן - מקור חדש'!H379,'לקוחות לפי סוכן - מקור'!G711)</f>
        <v/>
      </c>
      <c r="G852" s="148">
        <f>IF('לקוחות לפי סוכן - מקור'!H711="",'לקוחות לפי סוכן - מקור חדש'!E379,'לקוחות לפי סוכן - מקור'!H711)</f>
        <v/>
      </c>
      <c r="H852" s="148">
        <f>IF('לקוחות לפי סוכן - מקור'!I711="",'לקוחות לפי סוכן - מקור חדש'!G379,'לקוחות לפי סוכן - מקור'!I711)</f>
        <v/>
      </c>
      <c r="I852" s="139" t="inlineStr">
        <is>
          <t>שני המקורות</t>
        </is>
      </c>
      <c r="J852" s="139" t="inlineStr">
        <is>
          <t>קיים במקור (CHMI) + מכר 2025/כמויות הושלמו מהקובץ החדש</t>
        </is>
      </c>
    </row>
    <row r="853" ht="15" customHeight="1" s="82">
      <c r="A853" s="139">
        <f>'לקוחות לפי סוכן - מקור'!A712</f>
        <v/>
      </c>
      <c r="B853" s="139">
        <f>'לקוחות לפי סוכן - מקור'!C712</f>
        <v/>
      </c>
      <c r="C853" s="139">
        <f>'לקוחות לפי סוכן - מקור'!D712</f>
        <v/>
      </c>
      <c r="D853" s="139">
        <f>'לקוחות לפי סוכן - מקור'!E712</f>
        <v/>
      </c>
      <c r="E853" s="147">
        <f>IF('לקוחות לפי סוכן - מקור'!F712="",'לקוחות לפי סוכן - מקור חדש'!F380,'לקוחות לפי סוכן - מקור'!F712)</f>
        <v/>
      </c>
      <c r="F853" s="147">
        <f>IF('לקוחות לפי סוכן - מקור'!G712="",'לקוחות לפי סוכן - מקור חדש'!H380,'לקוחות לפי סוכן - מקור'!G712)</f>
        <v/>
      </c>
      <c r="G853" s="148">
        <f>IF('לקוחות לפי סוכן - מקור'!H712="",'לקוחות לפי סוכן - מקור חדש'!E380,'לקוחות לפי סוכן - מקור'!H712)</f>
        <v/>
      </c>
      <c r="H853" s="148">
        <f>IF('לקוחות לפי סוכן - מקור'!I712="",'לקוחות לפי סוכן - מקור חדש'!G380,'לקוחות לפי סוכן - מקור'!I712)</f>
        <v/>
      </c>
      <c r="I853" s="139" t="inlineStr">
        <is>
          <t>שני המקורות</t>
        </is>
      </c>
      <c r="J853" s="139" t="inlineStr">
        <is>
          <t>קיים במקור (CHMI) + מכר 2025/כמויות הושלמו מהקובץ החדש</t>
        </is>
      </c>
    </row>
    <row r="854" ht="15" customHeight="1" s="82">
      <c r="A854" s="139">
        <f>'לקוחות לפי סוכן - מקור'!A713</f>
        <v/>
      </c>
      <c r="B854" s="139">
        <f>'לקוחות לפי סוכן - מקור'!C713</f>
        <v/>
      </c>
      <c r="C854" s="139">
        <f>'לקוחות לפי סוכן - מקור'!D713</f>
        <v/>
      </c>
      <c r="D854" s="139">
        <f>'לקוחות לפי סוכן - מקור'!E713</f>
        <v/>
      </c>
      <c r="E854" s="147">
        <f>IF('לקוחות לפי סוכן - מקור'!F713="",'לקוחות לפי סוכן - מקור חדש'!F381,'לקוחות לפי סוכן - מקור'!F713)</f>
        <v/>
      </c>
      <c r="F854" s="147">
        <f>IF('לקוחות לפי סוכן - מקור'!G713="",'לקוחות לפי סוכן - מקור חדש'!H381,'לקוחות לפי סוכן - מקור'!G713)</f>
        <v/>
      </c>
      <c r="G854" s="148">
        <f>IF('לקוחות לפי סוכן - מקור'!H713="",'לקוחות לפי סוכן - מקור חדש'!E381,'לקוחות לפי סוכן - מקור'!H713)</f>
        <v/>
      </c>
      <c r="H854" s="148">
        <f>IF('לקוחות לפי סוכן - מקור'!I713="",'לקוחות לפי סוכן - מקור חדש'!G381,'לקוחות לפי סוכן - מקור'!I713)</f>
        <v/>
      </c>
      <c r="I854" s="139" t="inlineStr">
        <is>
          <t>שני המקורות</t>
        </is>
      </c>
      <c r="J854" s="139" t="inlineStr">
        <is>
          <t>קיים במקור (CHMI) + מכר 2025/כמויות הושלמו מהקובץ החדש</t>
        </is>
      </c>
    </row>
    <row r="855" ht="15" customHeight="1" s="82">
      <c r="A855" s="139">
        <f>'לקוחות לפי סוכן - מקור'!A714</f>
        <v/>
      </c>
      <c r="B855" s="139">
        <f>'לקוחות לפי סוכן - מקור'!C714</f>
        <v/>
      </c>
      <c r="C855" s="139">
        <f>'לקוחות לפי סוכן - מקור'!D714</f>
        <v/>
      </c>
      <c r="D855" s="139">
        <f>'לקוחות לפי סוכן - מקור'!E714</f>
        <v/>
      </c>
      <c r="E855" s="147">
        <f>IF('לקוחות לפי סוכן - מקור'!F714="",'לקוחות לפי סוכן - מקור חדש'!F382,'לקוחות לפי סוכן - מקור'!F714)</f>
        <v/>
      </c>
      <c r="F855" s="147">
        <f>IF('לקוחות לפי סוכן - מקור'!G714="",'לקוחות לפי סוכן - מקור חדש'!H382,'לקוחות לפי סוכן - מקור'!G714)</f>
        <v/>
      </c>
      <c r="G855" s="148">
        <f>IF('לקוחות לפי סוכן - מקור'!H714="",'לקוחות לפי סוכן - מקור חדש'!E382,'לקוחות לפי סוכן - מקור'!H714)</f>
        <v/>
      </c>
      <c r="H855" s="148">
        <f>IF('לקוחות לפי סוכן - מקור'!I714="",'לקוחות לפי סוכן - מקור חדש'!G382,'לקוחות לפי סוכן - מקור'!I714)</f>
        <v/>
      </c>
      <c r="I855" s="139" t="inlineStr">
        <is>
          <t>שני המקורות</t>
        </is>
      </c>
      <c r="J855" s="139" t="inlineStr">
        <is>
          <t>קיים במקור (CHMI) + מכר 2025/כמויות הושלמו מהקובץ החדש</t>
        </is>
      </c>
    </row>
    <row r="856" ht="15" customHeight="1" s="82">
      <c r="A856" s="139">
        <f>'לקוחות לפי סוכן - מקור'!A715</f>
        <v/>
      </c>
      <c r="B856" s="139">
        <f>'לקוחות לפי סוכן - מקור'!C715</f>
        <v/>
      </c>
      <c r="C856" s="139">
        <f>'לקוחות לפי סוכן - מקור'!D715</f>
        <v/>
      </c>
      <c r="D856" s="139">
        <f>'לקוחות לפי סוכן - מקור'!E715</f>
        <v/>
      </c>
      <c r="E856" s="147">
        <f>'לקוחות לפי סוכן - מקור'!F715</f>
        <v/>
      </c>
      <c r="F856" s="147">
        <f>'לקוחות לפי סוכן - מקור'!G715</f>
        <v/>
      </c>
      <c r="G856" s="148">
        <f>'לקוחות לפי סוכן - מקור'!H715</f>
        <v/>
      </c>
      <c r="H856" s="148">
        <f>'לקוחות לפי סוכן - מקור'!I715</f>
        <v/>
      </c>
      <c r="I856" s="139">
        <f>'לקוחות לפי סוכן - מקור'!K715</f>
        <v/>
      </c>
      <c r="J856" s="139" t="inlineStr">
        <is>
          <t>קיים במקור</t>
        </is>
      </c>
    </row>
    <row r="857" ht="15" customHeight="1" s="82">
      <c r="A857" s="139">
        <f>'לקוחות לפי סוכן - מקור'!A716</f>
        <v/>
      </c>
      <c r="B857" s="139">
        <f>'לקוחות לפי סוכן - מקור'!C716</f>
        <v/>
      </c>
      <c r="C857" s="139">
        <f>'לקוחות לפי סוכן - מקור'!D716</f>
        <v/>
      </c>
      <c r="D857" s="139">
        <f>'לקוחות לפי סוכן - מקור'!E716</f>
        <v/>
      </c>
      <c r="E857" s="147">
        <f>IF('לקוחות לפי סוכן - מקור'!F716="",'לקוחות לפי סוכן - מקור חדש'!F389,'לקוחות לפי סוכן - מקור'!F716)</f>
        <v/>
      </c>
      <c r="F857" s="147">
        <f>IF('לקוחות לפי סוכן - מקור'!G716="",'לקוחות לפי סוכן - מקור חדש'!H389,'לקוחות לפי סוכן - מקור'!G716)</f>
        <v/>
      </c>
      <c r="G857" s="148">
        <f>IF('לקוחות לפי סוכן - מקור'!H716="",'לקוחות לפי סוכן - מקור חדש'!E389,'לקוחות לפי סוכן - מקור'!H716)</f>
        <v/>
      </c>
      <c r="H857" s="148">
        <f>IF('לקוחות לפי סוכן - מקור'!I716="",'לקוחות לפי סוכן - מקור חדש'!G389,'לקוחות לפי סוכן - מקור'!I716)</f>
        <v/>
      </c>
      <c r="I857" s="139" t="inlineStr">
        <is>
          <t>שני המקורות</t>
        </is>
      </c>
      <c r="J857" s="139" t="inlineStr">
        <is>
          <t>קיים במקור (CHMI) + מכר 2025/כמויות הושלמו מהקובץ החדש</t>
        </is>
      </c>
    </row>
    <row r="858" ht="15" customHeight="1" s="82">
      <c r="A858" s="139">
        <f>'לקוחות לפי סוכן - מקור'!A717</f>
        <v/>
      </c>
      <c r="B858" s="139">
        <f>'לקוחות לפי סוכן - מקור'!C717</f>
        <v/>
      </c>
      <c r="C858" s="139">
        <f>'לקוחות לפי סוכן - מקור'!D717</f>
        <v/>
      </c>
      <c r="D858" s="139">
        <f>'לקוחות לפי סוכן - מקור'!E717</f>
        <v/>
      </c>
      <c r="E858" s="147">
        <f>IF('לקוחות לפי סוכן - מקור'!F717="",'לקוחות לפי סוכן - מקור חדש'!F390,'לקוחות לפי סוכן - מקור'!F717)</f>
        <v/>
      </c>
      <c r="F858" s="147">
        <f>IF('לקוחות לפי סוכן - מקור'!G717="",'לקוחות לפי סוכן - מקור חדש'!H390,'לקוחות לפי סוכן - מקור'!G717)</f>
        <v/>
      </c>
      <c r="G858" s="148">
        <f>IF('לקוחות לפי סוכן - מקור'!H717="",'לקוחות לפי סוכן - מקור חדש'!E390,'לקוחות לפי סוכן - מקור'!H717)</f>
        <v/>
      </c>
      <c r="H858" s="148">
        <f>IF('לקוחות לפי סוכן - מקור'!I717="",'לקוחות לפי סוכן - מקור חדש'!G390,'לקוחות לפי סוכן - מקור'!I717)</f>
        <v/>
      </c>
      <c r="I858" s="139" t="inlineStr">
        <is>
          <t>שני המקורות</t>
        </is>
      </c>
      <c r="J858" s="139" t="inlineStr">
        <is>
          <t>קיים במקור (CHMI) + מכר 2025/כמויות הושלמו מהקובץ החדש</t>
        </is>
      </c>
    </row>
    <row r="859" ht="15" customHeight="1" s="82">
      <c r="A859" s="139">
        <f>'לקוחות לפי סוכן - מקור'!A718</f>
        <v/>
      </c>
      <c r="B859" s="139">
        <f>'לקוחות לפי סוכן - מקור'!C718</f>
        <v/>
      </c>
      <c r="C859" s="139">
        <f>'לקוחות לפי סוכן - מקור'!D718</f>
        <v/>
      </c>
      <c r="D859" s="139">
        <f>'לקוחות לפי סוכן - מקור'!E718</f>
        <v/>
      </c>
      <c r="E859" s="147">
        <f>IF('לקוחות לפי סוכן - מקור'!F718="",'לקוחות לפי סוכן - מקור חדש'!F392,'לקוחות לפי סוכן - מקור'!F718)</f>
        <v/>
      </c>
      <c r="F859" s="147">
        <f>IF('לקוחות לפי סוכן - מקור'!G718="",'לקוחות לפי סוכן - מקור חדש'!H392,'לקוחות לפי סוכן - מקור'!G718)</f>
        <v/>
      </c>
      <c r="G859" s="148">
        <f>IF('לקוחות לפי סוכן - מקור'!H718="",'לקוחות לפי סוכן - מקור חדש'!E392,'לקוחות לפי סוכן - מקור'!H718)</f>
        <v/>
      </c>
      <c r="H859" s="148">
        <f>IF('לקוחות לפי סוכן - מקור'!I718="",'לקוחות לפי סוכן - מקור חדש'!G392,'לקוחות לפי סוכן - מקור'!I718)</f>
        <v/>
      </c>
      <c r="I859" s="139" t="inlineStr">
        <is>
          <t>שני המקורות</t>
        </is>
      </c>
      <c r="J859" s="139" t="inlineStr">
        <is>
          <t>קיים במקור (CHMI) + מכר 2025/כמויות הושלמו מהקובץ החדש — פער ב-2026 מול הקובץ החדש, נבחר המקור</t>
        </is>
      </c>
    </row>
    <row r="860" ht="15" customHeight="1" s="82">
      <c r="A860" s="139">
        <f>'לקוחות לפי סוכן - מקור'!A719</f>
        <v/>
      </c>
      <c r="B860" s="139">
        <f>'לקוחות לפי סוכן - מקור'!C719</f>
        <v/>
      </c>
      <c r="C860" s="139">
        <f>'לקוחות לפי סוכן - מקור'!D719</f>
        <v/>
      </c>
      <c r="D860" s="139">
        <f>'לקוחות לפי סוכן - מקור'!E719</f>
        <v/>
      </c>
      <c r="E860" s="147">
        <f>IF('לקוחות לפי סוכן - מקור'!F719="",'לקוחות לפי סוכן - מקור חדש'!F393,'לקוחות לפי סוכן - מקור'!F719)</f>
        <v/>
      </c>
      <c r="F860" s="147">
        <f>IF('לקוחות לפי סוכן - מקור'!G719="",'לקוחות לפי סוכן - מקור חדש'!H393,'לקוחות לפי סוכן - מקור'!G719)</f>
        <v/>
      </c>
      <c r="G860" s="148">
        <f>IF('לקוחות לפי סוכן - מקור'!H719="",'לקוחות לפי סוכן - מקור חדש'!E393,'לקוחות לפי סוכן - מקור'!H719)</f>
        <v/>
      </c>
      <c r="H860" s="148">
        <f>IF('לקוחות לפי סוכן - מקור'!I719="",'לקוחות לפי סוכן - מקור חדש'!G393,'לקוחות לפי סוכן - מקור'!I719)</f>
        <v/>
      </c>
      <c r="I860" s="139" t="inlineStr">
        <is>
          <t>שני המקורות</t>
        </is>
      </c>
      <c r="J860" s="139" t="inlineStr">
        <is>
          <t>קיים במקור (CHMI) + מכר 2025/כמויות הושלמו מהקובץ החדש</t>
        </is>
      </c>
    </row>
    <row r="861" ht="15" customHeight="1" s="82">
      <c r="A861" s="139">
        <f>'לקוחות לפי סוכן - מקור'!A720</f>
        <v/>
      </c>
      <c r="B861" s="139">
        <f>'לקוחות לפי סוכן - מקור'!C720</f>
        <v/>
      </c>
      <c r="C861" s="139">
        <f>'לקוחות לפי סוכן - מקור'!D720</f>
        <v/>
      </c>
      <c r="D861" s="139">
        <f>'לקוחות לפי סוכן - מקור'!E720</f>
        <v/>
      </c>
      <c r="E861" s="147">
        <f>'לקוחות לפי סוכן - מקור'!F720</f>
        <v/>
      </c>
      <c r="F861" s="147">
        <f>'לקוחות לפי סוכן - מקור'!G720</f>
        <v/>
      </c>
      <c r="G861" s="148">
        <f>'לקוחות לפי סוכן - מקור'!H720</f>
        <v/>
      </c>
      <c r="H861" s="148">
        <f>'לקוחות לפי סוכן - מקור'!I720</f>
        <v/>
      </c>
      <c r="I861" s="139">
        <f>'לקוחות לפי סוכן - מקור'!K720</f>
        <v/>
      </c>
      <c r="J861" s="139" t="inlineStr">
        <is>
          <t>קיים במקור</t>
        </is>
      </c>
    </row>
    <row r="862" ht="15" customHeight="1" s="82">
      <c r="A862" s="139">
        <f>'לקוחות לפי סוכן - מקור'!A721</f>
        <v/>
      </c>
      <c r="B862" s="139">
        <f>'לקוחות לפי סוכן - מקור'!C721</f>
        <v/>
      </c>
      <c r="C862" s="139">
        <f>'לקוחות לפי סוכן - מקור'!D721</f>
        <v/>
      </c>
      <c r="D862" s="139">
        <f>'לקוחות לפי סוכן - מקור'!E721</f>
        <v/>
      </c>
      <c r="E862" s="147">
        <f>'לקוחות לפי סוכן - מקור'!F721</f>
        <v/>
      </c>
      <c r="F862" s="147">
        <f>'לקוחות לפי סוכן - מקור'!G721</f>
        <v/>
      </c>
      <c r="G862" s="148">
        <f>'לקוחות לפי סוכן - מקור'!H721</f>
        <v/>
      </c>
      <c r="H862" s="148">
        <f>'לקוחות לפי סוכן - מקור'!I721</f>
        <v/>
      </c>
      <c r="I862" s="139">
        <f>'לקוחות לפי סוכן - מקור'!K721</f>
        <v/>
      </c>
      <c r="J862" s="139" t="inlineStr">
        <is>
          <t>קיים במקור</t>
        </is>
      </c>
    </row>
    <row r="863" ht="15" customHeight="1" s="82">
      <c r="A863" s="139">
        <f>'לקוחות לפי סוכן - מקור'!A722</f>
        <v/>
      </c>
      <c r="B863" s="139">
        <f>'לקוחות לפי סוכן - מקור'!C722</f>
        <v/>
      </c>
      <c r="C863" s="139">
        <f>'לקוחות לפי סוכן - מקור'!D722</f>
        <v/>
      </c>
      <c r="D863" s="139">
        <f>'לקוחות לפי סוכן - מקור'!E722</f>
        <v/>
      </c>
      <c r="E863" s="147">
        <f>'לקוחות לפי סוכן - מקור'!F722</f>
        <v/>
      </c>
      <c r="F863" s="147">
        <f>'לקוחות לפי סוכן - מקור'!G722</f>
        <v/>
      </c>
      <c r="G863" s="148">
        <f>'לקוחות לפי סוכן - מקור'!H722</f>
        <v/>
      </c>
      <c r="H863" s="148">
        <f>'לקוחות לפי סוכן - מקור'!I722</f>
        <v/>
      </c>
      <c r="I863" s="139">
        <f>'לקוחות לפי סוכן - מקור'!K722</f>
        <v/>
      </c>
      <c r="J863" s="139" t="inlineStr">
        <is>
          <t>קיים במקור</t>
        </is>
      </c>
    </row>
    <row r="864" ht="15" customHeight="1" s="82">
      <c r="A864" s="139">
        <f>'לקוחות לפי סוכן - מקור'!A723</f>
        <v/>
      </c>
      <c r="B864" s="139">
        <f>'לקוחות לפי סוכן - מקור'!C723</f>
        <v/>
      </c>
      <c r="C864" s="139">
        <f>'לקוחות לפי סוכן - מקור'!D723</f>
        <v/>
      </c>
      <c r="D864" s="139">
        <f>'לקוחות לפי סוכן - מקור'!E723</f>
        <v/>
      </c>
      <c r="E864" s="147">
        <f>'לקוחות לפי סוכן - מקור'!F723</f>
        <v/>
      </c>
      <c r="F864" s="147">
        <f>'לקוחות לפי סוכן - מקור'!G723</f>
        <v/>
      </c>
      <c r="G864" s="148">
        <f>'לקוחות לפי סוכן - מקור'!H723</f>
        <v/>
      </c>
      <c r="H864" s="148">
        <f>'לקוחות לפי סוכן - מקור'!I723</f>
        <v/>
      </c>
      <c r="I864" s="139">
        <f>'לקוחות לפי סוכן - מקור'!K723</f>
        <v/>
      </c>
      <c r="J864" s="139" t="inlineStr">
        <is>
          <t>קיים במקור</t>
        </is>
      </c>
    </row>
    <row r="865" ht="15" customHeight="1" s="82">
      <c r="A865" s="139">
        <f>'לקוחות לפי סוכן - מקור'!A724</f>
        <v/>
      </c>
      <c r="B865" s="139">
        <f>'לקוחות לפי סוכן - מקור'!C724</f>
        <v/>
      </c>
      <c r="C865" s="139">
        <f>'לקוחות לפי סוכן - מקור'!D724</f>
        <v/>
      </c>
      <c r="D865" s="139">
        <f>'לקוחות לפי סוכן - מקור'!E724</f>
        <v/>
      </c>
      <c r="E865" s="147">
        <f>'לקוחות לפי סוכן - מקור'!F724</f>
        <v/>
      </c>
      <c r="F865" s="147">
        <f>'לקוחות לפי סוכן - מקור'!G724</f>
        <v/>
      </c>
      <c r="G865" s="148">
        <f>'לקוחות לפי סוכן - מקור'!H724</f>
        <v/>
      </c>
      <c r="H865" s="148">
        <f>'לקוחות לפי סוכן - מקור'!I724</f>
        <v/>
      </c>
      <c r="I865" s="139">
        <f>'לקוחות לפי סוכן - מקור'!K724</f>
        <v/>
      </c>
      <c r="J865" s="139" t="inlineStr">
        <is>
          <t>קיים במקור</t>
        </is>
      </c>
    </row>
    <row r="866" ht="15" customHeight="1" s="82">
      <c r="A866" s="139">
        <f>'לקוחות לפי סוכן - מקור'!A725</f>
        <v/>
      </c>
      <c r="B866" s="139">
        <f>'לקוחות לפי סוכן - מקור'!C725</f>
        <v/>
      </c>
      <c r="C866" s="139">
        <f>'לקוחות לפי סוכן - מקור'!D725</f>
        <v/>
      </c>
      <c r="D866" s="139">
        <f>'לקוחות לפי סוכן - מקור'!E725</f>
        <v/>
      </c>
      <c r="E866" s="147">
        <f>'לקוחות לפי סוכן - מקור'!F725</f>
        <v/>
      </c>
      <c r="F866" s="147">
        <f>'לקוחות לפי סוכן - מקור'!G725</f>
        <v/>
      </c>
      <c r="G866" s="148">
        <f>'לקוחות לפי סוכן - מקור'!H725</f>
        <v/>
      </c>
      <c r="H866" s="148">
        <f>'לקוחות לפי סוכן - מקור'!I725</f>
        <v/>
      </c>
      <c r="I866" s="139">
        <f>'לקוחות לפי סוכן - מקור'!K725</f>
        <v/>
      </c>
      <c r="J866" s="139" t="inlineStr">
        <is>
          <t>קיים במקור</t>
        </is>
      </c>
    </row>
    <row r="867" ht="15" customHeight="1" s="82">
      <c r="A867" s="139">
        <f>'לקוחות לפי סוכן - מקור'!A726</f>
        <v/>
      </c>
      <c r="B867" s="139">
        <f>'לקוחות לפי סוכן - מקור'!C726</f>
        <v/>
      </c>
      <c r="C867" s="139">
        <f>'לקוחות לפי סוכן - מקור'!D726</f>
        <v/>
      </c>
      <c r="D867" s="139">
        <f>'לקוחות לפי סוכן - מקור'!E726</f>
        <v/>
      </c>
      <c r="E867" s="147">
        <f>'לקוחות לפי סוכן - מקור'!F726</f>
        <v/>
      </c>
      <c r="F867" s="147">
        <f>'לקוחות לפי סוכן - מקור'!G726</f>
        <v/>
      </c>
      <c r="G867" s="148">
        <f>'לקוחות לפי סוכן - מקור'!H726</f>
        <v/>
      </c>
      <c r="H867" s="148">
        <f>'לקוחות לפי סוכן - מקור'!I726</f>
        <v/>
      </c>
      <c r="I867" s="139">
        <f>'לקוחות לפי סוכן - מקור'!K726</f>
        <v/>
      </c>
      <c r="J867" s="139" t="inlineStr">
        <is>
          <t>קיים במקור</t>
        </is>
      </c>
    </row>
    <row r="868" ht="15" customHeight="1" s="82">
      <c r="A868" s="139">
        <f>'לקוחות לפי סוכן - מקור'!A727</f>
        <v/>
      </c>
      <c r="B868" s="139">
        <f>'לקוחות לפי סוכן - מקור'!C727</f>
        <v/>
      </c>
      <c r="C868" s="139">
        <f>'לקוחות לפי סוכן - מקור'!D727</f>
        <v/>
      </c>
      <c r="D868" s="139">
        <f>'לקוחות לפי סוכן - מקור'!E727</f>
        <v/>
      </c>
      <c r="E868" s="147">
        <f>'לקוחות לפי סוכן - מקור'!F727</f>
        <v/>
      </c>
      <c r="F868" s="147">
        <f>'לקוחות לפי סוכן - מקור'!G727</f>
        <v/>
      </c>
      <c r="G868" s="148">
        <f>'לקוחות לפי סוכן - מקור'!H727</f>
        <v/>
      </c>
      <c r="H868" s="148">
        <f>'לקוחות לפי סוכן - מקור'!I727</f>
        <v/>
      </c>
      <c r="I868" s="139">
        <f>'לקוחות לפי סוכן - מקור'!K727</f>
        <v/>
      </c>
      <c r="J868" s="139" t="inlineStr">
        <is>
          <t>קיים במקור</t>
        </is>
      </c>
    </row>
    <row r="869" ht="15" customHeight="1" s="82">
      <c r="A869" s="139">
        <f>'לקוחות לפי סוכן - מקור'!A728</f>
        <v/>
      </c>
      <c r="B869" s="139">
        <f>'לקוחות לפי סוכן - מקור'!C728</f>
        <v/>
      </c>
      <c r="C869" s="139">
        <f>'לקוחות לפי סוכן - מקור'!D728</f>
        <v/>
      </c>
      <c r="D869" s="139">
        <f>'לקוחות לפי סוכן - מקור'!E728</f>
        <v/>
      </c>
      <c r="E869" s="147">
        <f>'לקוחות לפי סוכן - מקור'!F728</f>
        <v/>
      </c>
      <c r="F869" s="147">
        <f>'לקוחות לפי סוכן - מקור'!G728</f>
        <v/>
      </c>
      <c r="G869" s="148">
        <f>'לקוחות לפי סוכן - מקור'!H728</f>
        <v/>
      </c>
      <c r="H869" s="148">
        <f>'לקוחות לפי סוכן - מקור'!I728</f>
        <v/>
      </c>
      <c r="I869" s="139">
        <f>'לקוחות לפי סוכן - מקור'!K728</f>
        <v/>
      </c>
      <c r="J869" s="139" t="inlineStr">
        <is>
          <t>קיים במקור</t>
        </is>
      </c>
    </row>
    <row r="870" ht="15" customHeight="1" s="82">
      <c r="A870" s="139">
        <f>'לקוחות לפי סוכן - מקור'!A729</f>
        <v/>
      </c>
      <c r="B870" s="139">
        <f>'לקוחות לפי סוכן - מקור'!C729</f>
        <v/>
      </c>
      <c r="C870" s="139">
        <f>'לקוחות לפי סוכן - מקור'!D729</f>
        <v/>
      </c>
      <c r="D870" s="139">
        <f>'לקוחות לפי סוכן - מקור'!E729</f>
        <v/>
      </c>
      <c r="E870" s="147">
        <f>'לקוחות לפי סוכן - מקור'!F729</f>
        <v/>
      </c>
      <c r="F870" s="147">
        <f>'לקוחות לפי סוכן - מקור'!G729</f>
        <v/>
      </c>
      <c r="G870" s="148">
        <f>'לקוחות לפי סוכן - מקור'!H729</f>
        <v/>
      </c>
      <c r="H870" s="148">
        <f>'לקוחות לפי סוכן - מקור'!I729</f>
        <v/>
      </c>
      <c r="I870" s="139">
        <f>'לקוחות לפי סוכן - מקור'!K729</f>
        <v/>
      </c>
      <c r="J870" s="139" t="inlineStr">
        <is>
          <t>קיים במקור</t>
        </is>
      </c>
    </row>
    <row r="871" ht="15" customHeight="1" s="82">
      <c r="A871" s="139">
        <f>'לקוחות לפי סוכן - מקור'!A730</f>
        <v/>
      </c>
      <c r="B871" s="139">
        <f>'לקוחות לפי סוכן - מקור'!C730</f>
        <v/>
      </c>
      <c r="C871" s="139">
        <f>'לקוחות לפי סוכן - מקור'!D730</f>
        <v/>
      </c>
      <c r="D871" s="139">
        <f>'לקוחות לפי סוכן - מקור'!E730</f>
        <v/>
      </c>
      <c r="E871" s="147">
        <f>'לקוחות לפי סוכן - מקור'!F730</f>
        <v/>
      </c>
      <c r="F871" s="147">
        <f>'לקוחות לפי סוכן - מקור'!G730</f>
        <v/>
      </c>
      <c r="G871" s="148">
        <f>'לקוחות לפי סוכן - מקור'!H730</f>
        <v/>
      </c>
      <c r="H871" s="148">
        <f>'לקוחות לפי סוכן - מקור'!I730</f>
        <v/>
      </c>
      <c r="I871" s="139">
        <f>'לקוחות לפי סוכן - מקור'!K730</f>
        <v/>
      </c>
      <c r="J871" s="139" t="inlineStr">
        <is>
          <t>קיים במקור</t>
        </is>
      </c>
    </row>
    <row r="872" ht="15" customHeight="1" s="82">
      <c r="A872" s="139">
        <f>'לקוחות לפי סוכן - מקור'!A731</f>
        <v/>
      </c>
      <c r="B872" s="139">
        <f>'לקוחות לפי סוכן - מקור'!C731</f>
        <v/>
      </c>
      <c r="C872" s="139">
        <f>'לקוחות לפי סוכן - מקור'!D731</f>
        <v/>
      </c>
      <c r="D872" s="139">
        <f>'לקוחות לפי סוכן - מקור'!E731</f>
        <v/>
      </c>
      <c r="E872" s="147">
        <f>'לקוחות לפי סוכן - מקור'!F731</f>
        <v/>
      </c>
      <c r="F872" s="147">
        <f>'לקוחות לפי סוכן - מקור'!G731</f>
        <v/>
      </c>
      <c r="G872" s="148">
        <f>'לקוחות לפי סוכן - מקור'!H731</f>
        <v/>
      </c>
      <c r="H872" s="148">
        <f>'לקוחות לפי סוכן - מקור'!I731</f>
        <v/>
      </c>
      <c r="I872" s="139">
        <f>'לקוחות לפי סוכן - מקור'!K731</f>
        <v/>
      </c>
      <c r="J872" s="139" t="inlineStr">
        <is>
          <t>קיים במקור</t>
        </is>
      </c>
    </row>
    <row r="873" ht="15" customHeight="1" s="82">
      <c r="A873" s="139">
        <f>'לקוחות לפי סוכן - מקור'!A732</f>
        <v/>
      </c>
      <c r="B873" s="139">
        <f>'לקוחות לפי סוכן - מקור'!C732</f>
        <v/>
      </c>
      <c r="C873" s="139">
        <f>'לקוחות לפי סוכן - מקור'!D732</f>
        <v/>
      </c>
      <c r="D873" s="139">
        <f>'לקוחות לפי סוכן - מקור'!E732</f>
        <v/>
      </c>
      <c r="E873" s="147">
        <f>'לקוחות לפי סוכן - מקור'!F732</f>
        <v/>
      </c>
      <c r="F873" s="147">
        <f>'לקוחות לפי סוכן - מקור'!G732</f>
        <v/>
      </c>
      <c r="G873" s="148">
        <f>'לקוחות לפי סוכן - מקור'!H732</f>
        <v/>
      </c>
      <c r="H873" s="148">
        <f>'לקוחות לפי סוכן - מקור'!I732</f>
        <v/>
      </c>
      <c r="I873" s="139">
        <f>'לקוחות לפי סוכן - מקור'!K732</f>
        <v/>
      </c>
      <c r="J873" s="139" t="inlineStr">
        <is>
          <t>קיים במקור</t>
        </is>
      </c>
    </row>
    <row r="874" ht="15" customHeight="1" s="82">
      <c r="A874" s="139">
        <f>'לקוחות לפי סוכן - מקור'!A733</f>
        <v/>
      </c>
      <c r="B874" s="139">
        <f>'לקוחות לפי סוכן - מקור'!C733</f>
        <v/>
      </c>
      <c r="C874" s="139">
        <f>'לקוחות לפי סוכן - מקור'!D733</f>
        <v/>
      </c>
      <c r="D874" s="139">
        <f>'לקוחות לפי סוכן - מקור'!E733</f>
        <v/>
      </c>
      <c r="E874" s="147">
        <f>'לקוחות לפי סוכן - מקור'!F733</f>
        <v/>
      </c>
      <c r="F874" s="147">
        <f>'לקוחות לפי סוכן - מקור'!G733</f>
        <v/>
      </c>
      <c r="G874" s="148">
        <f>'לקוחות לפי סוכן - מקור'!H733</f>
        <v/>
      </c>
      <c r="H874" s="148">
        <f>'לקוחות לפי סוכן - מקור'!I733</f>
        <v/>
      </c>
      <c r="I874" s="139">
        <f>'לקוחות לפי סוכן - מקור'!K733</f>
        <v/>
      </c>
      <c r="J874" s="139" t="inlineStr">
        <is>
          <t>קיים במקור</t>
        </is>
      </c>
    </row>
    <row r="875" ht="15" customHeight="1" s="82">
      <c r="A875" s="139">
        <f>'לקוחות לפי סוכן - מקור'!A734</f>
        <v/>
      </c>
      <c r="B875" s="139">
        <f>'לקוחות לפי סוכן - מקור'!C734</f>
        <v/>
      </c>
      <c r="C875" s="139">
        <f>'לקוחות לפי סוכן - מקור'!D734</f>
        <v/>
      </c>
      <c r="D875" s="139">
        <f>'לקוחות לפי סוכן - מקור'!E734</f>
        <v/>
      </c>
      <c r="E875" s="147">
        <f>'לקוחות לפי סוכן - מקור'!F734</f>
        <v/>
      </c>
      <c r="F875" s="147">
        <f>'לקוחות לפי סוכן - מקור'!G734</f>
        <v/>
      </c>
      <c r="G875" s="148">
        <f>'לקוחות לפי סוכן - מקור'!H734</f>
        <v/>
      </c>
      <c r="H875" s="148">
        <f>'לקוחות לפי סוכן - מקור'!I734</f>
        <v/>
      </c>
      <c r="I875" s="139">
        <f>'לקוחות לפי סוכן - מקור'!K734</f>
        <v/>
      </c>
      <c r="J875" s="139" t="inlineStr">
        <is>
          <t>קיים במקור</t>
        </is>
      </c>
    </row>
    <row r="876" ht="15" customHeight="1" s="82">
      <c r="A876" s="139">
        <f>'לקוחות לפי סוכן - מקור'!A735</f>
        <v/>
      </c>
      <c r="B876" s="139">
        <f>'לקוחות לפי סוכן - מקור'!C735</f>
        <v/>
      </c>
      <c r="C876" s="139">
        <f>'לקוחות לפי סוכן - מקור'!D735</f>
        <v/>
      </c>
      <c r="D876" s="139">
        <f>'לקוחות לפי סוכן - מקור'!E735</f>
        <v/>
      </c>
      <c r="E876" s="147">
        <f>'לקוחות לפי סוכן - מקור'!F735</f>
        <v/>
      </c>
      <c r="F876" s="147">
        <f>'לקוחות לפי סוכן - מקור'!G735</f>
        <v/>
      </c>
      <c r="G876" s="148">
        <f>'לקוחות לפי סוכן - מקור'!H735</f>
        <v/>
      </c>
      <c r="H876" s="148">
        <f>'לקוחות לפי סוכן - מקור'!I735</f>
        <v/>
      </c>
      <c r="I876" s="139">
        <f>'לקוחות לפי סוכן - מקור'!K735</f>
        <v/>
      </c>
      <c r="J876" s="139" t="inlineStr">
        <is>
          <t>קיים במקור</t>
        </is>
      </c>
    </row>
    <row r="877" ht="15" customHeight="1" s="82">
      <c r="A877" s="139">
        <f>'לקוחות לפי סוכן - מקור'!A736</f>
        <v/>
      </c>
      <c r="B877" s="139">
        <f>'לקוחות לפי סוכן - מקור'!C736</f>
        <v/>
      </c>
      <c r="C877" s="139">
        <f>'לקוחות לפי סוכן - מקור'!D736</f>
        <v/>
      </c>
      <c r="D877" s="139">
        <f>'לקוחות לפי סוכן - מקור'!E736</f>
        <v/>
      </c>
      <c r="E877" s="147">
        <f>'לקוחות לפי סוכן - מקור'!F736</f>
        <v/>
      </c>
      <c r="F877" s="147">
        <f>'לקוחות לפי סוכן - מקור'!G736</f>
        <v/>
      </c>
      <c r="G877" s="148">
        <f>'לקוחות לפי סוכן - מקור'!H736</f>
        <v/>
      </c>
      <c r="H877" s="148">
        <f>'לקוחות לפי סוכן - מקור'!I736</f>
        <v/>
      </c>
      <c r="I877" s="139">
        <f>'לקוחות לפי סוכן - מקור'!K736</f>
        <v/>
      </c>
      <c r="J877" s="139" t="inlineStr">
        <is>
          <t>קיים במקור</t>
        </is>
      </c>
    </row>
    <row r="878" ht="15" customHeight="1" s="82">
      <c r="A878" s="139">
        <f>'לקוחות לפי סוכן - מקור'!A737</f>
        <v/>
      </c>
      <c r="B878" s="139">
        <f>'לקוחות לפי סוכן - מקור'!C737</f>
        <v/>
      </c>
      <c r="C878" s="139">
        <f>'לקוחות לפי סוכן - מקור'!D737</f>
        <v/>
      </c>
      <c r="D878" s="139">
        <f>'לקוחות לפי סוכן - מקור'!E737</f>
        <v/>
      </c>
      <c r="E878" s="147">
        <f>'לקוחות לפי סוכן - מקור'!F737</f>
        <v/>
      </c>
      <c r="F878" s="147">
        <f>'לקוחות לפי סוכן - מקור'!G737</f>
        <v/>
      </c>
      <c r="G878" s="148">
        <f>'לקוחות לפי סוכן - מקור'!H737</f>
        <v/>
      </c>
      <c r="H878" s="148">
        <f>'לקוחות לפי סוכן - מקור'!I737</f>
        <v/>
      </c>
      <c r="I878" s="139">
        <f>'לקוחות לפי סוכן - מקור'!K737</f>
        <v/>
      </c>
      <c r="J878" s="139" t="inlineStr">
        <is>
          <t>קיים במקור</t>
        </is>
      </c>
    </row>
    <row r="879" ht="15" customHeight="1" s="82">
      <c r="A879" s="139">
        <f>'לקוחות לפי סוכן - מקור'!A738</f>
        <v/>
      </c>
      <c r="B879" s="139">
        <f>'לקוחות לפי סוכן - מקור'!C738</f>
        <v/>
      </c>
      <c r="C879" s="139">
        <f>'לקוחות לפי סוכן - מקור'!D738</f>
        <v/>
      </c>
      <c r="D879" s="139">
        <f>'לקוחות לפי סוכן - מקור'!E738</f>
        <v/>
      </c>
      <c r="E879" s="147">
        <f>'לקוחות לפי סוכן - מקור'!F738</f>
        <v/>
      </c>
      <c r="F879" s="147">
        <f>'לקוחות לפי סוכן - מקור'!G738</f>
        <v/>
      </c>
      <c r="G879" s="148">
        <f>'לקוחות לפי סוכן - מקור'!H738</f>
        <v/>
      </c>
      <c r="H879" s="148">
        <f>'לקוחות לפי סוכן - מקור'!I738</f>
        <v/>
      </c>
      <c r="I879" s="139">
        <f>'לקוחות לפי סוכן - מקור'!K738</f>
        <v/>
      </c>
      <c r="J879" s="139" t="inlineStr">
        <is>
          <t>קיים במקור</t>
        </is>
      </c>
    </row>
    <row r="880" ht="15" customHeight="1" s="82">
      <c r="A880" s="139">
        <f>'לקוחות לפי סוכן - מקור'!A739</f>
        <v/>
      </c>
      <c r="B880" s="139">
        <f>'לקוחות לפי סוכן - מקור'!C739</f>
        <v/>
      </c>
      <c r="C880" s="139">
        <f>'לקוחות לפי סוכן - מקור'!D739</f>
        <v/>
      </c>
      <c r="D880" s="139">
        <f>'לקוחות לפי סוכן - מקור'!E739</f>
        <v/>
      </c>
      <c r="E880" s="147">
        <f>'לקוחות לפי סוכן - מקור'!F739</f>
        <v/>
      </c>
      <c r="F880" s="147">
        <f>'לקוחות לפי סוכן - מקור'!G739</f>
        <v/>
      </c>
      <c r="G880" s="148">
        <f>'לקוחות לפי סוכן - מקור'!H739</f>
        <v/>
      </c>
      <c r="H880" s="148">
        <f>'לקוחות לפי סוכן - מקור'!I739</f>
        <v/>
      </c>
      <c r="I880" s="139">
        <f>'לקוחות לפי סוכן - מקור'!K739</f>
        <v/>
      </c>
      <c r="J880" s="139" t="inlineStr">
        <is>
          <t>קיים במקור</t>
        </is>
      </c>
    </row>
    <row r="881" ht="15" customHeight="1" s="82">
      <c r="A881" s="139">
        <f>'לקוחות לפי סוכן - מקור'!A740</f>
        <v/>
      </c>
      <c r="B881" s="139">
        <f>'לקוחות לפי סוכן - מקור'!C740</f>
        <v/>
      </c>
      <c r="C881" s="139">
        <f>'לקוחות לפי סוכן - מקור'!D740</f>
        <v/>
      </c>
      <c r="D881" s="139">
        <f>'לקוחות לפי סוכן - מקור'!E740</f>
        <v/>
      </c>
      <c r="E881" s="147">
        <f>'לקוחות לפי סוכן - מקור'!F740</f>
        <v/>
      </c>
      <c r="F881" s="147">
        <f>'לקוחות לפי סוכן - מקור'!G740</f>
        <v/>
      </c>
      <c r="G881" s="148">
        <f>'לקוחות לפי סוכן - מקור'!H740</f>
        <v/>
      </c>
      <c r="H881" s="148">
        <f>'לקוחות לפי סוכן - מקור'!I740</f>
        <v/>
      </c>
      <c r="I881" s="139">
        <f>'לקוחות לפי סוכן - מקור'!K740</f>
        <v/>
      </c>
      <c r="J881" s="139" t="inlineStr">
        <is>
          <t>קיים במקור</t>
        </is>
      </c>
    </row>
    <row r="882" ht="15" customHeight="1" s="82">
      <c r="A882" s="139">
        <f>'לקוחות לפי סוכן - מקור'!A741</f>
        <v/>
      </c>
      <c r="B882" s="139">
        <f>'לקוחות לפי סוכן - מקור'!C741</f>
        <v/>
      </c>
      <c r="C882" s="139">
        <f>'לקוחות לפי סוכן - מקור'!D741</f>
        <v/>
      </c>
      <c r="D882" s="139">
        <f>'לקוחות לפי סוכן - מקור'!E741</f>
        <v/>
      </c>
      <c r="E882" s="147">
        <f>'לקוחות לפי סוכן - מקור'!F741</f>
        <v/>
      </c>
      <c r="F882" s="147">
        <f>'לקוחות לפי סוכן - מקור'!G741</f>
        <v/>
      </c>
      <c r="G882" s="148">
        <f>'לקוחות לפי סוכן - מקור'!H741</f>
        <v/>
      </c>
      <c r="H882" s="148">
        <f>'לקוחות לפי סוכן - מקור'!I741</f>
        <v/>
      </c>
      <c r="I882" s="139">
        <f>'לקוחות לפי סוכן - מקור'!K741</f>
        <v/>
      </c>
      <c r="J882" s="139" t="inlineStr">
        <is>
          <t>קיים במקור</t>
        </is>
      </c>
    </row>
    <row r="883" ht="15" customHeight="1" s="82">
      <c r="A883" s="139">
        <f>'לקוחות לפי סוכן - מקור'!A742</f>
        <v/>
      </c>
      <c r="B883" s="139">
        <f>'לקוחות לפי סוכן - מקור'!C742</f>
        <v/>
      </c>
      <c r="C883" s="139">
        <f>'לקוחות לפי סוכן - מקור'!D742</f>
        <v/>
      </c>
      <c r="D883" s="139">
        <f>'לקוחות לפי סוכן - מקור'!E742</f>
        <v/>
      </c>
      <c r="E883" s="147">
        <f>'לקוחות לפי סוכן - מקור'!F742</f>
        <v/>
      </c>
      <c r="F883" s="147">
        <f>'לקוחות לפי סוכן - מקור'!G742</f>
        <v/>
      </c>
      <c r="G883" s="148">
        <f>'לקוחות לפי סוכן - מקור'!H742</f>
        <v/>
      </c>
      <c r="H883" s="148">
        <f>'לקוחות לפי סוכן - מקור'!I742</f>
        <v/>
      </c>
      <c r="I883" s="139">
        <f>'לקוחות לפי סוכן - מקור'!K742</f>
        <v/>
      </c>
      <c r="J883" s="139" t="inlineStr">
        <is>
          <t>קיים במקור</t>
        </is>
      </c>
    </row>
    <row r="884" ht="15" customHeight="1" s="82">
      <c r="A884" s="139">
        <f>'לקוחות לפי סוכן - מקור'!A743</f>
        <v/>
      </c>
      <c r="B884" s="139">
        <f>'לקוחות לפי סוכן - מקור'!C743</f>
        <v/>
      </c>
      <c r="C884" s="139">
        <f>'לקוחות לפי סוכן - מקור'!D743</f>
        <v/>
      </c>
      <c r="D884" s="139">
        <f>'לקוחות לפי סוכן - מקור'!E743</f>
        <v/>
      </c>
      <c r="E884" s="147">
        <f>'לקוחות לפי סוכן - מקור'!F743</f>
        <v/>
      </c>
      <c r="F884" s="147">
        <f>'לקוחות לפי סוכן - מקור'!G743</f>
        <v/>
      </c>
      <c r="G884" s="148">
        <f>'לקוחות לפי סוכן - מקור'!H743</f>
        <v/>
      </c>
      <c r="H884" s="148">
        <f>'לקוחות לפי סוכן - מקור'!I743</f>
        <v/>
      </c>
      <c r="I884" s="139">
        <f>'לקוחות לפי סוכן - מקור'!K743</f>
        <v/>
      </c>
      <c r="J884" s="139" t="inlineStr">
        <is>
          <t>קיים במקור</t>
        </is>
      </c>
    </row>
    <row r="885" ht="15" customHeight="1" s="82">
      <c r="A885" s="139">
        <f>'לקוחות לפי סוכן - מקור'!A744</f>
        <v/>
      </c>
      <c r="B885" s="139">
        <f>'לקוחות לפי סוכן - מקור'!C744</f>
        <v/>
      </c>
      <c r="C885" s="139">
        <f>'לקוחות לפי סוכן - מקור'!D744</f>
        <v/>
      </c>
      <c r="D885" s="139">
        <f>'לקוחות לפי סוכן - מקור'!E744</f>
        <v/>
      </c>
      <c r="E885" s="147">
        <f>'לקוחות לפי סוכן - מקור'!F744</f>
        <v/>
      </c>
      <c r="F885" s="147">
        <f>'לקוחות לפי סוכן - מקור'!G744</f>
        <v/>
      </c>
      <c r="G885" s="148">
        <f>'לקוחות לפי סוכן - מקור'!H744</f>
        <v/>
      </c>
      <c r="H885" s="148">
        <f>'לקוחות לפי סוכן - מקור'!I744</f>
        <v/>
      </c>
      <c r="I885" s="139">
        <f>'לקוחות לפי סוכן - מקור'!K744</f>
        <v/>
      </c>
      <c r="J885" s="139" t="inlineStr">
        <is>
          <t>קיים במקור</t>
        </is>
      </c>
    </row>
    <row r="886" ht="15" customHeight="1" s="82">
      <c r="A886" s="139">
        <f>'לקוחות לפי סוכן - מקור'!A745</f>
        <v/>
      </c>
      <c r="B886" s="139">
        <f>'לקוחות לפי סוכן - מקור'!C745</f>
        <v/>
      </c>
      <c r="C886" s="139">
        <f>'לקוחות לפי סוכן - מקור'!D745</f>
        <v/>
      </c>
      <c r="D886" s="139">
        <f>'לקוחות לפי סוכן - מקור'!E745</f>
        <v/>
      </c>
      <c r="E886" s="147">
        <f>'לקוחות לפי סוכן - מקור'!F745</f>
        <v/>
      </c>
      <c r="F886" s="147">
        <f>'לקוחות לפי סוכן - מקור'!G745</f>
        <v/>
      </c>
      <c r="G886" s="148">
        <f>'לקוחות לפי סוכן - מקור'!H745</f>
        <v/>
      </c>
      <c r="H886" s="148">
        <f>'לקוחות לפי סוכן - מקור'!I745</f>
        <v/>
      </c>
      <c r="I886" s="139">
        <f>'לקוחות לפי סוכן - מקור'!K745</f>
        <v/>
      </c>
      <c r="J886" s="139" t="inlineStr">
        <is>
          <t>קיים במקור</t>
        </is>
      </c>
    </row>
    <row r="887" ht="15" customHeight="1" s="82">
      <c r="A887" s="139">
        <f>'לקוחות לפי סוכן - מקור'!A746</f>
        <v/>
      </c>
      <c r="B887" s="139">
        <f>'לקוחות לפי סוכן - מקור'!C746</f>
        <v/>
      </c>
      <c r="C887" s="139">
        <f>'לקוחות לפי סוכן - מקור'!D746</f>
        <v/>
      </c>
      <c r="D887" s="139">
        <f>'לקוחות לפי סוכן - מקור'!E746</f>
        <v/>
      </c>
      <c r="E887" s="147">
        <f>'לקוחות לפי סוכן - מקור'!F746</f>
        <v/>
      </c>
      <c r="F887" s="147">
        <f>'לקוחות לפי סוכן - מקור'!G746</f>
        <v/>
      </c>
      <c r="G887" s="148">
        <f>'לקוחות לפי סוכן - מקור'!H746</f>
        <v/>
      </c>
      <c r="H887" s="148">
        <f>'לקוחות לפי סוכן - מקור'!I746</f>
        <v/>
      </c>
      <c r="I887" s="139">
        <f>'לקוחות לפי סוכן - מקור'!K746</f>
        <v/>
      </c>
      <c r="J887" s="139" t="inlineStr">
        <is>
          <t>קיים במקור</t>
        </is>
      </c>
    </row>
    <row r="888" ht="15" customHeight="1" s="82">
      <c r="A888" s="139">
        <f>'לקוחות לפי סוכן - מקור'!A747</f>
        <v/>
      </c>
      <c r="B888" s="139">
        <f>'לקוחות לפי סוכן - מקור'!C747</f>
        <v/>
      </c>
      <c r="C888" s="139">
        <f>'לקוחות לפי סוכן - מקור'!D747</f>
        <v/>
      </c>
      <c r="D888" s="139">
        <f>'לקוחות לפי סוכן - מקור'!E747</f>
        <v/>
      </c>
      <c r="E888" s="147">
        <f>'לקוחות לפי סוכן - מקור'!F747</f>
        <v/>
      </c>
      <c r="F888" s="147">
        <f>'לקוחות לפי סוכן - מקור'!G747</f>
        <v/>
      </c>
      <c r="G888" s="148">
        <f>'לקוחות לפי סוכן - מקור'!H747</f>
        <v/>
      </c>
      <c r="H888" s="148">
        <f>'לקוחות לפי סוכן - מקור'!I747</f>
        <v/>
      </c>
      <c r="I888" s="139">
        <f>'לקוחות לפי סוכן - מקור'!K747</f>
        <v/>
      </c>
      <c r="J888" s="139" t="inlineStr">
        <is>
          <t>קיים במקור</t>
        </is>
      </c>
    </row>
    <row r="889" ht="15" customHeight="1" s="82">
      <c r="A889" s="139">
        <f>'לקוחות לפי סוכן - מקור'!A748</f>
        <v/>
      </c>
      <c r="B889" s="139">
        <f>'לקוחות לפי סוכן - מקור'!C748</f>
        <v/>
      </c>
      <c r="C889" s="139">
        <f>'לקוחות לפי סוכן - מקור'!D748</f>
        <v/>
      </c>
      <c r="D889" s="139">
        <f>'לקוחות לפי סוכן - מקור'!E748</f>
        <v/>
      </c>
      <c r="E889" s="147">
        <f>'לקוחות לפי סוכן - מקור'!F748</f>
        <v/>
      </c>
      <c r="F889" s="147">
        <f>'לקוחות לפי סוכן - מקור'!G748</f>
        <v/>
      </c>
      <c r="G889" s="148">
        <f>'לקוחות לפי סוכן - מקור'!H748</f>
        <v/>
      </c>
      <c r="H889" s="148">
        <f>'לקוחות לפי סוכן - מקור'!I748</f>
        <v/>
      </c>
      <c r="I889" s="139">
        <f>'לקוחות לפי סוכן - מקור'!K748</f>
        <v/>
      </c>
      <c r="J889" s="139" t="inlineStr">
        <is>
          <t>קיים במקור</t>
        </is>
      </c>
    </row>
    <row r="890" ht="15" customHeight="1" s="82">
      <c r="A890" s="139">
        <f>'לקוחות לפי סוכן - מקור'!A749</f>
        <v/>
      </c>
      <c r="B890" s="139">
        <f>'לקוחות לפי סוכן - מקור'!C749</f>
        <v/>
      </c>
      <c r="C890" s="139">
        <f>'לקוחות לפי סוכן - מקור'!D749</f>
        <v/>
      </c>
      <c r="D890" s="139">
        <f>'לקוחות לפי סוכן - מקור'!E749</f>
        <v/>
      </c>
      <c r="E890" s="147">
        <f>'לקוחות לפי סוכן - מקור'!F749</f>
        <v/>
      </c>
      <c r="F890" s="147">
        <f>'לקוחות לפי סוכן - מקור'!G749</f>
        <v/>
      </c>
      <c r="G890" s="148">
        <f>'לקוחות לפי סוכן - מקור'!H749</f>
        <v/>
      </c>
      <c r="H890" s="148">
        <f>'לקוחות לפי סוכן - מקור'!I749</f>
        <v/>
      </c>
      <c r="I890" s="139">
        <f>'לקוחות לפי סוכן - מקור'!K749</f>
        <v/>
      </c>
      <c r="J890" s="139" t="inlineStr">
        <is>
          <t>קיים במקור</t>
        </is>
      </c>
    </row>
    <row r="891" ht="15" customHeight="1" s="82">
      <c r="A891" s="139">
        <f>'לקוחות לפי סוכן - מקור'!A750</f>
        <v/>
      </c>
      <c r="B891" s="139">
        <f>'לקוחות לפי סוכן - מקור'!C750</f>
        <v/>
      </c>
      <c r="C891" s="139">
        <f>'לקוחות לפי סוכן - מקור'!D750</f>
        <v/>
      </c>
      <c r="D891" s="139">
        <f>'לקוחות לפי סוכן - מקור'!E750</f>
        <v/>
      </c>
      <c r="E891" s="147">
        <f>'לקוחות לפי סוכן - מקור'!F750</f>
        <v/>
      </c>
      <c r="F891" s="147">
        <f>'לקוחות לפי סוכן - מקור'!G750</f>
        <v/>
      </c>
      <c r="G891" s="148">
        <f>'לקוחות לפי סוכן - מקור'!H750</f>
        <v/>
      </c>
      <c r="H891" s="148">
        <f>'לקוחות לפי סוכן - מקור'!I750</f>
        <v/>
      </c>
      <c r="I891" s="139">
        <f>'לקוחות לפי סוכן - מקור'!K750</f>
        <v/>
      </c>
      <c r="J891" s="139" t="inlineStr">
        <is>
          <t>קיים במקור</t>
        </is>
      </c>
    </row>
    <row r="892" ht="15" customHeight="1" s="82">
      <c r="A892" s="139">
        <f>'לקוחות לפי סוכן - מקור'!A751</f>
        <v/>
      </c>
      <c r="B892" s="139">
        <f>'לקוחות לפי סוכן - מקור'!C751</f>
        <v/>
      </c>
      <c r="C892" s="139">
        <f>'לקוחות לפי סוכן - מקור'!D751</f>
        <v/>
      </c>
      <c r="D892" s="139">
        <f>'לקוחות לפי סוכן - מקור'!E751</f>
        <v/>
      </c>
      <c r="E892" s="147">
        <f>'לקוחות לפי סוכן - מקור'!F751</f>
        <v/>
      </c>
      <c r="F892" s="147">
        <f>'לקוחות לפי סוכן - מקור'!G751</f>
        <v/>
      </c>
      <c r="G892" s="148">
        <f>'לקוחות לפי סוכן - מקור'!H751</f>
        <v/>
      </c>
      <c r="H892" s="148">
        <f>'לקוחות לפי סוכן - מקור'!I751</f>
        <v/>
      </c>
      <c r="I892" s="139">
        <f>'לקוחות לפי סוכן - מקור'!K751</f>
        <v/>
      </c>
      <c r="J892" s="139" t="inlineStr">
        <is>
          <t>קיים במקור</t>
        </is>
      </c>
    </row>
    <row r="893" ht="15" customHeight="1" s="82">
      <c r="A893" s="139">
        <f>'לקוחות לפי סוכן - מקור'!A752</f>
        <v/>
      </c>
      <c r="B893" s="139">
        <f>'לקוחות לפי סוכן - מקור'!C752</f>
        <v/>
      </c>
      <c r="C893" s="139">
        <f>'לקוחות לפי סוכן - מקור'!D752</f>
        <v/>
      </c>
      <c r="D893" s="139">
        <f>'לקוחות לפי סוכן - מקור'!E752</f>
        <v/>
      </c>
      <c r="E893" s="147">
        <f>'לקוחות לפי סוכן - מקור'!F752</f>
        <v/>
      </c>
      <c r="F893" s="147">
        <f>'לקוחות לפי סוכן - מקור'!G752</f>
        <v/>
      </c>
      <c r="G893" s="148">
        <f>'לקוחות לפי סוכן - מקור'!H752</f>
        <v/>
      </c>
      <c r="H893" s="148">
        <f>'לקוחות לפי סוכן - מקור'!I752</f>
        <v/>
      </c>
      <c r="I893" s="139">
        <f>'לקוחות לפי סוכן - מקור'!K752</f>
        <v/>
      </c>
      <c r="J893" s="139" t="inlineStr">
        <is>
          <t>קיים במקור</t>
        </is>
      </c>
    </row>
    <row r="894" ht="15" customHeight="1" s="82">
      <c r="A894" s="139">
        <f>'לקוחות לפי סוכן - מקור'!A753</f>
        <v/>
      </c>
      <c r="B894" s="139">
        <f>'לקוחות לפי סוכן - מקור'!C753</f>
        <v/>
      </c>
      <c r="C894" s="139">
        <f>'לקוחות לפי סוכן - מקור'!D753</f>
        <v/>
      </c>
      <c r="D894" s="139">
        <f>'לקוחות לפי סוכן - מקור'!E753</f>
        <v/>
      </c>
      <c r="E894" s="147">
        <f>'לקוחות לפי סוכן - מקור'!F753</f>
        <v/>
      </c>
      <c r="F894" s="147">
        <f>'לקוחות לפי סוכן - מקור'!G753</f>
        <v/>
      </c>
      <c r="G894" s="148">
        <f>'לקוחות לפי סוכן - מקור'!H753</f>
        <v/>
      </c>
      <c r="H894" s="148">
        <f>'לקוחות לפי סוכן - מקור'!I753</f>
        <v/>
      </c>
      <c r="I894" s="139">
        <f>'לקוחות לפי סוכן - מקור'!K753</f>
        <v/>
      </c>
      <c r="J894" s="139" t="inlineStr">
        <is>
          <t>קיים במקור</t>
        </is>
      </c>
    </row>
    <row r="895" ht="15" customHeight="1" s="82">
      <c r="A895" s="139">
        <f>'לקוחות לפי סוכן - מקור'!A754</f>
        <v/>
      </c>
      <c r="B895" s="139">
        <f>'לקוחות לפי סוכן - מקור'!C754</f>
        <v/>
      </c>
      <c r="C895" s="139">
        <f>'לקוחות לפי סוכן - מקור'!D754</f>
        <v/>
      </c>
      <c r="D895" s="139">
        <f>'לקוחות לפי סוכן - מקור'!E754</f>
        <v/>
      </c>
      <c r="E895" s="147">
        <f>'לקוחות לפי סוכן - מקור'!F754</f>
        <v/>
      </c>
      <c r="F895" s="147">
        <f>'לקוחות לפי סוכן - מקור'!G754</f>
        <v/>
      </c>
      <c r="G895" s="148">
        <f>'לקוחות לפי סוכן - מקור'!H754</f>
        <v/>
      </c>
      <c r="H895" s="148">
        <f>'לקוחות לפי סוכן - מקור'!I754</f>
        <v/>
      </c>
      <c r="I895" s="139">
        <f>'לקוחות לפי סוכן - מקור'!K754</f>
        <v/>
      </c>
      <c r="J895" s="139" t="inlineStr">
        <is>
          <t>קיים במקור</t>
        </is>
      </c>
    </row>
    <row r="896" ht="15" customHeight="1" s="82">
      <c r="A896" s="139">
        <f>'לקוחות לפי סוכן - מקור'!A755</f>
        <v/>
      </c>
      <c r="B896" s="139">
        <f>'לקוחות לפי סוכן - מקור'!C755</f>
        <v/>
      </c>
      <c r="C896" s="139">
        <f>'לקוחות לפי סוכן - מקור'!D755</f>
        <v/>
      </c>
      <c r="D896" s="139">
        <f>'לקוחות לפי סוכן - מקור'!E755</f>
        <v/>
      </c>
      <c r="E896" s="147">
        <f>'לקוחות לפי סוכן - מקור'!F755</f>
        <v/>
      </c>
      <c r="F896" s="147">
        <f>'לקוחות לפי סוכן - מקור'!G755</f>
        <v/>
      </c>
      <c r="G896" s="148">
        <f>'לקוחות לפי סוכן - מקור'!H755</f>
        <v/>
      </c>
      <c r="H896" s="148">
        <f>'לקוחות לפי סוכן - מקור'!I755</f>
        <v/>
      </c>
      <c r="I896" s="139">
        <f>'לקוחות לפי סוכן - מקור'!K755</f>
        <v/>
      </c>
      <c r="J896" s="139" t="inlineStr">
        <is>
          <t>קיים במקור</t>
        </is>
      </c>
    </row>
    <row r="897" ht="15" customHeight="1" s="82">
      <c r="A897" s="139">
        <f>'לקוחות לפי סוכן - מקור'!A756</f>
        <v/>
      </c>
      <c r="B897" s="139">
        <f>'לקוחות לפי סוכן - מקור'!C756</f>
        <v/>
      </c>
      <c r="C897" s="139">
        <f>'לקוחות לפי סוכן - מקור'!D756</f>
        <v/>
      </c>
      <c r="D897" s="139">
        <f>'לקוחות לפי סוכן - מקור'!E756</f>
        <v/>
      </c>
      <c r="E897" s="147">
        <f>'לקוחות לפי סוכן - מקור'!F756</f>
        <v/>
      </c>
      <c r="F897" s="147">
        <f>'לקוחות לפי סוכן - מקור'!G756</f>
        <v/>
      </c>
      <c r="G897" s="148">
        <f>'לקוחות לפי סוכן - מקור'!H756</f>
        <v/>
      </c>
      <c r="H897" s="148">
        <f>'לקוחות לפי סוכן - מקור'!I756</f>
        <v/>
      </c>
      <c r="I897" s="139">
        <f>'לקוחות לפי סוכן - מקור'!K756</f>
        <v/>
      </c>
      <c r="J897" s="139" t="inlineStr">
        <is>
          <t>קיים במקור</t>
        </is>
      </c>
    </row>
    <row r="898" ht="15" customHeight="1" s="82">
      <c r="A898" s="139">
        <f>'לקוחות לפי סוכן - מקור'!A757</f>
        <v/>
      </c>
      <c r="B898" s="139">
        <f>'לקוחות לפי סוכן - מקור'!C757</f>
        <v/>
      </c>
      <c r="C898" s="139">
        <f>'לקוחות לפי סוכן - מקור'!D757</f>
        <v/>
      </c>
      <c r="D898" s="139">
        <f>'לקוחות לפי סוכן - מקור'!E757</f>
        <v/>
      </c>
      <c r="E898" s="147">
        <f>'לקוחות לפי סוכן - מקור'!F757</f>
        <v/>
      </c>
      <c r="F898" s="147">
        <f>'לקוחות לפי סוכן - מקור'!G757</f>
        <v/>
      </c>
      <c r="G898" s="148">
        <f>'לקוחות לפי סוכן - מקור'!H757</f>
        <v/>
      </c>
      <c r="H898" s="148">
        <f>'לקוחות לפי סוכן - מקור'!I757</f>
        <v/>
      </c>
      <c r="I898" s="139">
        <f>'לקוחות לפי סוכן - מקור'!K757</f>
        <v/>
      </c>
      <c r="J898" s="139" t="inlineStr">
        <is>
          <t>קיים במקור</t>
        </is>
      </c>
    </row>
    <row r="899" ht="15" customHeight="1" s="82">
      <c r="A899" s="139">
        <f>'לקוחות לפי סוכן - מקור'!A758</f>
        <v/>
      </c>
      <c r="B899" s="139">
        <f>'לקוחות לפי סוכן - מקור'!C758</f>
        <v/>
      </c>
      <c r="C899" s="139">
        <f>'לקוחות לפי סוכן - מקור'!D758</f>
        <v/>
      </c>
      <c r="D899" s="139">
        <f>'לקוחות לפי סוכן - מקור'!E758</f>
        <v/>
      </c>
      <c r="E899" s="147">
        <f>'לקוחות לפי סוכן - מקור'!F758</f>
        <v/>
      </c>
      <c r="F899" s="147">
        <f>'לקוחות לפי סוכן - מקור'!G758</f>
        <v/>
      </c>
      <c r="G899" s="148">
        <f>'לקוחות לפי סוכן - מקור'!H758</f>
        <v/>
      </c>
      <c r="H899" s="148">
        <f>'לקוחות לפי סוכן - מקור'!I758</f>
        <v/>
      </c>
      <c r="I899" s="139">
        <f>'לקוחות לפי סוכן - מקור'!K758</f>
        <v/>
      </c>
      <c r="J899" s="139" t="inlineStr">
        <is>
          <t>קיים במקור</t>
        </is>
      </c>
    </row>
    <row r="900" ht="15" customHeight="1" s="82">
      <c r="A900" s="139">
        <f>'לקוחות לפי סוכן - מקור'!A759</f>
        <v/>
      </c>
      <c r="B900" s="139">
        <f>'לקוחות לפי סוכן - מקור'!C759</f>
        <v/>
      </c>
      <c r="C900" s="139">
        <f>'לקוחות לפי סוכן - מקור'!D759</f>
        <v/>
      </c>
      <c r="D900" s="139">
        <f>'לקוחות לפי סוכן - מקור'!E759</f>
        <v/>
      </c>
      <c r="E900" s="147">
        <f>'לקוחות לפי סוכן - מקור'!F759</f>
        <v/>
      </c>
      <c r="F900" s="147">
        <f>'לקוחות לפי סוכן - מקור'!G759</f>
        <v/>
      </c>
      <c r="G900" s="148">
        <f>'לקוחות לפי סוכן - מקור'!H759</f>
        <v/>
      </c>
      <c r="H900" s="148">
        <f>'לקוחות לפי סוכן - מקור'!I759</f>
        <v/>
      </c>
      <c r="I900" s="139">
        <f>'לקוחות לפי סוכן - מקור'!K759</f>
        <v/>
      </c>
      <c r="J900" s="139" t="inlineStr">
        <is>
          <t>קיים במקור</t>
        </is>
      </c>
    </row>
    <row r="901" ht="15" customHeight="1" s="82">
      <c r="A901" s="139">
        <f>'לקוחות לפי סוכן - מקור'!A760</f>
        <v/>
      </c>
      <c r="B901" s="139">
        <f>'לקוחות לפי סוכן - מקור'!C760</f>
        <v/>
      </c>
      <c r="C901" s="139">
        <f>'לקוחות לפי סוכן - מקור'!D760</f>
        <v/>
      </c>
      <c r="D901" s="139">
        <f>'לקוחות לפי סוכן - מקור'!E760</f>
        <v/>
      </c>
      <c r="E901" s="147">
        <f>'לקוחות לפי סוכן - מקור'!F760</f>
        <v/>
      </c>
      <c r="F901" s="147">
        <f>'לקוחות לפי סוכן - מקור'!G760</f>
        <v/>
      </c>
      <c r="G901" s="148">
        <f>'לקוחות לפי סוכן - מקור'!H760</f>
        <v/>
      </c>
      <c r="H901" s="148">
        <f>'לקוחות לפי סוכן - מקור'!I760</f>
        <v/>
      </c>
      <c r="I901" s="139">
        <f>'לקוחות לפי סוכן - מקור'!K760</f>
        <v/>
      </c>
      <c r="J901" s="139" t="inlineStr">
        <is>
          <t>קיים במקור</t>
        </is>
      </c>
    </row>
    <row r="902" ht="15" customHeight="1" s="82">
      <c r="A902" s="139">
        <f>'לקוחות לפי סוכן - מקור'!A761</f>
        <v/>
      </c>
      <c r="B902" s="139">
        <f>'לקוחות לפי סוכן - מקור'!C761</f>
        <v/>
      </c>
      <c r="C902" s="139">
        <f>'לקוחות לפי סוכן - מקור'!D761</f>
        <v/>
      </c>
      <c r="D902" s="139">
        <f>'לקוחות לפי סוכן - מקור'!E761</f>
        <v/>
      </c>
      <c r="E902" s="147">
        <f>'לקוחות לפי סוכן - מקור'!F761</f>
        <v/>
      </c>
      <c r="F902" s="147">
        <f>'לקוחות לפי סוכן - מקור'!G761</f>
        <v/>
      </c>
      <c r="G902" s="148">
        <f>'לקוחות לפי סוכן - מקור'!H761</f>
        <v/>
      </c>
      <c r="H902" s="148">
        <f>'לקוחות לפי סוכן - מקור'!I761</f>
        <v/>
      </c>
      <c r="I902" s="139">
        <f>'לקוחות לפי סוכן - מקור'!K761</f>
        <v/>
      </c>
      <c r="J902" s="139" t="inlineStr">
        <is>
          <t>קיים במקור</t>
        </is>
      </c>
    </row>
    <row r="903" ht="15" customHeight="1" s="82">
      <c r="A903" s="139">
        <f>'לקוחות לפי סוכן - מקור'!A762</f>
        <v/>
      </c>
      <c r="B903" s="139">
        <f>'לקוחות לפי סוכן - מקור'!C762</f>
        <v/>
      </c>
      <c r="C903" s="139">
        <f>'לקוחות לפי סוכן - מקור'!D762</f>
        <v/>
      </c>
      <c r="D903" s="139">
        <f>'לקוחות לפי סוכן - מקור'!E762</f>
        <v/>
      </c>
      <c r="E903" s="147">
        <f>'לקוחות לפי סוכן - מקור'!F762</f>
        <v/>
      </c>
      <c r="F903" s="147">
        <f>'לקוחות לפי סוכן - מקור'!G762</f>
        <v/>
      </c>
      <c r="G903" s="148">
        <f>'לקוחות לפי סוכן - מקור'!H762</f>
        <v/>
      </c>
      <c r="H903" s="148">
        <f>'לקוחות לפי סוכן - מקור'!I762</f>
        <v/>
      </c>
      <c r="I903" s="139">
        <f>'לקוחות לפי סוכן - מקור'!K762</f>
        <v/>
      </c>
      <c r="J903" s="139" t="inlineStr">
        <is>
          <t>קיים במקור</t>
        </is>
      </c>
    </row>
    <row r="904" ht="15" customHeight="1" s="82">
      <c r="A904" s="139">
        <f>'לקוחות לפי סוכן - מקור'!A763</f>
        <v/>
      </c>
      <c r="B904" s="139">
        <f>'לקוחות לפי סוכן - מקור'!C763</f>
        <v/>
      </c>
      <c r="C904" s="139">
        <f>'לקוחות לפי סוכן - מקור'!D763</f>
        <v/>
      </c>
      <c r="D904" s="139">
        <f>'לקוחות לפי סוכן - מקור'!E763</f>
        <v/>
      </c>
      <c r="E904" s="147">
        <f>'לקוחות לפי סוכן - מקור'!F763</f>
        <v/>
      </c>
      <c r="F904" s="147">
        <f>'לקוחות לפי סוכן - מקור'!G763</f>
        <v/>
      </c>
      <c r="G904" s="148">
        <f>'לקוחות לפי סוכן - מקור'!H763</f>
        <v/>
      </c>
      <c r="H904" s="148">
        <f>'לקוחות לפי סוכן - מקור'!I763</f>
        <v/>
      </c>
      <c r="I904" s="139">
        <f>'לקוחות לפי סוכן - מקור'!K763</f>
        <v/>
      </c>
      <c r="J904" s="139" t="inlineStr">
        <is>
          <t>קיים במקור</t>
        </is>
      </c>
    </row>
    <row r="905" ht="15" customHeight="1" s="82">
      <c r="A905" s="139">
        <f>'לקוחות לפי סוכן - מקור'!A764</f>
        <v/>
      </c>
      <c r="B905" s="139">
        <f>'לקוחות לפי סוכן - מקור'!C764</f>
        <v/>
      </c>
      <c r="C905" s="139">
        <f>'לקוחות לפי סוכן - מקור'!D764</f>
        <v/>
      </c>
      <c r="D905" s="139">
        <f>'לקוחות לפי סוכן - מקור'!E764</f>
        <v/>
      </c>
      <c r="E905" s="147">
        <f>'לקוחות לפי סוכן - מקור'!F764</f>
        <v/>
      </c>
      <c r="F905" s="147">
        <f>'לקוחות לפי סוכן - מקור'!G764</f>
        <v/>
      </c>
      <c r="G905" s="148">
        <f>'לקוחות לפי סוכן - מקור'!H764</f>
        <v/>
      </c>
      <c r="H905" s="148">
        <f>'לקוחות לפי סוכן - מקור'!I764</f>
        <v/>
      </c>
      <c r="I905" s="139">
        <f>'לקוחות לפי סוכן - מקור'!K764</f>
        <v/>
      </c>
      <c r="J905" s="139" t="inlineStr">
        <is>
          <t>קיים במקור</t>
        </is>
      </c>
    </row>
    <row r="906" ht="15" customHeight="1" s="82">
      <c r="A906" s="139">
        <f>'לקוחות לפי סוכן - מקור'!A765</f>
        <v/>
      </c>
      <c r="B906" s="139">
        <f>'לקוחות לפי סוכן - מקור'!C765</f>
        <v/>
      </c>
      <c r="C906" s="139">
        <f>'לקוחות לפי סוכן - מקור'!D765</f>
        <v/>
      </c>
      <c r="D906" s="139">
        <f>'לקוחות לפי סוכן - מקור'!E765</f>
        <v/>
      </c>
      <c r="E906" s="147">
        <f>'לקוחות לפי סוכן - מקור'!F765</f>
        <v/>
      </c>
      <c r="F906" s="147">
        <f>'לקוחות לפי סוכן - מקור'!G765</f>
        <v/>
      </c>
      <c r="G906" s="148">
        <f>'לקוחות לפי סוכן - מקור'!H765</f>
        <v/>
      </c>
      <c r="H906" s="148">
        <f>'לקוחות לפי סוכן - מקור'!I765</f>
        <v/>
      </c>
      <c r="I906" s="139">
        <f>'לקוחות לפי סוכן - מקור'!K765</f>
        <v/>
      </c>
      <c r="J906" s="139" t="inlineStr">
        <is>
          <t>קיים במקור</t>
        </is>
      </c>
    </row>
    <row r="907" ht="15" customHeight="1" s="82">
      <c r="A907" s="139">
        <f>'לקוחות לפי סוכן - מקור'!A766</f>
        <v/>
      </c>
      <c r="B907" s="139">
        <f>'לקוחות לפי סוכן - מקור'!C766</f>
        <v/>
      </c>
      <c r="C907" s="139">
        <f>'לקוחות לפי סוכן - מקור'!D766</f>
        <v/>
      </c>
      <c r="D907" s="139">
        <f>'לקוחות לפי סוכן - מקור'!E766</f>
        <v/>
      </c>
      <c r="E907" s="147">
        <f>'לקוחות לפי סוכן - מקור'!F766</f>
        <v/>
      </c>
      <c r="F907" s="147">
        <f>'לקוחות לפי סוכן - מקור'!G766</f>
        <v/>
      </c>
      <c r="G907" s="148">
        <f>'לקוחות לפי סוכן - מקור'!H766</f>
        <v/>
      </c>
      <c r="H907" s="148">
        <f>'לקוחות לפי סוכן - מקור'!I766</f>
        <v/>
      </c>
      <c r="I907" s="139">
        <f>'לקוחות לפי סוכן - מקור'!K766</f>
        <v/>
      </c>
      <c r="J907" s="139" t="inlineStr">
        <is>
          <t>קיים במקור</t>
        </is>
      </c>
    </row>
    <row r="908" ht="15" customHeight="1" s="82">
      <c r="A908" s="139">
        <f>'לקוחות לפי סוכן - מקור'!A767</f>
        <v/>
      </c>
      <c r="B908" s="139">
        <f>'לקוחות לפי סוכן - מקור'!C767</f>
        <v/>
      </c>
      <c r="C908" s="139">
        <f>'לקוחות לפי סוכן - מקור'!D767</f>
        <v/>
      </c>
      <c r="D908" s="139">
        <f>'לקוחות לפי סוכן - מקור'!E767</f>
        <v/>
      </c>
      <c r="E908" s="147">
        <f>'לקוחות לפי סוכן - מקור'!F767</f>
        <v/>
      </c>
      <c r="F908" s="147">
        <f>'לקוחות לפי סוכן - מקור'!G767</f>
        <v/>
      </c>
      <c r="G908" s="148">
        <f>'לקוחות לפי סוכן - מקור'!H767</f>
        <v/>
      </c>
      <c r="H908" s="148">
        <f>'לקוחות לפי סוכן - מקור'!I767</f>
        <v/>
      </c>
      <c r="I908" s="139">
        <f>'לקוחות לפי סוכן - מקור'!K767</f>
        <v/>
      </c>
      <c r="J908" s="139" t="inlineStr">
        <is>
          <t>קיים במקור</t>
        </is>
      </c>
    </row>
    <row r="909" ht="15" customHeight="1" s="82">
      <c r="A909" s="139">
        <f>'לקוחות לפי סוכן - מקור'!A768</f>
        <v/>
      </c>
      <c r="B909" s="139">
        <f>'לקוחות לפי סוכן - מקור'!C768</f>
        <v/>
      </c>
      <c r="C909" s="139">
        <f>'לקוחות לפי סוכן - מקור'!D768</f>
        <v/>
      </c>
      <c r="D909" s="139">
        <f>'לקוחות לפי סוכן - מקור'!E768</f>
        <v/>
      </c>
      <c r="E909" s="147">
        <f>'לקוחות לפי סוכן - מקור'!F768</f>
        <v/>
      </c>
      <c r="F909" s="147">
        <f>'לקוחות לפי סוכן - מקור'!G768</f>
        <v/>
      </c>
      <c r="G909" s="148">
        <f>'לקוחות לפי סוכן - מקור'!H768</f>
        <v/>
      </c>
      <c r="H909" s="148">
        <f>'לקוחות לפי סוכן - מקור'!I768</f>
        <v/>
      </c>
      <c r="I909" s="139">
        <f>'לקוחות לפי סוכן - מקור'!K768</f>
        <v/>
      </c>
      <c r="J909" s="139" t="inlineStr">
        <is>
          <t>קיים במקור</t>
        </is>
      </c>
    </row>
    <row r="910" ht="15" customHeight="1" s="82">
      <c r="A910" s="139">
        <f>'לקוחות לפי סוכן - מקור'!A769</f>
        <v/>
      </c>
      <c r="B910" s="139">
        <f>'לקוחות לפי סוכן - מקור'!C769</f>
        <v/>
      </c>
      <c r="C910" s="139">
        <f>'לקוחות לפי סוכן - מקור'!D769</f>
        <v/>
      </c>
      <c r="D910" s="139">
        <f>'לקוחות לפי סוכן - מקור'!E769</f>
        <v/>
      </c>
      <c r="E910" s="147">
        <f>'לקוחות לפי סוכן - מקור'!F769</f>
        <v/>
      </c>
      <c r="F910" s="147">
        <f>'לקוחות לפי סוכן - מקור'!G769</f>
        <v/>
      </c>
      <c r="G910" s="148">
        <f>'לקוחות לפי סוכן - מקור'!H769</f>
        <v/>
      </c>
      <c r="H910" s="148">
        <f>'לקוחות לפי סוכן - מקור'!I769</f>
        <v/>
      </c>
      <c r="I910" s="139">
        <f>'לקוחות לפי סוכן - מקור'!K769</f>
        <v/>
      </c>
      <c r="J910" s="139" t="inlineStr">
        <is>
          <t>קיים במקור</t>
        </is>
      </c>
    </row>
    <row r="911" ht="15" customHeight="1" s="82">
      <c r="A911" s="139">
        <f>'לקוחות לפי סוכן - מקור'!A770</f>
        <v/>
      </c>
      <c r="B911" s="139">
        <f>'לקוחות לפי סוכן - מקור'!C770</f>
        <v/>
      </c>
      <c r="C911" s="139">
        <f>'לקוחות לפי סוכן - מקור'!D770</f>
        <v/>
      </c>
      <c r="D911" s="139">
        <f>'לקוחות לפי סוכן - מקור'!E770</f>
        <v/>
      </c>
      <c r="E911" s="147">
        <f>'לקוחות לפי סוכן - מקור'!F770</f>
        <v/>
      </c>
      <c r="F911" s="147">
        <f>'לקוחות לפי סוכן - מקור'!G770</f>
        <v/>
      </c>
      <c r="G911" s="148">
        <f>'לקוחות לפי סוכן - מקור'!H770</f>
        <v/>
      </c>
      <c r="H911" s="148">
        <f>'לקוחות לפי סוכן - מקור'!I770</f>
        <v/>
      </c>
      <c r="I911" s="139">
        <f>'לקוחות לפי סוכן - מקור'!K770</f>
        <v/>
      </c>
      <c r="J911" s="139" t="inlineStr">
        <is>
          <t>קיים במקור</t>
        </is>
      </c>
    </row>
    <row r="912" ht="15" customHeight="1" s="82">
      <c r="A912" s="139">
        <f>'לקוחות לפי סוכן - מקור'!A771</f>
        <v/>
      </c>
      <c r="B912" s="139">
        <f>'לקוחות לפי סוכן - מקור'!C771</f>
        <v/>
      </c>
      <c r="C912" s="139">
        <f>'לקוחות לפי סוכן - מקור'!D771</f>
        <v/>
      </c>
      <c r="D912" s="139">
        <f>'לקוחות לפי סוכן - מקור'!E771</f>
        <v/>
      </c>
      <c r="E912" s="147">
        <f>'לקוחות לפי סוכן - מקור'!F771</f>
        <v/>
      </c>
      <c r="F912" s="147">
        <f>'לקוחות לפי סוכן - מקור'!G771</f>
        <v/>
      </c>
      <c r="G912" s="148">
        <f>'לקוחות לפי סוכן - מקור'!H771</f>
        <v/>
      </c>
      <c r="H912" s="148">
        <f>'לקוחות לפי סוכן - מקור'!I771</f>
        <v/>
      </c>
      <c r="I912" s="139">
        <f>'לקוחות לפי סוכן - מקור'!K771</f>
        <v/>
      </c>
      <c r="J912" s="139" t="inlineStr">
        <is>
          <t>קיים במקור</t>
        </is>
      </c>
    </row>
    <row r="913" ht="15" customHeight="1" s="82">
      <c r="A913" s="139">
        <f>'לקוחות לפי סוכן - מקור'!A772</f>
        <v/>
      </c>
      <c r="B913" s="139">
        <f>'לקוחות לפי סוכן - מקור'!C772</f>
        <v/>
      </c>
      <c r="C913" s="139">
        <f>'לקוחות לפי סוכן - מקור'!D772</f>
        <v/>
      </c>
      <c r="D913" s="139">
        <f>'לקוחות לפי סוכן - מקור'!E772</f>
        <v/>
      </c>
      <c r="E913" s="147">
        <f>'לקוחות לפי סוכן - מקור'!F772</f>
        <v/>
      </c>
      <c r="F913" s="147">
        <f>'לקוחות לפי סוכן - מקור'!G772</f>
        <v/>
      </c>
      <c r="G913" s="148">
        <f>'לקוחות לפי סוכן - מקור'!H772</f>
        <v/>
      </c>
      <c r="H913" s="148">
        <f>'לקוחות לפי סוכן - מקור'!I772</f>
        <v/>
      </c>
      <c r="I913" s="139">
        <f>'לקוחות לפי סוכן - מקור'!K772</f>
        <v/>
      </c>
      <c r="J913" s="139" t="inlineStr">
        <is>
          <t>קיים במקור</t>
        </is>
      </c>
    </row>
    <row r="914" ht="15" customHeight="1" s="82">
      <c r="A914" s="139">
        <f>'לקוחות לפי סוכן - מקור'!A773</f>
        <v/>
      </c>
      <c r="B914" s="139">
        <f>'לקוחות לפי סוכן - מקור'!C773</f>
        <v/>
      </c>
      <c r="C914" s="139">
        <f>'לקוחות לפי סוכן - מקור'!D773</f>
        <v/>
      </c>
      <c r="D914" s="139">
        <f>'לקוחות לפי סוכן - מקור'!E773</f>
        <v/>
      </c>
      <c r="E914" s="147">
        <f>'לקוחות לפי סוכן - מקור'!F773</f>
        <v/>
      </c>
      <c r="F914" s="147">
        <f>'לקוחות לפי סוכן - מקור'!G773</f>
        <v/>
      </c>
      <c r="G914" s="148">
        <f>'לקוחות לפי סוכן - מקור'!H773</f>
        <v/>
      </c>
      <c r="H914" s="148">
        <f>'לקוחות לפי סוכן - מקור'!I773</f>
        <v/>
      </c>
      <c r="I914" s="139">
        <f>'לקוחות לפי סוכן - מקור'!K773</f>
        <v/>
      </c>
      <c r="J914" s="139" t="inlineStr">
        <is>
          <t>קיים במקור</t>
        </is>
      </c>
    </row>
    <row r="915" ht="15" customHeight="1" s="82">
      <c r="A915" s="139">
        <f>'לקוחות לפי סוכן - מקור'!A774</f>
        <v/>
      </c>
      <c r="B915" s="139">
        <f>'לקוחות לפי סוכן - מקור'!C774</f>
        <v/>
      </c>
      <c r="C915" s="139">
        <f>'לקוחות לפי סוכן - מקור'!D774</f>
        <v/>
      </c>
      <c r="D915" s="139">
        <f>'לקוחות לפי סוכן - מקור'!E774</f>
        <v/>
      </c>
      <c r="E915" s="147">
        <f>'לקוחות לפי סוכן - מקור'!F774</f>
        <v/>
      </c>
      <c r="F915" s="147">
        <f>'לקוחות לפי סוכן - מקור'!G774</f>
        <v/>
      </c>
      <c r="G915" s="148">
        <f>'לקוחות לפי סוכן - מקור'!H774</f>
        <v/>
      </c>
      <c r="H915" s="148">
        <f>'לקוחות לפי סוכן - מקור'!I774</f>
        <v/>
      </c>
      <c r="I915" s="139">
        <f>'לקוחות לפי סוכן - מקור'!K774</f>
        <v/>
      </c>
      <c r="J915" s="139" t="inlineStr">
        <is>
          <t>קיים במקור</t>
        </is>
      </c>
    </row>
    <row r="916" ht="15" customHeight="1" s="82">
      <c r="A916" s="139">
        <f>'לקוחות לפי סוכן - מקור'!A775</f>
        <v/>
      </c>
      <c r="B916" s="139">
        <f>'לקוחות לפי סוכן - מקור'!C775</f>
        <v/>
      </c>
      <c r="C916" s="139">
        <f>'לקוחות לפי סוכן - מקור'!D775</f>
        <v/>
      </c>
      <c r="D916" s="139">
        <f>'לקוחות לפי סוכן - מקור'!E775</f>
        <v/>
      </c>
      <c r="E916" s="147">
        <f>'לקוחות לפי סוכן - מקור'!F775</f>
        <v/>
      </c>
      <c r="F916" s="147">
        <f>'לקוחות לפי סוכן - מקור'!G775</f>
        <v/>
      </c>
      <c r="G916" s="148">
        <f>'לקוחות לפי סוכן - מקור'!H775</f>
        <v/>
      </c>
      <c r="H916" s="148">
        <f>'לקוחות לפי סוכן - מקור'!I775</f>
        <v/>
      </c>
      <c r="I916" s="139">
        <f>'לקוחות לפי סוכן - מקור'!K775</f>
        <v/>
      </c>
      <c r="J916" s="139" t="inlineStr">
        <is>
          <t>קיים במקור</t>
        </is>
      </c>
    </row>
    <row r="917" ht="15" customHeight="1" s="82">
      <c r="A917" s="139">
        <f>'לקוחות לפי סוכן - מקור'!A776</f>
        <v/>
      </c>
      <c r="B917" s="139">
        <f>'לקוחות לפי סוכן - מקור'!C776</f>
        <v/>
      </c>
      <c r="C917" s="139">
        <f>'לקוחות לפי סוכן - מקור'!D776</f>
        <v/>
      </c>
      <c r="D917" s="139">
        <f>'לקוחות לפי סוכן - מקור'!E776</f>
        <v/>
      </c>
      <c r="E917" s="147">
        <f>'לקוחות לפי סוכן - מקור'!F776</f>
        <v/>
      </c>
      <c r="F917" s="147">
        <f>'לקוחות לפי סוכן - מקור'!G776</f>
        <v/>
      </c>
      <c r="G917" s="148">
        <f>'לקוחות לפי סוכן - מקור'!H776</f>
        <v/>
      </c>
      <c r="H917" s="148">
        <f>'לקוחות לפי סוכן - מקור'!I776</f>
        <v/>
      </c>
      <c r="I917" s="139">
        <f>'לקוחות לפי סוכן - מקור'!K776</f>
        <v/>
      </c>
      <c r="J917" s="139" t="inlineStr">
        <is>
          <t>קיים במקור</t>
        </is>
      </c>
    </row>
    <row r="918" ht="15" customHeight="1" s="82">
      <c r="A918" s="139">
        <f>'לקוחות לפי סוכן - מקור'!A777</f>
        <v/>
      </c>
      <c r="B918" s="139">
        <f>'לקוחות לפי סוכן - מקור'!C777</f>
        <v/>
      </c>
      <c r="C918" s="139">
        <f>'לקוחות לפי סוכן - מקור'!D777</f>
        <v/>
      </c>
      <c r="D918" s="139">
        <f>'לקוחות לפי סוכן - מקור'!E777</f>
        <v/>
      </c>
      <c r="E918" s="147">
        <f>'לקוחות לפי סוכן - מקור'!F777</f>
        <v/>
      </c>
      <c r="F918" s="147">
        <f>'לקוחות לפי סוכן - מקור'!G777</f>
        <v/>
      </c>
      <c r="G918" s="148">
        <f>'לקוחות לפי סוכן - מקור'!H777</f>
        <v/>
      </c>
      <c r="H918" s="148">
        <f>'לקוחות לפי סוכן - מקור'!I777</f>
        <v/>
      </c>
      <c r="I918" s="139">
        <f>'לקוחות לפי סוכן - מקור'!K777</f>
        <v/>
      </c>
      <c r="J918" s="139" t="inlineStr">
        <is>
          <t>קיים במקור</t>
        </is>
      </c>
    </row>
    <row r="919" ht="15" customHeight="1" s="82">
      <c r="A919" s="139">
        <f>'לקוחות לפי סוכן - מקור'!A778</f>
        <v/>
      </c>
      <c r="B919" s="139">
        <f>'לקוחות לפי סוכן - מקור'!C778</f>
        <v/>
      </c>
      <c r="C919" s="139">
        <f>'לקוחות לפי סוכן - מקור'!D778</f>
        <v/>
      </c>
      <c r="D919" s="139">
        <f>'לקוחות לפי סוכן - מקור'!E778</f>
        <v/>
      </c>
      <c r="E919" s="147">
        <f>'לקוחות לפי סוכן - מקור'!F778</f>
        <v/>
      </c>
      <c r="F919" s="147">
        <f>'לקוחות לפי סוכן - מקור'!G778</f>
        <v/>
      </c>
      <c r="G919" s="148">
        <f>'לקוחות לפי סוכן - מקור'!H778</f>
        <v/>
      </c>
      <c r="H919" s="148">
        <f>'לקוחות לפי סוכן - מקור'!I778</f>
        <v/>
      </c>
      <c r="I919" s="139">
        <f>'לקוחות לפי סוכן - מקור'!K778</f>
        <v/>
      </c>
      <c r="J919" s="139" t="inlineStr">
        <is>
          <t>קיים במקור</t>
        </is>
      </c>
    </row>
    <row r="920" ht="15" customHeight="1" s="82">
      <c r="A920" s="139">
        <f>'לקוחות לפי סוכן - מקור'!A779</f>
        <v/>
      </c>
      <c r="B920" s="139">
        <f>'לקוחות לפי סוכן - מקור'!C779</f>
        <v/>
      </c>
      <c r="C920" s="139">
        <f>'לקוחות לפי סוכן - מקור'!D779</f>
        <v/>
      </c>
      <c r="D920" s="139">
        <f>'לקוחות לפי סוכן - מקור'!E779</f>
        <v/>
      </c>
      <c r="E920" s="147">
        <f>'לקוחות לפי סוכן - מקור'!F779</f>
        <v/>
      </c>
      <c r="F920" s="147">
        <f>'לקוחות לפי סוכן - מקור'!G779</f>
        <v/>
      </c>
      <c r="G920" s="148">
        <f>'לקוחות לפי סוכן - מקור'!H779</f>
        <v/>
      </c>
      <c r="H920" s="148">
        <f>'לקוחות לפי סוכן - מקור'!I779</f>
        <v/>
      </c>
      <c r="I920" s="139">
        <f>'לקוחות לפי סוכן - מקור'!K779</f>
        <v/>
      </c>
      <c r="J920" s="139" t="inlineStr">
        <is>
          <t>קיים במקור</t>
        </is>
      </c>
    </row>
    <row r="921" ht="15" customHeight="1" s="82">
      <c r="A921" s="139">
        <f>'לקוחות לפי סוכן - מקור'!A780</f>
        <v/>
      </c>
      <c r="B921" s="139">
        <f>'לקוחות לפי סוכן - מקור'!C780</f>
        <v/>
      </c>
      <c r="C921" s="139">
        <f>'לקוחות לפי סוכן - מקור'!D780</f>
        <v/>
      </c>
      <c r="D921" s="139">
        <f>'לקוחות לפי סוכן - מקור'!E780</f>
        <v/>
      </c>
      <c r="E921" s="147">
        <f>'לקוחות לפי סוכן - מקור'!F780</f>
        <v/>
      </c>
      <c r="F921" s="147">
        <f>'לקוחות לפי סוכן - מקור'!G780</f>
        <v/>
      </c>
      <c r="G921" s="148">
        <f>'לקוחות לפי סוכן - מקור'!H780</f>
        <v/>
      </c>
      <c r="H921" s="148">
        <f>'לקוחות לפי סוכן - מקור'!I780</f>
        <v/>
      </c>
      <c r="I921" s="139">
        <f>'לקוחות לפי סוכן - מקור'!K780</f>
        <v/>
      </c>
      <c r="J921" s="139" t="inlineStr">
        <is>
          <t>קיים במקור</t>
        </is>
      </c>
    </row>
    <row r="922" ht="15" customHeight="1" s="82">
      <c r="A922" s="139">
        <f>'לקוחות לפי סוכן - מקור'!A781</f>
        <v/>
      </c>
      <c r="B922" s="139">
        <f>'לקוחות לפי סוכן - מקור'!C781</f>
        <v/>
      </c>
      <c r="C922" s="139">
        <f>'לקוחות לפי סוכן - מקור'!D781</f>
        <v/>
      </c>
      <c r="D922" s="139">
        <f>'לקוחות לפי סוכן - מקור'!E781</f>
        <v/>
      </c>
      <c r="E922" s="147">
        <f>'לקוחות לפי סוכן - מקור'!F781</f>
        <v/>
      </c>
      <c r="F922" s="147">
        <f>'לקוחות לפי סוכן - מקור'!G781</f>
        <v/>
      </c>
      <c r="G922" s="148">
        <f>'לקוחות לפי סוכן - מקור'!H781</f>
        <v/>
      </c>
      <c r="H922" s="148">
        <f>'לקוחות לפי סוכן - מקור'!I781</f>
        <v/>
      </c>
      <c r="I922" s="139">
        <f>'לקוחות לפי סוכן - מקור'!K781</f>
        <v/>
      </c>
      <c r="J922" s="139" t="inlineStr">
        <is>
          <t>קיים במקור</t>
        </is>
      </c>
    </row>
    <row r="923" ht="15" customHeight="1" s="82">
      <c r="A923" s="139">
        <f>'לקוחות לפי סוכן - מקור'!A782</f>
        <v/>
      </c>
      <c r="B923" s="139">
        <f>'לקוחות לפי סוכן - מקור'!C782</f>
        <v/>
      </c>
      <c r="C923" s="139">
        <f>'לקוחות לפי סוכן - מקור'!D782</f>
        <v/>
      </c>
      <c r="D923" s="139">
        <f>'לקוחות לפי סוכן - מקור'!E782</f>
        <v/>
      </c>
      <c r="E923" s="147">
        <f>'לקוחות לפי סוכן - מקור'!F782</f>
        <v/>
      </c>
      <c r="F923" s="147">
        <f>'לקוחות לפי סוכן - מקור'!G782</f>
        <v/>
      </c>
      <c r="G923" s="148">
        <f>'לקוחות לפי סוכן - מקור'!H782</f>
        <v/>
      </c>
      <c r="H923" s="148">
        <f>'לקוחות לפי סוכן - מקור'!I782</f>
        <v/>
      </c>
      <c r="I923" s="139">
        <f>'לקוחות לפי סוכן - מקור'!K782</f>
        <v/>
      </c>
      <c r="J923" s="139" t="inlineStr">
        <is>
          <t>קיים במקור</t>
        </is>
      </c>
    </row>
    <row r="924" ht="15" customHeight="1" s="82">
      <c r="A924" s="139">
        <f>'לקוחות לפי סוכן - מקור'!A783</f>
        <v/>
      </c>
      <c r="B924" s="139">
        <f>'לקוחות לפי סוכן - מקור'!C783</f>
        <v/>
      </c>
      <c r="C924" s="139">
        <f>'לקוחות לפי סוכן - מקור'!D783</f>
        <v/>
      </c>
      <c r="D924" s="139">
        <f>'לקוחות לפי סוכן - מקור'!E783</f>
        <v/>
      </c>
      <c r="E924" s="147">
        <f>'לקוחות לפי סוכן - מקור'!F783</f>
        <v/>
      </c>
      <c r="F924" s="147">
        <f>'לקוחות לפי סוכן - מקור'!G783</f>
        <v/>
      </c>
      <c r="G924" s="148">
        <f>'לקוחות לפי סוכן - מקור'!H783</f>
        <v/>
      </c>
      <c r="H924" s="148">
        <f>'לקוחות לפי סוכן - מקור'!I783</f>
        <v/>
      </c>
      <c r="I924" s="139">
        <f>'לקוחות לפי סוכן - מקור'!K783</f>
        <v/>
      </c>
      <c r="J924" s="139" t="inlineStr">
        <is>
          <t>קיים במקור</t>
        </is>
      </c>
    </row>
    <row r="925" ht="15" customHeight="1" s="82">
      <c r="A925" s="139">
        <f>'לקוחות לפי סוכן - מקור'!A784</f>
        <v/>
      </c>
      <c r="B925" s="139">
        <f>'לקוחות לפי סוכן - מקור'!C784</f>
        <v/>
      </c>
      <c r="C925" s="139">
        <f>'לקוחות לפי סוכן - מקור'!D784</f>
        <v/>
      </c>
      <c r="D925" s="139">
        <f>'לקוחות לפי סוכן - מקור'!E784</f>
        <v/>
      </c>
      <c r="E925" s="147">
        <f>'לקוחות לפי סוכן - מקור'!F784</f>
        <v/>
      </c>
      <c r="F925" s="147">
        <f>'לקוחות לפי סוכן - מקור'!G784</f>
        <v/>
      </c>
      <c r="G925" s="148">
        <f>'לקוחות לפי סוכן - מקור'!H784</f>
        <v/>
      </c>
      <c r="H925" s="148">
        <f>'לקוחות לפי סוכן - מקור'!I784</f>
        <v/>
      </c>
      <c r="I925" s="139">
        <f>'לקוחות לפי סוכן - מקור'!K784</f>
        <v/>
      </c>
      <c r="J925" s="139" t="inlineStr">
        <is>
          <t>קיים במקור</t>
        </is>
      </c>
    </row>
    <row r="926" ht="15" customHeight="1" s="82">
      <c r="A926" s="139">
        <f>'לקוחות לפי סוכן - מקור'!A785</f>
        <v/>
      </c>
      <c r="B926" s="139">
        <f>'לקוחות לפי סוכן - מקור'!C785</f>
        <v/>
      </c>
      <c r="C926" s="139">
        <f>'לקוחות לפי סוכן - מקור'!D785</f>
        <v/>
      </c>
      <c r="D926" s="139">
        <f>'לקוחות לפי סוכן - מקור'!E785</f>
        <v/>
      </c>
      <c r="E926" s="147">
        <f>'לקוחות לפי סוכן - מקור'!F785</f>
        <v/>
      </c>
      <c r="F926" s="147">
        <f>'לקוחות לפי סוכן - מקור'!G785</f>
        <v/>
      </c>
      <c r="G926" s="148">
        <f>'לקוחות לפי סוכן - מקור'!H785</f>
        <v/>
      </c>
      <c r="H926" s="148">
        <f>'לקוחות לפי סוכן - מקור'!I785</f>
        <v/>
      </c>
      <c r="I926" s="139">
        <f>'לקוחות לפי סוכן - מקור'!K785</f>
        <v/>
      </c>
      <c r="J926" s="139" t="inlineStr">
        <is>
          <t>קיים במקור</t>
        </is>
      </c>
    </row>
    <row r="927" ht="15" customHeight="1" s="82">
      <c r="A927" s="139">
        <f>'לקוחות לפי סוכן - מקור'!A786</f>
        <v/>
      </c>
      <c r="B927" s="139">
        <f>'לקוחות לפי סוכן - מקור'!C786</f>
        <v/>
      </c>
      <c r="C927" s="139">
        <f>'לקוחות לפי סוכן - מקור'!D786</f>
        <v/>
      </c>
      <c r="D927" s="139">
        <f>'לקוחות לפי סוכן - מקור'!E786</f>
        <v/>
      </c>
      <c r="E927" s="147">
        <f>'לקוחות לפי סוכן - מקור'!F786</f>
        <v/>
      </c>
      <c r="F927" s="147">
        <f>'לקוחות לפי סוכן - מקור'!G786</f>
        <v/>
      </c>
      <c r="G927" s="148">
        <f>'לקוחות לפי סוכן - מקור'!H786</f>
        <v/>
      </c>
      <c r="H927" s="148">
        <f>'לקוחות לפי סוכן - מקור'!I786</f>
        <v/>
      </c>
      <c r="I927" s="139">
        <f>'לקוחות לפי סוכן - מקור'!K786</f>
        <v/>
      </c>
      <c r="J927" s="139" t="inlineStr">
        <is>
          <t>קיים במקור</t>
        </is>
      </c>
    </row>
    <row r="928" ht="15" customHeight="1" s="82">
      <c r="A928" s="139">
        <f>'לקוחות לפי סוכן - מקור'!A787</f>
        <v/>
      </c>
      <c r="B928" s="139">
        <f>'לקוחות לפי סוכן - מקור'!C787</f>
        <v/>
      </c>
      <c r="C928" s="139">
        <f>'לקוחות לפי סוכן - מקור'!D787</f>
        <v/>
      </c>
      <c r="D928" s="139">
        <f>'לקוחות לפי סוכן - מקור'!E787</f>
        <v/>
      </c>
      <c r="E928" s="147">
        <f>'לקוחות לפי סוכן - מקור'!F787</f>
        <v/>
      </c>
      <c r="F928" s="147">
        <f>'לקוחות לפי סוכן - מקור'!G787</f>
        <v/>
      </c>
      <c r="G928" s="148">
        <f>'לקוחות לפי סוכן - מקור'!H787</f>
        <v/>
      </c>
      <c r="H928" s="148">
        <f>'לקוחות לפי סוכן - מקור'!I787</f>
        <v/>
      </c>
      <c r="I928" s="139">
        <f>'לקוחות לפי סוכן - מקור'!K787</f>
        <v/>
      </c>
      <c r="J928" s="139" t="inlineStr">
        <is>
          <t>קיים במקור</t>
        </is>
      </c>
    </row>
    <row r="929" ht="15" customHeight="1" s="82">
      <c r="A929" s="139">
        <f>'לקוחות לפי סוכן - מקור'!A788</f>
        <v/>
      </c>
      <c r="B929" s="139">
        <f>'לקוחות לפי סוכן - מקור'!C788</f>
        <v/>
      </c>
      <c r="C929" s="139">
        <f>'לקוחות לפי סוכן - מקור'!D788</f>
        <v/>
      </c>
      <c r="D929" s="139">
        <f>'לקוחות לפי סוכן - מקור'!E788</f>
        <v/>
      </c>
      <c r="E929" s="147">
        <f>'לקוחות לפי סוכן - מקור'!F788</f>
        <v/>
      </c>
      <c r="F929" s="147">
        <f>'לקוחות לפי סוכן - מקור'!G788</f>
        <v/>
      </c>
      <c r="G929" s="148">
        <f>'לקוחות לפי סוכן - מקור'!H788</f>
        <v/>
      </c>
      <c r="H929" s="148">
        <f>'לקוחות לפי סוכן - מקור'!I788</f>
        <v/>
      </c>
      <c r="I929" s="139">
        <f>'לקוחות לפי סוכן - מקור'!K788</f>
        <v/>
      </c>
      <c r="J929" s="139" t="inlineStr">
        <is>
          <t>קיים במקור</t>
        </is>
      </c>
    </row>
    <row r="930" ht="15" customHeight="1" s="82">
      <c r="A930" s="139">
        <f>'לקוחות לפי סוכן - מקור'!A789</f>
        <v/>
      </c>
      <c r="B930" s="139">
        <f>'לקוחות לפי סוכן - מקור'!C789</f>
        <v/>
      </c>
      <c r="C930" s="139">
        <f>'לקוחות לפי סוכן - מקור'!D789</f>
        <v/>
      </c>
      <c r="D930" s="139">
        <f>'לקוחות לפי סוכן - מקור'!E789</f>
        <v/>
      </c>
      <c r="E930" s="147">
        <f>'לקוחות לפי סוכן - מקור'!F789</f>
        <v/>
      </c>
      <c r="F930" s="147">
        <f>'לקוחות לפי סוכן - מקור'!G789</f>
        <v/>
      </c>
      <c r="G930" s="148">
        <f>'לקוחות לפי סוכן - מקור'!H789</f>
        <v/>
      </c>
      <c r="H930" s="148">
        <f>'לקוחות לפי סוכן - מקור'!I789</f>
        <v/>
      </c>
      <c r="I930" s="139">
        <f>'לקוחות לפי סוכן - מקור'!K789</f>
        <v/>
      </c>
      <c r="J930" s="139" t="inlineStr">
        <is>
          <t>קיים במקור</t>
        </is>
      </c>
    </row>
    <row r="931" ht="15" customHeight="1" s="82">
      <c r="A931" s="139">
        <f>'לקוחות לפי סוכן - מקור'!A790</f>
        <v/>
      </c>
      <c r="B931" s="139">
        <f>'לקוחות לפי סוכן - מקור'!C790</f>
        <v/>
      </c>
      <c r="C931" s="139">
        <f>'לקוחות לפי סוכן - מקור'!D790</f>
        <v/>
      </c>
      <c r="D931" s="139">
        <f>'לקוחות לפי סוכן - מקור'!E790</f>
        <v/>
      </c>
      <c r="E931" s="147">
        <f>'לקוחות לפי סוכן - מקור'!F790</f>
        <v/>
      </c>
      <c r="F931" s="147">
        <f>'לקוחות לפי סוכן - מקור'!G790</f>
        <v/>
      </c>
      <c r="G931" s="148">
        <f>'לקוחות לפי סוכן - מקור'!H790</f>
        <v/>
      </c>
      <c r="H931" s="148">
        <f>'לקוחות לפי סוכן - מקור'!I790</f>
        <v/>
      </c>
      <c r="I931" s="139">
        <f>'לקוחות לפי סוכן - מקור'!K790</f>
        <v/>
      </c>
      <c r="J931" s="139" t="inlineStr">
        <is>
          <t>קיים במקור</t>
        </is>
      </c>
    </row>
    <row r="932" ht="15" customHeight="1" s="82">
      <c r="A932" s="139">
        <f>'לקוחות לפי סוכן - מקור'!A791</f>
        <v/>
      </c>
      <c r="B932" s="139">
        <f>'לקוחות לפי סוכן - מקור'!C791</f>
        <v/>
      </c>
      <c r="C932" s="139">
        <f>'לקוחות לפי סוכן - מקור'!D791</f>
        <v/>
      </c>
      <c r="D932" s="139">
        <f>'לקוחות לפי סוכן - מקור'!E791</f>
        <v/>
      </c>
      <c r="E932" s="147">
        <f>'לקוחות לפי סוכן - מקור'!F791</f>
        <v/>
      </c>
      <c r="F932" s="147">
        <f>'לקוחות לפי סוכן - מקור'!G791</f>
        <v/>
      </c>
      <c r="G932" s="148">
        <f>'לקוחות לפי סוכן - מקור'!H791</f>
        <v/>
      </c>
      <c r="H932" s="148">
        <f>'לקוחות לפי סוכן - מקור'!I791</f>
        <v/>
      </c>
      <c r="I932" s="139">
        <f>'לקוחות לפי סוכן - מקור'!K791</f>
        <v/>
      </c>
      <c r="J932" s="139" t="inlineStr">
        <is>
          <t>קיים במקור</t>
        </is>
      </c>
    </row>
    <row r="933" ht="15" customHeight="1" s="82">
      <c r="A933" s="139">
        <f>'לקוחות לפי סוכן - מקור'!A792</f>
        <v/>
      </c>
      <c r="B933" s="139">
        <f>'לקוחות לפי סוכן - מקור'!C792</f>
        <v/>
      </c>
      <c r="C933" s="139">
        <f>'לקוחות לפי סוכן - מקור'!D792</f>
        <v/>
      </c>
      <c r="D933" s="139">
        <f>'לקוחות לפי סוכן - מקור'!E792</f>
        <v/>
      </c>
      <c r="E933" s="147">
        <f>'לקוחות לפי סוכן - מקור'!F792</f>
        <v/>
      </c>
      <c r="F933" s="147">
        <f>'לקוחות לפי סוכן - מקור'!G792</f>
        <v/>
      </c>
      <c r="G933" s="148">
        <f>'לקוחות לפי סוכן - מקור'!H792</f>
        <v/>
      </c>
      <c r="H933" s="148">
        <f>'לקוחות לפי סוכן - מקור'!I792</f>
        <v/>
      </c>
      <c r="I933" s="139">
        <f>'לקוחות לפי סוכן - מקור'!K792</f>
        <v/>
      </c>
      <c r="J933" s="139" t="inlineStr">
        <is>
          <t>קיים במקור</t>
        </is>
      </c>
    </row>
    <row r="934" ht="15" customHeight="1" s="82">
      <c r="A934" s="139">
        <f>'לקוחות לפי סוכן - מקור'!A793</f>
        <v/>
      </c>
      <c r="B934" s="139">
        <f>'לקוחות לפי סוכן - מקור'!C793</f>
        <v/>
      </c>
      <c r="C934" s="139">
        <f>'לקוחות לפי סוכן - מקור'!D793</f>
        <v/>
      </c>
      <c r="D934" s="139">
        <f>'לקוחות לפי סוכן - מקור'!E793</f>
        <v/>
      </c>
      <c r="E934" s="147">
        <f>'לקוחות לפי סוכן - מקור'!F793</f>
        <v/>
      </c>
      <c r="F934" s="147">
        <f>'לקוחות לפי סוכן - מקור'!G793</f>
        <v/>
      </c>
      <c r="G934" s="148">
        <f>'לקוחות לפי סוכן - מקור'!H793</f>
        <v/>
      </c>
      <c r="H934" s="148">
        <f>'לקוחות לפי סוכן - מקור'!I793</f>
        <v/>
      </c>
      <c r="I934" s="139">
        <f>'לקוחות לפי סוכן - מקור'!K793</f>
        <v/>
      </c>
      <c r="J934" s="139" t="inlineStr">
        <is>
          <t>קיים במקור</t>
        </is>
      </c>
    </row>
    <row r="935" ht="15" customHeight="1" s="82">
      <c r="A935" s="139">
        <f>'לקוחות לפי סוכן - מקור'!A794</f>
        <v/>
      </c>
      <c r="B935" s="139">
        <f>'לקוחות לפי סוכן - מקור'!C794</f>
        <v/>
      </c>
      <c r="C935" s="139">
        <f>'לקוחות לפי סוכן - מקור'!D794</f>
        <v/>
      </c>
      <c r="D935" s="139">
        <f>'לקוחות לפי סוכן - מקור'!E794</f>
        <v/>
      </c>
      <c r="E935" s="147">
        <f>'לקוחות לפי סוכן - מקור'!F794</f>
        <v/>
      </c>
      <c r="F935" s="147">
        <f>'לקוחות לפי סוכן - מקור'!G794</f>
        <v/>
      </c>
      <c r="G935" s="148">
        <f>'לקוחות לפי סוכן - מקור'!H794</f>
        <v/>
      </c>
      <c r="H935" s="148">
        <f>'לקוחות לפי סוכן - מקור'!I794</f>
        <v/>
      </c>
      <c r="I935" s="139">
        <f>'לקוחות לפי סוכן - מקור'!K794</f>
        <v/>
      </c>
      <c r="J935" s="139" t="inlineStr">
        <is>
          <t>קיים במקור</t>
        </is>
      </c>
    </row>
    <row r="936" ht="15" customHeight="1" s="82">
      <c r="A936" s="139">
        <f>'לקוחות לפי סוכן - מקור'!A795</f>
        <v/>
      </c>
      <c r="B936" s="139">
        <f>'לקוחות לפי סוכן - מקור'!C795</f>
        <v/>
      </c>
      <c r="C936" s="139">
        <f>'לקוחות לפי סוכן - מקור'!D795</f>
        <v/>
      </c>
      <c r="D936" s="139">
        <f>'לקוחות לפי סוכן - מקור'!E795</f>
        <v/>
      </c>
      <c r="E936" s="147">
        <f>'לקוחות לפי סוכן - מקור'!F795</f>
        <v/>
      </c>
      <c r="F936" s="147">
        <f>'לקוחות לפי סוכן - מקור'!G795</f>
        <v/>
      </c>
      <c r="G936" s="148">
        <f>'לקוחות לפי סוכן - מקור'!H795</f>
        <v/>
      </c>
      <c r="H936" s="148">
        <f>'לקוחות לפי סוכן - מקור'!I795</f>
        <v/>
      </c>
      <c r="I936" s="139">
        <f>'לקוחות לפי סוכן - מקור'!K795</f>
        <v/>
      </c>
      <c r="J936" s="139" t="inlineStr">
        <is>
          <t>קיים במקור</t>
        </is>
      </c>
    </row>
    <row r="937" ht="15" customHeight="1" s="82">
      <c r="A937" s="139">
        <f>'לקוחות לפי סוכן - מקור'!A796</f>
        <v/>
      </c>
      <c r="B937" s="139">
        <f>'לקוחות לפי סוכן - מקור'!C796</f>
        <v/>
      </c>
      <c r="C937" s="139">
        <f>'לקוחות לפי סוכן - מקור'!D796</f>
        <v/>
      </c>
      <c r="D937" s="139">
        <f>'לקוחות לפי סוכן - מקור'!E796</f>
        <v/>
      </c>
      <c r="E937" s="147">
        <f>'לקוחות לפי סוכן - מקור'!F796</f>
        <v/>
      </c>
      <c r="F937" s="147">
        <f>'לקוחות לפי סוכן - מקור'!G796</f>
        <v/>
      </c>
      <c r="G937" s="148">
        <f>'לקוחות לפי סוכן - מקור'!H796</f>
        <v/>
      </c>
      <c r="H937" s="148">
        <f>'לקוחות לפי סוכן - מקור'!I796</f>
        <v/>
      </c>
      <c r="I937" s="139">
        <f>'לקוחות לפי סוכן - מקור'!K796</f>
        <v/>
      </c>
      <c r="J937" s="139" t="inlineStr">
        <is>
          <t>קיים במקור</t>
        </is>
      </c>
    </row>
    <row r="938" ht="15" customHeight="1" s="82">
      <c r="A938" s="139">
        <f>'לקוחות לפי סוכן - מקור'!A797</f>
        <v/>
      </c>
      <c r="B938" s="139">
        <f>'לקוחות לפי סוכן - מקור'!C797</f>
        <v/>
      </c>
      <c r="C938" s="139">
        <f>'לקוחות לפי סוכן - מקור'!D797</f>
        <v/>
      </c>
      <c r="D938" s="139">
        <f>'לקוחות לפי סוכן - מקור'!E797</f>
        <v/>
      </c>
      <c r="E938" s="147">
        <f>'לקוחות לפי סוכן - מקור'!F797</f>
        <v/>
      </c>
      <c r="F938" s="147">
        <f>'לקוחות לפי סוכן - מקור'!G797</f>
        <v/>
      </c>
      <c r="G938" s="148">
        <f>'לקוחות לפי סוכן - מקור'!H797</f>
        <v/>
      </c>
      <c r="H938" s="148">
        <f>'לקוחות לפי סוכן - מקור'!I797</f>
        <v/>
      </c>
      <c r="I938" s="139">
        <f>'לקוחות לפי סוכן - מקור'!K797</f>
        <v/>
      </c>
      <c r="J938" s="139" t="inlineStr">
        <is>
          <t>קיים במקור</t>
        </is>
      </c>
    </row>
    <row r="939" ht="15" customHeight="1" s="82">
      <c r="A939" s="139">
        <f>'לקוחות לפי סוכן - מקור'!A798</f>
        <v/>
      </c>
      <c r="B939" s="139">
        <f>'לקוחות לפי סוכן - מקור'!C798</f>
        <v/>
      </c>
      <c r="C939" s="139">
        <f>'לקוחות לפי סוכן - מקור'!D798</f>
        <v/>
      </c>
      <c r="D939" s="139">
        <f>'לקוחות לפי סוכן - מקור'!E798</f>
        <v/>
      </c>
      <c r="E939" s="147">
        <f>'לקוחות לפי סוכן - מקור'!F798</f>
        <v/>
      </c>
      <c r="F939" s="147">
        <f>'לקוחות לפי סוכן - מקור'!G798</f>
        <v/>
      </c>
      <c r="G939" s="148">
        <f>'לקוחות לפי סוכן - מקור'!H798</f>
        <v/>
      </c>
      <c r="H939" s="148">
        <f>'לקוחות לפי סוכן - מקור'!I798</f>
        <v/>
      </c>
      <c r="I939" s="139">
        <f>'לקוחות לפי סוכן - מקור'!K798</f>
        <v/>
      </c>
      <c r="J939" s="139" t="inlineStr">
        <is>
          <t>קיים במקור</t>
        </is>
      </c>
    </row>
    <row r="940" ht="15" customHeight="1" s="82">
      <c r="A940" s="139">
        <f>'לקוחות לפי סוכן - מקור'!A799</f>
        <v/>
      </c>
      <c r="B940" s="139">
        <f>'לקוחות לפי סוכן - מקור'!C799</f>
        <v/>
      </c>
      <c r="C940" s="139">
        <f>'לקוחות לפי סוכן - מקור'!D799</f>
        <v/>
      </c>
      <c r="D940" s="139">
        <f>'לקוחות לפי סוכן - מקור'!E799</f>
        <v/>
      </c>
      <c r="E940" s="147">
        <f>'לקוחות לפי סוכן - מקור'!F799</f>
        <v/>
      </c>
      <c r="F940" s="147">
        <f>'לקוחות לפי סוכן - מקור'!G799</f>
        <v/>
      </c>
      <c r="G940" s="148">
        <f>'לקוחות לפי סוכן - מקור'!H799</f>
        <v/>
      </c>
      <c r="H940" s="148">
        <f>'לקוחות לפי סוכן - מקור'!I799</f>
        <v/>
      </c>
      <c r="I940" s="139">
        <f>'לקוחות לפי סוכן - מקור'!K799</f>
        <v/>
      </c>
      <c r="J940" s="139" t="inlineStr">
        <is>
          <t>קיים במקור</t>
        </is>
      </c>
    </row>
    <row r="941" ht="15" customHeight="1" s="82">
      <c r="A941" s="139">
        <f>'לקוחות לפי סוכן - מקור'!A800</f>
        <v/>
      </c>
      <c r="B941" s="139">
        <f>'לקוחות לפי סוכן - מקור'!C800</f>
        <v/>
      </c>
      <c r="C941" s="139">
        <f>'לקוחות לפי סוכן - מקור'!D800</f>
        <v/>
      </c>
      <c r="D941" s="139">
        <f>'לקוחות לפי סוכן - מקור'!E800</f>
        <v/>
      </c>
      <c r="E941" s="147">
        <f>'לקוחות לפי סוכן - מקור'!F800</f>
        <v/>
      </c>
      <c r="F941" s="147">
        <f>'לקוחות לפי סוכן - מקור'!G800</f>
        <v/>
      </c>
      <c r="G941" s="148">
        <f>'לקוחות לפי סוכן - מקור'!H800</f>
        <v/>
      </c>
      <c r="H941" s="148">
        <f>'לקוחות לפי סוכן - מקור'!I800</f>
        <v/>
      </c>
      <c r="I941" s="139">
        <f>'לקוחות לפי סוכן - מקור'!K800</f>
        <v/>
      </c>
      <c r="J941" s="139" t="inlineStr">
        <is>
          <t>קיים במקור</t>
        </is>
      </c>
    </row>
    <row r="942" ht="15" customHeight="1" s="82">
      <c r="A942" s="139">
        <f>'לקוחות לפי סוכן - מקור'!A801</f>
        <v/>
      </c>
      <c r="B942" s="139">
        <f>'לקוחות לפי סוכן - מקור'!C801</f>
        <v/>
      </c>
      <c r="C942" s="139">
        <f>'לקוחות לפי סוכן - מקור'!D801</f>
        <v/>
      </c>
      <c r="D942" s="139">
        <f>'לקוחות לפי סוכן - מקור'!E801</f>
        <v/>
      </c>
      <c r="E942" s="147">
        <f>'לקוחות לפי סוכן - מקור'!F801</f>
        <v/>
      </c>
      <c r="F942" s="147">
        <f>'לקוחות לפי סוכן - מקור'!G801</f>
        <v/>
      </c>
      <c r="G942" s="148">
        <f>'לקוחות לפי סוכן - מקור'!H801</f>
        <v/>
      </c>
      <c r="H942" s="148">
        <f>'לקוחות לפי סוכן - מקור'!I801</f>
        <v/>
      </c>
      <c r="I942" s="139">
        <f>'לקוחות לפי סוכן - מקור'!K801</f>
        <v/>
      </c>
      <c r="J942" s="139" t="inlineStr">
        <is>
          <t>קיים במקור</t>
        </is>
      </c>
    </row>
    <row r="943" ht="15" customHeight="1" s="82">
      <c r="A943" s="139">
        <f>'לקוחות לפי סוכן - מקור'!A802</f>
        <v/>
      </c>
      <c r="B943" s="139">
        <f>'לקוחות לפי סוכן - מקור'!C802</f>
        <v/>
      </c>
      <c r="C943" s="139">
        <f>'לקוחות לפי סוכן - מקור'!D802</f>
        <v/>
      </c>
      <c r="D943" s="139">
        <f>'לקוחות לפי סוכן - מקור'!E802</f>
        <v/>
      </c>
      <c r="E943" s="147">
        <f>'לקוחות לפי סוכן - מקור'!F802</f>
        <v/>
      </c>
      <c r="F943" s="147">
        <f>'לקוחות לפי סוכן - מקור'!G802</f>
        <v/>
      </c>
      <c r="G943" s="148">
        <f>'לקוחות לפי סוכן - מקור'!H802</f>
        <v/>
      </c>
      <c r="H943" s="148">
        <f>'לקוחות לפי סוכן - מקור'!I802</f>
        <v/>
      </c>
      <c r="I943" s="139">
        <f>'לקוחות לפי סוכן - מקור'!K802</f>
        <v/>
      </c>
      <c r="J943" s="139" t="inlineStr">
        <is>
          <t>קיים במקור</t>
        </is>
      </c>
    </row>
    <row r="944" ht="15" customHeight="1" s="82">
      <c r="A944" s="139">
        <f>'לקוחות לפי סוכן - מקור'!A803</f>
        <v/>
      </c>
      <c r="B944" s="139">
        <f>'לקוחות לפי סוכן - מקור'!C803</f>
        <v/>
      </c>
      <c r="C944" s="139">
        <f>'לקוחות לפי סוכן - מקור'!D803</f>
        <v/>
      </c>
      <c r="D944" s="139">
        <f>'לקוחות לפי סוכן - מקור'!E803</f>
        <v/>
      </c>
      <c r="E944" s="147">
        <f>'לקוחות לפי סוכן - מקור'!F803</f>
        <v/>
      </c>
      <c r="F944" s="147">
        <f>'לקוחות לפי סוכן - מקור'!G803</f>
        <v/>
      </c>
      <c r="G944" s="148">
        <f>'לקוחות לפי סוכן - מקור'!H803</f>
        <v/>
      </c>
      <c r="H944" s="148">
        <f>'לקוחות לפי סוכן - מקור'!I803</f>
        <v/>
      </c>
      <c r="I944" s="139">
        <f>'לקוחות לפי סוכן - מקור'!K803</f>
        <v/>
      </c>
      <c r="J944" s="139" t="inlineStr">
        <is>
          <t>קיים במקור</t>
        </is>
      </c>
    </row>
    <row r="945" ht="15" customHeight="1" s="82">
      <c r="A945" s="139">
        <f>'לקוחות לפי סוכן - מקור'!A804</f>
        <v/>
      </c>
      <c r="B945" s="139">
        <f>'לקוחות לפי סוכן - מקור'!C804</f>
        <v/>
      </c>
      <c r="C945" s="139">
        <f>'לקוחות לפי סוכן - מקור'!D804</f>
        <v/>
      </c>
      <c r="D945" s="139">
        <f>'לקוחות לפי סוכן - מקור'!E804</f>
        <v/>
      </c>
      <c r="E945" s="147">
        <f>'לקוחות לפי סוכן - מקור'!F804</f>
        <v/>
      </c>
      <c r="F945" s="147">
        <f>'לקוחות לפי סוכן - מקור'!G804</f>
        <v/>
      </c>
      <c r="G945" s="148">
        <f>'לקוחות לפי סוכן - מקור'!H804</f>
        <v/>
      </c>
      <c r="H945" s="148">
        <f>'לקוחות לפי סוכן - מקור'!I804</f>
        <v/>
      </c>
      <c r="I945" s="139">
        <f>'לקוחות לפי סוכן - מקור'!K804</f>
        <v/>
      </c>
      <c r="J945" s="139" t="inlineStr">
        <is>
          <t>קיים במקור</t>
        </is>
      </c>
    </row>
    <row r="946" ht="15" customHeight="1" s="82">
      <c r="A946" s="139">
        <f>'לקוחות לפי סוכן - מקור'!A805</f>
        <v/>
      </c>
      <c r="B946" s="139">
        <f>'לקוחות לפי סוכן - מקור'!C805</f>
        <v/>
      </c>
      <c r="C946" s="139">
        <f>'לקוחות לפי סוכן - מקור'!D805</f>
        <v/>
      </c>
      <c r="D946" s="139">
        <f>'לקוחות לפי סוכן - מקור'!E805</f>
        <v/>
      </c>
      <c r="E946" s="147">
        <f>'לקוחות לפי סוכן - מקור'!F805</f>
        <v/>
      </c>
      <c r="F946" s="147">
        <f>'לקוחות לפי סוכן - מקור'!G805</f>
        <v/>
      </c>
      <c r="G946" s="148">
        <f>'לקוחות לפי סוכן - מקור'!H805</f>
        <v/>
      </c>
      <c r="H946" s="148">
        <f>'לקוחות לפי סוכן - מקור'!I805</f>
        <v/>
      </c>
      <c r="I946" s="139">
        <f>'לקוחות לפי סוכן - מקור'!K805</f>
        <v/>
      </c>
      <c r="J946" s="139" t="inlineStr">
        <is>
          <t>קיים במקור</t>
        </is>
      </c>
    </row>
    <row r="947" ht="15" customHeight="1" s="82">
      <c r="A947" s="139">
        <f>'לקוחות לפי סוכן - מקור'!A806</f>
        <v/>
      </c>
      <c r="B947" s="139">
        <f>'לקוחות לפי סוכן - מקור'!C806</f>
        <v/>
      </c>
      <c r="C947" s="139">
        <f>'לקוחות לפי סוכן - מקור'!D806</f>
        <v/>
      </c>
      <c r="D947" s="139">
        <f>'לקוחות לפי סוכן - מקור'!E806</f>
        <v/>
      </c>
      <c r="E947" s="147">
        <f>'לקוחות לפי סוכן - מקור'!F806</f>
        <v/>
      </c>
      <c r="F947" s="147">
        <f>'לקוחות לפי סוכן - מקור'!G806</f>
        <v/>
      </c>
      <c r="G947" s="148">
        <f>'לקוחות לפי סוכן - מקור'!H806</f>
        <v/>
      </c>
      <c r="H947" s="148">
        <f>'לקוחות לפי סוכן - מקור'!I806</f>
        <v/>
      </c>
      <c r="I947" s="139">
        <f>'לקוחות לפי סוכן - מקור'!K806</f>
        <v/>
      </c>
      <c r="J947" s="139" t="inlineStr">
        <is>
          <t>קיים במקור</t>
        </is>
      </c>
    </row>
    <row r="948" ht="15" customHeight="1" s="82">
      <c r="A948" s="139">
        <f>'לקוחות לפי סוכן - מקור'!A807</f>
        <v/>
      </c>
      <c r="B948" s="139">
        <f>'לקוחות לפי סוכן - מקור'!C807</f>
        <v/>
      </c>
      <c r="C948" s="139">
        <f>'לקוחות לפי סוכן - מקור'!D807</f>
        <v/>
      </c>
      <c r="D948" s="139">
        <f>'לקוחות לפי סוכן - מקור'!E807</f>
        <v/>
      </c>
      <c r="E948" s="147">
        <f>'לקוחות לפי סוכן - מקור'!F807</f>
        <v/>
      </c>
      <c r="F948" s="147">
        <f>'לקוחות לפי סוכן - מקור'!G807</f>
        <v/>
      </c>
      <c r="G948" s="148">
        <f>'לקוחות לפי סוכן - מקור'!H807</f>
        <v/>
      </c>
      <c r="H948" s="148">
        <f>'לקוחות לפי סוכן - מקור'!I807</f>
        <v/>
      </c>
      <c r="I948" s="139">
        <f>'לקוחות לפי סוכן - מקור'!K807</f>
        <v/>
      </c>
      <c r="J948" s="139" t="inlineStr">
        <is>
          <t>קיים במקור</t>
        </is>
      </c>
    </row>
    <row r="949" ht="15" customHeight="1" s="82">
      <c r="A949" s="139">
        <f>'לקוחות לפי סוכן - מקור'!A808</f>
        <v/>
      </c>
      <c r="B949" s="139">
        <f>'לקוחות לפי סוכן - מקור'!C808</f>
        <v/>
      </c>
      <c r="C949" s="139">
        <f>'לקוחות לפי סוכן - מקור'!D808</f>
        <v/>
      </c>
      <c r="D949" s="139">
        <f>'לקוחות לפי סוכן - מקור'!E808</f>
        <v/>
      </c>
      <c r="E949" s="147">
        <f>'לקוחות לפי סוכן - מקור'!F808</f>
        <v/>
      </c>
      <c r="F949" s="147">
        <f>'לקוחות לפי סוכן - מקור'!G808</f>
        <v/>
      </c>
      <c r="G949" s="148">
        <f>'לקוחות לפי סוכן - מקור'!H808</f>
        <v/>
      </c>
      <c r="H949" s="148">
        <f>'לקוחות לפי סוכן - מקור'!I808</f>
        <v/>
      </c>
      <c r="I949" s="139">
        <f>'לקוחות לפי סוכן - מקור'!K808</f>
        <v/>
      </c>
      <c r="J949" s="139" t="inlineStr">
        <is>
          <t>קיים במקור</t>
        </is>
      </c>
    </row>
    <row r="950" ht="15" customHeight="1" s="82">
      <c r="A950" s="139">
        <f>'לקוחות לפי סוכן - מקור'!A809</f>
        <v/>
      </c>
      <c r="B950" s="139">
        <f>'לקוחות לפי סוכן - מקור'!C809</f>
        <v/>
      </c>
      <c r="C950" s="139">
        <f>'לקוחות לפי סוכן - מקור'!D809</f>
        <v/>
      </c>
      <c r="D950" s="139">
        <f>'לקוחות לפי סוכן - מקור'!E809</f>
        <v/>
      </c>
      <c r="E950" s="147">
        <f>'לקוחות לפי סוכן - מקור'!F809</f>
        <v/>
      </c>
      <c r="F950" s="147">
        <f>'לקוחות לפי סוכן - מקור'!G809</f>
        <v/>
      </c>
      <c r="G950" s="148">
        <f>'לקוחות לפי סוכן - מקור'!H809</f>
        <v/>
      </c>
      <c r="H950" s="148">
        <f>'לקוחות לפי סוכן - מקור'!I809</f>
        <v/>
      </c>
      <c r="I950" s="139">
        <f>'לקוחות לפי סוכן - מקור'!K809</f>
        <v/>
      </c>
      <c r="J950" s="139" t="inlineStr">
        <is>
          <t>קיים במקור</t>
        </is>
      </c>
    </row>
    <row r="951" ht="15" customHeight="1" s="82">
      <c r="A951" s="139">
        <f>'לקוחות לפי סוכן - מקור'!A810</f>
        <v/>
      </c>
      <c r="B951" s="139">
        <f>'לקוחות לפי סוכן - מקור'!C810</f>
        <v/>
      </c>
      <c r="C951" s="139">
        <f>'לקוחות לפי סוכן - מקור'!D810</f>
        <v/>
      </c>
      <c r="D951" s="139">
        <f>'לקוחות לפי סוכן - מקור'!E810</f>
        <v/>
      </c>
      <c r="E951" s="147">
        <f>'לקוחות לפי סוכן - מקור'!F810</f>
        <v/>
      </c>
      <c r="F951" s="147">
        <f>'לקוחות לפי סוכן - מקור'!G810</f>
        <v/>
      </c>
      <c r="G951" s="148">
        <f>'לקוחות לפי סוכן - מקור'!H810</f>
        <v/>
      </c>
      <c r="H951" s="148">
        <f>'לקוחות לפי סוכן - מקור'!I810</f>
        <v/>
      </c>
      <c r="I951" s="139">
        <f>'לקוחות לפי סוכן - מקור'!K810</f>
        <v/>
      </c>
      <c r="J951" s="139" t="inlineStr">
        <is>
          <t>קיים במקור</t>
        </is>
      </c>
    </row>
    <row r="952" ht="15" customHeight="1" s="82">
      <c r="A952" s="139">
        <f>'לקוחות לפי סוכן - מקור'!A811</f>
        <v/>
      </c>
      <c r="B952" s="139">
        <f>'לקוחות לפי סוכן - מקור'!C811</f>
        <v/>
      </c>
      <c r="C952" s="139">
        <f>'לקוחות לפי סוכן - מקור'!D811</f>
        <v/>
      </c>
      <c r="D952" s="139">
        <f>'לקוחות לפי סוכן - מקור'!E811</f>
        <v/>
      </c>
      <c r="E952" s="147">
        <f>'לקוחות לפי סוכן - מקור'!F811</f>
        <v/>
      </c>
      <c r="F952" s="147">
        <f>'לקוחות לפי סוכן - מקור'!G811</f>
        <v/>
      </c>
      <c r="G952" s="148">
        <f>'לקוחות לפי סוכן - מקור'!H811</f>
        <v/>
      </c>
      <c r="H952" s="148">
        <f>'לקוחות לפי סוכן - מקור'!I811</f>
        <v/>
      </c>
      <c r="I952" s="139">
        <f>'לקוחות לפי סוכן - מקור'!K811</f>
        <v/>
      </c>
      <c r="J952" s="139" t="inlineStr">
        <is>
          <t>קיים במקור</t>
        </is>
      </c>
    </row>
    <row r="953" ht="15" customHeight="1" s="82">
      <c r="A953" s="139">
        <f>'לקוחות לפי סוכן - מקור'!A812</f>
        <v/>
      </c>
      <c r="B953" s="139">
        <f>'לקוחות לפי סוכן - מקור'!C812</f>
        <v/>
      </c>
      <c r="C953" s="139">
        <f>'לקוחות לפי סוכן - מקור'!D812</f>
        <v/>
      </c>
      <c r="D953" s="139">
        <f>'לקוחות לפי סוכן - מקור'!E812</f>
        <v/>
      </c>
      <c r="E953" s="147">
        <f>'לקוחות לפי סוכן - מקור'!F812</f>
        <v/>
      </c>
      <c r="F953" s="147">
        <f>'לקוחות לפי סוכן - מקור'!G812</f>
        <v/>
      </c>
      <c r="G953" s="148">
        <f>'לקוחות לפי סוכן - מקור'!H812</f>
        <v/>
      </c>
      <c r="H953" s="148">
        <f>'לקוחות לפי סוכן - מקור'!I812</f>
        <v/>
      </c>
      <c r="I953" s="139">
        <f>'לקוחות לפי סוכן - מקור'!K812</f>
        <v/>
      </c>
      <c r="J953" s="139" t="inlineStr">
        <is>
          <t>קיים במקור</t>
        </is>
      </c>
    </row>
    <row r="954" ht="15" customHeight="1" s="82">
      <c r="A954" s="139">
        <f>'לקוחות לפי סוכן - מקור'!A813</f>
        <v/>
      </c>
      <c r="B954" s="139">
        <f>'לקוחות לפי סוכן - מקור'!C813</f>
        <v/>
      </c>
      <c r="C954" s="139">
        <f>'לקוחות לפי סוכן - מקור'!D813</f>
        <v/>
      </c>
      <c r="D954" s="139">
        <f>'לקוחות לפי סוכן - מקור'!E813</f>
        <v/>
      </c>
      <c r="E954" s="147">
        <f>'לקוחות לפי סוכן - מקור'!F813</f>
        <v/>
      </c>
      <c r="F954" s="147">
        <f>'לקוחות לפי סוכן - מקור'!G813</f>
        <v/>
      </c>
      <c r="G954" s="148">
        <f>'לקוחות לפי סוכן - מקור'!H813</f>
        <v/>
      </c>
      <c r="H954" s="148">
        <f>'לקוחות לפי סוכן - מקור'!I813</f>
        <v/>
      </c>
      <c r="I954" s="139">
        <f>'לקוחות לפי סוכן - מקור'!K813</f>
        <v/>
      </c>
      <c r="J954" s="139" t="inlineStr">
        <is>
          <t>קיים במקור</t>
        </is>
      </c>
    </row>
    <row r="955" ht="15" customHeight="1" s="82">
      <c r="A955" s="139">
        <f>'לקוחות לפי סוכן - מקור'!A814</f>
        <v/>
      </c>
      <c r="B955" s="139">
        <f>'לקוחות לפי סוכן - מקור'!C814</f>
        <v/>
      </c>
      <c r="C955" s="139">
        <f>'לקוחות לפי סוכן - מקור'!D814</f>
        <v/>
      </c>
      <c r="D955" s="139">
        <f>'לקוחות לפי סוכן - מקור'!E814</f>
        <v/>
      </c>
      <c r="E955" s="147">
        <f>'לקוחות לפי סוכן - מקור'!F814</f>
        <v/>
      </c>
      <c r="F955" s="147">
        <f>'לקוחות לפי סוכן - מקור'!G814</f>
        <v/>
      </c>
      <c r="G955" s="148">
        <f>'לקוחות לפי סוכן - מקור'!H814</f>
        <v/>
      </c>
      <c r="H955" s="148">
        <f>'לקוחות לפי סוכן - מקור'!I814</f>
        <v/>
      </c>
      <c r="I955" s="139">
        <f>'לקוחות לפי סוכן - מקור'!K814</f>
        <v/>
      </c>
      <c r="J955" s="139" t="inlineStr">
        <is>
          <t>קיים במקור</t>
        </is>
      </c>
    </row>
    <row r="956" ht="15" customHeight="1" s="82">
      <c r="A956" s="139">
        <f>'לקוחות לפי סוכן - מקור'!A815</f>
        <v/>
      </c>
      <c r="B956" s="139">
        <f>'לקוחות לפי סוכן - מקור'!C815</f>
        <v/>
      </c>
      <c r="C956" s="139">
        <f>'לקוחות לפי סוכן - מקור'!D815</f>
        <v/>
      </c>
      <c r="D956" s="139">
        <f>'לקוחות לפי סוכן - מקור'!E815</f>
        <v/>
      </c>
      <c r="E956" s="147">
        <f>'לקוחות לפי סוכן - מקור'!F815</f>
        <v/>
      </c>
      <c r="F956" s="147">
        <f>'לקוחות לפי סוכן - מקור'!G815</f>
        <v/>
      </c>
      <c r="G956" s="148">
        <f>'לקוחות לפי סוכן - מקור'!H815</f>
        <v/>
      </c>
      <c r="H956" s="148">
        <f>'לקוחות לפי סוכן - מקור'!I815</f>
        <v/>
      </c>
      <c r="I956" s="139">
        <f>'לקוחות לפי סוכן - מקור'!K815</f>
        <v/>
      </c>
      <c r="J956" s="139" t="inlineStr">
        <is>
          <t>קיים במקור</t>
        </is>
      </c>
    </row>
    <row r="957" ht="15" customHeight="1" s="82">
      <c r="A957" s="139">
        <f>'לקוחות לפי סוכן - מקור'!A816</f>
        <v/>
      </c>
      <c r="B957" s="139">
        <f>'לקוחות לפי סוכן - מקור'!C816</f>
        <v/>
      </c>
      <c r="C957" s="139">
        <f>'לקוחות לפי סוכן - מקור'!D816</f>
        <v/>
      </c>
      <c r="D957" s="139">
        <f>'לקוחות לפי סוכן - מקור'!E816</f>
        <v/>
      </c>
      <c r="E957" s="147">
        <f>'לקוחות לפי סוכן - מקור'!F816</f>
        <v/>
      </c>
      <c r="F957" s="147">
        <f>'לקוחות לפי סוכן - מקור'!G816</f>
        <v/>
      </c>
      <c r="G957" s="148">
        <f>'לקוחות לפי סוכן - מקור'!H816</f>
        <v/>
      </c>
      <c r="H957" s="148">
        <f>'לקוחות לפי סוכן - מקור'!I816</f>
        <v/>
      </c>
      <c r="I957" s="139">
        <f>'לקוחות לפי סוכן - מקור'!K816</f>
        <v/>
      </c>
      <c r="J957" s="139" t="inlineStr">
        <is>
          <t>קיים במקור</t>
        </is>
      </c>
    </row>
    <row r="958" ht="15" customHeight="1" s="82">
      <c r="A958" s="139">
        <f>'לקוחות לפי סוכן - מקור'!A817</f>
        <v/>
      </c>
      <c r="B958" s="139">
        <f>'לקוחות לפי סוכן - מקור'!C817</f>
        <v/>
      </c>
      <c r="C958" s="139">
        <f>'לקוחות לפי סוכן - מקור'!D817</f>
        <v/>
      </c>
      <c r="D958" s="139">
        <f>'לקוחות לפי סוכן - מקור'!E817</f>
        <v/>
      </c>
      <c r="E958" s="147">
        <f>'לקוחות לפי סוכן - מקור'!F817</f>
        <v/>
      </c>
      <c r="F958" s="147">
        <f>'לקוחות לפי סוכן - מקור'!G817</f>
        <v/>
      </c>
      <c r="G958" s="148">
        <f>'לקוחות לפי סוכן - מקור'!H817</f>
        <v/>
      </c>
      <c r="H958" s="148">
        <f>'לקוחות לפי סוכן - מקור'!I817</f>
        <v/>
      </c>
      <c r="I958" s="139">
        <f>'לקוחות לפי סוכן - מקור'!K817</f>
        <v/>
      </c>
      <c r="J958" s="139" t="inlineStr">
        <is>
          <t>קיים במקור</t>
        </is>
      </c>
    </row>
    <row r="959" ht="15" customHeight="1" s="82">
      <c r="A959" s="139">
        <f>'לקוחות לפי סוכן - מקור'!A818</f>
        <v/>
      </c>
      <c r="B959" s="139">
        <f>'לקוחות לפי סוכן - מקור'!C818</f>
        <v/>
      </c>
      <c r="C959" s="139">
        <f>'לקוחות לפי סוכן - מקור'!D818</f>
        <v/>
      </c>
      <c r="D959" s="139">
        <f>'לקוחות לפי סוכן - מקור'!E818</f>
        <v/>
      </c>
      <c r="E959" s="147">
        <f>'לקוחות לפי סוכן - מקור'!F818</f>
        <v/>
      </c>
      <c r="F959" s="147">
        <f>'לקוחות לפי סוכן - מקור'!G818</f>
        <v/>
      </c>
      <c r="G959" s="148">
        <f>'לקוחות לפי סוכן - מקור'!H818</f>
        <v/>
      </c>
      <c r="H959" s="148">
        <f>'לקוחות לפי סוכן - מקור'!I818</f>
        <v/>
      </c>
      <c r="I959" s="139">
        <f>'לקוחות לפי סוכן - מקור'!K818</f>
        <v/>
      </c>
      <c r="J959" s="139" t="inlineStr">
        <is>
          <t>קיים במקור</t>
        </is>
      </c>
    </row>
    <row r="960" ht="15" customHeight="1" s="82">
      <c r="A960" s="139">
        <f>'לקוחות לפי סוכן - מקור'!A819</f>
        <v/>
      </c>
      <c r="B960" s="139">
        <f>'לקוחות לפי סוכן - מקור'!C819</f>
        <v/>
      </c>
      <c r="C960" s="139">
        <f>'לקוחות לפי סוכן - מקור'!D819</f>
        <v/>
      </c>
      <c r="D960" s="139">
        <f>'לקוחות לפי סוכן - מקור'!E819</f>
        <v/>
      </c>
      <c r="E960" s="147">
        <f>'לקוחות לפי סוכן - מקור'!F819</f>
        <v/>
      </c>
      <c r="F960" s="147">
        <f>'לקוחות לפי סוכן - מקור'!G819</f>
        <v/>
      </c>
      <c r="G960" s="148">
        <f>'לקוחות לפי סוכן - מקור'!H819</f>
        <v/>
      </c>
      <c r="H960" s="148">
        <f>'לקוחות לפי סוכן - מקור'!I819</f>
        <v/>
      </c>
      <c r="I960" s="139">
        <f>'לקוחות לפי סוכן - מקור'!K819</f>
        <v/>
      </c>
      <c r="J960" s="139" t="inlineStr">
        <is>
          <t>קיים במקור</t>
        </is>
      </c>
    </row>
    <row r="961" ht="15" customHeight="1" s="82">
      <c r="A961" s="139">
        <f>'לקוחות לפי סוכן - מקור'!A820</f>
        <v/>
      </c>
      <c r="B961" s="139">
        <f>'לקוחות לפי סוכן - מקור'!C820</f>
        <v/>
      </c>
      <c r="C961" s="139">
        <f>'לקוחות לפי סוכן - מקור'!D820</f>
        <v/>
      </c>
      <c r="D961" s="139">
        <f>'לקוחות לפי סוכן - מקור'!E820</f>
        <v/>
      </c>
      <c r="E961" s="147">
        <f>'לקוחות לפי סוכן - מקור'!F820</f>
        <v/>
      </c>
      <c r="F961" s="147">
        <f>'לקוחות לפי סוכן - מקור'!G820</f>
        <v/>
      </c>
      <c r="G961" s="148">
        <f>'לקוחות לפי סוכן - מקור'!H820</f>
        <v/>
      </c>
      <c r="H961" s="148">
        <f>'לקוחות לפי סוכן - מקור'!I820</f>
        <v/>
      </c>
      <c r="I961" s="139">
        <f>'לקוחות לפי סוכן - מקור'!K820</f>
        <v/>
      </c>
      <c r="J961" s="139" t="inlineStr">
        <is>
          <t>קיים במקור</t>
        </is>
      </c>
    </row>
    <row r="962" ht="15" customHeight="1" s="82">
      <c r="A962" s="139">
        <f>'לקוחות לפי סוכן - מקור'!A821</f>
        <v/>
      </c>
      <c r="B962" s="139">
        <f>'לקוחות לפי סוכן - מקור'!C821</f>
        <v/>
      </c>
      <c r="C962" s="139">
        <f>'לקוחות לפי סוכן - מקור'!D821</f>
        <v/>
      </c>
      <c r="D962" s="139">
        <f>'לקוחות לפי סוכן - מקור'!E821</f>
        <v/>
      </c>
      <c r="E962" s="147">
        <f>'לקוחות לפי סוכן - מקור'!F821</f>
        <v/>
      </c>
      <c r="F962" s="147">
        <f>'לקוחות לפי סוכן - מקור'!G821</f>
        <v/>
      </c>
      <c r="G962" s="148">
        <f>'לקוחות לפי סוכן - מקור'!H821</f>
        <v/>
      </c>
      <c r="H962" s="148">
        <f>'לקוחות לפי סוכן - מקור'!I821</f>
        <v/>
      </c>
      <c r="I962" s="139">
        <f>'לקוחות לפי סוכן - מקור'!K821</f>
        <v/>
      </c>
      <c r="J962" s="139" t="inlineStr">
        <is>
          <t>קיים במקור</t>
        </is>
      </c>
    </row>
    <row r="963" ht="15" customHeight="1" s="82">
      <c r="A963" s="139">
        <f>'לקוחות לפי סוכן - מקור'!A822</f>
        <v/>
      </c>
      <c r="B963" s="139">
        <f>'לקוחות לפי סוכן - מקור'!C822</f>
        <v/>
      </c>
      <c r="C963" s="139">
        <f>'לקוחות לפי סוכן - מקור'!D822</f>
        <v/>
      </c>
      <c r="D963" s="139">
        <f>'לקוחות לפי סוכן - מקור'!E822</f>
        <v/>
      </c>
      <c r="E963" s="147">
        <f>'לקוחות לפי סוכן - מקור'!F822</f>
        <v/>
      </c>
      <c r="F963" s="147">
        <f>'לקוחות לפי סוכן - מקור'!G822</f>
        <v/>
      </c>
      <c r="G963" s="148">
        <f>'לקוחות לפי סוכן - מקור'!H822</f>
        <v/>
      </c>
      <c r="H963" s="148">
        <f>'לקוחות לפי סוכן - מקור'!I822</f>
        <v/>
      </c>
      <c r="I963" s="139">
        <f>'לקוחות לפי סוכן - מקור'!K822</f>
        <v/>
      </c>
      <c r="J963" s="139" t="inlineStr">
        <is>
          <t>קיים במקור</t>
        </is>
      </c>
    </row>
    <row r="964" ht="15" customHeight="1" s="82">
      <c r="A964" s="139">
        <f>'לקוחות לפי סוכן - מקור'!A823</f>
        <v/>
      </c>
      <c r="B964" s="139">
        <f>'לקוחות לפי סוכן - מקור'!C823</f>
        <v/>
      </c>
      <c r="C964" s="139">
        <f>'לקוחות לפי סוכן - מקור'!D823</f>
        <v/>
      </c>
      <c r="D964" s="139">
        <f>'לקוחות לפי סוכן - מקור'!E823</f>
        <v/>
      </c>
      <c r="E964" s="147">
        <f>'לקוחות לפי סוכן - מקור'!F823</f>
        <v/>
      </c>
      <c r="F964" s="147">
        <f>'לקוחות לפי סוכן - מקור'!G823</f>
        <v/>
      </c>
      <c r="G964" s="148">
        <f>'לקוחות לפי סוכן - מקור'!H823</f>
        <v/>
      </c>
      <c r="H964" s="148">
        <f>'לקוחות לפי סוכן - מקור'!I823</f>
        <v/>
      </c>
      <c r="I964" s="139">
        <f>'לקוחות לפי סוכן - מקור'!K823</f>
        <v/>
      </c>
      <c r="J964" s="139" t="inlineStr">
        <is>
          <t>קיים במקור</t>
        </is>
      </c>
    </row>
    <row r="965" ht="15" customHeight="1" s="82">
      <c r="A965" s="139">
        <f>'לקוחות לפי סוכן - מקור'!A824</f>
        <v/>
      </c>
      <c r="B965" s="139">
        <f>'לקוחות לפי סוכן - מקור'!C824</f>
        <v/>
      </c>
      <c r="C965" s="139">
        <f>'לקוחות לפי סוכן - מקור'!D824</f>
        <v/>
      </c>
      <c r="D965" s="139">
        <f>'לקוחות לפי סוכן - מקור'!E824</f>
        <v/>
      </c>
      <c r="E965" s="147">
        <f>'לקוחות לפי סוכן - מקור'!F824</f>
        <v/>
      </c>
      <c r="F965" s="147">
        <f>'לקוחות לפי סוכן - מקור'!G824</f>
        <v/>
      </c>
      <c r="G965" s="148">
        <f>'לקוחות לפי סוכן - מקור'!H824</f>
        <v/>
      </c>
      <c r="H965" s="148">
        <f>'לקוחות לפי סוכן - מקור'!I824</f>
        <v/>
      </c>
      <c r="I965" s="139">
        <f>'לקוחות לפי סוכן - מקור'!K824</f>
        <v/>
      </c>
      <c r="J965" s="139" t="inlineStr">
        <is>
          <t>קיים במקור</t>
        </is>
      </c>
    </row>
    <row r="966" ht="15" customHeight="1" s="82">
      <c r="A966" s="139">
        <f>'לקוחות לפי סוכן - מקור'!A825</f>
        <v/>
      </c>
      <c r="B966" s="139">
        <f>'לקוחות לפי סוכן - מקור'!C825</f>
        <v/>
      </c>
      <c r="C966" s="139">
        <f>'לקוחות לפי סוכן - מקור'!D825</f>
        <v/>
      </c>
      <c r="D966" s="139">
        <f>'לקוחות לפי סוכן - מקור'!E825</f>
        <v/>
      </c>
      <c r="E966" s="147">
        <f>'לקוחות לפי סוכן - מקור'!F825</f>
        <v/>
      </c>
      <c r="F966" s="147">
        <f>'לקוחות לפי סוכן - מקור'!G825</f>
        <v/>
      </c>
      <c r="G966" s="148">
        <f>'לקוחות לפי סוכן - מקור'!H825</f>
        <v/>
      </c>
      <c r="H966" s="148">
        <f>'לקוחות לפי סוכן - מקור'!I825</f>
        <v/>
      </c>
      <c r="I966" s="139">
        <f>'לקוחות לפי סוכן - מקור'!K825</f>
        <v/>
      </c>
      <c r="J966" s="139" t="inlineStr">
        <is>
          <t>קיים במקור</t>
        </is>
      </c>
    </row>
    <row r="967" ht="15" customHeight="1" s="82">
      <c r="A967" s="139">
        <f>'לקוחות לפי סוכן - מקור'!A826</f>
        <v/>
      </c>
      <c r="B967" s="139">
        <f>'לקוחות לפי סוכן - מקור'!C826</f>
        <v/>
      </c>
      <c r="C967" s="139">
        <f>'לקוחות לפי סוכן - מקור'!D826</f>
        <v/>
      </c>
      <c r="D967" s="139">
        <f>'לקוחות לפי סוכן - מקור'!E826</f>
        <v/>
      </c>
      <c r="E967" s="147">
        <f>'לקוחות לפי סוכן - מקור'!F826</f>
        <v/>
      </c>
      <c r="F967" s="147">
        <f>'לקוחות לפי סוכן - מקור'!G826</f>
        <v/>
      </c>
      <c r="G967" s="148">
        <f>'לקוחות לפי סוכן - מקור'!H826</f>
        <v/>
      </c>
      <c r="H967" s="148">
        <f>'לקוחות לפי סוכן - מקור'!I826</f>
        <v/>
      </c>
      <c r="I967" s="139">
        <f>'לקוחות לפי סוכן - מקור'!K826</f>
        <v/>
      </c>
      <c r="J967" s="139" t="inlineStr">
        <is>
          <t>קיים במקור</t>
        </is>
      </c>
    </row>
    <row r="968" ht="15" customHeight="1" s="82">
      <c r="A968" s="139">
        <f>'לקוחות לפי סוכן - מקור'!A827</f>
        <v/>
      </c>
      <c r="B968" s="139">
        <f>'לקוחות לפי סוכן - מקור'!C827</f>
        <v/>
      </c>
      <c r="C968" s="139">
        <f>'לקוחות לפי סוכן - מקור'!D827</f>
        <v/>
      </c>
      <c r="D968" s="139">
        <f>'לקוחות לפי סוכן - מקור'!E827</f>
        <v/>
      </c>
      <c r="E968" s="147">
        <f>'לקוחות לפי סוכן - מקור'!F827</f>
        <v/>
      </c>
      <c r="F968" s="147">
        <f>'לקוחות לפי סוכן - מקור'!G827</f>
        <v/>
      </c>
      <c r="G968" s="148">
        <f>'לקוחות לפי סוכן - מקור'!H827</f>
        <v/>
      </c>
      <c r="H968" s="148">
        <f>'לקוחות לפי סוכן - מקור'!I827</f>
        <v/>
      </c>
      <c r="I968" s="139">
        <f>'לקוחות לפי סוכן - מקור'!K827</f>
        <v/>
      </c>
      <c r="J968" s="139" t="inlineStr">
        <is>
          <t>קיים במקור</t>
        </is>
      </c>
    </row>
    <row r="969" ht="15" customHeight="1" s="82">
      <c r="A969" s="139">
        <f>'לקוחות לפי סוכן - מקור'!A828</f>
        <v/>
      </c>
      <c r="B969" s="139">
        <f>'לקוחות לפי סוכן - מקור'!C828</f>
        <v/>
      </c>
      <c r="C969" s="139">
        <f>'לקוחות לפי סוכן - מקור'!D828</f>
        <v/>
      </c>
      <c r="D969" s="139">
        <f>'לקוחות לפי סוכן - מקור'!E828</f>
        <v/>
      </c>
      <c r="E969" s="147">
        <f>'לקוחות לפי סוכן - מקור'!F828</f>
        <v/>
      </c>
      <c r="F969" s="147">
        <f>'לקוחות לפי סוכן - מקור'!G828</f>
        <v/>
      </c>
      <c r="G969" s="148">
        <f>'לקוחות לפי סוכן - מקור'!H828</f>
        <v/>
      </c>
      <c r="H969" s="148">
        <f>'לקוחות לפי סוכן - מקור'!I828</f>
        <v/>
      </c>
      <c r="I969" s="139">
        <f>'לקוחות לפי סוכן - מקור'!K828</f>
        <v/>
      </c>
      <c r="J969" s="139" t="inlineStr">
        <is>
          <t>קיים במקור</t>
        </is>
      </c>
    </row>
    <row r="970" ht="15" customHeight="1" s="82">
      <c r="A970" s="139">
        <f>'לקוחות לפי סוכן - מקור'!A829</f>
        <v/>
      </c>
      <c r="B970" s="139">
        <f>'לקוחות לפי סוכן - מקור'!C829</f>
        <v/>
      </c>
      <c r="C970" s="139">
        <f>'לקוחות לפי סוכן - מקור'!D829</f>
        <v/>
      </c>
      <c r="D970" s="139">
        <f>'לקוחות לפי סוכן - מקור'!E829</f>
        <v/>
      </c>
      <c r="E970" s="147">
        <f>'לקוחות לפי סוכן - מקור'!F829</f>
        <v/>
      </c>
      <c r="F970" s="147">
        <f>'לקוחות לפי סוכן - מקור'!G829</f>
        <v/>
      </c>
      <c r="G970" s="148">
        <f>'לקוחות לפי סוכן - מקור'!H829</f>
        <v/>
      </c>
      <c r="H970" s="148">
        <f>'לקוחות לפי סוכן - מקור'!I829</f>
        <v/>
      </c>
      <c r="I970" s="139">
        <f>'לקוחות לפי סוכן - מקור'!K829</f>
        <v/>
      </c>
      <c r="J970" s="139" t="inlineStr">
        <is>
          <t>קיים במקור</t>
        </is>
      </c>
    </row>
    <row r="971" ht="15" customHeight="1" s="82">
      <c r="A971" s="139">
        <f>'לקוחות לפי סוכן - מקור'!A830</f>
        <v/>
      </c>
      <c r="B971" s="139">
        <f>'לקוחות לפי סוכן - מקור'!C830</f>
        <v/>
      </c>
      <c r="C971" s="139">
        <f>'לקוחות לפי סוכן - מקור'!D830</f>
        <v/>
      </c>
      <c r="D971" s="139">
        <f>'לקוחות לפי סוכן - מקור'!E830</f>
        <v/>
      </c>
      <c r="E971" s="147">
        <f>'לקוחות לפי סוכן - מקור'!F830</f>
        <v/>
      </c>
      <c r="F971" s="147">
        <f>'לקוחות לפי סוכן - מקור'!G830</f>
        <v/>
      </c>
      <c r="G971" s="148">
        <f>'לקוחות לפי סוכן - מקור'!H830</f>
        <v/>
      </c>
      <c r="H971" s="148">
        <f>'לקוחות לפי סוכן - מקור'!I830</f>
        <v/>
      </c>
      <c r="I971" s="139">
        <f>'לקוחות לפי סוכן - מקור'!K830</f>
        <v/>
      </c>
      <c r="J971" s="139" t="inlineStr">
        <is>
          <t>קיים במקור</t>
        </is>
      </c>
    </row>
    <row r="972" ht="15" customHeight="1" s="82">
      <c r="A972" s="139">
        <f>'לקוחות לפי סוכן - מקור'!A831</f>
        <v/>
      </c>
      <c r="B972" s="139">
        <f>'לקוחות לפי סוכן - מקור'!C831</f>
        <v/>
      </c>
      <c r="C972" s="139">
        <f>'לקוחות לפי סוכן - מקור'!D831</f>
        <v/>
      </c>
      <c r="D972" s="139">
        <f>'לקוחות לפי סוכן - מקור'!E831</f>
        <v/>
      </c>
      <c r="E972" s="147">
        <f>'לקוחות לפי סוכן - מקור'!F831</f>
        <v/>
      </c>
      <c r="F972" s="147">
        <f>'לקוחות לפי סוכן - מקור'!G831</f>
        <v/>
      </c>
      <c r="G972" s="148">
        <f>'לקוחות לפי סוכן - מקור'!H831</f>
        <v/>
      </c>
      <c r="H972" s="148">
        <f>'לקוחות לפי סוכן - מקור'!I831</f>
        <v/>
      </c>
      <c r="I972" s="139">
        <f>'לקוחות לפי סוכן - מקור'!K831</f>
        <v/>
      </c>
      <c r="J972" s="139" t="inlineStr">
        <is>
          <t>קיים במקור</t>
        </is>
      </c>
    </row>
    <row r="973" ht="15" customHeight="1" s="82">
      <c r="A973" s="139">
        <f>'לקוחות לפי סוכן - מקור'!A832</f>
        <v/>
      </c>
      <c r="B973" s="139">
        <f>'לקוחות לפי סוכן - מקור'!C832</f>
        <v/>
      </c>
      <c r="C973" s="139">
        <f>'לקוחות לפי סוכן - מקור'!D832</f>
        <v/>
      </c>
      <c r="D973" s="139">
        <f>'לקוחות לפי סוכן - מקור'!E832</f>
        <v/>
      </c>
      <c r="E973" s="147">
        <f>'לקוחות לפי סוכן - מקור'!F832</f>
        <v/>
      </c>
      <c r="F973" s="147">
        <f>'לקוחות לפי סוכן - מקור'!G832</f>
        <v/>
      </c>
      <c r="G973" s="148">
        <f>'לקוחות לפי סוכן - מקור'!H832</f>
        <v/>
      </c>
      <c r="H973" s="148">
        <f>'לקוחות לפי סוכן - מקור'!I832</f>
        <v/>
      </c>
      <c r="I973" s="139">
        <f>'לקוחות לפי סוכן - מקור'!K832</f>
        <v/>
      </c>
      <c r="J973" s="139" t="inlineStr">
        <is>
          <t>קיים במקור</t>
        </is>
      </c>
    </row>
    <row r="974" ht="15" customHeight="1" s="82">
      <c r="A974" s="139">
        <f>'לקוחות לפי סוכן - מקור'!A833</f>
        <v/>
      </c>
      <c r="B974" s="139">
        <f>'לקוחות לפי סוכן - מקור'!C833</f>
        <v/>
      </c>
      <c r="C974" s="139">
        <f>'לקוחות לפי סוכן - מקור'!D833</f>
        <v/>
      </c>
      <c r="D974" s="139">
        <f>'לקוחות לפי סוכן - מקור'!E833</f>
        <v/>
      </c>
      <c r="E974" s="147">
        <f>'לקוחות לפי סוכן - מקור'!F833</f>
        <v/>
      </c>
      <c r="F974" s="147">
        <f>'לקוחות לפי סוכן - מקור'!G833</f>
        <v/>
      </c>
      <c r="G974" s="148">
        <f>'לקוחות לפי סוכן - מקור'!H833</f>
        <v/>
      </c>
      <c r="H974" s="148">
        <f>'לקוחות לפי סוכן - מקור'!I833</f>
        <v/>
      </c>
      <c r="I974" s="139">
        <f>'לקוחות לפי סוכן - מקור'!K833</f>
        <v/>
      </c>
      <c r="J974" s="139" t="inlineStr">
        <is>
          <t>קיים במקור</t>
        </is>
      </c>
    </row>
    <row r="975" ht="15" customHeight="1" s="82">
      <c r="A975" s="139">
        <f>'לקוחות לפי סוכן - מקור'!A834</f>
        <v/>
      </c>
      <c r="B975" s="139">
        <f>'לקוחות לפי סוכן - מקור'!C834</f>
        <v/>
      </c>
      <c r="C975" s="139">
        <f>'לקוחות לפי סוכן - מקור'!D834</f>
        <v/>
      </c>
      <c r="D975" s="139">
        <f>'לקוחות לפי סוכן - מקור'!E834</f>
        <v/>
      </c>
      <c r="E975" s="147">
        <f>'לקוחות לפי סוכן - מקור'!F834</f>
        <v/>
      </c>
      <c r="F975" s="147">
        <f>'לקוחות לפי סוכן - מקור'!G834</f>
        <v/>
      </c>
      <c r="G975" s="148">
        <f>'לקוחות לפי סוכן - מקור'!H834</f>
        <v/>
      </c>
      <c r="H975" s="148">
        <f>'לקוחות לפי סוכן - מקור'!I834</f>
        <v/>
      </c>
      <c r="I975" s="139">
        <f>'לקוחות לפי סוכן - מקור'!K834</f>
        <v/>
      </c>
      <c r="J975" s="139" t="inlineStr">
        <is>
          <t>קיים במקור</t>
        </is>
      </c>
    </row>
    <row r="976" ht="15" customHeight="1" s="82">
      <c r="A976" s="139">
        <f>'לקוחות לפי סוכן - מקור'!A835</f>
        <v/>
      </c>
      <c r="B976" s="139">
        <f>'לקוחות לפי סוכן - מקור'!C835</f>
        <v/>
      </c>
      <c r="C976" s="139">
        <f>'לקוחות לפי סוכן - מקור'!D835</f>
        <v/>
      </c>
      <c r="D976" s="139">
        <f>'לקוחות לפי סוכן - מקור'!E835</f>
        <v/>
      </c>
      <c r="E976" s="147">
        <f>'לקוחות לפי סוכן - מקור'!F835</f>
        <v/>
      </c>
      <c r="F976" s="147">
        <f>'לקוחות לפי סוכן - מקור'!G835</f>
        <v/>
      </c>
      <c r="G976" s="148">
        <f>'לקוחות לפי סוכן - מקור'!H835</f>
        <v/>
      </c>
      <c r="H976" s="148">
        <f>'לקוחות לפי סוכן - מקור'!I835</f>
        <v/>
      </c>
      <c r="I976" s="139">
        <f>'לקוחות לפי סוכן - מקור'!K835</f>
        <v/>
      </c>
      <c r="J976" s="139" t="inlineStr">
        <is>
          <t>קיים במקור</t>
        </is>
      </c>
    </row>
    <row r="977" ht="15" customHeight="1" s="82">
      <c r="A977" s="139">
        <f>'לקוחות לפי סוכן - מקור'!A837</f>
        <v/>
      </c>
      <c r="B977" s="139">
        <f>'לקוחות לפי סוכן - מקור'!C837</f>
        <v/>
      </c>
      <c r="C977" s="139">
        <f>'לקוחות לפי סוכן - מקור'!D837</f>
        <v/>
      </c>
      <c r="D977" s="139">
        <f>'לקוחות לפי סוכן - מקור'!E837</f>
        <v/>
      </c>
      <c r="E977" s="147">
        <f>'לקוחות לפי סוכן - מקור'!F837</f>
        <v/>
      </c>
      <c r="F977" s="147">
        <f>'לקוחות לפי סוכן - מקור'!G837</f>
        <v/>
      </c>
      <c r="G977" s="148">
        <f>'לקוחות לפי סוכן - מקור'!H837</f>
        <v/>
      </c>
      <c r="H977" s="148">
        <f>'לקוחות לפי סוכן - מקור'!I837</f>
        <v/>
      </c>
      <c r="I977" s="139">
        <f>'לקוחות לפי סוכן - מקור'!K837</f>
        <v/>
      </c>
      <c r="J977" s="139" t="inlineStr">
        <is>
          <t>קיים במקור</t>
        </is>
      </c>
    </row>
    <row r="978" ht="15" customHeight="1" s="82">
      <c r="A978" s="139">
        <f>'לקוחות לפי סוכן - מקור'!A838</f>
        <v/>
      </c>
      <c r="B978" s="139">
        <f>'לקוחות לפי סוכן - מקור'!C838</f>
        <v/>
      </c>
      <c r="C978" s="139">
        <f>'לקוחות לפי סוכן - מקור'!D838</f>
        <v/>
      </c>
      <c r="D978" s="139">
        <f>'לקוחות לפי סוכן - מקור'!E838</f>
        <v/>
      </c>
      <c r="E978" s="147">
        <f>'לקוחות לפי סוכן - מקור'!F838</f>
        <v/>
      </c>
      <c r="F978" s="147">
        <f>'לקוחות לפי סוכן - מקור'!G838</f>
        <v/>
      </c>
      <c r="G978" s="148">
        <f>'לקוחות לפי סוכן - מקור'!H838</f>
        <v/>
      </c>
      <c r="H978" s="148">
        <f>'לקוחות לפי סוכן - מקור'!I838</f>
        <v/>
      </c>
      <c r="I978" s="139">
        <f>'לקוחות לפי סוכן - מקור'!K838</f>
        <v/>
      </c>
      <c r="J978" s="139" t="inlineStr">
        <is>
          <t>קיים במקור</t>
        </is>
      </c>
    </row>
    <row r="979" ht="15" customHeight="1" s="82">
      <c r="A979" s="139">
        <f>'לקוחות לפי סוכן - מקור'!A839</f>
        <v/>
      </c>
      <c r="B979" s="139">
        <f>'לקוחות לפי סוכן - מקור'!C839</f>
        <v/>
      </c>
      <c r="C979" s="139">
        <f>'לקוחות לפי סוכן - מקור'!D839</f>
        <v/>
      </c>
      <c r="D979" s="139">
        <f>'לקוחות לפי סוכן - מקור'!E839</f>
        <v/>
      </c>
      <c r="E979" s="147">
        <f>'לקוחות לפי סוכן - מקור'!F839</f>
        <v/>
      </c>
      <c r="F979" s="147">
        <f>'לקוחות לפי סוכן - מקור'!G839</f>
        <v/>
      </c>
      <c r="G979" s="148">
        <f>'לקוחות לפי סוכן - מקור'!H839</f>
        <v/>
      </c>
      <c r="H979" s="148">
        <f>'לקוחות לפי סוכן - מקור'!I839</f>
        <v/>
      </c>
      <c r="I979" s="139">
        <f>'לקוחות לפי סוכן - מקור'!K839</f>
        <v/>
      </c>
      <c r="J979" s="139" t="inlineStr">
        <is>
          <t>קיים במקור</t>
        </is>
      </c>
    </row>
    <row r="980" ht="15" customHeight="1" s="82">
      <c r="A980" s="139">
        <f>'לקוחות לפי סוכן - מקור'!A840</f>
        <v/>
      </c>
      <c r="B980" s="139">
        <f>'לקוחות לפי סוכן - מקור'!C840</f>
        <v/>
      </c>
      <c r="C980" s="139">
        <f>'לקוחות לפי סוכן - מקור'!D840</f>
        <v/>
      </c>
      <c r="D980" s="139">
        <f>'לקוחות לפי סוכן - מקור'!E840</f>
        <v/>
      </c>
      <c r="E980" s="147">
        <f>'לקוחות לפי סוכן - מקור'!F840</f>
        <v/>
      </c>
      <c r="F980" s="147">
        <f>'לקוחות לפי סוכן - מקור'!G840</f>
        <v/>
      </c>
      <c r="G980" s="148">
        <f>'לקוחות לפי סוכן - מקור'!H840</f>
        <v/>
      </c>
      <c r="H980" s="148">
        <f>'לקוחות לפי סוכן - מקור'!I840</f>
        <v/>
      </c>
      <c r="I980" s="139">
        <f>'לקוחות לפי סוכן - מקור'!K840</f>
        <v/>
      </c>
      <c r="J980" s="139" t="inlineStr">
        <is>
          <t>קיים במקור</t>
        </is>
      </c>
    </row>
    <row r="981" ht="15" customHeight="1" s="82">
      <c r="A981" s="139">
        <f>'לקוחות לפי סוכן - מקור'!A841</f>
        <v/>
      </c>
      <c r="B981" s="139">
        <f>'לקוחות לפי סוכן - מקור'!C841</f>
        <v/>
      </c>
      <c r="C981" s="139">
        <f>'לקוחות לפי סוכן - מקור'!D841</f>
        <v/>
      </c>
      <c r="D981" s="139">
        <f>'לקוחות לפי סוכן - מקור'!E841</f>
        <v/>
      </c>
      <c r="E981" s="147">
        <f>'לקוחות לפי סוכן - מקור'!F841</f>
        <v/>
      </c>
      <c r="F981" s="147">
        <f>'לקוחות לפי סוכן - מקור'!G841</f>
        <v/>
      </c>
      <c r="G981" s="148">
        <f>'לקוחות לפי סוכן - מקור'!H841</f>
        <v/>
      </c>
      <c r="H981" s="148">
        <f>'לקוחות לפי סוכן - מקור'!I841</f>
        <v/>
      </c>
      <c r="I981" s="139">
        <f>'לקוחות לפי סוכן - מקור'!K841</f>
        <v/>
      </c>
      <c r="J981" s="139" t="inlineStr">
        <is>
          <t>קיים במקור</t>
        </is>
      </c>
    </row>
    <row r="982" ht="15" customHeight="1" s="82">
      <c r="A982" s="139">
        <f>'לקוחות לפי סוכן - מקור'!A842</f>
        <v/>
      </c>
      <c r="B982" s="139">
        <f>'לקוחות לפי סוכן - מקור'!C842</f>
        <v/>
      </c>
      <c r="C982" s="139">
        <f>'לקוחות לפי סוכן - מקור'!D842</f>
        <v/>
      </c>
      <c r="D982" s="139">
        <f>'לקוחות לפי סוכן - מקור'!E842</f>
        <v/>
      </c>
      <c r="E982" s="147">
        <f>'לקוחות לפי סוכן - מקור'!F842</f>
        <v/>
      </c>
      <c r="F982" s="147">
        <f>'לקוחות לפי סוכן - מקור'!G842</f>
        <v/>
      </c>
      <c r="G982" s="148">
        <f>'לקוחות לפי סוכן - מקור'!H842</f>
        <v/>
      </c>
      <c r="H982" s="148">
        <f>'לקוחות לפי סוכן - מקור'!I842</f>
        <v/>
      </c>
      <c r="I982" s="139">
        <f>'לקוחות לפי סוכן - מקור'!K842</f>
        <v/>
      </c>
      <c r="J982" s="139" t="inlineStr">
        <is>
          <t>קיים במקור</t>
        </is>
      </c>
    </row>
    <row r="983" ht="15" customHeight="1" s="82">
      <c r="A983" s="139">
        <f>'לקוחות לפי סוכן - מקור'!A843</f>
        <v/>
      </c>
      <c r="B983" s="139">
        <f>'לקוחות לפי סוכן - מקור'!C843</f>
        <v/>
      </c>
      <c r="C983" s="139">
        <f>'לקוחות לפי סוכן - מקור'!D843</f>
        <v/>
      </c>
      <c r="D983" s="139">
        <f>'לקוחות לפי סוכן - מקור'!E843</f>
        <v/>
      </c>
      <c r="E983" s="147">
        <f>'לקוחות לפי סוכן - מקור'!F843</f>
        <v/>
      </c>
      <c r="F983" s="147">
        <f>'לקוחות לפי סוכן - מקור'!G843</f>
        <v/>
      </c>
      <c r="G983" s="148">
        <f>'לקוחות לפי סוכן - מקור'!H843</f>
        <v/>
      </c>
      <c r="H983" s="148">
        <f>'לקוחות לפי סוכן - מקור'!I843</f>
        <v/>
      </c>
      <c r="I983" s="139">
        <f>'לקוחות לפי סוכן - מקור'!K843</f>
        <v/>
      </c>
      <c r="J983" s="139" t="inlineStr">
        <is>
          <t>קיים במקור</t>
        </is>
      </c>
    </row>
    <row r="984" ht="15" customHeight="1" s="82">
      <c r="A984" s="139">
        <f>'לקוחות לפי סוכן - מקור'!A844</f>
        <v/>
      </c>
      <c r="B984" s="139">
        <f>'לקוחות לפי סוכן - מקור'!C844</f>
        <v/>
      </c>
      <c r="C984" s="139">
        <f>'לקוחות לפי סוכן - מקור'!D844</f>
        <v/>
      </c>
      <c r="D984" s="139">
        <f>'לקוחות לפי סוכן - מקור'!E844</f>
        <v/>
      </c>
      <c r="E984" s="147">
        <f>'לקוחות לפי סוכן - מקור'!F844</f>
        <v/>
      </c>
      <c r="F984" s="147">
        <f>'לקוחות לפי סוכן - מקור'!G844</f>
        <v/>
      </c>
      <c r="G984" s="148">
        <f>'לקוחות לפי סוכן - מקור'!H844</f>
        <v/>
      </c>
      <c r="H984" s="148">
        <f>'לקוחות לפי סוכן - מקור'!I844</f>
        <v/>
      </c>
      <c r="I984" s="139">
        <f>'לקוחות לפי סוכן - מקור'!K844</f>
        <v/>
      </c>
      <c r="J984" s="139" t="inlineStr">
        <is>
          <t>קיים במקור</t>
        </is>
      </c>
    </row>
    <row r="985" ht="15" customHeight="1" s="82">
      <c r="A985" s="139">
        <f>'לקוחות לפי סוכן - מקור'!A845</f>
        <v/>
      </c>
      <c r="B985" s="139">
        <f>'לקוחות לפי סוכן - מקור'!C845</f>
        <v/>
      </c>
      <c r="C985" s="139">
        <f>'לקוחות לפי סוכן - מקור'!D845</f>
        <v/>
      </c>
      <c r="D985" s="139">
        <f>'לקוחות לפי סוכן - מקור'!E845</f>
        <v/>
      </c>
      <c r="E985" s="147">
        <f>'לקוחות לפי סוכן - מקור'!F845</f>
        <v/>
      </c>
      <c r="F985" s="147">
        <f>'לקוחות לפי סוכן - מקור'!G845</f>
        <v/>
      </c>
      <c r="G985" s="148">
        <f>'לקוחות לפי סוכן - מקור'!H845</f>
        <v/>
      </c>
      <c r="H985" s="148">
        <f>'לקוחות לפי סוכן - מקור'!I845</f>
        <v/>
      </c>
      <c r="I985" s="139">
        <f>'לקוחות לפי סוכן - מקור'!K845</f>
        <v/>
      </c>
      <c r="J985" s="139" t="inlineStr">
        <is>
          <t>קיים במקור</t>
        </is>
      </c>
    </row>
    <row r="986" ht="15" customHeight="1" s="82">
      <c r="A986" s="139">
        <f>'לקוחות לפי סוכן - מקור'!A846</f>
        <v/>
      </c>
      <c r="B986" s="139">
        <f>'לקוחות לפי סוכן - מקור'!C846</f>
        <v/>
      </c>
      <c r="C986" s="139">
        <f>'לקוחות לפי סוכן - מקור'!D846</f>
        <v/>
      </c>
      <c r="D986" s="139">
        <f>'לקוחות לפי סוכן - מקור'!E846</f>
        <v/>
      </c>
      <c r="E986" s="147">
        <f>'לקוחות לפי סוכן - מקור'!F846</f>
        <v/>
      </c>
      <c r="F986" s="147">
        <f>'לקוחות לפי סוכן - מקור'!G846</f>
        <v/>
      </c>
      <c r="G986" s="148">
        <f>'לקוחות לפי סוכן - מקור'!H846</f>
        <v/>
      </c>
      <c r="H986" s="148">
        <f>'לקוחות לפי סוכן - מקור'!I846</f>
        <v/>
      </c>
      <c r="I986" s="139">
        <f>'לקוחות לפי סוכן - מקור'!K846</f>
        <v/>
      </c>
      <c r="J986" s="139" t="inlineStr">
        <is>
          <t>קיים במקור</t>
        </is>
      </c>
    </row>
    <row r="987" ht="15" customHeight="1" s="82">
      <c r="A987" s="139">
        <f>'לקוחות לפי סוכן - מקור'!A847</f>
        <v/>
      </c>
      <c r="B987" s="139">
        <f>'לקוחות לפי סוכן - מקור'!C847</f>
        <v/>
      </c>
      <c r="C987" s="139">
        <f>'לקוחות לפי סוכן - מקור'!D847</f>
        <v/>
      </c>
      <c r="D987" s="139">
        <f>'לקוחות לפי סוכן - מקור'!E847</f>
        <v/>
      </c>
      <c r="E987" s="147">
        <f>'לקוחות לפי סוכן - מקור'!F847</f>
        <v/>
      </c>
      <c r="F987" s="147">
        <f>'לקוחות לפי סוכן - מקור'!G847</f>
        <v/>
      </c>
      <c r="G987" s="148">
        <f>'לקוחות לפי סוכן - מקור'!H847</f>
        <v/>
      </c>
      <c r="H987" s="148">
        <f>'לקוחות לפי סוכן - מקור'!I847</f>
        <v/>
      </c>
      <c r="I987" s="139">
        <f>'לקוחות לפי סוכן - מקור'!K847</f>
        <v/>
      </c>
      <c r="J987" s="139" t="inlineStr">
        <is>
          <t>קיים במקור</t>
        </is>
      </c>
    </row>
    <row r="988" ht="15" customHeight="1" s="82">
      <c r="A988" s="139">
        <f>'לקוחות לפי סוכן - מקור'!A848</f>
        <v/>
      </c>
      <c r="B988" s="139">
        <f>'לקוחות לפי סוכן - מקור'!C848</f>
        <v/>
      </c>
      <c r="C988" s="139">
        <f>'לקוחות לפי סוכן - מקור'!D848</f>
        <v/>
      </c>
      <c r="D988" s="139">
        <f>'לקוחות לפי סוכן - מקור'!E848</f>
        <v/>
      </c>
      <c r="E988" s="147">
        <f>'לקוחות לפי סוכן - מקור'!F848</f>
        <v/>
      </c>
      <c r="F988" s="147">
        <f>'לקוחות לפי סוכן - מקור'!G848</f>
        <v/>
      </c>
      <c r="G988" s="148">
        <f>'לקוחות לפי סוכן - מקור'!H848</f>
        <v/>
      </c>
      <c r="H988" s="148">
        <f>'לקוחות לפי סוכן - מקור'!I848</f>
        <v/>
      </c>
      <c r="I988" s="139">
        <f>'לקוחות לפי סוכן - מקור'!K848</f>
        <v/>
      </c>
      <c r="J988" s="139" t="inlineStr">
        <is>
          <t>קיים במקור</t>
        </is>
      </c>
    </row>
    <row r="989" ht="15" customHeight="1" s="82">
      <c r="A989" s="139">
        <f>'לקוחות לפי סוכן - מקור'!A849</f>
        <v/>
      </c>
      <c r="B989" s="139">
        <f>'לקוחות לפי סוכן - מקור'!C849</f>
        <v/>
      </c>
      <c r="C989" s="139">
        <f>'לקוחות לפי סוכן - מקור'!D849</f>
        <v/>
      </c>
      <c r="D989" s="139">
        <f>'לקוחות לפי סוכן - מקור'!E849</f>
        <v/>
      </c>
      <c r="E989" s="147">
        <f>'לקוחות לפי סוכן - מקור'!F849</f>
        <v/>
      </c>
      <c r="F989" s="147">
        <f>'לקוחות לפי סוכן - מקור'!G849</f>
        <v/>
      </c>
      <c r="G989" s="148">
        <f>'לקוחות לפי סוכן - מקור'!H849</f>
        <v/>
      </c>
      <c r="H989" s="148">
        <f>'לקוחות לפי סוכן - מקור'!I849</f>
        <v/>
      </c>
      <c r="I989" s="139">
        <f>'לקוחות לפי סוכן - מקור'!K849</f>
        <v/>
      </c>
      <c r="J989" s="139" t="inlineStr">
        <is>
          <t>קיים במקור</t>
        </is>
      </c>
    </row>
    <row r="990" ht="15" customHeight="1" s="82">
      <c r="A990" s="139">
        <f>'לקוחות לפי סוכן - מקור'!A850</f>
        <v/>
      </c>
      <c r="B990" s="139">
        <f>'לקוחות לפי סוכן - מקור'!C850</f>
        <v/>
      </c>
      <c r="C990" s="139">
        <f>'לקוחות לפי סוכן - מקור'!D850</f>
        <v/>
      </c>
      <c r="D990" s="139">
        <f>'לקוחות לפי סוכן - מקור'!E850</f>
        <v/>
      </c>
      <c r="E990" s="147">
        <f>'לקוחות לפי סוכן - מקור'!F850</f>
        <v/>
      </c>
      <c r="F990" s="147">
        <f>'לקוחות לפי סוכן - מקור'!G850</f>
        <v/>
      </c>
      <c r="G990" s="148">
        <f>'לקוחות לפי סוכן - מקור'!H850</f>
        <v/>
      </c>
      <c r="H990" s="148">
        <f>'לקוחות לפי סוכן - מקור'!I850</f>
        <v/>
      </c>
      <c r="I990" s="139">
        <f>'לקוחות לפי סוכן - מקור'!K850</f>
        <v/>
      </c>
      <c r="J990" s="139" t="inlineStr">
        <is>
          <t>קיים במקור</t>
        </is>
      </c>
    </row>
    <row r="991" ht="15" customHeight="1" s="82">
      <c r="A991" s="139">
        <f>'לקוחות לפי סוכן - מקור'!A851</f>
        <v/>
      </c>
      <c r="B991" s="139">
        <f>'לקוחות לפי סוכן - מקור'!C851</f>
        <v/>
      </c>
      <c r="C991" s="139">
        <f>'לקוחות לפי סוכן - מקור'!D851</f>
        <v/>
      </c>
      <c r="D991" s="139">
        <f>'לקוחות לפי סוכן - מקור'!E851</f>
        <v/>
      </c>
      <c r="E991" s="147">
        <f>'לקוחות לפי סוכן - מקור'!F851</f>
        <v/>
      </c>
      <c r="F991" s="147">
        <f>'לקוחות לפי סוכן - מקור'!G851</f>
        <v/>
      </c>
      <c r="G991" s="148">
        <f>'לקוחות לפי סוכן - מקור'!H851</f>
        <v/>
      </c>
      <c r="H991" s="148">
        <f>'לקוחות לפי סוכן - מקור'!I851</f>
        <v/>
      </c>
      <c r="I991" s="139">
        <f>'לקוחות לפי סוכן - מקור'!K851</f>
        <v/>
      </c>
      <c r="J991" s="139" t="inlineStr">
        <is>
          <t>קיים במקור</t>
        </is>
      </c>
    </row>
    <row r="992" ht="15" customHeight="1" s="82">
      <c r="A992" s="139">
        <f>'לקוחות לפי סוכן - מקור'!A852</f>
        <v/>
      </c>
      <c r="B992" s="139">
        <f>'לקוחות לפי סוכן - מקור'!C852</f>
        <v/>
      </c>
      <c r="C992" s="139">
        <f>'לקוחות לפי סוכן - מקור'!D852</f>
        <v/>
      </c>
      <c r="D992" s="139">
        <f>'לקוחות לפי סוכן - מקור'!E852</f>
        <v/>
      </c>
      <c r="E992" s="147">
        <f>'לקוחות לפי סוכן - מקור'!F852</f>
        <v/>
      </c>
      <c r="F992" s="147">
        <f>'לקוחות לפי סוכן - מקור'!G852</f>
        <v/>
      </c>
      <c r="G992" s="148">
        <f>'לקוחות לפי סוכן - מקור'!H852</f>
        <v/>
      </c>
      <c r="H992" s="148">
        <f>'לקוחות לפי סוכן - מקור'!I852</f>
        <v/>
      </c>
      <c r="I992" s="139">
        <f>'לקוחות לפי סוכן - מקור'!K852</f>
        <v/>
      </c>
      <c r="J992" s="139" t="inlineStr">
        <is>
          <t>קיים במקור</t>
        </is>
      </c>
    </row>
    <row r="993" ht="15" customHeight="1" s="82">
      <c r="A993" s="139">
        <f>'לקוחות לפי סוכן - מקור'!A853</f>
        <v/>
      </c>
      <c r="B993" s="139">
        <f>'לקוחות לפי סוכן - מקור'!C853</f>
        <v/>
      </c>
      <c r="C993" s="139">
        <f>'לקוחות לפי סוכן - מקור'!D853</f>
        <v/>
      </c>
      <c r="D993" s="139">
        <f>'לקוחות לפי סוכן - מקור'!E853</f>
        <v/>
      </c>
      <c r="E993" s="147">
        <f>'לקוחות לפי סוכן - מקור'!F853</f>
        <v/>
      </c>
      <c r="F993" s="147">
        <f>'לקוחות לפי סוכן - מקור'!G853</f>
        <v/>
      </c>
      <c r="G993" s="148">
        <f>'לקוחות לפי סוכן - מקור'!H853</f>
        <v/>
      </c>
      <c r="H993" s="148">
        <f>'לקוחות לפי סוכן - מקור'!I853</f>
        <v/>
      </c>
      <c r="I993" s="139">
        <f>'לקוחות לפי סוכן - מקור'!K853</f>
        <v/>
      </c>
      <c r="J993" s="139" t="inlineStr">
        <is>
          <t>קיים במקור</t>
        </is>
      </c>
    </row>
    <row r="994" ht="15" customHeight="1" s="82">
      <c r="A994" s="139">
        <f>'לקוחות לפי סוכן - מקור'!A854</f>
        <v/>
      </c>
      <c r="B994" s="139">
        <f>'לקוחות לפי סוכן - מקור'!C854</f>
        <v/>
      </c>
      <c r="C994" s="139">
        <f>'לקוחות לפי סוכן - מקור'!D854</f>
        <v/>
      </c>
      <c r="D994" s="139">
        <f>'לקוחות לפי סוכן - מקור'!E854</f>
        <v/>
      </c>
      <c r="E994" s="147">
        <f>'לקוחות לפי סוכן - מקור'!F854</f>
        <v/>
      </c>
      <c r="F994" s="147">
        <f>'לקוחות לפי סוכן - מקור'!G854</f>
        <v/>
      </c>
      <c r="G994" s="148">
        <f>'לקוחות לפי סוכן - מקור'!H854</f>
        <v/>
      </c>
      <c r="H994" s="148">
        <f>'לקוחות לפי סוכן - מקור'!I854</f>
        <v/>
      </c>
      <c r="I994" s="139">
        <f>'לקוחות לפי סוכן - מקור'!K854</f>
        <v/>
      </c>
      <c r="J994" s="139" t="inlineStr">
        <is>
          <t>קיים במקור</t>
        </is>
      </c>
    </row>
    <row r="995" ht="15" customHeight="1" s="82">
      <c r="A995" s="139">
        <f>'לקוחות לפי סוכן - מקור'!A855</f>
        <v/>
      </c>
      <c r="B995" s="139">
        <f>'לקוחות לפי סוכן - מקור'!C855</f>
        <v/>
      </c>
      <c r="C995" s="139">
        <f>'לקוחות לפי סוכן - מקור'!D855</f>
        <v/>
      </c>
      <c r="D995" s="139">
        <f>'לקוחות לפי סוכן - מקור'!E855</f>
        <v/>
      </c>
      <c r="E995" s="147">
        <f>'לקוחות לפי סוכן - מקור'!F855</f>
        <v/>
      </c>
      <c r="F995" s="147">
        <f>'לקוחות לפי סוכן - מקור'!G855</f>
        <v/>
      </c>
      <c r="G995" s="148">
        <f>'לקוחות לפי סוכן - מקור'!H855</f>
        <v/>
      </c>
      <c r="H995" s="148">
        <f>'לקוחות לפי סוכן - מקור'!I855</f>
        <v/>
      </c>
      <c r="I995" s="139">
        <f>'לקוחות לפי סוכן - מקור'!K855</f>
        <v/>
      </c>
      <c r="J995" s="139" t="inlineStr">
        <is>
          <t>קיים במקור</t>
        </is>
      </c>
    </row>
    <row r="996" ht="15" customHeight="1" s="82">
      <c r="A996" s="139">
        <f>'לקוחות לפי סוכן - מקור'!A856</f>
        <v/>
      </c>
      <c r="B996" s="139">
        <f>'לקוחות לפי סוכן - מקור'!C856</f>
        <v/>
      </c>
      <c r="C996" s="139">
        <f>'לקוחות לפי סוכן - מקור'!D856</f>
        <v/>
      </c>
      <c r="D996" s="139">
        <f>'לקוחות לפי סוכן - מקור'!E856</f>
        <v/>
      </c>
      <c r="E996" s="147">
        <f>'לקוחות לפי סוכן - מקור'!F856</f>
        <v/>
      </c>
      <c r="F996" s="147">
        <f>'לקוחות לפי סוכן - מקור'!G856</f>
        <v/>
      </c>
      <c r="G996" s="148">
        <f>'לקוחות לפי סוכן - מקור'!H856</f>
        <v/>
      </c>
      <c r="H996" s="148">
        <f>'לקוחות לפי סוכן - מקור'!I856</f>
        <v/>
      </c>
      <c r="I996" s="139">
        <f>'לקוחות לפי סוכן - מקור'!K856</f>
        <v/>
      </c>
      <c r="J996" s="139" t="inlineStr">
        <is>
          <t>קיים במקור</t>
        </is>
      </c>
    </row>
    <row r="997" ht="15" customHeight="1" s="82">
      <c r="A997" s="139">
        <f>'לקוחות לפי סוכן - מקור'!A857</f>
        <v/>
      </c>
      <c r="B997" s="139">
        <f>'לקוחות לפי סוכן - מקור'!C857</f>
        <v/>
      </c>
      <c r="C997" s="139">
        <f>'לקוחות לפי סוכן - מקור'!D857</f>
        <v/>
      </c>
      <c r="D997" s="139">
        <f>'לקוחות לפי סוכן - מקור'!E857</f>
        <v/>
      </c>
      <c r="E997" s="147">
        <f>'לקוחות לפי סוכן - מקור'!F857</f>
        <v/>
      </c>
      <c r="F997" s="147">
        <f>'לקוחות לפי סוכן - מקור'!G857</f>
        <v/>
      </c>
      <c r="G997" s="148">
        <f>'לקוחות לפי סוכן - מקור'!H857</f>
        <v/>
      </c>
      <c r="H997" s="148">
        <f>'לקוחות לפי סוכן - מקור'!I857</f>
        <v/>
      </c>
      <c r="I997" s="139">
        <f>'לקוחות לפי סוכן - מקור'!K857</f>
        <v/>
      </c>
      <c r="J997" s="139" t="inlineStr">
        <is>
          <t>קיים במקור</t>
        </is>
      </c>
    </row>
    <row r="998" ht="15" customHeight="1" s="82">
      <c r="A998" s="139">
        <f>'לקוחות לפי סוכן - מקור'!A858</f>
        <v/>
      </c>
      <c r="B998" s="139">
        <f>'לקוחות לפי סוכן - מקור'!C858</f>
        <v/>
      </c>
      <c r="C998" s="139">
        <f>'לקוחות לפי סוכן - מקור'!D858</f>
        <v/>
      </c>
      <c r="D998" s="139">
        <f>'לקוחות לפי סוכן - מקור'!E858</f>
        <v/>
      </c>
      <c r="E998" s="147">
        <f>'לקוחות לפי סוכן - מקור'!F858</f>
        <v/>
      </c>
      <c r="F998" s="147">
        <f>'לקוחות לפי סוכן - מקור'!G858</f>
        <v/>
      </c>
      <c r="G998" s="148">
        <f>'לקוחות לפי סוכן - מקור'!H858</f>
        <v/>
      </c>
      <c r="H998" s="148">
        <f>'לקוחות לפי סוכן - מקור'!I858</f>
        <v/>
      </c>
      <c r="I998" s="139">
        <f>'לקוחות לפי סוכן - מקור'!K858</f>
        <v/>
      </c>
      <c r="J998" s="139" t="inlineStr">
        <is>
          <t>קיים במקור</t>
        </is>
      </c>
    </row>
    <row r="999" ht="15" customHeight="1" s="82">
      <c r="A999" s="139">
        <f>'לקוחות לפי סוכן - מקור'!A859</f>
        <v/>
      </c>
      <c r="B999" s="139">
        <f>'לקוחות לפי סוכן - מקור'!C859</f>
        <v/>
      </c>
      <c r="C999" s="139">
        <f>'לקוחות לפי סוכן - מקור'!D859</f>
        <v/>
      </c>
      <c r="D999" s="139">
        <f>'לקוחות לפי סוכן - מקור'!E859</f>
        <v/>
      </c>
      <c r="E999" s="147">
        <f>'לקוחות לפי סוכן - מקור'!F859</f>
        <v/>
      </c>
      <c r="F999" s="147">
        <f>'לקוחות לפי סוכן - מקור'!G859</f>
        <v/>
      </c>
      <c r="G999" s="148">
        <f>'לקוחות לפי סוכן - מקור'!H859</f>
        <v/>
      </c>
      <c r="H999" s="148">
        <f>'לקוחות לפי סוכן - מקור'!I859</f>
        <v/>
      </c>
      <c r="I999" s="139">
        <f>'לקוחות לפי סוכן - מקור'!K859</f>
        <v/>
      </c>
      <c r="J999" s="139" t="inlineStr">
        <is>
          <t>קיים במקור</t>
        </is>
      </c>
    </row>
    <row r="1000" ht="15" customHeight="1" s="82">
      <c r="A1000" s="139">
        <f>'לקוחות לפי סוכן - מקור'!A860</f>
        <v/>
      </c>
      <c r="B1000" s="139">
        <f>'לקוחות לפי סוכן - מקור'!C860</f>
        <v/>
      </c>
      <c r="C1000" s="139">
        <f>'לקוחות לפי סוכן - מקור'!D860</f>
        <v/>
      </c>
      <c r="D1000" s="139">
        <f>'לקוחות לפי סוכן - מקור'!E860</f>
        <v/>
      </c>
      <c r="E1000" s="147">
        <f>'לקוחות לפי סוכן - מקור'!F860</f>
        <v/>
      </c>
      <c r="F1000" s="147">
        <f>'לקוחות לפי סוכן - מקור'!G860</f>
        <v/>
      </c>
      <c r="G1000" s="148">
        <f>'לקוחות לפי סוכן - מקור'!H860</f>
        <v/>
      </c>
      <c r="H1000" s="148">
        <f>'לקוחות לפי סוכן - מקור'!I860</f>
        <v/>
      </c>
      <c r="I1000" s="139">
        <f>'לקוחות לפי סוכן - מקור'!K860</f>
        <v/>
      </c>
      <c r="J1000" s="139" t="inlineStr">
        <is>
          <t>קיים במקור</t>
        </is>
      </c>
    </row>
    <row r="1001" ht="15" customHeight="1" s="82">
      <c r="A1001" s="139">
        <f>'לקוחות לפי סוכן - מקור'!A861</f>
        <v/>
      </c>
      <c r="B1001" s="139">
        <f>'לקוחות לפי סוכן - מקור'!C861</f>
        <v/>
      </c>
      <c r="C1001" s="139">
        <f>'לקוחות לפי סוכן - מקור'!D861</f>
        <v/>
      </c>
      <c r="D1001" s="139">
        <f>'לקוחות לפי סוכן - מקור'!E861</f>
        <v/>
      </c>
      <c r="E1001" s="147">
        <f>'לקוחות לפי סוכן - מקור'!F861</f>
        <v/>
      </c>
      <c r="F1001" s="147">
        <f>'לקוחות לפי סוכן - מקור'!G861</f>
        <v/>
      </c>
      <c r="G1001" s="148">
        <f>'לקוחות לפי סוכן - מקור'!H861</f>
        <v/>
      </c>
      <c r="H1001" s="148">
        <f>'לקוחות לפי סוכן - מקור'!I861</f>
        <v/>
      </c>
      <c r="I1001" s="139">
        <f>'לקוחות לפי סוכן - מקור'!K861</f>
        <v/>
      </c>
      <c r="J1001" s="139" t="inlineStr">
        <is>
          <t>קיים במקור</t>
        </is>
      </c>
    </row>
    <row r="1002" ht="15" customHeight="1" s="82">
      <c r="A1002" s="139">
        <f>'לקוחות לפי סוכן - מקור'!A862</f>
        <v/>
      </c>
      <c r="B1002" s="139">
        <f>'לקוחות לפי סוכן - מקור'!C862</f>
        <v/>
      </c>
      <c r="C1002" s="139">
        <f>'לקוחות לפי סוכן - מקור'!D862</f>
        <v/>
      </c>
      <c r="D1002" s="139">
        <f>'לקוחות לפי סוכן - מקור'!E862</f>
        <v/>
      </c>
      <c r="E1002" s="147">
        <f>'לקוחות לפי סוכן - מקור'!F862</f>
        <v/>
      </c>
      <c r="F1002" s="147">
        <f>'לקוחות לפי סוכן - מקור'!G862</f>
        <v/>
      </c>
      <c r="G1002" s="148">
        <f>'לקוחות לפי סוכן - מקור'!H862</f>
        <v/>
      </c>
      <c r="H1002" s="148">
        <f>'לקוחות לפי סוכן - מקור'!I862</f>
        <v/>
      </c>
      <c r="I1002" s="139">
        <f>'לקוחות לפי סוכן - מקור'!K862</f>
        <v/>
      </c>
      <c r="J1002" s="139" t="inlineStr">
        <is>
          <t>קיים במקור</t>
        </is>
      </c>
    </row>
    <row r="1003" ht="15" customHeight="1" s="82">
      <c r="A1003" s="139">
        <f>'לקוחות לפי סוכן - מקור'!A863</f>
        <v/>
      </c>
      <c r="B1003" s="139">
        <f>'לקוחות לפי סוכן - מקור'!C863</f>
        <v/>
      </c>
      <c r="C1003" s="139">
        <f>'לקוחות לפי סוכן - מקור'!D863</f>
        <v/>
      </c>
      <c r="D1003" s="139">
        <f>'לקוחות לפי סוכן - מקור'!E863</f>
        <v/>
      </c>
      <c r="E1003" s="147">
        <f>'לקוחות לפי סוכן - מקור'!F863</f>
        <v/>
      </c>
      <c r="F1003" s="147">
        <f>'לקוחות לפי סוכן - מקור'!G863</f>
        <v/>
      </c>
      <c r="G1003" s="148">
        <f>'לקוחות לפי סוכן - מקור'!H863</f>
        <v/>
      </c>
      <c r="H1003" s="148">
        <f>'לקוחות לפי סוכן - מקור'!I863</f>
        <v/>
      </c>
      <c r="I1003" s="139">
        <f>'לקוחות לפי סוכן - מקור'!K863</f>
        <v/>
      </c>
      <c r="J1003" s="139" t="inlineStr">
        <is>
          <t>קיים במקור</t>
        </is>
      </c>
    </row>
    <row r="1004" ht="15" customHeight="1" s="82">
      <c r="A1004" s="139">
        <f>'לקוחות לפי סוכן - מקור'!A864</f>
        <v/>
      </c>
      <c r="B1004" s="139">
        <f>'לקוחות לפי סוכן - מקור'!C864</f>
        <v/>
      </c>
      <c r="C1004" s="139">
        <f>'לקוחות לפי סוכן - מקור'!D864</f>
        <v/>
      </c>
      <c r="D1004" s="139">
        <f>'לקוחות לפי סוכן - מקור'!E864</f>
        <v/>
      </c>
      <c r="E1004" s="147">
        <f>'לקוחות לפי סוכן - מקור'!F864</f>
        <v/>
      </c>
      <c r="F1004" s="147">
        <f>'לקוחות לפי סוכן - מקור'!G864</f>
        <v/>
      </c>
      <c r="G1004" s="148">
        <f>'לקוחות לפי סוכן - מקור'!H864</f>
        <v/>
      </c>
      <c r="H1004" s="148">
        <f>'לקוחות לפי סוכן - מקור'!I864</f>
        <v/>
      </c>
      <c r="I1004" s="139">
        <f>'לקוחות לפי סוכן - מקור'!K864</f>
        <v/>
      </c>
      <c r="J1004" s="139" t="inlineStr">
        <is>
          <t>קיים במקור</t>
        </is>
      </c>
    </row>
    <row r="1005" ht="15" customHeight="1" s="82">
      <c r="A1005" s="139">
        <f>'לקוחות לפי סוכן - מקור'!A865</f>
        <v/>
      </c>
      <c r="B1005" s="139">
        <f>'לקוחות לפי סוכן - מקור'!C865</f>
        <v/>
      </c>
      <c r="C1005" s="139">
        <f>'לקוחות לפי סוכן - מקור'!D865</f>
        <v/>
      </c>
      <c r="D1005" s="139">
        <f>'לקוחות לפי סוכן - מקור'!E865</f>
        <v/>
      </c>
      <c r="E1005" s="147">
        <f>'לקוחות לפי סוכן - מקור'!F865</f>
        <v/>
      </c>
      <c r="F1005" s="147">
        <f>'לקוחות לפי סוכן - מקור'!G865</f>
        <v/>
      </c>
      <c r="G1005" s="148">
        <f>'לקוחות לפי סוכן - מקור'!H865</f>
        <v/>
      </c>
      <c r="H1005" s="148">
        <f>'לקוחות לפי סוכן - מקור'!I865</f>
        <v/>
      </c>
      <c r="I1005" s="139">
        <f>'לקוחות לפי סוכן - מקור'!K865</f>
        <v/>
      </c>
      <c r="J1005" s="139" t="inlineStr">
        <is>
          <t>קיים במקור</t>
        </is>
      </c>
    </row>
    <row r="1006" ht="15" customHeight="1" s="82">
      <c r="A1006" s="149">
        <f>'לקוחות לפי סוכן - מקור חדש'!B23</f>
        <v/>
      </c>
      <c r="B1006" s="149">
        <f>'לקוחות לפי סוכן - מקור חדש'!C23</f>
        <v/>
      </c>
      <c r="C1006" s="149" t="n"/>
      <c r="D1006" s="149">
        <f>TRIM('לקוחות לפי סוכן - מקור חדש'!D23)</f>
        <v/>
      </c>
      <c r="E1006" s="147">
        <f>'לקוחות לפי סוכן - מקור חדש'!F23</f>
        <v/>
      </c>
      <c r="F1006" s="147">
        <f>'לקוחות לפי סוכן - מקור חדש'!H23</f>
        <v/>
      </c>
      <c r="G1006" s="148">
        <f>'לקוחות לפי סוכן - מקור חדש'!E23</f>
        <v/>
      </c>
      <c r="H1006" s="148">
        <f>'לקוחות לפי סוכן - מקור חדש'!G23</f>
        <v/>
      </c>
      <c r="I1006" s="149" t="inlineStr">
        <is>
          <t>מכירות 25-26 לפי לקוח-סוכן</t>
        </is>
      </c>
      <c r="J1006" s="149" t="inlineStr">
        <is>
          <t>חדש — לא היה ב-מקור</t>
        </is>
      </c>
    </row>
    <row r="1007" ht="15" customHeight="1" s="82">
      <c r="A1007" s="149">
        <f>'לקוחות לפי סוכן - מקור חדש'!B38</f>
        <v/>
      </c>
      <c r="B1007" s="149">
        <f>'לקוחות לפי סוכן - מקור חדש'!C38</f>
        <v/>
      </c>
      <c r="C1007" s="149" t="n"/>
      <c r="D1007" s="149">
        <f>TRIM('לקוחות לפי סוכן - מקור חדש'!D38)</f>
        <v/>
      </c>
      <c r="E1007" s="147">
        <f>'לקוחות לפי סוכן - מקור חדש'!F38</f>
        <v/>
      </c>
      <c r="F1007" s="147">
        <f>'לקוחות לפי סוכן - מקור חדש'!H38</f>
        <v/>
      </c>
      <c r="G1007" s="148">
        <f>'לקוחות לפי סוכן - מקור חדש'!E38</f>
        <v/>
      </c>
      <c r="H1007" s="148">
        <f>'לקוחות לפי סוכן - מקור חדש'!G38</f>
        <v/>
      </c>
      <c r="I1007" s="149" t="inlineStr">
        <is>
          <t>מכירות 25-26 לפי לקוח-סוכן</t>
        </is>
      </c>
      <c r="J1007" s="149" t="inlineStr">
        <is>
          <t>חדש — לא היה ב-מקור</t>
        </is>
      </c>
    </row>
    <row r="1008" ht="15" customHeight="1" s="82">
      <c r="A1008" s="149">
        <f>'לקוחות לפי סוכן - מקור חדש'!B41</f>
        <v/>
      </c>
      <c r="B1008" s="149">
        <f>'לקוחות לפי סוכן - מקור חדש'!C41</f>
        <v/>
      </c>
      <c r="C1008" s="149" t="n"/>
      <c r="D1008" s="149">
        <f>TRIM('לקוחות לפי סוכן - מקור חדש'!D41)</f>
        <v/>
      </c>
      <c r="E1008" s="147">
        <f>'לקוחות לפי סוכן - מקור חדש'!F41</f>
        <v/>
      </c>
      <c r="F1008" s="147">
        <f>'לקוחות לפי סוכן - מקור חדש'!H41</f>
        <v/>
      </c>
      <c r="G1008" s="148">
        <f>'לקוחות לפי סוכן - מקור חדש'!E41</f>
        <v/>
      </c>
      <c r="H1008" s="148">
        <f>'לקוחות לפי סוכן - מקור חדש'!G41</f>
        <v/>
      </c>
      <c r="I1008" s="149" t="inlineStr">
        <is>
          <t>מכירות 25-26 לפי לקוח-סוכן</t>
        </is>
      </c>
      <c r="J1008" s="149" t="inlineStr">
        <is>
          <t>חדש — לא היה ב-מקור</t>
        </is>
      </c>
    </row>
    <row r="1009" ht="15" customHeight="1" s="82">
      <c r="A1009" s="149">
        <f>'לקוחות לפי סוכן - מקור חדש'!B43</f>
        <v/>
      </c>
      <c r="B1009" s="149">
        <f>'לקוחות לפי סוכן - מקור חדש'!C43</f>
        <v/>
      </c>
      <c r="C1009" s="149" t="n"/>
      <c r="D1009" s="149">
        <f>TRIM('לקוחות לפי סוכן - מקור חדש'!D43)</f>
        <v/>
      </c>
      <c r="E1009" s="147">
        <f>'לקוחות לפי סוכן - מקור חדש'!F43</f>
        <v/>
      </c>
      <c r="F1009" s="147">
        <f>'לקוחות לפי סוכן - מקור חדש'!H43</f>
        <v/>
      </c>
      <c r="G1009" s="148">
        <f>'לקוחות לפי סוכן - מקור חדש'!E43</f>
        <v/>
      </c>
      <c r="H1009" s="148">
        <f>'לקוחות לפי סוכן - מקור חדש'!G43</f>
        <v/>
      </c>
      <c r="I1009" s="149" t="inlineStr">
        <is>
          <t>מכירות 25-26 לפי לקוח-סוכן</t>
        </is>
      </c>
      <c r="J1009" s="149" t="inlineStr">
        <is>
          <t>חדש — לא היה ב-מקור</t>
        </is>
      </c>
    </row>
    <row r="1010" ht="15" customHeight="1" s="82">
      <c r="A1010" s="149">
        <f>'לקוחות לפי סוכן - מקור חדש'!B44</f>
        <v/>
      </c>
      <c r="B1010" s="149">
        <f>'לקוחות לפי סוכן - מקור חדש'!C44</f>
        <v/>
      </c>
      <c r="C1010" s="149" t="n"/>
      <c r="D1010" s="149">
        <f>TRIM('לקוחות לפי סוכן - מקור חדש'!D44)</f>
        <v/>
      </c>
      <c r="E1010" s="147">
        <f>'לקוחות לפי סוכן - מקור חדש'!F44</f>
        <v/>
      </c>
      <c r="F1010" s="147">
        <f>'לקוחות לפי סוכן - מקור חדש'!H44</f>
        <v/>
      </c>
      <c r="G1010" s="148">
        <f>'לקוחות לפי סוכן - מקור חדש'!E44</f>
        <v/>
      </c>
      <c r="H1010" s="148">
        <f>'לקוחות לפי סוכן - מקור חדש'!G44</f>
        <v/>
      </c>
      <c r="I1010" s="149" t="inlineStr">
        <is>
          <t>מכירות 25-26 לפי לקוח-סוכן</t>
        </is>
      </c>
      <c r="J1010" s="149" t="inlineStr">
        <is>
          <t>חדש — לא היה ב-מקור</t>
        </is>
      </c>
    </row>
    <row r="1011" ht="15" customHeight="1" s="82">
      <c r="A1011" s="149">
        <f>'לקוחות לפי סוכן - מקור חדש'!B45</f>
        <v/>
      </c>
      <c r="B1011" s="149">
        <f>'לקוחות לפי סוכן - מקור חדש'!C45</f>
        <v/>
      </c>
      <c r="C1011" s="149" t="n"/>
      <c r="D1011" s="149">
        <f>TRIM('לקוחות לפי סוכן - מקור חדש'!D45)</f>
        <v/>
      </c>
      <c r="E1011" s="147">
        <f>'לקוחות לפי סוכן - מקור חדש'!F45</f>
        <v/>
      </c>
      <c r="F1011" s="147">
        <f>'לקוחות לפי סוכן - מקור חדש'!H45</f>
        <v/>
      </c>
      <c r="G1011" s="148">
        <f>'לקוחות לפי סוכן - מקור חדש'!E45</f>
        <v/>
      </c>
      <c r="H1011" s="148">
        <f>'לקוחות לפי סוכן - מקור חדש'!G45</f>
        <v/>
      </c>
      <c r="I1011" s="149" t="inlineStr">
        <is>
          <t>מכירות 25-26 לפי לקוח-סוכן</t>
        </is>
      </c>
      <c r="J1011" s="149" t="inlineStr">
        <is>
          <t>חדש — לא היה ב-מקור</t>
        </is>
      </c>
    </row>
    <row r="1012" ht="15" customHeight="1" s="82">
      <c r="A1012" s="149">
        <f>'לקוחות לפי סוכן - מקור חדש'!B46</f>
        <v/>
      </c>
      <c r="B1012" s="149">
        <f>'לקוחות לפי סוכן - מקור חדש'!C46</f>
        <v/>
      </c>
      <c r="C1012" s="149" t="n"/>
      <c r="D1012" s="149">
        <f>TRIM('לקוחות לפי סוכן - מקור חדש'!D46)</f>
        <v/>
      </c>
      <c r="E1012" s="147">
        <f>'לקוחות לפי סוכן - מקור חדש'!F46</f>
        <v/>
      </c>
      <c r="F1012" s="147">
        <f>'לקוחות לפי סוכן - מקור חדש'!H46</f>
        <v/>
      </c>
      <c r="G1012" s="148">
        <f>'לקוחות לפי סוכן - מקור חדש'!E46</f>
        <v/>
      </c>
      <c r="H1012" s="148">
        <f>'לקוחות לפי סוכן - מקור חדש'!G46</f>
        <v/>
      </c>
      <c r="I1012" s="149" t="inlineStr">
        <is>
          <t>מכירות 25-26 לפי לקוח-סוכן</t>
        </is>
      </c>
      <c r="J1012" s="149" t="inlineStr">
        <is>
          <t>חדש — לא היה ב-מקור</t>
        </is>
      </c>
    </row>
    <row r="1013" ht="15" customHeight="1" s="82">
      <c r="A1013" s="149">
        <f>'לקוחות לפי סוכן - מקור חדש'!B47</f>
        <v/>
      </c>
      <c r="B1013" s="149">
        <f>'לקוחות לפי סוכן - מקור חדש'!C47</f>
        <v/>
      </c>
      <c r="C1013" s="149" t="n"/>
      <c r="D1013" s="149">
        <f>TRIM('לקוחות לפי סוכן - מקור חדש'!D47)</f>
        <v/>
      </c>
      <c r="E1013" s="147">
        <f>'לקוחות לפי סוכן - מקור חדש'!F47</f>
        <v/>
      </c>
      <c r="F1013" s="147">
        <f>'לקוחות לפי סוכן - מקור חדש'!H47</f>
        <v/>
      </c>
      <c r="G1013" s="148">
        <f>'לקוחות לפי סוכן - מקור חדש'!E47</f>
        <v/>
      </c>
      <c r="H1013" s="148">
        <f>'לקוחות לפי סוכן - מקור חדש'!G47</f>
        <v/>
      </c>
      <c r="I1013" s="149" t="inlineStr">
        <is>
          <t>מכירות 25-26 לפי לקוח-סוכן</t>
        </is>
      </c>
      <c r="J1013" s="149" t="inlineStr">
        <is>
          <t>חדש — לא היה ב-מקור</t>
        </is>
      </c>
    </row>
    <row r="1014" ht="15" customHeight="1" s="82">
      <c r="A1014" s="149">
        <f>'לקוחות לפי סוכן - מקור חדש'!B48</f>
        <v/>
      </c>
      <c r="B1014" s="149">
        <f>'לקוחות לפי סוכן - מקור חדש'!C48</f>
        <v/>
      </c>
      <c r="C1014" s="149" t="n"/>
      <c r="D1014" s="149">
        <f>TRIM('לקוחות לפי סוכן - מקור חדש'!D48)</f>
        <v/>
      </c>
      <c r="E1014" s="147">
        <f>'לקוחות לפי סוכן - מקור חדש'!F48</f>
        <v/>
      </c>
      <c r="F1014" s="147">
        <f>'לקוחות לפי סוכן - מקור חדש'!H48</f>
        <v/>
      </c>
      <c r="G1014" s="148">
        <f>'לקוחות לפי סוכן - מקור חדש'!E48</f>
        <v/>
      </c>
      <c r="H1014" s="148">
        <f>'לקוחות לפי סוכן - מקור חדש'!G48</f>
        <v/>
      </c>
      <c r="I1014" s="149" t="inlineStr">
        <is>
          <t>מכירות 25-26 לפי לקוח-סוכן</t>
        </is>
      </c>
      <c r="J1014" s="149" t="inlineStr">
        <is>
          <t>חדש — לא היה ב-מקור</t>
        </is>
      </c>
    </row>
    <row r="1015" ht="15" customHeight="1" s="82">
      <c r="A1015" s="149">
        <f>'לקוחות לפי סוכן - מקור חדש'!B49</f>
        <v/>
      </c>
      <c r="B1015" s="149">
        <f>'לקוחות לפי סוכן - מקור חדש'!C49</f>
        <v/>
      </c>
      <c r="C1015" s="149" t="n"/>
      <c r="D1015" s="149">
        <f>TRIM('לקוחות לפי סוכן - מקור חדש'!D49)</f>
        <v/>
      </c>
      <c r="E1015" s="147">
        <f>'לקוחות לפי סוכן - מקור חדש'!F49</f>
        <v/>
      </c>
      <c r="F1015" s="147">
        <f>'לקוחות לפי סוכן - מקור חדש'!H49</f>
        <v/>
      </c>
      <c r="G1015" s="148">
        <f>'לקוחות לפי סוכן - מקור חדש'!E49</f>
        <v/>
      </c>
      <c r="H1015" s="148">
        <f>'לקוחות לפי סוכן - מקור חדש'!G49</f>
        <v/>
      </c>
      <c r="I1015" s="149" t="inlineStr">
        <is>
          <t>מכירות 25-26 לפי לקוח-סוכן</t>
        </is>
      </c>
      <c r="J1015" s="149" t="inlineStr">
        <is>
          <t>חדש — לא היה ב-מקור</t>
        </is>
      </c>
    </row>
    <row r="1016" ht="15" customHeight="1" s="82">
      <c r="A1016" s="149">
        <f>'לקוחות לפי סוכן - מקור חדש'!B50</f>
        <v/>
      </c>
      <c r="B1016" s="149">
        <f>'לקוחות לפי סוכן - מקור חדש'!C50</f>
        <v/>
      </c>
      <c r="C1016" s="149" t="n"/>
      <c r="D1016" s="149">
        <f>TRIM('לקוחות לפי סוכן - מקור חדש'!D50)</f>
        <v/>
      </c>
      <c r="E1016" s="147">
        <f>'לקוחות לפי סוכן - מקור חדש'!F50</f>
        <v/>
      </c>
      <c r="F1016" s="147">
        <f>'לקוחות לפי סוכן - מקור חדש'!H50</f>
        <v/>
      </c>
      <c r="G1016" s="148">
        <f>'לקוחות לפי סוכן - מקור חדש'!E50</f>
        <v/>
      </c>
      <c r="H1016" s="148">
        <f>'לקוחות לפי סוכן - מקור חדש'!G50</f>
        <v/>
      </c>
      <c r="I1016" s="149" t="inlineStr">
        <is>
          <t>מכירות 25-26 לפי לקוח-סוכן</t>
        </is>
      </c>
      <c r="J1016" s="149" t="inlineStr">
        <is>
          <t>חדש — לא היה ב-מקור</t>
        </is>
      </c>
    </row>
    <row r="1017" ht="15" customHeight="1" s="82">
      <c r="A1017" s="149">
        <f>'לקוחות לפי סוכן - מקור חדש'!B51</f>
        <v/>
      </c>
      <c r="B1017" s="149">
        <f>'לקוחות לפי סוכן - מקור חדש'!C51</f>
        <v/>
      </c>
      <c r="C1017" s="149" t="n"/>
      <c r="D1017" s="149">
        <f>TRIM('לקוחות לפי סוכן - מקור חדש'!D51)</f>
        <v/>
      </c>
      <c r="E1017" s="147">
        <f>'לקוחות לפי סוכן - מקור חדש'!F51</f>
        <v/>
      </c>
      <c r="F1017" s="147">
        <f>'לקוחות לפי סוכן - מקור חדש'!H51</f>
        <v/>
      </c>
      <c r="G1017" s="148">
        <f>'לקוחות לפי סוכן - מקור חדש'!E51</f>
        <v/>
      </c>
      <c r="H1017" s="148">
        <f>'לקוחות לפי סוכן - מקור חדש'!G51</f>
        <v/>
      </c>
      <c r="I1017" s="149" t="inlineStr">
        <is>
          <t>מכירות 25-26 לפי לקוח-סוכן</t>
        </is>
      </c>
      <c r="J1017" s="149" t="inlineStr">
        <is>
          <t>חדש — לא היה ב-מקור</t>
        </is>
      </c>
    </row>
    <row r="1018" ht="15" customHeight="1" s="82">
      <c r="A1018" s="149">
        <f>'לקוחות לפי סוכן - מקור חדש'!B52</f>
        <v/>
      </c>
      <c r="B1018" s="149">
        <f>'לקוחות לפי סוכן - מקור חדש'!C52</f>
        <v/>
      </c>
      <c r="C1018" s="149" t="n"/>
      <c r="D1018" s="149">
        <f>TRIM('לקוחות לפי סוכן - מקור חדש'!D52)</f>
        <v/>
      </c>
      <c r="E1018" s="147">
        <f>'לקוחות לפי סוכן - מקור חדש'!F52</f>
        <v/>
      </c>
      <c r="F1018" s="147">
        <f>'לקוחות לפי סוכן - מקור חדש'!H52</f>
        <v/>
      </c>
      <c r="G1018" s="148">
        <f>'לקוחות לפי סוכן - מקור חדש'!E52</f>
        <v/>
      </c>
      <c r="H1018" s="148">
        <f>'לקוחות לפי סוכן - מקור חדש'!G52</f>
        <v/>
      </c>
      <c r="I1018" s="149" t="inlineStr">
        <is>
          <t>מכירות 25-26 לפי לקוח-סוכן</t>
        </is>
      </c>
      <c r="J1018" s="149" t="inlineStr">
        <is>
          <t>חדש — לא היה ב-מקור</t>
        </is>
      </c>
    </row>
    <row r="1019" ht="15" customHeight="1" s="82">
      <c r="A1019" s="149">
        <f>'לקוחות לפי סוכן - מקור חדש'!B53</f>
        <v/>
      </c>
      <c r="B1019" s="149">
        <f>'לקוחות לפי סוכן - מקור חדש'!C53</f>
        <v/>
      </c>
      <c r="C1019" s="149" t="n"/>
      <c r="D1019" s="149">
        <f>TRIM('לקוחות לפי סוכן - מקור חדש'!D53)</f>
        <v/>
      </c>
      <c r="E1019" s="147">
        <f>'לקוחות לפי סוכן - מקור חדש'!F53</f>
        <v/>
      </c>
      <c r="F1019" s="147">
        <f>'לקוחות לפי סוכן - מקור חדש'!H53</f>
        <v/>
      </c>
      <c r="G1019" s="148">
        <f>'לקוחות לפי סוכן - מקור חדש'!E53</f>
        <v/>
      </c>
      <c r="H1019" s="148">
        <f>'לקוחות לפי סוכן - מקור חדש'!G53</f>
        <v/>
      </c>
      <c r="I1019" s="149" t="inlineStr">
        <is>
          <t>מכירות 25-26 לפי לקוח-סוכן</t>
        </is>
      </c>
      <c r="J1019" s="149" t="inlineStr">
        <is>
          <t>חדש — לא היה ב-מקור</t>
        </is>
      </c>
    </row>
    <row r="1020" ht="15" customHeight="1" s="82">
      <c r="A1020" s="149">
        <f>'לקוחות לפי סוכן - מקור חדש'!B54</f>
        <v/>
      </c>
      <c r="B1020" s="149">
        <f>'לקוחות לפי סוכן - מקור חדש'!C54</f>
        <v/>
      </c>
      <c r="C1020" s="149" t="n"/>
      <c r="D1020" s="149">
        <f>TRIM('לקוחות לפי סוכן - מקור חדש'!D54)</f>
        <v/>
      </c>
      <c r="E1020" s="147">
        <f>'לקוחות לפי סוכן - מקור חדש'!F54</f>
        <v/>
      </c>
      <c r="F1020" s="147">
        <f>'לקוחות לפי סוכן - מקור חדש'!H54</f>
        <v/>
      </c>
      <c r="G1020" s="148">
        <f>'לקוחות לפי סוכן - מקור חדש'!E54</f>
        <v/>
      </c>
      <c r="H1020" s="148">
        <f>'לקוחות לפי סוכן - מקור חדש'!G54</f>
        <v/>
      </c>
      <c r="I1020" s="149" t="inlineStr">
        <is>
          <t>מכירות 25-26 לפי לקוח-סוכן</t>
        </is>
      </c>
      <c r="J1020" s="149" t="inlineStr">
        <is>
          <t>חדש — לא היה ב-מקור</t>
        </is>
      </c>
    </row>
    <row r="1021" ht="15" customHeight="1" s="82">
      <c r="A1021" s="149">
        <f>'לקוחות לפי סוכן - מקור חדש'!B55</f>
        <v/>
      </c>
      <c r="B1021" s="149">
        <f>'לקוחות לפי סוכן - מקור חדש'!C55</f>
        <v/>
      </c>
      <c r="C1021" s="149" t="n"/>
      <c r="D1021" s="149">
        <f>TRIM('לקוחות לפי סוכן - מקור חדש'!D55)</f>
        <v/>
      </c>
      <c r="E1021" s="147">
        <f>'לקוחות לפי סוכן - מקור חדש'!F55</f>
        <v/>
      </c>
      <c r="F1021" s="147">
        <f>'לקוחות לפי סוכן - מקור חדש'!H55</f>
        <v/>
      </c>
      <c r="G1021" s="148">
        <f>'לקוחות לפי סוכן - מקור חדש'!E55</f>
        <v/>
      </c>
      <c r="H1021" s="148">
        <f>'לקוחות לפי סוכן - מקור חדש'!G55</f>
        <v/>
      </c>
      <c r="I1021" s="149" t="inlineStr">
        <is>
          <t>מכירות 25-26 לפי לקוח-סוכן</t>
        </is>
      </c>
      <c r="J1021" s="149" t="inlineStr">
        <is>
          <t>חדש — לא היה ב-מקור</t>
        </is>
      </c>
    </row>
    <row r="1022" ht="15" customHeight="1" s="82">
      <c r="A1022" s="149">
        <f>'לקוחות לפי סוכן - מקור חדש'!B56</f>
        <v/>
      </c>
      <c r="B1022" s="149">
        <f>'לקוחות לפי סוכן - מקור חדש'!C56</f>
        <v/>
      </c>
      <c r="C1022" s="149" t="n"/>
      <c r="D1022" s="149">
        <f>TRIM('לקוחות לפי סוכן - מקור חדש'!D56)</f>
        <v/>
      </c>
      <c r="E1022" s="147">
        <f>'לקוחות לפי סוכן - מקור חדש'!F56</f>
        <v/>
      </c>
      <c r="F1022" s="147">
        <f>'לקוחות לפי סוכן - מקור חדש'!H56</f>
        <v/>
      </c>
      <c r="G1022" s="148">
        <f>'לקוחות לפי סוכן - מקור חדש'!E56</f>
        <v/>
      </c>
      <c r="H1022" s="148">
        <f>'לקוחות לפי סוכן - מקור חדש'!G56</f>
        <v/>
      </c>
      <c r="I1022" s="149" t="inlineStr">
        <is>
          <t>מכירות 25-26 לפי לקוח-סוכן</t>
        </is>
      </c>
      <c r="J1022" s="149" t="inlineStr">
        <is>
          <t>חדש — לא היה ב-מקור</t>
        </is>
      </c>
    </row>
    <row r="1023" ht="15" customHeight="1" s="82">
      <c r="A1023" s="149">
        <f>'לקוחות לפי סוכן - מקור חדש'!B57</f>
        <v/>
      </c>
      <c r="B1023" s="149">
        <f>'לקוחות לפי סוכן - מקור חדש'!C57</f>
        <v/>
      </c>
      <c r="C1023" s="149" t="n"/>
      <c r="D1023" s="149">
        <f>TRIM('לקוחות לפי סוכן - מקור חדש'!D57)</f>
        <v/>
      </c>
      <c r="E1023" s="147">
        <f>'לקוחות לפי סוכן - מקור חדש'!F57</f>
        <v/>
      </c>
      <c r="F1023" s="147">
        <f>'לקוחות לפי סוכן - מקור חדש'!H57</f>
        <v/>
      </c>
      <c r="G1023" s="148">
        <f>'לקוחות לפי סוכן - מקור חדש'!E57</f>
        <v/>
      </c>
      <c r="H1023" s="148">
        <f>'לקוחות לפי סוכן - מקור חדש'!G57</f>
        <v/>
      </c>
      <c r="I1023" s="149" t="inlineStr">
        <is>
          <t>מכירות 25-26 לפי לקוח-סוכן</t>
        </is>
      </c>
      <c r="J1023" s="149" t="inlineStr">
        <is>
          <t>חדש — לא היה ב-מקור</t>
        </is>
      </c>
    </row>
    <row r="1024" ht="15" customHeight="1" s="82">
      <c r="A1024" s="149">
        <f>'לקוחות לפי סוכן - מקור חדש'!B58</f>
        <v/>
      </c>
      <c r="B1024" s="149">
        <f>'לקוחות לפי סוכן - מקור חדש'!C58</f>
        <v/>
      </c>
      <c r="C1024" s="149" t="n"/>
      <c r="D1024" s="149">
        <f>TRIM('לקוחות לפי סוכן - מקור חדש'!D58)</f>
        <v/>
      </c>
      <c r="E1024" s="147">
        <f>'לקוחות לפי סוכן - מקור חדש'!F58</f>
        <v/>
      </c>
      <c r="F1024" s="147">
        <f>'לקוחות לפי סוכן - מקור חדש'!H58</f>
        <v/>
      </c>
      <c r="G1024" s="148">
        <f>'לקוחות לפי סוכן - מקור חדש'!E58</f>
        <v/>
      </c>
      <c r="H1024" s="148">
        <f>'לקוחות לפי סוכן - מקור חדש'!G58</f>
        <v/>
      </c>
      <c r="I1024" s="149" t="inlineStr">
        <is>
          <t>מכירות 25-26 לפי לקוח-סוכן</t>
        </is>
      </c>
      <c r="J1024" s="149" t="inlineStr">
        <is>
          <t>חדש — לא היה ב-מקור</t>
        </is>
      </c>
    </row>
    <row r="1025" ht="15" customHeight="1" s="82">
      <c r="A1025" s="149">
        <f>'לקוחות לפי סוכן - מקור חדש'!B59</f>
        <v/>
      </c>
      <c r="B1025" s="149">
        <f>'לקוחות לפי סוכן - מקור חדש'!C59</f>
        <v/>
      </c>
      <c r="C1025" s="149" t="n"/>
      <c r="D1025" s="149">
        <f>TRIM('לקוחות לפי סוכן - מקור חדש'!D59)</f>
        <v/>
      </c>
      <c r="E1025" s="147">
        <f>'לקוחות לפי סוכן - מקור חדש'!F59</f>
        <v/>
      </c>
      <c r="F1025" s="147">
        <f>'לקוחות לפי סוכן - מקור חדש'!H59</f>
        <v/>
      </c>
      <c r="G1025" s="148">
        <f>'לקוחות לפי סוכן - מקור חדש'!E59</f>
        <v/>
      </c>
      <c r="H1025" s="148">
        <f>'לקוחות לפי סוכן - מקור חדש'!G59</f>
        <v/>
      </c>
      <c r="I1025" s="149" t="inlineStr">
        <is>
          <t>מכירות 25-26 לפי לקוח-סוכן</t>
        </is>
      </c>
      <c r="J1025" s="149" t="inlineStr">
        <is>
          <t>חדש — לא היה ב-מקור</t>
        </is>
      </c>
    </row>
    <row r="1026" ht="15" customHeight="1" s="82">
      <c r="A1026" s="149">
        <f>'לקוחות לפי סוכן - מקור חדש'!B60</f>
        <v/>
      </c>
      <c r="B1026" s="149">
        <f>'לקוחות לפי סוכן - מקור חדש'!C60</f>
        <v/>
      </c>
      <c r="C1026" s="149" t="n"/>
      <c r="D1026" s="149">
        <f>TRIM('לקוחות לפי סוכן - מקור חדש'!D60)</f>
        <v/>
      </c>
      <c r="E1026" s="147">
        <f>'לקוחות לפי סוכן - מקור חדש'!F60</f>
        <v/>
      </c>
      <c r="F1026" s="147">
        <f>'לקוחות לפי סוכן - מקור חדש'!H60</f>
        <v/>
      </c>
      <c r="G1026" s="148">
        <f>'לקוחות לפי סוכן - מקור חדש'!E60</f>
        <v/>
      </c>
      <c r="H1026" s="148">
        <f>'לקוחות לפי סוכן - מקור חדש'!G60</f>
        <v/>
      </c>
      <c r="I1026" s="149" t="inlineStr">
        <is>
          <t>מכירות 25-26 לפי לקוח-סוכן</t>
        </is>
      </c>
      <c r="J1026" s="149" t="inlineStr">
        <is>
          <t>חדש — לא היה ב-מקור</t>
        </is>
      </c>
    </row>
    <row r="1027" ht="15" customHeight="1" s="82">
      <c r="A1027" s="149">
        <f>'לקוחות לפי סוכן - מקור חדש'!B61</f>
        <v/>
      </c>
      <c r="B1027" s="149">
        <f>'לקוחות לפי סוכן - מקור חדש'!C61</f>
        <v/>
      </c>
      <c r="C1027" s="149" t="n"/>
      <c r="D1027" s="149">
        <f>TRIM('לקוחות לפי סוכן - מקור חדש'!D61)</f>
        <v/>
      </c>
      <c r="E1027" s="147">
        <f>'לקוחות לפי סוכן - מקור חדש'!F61</f>
        <v/>
      </c>
      <c r="F1027" s="147">
        <f>'לקוחות לפי סוכן - מקור חדש'!H61</f>
        <v/>
      </c>
      <c r="G1027" s="148">
        <f>'לקוחות לפי סוכן - מקור חדש'!E61</f>
        <v/>
      </c>
      <c r="H1027" s="148">
        <f>'לקוחות לפי סוכן - מקור חדש'!G61</f>
        <v/>
      </c>
      <c r="I1027" s="149" t="inlineStr">
        <is>
          <t>מכירות 25-26 לפי לקוח-סוכן</t>
        </is>
      </c>
      <c r="J1027" s="149" t="inlineStr">
        <is>
          <t>חדש — לא היה ב-מקור</t>
        </is>
      </c>
    </row>
    <row r="1028" ht="15" customHeight="1" s="82">
      <c r="A1028" s="149">
        <f>'לקוחות לפי סוכן - מקור חדש'!B62</f>
        <v/>
      </c>
      <c r="B1028" s="149">
        <f>'לקוחות לפי סוכן - מקור חדש'!C62</f>
        <v/>
      </c>
      <c r="C1028" s="149" t="n"/>
      <c r="D1028" s="149">
        <f>TRIM('לקוחות לפי סוכן - מקור חדש'!D62)</f>
        <v/>
      </c>
      <c r="E1028" s="147">
        <f>'לקוחות לפי סוכן - מקור חדש'!F62</f>
        <v/>
      </c>
      <c r="F1028" s="147">
        <f>'לקוחות לפי סוכן - מקור חדש'!H62</f>
        <v/>
      </c>
      <c r="G1028" s="148">
        <f>'לקוחות לפי סוכן - מקור חדש'!E62</f>
        <v/>
      </c>
      <c r="H1028" s="148">
        <f>'לקוחות לפי סוכן - מקור חדש'!G62</f>
        <v/>
      </c>
      <c r="I1028" s="149" t="inlineStr">
        <is>
          <t>מכירות 25-26 לפי לקוח-סוכן</t>
        </is>
      </c>
      <c r="J1028" s="149" t="inlineStr">
        <is>
          <t>חדש — לא היה ב-מקור</t>
        </is>
      </c>
    </row>
    <row r="1029" ht="15" customHeight="1" s="82">
      <c r="A1029" s="149">
        <f>'לקוחות לפי סוכן - מקור חדש'!B63</f>
        <v/>
      </c>
      <c r="B1029" s="149">
        <f>'לקוחות לפי סוכן - מקור חדש'!C63</f>
        <v/>
      </c>
      <c r="C1029" s="149" t="n"/>
      <c r="D1029" s="149">
        <f>TRIM('לקוחות לפי סוכן - מקור חדש'!D63)</f>
        <v/>
      </c>
      <c r="E1029" s="147">
        <f>'לקוחות לפי סוכן - מקור חדש'!F63</f>
        <v/>
      </c>
      <c r="F1029" s="147">
        <f>'לקוחות לפי סוכן - מקור חדש'!H63</f>
        <v/>
      </c>
      <c r="G1029" s="148">
        <f>'לקוחות לפי סוכן - מקור חדש'!E63</f>
        <v/>
      </c>
      <c r="H1029" s="148">
        <f>'לקוחות לפי סוכן - מקור חדש'!G63</f>
        <v/>
      </c>
      <c r="I1029" s="149" t="inlineStr">
        <is>
          <t>מכירות 25-26 לפי לקוח-סוכן</t>
        </is>
      </c>
      <c r="J1029" s="149" t="inlineStr">
        <is>
          <t>חדש — לא היה ב-מקור</t>
        </is>
      </c>
    </row>
    <row r="1030" ht="15" customHeight="1" s="82">
      <c r="A1030" s="149">
        <f>'לקוחות לפי סוכן - מקור חדש'!B64</f>
        <v/>
      </c>
      <c r="B1030" s="149">
        <f>'לקוחות לפי סוכן - מקור חדש'!C64</f>
        <v/>
      </c>
      <c r="C1030" s="149" t="n"/>
      <c r="D1030" s="149">
        <f>TRIM('לקוחות לפי סוכן - מקור חדש'!D64)</f>
        <v/>
      </c>
      <c r="E1030" s="147">
        <f>'לקוחות לפי סוכן - מקור חדש'!F64</f>
        <v/>
      </c>
      <c r="F1030" s="147">
        <f>'לקוחות לפי סוכן - מקור חדש'!H64</f>
        <v/>
      </c>
      <c r="G1030" s="148">
        <f>'לקוחות לפי סוכן - מקור חדש'!E64</f>
        <v/>
      </c>
      <c r="H1030" s="148">
        <f>'לקוחות לפי סוכן - מקור חדש'!G64</f>
        <v/>
      </c>
      <c r="I1030" s="149" t="inlineStr">
        <is>
          <t>מכירות 25-26 לפי לקוח-סוכן</t>
        </is>
      </c>
      <c r="J1030" s="149" t="inlineStr">
        <is>
          <t>חדש — לא היה ב-מקור</t>
        </is>
      </c>
    </row>
    <row r="1031" ht="15" customHeight="1" s="82">
      <c r="A1031" s="149">
        <f>'לקוחות לפי סוכן - מקור חדש'!B65</f>
        <v/>
      </c>
      <c r="B1031" s="149">
        <f>'לקוחות לפי סוכן - מקור חדש'!C65</f>
        <v/>
      </c>
      <c r="C1031" s="149" t="n"/>
      <c r="D1031" s="149">
        <f>TRIM('לקוחות לפי סוכן - מקור חדש'!D65)</f>
        <v/>
      </c>
      <c r="E1031" s="147">
        <f>'לקוחות לפי סוכן - מקור חדש'!F65</f>
        <v/>
      </c>
      <c r="F1031" s="147">
        <f>'לקוחות לפי סוכן - מקור חדש'!H65</f>
        <v/>
      </c>
      <c r="G1031" s="148">
        <f>'לקוחות לפי סוכן - מקור חדש'!E65</f>
        <v/>
      </c>
      <c r="H1031" s="148">
        <f>'לקוחות לפי סוכן - מקור חדש'!G65</f>
        <v/>
      </c>
      <c r="I1031" s="149" t="inlineStr">
        <is>
          <t>מכירות 25-26 לפי לקוח-סוכן</t>
        </is>
      </c>
      <c r="J1031" s="149" t="inlineStr">
        <is>
          <t>חדש — לא היה ב-מקור</t>
        </is>
      </c>
    </row>
    <row r="1032" ht="15" customHeight="1" s="82">
      <c r="A1032" s="149">
        <f>'לקוחות לפי סוכן - מקור חדש'!B66</f>
        <v/>
      </c>
      <c r="B1032" s="149">
        <f>'לקוחות לפי סוכן - מקור חדש'!C66</f>
        <v/>
      </c>
      <c r="C1032" s="149" t="n"/>
      <c r="D1032" s="149">
        <f>TRIM('לקוחות לפי סוכן - מקור חדש'!D66)</f>
        <v/>
      </c>
      <c r="E1032" s="147">
        <f>'לקוחות לפי סוכן - מקור חדש'!F66</f>
        <v/>
      </c>
      <c r="F1032" s="147">
        <f>'לקוחות לפי סוכן - מקור חדש'!H66</f>
        <v/>
      </c>
      <c r="G1032" s="148">
        <f>'לקוחות לפי סוכן - מקור חדש'!E66</f>
        <v/>
      </c>
      <c r="H1032" s="148">
        <f>'לקוחות לפי סוכן - מקור חדש'!G66</f>
        <v/>
      </c>
      <c r="I1032" s="149" t="inlineStr">
        <is>
          <t>מכירות 25-26 לפי לקוח-סוכן</t>
        </is>
      </c>
      <c r="J1032" s="149" t="inlineStr">
        <is>
          <t>חדש — לא היה ב-מקור</t>
        </is>
      </c>
    </row>
    <row r="1033" ht="15" customHeight="1" s="82">
      <c r="A1033" s="149">
        <f>'לקוחות לפי סוכן - מקור חדש'!B69</f>
        <v/>
      </c>
      <c r="B1033" s="149">
        <f>'לקוחות לפי סוכן - מקור חדש'!C69</f>
        <v/>
      </c>
      <c r="C1033" s="149" t="n"/>
      <c r="D1033" s="149">
        <f>TRIM('לקוחות לפי סוכן - מקור חדש'!D69)</f>
        <v/>
      </c>
      <c r="E1033" s="147">
        <f>'לקוחות לפי סוכן - מקור חדש'!F69</f>
        <v/>
      </c>
      <c r="F1033" s="147">
        <f>'לקוחות לפי סוכן - מקור חדש'!H69</f>
        <v/>
      </c>
      <c r="G1033" s="148">
        <f>'לקוחות לפי סוכן - מקור חדש'!E69</f>
        <v/>
      </c>
      <c r="H1033" s="148">
        <f>'לקוחות לפי סוכן - מקור חדש'!G69</f>
        <v/>
      </c>
      <c r="I1033" s="149" t="inlineStr">
        <is>
          <t>מכירות 25-26 לפי לקוח-סוכן</t>
        </is>
      </c>
      <c r="J1033" s="149" t="inlineStr">
        <is>
          <t>חדש — לא היה ב-מקור</t>
        </is>
      </c>
    </row>
    <row r="1034" ht="15" customHeight="1" s="82">
      <c r="A1034" s="149">
        <f>'לקוחות לפי סוכן - מקור חדש'!B70</f>
        <v/>
      </c>
      <c r="B1034" s="149">
        <f>'לקוחות לפי סוכן - מקור חדש'!C70</f>
        <v/>
      </c>
      <c r="C1034" s="149" t="n"/>
      <c r="D1034" s="149">
        <f>TRIM('לקוחות לפי סוכן - מקור חדש'!D70)</f>
        <v/>
      </c>
      <c r="E1034" s="147">
        <f>'לקוחות לפי סוכן - מקור חדש'!F70</f>
        <v/>
      </c>
      <c r="F1034" s="147">
        <f>'לקוחות לפי סוכן - מקור חדש'!H70</f>
        <v/>
      </c>
      <c r="G1034" s="148">
        <f>'לקוחות לפי סוכן - מקור חדש'!E70</f>
        <v/>
      </c>
      <c r="H1034" s="148">
        <f>'לקוחות לפי סוכן - מקור חדש'!G70</f>
        <v/>
      </c>
      <c r="I1034" s="149" t="inlineStr">
        <is>
          <t>מכירות 25-26 לפי לקוח-סוכן</t>
        </is>
      </c>
      <c r="J1034" s="149" t="inlineStr">
        <is>
          <t>חדש — לא היה ב-מקור</t>
        </is>
      </c>
    </row>
    <row r="1035" ht="15" customHeight="1" s="82">
      <c r="A1035" s="149">
        <f>'לקוחות לפי סוכן - מקור חדש'!B71</f>
        <v/>
      </c>
      <c r="B1035" s="149">
        <f>'לקוחות לפי סוכן - מקור חדש'!C71</f>
        <v/>
      </c>
      <c r="C1035" s="149" t="n"/>
      <c r="D1035" s="149">
        <f>TRIM('לקוחות לפי סוכן - מקור חדש'!D71)</f>
        <v/>
      </c>
      <c r="E1035" s="147">
        <f>'לקוחות לפי סוכן - מקור חדש'!F71</f>
        <v/>
      </c>
      <c r="F1035" s="147">
        <f>'לקוחות לפי סוכן - מקור חדש'!H71</f>
        <v/>
      </c>
      <c r="G1035" s="148">
        <f>'לקוחות לפי סוכן - מקור חדש'!E71</f>
        <v/>
      </c>
      <c r="H1035" s="148">
        <f>'לקוחות לפי סוכן - מקור חדש'!G71</f>
        <v/>
      </c>
      <c r="I1035" s="149" t="inlineStr">
        <is>
          <t>מכירות 25-26 לפי לקוח-סוכן</t>
        </is>
      </c>
      <c r="J1035" s="149" t="inlineStr">
        <is>
          <t>חדש — לא היה ב-מקור</t>
        </is>
      </c>
    </row>
    <row r="1036" ht="15" customHeight="1" s="82">
      <c r="A1036" s="149">
        <f>'לקוחות לפי סוכן - מקור חדש'!B72</f>
        <v/>
      </c>
      <c r="B1036" s="149">
        <f>'לקוחות לפי סוכן - מקור חדש'!C72</f>
        <v/>
      </c>
      <c r="C1036" s="149" t="n"/>
      <c r="D1036" s="149">
        <f>TRIM('לקוחות לפי סוכן - מקור חדש'!D72)</f>
        <v/>
      </c>
      <c r="E1036" s="147">
        <f>'לקוחות לפי סוכן - מקור חדש'!F72</f>
        <v/>
      </c>
      <c r="F1036" s="147">
        <f>'לקוחות לפי סוכן - מקור חדש'!H72</f>
        <v/>
      </c>
      <c r="G1036" s="148">
        <f>'לקוחות לפי סוכן - מקור חדש'!E72</f>
        <v/>
      </c>
      <c r="H1036" s="148">
        <f>'לקוחות לפי סוכן - מקור חדש'!G72</f>
        <v/>
      </c>
      <c r="I1036" s="149" t="inlineStr">
        <is>
          <t>מכירות 25-26 לפי לקוח-סוכן</t>
        </is>
      </c>
      <c r="J1036" s="149" t="inlineStr">
        <is>
          <t>חדש — לא היה ב-מקור</t>
        </is>
      </c>
    </row>
    <row r="1037" ht="15" customHeight="1" s="82">
      <c r="A1037" s="149">
        <f>'לקוחות לפי סוכן - מקור חדש'!B73</f>
        <v/>
      </c>
      <c r="B1037" s="149">
        <f>'לקוחות לפי סוכן - מקור חדש'!C73</f>
        <v/>
      </c>
      <c r="C1037" s="149" t="n"/>
      <c r="D1037" s="149">
        <f>TRIM('לקוחות לפי סוכן - מקור חדש'!D73)</f>
        <v/>
      </c>
      <c r="E1037" s="147">
        <f>'לקוחות לפי סוכן - מקור חדש'!F73</f>
        <v/>
      </c>
      <c r="F1037" s="147">
        <f>'לקוחות לפי סוכן - מקור חדש'!H73</f>
        <v/>
      </c>
      <c r="G1037" s="148">
        <f>'לקוחות לפי סוכן - מקור חדש'!E73</f>
        <v/>
      </c>
      <c r="H1037" s="148">
        <f>'לקוחות לפי סוכן - מקור חדש'!G73</f>
        <v/>
      </c>
      <c r="I1037" s="149" t="inlineStr">
        <is>
          <t>מכירות 25-26 לפי לקוח-סוכן</t>
        </is>
      </c>
      <c r="J1037" s="149" t="inlineStr">
        <is>
          <t>חדש — לא היה ב-מקור</t>
        </is>
      </c>
    </row>
    <row r="1038" ht="15" customHeight="1" s="82">
      <c r="A1038" s="149">
        <f>'לקוחות לפי סוכן - מקור חדש'!B75</f>
        <v/>
      </c>
      <c r="B1038" s="149">
        <f>'לקוחות לפי סוכן - מקור חדש'!C75</f>
        <v/>
      </c>
      <c r="C1038" s="149" t="n"/>
      <c r="D1038" s="149">
        <f>TRIM('לקוחות לפי סוכן - מקור חדש'!D75)</f>
        <v/>
      </c>
      <c r="E1038" s="147">
        <f>'לקוחות לפי סוכן - מקור חדש'!F75</f>
        <v/>
      </c>
      <c r="F1038" s="147">
        <f>'לקוחות לפי סוכן - מקור חדש'!H75</f>
        <v/>
      </c>
      <c r="G1038" s="148">
        <f>'לקוחות לפי סוכן - מקור חדש'!E75</f>
        <v/>
      </c>
      <c r="H1038" s="148">
        <f>'לקוחות לפי סוכן - מקור חדש'!G75</f>
        <v/>
      </c>
      <c r="I1038" s="149" t="inlineStr">
        <is>
          <t>מכירות 25-26 לפי לקוח-סוכן</t>
        </is>
      </c>
      <c r="J1038" s="149" t="inlineStr">
        <is>
          <t>חדש — לא היה ב-מקור</t>
        </is>
      </c>
    </row>
    <row r="1039" ht="15" customHeight="1" s="82">
      <c r="A1039" s="149">
        <f>'לקוחות לפי סוכן - מקור חדש'!B76</f>
        <v/>
      </c>
      <c r="B1039" s="149">
        <f>'לקוחות לפי סוכן - מקור חדש'!C76</f>
        <v/>
      </c>
      <c r="C1039" s="149" t="n"/>
      <c r="D1039" s="149">
        <f>TRIM('לקוחות לפי סוכן - מקור חדש'!D76)</f>
        <v/>
      </c>
      <c r="E1039" s="147">
        <f>'לקוחות לפי סוכן - מקור חדש'!F76</f>
        <v/>
      </c>
      <c r="F1039" s="147">
        <f>'לקוחות לפי סוכן - מקור חדש'!H76</f>
        <v/>
      </c>
      <c r="G1039" s="148">
        <f>'לקוחות לפי סוכן - מקור חדש'!E76</f>
        <v/>
      </c>
      <c r="H1039" s="148">
        <f>'לקוחות לפי סוכן - מקור חדש'!G76</f>
        <v/>
      </c>
      <c r="I1039" s="149" t="inlineStr">
        <is>
          <t>מכירות 25-26 לפי לקוח-סוכן</t>
        </is>
      </c>
      <c r="J1039" s="149" t="inlineStr">
        <is>
          <t>חדש — לא היה ב-מקור</t>
        </is>
      </c>
    </row>
    <row r="1040" ht="15" customHeight="1" s="82">
      <c r="A1040" s="149">
        <f>'לקוחות לפי סוכן - מקור חדש'!B79</f>
        <v/>
      </c>
      <c r="B1040" s="149">
        <f>'לקוחות לפי סוכן - מקור חדש'!C79</f>
        <v/>
      </c>
      <c r="C1040" s="149" t="n"/>
      <c r="D1040" s="149">
        <f>TRIM('לקוחות לפי סוכן - מקור חדש'!D79)</f>
        <v/>
      </c>
      <c r="E1040" s="147">
        <f>'לקוחות לפי סוכן - מקור חדש'!F79</f>
        <v/>
      </c>
      <c r="F1040" s="147">
        <f>'לקוחות לפי סוכן - מקור חדש'!H79</f>
        <v/>
      </c>
      <c r="G1040" s="148">
        <f>'לקוחות לפי סוכן - מקור חדש'!E79</f>
        <v/>
      </c>
      <c r="H1040" s="148">
        <f>'לקוחות לפי סוכן - מקור חדש'!G79</f>
        <v/>
      </c>
      <c r="I1040" s="149" t="inlineStr">
        <is>
          <t>מכירות 25-26 לפי לקוח-סוכן</t>
        </is>
      </c>
      <c r="J1040" s="149" t="inlineStr">
        <is>
          <t>חדש — לא היה ב-מקור</t>
        </is>
      </c>
    </row>
    <row r="1041" ht="15" customHeight="1" s="82">
      <c r="A1041" s="149">
        <f>'לקוחות לפי סוכן - מקור חדש'!B81</f>
        <v/>
      </c>
      <c r="B1041" s="149">
        <f>'לקוחות לפי סוכן - מקור חדש'!C81</f>
        <v/>
      </c>
      <c r="C1041" s="149" t="n"/>
      <c r="D1041" s="149">
        <f>TRIM('לקוחות לפי סוכן - מקור חדש'!D81)</f>
        <v/>
      </c>
      <c r="E1041" s="147">
        <f>'לקוחות לפי סוכן - מקור חדש'!F81</f>
        <v/>
      </c>
      <c r="F1041" s="147">
        <f>'לקוחות לפי סוכן - מקור חדש'!H81</f>
        <v/>
      </c>
      <c r="G1041" s="148">
        <f>'לקוחות לפי סוכן - מקור חדש'!E81</f>
        <v/>
      </c>
      <c r="H1041" s="148">
        <f>'לקוחות לפי סוכן - מקור חדש'!G81</f>
        <v/>
      </c>
      <c r="I1041" s="149" t="inlineStr">
        <is>
          <t>מכירות 25-26 לפי לקוח-סוכן</t>
        </is>
      </c>
      <c r="J1041" s="149" t="inlineStr">
        <is>
          <t>חדש — לא היה ב-מקור</t>
        </is>
      </c>
    </row>
    <row r="1042" ht="15" customHeight="1" s="82">
      <c r="A1042" s="149">
        <f>'לקוחות לפי סוכן - מקור חדש'!B82</f>
        <v/>
      </c>
      <c r="B1042" s="149">
        <f>'לקוחות לפי סוכן - מקור חדש'!C82</f>
        <v/>
      </c>
      <c r="C1042" s="149" t="n"/>
      <c r="D1042" s="149">
        <f>TRIM('לקוחות לפי סוכן - מקור חדש'!D82)</f>
        <v/>
      </c>
      <c r="E1042" s="147">
        <f>'לקוחות לפי סוכן - מקור חדש'!F82</f>
        <v/>
      </c>
      <c r="F1042" s="147">
        <f>'לקוחות לפי סוכן - מקור חדש'!H82</f>
        <v/>
      </c>
      <c r="G1042" s="148">
        <f>'לקוחות לפי סוכן - מקור חדש'!E82</f>
        <v/>
      </c>
      <c r="H1042" s="148">
        <f>'לקוחות לפי סוכן - מקור חדש'!G82</f>
        <v/>
      </c>
      <c r="I1042" s="149" t="inlineStr">
        <is>
          <t>מכירות 25-26 לפי לקוח-סוכן</t>
        </is>
      </c>
      <c r="J1042" s="149" t="inlineStr">
        <is>
          <t>חדש — לא היה ב-מקור</t>
        </is>
      </c>
    </row>
    <row r="1043" ht="15" customHeight="1" s="82">
      <c r="A1043" s="149">
        <f>'לקוחות לפי סוכן - מקור חדש'!B86</f>
        <v/>
      </c>
      <c r="B1043" s="149">
        <f>'לקוחות לפי סוכן - מקור חדש'!C86</f>
        <v/>
      </c>
      <c r="C1043" s="149" t="n"/>
      <c r="D1043" s="149">
        <f>TRIM('לקוחות לפי סוכן - מקור חדש'!D86)</f>
        <v/>
      </c>
      <c r="E1043" s="147">
        <f>'לקוחות לפי סוכן - מקור חדש'!F86</f>
        <v/>
      </c>
      <c r="F1043" s="147">
        <f>'לקוחות לפי סוכן - מקור חדש'!H86</f>
        <v/>
      </c>
      <c r="G1043" s="148">
        <f>'לקוחות לפי סוכן - מקור חדש'!E86</f>
        <v/>
      </c>
      <c r="H1043" s="148">
        <f>'לקוחות לפי סוכן - מקור חדש'!G86</f>
        <v/>
      </c>
      <c r="I1043" s="149" t="inlineStr">
        <is>
          <t>מכירות 25-26 לפי לקוח-סוכן</t>
        </is>
      </c>
      <c r="J1043" s="149" t="inlineStr">
        <is>
          <t>חדש — לא היה ב-מקור</t>
        </is>
      </c>
    </row>
    <row r="1044" ht="15" customHeight="1" s="82">
      <c r="A1044" s="149">
        <f>'לקוחות לפי סוכן - מקור חדש'!B88</f>
        <v/>
      </c>
      <c r="B1044" s="149">
        <f>'לקוחות לפי סוכן - מקור חדש'!C88</f>
        <v/>
      </c>
      <c r="C1044" s="149" t="n"/>
      <c r="D1044" s="149">
        <f>TRIM('לקוחות לפי סוכן - מקור חדש'!D88)</f>
        <v/>
      </c>
      <c r="E1044" s="147">
        <f>'לקוחות לפי סוכן - מקור חדש'!F88</f>
        <v/>
      </c>
      <c r="F1044" s="147">
        <f>'לקוחות לפי סוכן - מקור חדש'!H88</f>
        <v/>
      </c>
      <c r="G1044" s="148">
        <f>'לקוחות לפי סוכן - מקור חדש'!E88</f>
        <v/>
      </c>
      <c r="H1044" s="148">
        <f>'לקוחות לפי סוכן - מקור חדש'!G88</f>
        <v/>
      </c>
      <c r="I1044" s="149" t="inlineStr">
        <is>
          <t>מכירות 25-26 לפי לקוח-סוכן</t>
        </is>
      </c>
      <c r="J1044" s="149" t="inlineStr">
        <is>
          <t>חדש — לא היה ב-מקור</t>
        </is>
      </c>
    </row>
    <row r="1045" ht="15" customHeight="1" s="82">
      <c r="A1045" s="149">
        <f>'לקוחות לפי סוכן - מקור חדש'!B90</f>
        <v/>
      </c>
      <c r="B1045" s="149">
        <f>'לקוחות לפי סוכן - מקור חדש'!C90</f>
        <v/>
      </c>
      <c r="C1045" s="149" t="n"/>
      <c r="D1045" s="149">
        <f>TRIM('לקוחות לפי סוכן - מקור חדש'!D90)</f>
        <v/>
      </c>
      <c r="E1045" s="147">
        <f>'לקוחות לפי סוכן - מקור חדש'!F90</f>
        <v/>
      </c>
      <c r="F1045" s="147">
        <f>'לקוחות לפי סוכן - מקור חדש'!H90</f>
        <v/>
      </c>
      <c r="G1045" s="148">
        <f>'לקוחות לפי סוכן - מקור חדש'!E90</f>
        <v/>
      </c>
      <c r="H1045" s="148">
        <f>'לקוחות לפי סוכן - מקור חדש'!G90</f>
        <v/>
      </c>
      <c r="I1045" s="149" t="inlineStr">
        <is>
          <t>מכירות 25-26 לפי לקוח-סוכן</t>
        </is>
      </c>
      <c r="J1045" s="149" t="inlineStr">
        <is>
          <t>חדש — לא היה ב-מקור</t>
        </is>
      </c>
    </row>
    <row r="1046" ht="15" customHeight="1" s="82">
      <c r="A1046" s="149">
        <f>'לקוחות לפי סוכן - מקור חדש'!B91</f>
        <v/>
      </c>
      <c r="B1046" s="149">
        <f>'לקוחות לפי סוכן - מקור חדש'!C91</f>
        <v/>
      </c>
      <c r="C1046" s="149" t="n"/>
      <c r="D1046" s="149">
        <f>TRIM('לקוחות לפי סוכן - מקור חדש'!D91)</f>
        <v/>
      </c>
      <c r="E1046" s="147">
        <f>'לקוחות לפי סוכן - מקור חדש'!F91</f>
        <v/>
      </c>
      <c r="F1046" s="147">
        <f>'לקוחות לפי סוכן - מקור חדש'!H91</f>
        <v/>
      </c>
      <c r="G1046" s="148">
        <f>'לקוחות לפי סוכן - מקור חדש'!E91</f>
        <v/>
      </c>
      <c r="H1046" s="148">
        <f>'לקוחות לפי סוכן - מקור חדש'!G91</f>
        <v/>
      </c>
      <c r="I1046" s="149" t="inlineStr">
        <is>
          <t>מכירות 25-26 לפי לקוח-סוכן</t>
        </is>
      </c>
      <c r="J1046" s="149" t="inlineStr">
        <is>
          <t>חדש — לא היה ב-מקור</t>
        </is>
      </c>
    </row>
    <row r="1047" ht="15" customHeight="1" s="82">
      <c r="A1047" s="149">
        <f>'לקוחות לפי סוכן - מקור חדש'!B92</f>
        <v/>
      </c>
      <c r="B1047" s="149">
        <f>'לקוחות לפי סוכן - מקור חדש'!C92</f>
        <v/>
      </c>
      <c r="C1047" s="149" t="n"/>
      <c r="D1047" s="149">
        <f>TRIM('לקוחות לפי סוכן - מקור חדש'!D92)</f>
        <v/>
      </c>
      <c r="E1047" s="147">
        <f>'לקוחות לפי סוכן - מקור חדש'!F92</f>
        <v/>
      </c>
      <c r="F1047" s="147">
        <f>'לקוחות לפי סוכן - מקור חדש'!H92</f>
        <v/>
      </c>
      <c r="G1047" s="148">
        <f>'לקוחות לפי סוכן - מקור חדש'!E92</f>
        <v/>
      </c>
      <c r="H1047" s="148">
        <f>'לקוחות לפי סוכן - מקור חדש'!G92</f>
        <v/>
      </c>
      <c r="I1047" s="149" t="inlineStr">
        <is>
          <t>מכירות 25-26 לפי לקוח-סוכן</t>
        </is>
      </c>
      <c r="J1047" s="149" t="inlineStr">
        <is>
          <t>חדש — לא היה ב-מקור</t>
        </is>
      </c>
    </row>
    <row r="1048" ht="15" customHeight="1" s="82">
      <c r="A1048" s="149">
        <f>'לקוחות לפי סוכן - מקור חדש'!B95</f>
        <v/>
      </c>
      <c r="B1048" s="149">
        <f>'לקוחות לפי סוכן - מקור חדש'!C95</f>
        <v/>
      </c>
      <c r="C1048" s="149" t="n"/>
      <c r="D1048" s="149">
        <f>TRIM('לקוחות לפי סוכן - מקור חדש'!D95)</f>
        <v/>
      </c>
      <c r="E1048" s="147">
        <f>'לקוחות לפי סוכן - מקור חדש'!F95</f>
        <v/>
      </c>
      <c r="F1048" s="147">
        <f>'לקוחות לפי סוכן - מקור חדש'!H95</f>
        <v/>
      </c>
      <c r="G1048" s="148">
        <f>'לקוחות לפי סוכן - מקור חדש'!E95</f>
        <v/>
      </c>
      <c r="H1048" s="148">
        <f>'לקוחות לפי סוכן - מקור חדש'!G95</f>
        <v/>
      </c>
      <c r="I1048" s="149" t="inlineStr">
        <is>
          <t>מכירות 25-26 לפי לקוח-סוכן</t>
        </is>
      </c>
      <c r="J1048" s="149" t="inlineStr">
        <is>
          <t>חדש — לא היה ב-מקור</t>
        </is>
      </c>
    </row>
    <row r="1049" ht="15" customHeight="1" s="82">
      <c r="A1049" s="149">
        <f>'לקוחות לפי סוכן - מקור חדש'!B96</f>
        <v/>
      </c>
      <c r="B1049" s="149">
        <f>'לקוחות לפי סוכן - מקור חדש'!C96</f>
        <v/>
      </c>
      <c r="C1049" s="149" t="n"/>
      <c r="D1049" s="149">
        <f>TRIM('לקוחות לפי סוכן - מקור חדש'!D96)</f>
        <v/>
      </c>
      <c r="E1049" s="147">
        <f>'לקוחות לפי סוכן - מקור חדש'!F96</f>
        <v/>
      </c>
      <c r="F1049" s="147">
        <f>'לקוחות לפי סוכן - מקור חדש'!H96</f>
        <v/>
      </c>
      <c r="G1049" s="148">
        <f>'לקוחות לפי סוכן - מקור חדש'!E96</f>
        <v/>
      </c>
      <c r="H1049" s="148">
        <f>'לקוחות לפי סוכן - מקור חדש'!G96</f>
        <v/>
      </c>
      <c r="I1049" s="149" t="inlineStr">
        <is>
          <t>מכירות 25-26 לפי לקוח-סוכן</t>
        </is>
      </c>
      <c r="J1049" s="149" t="inlineStr">
        <is>
          <t>חדש — לא היה ב-מקור</t>
        </is>
      </c>
    </row>
    <row r="1050" ht="15" customHeight="1" s="82">
      <c r="A1050" s="149">
        <f>'לקוחות לפי סוכן - מקור חדש'!B99</f>
        <v/>
      </c>
      <c r="B1050" s="149">
        <f>'לקוחות לפי סוכן - מקור חדש'!C99</f>
        <v/>
      </c>
      <c r="C1050" s="149" t="n"/>
      <c r="D1050" s="149">
        <f>TRIM('לקוחות לפי סוכן - מקור חדש'!D99)</f>
        <v/>
      </c>
      <c r="E1050" s="147">
        <f>'לקוחות לפי סוכן - מקור חדש'!F99</f>
        <v/>
      </c>
      <c r="F1050" s="147">
        <f>'לקוחות לפי סוכן - מקור חדש'!H99</f>
        <v/>
      </c>
      <c r="G1050" s="148">
        <f>'לקוחות לפי סוכן - מקור חדש'!E99</f>
        <v/>
      </c>
      <c r="H1050" s="148">
        <f>'לקוחות לפי סוכן - מקור חדש'!G99</f>
        <v/>
      </c>
      <c r="I1050" s="149" t="inlineStr">
        <is>
          <t>מכירות 25-26 לפי לקוח-סוכן</t>
        </is>
      </c>
      <c r="J1050" s="149" t="inlineStr">
        <is>
          <t>חדש — לא היה ב-מקור</t>
        </is>
      </c>
    </row>
    <row r="1051" ht="15" customHeight="1" s="82">
      <c r="A1051" s="149">
        <f>'לקוחות לפי סוכן - מקור חדש'!B100</f>
        <v/>
      </c>
      <c r="B1051" s="149">
        <f>'לקוחות לפי סוכן - מקור חדש'!C100</f>
        <v/>
      </c>
      <c r="C1051" s="149" t="n"/>
      <c r="D1051" s="149">
        <f>TRIM('לקוחות לפי סוכן - מקור חדש'!D100)</f>
        <v/>
      </c>
      <c r="E1051" s="147">
        <f>'לקוחות לפי סוכן - מקור חדש'!F100</f>
        <v/>
      </c>
      <c r="F1051" s="147">
        <f>'לקוחות לפי סוכן - מקור חדש'!H100</f>
        <v/>
      </c>
      <c r="G1051" s="148">
        <f>'לקוחות לפי סוכן - מקור חדש'!E100</f>
        <v/>
      </c>
      <c r="H1051" s="148">
        <f>'לקוחות לפי סוכן - מקור חדש'!G100</f>
        <v/>
      </c>
      <c r="I1051" s="149" t="inlineStr">
        <is>
          <t>מכירות 25-26 לפי לקוח-סוכן</t>
        </is>
      </c>
      <c r="J1051" s="149" t="inlineStr">
        <is>
          <t>חדש — לא היה ב-מקור</t>
        </is>
      </c>
    </row>
    <row r="1052" ht="15" customHeight="1" s="82">
      <c r="A1052" s="149">
        <f>'לקוחות לפי סוכן - מקור חדש'!B110</f>
        <v/>
      </c>
      <c r="B1052" s="149">
        <f>'לקוחות לפי סוכן - מקור חדש'!C110</f>
        <v/>
      </c>
      <c r="C1052" s="149" t="n"/>
      <c r="D1052" s="149">
        <f>TRIM('לקוחות לפי סוכן - מקור חדש'!D110)</f>
        <v/>
      </c>
      <c r="E1052" s="147">
        <f>'לקוחות לפי סוכן - מקור חדש'!F110</f>
        <v/>
      </c>
      <c r="F1052" s="147">
        <f>'לקוחות לפי סוכן - מקור חדש'!H110</f>
        <v/>
      </c>
      <c r="G1052" s="148">
        <f>'לקוחות לפי סוכן - מקור חדש'!E110</f>
        <v/>
      </c>
      <c r="H1052" s="148">
        <f>'לקוחות לפי סוכן - מקור חדש'!G110</f>
        <v/>
      </c>
      <c r="I1052" s="149" t="inlineStr">
        <is>
          <t>מכירות 25-26 לפי לקוח-סוכן</t>
        </is>
      </c>
      <c r="J1052" s="149" t="inlineStr">
        <is>
          <t>חדש — לא היה ב-מקור</t>
        </is>
      </c>
    </row>
    <row r="1053" ht="15" customHeight="1" s="82">
      <c r="A1053" s="149">
        <f>'לקוחות לפי סוכן - מקור חדש'!B111</f>
        <v/>
      </c>
      <c r="B1053" s="149">
        <f>'לקוחות לפי סוכן - מקור חדש'!C111</f>
        <v/>
      </c>
      <c r="C1053" s="149" t="n"/>
      <c r="D1053" s="149">
        <f>TRIM('לקוחות לפי סוכן - מקור חדש'!D111)</f>
        <v/>
      </c>
      <c r="E1053" s="147">
        <f>'לקוחות לפי סוכן - מקור חדש'!F111</f>
        <v/>
      </c>
      <c r="F1053" s="147">
        <f>'לקוחות לפי סוכן - מקור חדש'!H111</f>
        <v/>
      </c>
      <c r="G1053" s="148">
        <f>'לקוחות לפי סוכן - מקור חדש'!E111</f>
        <v/>
      </c>
      <c r="H1053" s="148">
        <f>'לקוחות לפי סוכן - מקור חדש'!G111</f>
        <v/>
      </c>
      <c r="I1053" s="149" t="inlineStr">
        <is>
          <t>מכירות 25-26 לפי לקוח-סוכן</t>
        </is>
      </c>
      <c r="J1053" s="149" t="inlineStr">
        <is>
          <t>חדש — לא היה ב-מקור</t>
        </is>
      </c>
    </row>
    <row r="1054" ht="15" customHeight="1" s="82">
      <c r="A1054" s="149">
        <f>'לקוחות לפי סוכן - מקור חדש'!B112</f>
        <v/>
      </c>
      <c r="B1054" s="149">
        <f>'לקוחות לפי סוכן - מקור חדש'!C112</f>
        <v/>
      </c>
      <c r="C1054" s="149" t="n"/>
      <c r="D1054" s="149">
        <f>TRIM('לקוחות לפי סוכן - מקור חדש'!D112)</f>
        <v/>
      </c>
      <c r="E1054" s="147">
        <f>'לקוחות לפי סוכן - מקור חדש'!F112</f>
        <v/>
      </c>
      <c r="F1054" s="147">
        <f>'לקוחות לפי סוכן - מקור חדש'!H112</f>
        <v/>
      </c>
      <c r="G1054" s="148">
        <f>'לקוחות לפי סוכן - מקור חדש'!E112</f>
        <v/>
      </c>
      <c r="H1054" s="148">
        <f>'לקוחות לפי סוכן - מקור חדש'!G112</f>
        <v/>
      </c>
      <c r="I1054" s="149" t="inlineStr">
        <is>
          <t>מכירות 25-26 לפי לקוח-סוכן</t>
        </is>
      </c>
      <c r="J1054" s="149" t="inlineStr">
        <is>
          <t>חדש — לא היה ב-מקור</t>
        </is>
      </c>
    </row>
    <row r="1055" ht="15" customHeight="1" s="82">
      <c r="A1055" s="149">
        <f>'לקוחות לפי סוכן - מקור חדש'!B113</f>
        <v/>
      </c>
      <c r="B1055" s="149">
        <f>'לקוחות לפי סוכן - מקור חדש'!C113</f>
        <v/>
      </c>
      <c r="C1055" s="149" t="n"/>
      <c r="D1055" s="149">
        <f>TRIM('לקוחות לפי סוכן - מקור חדש'!D113)</f>
        <v/>
      </c>
      <c r="E1055" s="147">
        <f>'לקוחות לפי סוכן - מקור חדש'!F113</f>
        <v/>
      </c>
      <c r="F1055" s="147">
        <f>'לקוחות לפי סוכן - מקור חדש'!H113</f>
        <v/>
      </c>
      <c r="G1055" s="148">
        <f>'לקוחות לפי סוכן - מקור חדש'!E113</f>
        <v/>
      </c>
      <c r="H1055" s="148">
        <f>'לקוחות לפי סוכן - מקור חדש'!G113</f>
        <v/>
      </c>
      <c r="I1055" s="149" t="inlineStr">
        <is>
          <t>מכירות 25-26 לפי לקוח-סוכן</t>
        </is>
      </c>
      <c r="J1055" s="149" t="inlineStr">
        <is>
          <t>חדש — לא היה ב-מקור</t>
        </is>
      </c>
    </row>
    <row r="1056" ht="15" customHeight="1" s="82">
      <c r="A1056" s="149">
        <f>'לקוחות לפי סוכן - מקור חדש'!B114</f>
        <v/>
      </c>
      <c r="B1056" s="149">
        <f>'לקוחות לפי סוכן - מקור חדש'!C114</f>
        <v/>
      </c>
      <c r="C1056" s="149" t="n"/>
      <c r="D1056" s="149">
        <f>TRIM('לקוחות לפי סוכן - מקור חדש'!D114)</f>
        <v/>
      </c>
      <c r="E1056" s="147">
        <f>'לקוחות לפי סוכן - מקור חדש'!F114</f>
        <v/>
      </c>
      <c r="F1056" s="147">
        <f>'לקוחות לפי סוכן - מקור חדש'!H114</f>
        <v/>
      </c>
      <c r="G1056" s="148">
        <f>'לקוחות לפי סוכן - מקור חדש'!E114</f>
        <v/>
      </c>
      <c r="H1056" s="148">
        <f>'לקוחות לפי סוכן - מקור חדש'!G114</f>
        <v/>
      </c>
      <c r="I1056" s="149" t="inlineStr">
        <is>
          <t>מכירות 25-26 לפי לקוח-סוכן</t>
        </is>
      </c>
      <c r="J1056" s="149" t="inlineStr">
        <is>
          <t>חדש — לא היה ב-מקור</t>
        </is>
      </c>
    </row>
    <row r="1057" ht="15" customHeight="1" s="82">
      <c r="A1057" s="149">
        <f>'לקוחות לפי סוכן - מקור חדש'!B116</f>
        <v/>
      </c>
      <c r="B1057" s="149">
        <f>'לקוחות לפי סוכן - מקור חדש'!C116</f>
        <v/>
      </c>
      <c r="C1057" s="149" t="n"/>
      <c r="D1057" s="149">
        <f>TRIM('לקוחות לפי סוכן - מקור חדש'!D116)</f>
        <v/>
      </c>
      <c r="E1057" s="147">
        <f>'לקוחות לפי סוכן - מקור חדש'!F116</f>
        <v/>
      </c>
      <c r="F1057" s="147">
        <f>'לקוחות לפי סוכן - מקור חדש'!H116</f>
        <v/>
      </c>
      <c r="G1057" s="148">
        <f>'לקוחות לפי סוכן - מקור חדש'!E116</f>
        <v/>
      </c>
      <c r="H1057" s="148">
        <f>'לקוחות לפי סוכן - מקור חדש'!G116</f>
        <v/>
      </c>
      <c r="I1057" s="149" t="inlineStr">
        <is>
          <t>מכירות 25-26 לפי לקוח-סוכן</t>
        </is>
      </c>
      <c r="J1057" s="149" t="inlineStr">
        <is>
          <t>חדש — לא היה ב-מקור</t>
        </is>
      </c>
    </row>
    <row r="1058" ht="15" customHeight="1" s="82">
      <c r="A1058" s="149">
        <f>'לקוחות לפי סוכן - מקור חדש'!B117</f>
        <v/>
      </c>
      <c r="B1058" s="149">
        <f>'לקוחות לפי סוכן - מקור חדש'!C117</f>
        <v/>
      </c>
      <c r="C1058" s="149" t="n"/>
      <c r="D1058" s="149">
        <f>TRIM('לקוחות לפי סוכן - מקור חדש'!D117)</f>
        <v/>
      </c>
      <c r="E1058" s="147">
        <f>'לקוחות לפי סוכן - מקור חדש'!F117</f>
        <v/>
      </c>
      <c r="F1058" s="147">
        <f>'לקוחות לפי סוכן - מקור חדש'!H117</f>
        <v/>
      </c>
      <c r="G1058" s="148">
        <f>'לקוחות לפי סוכן - מקור חדש'!E117</f>
        <v/>
      </c>
      <c r="H1058" s="148">
        <f>'לקוחות לפי סוכן - מקור חדש'!G117</f>
        <v/>
      </c>
      <c r="I1058" s="149" t="inlineStr">
        <is>
          <t>מכירות 25-26 לפי לקוח-סוכן</t>
        </is>
      </c>
      <c r="J1058" s="149" t="inlineStr">
        <is>
          <t>חדש — לא היה ב-מקור</t>
        </is>
      </c>
    </row>
    <row r="1059" ht="15" customHeight="1" s="82">
      <c r="A1059" s="149">
        <f>'לקוחות לפי סוכן - מקור חדש'!B118</f>
        <v/>
      </c>
      <c r="B1059" s="149">
        <f>'לקוחות לפי סוכן - מקור חדש'!C118</f>
        <v/>
      </c>
      <c r="C1059" s="149" t="n"/>
      <c r="D1059" s="149">
        <f>TRIM('לקוחות לפי סוכן - מקור חדש'!D118)</f>
        <v/>
      </c>
      <c r="E1059" s="147">
        <f>'לקוחות לפי סוכן - מקור חדש'!F118</f>
        <v/>
      </c>
      <c r="F1059" s="147">
        <f>'לקוחות לפי סוכן - מקור חדש'!H118</f>
        <v/>
      </c>
      <c r="G1059" s="148">
        <f>'לקוחות לפי סוכן - מקור חדש'!E118</f>
        <v/>
      </c>
      <c r="H1059" s="148">
        <f>'לקוחות לפי סוכן - מקור חדש'!G118</f>
        <v/>
      </c>
      <c r="I1059" s="149" t="inlineStr">
        <is>
          <t>מכירות 25-26 לפי לקוח-סוכן</t>
        </is>
      </c>
      <c r="J1059" s="149" t="inlineStr">
        <is>
          <t>חדש — לא היה ב-מקור</t>
        </is>
      </c>
    </row>
    <row r="1060" ht="15" customHeight="1" s="82">
      <c r="A1060" s="149">
        <f>'לקוחות לפי סוכן - מקור חדש'!B119</f>
        <v/>
      </c>
      <c r="B1060" s="149">
        <f>'לקוחות לפי סוכן - מקור חדש'!C119</f>
        <v/>
      </c>
      <c r="C1060" s="149" t="n"/>
      <c r="D1060" s="149">
        <f>TRIM('לקוחות לפי סוכן - מקור חדש'!D119)</f>
        <v/>
      </c>
      <c r="E1060" s="147">
        <f>'לקוחות לפי סוכן - מקור חדש'!F119</f>
        <v/>
      </c>
      <c r="F1060" s="147">
        <f>'לקוחות לפי סוכן - מקור חדש'!H119</f>
        <v/>
      </c>
      <c r="G1060" s="148">
        <f>'לקוחות לפי סוכן - מקור חדש'!E119</f>
        <v/>
      </c>
      <c r="H1060" s="148">
        <f>'לקוחות לפי סוכן - מקור חדש'!G119</f>
        <v/>
      </c>
      <c r="I1060" s="149" t="inlineStr">
        <is>
          <t>מכירות 25-26 לפי לקוח-סוכן</t>
        </is>
      </c>
      <c r="J1060" s="149" t="inlineStr">
        <is>
          <t>חדש — לא היה ב-מקור</t>
        </is>
      </c>
    </row>
    <row r="1061" ht="15" customHeight="1" s="82">
      <c r="A1061" s="149">
        <f>'לקוחות לפי סוכן - מקור חדש'!B120</f>
        <v/>
      </c>
      <c r="B1061" s="149">
        <f>'לקוחות לפי סוכן - מקור חדש'!C120</f>
        <v/>
      </c>
      <c r="C1061" s="149" t="n"/>
      <c r="D1061" s="149">
        <f>TRIM('לקוחות לפי סוכן - מקור חדש'!D120)</f>
        <v/>
      </c>
      <c r="E1061" s="147">
        <f>'לקוחות לפי סוכן - מקור חדש'!F120</f>
        <v/>
      </c>
      <c r="F1061" s="147">
        <f>'לקוחות לפי סוכן - מקור חדש'!H120</f>
        <v/>
      </c>
      <c r="G1061" s="148">
        <f>'לקוחות לפי סוכן - מקור חדש'!E120</f>
        <v/>
      </c>
      <c r="H1061" s="148">
        <f>'לקוחות לפי סוכן - מקור חדש'!G120</f>
        <v/>
      </c>
      <c r="I1061" s="149" t="inlineStr">
        <is>
          <t>מכירות 25-26 לפי לקוח-סוכן</t>
        </is>
      </c>
      <c r="J1061" s="149" t="inlineStr">
        <is>
          <t>חדש — לא היה ב-מקור</t>
        </is>
      </c>
    </row>
    <row r="1062" ht="15" customHeight="1" s="82">
      <c r="A1062" s="149">
        <f>'לקוחות לפי סוכן - מקור חדש'!B125</f>
        <v/>
      </c>
      <c r="B1062" s="149">
        <f>'לקוחות לפי סוכן - מקור חדש'!C125</f>
        <v/>
      </c>
      <c r="C1062" s="149" t="n"/>
      <c r="D1062" s="149">
        <f>TRIM('לקוחות לפי סוכן - מקור חדש'!D125)</f>
        <v/>
      </c>
      <c r="E1062" s="147">
        <f>'לקוחות לפי סוכן - מקור חדש'!F125</f>
        <v/>
      </c>
      <c r="F1062" s="147">
        <f>'לקוחות לפי סוכן - מקור חדש'!H125</f>
        <v/>
      </c>
      <c r="G1062" s="148">
        <f>'לקוחות לפי סוכן - מקור חדש'!E125</f>
        <v/>
      </c>
      <c r="H1062" s="148">
        <f>'לקוחות לפי סוכן - מקור חדש'!G125</f>
        <v/>
      </c>
      <c r="I1062" s="149" t="inlineStr">
        <is>
          <t>מכירות 25-26 לפי לקוח-סוכן</t>
        </is>
      </c>
      <c r="J1062" s="149" t="inlineStr">
        <is>
          <t>חדש — לא היה ב-מקור</t>
        </is>
      </c>
    </row>
    <row r="1063" ht="15" customHeight="1" s="82">
      <c r="A1063" s="149">
        <f>'לקוחות לפי סוכן - מקור חדש'!B142</f>
        <v/>
      </c>
      <c r="B1063" s="149">
        <f>'לקוחות לפי סוכן - מקור חדש'!C142</f>
        <v/>
      </c>
      <c r="C1063" s="149" t="n"/>
      <c r="D1063" s="149">
        <f>TRIM('לקוחות לפי סוכן - מקור חדש'!D142)</f>
        <v/>
      </c>
      <c r="E1063" s="147">
        <f>'לקוחות לפי סוכן - מקור חדש'!F142</f>
        <v/>
      </c>
      <c r="F1063" s="147">
        <f>'לקוחות לפי סוכן - מקור חדש'!H142</f>
        <v/>
      </c>
      <c r="G1063" s="148">
        <f>'לקוחות לפי סוכן - מקור חדש'!E142</f>
        <v/>
      </c>
      <c r="H1063" s="148">
        <f>'לקוחות לפי סוכן - מקור חדש'!G142</f>
        <v/>
      </c>
      <c r="I1063" s="149" t="inlineStr">
        <is>
          <t>מכירות 25-26 לפי לקוח-סוכן</t>
        </is>
      </c>
      <c r="J1063" s="149" t="inlineStr">
        <is>
          <t>חדש — לא היה ב-מקור</t>
        </is>
      </c>
    </row>
    <row r="1064" ht="15" customHeight="1" s="82">
      <c r="A1064" s="149">
        <f>'לקוחות לפי סוכן - מקור חדש'!B143</f>
        <v/>
      </c>
      <c r="B1064" s="149">
        <f>'לקוחות לפי סוכן - מקור חדש'!C143</f>
        <v/>
      </c>
      <c r="C1064" s="149" t="n"/>
      <c r="D1064" s="149">
        <f>TRIM('לקוחות לפי סוכן - מקור חדש'!D143)</f>
        <v/>
      </c>
      <c r="E1064" s="147">
        <f>'לקוחות לפי סוכן - מקור חדש'!F143</f>
        <v/>
      </c>
      <c r="F1064" s="147">
        <f>'לקוחות לפי סוכן - מקור חדש'!H143</f>
        <v/>
      </c>
      <c r="G1064" s="148">
        <f>'לקוחות לפי סוכן - מקור חדש'!E143</f>
        <v/>
      </c>
      <c r="H1064" s="148">
        <f>'לקוחות לפי סוכן - מקור חדש'!G143</f>
        <v/>
      </c>
      <c r="I1064" s="149" t="inlineStr">
        <is>
          <t>מכירות 25-26 לפי לקוח-סוכן</t>
        </is>
      </c>
      <c r="J1064" s="149" t="inlineStr">
        <is>
          <t>חדש — לא היה ב-מקור</t>
        </is>
      </c>
    </row>
    <row r="1065" ht="15" customHeight="1" s="82">
      <c r="A1065" s="149">
        <f>'לקוחות לפי סוכן - מקור חדש'!B144</f>
        <v/>
      </c>
      <c r="B1065" s="149">
        <f>'לקוחות לפי סוכן - מקור חדש'!C144</f>
        <v/>
      </c>
      <c r="C1065" s="149" t="n"/>
      <c r="D1065" s="149">
        <f>TRIM('לקוחות לפי סוכן - מקור חדש'!D144)</f>
        <v/>
      </c>
      <c r="E1065" s="147">
        <f>'לקוחות לפי סוכן - מקור חדש'!F144</f>
        <v/>
      </c>
      <c r="F1065" s="147">
        <f>'לקוחות לפי סוכן - מקור חדש'!H144</f>
        <v/>
      </c>
      <c r="G1065" s="148">
        <f>'לקוחות לפי סוכן - מקור חדש'!E144</f>
        <v/>
      </c>
      <c r="H1065" s="148">
        <f>'לקוחות לפי סוכן - מקור חדש'!G144</f>
        <v/>
      </c>
      <c r="I1065" s="149" t="inlineStr">
        <is>
          <t>מכירות 25-26 לפי לקוח-סוכן</t>
        </is>
      </c>
      <c r="J1065" s="149" t="inlineStr">
        <is>
          <t>חדש — לא היה ב-מקור</t>
        </is>
      </c>
    </row>
    <row r="1066" ht="15" customHeight="1" s="82">
      <c r="A1066" s="149">
        <f>'לקוחות לפי סוכן - מקור חדש'!B145</f>
        <v/>
      </c>
      <c r="B1066" s="149">
        <f>'לקוחות לפי סוכן - מקור חדש'!C145</f>
        <v/>
      </c>
      <c r="C1066" s="149" t="n"/>
      <c r="D1066" s="149">
        <f>TRIM('לקוחות לפי סוכן - מקור חדש'!D145)</f>
        <v/>
      </c>
      <c r="E1066" s="147">
        <f>'לקוחות לפי סוכן - מקור חדש'!F145</f>
        <v/>
      </c>
      <c r="F1066" s="147">
        <f>'לקוחות לפי סוכן - מקור חדש'!H145</f>
        <v/>
      </c>
      <c r="G1066" s="148">
        <f>'לקוחות לפי סוכן - מקור חדש'!E145</f>
        <v/>
      </c>
      <c r="H1066" s="148">
        <f>'לקוחות לפי סוכן - מקור חדש'!G145</f>
        <v/>
      </c>
      <c r="I1066" s="149" t="inlineStr">
        <is>
          <t>מכירות 25-26 לפי לקוח-סוכן</t>
        </is>
      </c>
      <c r="J1066" s="149" t="inlineStr">
        <is>
          <t>חדש — לא היה ב-מקור</t>
        </is>
      </c>
    </row>
    <row r="1067" ht="15" customHeight="1" s="82">
      <c r="A1067" s="149">
        <f>'לקוחות לפי סוכן - מקור חדש'!B146</f>
        <v/>
      </c>
      <c r="B1067" s="149">
        <f>'לקוחות לפי סוכן - מקור חדש'!C146</f>
        <v/>
      </c>
      <c r="C1067" s="149" t="n"/>
      <c r="D1067" s="149">
        <f>TRIM('לקוחות לפי סוכן - מקור חדש'!D146)</f>
        <v/>
      </c>
      <c r="E1067" s="147">
        <f>'לקוחות לפי סוכן - מקור חדש'!F146</f>
        <v/>
      </c>
      <c r="F1067" s="147">
        <f>'לקוחות לפי סוכן - מקור חדש'!H146</f>
        <v/>
      </c>
      <c r="G1067" s="148">
        <f>'לקוחות לפי סוכן - מקור חדש'!E146</f>
        <v/>
      </c>
      <c r="H1067" s="148">
        <f>'לקוחות לפי סוכן - מקור חדש'!G146</f>
        <v/>
      </c>
      <c r="I1067" s="149" t="inlineStr">
        <is>
          <t>מכירות 25-26 לפי לקוח-סוכן</t>
        </is>
      </c>
      <c r="J1067" s="149" t="inlineStr">
        <is>
          <t>חדש — לא היה ב-מקור</t>
        </is>
      </c>
    </row>
    <row r="1068" ht="15" customHeight="1" s="82">
      <c r="A1068" s="149">
        <f>'לקוחות לפי סוכן - מקור חדש'!B147</f>
        <v/>
      </c>
      <c r="B1068" s="149">
        <f>'לקוחות לפי סוכן - מקור חדש'!C147</f>
        <v/>
      </c>
      <c r="C1068" s="149" t="n"/>
      <c r="D1068" s="149">
        <f>TRIM('לקוחות לפי סוכן - מקור חדש'!D147)</f>
        <v/>
      </c>
      <c r="E1068" s="147">
        <f>'לקוחות לפי סוכן - מקור חדש'!F147</f>
        <v/>
      </c>
      <c r="F1068" s="147">
        <f>'לקוחות לפי סוכן - מקור חדש'!H147</f>
        <v/>
      </c>
      <c r="G1068" s="148">
        <f>'לקוחות לפי סוכן - מקור חדש'!E147</f>
        <v/>
      </c>
      <c r="H1068" s="148">
        <f>'לקוחות לפי סוכן - מקור חדש'!G147</f>
        <v/>
      </c>
      <c r="I1068" s="149" t="inlineStr">
        <is>
          <t>מכירות 25-26 לפי לקוח-סוכן</t>
        </is>
      </c>
      <c r="J1068" s="149" t="inlineStr">
        <is>
          <t>חדש — לא היה ב-מקור</t>
        </is>
      </c>
    </row>
    <row r="1069" ht="15" customHeight="1" s="82">
      <c r="A1069" s="149">
        <f>'לקוחות לפי סוכן - מקור חדש'!B148</f>
        <v/>
      </c>
      <c r="B1069" s="149">
        <f>'לקוחות לפי סוכן - מקור חדש'!C148</f>
        <v/>
      </c>
      <c r="C1069" s="149" t="n"/>
      <c r="D1069" s="149">
        <f>TRIM('לקוחות לפי סוכן - מקור חדש'!D148)</f>
        <v/>
      </c>
      <c r="E1069" s="147">
        <f>'לקוחות לפי סוכן - מקור חדש'!F148</f>
        <v/>
      </c>
      <c r="F1069" s="147">
        <f>'לקוחות לפי סוכן - מקור חדש'!H148</f>
        <v/>
      </c>
      <c r="G1069" s="148">
        <f>'לקוחות לפי סוכן - מקור חדש'!E148</f>
        <v/>
      </c>
      <c r="H1069" s="148">
        <f>'לקוחות לפי סוכן - מקור חדש'!G148</f>
        <v/>
      </c>
      <c r="I1069" s="149" t="inlineStr">
        <is>
          <t>מכירות 25-26 לפי לקוח-סוכן</t>
        </is>
      </c>
      <c r="J1069" s="149" t="inlineStr">
        <is>
          <t>חדש — לא היה ב-מקור</t>
        </is>
      </c>
    </row>
    <row r="1070" ht="15" customHeight="1" s="82">
      <c r="A1070" s="149">
        <f>'לקוחות לפי סוכן - מקור חדש'!B149</f>
        <v/>
      </c>
      <c r="B1070" s="149">
        <f>'לקוחות לפי סוכן - מקור חדש'!C149</f>
        <v/>
      </c>
      <c r="C1070" s="149" t="n"/>
      <c r="D1070" s="149">
        <f>TRIM('לקוחות לפי סוכן - מקור חדש'!D149)</f>
        <v/>
      </c>
      <c r="E1070" s="147">
        <f>'לקוחות לפי סוכן - מקור חדש'!F149</f>
        <v/>
      </c>
      <c r="F1070" s="147">
        <f>'לקוחות לפי סוכן - מקור חדש'!H149</f>
        <v/>
      </c>
      <c r="G1070" s="148">
        <f>'לקוחות לפי סוכן - מקור חדש'!E149</f>
        <v/>
      </c>
      <c r="H1070" s="148">
        <f>'לקוחות לפי סוכן - מקור חדש'!G149</f>
        <v/>
      </c>
      <c r="I1070" s="149" t="inlineStr">
        <is>
          <t>מכירות 25-26 לפי לקוח-סוכן</t>
        </is>
      </c>
      <c r="J1070" s="149" t="inlineStr">
        <is>
          <t>חדש — לא היה ב-מקור</t>
        </is>
      </c>
    </row>
    <row r="1071" ht="15" customHeight="1" s="82">
      <c r="A1071" s="149">
        <f>'לקוחות לפי סוכן - מקור חדש'!B150</f>
        <v/>
      </c>
      <c r="B1071" s="149">
        <f>'לקוחות לפי סוכן - מקור חדש'!C150</f>
        <v/>
      </c>
      <c r="C1071" s="149" t="n"/>
      <c r="D1071" s="149">
        <f>TRIM('לקוחות לפי סוכן - מקור חדש'!D150)</f>
        <v/>
      </c>
      <c r="E1071" s="147">
        <f>'לקוחות לפי סוכן - מקור חדש'!F150</f>
        <v/>
      </c>
      <c r="F1071" s="147">
        <f>'לקוחות לפי סוכן - מקור חדש'!H150</f>
        <v/>
      </c>
      <c r="G1071" s="148">
        <f>'לקוחות לפי סוכן - מקור חדש'!E150</f>
        <v/>
      </c>
      <c r="H1071" s="148">
        <f>'לקוחות לפי סוכן - מקור חדש'!G150</f>
        <v/>
      </c>
      <c r="I1071" s="149" t="inlineStr">
        <is>
          <t>מכירות 25-26 לפי לקוח-סוכן</t>
        </is>
      </c>
      <c r="J1071" s="149" t="inlineStr">
        <is>
          <t>חדש — לא היה ב-מקור</t>
        </is>
      </c>
    </row>
    <row r="1072" ht="15" customHeight="1" s="82">
      <c r="A1072" s="149">
        <f>'לקוחות לפי סוכן - מקור חדש'!B151</f>
        <v/>
      </c>
      <c r="B1072" s="149">
        <f>'לקוחות לפי סוכן - מקור חדש'!C151</f>
        <v/>
      </c>
      <c r="C1072" s="149" t="n"/>
      <c r="D1072" s="149">
        <f>TRIM('לקוחות לפי סוכן - מקור חדש'!D151)</f>
        <v/>
      </c>
      <c r="E1072" s="147">
        <f>'לקוחות לפי סוכן - מקור חדש'!F151</f>
        <v/>
      </c>
      <c r="F1072" s="147">
        <f>'לקוחות לפי סוכן - מקור חדש'!H151</f>
        <v/>
      </c>
      <c r="G1072" s="148">
        <f>'לקוחות לפי סוכן - מקור חדש'!E151</f>
        <v/>
      </c>
      <c r="H1072" s="148">
        <f>'לקוחות לפי סוכן - מקור חדש'!G151</f>
        <v/>
      </c>
      <c r="I1072" s="149" t="inlineStr">
        <is>
          <t>מכירות 25-26 לפי לקוח-סוכן</t>
        </is>
      </c>
      <c r="J1072" s="149" t="inlineStr">
        <is>
          <t>חדש — לא היה ב-מקור</t>
        </is>
      </c>
    </row>
    <row r="1073" ht="15" customHeight="1" s="82">
      <c r="A1073" s="149">
        <f>'לקוחות לפי סוכן - מקור חדש'!B152</f>
        <v/>
      </c>
      <c r="B1073" s="149">
        <f>'לקוחות לפי סוכן - מקור חדש'!C152</f>
        <v/>
      </c>
      <c r="C1073" s="149" t="n"/>
      <c r="D1073" s="149">
        <f>TRIM('לקוחות לפי סוכן - מקור חדש'!D152)</f>
        <v/>
      </c>
      <c r="E1073" s="147">
        <f>'לקוחות לפי סוכן - מקור חדש'!F152</f>
        <v/>
      </c>
      <c r="F1073" s="147">
        <f>'לקוחות לפי סוכן - מקור חדש'!H152</f>
        <v/>
      </c>
      <c r="G1073" s="148">
        <f>'לקוחות לפי סוכן - מקור חדש'!E152</f>
        <v/>
      </c>
      <c r="H1073" s="148">
        <f>'לקוחות לפי סוכן - מקור חדש'!G152</f>
        <v/>
      </c>
      <c r="I1073" s="149" t="inlineStr">
        <is>
          <t>מכירות 25-26 לפי לקוח-סוכן</t>
        </is>
      </c>
      <c r="J1073" s="149" t="inlineStr">
        <is>
          <t>חדש — לא היה ב-מקור</t>
        </is>
      </c>
    </row>
    <row r="1074" ht="15" customHeight="1" s="82">
      <c r="A1074" s="149">
        <f>'לקוחות לפי סוכן - מקור חדש'!B153</f>
        <v/>
      </c>
      <c r="B1074" s="149">
        <f>'לקוחות לפי סוכן - מקור חדש'!C153</f>
        <v/>
      </c>
      <c r="C1074" s="149" t="n"/>
      <c r="D1074" s="149">
        <f>TRIM('לקוחות לפי סוכן - מקור חדש'!D153)</f>
        <v/>
      </c>
      <c r="E1074" s="147">
        <f>'לקוחות לפי סוכן - מקור חדש'!F153</f>
        <v/>
      </c>
      <c r="F1074" s="147">
        <f>'לקוחות לפי סוכן - מקור חדש'!H153</f>
        <v/>
      </c>
      <c r="G1074" s="148">
        <f>'לקוחות לפי סוכן - מקור חדש'!E153</f>
        <v/>
      </c>
      <c r="H1074" s="148">
        <f>'לקוחות לפי סוכן - מקור חדש'!G153</f>
        <v/>
      </c>
      <c r="I1074" s="149" t="inlineStr">
        <is>
          <t>מכירות 25-26 לפי לקוח-סוכן</t>
        </is>
      </c>
      <c r="J1074" s="149" t="inlineStr">
        <is>
          <t>חדש — לא היה ב-מקור</t>
        </is>
      </c>
    </row>
    <row r="1075" ht="15" customHeight="1" s="82">
      <c r="A1075" s="149">
        <f>'לקוחות לפי סוכן - מקור חדש'!B154</f>
        <v/>
      </c>
      <c r="B1075" s="149">
        <f>'לקוחות לפי סוכן - מקור חדש'!C154</f>
        <v/>
      </c>
      <c r="C1075" s="149" t="n"/>
      <c r="D1075" s="149">
        <f>TRIM('לקוחות לפי סוכן - מקור חדש'!D154)</f>
        <v/>
      </c>
      <c r="E1075" s="147">
        <f>'לקוחות לפי סוכן - מקור חדש'!F154</f>
        <v/>
      </c>
      <c r="F1075" s="147">
        <f>'לקוחות לפי סוכן - מקור חדש'!H154</f>
        <v/>
      </c>
      <c r="G1075" s="148">
        <f>'לקוחות לפי סוכן - מקור חדש'!E154</f>
        <v/>
      </c>
      <c r="H1075" s="148">
        <f>'לקוחות לפי סוכן - מקור חדש'!G154</f>
        <v/>
      </c>
      <c r="I1075" s="149" t="inlineStr">
        <is>
          <t>מכירות 25-26 לפי לקוח-סוכן</t>
        </is>
      </c>
      <c r="J1075" s="149" t="inlineStr">
        <is>
          <t>חדש — לא היה ב-מקור</t>
        </is>
      </c>
    </row>
    <row r="1076" ht="15" customHeight="1" s="82">
      <c r="A1076" s="149">
        <f>'לקוחות לפי סוכן - מקור חדש'!B172</f>
        <v/>
      </c>
      <c r="B1076" s="149">
        <f>'לקוחות לפי סוכן - מקור חדש'!C172</f>
        <v/>
      </c>
      <c r="C1076" s="149" t="n"/>
      <c r="D1076" s="149">
        <f>TRIM('לקוחות לפי סוכן - מקור חדש'!D172)</f>
        <v/>
      </c>
      <c r="E1076" s="147">
        <f>'לקוחות לפי סוכן - מקור חדש'!F172</f>
        <v/>
      </c>
      <c r="F1076" s="147">
        <f>'לקוחות לפי סוכן - מקור חדש'!H172</f>
        <v/>
      </c>
      <c r="G1076" s="148">
        <f>'לקוחות לפי סוכן - מקור חדש'!E172</f>
        <v/>
      </c>
      <c r="H1076" s="148">
        <f>'לקוחות לפי סוכן - מקור חדש'!G172</f>
        <v/>
      </c>
      <c r="I1076" s="149" t="inlineStr">
        <is>
          <t>מכירות 25-26 לפי לקוח-סוכן</t>
        </is>
      </c>
      <c r="J1076" s="149" t="inlineStr">
        <is>
          <t>חדש — לא היה ב-מקור</t>
        </is>
      </c>
    </row>
    <row r="1077" ht="15" customHeight="1" s="82">
      <c r="A1077" s="149">
        <f>'לקוחות לפי סוכן - מקור חדש'!B173</f>
        <v/>
      </c>
      <c r="B1077" s="149">
        <f>'לקוחות לפי סוכן - מקור חדש'!C173</f>
        <v/>
      </c>
      <c r="C1077" s="149" t="n"/>
      <c r="D1077" s="149">
        <f>TRIM('לקוחות לפי סוכן - מקור חדש'!D173)</f>
        <v/>
      </c>
      <c r="E1077" s="147">
        <f>'לקוחות לפי סוכן - מקור חדש'!F173</f>
        <v/>
      </c>
      <c r="F1077" s="147">
        <f>'לקוחות לפי סוכן - מקור חדש'!H173</f>
        <v/>
      </c>
      <c r="G1077" s="148">
        <f>'לקוחות לפי סוכן - מקור חדש'!E173</f>
        <v/>
      </c>
      <c r="H1077" s="148">
        <f>'לקוחות לפי סוכן - מקור חדש'!G173</f>
        <v/>
      </c>
      <c r="I1077" s="149" t="inlineStr">
        <is>
          <t>מכירות 25-26 לפי לקוח-סוכן</t>
        </is>
      </c>
      <c r="J1077" s="149" t="inlineStr">
        <is>
          <t>חדש — לא היה ב-מקור</t>
        </is>
      </c>
    </row>
    <row r="1078" ht="15" customHeight="1" s="82">
      <c r="A1078" s="149">
        <f>'לקוחות לפי סוכן - מקור חדש'!B174</f>
        <v/>
      </c>
      <c r="B1078" s="149">
        <f>'לקוחות לפי סוכן - מקור חדש'!C174</f>
        <v/>
      </c>
      <c r="C1078" s="149" t="n"/>
      <c r="D1078" s="149">
        <f>TRIM('לקוחות לפי סוכן - מקור חדש'!D174)</f>
        <v/>
      </c>
      <c r="E1078" s="147">
        <f>'לקוחות לפי סוכן - מקור חדש'!F174</f>
        <v/>
      </c>
      <c r="F1078" s="147">
        <f>'לקוחות לפי סוכן - מקור חדש'!H174</f>
        <v/>
      </c>
      <c r="G1078" s="148">
        <f>'לקוחות לפי סוכן - מקור חדש'!E174</f>
        <v/>
      </c>
      <c r="H1078" s="148">
        <f>'לקוחות לפי סוכן - מקור חדש'!G174</f>
        <v/>
      </c>
      <c r="I1078" s="149" t="inlineStr">
        <is>
          <t>מכירות 25-26 לפי לקוח-סוכן</t>
        </is>
      </c>
      <c r="J1078" s="149" t="inlineStr">
        <is>
          <t>חדש — לא היה ב-מקור</t>
        </is>
      </c>
    </row>
    <row r="1079" ht="15" customHeight="1" s="82">
      <c r="A1079" s="149">
        <f>'לקוחות לפי סוכן - מקור חדש'!B175</f>
        <v/>
      </c>
      <c r="B1079" s="149">
        <f>'לקוחות לפי סוכן - מקור חדש'!C175</f>
        <v/>
      </c>
      <c r="C1079" s="149" t="n"/>
      <c r="D1079" s="149">
        <f>TRIM('לקוחות לפי סוכן - מקור חדש'!D175)</f>
        <v/>
      </c>
      <c r="E1079" s="147">
        <f>'לקוחות לפי סוכן - מקור חדש'!F175</f>
        <v/>
      </c>
      <c r="F1079" s="147">
        <f>'לקוחות לפי סוכן - מקור חדש'!H175</f>
        <v/>
      </c>
      <c r="G1079" s="148">
        <f>'לקוחות לפי סוכן - מקור חדש'!E175</f>
        <v/>
      </c>
      <c r="H1079" s="148">
        <f>'לקוחות לפי סוכן - מקור חדש'!G175</f>
        <v/>
      </c>
      <c r="I1079" s="149" t="inlineStr">
        <is>
          <t>מכירות 25-26 לפי לקוח-סוכן</t>
        </is>
      </c>
      <c r="J1079" s="149" t="inlineStr">
        <is>
          <t>חדש — לא היה ב-מקור</t>
        </is>
      </c>
    </row>
    <row r="1080" ht="15" customHeight="1" s="82">
      <c r="A1080" s="149">
        <f>'לקוחות לפי סוכן - מקור חדש'!B177</f>
        <v/>
      </c>
      <c r="B1080" s="149">
        <f>'לקוחות לפי סוכן - מקור חדש'!C177</f>
        <v/>
      </c>
      <c r="C1080" s="149" t="n"/>
      <c r="D1080" s="149">
        <f>TRIM('לקוחות לפי סוכן - מקור חדש'!D177)</f>
        <v/>
      </c>
      <c r="E1080" s="147">
        <f>'לקוחות לפי סוכן - מקור חדש'!F177</f>
        <v/>
      </c>
      <c r="F1080" s="147">
        <f>'לקוחות לפי סוכן - מקור חדש'!H177</f>
        <v/>
      </c>
      <c r="G1080" s="148">
        <f>'לקוחות לפי סוכן - מקור חדש'!E177</f>
        <v/>
      </c>
      <c r="H1080" s="148">
        <f>'לקוחות לפי סוכן - מקור חדש'!G177</f>
        <v/>
      </c>
      <c r="I1080" s="149" t="inlineStr">
        <is>
          <t>מכירות 25-26 לפי לקוח-סוכן</t>
        </is>
      </c>
      <c r="J1080" s="149" t="inlineStr">
        <is>
          <t>חדש — לא היה ב-מקור</t>
        </is>
      </c>
    </row>
    <row r="1081" ht="15" customHeight="1" s="82">
      <c r="A1081" s="149">
        <f>'לקוחות לפי סוכן - מקור חדש'!B178</f>
        <v/>
      </c>
      <c r="B1081" s="149">
        <f>'לקוחות לפי סוכן - מקור חדש'!C178</f>
        <v/>
      </c>
      <c r="C1081" s="149" t="n"/>
      <c r="D1081" s="149">
        <f>TRIM('לקוחות לפי סוכן - מקור חדש'!D178)</f>
        <v/>
      </c>
      <c r="E1081" s="147">
        <f>'לקוחות לפי סוכן - מקור חדש'!F178</f>
        <v/>
      </c>
      <c r="F1081" s="147">
        <f>'לקוחות לפי סוכן - מקור חדש'!H178</f>
        <v/>
      </c>
      <c r="G1081" s="148">
        <f>'לקוחות לפי סוכן - מקור חדש'!E178</f>
        <v/>
      </c>
      <c r="H1081" s="148">
        <f>'לקוחות לפי סוכן - מקור חדש'!G178</f>
        <v/>
      </c>
      <c r="I1081" s="149" t="inlineStr">
        <is>
          <t>מכירות 25-26 לפי לקוח-סוכן</t>
        </is>
      </c>
      <c r="J1081" s="149" t="inlineStr">
        <is>
          <t>חדש — לא היה ב-מקור</t>
        </is>
      </c>
    </row>
    <row r="1082" ht="15" customHeight="1" s="82">
      <c r="A1082" s="149">
        <f>'לקוחות לפי סוכן - מקור חדש'!B180</f>
        <v/>
      </c>
      <c r="B1082" s="149">
        <f>'לקוחות לפי סוכן - מקור חדש'!C180</f>
        <v/>
      </c>
      <c r="C1082" s="149" t="n"/>
      <c r="D1082" s="149">
        <f>TRIM('לקוחות לפי סוכן - מקור חדש'!D180)</f>
        <v/>
      </c>
      <c r="E1082" s="147">
        <f>'לקוחות לפי סוכן - מקור חדש'!F180</f>
        <v/>
      </c>
      <c r="F1082" s="147">
        <f>'לקוחות לפי סוכן - מקור חדש'!H180</f>
        <v/>
      </c>
      <c r="G1082" s="148">
        <f>'לקוחות לפי סוכן - מקור חדש'!E180</f>
        <v/>
      </c>
      <c r="H1082" s="148">
        <f>'לקוחות לפי סוכן - מקור חדש'!G180</f>
        <v/>
      </c>
      <c r="I1082" s="149" t="inlineStr">
        <is>
          <t>מכירות 25-26 לפי לקוח-סוכן</t>
        </is>
      </c>
      <c r="J1082" s="149" t="inlineStr">
        <is>
          <t>חדש — לא היה ב-מקור</t>
        </is>
      </c>
    </row>
    <row r="1083" ht="15" customHeight="1" s="82">
      <c r="A1083" s="149">
        <f>'לקוחות לפי סוכן - מקור חדש'!B181</f>
        <v/>
      </c>
      <c r="B1083" s="149">
        <f>'לקוחות לפי סוכן - מקור חדש'!C181</f>
        <v/>
      </c>
      <c r="C1083" s="149" t="n"/>
      <c r="D1083" s="149">
        <f>TRIM('לקוחות לפי סוכן - מקור חדש'!D181)</f>
        <v/>
      </c>
      <c r="E1083" s="147">
        <f>'לקוחות לפי סוכן - מקור חדש'!F181</f>
        <v/>
      </c>
      <c r="F1083" s="147">
        <f>'לקוחות לפי סוכן - מקור חדש'!H181</f>
        <v/>
      </c>
      <c r="G1083" s="148">
        <f>'לקוחות לפי סוכן - מקור חדש'!E181</f>
        <v/>
      </c>
      <c r="H1083" s="148">
        <f>'לקוחות לפי סוכן - מקור חדש'!G181</f>
        <v/>
      </c>
      <c r="I1083" s="149" t="inlineStr">
        <is>
          <t>מכירות 25-26 לפי לקוח-סוכן</t>
        </is>
      </c>
      <c r="J1083" s="149" t="inlineStr">
        <is>
          <t>חדש — לא היה ב-מקור</t>
        </is>
      </c>
    </row>
    <row r="1084" ht="15" customHeight="1" s="82">
      <c r="A1084" s="149">
        <f>'לקוחות לפי סוכן - מקור חדש'!B182</f>
        <v/>
      </c>
      <c r="B1084" s="149">
        <f>'לקוחות לפי סוכן - מקור חדש'!C182</f>
        <v/>
      </c>
      <c r="C1084" s="149" t="n"/>
      <c r="D1084" s="149">
        <f>TRIM('לקוחות לפי סוכן - מקור חדש'!D182)</f>
        <v/>
      </c>
      <c r="E1084" s="147">
        <f>'לקוחות לפי סוכן - מקור חדש'!F182</f>
        <v/>
      </c>
      <c r="F1084" s="147">
        <f>'לקוחות לפי סוכן - מקור חדש'!H182</f>
        <v/>
      </c>
      <c r="G1084" s="148">
        <f>'לקוחות לפי סוכן - מקור חדש'!E182</f>
        <v/>
      </c>
      <c r="H1084" s="148">
        <f>'לקוחות לפי סוכן - מקור חדש'!G182</f>
        <v/>
      </c>
      <c r="I1084" s="149" t="inlineStr">
        <is>
          <t>מכירות 25-26 לפי לקוח-סוכן</t>
        </is>
      </c>
      <c r="J1084" s="149" t="inlineStr">
        <is>
          <t>חדש — לא היה ב-מקור</t>
        </is>
      </c>
    </row>
    <row r="1085" ht="15" customHeight="1" s="82">
      <c r="A1085" s="149">
        <f>'לקוחות לפי סוכן - מקור חדש'!B183</f>
        <v/>
      </c>
      <c r="B1085" s="149">
        <f>'לקוחות לפי סוכן - מקור חדש'!C183</f>
        <v/>
      </c>
      <c r="C1085" s="149" t="n"/>
      <c r="D1085" s="149">
        <f>TRIM('לקוחות לפי סוכן - מקור חדש'!D183)</f>
        <v/>
      </c>
      <c r="E1085" s="147">
        <f>'לקוחות לפי סוכן - מקור חדש'!F183</f>
        <v/>
      </c>
      <c r="F1085" s="147">
        <f>'לקוחות לפי סוכן - מקור חדש'!H183</f>
        <v/>
      </c>
      <c r="G1085" s="148">
        <f>'לקוחות לפי סוכן - מקור חדש'!E183</f>
        <v/>
      </c>
      <c r="H1085" s="148">
        <f>'לקוחות לפי סוכן - מקור חדש'!G183</f>
        <v/>
      </c>
      <c r="I1085" s="149" t="inlineStr">
        <is>
          <t>מכירות 25-26 לפי לקוח-סוכן</t>
        </is>
      </c>
      <c r="J1085" s="149" t="inlineStr">
        <is>
          <t>חדש — לא היה ב-מקור</t>
        </is>
      </c>
    </row>
    <row r="1086" ht="15" customHeight="1" s="82">
      <c r="A1086" s="149">
        <f>'לקוחות לפי סוכן - מקור חדש'!B185</f>
        <v/>
      </c>
      <c r="B1086" s="149">
        <f>'לקוחות לפי סוכן - מקור חדש'!C185</f>
        <v/>
      </c>
      <c r="C1086" s="149" t="n"/>
      <c r="D1086" s="149">
        <f>TRIM('לקוחות לפי סוכן - מקור חדש'!D185)</f>
        <v/>
      </c>
      <c r="E1086" s="147">
        <f>'לקוחות לפי סוכן - מקור חדש'!F185</f>
        <v/>
      </c>
      <c r="F1086" s="147">
        <f>'לקוחות לפי סוכן - מקור חדש'!H185</f>
        <v/>
      </c>
      <c r="G1086" s="148">
        <f>'לקוחות לפי סוכן - מקור חדש'!E185</f>
        <v/>
      </c>
      <c r="H1086" s="148">
        <f>'לקוחות לפי סוכן - מקור חדש'!G185</f>
        <v/>
      </c>
      <c r="I1086" s="149" t="inlineStr">
        <is>
          <t>מכירות 25-26 לפי לקוח-סוכן</t>
        </is>
      </c>
      <c r="J1086" s="149" t="inlineStr">
        <is>
          <t>חדש — לא היה ב-מקור</t>
        </is>
      </c>
    </row>
    <row r="1087" ht="15" customHeight="1" s="82">
      <c r="A1087" s="149">
        <f>'לקוחות לפי סוכן - מקור חדש'!B187</f>
        <v/>
      </c>
      <c r="B1087" s="149">
        <f>'לקוחות לפי סוכן - מקור חדש'!C187</f>
        <v/>
      </c>
      <c r="C1087" s="149" t="n"/>
      <c r="D1087" s="149">
        <f>TRIM('לקוחות לפי סוכן - מקור חדש'!D187)</f>
        <v/>
      </c>
      <c r="E1087" s="147">
        <f>'לקוחות לפי סוכן - מקור חדש'!F187</f>
        <v/>
      </c>
      <c r="F1087" s="147">
        <f>'לקוחות לפי סוכן - מקור חדש'!H187</f>
        <v/>
      </c>
      <c r="G1087" s="148">
        <f>'לקוחות לפי סוכן - מקור חדש'!E187</f>
        <v/>
      </c>
      <c r="H1087" s="148">
        <f>'לקוחות לפי סוכן - מקור חדש'!G187</f>
        <v/>
      </c>
      <c r="I1087" s="149" t="inlineStr">
        <is>
          <t>מכירות 25-26 לפי לקוח-סוכן</t>
        </is>
      </c>
      <c r="J1087" s="149" t="inlineStr">
        <is>
          <t>חדש — לא היה ב-מקור</t>
        </is>
      </c>
    </row>
    <row r="1088" ht="15" customHeight="1" s="82">
      <c r="A1088" s="149">
        <f>'לקוחות לפי סוכן - מקור חדש'!B201</f>
        <v/>
      </c>
      <c r="B1088" s="149">
        <f>'לקוחות לפי סוכן - מקור חדש'!C201</f>
        <v/>
      </c>
      <c r="C1088" s="149" t="n"/>
      <c r="D1088" s="149">
        <f>TRIM('לקוחות לפי סוכן - מקור חדש'!D201)</f>
        <v/>
      </c>
      <c r="E1088" s="147">
        <f>'לקוחות לפי סוכן - מקור חדש'!F201</f>
        <v/>
      </c>
      <c r="F1088" s="147">
        <f>'לקוחות לפי סוכן - מקור חדש'!H201</f>
        <v/>
      </c>
      <c r="G1088" s="148">
        <f>'לקוחות לפי סוכן - מקור חדש'!E201</f>
        <v/>
      </c>
      <c r="H1088" s="148">
        <f>'לקוחות לפי סוכן - מקור חדש'!G201</f>
        <v/>
      </c>
      <c r="I1088" s="149" t="inlineStr">
        <is>
          <t>מכירות 25-26 לפי לקוח-סוכן</t>
        </is>
      </c>
      <c r="J1088" s="149" t="inlineStr">
        <is>
          <t>חדש — לא היה ב-מקור</t>
        </is>
      </c>
    </row>
    <row r="1089" ht="15" customHeight="1" s="82">
      <c r="A1089" s="149">
        <f>'לקוחות לפי סוכן - מקור חדש'!B202</f>
        <v/>
      </c>
      <c r="B1089" s="149">
        <f>'לקוחות לפי סוכן - מקור חדש'!C202</f>
        <v/>
      </c>
      <c r="C1089" s="149" t="n"/>
      <c r="D1089" s="149">
        <f>TRIM('לקוחות לפי סוכן - מקור חדש'!D202)</f>
        <v/>
      </c>
      <c r="E1089" s="147">
        <f>'לקוחות לפי סוכן - מקור חדש'!F202</f>
        <v/>
      </c>
      <c r="F1089" s="147">
        <f>'לקוחות לפי סוכן - מקור חדש'!H202</f>
        <v/>
      </c>
      <c r="G1089" s="148">
        <f>'לקוחות לפי סוכן - מקור חדש'!E202</f>
        <v/>
      </c>
      <c r="H1089" s="148">
        <f>'לקוחות לפי סוכן - מקור חדש'!G202</f>
        <v/>
      </c>
      <c r="I1089" s="149" t="inlineStr">
        <is>
          <t>מכירות 25-26 לפי לקוח-סוכן</t>
        </is>
      </c>
      <c r="J1089" s="149" t="inlineStr">
        <is>
          <t>חדש — לא היה ב-מקור</t>
        </is>
      </c>
    </row>
    <row r="1090" ht="15" customHeight="1" s="82">
      <c r="A1090" s="149">
        <f>'לקוחות לפי סוכן - מקור חדש'!B207</f>
        <v/>
      </c>
      <c r="B1090" s="149">
        <f>'לקוחות לפי סוכן - מקור חדש'!C207</f>
        <v/>
      </c>
      <c r="C1090" s="149" t="n"/>
      <c r="D1090" s="149">
        <f>TRIM('לקוחות לפי סוכן - מקור חדש'!D207)</f>
        <v/>
      </c>
      <c r="E1090" s="147">
        <f>'לקוחות לפי סוכן - מקור חדש'!F207</f>
        <v/>
      </c>
      <c r="F1090" s="147">
        <f>'לקוחות לפי סוכן - מקור חדש'!H207</f>
        <v/>
      </c>
      <c r="G1090" s="148">
        <f>'לקוחות לפי סוכן - מקור חדש'!E207</f>
        <v/>
      </c>
      <c r="H1090" s="148">
        <f>'לקוחות לפי סוכן - מקור חדש'!G207</f>
        <v/>
      </c>
      <c r="I1090" s="149" t="inlineStr">
        <is>
          <t>מכירות 25-26 לפי לקוח-סוכן</t>
        </is>
      </c>
      <c r="J1090" s="149" t="inlineStr">
        <is>
          <t>חדש — לא היה ב-מקור</t>
        </is>
      </c>
    </row>
    <row r="1091" ht="15" customHeight="1" s="82">
      <c r="A1091" s="149">
        <f>'לקוחות לפי סוכן - מקור חדש'!B213</f>
        <v/>
      </c>
      <c r="B1091" s="149">
        <f>'לקוחות לפי סוכן - מקור חדש'!C213</f>
        <v/>
      </c>
      <c r="C1091" s="149" t="n"/>
      <c r="D1091" s="149">
        <f>TRIM('לקוחות לפי סוכן - מקור חדש'!D213)</f>
        <v/>
      </c>
      <c r="E1091" s="147">
        <f>'לקוחות לפי סוכן - מקור חדש'!F213</f>
        <v/>
      </c>
      <c r="F1091" s="147">
        <f>'לקוחות לפי סוכן - מקור חדש'!H213</f>
        <v/>
      </c>
      <c r="G1091" s="148">
        <f>'לקוחות לפי סוכן - מקור חדש'!E213</f>
        <v/>
      </c>
      <c r="H1091" s="148">
        <f>'לקוחות לפי סוכן - מקור חדש'!G213</f>
        <v/>
      </c>
      <c r="I1091" s="149" t="inlineStr">
        <is>
          <t>מכירות 25-26 לפי לקוח-סוכן</t>
        </is>
      </c>
      <c r="J1091" s="149" t="inlineStr">
        <is>
          <t>חדש — לא היה ב-מקור</t>
        </is>
      </c>
    </row>
    <row r="1092" ht="15" customHeight="1" s="82">
      <c r="A1092" s="149">
        <f>'לקוחות לפי סוכן - מקור חדש'!B215</f>
        <v/>
      </c>
      <c r="B1092" s="149">
        <f>'לקוחות לפי סוכן - מקור חדש'!C215</f>
        <v/>
      </c>
      <c r="C1092" s="149" t="n"/>
      <c r="D1092" s="149">
        <f>TRIM('לקוחות לפי סוכן - מקור חדש'!D215)</f>
        <v/>
      </c>
      <c r="E1092" s="147">
        <f>'לקוחות לפי סוכן - מקור חדש'!F215</f>
        <v/>
      </c>
      <c r="F1092" s="147">
        <f>'לקוחות לפי סוכן - מקור חדש'!H215</f>
        <v/>
      </c>
      <c r="G1092" s="148">
        <f>'לקוחות לפי סוכן - מקור חדש'!E215</f>
        <v/>
      </c>
      <c r="H1092" s="148">
        <f>'לקוחות לפי סוכן - מקור חדש'!G215</f>
        <v/>
      </c>
      <c r="I1092" s="149" t="inlineStr">
        <is>
          <t>מכירות 25-26 לפי לקוח-סוכן</t>
        </is>
      </c>
      <c r="J1092" s="149" t="inlineStr">
        <is>
          <t>חדש — לא היה ב-מקור</t>
        </is>
      </c>
    </row>
    <row r="1093" ht="15" customHeight="1" s="82">
      <c r="A1093" s="149">
        <f>'לקוחות לפי סוכן - מקור חדש'!B216</f>
        <v/>
      </c>
      <c r="B1093" s="149">
        <f>'לקוחות לפי סוכן - מקור חדש'!C216</f>
        <v/>
      </c>
      <c r="C1093" s="149" t="n"/>
      <c r="D1093" s="149">
        <f>TRIM('לקוחות לפי סוכן - מקור חדש'!D216)</f>
        <v/>
      </c>
      <c r="E1093" s="147">
        <f>'לקוחות לפי סוכן - מקור חדש'!F216</f>
        <v/>
      </c>
      <c r="F1093" s="147">
        <f>'לקוחות לפי סוכן - מקור חדש'!H216</f>
        <v/>
      </c>
      <c r="G1093" s="148">
        <f>'לקוחות לפי סוכן - מקור חדש'!E216</f>
        <v/>
      </c>
      <c r="H1093" s="148">
        <f>'לקוחות לפי סוכן - מקור חדש'!G216</f>
        <v/>
      </c>
      <c r="I1093" s="149" t="inlineStr">
        <is>
          <t>מכירות 25-26 לפי לקוח-סוכן</t>
        </is>
      </c>
      <c r="J1093" s="149" t="inlineStr">
        <is>
          <t>חדש — לא היה ב-מקור</t>
        </is>
      </c>
    </row>
    <row r="1094" ht="15" customHeight="1" s="82">
      <c r="A1094" s="149">
        <f>'לקוחות לפי סוכן - מקור חדש'!B219</f>
        <v/>
      </c>
      <c r="B1094" s="149">
        <f>'לקוחות לפי סוכן - מקור חדש'!C219</f>
        <v/>
      </c>
      <c r="C1094" s="149" t="n"/>
      <c r="D1094" s="149">
        <f>TRIM('לקוחות לפי סוכן - מקור חדש'!D219)</f>
        <v/>
      </c>
      <c r="E1094" s="147">
        <f>'לקוחות לפי סוכן - מקור חדש'!F219</f>
        <v/>
      </c>
      <c r="F1094" s="147">
        <f>'לקוחות לפי סוכן - מקור חדש'!H219</f>
        <v/>
      </c>
      <c r="G1094" s="148">
        <f>'לקוחות לפי סוכן - מקור חדש'!E219</f>
        <v/>
      </c>
      <c r="H1094" s="148">
        <f>'לקוחות לפי סוכן - מקור חדש'!G219</f>
        <v/>
      </c>
      <c r="I1094" s="149" t="inlineStr">
        <is>
          <t>מכירות 25-26 לפי לקוח-סוכן</t>
        </is>
      </c>
      <c r="J1094" s="149" t="inlineStr">
        <is>
          <t>חדש — לא היה ב-מקור</t>
        </is>
      </c>
    </row>
    <row r="1095" ht="15" customHeight="1" s="82">
      <c r="A1095" s="149">
        <f>'לקוחות לפי סוכן - מקור חדש'!B223</f>
        <v/>
      </c>
      <c r="B1095" s="149">
        <f>'לקוחות לפי סוכן - מקור חדש'!C223</f>
        <v/>
      </c>
      <c r="C1095" s="149" t="n"/>
      <c r="D1095" s="149">
        <f>TRIM('לקוחות לפי סוכן - מקור חדש'!D223)</f>
        <v/>
      </c>
      <c r="E1095" s="147">
        <f>'לקוחות לפי סוכן - מקור חדש'!F223</f>
        <v/>
      </c>
      <c r="F1095" s="147">
        <f>'לקוחות לפי סוכן - מקור חדש'!H223</f>
        <v/>
      </c>
      <c r="G1095" s="148">
        <f>'לקוחות לפי סוכן - מקור חדש'!E223</f>
        <v/>
      </c>
      <c r="H1095" s="148">
        <f>'לקוחות לפי סוכן - מקור חדש'!G223</f>
        <v/>
      </c>
      <c r="I1095" s="149" t="inlineStr">
        <is>
          <t>מכירות 25-26 לפי לקוח-סוכן</t>
        </is>
      </c>
      <c r="J1095" s="149" t="inlineStr">
        <is>
          <t>חדש — לא היה ב-מקור</t>
        </is>
      </c>
    </row>
    <row r="1096" ht="15" customHeight="1" s="82">
      <c r="A1096" s="149">
        <f>'לקוחות לפי סוכן - מקור חדש'!B228</f>
        <v/>
      </c>
      <c r="B1096" s="149">
        <f>'לקוחות לפי סוכן - מקור חדש'!C228</f>
        <v/>
      </c>
      <c r="C1096" s="149" t="n"/>
      <c r="D1096" s="149">
        <f>TRIM('לקוחות לפי סוכן - מקור חדש'!D228)</f>
        <v/>
      </c>
      <c r="E1096" s="147">
        <f>'לקוחות לפי סוכן - מקור חדש'!F228</f>
        <v/>
      </c>
      <c r="F1096" s="147">
        <f>'לקוחות לפי סוכן - מקור חדש'!H228</f>
        <v/>
      </c>
      <c r="G1096" s="148">
        <f>'לקוחות לפי סוכן - מקור חדש'!E228</f>
        <v/>
      </c>
      <c r="H1096" s="148">
        <f>'לקוחות לפי סוכן - מקור חדש'!G228</f>
        <v/>
      </c>
      <c r="I1096" s="149" t="inlineStr">
        <is>
          <t>מכירות 25-26 לפי לקוח-סוכן</t>
        </is>
      </c>
      <c r="J1096" s="149" t="inlineStr">
        <is>
          <t>חדש — לא היה ב-מקור</t>
        </is>
      </c>
    </row>
    <row r="1097" ht="15" customHeight="1" s="82">
      <c r="A1097" s="149">
        <f>'לקוחות לפי סוכן - מקור חדש'!B234</f>
        <v/>
      </c>
      <c r="B1097" s="149">
        <f>'לקוחות לפי סוכן - מקור חדש'!C234</f>
        <v/>
      </c>
      <c r="C1097" s="149" t="n"/>
      <c r="D1097" s="149">
        <f>TRIM('לקוחות לפי סוכן - מקור חדש'!D234)</f>
        <v/>
      </c>
      <c r="E1097" s="147">
        <f>'לקוחות לפי סוכן - מקור חדש'!F234</f>
        <v/>
      </c>
      <c r="F1097" s="147">
        <f>'לקוחות לפי סוכן - מקור חדש'!H234</f>
        <v/>
      </c>
      <c r="G1097" s="148">
        <f>'לקוחות לפי סוכן - מקור חדש'!E234</f>
        <v/>
      </c>
      <c r="H1097" s="148">
        <f>'לקוחות לפי סוכן - מקור חדש'!G234</f>
        <v/>
      </c>
      <c r="I1097" s="149" t="inlineStr">
        <is>
          <t>מכירות 25-26 לפי לקוח-סוכן</t>
        </is>
      </c>
      <c r="J1097" s="149" t="inlineStr">
        <is>
          <t>חדש — לא היה ב-מקור</t>
        </is>
      </c>
    </row>
    <row r="1098" ht="15" customHeight="1" s="82">
      <c r="A1098" s="149">
        <f>'לקוחות לפי סוכן - מקור חדש'!B235</f>
        <v/>
      </c>
      <c r="B1098" s="149">
        <f>'לקוחות לפי סוכן - מקור חדש'!C235</f>
        <v/>
      </c>
      <c r="C1098" s="149" t="n"/>
      <c r="D1098" s="149">
        <f>TRIM('לקוחות לפי סוכן - מקור חדש'!D235)</f>
        <v/>
      </c>
      <c r="E1098" s="147">
        <f>'לקוחות לפי סוכן - מקור חדש'!F235</f>
        <v/>
      </c>
      <c r="F1098" s="147">
        <f>'לקוחות לפי סוכן - מקור חדש'!H235</f>
        <v/>
      </c>
      <c r="G1098" s="148">
        <f>'לקוחות לפי סוכן - מקור חדש'!E235</f>
        <v/>
      </c>
      <c r="H1098" s="148">
        <f>'לקוחות לפי סוכן - מקור חדש'!G235</f>
        <v/>
      </c>
      <c r="I1098" s="149" t="inlineStr">
        <is>
          <t>מכירות 25-26 לפי לקוח-סוכן</t>
        </is>
      </c>
      <c r="J1098" s="149" t="inlineStr">
        <is>
          <t>חדש — לא היה ב-מקור</t>
        </is>
      </c>
    </row>
    <row r="1099" ht="15" customHeight="1" s="82">
      <c r="A1099" s="149">
        <f>'לקוחות לפי סוכן - מקור חדש'!B238</f>
        <v/>
      </c>
      <c r="B1099" s="149">
        <f>'לקוחות לפי סוכן - מקור חדש'!C238</f>
        <v/>
      </c>
      <c r="C1099" s="149" t="n"/>
      <c r="D1099" s="149">
        <f>TRIM('לקוחות לפי סוכן - מקור חדש'!D238)</f>
        <v/>
      </c>
      <c r="E1099" s="147">
        <f>'לקוחות לפי סוכן - מקור חדש'!F238</f>
        <v/>
      </c>
      <c r="F1099" s="147">
        <f>'לקוחות לפי סוכן - מקור חדש'!H238</f>
        <v/>
      </c>
      <c r="G1099" s="148">
        <f>'לקוחות לפי סוכן - מקור חדש'!E238</f>
        <v/>
      </c>
      <c r="H1099" s="148">
        <f>'לקוחות לפי סוכן - מקור חדש'!G238</f>
        <v/>
      </c>
      <c r="I1099" s="149" t="inlineStr">
        <is>
          <t>מכירות 25-26 לפי לקוח-סוכן</t>
        </is>
      </c>
      <c r="J1099" s="149" t="inlineStr">
        <is>
          <t>חדש — לא היה ב-מקור</t>
        </is>
      </c>
    </row>
    <row r="1100" ht="15" customHeight="1" s="82">
      <c r="A1100" s="149">
        <f>'לקוחות לפי סוכן - מקור חדש'!B241</f>
        <v/>
      </c>
      <c r="B1100" s="149">
        <f>'לקוחות לפי סוכן - מקור חדש'!C241</f>
        <v/>
      </c>
      <c r="C1100" s="149" t="n"/>
      <c r="D1100" s="149">
        <f>TRIM('לקוחות לפי סוכן - מקור חדש'!D241)</f>
        <v/>
      </c>
      <c r="E1100" s="147">
        <f>'לקוחות לפי סוכן - מקור חדש'!F241</f>
        <v/>
      </c>
      <c r="F1100" s="147">
        <f>'לקוחות לפי סוכן - מקור חדש'!H241</f>
        <v/>
      </c>
      <c r="G1100" s="148">
        <f>'לקוחות לפי סוכן - מקור חדש'!E241</f>
        <v/>
      </c>
      <c r="H1100" s="148">
        <f>'לקוחות לפי סוכן - מקור חדש'!G241</f>
        <v/>
      </c>
      <c r="I1100" s="149" t="inlineStr">
        <is>
          <t>מכירות 25-26 לפי לקוח-סוכן</t>
        </is>
      </c>
      <c r="J1100" s="149" t="inlineStr">
        <is>
          <t>חדש — לא היה ב-מקור</t>
        </is>
      </c>
    </row>
    <row r="1101" ht="15" customHeight="1" s="82">
      <c r="A1101" s="149">
        <f>'לקוחות לפי סוכן - מקור חדש'!B246</f>
        <v/>
      </c>
      <c r="B1101" s="149">
        <f>'לקוחות לפי סוכן - מקור חדש'!C246</f>
        <v/>
      </c>
      <c r="C1101" s="149" t="n"/>
      <c r="D1101" s="149">
        <f>TRIM('לקוחות לפי סוכן - מקור חדש'!D246)</f>
        <v/>
      </c>
      <c r="E1101" s="147">
        <f>'לקוחות לפי סוכן - מקור חדש'!F246</f>
        <v/>
      </c>
      <c r="F1101" s="147">
        <f>'לקוחות לפי סוכן - מקור חדש'!H246</f>
        <v/>
      </c>
      <c r="G1101" s="148">
        <f>'לקוחות לפי סוכן - מקור חדש'!E246</f>
        <v/>
      </c>
      <c r="H1101" s="148">
        <f>'לקוחות לפי סוכן - מקור חדש'!G246</f>
        <v/>
      </c>
      <c r="I1101" s="149" t="inlineStr">
        <is>
          <t>מכירות 25-26 לפי לקוח-סוכן</t>
        </is>
      </c>
      <c r="J1101" s="149" t="inlineStr">
        <is>
          <t>חדש — לא היה ב-מקור</t>
        </is>
      </c>
    </row>
    <row r="1102" ht="15" customHeight="1" s="82">
      <c r="A1102" s="149">
        <f>'לקוחות לפי סוכן - מקור חדש'!B247</f>
        <v/>
      </c>
      <c r="B1102" s="149">
        <f>'לקוחות לפי סוכן - מקור חדש'!C247</f>
        <v/>
      </c>
      <c r="C1102" s="149" t="n"/>
      <c r="D1102" s="149">
        <f>TRIM('לקוחות לפי סוכן - מקור חדש'!D247)</f>
        <v/>
      </c>
      <c r="E1102" s="147">
        <f>'לקוחות לפי סוכן - מקור חדש'!F247</f>
        <v/>
      </c>
      <c r="F1102" s="147">
        <f>'לקוחות לפי סוכן - מקור חדש'!H247</f>
        <v/>
      </c>
      <c r="G1102" s="148">
        <f>'לקוחות לפי סוכן - מקור חדש'!E247</f>
        <v/>
      </c>
      <c r="H1102" s="148">
        <f>'לקוחות לפי סוכן - מקור חדש'!G247</f>
        <v/>
      </c>
      <c r="I1102" s="149" t="inlineStr">
        <is>
          <t>מכירות 25-26 לפי לקוח-סוכן</t>
        </is>
      </c>
      <c r="J1102" s="149" t="inlineStr">
        <is>
          <t>חדש — לא היה ב-מקור</t>
        </is>
      </c>
    </row>
    <row r="1103" ht="15" customHeight="1" s="82">
      <c r="A1103" s="149">
        <f>'לקוחות לפי סוכן - מקור חדש'!B255</f>
        <v/>
      </c>
      <c r="B1103" s="149">
        <f>'לקוחות לפי סוכן - מקור חדש'!C255</f>
        <v/>
      </c>
      <c r="C1103" s="149" t="n"/>
      <c r="D1103" s="149">
        <f>TRIM('לקוחות לפי סוכן - מקור חדש'!D255)</f>
        <v/>
      </c>
      <c r="E1103" s="147">
        <f>'לקוחות לפי סוכן - מקור חדש'!F255</f>
        <v/>
      </c>
      <c r="F1103" s="147">
        <f>'לקוחות לפי סוכן - מקור חדש'!H255</f>
        <v/>
      </c>
      <c r="G1103" s="148">
        <f>'לקוחות לפי סוכן - מקור חדש'!E255</f>
        <v/>
      </c>
      <c r="H1103" s="148">
        <f>'לקוחות לפי סוכן - מקור חדש'!G255</f>
        <v/>
      </c>
      <c r="I1103" s="149" t="inlineStr">
        <is>
          <t>מכירות 25-26 לפי לקוח-סוכן</t>
        </is>
      </c>
      <c r="J1103" s="149" t="inlineStr">
        <is>
          <t>חדש — לא היה ב-מקור</t>
        </is>
      </c>
    </row>
    <row r="1104" ht="15" customHeight="1" s="82">
      <c r="A1104" s="149">
        <f>'לקוחות לפי סוכן - מקור חדש'!B269</f>
        <v/>
      </c>
      <c r="B1104" s="149">
        <f>'לקוחות לפי סוכן - מקור חדש'!C269</f>
        <v/>
      </c>
      <c r="C1104" s="149" t="n"/>
      <c r="D1104" s="149">
        <f>TRIM('לקוחות לפי סוכן - מקור חדש'!D269)</f>
        <v/>
      </c>
      <c r="E1104" s="147">
        <f>'לקוחות לפי סוכן - מקור חדש'!F269</f>
        <v/>
      </c>
      <c r="F1104" s="147">
        <f>'לקוחות לפי סוכן - מקור חדש'!H269</f>
        <v/>
      </c>
      <c r="G1104" s="148">
        <f>'לקוחות לפי סוכן - מקור חדש'!E269</f>
        <v/>
      </c>
      <c r="H1104" s="148">
        <f>'לקוחות לפי סוכן - מקור חדש'!G269</f>
        <v/>
      </c>
      <c r="I1104" s="149" t="inlineStr">
        <is>
          <t>מכירות 25-26 לפי לקוח-סוכן</t>
        </is>
      </c>
      <c r="J1104" s="149" t="inlineStr">
        <is>
          <t>חדש — לא היה ב-מקור</t>
        </is>
      </c>
    </row>
    <row r="1105" ht="15" customHeight="1" s="82">
      <c r="A1105" s="149">
        <f>'לקוחות לפי סוכן - מקור חדש'!B270</f>
        <v/>
      </c>
      <c r="B1105" s="149">
        <f>'לקוחות לפי סוכן - מקור חדש'!C270</f>
        <v/>
      </c>
      <c r="C1105" s="149" t="n"/>
      <c r="D1105" s="149">
        <f>TRIM('לקוחות לפי סוכן - מקור חדש'!D270)</f>
        <v/>
      </c>
      <c r="E1105" s="147">
        <f>'לקוחות לפי סוכן - מקור חדש'!F270</f>
        <v/>
      </c>
      <c r="F1105" s="147">
        <f>'לקוחות לפי סוכן - מקור חדש'!H270</f>
        <v/>
      </c>
      <c r="G1105" s="148">
        <f>'לקוחות לפי סוכן - מקור חדש'!E270</f>
        <v/>
      </c>
      <c r="H1105" s="148">
        <f>'לקוחות לפי סוכן - מקור חדש'!G270</f>
        <v/>
      </c>
      <c r="I1105" s="149" t="inlineStr">
        <is>
          <t>מכירות 25-26 לפי לקוח-סוכן</t>
        </is>
      </c>
      <c r="J1105" s="149" t="inlineStr">
        <is>
          <t>חדש — לא היה ב-מקור</t>
        </is>
      </c>
    </row>
    <row r="1106" ht="15" customHeight="1" s="82">
      <c r="A1106" s="149">
        <f>'לקוחות לפי סוכן - מקור חדש'!B271</f>
        <v/>
      </c>
      <c r="B1106" s="149">
        <f>'לקוחות לפי סוכן - מקור חדש'!C271</f>
        <v/>
      </c>
      <c r="C1106" s="149" t="n"/>
      <c r="D1106" s="149">
        <f>TRIM('לקוחות לפי סוכן - מקור חדש'!D271)</f>
        <v/>
      </c>
      <c r="E1106" s="147">
        <f>'לקוחות לפי סוכן - מקור חדש'!F271</f>
        <v/>
      </c>
      <c r="F1106" s="147">
        <f>'לקוחות לפי סוכן - מקור חדש'!H271</f>
        <v/>
      </c>
      <c r="G1106" s="148">
        <f>'לקוחות לפי סוכן - מקור חדש'!E271</f>
        <v/>
      </c>
      <c r="H1106" s="148">
        <f>'לקוחות לפי סוכן - מקור חדש'!G271</f>
        <v/>
      </c>
      <c r="I1106" s="149" t="inlineStr">
        <is>
          <t>מכירות 25-26 לפי לקוח-סוכן</t>
        </is>
      </c>
      <c r="J1106" s="149" t="inlineStr">
        <is>
          <t>חדש — לא היה ב-מקור</t>
        </is>
      </c>
    </row>
    <row r="1107" ht="15" customHeight="1" s="82">
      <c r="A1107" s="149">
        <f>'לקוחות לפי סוכן - מקור חדש'!B272</f>
        <v/>
      </c>
      <c r="B1107" s="149">
        <f>'לקוחות לפי סוכן - מקור חדש'!C272</f>
        <v/>
      </c>
      <c r="C1107" s="149" t="n"/>
      <c r="D1107" s="149">
        <f>TRIM('לקוחות לפי סוכן - מקור חדש'!D272)</f>
        <v/>
      </c>
      <c r="E1107" s="147">
        <f>'לקוחות לפי סוכן - מקור חדש'!F272</f>
        <v/>
      </c>
      <c r="F1107" s="147">
        <f>'לקוחות לפי סוכן - מקור חדש'!H272</f>
        <v/>
      </c>
      <c r="G1107" s="148">
        <f>'לקוחות לפי סוכן - מקור חדש'!E272</f>
        <v/>
      </c>
      <c r="H1107" s="148">
        <f>'לקוחות לפי סוכן - מקור חדש'!G272</f>
        <v/>
      </c>
      <c r="I1107" s="149" t="inlineStr">
        <is>
          <t>מכירות 25-26 לפי לקוח-סוכן</t>
        </is>
      </c>
      <c r="J1107" s="149" t="inlineStr">
        <is>
          <t>חדש — לא היה ב-מקור</t>
        </is>
      </c>
    </row>
    <row r="1108" ht="15" customHeight="1" s="82">
      <c r="A1108" s="149">
        <f>'לקוחות לפי סוכן - מקור חדש'!B273</f>
        <v/>
      </c>
      <c r="B1108" s="149">
        <f>'לקוחות לפי סוכן - מקור חדש'!C273</f>
        <v/>
      </c>
      <c r="C1108" s="149" t="n"/>
      <c r="D1108" s="149">
        <f>TRIM('לקוחות לפי סוכן - מקור חדש'!D273)</f>
        <v/>
      </c>
      <c r="E1108" s="147">
        <f>'לקוחות לפי סוכן - מקור חדש'!F273</f>
        <v/>
      </c>
      <c r="F1108" s="147">
        <f>'לקוחות לפי סוכן - מקור חדש'!H273</f>
        <v/>
      </c>
      <c r="G1108" s="148">
        <f>'לקוחות לפי סוכן - מקור חדש'!E273</f>
        <v/>
      </c>
      <c r="H1108" s="148">
        <f>'לקוחות לפי סוכן - מקור חדש'!G273</f>
        <v/>
      </c>
      <c r="I1108" s="149" t="inlineStr">
        <is>
          <t>מכירות 25-26 לפי לקוח-סוכן</t>
        </is>
      </c>
      <c r="J1108" s="149" t="inlineStr">
        <is>
          <t>חדש — לא היה ב-מקור</t>
        </is>
      </c>
    </row>
    <row r="1109" ht="15" customHeight="1" s="82">
      <c r="A1109" s="149">
        <f>'לקוחות לפי סוכן - מקור חדש'!B285</f>
        <v/>
      </c>
      <c r="B1109" s="149">
        <f>'לקוחות לפי סוכן - מקור חדש'!C285</f>
        <v/>
      </c>
      <c r="C1109" s="149" t="n"/>
      <c r="D1109" s="149">
        <f>TRIM('לקוחות לפי סוכן - מקור חדש'!D285)</f>
        <v/>
      </c>
      <c r="E1109" s="147">
        <f>'לקוחות לפי סוכן - מקור חדש'!F285</f>
        <v/>
      </c>
      <c r="F1109" s="147">
        <f>'לקוחות לפי סוכן - מקור חדש'!H285</f>
        <v/>
      </c>
      <c r="G1109" s="148">
        <f>'לקוחות לפי סוכן - מקור חדש'!E285</f>
        <v/>
      </c>
      <c r="H1109" s="148">
        <f>'לקוחות לפי סוכן - מקור חדש'!G285</f>
        <v/>
      </c>
      <c r="I1109" s="149" t="inlineStr">
        <is>
          <t>מכירות 25-26 לפי לקוח-סוכן</t>
        </is>
      </c>
      <c r="J1109" s="149" t="inlineStr">
        <is>
          <t>חדש — לא היה ב-מקור</t>
        </is>
      </c>
    </row>
    <row r="1110" ht="15" customHeight="1" s="82">
      <c r="A1110" s="149">
        <f>'לקוחות לפי סוכן - מקור חדש'!B292</f>
        <v/>
      </c>
      <c r="B1110" s="149">
        <f>'לקוחות לפי סוכן - מקור חדש'!C292</f>
        <v/>
      </c>
      <c r="C1110" s="149" t="n"/>
      <c r="D1110" s="149">
        <f>TRIM('לקוחות לפי סוכן - מקור חדש'!D292)</f>
        <v/>
      </c>
      <c r="E1110" s="147">
        <f>'לקוחות לפי סוכן - מקור חדש'!F292</f>
        <v/>
      </c>
      <c r="F1110" s="147">
        <f>'לקוחות לפי סוכן - מקור חדש'!H292</f>
        <v/>
      </c>
      <c r="G1110" s="148">
        <f>'לקוחות לפי סוכן - מקור חדש'!E292</f>
        <v/>
      </c>
      <c r="H1110" s="148">
        <f>'לקוחות לפי סוכן - מקור חדש'!G292</f>
        <v/>
      </c>
      <c r="I1110" s="149" t="inlineStr">
        <is>
          <t>מכירות 25-26 לפי לקוח-סוכן</t>
        </is>
      </c>
      <c r="J1110" s="149" t="inlineStr">
        <is>
          <t>חדש — לא היה ב-מקור</t>
        </is>
      </c>
    </row>
    <row r="1111" ht="15" customHeight="1" s="82">
      <c r="A1111" s="149">
        <f>'לקוחות לפי סוכן - מקור חדש'!B293</f>
        <v/>
      </c>
      <c r="B1111" s="149">
        <f>'לקוחות לפי סוכן - מקור חדש'!C293</f>
        <v/>
      </c>
      <c r="C1111" s="149" t="n"/>
      <c r="D1111" s="149">
        <f>TRIM('לקוחות לפי סוכן - מקור חדש'!D293)</f>
        <v/>
      </c>
      <c r="E1111" s="147">
        <f>'לקוחות לפי סוכן - מקור חדש'!F293</f>
        <v/>
      </c>
      <c r="F1111" s="147">
        <f>'לקוחות לפי סוכן - מקור חדש'!H293</f>
        <v/>
      </c>
      <c r="G1111" s="148">
        <f>'לקוחות לפי סוכן - מקור חדש'!E293</f>
        <v/>
      </c>
      <c r="H1111" s="148">
        <f>'לקוחות לפי סוכן - מקור חדש'!G293</f>
        <v/>
      </c>
      <c r="I1111" s="149" t="inlineStr">
        <is>
          <t>מכירות 25-26 לפי לקוח-סוכן</t>
        </is>
      </c>
      <c r="J1111" s="149" t="inlineStr">
        <is>
          <t>חדש — לא היה ב-מקור</t>
        </is>
      </c>
    </row>
    <row r="1112" ht="15" customHeight="1" s="82">
      <c r="A1112" s="149">
        <f>'לקוחות לפי סוכן - מקור חדש'!B294</f>
        <v/>
      </c>
      <c r="B1112" s="149">
        <f>'לקוחות לפי סוכן - מקור חדש'!C294</f>
        <v/>
      </c>
      <c r="C1112" s="149" t="n"/>
      <c r="D1112" s="149">
        <f>TRIM('לקוחות לפי סוכן - מקור חדש'!D294)</f>
        <v/>
      </c>
      <c r="E1112" s="147">
        <f>'לקוחות לפי סוכן - מקור חדש'!F294</f>
        <v/>
      </c>
      <c r="F1112" s="147">
        <f>'לקוחות לפי סוכן - מקור חדש'!H294</f>
        <v/>
      </c>
      <c r="G1112" s="148">
        <f>'לקוחות לפי סוכן - מקור חדש'!E294</f>
        <v/>
      </c>
      <c r="H1112" s="148">
        <f>'לקוחות לפי סוכן - מקור חדש'!G294</f>
        <v/>
      </c>
      <c r="I1112" s="149" t="inlineStr">
        <is>
          <t>מכירות 25-26 לפי לקוח-סוכן</t>
        </is>
      </c>
      <c r="J1112" s="149" t="inlineStr">
        <is>
          <t>חדש — לא היה ב-מקור</t>
        </is>
      </c>
    </row>
    <row r="1113" ht="15" customHeight="1" s="82">
      <c r="A1113" s="149">
        <f>'לקוחות לפי סוכן - מקור חדש'!B295</f>
        <v/>
      </c>
      <c r="B1113" s="149">
        <f>'לקוחות לפי סוכן - מקור חדש'!C295</f>
        <v/>
      </c>
      <c r="C1113" s="149" t="n"/>
      <c r="D1113" s="149">
        <f>TRIM('לקוחות לפי סוכן - מקור חדש'!D295)</f>
        <v/>
      </c>
      <c r="E1113" s="147">
        <f>'לקוחות לפי סוכן - מקור חדש'!F295</f>
        <v/>
      </c>
      <c r="F1113" s="147">
        <f>'לקוחות לפי סוכן - מקור חדש'!H295</f>
        <v/>
      </c>
      <c r="G1113" s="148">
        <f>'לקוחות לפי סוכן - מקור חדש'!E295</f>
        <v/>
      </c>
      <c r="H1113" s="148">
        <f>'לקוחות לפי סוכן - מקור חדש'!G295</f>
        <v/>
      </c>
      <c r="I1113" s="149" t="inlineStr">
        <is>
          <t>מכירות 25-26 לפי לקוח-סוכן</t>
        </is>
      </c>
      <c r="J1113" s="149" t="inlineStr">
        <is>
          <t>חדש — לא היה ב-מקור</t>
        </is>
      </c>
    </row>
    <row r="1114" ht="15" customHeight="1" s="82">
      <c r="A1114" s="149">
        <f>'לקוחות לפי סוכן - מקור חדש'!B296</f>
        <v/>
      </c>
      <c r="B1114" s="149">
        <f>'לקוחות לפי סוכן - מקור חדש'!C296</f>
        <v/>
      </c>
      <c r="C1114" s="149" t="n"/>
      <c r="D1114" s="149">
        <f>TRIM('לקוחות לפי סוכן - מקור חדש'!D296)</f>
        <v/>
      </c>
      <c r="E1114" s="147">
        <f>'לקוחות לפי סוכן - מקור חדש'!F296</f>
        <v/>
      </c>
      <c r="F1114" s="147">
        <f>'לקוחות לפי סוכן - מקור חדש'!H296</f>
        <v/>
      </c>
      <c r="G1114" s="148">
        <f>'לקוחות לפי סוכן - מקור חדש'!E296</f>
        <v/>
      </c>
      <c r="H1114" s="148">
        <f>'לקוחות לפי סוכן - מקור חדש'!G296</f>
        <v/>
      </c>
      <c r="I1114" s="149" t="inlineStr">
        <is>
          <t>מכירות 25-26 לפי לקוח-סוכן</t>
        </is>
      </c>
      <c r="J1114" s="149" t="inlineStr">
        <is>
          <t>חדש — לא היה ב-מקור</t>
        </is>
      </c>
    </row>
    <row r="1115" ht="15" customHeight="1" s="82">
      <c r="A1115" s="149">
        <f>'לקוחות לפי סוכן - מקור חדש'!B297</f>
        <v/>
      </c>
      <c r="B1115" s="149">
        <f>'לקוחות לפי סוכן - מקור חדש'!C297</f>
        <v/>
      </c>
      <c r="C1115" s="149" t="n"/>
      <c r="D1115" s="149">
        <f>TRIM('לקוחות לפי סוכן - מקור חדש'!D297)</f>
        <v/>
      </c>
      <c r="E1115" s="147">
        <f>'לקוחות לפי סוכן - מקור חדש'!F297</f>
        <v/>
      </c>
      <c r="F1115" s="147">
        <f>'לקוחות לפי סוכן - מקור חדש'!H297</f>
        <v/>
      </c>
      <c r="G1115" s="148">
        <f>'לקוחות לפי סוכן - מקור חדש'!E297</f>
        <v/>
      </c>
      <c r="H1115" s="148">
        <f>'לקוחות לפי סוכן - מקור חדש'!G297</f>
        <v/>
      </c>
      <c r="I1115" s="149" t="inlineStr">
        <is>
          <t>מכירות 25-26 לפי לקוח-סוכן</t>
        </is>
      </c>
      <c r="J1115" s="149" t="inlineStr">
        <is>
          <t>חדש — לא היה ב-מקור</t>
        </is>
      </c>
    </row>
    <row r="1116" ht="15" customHeight="1" s="82">
      <c r="A1116" s="149">
        <f>'לקוחות לפי סוכן - מקור חדש'!B365</f>
        <v/>
      </c>
      <c r="B1116" s="149">
        <f>'לקוחות לפי סוכן - מקור חדש'!C365</f>
        <v/>
      </c>
      <c r="C1116" s="149" t="n"/>
      <c r="D1116" s="149">
        <f>TRIM('לקוחות לפי סוכן - מקור חדש'!D365)</f>
        <v/>
      </c>
      <c r="E1116" s="147">
        <f>'לקוחות לפי סוכן - מקור חדש'!F365</f>
        <v/>
      </c>
      <c r="F1116" s="147">
        <f>'לקוחות לפי סוכן - מקור חדש'!H365</f>
        <v/>
      </c>
      <c r="G1116" s="148">
        <f>'לקוחות לפי סוכן - מקור חדש'!E365</f>
        <v/>
      </c>
      <c r="H1116" s="148">
        <f>'לקוחות לפי סוכן - מקור חדש'!G365</f>
        <v/>
      </c>
      <c r="I1116" s="149" t="inlineStr">
        <is>
          <t>מכירות 25-26 לפי לקוח-סוכן</t>
        </is>
      </c>
      <c r="J1116" s="149" t="inlineStr">
        <is>
          <t>חדש — לא היה ב-מקור</t>
        </is>
      </c>
    </row>
    <row r="1117" ht="15" customHeight="1" s="82">
      <c r="A1117" s="149">
        <f>'לקוחות לפי סוכן - מקור חדש'!B391</f>
        <v/>
      </c>
      <c r="B1117" s="149">
        <f>'לקוחות לפי סוכן - מקור חדש'!C391</f>
        <v/>
      </c>
      <c r="C1117" s="149" t="n"/>
      <c r="D1117" s="149">
        <f>TRIM('לקוחות לפי סוכן - מקור חדש'!D391)</f>
        <v/>
      </c>
      <c r="E1117" s="147">
        <f>'לקוחות לפי סוכן - מקור חדש'!F391</f>
        <v/>
      </c>
      <c r="F1117" s="147">
        <f>'לקוחות לפי סוכן - מקור חדש'!H391</f>
        <v/>
      </c>
      <c r="G1117" s="148">
        <f>'לקוחות לפי סוכן - מקור חדש'!E391</f>
        <v/>
      </c>
      <c r="H1117" s="148">
        <f>'לקוחות לפי סוכן - מקור חדש'!G391</f>
        <v/>
      </c>
      <c r="I1117" s="149" t="inlineStr">
        <is>
          <t>מכירות 25-26 לפי לקוח-סוכן</t>
        </is>
      </c>
      <c r="J1117" s="149" t="inlineStr">
        <is>
          <t>חדש — לא היה ב-מקור</t>
        </is>
      </c>
    </row>
    <row r="1118" ht="15" customHeight="1" s="82">
      <c r="A1118" s="149">
        <f>'לקוחות לפי סוכן - מקור חדש'!B395</f>
        <v/>
      </c>
      <c r="B1118" s="149">
        <f>'לקוחות לפי סוכן - מקור חדש'!C395</f>
        <v/>
      </c>
      <c r="C1118" s="149" t="n"/>
      <c r="D1118" s="149">
        <f>TRIM('לקוחות לפי סוכן - מקור חדש'!D395)</f>
        <v/>
      </c>
      <c r="E1118" s="147">
        <f>'לקוחות לפי סוכן - מקור חדש'!F395</f>
        <v/>
      </c>
      <c r="F1118" s="147">
        <f>'לקוחות לפי סוכן - מקור חדש'!H395</f>
        <v/>
      </c>
      <c r="G1118" s="148">
        <f>'לקוחות לפי סוכן - מקור חדש'!E395</f>
        <v/>
      </c>
      <c r="H1118" s="148">
        <f>'לקוחות לפי סוכן - מקור חדש'!G395</f>
        <v/>
      </c>
      <c r="I1118" s="149" t="inlineStr">
        <is>
          <t>מכירות 25-26 לפי לקוח-סוכן</t>
        </is>
      </c>
      <c r="J1118" s="149" t="inlineStr">
        <is>
          <t>חדש — לא היה ב-מקור</t>
        </is>
      </c>
    </row>
    <row r="1119" ht="15" customHeight="1" s="82">
      <c r="A1119" s="150">
        <f>'לקוחות לפי סוכן - מקור חדש'!B22</f>
        <v/>
      </c>
      <c r="B1119" s="150">
        <f>'לקוחות לפי סוכן - מקור חדש'!C22</f>
        <v/>
      </c>
      <c r="C1119" s="150" t="n"/>
      <c r="D1119" s="150">
        <f>TRIM('לקוחות לפי סוכן - מקור חדש'!D22)</f>
        <v/>
      </c>
      <c r="E1119" s="151">
        <f>'לקוחות לפי סוכן - מקור חדש'!F22</f>
        <v/>
      </c>
      <c r="F1119" s="151">
        <f>'לקוחות לפי סוכן - מקור חדש'!H22</f>
        <v/>
      </c>
      <c r="G1119" s="152">
        <f>'לקוחות לפי סוכן - מקור חדש'!E22</f>
        <v/>
      </c>
      <c r="H1119" s="152">
        <f>'לקוחות לפי סוכן - מקור חדש'!G22</f>
        <v/>
      </c>
      <c r="I1119" s="150" t="inlineStr">
        <is>
          <t>מכירות 25-26 לפי לקוח-סוכן</t>
        </is>
      </c>
      <c r="J1119" s="150" t="inlineStr">
        <is>
          <t>התאמה לא ודאית — לבדיקת המשתמש</t>
        </is>
      </c>
    </row>
    <row r="1120" ht="15" customHeight="1" s="82">
      <c r="A1120" s="150">
        <f>'לקוחות לפי סוכן - מקור חדש'!B24</f>
        <v/>
      </c>
      <c r="B1120" s="150">
        <f>'לקוחות לפי סוכן - מקור חדש'!C24</f>
        <v/>
      </c>
      <c r="C1120" s="150" t="n"/>
      <c r="D1120" s="150">
        <f>TRIM('לקוחות לפי סוכן - מקור חדש'!D24)</f>
        <v/>
      </c>
      <c r="E1120" s="151">
        <f>'לקוחות לפי סוכן - מקור חדש'!F24</f>
        <v/>
      </c>
      <c r="F1120" s="151">
        <f>'לקוחות לפי סוכן - מקור חדש'!H24</f>
        <v/>
      </c>
      <c r="G1120" s="152">
        <f>'לקוחות לפי סוכן - מקור חדש'!E24</f>
        <v/>
      </c>
      <c r="H1120" s="152">
        <f>'לקוחות לפי סוכן - מקור חדש'!G24</f>
        <v/>
      </c>
      <c r="I1120" s="150" t="inlineStr">
        <is>
          <t>מכירות 25-26 לפי לקוח-סוכן</t>
        </is>
      </c>
      <c r="J1120" s="150" t="inlineStr">
        <is>
          <t>התאמה לא ודאית — לבדיקת המשתמש</t>
        </is>
      </c>
    </row>
    <row r="1121" ht="15" customHeight="1" s="82">
      <c r="A1121" s="150">
        <f>'לקוחות לפי סוכן - מקור חדש'!B87</f>
        <v/>
      </c>
      <c r="B1121" s="150">
        <f>'לקוחות לפי סוכן - מקור חדש'!C87</f>
        <v/>
      </c>
      <c r="C1121" s="150" t="n"/>
      <c r="D1121" s="150">
        <f>TRIM('לקוחות לפי סוכן - מקור חדש'!D87)</f>
        <v/>
      </c>
      <c r="E1121" s="151">
        <f>'לקוחות לפי סוכן - מקור חדש'!F87</f>
        <v/>
      </c>
      <c r="F1121" s="151">
        <f>'לקוחות לפי סוכן - מקור חדש'!H87</f>
        <v/>
      </c>
      <c r="G1121" s="152">
        <f>'לקוחות לפי סוכן - מקור חדש'!E87</f>
        <v/>
      </c>
      <c r="H1121" s="152">
        <f>'לקוחות לפי סוכן - מקור חדש'!G87</f>
        <v/>
      </c>
      <c r="I1121" s="150" t="inlineStr">
        <is>
          <t>מכירות 25-26 לפי לקוח-סוכן</t>
        </is>
      </c>
      <c r="J1121" s="150" t="inlineStr">
        <is>
          <t>התאמה לא ודאית — לבדיקת המשתמש</t>
        </is>
      </c>
    </row>
    <row r="1122" ht="15" customHeight="1" s="82">
      <c r="A1122" s="150">
        <f>'לקוחות לפי סוכן - מקור חדש'!B89</f>
        <v/>
      </c>
      <c r="B1122" s="150">
        <f>'לקוחות לפי סוכן - מקור חדש'!C89</f>
        <v/>
      </c>
      <c r="C1122" s="150" t="n"/>
      <c r="D1122" s="150">
        <f>TRIM('לקוחות לפי סוכן - מקור חדש'!D89)</f>
        <v/>
      </c>
      <c r="E1122" s="151">
        <f>'לקוחות לפי סוכן - מקור חדש'!F89</f>
        <v/>
      </c>
      <c r="F1122" s="151">
        <f>'לקוחות לפי סוכן - מקור חדש'!H89</f>
        <v/>
      </c>
      <c r="G1122" s="152">
        <f>'לקוחות לפי סוכן - מקור חדש'!E89</f>
        <v/>
      </c>
      <c r="H1122" s="152">
        <f>'לקוחות לפי סוכן - מקור חדש'!G89</f>
        <v/>
      </c>
      <c r="I1122" s="150" t="inlineStr">
        <is>
          <t>מכירות 25-26 לפי לקוח-סוכן</t>
        </is>
      </c>
      <c r="J1122" s="150" t="inlineStr">
        <is>
          <t>התאמה לא ודאית — לבדיקת המשתמש</t>
        </is>
      </c>
    </row>
    <row r="1123" ht="15" customHeight="1" s="82">
      <c r="A1123" s="150">
        <f>'לקוחות לפי סוכן - מקור חדש'!B115</f>
        <v/>
      </c>
      <c r="B1123" s="150">
        <f>'לקוחות לפי סוכן - מקור חדש'!C115</f>
        <v/>
      </c>
      <c r="C1123" s="150" t="n"/>
      <c r="D1123" s="150">
        <f>TRIM('לקוחות לפי סוכן - מקור חדש'!D115)</f>
        <v/>
      </c>
      <c r="E1123" s="151">
        <f>'לקוחות לפי סוכן - מקור חדש'!F115</f>
        <v/>
      </c>
      <c r="F1123" s="151">
        <f>'לקוחות לפי סוכן - מקור חדש'!H115</f>
        <v/>
      </c>
      <c r="G1123" s="152">
        <f>'לקוחות לפי סוכן - מקור חדש'!E115</f>
        <v/>
      </c>
      <c r="H1123" s="152">
        <f>'לקוחות לפי סוכן - מקור חדש'!G115</f>
        <v/>
      </c>
      <c r="I1123" s="150" t="inlineStr">
        <is>
          <t>מכירות 25-26 לפי לקוח-סוכן</t>
        </is>
      </c>
      <c r="J1123" s="150" t="inlineStr">
        <is>
          <t>התאמה לא ודאית — לבדיקת המשתמש</t>
        </is>
      </c>
    </row>
    <row r="1124" ht="15" customHeight="1" s="82">
      <c r="A1124" s="150">
        <f>'לקוחות לפי סוכן - מקור חדש'!B176</f>
        <v/>
      </c>
      <c r="B1124" s="150">
        <f>'לקוחות לפי סוכן - מקור חדש'!C176</f>
        <v/>
      </c>
      <c r="C1124" s="150" t="n"/>
      <c r="D1124" s="150">
        <f>TRIM('לקוחות לפי סוכן - מקור חדש'!D176)</f>
        <v/>
      </c>
      <c r="E1124" s="151">
        <f>'לקוחות לפי סוכן - מקור חדש'!F176</f>
        <v/>
      </c>
      <c r="F1124" s="151">
        <f>'לקוחות לפי סוכן - מקור חדש'!H176</f>
        <v/>
      </c>
      <c r="G1124" s="152">
        <f>'לקוחות לפי סוכן - מקור חדש'!E176</f>
        <v/>
      </c>
      <c r="H1124" s="152">
        <f>'לקוחות לפי סוכן - מקור חדש'!G176</f>
        <v/>
      </c>
      <c r="I1124" s="150" t="inlineStr">
        <is>
          <t>מכירות 25-26 לפי לקוח-סוכן</t>
        </is>
      </c>
      <c r="J1124" s="150" t="inlineStr">
        <is>
          <t>התאמה לא ודאית — לבדיקת המשתמש</t>
        </is>
      </c>
    </row>
    <row r="1125" ht="15" customHeight="1" s="82">
      <c r="A1125" s="150">
        <f>'לקוחות לפי סוכן - מקור חדש'!B179</f>
        <v/>
      </c>
      <c r="B1125" s="150">
        <f>'לקוחות לפי סוכן - מקור חדש'!C179</f>
        <v/>
      </c>
      <c r="C1125" s="150" t="n"/>
      <c r="D1125" s="150">
        <f>TRIM('לקוחות לפי סוכן - מקור חדש'!D179)</f>
        <v/>
      </c>
      <c r="E1125" s="151">
        <f>'לקוחות לפי סוכן - מקור חדש'!F179</f>
        <v/>
      </c>
      <c r="F1125" s="151">
        <f>'לקוחות לפי סוכן - מקור חדש'!H179</f>
        <v/>
      </c>
      <c r="G1125" s="152">
        <f>'לקוחות לפי סוכן - מקור חדש'!E179</f>
        <v/>
      </c>
      <c r="H1125" s="152">
        <f>'לקוחות לפי סוכן - מקור חדש'!G179</f>
        <v/>
      </c>
      <c r="I1125" s="150" t="inlineStr">
        <is>
          <t>מכירות 25-26 לפי לקוח-סוכן</t>
        </is>
      </c>
      <c r="J1125" s="150" t="inlineStr">
        <is>
          <t>התאמה לא ודאית — לבדיקת המשתמש</t>
        </is>
      </c>
    </row>
    <row r="1126" ht="15" customHeight="1" s="82">
      <c r="A1126" s="150">
        <f>'לקוחות לפי סוכן - מקור חדש'!B190</f>
        <v/>
      </c>
      <c r="B1126" s="150">
        <f>'לקוחות לפי סוכן - מקור חדש'!C190</f>
        <v/>
      </c>
      <c r="C1126" s="150" t="n"/>
      <c r="D1126" s="150">
        <f>TRIM('לקוחות לפי סוכן - מקור חדש'!D190)</f>
        <v/>
      </c>
      <c r="E1126" s="151">
        <f>'לקוחות לפי סוכן - מקור חדש'!F190</f>
        <v/>
      </c>
      <c r="F1126" s="151">
        <f>'לקוחות לפי סוכן - מקור חדש'!H190</f>
        <v/>
      </c>
      <c r="G1126" s="152">
        <f>'לקוחות לפי סוכן - מקור חדש'!E190</f>
        <v/>
      </c>
      <c r="H1126" s="152">
        <f>'לקוחות לפי סוכן - מקור חדש'!G190</f>
        <v/>
      </c>
      <c r="I1126" s="150" t="inlineStr">
        <is>
          <t>מכירות 25-26 לפי לקוח-סוכן</t>
        </is>
      </c>
      <c r="J1126" s="150" t="inlineStr">
        <is>
          <t>התאמה לא ודאית — לבדיקת המשתמש</t>
        </is>
      </c>
    </row>
    <row r="1127" ht="15" customHeight="1" s="82">
      <c r="A1127" s="150">
        <f>'לקוחות לפי סוכן - מקור חדש'!B336</f>
        <v/>
      </c>
      <c r="B1127" s="150">
        <f>'לקוחות לפי סוכן - מקור חדש'!C336</f>
        <v/>
      </c>
      <c r="C1127" s="150" t="n"/>
      <c r="D1127" s="150">
        <f>TRIM('לקוחות לפי סוכן - מקור חדש'!D336)</f>
        <v/>
      </c>
      <c r="E1127" s="151">
        <f>'לקוחות לפי סוכן - מקור חדש'!F336</f>
        <v/>
      </c>
      <c r="F1127" s="151">
        <f>'לקוחות לפי סוכן - מקור חדש'!H336</f>
        <v/>
      </c>
      <c r="G1127" s="152">
        <f>'לקוחות לפי סוכן - מקור חדש'!E336</f>
        <v/>
      </c>
      <c r="H1127" s="152">
        <f>'לקוחות לפי סוכן - מקור חדש'!G336</f>
        <v/>
      </c>
      <c r="I1127" s="150" t="inlineStr">
        <is>
          <t>מכירות 25-26 לפי לקוח-סוכן</t>
        </is>
      </c>
      <c r="J1127" s="150" t="inlineStr">
        <is>
          <t>התאמה לא ודאית — לבדיקת המשתמש</t>
        </is>
      </c>
    </row>
    <row r="1129" ht="15" customHeight="1" s="82">
      <c r="A1129" s="143" t="inlineStr">
        <is>
          <t>עיסא</t>
        </is>
      </c>
      <c r="B1129" s="144" t="n"/>
      <c r="C1129" s="144" t="n"/>
      <c r="D1129" s="143" t="inlineStr">
        <is>
          <t>סה"כ 2 חנויות</t>
        </is>
      </c>
      <c r="E1129" s="145">
        <f>SUM(E1130:E1131)</f>
        <v/>
      </c>
      <c r="F1129" s="145">
        <f>SUM(F1130:F1131)</f>
        <v/>
      </c>
      <c r="G1129" s="146">
        <f>SUM(G1130:G1131)</f>
        <v/>
      </c>
      <c r="H1129" s="146">
        <f>SUM(H1130:H1131)</f>
        <v/>
      </c>
      <c r="I1129" s="143" t="inlineStr">
        <is>
          <t>שני המקורות (מאוחד)</t>
        </is>
      </c>
      <c r="J1129" s="144" t="n"/>
    </row>
    <row r="1130" ht="15" customHeight="1" s="82">
      <c r="A1130" s="139">
        <f>'לקוחות לפי סוכן - מקור'!A866</f>
        <v/>
      </c>
      <c r="B1130" s="139">
        <f>'לקוחות לפי סוכן - מקור'!C866</f>
        <v/>
      </c>
      <c r="C1130" s="139">
        <f>'לקוחות לפי סוכן - מקור'!D866</f>
        <v/>
      </c>
      <c r="D1130" s="139">
        <f>'לקוחות לפי סוכן - מקור'!E866</f>
        <v/>
      </c>
      <c r="E1130" s="147">
        <f>'לקוחות לפי סוכן - מקור'!F866</f>
        <v/>
      </c>
      <c r="F1130" s="147">
        <f>'לקוחות לפי סוכן - מקור'!G866</f>
        <v/>
      </c>
      <c r="G1130" s="148">
        <f>'לקוחות לפי סוכן - מקור'!H866</f>
        <v/>
      </c>
      <c r="H1130" s="148">
        <f>'לקוחות לפי סוכן - מקור'!I866</f>
        <v/>
      </c>
      <c r="I1130" s="139">
        <f>'לקוחות לפי סוכן - מקור'!K866</f>
        <v/>
      </c>
      <c r="J1130" s="139" t="inlineStr">
        <is>
          <t>קיים במקור</t>
        </is>
      </c>
    </row>
    <row r="1131" ht="15" customHeight="1" s="82">
      <c r="A1131" s="139">
        <f>'לקוחות לפי סוכן - מקור'!A867</f>
        <v/>
      </c>
      <c r="B1131" s="139">
        <f>'לקוחות לפי סוכן - מקור'!C867</f>
        <v/>
      </c>
      <c r="C1131" s="139">
        <f>'לקוחות לפי סוכן - מקור'!D867</f>
        <v/>
      </c>
      <c r="D1131" s="139">
        <f>'לקוחות לפי סוכן - מקור'!E867</f>
        <v/>
      </c>
      <c r="E1131" s="147">
        <f>'לקוחות לפי סוכן - מקור'!F867</f>
        <v/>
      </c>
      <c r="F1131" s="147">
        <f>'לקוחות לפי סוכן - מקור'!G867</f>
        <v/>
      </c>
      <c r="G1131" s="148">
        <f>'לקוחות לפי סוכן - מקור'!H867</f>
        <v/>
      </c>
      <c r="H1131" s="148">
        <f>'לקוחות לפי סוכן - מקור'!I867</f>
        <v/>
      </c>
      <c r="I1131" s="139">
        <f>'לקוחות לפי סוכן - מקור'!K867</f>
        <v/>
      </c>
      <c r="J1131" s="139" t="inlineStr">
        <is>
          <t>קיים במקור</t>
        </is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 filterMode="0">
    <tabColor rgb="FFED7D31"/>
    <outlinePr summaryBelow="0"/>
    <pageSetUpPr fitToPage="0"/>
  </sheetPr>
  <dimension ref="A1:I1130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baseColWidth="8" defaultColWidth="8.5390625" defaultRowHeight="15" zeroHeight="0" outlineLevelRow="1"/>
  <cols>
    <col width="20" customWidth="1" style="81" min="1" max="1"/>
    <col width="28" customWidth="1" style="81" min="2" max="2"/>
    <col width="32" customWidth="1" style="81" min="3" max="3"/>
    <col width="14" customWidth="1" style="81" min="4" max="4"/>
    <col width="11" customWidth="1" style="81" min="7" max="7"/>
    <col width="20" customWidth="1" style="81" min="9" max="9"/>
  </cols>
  <sheetData>
    <row r="1" ht="16.5" customHeight="1" s="82">
      <c r="A1" s="141" t="inlineStr">
        <is>
          <t>לקוחות לפי סוכן 2025 לעומת 2026 — רשימה מלאה לכל חנות, מבוסס על גיליון "1510" (1116 שורות חנות, 6 סוכנים)</t>
        </is>
      </c>
    </row>
    <row r="2" ht="15" customHeight="1" s="82"/>
    <row r="3" ht="15" customHeight="1" s="82">
      <c r="A3" s="137" t="inlineStr">
        <is>
          <t>סוכן</t>
        </is>
      </c>
      <c r="B3" s="137" t="inlineStr">
        <is>
          <t>ערוץ (קוד+שם)</t>
        </is>
      </c>
      <c r="C3" s="137" t="inlineStr">
        <is>
          <t>שם הלקוח/חנות</t>
        </is>
      </c>
      <c r="D3" s="137" t="inlineStr">
        <is>
          <t>מכר 2025 (₪)</t>
        </is>
      </c>
      <c r="E3" s="137" t="inlineStr">
        <is>
          <t>מכר 2026 (₪)</t>
        </is>
      </c>
      <c r="F3" s="137" t="inlineStr">
        <is>
          <t>קוד לקוח</t>
        </is>
      </c>
      <c r="G3" s="137" t="inlineStr">
        <is>
          <t>כמות 2025</t>
        </is>
      </c>
      <c r="H3" s="137" t="inlineStr">
        <is>
          <t>כמות 2026</t>
        </is>
      </c>
      <c r="I3" s="137" t="inlineStr">
        <is>
          <t>מקור הנתון</t>
        </is>
      </c>
    </row>
    <row r="4" ht="15" customHeight="1" s="82">
      <c r="A4" s="143">
        <f>'1510'!A5</f>
        <v/>
      </c>
      <c r="B4" s="143" t="n"/>
      <c r="C4" s="143">
        <f>'1510'!D5</f>
        <v/>
      </c>
      <c r="D4" s="153">
        <f>'1510'!E5</f>
        <v/>
      </c>
      <c r="E4" s="153">
        <f>'1510'!F5</f>
        <v/>
      </c>
      <c r="F4" s="143" t="n"/>
      <c r="G4" s="154">
        <f>'1510'!G5</f>
        <v/>
      </c>
      <c r="H4" s="154">
        <f>'1510'!H5</f>
        <v/>
      </c>
      <c r="I4" s="143">
        <f>'1510'!I5</f>
        <v/>
      </c>
    </row>
    <row r="5" outlineLevel="1" ht="15" customHeight="1" s="82">
      <c r="A5" s="139">
        <f>'1510'!A6</f>
        <v/>
      </c>
      <c r="B5" s="139">
        <f>'1510'!B6</f>
        <v/>
      </c>
      <c r="C5" s="139">
        <f>'1510'!D6</f>
        <v/>
      </c>
      <c r="D5" s="140">
        <f>'1510'!E6</f>
        <v/>
      </c>
      <c r="E5" s="140">
        <f>'1510'!F6</f>
        <v/>
      </c>
      <c r="F5" s="139">
        <f>'1510'!C6</f>
        <v/>
      </c>
      <c r="G5" s="155">
        <f>'1510'!G6</f>
        <v/>
      </c>
      <c r="H5" s="155">
        <f>'1510'!H6</f>
        <v/>
      </c>
      <c r="I5" s="139">
        <f>'1510'!I6</f>
        <v/>
      </c>
    </row>
    <row r="6" outlineLevel="1" ht="15" customHeight="1" s="82">
      <c r="A6" s="139">
        <f>'1510'!A7</f>
        <v/>
      </c>
      <c r="B6" s="139">
        <f>'1510'!B7</f>
        <v/>
      </c>
      <c r="C6" s="139">
        <f>'1510'!D7</f>
        <v/>
      </c>
      <c r="D6" s="140">
        <f>'1510'!E7</f>
        <v/>
      </c>
      <c r="E6" s="140">
        <f>'1510'!F7</f>
        <v/>
      </c>
      <c r="F6" s="139">
        <f>'1510'!C7</f>
        <v/>
      </c>
      <c r="G6" s="155">
        <f>'1510'!G7</f>
        <v/>
      </c>
      <c r="H6" s="155">
        <f>'1510'!H7</f>
        <v/>
      </c>
      <c r="I6" s="139">
        <f>'1510'!I7</f>
        <v/>
      </c>
    </row>
    <row r="7" outlineLevel="1" ht="15" customHeight="1" s="82">
      <c r="A7" s="139">
        <f>'1510'!A8</f>
        <v/>
      </c>
      <c r="B7" s="139">
        <f>'1510'!B8</f>
        <v/>
      </c>
      <c r="C7" s="139">
        <f>'1510'!D8</f>
        <v/>
      </c>
      <c r="D7" s="140">
        <f>'1510'!E8</f>
        <v/>
      </c>
      <c r="E7" s="140">
        <f>'1510'!F8</f>
        <v/>
      </c>
      <c r="F7" s="139">
        <f>'1510'!C8</f>
        <v/>
      </c>
      <c r="G7" s="155">
        <f>'1510'!G8</f>
        <v/>
      </c>
      <c r="H7" s="155">
        <f>'1510'!H8</f>
        <v/>
      </c>
      <c r="I7" s="139">
        <f>'1510'!I8</f>
        <v/>
      </c>
    </row>
    <row r="8" outlineLevel="1" ht="15" customHeight="1" s="82">
      <c r="A8" s="139">
        <f>'1510'!A9</f>
        <v/>
      </c>
      <c r="B8" s="139">
        <f>'1510'!B9</f>
        <v/>
      </c>
      <c r="C8" s="139">
        <f>'1510'!D9</f>
        <v/>
      </c>
      <c r="D8" s="140">
        <f>'1510'!E9</f>
        <v/>
      </c>
      <c r="E8" s="140">
        <f>'1510'!F9</f>
        <v/>
      </c>
      <c r="F8" s="139">
        <f>'1510'!C9</f>
        <v/>
      </c>
      <c r="G8" s="155">
        <f>'1510'!G9</f>
        <v/>
      </c>
      <c r="H8" s="155">
        <f>'1510'!H9</f>
        <v/>
      </c>
      <c r="I8" s="139">
        <f>'1510'!I9</f>
        <v/>
      </c>
    </row>
    <row r="9" outlineLevel="1" ht="15" customHeight="1" s="82">
      <c r="A9" s="139">
        <f>'1510'!A10</f>
        <v/>
      </c>
      <c r="B9" s="139">
        <f>'1510'!B10</f>
        <v/>
      </c>
      <c r="C9" s="139">
        <f>'1510'!D10</f>
        <v/>
      </c>
      <c r="D9" s="140">
        <f>'1510'!E10</f>
        <v/>
      </c>
      <c r="E9" s="140">
        <f>'1510'!F10</f>
        <v/>
      </c>
      <c r="F9" s="139">
        <f>'1510'!C10</f>
        <v/>
      </c>
      <c r="G9" s="155">
        <f>'1510'!G10</f>
        <v/>
      </c>
      <c r="H9" s="155">
        <f>'1510'!H10</f>
        <v/>
      </c>
      <c r="I9" s="139">
        <f>'1510'!I10</f>
        <v/>
      </c>
    </row>
    <row r="10" outlineLevel="1" ht="15" customHeight="1" s="82">
      <c r="A10" s="139">
        <f>'1510'!A11</f>
        <v/>
      </c>
      <c r="B10" s="139">
        <f>'1510'!B11</f>
        <v/>
      </c>
      <c r="C10" s="139">
        <f>'1510'!D11</f>
        <v/>
      </c>
      <c r="D10" s="140">
        <f>'1510'!E11</f>
        <v/>
      </c>
      <c r="E10" s="140">
        <f>'1510'!F11</f>
        <v/>
      </c>
      <c r="F10" s="139">
        <f>'1510'!C11</f>
        <v/>
      </c>
      <c r="G10" s="155">
        <f>'1510'!G11</f>
        <v/>
      </c>
      <c r="H10" s="155">
        <f>'1510'!H11</f>
        <v/>
      </c>
      <c r="I10" s="139">
        <f>'1510'!I11</f>
        <v/>
      </c>
    </row>
    <row r="11" outlineLevel="1" ht="15" customHeight="1" s="82">
      <c r="A11" s="139">
        <f>'1510'!A12</f>
        <v/>
      </c>
      <c r="B11" s="139">
        <f>'1510'!B12</f>
        <v/>
      </c>
      <c r="C11" s="139">
        <f>'1510'!D12</f>
        <v/>
      </c>
      <c r="D11" s="140">
        <f>'1510'!E12</f>
        <v/>
      </c>
      <c r="E11" s="140">
        <f>'1510'!F12</f>
        <v/>
      </c>
      <c r="F11" s="139">
        <f>'1510'!C12</f>
        <v/>
      </c>
      <c r="G11" s="155">
        <f>'1510'!G12</f>
        <v/>
      </c>
      <c r="H11" s="155">
        <f>'1510'!H12</f>
        <v/>
      </c>
      <c r="I11" s="139">
        <f>'1510'!I12</f>
        <v/>
      </c>
    </row>
    <row r="12" outlineLevel="1" ht="15" customHeight="1" s="82">
      <c r="A12" s="139">
        <f>'1510'!A13</f>
        <v/>
      </c>
      <c r="B12" s="139">
        <f>'1510'!B13</f>
        <v/>
      </c>
      <c r="C12" s="139">
        <f>'1510'!D13</f>
        <v/>
      </c>
      <c r="D12" s="140">
        <f>'1510'!E13</f>
        <v/>
      </c>
      <c r="E12" s="140">
        <f>'1510'!F13</f>
        <v/>
      </c>
      <c r="F12" s="139">
        <f>'1510'!C13</f>
        <v/>
      </c>
      <c r="G12" s="155">
        <f>'1510'!G13</f>
        <v/>
      </c>
      <c r="H12" s="155">
        <f>'1510'!H13</f>
        <v/>
      </c>
      <c r="I12" s="139">
        <f>'1510'!I13</f>
        <v/>
      </c>
    </row>
    <row r="13" outlineLevel="1" ht="15" customHeight="1" s="82">
      <c r="A13" s="139">
        <f>'1510'!A14</f>
        <v/>
      </c>
      <c r="B13" s="139">
        <f>'1510'!B14</f>
        <v/>
      </c>
      <c r="C13" s="139">
        <f>'1510'!D14</f>
        <v/>
      </c>
      <c r="D13" s="140">
        <f>'1510'!E14</f>
        <v/>
      </c>
      <c r="E13" s="140">
        <f>'1510'!F14</f>
        <v/>
      </c>
      <c r="F13" s="139">
        <f>'1510'!C14</f>
        <v/>
      </c>
      <c r="G13" s="155">
        <f>'1510'!G14</f>
        <v/>
      </c>
      <c r="H13" s="155">
        <f>'1510'!H14</f>
        <v/>
      </c>
      <c r="I13" s="139">
        <f>'1510'!I14</f>
        <v/>
      </c>
    </row>
    <row r="14" outlineLevel="1" ht="15" customHeight="1" s="82">
      <c r="A14" s="139">
        <f>'1510'!A15</f>
        <v/>
      </c>
      <c r="B14" s="139">
        <f>'1510'!B15</f>
        <v/>
      </c>
      <c r="C14" s="139">
        <f>'1510'!D15</f>
        <v/>
      </c>
      <c r="D14" s="140">
        <f>'1510'!E15</f>
        <v/>
      </c>
      <c r="E14" s="140">
        <f>'1510'!F15</f>
        <v/>
      </c>
      <c r="F14" s="139">
        <f>'1510'!C15</f>
        <v/>
      </c>
      <c r="G14" s="155">
        <f>'1510'!G15</f>
        <v/>
      </c>
      <c r="H14" s="155">
        <f>'1510'!H15</f>
        <v/>
      </c>
      <c r="I14" s="139">
        <f>'1510'!I15</f>
        <v/>
      </c>
    </row>
    <row r="15" outlineLevel="1" ht="15" customHeight="1" s="82">
      <c r="A15" s="139">
        <f>'1510'!A16</f>
        <v/>
      </c>
      <c r="B15" s="139">
        <f>'1510'!B16</f>
        <v/>
      </c>
      <c r="C15" s="139">
        <f>'1510'!D16</f>
        <v/>
      </c>
      <c r="D15" s="140">
        <f>'1510'!E16</f>
        <v/>
      </c>
      <c r="E15" s="140">
        <f>'1510'!F16</f>
        <v/>
      </c>
      <c r="F15" s="139">
        <f>'1510'!C16</f>
        <v/>
      </c>
      <c r="G15" s="155">
        <f>'1510'!G16</f>
        <v/>
      </c>
      <c r="H15" s="155">
        <f>'1510'!H16</f>
        <v/>
      </c>
      <c r="I15" s="139">
        <f>'1510'!I16</f>
        <v/>
      </c>
    </row>
    <row r="16" outlineLevel="1" ht="15" customHeight="1" s="82">
      <c r="A16" s="139">
        <f>'1510'!A17</f>
        <v/>
      </c>
      <c r="B16" s="139">
        <f>'1510'!B17</f>
        <v/>
      </c>
      <c r="C16" s="139">
        <f>'1510'!D17</f>
        <v/>
      </c>
      <c r="D16" s="140">
        <f>'1510'!E17</f>
        <v/>
      </c>
      <c r="E16" s="140">
        <f>'1510'!F17</f>
        <v/>
      </c>
      <c r="F16" s="139">
        <f>'1510'!C17</f>
        <v/>
      </c>
      <c r="G16" s="155">
        <f>'1510'!G17</f>
        <v/>
      </c>
      <c r="H16" s="155">
        <f>'1510'!H17</f>
        <v/>
      </c>
      <c r="I16" s="139">
        <f>'1510'!I17</f>
        <v/>
      </c>
    </row>
    <row r="17" outlineLevel="1" ht="15" customHeight="1" s="82">
      <c r="A17" s="139">
        <f>'1510'!A18</f>
        <v/>
      </c>
      <c r="B17" s="139">
        <f>'1510'!B18</f>
        <v/>
      </c>
      <c r="C17" s="139">
        <f>'1510'!D18</f>
        <v/>
      </c>
      <c r="D17" s="140">
        <f>'1510'!E18</f>
        <v/>
      </c>
      <c r="E17" s="140">
        <f>'1510'!F18</f>
        <v/>
      </c>
      <c r="F17" s="139">
        <f>'1510'!C18</f>
        <v/>
      </c>
      <c r="G17" s="155">
        <f>'1510'!G18</f>
        <v/>
      </c>
      <c r="H17" s="155">
        <f>'1510'!H18</f>
        <v/>
      </c>
      <c r="I17" s="139">
        <f>'1510'!I18</f>
        <v/>
      </c>
    </row>
    <row r="18" outlineLevel="1" ht="15" customHeight="1" s="82">
      <c r="A18" s="139">
        <f>'1510'!A19</f>
        <v/>
      </c>
      <c r="B18" s="139">
        <f>'1510'!B19</f>
        <v/>
      </c>
      <c r="C18" s="139">
        <f>'1510'!D19</f>
        <v/>
      </c>
      <c r="D18" s="140">
        <f>'1510'!E19</f>
        <v/>
      </c>
      <c r="E18" s="140">
        <f>'1510'!F19</f>
        <v/>
      </c>
      <c r="F18" s="139">
        <f>'1510'!C19</f>
        <v/>
      </c>
      <c r="G18" s="155">
        <f>'1510'!G19</f>
        <v/>
      </c>
      <c r="H18" s="155">
        <f>'1510'!H19</f>
        <v/>
      </c>
      <c r="I18" s="139">
        <f>'1510'!I19</f>
        <v/>
      </c>
    </row>
    <row r="19" outlineLevel="1" ht="15" customHeight="1" s="82">
      <c r="A19" s="139">
        <f>'1510'!A20</f>
        <v/>
      </c>
      <c r="B19" s="139">
        <f>'1510'!B20</f>
        <v/>
      </c>
      <c r="C19" s="139">
        <f>'1510'!D20</f>
        <v/>
      </c>
      <c r="D19" s="140">
        <f>'1510'!E20</f>
        <v/>
      </c>
      <c r="E19" s="140">
        <f>'1510'!F20</f>
        <v/>
      </c>
      <c r="F19" s="139">
        <f>'1510'!C20</f>
        <v/>
      </c>
      <c r="G19" s="155">
        <f>'1510'!G20</f>
        <v/>
      </c>
      <c r="H19" s="155">
        <f>'1510'!H20</f>
        <v/>
      </c>
      <c r="I19" s="139">
        <f>'1510'!I20</f>
        <v/>
      </c>
    </row>
    <row r="20" ht="15" customHeight="1" s="82"/>
    <row r="21" ht="15" customHeight="1" s="82">
      <c r="A21" s="143">
        <f>'1510'!A22</f>
        <v/>
      </c>
      <c r="B21" s="143" t="n"/>
      <c r="C21" s="143">
        <f>'1510'!D22</f>
        <v/>
      </c>
      <c r="D21" s="153">
        <f>'1510'!E22</f>
        <v/>
      </c>
      <c r="E21" s="153">
        <f>'1510'!F22</f>
        <v/>
      </c>
      <c r="F21" s="143" t="n"/>
      <c r="G21" s="154">
        <f>'1510'!G22</f>
        <v/>
      </c>
      <c r="H21" s="154">
        <f>'1510'!H22</f>
        <v/>
      </c>
      <c r="I21" s="143">
        <f>'1510'!I22</f>
        <v/>
      </c>
    </row>
    <row r="22" outlineLevel="1" ht="15" customHeight="1" s="82">
      <c r="A22" s="139">
        <f>'1510'!A23</f>
        <v/>
      </c>
      <c r="B22" s="139">
        <f>'1510'!B23</f>
        <v/>
      </c>
      <c r="C22" s="139">
        <f>'1510'!D23</f>
        <v/>
      </c>
      <c r="D22" s="140">
        <f>'1510'!E23</f>
        <v/>
      </c>
      <c r="E22" s="140">
        <f>'1510'!F23</f>
        <v/>
      </c>
      <c r="F22" s="139">
        <f>'1510'!C23</f>
        <v/>
      </c>
      <c r="G22" s="155">
        <f>'1510'!G23</f>
        <v/>
      </c>
      <c r="H22" s="155">
        <f>'1510'!H23</f>
        <v/>
      </c>
      <c r="I22" s="139">
        <f>'1510'!I23</f>
        <v/>
      </c>
    </row>
    <row r="23" outlineLevel="1" ht="15" customHeight="1" s="82">
      <c r="A23" s="139">
        <f>'1510'!A24</f>
        <v/>
      </c>
      <c r="B23" s="139">
        <f>'1510'!B24</f>
        <v/>
      </c>
      <c r="C23" s="139">
        <f>'1510'!D24</f>
        <v/>
      </c>
      <c r="D23" s="140">
        <f>'1510'!E24</f>
        <v/>
      </c>
      <c r="E23" s="140">
        <f>'1510'!F24</f>
        <v/>
      </c>
      <c r="F23" s="139">
        <f>'1510'!C24</f>
        <v/>
      </c>
      <c r="G23" s="155">
        <f>'1510'!G24</f>
        <v/>
      </c>
      <c r="H23" s="155">
        <f>'1510'!H24</f>
        <v/>
      </c>
      <c r="I23" s="139">
        <f>'1510'!I24</f>
        <v/>
      </c>
    </row>
    <row r="24" outlineLevel="1" ht="15" customHeight="1" s="82">
      <c r="A24" s="139">
        <f>'1510'!A25</f>
        <v/>
      </c>
      <c r="B24" s="139">
        <f>'1510'!B25</f>
        <v/>
      </c>
      <c r="C24" s="139">
        <f>'1510'!D25</f>
        <v/>
      </c>
      <c r="D24" s="140">
        <f>'1510'!E25</f>
        <v/>
      </c>
      <c r="E24" s="140">
        <f>'1510'!F25</f>
        <v/>
      </c>
      <c r="F24" s="139">
        <f>'1510'!C25</f>
        <v/>
      </c>
      <c r="G24" s="155">
        <f>'1510'!G25</f>
        <v/>
      </c>
      <c r="H24" s="155">
        <f>'1510'!H25</f>
        <v/>
      </c>
      <c r="I24" s="139">
        <f>'1510'!I25</f>
        <v/>
      </c>
    </row>
    <row r="25" outlineLevel="1" ht="15" customHeight="1" s="82">
      <c r="A25" s="139">
        <f>'1510'!A26</f>
        <v/>
      </c>
      <c r="B25" s="139">
        <f>'1510'!B26</f>
        <v/>
      </c>
      <c r="C25" s="139">
        <f>'1510'!D26</f>
        <v/>
      </c>
      <c r="D25" s="140">
        <f>'1510'!E26</f>
        <v/>
      </c>
      <c r="E25" s="140">
        <f>'1510'!F26</f>
        <v/>
      </c>
      <c r="F25" s="139">
        <f>'1510'!C26</f>
        <v/>
      </c>
      <c r="G25" s="155">
        <f>'1510'!G26</f>
        <v/>
      </c>
      <c r="H25" s="155">
        <f>'1510'!H26</f>
        <v/>
      </c>
      <c r="I25" s="139">
        <f>'1510'!I26</f>
        <v/>
      </c>
    </row>
    <row r="26" outlineLevel="1" ht="15" customHeight="1" s="82">
      <c r="A26" s="139">
        <f>'1510'!A27</f>
        <v/>
      </c>
      <c r="B26" s="139">
        <f>'1510'!B27</f>
        <v/>
      </c>
      <c r="C26" s="139">
        <f>'1510'!D27</f>
        <v/>
      </c>
      <c r="D26" s="140">
        <f>'1510'!E27</f>
        <v/>
      </c>
      <c r="E26" s="140">
        <f>'1510'!F27</f>
        <v/>
      </c>
      <c r="F26" s="139">
        <f>'1510'!C27</f>
        <v/>
      </c>
      <c r="G26" s="155">
        <f>'1510'!G27</f>
        <v/>
      </c>
      <c r="H26" s="155">
        <f>'1510'!H27</f>
        <v/>
      </c>
      <c r="I26" s="139">
        <f>'1510'!I27</f>
        <v/>
      </c>
    </row>
    <row r="27" outlineLevel="1" ht="15" customHeight="1" s="82">
      <c r="A27" s="139">
        <f>'1510'!A28</f>
        <v/>
      </c>
      <c r="B27" s="139">
        <f>'1510'!B28</f>
        <v/>
      </c>
      <c r="C27" s="139">
        <f>'1510'!D28</f>
        <v/>
      </c>
      <c r="D27" s="140">
        <f>'1510'!E28</f>
        <v/>
      </c>
      <c r="E27" s="140">
        <f>'1510'!F28</f>
        <v/>
      </c>
      <c r="F27" s="139">
        <f>'1510'!C28</f>
        <v/>
      </c>
      <c r="G27" s="155">
        <f>'1510'!G28</f>
        <v/>
      </c>
      <c r="H27" s="155">
        <f>'1510'!H28</f>
        <v/>
      </c>
      <c r="I27" s="139">
        <f>'1510'!I28</f>
        <v/>
      </c>
    </row>
    <row r="28" outlineLevel="1" ht="15" customHeight="1" s="82">
      <c r="A28" s="139">
        <f>'1510'!A29</f>
        <v/>
      </c>
      <c r="B28" s="139">
        <f>'1510'!B29</f>
        <v/>
      </c>
      <c r="C28" s="139">
        <f>'1510'!D29</f>
        <v/>
      </c>
      <c r="D28" s="140">
        <f>'1510'!E29</f>
        <v/>
      </c>
      <c r="E28" s="140">
        <f>'1510'!F29</f>
        <v/>
      </c>
      <c r="F28" s="139">
        <f>'1510'!C29</f>
        <v/>
      </c>
      <c r="G28" s="155">
        <f>'1510'!G29</f>
        <v/>
      </c>
      <c r="H28" s="155">
        <f>'1510'!H29</f>
        <v/>
      </c>
      <c r="I28" s="139">
        <f>'1510'!I29</f>
        <v/>
      </c>
    </row>
    <row r="29" outlineLevel="1" ht="15" customHeight="1" s="82">
      <c r="A29" s="139">
        <f>'1510'!A30</f>
        <v/>
      </c>
      <c r="B29" s="139">
        <f>'1510'!B30</f>
        <v/>
      </c>
      <c r="C29" s="139">
        <f>'1510'!D30</f>
        <v/>
      </c>
      <c r="D29" s="140">
        <f>'1510'!E30</f>
        <v/>
      </c>
      <c r="E29" s="140">
        <f>'1510'!F30</f>
        <v/>
      </c>
      <c r="F29" s="139">
        <f>'1510'!C30</f>
        <v/>
      </c>
      <c r="G29" s="155">
        <f>'1510'!G30</f>
        <v/>
      </c>
      <c r="H29" s="155">
        <f>'1510'!H30</f>
        <v/>
      </c>
      <c r="I29" s="139">
        <f>'1510'!I30</f>
        <v/>
      </c>
    </row>
    <row r="30" outlineLevel="1" ht="15" customHeight="1" s="82">
      <c r="A30" s="139">
        <f>'1510'!A31</f>
        <v/>
      </c>
      <c r="B30" s="139">
        <f>'1510'!B31</f>
        <v/>
      </c>
      <c r="C30" s="139">
        <f>'1510'!D31</f>
        <v/>
      </c>
      <c r="D30" s="140">
        <f>'1510'!E31</f>
        <v/>
      </c>
      <c r="E30" s="140">
        <f>'1510'!F31</f>
        <v/>
      </c>
      <c r="F30" s="139">
        <f>'1510'!C31</f>
        <v/>
      </c>
      <c r="G30" s="155">
        <f>'1510'!G31</f>
        <v/>
      </c>
      <c r="H30" s="155">
        <f>'1510'!H31</f>
        <v/>
      </c>
      <c r="I30" s="139">
        <f>'1510'!I31</f>
        <v/>
      </c>
    </row>
    <row r="31" outlineLevel="1" ht="15" customHeight="1" s="82">
      <c r="A31" s="139">
        <f>'1510'!A32</f>
        <v/>
      </c>
      <c r="B31" s="139">
        <f>'1510'!B32</f>
        <v/>
      </c>
      <c r="C31" s="139">
        <f>'1510'!D32</f>
        <v/>
      </c>
      <c r="D31" s="140">
        <f>'1510'!E32</f>
        <v/>
      </c>
      <c r="E31" s="140">
        <f>'1510'!F32</f>
        <v/>
      </c>
      <c r="F31" s="139">
        <f>'1510'!C32</f>
        <v/>
      </c>
      <c r="G31" s="155">
        <f>'1510'!G32</f>
        <v/>
      </c>
      <c r="H31" s="155">
        <f>'1510'!H32</f>
        <v/>
      </c>
      <c r="I31" s="139">
        <f>'1510'!I32</f>
        <v/>
      </c>
    </row>
    <row r="32" outlineLevel="1" ht="15" customHeight="1" s="82">
      <c r="A32" s="139">
        <f>'1510'!A33</f>
        <v/>
      </c>
      <c r="B32" s="139">
        <f>'1510'!B33</f>
        <v/>
      </c>
      <c r="C32" s="139">
        <f>'1510'!D33</f>
        <v/>
      </c>
      <c r="D32" s="140">
        <f>'1510'!E33</f>
        <v/>
      </c>
      <c r="E32" s="140">
        <f>'1510'!F33</f>
        <v/>
      </c>
      <c r="F32" s="139">
        <f>'1510'!C33</f>
        <v/>
      </c>
      <c r="G32" s="155">
        <f>'1510'!G33</f>
        <v/>
      </c>
      <c r="H32" s="155">
        <f>'1510'!H33</f>
        <v/>
      </c>
      <c r="I32" s="139">
        <f>'1510'!I33</f>
        <v/>
      </c>
    </row>
    <row r="33" outlineLevel="1" ht="15" customHeight="1" s="82">
      <c r="A33" s="139">
        <f>'1510'!A34</f>
        <v/>
      </c>
      <c r="B33" s="139">
        <f>'1510'!B34</f>
        <v/>
      </c>
      <c r="C33" s="139">
        <f>'1510'!D34</f>
        <v/>
      </c>
      <c r="D33" s="140">
        <f>'1510'!E34</f>
        <v/>
      </c>
      <c r="E33" s="140">
        <f>'1510'!F34</f>
        <v/>
      </c>
      <c r="F33" s="139">
        <f>'1510'!C34</f>
        <v/>
      </c>
      <c r="G33" s="155">
        <f>'1510'!G34</f>
        <v/>
      </c>
      <c r="H33" s="155">
        <f>'1510'!H34</f>
        <v/>
      </c>
      <c r="I33" s="139">
        <f>'1510'!I34</f>
        <v/>
      </c>
    </row>
    <row r="34" outlineLevel="1" ht="15" customHeight="1" s="82">
      <c r="A34" s="139">
        <f>'1510'!A35</f>
        <v/>
      </c>
      <c r="B34" s="139">
        <f>'1510'!B35</f>
        <v/>
      </c>
      <c r="C34" s="139">
        <f>'1510'!D35</f>
        <v/>
      </c>
      <c r="D34" s="140">
        <f>'1510'!E35</f>
        <v/>
      </c>
      <c r="E34" s="140">
        <f>'1510'!F35</f>
        <v/>
      </c>
      <c r="F34" s="139">
        <f>'1510'!C35</f>
        <v/>
      </c>
      <c r="G34" s="155">
        <f>'1510'!G35</f>
        <v/>
      </c>
      <c r="H34" s="155">
        <f>'1510'!H35</f>
        <v/>
      </c>
      <c r="I34" s="139">
        <f>'1510'!I35</f>
        <v/>
      </c>
    </row>
    <row r="35" outlineLevel="1" ht="15" customHeight="1" s="82">
      <c r="A35" s="139">
        <f>'1510'!A36</f>
        <v/>
      </c>
      <c r="B35" s="139">
        <f>'1510'!B36</f>
        <v/>
      </c>
      <c r="C35" s="139">
        <f>'1510'!D36</f>
        <v/>
      </c>
      <c r="D35" s="140">
        <f>'1510'!E36</f>
        <v/>
      </c>
      <c r="E35" s="140">
        <f>'1510'!F36</f>
        <v/>
      </c>
      <c r="F35" s="139">
        <f>'1510'!C36</f>
        <v/>
      </c>
      <c r="G35" s="155">
        <f>'1510'!G36</f>
        <v/>
      </c>
      <c r="H35" s="155">
        <f>'1510'!H36</f>
        <v/>
      </c>
      <c r="I35" s="139">
        <f>'1510'!I36</f>
        <v/>
      </c>
    </row>
    <row r="36" outlineLevel="1" ht="15" customHeight="1" s="82">
      <c r="A36" s="139">
        <f>'1510'!A37</f>
        <v/>
      </c>
      <c r="B36" s="139">
        <f>'1510'!B37</f>
        <v/>
      </c>
      <c r="C36" s="139">
        <f>'1510'!D37</f>
        <v/>
      </c>
      <c r="D36" s="140">
        <f>'1510'!E37</f>
        <v/>
      </c>
      <c r="E36" s="140">
        <f>'1510'!F37</f>
        <v/>
      </c>
      <c r="F36" s="139">
        <f>'1510'!C37</f>
        <v/>
      </c>
      <c r="G36" s="155">
        <f>'1510'!G37</f>
        <v/>
      </c>
      <c r="H36" s="155">
        <f>'1510'!H37</f>
        <v/>
      </c>
      <c r="I36" s="139">
        <f>'1510'!I37</f>
        <v/>
      </c>
    </row>
    <row r="37" outlineLevel="1" ht="15" customHeight="1" s="82">
      <c r="A37" s="139">
        <f>'1510'!A38</f>
        <v/>
      </c>
      <c r="B37" s="139">
        <f>'1510'!B38</f>
        <v/>
      </c>
      <c r="C37" s="139">
        <f>'1510'!D38</f>
        <v/>
      </c>
      <c r="D37" s="140">
        <f>'1510'!E38</f>
        <v/>
      </c>
      <c r="E37" s="140">
        <f>'1510'!F38</f>
        <v/>
      </c>
      <c r="F37" s="139">
        <f>'1510'!C38</f>
        <v/>
      </c>
      <c r="G37" s="155">
        <f>'1510'!G38</f>
        <v/>
      </c>
      <c r="H37" s="155">
        <f>'1510'!H38</f>
        <v/>
      </c>
      <c r="I37" s="139">
        <f>'1510'!I38</f>
        <v/>
      </c>
    </row>
    <row r="38" outlineLevel="1" ht="15" customHeight="1" s="82">
      <c r="A38" s="139">
        <f>'1510'!A39</f>
        <v/>
      </c>
      <c r="B38" s="139">
        <f>'1510'!B39</f>
        <v/>
      </c>
      <c r="C38" s="139">
        <f>'1510'!D39</f>
        <v/>
      </c>
      <c r="D38" s="140">
        <f>'1510'!E39</f>
        <v/>
      </c>
      <c r="E38" s="140">
        <f>'1510'!F39</f>
        <v/>
      </c>
      <c r="F38" s="139">
        <f>'1510'!C39</f>
        <v/>
      </c>
      <c r="G38" s="155">
        <f>'1510'!G39</f>
        <v/>
      </c>
      <c r="H38" s="155">
        <f>'1510'!H39</f>
        <v/>
      </c>
      <c r="I38" s="139">
        <f>'1510'!I39</f>
        <v/>
      </c>
    </row>
    <row r="39" outlineLevel="1" ht="15" customHeight="1" s="82">
      <c r="A39" s="139">
        <f>'1510'!A40</f>
        <v/>
      </c>
      <c r="B39" s="139">
        <f>'1510'!B40</f>
        <v/>
      </c>
      <c r="C39" s="139">
        <f>'1510'!D40</f>
        <v/>
      </c>
      <c r="D39" s="140">
        <f>'1510'!E40</f>
        <v/>
      </c>
      <c r="E39" s="140">
        <f>'1510'!F40</f>
        <v/>
      </c>
      <c r="F39" s="139">
        <f>'1510'!C40</f>
        <v/>
      </c>
      <c r="G39" s="155">
        <f>'1510'!G40</f>
        <v/>
      </c>
      <c r="H39" s="155">
        <f>'1510'!H40</f>
        <v/>
      </c>
      <c r="I39" s="139">
        <f>'1510'!I40</f>
        <v/>
      </c>
    </row>
    <row r="40" outlineLevel="1" ht="15" customHeight="1" s="82">
      <c r="A40" s="139">
        <f>'1510'!A41</f>
        <v/>
      </c>
      <c r="B40" s="139">
        <f>'1510'!B41</f>
        <v/>
      </c>
      <c r="C40" s="139">
        <f>'1510'!D41</f>
        <v/>
      </c>
      <c r="D40" s="140">
        <f>'1510'!E41</f>
        <v/>
      </c>
      <c r="E40" s="140">
        <f>'1510'!F41</f>
        <v/>
      </c>
      <c r="F40" s="139">
        <f>'1510'!C41</f>
        <v/>
      </c>
      <c r="G40" s="155">
        <f>'1510'!G41</f>
        <v/>
      </c>
      <c r="H40" s="155">
        <f>'1510'!H41</f>
        <v/>
      </c>
      <c r="I40" s="139">
        <f>'1510'!I41</f>
        <v/>
      </c>
    </row>
    <row r="41" outlineLevel="1" ht="15" customHeight="1" s="82">
      <c r="A41" s="139">
        <f>'1510'!A42</f>
        <v/>
      </c>
      <c r="B41" s="139">
        <f>'1510'!B42</f>
        <v/>
      </c>
      <c r="C41" s="139">
        <f>'1510'!D42</f>
        <v/>
      </c>
      <c r="D41" s="140">
        <f>'1510'!E42</f>
        <v/>
      </c>
      <c r="E41" s="140">
        <f>'1510'!F42</f>
        <v/>
      </c>
      <c r="F41" s="139">
        <f>'1510'!C42</f>
        <v/>
      </c>
      <c r="G41" s="155">
        <f>'1510'!G42</f>
        <v/>
      </c>
      <c r="H41" s="155">
        <f>'1510'!H42</f>
        <v/>
      </c>
      <c r="I41" s="139">
        <f>'1510'!I42</f>
        <v/>
      </c>
    </row>
    <row r="42" outlineLevel="1" ht="15" customHeight="1" s="82">
      <c r="A42" s="139">
        <f>'1510'!A43</f>
        <v/>
      </c>
      <c r="B42" s="139">
        <f>'1510'!B43</f>
        <v/>
      </c>
      <c r="C42" s="139">
        <f>'1510'!D43</f>
        <v/>
      </c>
      <c r="D42" s="140">
        <f>'1510'!E43</f>
        <v/>
      </c>
      <c r="E42" s="140">
        <f>'1510'!F43</f>
        <v/>
      </c>
      <c r="F42" s="139">
        <f>'1510'!C43</f>
        <v/>
      </c>
      <c r="G42" s="155">
        <f>'1510'!G43</f>
        <v/>
      </c>
      <c r="H42" s="155">
        <f>'1510'!H43</f>
        <v/>
      </c>
      <c r="I42" s="139">
        <f>'1510'!I43</f>
        <v/>
      </c>
    </row>
    <row r="43" outlineLevel="1" ht="15" customHeight="1" s="82">
      <c r="A43" s="139">
        <f>'1510'!A44</f>
        <v/>
      </c>
      <c r="B43" s="139">
        <f>'1510'!B44</f>
        <v/>
      </c>
      <c r="C43" s="139">
        <f>'1510'!D44</f>
        <v/>
      </c>
      <c r="D43" s="140">
        <f>'1510'!E44</f>
        <v/>
      </c>
      <c r="E43" s="140">
        <f>'1510'!F44</f>
        <v/>
      </c>
      <c r="F43" s="139">
        <f>'1510'!C44</f>
        <v/>
      </c>
      <c r="G43" s="155">
        <f>'1510'!G44</f>
        <v/>
      </c>
      <c r="H43" s="155">
        <f>'1510'!H44</f>
        <v/>
      </c>
      <c r="I43" s="139">
        <f>'1510'!I44</f>
        <v/>
      </c>
    </row>
    <row r="44" outlineLevel="1" ht="15" customHeight="1" s="82">
      <c r="A44" s="139">
        <f>'1510'!A45</f>
        <v/>
      </c>
      <c r="B44" s="139">
        <f>'1510'!B45</f>
        <v/>
      </c>
      <c r="C44" s="139">
        <f>'1510'!D45</f>
        <v/>
      </c>
      <c r="D44" s="140">
        <f>'1510'!E45</f>
        <v/>
      </c>
      <c r="E44" s="140">
        <f>'1510'!F45</f>
        <v/>
      </c>
      <c r="F44" s="139">
        <f>'1510'!C45</f>
        <v/>
      </c>
      <c r="G44" s="155">
        <f>'1510'!G45</f>
        <v/>
      </c>
      <c r="H44" s="155">
        <f>'1510'!H45</f>
        <v/>
      </c>
      <c r="I44" s="139">
        <f>'1510'!I45</f>
        <v/>
      </c>
    </row>
    <row r="45" outlineLevel="1" ht="15" customHeight="1" s="82">
      <c r="A45" s="139">
        <f>'1510'!A46</f>
        <v/>
      </c>
      <c r="B45" s="139">
        <f>'1510'!B46</f>
        <v/>
      </c>
      <c r="C45" s="139">
        <f>'1510'!D46</f>
        <v/>
      </c>
      <c r="D45" s="140">
        <f>'1510'!E46</f>
        <v/>
      </c>
      <c r="E45" s="140">
        <f>'1510'!F46</f>
        <v/>
      </c>
      <c r="F45" s="139">
        <f>'1510'!C46</f>
        <v/>
      </c>
      <c r="G45" s="155">
        <f>'1510'!G46</f>
        <v/>
      </c>
      <c r="H45" s="155">
        <f>'1510'!H46</f>
        <v/>
      </c>
      <c r="I45" s="139">
        <f>'1510'!I46</f>
        <v/>
      </c>
    </row>
    <row r="46" outlineLevel="1" ht="15" customHeight="1" s="82">
      <c r="A46" s="139">
        <f>'1510'!A47</f>
        <v/>
      </c>
      <c r="B46" s="139">
        <f>'1510'!B47</f>
        <v/>
      </c>
      <c r="C46" s="139">
        <f>'1510'!D47</f>
        <v/>
      </c>
      <c r="D46" s="140">
        <f>'1510'!E47</f>
        <v/>
      </c>
      <c r="E46" s="140">
        <f>'1510'!F47</f>
        <v/>
      </c>
      <c r="F46" s="139">
        <f>'1510'!C47</f>
        <v/>
      </c>
      <c r="G46" s="155">
        <f>'1510'!G47</f>
        <v/>
      </c>
      <c r="H46" s="155">
        <f>'1510'!H47</f>
        <v/>
      </c>
      <c r="I46" s="139">
        <f>'1510'!I47</f>
        <v/>
      </c>
    </row>
    <row r="47" outlineLevel="1" ht="15" customHeight="1" s="82">
      <c r="A47" s="139">
        <f>'1510'!A48</f>
        <v/>
      </c>
      <c r="B47" s="139">
        <f>'1510'!B48</f>
        <v/>
      </c>
      <c r="C47" s="139">
        <f>'1510'!D48</f>
        <v/>
      </c>
      <c r="D47" s="140">
        <f>'1510'!E48</f>
        <v/>
      </c>
      <c r="E47" s="140">
        <f>'1510'!F48</f>
        <v/>
      </c>
      <c r="F47" s="139">
        <f>'1510'!C48</f>
        <v/>
      </c>
      <c r="G47" s="155">
        <f>'1510'!G48</f>
        <v/>
      </c>
      <c r="H47" s="155">
        <f>'1510'!H48</f>
        <v/>
      </c>
      <c r="I47" s="139">
        <f>'1510'!I48</f>
        <v/>
      </c>
    </row>
    <row r="48" outlineLevel="1" ht="15" customHeight="1" s="82">
      <c r="A48" s="139">
        <f>'1510'!A49</f>
        <v/>
      </c>
      <c r="B48" s="139">
        <f>'1510'!B49</f>
        <v/>
      </c>
      <c r="C48" s="139">
        <f>'1510'!D49</f>
        <v/>
      </c>
      <c r="D48" s="140">
        <f>'1510'!E49</f>
        <v/>
      </c>
      <c r="E48" s="140">
        <f>'1510'!F49</f>
        <v/>
      </c>
      <c r="F48" s="139">
        <f>'1510'!C49</f>
        <v/>
      </c>
      <c r="G48" s="155">
        <f>'1510'!G49</f>
        <v/>
      </c>
      <c r="H48" s="155">
        <f>'1510'!H49</f>
        <v/>
      </c>
      <c r="I48" s="139">
        <f>'1510'!I49</f>
        <v/>
      </c>
    </row>
    <row r="49" outlineLevel="1" ht="15" customHeight="1" s="82">
      <c r="A49" s="139">
        <f>'1510'!A50</f>
        <v/>
      </c>
      <c r="B49" s="139">
        <f>'1510'!B50</f>
        <v/>
      </c>
      <c r="C49" s="139">
        <f>'1510'!D50</f>
        <v/>
      </c>
      <c r="D49" s="140">
        <f>'1510'!E50</f>
        <v/>
      </c>
      <c r="E49" s="140">
        <f>'1510'!F50</f>
        <v/>
      </c>
      <c r="F49" s="139">
        <f>'1510'!C50</f>
        <v/>
      </c>
      <c r="G49" s="155">
        <f>'1510'!G50</f>
        <v/>
      </c>
      <c r="H49" s="155">
        <f>'1510'!H50</f>
        <v/>
      </c>
      <c r="I49" s="139">
        <f>'1510'!I50</f>
        <v/>
      </c>
    </row>
    <row r="50" outlineLevel="1" ht="15" customHeight="1" s="82">
      <c r="A50" s="139">
        <f>'1510'!A51</f>
        <v/>
      </c>
      <c r="B50" s="139">
        <f>'1510'!B51</f>
        <v/>
      </c>
      <c r="C50" s="139">
        <f>'1510'!D51</f>
        <v/>
      </c>
      <c r="D50" s="140">
        <f>'1510'!E51</f>
        <v/>
      </c>
      <c r="E50" s="140">
        <f>'1510'!F51</f>
        <v/>
      </c>
      <c r="F50" s="139">
        <f>'1510'!C51</f>
        <v/>
      </c>
      <c r="G50" s="155">
        <f>'1510'!G51</f>
        <v/>
      </c>
      <c r="H50" s="155">
        <f>'1510'!H51</f>
        <v/>
      </c>
      <c r="I50" s="139">
        <f>'1510'!I51</f>
        <v/>
      </c>
    </row>
    <row r="51" outlineLevel="1" ht="15" customHeight="1" s="82">
      <c r="A51" s="139">
        <f>'1510'!A52</f>
        <v/>
      </c>
      <c r="B51" s="139">
        <f>'1510'!B52</f>
        <v/>
      </c>
      <c r="C51" s="139">
        <f>'1510'!D52</f>
        <v/>
      </c>
      <c r="D51" s="140">
        <f>'1510'!E52</f>
        <v/>
      </c>
      <c r="E51" s="140">
        <f>'1510'!F52</f>
        <v/>
      </c>
      <c r="F51" s="139">
        <f>'1510'!C52</f>
        <v/>
      </c>
      <c r="G51" s="155">
        <f>'1510'!G52</f>
        <v/>
      </c>
      <c r="H51" s="155">
        <f>'1510'!H52</f>
        <v/>
      </c>
      <c r="I51" s="139">
        <f>'1510'!I52</f>
        <v/>
      </c>
    </row>
    <row r="52" outlineLevel="1" ht="15" customHeight="1" s="82">
      <c r="A52" s="139">
        <f>'1510'!A53</f>
        <v/>
      </c>
      <c r="B52" s="139">
        <f>'1510'!B53</f>
        <v/>
      </c>
      <c r="C52" s="139">
        <f>'1510'!D53</f>
        <v/>
      </c>
      <c r="D52" s="140">
        <f>'1510'!E53</f>
        <v/>
      </c>
      <c r="E52" s="140">
        <f>'1510'!F53</f>
        <v/>
      </c>
      <c r="F52" s="139">
        <f>'1510'!C53</f>
        <v/>
      </c>
      <c r="G52" s="155">
        <f>'1510'!G53</f>
        <v/>
      </c>
      <c r="H52" s="155">
        <f>'1510'!H53</f>
        <v/>
      </c>
      <c r="I52" s="139">
        <f>'1510'!I53</f>
        <v/>
      </c>
    </row>
    <row r="53" outlineLevel="1" ht="15" customHeight="1" s="82">
      <c r="A53" s="139">
        <f>'1510'!A54</f>
        <v/>
      </c>
      <c r="B53" s="139">
        <f>'1510'!B54</f>
        <v/>
      </c>
      <c r="C53" s="139">
        <f>'1510'!D54</f>
        <v/>
      </c>
      <c r="D53" s="140">
        <f>'1510'!E54</f>
        <v/>
      </c>
      <c r="E53" s="140">
        <f>'1510'!F54</f>
        <v/>
      </c>
      <c r="F53" s="139">
        <f>'1510'!C54</f>
        <v/>
      </c>
      <c r="G53" s="155">
        <f>'1510'!G54</f>
        <v/>
      </c>
      <c r="H53" s="155">
        <f>'1510'!H54</f>
        <v/>
      </c>
      <c r="I53" s="139">
        <f>'1510'!I54</f>
        <v/>
      </c>
    </row>
    <row r="54" outlineLevel="1" ht="15" customHeight="1" s="82">
      <c r="A54" s="139">
        <f>'1510'!A55</f>
        <v/>
      </c>
      <c r="B54" s="139">
        <f>'1510'!B55</f>
        <v/>
      </c>
      <c r="C54" s="139">
        <f>'1510'!D55</f>
        <v/>
      </c>
      <c r="D54" s="140">
        <f>'1510'!E55</f>
        <v/>
      </c>
      <c r="E54" s="140">
        <f>'1510'!F55</f>
        <v/>
      </c>
      <c r="F54" s="139">
        <f>'1510'!C55</f>
        <v/>
      </c>
      <c r="G54" s="155">
        <f>'1510'!G55</f>
        <v/>
      </c>
      <c r="H54" s="155">
        <f>'1510'!H55</f>
        <v/>
      </c>
      <c r="I54" s="139">
        <f>'1510'!I55</f>
        <v/>
      </c>
    </row>
    <row r="55" outlineLevel="1" ht="15" customHeight="1" s="82">
      <c r="A55" s="139">
        <f>'1510'!A56</f>
        <v/>
      </c>
      <c r="B55" s="139">
        <f>'1510'!B56</f>
        <v/>
      </c>
      <c r="C55" s="139">
        <f>'1510'!D56</f>
        <v/>
      </c>
      <c r="D55" s="140">
        <f>'1510'!E56</f>
        <v/>
      </c>
      <c r="E55" s="140">
        <f>'1510'!F56</f>
        <v/>
      </c>
      <c r="F55" s="139">
        <f>'1510'!C56</f>
        <v/>
      </c>
      <c r="G55" s="155">
        <f>'1510'!G56</f>
        <v/>
      </c>
      <c r="H55" s="155">
        <f>'1510'!H56</f>
        <v/>
      </c>
      <c r="I55" s="139">
        <f>'1510'!I56</f>
        <v/>
      </c>
    </row>
    <row r="56" outlineLevel="1" ht="15" customHeight="1" s="82">
      <c r="A56" s="139">
        <f>'1510'!A57</f>
        <v/>
      </c>
      <c r="B56" s="139">
        <f>'1510'!B57</f>
        <v/>
      </c>
      <c r="C56" s="139">
        <f>'1510'!D57</f>
        <v/>
      </c>
      <c r="D56" s="140">
        <f>'1510'!E57</f>
        <v/>
      </c>
      <c r="E56" s="140">
        <f>'1510'!F57</f>
        <v/>
      </c>
      <c r="F56" s="139">
        <f>'1510'!C57</f>
        <v/>
      </c>
      <c r="G56" s="155">
        <f>'1510'!G57</f>
        <v/>
      </c>
      <c r="H56" s="155">
        <f>'1510'!H57</f>
        <v/>
      </c>
      <c r="I56" s="139">
        <f>'1510'!I57</f>
        <v/>
      </c>
    </row>
    <row r="57" outlineLevel="1" ht="15" customHeight="1" s="82">
      <c r="A57" s="139">
        <f>'1510'!A58</f>
        <v/>
      </c>
      <c r="B57" s="139">
        <f>'1510'!B58</f>
        <v/>
      </c>
      <c r="C57" s="139">
        <f>'1510'!D58</f>
        <v/>
      </c>
      <c r="D57" s="140">
        <f>'1510'!E58</f>
        <v/>
      </c>
      <c r="E57" s="140">
        <f>'1510'!F58</f>
        <v/>
      </c>
      <c r="F57" s="139">
        <f>'1510'!C58</f>
        <v/>
      </c>
      <c r="G57" s="155">
        <f>'1510'!G58</f>
        <v/>
      </c>
      <c r="H57" s="155">
        <f>'1510'!H58</f>
        <v/>
      </c>
      <c r="I57" s="139">
        <f>'1510'!I58</f>
        <v/>
      </c>
    </row>
    <row r="58" outlineLevel="1" ht="15" customHeight="1" s="82">
      <c r="A58" s="139">
        <f>'1510'!A59</f>
        <v/>
      </c>
      <c r="B58" s="139">
        <f>'1510'!B59</f>
        <v/>
      </c>
      <c r="C58" s="139">
        <f>'1510'!D59</f>
        <v/>
      </c>
      <c r="D58" s="140">
        <f>'1510'!E59</f>
        <v/>
      </c>
      <c r="E58" s="140">
        <f>'1510'!F59</f>
        <v/>
      </c>
      <c r="F58" s="139">
        <f>'1510'!C59</f>
        <v/>
      </c>
      <c r="G58" s="155">
        <f>'1510'!G59</f>
        <v/>
      </c>
      <c r="H58" s="155">
        <f>'1510'!H59</f>
        <v/>
      </c>
      <c r="I58" s="139">
        <f>'1510'!I59</f>
        <v/>
      </c>
    </row>
    <row r="59" outlineLevel="1" ht="15" customHeight="1" s="82">
      <c r="A59" s="139">
        <f>'1510'!A60</f>
        <v/>
      </c>
      <c r="B59" s="139">
        <f>'1510'!B60</f>
        <v/>
      </c>
      <c r="C59" s="139">
        <f>'1510'!D60</f>
        <v/>
      </c>
      <c r="D59" s="140">
        <f>'1510'!E60</f>
        <v/>
      </c>
      <c r="E59" s="140">
        <f>'1510'!F60</f>
        <v/>
      </c>
      <c r="F59" s="139">
        <f>'1510'!C60</f>
        <v/>
      </c>
      <c r="G59" s="155">
        <f>'1510'!G60</f>
        <v/>
      </c>
      <c r="H59" s="155">
        <f>'1510'!H60</f>
        <v/>
      </c>
      <c r="I59" s="139">
        <f>'1510'!I60</f>
        <v/>
      </c>
    </row>
    <row r="60" outlineLevel="1" ht="15" customHeight="1" s="82">
      <c r="A60" s="139">
        <f>'1510'!A61</f>
        <v/>
      </c>
      <c r="B60" s="139">
        <f>'1510'!B61</f>
        <v/>
      </c>
      <c r="C60" s="139">
        <f>'1510'!D61</f>
        <v/>
      </c>
      <c r="D60" s="140">
        <f>'1510'!E61</f>
        <v/>
      </c>
      <c r="E60" s="140">
        <f>'1510'!F61</f>
        <v/>
      </c>
      <c r="F60" s="139">
        <f>'1510'!C61</f>
        <v/>
      </c>
      <c r="G60" s="155">
        <f>'1510'!G61</f>
        <v/>
      </c>
      <c r="H60" s="155">
        <f>'1510'!H61</f>
        <v/>
      </c>
      <c r="I60" s="139">
        <f>'1510'!I61</f>
        <v/>
      </c>
    </row>
    <row r="61" outlineLevel="1" ht="15" customHeight="1" s="82">
      <c r="A61" s="139">
        <f>'1510'!A62</f>
        <v/>
      </c>
      <c r="B61" s="139">
        <f>'1510'!B62</f>
        <v/>
      </c>
      <c r="C61" s="139">
        <f>'1510'!D62</f>
        <v/>
      </c>
      <c r="D61" s="140">
        <f>'1510'!E62</f>
        <v/>
      </c>
      <c r="E61" s="140">
        <f>'1510'!F62</f>
        <v/>
      </c>
      <c r="F61" s="139">
        <f>'1510'!C62</f>
        <v/>
      </c>
      <c r="G61" s="155">
        <f>'1510'!G62</f>
        <v/>
      </c>
      <c r="H61" s="155">
        <f>'1510'!H62</f>
        <v/>
      </c>
      <c r="I61" s="139">
        <f>'1510'!I62</f>
        <v/>
      </c>
    </row>
    <row r="62" outlineLevel="1" ht="15" customHeight="1" s="82">
      <c r="A62" s="139">
        <f>'1510'!A63</f>
        <v/>
      </c>
      <c r="B62" s="139">
        <f>'1510'!B63</f>
        <v/>
      </c>
      <c r="C62" s="139">
        <f>'1510'!D63</f>
        <v/>
      </c>
      <c r="D62" s="140">
        <f>'1510'!E63</f>
        <v/>
      </c>
      <c r="E62" s="140">
        <f>'1510'!F63</f>
        <v/>
      </c>
      <c r="F62" s="139">
        <f>'1510'!C63</f>
        <v/>
      </c>
      <c r="G62" s="155">
        <f>'1510'!G63</f>
        <v/>
      </c>
      <c r="H62" s="155">
        <f>'1510'!H63</f>
        <v/>
      </c>
      <c r="I62" s="139">
        <f>'1510'!I63</f>
        <v/>
      </c>
    </row>
    <row r="63" outlineLevel="1" ht="15" customHeight="1" s="82">
      <c r="A63" s="139">
        <f>'1510'!A64</f>
        <v/>
      </c>
      <c r="B63" s="139">
        <f>'1510'!B64</f>
        <v/>
      </c>
      <c r="C63" s="139">
        <f>'1510'!D64</f>
        <v/>
      </c>
      <c r="D63" s="140">
        <f>'1510'!E64</f>
        <v/>
      </c>
      <c r="E63" s="140">
        <f>'1510'!F64</f>
        <v/>
      </c>
      <c r="F63" s="139">
        <f>'1510'!C64</f>
        <v/>
      </c>
      <c r="G63" s="155">
        <f>'1510'!G64</f>
        <v/>
      </c>
      <c r="H63" s="155">
        <f>'1510'!H64</f>
        <v/>
      </c>
      <c r="I63" s="139">
        <f>'1510'!I64</f>
        <v/>
      </c>
    </row>
    <row r="64" outlineLevel="1" ht="15" customHeight="1" s="82">
      <c r="A64" s="139">
        <f>'1510'!A65</f>
        <v/>
      </c>
      <c r="B64" s="139">
        <f>'1510'!B65</f>
        <v/>
      </c>
      <c r="C64" s="139">
        <f>'1510'!D65</f>
        <v/>
      </c>
      <c r="D64" s="140">
        <f>'1510'!E65</f>
        <v/>
      </c>
      <c r="E64" s="140">
        <f>'1510'!F65</f>
        <v/>
      </c>
      <c r="F64" s="139">
        <f>'1510'!C65</f>
        <v/>
      </c>
      <c r="G64" s="155">
        <f>'1510'!G65</f>
        <v/>
      </c>
      <c r="H64" s="155">
        <f>'1510'!H65</f>
        <v/>
      </c>
      <c r="I64" s="139">
        <f>'1510'!I65</f>
        <v/>
      </c>
    </row>
    <row r="65" outlineLevel="1" ht="15" customHeight="1" s="82">
      <c r="A65" s="139">
        <f>'1510'!A66</f>
        <v/>
      </c>
      <c r="B65" s="139">
        <f>'1510'!B66</f>
        <v/>
      </c>
      <c r="C65" s="139">
        <f>'1510'!D66</f>
        <v/>
      </c>
      <c r="D65" s="140">
        <f>'1510'!E66</f>
        <v/>
      </c>
      <c r="E65" s="140">
        <f>'1510'!F66</f>
        <v/>
      </c>
      <c r="F65" s="139">
        <f>'1510'!C66</f>
        <v/>
      </c>
      <c r="G65" s="155">
        <f>'1510'!G66</f>
        <v/>
      </c>
      <c r="H65" s="155">
        <f>'1510'!H66</f>
        <v/>
      </c>
      <c r="I65" s="139">
        <f>'1510'!I66</f>
        <v/>
      </c>
    </row>
    <row r="66" outlineLevel="1" ht="15" customHeight="1" s="82">
      <c r="A66" s="139">
        <f>'1510'!A67</f>
        <v/>
      </c>
      <c r="B66" s="139">
        <f>'1510'!B67</f>
        <v/>
      </c>
      <c r="C66" s="139">
        <f>'1510'!D67</f>
        <v/>
      </c>
      <c r="D66" s="140">
        <f>'1510'!E67</f>
        <v/>
      </c>
      <c r="E66" s="140">
        <f>'1510'!F67</f>
        <v/>
      </c>
      <c r="F66" s="139">
        <f>'1510'!C67</f>
        <v/>
      </c>
      <c r="G66" s="155">
        <f>'1510'!G67</f>
        <v/>
      </c>
      <c r="H66" s="155">
        <f>'1510'!H67</f>
        <v/>
      </c>
      <c r="I66" s="139">
        <f>'1510'!I67</f>
        <v/>
      </c>
    </row>
    <row r="67" outlineLevel="1" ht="15" customHeight="1" s="82">
      <c r="A67" s="139">
        <f>'1510'!A68</f>
        <v/>
      </c>
      <c r="B67" s="139">
        <f>'1510'!B68</f>
        <v/>
      </c>
      <c r="C67" s="139">
        <f>'1510'!D68</f>
        <v/>
      </c>
      <c r="D67" s="140">
        <f>'1510'!E68</f>
        <v/>
      </c>
      <c r="E67" s="140">
        <f>'1510'!F68</f>
        <v/>
      </c>
      <c r="F67" s="139">
        <f>'1510'!C68</f>
        <v/>
      </c>
      <c r="G67" s="155">
        <f>'1510'!G68</f>
        <v/>
      </c>
      <c r="H67" s="155">
        <f>'1510'!H68</f>
        <v/>
      </c>
      <c r="I67" s="139">
        <f>'1510'!I68</f>
        <v/>
      </c>
    </row>
    <row r="68" outlineLevel="1" ht="15" customHeight="1" s="82">
      <c r="A68" s="139">
        <f>'1510'!A69</f>
        <v/>
      </c>
      <c r="B68" s="139">
        <f>'1510'!B69</f>
        <v/>
      </c>
      <c r="C68" s="139">
        <f>'1510'!D69</f>
        <v/>
      </c>
      <c r="D68" s="140">
        <f>'1510'!E69</f>
        <v/>
      </c>
      <c r="E68" s="140">
        <f>'1510'!F69</f>
        <v/>
      </c>
      <c r="F68" s="139">
        <f>'1510'!C69</f>
        <v/>
      </c>
      <c r="G68" s="155">
        <f>'1510'!G69</f>
        <v/>
      </c>
      <c r="H68" s="155">
        <f>'1510'!H69</f>
        <v/>
      </c>
      <c r="I68" s="139">
        <f>'1510'!I69</f>
        <v/>
      </c>
    </row>
    <row r="69" outlineLevel="1" ht="15" customHeight="1" s="82">
      <c r="A69" s="139">
        <f>'1510'!A70</f>
        <v/>
      </c>
      <c r="B69" s="139">
        <f>'1510'!B70</f>
        <v/>
      </c>
      <c r="C69" s="139">
        <f>'1510'!D70</f>
        <v/>
      </c>
      <c r="D69" s="140">
        <f>'1510'!E70</f>
        <v/>
      </c>
      <c r="E69" s="140">
        <f>'1510'!F70</f>
        <v/>
      </c>
      <c r="F69" s="139">
        <f>'1510'!C70</f>
        <v/>
      </c>
      <c r="G69" s="155">
        <f>'1510'!G70</f>
        <v/>
      </c>
      <c r="H69" s="155">
        <f>'1510'!H70</f>
        <v/>
      </c>
      <c r="I69" s="139">
        <f>'1510'!I70</f>
        <v/>
      </c>
    </row>
    <row r="70" outlineLevel="1" ht="15" customHeight="1" s="82">
      <c r="A70" s="139">
        <f>'1510'!A71</f>
        <v/>
      </c>
      <c r="B70" s="139">
        <f>'1510'!B71</f>
        <v/>
      </c>
      <c r="C70" s="139">
        <f>'1510'!D71</f>
        <v/>
      </c>
      <c r="D70" s="140">
        <f>'1510'!E71</f>
        <v/>
      </c>
      <c r="E70" s="140">
        <f>'1510'!F71</f>
        <v/>
      </c>
      <c r="F70" s="139">
        <f>'1510'!C71</f>
        <v/>
      </c>
      <c r="G70" s="155">
        <f>'1510'!G71</f>
        <v/>
      </c>
      <c r="H70" s="155">
        <f>'1510'!H71</f>
        <v/>
      </c>
      <c r="I70" s="139">
        <f>'1510'!I71</f>
        <v/>
      </c>
    </row>
    <row r="71" outlineLevel="1" ht="15" customHeight="1" s="82">
      <c r="A71" s="139">
        <f>'1510'!A72</f>
        <v/>
      </c>
      <c r="B71" s="139">
        <f>'1510'!B72</f>
        <v/>
      </c>
      <c r="C71" s="139">
        <f>'1510'!D72</f>
        <v/>
      </c>
      <c r="D71" s="140">
        <f>'1510'!E72</f>
        <v/>
      </c>
      <c r="E71" s="140">
        <f>'1510'!F72</f>
        <v/>
      </c>
      <c r="F71" s="139">
        <f>'1510'!C72</f>
        <v/>
      </c>
      <c r="G71" s="155">
        <f>'1510'!G72</f>
        <v/>
      </c>
      <c r="H71" s="155">
        <f>'1510'!H72</f>
        <v/>
      </c>
      <c r="I71" s="139">
        <f>'1510'!I72</f>
        <v/>
      </c>
    </row>
    <row r="72" outlineLevel="1" ht="15" customHeight="1" s="82">
      <c r="A72" s="139">
        <f>'1510'!A73</f>
        <v/>
      </c>
      <c r="B72" s="139">
        <f>'1510'!B73</f>
        <v/>
      </c>
      <c r="C72" s="139">
        <f>'1510'!D73</f>
        <v/>
      </c>
      <c r="D72" s="140">
        <f>'1510'!E73</f>
        <v/>
      </c>
      <c r="E72" s="140">
        <f>'1510'!F73</f>
        <v/>
      </c>
      <c r="F72" s="139">
        <f>'1510'!C73</f>
        <v/>
      </c>
      <c r="G72" s="155">
        <f>'1510'!G73</f>
        <v/>
      </c>
      <c r="H72" s="155">
        <f>'1510'!H73</f>
        <v/>
      </c>
      <c r="I72" s="139">
        <f>'1510'!I73</f>
        <v/>
      </c>
    </row>
    <row r="73" outlineLevel="1" ht="15" customHeight="1" s="82">
      <c r="A73" s="139">
        <f>'1510'!A74</f>
        <v/>
      </c>
      <c r="B73" s="139">
        <f>'1510'!B74</f>
        <v/>
      </c>
      <c r="C73" s="139">
        <f>'1510'!D74</f>
        <v/>
      </c>
      <c r="D73" s="140">
        <f>'1510'!E74</f>
        <v/>
      </c>
      <c r="E73" s="140">
        <f>'1510'!F74</f>
        <v/>
      </c>
      <c r="F73" s="139">
        <f>'1510'!C74</f>
        <v/>
      </c>
      <c r="G73" s="155">
        <f>'1510'!G74</f>
        <v/>
      </c>
      <c r="H73" s="155">
        <f>'1510'!H74</f>
        <v/>
      </c>
      <c r="I73" s="139">
        <f>'1510'!I74</f>
        <v/>
      </c>
    </row>
    <row r="74" outlineLevel="1" ht="15" customHeight="1" s="82">
      <c r="A74" s="139">
        <f>'1510'!A75</f>
        <v/>
      </c>
      <c r="B74" s="139">
        <f>'1510'!B75</f>
        <v/>
      </c>
      <c r="C74" s="139">
        <f>'1510'!D75</f>
        <v/>
      </c>
      <c r="D74" s="140">
        <f>'1510'!E75</f>
        <v/>
      </c>
      <c r="E74" s="140">
        <f>'1510'!F75</f>
        <v/>
      </c>
      <c r="F74" s="139">
        <f>'1510'!C75</f>
        <v/>
      </c>
      <c r="G74" s="155">
        <f>'1510'!G75</f>
        <v/>
      </c>
      <c r="H74" s="155">
        <f>'1510'!H75</f>
        <v/>
      </c>
      <c r="I74" s="139">
        <f>'1510'!I75</f>
        <v/>
      </c>
    </row>
    <row r="75" outlineLevel="1" ht="15" customHeight="1" s="82">
      <c r="A75" s="139">
        <f>'1510'!A76</f>
        <v/>
      </c>
      <c r="B75" s="139">
        <f>'1510'!B76</f>
        <v/>
      </c>
      <c r="C75" s="139">
        <f>'1510'!D76</f>
        <v/>
      </c>
      <c r="D75" s="140">
        <f>'1510'!E76</f>
        <v/>
      </c>
      <c r="E75" s="140">
        <f>'1510'!F76</f>
        <v/>
      </c>
      <c r="F75" s="139">
        <f>'1510'!C76</f>
        <v/>
      </c>
      <c r="G75" s="155">
        <f>'1510'!G76</f>
        <v/>
      </c>
      <c r="H75" s="155">
        <f>'1510'!H76</f>
        <v/>
      </c>
      <c r="I75" s="139">
        <f>'1510'!I76</f>
        <v/>
      </c>
    </row>
    <row r="76" outlineLevel="1" ht="15" customHeight="1" s="82">
      <c r="A76" s="139">
        <f>'1510'!A77</f>
        <v/>
      </c>
      <c r="B76" s="139">
        <f>'1510'!B77</f>
        <v/>
      </c>
      <c r="C76" s="139">
        <f>'1510'!D77</f>
        <v/>
      </c>
      <c r="D76" s="140">
        <f>'1510'!E77</f>
        <v/>
      </c>
      <c r="E76" s="140">
        <f>'1510'!F77</f>
        <v/>
      </c>
      <c r="F76" s="139">
        <f>'1510'!C77</f>
        <v/>
      </c>
      <c r="G76" s="155">
        <f>'1510'!G77</f>
        <v/>
      </c>
      <c r="H76" s="155">
        <f>'1510'!H77</f>
        <v/>
      </c>
      <c r="I76" s="139">
        <f>'1510'!I77</f>
        <v/>
      </c>
    </row>
    <row r="77" outlineLevel="1" ht="15" customHeight="1" s="82">
      <c r="A77" s="139">
        <f>'1510'!A78</f>
        <v/>
      </c>
      <c r="B77" s="139">
        <f>'1510'!B78</f>
        <v/>
      </c>
      <c r="C77" s="139">
        <f>'1510'!D78</f>
        <v/>
      </c>
      <c r="D77" s="140">
        <f>'1510'!E78</f>
        <v/>
      </c>
      <c r="E77" s="140">
        <f>'1510'!F78</f>
        <v/>
      </c>
      <c r="F77" s="139">
        <f>'1510'!C78</f>
        <v/>
      </c>
      <c r="G77" s="155">
        <f>'1510'!G78</f>
        <v/>
      </c>
      <c r="H77" s="155">
        <f>'1510'!H78</f>
        <v/>
      </c>
      <c r="I77" s="139">
        <f>'1510'!I78</f>
        <v/>
      </c>
    </row>
    <row r="78" outlineLevel="1" ht="15" customHeight="1" s="82">
      <c r="A78" s="139">
        <f>'1510'!A79</f>
        <v/>
      </c>
      <c r="B78" s="139">
        <f>'1510'!B79</f>
        <v/>
      </c>
      <c r="C78" s="139">
        <f>'1510'!D79</f>
        <v/>
      </c>
      <c r="D78" s="140">
        <f>'1510'!E79</f>
        <v/>
      </c>
      <c r="E78" s="140">
        <f>'1510'!F79</f>
        <v/>
      </c>
      <c r="F78" s="139">
        <f>'1510'!C79</f>
        <v/>
      </c>
      <c r="G78" s="155">
        <f>'1510'!G79</f>
        <v/>
      </c>
      <c r="H78" s="155">
        <f>'1510'!H79</f>
        <v/>
      </c>
      <c r="I78" s="139">
        <f>'1510'!I79</f>
        <v/>
      </c>
    </row>
    <row r="79" outlineLevel="1" ht="15" customHeight="1" s="82">
      <c r="A79" s="139">
        <f>'1510'!A80</f>
        <v/>
      </c>
      <c r="B79" s="139">
        <f>'1510'!B80</f>
        <v/>
      </c>
      <c r="C79" s="139">
        <f>'1510'!D80</f>
        <v/>
      </c>
      <c r="D79" s="140">
        <f>'1510'!E80</f>
        <v/>
      </c>
      <c r="E79" s="140">
        <f>'1510'!F80</f>
        <v/>
      </c>
      <c r="F79" s="139">
        <f>'1510'!C80</f>
        <v/>
      </c>
      <c r="G79" s="155">
        <f>'1510'!G80</f>
        <v/>
      </c>
      <c r="H79" s="155">
        <f>'1510'!H80</f>
        <v/>
      </c>
      <c r="I79" s="139">
        <f>'1510'!I80</f>
        <v/>
      </c>
    </row>
    <row r="80" outlineLevel="1" ht="15" customHeight="1" s="82">
      <c r="A80" s="139">
        <f>'1510'!A81</f>
        <v/>
      </c>
      <c r="B80" s="139">
        <f>'1510'!B81</f>
        <v/>
      </c>
      <c r="C80" s="139">
        <f>'1510'!D81</f>
        <v/>
      </c>
      <c r="D80" s="140">
        <f>'1510'!E81</f>
        <v/>
      </c>
      <c r="E80" s="140">
        <f>'1510'!F81</f>
        <v/>
      </c>
      <c r="F80" s="139">
        <f>'1510'!C81</f>
        <v/>
      </c>
      <c r="G80" s="155">
        <f>'1510'!G81</f>
        <v/>
      </c>
      <c r="H80" s="155">
        <f>'1510'!H81</f>
        <v/>
      </c>
      <c r="I80" s="139">
        <f>'1510'!I81</f>
        <v/>
      </c>
    </row>
    <row r="81" outlineLevel="1" ht="15" customHeight="1" s="82">
      <c r="A81" s="139">
        <f>'1510'!A82</f>
        <v/>
      </c>
      <c r="B81" s="139">
        <f>'1510'!B82</f>
        <v/>
      </c>
      <c r="C81" s="139">
        <f>'1510'!D82</f>
        <v/>
      </c>
      <c r="D81" s="140">
        <f>'1510'!E82</f>
        <v/>
      </c>
      <c r="E81" s="140">
        <f>'1510'!F82</f>
        <v/>
      </c>
      <c r="F81" s="139">
        <f>'1510'!C82</f>
        <v/>
      </c>
      <c r="G81" s="155">
        <f>'1510'!G82</f>
        <v/>
      </c>
      <c r="H81" s="155">
        <f>'1510'!H82</f>
        <v/>
      </c>
      <c r="I81" s="139">
        <f>'1510'!I82</f>
        <v/>
      </c>
    </row>
    <row r="82" outlineLevel="1" ht="15" customHeight="1" s="82">
      <c r="A82" s="139">
        <f>'1510'!A83</f>
        <v/>
      </c>
      <c r="B82" s="139">
        <f>'1510'!B83</f>
        <v/>
      </c>
      <c r="C82" s="139">
        <f>'1510'!D83</f>
        <v/>
      </c>
      <c r="D82" s="140">
        <f>'1510'!E83</f>
        <v/>
      </c>
      <c r="E82" s="140">
        <f>'1510'!F83</f>
        <v/>
      </c>
      <c r="F82" s="139">
        <f>'1510'!C83</f>
        <v/>
      </c>
      <c r="G82" s="155">
        <f>'1510'!G83</f>
        <v/>
      </c>
      <c r="H82" s="155">
        <f>'1510'!H83</f>
        <v/>
      </c>
      <c r="I82" s="139">
        <f>'1510'!I83</f>
        <v/>
      </c>
    </row>
    <row r="83" outlineLevel="1" ht="15" customHeight="1" s="82">
      <c r="A83" s="139">
        <f>'1510'!A84</f>
        <v/>
      </c>
      <c r="B83" s="139">
        <f>'1510'!B84</f>
        <v/>
      </c>
      <c r="C83" s="139">
        <f>'1510'!D84</f>
        <v/>
      </c>
      <c r="D83" s="140">
        <f>'1510'!E84</f>
        <v/>
      </c>
      <c r="E83" s="140">
        <f>'1510'!F84</f>
        <v/>
      </c>
      <c r="F83" s="139">
        <f>'1510'!C84</f>
        <v/>
      </c>
      <c r="G83" s="155">
        <f>'1510'!G84</f>
        <v/>
      </c>
      <c r="H83" s="155">
        <f>'1510'!H84</f>
        <v/>
      </c>
      <c r="I83" s="139">
        <f>'1510'!I84</f>
        <v/>
      </c>
    </row>
    <row r="84" outlineLevel="1" ht="15" customHeight="1" s="82">
      <c r="A84" s="139">
        <f>'1510'!A85</f>
        <v/>
      </c>
      <c r="B84" s="139">
        <f>'1510'!B85</f>
        <v/>
      </c>
      <c r="C84" s="139">
        <f>'1510'!D85</f>
        <v/>
      </c>
      <c r="D84" s="140">
        <f>'1510'!E85</f>
        <v/>
      </c>
      <c r="E84" s="140">
        <f>'1510'!F85</f>
        <v/>
      </c>
      <c r="F84" s="139">
        <f>'1510'!C85</f>
        <v/>
      </c>
      <c r="G84" s="155">
        <f>'1510'!G85</f>
        <v/>
      </c>
      <c r="H84" s="155">
        <f>'1510'!H85</f>
        <v/>
      </c>
      <c r="I84" s="139">
        <f>'1510'!I85</f>
        <v/>
      </c>
    </row>
    <row r="85" outlineLevel="1" ht="15" customHeight="1" s="82">
      <c r="A85" s="139">
        <f>'1510'!A86</f>
        <v/>
      </c>
      <c r="B85" s="139">
        <f>'1510'!B86</f>
        <v/>
      </c>
      <c r="C85" s="139">
        <f>'1510'!D86</f>
        <v/>
      </c>
      <c r="D85" s="140">
        <f>'1510'!E86</f>
        <v/>
      </c>
      <c r="E85" s="140">
        <f>'1510'!F86</f>
        <v/>
      </c>
      <c r="F85" s="139">
        <f>'1510'!C86</f>
        <v/>
      </c>
      <c r="G85" s="155">
        <f>'1510'!G86</f>
        <v/>
      </c>
      <c r="H85" s="155">
        <f>'1510'!H86</f>
        <v/>
      </c>
      <c r="I85" s="139">
        <f>'1510'!I86</f>
        <v/>
      </c>
    </row>
    <row r="86" outlineLevel="1" ht="15" customHeight="1" s="82">
      <c r="A86" s="139">
        <f>'1510'!A87</f>
        <v/>
      </c>
      <c r="B86" s="139">
        <f>'1510'!B87</f>
        <v/>
      </c>
      <c r="C86" s="139">
        <f>'1510'!D87</f>
        <v/>
      </c>
      <c r="D86" s="140">
        <f>'1510'!E87</f>
        <v/>
      </c>
      <c r="E86" s="140">
        <f>'1510'!F87</f>
        <v/>
      </c>
      <c r="F86" s="139">
        <f>'1510'!C87</f>
        <v/>
      </c>
      <c r="G86" s="155">
        <f>'1510'!G87</f>
        <v/>
      </c>
      <c r="H86" s="155">
        <f>'1510'!H87</f>
        <v/>
      </c>
      <c r="I86" s="139">
        <f>'1510'!I87</f>
        <v/>
      </c>
    </row>
    <row r="87" outlineLevel="1" ht="15" customHeight="1" s="82">
      <c r="A87" s="139">
        <f>'1510'!A88</f>
        <v/>
      </c>
      <c r="B87" s="139">
        <f>'1510'!B88</f>
        <v/>
      </c>
      <c r="C87" s="139">
        <f>'1510'!D88</f>
        <v/>
      </c>
      <c r="D87" s="140">
        <f>'1510'!E88</f>
        <v/>
      </c>
      <c r="E87" s="140">
        <f>'1510'!F88</f>
        <v/>
      </c>
      <c r="F87" s="139">
        <f>'1510'!C88</f>
        <v/>
      </c>
      <c r="G87" s="155">
        <f>'1510'!G88</f>
        <v/>
      </c>
      <c r="H87" s="155">
        <f>'1510'!H88</f>
        <v/>
      </c>
      <c r="I87" s="139">
        <f>'1510'!I88</f>
        <v/>
      </c>
    </row>
    <row r="88" outlineLevel="1" ht="15" customHeight="1" s="82">
      <c r="A88" s="139">
        <f>'1510'!A89</f>
        <v/>
      </c>
      <c r="B88" s="139">
        <f>'1510'!B89</f>
        <v/>
      </c>
      <c r="C88" s="139">
        <f>'1510'!D89</f>
        <v/>
      </c>
      <c r="D88" s="140">
        <f>'1510'!E89</f>
        <v/>
      </c>
      <c r="E88" s="140">
        <f>'1510'!F89</f>
        <v/>
      </c>
      <c r="F88" s="139">
        <f>'1510'!C89</f>
        <v/>
      </c>
      <c r="G88" s="155">
        <f>'1510'!G89</f>
        <v/>
      </c>
      <c r="H88" s="155">
        <f>'1510'!H89</f>
        <v/>
      </c>
      <c r="I88" s="139">
        <f>'1510'!I89</f>
        <v/>
      </c>
    </row>
    <row r="89" outlineLevel="1" ht="15" customHeight="1" s="82">
      <c r="A89" s="139">
        <f>'1510'!A90</f>
        <v/>
      </c>
      <c r="B89" s="139">
        <f>'1510'!B90</f>
        <v/>
      </c>
      <c r="C89" s="139">
        <f>'1510'!D90</f>
        <v/>
      </c>
      <c r="D89" s="140">
        <f>'1510'!E90</f>
        <v/>
      </c>
      <c r="E89" s="140">
        <f>'1510'!F90</f>
        <v/>
      </c>
      <c r="F89" s="139">
        <f>'1510'!C90</f>
        <v/>
      </c>
      <c r="G89" s="155">
        <f>'1510'!G90</f>
        <v/>
      </c>
      <c r="H89" s="155">
        <f>'1510'!H90</f>
        <v/>
      </c>
      <c r="I89" s="139">
        <f>'1510'!I90</f>
        <v/>
      </c>
    </row>
    <row r="90" outlineLevel="1" ht="15" customHeight="1" s="82">
      <c r="A90" s="139">
        <f>'1510'!A91</f>
        <v/>
      </c>
      <c r="B90" s="139">
        <f>'1510'!B91</f>
        <v/>
      </c>
      <c r="C90" s="139">
        <f>'1510'!D91</f>
        <v/>
      </c>
      <c r="D90" s="140">
        <f>'1510'!E91</f>
        <v/>
      </c>
      <c r="E90" s="140">
        <f>'1510'!F91</f>
        <v/>
      </c>
      <c r="F90" s="139">
        <f>'1510'!C91</f>
        <v/>
      </c>
      <c r="G90" s="155">
        <f>'1510'!G91</f>
        <v/>
      </c>
      <c r="H90" s="155">
        <f>'1510'!H91</f>
        <v/>
      </c>
      <c r="I90" s="139">
        <f>'1510'!I91</f>
        <v/>
      </c>
    </row>
    <row r="91" outlineLevel="1" ht="15" customHeight="1" s="82">
      <c r="A91" s="139">
        <f>'1510'!A92</f>
        <v/>
      </c>
      <c r="B91" s="139">
        <f>'1510'!B92</f>
        <v/>
      </c>
      <c r="C91" s="139">
        <f>'1510'!D92</f>
        <v/>
      </c>
      <c r="D91" s="140">
        <f>'1510'!E92</f>
        <v/>
      </c>
      <c r="E91" s="140">
        <f>'1510'!F92</f>
        <v/>
      </c>
      <c r="F91" s="139">
        <f>'1510'!C92</f>
        <v/>
      </c>
      <c r="G91" s="155">
        <f>'1510'!G92</f>
        <v/>
      </c>
      <c r="H91" s="155">
        <f>'1510'!H92</f>
        <v/>
      </c>
      <c r="I91" s="139">
        <f>'1510'!I92</f>
        <v/>
      </c>
    </row>
    <row r="92" outlineLevel="1" ht="15" customHeight="1" s="82">
      <c r="A92" s="139">
        <f>'1510'!A93</f>
        <v/>
      </c>
      <c r="B92" s="139">
        <f>'1510'!B93</f>
        <v/>
      </c>
      <c r="C92" s="139">
        <f>'1510'!D93</f>
        <v/>
      </c>
      <c r="D92" s="140">
        <f>'1510'!E93</f>
        <v/>
      </c>
      <c r="E92" s="140">
        <f>'1510'!F93</f>
        <v/>
      </c>
      <c r="F92" s="139">
        <f>'1510'!C93</f>
        <v/>
      </c>
      <c r="G92" s="155">
        <f>'1510'!G93</f>
        <v/>
      </c>
      <c r="H92" s="155">
        <f>'1510'!H93</f>
        <v/>
      </c>
      <c r="I92" s="139">
        <f>'1510'!I93</f>
        <v/>
      </c>
    </row>
    <row r="93" outlineLevel="1" ht="15" customHeight="1" s="82">
      <c r="A93" s="139">
        <f>'1510'!A94</f>
        <v/>
      </c>
      <c r="B93" s="139">
        <f>'1510'!B94</f>
        <v/>
      </c>
      <c r="C93" s="139">
        <f>'1510'!D94</f>
        <v/>
      </c>
      <c r="D93" s="140">
        <f>'1510'!E94</f>
        <v/>
      </c>
      <c r="E93" s="140">
        <f>'1510'!F94</f>
        <v/>
      </c>
      <c r="F93" s="139">
        <f>'1510'!C94</f>
        <v/>
      </c>
      <c r="G93" s="155">
        <f>'1510'!G94</f>
        <v/>
      </c>
      <c r="H93" s="155">
        <f>'1510'!H94</f>
        <v/>
      </c>
      <c r="I93" s="139">
        <f>'1510'!I94</f>
        <v/>
      </c>
    </row>
    <row r="94" outlineLevel="1" ht="15" customHeight="1" s="82">
      <c r="A94" s="139">
        <f>'1510'!A95</f>
        <v/>
      </c>
      <c r="B94" s="139">
        <f>'1510'!B95</f>
        <v/>
      </c>
      <c r="C94" s="139">
        <f>'1510'!D95</f>
        <v/>
      </c>
      <c r="D94" s="140">
        <f>'1510'!E95</f>
        <v/>
      </c>
      <c r="E94" s="140">
        <f>'1510'!F95</f>
        <v/>
      </c>
      <c r="F94" s="139">
        <f>'1510'!C95</f>
        <v/>
      </c>
      <c r="G94" s="155">
        <f>'1510'!G95</f>
        <v/>
      </c>
      <c r="H94" s="155">
        <f>'1510'!H95</f>
        <v/>
      </c>
      <c r="I94" s="139">
        <f>'1510'!I95</f>
        <v/>
      </c>
    </row>
    <row r="95" outlineLevel="1" ht="15" customHeight="1" s="82">
      <c r="A95" s="139">
        <f>'1510'!A96</f>
        <v/>
      </c>
      <c r="B95" s="139">
        <f>'1510'!B96</f>
        <v/>
      </c>
      <c r="C95" s="139">
        <f>'1510'!D96</f>
        <v/>
      </c>
      <c r="D95" s="140">
        <f>'1510'!E96</f>
        <v/>
      </c>
      <c r="E95" s="140">
        <f>'1510'!F96</f>
        <v/>
      </c>
      <c r="F95" s="139">
        <f>'1510'!C96</f>
        <v/>
      </c>
      <c r="G95" s="155">
        <f>'1510'!G96</f>
        <v/>
      </c>
      <c r="H95" s="155">
        <f>'1510'!H96</f>
        <v/>
      </c>
      <c r="I95" s="139">
        <f>'1510'!I96</f>
        <v/>
      </c>
    </row>
    <row r="96" outlineLevel="1" ht="15" customHeight="1" s="82">
      <c r="A96" s="139">
        <f>'1510'!A97</f>
        <v/>
      </c>
      <c r="B96" s="139">
        <f>'1510'!B97</f>
        <v/>
      </c>
      <c r="C96" s="139">
        <f>'1510'!D97</f>
        <v/>
      </c>
      <c r="D96" s="140">
        <f>'1510'!E97</f>
        <v/>
      </c>
      <c r="E96" s="140">
        <f>'1510'!F97</f>
        <v/>
      </c>
      <c r="F96" s="139">
        <f>'1510'!C97</f>
        <v/>
      </c>
      <c r="G96" s="155">
        <f>'1510'!G97</f>
        <v/>
      </c>
      <c r="H96" s="155">
        <f>'1510'!H97</f>
        <v/>
      </c>
      <c r="I96" s="139">
        <f>'1510'!I97</f>
        <v/>
      </c>
    </row>
    <row r="97" outlineLevel="1" ht="15" customHeight="1" s="82">
      <c r="A97" s="139">
        <f>'1510'!A98</f>
        <v/>
      </c>
      <c r="B97" s="139">
        <f>'1510'!B98</f>
        <v/>
      </c>
      <c r="C97" s="139">
        <f>'1510'!D98</f>
        <v/>
      </c>
      <c r="D97" s="140">
        <f>'1510'!E98</f>
        <v/>
      </c>
      <c r="E97" s="140">
        <f>'1510'!F98</f>
        <v/>
      </c>
      <c r="F97" s="139">
        <f>'1510'!C98</f>
        <v/>
      </c>
      <c r="G97" s="155">
        <f>'1510'!G98</f>
        <v/>
      </c>
      <c r="H97" s="155">
        <f>'1510'!H98</f>
        <v/>
      </c>
      <c r="I97" s="139">
        <f>'1510'!I98</f>
        <v/>
      </c>
    </row>
    <row r="98" outlineLevel="1" ht="15" customHeight="1" s="82">
      <c r="A98" s="139">
        <f>'1510'!A99</f>
        <v/>
      </c>
      <c r="B98" s="139">
        <f>'1510'!B99</f>
        <v/>
      </c>
      <c r="C98" s="139">
        <f>'1510'!D99</f>
        <v/>
      </c>
      <c r="D98" s="140">
        <f>'1510'!E99</f>
        <v/>
      </c>
      <c r="E98" s="140">
        <f>'1510'!F99</f>
        <v/>
      </c>
      <c r="F98" s="139">
        <f>'1510'!C99</f>
        <v/>
      </c>
      <c r="G98" s="155">
        <f>'1510'!G99</f>
        <v/>
      </c>
      <c r="H98" s="155">
        <f>'1510'!H99</f>
        <v/>
      </c>
      <c r="I98" s="139">
        <f>'1510'!I99</f>
        <v/>
      </c>
    </row>
    <row r="99" outlineLevel="1" ht="15" customHeight="1" s="82">
      <c r="A99" s="139">
        <f>'1510'!A100</f>
        <v/>
      </c>
      <c r="B99" s="139">
        <f>'1510'!B100</f>
        <v/>
      </c>
      <c r="C99" s="139">
        <f>'1510'!D100</f>
        <v/>
      </c>
      <c r="D99" s="140">
        <f>'1510'!E100</f>
        <v/>
      </c>
      <c r="E99" s="140">
        <f>'1510'!F100</f>
        <v/>
      </c>
      <c r="F99" s="139">
        <f>'1510'!C100</f>
        <v/>
      </c>
      <c r="G99" s="155">
        <f>'1510'!G100</f>
        <v/>
      </c>
      <c r="H99" s="155">
        <f>'1510'!H100</f>
        <v/>
      </c>
      <c r="I99" s="139">
        <f>'1510'!I100</f>
        <v/>
      </c>
    </row>
    <row r="100" outlineLevel="1" ht="15" customHeight="1" s="82">
      <c r="A100" s="139">
        <f>'1510'!A101</f>
        <v/>
      </c>
      <c r="B100" s="139">
        <f>'1510'!B101</f>
        <v/>
      </c>
      <c r="C100" s="139">
        <f>'1510'!D101</f>
        <v/>
      </c>
      <c r="D100" s="140">
        <f>'1510'!E101</f>
        <v/>
      </c>
      <c r="E100" s="140">
        <f>'1510'!F101</f>
        <v/>
      </c>
      <c r="F100" s="139">
        <f>'1510'!C101</f>
        <v/>
      </c>
      <c r="G100" s="155">
        <f>'1510'!G101</f>
        <v/>
      </c>
      <c r="H100" s="155">
        <f>'1510'!H101</f>
        <v/>
      </c>
      <c r="I100" s="139">
        <f>'1510'!I101</f>
        <v/>
      </c>
    </row>
    <row r="101" outlineLevel="1" ht="15" customHeight="1" s="82">
      <c r="A101" s="139">
        <f>'1510'!A102</f>
        <v/>
      </c>
      <c r="B101" s="139">
        <f>'1510'!B102</f>
        <v/>
      </c>
      <c r="C101" s="139">
        <f>'1510'!D102</f>
        <v/>
      </c>
      <c r="D101" s="140">
        <f>'1510'!E102</f>
        <v/>
      </c>
      <c r="E101" s="140">
        <f>'1510'!F102</f>
        <v/>
      </c>
      <c r="F101" s="139">
        <f>'1510'!C102</f>
        <v/>
      </c>
      <c r="G101" s="155">
        <f>'1510'!G102</f>
        <v/>
      </c>
      <c r="H101" s="155">
        <f>'1510'!H102</f>
        <v/>
      </c>
      <c r="I101" s="139">
        <f>'1510'!I102</f>
        <v/>
      </c>
    </row>
    <row r="102" outlineLevel="1" ht="15" customHeight="1" s="82">
      <c r="A102" s="139">
        <f>'1510'!A103</f>
        <v/>
      </c>
      <c r="B102" s="139">
        <f>'1510'!B103</f>
        <v/>
      </c>
      <c r="C102" s="139">
        <f>'1510'!D103</f>
        <v/>
      </c>
      <c r="D102" s="140">
        <f>'1510'!E103</f>
        <v/>
      </c>
      <c r="E102" s="140">
        <f>'1510'!F103</f>
        <v/>
      </c>
      <c r="F102" s="139">
        <f>'1510'!C103</f>
        <v/>
      </c>
      <c r="G102" s="155">
        <f>'1510'!G103</f>
        <v/>
      </c>
      <c r="H102" s="155">
        <f>'1510'!H103</f>
        <v/>
      </c>
      <c r="I102" s="139">
        <f>'1510'!I103</f>
        <v/>
      </c>
    </row>
    <row r="103" outlineLevel="1" ht="15" customHeight="1" s="82">
      <c r="A103" s="139">
        <f>'1510'!A104</f>
        <v/>
      </c>
      <c r="B103" s="139">
        <f>'1510'!B104</f>
        <v/>
      </c>
      <c r="C103" s="139">
        <f>'1510'!D104</f>
        <v/>
      </c>
      <c r="D103" s="140">
        <f>'1510'!E104</f>
        <v/>
      </c>
      <c r="E103" s="140">
        <f>'1510'!F104</f>
        <v/>
      </c>
      <c r="F103" s="139">
        <f>'1510'!C104</f>
        <v/>
      </c>
      <c r="G103" s="155">
        <f>'1510'!G104</f>
        <v/>
      </c>
      <c r="H103" s="155">
        <f>'1510'!H104</f>
        <v/>
      </c>
      <c r="I103" s="139">
        <f>'1510'!I104</f>
        <v/>
      </c>
    </row>
    <row r="104" outlineLevel="1" ht="15" customHeight="1" s="82">
      <c r="A104" s="139">
        <f>'1510'!A105</f>
        <v/>
      </c>
      <c r="B104" s="139">
        <f>'1510'!B105</f>
        <v/>
      </c>
      <c r="C104" s="139">
        <f>'1510'!D105</f>
        <v/>
      </c>
      <c r="D104" s="140">
        <f>'1510'!E105</f>
        <v/>
      </c>
      <c r="E104" s="140">
        <f>'1510'!F105</f>
        <v/>
      </c>
      <c r="F104" s="139">
        <f>'1510'!C105</f>
        <v/>
      </c>
      <c r="G104" s="155">
        <f>'1510'!G105</f>
        <v/>
      </c>
      <c r="H104" s="155">
        <f>'1510'!H105</f>
        <v/>
      </c>
      <c r="I104" s="139">
        <f>'1510'!I105</f>
        <v/>
      </c>
    </row>
    <row r="105" outlineLevel="1" ht="15" customHeight="1" s="82">
      <c r="A105" s="139">
        <f>'1510'!A106</f>
        <v/>
      </c>
      <c r="B105" s="139">
        <f>'1510'!B106</f>
        <v/>
      </c>
      <c r="C105" s="139">
        <f>'1510'!D106</f>
        <v/>
      </c>
      <c r="D105" s="140">
        <f>'1510'!E106</f>
        <v/>
      </c>
      <c r="E105" s="140">
        <f>'1510'!F106</f>
        <v/>
      </c>
      <c r="F105" s="139">
        <f>'1510'!C106</f>
        <v/>
      </c>
      <c r="G105" s="155">
        <f>'1510'!G106</f>
        <v/>
      </c>
      <c r="H105" s="155">
        <f>'1510'!H106</f>
        <v/>
      </c>
      <c r="I105" s="139">
        <f>'1510'!I106</f>
        <v/>
      </c>
    </row>
    <row r="106" outlineLevel="1" ht="15" customHeight="1" s="82">
      <c r="A106" s="139">
        <f>'1510'!A107</f>
        <v/>
      </c>
      <c r="B106" s="139">
        <f>'1510'!B107</f>
        <v/>
      </c>
      <c r="C106" s="139">
        <f>'1510'!D107</f>
        <v/>
      </c>
      <c r="D106" s="140">
        <f>'1510'!E107</f>
        <v/>
      </c>
      <c r="E106" s="140">
        <f>'1510'!F107</f>
        <v/>
      </c>
      <c r="F106" s="139">
        <f>'1510'!C107</f>
        <v/>
      </c>
      <c r="G106" s="155">
        <f>'1510'!G107</f>
        <v/>
      </c>
      <c r="H106" s="155">
        <f>'1510'!H107</f>
        <v/>
      </c>
      <c r="I106" s="139">
        <f>'1510'!I107</f>
        <v/>
      </c>
    </row>
    <row r="107" outlineLevel="1" ht="15" customHeight="1" s="82">
      <c r="A107" s="139">
        <f>'1510'!A108</f>
        <v/>
      </c>
      <c r="B107" s="139">
        <f>'1510'!B108</f>
        <v/>
      </c>
      <c r="C107" s="139">
        <f>'1510'!D108</f>
        <v/>
      </c>
      <c r="D107" s="140">
        <f>'1510'!E108</f>
        <v/>
      </c>
      <c r="E107" s="140">
        <f>'1510'!F108</f>
        <v/>
      </c>
      <c r="F107" s="139">
        <f>'1510'!C108</f>
        <v/>
      </c>
      <c r="G107" s="155">
        <f>'1510'!G108</f>
        <v/>
      </c>
      <c r="H107" s="155">
        <f>'1510'!H108</f>
        <v/>
      </c>
      <c r="I107" s="139">
        <f>'1510'!I108</f>
        <v/>
      </c>
    </row>
    <row r="108" outlineLevel="1" ht="15" customHeight="1" s="82">
      <c r="A108" s="139">
        <f>'1510'!A109</f>
        <v/>
      </c>
      <c r="B108" s="139">
        <f>'1510'!B109</f>
        <v/>
      </c>
      <c r="C108" s="139">
        <f>'1510'!D109</f>
        <v/>
      </c>
      <c r="D108" s="140">
        <f>'1510'!E109</f>
        <v/>
      </c>
      <c r="E108" s="140">
        <f>'1510'!F109</f>
        <v/>
      </c>
      <c r="F108" s="139">
        <f>'1510'!C109</f>
        <v/>
      </c>
      <c r="G108" s="155">
        <f>'1510'!G109</f>
        <v/>
      </c>
      <c r="H108" s="155">
        <f>'1510'!H109</f>
        <v/>
      </c>
      <c r="I108" s="139">
        <f>'1510'!I109</f>
        <v/>
      </c>
    </row>
    <row r="109" outlineLevel="1" ht="15" customHeight="1" s="82">
      <c r="A109" s="139">
        <f>'1510'!A110</f>
        <v/>
      </c>
      <c r="B109" s="139">
        <f>'1510'!B110</f>
        <v/>
      </c>
      <c r="C109" s="139">
        <f>'1510'!D110</f>
        <v/>
      </c>
      <c r="D109" s="140">
        <f>'1510'!E110</f>
        <v/>
      </c>
      <c r="E109" s="140">
        <f>'1510'!F110</f>
        <v/>
      </c>
      <c r="F109" s="139">
        <f>'1510'!C110</f>
        <v/>
      </c>
      <c r="G109" s="155">
        <f>'1510'!G110</f>
        <v/>
      </c>
      <c r="H109" s="155">
        <f>'1510'!H110</f>
        <v/>
      </c>
      <c r="I109" s="139">
        <f>'1510'!I110</f>
        <v/>
      </c>
    </row>
    <row r="110" outlineLevel="1" ht="15" customHeight="1" s="82">
      <c r="A110" s="139">
        <f>'1510'!A111</f>
        <v/>
      </c>
      <c r="B110" s="139">
        <f>'1510'!B111</f>
        <v/>
      </c>
      <c r="C110" s="139">
        <f>'1510'!D111</f>
        <v/>
      </c>
      <c r="D110" s="140">
        <f>'1510'!E111</f>
        <v/>
      </c>
      <c r="E110" s="140">
        <f>'1510'!F111</f>
        <v/>
      </c>
      <c r="F110" s="139">
        <f>'1510'!C111</f>
        <v/>
      </c>
      <c r="G110" s="155">
        <f>'1510'!G111</f>
        <v/>
      </c>
      <c r="H110" s="155">
        <f>'1510'!H111</f>
        <v/>
      </c>
      <c r="I110" s="139">
        <f>'1510'!I111</f>
        <v/>
      </c>
    </row>
    <row r="111" outlineLevel="1" ht="15" customHeight="1" s="82">
      <c r="A111" s="139">
        <f>'1510'!A112</f>
        <v/>
      </c>
      <c r="B111" s="139">
        <f>'1510'!B112</f>
        <v/>
      </c>
      <c r="C111" s="139">
        <f>'1510'!D112</f>
        <v/>
      </c>
      <c r="D111" s="140">
        <f>'1510'!E112</f>
        <v/>
      </c>
      <c r="E111" s="140">
        <f>'1510'!F112</f>
        <v/>
      </c>
      <c r="F111" s="139">
        <f>'1510'!C112</f>
        <v/>
      </c>
      <c r="G111" s="155">
        <f>'1510'!G112</f>
        <v/>
      </c>
      <c r="H111" s="155">
        <f>'1510'!H112</f>
        <v/>
      </c>
      <c r="I111" s="139">
        <f>'1510'!I112</f>
        <v/>
      </c>
    </row>
    <row r="112" outlineLevel="1" ht="15" customHeight="1" s="82">
      <c r="A112" s="139">
        <f>'1510'!A113</f>
        <v/>
      </c>
      <c r="B112" s="139">
        <f>'1510'!B113</f>
        <v/>
      </c>
      <c r="C112" s="139">
        <f>'1510'!D113</f>
        <v/>
      </c>
      <c r="D112" s="140">
        <f>'1510'!E113</f>
        <v/>
      </c>
      <c r="E112" s="140">
        <f>'1510'!F113</f>
        <v/>
      </c>
      <c r="F112" s="139">
        <f>'1510'!C113</f>
        <v/>
      </c>
      <c r="G112" s="155">
        <f>'1510'!G113</f>
        <v/>
      </c>
      <c r="H112" s="155">
        <f>'1510'!H113</f>
        <v/>
      </c>
      <c r="I112" s="139">
        <f>'1510'!I113</f>
        <v/>
      </c>
    </row>
    <row r="113" outlineLevel="1" ht="15" customHeight="1" s="82">
      <c r="A113" s="139">
        <f>'1510'!A114</f>
        <v/>
      </c>
      <c r="B113" s="139">
        <f>'1510'!B114</f>
        <v/>
      </c>
      <c r="C113" s="139">
        <f>'1510'!D114</f>
        <v/>
      </c>
      <c r="D113" s="140">
        <f>'1510'!E114</f>
        <v/>
      </c>
      <c r="E113" s="140">
        <f>'1510'!F114</f>
        <v/>
      </c>
      <c r="F113" s="139">
        <f>'1510'!C114</f>
        <v/>
      </c>
      <c r="G113" s="155">
        <f>'1510'!G114</f>
        <v/>
      </c>
      <c r="H113" s="155">
        <f>'1510'!H114</f>
        <v/>
      </c>
      <c r="I113" s="139">
        <f>'1510'!I114</f>
        <v/>
      </c>
    </row>
    <row r="114" outlineLevel="1" ht="15" customHeight="1" s="82">
      <c r="A114" s="139">
        <f>'1510'!A115</f>
        <v/>
      </c>
      <c r="B114" s="139">
        <f>'1510'!B115</f>
        <v/>
      </c>
      <c r="C114" s="139">
        <f>'1510'!D115</f>
        <v/>
      </c>
      <c r="D114" s="140">
        <f>'1510'!E115</f>
        <v/>
      </c>
      <c r="E114" s="140">
        <f>'1510'!F115</f>
        <v/>
      </c>
      <c r="F114" s="139">
        <f>'1510'!C115</f>
        <v/>
      </c>
      <c r="G114" s="155">
        <f>'1510'!G115</f>
        <v/>
      </c>
      <c r="H114" s="155">
        <f>'1510'!H115</f>
        <v/>
      </c>
      <c r="I114" s="139">
        <f>'1510'!I115</f>
        <v/>
      </c>
    </row>
    <row r="115" outlineLevel="1" ht="15" customHeight="1" s="82">
      <c r="A115" s="139">
        <f>'1510'!A116</f>
        <v/>
      </c>
      <c r="B115" s="139">
        <f>'1510'!B116</f>
        <v/>
      </c>
      <c r="C115" s="139">
        <f>'1510'!D116</f>
        <v/>
      </c>
      <c r="D115" s="140">
        <f>'1510'!E116</f>
        <v/>
      </c>
      <c r="E115" s="140">
        <f>'1510'!F116</f>
        <v/>
      </c>
      <c r="F115" s="139">
        <f>'1510'!C116</f>
        <v/>
      </c>
      <c r="G115" s="155">
        <f>'1510'!G116</f>
        <v/>
      </c>
      <c r="H115" s="155">
        <f>'1510'!H116</f>
        <v/>
      </c>
      <c r="I115" s="139">
        <f>'1510'!I116</f>
        <v/>
      </c>
    </row>
    <row r="116" outlineLevel="1" ht="15" customHeight="1" s="82">
      <c r="A116" s="139">
        <f>'1510'!A117</f>
        <v/>
      </c>
      <c r="B116" s="139">
        <f>'1510'!B117</f>
        <v/>
      </c>
      <c r="C116" s="139">
        <f>'1510'!D117</f>
        <v/>
      </c>
      <c r="D116" s="140">
        <f>'1510'!E117</f>
        <v/>
      </c>
      <c r="E116" s="140">
        <f>'1510'!F117</f>
        <v/>
      </c>
      <c r="F116" s="139">
        <f>'1510'!C117</f>
        <v/>
      </c>
      <c r="G116" s="155">
        <f>'1510'!G117</f>
        <v/>
      </c>
      <c r="H116" s="155">
        <f>'1510'!H117</f>
        <v/>
      </c>
      <c r="I116" s="139">
        <f>'1510'!I117</f>
        <v/>
      </c>
    </row>
    <row r="117" outlineLevel="1" ht="15" customHeight="1" s="82">
      <c r="A117" s="139">
        <f>'1510'!A118</f>
        <v/>
      </c>
      <c r="B117" s="139">
        <f>'1510'!B118</f>
        <v/>
      </c>
      <c r="C117" s="139">
        <f>'1510'!D118</f>
        <v/>
      </c>
      <c r="D117" s="140">
        <f>'1510'!E118</f>
        <v/>
      </c>
      <c r="E117" s="140">
        <f>'1510'!F118</f>
        <v/>
      </c>
      <c r="F117" s="139">
        <f>'1510'!C118</f>
        <v/>
      </c>
      <c r="G117" s="155">
        <f>'1510'!G118</f>
        <v/>
      </c>
      <c r="H117" s="155">
        <f>'1510'!H118</f>
        <v/>
      </c>
      <c r="I117" s="139">
        <f>'1510'!I118</f>
        <v/>
      </c>
    </row>
    <row r="118" outlineLevel="1" ht="15" customHeight="1" s="82">
      <c r="A118" s="139">
        <f>'1510'!A119</f>
        <v/>
      </c>
      <c r="B118" s="139">
        <f>'1510'!B119</f>
        <v/>
      </c>
      <c r="C118" s="139">
        <f>'1510'!D119</f>
        <v/>
      </c>
      <c r="D118" s="140">
        <f>'1510'!E119</f>
        <v/>
      </c>
      <c r="E118" s="140">
        <f>'1510'!F119</f>
        <v/>
      </c>
      <c r="F118" s="139">
        <f>'1510'!C119</f>
        <v/>
      </c>
      <c r="G118" s="155">
        <f>'1510'!G119</f>
        <v/>
      </c>
      <c r="H118" s="155">
        <f>'1510'!H119</f>
        <v/>
      </c>
      <c r="I118" s="139">
        <f>'1510'!I119</f>
        <v/>
      </c>
    </row>
    <row r="119" outlineLevel="1" ht="15" customHeight="1" s="82">
      <c r="A119" s="139">
        <f>'1510'!A120</f>
        <v/>
      </c>
      <c r="B119" s="139">
        <f>'1510'!B120</f>
        <v/>
      </c>
      <c r="C119" s="139">
        <f>'1510'!D120</f>
        <v/>
      </c>
      <c r="D119" s="140">
        <f>'1510'!E120</f>
        <v/>
      </c>
      <c r="E119" s="140">
        <f>'1510'!F120</f>
        <v/>
      </c>
      <c r="F119" s="139">
        <f>'1510'!C120</f>
        <v/>
      </c>
      <c r="G119" s="155">
        <f>'1510'!G120</f>
        <v/>
      </c>
      <c r="H119" s="155">
        <f>'1510'!H120</f>
        <v/>
      </c>
      <c r="I119" s="139">
        <f>'1510'!I120</f>
        <v/>
      </c>
    </row>
    <row r="120" outlineLevel="1" ht="15" customHeight="1" s="82">
      <c r="A120" s="139">
        <f>'1510'!A121</f>
        <v/>
      </c>
      <c r="B120" s="139">
        <f>'1510'!B121</f>
        <v/>
      </c>
      <c r="C120" s="139">
        <f>'1510'!D121</f>
        <v/>
      </c>
      <c r="D120" s="140">
        <f>'1510'!E121</f>
        <v/>
      </c>
      <c r="E120" s="140">
        <f>'1510'!F121</f>
        <v/>
      </c>
      <c r="F120" s="139">
        <f>'1510'!C121</f>
        <v/>
      </c>
      <c r="G120" s="155">
        <f>'1510'!G121</f>
        <v/>
      </c>
      <c r="H120" s="155">
        <f>'1510'!H121</f>
        <v/>
      </c>
      <c r="I120" s="139">
        <f>'1510'!I121</f>
        <v/>
      </c>
    </row>
    <row r="121" outlineLevel="1" ht="15" customHeight="1" s="82">
      <c r="A121" s="139">
        <f>'1510'!A122</f>
        <v/>
      </c>
      <c r="B121" s="139">
        <f>'1510'!B122</f>
        <v/>
      </c>
      <c r="C121" s="139">
        <f>'1510'!D122</f>
        <v/>
      </c>
      <c r="D121" s="140">
        <f>'1510'!E122</f>
        <v/>
      </c>
      <c r="E121" s="140">
        <f>'1510'!F122</f>
        <v/>
      </c>
      <c r="F121" s="139">
        <f>'1510'!C122</f>
        <v/>
      </c>
      <c r="G121" s="155">
        <f>'1510'!G122</f>
        <v/>
      </c>
      <c r="H121" s="155">
        <f>'1510'!H122</f>
        <v/>
      </c>
      <c r="I121" s="139">
        <f>'1510'!I122</f>
        <v/>
      </c>
    </row>
    <row r="122" outlineLevel="1" ht="15" customHeight="1" s="82">
      <c r="A122" s="139">
        <f>'1510'!A123</f>
        <v/>
      </c>
      <c r="B122" s="139">
        <f>'1510'!B123</f>
        <v/>
      </c>
      <c r="C122" s="139">
        <f>'1510'!D123</f>
        <v/>
      </c>
      <c r="D122" s="140">
        <f>'1510'!E123</f>
        <v/>
      </c>
      <c r="E122" s="140">
        <f>'1510'!F123</f>
        <v/>
      </c>
      <c r="F122" s="139">
        <f>'1510'!C123</f>
        <v/>
      </c>
      <c r="G122" s="155">
        <f>'1510'!G123</f>
        <v/>
      </c>
      <c r="H122" s="155">
        <f>'1510'!H123</f>
        <v/>
      </c>
      <c r="I122" s="139">
        <f>'1510'!I123</f>
        <v/>
      </c>
    </row>
    <row r="123" outlineLevel="1" ht="15" customHeight="1" s="82">
      <c r="A123" s="139">
        <f>'1510'!A124</f>
        <v/>
      </c>
      <c r="B123" s="139">
        <f>'1510'!B124</f>
        <v/>
      </c>
      <c r="C123" s="139">
        <f>'1510'!D124</f>
        <v/>
      </c>
      <c r="D123" s="140">
        <f>'1510'!E124</f>
        <v/>
      </c>
      <c r="E123" s="140">
        <f>'1510'!F124</f>
        <v/>
      </c>
      <c r="F123" s="139">
        <f>'1510'!C124</f>
        <v/>
      </c>
      <c r="G123" s="155">
        <f>'1510'!G124</f>
        <v/>
      </c>
      <c r="H123" s="155">
        <f>'1510'!H124</f>
        <v/>
      </c>
      <c r="I123" s="139">
        <f>'1510'!I124</f>
        <v/>
      </c>
    </row>
    <row r="124" outlineLevel="1" ht="15" customHeight="1" s="82">
      <c r="A124" s="139">
        <f>'1510'!A125</f>
        <v/>
      </c>
      <c r="B124" s="139">
        <f>'1510'!B125</f>
        <v/>
      </c>
      <c r="C124" s="139">
        <f>'1510'!D125</f>
        <v/>
      </c>
      <c r="D124" s="140">
        <f>'1510'!E125</f>
        <v/>
      </c>
      <c r="E124" s="140">
        <f>'1510'!F125</f>
        <v/>
      </c>
      <c r="F124" s="139">
        <f>'1510'!C125</f>
        <v/>
      </c>
      <c r="G124" s="155">
        <f>'1510'!G125</f>
        <v/>
      </c>
      <c r="H124" s="155">
        <f>'1510'!H125</f>
        <v/>
      </c>
      <c r="I124" s="139">
        <f>'1510'!I125</f>
        <v/>
      </c>
    </row>
    <row r="125" outlineLevel="1" ht="15" customHeight="1" s="82">
      <c r="A125" s="139">
        <f>'1510'!A126</f>
        <v/>
      </c>
      <c r="B125" s="139">
        <f>'1510'!B126</f>
        <v/>
      </c>
      <c r="C125" s="139">
        <f>'1510'!D126</f>
        <v/>
      </c>
      <c r="D125" s="140">
        <f>'1510'!E126</f>
        <v/>
      </c>
      <c r="E125" s="140">
        <f>'1510'!F126</f>
        <v/>
      </c>
      <c r="F125" s="139">
        <f>'1510'!C126</f>
        <v/>
      </c>
      <c r="G125" s="155">
        <f>'1510'!G126</f>
        <v/>
      </c>
      <c r="H125" s="155">
        <f>'1510'!H126</f>
        <v/>
      </c>
      <c r="I125" s="139">
        <f>'1510'!I126</f>
        <v/>
      </c>
    </row>
    <row r="126" outlineLevel="1" ht="15" customHeight="1" s="82">
      <c r="A126" s="139">
        <f>'1510'!A127</f>
        <v/>
      </c>
      <c r="B126" s="139">
        <f>'1510'!B127</f>
        <v/>
      </c>
      <c r="C126" s="139">
        <f>'1510'!D127</f>
        <v/>
      </c>
      <c r="D126" s="140">
        <f>'1510'!E127</f>
        <v/>
      </c>
      <c r="E126" s="140">
        <f>'1510'!F127</f>
        <v/>
      </c>
      <c r="F126" s="139">
        <f>'1510'!C127</f>
        <v/>
      </c>
      <c r="G126" s="155">
        <f>'1510'!G127</f>
        <v/>
      </c>
      <c r="H126" s="155">
        <f>'1510'!H127</f>
        <v/>
      </c>
      <c r="I126" s="139">
        <f>'1510'!I127</f>
        <v/>
      </c>
    </row>
    <row r="127" outlineLevel="1" ht="15" customHeight="1" s="82">
      <c r="A127" s="139">
        <f>'1510'!A128</f>
        <v/>
      </c>
      <c r="B127" s="139">
        <f>'1510'!B128</f>
        <v/>
      </c>
      <c r="C127" s="139">
        <f>'1510'!D128</f>
        <v/>
      </c>
      <c r="D127" s="140">
        <f>'1510'!E128</f>
        <v/>
      </c>
      <c r="E127" s="140">
        <f>'1510'!F128</f>
        <v/>
      </c>
      <c r="F127" s="139">
        <f>'1510'!C128</f>
        <v/>
      </c>
      <c r="G127" s="155">
        <f>'1510'!G128</f>
        <v/>
      </c>
      <c r="H127" s="155">
        <f>'1510'!H128</f>
        <v/>
      </c>
      <c r="I127" s="139">
        <f>'1510'!I128</f>
        <v/>
      </c>
    </row>
    <row r="128" outlineLevel="1" ht="15" customHeight="1" s="82">
      <c r="A128" s="139">
        <f>'1510'!A129</f>
        <v/>
      </c>
      <c r="B128" s="139">
        <f>'1510'!B129</f>
        <v/>
      </c>
      <c r="C128" s="139">
        <f>'1510'!D129</f>
        <v/>
      </c>
      <c r="D128" s="140">
        <f>'1510'!E129</f>
        <v/>
      </c>
      <c r="E128" s="140">
        <f>'1510'!F129</f>
        <v/>
      </c>
      <c r="F128" s="139">
        <f>'1510'!C129</f>
        <v/>
      </c>
      <c r="G128" s="155">
        <f>'1510'!G129</f>
        <v/>
      </c>
      <c r="H128" s="155">
        <f>'1510'!H129</f>
        <v/>
      </c>
      <c r="I128" s="139">
        <f>'1510'!I129</f>
        <v/>
      </c>
    </row>
    <row r="129" outlineLevel="1" ht="15" customHeight="1" s="82">
      <c r="A129" s="139">
        <f>'1510'!A130</f>
        <v/>
      </c>
      <c r="B129" s="139">
        <f>'1510'!B130</f>
        <v/>
      </c>
      <c r="C129" s="139">
        <f>'1510'!D130</f>
        <v/>
      </c>
      <c r="D129" s="140">
        <f>'1510'!E130</f>
        <v/>
      </c>
      <c r="E129" s="140">
        <f>'1510'!F130</f>
        <v/>
      </c>
      <c r="F129" s="139">
        <f>'1510'!C130</f>
        <v/>
      </c>
      <c r="G129" s="155">
        <f>'1510'!G130</f>
        <v/>
      </c>
      <c r="H129" s="155">
        <f>'1510'!H130</f>
        <v/>
      </c>
      <c r="I129" s="139">
        <f>'1510'!I130</f>
        <v/>
      </c>
    </row>
    <row r="130" outlineLevel="1" ht="15" customHeight="1" s="82">
      <c r="A130" s="139">
        <f>'1510'!A131</f>
        <v/>
      </c>
      <c r="B130" s="139">
        <f>'1510'!B131</f>
        <v/>
      </c>
      <c r="C130" s="139">
        <f>'1510'!D131</f>
        <v/>
      </c>
      <c r="D130" s="140">
        <f>'1510'!E131</f>
        <v/>
      </c>
      <c r="E130" s="140">
        <f>'1510'!F131</f>
        <v/>
      </c>
      <c r="F130" s="139">
        <f>'1510'!C131</f>
        <v/>
      </c>
      <c r="G130" s="155">
        <f>'1510'!G131</f>
        <v/>
      </c>
      <c r="H130" s="155">
        <f>'1510'!H131</f>
        <v/>
      </c>
      <c r="I130" s="139">
        <f>'1510'!I131</f>
        <v/>
      </c>
    </row>
    <row r="131" outlineLevel="1" ht="15" customHeight="1" s="82">
      <c r="A131" s="139">
        <f>'1510'!A132</f>
        <v/>
      </c>
      <c r="B131" s="139">
        <f>'1510'!B132</f>
        <v/>
      </c>
      <c r="C131" s="139">
        <f>'1510'!D132</f>
        <v/>
      </c>
      <c r="D131" s="140">
        <f>'1510'!E132</f>
        <v/>
      </c>
      <c r="E131" s="140">
        <f>'1510'!F132</f>
        <v/>
      </c>
      <c r="F131" s="139">
        <f>'1510'!C132</f>
        <v/>
      </c>
      <c r="G131" s="155">
        <f>'1510'!G132</f>
        <v/>
      </c>
      <c r="H131" s="155">
        <f>'1510'!H132</f>
        <v/>
      </c>
      <c r="I131" s="139">
        <f>'1510'!I132</f>
        <v/>
      </c>
    </row>
    <row r="132" outlineLevel="1" ht="15" customHeight="1" s="82">
      <c r="A132" s="139">
        <f>'1510'!A133</f>
        <v/>
      </c>
      <c r="B132" s="139">
        <f>'1510'!B133</f>
        <v/>
      </c>
      <c r="C132" s="139">
        <f>'1510'!D133</f>
        <v/>
      </c>
      <c r="D132" s="140">
        <f>'1510'!E133</f>
        <v/>
      </c>
      <c r="E132" s="140">
        <f>'1510'!F133</f>
        <v/>
      </c>
      <c r="F132" s="139">
        <f>'1510'!C133</f>
        <v/>
      </c>
      <c r="G132" s="155">
        <f>'1510'!G133</f>
        <v/>
      </c>
      <c r="H132" s="155">
        <f>'1510'!H133</f>
        <v/>
      </c>
      <c r="I132" s="139">
        <f>'1510'!I133</f>
        <v/>
      </c>
    </row>
    <row r="133" outlineLevel="1" ht="15" customHeight="1" s="82">
      <c r="A133" s="139">
        <f>'1510'!A134</f>
        <v/>
      </c>
      <c r="B133" s="139">
        <f>'1510'!B134</f>
        <v/>
      </c>
      <c r="C133" s="139">
        <f>'1510'!D134</f>
        <v/>
      </c>
      <c r="D133" s="140">
        <f>'1510'!E134</f>
        <v/>
      </c>
      <c r="E133" s="140">
        <f>'1510'!F134</f>
        <v/>
      </c>
      <c r="F133" s="139">
        <f>'1510'!C134</f>
        <v/>
      </c>
      <c r="G133" s="155">
        <f>'1510'!G134</f>
        <v/>
      </c>
      <c r="H133" s="155">
        <f>'1510'!H134</f>
        <v/>
      </c>
      <c r="I133" s="139">
        <f>'1510'!I134</f>
        <v/>
      </c>
    </row>
    <row r="134" outlineLevel="1" ht="15" customHeight="1" s="82">
      <c r="A134" s="139">
        <f>'1510'!A135</f>
        <v/>
      </c>
      <c r="B134" s="139">
        <f>'1510'!B135</f>
        <v/>
      </c>
      <c r="C134" s="139">
        <f>'1510'!D135</f>
        <v/>
      </c>
      <c r="D134" s="140">
        <f>'1510'!E135</f>
        <v/>
      </c>
      <c r="E134" s="140">
        <f>'1510'!F135</f>
        <v/>
      </c>
      <c r="F134" s="139">
        <f>'1510'!C135</f>
        <v/>
      </c>
      <c r="G134" s="155">
        <f>'1510'!G135</f>
        <v/>
      </c>
      <c r="H134" s="155">
        <f>'1510'!H135</f>
        <v/>
      </c>
      <c r="I134" s="139">
        <f>'1510'!I135</f>
        <v/>
      </c>
    </row>
    <row r="135" outlineLevel="1" ht="15" customHeight="1" s="82">
      <c r="A135" s="139">
        <f>'1510'!A136</f>
        <v/>
      </c>
      <c r="B135" s="139">
        <f>'1510'!B136</f>
        <v/>
      </c>
      <c r="C135" s="139">
        <f>'1510'!D136</f>
        <v/>
      </c>
      <c r="D135" s="140">
        <f>'1510'!E136</f>
        <v/>
      </c>
      <c r="E135" s="140">
        <f>'1510'!F136</f>
        <v/>
      </c>
      <c r="F135" s="139">
        <f>'1510'!C136</f>
        <v/>
      </c>
      <c r="G135" s="155">
        <f>'1510'!G136</f>
        <v/>
      </c>
      <c r="H135" s="155">
        <f>'1510'!H136</f>
        <v/>
      </c>
      <c r="I135" s="139">
        <f>'1510'!I136</f>
        <v/>
      </c>
    </row>
    <row r="136" outlineLevel="1" ht="15" customHeight="1" s="82">
      <c r="A136" s="139">
        <f>'1510'!A137</f>
        <v/>
      </c>
      <c r="B136" s="139">
        <f>'1510'!B137</f>
        <v/>
      </c>
      <c r="C136" s="139">
        <f>'1510'!D137</f>
        <v/>
      </c>
      <c r="D136" s="140">
        <f>'1510'!E137</f>
        <v/>
      </c>
      <c r="E136" s="140">
        <f>'1510'!F137</f>
        <v/>
      </c>
      <c r="F136" s="139">
        <f>'1510'!C137</f>
        <v/>
      </c>
      <c r="G136" s="155">
        <f>'1510'!G137</f>
        <v/>
      </c>
      <c r="H136" s="155">
        <f>'1510'!H137</f>
        <v/>
      </c>
      <c r="I136" s="139">
        <f>'1510'!I137</f>
        <v/>
      </c>
    </row>
    <row r="137" outlineLevel="1" ht="15" customHeight="1" s="82">
      <c r="A137" s="139">
        <f>'1510'!A138</f>
        <v/>
      </c>
      <c r="B137" s="139">
        <f>'1510'!B138</f>
        <v/>
      </c>
      <c r="C137" s="139">
        <f>'1510'!D138</f>
        <v/>
      </c>
      <c r="D137" s="140">
        <f>'1510'!E138</f>
        <v/>
      </c>
      <c r="E137" s="140">
        <f>'1510'!F138</f>
        <v/>
      </c>
      <c r="F137" s="139">
        <f>'1510'!C138</f>
        <v/>
      </c>
      <c r="G137" s="155">
        <f>'1510'!G138</f>
        <v/>
      </c>
      <c r="H137" s="155">
        <f>'1510'!H138</f>
        <v/>
      </c>
      <c r="I137" s="139">
        <f>'1510'!I138</f>
        <v/>
      </c>
    </row>
    <row r="138" outlineLevel="1" ht="15" customHeight="1" s="82">
      <c r="A138" s="139">
        <f>'1510'!A139</f>
        <v/>
      </c>
      <c r="B138" s="139">
        <f>'1510'!B139</f>
        <v/>
      </c>
      <c r="C138" s="139">
        <f>'1510'!D139</f>
        <v/>
      </c>
      <c r="D138" s="140">
        <f>'1510'!E139</f>
        <v/>
      </c>
      <c r="E138" s="140">
        <f>'1510'!F139</f>
        <v/>
      </c>
      <c r="F138" s="139">
        <f>'1510'!C139</f>
        <v/>
      </c>
      <c r="G138" s="155">
        <f>'1510'!G139</f>
        <v/>
      </c>
      <c r="H138" s="155">
        <f>'1510'!H139</f>
        <v/>
      </c>
      <c r="I138" s="139">
        <f>'1510'!I139</f>
        <v/>
      </c>
    </row>
    <row r="139" outlineLevel="1" ht="15" customHeight="1" s="82">
      <c r="A139" s="139">
        <f>'1510'!A140</f>
        <v/>
      </c>
      <c r="B139" s="139">
        <f>'1510'!B140</f>
        <v/>
      </c>
      <c r="C139" s="139">
        <f>'1510'!D140</f>
        <v/>
      </c>
      <c r="D139" s="140">
        <f>'1510'!E140</f>
        <v/>
      </c>
      <c r="E139" s="140">
        <f>'1510'!F140</f>
        <v/>
      </c>
      <c r="F139" s="139">
        <f>'1510'!C140</f>
        <v/>
      </c>
      <c r="G139" s="155">
        <f>'1510'!G140</f>
        <v/>
      </c>
      <c r="H139" s="155">
        <f>'1510'!H140</f>
        <v/>
      </c>
      <c r="I139" s="139">
        <f>'1510'!I140</f>
        <v/>
      </c>
    </row>
    <row r="140" outlineLevel="1" ht="15" customHeight="1" s="82">
      <c r="A140" s="139">
        <f>'1510'!A141</f>
        <v/>
      </c>
      <c r="B140" s="139">
        <f>'1510'!B141</f>
        <v/>
      </c>
      <c r="C140" s="139">
        <f>'1510'!D141</f>
        <v/>
      </c>
      <c r="D140" s="140">
        <f>'1510'!E141</f>
        <v/>
      </c>
      <c r="E140" s="140">
        <f>'1510'!F141</f>
        <v/>
      </c>
      <c r="F140" s="139">
        <f>'1510'!C141</f>
        <v/>
      </c>
      <c r="G140" s="155">
        <f>'1510'!G141</f>
        <v/>
      </c>
      <c r="H140" s="155">
        <f>'1510'!H141</f>
        <v/>
      </c>
      <c r="I140" s="139">
        <f>'1510'!I141</f>
        <v/>
      </c>
    </row>
    <row r="141" outlineLevel="1" ht="15" customHeight="1" s="82">
      <c r="A141" s="139">
        <f>'1510'!A142</f>
        <v/>
      </c>
      <c r="B141" s="139">
        <f>'1510'!B142</f>
        <v/>
      </c>
      <c r="C141" s="139">
        <f>'1510'!D142</f>
        <v/>
      </c>
      <c r="D141" s="140">
        <f>'1510'!E142</f>
        <v/>
      </c>
      <c r="E141" s="140">
        <f>'1510'!F142</f>
        <v/>
      </c>
      <c r="F141" s="139">
        <f>'1510'!C142</f>
        <v/>
      </c>
      <c r="G141" s="155">
        <f>'1510'!G142</f>
        <v/>
      </c>
      <c r="H141" s="155">
        <f>'1510'!H142</f>
        <v/>
      </c>
      <c r="I141" s="139">
        <f>'1510'!I142</f>
        <v/>
      </c>
    </row>
    <row r="142" outlineLevel="1" ht="15" customHeight="1" s="82">
      <c r="A142" s="139">
        <f>'1510'!A143</f>
        <v/>
      </c>
      <c r="B142" s="139">
        <f>'1510'!B143</f>
        <v/>
      </c>
      <c r="C142" s="139">
        <f>'1510'!D143</f>
        <v/>
      </c>
      <c r="D142" s="140">
        <f>'1510'!E143</f>
        <v/>
      </c>
      <c r="E142" s="140">
        <f>'1510'!F143</f>
        <v/>
      </c>
      <c r="F142" s="139">
        <f>'1510'!C143</f>
        <v/>
      </c>
      <c r="G142" s="155">
        <f>'1510'!G143</f>
        <v/>
      </c>
      <c r="H142" s="155">
        <f>'1510'!H143</f>
        <v/>
      </c>
      <c r="I142" s="139">
        <f>'1510'!I143</f>
        <v/>
      </c>
    </row>
    <row r="143" outlineLevel="1" ht="15" customHeight="1" s="82">
      <c r="A143" s="139">
        <f>'1510'!A144</f>
        <v/>
      </c>
      <c r="B143" s="139">
        <f>'1510'!B144</f>
        <v/>
      </c>
      <c r="C143" s="139">
        <f>'1510'!D144</f>
        <v/>
      </c>
      <c r="D143" s="140">
        <f>'1510'!E144</f>
        <v/>
      </c>
      <c r="E143" s="140">
        <f>'1510'!F144</f>
        <v/>
      </c>
      <c r="F143" s="139">
        <f>'1510'!C144</f>
        <v/>
      </c>
      <c r="G143" s="155">
        <f>'1510'!G144</f>
        <v/>
      </c>
      <c r="H143" s="155">
        <f>'1510'!H144</f>
        <v/>
      </c>
      <c r="I143" s="139">
        <f>'1510'!I144</f>
        <v/>
      </c>
    </row>
    <row r="144" outlineLevel="1" ht="15" customHeight="1" s="82">
      <c r="A144" s="139">
        <f>'1510'!A145</f>
        <v/>
      </c>
      <c r="B144" s="139">
        <f>'1510'!B145</f>
        <v/>
      </c>
      <c r="C144" s="139">
        <f>'1510'!D145</f>
        <v/>
      </c>
      <c r="D144" s="140">
        <f>'1510'!E145</f>
        <v/>
      </c>
      <c r="E144" s="140">
        <f>'1510'!F145</f>
        <v/>
      </c>
      <c r="F144" s="139">
        <f>'1510'!C145</f>
        <v/>
      </c>
      <c r="G144" s="155">
        <f>'1510'!G145</f>
        <v/>
      </c>
      <c r="H144" s="155">
        <f>'1510'!H145</f>
        <v/>
      </c>
      <c r="I144" s="139">
        <f>'1510'!I145</f>
        <v/>
      </c>
    </row>
    <row r="145" outlineLevel="1" ht="15" customHeight="1" s="82">
      <c r="A145" s="139">
        <f>'1510'!A146</f>
        <v/>
      </c>
      <c r="B145" s="139">
        <f>'1510'!B146</f>
        <v/>
      </c>
      <c r="C145" s="139">
        <f>'1510'!D146</f>
        <v/>
      </c>
      <c r="D145" s="140">
        <f>'1510'!E146</f>
        <v/>
      </c>
      <c r="E145" s="140">
        <f>'1510'!F146</f>
        <v/>
      </c>
      <c r="F145" s="139">
        <f>'1510'!C146</f>
        <v/>
      </c>
      <c r="G145" s="155">
        <f>'1510'!G146</f>
        <v/>
      </c>
      <c r="H145" s="155">
        <f>'1510'!H146</f>
        <v/>
      </c>
      <c r="I145" s="139">
        <f>'1510'!I146</f>
        <v/>
      </c>
    </row>
    <row r="146" outlineLevel="1" ht="15" customHeight="1" s="82">
      <c r="A146" s="139">
        <f>'1510'!A147</f>
        <v/>
      </c>
      <c r="B146" s="139">
        <f>'1510'!B147</f>
        <v/>
      </c>
      <c r="C146" s="139">
        <f>'1510'!D147</f>
        <v/>
      </c>
      <c r="D146" s="140">
        <f>'1510'!E147</f>
        <v/>
      </c>
      <c r="E146" s="140">
        <f>'1510'!F147</f>
        <v/>
      </c>
      <c r="F146" s="139">
        <f>'1510'!C147</f>
        <v/>
      </c>
      <c r="G146" s="155">
        <f>'1510'!G147</f>
        <v/>
      </c>
      <c r="H146" s="155">
        <f>'1510'!H147</f>
        <v/>
      </c>
      <c r="I146" s="139">
        <f>'1510'!I147</f>
        <v/>
      </c>
    </row>
    <row r="147" outlineLevel="1" ht="15" customHeight="1" s="82">
      <c r="A147" s="139">
        <f>'1510'!A148</f>
        <v/>
      </c>
      <c r="B147" s="139">
        <f>'1510'!B148</f>
        <v/>
      </c>
      <c r="C147" s="139">
        <f>'1510'!D148</f>
        <v/>
      </c>
      <c r="D147" s="140">
        <f>'1510'!E148</f>
        <v/>
      </c>
      <c r="E147" s="140">
        <f>'1510'!F148</f>
        <v/>
      </c>
      <c r="F147" s="139">
        <f>'1510'!C148</f>
        <v/>
      </c>
      <c r="G147" s="155">
        <f>'1510'!G148</f>
        <v/>
      </c>
      <c r="H147" s="155">
        <f>'1510'!H148</f>
        <v/>
      </c>
      <c r="I147" s="139">
        <f>'1510'!I148</f>
        <v/>
      </c>
    </row>
    <row r="148" outlineLevel="1" ht="15" customHeight="1" s="82">
      <c r="A148" s="139">
        <f>'1510'!A149</f>
        <v/>
      </c>
      <c r="B148" s="139">
        <f>'1510'!B149</f>
        <v/>
      </c>
      <c r="C148" s="139">
        <f>'1510'!D149</f>
        <v/>
      </c>
      <c r="D148" s="140">
        <f>'1510'!E149</f>
        <v/>
      </c>
      <c r="E148" s="140">
        <f>'1510'!F149</f>
        <v/>
      </c>
      <c r="F148" s="139">
        <f>'1510'!C149</f>
        <v/>
      </c>
      <c r="G148" s="155">
        <f>'1510'!G149</f>
        <v/>
      </c>
      <c r="H148" s="155">
        <f>'1510'!H149</f>
        <v/>
      </c>
      <c r="I148" s="139">
        <f>'1510'!I149</f>
        <v/>
      </c>
    </row>
    <row r="149" outlineLevel="1" ht="15" customHeight="1" s="82">
      <c r="A149" s="139">
        <f>'1510'!A150</f>
        <v/>
      </c>
      <c r="B149" s="139">
        <f>'1510'!B150</f>
        <v/>
      </c>
      <c r="C149" s="139">
        <f>'1510'!D150</f>
        <v/>
      </c>
      <c r="D149" s="140">
        <f>'1510'!E150</f>
        <v/>
      </c>
      <c r="E149" s="140">
        <f>'1510'!F150</f>
        <v/>
      </c>
      <c r="F149" s="139">
        <f>'1510'!C150</f>
        <v/>
      </c>
      <c r="G149" s="155">
        <f>'1510'!G150</f>
        <v/>
      </c>
      <c r="H149" s="155">
        <f>'1510'!H150</f>
        <v/>
      </c>
      <c r="I149" s="139">
        <f>'1510'!I150</f>
        <v/>
      </c>
    </row>
    <row r="150" outlineLevel="1" ht="15" customHeight="1" s="82">
      <c r="A150" s="139">
        <f>'1510'!A151</f>
        <v/>
      </c>
      <c r="B150" s="139">
        <f>'1510'!B151</f>
        <v/>
      </c>
      <c r="C150" s="139">
        <f>'1510'!D151</f>
        <v/>
      </c>
      <c r="D150" s="140">
        <f>'1510'!E151</f>
        <v/>
      </c>
      <c r="E150" s="140">
        <f>'1510'!F151</f>
        <v/>
      </c>
      <c r="F150" s="139">
        <f>'1510'!C151</f>
        <v/>
      </c>
      <c r="G150" s="155">
        <f>'1510'!G151</f>
        <v/>
      </c>
      <c r="H150" s="155">
        <f>'1510'!H151</f>
        <v/>
      </c>
      <c r="I150" s="139">
        <f>'1510'!I151</f>
        <v/>
      </c>
    </row>
    <row r="151" outlineLevel="1" ht="15" customHeight="1" s="82">
      <c r="A151" s="139">
        <f>'1510'!A152</f>
        <v/>
      </c>
      <c r="B151" s="139">
        <f>'1510'!B152</f>
        <v/>
      </c>
      <c r="C151" s="139">
        <f>'1510'!D152</f>
        <v/>
      </c>
      <c r="D151" s="140">
        <f>'1510'!E152</f>
        <v/>
      </c>
      <c r="E151" s="140">
        <f>'1510'!F152</f>
        <v/>
      </c>
      <c r="F151" s="139">
        <f>'1510'!C152</f>
        <v/>
      </c>
      <c r="G151" s="155">
        <f>'1510'!G152</f>
        <v/>
      </c>
      <c r="H151" s="155">
        <f>'1510'!H152</f>
        <v/>
      </c>
      <c r="I151" s="139">
        <f>'1510'!I152</f>
        <v/>
      </c>
    </row>
    <row r="152" outlineLevel="1" ht="15" customHeight="1" s="82">
      <c r="A152" s="139">
        <f>'1510'!A153</f>
        <v/>
      </c>
      <c r="B152" s="139">
        <f>'1510'!B153</f>
        <v/>
      </c>
      <c r="C152" s="139">
        <f>'1510'!D153</f>
        <v/>
      </c>
      <c r="D152" s="140">
        <f>'1510'!E153</f>
        <v/>
      </c>
      <c r="E152" s="140">
        <f>'1510'!F153</f>
        <v/>
      </c>
      <c r="F152" s="139">
        <f>'1510'!C153</f>
        <v/>
      </c>
      <c r="G152" s="155">
        <f>'1510'!G153</f>
        <v/>
      </c>
      <c r="H152" s="155">
        <f>'1510'!H153</f>
        <v/>
      </c>
      <c r="I152" s="139">
        <f>'1510'!I153</f>
        <v/>
      </c>
    </row>
    <row r="153" outlineLevel="1" ht="15" customHeight="1" s="82">
      <c r="A153" s="139">
        <f>'1510'!A154</f>
        <v/>
      </c>
      <c r="B153" s="139">
        <f>'1510'!B154</f>
        <v/>
      </c>
      <c r="C153" s="139">
        <f>'1510'!D154</f>
        <v/>
      </c>
      <c r="D153" s="140">
        <f>'1510'!E154</f>
        <v/>
      </c>
      <c r="E153" s="140">
        <f>'1510'!F154</f>
        <v/>
      </c>
      <c r="F153" s="139">
        <f>'1510'!C154</f>
        <v/>
      </c>
      <c r="G153" s="155">
        <f>'1510'!G154</f>
        <v/>
      </c>
      <c r="H153" s="155">
        <f>'1510'!H154</f>
        <v/>
      </c>
      <c r="I153" s="139">
        <f>'1510'!I154</f>
        <v/>
      </c>
    </row>
    <row r="154" outlineLevel="1" ht="15" customHeight="1" s="82">
      <c r="A154" s="139">
        <f>'1510'!A155</f>
        <v/>
      </c>
      <c r="B154" s="139">
        <f>'1510'!B155</f>
        <v/>
      </c>
      <c r="C154" s="139">
        <f>'1510'!D155</f>
        <v/>
      </c>
      <c r="D154" s="140">
        <f>'1510'!E155</f>
        <v/>
      </c>
      <c r="E154" s="140">
        <f>'1510'!F155</f>
        <v/>
      </c>
      <c r="F154" s="139">
        <f>'1510'!C155</f>
        <v/>
      </c>
      <c r="G154" s="155">
        <f>'1510'!G155</f>
        <v/>
      </c>
      <c r="H154" s="155">
        <f>'1510'!H155</f>
        <v/>
      </c>
      <c r="I154" s="139">
        <f>'1510'!I155</f>
        <v/>
      </c>
    </row>
    <row r="155" outlineLevel="1" ht="15" customHeight="1" s="82">
      <c r="A155" s="139">
        <f>'1510'!A156</f>
        <v/>
      </c>
      <c r="B155" s="139">
        <f>'1510'!B156</f>
        <v/>
      </c>
      <c r="C155" s="139">
        <f>'1510'!D156</f>
        <v/>
      </c>
      <c r="D155" s="140">
        <f>'1510'!E156</f>
        <v/>
      </c>
      <c r="E155" s="140">
        <f>'1510'!F156</f>
        <v/>
      </c>
      <c r="F155" s="139">
        <f>'1510'!C156</f>
        <v/>
      </c>
      <c r="G155" s="155">
        <f>'1510'!G156</f>
        <v/>
      </c>
      <c r="H155" s="155">
        <f>'1510'!H156</f>
        <v/>
      </c>
      <c r="I155" s="139">
        <f>'1510'!I156</f>
        <v/>
      </c>
    </row>
    <row r="156" outlineLevel="1" ht="15" customHeight="1" s="82">
      <c r="A156" s="139">
        <f>'1510'!A157</f>
        <v/>
      </c>
      <c r="B156" s="139">
        <f>'1510'!B157</f>
        <v/>
      </c>
      <c r="C156" s="139">
        <f>'1510'!D157</f>
        <v/>
      </c>
      <c r="D156" s="140">
        <f>'1510'!E157</f>
        <v/>
      </c>
      <c r="E156" s="140">
        <f>'1510'!F157</f>
        <v/>
      </c>
      <c r="F156" s="139">
        <f>'1510'!C157</f>
        <v/>
      </c>
      <c r="G156" s="155">
        <f>'1510'!G157</f>
        <v/>
      </c>
      <c r="H156" s="155">
        <f>'1510'!H157</f>
        <v/>
      </c>
      <c r="I156" s="139">
        <f>'1510'!I157</f>
        <v/>
      </c>
    </row>
    <row r="157" outlineLevel="1" ht="15" customHeight="1" s="82">
      <c r="A157" s="139">
        <f>'1510'!A158</f>
        <v/>
      </c>
      <c r="B157" s="139">
        <f>'1510'!B158</f>
        <v/>
      </c>
      <c r="C157" s="139">
        <f>'1510'!D158</f>
        <v/>
      </c>
      <c r="D157" s="140">
        <f>'1510'!E158</f>
        <v/>
      </c>
      <c r="E157" s="140">
        <f>'1510'!F158</f>
        <v/>
      </c>
      <c r="F157" s="139">
        <f>'1510'!C158</f>
        <v/>
      </c>
      <c r="G157" s="155">
        <f>'1510'!G158</f>
        <v/>
      </c>
      <c r="H157" s="155">
        <f>'1510'!H158</f>
        <v/>
      </c>
      <c r="I157" s="139">
        <f>'1510'!I158</f>
        <v/>
      </c>
    </row>
    <row r="158" outlineLevel="1" ht="15" customHeight="1" s="82">
      <c r="A158" s="139">
        <f>'1510'!A159</f>
        <v/>
      </c>
      <c r="B158" s="139">
        <f>'1510'!B159</f>
        <v/>
      </c>
      <c r="C158" s="139">
        <f>'1510'!D159</f>
        <v/>
      </c>
      <c r="D158" s="140">
        <f>'1510'!E159</f>
        <v/>
      </c>
      <c r="E158" s="140">
        <f>'1510'!F159</f>
        <v/>
      </c>
      <c r="F158" s="139">
        <f>'1510'!C159</f>
        <v/>
      </c>
      <c r="G158" s="155">
        <f>'1510'!G159</f>
        <v/>
      </c>
      <c r="H158" s="155">
        <f>'1510'!H159</f>
        <v/>
      </c>
      <c r="I158" s="139">
        <f>'1510'!I159</f>
        <v/>
      </c>
    </row>
    <row r="159" outlineLevel="1" ht="15" customHeight="1" s="82">
      <c r="A159" s="139">
        <f>'1510'!A160</f>
        <v/>
      </c>
      <c r="B159" s="139">
        <f>'1510'!B160</f>
        <v/>
      </c>
      <c r="C159" s="139">
        <f>'1510'!D160</f>
        <v/>
      </c>
      <c r="D159" s="140">
        <f>'1510'!E160</f>
        <v/>
      </c>
      <c r="E159" s="140">
        <f>'1510'!F160</f>
        <v/>
      </c>
      <c r="F159" s="139">
        <f>'1510'!C160</f>
        <v/>
      </c>
      <c r="G159" s="155">
        <f>'1510'!G160</f>
        <v/>
      </c>
      <c r="H159" s="155">
        <f>'1510'!H160</f>
        <v/>
      </c>
      <c r="I159" s="139">
        <f>'1510'!I160</f>
        <v/>
      </c>
    </row>
    <row r="160" outlineLevel="1" ht="15" customHeight="1" s="82">
      <c r="A160" s="139">
        <f>'1510'!A161</f>
        <v/>
      </c>
      <c r="B160" s="139">
        <f>'1510'!B161</f>
        <v/>
      </c>
      <c r="C160" s="139">
        <f>'1510'!D161</f>
        <v/>
      </c>
      <c r="D160" s="140">
        <f>'1510'!E161</f>
        <v/>
      </c>
      <c r="E160" s="140">
        <f>'1510'!F161</f>
        <v/>
      </c>
      <c r="F160" s="139">
        <f>'1510'!C161</f>
        <v/>
      </c>
      <c r="G160" s="155">
        <f>'1510'!G161</f>
        <v/>
      </c>
      <c r="H160" s="155">
        <f>'1510'!H161</f>
        <v/>
      </c>
      <c r="I160" s="139">
        <f>'1510'!I161</f>
        <v/>
      </c>
    </row>
    <row r="161" outlineLevel="1" ht="15" customHeight="1" s="82">
      <c r="A161" s="139">
        <f>'1510'!A162</f>
        <v/>
      </c>
      <c r="B161" s="139">
        <f>'1510'!B162</f>
        <v/>
      </c>
      <c r="C161" s="139">
        <f>'1510'!D162</f>
        <v/>
      </c>
      <c r="D161" s="140">
        <f>'1510'!E162</f>
        <v/>
      </c>
      <c r="E161" s="140">
        <f>'1510'!F162</f>
        <v/>
      </c>
      <c r="F161" s="139">
        <f>'1510'!C162</f>
        <v/>
      </c>
      <c r="G161" s="155">
        <f>'1510'!G162</f>
        <v/>
      </c>
      <c r="H161" s="155">
        <f>'1510'!H162</f>
        <v/>
      </c>
      <c r="I161" s="139">
        <f>'1510'!I162</f>
        <v/>
      </c>
    </row>
    <row r="162" outlineLevel="1" ht="15" customHeight="1" s="82">
      <c r="A162" s="139">
        <f>'1510'!A163</f>
        <v/>
      </c>
      <c r="B162" s="139">
        <f>'1510'!B163</f>
        <v/>
      </c>
      <c r="C162" s="139">
        <f>'1510'!D163</f>
        <v/>
      </c>
      <c r="D162" s="140">
        <f>'1510'!E163</f>
        <v/>
      </c>
      <c r="E162" s="140">
        <f>'1510'!F163</f>
        <v/>
      </c>
      <c r="F162" s="139">
        <f>'1510'!C163</f>
        <v/>
      </c>
      <c r="G162" s="155">
        <f>'1510'!G163</f>
        <v/>
      </c>
      <c r="H162" s="155">
        <f>'1510'!H163</f>
        <v/>
      </c>
      <c r="I162" s="139">
        <f>'1510'!I163</f>
        <v/>
      </c>
    </row>
    <row r="163" outlineLevel="1" ht="15" customHeight="1" s="82">
      <c r="A163" s="139">
        <f>'1510'!A164</f>
        <v/>
      </c>
      <c r="B163" s="139">
        <f>'1510'!B164</f>
        <v/>
      </c>
      <c r="C163" s="139">
        <f>'1510'!D164</f>
        <v/>
      </c>
      <c r="D163" s="140">
        <f>'1510'!E164</f>
        <v/>
      </c>
      <c r="E163" s="140">
        <f>'1510'!F164</f>
        <v/>
      </c>
      <c r="F163" s="139">
        <f>'1510'!C164</f>
        <v/>
      </c>
      <c r="G163" s="155">
        <f>'1510'!G164</f>
        <v/>
      </c>
      <c r="H163" s="155">
        <f>'1510'!H164</f>
        <v/>
      </c>
      <c r="I163" s="139">
        <f>'1510'!I164</f>
        <v/>
      </c>
    </row>
    <row r="164" outlineLevel="1" ht="15" customHeight="1" s="82">
      <c r="A164" s="139">
        <f>'1510'!A165</f>
        <v/>
      </c>
      <c r="B164" s="139">
        <f>'1510'!B165</f>
        <v/>
      </c>
      <c r="C164" s="139">
        <f>'1510'!D165</f>
        <v/>
      </c>
      <c r="D164" s="140">
        <f>'1510'!E165</f>
        <v/>
      </c>
      <c r="E164" s="140">
        <f>'1510'!F165</f>
        <v/>
      </c>
      <c r="F164" s="139">
        <f>'1510'!C165</f>
        <v/>
      </c>
      <c r="G164" s="155">
        <f>'1510'!G165</f>
        <v/>
      </c>
      <c r="H164" s="155">
        <f>'1510'!H165</f>
        <v/>
      </c>
      <c r="I164" s="139">
        <f>'1510'!I165</f>
        <v/>
      </c>
    </row>
    <row r="165" outlineLevel="1" ht="15" customHeight="1" s="82">
      <c r="A165" s="139">
        <f>'1510'!A166</f>
        <v/>
      </c>
      <c r="B165" s="139">
        <f>'1510'!B166</f>
        <v/>
      </c>
      <c r="C165" s="139">
        <f>'1510'!D166</f>
        <v/>
      </c>
      <c r="D165" s="140">
        <f>'1510'!E166</f>
        <v/>
      </c>
      <c r="E165" s="140">
        <f>'1510'!F166</f>
        <v/>
      </c>
      <c r="F165" s="139">
        <f>'1510'!C166</f>
        <v/>
      </c>
      <c r="G165" s="155">
        <f>'1510'!G166</f>
        <v/>
      </c>
      <c r="H165" s="155">
        <f>'1510'!H166</f>
        <v/>
      </c>
      <c r="I165" s="139">
        <f>'1510'!I166</f>
        <v/>
      </c>
    </row>
    <row r="166" outlineLevel="1" ht="15" customHeight="1" s="82">
      <c r="A166" s="139">
        <f>'1510'!A167</f>
        <v/>
      </c>
      <c r="B166" s="139">
        <f>'1510'!B167</f>
        <v/>
      </c>
      <c r="C166" s="139">
        <f>'1510'!D167</f>
        <v/>
      </c>
      <c r="D166" s="140">
        <f>'1510'!E167</f>
        <v/>
      </c>
      <c r="E166" s="140">
        <f>'1510'!F167</f>
        <v/>
      </c>
      <c r="F166" s="139">
        <f>'1510'!C167</f>
        <v/>
      </c>
      <c r="G166" s="155">
        <f>'1510'!G167</f>
        <v/>
      </c>
      <c r="H166" s="155">
        <f>'1510'!H167</f>
        <v/>
      </c>
      <c r="I166" s="139">
        <f>'1510'!I167</f>
        <v/>
      </c>
    </row>
    <row r="167" outlineLevel="1" ht="15" customHeight="1" s="82">
      <c r="A167" s="139">
        <f>'1510'!A168</f>
        <v/>
      </c>
      <c r="B167" s="139">
        <f>'1510'!B168</f>
        <v/>
      </c>
      <c r="C167" s="139">
        <f>'1510'!D168</f>
        <v/>
      </c>
      <c r="D167" s="140">
        <f>'1510'!E168</f>
        <v/>
      </c>
      <c r="E167" s="140">
        <f>'1510'!F168</f>
        <v/>
      </c>
      <c r="F167" s="139">
        <f>'1510'!C168</f>
        <v/>
      </c>
      <c r="G167" s="155">
        <f>'1510'!G168</f>
        <v/>
      </c>
      <c r="H167" s="155">
        <f>'1510'!H168</f>
        <v/>
      </c>
      <c r="I167" s="139">
        <f>'1510'!I168</f>
        <v/>
      </c>
    </row>
    <row r="168" outlineLevel="1" ht="15" customHeight="1" s="82">
      <c r="A168" s="139">
        <f>'1510'!A169</f>
        <v/>
      </c>
      <c r="B168" s="139">
        <f>'1510'!B169</f>
        <v/>
      </c>
      <c r="C168" s="139">
        <f>'1510'!D169</f>
        <v/>
      </c>
      <c r="D168" s="140">
        <f>'1510'!E169</f>
        <v/>
      </c>
      <c r="E168" s="140">
        <f>'1510'!F169</f>
        <v/>
      </c>
      <c r="F168" s="139">
        <f>'1510'!C169</f>
        <v/>
      </c>
      <c r="G168" s="155">
        <f>'1510'!G169</f>
        <v/>
      </c>
      <c r="H168" s="155">
        <f>'1510'!H169</f>
        <v/>
      </c>
      <c r="I168" s="139">
        <f>'1510'!I169</f>
        <v/>
      </c>
    </row>
    <row r="169" outlineLevel="1" ht="15" customHeight="1" s="82">
      <c r="A169" s="139">
        <f>'1510'!A170</f>
        <v/>
      </c>
      <c r="B169" s="139">
        <f>'1510'!B170</f>
        <v/>
      </c>
      <c r="C169" s="139">
        <f>'1510'!D170</f>
        <v/>
      </c>
      <c r="D169" s="140">
        <f>'1510'!E170</f>
        <v/>
      </c>
      <c r="E169" s="140">
        <f>'1510'!F170</f>
        <v/>
      </c>
      <c r="F169" s="139">
        <f>'1510'!C170</f>
        <v/>
      </c>
      <c r="G169" s="155">
        <f>'1510'!G170</f>
        <v/>
      </c>
      <c r="H169" s="155">
        <f>'1510'!H170</f>
        <v/>
      </c>
      <c r="I169" s="139">
        <f>'1510'!I170</f>
        <v/>
      </c>
    </row>
    <row r="170" outlineLevel="1" ht="15" customHeight="1" s="82">
      <c r="A170" s="139">
        <f>'1510'!A171</f>
        <v/>
      </c>
      <c r="B170" s="139">
        <f>'1510'!B171</f>
        <v/>
      </c>
      <c r="C170" s="139">
        <f>'1510'!D171</f>
        <v/>
      </c>
      <c r="D170" s="140">
        <f>'1510'!E171</f>
        <v/>
      </c>
      <c r="E170" s="140">
        <f>'1510'!F171</f>
        <v/>
      </c>
      <c r="F170" s="139">
        <f>'1510'!C171</f>
        <v/>
      </c>
      <c r="G170" s="155">
        <f>'1510'!G171</f>
        <v/>
      </c>
      <c r="H170" s="155">
        <f>'1510'!H171</f>
        <v/>
      </c>
      <c r="I170" s="139">
        <f>'1510'!I171</f>
        <v/>
      </c>
    </row>
    <row r="171" outlineLevel="1" ht="15" customHeight="1" s="82">
      <c r="A171" s="139">
        <f>'1510'!A172</f>
        <v/>
      </c>
      <c r="B171" s="139">
        <f>'1510'!B172</f>
        <v/>
      </c>
      <c r="C171" s="139">
        <f>'1510'!D172</f>
        <v/>
      </c>
      <c r="D171" s="140">
        <f>'1510'!E172</f>
        <v/>
      </c>
      <c r="E171" s="140">
        <f>'1510'!F172</f>
        <v/>
      </c>
      <c r="F171" s="139">
        <f>'1510'!C172</f>
        <v/>
      </c>
      <c r="G171" s="155">
        <f>'1510'!G172</f>
        <v/>
      </c>
      <c r="H171" s="155">
        <f>'1510'!H172</f>
        <v/>
      </c>
      <c r="I171" s="139">
        <f>'1510'!I172</f>
        <v/>
      </c>
    </row>
    <row r="172" outlineLevel="1" ht="15" customHeight="1" s="82">
      <c r="A172" s="139">
        <f>'1510'!A173</f>
        <v/>
      </c>
      <c r="B172" s="139">
        <f>'1510'!B173</f>
        <v/>
      </c>
      <c r="C172" s="139">
        <f>'1510'!D173</f>
        <v/>
      </c>
      <c r="D172" s="140">
        <f>'1510'!E173</f>
        <v/>
      </c>
      <c r="E172" s="140">
        <f>'1510'!F173</f>
        <v/>
      </c>
      <c r="F172" s="139">
        <f>'1510'!C173</f>
        <v/>
      </c>
      <c r="G172" s="155">
        <f>'1510'!G173</f>
        <v/>
      </c>
      <c r="H172" s="155">
        <f>'1510'!H173</f>
        <v/>
      </c>
      <c r="I172" s="139">
        <f>'1510'!I173</f>
        <v/>
      </c>
    </row>
    <row r="173" outlineLevel="1" ht="15" customHeight="1" s="82">
      <c r="A173" s="139">
        <f>'1510'!A174</f>
        <v/>
      </c>
      <c r="B173" s="139">
        <f>'1510'!B174</f>
        <v/>
      </c>
      <c r="C173" s="139">
        <f>'1510'!D174</f>
        <v/>
      </c>
      <c r="D173" s="140">
        <f>'1510'!E174</f>
        <v/>
      </c>
      <c r="E173" s="140">
        <f>'1510'!F174</f>
        <v/>
      </c>
      <c r="F173" s="139">
        <f>'1510'!C174</f>
        <v/>
      </c>
      <c r="G173" s="155">
        <f>'1510'!G174</f>
        <v/>
      </c>
      <c r="H173" s="155">
        <f>'1510'!H174</f>
        <v/>
      </c>
      <c r="I173" s="139">
        <f>'1510'!I174</f>
        <v/>
      </c>
    </row>
    <row r="174" outlineLevel="1" ht="15" customHeight="1" s="82">
      <c r="A174" s="139">
        <f>'1510'!A175</f>
        <v/>
      </c>
      <c r="B174" s="139">
        <f>'1510'!B175</f>
        <v/>
      </c>
      <c r="C174" s="139">
        <f>'1510'!D175</f>
        <v/>
      </c>
      <c r="D174" s="140">
        <f>'1510'!E175</f>
        <v/>
      </c>
      <c r="E174" s="140">
        <f>'1510'!F175</f>
        <v/>
      </c>
      <c r="F174" s="139">
        <f>'1510'!C175</f>
        <v/>
      </c>
      <c r="G174" s="155">
        <f>'1510'!G175</f>
        <v/>
      </c>
      <c r="H174" s="155">
        <f>'1510'!H175</f>
        <v/>
      </c>
      <c r="I174" s="139">
        <f>'1510'!I175</f>
        <v/>
      </c>
    </row>
    <row r="175" outlineLevel="1" ht="15" customHeight="1" s="82">
      <c r="A175" s="139">
        <f>'1510'!A176</f>
        <v/>
      </c>
      <c r="B175" s="139">
        <f>'1510'!B176</f>
        <v/>
      </c>
      <c r="C175" s="139">
        <f>'1510'!D176</f>
        <v/>
      </c>
      <c r="D175" s="140">
        <f>'1510'!E176</f>
        <v/>
      </c>
      <c r="E175" s="140">
        <f>'1510'!F176</f>
        <v/>
      </c>
      <c r="F175" s="139">
        <f>'1510'!C176</f>
        <v/>
      </c>
      <c r="G175" s="155">
        <f>'1510'!G176</f>
        <v/>
      </c>
      <c r="H175" s="155">
        <f>'1510'!H176</f>
        <v/>
      </c>
      <c r="I175" s="139">
        <f>'1510'!I176</f>
        <v/>
      </c>
    </row>
    <row r="176" outlineLevel="1" ht="15" customHeight="1" s="82">
      <c r="A176" s="139">
        <f>'1510'!A177</f>
        <v/>
      </c>
      <c r="B176" s="139">
        <f>'1510'!B177</f>
        <v/>
      </c>
      <c r="C176" s="139">
        <f>'1510'!D177</f>
        <v/>
      </c>
      <c r="D176" s="140">
        <f>'1510'!E177</f>
        <v/>
      </c>
      <c r="E176" s="140">
        <f>'1510'!F177</f>
        <v/>
      </c>
      <c r="F176" s="139">
        <f>'1510'!C177</f>
        <v/>
      </c>
      <c r="G176" s="155">
        <f>'1510'!G177</f>
        <v/>
      </c>
      <c r="H176" s="155">
        <f>'1510'!H177</f>
        <v/>
      </c>
      <c r="I176" s="139">
        <f>'1510'!I177</f>
        <v/>
      </c>
    </row>
    <row r="177" outlineLevel="1" ht="15" customHeight="1" s="82">
      <c r="A177" s="139">
        <f>'1510'!A178</f>
        <v/>
      </c>
      <c r="B177" s="139">
        <f>'1510'!B178</f>
        <v/>
      </c>
      <c r="C177" s="139">
        <f>'1510'!D178</f>
        <v/>
      </c>
      <c r="D177" s="140">
        <f>'1510'!E178</f>
        <v/>
      </c>
      <c r="E177" s="140">
        <f>'1510'!F178</f>
        <v/>
      </c>
      <c r="F177" s="139">
        <f>'1510'!C178</f>
        <v/>
      </c>
      <c r="G177" s="155">
        <f>'1510'!G178</f>
        <v/>
      </c>
      <c r="H177" s="155">
        <f>'1510'!H178</f>
        <v/>
      </c>
      <c r="I177" s="139">
        <f>'1510'!I178</f>
        <v/>
      </c>
    </row>
    <row r="178" outlineLevel="1" ht="15" customHeight="1" s="82">
      <c r="A178" s="139">
        <f>'1510'!A179</f>
        <v/>
      </c>
      <c r="B178" s="139">
        <f>'1510'!B179</f>
        <v/>
      </c>
      <c r="C178" s="139">
        <f>'1510'!D179</f>
        <v/>
      </c>
      <c r="D178" s="140">
        <f>'1510'!E179</f>
        <v/>
      </c>
      <c r="E178" s="140">
        <f>'1510'!F179</f>
        <v/>
      </c>
      <c r="F178" s="139">
        <f>'1510'!C179</f>
        <v/>
      </c>
      <c r="G178" s="155">
        <f>'1510'!G179</f>
        <v/>
      </c>
      <c r="H178" s="155">
        <f>'1510'!H179</f>
        <v/>
      </c>
      <c r="I178" s="139">
        <f>'1510'!I179</f>
        <v/>
      </c>
    </row>
    <row r="179" outlineLevel="1" ht="15" customHeight="1" s="82">
      <c r="A179" s="139">
        <f>'1510'!A180</f>
        <v/>
      </c>
      <c r="B179" s="139">
        <f>'1510'!B180</f>
        <v/>
      </c>
      <c r="C179" s="139">
        <f>'1510'!D180</f>
        <v/>
      </c>
      <c r="D179" s="140">
        <f>'1510'!E180</f>
        <v/>
      </c>
      <c r="E179" s="140">
        <f>'1510'!F180</f>
        <v/>
      </c>
      <c r="F179" s="139">
        <f>'1510'!C180</f>
        <v/>
      </c>
      <c r="G179" s="155">
        <f>'1510'!G180</f>
        <v/>
      </c>
      <c r="H179" s="155">
        <f>'1510'!H180</f>
        <v/>
      </c>
      <c r="I179" s="139">
        <f>'1510'!I180</f>
        <v/>
      </c>
    </row>
    <row r="180" outlineLevel="1" ht="15" customHeight="1" s="82">
      <c r="A180" s="139">
        <f>'1510'!A181</f>
        <v/>
      </c>
      <c r="B180" s="139">
        <f>'1510'!B181</f>
        <v/>
      </c>
      <c r="C180" s="139">
        <f>'1510'!D181</f>
        <v/>
      </c>
      <c r="D180" s="140">
        <f>'1510'!E181</f>
        <v/>
      </c>
      <c r="E180" s="140">
        <f>'1510'!F181</f>
        <v/>
      </c>
      <c r="F180" s="139">
        <f>'1510'!C181</f>
        <v/>
      </c>
      <c r="G180" s="155">
        <f>'1510'!G181</f>
        <v/>
      </c>
      <c r="H180" s="155">
        <f>'1510'!H181</f>
        <v/>
      </c>
      <c r="I180" s="139">
        <f>'1510'!I181</f>
        <v/>
      </c>
    </row>
    <row r="181" outlineLevel="1" ht="15" customHeight="1" s="82">
      <c r="A181" s="139">
        <f>'1510'!A182</f>
        <v/>
      </c>
      <c r="B181" s="139">
        <f>'1510'!B182</f>
        <v/>
      </c>
      <c r="C181" s="139">
        <f>'1510'!D182</f>
        <v/>
      </c>
      <c r="D181" s="140">
        <f>'1510'!E182</f>
        <v/>
      </c>
      <c r="E181" s="140">
        <f>'1510'!F182</f>
        <v/>
      </c>
      <c r="F181" s="139">
        <f>'1510'!C182</f>
        <v/>
      </c>
      <c r="G181" s="155">
        <f>'1510'!G182</f>
        <v/>
      </c>
      <c r="H181" s="155">
        <f>'1510'!H182</f>
        <v/>
      </c>
      <c r="I181" s="139">
        <f>'1510'!I182</f>
        <v/>
      </c>
    </row>
    <row r="182" outlineLevel="1" ht="15" customHeight="1" s="82">
      <c r="A182" s="139">
        <f>'1510'!A183</f>
        <v/>
      </c>
      <c r="B182" s="139">
        <f>'1510'!B183</f>
        <v/>
      </c>
      <c r="C182" s="139">
        <f>'1510'!D183</f>
        <v/>
      </c>
      <c r="D182" s="140">
        <f>'1510'!E183</f>
        <v/>
      </c>
      <c r="E182" s="140">
        <f>'1510'!F183</f>
        <v/>
      </c>
      <c r="F182" s="139">
        <f>'1510'!C183</f>
        <v/>
      </c>
      <c r="G182" s="155">
        <f>'1510'!G183</f>
        <v/>
      </c>
      <c r="H182" s="155">
        <f>'1510'!H183</f>
        <v/>
      </c>
      <c r="I182" s="139">
        <f>'1510'!I183</f>
        <v/>
      </c>
    </row>
    <row r="183" outlineLevel="1" ht="15" customHeight="1" s="82">
      <c r="A183" s="139">
        <f>'1510'!A184</f>
        <v/>
      </c>
      <c r="B183" s="139">
        <f>'1510'!B184</f>
        <v/>
      </c>
      <c r="C183" s="139">
        <f>'1510'!D184</f>
        <v/>
      </c>
      <c r="D183" s="140">
        <f>'1510'!E184</f>
        <v/>
      </c>
      <c r="E183" s="140">
        <f>'1510'!F184</f>
        <v/>
      </c>
      <c r="F183" s="139">
        <f>'1510'!C184</f>
        <v/>
      </c>
      <c r="G183" s="155">
        <f>'1510'!G184</f>
        <v/>
      </c>
      <c r="H183" s="155">
        <f>'1510'!H184</f>
        <v/>
      </c>
      <c r="I183" s="139">
        <f>'1510'!I184</f>
        <v/>
      </c>
    </row>
    <row r="184" outlineLevel="1" ht="15" customHeight="1" s="82">
      <c r="A184" s="139">
        <f>'1510'!A185</f>
        <v/>
      </c>
      <c r="B184" s="139">
        <f>'1510'!B185</f>
        <v/>
      </c>
      <c r="C184" s="139">
        <f>'1510'!D185</f>
        <v/>
      </c>
      <c r="D184" s="140">
        <f>'1510'!E185</f>
        <v/>
      </c>
      <c r="E184" s="140">
        <f>'1510'!F185</f>
        <v/>
      </c>
      <c r="F184" s="139">
        <f>'1510'!C185</f>
        <v/>
      </c>
      <c r="G184" s="155">
        <f>'1510'!G185</f>
        <v/>
      </c>
      <c r="H184" s="155">
        <f>'1510'!H185</f>
        <v/>
      </c>
      <c r="I184" s="139">
        <f>'1510'!I185</f>
        <v/>
      </c>
    </row>
    <row r="185" outlineLevel="1" ht="15" customHeight="1" s="82">
      <c r="A185" s="139">
        <f>'1510'!A186</f>
        <v/>
      </c>
      <c r="B185" s="139">
        <f>'1510'!B186</f>
        <v/>
      </c>
      <c r="C185" s="139">
        <f>'1510'!D186</f>
        <v/>
      </c>
      <c r="D185" s="140">
        <f>'1510'!E186</f>
        <v/>
      </c>
      <c r="E185" s="140">
        <f>'1510'!F186</f>
        <v/>
      </c>
      <c r="F185" s="139">
        <f>'1510'!C186</f>
        <v/>
      </c>
      <c r="G185" s="155">
        <f>'1510'!G186</f>
        <v/>
      </c>
      <c r="H185" s="155">
        <f>'1510'!H186</f>
        <v/>
      </c>
      <c r="I185" s="139">
        <f>'1510'!I186</f>
        <v/>
      </c>
    </row>
    <row r="186" outlineLevel="1" ht="15" customHeight="1" s="82">
      <c r="A186" s="139">
        <f>'1510'!A187</f>
        <v/>
      </c>
      <c r="B186" s="139">
        <f>'1510'!B187</f>
        <v/>
      </c>
      <c r="C186" s="139">
        <f>'1510'!D187</f>
        <v/>
      </c>
      <c r="D186" s="140">
        <f>'1510'!E187</f>
        <v/>
      </c>
      <c r="E186" s="140">
        <f>'1510'!F187</f>
        <v/>
      </c>
      <c r="F186" s="139">
        <f>'1510'!C187</f>
        <v/>
      </c>
      <c r="G186" s="155">
        <f>'1510'!G187</f>
        <v/>
      </c>
      <c r="H186" s="155">
        <f>'1510'!H187</f>
        <v/>
      </c>
      <c r="I186" s="139">
        <f>'1510'!I187</f>
        <v/>
      </c>
    </row>
    <row r="187" outlineLevel="1" ht="15" customHeight="1" s="82">
      <c r="A187" s="139">
        <f>'1510'!A188</f>
        <v/>
      </c>
      <c r="B187" s="139">
        <f>'1510'!B188</f>
        <v/>
      </c>
      <c r="C187" s="139">
        <f>'1510'!D188</f>
        <v/>
      </c>
      <c r="D187" s="140">
        <f>'1510'!E188</f>
        <v/>
      </c>
      <c r="E187" s="140">
        <f>'1510'!F188</f>
        <v/>
      </c>
      <c r="F187" s="139">
        <f>'1510'!C188</f>
        <v/>
      </c>
      <c r="G187" s="155">
        <f>'1510'!G188</f>
        <v/>
      </c>
      <c r="H187" s="155">
        <f>'1510'!H188</f>
        <v/>
      </c>
      <c r="I187" s="139">
        <f>'1510'!I188</f>
        <v/>
      </c>
    </row>
    <row r="188" outlineLevel="1" ht="15" customHeight="1" s="82">
      <c r="A188" s="139">
        <f>'1510'!A189</f>
        <v/>
      </c>
      <c r="B188" s="139">
        <f>'1510'!B189</f>
        <v/>
      </c>
      <c r="C188" s="139">
        <f>'1510'!D189</f>
        <v/>
      </c>
      <c r="D188" s="140">
        <f>'1510'!E189</f>
        <v/>
      </c>
      <c r="E188" s="140">
        <f>'1510'!F189</f>
        <v/>
      </c>
      <c r="F188" s="139">
        <f>'1510'!C189</f>
        <v/>
      </c>
      <c r="G188" s="155">
        <f>'1510'!G189</f>
        <v/>
      </c>
      <c r="H188" s="155">
        <f>'1510'!H189</f>
        <v/>
      </c>
      <c r="I188" s="139">
        <f>'1510'!I189</f>
        <v/>
      </c>
    </row>
    <row r="189" outlineLevel="1" ht="15" customHeight="1" s="82">
      <c r="A189" s="139">
        <f>'1510'!A190</f>
        <v/>
      </c>
      <c r="B189" s="139">
        <f>'1510'!B190</f>
        <v/>
      </c>
      <c r="C189" s="139">
        <f>'1510'!D190</f>
        <v/>
      </c>
      <c r="D189" s="140">
        <f>'1510'!E190</f>
        <v/>
      </c>
      <c r="E189" s="140">
        <f>'1510'!F190</f>
        <v/>
      </c>
      <c r="F189" s="139">
        <f>'1510'!C190</f>
        <v/>
      </c>
      <c r="G189" s="155">
        <f>'1510'!G190</f>
        <v/>
      </c>
      <c r="H189" s="155">
        <f>'1510'!H190</f>
        <v/>
      </c>
      <c r="I189" s="139">
        <f>'1510'!I190</f>
        <v/>
      </c>
    </row>
    <row r="190" outlineLevel="1" ht="15" customHeight="1" s="82">
      <c r="A190" s="139">
        <f>'1510'!A191</f>
        <v/>
      </c>
      <c r="B190" s="139">
        <f>'1510'!B191</f>
        <v/>
      </c>
      <c r="C190" s="139">
        <f>'1510'!D191</f>
        <v/>
      </c>
      <c r="D190" s="140">
        <f>'1510'!E191</f>
        <v/>
      </c>
      <c r="E190" s="140">
        <f>'1510'!F191</f>
        <v/>
      </c>
      <c r="F190" s="139">
        <f>'1510'!C191</f>
        <v/>
      </c>
      <c r="G190" s="155">
        <f>'1510'!G191</f>
        <v/>
      </c>
      <c r="H190" s="155">
        <f>'1510'!H191</f>
        <v/>
      </c>
      <c r="I190" s="139">
        <f>'1510'!I191</f>
        <v/>
      </c>
    </row>
    <row r="191" outlineLevel="1" ht="15" customHeight="1" s="82">
      <c r="A191" s="139">
        <f>'1510'!A192</f>
        <v/>
      </c>
      <c r="B191" s="139">
        <f>'1510'!B192</f>
        <v/>
      </c>
      <c r="C191" s="139">
        <f>'1510'!D192</f>
        <v/>
      </c>
      <c r="D191" s="140">
        <f>'1510'!E192</f>
        <v/>
      </c>
      <c r="E191" s="140">
        <f>'1510'!F192</f>
        <v/>
      </c>
      <c r="F191" s="139">
        <f>'1510'!C192</f>
        <v/>
      </c>
      <c r="G191" s="155">
        <f>'1510'!G192</f>
        <v/>
      </c>
      <c r="H191" s="155">
        <f>'1510'!H192</f>
        <v/>
      </c>
      <c r="I191" s="139">
        <f>'1510'!I192</f>
        <v/>
      </c>
    </row>
    <row r="192" outlineLevel="1" ht="15" customHeight="1" s="82">
      <c r="A192" s="139">
        <f>'1510'!A193</f>
        <v/>
      </c>
      <c r="B192" s="139">
        <f>'1510'!B193</f>
        <v/>
      </c>
      <c r="C192" s="139">
        <f>'1510'!D193</f>
        <v/>
      </c>
      <c r="D192" s="140">
        <f>'1510'!E193</f>
        <v/>
      </c>
      <c r="E192" s="140">
        <f>'1510'!F193</f>
        <v/>
      </c>
      <c r="F192" s="139">
        <f>'1510'!C193</f>
        <v/>
      </c>
      <c r="G192" s="155">
        <f>'1510'!G193</f>
        <v/>
      </c>
      <c r="H192" s="155">
        <f>'1510'!H193</f>
        <v/>
      </c>
      <c r="I192" s="139">
        <f>'1510'!I193</f>
        <v/>
      </c>
    </row>
    <row r="193" outlineLevel="1" ht="15" customHeight="1" s="82">
      <c r="A193" s="139">
        <f>'1510'!A194</f>
        <v/>
      </c>
      <c r="B193" s="139">
        <f>'1510'!B194</f>
        <v/>
      </c>
      <c r="C193" s="139">
        <f>'1510'!D194</f>
        <v/>
      </c>
      <c r="D193" s="140">
        <f>'1510'!E194</f>
        <v/>
      </c>
      <c r="E193" s="140">
        <f>'1510'!F194</f>
        <v/>
      </c>
      <c r="F193" s="139">
        <f>'1510'!C194</f>
        <v/>
      </c>
      <c r="G193" s="155">
        <f>'1510'!G194</f>
        <v/>
      </c>
      <c r="H193" s="155">
        <f>'1510'!H194</f>
        <v/>
      </c>
      <c r="I193" s="139">
        <f>'1510'!I194</f>
        <v/>
      </c>
    </row>
    <row r="194" outlineLevel="1" ht="15" customHeight="1" s="82">
      <c r="A194" s="139">
        <f>'1510'!A195</f>
        <v/>
      </c>
      <c r="B194" s="139">
        <f>'1510'!B195</f>
        <v/>
      </c>
      <c r="C194" s="139">
        <f>'1510'!D195</f>
        <v/>
      </c>
      <c r="D194" s="140">
        <f>'1510'!E195</f>
        <v/>
      </c>
      <c r="E194" s="140">
        <f>'1510'!F195</f>
        <v/>
      </c>
      <c r="F194" s="139">
        <f>'1510'!C195</f>
        <v/>
      </c>
      <c r="G194" s="155">
        <f>'1510'!G195</f>
        <v/>
      </c>
      <c r="H194" s="155">
        <f>'1510'!H195</f>
        <v/>
      </c>
      <c r="I194" s="139">
        <f>'1510'!I195</f>
        <v/>
      </c>
    </row>
    <row r="195" outlineLevel="1" ht="15" customHeight="1" s="82">
      <c r="A195" s="139">
        <f>'1510'!A196</f>
        <v/>
      </c>
      <c r="B195" s="139">
        <f>'1510'!B196</f>
        <v/>
      </c>
      <c r="C195" s="139">
        <f>'1510'!D196</f>
        <v/>
      </c>
      <c r="D195" s="140">
        <f>'1510'!E196</f>
        <v/>
      </c>
      <c r="E195" s="140">
        <f>'1510'!F196</f>
        <v/>
      </c>
      <c r="F195" s="139">
        <f>'1510'!C196</f>
        <v/>
      </c>
      <c r="G195" s="155">
        <f>'1510'!G196</f>
        <v/>
      </c>
      <c r="H195" s="155">
        <f>'1510'!H196</f>
        <v/>
      </c>
      <c r="I195" s="139">
        <f>'1510'!I196</f>
        <v/>
      </c>
    </row>
    <row r="196" outlineLevel="1" ht="15" customHeight="1" s="82">
      <c r="A196" s="139">
        <f>'1510'!A197</f>
        <v/>
      </c>
      <c r="B196" s="139">
        <f>'1510'!B197</f>
        <v/>
      </c>
      <c r="C196" s="139">
        <f>'1510'!D197</f>
        <v/>
      </c>
      <c r="D196" s="140">
        <f>'1510'!E197</f>
        <v/>
      </c>
      <c r="E196" s="140">
        <f>'1510'!F197</f>
        <v/>
      </c>
      <c r="F196" s="139">
        <f>'1510'!C197</f>
        <v/>
      </c>
      <c r="G196" s="155">
        <f>'1510'!G197</f>
        <v/>
      </c>
      <c r="H196" s="155">
        <f>'1510'!H197</f>
        <v/>
      </c>
      <c r="I196" s="139">
        <f>'1510'!I197</f>
        <v/>
      </c>
    </row>
    <row r="197" outlineLevel="1" ht="15" customHeight="1" s="82">
      <c r="A197" s="139">
        <f>'1510'!A198</f>
        <v/>
      </c>
      <c r="B197" s="139">
        <f>'1510'!B198</f>
        <v/>
      </c>
      <c r="C197" s="139">
        <f>'1510'!D198</f>
        <v/>
      </c>
      <c r="D197" s="140">
        <f>'1510'!E198</f>
        <v/>
      </c>
      <c r="E197" s="140">
        <f>'1510'!F198</f>
        <v/>
      </c>
      <c r="F197" s="139">
        <f>'1510'!C198</f>
        <v/>
      </c>
      <c r="G197" s="155">
        <f>'1510'!G198</f>
        <v/>
      </c>
      <c r="H197" s="155">
        <f>'1510'!H198</f>
        <v/>
      </c>
      <c r="I197" s="139">
        <f>'1510'!I198</f>
        <v/>
      </c>
    </row>
    <row r="198" outlineLevel="1" ht="15" customHeight="1" s="82">
      <c r="A198" s="139">
        <f>'1510'!A199</f>
        <v/>
      </c>
      <c r="B198" s="139">
        <f>'1510'!B199</f>
        <v/>
      </c>
      <c r="C198" s="139">
        <f>'1510'!D199</f>
        <v/>
      </c>
      <c r="D198" s="140">
        <f>'1510'!E199</f>
        <v/>
      </c>
      <c r="E198" s="140">
        <f>'1510'!F199</f>
        <v/>
      </c>
      <c r="F198" s="139">
        <f>'1510'!C199</f>
        <v/>
      </c>
      <c r="G198" s="155">
        <f>'1510'!G199</f>
        <v/>
      </c>
      <c r="H198" s="155">
        <f>'1510'!H199</f>
        <v/>
      </c>
      <c r="I198" s="139">
        <f>'1510'!I199</f>
        <v/>
      </c>
    </row>
    <row r="199" outlineLevel="1" ht="15" customHeight="1" s="82">
      <c r="A199" s="139">
        <f>'1510'!A200</f>
        <v/>
      </c>
      <c r="B199" s="139">
        <f>'1510'!B200</f>
        <v/>
      </c>
      <c r="C199" s="139">
        <f>'1510'!D200</f>
        <v/>
      </c>
      <c r="D199" s="140">
        <f>'1510'!E200</f>
        <v/>
      </c>
      <c r="E199" s="140">
        <f>'1510'!F200</f>
        <v/>
      </c>
      <c r="F199" s="139">
        <f>'1510'!C200</f>
        <v/>
      </c>
      <c r="G199" s="155">
        <f>'1510'!G200</f>
        <v/>
      </c>
      <c r="H199" s="155">
        <f>'1510'!H200</f>
        <v/>
      </c>
      <c r="I199" s="139">
        <f>'1510'!I200</f>
        <v/>
      </c>
    </row>
    <row r="200" outlineLevel="1" ht="15" customHeight="1" s="82">
      <c r="A200" s="139">
        <f>'1510'!A201</f>
        <v/>
      </c>
      <c r="B200" s="139">
        <f>'1510'!B201</f>
        <v/>
      </c>
      <c r="C200" s="139">
        <f>'1510'!D201</f>
        <v/>
      </c>
      <c r="D200" s="140">
        <f>'1510'!E201</f>
        <v/>
      </c>
      <c r="E200" s="140">
        <f>'1510'!F201</f>
        <v/>
      </c>
      <c r="F200" s="139">
        <f>'1510'!C201</f>
        <v/>
      </c>
      <c r="G200" s="155">
        <f>'1510'!G201</f>
        <v/>
      </c>
      <c r="H200" s="155">
        <f>'1510'!H201</f>
        <v/>
      </c>
      <c r="I200" s="139">
        <f>'1510'!I201</f>
        <v/>
      </c>
    </row>
    <row r="201" outlineLevel="1" ht="15" customHeight="1" s="82">
      <c r="A201" s="139">
        <f>'1510'!A202</f>
        <v/>
      </c>
      <c r="B201" s="139">
        <f>'1510'!B202</f>
        <v/>
      </c>
      <c r="C201" s="139">
        <f>'1510'!D202</f>
        <v/>
      </c>
      <c r="D201" s="140">
        <f>'1510'!E202</f>
        <v/>
      </c>
      <c r="E201" s="140">
        <f>'1510'!F202</f>
        <v/>
      </c>
      <c r="F201" s="139">
        <f>'1510'!C202</f>
        <v/>
      </c>
      <c r="G201" s="155">
        <f>'1510'!G202</f>
        <v/>
      </c>
      <c r="H201" s="155">
        <f>'1510'!H202</f>
        <v/>
      </c>
      <c r="I201" s="139">
        <f>'1510'!I202</f>
        <v/>
      </c>
    </row>
    <row r="202" outlineLevel="1" ht="15" customHeight="1" s="82">
      <c r="A202" s="139">
        <f>'1510'!A203</f>
        <v/>
      </c>
      <c r="B202" s="139">
        <f>'1510'!B203</f>
        <v/>
      </c>
      <c r="C202" s="139">
        <f>'1510'!D203</f>
        <v/>
      </c>
      <c r="D202" s="140">
        <f>'1510'!E203</f>
        <v/>
      </c>
      <c r="E202" s="140">
        <f>'1510'!F203</f>
        <v/>
      </c>
      <c r="F202" s="139">
        <f>'1510'!C203</f>
        <v/>
      </c>
      <c r="G202" s="155">
        <f>'1510'!G203</f>
        <v/>
      </c>
      <c r="H202" s="155">
        <f>'1510'!H203</f>
        <v/>
      </c>
      <c r="I202" s="139">
        <f>'1510'!I203</f>
        <v/>
      </c>
    </row>
    <row r="203" outlineLevel="1" ht="15" customHeight="1" s="82">
      <c r="A203" s="139">
        <f>'1510'!A204</f>
        <v/>
      </c>
      <c r="B203" s="139">
        <f>'1510'!B204</f>
        <v/>
      </c>
      <c r="C203" s="139">
        <f>'1510'!D204</f>
        <v/>
      </c>
      <c r="D203" s="140">
        <f>'1510'!E204</f>
        <v/>
      </c>
      <c r="E203" s="140">
        <f>'1510'!F204</f>
        <v/>
      </c>
      <c r="F203" s="139">
        <f>'1510'!C204</f>
        <v/>
      </c>
      <c r="G203" s="155">
        <f>'1510'!G204</f>
        <v/>
      </c>
      <c r="H203" s="155">
        <f>'1510'!H204</f>
        <v/>
      </c>
      <c r="I203" s="139">
        <f>'1510'!I204</f>
        <v/>
      </c>
    </row>
    <row r="204" outlineLevel="1" ht="15" customHeight="1" s="82">
      <c r="A204" s="139">
        <f>'1510'!A205</f>
        <v/>
      </c>
      <c r="B204" s="139">
        <f>'1510'!B205</f>
        <v/>
      </c>
      <c r="C204" s="139">
        <f>'1510'!D205</f>
        <v/>
      </c>
      <c r="D204" s="140">
        <f>'1510'!E205</f>
        <v/>
      </c>
      <c r="E204" s="140">
        <f>'1510'!F205</f>
        <v/>
      </c>
      <c r="F204" s="139">
        <f>'1510'!C205</f>
        <v/>
      </c>
      <c r="G204" s="155">
        <f>'1510'!G205</f>
        <v/>
      </c>
      <c r="H204" s="155">
        <f>'1510'!H205</f>
        <v/>
      </c>
      <c r="I204" s="139">
        <f>'1510'!I205</f>
        <v/>
      </c>
    </row>
    <row r="205" outlineLevel="1" ht="15" customHeight="1" s="82">
      <c r="A205" s="139">
        <f>'1510'!A206</f>
        <v/>
      </c>
      <c r="B205" s="139">
        <f>'1510'!B206</f>
        <v/>
      </c>
      <c r="C205" s="139">
        <f>'1510'!D206</f>
        <v/>
      </c>
      <c r="D205" s="140">
        <f>'1510'!E206</f>
        <v/>
      </c>
      <c r="E205" s="140">
        <f>'1510'!F206</f>
        <v/>
      </c>
      <c r="F205" s="139">
        <f>'1510'!C206</f>
        <v/>
      </c>
      <c r="G205" s="155">
        <f>'1510'!G206</f>
        <v/>
      </c>
      <c r="H205" s="155">
        <f>'1510'!H206</f>
        <v/>
      </c>
      <c r="I205" s="139">
        <f>'1510'!I206</f>
        <v/>
      </c>
    </row>
    <row r="206" outlineLevel="1" ht="15" customHeight="1" s="82">
      <c r="A206" s="139">
        <f>'1510'!A207</f>
        <v/>
      </c>
      <c r="B206" s="139">
        <f>'1510'!B207</f>
        <v/>
      </c>
      <c r="C206" s="139">
        <f>'1510'!D207</f>
        <v/>
      </c>
      <c r="D206" s="140">
        <f>'1510'!E207</f>
        <v/>
      </c>
      <c r="E206" s="140">
        <f>'1510'!F207</f>
        <v/>
      </c>
      <c r="F206" s="139">
        <f>'1510'!C207</f>
        <v/>
      </c>
      <c r="G206" s="155">
        <f>'1510'!G207</f>
        <v/>
      </c>
      <c r="H206" s="155">
        <f>'1510'!H207</f>
        <v/>
      </c>
      <c r="I206" s="139">
        <f>'1510'!I207</f>
        <v/>
      </c>
    </row>
    <row r="207" outlineLevel="1" ht="15" customHeight="1" s="82">
      <c r="A207" s="139">
        <f>'1510'!A208</f>
        <v/>
      </c>
      <c r="B207" s="139">
        <f>'1510'!B208</f>
        <v/>
      </c>
      <c r="C207" s="139">
        <f>'1510'!D208</f>
        <v/>
      </c>
      <c r="D207" s="140">
        <f>'1510'!E208</f>
        <v/>
      </c>
      <c r="E207" s="140">
        <f>'1510'!F208</f>
        <v/>
      </c>
      <c r="F207" s="139">
        <f>'1510'!C208</f>
        <v/>
      </c>
      <c r="G207" s="155">
        <f>'1510'!G208</f>
        <v/>
      </c>
      <c r="H207" s="155">
        <f>'1510'!H208</f>
        <v/>
      </c>
      <c r="I207" s="139">
        <f>'1510'!I208</f>
        <v/>
      </c>
    </row>
    <row r="208" outlineLevel="1" ht="15" customHeight="1" s="82">
      <c r="A208" s="139">
        <f>'1510'!A209</f>
        <v/>
      </c>
      <c r="B208" s="139">
        <f>'1510'!B209</f>
        <v/>
      </c>
      <c r="C208" s="139">
        <f>'1510'!D209</f>
        <v/>
      </c>
      <c r="D208" s="140">
        <f>'1510'!E209</f>
        <v/>
      </c>
      <c r="E208" s="140">
        <f>'1510'!F209</f>
        <v/>
      </c>
      <c r="F208" s="139">
        <f>'1510'!C209</f>
        <v/>
      </c>
      <c r="G208" s="155">
        <f>'1510'!G209</f>
        <v/>
      </c>
      <c r="H208" s="155">
        <f>'1510'!H209</f>
        <v/>
      </c>
      <c r="I208" s="139">
        <f>'1510'!I209</f>
        <v/>
      </c>
    </row>
    <row r="209" outlineLevel="1" ht="15" customHeight="1" s="82">
      <c r="A209" s="139">
        <f>'1510'!A210</f>
        <v/>
      </c>
      <c r="B209" s="139">
        <f>'1510'!B210</f>
        <v/>
      </c>
      <c r="C209" s="139">
        <f>'1510'!D210</f>
        <v/>
      </c>
      <c r="D209" s="140">
        <f>'1510'!E210</f>
        <v/>
      </c>
      <c r="E209" s="140">
        <f>'1510'!F210</f>
        <v/>
      </c>
      <c r="F209" s="139">
        <f>'1510'!C210</f>
        <v/>
      </c>
      <c r="G209" s="155">
        <f>'1510'!G210</f>
        <v/>
      </c>
      <c r="H209" s="155">
        <f>'1510'!H210</f>
        <v/>
      </c>
      <c r="I209" s="139">
        <f>'1510'!I210</f>
        <v/>
      </c>
    </row>
    <row r="210" outlineLevel="1" ht="15" customHeight="1" s="82">
      <c r="A210" s="139">
        <f>'1510'!A211</f>
        <v/>
      </c>
      <c r="B210" s="139">
        <f>'1510'!B211</f>
        <v/>
      </c>
      <c r="C210" s="139">
        <f>'1510'!D211</f>
        <v/>
      </c>
      <c r="D210" s="140">
        <f>'1510'!E211</f>
        <v/>
      </c>
      <c r="E210" s="140">
        <f>'1510'!F211</f>
        <v/>
      </c>
      <c r="F210" s="139">
        <f>'1510'!C211</f>
        <v/>
      </c>
      <c r="G210" s="155">
        <f>'1510'!G211</f>
        <v/>
      </c>
      <c r="H210" s="155">
        <f>'1510'!H211</f>
        <v/>
      </c>
      <c r="I210" s="139">
        <f>'1510'!I211</f>
        <v/>
      </c>
    </row>
    <row r="211" outlineLevel="1" ht="15" customHeight="1" s="82">
      <c r="A211" s="139">
        <f>'1510'!A212</f>
        <v/>
      </c>
      <c r="B211" s="139">
        <f>'1510'!B212</f>
        <v/>
      </c>
      <c r="C211" s="139">
        <f>'1510'!D212</f>
        <v/>
      </c>
      <c r="D211" s="140">
        <f>'1510'!E212</f>
        <v/>
      </c>
      <c r="E211" s="140">
        <f>'1510'!F212</f>
        <v/>
      </c>
      <c r="F211" s="139">
        <f>'1510'!C212</f>
        <v/>
      </c>
      <c r="G211" s="155">
        <f>'1510'!G212</f>
        <v/>
      </c>
      <c r="H211" s="155">
        <f>'1510'!H212</f>
        <v/>
      </c>
      <c r="I211" s="139">
        <f>'1510'!I212</f>
        <v/>
      </c>
    </row>
    <row r="212" outlineLevel="1" ht="15" customHeight="1" s="82">
      <c r="A212" s="139">
        <f>'1510'!A213</f>
        <v/>
      </c>
      <c r="B212" s="139">
        <f>'1510'!B213</f>
        <v/>
      </c>
      <c r="C212" s="139">
        <f>'1510'!D213</f>
        <v/>
      </c>
      <c r="D212" s="140">
        <f>'1510'!E213</f>
        <v/>
      </c>
      <c r="E212" s="140">
        <f>'1510'!F213</f>
        <v/>
      </c>
      <c r="F212" s="139">
        <f>'1510'!C213</f>
        <v/>
      </c>
      <c r="G212" s="155">
        <f>'1510'!G213</f>
        <v/>
      </c>
      <c r="H212" s="155">
        <f>'1510'!H213</f>
        <v/>
      </c>
      <c r="I212" s="139">
        <f>'1510'!I213</f>
        <v/>
      </c>
    </row>
    <row r="213" outlineLevel="1" ht="15" customHeight="1" s="82">
      <c r="A213" s="139">
        <f>'1510'!A214</f>
        <v/>
      </c>
      <c r="B213" s="139">
        <f>'1510'!B214</f>
        <v/>
      </c>
      <c r="C213" s="139">
        <f>'1510'!D214</f>
        <v/>
      </c>
      <c r="D213" s="140">
        <f>'1510'!E214</f>
        <v/>
      </c>
      <c r="E213" s="140">
        <f>'1510'!F214</f>
        <v/>
      </c>
      <c r="F213" s="139">
        <f>'1510'!C214</f>
        <v/>
      </c>
      <c r="G213" s="155">
        <f>'1510'!G214</f>
        <v/>
      </c>
      <c r="H213" s="155">
        <f>'1510'!H214</f>
        <v/>
      </c>
      <c r="I213" s="139">
        <f>'1510'!I214</f>
        <v/>
      </c>
    </row>
    <row r="214" outlineLevel="1" ht="15" customHeight="1" s="82">
      <c r="A214" s="139">
        <f>'1510'!A215</f>
        <v/>
      </c>
      <c r="B214" s="139">
        <f>'1510'!B215</f>
        <v/>
      </c>
      <c r="C214" s="139">
        <f>'1510'!D215</f>
        <v/>
      </c>
      <c r="D214" s="140">
        <f>'1510'!E215</f>
        <v/>
      </c>
      <c r="E214" s="140">
        <f>'1510'!F215</f>
        <v/>
      </c>
      <c r="F214" s="139">
        <f>'1510'!C215</f>
        <v/>
      </c>
      <c r="G214" s="155">
        <f>'1510'!G215</f>
        <v/>
      </c>
      <c r="H214" s="155">
        <f>'1510'!H215</f>
        <v/>
      </c>
      <c r="I214" s="139">
        <f>'1510'!I215</f>
        <v/>
      </c>
    </row>
    <row r="215" outlineLevel="1" ht="15" customHeight="1" s="82">
      <c r="A215" s="139">
        <f>'1510'!A216</f>
        <v/>
      </c>
      <c r="B215" s="139">
        <f>'1510'!B216</f>
        <v/>
      </c>
      <c r="C215" s="139">
        <f>'1510'!D216</f>
        <v/>
      </c>
      <c r="D215" s="140">
        <f>'1510'!E216</f>
        <v/>
      </c>
      <c r="E215" s="140">
        <f>'1510'!F216</f>
        <v/>
      </c>
      <c r="F215" s="139">
        <f>'1510'!C216</f>
        <v/>
      </c>
      <c r="G215" s="155">
        <f>'1510'!G216</f>
        <v/>
      </c>
      <c r="H215" s="155">
        <f>'1510'!H216</f>
        <v/>
      </c>
      <c r="I215" s="139">
        <f>'1510'!I216</f>
        <v/>
      </c>
    </row>
    <row r="216" outlineLevel="1" ht="15" customHeight="1" s="82">
      <c r="A216" s="139">
        <f>'1510'!A217</f>
        <v/>
      </c>
      <c r="B216" s="139">
        <f>'1510'!B217</f>
        <v/>
      </c>
      <c r="C216" s="139">
        <f>'1510'!D217</f>
        <v/>
      </c>
      <c r="D216" s="140">
        <f>'1510'!E217</f>
        <v/>
      </c>
      <c r="E216" s="140">
        <f>'1510'!F217</f>
        <v/>
      </c>
      <c r="F216" s="139">
        <f>'1510'!C217</f>
        <v/>
      </c>
      <c r="G216" s="155">
        <f>'1510'!G217</f>
        <v/>
      </c>
      <c r="H216" s="155">
        <f>'1510'!H217</f>
        <v/>
      </c>
      <c r="I216" s="139">
        <f>'1510'!I217</f>
        <v/>
      </c>
    </row>
    <row r="217" outlineLevel="1" ht="15" customHeight="1" s="82">
      <c r="A217" s="139">
        <f>'1510'!A218</f>
        <v/>
      </c>
      <c r="B217" s="139">
        <f>'1510'!B218</f>
        <v/>
      </c>
      <c r="C217" s="139">
        <f>'1510'!D218</f>
        <v/>
      </c>
      <c r="D217" s="140">
        <f>'1510'!E218</f>
        <v/>
      </c>
      <c r="E217" s="140">
        <f>'1510'!F218</f>
        <v/>
      </c>
      <c r="F217" s="139">
        <f>'1510'!C218</f>
        <v/>
      </c>
      <c r="G217" s="155">
        <f>'1510'!G218</f>
        <v/>
      </c>
      <c r="H217" s="155">
        <f>'1510'!H218</f>
        <v/>
      </c>
      <c r="I217" s="139">
        <f>'1510'!I218</f>
        <v/>
      </c>
    </row>
    <row r="218" outlineLevel="1" ht="15" customHeight="1" s="82">
      <c r="A218" s="139">
        <f>'1510'!A219</f>
        <v/>
      </c>
      <c r="B218" s="139">
        <f>'1510'!B219</f>
        <v/>
      </c>
      <c r="C218" s="139">
        <f>'1510'!D219</f>
        <v/>
      </c>
      <c r="D218" s="140">
        <f>'1510'!E219</f>
        <v/>
      </c>
      <c r="E218" s="140">
        <f>'1510'!F219</f>
        <v/>
      </c>
      <c r="F218" s="139">
        <f>'1510'!C219</f>
        <v/>
      </c>
      <c r="G218" s="155">
        <f>'1510'!G219</f>
        <v/>
      </c>
      <c r="H218" s="155">
        <f>'1510'!H219</f>
        <v/>
      </c>
      <c r="I218" s="139">
        <f>'1510'!I219</f>
        <v/>
      </c>
    </row>
    <row r="219" outlineLevel="1" ht="15" customHeight="1" s="82">
      <c r="A219" s="139">
        <f>'1510'!A220</f>
        <v/>
      </c>
      <c r="B219" s="139">
        <f>'1510'!B220</f>
        <v/>
      </c>
      <c r="C219" s="139">
        <f>'1510'!D220</f>
        <v/>
      </c>
      <c r="D219" s="140">
        <f>'1510'!E220</f>
        <v/>
      </c>
      <c r="E219" s="140">
        <f>'1510'!F220</f>
        <v/>
      </c>
      <c r="F219" s="139">
        <f>'1510'!C220</f>
        <v/>
      </c>
      <c r="G219" s="155">
        <f>'1510'!G220</f>
        <v/>
      </c>
      <c r="H219" s="155">
        <f>'1510'!H220</f>
        <v/>
      </c>
      <c r="I219" s="139">
        <f>'1510'!I220</f>
        <v/>
      </c>
    </row>
    <row r="220" outlineLevel="1" ht="15" customHeight="1" s="82">
      <c r="A220" s="139">
        <f>'1510'!A221</f>
        <v/>
      </c>
      <c r="B220" s="139">
        <f>'1510'!B221</f>
        <v/>
      </c>
      <c r="C220" s="139">
        <f>'1510'!D221</f>
        <v/>
      </c>
      <c r="D220" s="140">
        <f>'1510'!E221</f>
        <v/>
      </c>
      <c r="E220" s="140">
        <f>'1510'!F221</f>
        <v/>
      </c>
      <c r="F220" s="139">
        <f>'1510'!C221</f>
        <v/>
      </c>
      <c r="G220" s="155">
        <f>'1510'!G221</f>
        <v/>
      </c>
      <c r="H220" s="155">
        <f>'1510'!H221</f>
        <v/>
      </c>
      <c r="I220" s="139">
        <f>'1510'!I221</f>
        <v/>
      </c>
    </row>
    <row r="221" outlineLevel="1" ht="15" customHeight="1" s="82">
      <c r="A221" s="139">
        <f>'1510'!A222</f>
        <v/>
      </c>
      <c r="B221" s="139">
        <f>'1510'!B222</f>
        <v/>
      </c>
      <c r="C221" s="139">
        <f>'1510'!D222</f>
        <v/>
      </c>
      <c r="D221" s="140">
        <f>'1510'!E222</f>
        <v/>
      </c>
      <c r="E221" s="140">
        <f>'1510'!F222</f>
        <v/>
      </c>
      <c r="F221" s="139">
        <f>'1510'!C222</f>
        <v/>
      </c>
      <c r="G221" s="155">
        <f>'1510'!G222</f>
        <v/>
      </c>
      <c r="H221" s="155">
        <f>'1510'!H222</f>
        <v/>
      </c>
      <c r="I221" s="139">
        <f>'1510'!I222</f>
        <v/>
      </c>
    </row>
    <row r="222" outlineLevel="1" ht="15" customHeight="1" s="82">
      <c r="A222" s="139">
        <f>'1510'!A223</f>
        <v/>
      </c>
      <c r="B222" s="139">
        <f>'1510'!B223</f>
        <v/>
      </c>
      <c r="C222" s="139">
        <f>'1510'!D223</f>
        <v/>
      </c>
      <c r="D222" s="140">
        <f>'1510'!E223</f>
        <v/>
      </c>
      <c r="E222" s="140">
        <f>'1510'!F223</f>
        <v/>
      </c>
      <c r="F222" s="139">
        <f>'1510'!C223</f>
        <v/>
      </c>
      <c r="G222" s="155">
        <f>'1510'!G223</f>
        <v/>
      </c>
      <c r="H222" s="155">
        <f>'1510'!H223</f>
        <v/>
      </c>
      <c r="I222" s="139">
        <f>'1510'!I223</f>
        <v/>
      </c>
    </row>
    <row r="223" outlineLevel="1" ht="15" customHeight="1" s="82">
      <c r="A223" s="139">
        <f>'1510'!A224</f>
        <v/>
      </c>
      <c r="B223" s="139">
        <f>'1510'!B224</f>
        <v/>
      </c>
      <c r="C223" s="139">
        <f>'1510'!D224</f>
        <v/>
      </c>
      <c r="D223" s="140">
        <f>'1510'!E224</f>
        <v/>
      </c>
      <c r="E223" s="140">
        <f>'1510'!F224</f>
        <v/>
      </c>
      <c r="F223" s="139">
        <f>'1510'!C224</f>
        <v/>
      </c>
      <c r="G223" s="155">
        <f>'1510'!G224</f>
        <v/>
      </c>
      <c r="H223" s="155">
        <f>'1510'!H224</f>
        <v/>
      </c>
      <c r="I223" s="139">
        <f>'1510'!I224</f>
        <v/>
      </c>
    </row>
    <row r="224" outlineLevel="1" ht="15" customHeight="1" s="82">
      <c r="A224" s="139">
        <f>'1510'!A225</f>
        <v/>
      </c>
      <c r="B224" s="139">
        <f>'1510'!B225</f>
        <v/>
      </c>
      <c r="C224" s="139">
        <f>'1510'!D225</f>
        <v/>
      </c>
      <c r="D224" s="140">
        <f>'1510'!E225</f>
        <v/>
      </c>
      <c r="E224" s="140">
        <f>'1510'!F225</f>
        <v/>
      </c>
      <c r="F224" s="139">
        <f>'1510'!C225</f>
        <v/>
      </c>
      <c r="G224" s="155">
        <f>'1510'!G225</f>
        <v/>
      </c>
      <c r="H224" s="155">
        <f>'1510'!H225</f>
        <v/>
      </c>
      <c r="I224" s="139">
        <f>'1510'!I225</f>
        <v/>
      </c>
    </row>
    <row r="225" outlineLevel="1" ht="15" customHeight="1" s="82">
      <c r="A225" s="139">
        <f>'1510'!A226</f>
        <v/>
      </c>
      <c r="B225" s="139">
        <f>'1510'!B226</f>
        <v/>
      </c>
      <c r="C225" s="139">
        <f>'1510'!D226</f>
        <v/>
      </c>
      <c r="D225" s="140">
        <f>'1510'!E226</f>
        <v/>
      </c>
      <c r="E225" s="140">
        <f>'1510'!F226</f>
        <v/>
      </c>
      <c r="F225" s="139">
        <f>'1510'!C226</f>
        <v/>
      </c>
      <c r="G225" s="155">
        <f>'1510'!G226</f>
        <v/>
      </c>
      <c r="H225" s="155">
        <f>'1510'!H226</f>
        <v/>
      </c>
      <c r="I225" s="139">
        <f>'1510'!I226</f>
        <v/>
      </c>
    </row>
    <row r="226" outlineLevel="1" ht="15" customHeight="1" s="82">
      <c r="A226" s="139">
        <f>'1510'!A227</f>
        <v/>
      </c>
      <c r="B226" s="139">
        <f>'1510'!B227</f>
        <v/>
      </c>
      <c r="C226" s="139">
        <f>'1510'!D227</f>
        <v/>
      </c>
      <c r="D226" s="140">
        <f>'1510'!E227</f>
        <v/>
      </c>
      <c r="E226" s="140">
        <f>'1510'!F227</f>
        <v/>
      </c>
      <c r="F226" s="139">
        <f>'1510'!C227</f>
        <v/>
      </c>
      <c r="G226" s="155">
        <f>'1510'!G227</f>
        <v/>
      </c>
      <c r="H226" s="155">
        <f>'1510'!H227</f>
        <v/>
      </c>
      <c r="I226" s="139">
        <f>'1510'!I227</f>
        <v/>
      </c>
    </row>
    <row r="227" outlineLevel="1" ht="15" customHeight="1" s="82">
      <c r="A227" s="139">
        <f>'1510'!A228</f>
        <v/>
      </c>
      <c r="B227" s="139">
        <f>'1510'!B228</f>
        <v/>
      </c>
      <c r="C227" s="139">
        <f>'1510'!D228</f>
        <v/>
      </c>
      <c r="D227" s="140">
        <f>'1510'!E228</f>
        <v/>
      </c>
      <c r="E227" s="140">
        <f>'1510'!F228</f>
        <v/>
      </c>
      <c r="F227" s="139">
        <f>'1510'!C228</f>
        <v/>
      </c>
      <c r="G227" s="155">
        <f>'1510'!G228</f>
        <v/>
      </c>
      <c r="H227" s="155">
        <f>'1510'!H228</f>
        <v/>
      </c>
      <c r="I227" s="139">
        <f>'1510'!I228</f>
        <v/>
      </c>
    </row>
    <row r="228" outlineLevel="1" ht="15" customHeight="1" s="82">
      <c r="A228" s="139">
        <f>'1510'!A229</f>
        <v/>
      </c>
      <c r="B228" s="139">
        <f>'1510'!B229</f>
        <v/>
      </c>
      <c r="C228" s="139">
        <f>'1510'!D229</f>
        <v/>
      </c>
      <c r="D228" s="140">
        <f>'1510'!E229</f>
        <v/>
      </c>
      <c r="E228" s="140">
        <f>'1510'!F229</f>
        <v/>
      </c>
      <c r="F228" s="139">
        <f>'1510'!C229</f>
        <v/>
      </c>
      <c r="G228" s="155">
        <f>'1510'!G229</f>
        <v/>
      </c>
      <c r="H228" s="155">
        <f>'1510'!H229</f>
        <v/>
      </c>
      <c r="I228" s="139">
        <f>'1510'!I229</f>
        <v/>
      </c>
    </row>
    <row r="229" outlineLevel="1" ht="15" customHeight="1" s="82">
      <c r="A229" s="139">
        <f>'1510'!A230</f>
        <v/>
      </c>
      <c r="B229" s="139">
        <f>'1510'!B230</f>
        <v/>
      </c>
      <c r="C229" s="139">
        <f>'1510'!D230</f>
        <v/>
      </c>
      <c r="D229" s="140">
        <f>'1510'!E230</f>
        <v/>
      </c>
      <c r="E229" s="140">
        <f>'1510'!F230</f>
        <v/>
      </c>
      <c r="F229" s="139">
        <f>'1510'!C230</f>
        <v/>
      </c>
      <c r="G229" s="155">
        <f>'1510'!G230</f>
        <v/>
      </c>
      <c r="H229" s="155">
        <f>'1510'!H230</f>
        <v/>
      </c>
      <c r="I229" s="139">
        <f>'1510'!I230</f>
        <v/>
      </c>
    </row>
    <row r="230" outlineLevel="1" ht="15" customHeight="1" s="82">
      <c r="A230" s="139">
        <f>'1510'!A231</f>
        <v/>
      </c>
      <c r="B230" s="139">
        <f>'1510'!B231</f>
        <v/>
      </c>
      <c r="C230" s="139">
        <f>'1510'!D231</f>
        <v/>
      </c>
      <c r="D230" s="140">
        <f>'1510'!E231</f>
        <v/>
      </c>
      <c r="E230" s="140">
        <f>'1510'!F231</f>
        <v/>
      </c>
      <c r="F230" s="139">
        <f>'1510'!C231</f>
        <v/>
      </c>
      <c r="G230" s="155">
        <f>'1510'!G231</f>
        <v/>
      </c>
      <c r="H230" s="155">
        <f>'1510'!H231</f>
        <v/>
      </c>
      <c r="I230" s="139">
        <f>'1510'!I231</f>
        <v/>
      </c>
    </row>
    <row r="231" outlineLevel="1" ht="15" customHeight="1" s="82">
      <c r="A231" s="139">
        <f>'1510'!A232</f>
        <v/>
      </c>
      <c r="B231" s="139">
        <f>'1510'!B232</f>
        <v/>
      </c>
      <c r="C231" s="139">
        <f>'1510'!D232</f>
        <v/>
      </c>
      <c r="D231" s="140">
        <f>'1510'!E232</f>
        <v/>
      </c>
      <c r="E231" s="140">
        <f>'1510'!F232</f>
        <v/>
      </c>
      <c r="F231" s="139">
        <f>'1510'!C232</f>
        <v/>
      </c>
      <c r="G231" s="155">
        <f>'1510'!G232</f>
        <v/>
      </c>
      <c r="H231" s="155">
        <f>'1510'!H232</f>
        <v/>
      </c>
      <c r="I231" s="139">
        <f>'1510'!I232</f>
        <v/>
      </c>
    </row>
    <row r="232" outlineLevel="1" ht="15" customHeight="1" s="82">
      <c r="A232" s="139">
        <f>'1510'!A233</f>
        <v/>
      </c>
      <c r="B232" s="139">
        <f>'1510'!B233</f>
        <v/>
      </c>
      <c r="C232" s="139">
        <f>'1510'!D233</f>
        <v/>
      </c>
      <c r="D232" s="140">
        <f>'1510'!E233</f>
        <v/>
      </c>
      <c r="E232" s="140">
        <f>'1510'!F233</f>
        <v/>
      </c>
      <c r="F232" s="139">
        <f>'1510'!C233</f>
        <v/>
      </c>
      <c r="G232" s="155">
        <f>'1510'!G233</f>
        <v/>
      </c>
      <c r="H232" s="155">
        <f>'1510'!H233</f>
        <v/>
      </c>
      <c r="I232" s="139">
        <f>'1510'!I233</f>
        <v/>
      </c>
    </row>
    <row r="233" outlineLevel="1" ht="15" customHeight="1" s="82">
      <c r="A233" s="139">
        <f>'1510'!A234</f>
        <v/>
      </c>
      <c r="B233" s="139">
        <f>'1510'!B234</f>
        <v/>
      </c>
      <c r="C233" s="139">
        <f>'1510'!D234</f>
        <v/>
      </c>
      <c r="D233" s="140">
        <f>'1510'!E234</f>
        <v/>
      </c>
      <c r="E233" s="140">
        <f>'1510'!F234</f>
        <v/>
      </c>
      <c r="F233" s="139">
        <f>'1510'!C234</f>
        <v/>
      </c>
      <c r="G233" s="155">
        <f>'1510'!G234</f>
        <v/>
      </c>
      <c r="H233" s="155">
        <f>'1510'!H234</f>
        <v/>
      </c>
      <c r="I233" s="139">
        <f>'1510'!I234</f>
        <v/>
      </c>
    </row>
    <row r="234" outlineLevel="1" ht="15" customHeight="1" s="82">
      <c r="A234" s="139">
        <f>'1510'!A235</f>
        <v/>
      </c>
      <c r="B234" s="139">
        <f>'1510'!B235</f>
        <v/>
      </c>
      <c r="C234" s="139">
        <f>'1510'!D235</f>
        <v/>
      </c>
      <c r="D234" s="140">
        <f>'1510'!E235</f>
        <v/>
      </c>
      <c r="E234" s="140">
        <f>'1510'!F235</f>
        <v/>
      </c>
      <c r="F234" s="139">
        <f>'1510'!C235</f>
        <v/>
      </c>
      <c r="G234" s="155">
        <f>'1510'!G235</f>
        <v/>
      </c>
      <c r="H234" s="155">
        <f>'1510'!H235</f>
        <v/>
      </c>
      <c r="I234" s="139">
        <f>'1510'!I235</f>
        <v/>
      </c>
    </row>
    <row r="235" outlineLevel="1" ht="15" customHeight="1" s="82">
      <c r="A235" s="139">
        <f>'1510'!A236</f>
        <v/>
      </c>
      <c r="B235" s="139">
        <f>'1510'!B236</f>
        <v/>
      </c>
      <c r="C235" s="139">
        <f>'1510'!D236</f>
        <v/>
      </c>
      <c r="D235" s="140">
        <f>'1510'!E236</f>
        <v/>
      </c>
      <c r="E235" s="140">
        <f>'1510'!F236</f>
        <v/>
      </c>
      <c r="F235" s="139">
        <f>'1510'!C236</f>
        <v/>
      </c>
      <c r="G235" s="155">
        <f>'1510'!G236</f>
        <v/>
      </c>
      <c r="H235" s="155">
        <f>'1510'!H236</f>
        <v/>
      </c>
      <c r="I235" s="139">
        <f>'1510'!I236</f>
        <v/>
      </c>
    </row>
    <row r="236" outlineLevel="1" ht="15" customHeight="1" s="82">
      <c r="A236" s="139">
        <f>'1510'!A237</f>
        <v/>
      </c>
      <c r="B236" s="139">
        <f>'1510'!B237</f>
        <v/>
      </c>
      <c r="C236" s="139">
        <f>'1510'!D237</f>
        <v/>
      </c>
      <c r="D236" s="140">
        <f>'1510'!E237</f>
        <v/>
      </c>
      <c r="E236" s="140">
        <f>'1510'!F237</f>
        <v/>
      </c>
      <c r="F236" s="139">
        <f>'1510'!C237</f>
        <v/>
      </c>
      <c r="G236" s="155">
        <f>'1510'!G237</f>
        <v/>
      </c>
      <c r="H236" s="155">
        <f>'1510'!H237</f>
        <v/>
      </c>
      <c r="I236" s="139">
        <f>'1510'!I237</f>
        <v/>
      </c>
    </row>
    <row r="237" outlineLevel="1" ht="15" customHeight="1" s="82">
      <c r="A237" s="139">
        <f>'1510'!A238</f>
        <v/>
      </c>
      <c r="B237" s="139">
        <f>'1510'!B238</f>
        <v/>
      </c>
      <c r="C237" s="139">
        <f>'1510'!D238</f>
        <v/>
      </c>
      <c r="D237" s="140">
        <f>'1510'!E238</f>
        <v/>
      </c>
      <c r="E237" s="140">
        <f>'1510'!F238</f>
        <v/>
      </c>
      <c r="F237" s="139">
        <f>'1510'!C238</f>
        <v/>
      </c>
      <c r="G237" s="155">
        <f>'1510'!G238</f>
        <v/>
      </c>
      <c r="H237" s="155">
        <f>'1510'!H238</f>
        <v/>
      </c>
      <c r="I237" s="139">
        <f>'1510'!I238</f>
        <v/>
      </c>
    </row>
    <row r="238" outlineLevel="1" ht="15" customHeight="1" s="82">
      <c r="A238" s="139">
        <f>'1510'!A239</f>
        <v/>
      </c>
      <c r="B238" s="139">
        <f>'1510'!B239</f>
        <v/>
      </c>
      <c r="C238" s="139">
        <f>'1510'!D239</f>
        <v/>
      </c>
      <c r="D238" s="140">
        <f>'1510'!E239</f>
        <v/>
      </c>
      <c r="E238" s="140">
        <f>'1510'!F239</f>
        <v/>
      </c>
      <c r="F238" s="139">
        <f>'1510'!C239</f>
        <v/>
      </c>
      <c r="G238" s="155">
        <f>'1510'!G239</f>
        <v/>
      </c>
      <c r="H238" s="155">
        <f>'1510'!H239</f>
        <v/>
      </c>
      <c r="I238" s="139">
        <f>'1510'!I239</f>
        <v/>
      </c>
    </row>
    <row r="239" outlineLevel="1" ht="15" customHeight="1" s="82">
      <c r="A239" s="139">
        <f>'1510'!A240</f>
        <v/>
      </c>
      <c r="B239" s="139">
        <f>'1510'!B240</f>
        <v/>
      </c>
      <c r="C239" s="139">
        <f>'1510'!D240</f>
        <v/>
      </c>
      <c r="D239" s="140">
        <f>'1510'!E240</f>
        <v/>
      </c>
      <c r="E239" s="140">
        <f>'1510'!F240</f>
        <v/>
      </c>
      <c r="F239" s="139">
        <f>'1510'!C240</f>
        <v/>
      </c>
      <c r="G239" s="155">
        <f>'1510'!G240</f>
        <v/>
      </c>
      <c r="H239" s="155">
        <f>'1510'!H240</f>
        <v/>
      </c>
      <c r="I239" s="139">
        <f>'1510'!I240</f>
        <v/>
      </c>
    </row>
    <row r="240" outlineLevel="1" ht="15" customHeight="1" s="82">
      <c r="A240" s="139">
        <f>'1510'!A241</f>
        <v/>
      </c>
      <c r="B240" s="139">
        <f>'1510'!B241</f>
        <v/>
      </c>
      <c r="C240" s="139">
        <f>'1510'!D241</f>
        <v/>
      </c>
      <c r="D240" s="140">
        <f>'1510'!E241</f>
        <v/>
      </c>
      <c r="E240" s="140">
        <f>'1510'!F241</f>
        <v/>
      </c>
      <c r="F240" s="139">
        <f>'1510'!C241</f>
        <v/>
      </c>
      <c r="G240" s="155">
        <f>'1510'!G241</f>
        <v/>
      </c>
      <c r="H240" s="155">
        <f>'1510'!H241</f>
        <v/>
      </c>
      <c r="I240" s="139">
        <f>'1510'!I241</f>
        <v/>
      </c>
    </row>
    <row r="241" outlineLevel="1" ht="15" customHeight="1" s="82">
      <c r="A241" s="139">
        <f>'1510'!A242</f>
        <v/>
      </c>
      <c r="B241" s="139">
        <f>'1510'!B242</f>
        <v/>
      </c>
      <c r="C241" s="139">
        <f>'1510'!D242</f>
        <v/>
      </c>
      <c r="D241" s="140">
        <f>'1510'!E242</f>
        <v/>
      </c>
      <c r="E241" s="140">
        <f>'1510'!F242</f>
        <v/>
      </c>
      <c r="F241" s="139">
        <f>'1510'!C242</f>
        <v/>
      </c>
      <c r="G241" s="155">
        <f>'1510'!G242</f>
        <v/>
      </c>
      <c r="H241" s="155">
        <f>'1510'!H242</f>
        <v/>
      </c>
      <c r="I241" s="139">
        <f>'1510'!I242</f>
        <v/>
      </c>
    </row>
    <row r="242" outlineLevel="1" ht="15" customHeight="1" s="82">
      <c r="A242" s="139">
        <f>'1510'!A243</f>
        <v/>
      </c>
      <c r="B242" s="139">
        <f>'1510'!B243</f>
        <v/>
      </c>
      <c r="C242" s="139">
        <f>'1510'!D243</f>
        <v/>
      </c>
      <c r="D242" s="140">
        <f>'1510'!E243</f>
        <v/>
      </c>
      <c r="E242" s="140">
        <f>'1510'!F243</f>
        <v/>
      </c>
      <c r="F242" s="139">
        <f>'1510'!C243</f>
        <v/>
      </c>
      <c r="G242" s="155">
        <f>'1510'!G243</f>
        <v/>
      </c>
      <c r="H242" s="155">
        <f>'1510'!H243</f>
        <v/>
      </c>
      <c r="I242" s="139">
        <f>'1510'!I243</f>
        <v/>
      </c>
    </row>
    <row r="243" outlineLevel="1" ht="15" customHeight="1" s="82">
      <c r="A243" s="139">
        <f>'1510'!A244</f>
        <v/>
      </c>
      <c r="B243" s="139">
        <f>'1510'!B244</f>
        <v/>
      </c>
      <c r="C243" s="139">
        <f>'1510'!D244</f>
        <v/>
      </c>
      <c r="D243" s="140">
        <f>'1510'!E244</f>
        <v/>
      </c>
      <c r="E243" s="140">
        <f>'1510'!F244</f>
        <v/>
      </c>
      <c r="F243" s="139">
        <f>'1510'!C244</f>
        <v/>
      </c>
      <c r="G243" s="155">
        <f>'1510'!G244</f>
        <v/>
      </c>
      <c r="H243" s="155">
        <f>'1510'!H244</f>
        <v/>
      </c>
      <c r="I243" s="139">
        <f>'1510'!I244</f>
        <v/>
      </c>
    </row>
    <row r="244" outlineLevel="1" ht="15" customHeight="1" s="82">
      <c r="A244" s="139">
        <f>'1510'!A245</f>
        <v/>
      </c>
      <c r="B244" s="139">
        <f>'1510'!B245</f>
        <v/>
      </c>
      <c r="C244" s="139">
        <f>'1510'!D245</f>
        <v/>
      </c>
      <c r="D244" s="140">
        <f>'1510'!E245</f>
        <v/>
      </c>
      <c r="E244" s="140">
        <f>'1510'!F245</f>
        <v/>
      </c>
      <c r="F244" s="139">
        <f>'1510'!C245</f>
        <v/>
      </c>
      <c r="G244" s="155">
        <f>'1510'!G245</f>
        <v/>
      </c>
      <c r="H244" s="155">
        <f>'1510'!H245</f>
        <v/>
      </c>
      <c r="I244" s="139">
        <f>'1510'!I245</f>
        <v/>
      </c>
    </row>
    <row r="245" outlineLevel="1" ht="15" customHeight="1" s="82">
      <c r="A245" s="139">
        <f>'1510'!A246</f>
        <v/>
      </c>
      <c r="B245" s="139">
        <f>'1510'!B246</f>
        <v/>
      </c>
      <c r="C245" s="139">
        <f>'1510'!D246</f>
        <v/>
      </c>
      <c r="D245" s="140">
        <f>'1510'!E246</f>
        <v/>
      </c>
      <c r="E245" s="140">
        <f>'1510'!F246</f>
        <v/>
      </c>
      <c r="F245" s="139">
        <f>'1510'!C246</f>
        <v/>
      </c>
      <c r="G245" s="155">
        <f>'1510'!G246</f>
        <v/>
      </c>
      <c r="H245" s="155">
        <f>'1510'!H246</f>
        <v/>
      </c>
      <c r="I245" s="139">
        <f>'1510'!I246</f>
        <v/>
      </c>
    </row>
    <row r="246" outlineLevel="1" ht="15" customHeight="1" s="82">
      <c r="A246" s="139">
        <f>'1510'!A247</f>
        <v/>
      </c>
      <c r="B246" s="139">
        <f>'1510'!B247</f>
        <v/>
      </c>
      <c r="C246" s="139">
        <f>'1510'!D247</f>
        <v/>
      </c>
      <c r="D246" s="140">
        <f>'1510'!E247</f>
        <v/>
      </c>
      <c r="E246" s="140">
        <f>'1510'!F247</f>
        <v/>
      </c>
      <c r="F246" s="139">
        <f>'1510'!C247</f>
        <v/>
      </c>
      <c r="G246" s="155">
        <f>'1510'!G247</f>
        <v/>
      </c>
      <c r="H246" s="155">
        <f>'1510'!H247</f>
        <v/>
      </c>
      <c r="I246" s="139">
        <f>'1510'!I247</f>
        <v/>
      </c>
    </row>
    <row r="247" outlineLevel="1" ht="15" customHeight="1" s="82">
      <c r="A247" s="139">
        <f>'1510'!A248</f>
        <v/>
      </c>
      <c r="B247" s="139">
        <f>'1510'!B248</f>
        <v/>
      </c>
      <c r="C247" s="139">
        <f>'1510'!D248</f>
        <v/>
      </c>
      <c r="D247" s="140">
        <f>'1510'!E248</f>
        <v/>
      </c>
      <c r="E247" s="140">
        <f>'1510'!F248</f>
        <v/>
      </c>
      <c r="F247" s="139">
        <f>'1510'!C248</f>
        <v/>
      </c>
      <c r="G247" s="155">
        <f>'1510'!G248</f>
        <v/>
      </c>
      <c r="H247" s="155">
        <f>'1510'!H248</f>
        <v/>
      </c>
      <c r="I247" s="139">
        <f>'1510'!I248</f>
        <v/>
      </c>
    </row>
    <row r="248" outlineLevel="1" ht="15" customHeight="1" s="82">
      <c r="A248" s="139">
        <f>'1510'!A249</f>
        <v/>
      </c>
      <c r="B248" s="139">
        <f>'1510'!B249</f>
        <v/>
      </c>
      <c r="C248" s="139">
        <f>'1510'!D249</f>
        <v/>
      </c>
      <c r="D248" s="140">
        <f>'1510'!E249</f>
        <v/>
      </c>
      <c r="E248" s="140">
        <f>'1510'!F249</f>
        <v/>
      </c>
      <c r="F248" s="139">
        <f>'1510'!C249</f>
        <v/>
      </c>
      <c r="G248" s="155">
        <f>'1510'!G249</f>
        <v/>
      </c>
      <c r="H248" s="155">
        <f>'1510'!H249</f>
        <v/>
      </c>
      <c r="I248" s="139">
        <f>'1510'!I249</f>
        <v/>
      </c>
    </row>
    <row r="249" outlineLevel="1" ht="15" customHeight="1" s="82">
      <c r="A249" s="139">
        <f>'1510'!A250</f>
        <v/>
      </c>
      <c r="B249" s="139">
        <f>'1510'!B250</f>
        <v/>
      </c>
      <c r="C249" s="139">
        <f>'1510'!D250</f>
        <v/>
      </c>
      <c r="D249" s="140">
        <f>'1510'!E250</f>
        <v/>
      </c>
      <c r="E249" s="140">
        <f>'1510'!F250</f>
        <v/>
      </c>
      <c r="F249" s="139">
        <f>'1510'!C250</f>
        <v/>
      </c>
      <c r="G249" s="155">
        <f>'1510'!G250</f>
        <v/>
      </c>
      <c r="H249" s="155">
        <f>'1510'!H250</f>
        <v/>
      </c>
      <c r="I249" s="139">
        <f>'1510'!I250</f>
        <v/>
      </c>
    </row>
    <row r="250" outlineLevel="1" ht="15" customHeight="1" s="82">
      <c r="A250" s="139">
        <f>'1510'!A251</f>
        <v/>
      </c>
      <c r="B250" s="139">
        <f>'1510'!B251</f>
        <v/>
      </c>
      <c r="C250" s="139">
        <f>'1510'!D251</f>
        <v/>
      </c>
      <c r="D250" s="140">
        <f>'1510'!E251</f>
        <v/>
      </c>
      <c r="E250" s="140">
        <f>'1510'!F251</f>
        <v/>
      </c>
      <c r="F250" s="139">
        <f>'1510'!C251</f>
        <v/>
      </c>
      <c r="G250" s="155">
        <f>'1510'!G251</f>
        <v/>
      </c>
      <c r="H250" s="155">
        <f>'1510'!H251</f>
        <v/>
      </c>
      <c r="I250" s="139">
        <f>'1510'!I251</f>
        <v/>
      </c>
    </row>
    <row r="251" outlineLevel="1" ht="15" customHeight="1" s="82">
      <c r="A251" s="139">
        <f>'1510'!A252</f>
        <v/>
      </c>
      <c r="B251" s="139">
        <f>'1510'!B252</f>
        <v/>
      </c>
      <c r="C251" s="139">
        <f>'1510'!D252</f>
        <v/>
      </c>
      <c r="D251" s="140">
        <f>'1510'!E252</f>
        <v/>
      </c>
      <c r="E251" s="140">
        <f>'1510'!F252</f>
        <v/>
      </c>
      <c r="F251" s="139">
        <f>'1510'!C252</f>
        <v/>
      </c>
      <c r="G251" s="155">
        <f>'1510'!G252</f>
        <v/>
      </c>
      <c r="H251" s="155">
        <f>'1510'!H252</f>
        <v/>
      </c>
      <c r="I251" s="139">
        <f>'1510'!I252</f>
        <v/>
      </c>
    </row>
    <row r="252" outlineLevel="1" ht="15" customHeight="1" s="82">
      <c r="A252" s="139">
        <f>'1510'!A253</f>
        <v/>
      </c>
      <c r="B252" s="139">
        <f>'1510'!B253</f>
        <v/>
      </c>
      <c r="C252" s="139">
        <f>'1510'!D253</f>
        <v/>
      </c>
      <c r="D252" s="140">
        <f>'1510'!E253</f>
        <v/>
      </c>
      <c r="E252" s="140">
        <f>'1510'!F253</f>
        <v/>
      </c>
      <c r="F252" s="139">
        <f>'1510'!C253</f>
        <v/>
      </c>
      <c r="G252" s="155">
        <f>'1510'!G253</f>
        <v/>
      </c>
      <c r="H252" s="155">
        <f>'1510'!H253</f>
        <v/>
      </c>
      <c r="I252" s="139">
        <f>'1510'!I253</f>
        <v/>
      </c>
    </row>
    <row r="253" outlineLevel="1" ht="15" customHeight="1" s="82">
      <c r="A253" s="139">
        <f>'1510'!A254</f>
        <v/>
      </c>
      <c r="B253" s="139">
        <f>'1510'!B254</f>
        <v/>
      </c>
      <c r="C253" s="139">
        <f>'1510'!D254</f>
        <v/>
      </c>
      <c r="D253" s="140">
        <f>'1510'!E254</f>
        <v/>
      </c>
      <c r="E253" s="140">
        <f>'1510'!F254</f>
        <v/>
      </c>
      <c r="F253" s="139">
        <f>'1510'!C254</f>
        <v/>
      </c>
      <c r="G253" s="155">
        <f>'1510'!G254</f>
        <v/>
      </c>
      <c r="H253" s="155">
        <f>'1510'!H254</f>
        <v/>
      </c>
      <c r="I253" s="139">
        <f>'1510'!I254</f>
        <v/>
      </c>
    </row>
    <row r="254" outlineLevel="1" ht="15" customHeight="1" s="82">
      <c r="A254" s="139">
        <f>'1510'!A255</f>
        <v/>
      </c>
      <c r="B254" s="139">
        <f>'1510'!B255</f>
        <v/>
      </c>
      <c r="C254" s="139">
        <f>'1510'!D255</f>
        <v/>
      </c>
      <c r="D254" s="140">
        <f>'1510'!E255</f>
        <v/>
      </c>
      <c r="E254" s="140">
        <f>'1510'!F255</f>
        <v/>
      </c>
      <c r="F254" s="139">
        <f>'1510'!C255</f>
        <v/>
      </c>
      <c r="G254" s="155">
        <f>'1510'!G255</f>
        <v/>
      </c>
      <c r="H254" s="155">
        <f>'1510'!H255</f>
        <v/>
      </c>
      <c r="I254" s="139">
        <f>'1510'!I255</f>
        <v/>
      </c>
    </row>
    <row r="255" outlineLevel="1" ht="15" customHeight="1" s="82">
      <c r="A255" s="139">
        <f>'1510'!A256</f>
        <v/>
      </c>
      <c r="B255" s="139">
        <f>'1510'!B256</f>
        <v/>
      </c>
      <c r="C255" s="139">
        <f>'1510'!D256</f>
        <v/>
      </c>
      <c r="D255" s="140">
        <f>'1510'!E256</f>
        <v/>
      </c>
      <c r="E255" s="140">
        <f>'1510'!F256</f>
        <v/>
      </c>
      <c r="F255" s="139">
        <f>'1510'!C256</f>
        <v/>
      </c>
      <c r="G255" s="155">
        <f>'1510'!G256</f>
        <v/>
      </c>
      <c r="H255" s="155">
        <f>'1510'!H256</f>
        <v/>
      </c>
      <c r="I255" s="139">
        <f>'1510'!I256</f>
        <v/>
      </c>
    </row>
    <row r="256" outlineLevel="1" ht="15" customHeight="1" s="82">
      <c r="A256" s="139">
        <f>'1510'!A257</f>
        <v/>
      </c>
      <c r="B256" s="139">
        <f>'1510'!B257</f>
        <v/>
      </c>
      <c r="C256" s="139">
        <f>'1510'!D257</f>
        <v/>
      </c>
      <c r="D256" s="140">
        <f>'1510'!E257</f>
        <v/>
      </c>
      <c r="E256" s="140">
        <f>'1510'!F257</f>
        <v/>
      </c>
      <c r="F256" s="139">
        <f>'1510'!C257</f>
        <v/>
      </c>
      <c r="G256" s="155">
        <f>'1510'!G257</f>
        <v/>
      </c>
      <c r="H256" s="155">
        <f>'1510'!H257</f>
        <v/>
      </c>
      <c r="I256" s="139">
        <f>'1510'!I257</f>
        <v/>
      </c>
    </row>
    <row r="257" outlineLevel="1" ht="15" customHeight="1" s="82">
      <c r="A257" s="139">
        <f>'1510'!A258</f>
        <v/>
      </c>
      <c r="B257" s="139">
        <f>'1510'!B258</f>
        <v/>
      </c>
      <c r="C257" s="139">
        <f>'1510'!D258</f>
        <v/>
      </c>
      <c r="D257" s="140">
        <f>'1510'!E258</f>
        <v/>
      </c>
      <c r="E257" s="140">
        <f>'1510'!F258</f>
        <v/>
      </c>
      <c r="F257" s="139">
        <f>'1510'!C258</f>
        <v/>
      </c>
      <c r="G257" s="155">
        <f>'1510'!G258</f>
        <v/>
      </c>
      <c r="H257" s="155">
        <f>'1510'!H258</f>
        <v/>
      </c>
      <c r="I257" s="139">
        <f>'1510'!I258</f>
        <v/>
      </c>
    </row>
    <row r="258" outlineLevel="1" ht="15" customHeight="1" s="82">
      <c r="A258" s="139">
        <f>'1510'!A259</f>
        <v/>
      </c>
      <c r="B258" s="139">
        <f>'1510'!B259</f>
        <v/>
      </c>
      <c r="C258" s="139">
        <f>'1510'!D259</f>
        <v/>
      </c>
      <c r="D258" s="140">
        <f>'1510'!E259</f>
        <v/>
      </c>
      <c r="E258" s="140">
        <f>'1510'!F259</f>
        <v/>
      </c>
      <c r="F258" s="139">
        <f>'1510'!C259</f>
        <v/>
      </c>
      <c r="G258" s="155">
        <f>'1510'!G259</f>
        <v/>
      </c>
      <c r="H258" s="155">
        <f>'1510'!H259</f>
        <v/>
      </c>
      <c r="I258" s="139">
        <f>'1510'!I259</f>
        <v/>
      </c>
    </row>
    <row r="259" outlineLevel="1" ht="15" customHeight="1" s="82">
      <c r="A259" s="139">
        <f>'1510'!A260</f>
        <v/>
      </c>
      <c r="B259" s="139">
        <f>'1510'!B260</f>
        <v/>
      </c>
      <c r="C259" s="139">
        <f>'1510'!D260</f>
        <v/>
      </c>
      <c r="D259" s="140">
        <f>'1510'!E260</f>
        <v/>
      </c>
      <c r="E259" s="140">
        <f>'1510'!F260</f>
        <v/>
      </c>
      <c r="F259" s="139">
        <f>'1510'!C260</f>
        <v/>
      </c>
      <c r="G259" s="155">
        <f>'1510'!G260</f>
        <v/>
      </c>
      <c r="H259" s="155">
        <f>'1510'!H260</f>
        <v/>
      </c>
      <c r="I259" s="139">
        <f>'1510'!I260</f>
        <v/>
      </c>
    </row>
    <row r="260" outlineLevel="1" ht="15" customHeight="1" s="82">
      <c r="A260" s="139">
        <f>'1510'!A261</f>
        <v/>
      </c>
      <c r="B260" s="139">
        <f>'1510'!B261</f>
        <v/>
      </c>
      <c r="C260" s="139">
        <f>'1510'!D261</f>
        <v/>
      </c>
      <c r="D260" s="140">
        <f>'1510'!E261</f>
        <v/>
      </c>
      <c r="E260" s="140">
        <f>'1510'!F261</f>
        <v/>
      </c>
      <c r="F260" s="139">
        <f>'1510'!C261</f>
        <v/>
      </c>
      <c r="G260" s="155">
        <f>'1510'!G261</f>
        <v/>
      </c>
      <c r="H260" s="155">
        <f>'1510'!H261</f>
        <v/>
      </c>
      <c r="I260" s="139">
        <f>'1510'!I261</f>
        <v/>
      </c>
    </row>
    <row r="261" outlineLevel="1" ht="15" customHeight="1" s="82">
      <c r="A261" s="139">
        <f>'1510'!A262</f>
        <v/>
      </c>
      <c r="B261" s="139">
        <f>'1510'!B262</f>
        <v/>
      </c>
      <c r="C261" s="139">
        <f>'1510'!D262</f>
        <v/>
      </c>
      <c r="D261" s="140">
        <f>'1510'!E262</f>
        <v/>
      </c>
      <c r="E261" s="140">
        <f>'1510'!F262</f>
        <v/>
      </c>
      <c r="F261" s="139">
        <f>'1510'!C262</f>
        <v/>
      </c>
      <c r="G261" s="155">
        <f>'1510'!G262</f>
        <v/>
      </c>
      <c r="H261" s="155">
        <f>'1510'!H262</f>
        <v/>
      </c>
      <c r="I261" s="139">
        <f>'1510'!I262</f>
        <v/>
      </c>
    </row>
    <row r="262" ht="15" customHeight="1" s="82"/>
    <row r="263" ht="15" customHeight="1" s="82">
      <c r="A263" s="143">
        <f>'1510'!A264</f>
        <v/>
      </c>
      <c r="B263" s="143" t="n"/>
      <c r="C263" s="143">
        <f>'1510'!D264</f>
        <v/>
      </c>
      <c r="D263" s="153">
        <f>'1510'!E264</f>
        <v/>
      </c>
      <c r="E263" s="153">
        <f>'1510'!F264</f>
        <v/>
      </c>
      <c r="F263" s="143" t="n"/>
      <c r="G263" s="154">
        <f>'1510'!G264</f>
        <v/>
      </c>
      <c r="H263" s="154">
        <f>'1510'!H264</f>
        <v/>
      </c>
      <c r="I263" s="143">
        <f>'1510'!I264</f>
        <v/>
      </c>
    </row>
    <row r="264" outlineLevel="1" ht="15" customHeight="1" s="82">
      <c r="A264" s="139">
        <f>'1510'!A265</f>
        <v/>
      </c>
      <c r="B264" s="139">
        <f>'1510'!B265</f>
        <v/>
      </c>
      <c r="C264" s="139">
        <f>'1510'!D265</f>
        <v/>
      </c>
      <c r="D264" s="140">
        <f>'1510'!E265</f>
        <v/>
      </c>
      <c r="E264" s="140">
        <f>'1510'!F265</f>
        <v/>
      </c>
      <c r="F264" s="139">
        <f>'1510'!C265</f>
        <v/>
      </c>
      <c r="G264" s="155">
        <f>'1510'!G265</f>
        <v/>
      </c>
      <c r="H264" s="155">
        <f>'1510'!H265</f>
        <v/>
      </c>
      <c r="I264" s="139">
        <f>'1510'!I265</f>
        <v/>
      </c>
    </row>
    <row r="265" outlineLevel="1" ht="15" customHeight="1" s="82">
      <c r="A265" s="139">
        <f>'1510'!A266</f>
        <v/>
      </c>
      <c r="B265" s="139">
        <f>'1510'!B266</f>
        <v/>
      </c>
      <c r="C265" s="139">
        <f>'1510'!D266</f>
        <v/>
      </c>
      <c r="D265" s="140">
        <f>'1510'!E266</f>
        <v/>
      </c>
      <c r="E265" s="140">
        <f>'1510'!F266</f>
        <v/>
      </c>
      <c r="F265" s="139">
        <f>'1510'!C266</f>
        <v/>
      </c>
      <c r="G265" s="155">
        <f>'1510'!G266</f>
        <v/>
      </c>
      <c r="H265" s="155">
        <f>'1510'!H266</f>
        <v/>
      </c>
      <c r="I265" s="139">
        <f>'1510'!I266</f>
        <v/>
      </c>
    </row>
    <row r="266" outlineLevel="1" ht="15" customHeight="1" s="82">
      <c r="A266" s="139">
        <f>'1510'!A267</f>
        <v/>
      </c>
      <c r="B266" s="139">
        <f>'1510'!B267</f>
        <v/>
      </c>
      <c r="C266" s="139">
        <f>'1510'!D267</f>
        <v/>
      </c>
      <c r="D266" s="140">
        <f>'1510'!E267</f>
        <v/>
      </c>
      <c r="E266" s="140">
        <f>'1510'!F267</f>
        <v/>
      </c>
      <c r="F266" s="139">
        <f>'1510'!C267</f>
        <v/>
      </c>
      <c r="G266" s="155">
        <f>'1510'!G267</f>
        <v/>
      </c>
      <c r="H266" s="155">
        <f>'1510'!H267</f>
        <v/>
      </c>
      <c r="I266" s="139">
        <f>'1510'!I267</f>
        <v/>
      </c>
    </row>
    <row r="267" outlineLevel="1" ht="15" customHeight="1" s="82">
      <c r="A267" s="139">
        <f>'1510'!A268</f>
        <v/>
      </c>
      <c r="B267" s="139">
        <f>'1510'!B268</f>
        <v/>
      </c>
      <c r="C267" s="139">
        <f>'1510'!D268</f>
        <v/>
      </c>
      <c r="D267" s="140">
        <f>'1510'!E268</f>
        <v/>
      </c>
      <c r="E267" s="140">
        <f>'1510'!F268</f>
        <v/>
      </c>
      <c r="F267" s="139">
        <f>'1510'!C268</f>
        <v/>
      </c>
      <c r="G267" s="155">
        <f>'1510'!G268</f>
        <v/>
      </c>
      <c r="H267" s="155">
        <f>'1510'!H268</f>
        <v/>
      </c>
      <c r="I267" s="139">
        <f>'1510'!I268</f>
        <v/>
      </c>
    </row>
    <row r="268" outlineLevel="1" ht="15" customHeight="1" s="82">
      <c r="A268" s="139">
        <f>'1510'!A269</f>
        <v/>
      </c>
      <c r="B268" s="139">
        <f>'1510'!B269</f>
        <v/>
      </c>
      <c r="C268" s="139">
        <f>'1510'!D269</f>
        <v/>
      </c>
      <c r="D268" s="140">
        <f>'1510'!E269</f>
        <v/>
      </c>
      <c r="E268" s="140">
        <f>'1510'!F269</f>
        <v/>
      </c>
      <c r="F268" s="139">
        <f>'1510'!C269</f>
        <v/>
      </c>
      <c r="G268" s="155">
        <f>'1510'!G269</f>
        <v/>
      </c>
      <c r="H268" s="155">
        <f>'1510'!H269</f>
        <v/>
      </c>
      <c r="I268" s="139">
        <f>'1510'!I269</f>
        <v/>
      </c>
    </row>
    <row r="269" outlineLevel="1" ht="15" customHeight="1" s="82">
      <c r="A269" s="139">
        <f>'1510'!A270</f>
        <v/>
      </c>
      <c r="B269" s="139">
        <f>'1510'!B270</f>
        <v/>
      </c>
      <c r="C269" s="139">
        <f>'1510'!D270</f>
        <v/>
      </c>
      <c r="D269" s="140">
        <f>'1510'!E270</f>
        <v/>
      </c>
      <c r="E269" s="140">
        <f>'1510'!F270</f>
        <v/>
      </c>
      <c r="F269" s="139">
        <f>'1510'!C270</f>
        <v/>
      </c>
      <c r="G269" s="155">
        <f>'1510'!G270</f>
        <v/>
      </c>
      <c r="H269" s="155">
        <f>'1510'!H270</f>
        <v/>
      </c>
      <c r="I269" s="139">
        <f>'1510'!I270</f>
        <v/>
      </c>
    </row>
    <row r="270" outlineLevel="1" ht="15" customHeight="1" s="82">
      <c r="A270" s="139">
        <f>'1510'!A271</f>
        <v/>
      </c>
      <c r="B270" s="139">
        <f>'1510'!B271</f>
        <v/>
      </c>
      <c r="C270" s="139">
        <f>'1510'!D271</f>
        <v/>
      </c>
      <c r="D270" s="140">
        <f>'1510'!E271</f>
        <v/>
      </c>
      <c r="E270" s="140">
        <f>'1510'!F271</f>
        <v/>
      </c>
      <c r="F270" s="139">
        <f>'1510'!C271</f>
        <v/>
      </c>
      <c r="G270" s="155">
        <f>'1510'!G271</f>
        <v/>
      </c>
      <c r="H270" s="155">
        <f>'1510'!H271</f>
        <v/>
      </c>
      <c r="I270" s="139">
        <f>'1510'!I271</f>
        <v/>
      </c>
    </row>
    <row r="271" outlineLevel="1" ht="15" customHeight="1" s="82">
      <c r="A271" s="139">
        <f>'1510'!A272</f>
        <v/>
      </c>
      <c r="B271" s="139">
        <f>'1510'!B272</f>
        <v/>
      </c>
      <c r="C271" s="139">
        <f>'1510'!D272</f>
        <v/>
      </c>
      <c r="D271" s="140">
        <f>'1510'!E272</f>
        <v/>
      </c>
      <c r="E271" s="140">
        <f>'1510'!F272</f>
        <v/>
      </c>
      <c r="F271" s="139">
        <f>'1510'!C272</f>
        <v/>
      </c>
      <c r="G271" s="155">
        <f>'1510'!G272</f>
        <v/>
      </c>
      <c r="H271" s="155">
        <f>'1510'!H272</f>
        <v/>
      </c>
      <c r="I271" s="139">
        <f>'1510'!I272</f>
        <v/>
      </c>
    </row>
    <row r="272" outlineLevel="1" ht="15" customHeight="1" s="82">
      <c r="A272" s="139">
        <f>'1510'!A273</f>
        <v/>
      </c>
      <c r="B272" s="139">
        <f>'1510'!B273</f>
        <v/>
      </c>
      <c r="C272" s="139">
        <f>'1510'!D273</f>
        <v/>
      </c>
      <c r="D272" s="140">
        <f>'1510'!E273</f>
        <v/>
      </c>
      <c r="E272" s="140">
        <f>'1510'!F273</f>
        <v/>
      </c>
      <c r="F272" s="139">
        <f>'1510'!C273</f>
        <v/>
      </c>
      <c r="G272" s="155">
        <f>'1510'!G273</f>
        <v/>
      </c>
      <c r="H272" s="155">
        <f>'1510'!H273</f>
        <v/>
      </c>
      <c r="I272" s="139">
        <f>'1510'!I273</f>
        <v/>
      </c>
    </row>
    <row r="273" outlineLevel="1" ht="15" customHeight="1" s="82">
      <c r="A273" s="139">
        <f>'1510'!A274</f>
        <v/>
      </c>
      <c r="B273" s="139">
        <f>'1510'!B274</f>
        <v/>
      </c>
      <c r="C273" s="139">
        <f>'1510'!D274</f>
        <v/>
      </c>
      <c r="D273" s="140">
        <f>'1510'!E274</f>
        <v/>
      </c>
      <c r="E273" s="140">
        <f>'1510'!F274</f>
        <v/>
      </c>
      <c r="F273" s="139">
        <f>'1510'!C274</f>
        <v/>
      </c>
      <c r="G273" s="155">
        <f>'1510'!G274</f>
        <v/>
      </c>
      <c r="H273" s="155">
        <f>'1510'!H274</f>
        <v/>
      </c>
      <c r="I273" s="139">
        <f>'1510'!I274</f>
        <v/>
      </c>
    </row>
    <row r="274" outlineLevel="1" ht="15" customHeight="1" s="82">
      <c r="A274" s="139">
        <f>'1510'!A275</f>
        <v/>
      </c>
      <c r="B274" s="139">
        <f>'1510'!B275</f>
        <v/>
      </c>
      <c r="C274" s="139">
        <f>'1510'!D275</f>
        <v/>
      </c>
      <c r="D274" s="140">
        <f>'1510'!E275</f>
        <v/>
      </c>
      <c r="E274" s="140">
        <f>'1510'!F275</f>
        <v/>
      </c>
      <c r="F274" s="139">
        <f>'1510'!C275</f>
        <v/>
      </c>
      <c r="G274" s="155">
        <f>'1510'!G275</f>
        <v/>
      </c>
      <c r="H274" s="155">
        <f>'1510'!H275</f>
        <v/>
      </c>
      <c r="I274" s="139">
        <f>'1510'!I275</f>
        <v/>
      </c>
    </row>
    <row r="275" outlineLevel="1" ht="15" customHeight="1" s="82">
      <c r="A275" s="139">
        <f>'1510'!A276</f>
        <v/>
      </c>
      <c r="B275" s="139">
        <f>'1510'!B276</f>
        <v/>
      </c>
      <c r="C275" s="139">
        <f>'1510'!D276</f>
        <v/>
      </c>
      <c r="D275" s="140">
        <f>'1510'!E276</f>
        <v/>
      </c>
      <c r="E275" s="140">
        <f>'1510'!F276</f>
        <v/>
      </c>
      <c r="F275" s="139">
        <f>'1510'!C276</f>
        <v/>
      </c>
      <c r="G275" s="155">
        <f>'1510'!G276</f>
        <v/>
      </c>
      <c r="H275" s="155">
        <f>'1510'!H276</f>
        <v/>
      </c>
      <c r="I275" s="139">
        <f>'1510'!I276</f>
        <v/>
      </c>
    </row>
    <row r="276" outlineLevel="1" ht="15" customHeight="1" s="82">
      <c r="A276" s="139">
        <f>'1510'!A277</f>
        <v/>
      </c>
      <c r="B276" s="139">
        <f>'1510'!B277</f>
        <v/>
      </c>
      <c r="C276" s="139">
        <f>'1510'!D277</f>
        <v/>
      </c>
      <c r="D276" s="140">
        <f>'1510'!E277</f>
        <v/>
      </c>
      <c r="E276" s="140">
        <f>'1510'!F277</f>
        <v/>
      </c>
      <c r="F276" s="139">
        <f>'1510'!C277</f>
        <v/>
      </c>
      <c r="G276" s="155">
        <f>'1510'!G277</f>
        <v/>
      </c>
      <c r="H276" s="155">
        <f>'1510'!H277</f>
        <v/>
      </c>
      <c r="I276" s="139">
        <f>'1510'!I277</f>
        <v/>
      </c>
    </row>
    <row r="277" outlineLevel="1" ht="15" customHeight="1" s="82">
      <c r="A277" s="139">
        <f>'1510'!A278</f>
        <v/>
      </c>
      <c r="B277" s="139">
        <f>'1510'!B278</f>
        <v/>
      </c>
      <c r="C277" s="139">
        <f>'1510'!D278</f>
        <v/>
      </c>
      <c r="D277" s="140">
        <f>'1510'!E278</f>
        <v/>
      </c>
      <c r="E277" s="140">
        <f>'1510'!F278</f>
        <v/>
      </c>
      <c r="F277" s="139">
        <f>'1510'!C278</f>
        <v/>
      </c>
      <c r="G277" s="155">
        <f>'1510'!G278</f>
        <v/>
      </c>
      <c r="H277" s="155">
        <f>'1510'!H278</f>
        <v/>
      </c>
      <c r="I277" s="139">
        <f>'1510'!I278</f>
        <v/>
      </c>
    </row>
    <row r="278" outlineLevel="1" ht="15" customHeight="1" s="82">
      <c r="A278" s="139">
        <f>'1510'!A279</f>
        <v/>
      </c>
      <c r="B278" s="139">
        <f>'1510'!B279</f>
        <v/>
      </c>
      <c r="C278" s="139">
        <f>'1510'!D279</f>
        <v/>
      </c>
      <c r="D278" s="140">
        <f>'1510'!E279</f>
        <v/>
      </c>
      <c r="E278" s="140">
        <f>'1510'!F279</f>
        <v/>
      </c>
      <c r="F278" s="139">
        <f>'1510'!C279</f>
        <v/>
      </c>
      <c r="G278" s="155">
        <f>'1510'!G279</f>
        <v/>
      </c>
      <c r="H278" s="155">
        <f>'1510'!H279</f>
        <v/>
      </c>
      <c r="I278" s="139">
        <f>'1510'!I279</f>
        <v/>
      </c>
    </row>
    <row r="279" outlineLevel="1" ht="15" customHeight="1" s="82">
      <c r="A279" s="139">
        <f>'1510'!A280</f>
        <v/>
      </c>
      <c r="B279" s="139">
        <f>'1510'!B280</f>
        <v/>
      </c>
      <c r="C279" s="139">
        <f>'1510'!D280</f>
        <v/>
      </c>
      <c r="D279" s="140">
        <f>'1510'!E280</f>
        <v/>
      </c>
      <c r="E279" s="140">
        <f>'1510'!F280</f>
        <v/>
      </c>
      <c r="F279" s="139">
        <f>'1510'!C280</f>
        <v/>
      </c>
      <c r="G279" s="155">
        <f>'1510'!G280</f>
        <v/>
      </c>
      <c r="H279" s="155">
        <f>'1510'!H280</f>
        <v/>
      </c>
      <c r="I279" s="139">
        <f>'1510'!I280</f>
        <v/>
      </c>
    </row>
    <row r="280" outlineLevel="1" ht="15" customHeight="1" s="82">
      <c r="A280" s="139">
        <f>'1510'!A281</f>
        <v/>
      </c>
      <c r="B280" s="139">
        <f>'1510'!B281</f>
        <v/>
      </c>
      <c r="C280" s="139">
        <f>'1510'!D281</f>
        <v/>
      </c>
      <c r="D280" s="140">
        <f>'1510'!E281</f>
        <v/>
      </c>
      <c r="E280" s="140">
        <f>'1510'!F281</f>
        <v/>
      </c>
      <c r="F280" s="139">
        <f>'1510'!C281</f>
        <v/>
      </c>
      <c r="G280" s="155">
        <f>'1510'!G281</f>
        <v/>
      </c>
      <c r="H280" s="155">
        <f>'1510'!H281</f>
        <v/>
      </c>
      <c r="I280" s="139">
        <f>'1510'!I281</f>
        <v/>
      </c>
    </row>
    <row r="281" outlineLevel="1" ht="15" customHeight="1" s="82">
      <c r="A281" s="139">
        <f>'1510'!A282</f>
        <v/>
      </c>
      <c r="B281" s="139">
        <f>'1510'!B282</f>
        <v/>
      </c>
      <c r="C281" s="139">
        <f>'1510'!D282</f>
        <v/>
      </c>
      <c r="D281" s="140">
        <f>'1510'!E282</f>
        <v/>
      </c>
      <c r="E281" s="140">
        <f>'1510'!F282</f>
        <v/>
      </c>
      <c r="F281" s="139">
        <f>'1510'!C282</f>
        <v/>
      </c>
      <c r="G281" s="155">
        <f>'1510'!G282</f>
        <v/>
      </c>
      <c r="H281" s="155">
        <f>'1510'!H282</f>
        <v/>
      </c>
      <c r="I281" s="139">
        <f>'1510'!I282</f>
        <v/>
      </c>
    </row>
    <row r="282" outlineLevel="1" ht="15" customHeight="1" s="82">
      <c r="A282" s="139">
        <f>'1510'!A283</f>
        <v/>
      </c>
      <c r="B282" s="139">
        <f>'1510'!B283</f>
        <v/>
      </c>
      <c r="C282" s="139">
        <f>'1510'!D283</f>
        <v/>
      </c>
      <c r="D282" s="140">
        <f>'1510'!E283</f>
        <v/>
      </c>
      <c r="E282" s="140">
        <f>'1510'!F283</f>
        <v/>
      </c>
      <c r="F282" s="139">
        <f>'1510'!C283</f>
        <v/>
      </c>
      <c r="G282" s="155">
        <f>'1510'!G283</f>
        <v/>
      </c>
      <c r="H282" s="155">
        <f>'1510'!H283</f>
        <v/>
      </c>
      <c r="I282" s="139">
        <f>'1510'!I283</f>
        <v/>
      </c>
    </row>
    <row r="283" outlineLevel="1" ht="15" customHeight="1" s="82">
      <c r="A283" s="139">
        <f>'1510'!A284</f>
        <v/>
      </c>
      <c r="B283" s="139">
        <f>'1510'!B284</f>
        <v/>
      </c>
      <c r="C283" s="139">
        <f>'1510'!D284</f>
        <v/>
      </c>
      <c r="D283" s="140">
        <f>'1510'!E284</f>
        <v/>
      </c>
      <c r="E283" s="140">
        <f>'1510'!F284</f>
        <v/>
      </c>
      <c r="F283" s="139">
        <f>'1510'!C284</f>
        <v/>
      </c>
      <c r="G283" s="155">
        <f>'1510'!G284</f>
        <v/>
      </c>
      <c r="H283" s="155">
        <f>'1510'!H284</f>
        <v/>
      </c>
      <c r="I283" s="139">
        <f>'1510'!I284</f>
        <v/>
      </c>
    </row>
    <row r="284" outlineLevel="1" ht="15" customHeight="1" s="82">
      <c r="A284" s="139">
        <f>'1510'!A285</f>
        <v/>
      </c>
      <c r="B284" s="139">
        <f>'1510'!B285</f>
        <v/>
      </c>
      <c r="C284" s="139">
        <f>'1510'!D285</f>
        <v/>
      </c>
      <c r="D284" s="140">
        <f>'1510'!E285</f>
        <v/>
      </c>
      <c r="E284" s="140">
        <f>'1510'!F285</f>
        <v/>
      </c>
      <c r="F284" s="139">
        <f>'1510'!C285</f>
        <v/>
      </c>
      <c r="G284" s="155">
        <f>'1510'!G285</f>
        <v/>
      </c>
      <c r="H284" s="155">
        <f>'1510'!H285</f>
        <v/>
      </c>
      <c r="I284" s="139">
        <f>'1510'!I285</f>
        <v/>
      </c>
    </row>
    <row r="285" outlineLevel="1" ht="15" customHeight="1" s="82">
      <c r="A285" s="139">
        <f>'1510'!A286</f>
        <v/>
      </c>
      <c r="B285" s="139">
        <f>'1510'!B286</f>
        <v/>
      </c>
      <c r="C285" s="139">
        <f>'1510'!D286</f>
        <v/>
      </c>
      <c r="D285" s="140">
        <f>'1510'!E286</f>
        <v/>
      </c>
      <c r="E285" s="140">
        <f>'1510'!F286</f>
        <v/>
      </c>
      <c r="F285" s="139">
        <f>'1510'!C286</f>
        <v/>
      </c>
      <c r="G285" s="155">
        <f>'1510'!G286</f>
        <v/>
      </c>
      <c r="H285" s="155">
        <f>'1510'!H286</f>
        <v/>
      </c>
      <c r="I285" s="139">
        <f>'1510'!I286</f>
        <v/>
      </c>
    </row>
    <row r="286" outlineLevel="1" ht="15" customHeight="1" s="82">
      <c r="A286" s="139">
        <f>'1510'!A287</f>
        <v/>
      </c>
      <c r="B286" s="139">
        <f>'1510'!B287</f>
        <v/>
      </c>
      <c r="C286" s="139">
        <f>'1510'!D287</f>
        <v/>
      </c>
      <c r="D286" s="140">
        <f>'1510'!E287</f>
        <v/>
      </c>
      <c r="E286" s="140">
        <f>'1510'!F287</f>
        <v/>
      </c>
      <c r="F286" s="139">
        <f>'1510'!C287</f>
        <v/>
      </c>
      <c r="G286" s="155">
        <f>'1510'!G287</f>
        <v/>
      </c>
      <c r="H286" s="155">
        <f>'1510'!H287</f>
        <v/>
      </c>
      <c r="I286" s="139">
        <f>'1510'!I287</f>
        <v/>
      </c>
    </row>
    <row r="287" outlineLevel="1" ht="15" customHeight="1" s="82">
      <c r="A287" s="139">
        <f>'1510'!A288</f>
        <v/>
      </c>
      <c r="B287" s="139">
        <f>'1510'!B288</f>
        <v/>
      </c>
      <c r="C287" s="139">
        <f>'1510'!D288</f>
        <v/>
      </c>
      <c r="D287" s="140">
        <f>'1510'!E288</f>
        <v/>
      </c>
      <c r="E287" s="140">
        <f>'1510'!F288</f>
        <v/>
      </c>
      <c r="F287" s="139">
        <f>'1510'!C288</f>
        <v/>
      </c>
      <c r="G287" s="155">
        <f>'1510'!G288</f>
        <v/>
      </c>
      <c r="H287" s="155">
        <f>'1510'!H288</f>
        <v/>
      </c>
      <c r="I287" s="139">
        <f>'1510'!I288</f>
        <v/>
      </c>
    </row>
    <row r="288" outlineLevel="1" ht="15" customHeight="1" s="82">
      <c r="A288" s="139">
        <f>'1510'!A289</f>
        <v/>
      </c>
      <c r="B288" s="139">
        <f>'1510'!B289</f>
        <v/>
      </c>
      <c r="C288" s="139">
        <f>'1510'!D289</f>
        <v/>
      </c>
      <c r="D288" s="140">
        <f>'1510'!E289</f>
        <v/>
      </c>
      <c r="E288" s="140">
        <f>'1510'!F289</f>
        <v/>
      </c>
      <c r="F288" s="139">
        <f>'1510'!C289</f>
        <v/>
      </c>
      <c r="G288" s="155">
        <f>'1510'!G289</f>
        <v/>
      </c>
      <c r="H288" s="155">
        <f>'1510'!H289</f>
        <v/>
      </c>
      <c r="I288" s="139">
        <f>'1510'!I289</f>
        <v/>
      </c>
    </row>
    <row r="289" outlineLevel="1" ht="15" customHeight="1" s="82">
      <c r="A289" s="139">
        <f>'1510'!A290</f>
        <v/>
      </c>
      <c r="B289" s="139">
        <f>'1510'!B290</f>
        <v/>
      </c>
      <c r="C289" s="139">
        <f>'1510'!D290</f>
        <v/>
      </c>
      <c r="D289" s="140">
        <f>'1510'!E290</f>
        <v/>
      </c>
      <c r="E289" s="140">
        <f>'1510'!F290</f>
        <v/>
      </c>
      <c r="F289" s="139">
        <f>'1510'!C290</f>
        <v/>
      </c>
      <c r="G289" s="155">
        <f>'1510'!G290</f>
        <v/>
      </c>
      <c r="H289" s="155">
        <f>'1510'!H290</f>
        <v/>
      </c>
      <c r="I289" s="139">
        <f>'1510'!I290</f>
        <v/>
      </c>
    </row>
    <row r="290" outlineLevel="1" ht="15" customHeight="1" s="82">
      <c r="A290" s="139">
        <f>'1510'!A291</f>
        <v/>
      </c>
      <c r="B290" s="139">
        <f>'1510'!B291</f>
        <v/>
      </c>
      <c r="C290" s="139">
        <f>'1510'!D291</f>
        <v/>
      </c>
      <c r="D290" s="140">
        <f>'1510'!E291</f>
        <v/>
      </c>
      <c r="E290" s="140">
        <f>'1510'!F291</f>
        <v/>
      </c>
      <c r="F290" s="139">
        <f>'1510'!C291</f>
        <v/>
      </c>
      <c r="G290" s="155">
        <f>'1510'!G291</f>
        <v/>
      </c>
      <c r="H290" s="155">
        <f>'1510'!H291</f>
        <v/>
      </c>
      <c r="I290" s="139">
        <f>'1510'!I291</f>
        <v/>
      </c>
    </row>
    <row r="291" outlineLevel="1" ht="15" customHeight="1" s="82">
      <c r="A291" s="139">
        <f>'1510'!A292</f>
        <v/>
      </c>
      <c r="B291" s="139">
        <f>'1510'!B292</f>
        <v/>
      </c>
      <c r="C291" s="139">
        <f>'1510'!D292</f>
        <v/>
      </c>
      <c r="D291" s="140">
        <f>'1510'!E292</f>
        <v/>
      </c>
      <c r="E291" s="140">
        <f>'1510'!F292</f>
        <v/>
      </c>
      <c r="F291" s="139">
        <f>'1510'!C292</f>
        <v/>
      </c>
      <c r="G291" s="155">
        <f>'1510'!G292</f>
        <v/>
      </c>
      <c r="H291" s="155">
        <f>'1510'!H292</f>
        <v/>
      </c>
      <c r="I291" s="139">
        <f>'1510'!I292</f>
        <v/>
      </c>
    </row>
    <row r="292" outlineLevel="1" ht="15" customHeight="1" s="82">
      <c r="A292" s="139">
        <f>'1510'!A293</f>
        <v/>
      </c>
      <c r="B292" s="139">
        <f>'1510'!B293</f>
        <v/>
      </c>
      <c r="C292" s="139">
        <f>'1510'!D293</f>
        <v/>
      </c>
      <c r="D292" s="140">
        <f>'1510'!E293</f>
        <v/>
      </c>
      <c r="E292" s="140">
        <f>'1510'!F293</f>
        <v/>
      </c>
      <c r="F292" s="139">
        <f>'1510'!C293</f>
        <v/>
      </c>
      <c r="G292" s="155">
        <f>'1510'!G293</f>
        <v/>
      </c>
      <c r="H292" s="155">
        <f>'1510'!H293</f>
        <v/>
      </c>
      <c r="I292" s="139">
        <f>'1510'!I293</f>
        <v/>
      </c>
    </row>
    <row r="293" outlineLevel="1" ht="15" customHeight="1" s="82">
      <c r="A293" s="139">
        <f>'1510'!A294</f>
        <v/>
      </c>
      <c r="B293" s="139">
        <f>'1510'!B294</f>
        <v/>
      </c>
      <c r="C293" s="139">
        <f>'1510'!D294</f>
        <v/>
      </c>
      <c r="D293" s="140">
        <f>'1510'!E294</f>
        <v/>
      </c>
      <c r="E293" s="140">
        <f>'1510'!F294</f>
        <v/>
      </c>
      <c r="F293" s="139">
        <f>'1510'!C294</f>
        <v/>
      </c>
      <c r="G293" s="155">
        <f>'1510'!G294</f>
        <v/>
      </c>
      <c r="H293" s="155">
        <f>'1510'!H294</f>
        <v/>
      </c>
      <c r="I293" s="139">
        <f>'1510'!I294</f>
        <v/>
      </c>
    </row>
    <row r="294" outlineLevel="1" ht="15" customHeight="1" s="82">
      <c r="A294" s="139">
        <f>'1510'!A295</f>
        <v/>
      </c>
      <c r="B294" s="139">
        <f>'1510'!B295</f>
        <v/>
      </c>
      <c r="C294" s="139">
        <f>'1510'!D295</f>
        <v/>
      </c>
      <c r="D294" s="140">
        <f>'1510'!E295</f>
        <v/>
      </c>
      <c r="E294" s="140">
        <f>'1510'!F295</f>
        <v/>
      </c>
      <c r="F294" s="139">
        <f>'1510'!C295</f>
        <v/>
      </c>
      <c r="G294" s="155">
        <f>'1510'!G295</f>
        <v/>
      </c>
      <c r="H294" s="155">
        <f>'1510'!H295</f>
        <v/>
      </c>
      <c r="I294" s="139">
        <f>'1510'!I295</f>
        <v/>
      </c>
    </row>
    <row r="295" outlineLevel="1" ht="15" customHeight="1" s="82">
      <c r="A295" s="139">
        <f>'1510'!A296</f>
        <v/>
      </c>
      <c r="B295" s="139">
        <f>'1510'!B296</f>
        <v/>
      </c>
      <c r="C295" s="139">
        <f>'1510'!D296</f>
        <v/>
      </c>
      <c r="D295" s="140">
        <f>'1510'!E296</f>
        <v/>
      </c>
      <c r="E295" s="140">
        <f>'1510'!F296</f>
        <v/>
      </c>
      <c r="F295" s="139">
        <f>'1510'!C296</f>
        <v/>
      </c>
      <c r="G295" s="155">
        <f>'1510'!G296</f>
        <v/>
      </c>
      <c r="H295" s="155">
        <f>'1510'!H296</f>
        <v/>
      </c>
      <c r="I295" s="139">
        <f>'1510'!I296</f>
        <v/>
      </c>
    </row>
    <row r="296" outlineLevel="1" ht="15" customHeight="1" s="82">
      <c r="A296" s="139">
        <f>'1510'!A297</f>
        <v/>
      </c>
      <c r="B296" s="139">
        <f>'1510'!B297</f>
        <v/>
      </c>
      <c r="C296" s="139">
        <f>'1510'!D297</f>
        <v/>
      </c>
      <c r="D296" s="140">
        <f>'1510'!E297</f>
        <v/>
      </c>
      <c r="E296" s="140">
        <f>'1510'!F297</f>
        <v/>
      </c>
      <c r="F296" s="139">
        <f>'1510'!C297</f>
        <v/>
      </c>
      <c r="G296" s="155">
        <f>'1510'!G297</f>
        <v/>
      </c>
      <c r="H296" s="155">
        <f>'1510'!H297</f>
        <v/>
      </c>
      <c r="I296" s="139">
        <f>'1510'!I297</f>
        <v/>
      </c>
    </row>
    <row r="297" outlineLevel="1" ht="15" customHeight="1" s="82">
      <c r="A297" s="139">
        <f>'1510'!A298</f>
        <v/>
      </c>
      <c r="B297" s="139">
        <f>'1510'!B298</f>
        <v/>
      </c>
      <c r="C297" s="139">
        <f>'1510'!D298</f>
        <v/>
      </c>
      <c r="D297" s="140">
        <f>'1510'!E298</f>
        <v/>
      </c>
      <c r="E297" s="140">
        <f>'1510'!F298</f>
        <v/>
      </c>
      <c r="F297" s="139">
        <f>'1510'!C298</f>
        <v/>
      </c>
      <c r="G297" s="155">
        <f>'1510'!G298</f>
        <v/>
      </c>
      <c r="H297" s="155">
        <f>'1510'!H298</f>
        <v/>
      </c>
      <c r="I297" s="139">
        <f>'1510'!I298</f>
        <v/>
      </c>
    </row>
    <row r="298" outlineLevel="1" ht="15" customHeight="1" s="82">
      <c r="A298" s="139">
        <f>'1510'!A299</f>
        <v/>
      </c>
      <c r="B298" s="139">
        <f>'1510'!B299</f>
        <v/>
      </c>
      <c r="C298" s="139">
        <f>'1510'!D299</f>
        <v/>
      </c>
      <c r="D298" s="140">
        <f>'1510'!E299</f>
        <v/>
      </c>
      <c r="E298" s="140">
        <f>'1510'!F299</f>
        <v/>
      </c>
      <c r="F298" s="139">
        <f>'1510'!C299</f>
        <v/>
      </c>
      <c r="G298" s="155">
        <f>'1510'!G299</f>
        <v/>
      </c>
      <c r="H298" s="155">
        <f>'1510'!H299</f>
        <v/>
      </c>
      <c r="I298" s="139">
        <f>'1510'!I299</f>
        <v/>
      </c>
    </row>
    <row r="299" outlineLevel="1" ht="15" customHeight="1" s="82">
      <c r="A299" s="139">
        <f>'1510'!A300</f>
        <v/>
      </c>
      <c r="B299" s="139">
        <f>'1510'!B300</f>
        <v/>
      </c>
      <c r="C299" s="139">
        <f>'1510'!D300</f>
        <v/>
      </c>
      <c r="D299" s="140">
        <f>'1510'!E300</f>
        <v/>
      </c>
      <c r="E299" s="140">
        <f>'1510'!F300</f>
        <v/>
      </c>
      <c r="F299" s="139">
        <f>'1510'!C300</f>
        <v/>
      </c>
      <c r="G299" s="155">
        <f>'1510'!G300</f>
        <v/>
      </c>
      <c r="H299" s="155">
        <f>'1510'!H300</f>
        <v/>
      </c>
      <c r="I299" s="139">
        <f>'1510'!I300</f>
        <v/>
      </c>
    </row>
    <row r="300" outlineLevel="1" ht="15" customHeight="1" s="82">
      <c r="A300" s="139">
        <f>'1510'!A301</f>
        <v/>
      </c>
      <c r="B300" s="139">
        <f>'1510'!B301</f>
        <v/>
      </c>
      <c r="C300" s="139">
        <f>'1510'!D301</f>
        <v/>
      </c>
      <c r="D300" s="140">
        <f>'1510'!E301</f>
        <v/>
      </c>
      <c r="E300" s="140">
        <f>'1510'!F301</f>
        <v/>
      </c>
      <c r="F300" s="139">
        <f>'1510'!C301</f>
        <v/>
      </c>
      <c r="G300" s="155">
        <f>'1510'!G301</f>
        <v/>
      </c>
      <c r="H300" s="155">
        <f>'1510'!H301</f>
        <v/>
      </c>
      <c r="I300" s="139">
        <f>'1510'!I301</f>
        <v/>
      </c>
    </row>
    <row r="301" outlineLevel="1" ht="15" customHeight="1" s="82">
      <c r="A301" s="139">
        <f>'1510'!A302</f>
        <v/>
      </c>
      <c r="B301" s="139">
        <f>'1510'!B302</f>
        <v/>
      </c>
      <c r="C301" s="139">
        <f>'1510'!D302</f>
        <v/>
      </c>
      <c r="D301" s="140">
        <f>'1510'!E302</f>
        <v/>
      </c>
      <c r="E301" s="140">
        <f>'1510'!F302</f>
        <v/>
      </c>
      <c r="F301" s="139">
        <f>'1510'!C302</f>
        <v/>
      </c>
      <c r="G301" s="155">
        <f>'1510'!G302</f>
        <v/>
      </c>
      <c r="H301" s="155">
        <f>'1510'!H302</f>
        <v/>
      </c>
      <c r="I301" s="139">
        <f>'1510'!I302</f>
        <v/>
      </c>
    </row>
    <row r="302" outlineLevel="1" ht="15" customHeight="1" s="82">
      <c r="A302" s="139">
        <f>'1510'!A303</f>
        <v/>
      </c>
      <c r="B302" s="139">
        <f>'1510'!B303</f>
        <v/>
      </c>
      <c r="C302" s="139">
        <f>'1510'!D303</f>
        <v/>
      </c>
      <c r="D302" s="140">
        <f>'1510'!E303</f>
        <v/>
      </c>
      <c r="E302" s="140">
        <f>'1510'!F303</f>
        <v/>
      </c>
      <c r="F302" s="139">
        <f>'1510'!C303</f>
        <v/>
      </c>
      <c r="G302" s="155">
        <f>'1510'!G303</f>
        <v/>
      </c>
      <c r="H302" s="155">
        <f>'1510'!H303</f>
        <v/>
      </c>
      <c r="I302" s="139">
        <f>'1510'!I303</f>
        <v/>
      </c>
    </row>
    <row r="303" outlineLevel="1" ht="15" customHeight="1" s="82">
      <c r="A303" s="139">
        <f>'1510'!A304</f>
        <v/>
      </c>
      <c r="B303" s="139">
        <f>'1510'!B304</f>
        <v/>
      </c>
      <c r="C303" s="139">
        <f>'1510'!D304</f>
        <v/>
      </c>
      <c r="D303" s="140">
        <f>'1510'!E304</f>
        <v/>
      </c>
      <c r="E303" s="140">
        <f>'1510'!F304</f>
        <v/>
      </c>
      <c r="F303" s="139">
        <f>'1510'!C304</f>
        <v/>
      </c>
      <c r="G303" s="155">
        <f>'1510'!G304</f>
        <v/>
      </c>
      <c r="H303" s="155">
        <f>'1510'!H304</f>
        <v/>
      </c>
      <c r="I303" s="139">
        <f>'1510'!I304</f>
        <v/>
      </c>
    </row>
    <row r="304" outlineLevel="1" ht="15" customHeight="1" s="82">
      <c r="A304" s="139">
        <f>'1510'!A305</f>
        <v/>
      </c>
      <c r="B304" s="139">
        <f>'1510'!B305</f>
        <v/>
      </c>
      <c r="C304" s="139">
        <f>'1510'!D305</f>
        <v/>
      </c>
      <c r="D304" s="140">
        <f>'1510'!E305</f>
        <v/>
      </c>
      <c r="E304" s="140">
        <f>'1510'!F305</f>
        <v/>
      </c>
      <c r="F304" s="139">
        <f>'1510'!C305</f>
        <v/>
      </c>
      <c r="G304" s="155">
        <f>'1510'!G305</f>
        <v/>
      </c>
      <c r="H304" s="155">
        <f>'1510'!H305</f>
        <v/>
      </c>
      <c r="I304" s="139">
        <f>'1510'!I305</f>
        <v/>
      </c>
    </row>
    <row r="305" outlineLevel="1" ht="15" customHeight="1" s="82">
      <c r="A305" s="139">
        <f>'1510'!A306</f>
        <v/>
      </c>
      <c r="B305" s="139">
        <f>'1510'!B306</f>
        <v/>
      </c>
      <c r="C305" s="139">
        <f>'1510'!D306</f>
        <v/>
      </c>
      <c r="D305" s="140">
        <f>'1510'!E306</f>
        <v/>
      </c>
      <c r="E305" s="140">
        <f>'1510'!F306</f>
        <v/>
      </c>
      <c r="F305" s="139">
        <f>'1510'!C306</f>
        <v/>
      </c>
      <c r="G305" s="155">
        <f>'1510'!G306</f>
        <v/>
      </c>
      <c r="H305" s="155">
        <f>'1510'!H306</f>
        <v/>
      </c>
      <c r="I305" s="139">
        <f>'1510'!I306</f>
        <v/>
      </c>
    </row>
    <row r="306" outlineLevel="1" ht="15" customHeight="1" s="82">
      <c r="A306" s="139">
        <f>'1510'!A307</f>
        <v/>
      </c>
      <c r="B306" s="139">
        <f>'1510'!B307</f>
        <v/>
      </c>
      <c r="C306" s="139">
        <f>'1510'!D307</f>
        <v/>
      </c>
      <c r="D306" s="140">
        <f>'1510'!E307</f>
        <v/>
      </c>
      <c r="E306" s="140">
        <f>'1510'!F307</f>
        <v/>
      </c>
      <c r="F306" s="139">
        <f>'1510'!C307</f>
        <v/>
      </c>
      <c r="G306" s="155">
        <f>'1510'!G307</f>
        <v/>
      </c>
      <c r="H306" s="155">
        <f>'1510'!H307</f>
        <v/>
      </c>
      <c r="I306" s="139">
        <f>'1510'!I307</f>
        <v/>
      </c>
    </row>
    <row r="307" outlineLevel="1" ht="15" customHeight="1" s="82">
      <c r="A307" s="139">
        <f>'1510'!A308</f>
        <v/>
      </c>
      <c r="B307" s="139">
        <f>'1510'!B308</f>
        <v/>
      </c>
      <c r="C307" s="139">
        <f>'1510'!D308</f>
        <v/>
      </c>
      <c r="D307" s="140">
        <f>'1510'!E308</f>
        <v/>
      </c>
      <c r="E307" s="140">
        <f>'1510'!F308</f>
        <v/>
      </c>
      <c r="F307" s="139">
        <f>'1510'!C308</f>
        <v/>
      </c>
      <c r="G307" s="155">
        <f>'1510'!G308</f>
        <v/>
      </c>
      <c r="H307" s="155">
        <f>'1510'!H308</f>
        <v/>
      </c>
      <c r="I307" s="139">
        <f>'1510'!I308</f>
        <v/>
      </c>
    </row>
    <row r="308" outlineLevel="1" ht="15" customHeight="1" s="82">
      <c r="A308" s="139">
        <f>'1510'!A309</f>
        <v/>
      </c>
      <c r="B308" s="139">
        <f>'1510'!B309</f>
        <v/>
      </c>
      <c r="C308" s="139">
        <f>'1510'!D309</f>
        <v/>
      </c>
      <c r="D308" s="140">
        <f>'1510'!E309</f>
        <v/>
      </c>
      <c r="E308" s="140">
        <f>'1510'!F309</f>
        <v/>
      </c>
      <c r="F308" s="139">
        <f>'1510'!C309</f>
        <v/>
      </c>
      <c r="G308" s="155">
        <f>'1510'!G309</f>
        <v/>
      </c>
      <c r="H308" s="155">
        <f>'1510'!H309</f>
        <v/>
      </c>
      <c r="I308" s="139">
        <f>'1510'!I309</f>
        <v/>
      </c>
    </row>
    <row r="309" outlineLevel="1" ht="15" customHeight="1" s="82">
      <c r="A309" s="139">
        <f>'1510'!A310</f>
        <v/>
      </c>
      <c r="B309" s="139">
        <f>'1510'!B310</f>
        <v/>
      </c>
      <c r="C309" s="139">
        <f>'1510'!D310</f>
        <v/>
      </c>
      <c r="D309" s="140">
        <f>'1510'!E310</f>
        <v/>
      </c>
      <c r="E309" s="140">
        <f>'1510'!F310</f>
        <v/>
      </c>
      <c r="F309" s="139">
        <f>'1510'!C310</f>
        <v/>
      </c>
      <c r="G309" s="155">
        <f>'1510'!G310</f>
        <v/>
      </c>
      <c r="H309" s="155">
        <f>'1510'!H310</f>
        <v/>
      </c>
      <c r="I309" s="139">
        <f>'1510'!I310</f>
        <v/>
      </c>
    </row>
    <row r="310" outlineLevel="1" ht="15" customHeight="1" s="82">
      <c r="A310" s="139">
        <f>'1510'!A311</f>
        <v/>
      </c>
      <c r="B310" s="139">
        <f>'1510'!B311</f>
        <v/>
      </c>
      <c r="C310" s="139">
        <f>'1510'!D311</f>
        <v/>
      </c>
      <c r="D310" s="140">
        <f>'1510'!E311</f>
        <v/>
      </c>
      <c r="E310" s="140">
        <f>'1510'!F311</f>
        <v/>
      </c>
      <c r="F310" s="139">
        <f>'1510'!C311</f>
        <v/>
      </c>
      <c r="G310" s="155">
        <f>'1510'!G311</f>
        <v/>
      </c>
      <c r="H310" s="155">
        <f>'1510'!H311</f>
        <v/>
      </c>
      <c r="I310" s="139">
        <f>'1510'!I311</f>
        <v/>
      </c>
    </row>
    <row r="311" outlineLevel="1" ht="15" customHeight="1" s="82">
      <c r="A311" s="139">
        <f>'1510'!A312</f>
        <v/>
      </c>
      <c r="B311" s="139">
        <f>'1510'!B312</f>
        <v/>
      </c>
      <c r="C311" s="139">
        <f>'1510'!D312</f>
        <v/>
      </c>
      <c r="D311" s="140">
        <f>'1510'!E312</f>
        <v/>
      </c>
      <c r="E311" s="140">
        <f>'1510'!F312</f>
        <v/>
      </c>
      <c r="F311" s="139">
        <f>'1510'!C312</f>
        <v/>
      </c>
      <c r="G311" s="155">
        <f>'1510'!G312</f>
        <v/>
      </c>
      <c r="H311" s="155">
        <f>'1510'!H312</f>
        <v/>
      </c>
      <c r="I311" s="139">
        <f>'1510'!I312</f>
        <v/>
      </c>
    </row>
    <row r="312" outlineLevel="1" ht="15" customHeight="1" s="82">
      <c r="A312" s="139">
        <f>'1510'!A313</f>
        <v/>
      </c>
      <c r="B312" s="139">
        <f>'1510'!B313</f>
        <v/>
      </c>
      <c r="C312" s="139">
        <f>'1510'!D313</f>
        <v/>
      </c>
      <c r="D312" s="140">
        <f>'1510'!E313</f>
        <v/>
      </c>
      <c r="E312" s="140">
        <f>'1510'!F313</f>
        <v/>
      </c>
      <c r="F312" s="139">
        <f>'1510'!C313</f>
        <v/>
      </c>
      <c r="G312" s="155">
        <f>'1510'!G313</f>
        <v/>
      </c>
      <c r="H312" s="155">
        <f>'1510'!H313</f>
        <v/>
      </c>
      <c r="I312" s="139">
        <f>'1510'!I313</f>
        <v/>
      </c>
    </row>
    <row r="313" outlineLevel="1" ht="15" customHeight="1" s="82">
      <c r="A313" s="139">
        <f>'1510'!A314</f>
        <v/>
      </c>
      <c r="B313" s="139">
        <f>'1510'!B314</f>
        <v/>
      </c>
      <c r="C313" s="139">
        <f>'1510'!D314</f>
        <v/>
      </c>
      <c r="D313" s="140">
        <f>'1510'!E314</f>
        <v/>
      </c>
      <c r="E313" s="140">
        <f>'1510'!F314</f>
        <v/>
      </c>
      <c r="F313" s="139">
        <f>'1510'!C314</f>
        <v/>
      </c>
      <c r="G313" s="155">
        <f>'1510'!G314</f>
        <v/>
      </c>
      <c r="H313" s="155">
        <f>'1510'!H314</f>
        <v/>
      </c>
      <c r="I313" s="139">
        <f>'1510'!I314</f>
        <v/>
      </c>
    </row>
    <row r="314" outlineLevel="1" ht="15" customHeight="1" s="82">
      <c r="A314" s="139">
        <f>'1510'!A315</f>
        <v/>
      </c>
      <c r="B314" s="139">
        <f>'1510'!B315</f>
        <v/>
      </c>
      <c r="C314" s="139">
        <f>'1510'!D315</f>
        <v/>
      </c>
      <c r="D314" s="140">
        <f>'1510'!E315</f>
        <v/>
      </c>
      <c r="E314" s="140">
        <f>'1510'!F315</f>
        <v/>
      </c>
      <c r="F314" s="139">
        <f>'1510'!C315</f>
        <v/>
      </c>
      <c r="G314" s="155">
        <f>'1510'!G315</f>
        <v/>
      </c>
      <c r="H314" s="155">
        <f>'1510'!H315</f>
        <v/>
      </c>
      <c r="I314" s="139">
        <f>'1510'!I315</f>
        <v/>
      </c>
    </row>
    <row r="315" outlineLevel="1" ht="15" customHeight="1" s="82">
      <c r="A315" s="139">
        <f>'1510'!A316</f>
        <v/>
      </c>
      <c r="B315" s="139">
        <f>'1510'!B316</f>
        <v/>
      </c>
      <c r="C315" s="139">
        <f>'1510'!D316</f>
        <v/>
      </c>
      <c r="D315" s="140">
        <f>'1510'!E316</f>
        <v/>
      </c>
      <c r="E315" s="140">
        <f>'1510'!F316</f>
        <v/>
      </c>
      <c r="F315" s="139">
        <f>'1510'!C316</f>
        <v/>
      </c>
      <c r="G315" s="155">
        <f>'1510'!G316</f>
        <v/>
      </c>
      <c r="H315" s="155">
        <f>'1510'!H316</f>
        <v/>
      </c>
      <c r="I315" s="139">
        <f>'1510'!I316</f>
        <v/>
      </c>
    </row>
    <row r="316" outlineLevel="1" ht="15" customHeight="1" s="82">
      <c r="A316" s="139">
        <f>'1510'!A317</f>
        <v/>
      </c>
      <c r="B316" s="139">
        <f>'1510'!B317</f>
        <v/>
      </c>
      <c r="C316" s="139">
        <f>'1510'!D317</f>
        <v/>
      </c>
      <c r="D316" s="140">
        <f>'1510'!E317</f>
        <v/>
      </c>
      <c r="E316" s="140">
        <f>'1510'!F317</f>
        <v/>
      </c>
      <c r="F316" s="139">
        <f>'1510'!C317</f>
        <v/>
      </c>
      <c r="G316" s="155">
        <f>'1510'!G317</f>
        <v/>
      </c>
      <c r="H316" s="155">
        <f>'1510'!H317</f>
        <v/>
      </c>
      <c r="I316" s="139">
        <f>'1510'!I317</f>
        <v/>
      </c>
    </row>
    <row r="317" outlineLevel="1" ht="15" customHeight="1" s="82">
      <c r="A317" s="139">
        <f>'1510'!A318</f>
        <v/>
      </c>
      <c r="B317" s="139">
        <f>'1510'!B318</f>
        <v/>
      </c>
      <c r="C317" s="139">
        <f>'1510'!D318</f>
        <v/>
      </c>
      <c r="D317" s="140">
        <f>'1510'!E318</f>
        <v/>
      </c>
      <c r="E317" s="140">
        <f>'1510'!F318</f>
        <v/>
      </c>
      <c r="F317" s="139">
        <f>'1510'!C318</f>
        <v/>
      </c>
      <c r="G317" s="155">
        <f>'1510'!G318</f>
        <v/>
      </c>
      <c r="H317" s="155">
        <f>'1510'!H318</f>
        <v/>
      </c>
      <c r="I317" s="139">
        <f>'1510'!I318</f>
        <v/>
      </c>
    </row>
    <row r="318" outlineLevel="1" ht="15" customHeight="1" s="82">
      <c r="A318" s="139">
        <f>'1510'!A319</f>
        <v/>
      </c>
      <c r="B318" s="139">
        <f>'1510'!B319</f>
        <v/>
      </c>
      <c r="C318" s="139">
        <f>'1510'!D319</f>
        <v/>
      </c>
      <c r="D318" s="140">
        <f>'1510'!E319</f>
        <v/>
      </c>
      <c r="E318" s="140">
        <f>'1510'!F319</f>
        <v/>
      </c>
      <c r="F318" s="139">
        <f>'1510'!C319</f>
        <v/>
      </c>
      <c r="G318" s="155">
        <f>'1510'!G319</f>
        <v/>
      </c>
      <c r="H318" s="155">
        <f>'1510'!H319</f>
        <v/>
      </c>
      <c r="I318" s="139">
        <f>'1510'!I319</f>
        <v/>
      </c>
    </row>
    <row r="319" outlineLevel="1" ht="15" customHeight="1" s="82">
      <c r="A319" s="139">
        <f>'1510'!A320</f>
        <v/>
      </c>
      <c r="B319" s="139">
        <f>'1510'!B320</f>
        <v/>
      </c>
      <c r="C319" s="139">
        <f>'1510'!D320</f>
        <v/>
      </c>
      <c r="D319" s="140">
        <f>'1510'!E320</f>
        <v/>
      </c>
      <c r="E319" s="140">
        <f>'1510'!F320</f>
        <v/>
      </c>
      <c r="F319" s="139">
        <f>'1510'!C320</f>
        <v/>
      </c>
      <c r="G319" s="155">
        <f>'1510'!G320</f>
        <v/>
      </c>
      <c r="H319" s="155">
        <f>'1510'!H320</f>
        <v/>
      </c>
      <c r="I319" s="139">
        <f>'1510'!I320</f>
        <v/>
      </c>
    </row>
    <row r="320" outlineLevel="1" ht="15" customHeight="1" s="82">
      <c r="A320" s="139">
        <f>'1510'!A321</f>
        <v/>
      </c>
      <c r="B320" s="139">
        <f>'1510'!B321</f>
        <v/>
      </c>
      <c r="C320" s="139">
        <f>'1510'!D321</f>
        <v/>
      </c>
      <c r="D320" s="140">
        <f>'1510'!E321</f>
        <v/>
      </c>
      <c r="E320" s="140">
        <f>'1510'!F321</f>
        <v/>
      </c>
      <c r="F320" s="139">
        <f>'1510'!C321</f>
        <v/>
      </c>
      <c r="G320" s="155">
        <f>'1510'!G321</f>
        <v/>
      </c>
      <c r="H320" s="155">
        <f>'1510'!H321</f>
        <v/>
      </c>
      <c r="I320" s="139">
        <f>'1510'!I321</f>
        <v/>
      </c>
    </row>
    <row r="321" outlineLevel="1" ht="15" customHeight="1" s="82">
      <c r="A321" s="139">
        <f>'1510'!A322</f>
        <v/>
      </c>
      <c r="B321" s="139">
        <f>'1510'!B322</f>
        <v/>
      </c>
      <c r="C321" s="139">
        <f>'1510'!D322</f>
        <v/>
      </c>
      <c r="D321" s="140">
        <f>'1510'!E322</f>
        <v/>
      </c>
      <c r="E321" s="140">
        <f>'1510'!F322</f>
        <v/>
      </c>
      <c r="F321" s="139">
        <f>'1510'!C322</f>
        <v/>
      </c>
      <c r="G321" s="155">
        <f>'1510'!G322</f>
        <v/>
      </c>
      <c r="H321" s="155">
        <f>'1510'!H322</f>
        <v/>
      </c>
      <c r="I321" s="139">
        <f>'1510'!I322</f>
        <v/>
      </c>
    </row>
    <row r="322" outlineLevel="1" ht="15" customHeight="1" s="82">
      <c r="A322" s="139">
        <f>'1510'!A323</f>
        <v/>
      </c>
      <c r="B322" s="139">
        <f>'1510'!B323</f>
        <v/>
      </c>
      <c r="C322" s="139">
        <f>'1510'!D323</f>
        <v/>
      </c>
      <c r="D322" s="140">
        <f>'1510'!E323</f>
        <v/>
      </c>
      <c r="E322" s="140">
        <f>'1510'!F323</f>
        <v/>
      </c>
      <c r="F322" s="139">
        <f>'1510'!C323</f>
        <v/>
      </c>
      <c r="G322" s="155">
        <f>'1510'!G323</f>
        <v/>
      </c>
      <c r="H322" s="155">
        <f>'1510'!H323</f>
        <v/>
      </c>
      <c r="I322" s="139">
        <f>'1510'!I323</f>
        <v/>
      </c>
    </row>
    <row r="323" outlineLevel="1" ht="15" customHeight="1" s="82">
      <c r="A323" s="139">
        <f>'1510'!A324</f>
        <v/>
      </c>
      <c r="B323" s="139">
        <f>'1510'!B324</f>
        <v/>
      </c>
      <c r="C323" s="139">
        <f>'1510'!D324</f>
        <v/>
      </c>
      <c r="D323" s="140">
        <f>'1510'!E324</f>
        <v/>
      </c>
      <c r="E323" s="140">
        <f>'1510'!F324</f>
        <v/>
      </c>
      <c r="F323" s="139">
        <f>'1510'!C324</f>
        <v/>
      </c>
      <c r="G323" s="155">
        <f>'1510'!G324</f>
        <v/>
      </c>
      <c r="H323" s="155">
        <f>'1510'!H324</f>
        <v/>
      </c>
      <c r="I323" s="139">
        <f>'1510'!I324</f>
        <v/>
      </c>
    </row>
    <row r="324" outlineLevel="1" ht="15" customHeight="1" s="82">
      <c r="A324" s="139">
        <f>'1510'!A325</f>
        <v/>
      </c>
      <c r="B324" s="139">
        <f>'1510'!B325</f>
        <v/>
      </c>
      <c r="C324" s="139">
        <f>'1510'!D325</f>
        <v/>
      </c>
      <c r="D324" s="140">
        <f>'1510'!E325</f>
        <v/>
      </c>
      <c r="E324" s="140">
        <f>'1510'!F325</f>
        <v/>
      </c>
      <c r="F324" s="139">
        <f>'1510'!C325</f>
        <v/>
      </c>
      <c r="G324" s="155">
        <f>'1510'!G325</f>
        <v/>
      </c>
      <c r="H324" s="155">
        <f>'1510'!H325</f>
        <v/>
      </c>
      <c r="I324" s="139">
        <f>'1510'!I325</f>
        <v/>
      </c>
    </row>
    <row r="325" outlineLevel="1" ht="15" customHeight="1" s="82">
      <c r="A325" s="139">
        <f>'1510'!A326</f>
        <v/>
      </c>
      <c r="B325" s="139">
        <f>'1510'!B326</f>
        <v/>
      </c>
      <c r="C325" s="139">
        <f>'1510'!D326</f>
        <v/>
      </c>
      <c r="D325" s="140">
        <f>'1510'!E326</f>
        <v/>
      </c>
      <c r="E325" s="140">
        <f>'1510'!F326</f>
        <v/>
      </c>
      <c r="F325" s="139">
        <f>'1510'!C326</f>
        <v/>
      </c>
      <c r="G325" s="155">
        <f>'1510'!G326</f>
        <v/>
      </c>
      <c r="H325" s="155">
        <f>'1510'!H326</f>
        <v/>
      </c>
      <c r="I325" s="139">
        <f>'1510'!I326</f>
        <v/>
      </c>
    </row>
    <row r="326" outlineLevel="1" ht="15" customHeight="1" s="82">
      <c r="A326" s="139">
        <f>'1510'!A327</f>
        <v/>
      </c>
      <c r="B326" s="139">
        <f>'1510'!B327</f>
        <v/>
      </c>
      <c r="C326" s="139">
        <f>'1510'!D327</f>
        <v/>
      </c>
      <c r="D326" s="140">
        <f>'1510'!E327</f>
        <v/>
      </c>
      <c r="E326" s="140">
        <f>'1510'!F327</f>
        <v/>
      </c>
      <c r="F326" s="139">
        <f>'1510'!C327</f>
        <v/>
      </c>
      <c r="G326" s="155">
        <f>'1510'!G327</f>
        <v/>
      </c>
      <c r="H326" s="155">
        <f>'1510'!H327</f>
        <v/>
      </c>
      <c r="I326" s="139">
        <f>'1510'!I327</f>
        <v/>
      </c>
    </row>
    <row r="327" outlineLevel="1" ht="15" customHeight="1" s="82">
      <c r="A327" s="139">
        <f>'1510'!A328</f>
        <v/>
      </c>
      <c r="B327" s="139">
        <f>'1510'!B328</f>
        <v/>
      </c>
      <c r="C327" s="139">
        <f>'1510'!D328</f>
        <v/>
      </c>
      <c r="D327" s="140">
        <f>'1510'!E328</f>
        <v/>
      </c>
      <c r="E327" s="140">
        <f>'1510'!F328</f>
        <v/>
      </c>
      <c r="F327" s="139">
        <f>'1510'!C328</f>
        <v/>
      </c>
      <c r="G327" s="155">
        <f>'1510'!G328</f>
        <v/>
      </c>
      <c r="H327" s="155">
        <f>'1510'!H328</f>
        <v/>
      </c>
      <c r="I327" s="139">
        <f>'1510'!I328</f>
        <v/>
      </c>
    </row>
    <row r="328" outlineLevel="1" ht="15" customHeight="1" s="82">
      <c r="A328" s="139">
        <f>'1510'!A329</f>
        <v/>
      </c>
      <c r="B328" s="139">
        <f>'1510'!B329</f>
        <v/>
      </c>
      <c r="C328" s="139">
        <f>'1510'!D329</f>
        <v/>
      </c>
      <c r="D328" s="140">
        <f>'1510'!E329</f>
        <v/>
      </c>
      <c r="E328" s="140">
        <f>'1510'!F329</f>
        <v/>
      </c>
      <c r="F328" s="139">
        <f>'1510'!C329</f>
        <v/>
      </c>
      <c r="G328" s="155">
        <f>'1510'!G329</f>
        <v/>
      </c>
      <c r="H328" s="155">
        <f>'1510'!H329</f>
        <v/>
      </c>
      <c r="I328" s="139">
        <f>'1510'!I329</f>
        <v/>
      </c>
    </row>
    <row r="329" outlineLevel="1" ht="15" customHeight="1" s="82">
      <c r="A329" s="139">
        <f>'1510'!A330</f>
        <v/>
      </c>
      <c r="B329" s="139">
        <f>'1510'!B330</f>
        <v/>
      </c>
      <c r="C329" s="139">
        <f>'1510'!D330</f>
        <v/>
      </c>
      <c r="D329" s="140">
        <f>'1510'!E330</f>
        <v/>
      </c>
      <c r="E329" s="140">
        <f>'1510'!F330</f>
        <v/>
      </c>
      <c r="F329" s="139">
        <f>'1510'!C330</f>
        <v/>
      </c>
      <c r="G329" s="155">
        <f>'1510'!G330</f>
        <v/>
      </c>
      <c r="H329" s="155">
        <f>'1510'!H330</f>
        <v/>
      </c>
      <c r="I329" s="139">
        <f>'1510'!I330</f>
        <v/>
      </c>
    </row>
    <row r="330" outlineLevel="1" ht="15" customHeight="1" s="82">
      <c r="A330" s="139">
        <f>'1510'!A331</f>
        <v/>
      </c>
      <c r="B330" s="139">
        <f>'1510'!B331</f>
        <v/>
      </c>
      <c r="C330" s="139">
        <f>'1510'!D331</f>
        <v/>
      </c>
      <c r="D330" s="140">
        <f>'1510'!E331</f>
        <v/>
      </c>
      <c r="E330" s="140">
        <f>'1510'!F331</f>
        <v/>
      </c>
      <c r="F330" s="139">
        <f>'1510'!C331</f>
        <v/>
      </c>
      <c r="G330" s="155">
        <f>'1510'!G331</f>
        <v/>
      </c>
      <c r="H330" s="155">
        <f>'1510'!H331</f>
        <v/>
      </c>
      <c r="I330" s="139">
        <f>'1510'!I331</f>
        <v/>
      </c>
    </row>
    <row r="331" outlineLevel="1" ht="15" customHeight="1" s="82">
      <c r="A331" s="139">
        <f>'1510'!A332</f>
        <v/>
      </c>
      <c r="B331" s="139">
        <f>'1510'!B332</f>
        <v/>
      </c>
      <c r="C331" s="139">
        <f>'1510'!D332</f>
        <v/>
      </c>
      <c r="D331" s="140">
        <f>'1510'!E332</f>
        <v/>
      </c>
      <c r="E331" s="140">
        <f>'1510'!F332</f>
        <v/>
      </c>
      <c r="F331" s="139">
        <f>'1510'!C332</f>
        <v/>
      </c>
      <c r="G331" s="155">
        <f>'1510'!G332</f>
        <v/>
      </c>
      <c r="H331" s="155">
        <f>'1510'!H332</f>
        <v/>
      </c>
      <c r="I331" s="139">
        <f>'1510'!I332</f>
        <v/>
      </c>
    </row>
    <row r="332" outlineLevel="1" ht="15" customHeight="1" s="82">
      <c r="A332" s="139">
        <f>'1510'!A333</f>
        <v/>
      </c>
      <c r="B332" s="139">
        <f>'1510'!B333</f>
        <v/>
      </c>
      <c r="C332" s="139">
        <f>'1510'!D333</f>
        <v/>
      </c>
      <c r="D332" s="140">
        <f>'1510'!E333</f>
        <v/>
      </c>
      <c r="E332" s="140">
        <f>'1510'!F333</f>
        <v/>
      </c>
      <c r="F332" s="139">
        <f>'1510'!C333</f>
        <v/>
      </c>
      <c r="G332" s="155">
        <f>'1510'!G333</f>
        <v/>
      </c>
      <c r="H332" s="155">
        <f>'1510'!H333</f>
        <v/>
      </c>
      <c r="I332" s="139">
        <f>'1510'!I333</f>
        <v/>
      </c>
    </row>
    <row r="333" outlineLevel="1" ht="15" customHeight="1" s="82">
      <c r="A333" s="139">
        <f>'1510'!A334</f>
        <v/>
      </c>
      <c r="B333" s="139">
        <f>'1510'!B334</f>
        <v/>
      </c>
      <c r="C333" s="139">
        <f>'1510'!D334</f>
        <v/>
      </c>
      <c r="D333" s="140">
        <f>'1510'!E334</f>
        <v/>
      </c>
      <c r="E333" s="140">
        <f>'1510'!F334</f>
        <v/>
      </c>
      <c r="F333" s="139">
        <f>'1510'!C334</f>
        <v/>
      </c>
      <c r="G333" s="155">
        <f>'1510'!G334</f>
        <v/>
      </c>
      <c r="H333" s="155">
        <f>'1510'!H334</f>
        <v/>
      </c>
      <c r="I333" s="139">
        <f>'1510'!I334</f>
        <v/>
      </c>
    </row>
    <row r="334" outlineLevel="1" ht="15" customHeight="1" s="82">
      <c r="A334" s="139">
        <f>'1510'!A335</f>
        <v/>
      </c>
      <c r="B334" s="139">
        <f>'1510'!B335</f>
        <v/>
      </c>
      <c r="C334" s="139">
        <f>'1510'!D335</f>
        <v/>
      </c>
      <c r="D334" s="140">
        <f>'1510'!E335</f>
        <v/>
      </c>
      <c r="E334" s="140">
        <f>'1510'!F335</f>
        <v/>
      </c>
      <c r="F334" s="139">
        <f>'1510'!C335</f>
        <v/>
      </c>
      <c r="G334" s="155">
        <f>'1510'!G335</f>
        <v/>
      </c>
      <c r="H334" s="155">
        <f>'1510'!H335</f>
        <v/>
      </c>
      <c r="I334" s="139">
        <f>'1510'!I335</f>
        <v/>
      </c>
    </row>
    <row r="335" outlineLevel="1" ht="15" customHeight="1" s="82">
      <c r="A335" s="139">
        <f>'1510'!A336</f>
        <v/>
      </c>
      <c r="B335" s="139">
        <f>'1510'!B336</f>
        <v/>
      </c>
      <c r="C335" s="139">
        <f>'1510'!D336</f>
        <v/>
      </c>
      <c r="D335" s="140">
        <f>'1510'!E336</f>
        <v/>
      </c>
      <c r="E335" s="140">
        <f>'1510'!F336</f>
        <v/>
      </c>
      <c r="F335" s="139">
        <f>'1510'!C336</f>
        <v/>
      </c>
      <c r="G335" s="155">
        <f>'1510'!G336</f>
        <v/>
      </c>
      <c r="H335" s="155">
        <f>'1510'!H336</f>
        <v/>
      </c>
      <c r="I335" s="139">
        <f>'1510'!I336</f>
        <v/>
      </c>
    </row>
    <row r="336" outlineLevel="1" ht="15" customHeight="1" s="82">
      <c r="A336" s="139">
        <f>'1510'!A337</f>
        <v/>
      </c>
      <c r="B336" s="139">
        <f>'1510'!B337</f>
        <v/>
      </c>
      <c r="C336" s="139">
        <f>'1510'!D337</f>
        <v/>
      </c>
      <c r="D336" s="140">
        <f>'1510'!E337</f>
        <v/>
      </c>
      <c r="E336" s="140">
        <f>'1510'!F337</f>
        <v/>
      </c>
      <c r="F336" s="139">
        <f>'1510'!C337</f>
        <v/>
      </c>
      <c r="G336" s="155">
        <f>'1510'!G337</f>
        <v/>
      </c>
      <c r="H336" s="155">
        <f>'1510'!H337</f>
        <v/>
      </c>
      <c r="I336" s="139">
        <f>'1510'!I337</f>
        <v/>
      </c>
    </row>
    <row r="337" outlineLevel="1" ht="15" customHeight="1" s="82">
      <c r="A337" s="139">
        <f>'1510'!A338</f>
        <v/>
      </c>
      <c r="B337" s="139">
        <f>'1510'!B338</f>
        <v/>
      </c>
      <c r="C337" s="139">
        <f>'1510'!D338</f>
        <v/>
      </c>
      <c r="D337" s="140">
        <f>'1510'!E338</f>
        <v/>
      </c>
      <c r="E337" s="140">
        <f>'1510'!F338</f>
        <v/>
      </c>
      <c r="F337" s="139">
        <f>'1510'!C338</f>
        <v/>
      </c>
      <c r="G337" s="155">
        <f>'1510'!G338</f>
        <v/>
      </c>
      <c r="H337" s="155">
        <f>'1510'!H338</f>
        <v/>
      </c>
      <c r="I337" s="139">
        <f>'1510'!I338</f>
        <v/>
      </c>
    </row>
    <row r="338" outlineLevel="1" ht="15" customHeight="1" s="82">
      <c r="A338" s="139">
        <f>'1510'!A339</f>
        <v/>
      </c>
      <c r="B338" s="139">
        <f>'1510'!B339</f>
        <v/>
      </c>
      <c r="C338" s="139">
        <f>'1510'!D339</f>
        <v/>
      </c>
      <c r="D338" s="140">
        <f>'1510'!E339</f>
        <v/>
      </c>
      <c r="E338" s="140">
        <f>'1510'!F339</f>
        <v/>
      </c>
      <c r="F338" s="139">
        <f>'1510'!C339</f>
        <v/>
      </c>
      <c r="G338" s="155">
        <f>'1510'!G339</f>
        <v/>
      </c>
      <c r="H338" s="155">
        <f>'1510'!H339</f>
        <v/>
      </c>
      <c r="I338" s="139">
        <f>'1510'!I339</f>
        <v/>
      </c>
    </row>
    <row r="339" outlineLevel="1" ht="15" customHeight="1" s="82">
      <c r="A339" s="139">
        <f>'1510'!A340</f>
        <v/>
      </c>
      <c r="B339" s="139">
        <f>'1510'!B340</f>
        <v/>
      </c>
      <c r="C339" s="139">
        <f>'1510'!D340</f>
        <v/>
      </c>
      <c r="D339" s="140">
        <f>'1510'!E340</f>
        <v/>
      </c>
      <c r="E339" s="140">
        <f>'1510'!F340</f>
        <v/>
      </c>
      <c r="F339" s="139">
        <f>'1510'!C340</f>
        <v/>
      </c>
      <c r="G339" s="155">
        <f>'1510'!G340</f>
        <v/>
      </c>
      <c r="H339" s="155">
        <f>'1510'!H340</f>
        <v/>
      </c>
      <c r="I339" s="139">
        <f>'1510'!I340</f>
        <v/>
      </c>
    </row>
    <row r="340" outlineLevel="1" ht="15" customHeight="1" s="82">
      <c r="A340" s="139">
        <f>'1510'!A341</f>
        <v/>
      </c>
      <c r="B340" s="139">
        <f>'1510'!B341</f>
        <v/>
      </c>
      <c r="C340" s="139">
        <f>'1510'!D341</f>
        <v/>
      </c>
      <c r="D340" s="140">
        <f>'1510'!E341</f>
        <v/>
      </c>
      <c r="E340" s="140">
        <f>'1510'!F341</f>
        <v/>
      </c>
      <c r="F340" s="139">
        <f>'1510'!C341</f>
        <v/>
      </c>
      <c r="G340" s="155">
        <f>'1510'!G341</f>
        <v/>
      </c>
      <c r="H340" s="155">
        <f>'1510'!H341</f>
        <v/>
      </c>
      <c r="I340" s="139">
        <f>'1510'!I341</f>
        <v/>
      </c>
    </row>
    <row r="341" outlineLevel="1" ht="15" customHeight="1" s="82">
      <c r="A341" s="139">
        <f>'1510'!A342</f>
        <v/>
      </c>
      <c r="B341" s="139">
        <f>'1510'!B342</f>
        <v/>
      </c>
      <c r="C341" s="139">
        <f>'1510'!D342</f>
        <v/>
      </c>
      <c r="D341" s="140">
        <f>'1510'!E342</f>
        <v/>
      </c>
      <c r="E341" s="140">
        <f>'1510'!F342</f>
        <v/>
      </c>
      <c r="F341" s="139">
        <f>'1510'!C342</f>
        <v/>
      </c>
      <c r="G341" s="155">
        <f>'1510'!G342</f>
        <v/>
      </c>
      <c r="H341" s="155">
        <f>'1510'!H342</f>
        <v/>
      </c>
      <c r="I341" s="139">
        <f>'1510'!I342</f>
        <v/>
      </c>
    </row>
    <row r="342" outlineLevel="1" ht="15" customHeight="1" s="82">
      <c r="A342" s="139">
        <f>'1510'!A343</f>
        <v/>
      </c>
      <c r="B342" s="139">
        <f>'1510'!B343</f>
        <v/>
      </c>
      <c r="C342" s="139">
        <f>'1510'!D343</f>
        <v/>
      </c>
      <c r="D342" s="140">
        <f>'1510'!E343</f>
        <v/>
      </c>
      <c r="E342" s="140">
        <f>'1510'!F343</f>
        <v/>
      </c>
      <c r="F342" s="139">
        <f>'1510'!C343</f>
        <v/>
      </c>
      <c r="G342" s="155">
        <f>'1510'!G343</f>
        <v/>
      </c>
      <c r="H342" s="155">
        <f>'1510'!H343</f>
        <v/>
      </c>
      <c r="I342" s="139">
        <f>'1510'!I343</f>
        <v/>
      </c>
    </row>
    <row r="343" outlineLevel="1" ht="15" customHeight="1" s="82">
      <c r="A343" s="139">
        <f>'1510'!A344</f>
        <v/>
      </c>
      <c r="B343" s="139">
        <f>'1510'!B344</f>
        <v/>
      </c>
      <c r="C343" s="139">
        <f>'1510'!D344</f>
        <v/>
      </c>
      <c r="D343" s="140">
        <f>'1510'!E344</f>
        <v/>
      </c>
      <c r="E343" s="140">
        <f>'1510'!F344</f>
        <v/>
      </c>
      <c r="F343" s="139">
        <f>'1510'!C344</f>
        <v/>
      </c>
      <c r="G343" s="155">
        <f>'1510'!G344</f>
        <v/>
      </c>
      <c r="H343" s="155">
        <f>'1510'!H344</f>
        <v/>
      </c>
      <c r="I343" s="139">
        <f>'1510'!I344</f>
        <v/>
      </c>
    </row>
    <row r="344" outlineLevel="1" ht="15" customHeight="1" s="82">
      <c r="A344" s="139">
        <f>'1510'!A345</f>
        <v/>
      </c>
      <c r="B344" s="139">
        <f>'1510'!B345</f>
        <v/>
      </c>
      <c r="C344" s="139">
        <f>'1510'!D345</f>
        <v/>
      </c>
      <c r="D344" s="140">
        <f>'1510'!E345</f>
        <v/>
      </c>
      <c r="E344" s="140">
        <f>'1510'!F345</f>
        <v/>
      </c>
      <c r="F344" s="139">
        <f>'1510'!C345</f>
        <v/>
      </c>
      <c r="G344" s="155">
        <f>'1510'!G345</f>
        <v/>
      </c>
      <c r="H344" s="155">
        <f>'1510'!H345</f>
        <v/>
      </c>
      <c r="I344" s="139">
        <f>'1510'!I345</f>
        <v/>
      </c>
    </row>
    <row r="345" outlineLevel="1" ht="15" customHeight="1" s="82">
      <c r="A345" s="139">
        <f>'1510'!A346</f>
        <v/>
      </c>
      <c r="B345" s="139">
        <f>'1510'!B346</f>
        <v/>
      </c>
      <c r="C345" s="139">
        <f>'1510'!D346</f>
        <v/>
      </c>
      <c r="D345" s="140">
        <f>'1510'!E346</f>
        <v/>
      </c>
      <c r="E345" s="140">
        <f>'1510'!F346</f>
        <v/>
      </c>
      <c r="F345" s="139">
        <f>'1510'!C346</f>
        <v/>
      </c>
      <c r="G345" s="155">
        <f>'1510'!G346</f>
        <v/>
      </c>
      <c r="H345" s="155">
        <f>'1510'!H346</f>
        <v/>
      </c>
      <c r="I345" s="139">
        <f>'1510'!I346</f>
        <v/>
      </c>
    </row>
    <row r="346" outlineLevel="1" ht="15" customHeight="1" s="82">
      <c r="A346" s="139">
        <f>'1510'!A347</f>
        <v/>
      </c>
      <c r="B346" s="139">
        <f>'1510'!B347</f>
        <v/>
      </c>
      <c r="C346" s="139">
        <f>'1510'!D347</f>
        <v/>
      </c>
      <c r="D346" s="140">
        <f>'1510'!E347</f>
        <v/>
      </c>
      <c r="E346" s="140">
        <f>'1510'!F347</f>
        <v/>
      </c>
      <c r="F346" s="139">
        <f>'1510'!C347</f>
        <v/>
      </c>
      <c r="G346" s="155">
        <f>'1510'!G347</f>
        <v/>
      </c>
      <c r="H346" s="155">
        <f>'1510'!H347</f>
        <v/>
      </c>
      <c r="I346" s="139">
        <f>'1510'!I347</f>
        <v/>
      </c>
    </row>
    <row r="347" outlineLevel="1" ht="15" customHeight="1" s="82">
      <c r="A347" s="139">
        <f>'1510'!A348</f>
        <v/>
      </c>
      <c r="B347" s="139">
        <f>'1510'!B348</f>
        <v/>
      </c>
      <c r="C347" s="139">
        <f>'1510'!D348</f>
        <v/>
      </c>
      <c r="D347" s="140">
        <f>'1510'!E348</f>
        <v/>
      </c>
      <c r="E347" s="140">
        <f>'1510'!F348</f>
        <v/>
      </c>
      <c r="F347" s="139">
        <f>'1510'!C348</f>
        <v/>
      </c>
      <c r="G347" s="155">
        <f>'1510'!G348</f>
        <v/>
      </c>
      <c r="H347" s="155">
        <f>'1510'!H348</f>
        <v/>
      </c>
      <c r="I347" s="139">
        <f>'1510'!I348</f>
        <v/>
      </c>
    </row>
    <row r="348" outlineLevel="1" ht="15" customHeight="1" s="82">
      <c r="A348" s="139">
        <f>'1510'!A349</f>
        <v/>
      </c>
      <c r="B348" s="139">
        <f>'1510'!B349</f>
        <v/>
      </c>
      <c r="C348" s="139">
        <f>'1510'!D349</f>
        <v/>
      </c>
      <c r="D348" s="140">
        <f>'1510'!E349</f>
        <v/>
      </c>
      <c r="E348" s="140">
        <f>'1510'!F349</f>
        <v/>
      </c>
      <c r="F348" s="139">
        <f>'1510'!C349</f>
        <v/>
      </c>
      <c r="G348" s="155">
        <f>'1510'!G349</f>
        <v/>
      </c>
      <c r="H348" s="155">
        <f>'1510'!H349</f>
        <v/>
      </c>
      <c r="I348" s="139">
        <f>'1510'!I349</f>
        <v/>
      </c>
    </row>
    <row r="349" outlineLevel="1" ht="15" customHeight="1" s="82">
      <c r="A349" s="139">
        <f>'1510'!A350</f>
        <v/>
      </c>
      <c r="B349" s="139">
        <f>'1510'!B350</f>
        <v/>
      </c>
      <c r="C349" s="139">
        <f>'1510'!D350</f>
        <v/>
      </c>
      <c r="D349" s="140">
        <f>'1510'!E350</f>
        <v/>
      </c>
      <c r="E349" s="140">
        <f>'1510'!F350</f>
        <v/>
      </c>
      <c r="F349" s="139">
        <f>'1510'!C350</f>
        <v/>
      </c>
      <c r="G349" s="155">
        <f>'1510'!G350</f>
        <v/>
      </c>
      <c r="H349" s="155">
        <f>'1510'!H350</f>
        <v/>
      </c>
      <c r="I349" s="139">
        <f>'1510'!I350</f>
        <v/>
      </c>
    </row>
    <row r="350" outlineLevel="1" ht="15" customHeight="1" s="82">
      <c r="A350" s="139">
        <f>'1510'!A351</f>
        <v/>
      </c>
      <c r="B350" s="139">
        <f>'1510'!B351</f>
        <v/>
      </c>
      <c r="C350" s="139">
        <f>'1510'!D351</f>
        <v/>
      </c>
      <c r="D350" s="140">
        <f>'1510'!E351</f>
        <v/>
      </c>
      <c r="E350" s="140">
        <f>'1510'!F351</f>
        <v/>
      </c>
      <c r="F350" s="139">
        <f>'1510'!C351</f>
        <v/>
      </c>
      <c r="G350" s="155">
        <f>'1510'!G351</f>
        <v/>
      </c>
      <c r="H350" s="155">
        <f>'1510'!H351</f>
        <v/>
      </c>
      <c r="I350" s="139">
        <f>'1510'!I351</f>
        <v/>
      </c>
    </row>
    <row r="351" outlineLevel="1" ht="15" customHeight="1" s="82">
      <c r="A351" s="139">
        <f>'1510'!A352</f>
        <v/>
      </c>
      <c r="B351" s="139">
        <f>'1510'!B352</f>
        <v/>
      </c>
      <c r="C351" s="139">
        <f>'1510'!D352</f>
        <v/>
      </c>
      <c r="D351" s="140">
        <f>'1510'!E352</f>
        <v/>
      </c>
      <c r="E351" s="140">
        <f>'1510'!F352</f>
        <v/>
      </c>
      <c r="F351" s="139">
        <f>'1510'!C352</f>
        <v/>
      </c>
      <c r="G351" s="155">
        <f>'1510'!G352</f>
        <v/>
      </c>
      <c r="H351" s="155">
        <f>'1510'!H352</f>
        <v/>
      </c>
      <c r="I351" s="139">
        <f>'1510'!I352</f>
        <v/>
      </c>
    </row>
    <row r="352" outlineLevel="1" ht="15" customHeight="1" s="82">
      <c r="A352" s="139">
        <f>'1510'!A353</f>
        <v/>
      </c>
      <c r="B352" s="139">
        <f>'1510'!B353</f>
        <v/>
      </c>
      <c r="C352" s="139">
        <f>'1510'!D353</f>
        <v/>
      </c>
      <c r="D352" s="140">
        <f>'1510'!E353</f>
        <v/>
      </c>
      <c r="E352" s="140">
        <f>'1510'!F353</f>
        <v/>
      </c>
      <c r="F352" s="139">
        <f>'1510'!C353</f>
        <v/>
      </c>
      <c r="G352" s="155">
        <f>'1510'!G353</f>
        <v/>
      </c>
      <c r="H352" s="155">
        <f>'1510'!H353</f>
        <v/>
      </c>
      <c r="I352" s="139">
        <f>'1510'!I353</f>
        <v/>
      </c>
    </row>
    <row r="353" outlineLevel="1" ht="15" customHeight="1" s="82">
      <c r="A353" s="139">
        <f>'1510'!A354</f>
        <v/>
      </c>
      <c r="B353" s="139">
        <f>'1510'!B354</f>
        <v/>
      </c>
      <c r="C353" s="139">
        <f>'1510'!D354</f>
        <v/>
      </c>
      <c r="D353" s="140">
        <f>'1510'!E354</f>
        <v/>
      </c>
      <c r="E353" s="140">
        <f>'1510'!F354</f>
        <v/>
      </c>
      <c r="F353" s="139">
        <f>'1510'!C354</f>
        <v/>
      </c>
      <c r="G353" s="155">
        <f>'1510'!G354</f>
        <v/>
      </c>
      <c r="H353" s="155">
        <f>'1510'!H354</f>
        <v/>
      </c>
      <c r="I353" s="139">
        <f>'1510'!I354</f>
        <v/>
      </c>
    </row>
    <row r="354" outlineLevel="1" ht="15" customHeight="1" s="82">
      <c r="A354" s="139">
        <f>'1510'!A355</f>
        <v/>
      </c>
      <c r="B354" s="139">
        <f>'1510'!B355</f>
        <v/>
      </c>
      <c r="C354" s="139">
        <f>'1510'!D355</f>
        <v/>
      </c>
      <c r="D354" s="140">
        <f>'1510'!E355</f>
        <v/>
      </c>
      <c r="E354" s="140">
        <f>'1510'!F355</f>
        <v/>
      </c>
      <c r="F354" s="139">
        <f>'1510'!C355</f>
        <v/>
      </c>
      <c r="G354" s="155">
        <f>'1510'!G355</f>
        <v/>
      </c>
      <c r="H354" s="155">
        <f>'1510'!H355</f>
        <v/>
      </c>
      <c r="I354" s="139">
        <f>'1510'!I355</f>
        <v/>
      </c>
    </row>
    <row r="355" outlineLevel="1" ht="15" customHeight="1" s="82">
      <c r="A355" s="139">
        <f>'1510'!A356</f>
        <v/>
      </c>
      <c r="B355" s="139">
        <f>'1510'!B356</f>
        <v/>
      </c>
      <c r="C355" s="139">
        <f>'1510'!D356</f>
        <v/>
      </c>
      <c r="D355" s="140">
        <f>'1510'!E356</f>
        <v/>
      </c>
      <c r="E355" s="140">
        <f>'1510'!F356</f>
        <v/>
      </c>
      <c r="F355" s="139">
        <f>'1510'!C356</f>
        <v/>
      </c>
      <c r="G355" s="155">
        <f>'1510'!G356</f>
        <v/>
      </c>
      <c r="H355" s="155">
        <f>'1510'!H356</f>
        <v/>
      </c>
      <c r="I355" s="139">
        <f>'1510'!I356</f>
        <v/>
      </c>
    </row>
    <row r="356" outlineLevel="1" ht="15" customHeight="1" s="82">
      <c r="A356" s="139">
        <f>'1510'!A357</f>
        <v/>
      </c>
      <c r="B356" s="139">
        <f>'1510'!B357</f>
        <v/>
      </c>
      <c r="C356" s="139">
        <f>'1510'!D357</f>
        <v/>
      </c>
      <c r="D356" s="140">
        <f>'1510'!E357</f>
        <v/>
      </c>
      <c r="E356" s="140">
        <f>'1510'!F357</f>
        <v/>
      </c>
      <c r="F356" s="139">
        <f>'1510'!C357</f>
        <v/>
      </c>
      <c r="G356" s="155">
        <f>'1510'!G357</f>
        <v/>
      </c>
      <c r="H356" s="155">
        <f>'1510'!H357</f>
        <v/>
      </c>
      <c r="I356" s="139">
        <f>'1510'!I357</f>
        <v/>
      </c>
    </row>
    <row r="357" outlineLevel="1" ht="15" customHeight="1" s="82">
      <c r="A357" s="139">
        <f>'1510'!A358</f>
        <v/>
      </c>
      <c r="B357" s="139">
        <f>'1510'!B358</f>
        <v/>
      </c>
      <c r="C357" s="139">
        <f>'1510'!D358</f>
        <v/>
      </c>
      <c r="D357" s="140">
        <f>'1510'!E358</f>
        <v/>
      </c>
      <c r="E357" s="140">
        <f>'1510'!F358</f>
        <v/>
      </c>
      <c r="F357" s="139">
        <f>'1510'!C358</f>
        <v/>
      </c>
      <c r="G357" s="155">
        <f>'1510'!G358</f>
        <v/>
      </c>
      <c r="H357" s="155">
        <f>'1510'!H358</f>
        <v/>
      </c>
      <c r="I357" s="139">
        <f>'1510'!I358</f>
        <v/>
      </c>
    </row>
    <row r="358" outlineLevel="1" ht="15" customHeight="1" s="82">
      <c r="A358" s="139">
        <f>'1510'!A359</f>
        <v/>
      </c>
      <c r="B358" s="139">
        <f>'1510'!B359</f>
        <v/>
      </c>
      <c r="C358" s="139">
        <f>'1510'!D359</f>
        <v/>
      </c>
      <c r="D358" s="140">
        <f>'1510'!E359</f>
        <v/>
      </c>
      <c r="E358" s="140">
        <f>'1510'!F359</f>
        <v/>
      </c>
      <c r="F358" s="139">
        <f>'1510'!C359</f>
        <v/>
      </c>
      <c r="G358" s="155">
        <f>'1510'!G359</f>
        <v/>
      </c>
      <c r="H358" s="155">
        <f>'1510'!H359</f>
        <v/>
      </c>
      <c r="I358" s="139">
        <f>'1510'!I359</f>
        <v/>
      </c>
    </row>
    <row r="359" outlineLevel="1" ht="15" customHeight="1" s="82">
      <c r="A359" s="139">
        <f>'1510'!A360</f>
        <v/>
      </c>
      <c r="B359" s="139">
        <f>'1510'!B360</f>
        <v/>
      </c>
      <c r="C359" s="139">
        <f>'1510'!D360</f>
        <v/>
      </c>
      <c r="D359" s="140">
        <f>'1510'!E360</f>
        <v/>
      </c>
      <c r="E359" s="140">
        <f>'1510'!F360</f>
        <v/>
      </c>
      <c r="F359" s="139">
        <f>'1510'!C360</f>
        <v/>
      </c>
      <c r="G359" s="155">
        <f>'1510'!G360</f>
        <v/>
      </c>
      <c r="H359" s="155">
        <f>'1510'!H360</f>
        <v/>
      </c>
      <c r="I359" s="139">
        <f>'1510'!I360</f>
        <v/>
      </c>
    </row>
    <row r="360" outlineLevel="1" ht="15" customHeight="1" s="82">
      <c r="A360" s="139">
        <f>'1510'!A361</f>
        <v/>
      </c>
      <c r="B360" s="139">
        <f>'1510'!B361</f>
        <v/>
      </c>
      <c r="C360" s="139">
        <f>'1510'!D361</f>
        <v/>
      </c>
      <c r="D360" s="140">
        <f>'1510'!E361</f>
        <v/>
      </c>
      <c r="E360" s="140">
        <f>'1510'!F361</f>
        <v/>
      </c>
      <c r="F360" s="139">
        <f>'1510'!C361</f>
        <v/>
      </c>
      <c r="G360" s="155">
        <f>'1510'!G361</f>
        <v/>
      </c>
      <c r="H360" s="155">
        <f>'1510'!H361</f>
        <v/>
      </c>
      <c r="I360" s="139">
        <f>'1510'!I361</f>
        <v/>
      </c>
    </row>
    <row r="361" outlineLevel="1" ht="15" customHeight="1" s="82">
      <c r="A361" s="139">
        <f>'1510'!A362</f>
        <v/>
      </c>
      <c r="B361" s="139">
        <f>'1510'!B362</f>
        <v/>
      </c>
      <c r="C361" s="139">
        <f>'1510'!D362</f>
        <v/>
      </c>
      <c r="D361" s="140">
        <f>'1510'!E362</f>
        <v/>
      </c>
      <c r="E361" s="140">
        <f>'1510'!F362</f>
        <v/>
      </c>
      <c r="F361" s="139">
        <f>'1510'!C362</f>
        <v/>
      </c>
      <c r="G361" s="155">
        <f>'1510'!G362</f>
        <v/>
      </c>
      <c r="H361" s="155">
        <f>'1510'!H362</f>
        <v/>
      </c>
      <c r="I361" s="139">
        <f>'1510'!I362</f>
        <v/>
      </c>
    </row>
    <row r="362" outlineLevel="1" ht="15" customHeight="1" s="82">
      <c r="A362" s="139">
        <f>'1510'!A363</f>
        <v/>
      </c>
      <c r="B362" s="139">
        <f>'1510'!B363</f>
        <v/>
      </c>
      <c r="C362" s="139">
        <f>'1510'!D363</f>
        <v/>
      </c>
      <c r="D362" s="140">
        <f>'1510'!E363</f>
        <v/>
      </c>
      <c r="E362" s="140">
        <f>'1510'!F363</f>
        <v/>
      </c>
      <c r="F362" s="139">
        <f>'1510'!C363</f>
        <v/>
      </c>
      <c r="G362" s="155">
        <f>'1510'!G363</f>
        <v/>
      </c>
      <c r="H362" s="155">
        <f>'1510'!H363</f>
        <v/>
      </c>
      <c r="I362" s="139">
        <f>'1510'!I363</f>
        <v/>
      </c>
    </row>
    <row r="363" outlineLevel="1" ht="15" customHeight="1" s="82">
      <c r="A363" s="139">
        <f>'1510'!A364</f>
        <v/>
      </c>
      <c r="B363" s="139">
        <f>'1510'!B364</f>
        <v/>
      </c>
      <c r="C363" s="139">
        <f>'1510'!D364</f>
        <v/>
      </c>
      <c r="D363" s="140">
        <f>'1510'!E364</f>
        <v/>
      </c>
      <c r="E363" s="140">
        <f>'1510'!F364</f>
        <v/>
      </c>
      <c r="F363" s="139">
        <f>'1510'!C364</f>
        <v/>
      </c>
      <c r="G363" s="155">
        <f>'1510'!G364</f>
        <v/>
      </c>
      <c r="H363" s="155">
        <f>'1510'!H364</f>
        <v/>
      </c>
      <c r="I363" s="139">
        <f>'1510'!I364</f>
        <v/>
      </c>
    </row>
    <row r="364" outlineLevel="1" ht="15" customHeight="1" s="82">
      <c r="A364" s="139">
        <f>'1510'!A365</f>
        <v/>
      </c>
      <c r="B364" s="139">
        <f>'1510'!B365</f>
        <v/>
      </c>
      <c r="C364" s="139">
        <f>'1510'!D365</f>
        <v/>
      </c>
      <c r="D364" s="140">
        <f>'1510'!E365</f>
        <v/>
      </c>
      <c r="E364" s="140">
        <f>'1510'!F365</f>
        <v/>
      </c>
      <c r="F364" s="139">
        <f>'1510'!C365</f>
        <v/>
      </c>
      <c r="G364" s="155">
        <f>'1510'!G365</f>
        <v/>
      </c>
      <c r="H364" s="155">
        <f>'1510'!H365</f>
        <v/>
      </c>
      <c r="I364" s="139">
        <f>'1510'!I365</f>
        <v/>
      </c>
    </row>
    <row r="365" outlineLevel="1" ht="15" customHeight="1" s="82">
      <c r="A365" s="139">
        <f>'1510'!A366</f>
        <v/>
      </c>
      <c r="B365" s="139">
        <f>'1510'!B366</f>
        <v/>
      </c>
      <c r="C365" s="139">
        <f>'1510'!D366</f>
        <v/>
      </c>
      <c r="D365" s="140">
        <f>'1510'!E366</f>
        <v/>
      </c>
      <c r="E365" s="140">
        <f>'1510'!F366</f>
        <v/>
      </c>
      <c r="F365" s="139">
        <f>'1510'!C366</f>
        <v/>
      </c>
      <c r="G365" s="155">
        <f>'1510'!G366</f>
        <v/>
      </c>
      <c r="H365" s="155">
        <f>'1510'!H366</f>
        <v/>
      </c>
      <c r="I365" s="139">
        <f>'1510'!I366</f>
        <v/>
      </c>
    </row>
    <row r="366" outlineLevel="1" ht="15" customHeight="1" s="82">
      <c r="A366" s="139">
        <f>'1510'!A367</f>
        <v/>
      </c>
      <c r="B366" s="139">
        <f>'1510'!B367</f>
        <v/>
      </c>
      <c r="C366" s="139">
        <f>'1510'!D367</f>
        <v/>
      </c>
      <c r="D366" s="140">
        <f>'1510'!E367</f>
        <v/>
      </c>
      <c r="E366" s="140">
        <f>'1510'!F367</f>
        <v/>
      </c>
      <c r="F366" s="139">
        <f>'1510'!C367</f>
        <v/>
      </c>
      <c r="G366" s="155">
        <f>'1510'!G367</f>
        <v/>
      </c>
      <c r="H366" s="155">
        <f>'1510'!H367</f>
        <v/>
      </c>
      <c r="I366" s="139">
        <f>'1510'!I367</f>
        <v/>
      </c>
    </row>
    <row r="367" outlineLevel="1" ht="15" customHeight="1" s="82">
      <c r="A367" s="139">
        <f>'1510'!A368</f>
        <v/>
      </c>
      <c r="B367" s="139">
        <f>'1510'!B368</f>
        <v/>
      </c>
      <c r="C367" s="139">
        <f>'1510'!D368</f>
        <v/>
      </c>
      <c r="D367" s="140">
        <f>'1510'!E368</f>
        <v/>
      </c>
      <c r="E367" s="140">
        <f>'1510'!F368</f>
        <v/>
      </c>
      <c r="F367" s="139">
        <f>'1510'!C368</f>
        <v/>
      </c>
      <c r="G367" s="155">
        <f>'1510'!G368</f>
        <v/>
      </c>
      <c r="H367" s="155">
        <f>'1510'!H368</f>
        <v/>
      </c>
      <c r="I367" s="139">
        <f>'1510'!I368</f>
        <v/>
      </c>
    </row>
    <row r="368" outlineLevel="1" ht="15" customHeight="1" s="82">
      <c r="A368" s="139">
        <f>'1510'!A369</f>
        <v/>
      </c>
      <c r="B368" s="139">
        <f>'1510'!B369</f>
        <v/>
      </c>
      <c r="C368" s="139">
        <f>'1510'!D369</f>
        <v/>
      </c>
      <c r="D368" s="140">
        <f>'1510'!E369</f>
        <v/>
      </c>
      <c r="E368" s="140">
        <f>'1510'!F369</f>
        <v/>
      </c>
      <c r="F368" s="139">
        <f>'1510'!C369</f>
        <v/>
      </c>
      <c r="G368" s="155">
        <f>'1510'!G369</f>
        <v/>
      </c>
      <c r="H368" s="155">
        <f>'1510'!H369</f>
        <v/>
      </c>
      <c r="I368" s="139">
        <f>'1510'!I369</f>
        <v/>
      </c>
    </row>
    <row r="369" outlineLevel="1" ht="15" customHeight="1" s="82">
      <c r="A369" s="139">
        <f>'1510'!A370</f>
        <v/>
      </c>
      <c r="B369" s="139">
        <f>'1510'!B370</f>
        <v/>
      </c>
      <c r="C369" s="139">
        <f>'1510'!D370</f>
        <v/>
      </c>
      <c r="D369" s="140">
        <f>'1510'!E370</f>
        <v/>
      </c>
      <c r="E369" s="140">
        <f>'1510'!F370</f>
        <v/>
      </c>
      <c r="F369" s="139">
        <f>'1510'!C370</f>
        <v/>
      </c>
      <c r="G369" s="155">
        <f>'1510'!G370</f>
        <v/>
      </c>
      <c r="H369" s="155">
        <f>'1510'!H370</f>
        <v/>
      </c>
      <c r="I369" s="139">
        <f>'1510'!I370</f>
        <v/>
      </c>
    </row>
    <row r="370" outlineLevel="1" ht="15" customHeight="1" s="82">
      <c r="A370" s="139">
        <f>'1510'!A371</f>
        <v/>
      </c>
      <c r="B370" s="139">
        <f>'1510'!B371</f>
        <v/>
      </c>
      <c r="C370" s="139">
        <f>'1510'!D371</f>
        <v/>
      </c>
      <c r="D370" s="140">
        <f>'1510'!E371</f>
        <v/>
      </c>
      <c r="E370" s="140">
        <f>'1510'!F371</f>
        <v/>
      </c>
      <c r="F370" s="139">
        <f>'1510'!C371</f>
        <v/>
      </c>
      <c r="G370" s="155">
        <f>'1510'!G371</f>
        <v/>
      </c>
      <c r="H370" s="155">
        <f>'1510'!H371</f>
        <v/>
      </c>
      <c r="I370" s="139">
        <f>'1510'!I371</f>
        <v/>
      </c>
    </row>
    <row r="371" outlineLevel="1" ht="15" customHeight="1" s="82">
      <c r="A371" s="139">
        <f>'1510'!A372</f>
        <v/>
      </c>
      <c r="B371" s="139">
        <f>'1510'!B372</f>
        <v/>
      </c>
      <c r="C371" s="139">
        <f>'1510'!D372</f>
        <v/>
      </c>
      <c r="D371" s="140">
        <f>'1510'!E372</f>
        <v/>
      </c>
      <c r="E371" s="140">
        <f>'1510'!F372</f>
        <v/>
      </c>
      <c r="F371" s="139">
        <f>'1510'!C372</f>
        <v/>
      </c>
      <c r="G371" s="155">
        <f>'1510'!G372</f>
        <v/>
      </c>
      <c r="H371" s="155">
        <f>'1510'!H372</f>
        <v/>
      </c>
      <c r="I371" s="139">
        <f>'1510'!I372</f>
        <v/>
      </c>
    </row>
    <row r="372" outlineLevel="1" ht="15" customHeight="1" s="82">
      <c r="A372" s="139">
        <f>'1510'!A373</f>
        <v/>
      </c>
      <c r="B372" s="139">
        <f>'1510'!B373</f>
        <v/>
      </c>
      <c r="C372" s="139">
        <f>'1510'!D373</f>
        <v/>
      </c>
      <c r="D372" s="140">
        <f>'1510'!E373</f>
        <v/>
      </c>
      <c r="E372" s="140">
        <f>'1510'!F373</f>
        <v/>
      </c>
      <c r="F372" s="139">
        <f>'1510'!C373</f>
        <v/>
      </c>
      <c r="G372" s="155">
        <f>'1510'!G373</f>
        <v/>
      </c>
      <c r="H372" s="155">
        <f>'1510'!H373</f>
        <v/>
      </c>
      <c r="I372" s="139">
        <f>'1510'!I373</f>
        <v/>
      </c>
    </row>
    <row r="373" outlineLevel="1" ht="15" customHeight="1" s="82">
      <c r="A373" s="139">
        <f>'1510'!A374</f>
        <v/>
      </c>
      <c r="B373" s="139">
        <f>'1510'!B374</f>
        <v/>
      </c>
      <c r="C373" s="139">
        <f>'1510'!D374</f>
        <v/>
      </c>
      <c r="D373" s="140">
        <f>'1510'!E374</f>
        <v/>
      </c>
      <c r="E373" s="140">
        <f>'1510'!F374</f>
        <v/>
      </c>
      <c r="F373" s="139">
        <f>'1510'!C374</f>
        <v/>
      </c>
      <c r="G373" s="155">
        <f>'1510'!G374</f>
        <v/>
      </c>
      <c r="H373" s="155">
        <f>'1510'!H374</f>
        <v/>
      </c>
      <c r="I373" s="139">
        <f>'1510'!I374</f>
        <v/>
      </c>
    </row>
    <row r="374" outlineLevel="1" ht="15" customHeight="1" s="82">
      <c r="A374" s="139">
        <f>'1510'!A375</f>
        <v/>
      </c>
      <c r="B374" s="139">
        <f>'1510'!B375</f>
        <v/>
      </c>
      <c r="C374" s="139">
        <f>'1510'!D375</f>
        <v/>
      </c>
      <c r="D374" s="140">
        <f>'1510'!E375</f>
        <v/>
      </c>
      <c r="E374" s="140">
        <f>'1510'!F375</f>
        <v/>
      </c>
      <c r="F374" s="139">
        <f>'1510'!C375</f>
        <v/>
      </c>
      <c r="G374" s="155">
        <f>'1510'!G375</f>
        <v/>
      </c>
      <c r="H374" s="155">
        <f>'1510'!H375</f>
        <v/>
      </c>
      <c r="I374" s="139">
        <f>'1510'!I375</f>
        <v/>
      </c>
    </row>
    <row r="375" outlineLevel="1" ht="15" customHeight="1" s="82">
      <c r="A375" s="139">
        <f>'1510'!A376</f>
        <v/>
      </c>
      <c r="B375" s="139">
        <f>'1510'!B376</f>
        <v/>
      </c>
      <c r="C375" s="139">
        <f>'1510'!D376</f>
        <v/>
      </c>
      <c r="D375" s="140">
        <f>'1510'!E376</f>
        <v/>
      </c>
      <c r="E375" s="140">
        <f>'1510'!F376</f>
        <v/>
      </c>
      <c r="F375" s="139">
        <f>'1510'!C376</f>
        <v/>
      </c>
      <c r="G375" s="155">
        <f>'1510'!G376</f>
        <v/>
      </c>
      <c r="H375" s="155">
        <f>'1510'!H376</f>
        <v/>
      </c>
      <c r="I375" s="139">
        <f>'1510'!I376</f>
        <v/>
      </c>
    </row>
    <row r="376" outlineLevel="1" ht="15" customHeight="1" s="82">
      <c r="A376" s="139">
        <f>'1510'!A377</f>
        <v/>
      </c>
      <c r="B376" s="139">
        <f>'1510'!B377</f>
        <v/>
      </c>
      <c r="C376" s="139">
        <f>'1510'!D377</f>
        <v/>
      </c>
      <c r="D376" s="140">
        <f>'1510'!E377</f>
        <v/>
      </c>
      <c r="E376" s="140">
        <f>'1510'!F377</f>
        <v/>
      </c>
      <c r="F376" s="139">
        <f>'1510'!C377</f>
        <v/>
      </c>
      <c r="G376" s="155">
        <f>'1510'!G377</f>
        <v/>
      </c>
      <c r="H376" s="155">
        <f>'1510'!H377</f>
        <v/>
      </c>
      <c r="I376" s="139">
        <f>'1510'!I377</f>
        <v/>
      </c>
    </row>
    <row r="377" outlineLevel="1" ht="15" customHeight="1" s="82">
      <c r="A377" s="139">
        <f>'1510'!A378</f>
        <v/>
      </c>
      <c r="B377" s="139">
        <f>'1510'!B378</f>
        <v/>
      </c>
      <c r="C377" s="139">
        <f>'1510'!D378</f>
        <v/>
      </c>
      <c r="D377" s="140">
        <f>'1510'!E378</f>
        <v/>
      </c>
      <c r="E377" s="140">
        <f>'1510'!F378</f>
        <v/>
      </c>
      <c r="F377" s="139">
        <f>'1510'!C378</f>
        <v/>
      </c>
      <c r="G377" s="155">
        <f>'1510'!G378</f>
        <v/>
      </c>
      <c r="H377" s="155">
        <f>'1510'!H378</f>
        <v/>
      </c>
      <c r="I377" s="139">
        <f>'1510'!I378</f>
        <v/>
      </c>
    </row>
    <row r="378" outlineLevel="1" ht="15" customHeight="1" s="82">
      <c r="A378" s="139">
        <f>'1510'!A379</f>
        <v/>
      </c>
      <c r="B378" s="139">
        <f>'1510'!B379</f>
        <v/>
      </c>
      <c r="C378" s="139">
        <f>'1510'!D379</f>
        <v/>
      </c>
      <c r="D378" s="140">
        <f>'1510'!E379</f>
        <v/>
      </c>
      <c r="E378" s="140">
        <f>'1510'!F379</f>
        <v/>
      </c>
      <c r="F378" s="139">
        <f>'1510'!C379</f>
        <v/>
      </c>
      <c r="G378" s="155">
        <f>'1510'!G379</f>
        <v/>
      </c>
      <c r="H378" s="155">
        <f>'1510'!H379</f>
        <v/>
      </c>
      <c r="I378" s="139">
        <f>'1510'!I379</f>
        <v/>
      </c>
    </row>
    <row r="379" outlineLevel="1" ht="15" customHeight="1" s="82">
      <c r="A379" s="139">
        <f>'1510'!A380</f>
        <v/>
      </c>
      <c r="B379" s="139">
        <f>'1510'!B380</f>
        <v/>
      </c>
      <c r="C379" s="139">
        <f>'1510'!D380</f>
        <v/>
      </c>
      <c r="D379" s="140">
        <f>'1510'!E380</f>
        <v/>
      </c>
      <c r="E379" s="140">
        <f>'1510'!F380</f>
        <v/>
      </c>
      <c r="F379" s="139">
        <f>'1510'!C380</f>
        <v/>
      </c>
      <c r="G379" s="155">
        <f>'1510'!G380</f>
        <v/>
      </c>
      <c r="H379" s="155">
        <f>'1510'!H380</f>
        <v/>
      </c>
      <c r="I379" s="139">
        <f>'1510'!I380</f>
        <v/>
      </c>
    </row>
    <row r="380" outlineLevel="1" ht="15" customHeight="1" s="82">
      <c r="A380" s="139">
        <f>'1510'!A381</f>
        <v/>
      </c>
      <c r="B380" s="139">
        <f>'1510'!B381</f>
        <v/>
      </c>
      <c r="C380" s="139">
        <f>'1510'!D381</f>
        <v/>
      </c>
      <c r="D380" s="140">
        <f>'1510'!E381</f>
        <v/>
      </c>
      <c r="E380" s="140">
        <f>'1510'!F381</f>
        <v/>
      </c>
      <c r="F380" s="139">
        <f>'1510'!C381</f>
        <v/>
      </c>
      <c r="G380" s="155">
        <f>'1510'!G381</f>
        <v/>
      </c>
      <c r="H380" s="155">
        <f>'1510'!H381</f>
        <v/>
      </c>
      <c r="I380" s="139">
        <f>'1510'!I381</f>
        <v/>
      </c>
    </row>
    <row r="381" outlineLevel="1" ht="15" customHeight="1" s="82">
      <c r="A381" s="139">
        <f>'1510'!A382</f>
        <v/>
      </c>
      <c r="B381" s="139">
        <f>'1510'!B382</f>
        <v/>
      </c>
      <c r="C381" s="139">
        <f>'1510'!D382</f>
        <v/>
      </c>
      <c r="D381" s="140">
        <f>'1510'!E382</f>
        <v/>
      </c>
      <c r="E381" s="140">
        <f>'1510'!F382</f>
        <v/>
      </c>
      <c r="F381" s="139">
        <f>'1510'!C382</f>
        <v/>
      </c>
      <c r="G381" s="155">
        <f>'1510'!G382</f>
        <v/>
      </c>
      <c r="H381" s="155">
        <f>'1510'!H382</f>
        <v/>
      </c>
      <c r="I381" s="139">
        <f>'1510'!I382</f>
        <v/>
      </c>
    </row>
    <row r="382" outlineLevel="1" ht="15" customHeight="1" s="82">
      <c r="A382" s="139">
        <f>'1510'!A383</f>
        <v/>
      </c>
      <c r="B382" s="139">
        <f>'1510'!B383</f>
        <v/>
      </c>
      <c r="C382" s="139">
        <f>'1510'!D383</f>
        <v/>
      </c>
      <c r="D382" s="140">
        <f>'1510'!E383</f>
        <v/>
      </c>
      <c r="E382" s="140">
        <f>'1510'!F383</f>
        <v/>
      </c>
      <c r="F382" s="139">
        <f>'1510'!C383</f>
        <v/>
      </c>
      <c r="G382" s="155">
        <f>'1510'!G383</f>
        <v/>
      </c>
      <c r="H382" s="155">
        <f>'1510'!H383</f>
        <v/>
      </c>
      <c r="I382" s="139">
        <f>'1510'!I383</f>
        <v/>
      </c>
    </row>
    <row r="383" outlineLevel="1" ht="15" customHeight="1" s="82">
      <c r="A383" s="139">
        <f>'1510'!A384</f>
        <v/>
      </c>
      <c r="B383" s="139">
        <f>'1510'!B384</f>
        <v/>
      </c>
      <c r="C383" s="139">
        <f>'1510'!D384</f>
        <v/>
      </c>
      <c r="D383" s="140">
        <f>'1510'!E384</f>
        <v/>
      </c>
      <c r="E383" s="140">
        <f>'1510'!F384</f>
        <v/>
      </c>
      <c r="F383" s="139">
        <f>'1510'!C384</f>
        <v/>
      </c>
      <c r="G383" s="155">
        <f>'1510'!G384</f>
        <v/>
      </c>
      <c r="H383" s="155">
        <f>'1510'!H384</f>
        <v/>
      </c>
      <c r="I383" s="139">
        <f>'1510'!I384</f>
        <v/>
      </c>
    </row>
    <row r="384" outlineLevel="1" ht="15" customHeight="1" s="82">
      <c r="A384" s="139">
        <f>'1510'!A385</f>
        <v/>
      </c>
      <c r="B384" s="139">
        <f>'1510'!B385</f>
        <v/>
      </c>
      <c r="C384" s="139">
        <f>'1510'!D385</f>
        <v/>
      </c>
      <c r="D384" s="140">
        <f>'1510'!E385</f>
        <v/>
      </c>
      <c r="E384" s="140">
        <f>'1510'!F385</f>
        <v/>
      </c>
      <c r="F384" s="139">
        <f>'1510'!C385</f>
        <v/>
      </c>
      <c r="G384" s="155">
        <f>'1510'!G385</f>
        <v/>
      </c>
      <c r="H384" s="155">
        <f>'1510'!H385</f>
        <v/>
      </c>
      <c r="I384" s="139">
        <f>'1510'!I385</f>
        <v/>
      </c>
    </row>
    <row r="385" outlineLevel="1" ht="15" customHeight="1" s="82">
      <c r="A385" s="139">
        <f>'1510'!A386</f>
        <v/>
      </c>
      <c r="B385" s="139">
        <f>'1510'!B386</f>
        <v/>
      </c>
      <c r="C385" s="139">
        <f>'1510'!D386</f>
        <v/>
      </c>
      <c r="D385" s="140">
        <f>'1510'!E386</f>
        <v/>
      </c>
      <c r="E385" s="140">
        <f>'1510'!F386</f>
        <v/>
      </c>
      <c r="F385" s="139">
        <f>'1510'!C386</f>
        <v/>
      </c>
      <c r="G385" s="155">
        <f>'1510'!G386</f>
        <v/>
      </c>
      <c r="H385" s="155">
        <f>'1510'!H386</f>
        <v/>
      </c>
      <c r="I385" s="139">
        <f>'1510'!I386</f>
        <v/>
      </c>
    </row>
    <row r="386" outlineLevel="1" ht="15" customHeight="1" s="82">
      <c r="A386" s="139">
        <f>'1510'!A387</f>
        <v/>
      </c>
      <c r="B386" s="139">
        <f>'1510'!B387</f>
        <v/>
      </c>
      <c r="C386" s="139">
        <f>'1510'!D387</f>
        <v/>
      </c>
      <c r="D386" s="140">
        <f>'1510'!E387</f>
        <v/>
      </c>
      <c r="E386" s="140">
        <f>'1510'!F387</f>
        <v/>
      </c>
      <c r="F386" s="139">
        <f>'1510'!C387</f>
        <v/>
      </c>
      <c r="G386" s="155">
        <f>'1510'!G387</f>
        <v/>
      </c>
      <c r="H386" s="155">
        <f>'1510'!H387</f>
        <v/>
      </c>
      <c r="I386" s="139">
        <f>'1510'!I387</f>
        <v/>
      </c>
    </row>
    <row r="387" outlineLevel="1" ht="15" customHeight="1" s="82">
      <c r="A387" s="139">
        <f>'1510'!A388</f>
        <v/>
      </c>
      <c r="B387" s="139">
        <f>'1510'!B388</f>
        <v/>
      </c>
      <c r="C387" s="139">
        <f>'1510'!D388</f>
        <v/>
      </c>
      <c r="D387" s="140">
        <f>'1510'!E388</f>
        <v/>
      </c>
      <c r="E387" s="140">
        <f>'1510'!F388</f>
        <v/>
      </c>
      <c r="F387" s="139">
        <f>'1510'!C388</f>
        <v/>
      </c>
      <c r="G387" s="155">
        <f>'1510'!G388</f>
        <v/>
      </c>
      <c r="H387" s="155">
        <f>'1510'!H388</f>
        <v/>
      </c>
      <c r="I387" s="139">
        <f>'1510'!I388</f>
        <v/>
      </c>
    </row>
    <row r="388" outlineLevel="1" ht="15" customHeight="1" s="82">
      <c r="A388" s="139">
        <f>'1510'!A389</f>
        <v/>
      </c>
      <c r="B388" s="139">
        <f>'1510'!B389</f>
        <v/>
      </c>
      <c r="C388" s="139">
        <f>'1510'!D389</f>
        <v/>
      </c>
      <c r="D388" s="140">
        <f>'1510'!E389</f>
        <v/>
      </c>
      <c r="E388" s="140">
        <f>'1510'!F389</f>
        <v/>
      </c>
      <c r="F388" s="139">
        <f>'1510'!C389</f>
        <v/>
      </c>
      <c r="G388" s="155">
        <f>'1510'!G389</f>
        <v/>
      </c>
      <c r="H388" s="155">
        <f>'1510'!H389</f>
        <v/>
      </c>
      <c r="I388" s="139">
        <f>'1510'!I389</f>
        <v/>
      </c>
    </row>
    <row r="389" outlineLevel="1" ht="15" customHeight="1" s="82">
      <c r="A389" s="139">
        <f>'1510'!A390</f>
        <v/>
      </c>
      <c r="B389" s="139">
        <f>'1510'!B390</f>
        <v/>
      </c>
      <c r="C389" s="139">
        <f>'1510'!D390</f>
        <v/>
      </c>
      <c r="D389" s="140">
        <f>'1510'!E390</f>
        <v/>
      </c>
      <c r="E389" s="140">
        <f>'1510'!F390</f>
        <v/>
      </c>
      <c r="F389" s="139">
        <f>'1510'!C390</f>
        <v/>
      </c>
      <c r="G389" s="155">
        <f>'1510'!G390</f>
        <v/>
      </c>
      <c r="H389" s="155">
        <f>'1510'!H390</f>
        <v/>
      </c>
      <c r="I389" s="139">
        <f>'1510'!I390</f>
        <v/>
      </c>
    </row>
    <row r="390" outlineLevel="1" ht="15" customHeight="1" s="82">
      <c r="A390" s="139">
        <f>'1510'!A391</f>
        <v/>
      </c>
      <c r="B390" s="139">
        <f>'1510'!B391</f>
        <v/>
      </c>
      <c r="C390" s="139">
        <f>'1510'!D391</f>
        <v/>
      </c>
      <c r="D390" s="140">
        <f>'1510'!E391</f>
        <v/>
      </c>
      <c r="E390" s="140">
        <f>'1510'!F391</f>
        <v/>
      </c>
      <c r="F390" s="139">
        <f>'1510'!C391</f>
        <v/>
      </c>
      <c r="G390" s="155">
        <f>'1510'!G391</f>
        <v/>
      </c>
      <c r="H390" s="155">
        <f>'1510'!H391</f>
        <v/>
      </c>
      <c r="I390" s="139">
        <f>'1510'!I391</f>
        <v/>
      </c>
    </row>
    <row r="391" outlineLevel="1" ht="15" customHeight="1" s="82">
      <c r="A391" s="139">
        <f>'1510'!A392</f>
        <v/>
      </c>
      <c r="B391" s="139">
        <f>'1510'!B392</f>
        <v/>
      </c>
      <c r="C391" s="139">
        <f>'1510'!D392</f>
        <v/>
      </c>
      <c r="D391" s="140">
        <f>'1510'!E392</f>
        <v/>
      </c>
      <c r="E391" s="140">
        <f>'1510'!F392</f>
        <v/>
      </c>
      <c r="F391" s="139">
        <f>'1510'!C392</f>
        <v/>
      </c>
      <c r="G391" s="155">
        <f>'1510'!G392</f>
        <v/>
      </c>
      <c r="H391" s="155">
        <f>'1510'!H392</f>
        <v/>
      </c>
      <c r="I391" s="139">
        <f>'1510'!I392</f>
        <v/>
      </c>
    </row>
    <row r="392" outlineLevel="1" ht="15" customHeight="1" s="82">
      <c r="A392" s="139">
        <f>'1510'!A393</f>
        <v/>
      </c>
      <c r="B392" s="139">
        <f>'1510'!B393</f>
        <v/>
      </c>
      <c r="C392" s="139">
        <f>'1510'!D393</f>
        <v/>
      </c>
      <c r="D392" s="140">
        <f>'1510'!E393</f>
        <v/>
      </c>
      <c r="E392" s="140">
        <f>'1510'!F393</f>
        <v/>
      </c>
      <c r="F392" s="139">
        <f>'1510'!C393</f>
        <v/>
      </c>
      <c r="G392" s="155">
        <f>'1510'!G393</f>
        <v/>
      </c>
      <c r="H392" s="155">
        <f>'1510'!H393</f>
        <v/>
      </c>
      <c r="I392" s="139">
        <f>'1510'!I393</f>
        <v/>
      </c>
    </row>
    <row r="393" outlineLevel="1" ht="15" customHeight="1" s="82">
      <c r="A393" s="139">
        <f>'1510'!A394</f>
        <v/>
      </c>
      <c r="B393" s="139">
        <f>'1510'!B394</f>
        <v/>
      </c>
      <c r="C393" s="139">
        <f>'1510'!D394</f>
        <v/>
      </c>
      <c r="D393" s="140">
        <f>'1510'!E394</f>
        <v/>
      </c>
      <c r="E393" s="140">
        <f>'1510'!F394</f>
        <v/>
      </c>
      <c r="F393" s="139">
        <f>'1510'!C394</f>
        <v/>
      </c>
      <c r="G393" s="155">
        <f>'1510'!G394</f>
        <v/>
      </c>
      <c r="H393" s="155">
        <f>'1510'!H394</f>
        <v/>
      </c>
      <c r="I393" s="139">
        <f>'1510'!I394</f>
        <v/>
      </c>
    </row>
    <row r="394" outlineLevel="1" ht="15" customHeight="1" s="82">
      <c r="A394" s="139">
        <f>'1510'!A395</f>
        <v/>
      </c>
      <c r="B394" s="139">
        <f>'1510'!B395</f>
        <v/>
      </c>
      <c r="C394" s="139">
        <f>'1510'!D395</f>
        <v/>
      </c>
      <c r="D394" s="140">
        <f>'1510'!E395</f>
        <v/>
      </c>
      <c r="E394" s="140">
        <f>'1510'!F395</f>
        <v/>
      </c>
      <c r="F394" s="139">
        <f>'1510'!C395</f>
        <v/>
      </c>
      <c r="G394" s="155">
        <f>'1510'!G395</f>
        <v/>
      </c>
      <c r="H394" s="155">
        <f>'1510'!H395</f>
        <v/>
      </c>
      <c r="I394" s="139">
        <f>'1510'!I395</f>
        <v/>
      </c>
    </row>
    <row r="395" outlineLevel="1" ht="15" customHeight="1" s="82">
      <c r="A395" s="139">
        <f>'1510'!A396</f>
        <v/>
      </c>
      <c r="B395" s="139">
        <f>'1510'!B396</f>
        <v/>
      </c>
      <c r="C395" s="139">
        <f>'1510'!D396</f>
        <v/>
      </c>
      <c r="D395" s="140">
        <f>'1510'!E396</f>
        <v/>
      </c>
      <c r="E395" s="140">
        <f>'1510'!F396</f>
        <v/>
      </c>
      <c r="F395" s="139">
        <f>'1510'!C396</f>
        <v/>
      </c>
      <c r="G395" s="155">
        <f>'1510'!G396</f>
        <v/>
      </c>
      <c r="H395" s="155">
        <f>'1510'!H396</f>
        <v/>
      </c>
      <c r="I395" s="139">
        <f>'1510'!I396</f>
        <v/>
      </c>
    </row>
    <row r="396" outlineLevel="1" ht="15" customHeight="1" s="82">
      <c r="A396" s="139">
        <f>'1510'!A397</f>
        <v/>
      </c>
      <c r="B396" s="139">
        <f>'1510'!B397</f>
        <v/>
      </c>
      <c r="C396" s="139">
        <f>'1510'!D397</f>
        <v/>
      </c>
      <c r="D396" s="140">
        <f>'1510'!E397</f>
        <v/>
      </c>
      <c r="E396" s="140">
        <f>'1510'!F397</f>
        <v/>
      </c>
      <c r="F396" s="139">
        <f>'1510'!C397</f>
        <v/>
      </c>
      <c r="G396" s="155">
        <f>'1510'!G397</f>
        <v/>
      </c>
      <c r="H396" s="155">
        <f>'1510'!H397</f>
        <v/>
      </c>
      <c r="I396" s="139">
        <f>'1510'!I397</f>
        <v/>
      </c>
    </row>
    <row r="397" outlineLevel="1" ht="15" customHeight="1" s="82">
      <c r="A397" s="139">
        <f>'1510'!A398</f>
        <v/>
      </c>
      <c r="B397" s="139">
        <f>'1510'!B398</f>
        <v/>
      </c>
      <c r="C397" s="139">
        <f>'1510'!D398</f>
        <v/>
      </c>
      <c r="D397" s="140">
        <f>'1510'!E398</f>
        <v/>
      </c>
      <c r="E397" s="140">
        <f>'1510'!F398</f>
        <v/>
      </c>
      <c r="F397" s="139">
        <f>'1510'!C398</f>
        <v/>
      </c>
      <c r="G397" s="155">
        <f>'1510'!G398</f>
        <v/>
      </c>
      <c r="H397" s="155">
        <f>'1510'!H398</f>
        <v/>
      </c>
      <c r="I397" s="139">
        <f>'1510'!I398</f>
        <v/>
      </c>
    </row>
    <row r="398" outlineLevel="1" ht="15" customHeight="1" s="82">
      <c r="A398" s="139">
        <f>'1510'!A399</f>
        <v/>
      </c>
      <c r="B398" s="139">
        <f>'1510'!B399</f>
        <v/>
      </c>
      <c r="C398" s="139">
        <f>'1510'!D399</f>
        <v/>
      </c>
      <c r="D398" s="140">
        <f>'1510'!E399</f>
        <v/>
      </c>
      <c r="E398" s="140">
        <f>'1510'!F399</f>
        <v/>
      </c>
      <c r="F398" s="139">
        <f>'1510'!C399</f>
        <v/>
      </c>
      <c r="G398" s="155">
        <f>'1510'!G399</f>
        <v/>
      </c>
      <c r="H398" s="155">
        <f>'1510'!H399</f>
        <v/>
      </c>
      <c r="I398" s="139">
        <f>'1510'!I399</f>
        <v/>
      </c>
    </row>
    <row r="399" outlineLevel="1" ht="15" customHeight="1" s="82">
      <c r="A399" s="139">
        <f>'1510'!A400</f>
        <v/>
      </c>
      <c r="B399" s="139">
        <f>'1510'!B400</f>
        <v/>
      </c>
      <c r="C399" s="139">
        <f>'1510'!D400</f>
        <v/>
      </c>
      <c r="D399" s="140">
        <f>'1510'!E400</f>
        <v/>
      </c>
      <c r="E399" s="140">
        <f>'1510'!F400</f>
        <v/>
      </c>
      <c r="F399" s="139">
        <f>'1510'!C400</f>
        <v/>
      </c>
      <c r="G399" s="155">
        <f>'1510'!G400</f>
        <v/>
      </c>
      <c r="H399" s="155">
        <f>'1510'!H400</f>
        <v/>
      </c>
      <c r="I399" s="139">
        <f>'1510'!I400</f>
        <v/>
      </c>
    </row>
    <row r="400" outlineLevel="1" ht="15" customHeight="1" s="82">
      <c r="A400" s="139">
        <f>'1510'!A401</f>
        <v/>
      </c>
      <c r="B400" s="139">
        <f>'1510'!B401</f>
        <v/>
      </c>
      <c r="C400" s="139">
        <f>'1510'!D401</f>
        <v/>
      </c>
      <c r="D400" s="140">
        <f>'1510'!E401</f>
        <v/>
      </c>
      <c r="E400" s="140">
        <f>'1510'!F401</f>
        <v/>
      </c>
      <c r="F400" s="139">
        <f>'1510'!C401</f>
        <v/>
      </c>
      <c r="G400" s="155">
        <f>'1510'!G401</f>
        <v/>
      </c>
      <c r="H400" s="155">
        <f>'1510'!H401</f>
        <v/>
      </c>
      <c r="I400" s="139">
        <f>'1510'!I401</f>
        <v/>
      </c>
    </row>
    <row r="401" outlineLevel="1" ht="15" customHeight="1" s="82">
      <c r="A401" s="139">
        <f>'1510'!A402</f>
        <v/>
      </c>
      <c r="B401" s="139">
        <f>'1510'!B402</f>
        <v/>
      </c>
      <c r="C401" s="139">
        <f>'1510'!D402</f>
        <v/>
      </c>
      <c r="D401" s="140">
        <f>'1510'!E402</f>
        <v/>
      </c>
      <c r="E401" s="140">
        <f>'1510'!F402</f>
        <v/>
      </c>
      <c r="F401" s="139">
        <f>'1510'!C402</f>
        <v/>
      </c>
      <c r="G401" s="155">
        <f>'1510'!G402</f>
        <v/>
      </c>
      <c r="H401" s="155">
        <f>'1510'!H402</f>
        <v/>
      </c>
      <c r="I401" s="139">
        <f>'1510'!I402</f>
        <v/>
      </c>
    </row>
    <row r="402" outlineLevel="1" ht="15" customHeight="1" s="82">
      <c r="A402" s="139">
        <f>'1510'!A403</f>
        <v/>
      </c>
      <c r="B402" s="139">
        <f>'1510'!B403</f>
        <v/>
      </c>
      <c r="C402" s="139">
        <f>'1510'!D403</f>
        <v/>
      </c>
      <c r="D402" s="140">
        <f>'1510'!E403</f>
        <v/>
      </c>
      <c r="E402" s="140">
        <f>'1510'!F403</f>
        <v/>
      </c>
      <c r="F402" s="139">
        <f>'1510'!C403</f>
        <v/>
      </c>
      <c r="G402" s="155">
        <f>'1510'!G403</f>
        <v/>
      </c>
      <c r="H402" s="155">
        <f>'1510'!H403</f>
        <v/>
      </c>
      <c r="I402" s="139">
        <f>'1510'!I403</f>
        <v/>
      </c>
    </row>
    <row r="403" outlineLevel="1" ht="15" customHeight="1" s="82">
      <c r="A403" s="139">
        <f>'1510'!A404</f>
        <v/>
      </c>
      <c r="B403" s="139">
        <f>'1510'!B404</f>
        <v/>
      </c>
      <c r="C403" s="139">
        <f>'1510'!D404</f>
        <v/>
      </c>
      <c r="D403" s="140">
        <f>'1510'!E404</f>
        <v/>
      </c>
      <c r="E403" s="140">
        <f>'1510'!F404</f>
        <v/>
      </c>
      <c r="F403" s="139">
        <f>'1510'!C404</f>
        <v/>
      </c>
      <c r="G403" s="155">
        <f>'1510'!G404</f>
        <v/>
      </c>
      <c r="H403" s="155">
        <f>'1510'!H404</f>
        <v/>
      </c>
      <c r="I403" s="139">
        <f>'1510'!I404</f>
        <v/>
      </c>
    </row>
    <row r="404" outlineLevel="1" ht="15" customHeight="1" s="82">
      <c r="A404" s="139">
        <f>'1510'!A405</f>
        <v/>
      </c>
      <c r="B404" s="139">
        <f>'1510'!B405</f>
        <v/>
      </c>
      <c r="C404" s="139">
        <f>'1510'!D405</f>
        <v/>
      </c>
      <c r="D404" s="140">
        <f>'1510'!E405</f>
        <v/>
      </c>
      <c r="E404" s="140">
        <f>'1510'!F405</f>
        <v/>
      </c>
      <c r="F404" s="139">
        <f>'1510'!C405</f>
        <v/>
      </c>
      <c r="G404" s="155">
        <f>'1510'!G405</f>
        <v/>
      </c>
      <c r="H404" s="155">
        <f>'1510'!H405</f>
        <v/>
      </c>
      <c r="I404" s="139">
        <f>'1510'!I405</f>
        <v/>
      </c>
    </row>
    <row r="405" outlineLevel="1" ht="15" customHeight="1" s="82">
      <c r="A405" s="139">
        <f>'1510'!A406</f>
        <v/>
      </c>
      <c r="B405" s="139">
        <f>'1510'!B406</f>
        <v/>
      </c>
      <c r="C405" s="139">
        <f>'1510'!D406</f>
        <v/>
      </c>
      <c r="D405" s="140">
        <f>'1510'!E406</f>
        <v/>
      </c>
      <c r="E405" s="140">
        <f>'1510'!F406</f>
        <v/>
      </c>
      <c r="F405" s="139">
        <f>'1510'!C406</f>
        <v/>
      </c>
      <c r="G405" s="155">
        <f>'1510'!G406</f>
        <v/>
      </c>
      <c r="H405" s="155">
        <f>'1510'!H406</f>
        <v/>
      </c>
      <c r="I405" s="139">
        <f>'1510'!I406</f>
        <v/>
      </c>
    </row>
    <row r="406" outlineLevel="1" ht="15" customHeight="1" s="82">
      <c r="A406" s="139">
        <f>'1510'!A407</f>
        <v/>
      </c>
      <c r="B406" s="139">
        <f>'1510'!B407</f>
        <v/>
      </c>
      <c r="C406" s="139">
        <f>'1510'!D407</f>
        <v/>
      </c>
      <c r="D406" s="140">
        <f>'1510'!E407</f>
        <v/>
      </c>
      <c r="E406" s="140">
        <f>'1510'!F407</f>
        <v/>
      </c>
      <c r="F406" s="139">
        <f>'1510'!C407</f>
        <v/>
      </c>
      <c r="G406" s="155">
        <f>'1510'!G407</f>
        <v/>
      </c>
      <c r="H406" s="155">
        <f>'1510'!H407</f>
        <v/>
      </c>
      <c r="I406" s="139">
        <f>'1510'!I407</f>
        <v/>
      </c>
    </row>
    <row r="407" outlineLevel="1" ht="15" customHeight="1" s="82">
      <c r="A407" s="139">
        <f>'1510'!A408</f>
        <v/>
      </c>
      <c r="B407" s="139">
        <f>'1510'!B408</f>
        <v/>
      </c>
      <c r="C407" s="139">
        <f>'1510'!D408</f>
        <v/>
      </c>
      <c r="D407" s="140">
        <f>'1510'!E408</f>
        <v/>
      </c>
      <c r="E407" s="140">
        <f>'1510'!F408</f>
        <v/>
      </c>
      <c r="F407" s="139">
        <f>'1510'!C408</f>
        <v/>
      </c>
      <c r="G407" s="155">
        <f>'1510'!G408</f>
        <v/>
      </c>
      <c r="H407" s="155">
        <f>'1510'!H408</f>
        <v/>
      </c>
      <c r="I407" s="139">
        <f>'1510'!I408</f>
        <v/>
      </c>
    </row>
    <row r="408" outlineLevel="1" ht="15" customHeight="1" s="82">
      <c r="A408" s="139">
        <f>'1510'!A409</f>
        <v/>
      </c>
      <c r="B408" s="139">
        <f>'1510'!B409</f>
        <v/>
      </c>
      <c r="C408" s="139">
        <f>'1510'!D409</f>
        <v/>
      </c>
      <c r="D408" s="140">
        <f>'1510'!E409</f>
        <v/>
      </c>
      <c r="E408" s="140">
        <f>'1510'!F409</f>
        <v/>
      </c>
      <c r="F408" s="139">
        <f>'1510'!C409</f>
        <v/>
      </c>
      <c r="G408" s="155">
        <f>'1510'!G409</f>
        <v/>
      </c>
      <c r="H408" s="155">
        <f>'1510'!H409</f>
        <v/>
      </c>
      <c r="I408" s="139">
        <f>'1510'!I409</f>
        <v/>
      </c>
    </row>
    <row r="409" outlineLevel="1" ht="15" customHeight="1" s="82">
      <c r="A409" s="139">
        <f>'1510'!A410</f>
        <v/>
      </c>
      <c r="B409" s="139">
        <f>'1510'!B410</f>
        <v/>
      </c>
      <c r="C409" s="139">
        <f>'1510'!D410</f>
        <v/>
      </c>
      <c r="D409" s="140">
        <f>'1510'!E410</f>
        <v/>
      </c>
      <c r="E409" s="140">
        <f>'1510'!F410</f>
        <v/>
      </c>
      <c r="F409" s="139">
        <f>'1510'!C410</f>
        <v/>
      </c>
      <c r="G409" s="155">
        <f>'1510'!G410</f>
        <v/>
      </c>
      <c r="H409" s="155">
        <f>'1510'!H410</f>
        <v/>
      </c>
      <c r="I409" s="139">
        <f>'1510'!I410</f>
        <v/>
      </c>
    </row>
    <row r="410" outlineLevel="1" ht="15" customHeight="1" s="82">
      <c r="A410" s="139">
        <f>'1510'!A411</f>
        <v/>
      </c>
      <c r="B410" s="139">
        <f>'1510'!B411</f>
        <v/>
      </c>
      <c r="C410" s="139">
        <f>'1510'!D411</f>
        <v/>
      </c>
      <c r="D410" s="140">
        <f>'1510'!E411</f>
        <v/>
      </c>
      <c r="E410" s="140">
        <f>'1510'!F411</f>
        <v/>
      </c>
      <c r="F410" s="139">
        <f>'1510'!C411</f>
        <v/>
      </c>
      <c r="G410" s="155">
        <f>'1510'!G411</f>
        <v/>
      </c>
      <c r="H410" s="155">
        <f>'1510'!H411</f>
        <v/>
      </c>
      <c r="I410" s="139">
        <f>'1510'!I411</f>
        <v/>
      </c>
    </row>
    <row r="411" outlineLevel="1" ht="15" customHeight="1" s="82">
      <c r="A411" s="139">
        <f>'1510'!A412</f>
        <v/>
      </c>
      <c r="B411" s="139">
        <f>'1510'!B412</f>
        <v/>
      </c>
      <c r="C411" s="139">
        <f>'1510'!D412</f>
        <v/>
      </c>
      <c r="D411" s="140">
        <f>'1510'!E412</f>
        <v/>
      </c>
      <c r="E411" s="140">
        <f>'1510'!F412</f>
        <v/>
      </c>
      <c r="F411" s="139">
        <f>'1510'!C412</f>
        <v/>
      </c>
      <c r="G411" s="155">
        <f>'1510'!G412</f>
        <v/>
      </c>
      <c r="H411" s="155">
        <f>'1510'!H412</f>
        <v/>
      </c>
      <c r="I411" s="139">
        <f>'1510'!I412</f>
        <v/>
      </c>
    </row>
    <row r="412" outlineLevel="1" ht="15" customHeight="1" s="82">
      <c r="A412" s="139">
        <f>'1510'!A413</f>
        <v/>
      </c>
      <c r="B412" s="139">
        <f>'1510'!B413</f>
        <v/>
      </c>
      <c r="C412" s="139">
        <f>'1510'!D413</f>
        <v/>
      </c>
      <c r="D412" s="140">
        <f>'1510'!E413</f>
        <v/>
      </c>
      <c r="E412" s="140">
        <f>'1510'!F413</f>
        <v/>
      </c>
      <c r="F412" s="139">
        <f>'1510'!C413</f>
        <v/>
      </c>
      <c r="G412" s="155">
        <f>'1510'!G413</f>
        <v/>
      </c>
      <c r="H412" s="155">
        <f>'1510'!H413</f>
        <v/>
      </c>
      <c r="I412" s="139">
        <f>'1510'!I413</f>
        <v/>
      </c>
    </row>
    <row r="413" outlineLevel="1" ht="15" customHeight="1" s="82">
      <c r="A413" s="139">
        <f>'1510'!A414</f>
        <v/>
      </c>
      <c r="B413" s="139">
        <f>'1510'!B414</f>
        <v/>
      </c>
      <c r="C413" s="139">
        <f>'1510'!D414</f>
        <v/>
      </c>
      <c r="D413" s="140">
        <f>'1510'!E414</f>
        <v/>
      </c>
      <c r="E413" s="140">
        <f>'1510'!F414</f>
        <v/>
      </c>
      <c r="F413" s="139">
        <f>'1510'!C414</f>
        <v/>
      </c>
      <c r="G413" s="155">
        <f>'1510'!G414</f>
        <v/>
      </c>
      <c r="H413" s="155">
        <f>'1510'!H414</f>
        <v/>
      </c>
      <c r="I413" s="139">
        <f>'1510'!I414</f>
        <v/>
      </c>
    </row>
    <row r="414" outlineLevel="1" ht="15" customHeight="1" s="82">
      <c r="A414" s="139">
        <f>'1510'!A415</f>
        <v/>
      </c>
      <c r="B414" s="139">
        <f>'1510'!B415</f>
        <v/>
      </c>
      <c r="C414" s="139">
        <f>'1510'!D415</f>
        <v/>
      </c>
      <c r="D414" s="140">
        <f>'1510'!E415</f>
        <v/>
      </c>
      <c r="E414" s="140">
        <f>'1510'!F415</f>
        <v/>
      </c>
      <c r="F414" s="139">
        <f>'1510'!C415</f>
        <v/>
      </c>
      <c r="G414" s="155">
        <f>'1510'!G415</f>
        <v/>
      </c>
      <c r="H414" s="155">
        <f>'1510'!H415</f>
        <v/>
      </c>
      <c r="I414" s="139">
        <f>'1510'!I415</f>
        <v/>
      </c>
    </row>
    <row r="415" outlineLevel="1" ht="15" customHeight="1" s="82">
      <c r="A415" s="139">
        <f>'1510'!A416</f>
        <v/>
      </c>
      <c r="B415" s="139">
        <f>'1510'!B416</f>
        <v/>
      </c>
      <c r="C415" s="139">
        <f>'1510'!D416</f>
        <v/>
      </c>
      <c r="D415" s="140">
        <f>'1510'!E416</f>
        <v/>
      </c>
      <c r="E415" s="140">
        <f>'1510'!F416</f>
        <v/>
      </c>
      <c r="F415" s="139">
        <f>'1510'!C416</f>
        <v/>
      </c>
      <c r="G415" s="155">
        <f>'1510'!G416</f>
        <v/>
      </c>
      <c r="H415" s="155">
        <f>'1510'!H416</f>
        <v/>
      </c>
      <c r="I415" s="139">
        <f>'1510'!I416</f>
        <v/>
      </c>
    </row>
    <row r="416" outlineLevel="1" ht="15" customHeight="1" s="82">
      <c r="A416" s="139">
        <f>'1510'!A417</f>
        <v/>
      </c>
      <c r="B416" s="139">
        <f>'1510'!B417</f>
        <v/>
      </c>
      <c r="C416" s="139">
        <f>'1510'!D417</f>
        <v/>
      </c>
      <c r="D416" s="140">
        <f>'1510'!E417</f>
        <v/>
      </c>
      <c r="E416" s="140">
        <f>'1510'!F417</f>
        <v/>
      </c>
      <c r="F416" s="139">
        <f>'1510'!C417</f>
        <v/>
      </c>
      <c r="G416" s="155">
        <f>'1510'!G417</f>
        <v/>
      </c>
      <c r="H416" s="155">
        <f>'1510'!H417</f>
        <v/>
      </c>
      <c r="I416" s="139">
        <f>'1510'!I417</f>
        <v/>
      </c>
    </row>
    <row r="417" outlineLevel="1" ht="15" customHeight="1" s="82">
      <c r="A417" s="139">
        <f>'1510'!A418</f>
        <v/>
      </c>
      <c r="B417" s="139">
        <f>'1510'!B418</f>
        <v/>
      </c>
      <c r="C417" s="139">
        <f>'1510'!D418</f>
        <v/>
      </c>
      <c r="D417" s="140">
        <f>'1510'!E418</f>
        <v/>
      </c>
      <c r="E417" s="140">
        <f>'1510'!F418</f>
        <v/>
      </c>
      <c r="F417" s="139">
        <f>'1510'!C418</f>
        <v/>
      </c>
      <c r="G417" s="155">
        <f>'1510'!G418</f>
        <v/>
      </c>
      <c r="H417" s="155">
        <f>'1510'!H418</f>
        <v/>
      </c>
      <c r="I417" s="139">
        <f>'1510'!I418</f>
        <v/>
      </c>
    </row>
    <row r="418" outlineLevel="1" ht="15" customHeight="1" s="82">
      <c r="A418" s="139">
        <f>'1510'!A419</f>
        <v/>
      </c>
      <c r="B418" s="139">
        <f>'1510'!B419</f>
        <v/>
      </c>
      <c r="C418" s="139">
        <f>'1510'!D419</f>
        <v/>
      </c>
      <c r="D418" s="140">
        <f>'1510'!E419</f>
        <v/>
      </c>
      <c r="E418" s="140">
        <f>'1510'!F419</f>
        <v/>
      </c>
      <c r="F418" s="139">
        <f>'1510'!C419</f>
        <v/>
      </c>
      <c r="G418" s="155">
        <f>'1510'!G419</f>
        <v/>
      </c>
      <c r="H418" s="155">
        <f>'1510'!H419</f>
        <v/>
      </c>
      <c r="I418" s="139">
        <f>'1510'!I419</f>
        <v/>
      </c>
    </row>
    <row r="419" outlineLevel="1" ht="15" customHeight="1" s="82">
      <c r="A419" s="139">
        <f>'1510'!A420</f>
        <v/>
      </c>
      <c r="B419" s="139">
        <f>'1510'!B420</f>
        <v/>
      </c>
      <c r="C419" s="139">
        <f>'1510'!D420</f>
        <v/>
      </c>
      <c r="D419" s="140">
        <f>'1510'!E420</f>
        <v/>
      </c>
      <c r="E419" s="140">
        <f>'1510'!F420</f>
        <v/>
      </c>
      <c r="F419" s="139">
        <f>'1510'!C420</f>
        <v/>
      </c>
      <c r="G419" s="155">
        <f>'1510'!G420</f>
        <v/>
      </c>
      <c r="H419" s="155">
        <f>'1510'!H420</f>
        <v/>
      </c>
      <c r="I419" s="139">
        <f>'1510'!I420</f>
        <v/>
      </c>
    </row>
    <row r="420" outlineLevel="1" ht="15" customHeight="1" s="82">
      <c r="A420" s="139">
        <f>'1510'!A421</f>
        <v/>
      </c>
      <c r="B420" s="139">
        <f>'1510'!B421</f>
        <v/>
      </c>
      <c r="C420" s="139">
        <f>'1510'!D421</f>
        <v/>
      </c>
      <c r="D420" s="140">
        <f>'1510'!E421</f>
        <v/>
      </c>
      <c r="E420" s="140">
        <f>'1510'!F421</f>
        <v/>
      </c>
      <c r="F420" s="139">
        <f>'1510'!C421</f>
        <v/>
      </c>
      <c r="G420" s="155">
        <f>'1510'!G421</f>
        <v/>
      </c>
      <c r="H420" s="155">
        <f>'1510'!H421</f>
        <v/>
      </c>
      <c r="I420" s="139">
        <f>'1510'!I421</f>
        <v/>
      </c>
    </row>
    <row r="421" outlineLevel="1" ht="15" customHeight="1" s="82">
      <c r="A421" s="139">
        <f>'1510'!A422</f>
        <v/>
      </c>
      <c r="B421" s="139">
        <f>'1510'!B422</f>
        <v/>
      </c>
      <c r="C421" s="139">
        <f>'1510'!D422</f>
        <v/>
      </c>
      <c r="D421" s="140">
        <f>'1510'!E422</f>
        <v/>
      </c>
      <c r="E421" s="140">
        <f>'1510'!F422</f>
        <v/>
      </c>
      <c r="F421" s="139">
        <f>'1510'!C422</f>
        <v/>
      </c>
      <c r="G421" s="155">
        <f>'1510'!G422</f>
        <v/>
      </c>
      <c r="H421" s="155">
        <f>'1510'!H422</f>
        <v/>
      </c>
      <c r="I421" s="139">
        <f>'1510'!I422</f>
        <v/>
      </c>
    </row>
    <row r="422" outlineLevel="1" ht="15" customHeight="1" s="82">
      <c r="A422" s="139">
        <f>'1510'!A423</f>
        <v/>
      </c>
      <c r="B422" s="139">
        <f>'1510'!B423</f>
        <v/>
      </c>
      <c r="C422" s="139">
        <f>'1510'!D423</f>
        <v/>
      </c>
      <c r="D422" s="140">
        <f>'1510'!E423</f>
        <v/>
      </c>
      <c r="E422" s="140">
        <f>'1510'!F423</f>
        <v/>
      </c>
      <c r="F422" s="139">
        <f>'1510'!C423</f>
        <v/>
      </c>
      <c r="G422" s="155">
        <f>'1510'!G423</f>
        <v/>
      </c>
      <c r="H422" s="155">
        <f>'1510'!H423</f>
        <v/>
      </c>
      <c r="I422" s="139">
        <f>'1510'!I423</f>
        <v/>
      </c>
    </row>
    <row r="423" outlineLevel="1" ht="15" customHeight="1" s="82">
      <c r="A423" s="139">
        <f>'1510'!A424</f>
        <v/>
      </c>
      <c r="B423" s="139">
        <f>'1510'!B424</f>
        <v/>
      </c>
      <c r="C423" s="139">
        <f>'1510'!D424</f>
        <v/>
      </c>
      <c r="D423" s="140">
        <f>'1510'!E424</f>
        <v/>
      </c>
      <c r="E423" s="140">
        <f>'1510'!F424</f>
        <v/>
      </c>
      <c r="F423" s="139">
        <f>'1510'!C424</f>
        <v/>
      </c>
      <c r="G423" s="155">
        <f>'1510'!G424</f>
        <v/>
      </c>
      <c r="H423" s="155">
        <f>'1510'!H424</f>
        <v/>
      </c>
      <c r="I423" s="139">
        <f>'1510'!I424</f>
        <v/>
      </c>
    </row>
    <row r="424" outlineLevel="1" ht="15" customHeight="1" s="82">
      <c r="A424" s="139">
        <f>'1510'!A425</f>
        <v/>
      </c>
      <c r="B424" s="139">
        <f>'1510'!B425</f>
        <v/>
      </c>
      <c r="C424" s="139">
        <f>'1510'!D425</f>
        <v/>
      </c>
      <c r="D424" s="140">
        <f>'1510'!E425</f>
        <v/>
      </c>
      <c r="E424" s="140">
        <f>'1510'!F425</f>
        <v/>
      </c>
      <c r="F424" s="139">
        <f>'1510'!C425</f>
        <v/>
      </c>
      <c r="G424" s="155">
        <f>'1510'!G425</f>
        <v/>
      </c>
      <c r="H424" s="155">
        <f>'1510'!H425</f>
        <v/>
      </c>
      <c r="I424" s="139">
        <f>'1510'!I425</f>
        <v/>
      </c>
    </row>
    <row r="425" outlineLevel="1" ht="15" customHeight="1" s="82">
      <c r="A425" s="139">
        <f>'1510'!A426</f>
        <v/>
      </c>
      <c r="B425" s="139">
        <f>'1510'!B426</f>
        <v/>
      </c>
      <c r="C425" s="139">
        <f>'1510'!D426</f>
        <v/>
      </c>
      <c r="D425" s="140">
        <f>'1510'!E426</f>
        <v/>
      </c>
      <c r="E425" s="140">
        <f>'1510'!F426</f>
        <v/>
      </c>
      <c r="F425" s="139">
        <f>'1510'!C426</f>
        <v/>
      </c>
      <c r="G425" s="155">
        <f>'1510'!G426</f>
        <v/>
      </c>
      <c r="H425" s="155">
        <f>'1510'!H426</f>
        <v/>
      </c>
      <c r="I425" s="139">
        <f>'1510'!I426</f>
        <v/>
      </c>
    </row>
    <row r="426" outlineLevel="1" ht="15" customHeight="1" s="82">
      <c r="A426" s="139">
        <f>'1510'!A427</f>
        <v/>
      </c>
      <c r="B426" s="139">
        <f>'1510'!B427</f>
        <v/>
      </c>
      <c r="C426" s="139">
        <f>'1510'!D427</f>
        <v/>
      </c>
      <c r="D426" s="140">
        <f>'1510'!E427</f>
        <v/>
      </c>
      <c r="E426" s="140">
        <f>'1510'!F427</f>
        <v/>
      </c>
      <c r="F426" s="139">
        <f>'1510'!C427</f>
        <v/>
      </c>
      <c r="G426" s="155">
        <f>'1510'!G427</f>
        <v/>
      </c>
      <c r="H426" s="155">
        <f>'1510'!H427</f>
        <v/>
      </c>
      <c r="I426" s="139">
        <f>'1510'!I427</f>
        <v/>
      </c>
    </row>
    <row r="427" outlineLevel="1" ht="15" customHeight="1" s="82">
      <c r="A427" s="139">
        <f>'1510'!A428</f>
        <v/>
      </c>
      <c r="B427" s="139">
        <f>'1510'!B428</f>
        <v/>
      </c>
      <c r="C427" s="139">
        <f>'1510'!D428</f>
        <v/>
      </c>
      <c r="D427" s="140">
        <f>'1510'!E428</f>
        <v/>
      </c>
      <c r="E427" s="140">
        <f>'1510'!F428</f>
        <v/>
      </c>
      <c r="F427" s="139">
        <f>'1510'!C428</f>
        <v/>
      </c>
      <c r="G427" s="155">
        <f>'1510'!G428</f>
        <v/>
      </c>
      <c r="H427" s="155">
        <f>'1510'!H428</f>
        <v/>
      </c>
      <c r="I427" s="139">
        <f>'1510'!I428</f>
        <v/>
      </c>
    </row>
    <row r="428" outlineLevel="1" ht="15" customHeight="1" s="82">
      <c r="A428" s="139">
        <f>'1510'!A429</f>
        <v/>
      </c>
      <c r="B428" s="139">
        <f>'1510'!B429</f>
        <v/>
      </c>
      <c r="C428" s="139">
        <f>'1510'!D429</f>
        <v/>
      </c>
      <c r="D428" s="140">
        <f>'1510'!E429</f>
        <v/>
      </c>
      <c r="E428" s="140">
        <f>'1510'!F429</f>
        <v/>
      </c>
      <c r="F428" s="139">
        <f>'1510'!C429</f>
        <v/>
      </c>
      <c r="G428" s="155">
        <f>'1510'!G429</f>
        <v/>
      </c>
      <c r="H428" s="155">
        <f>'1510'!H429</f>
        <v/>
      </c>
      <c r="I428" s="139">
        <f>'1510'!I429</f>
        <v/>
      </c>
    </row>
    <row r="429" outlineLevel="1" ht="15" customHeight="1" s="82">
      <c r="A429" s="139">
        <f>'1510'!A430</f>
        <v/>
      </c>
      <c r="B429" s="139">
        <f>'1510'!B430</f>
        <v/>
      </c>
      <c r="C429" s="139">
        <f>'1510'!D430</f>
        <v/>
      </c>
      <c r="D429" s="140">
        <f>'1510'!E430</f>
        <v/>
      </c>
      <c r="E429" s="140">
        <f>'1510'!F430</f>
        <v/>
      </c>
      <c r="F429" s="139">
        <f>'1510'!C430</f>
        <v/>
      </c>
      <c r="G429" s="155">
        <f>'1510'!G430</f>
        <v/>
      </c>
      <c r="H429" s="155">
        <f>'1510'!H430</f>
        <v/>
      </c>
      <c r="I429" s="139">
        <f>'1510'!I430</f>
        <v/>
      </c>
    </row>
    <row r="430" outlineLevel="1" ht="15" customHeight="1" s="82">
      <c r="A430" s="139">
        <f>'1510'!A431</f>
        <v/>
      </c>
      <c r="B430" s="139">
        <f>'1510'!B431</f>
        <v/>
      </c>
      <c r="C430" s="139">
        <f>'1510'!D431</f>
        <v/>
      </c>
      <c r="D430" s="140">
        <f>'1510'!E431</f>
        <v/>
      </c>
      <c r="E430" s="140">
        <f>'1510'!F431</f>
        <v/>
      </c>
      <c r="F430" s="139">
        <f>'1510'!C431</f>
        <v/>
      </c>
      <c r="G430" s="155">
        <f>'1510'!G431</f>
        <v/>
      </c>
      <c r="H430" s="155">
        <f>'1510'!H431</f>
        <v/>
      </c>
      <c r="I430" s="139">
        <f>'1510'!I431</f>
        <v/>
      </c>
    </row>
    <row r="431" outlineLevel="1" ht="15" customHeight="1" s="82">
      <c r="A431" s="139">
        <f>'1510'!A432</f>
        <v/>
      </c>
      <c r="B431" s="139">
        <f>'1510'!B432</f>
        <v/>
      </c>
      <c r="C431" s="139">
        <f>'1510'!D432</f>
        <v/>
      </c>
      <c r="D431" s="140">
        <f>'1510'!E432</f>
        <v/>
      </c>
      <c r="E431" s="140">
        <f>'1510'!F432</f>
        <v/>
      </c>
      <c r="F431" s="139">
        <f>'1510'!C432</f>
        <v/>
      </c>
      <c r="G431" s="155">
        <f>'1510'!G432</f>
        <v/>
      </c>
      <c r="H431" s="155">
        <f>'1510'!H432</f>
        <v/>
      </c>
      <c r="I431" s="139">
        <f>'1510'!I432</f>
        <v/>
      </c>
    </row>
    <row r="432" outlineLevel="1" ht="15" customHeight="1" s="82">
      <c r="A432" s="139">
        <f>'1510'!A433</f>
        <v/>
      </c>
      <c r="B432" s="139">
        <f>'1510'!B433</f>
        <v/>
      </c>
      <c r="C432" s="139">
        <f>'1510'!D433</f>
        <v/>
      </c>
      <c r="D432" s="140">
        <f>'1510'!E433</f>
        <v/>
      </c>
      <c r="E432" s="140">
        <f>'1510'!F433</f>
        <v/>
      </c>
      <c r="F432" s="139">
        <f>'1510'!C433</f>
        <v/>
      </c>
      <c r="G432" s="155">
        <f>'1510'!G433</f>
        <v/>
      </c>
      <c r="H432" s="155">
        <f>'1510'!H433</f>
        <v/>
      </c>
      <c r="I432" s="139">
        <f>'1510'!I433</f>
        <v/>
      </c>
    </row>
    <row r="433" outlineLevel="1" ht="15" customHeight="1" s="82">
      <c r="A433" s="139">
        <f>'1510'!A434</f>
        <v/>
      </c>
      <c r="B433" s="139">
        <f>'1510'!B434</f>
        <v/>
      </c>
      <c r="C433" s="139">
        <f>'1510'!D434</f>
        <v/>
      </c>
      <c r="D433" s="140">
        <f>'1510'!E434</f>
        <v/>
      </c>
      <c r="E433" s="140">
        <f>'1510'!F434</f>
        <v/>
      </c>
      <c r="F433" s="139">
        <f>'1510'!C434</f>
        <v/>
      </c>
      <c r="G433" s="155">
        <f>'1510'!G434</f>
        <v/>
      </c>
      <c r="H433" s="155">
        <f>'1510'!H434</f>
        <v/>
      </c>
      <c r="I433" s="139">
        <f>'1510'!I434</f>
        <v/>
      </c>
    </row>
    <row r="434" outlineLevel="1" ht="15" customHeight="1" s="82">
      <c r="A434" s="139">
        <f>'1510'!A435</f>
        <v/>
      </c>
      <c r="B434" s="139">
        <f>'1510'!B435</f>
        <v/>
      </c>
      <c r="C434" s="139">
        <f>'1510'!D435</f>
        <v/>
      </c>
      <c r="D434" s="140">
        <f>'1510'!E435</f>
        <v/>
      </c>
      <c r="E434" s="140">
        <f>'1510'!F435</f>
        <v/>
      </c>
      <c r="F434" s="139">
        <f>'1510'!C435</f>
        <v/>
      </c>
      <c r="G434" s="155">
        <f>'1510'!G435</f>
        <v/>
      </c>
      <c r="H434" s="155">
        <f>'1510'!H435</f>
        <v/>
      </c>
      <c r="I434" s="139">
        <f>'1510'!I435</f>
        <v/>
      </c>
    </row>
    <row r="435" outlineLevel="1" ht="15" customHeight="1" s="82">
      <c r="A435" s="139">
        <f>'1510'!A436</f>
        <v/>
      </c>
      <c r="B435" s="139">
        <f>'1510'!B436</f>
        <v/>
      </c>
      <c r="C435" s="139">
        <f>'1510'!D436</f>
        <v/>
      </c>
      <c r="D435" s="140">
        <f>'1510'!E436</f>
        <v/>
      </c>
      <c r="E435" s="140">
        <f>'1510'!F436</f>
        <v/>
      </c>
      <c r="F435" s="139">
        <f>'1510'!C436</f>
        <v/>
      </c>
      <c r="G435" s="155">
        <f>'1510'!G436</f>
        <v/>
      </c>
      <c r="H435" s="155">
        <f>'1510'!H436</f>
        <v/>
      </c>
      <c r="I435" s="139">
        <f>'1510'!I436</f>
        <v/>
      </c>
    </row>
    <row r="436" outlineLevel="1" ht="15" customHeight="1" s="82">
      <c r="A436" s="139">
        <f>'1510'!A437</f>
        <v/>
      </c>
      <c r="B436" s="139">
        <f>'1510'!B437</f>
        <v/>
      </c>
      <c r="C436" s="139">
        <f>'1510'!D437</f>
        <v/>
      </c>
      <c r="D436" s="140">
        <f>'1510'!E437</f>
        <v/>
      </c>
      <c r="E436" s="140">
        <f>'1510'!F437</f>
        <v/>
      </c>
      <c r="F436" s="139">
        <f>'1510'!C437</f>
        <v/>
      </c>
      <c r="G436" s="155">
        <f>'1510'!G437</f>
        <v/>
      </c>
      <c r="H436" s="155">
        <f>'1510'!H437</f>
        <v/>
      </c>
      <c r="I436" s="139">
        <f>'1510'!I437</f>
        <v/>
      </c>
    </row>
    <row r="437" outlineLevel="1" ht="15" customHeight="1" s="82">
      <c r="A437" s="139">
        <f>'1510'!A438</f>
        <v/>
      </c>
      <c r="B437" s="139">
        <f>'1510'!B438</f>
        <v/>
      </c>
      <c r="C437" s="139">
        <f>'1510'!D438</f>
        <v/>
      </c>
      <c r="D437" s="140">
        <f>'1510'!E438</f>
        <v/>
      </c>
      <c r="E437" s="140">
        <f>'1510'!F438</f>
        <v/>
      </c>
      <c r="F437" s="139">
        <f>'1510'!C438</f>
        <v/>
      </c>
      <c r="G437" s="155">
        <f>'1510'!G438</f>
        <v/>
      </c>
      <c r="H437" s="155">
        <f>'1510'!H438</f>
        <v/>
      </c>
      <c r="I437" s="139">
        <f>'1510'!I438</f>
        <v/>
      </c>
    </row>
    <row r="438" outlineLevel="1" ht="15" customHeight="1" s="82">
      <c r="A438" s="139">
        <f>'1510'!A439</f>
        <v/>
      </c>
      <c r="B438" s="139">
        <f>'1510'!B439</f>
        <v/>
      </c>
      <c r="C438" s="139">
        <f>'1510'!D439</f>
        <v/>
      </c>
      <c r="D438" s="140">
        <f>'1510'!E439</f>
        <v/>
      </c>
      <c r="E438" s="140">
        <f>'1510'!F439</f>
        <v/>
      </c>
      <c r="F438" s="139">
        <f>'1510'!C439</f>
        <v/>
      </c>
      <c r="G438" s="155">
        <f>'1510'!G439</f>
        <v/>
      </c>
      <c r="H438" s="155">
        <f>'1510'!H439</f>
        <v/>
      </c>
      <c r="I438" s="139">
        <f>'1510'!I439</f>
        <v/>
      </c>
    </row>
    <row r="439" outlineLevel="1" ht="15" customHeight="1" s="82">
      <c r="A439" s="139">
        <f>'1510'!A440</f>
        <v/>
      </c>
      <c r="B439" s="139">
        <f>'1510'!B440</f>
        <v/>
      </c>
      <c r="C439" s="139">
        <f>'1510'!D440</f>
        <v/>
      </c>
      <c r="D439" s="140">
        <f>'1510'!E440</f>
        <v/>
      </c>
      <c r="E439" s="140">
        <f>'1510'!F440</f>
        <v/>
      </c>
      <c r="F439" s="139">
        <f>'1510'!C440</f>
        <v/>
      </c>
      <c r="G439" s="155">
        <f>'1510'!G440</f>
        <v/>
      </c>
      <c r="H439" s="155">
        <f>'1510'!H440</f>
        <v/>
      </c>
      <c r="I439" s="139">
        <f>'1510'!I440</f>
        <v/>
      </c>
    </row>
    <row r="440" outlineLevel="1" ht="15" customHeight="1" s="82">
      <c r="A440" s="139">
        <f>'1510'!A441</f>
        <v/>
      </c>
      <c r="B440" s="139">
        <f>'1510'!B441</f>
        <v/>
      </c>
      <c r="C440" s="139">
        <f>'1510'!D441</f>
        <v/>
      </c>
      <c r="D440" s="140">
        <f>'1510'!E441</f>
        <v/>
      </c>
      <c r="E440" s="140">
        <f>'1510'!F441</f>
        <v/>
      </c>
      <c r="F440" s="139">
        <f>'1510'!C441</f>
        <v/>
      </c>
      <c r="G440" s="155">
        <f>'1510'!G441</f>
        <v/>
      </c>
      <c r="H440" s="155">
        <f>'1510'!H441</f>
        <v/>
      </c>
      <c r="I440" s="139">
        <f>'1510'!I441</f>
        <v/>
      </c>
    </row>
    <row r="441" outlineLevel="1" ht="15" customHeight="1" s="82">
      <c r="A441" s="139">
        <f>'1510'!A442</f>
        <v/>
      </c>
      <c r="B441" s="139">
        <f>'1510'!B442</f>
        <v/>
      </c>
      <c r="C441" s="139">
        <f>'1510'!D442</f>
        <v/>
      </c>
      <c r="D441" s="140">
        <f>'1510'!E442</f>
        <v/>
      </c>
      <c r="E441" s="140">
        <f>'1510'!F442</f>
        <v/>
      </c>
      <c r="F441" s="139">
        <f>'1510'!C442</f>
        <v/>
      </c>
      <c r="G441" s="155">
        <f>'1510'!G442</f>
        <v/>
      </c>
      <c r="H441" s="155">
        <f>'1510'!H442</f>
        <v/>
      </c>
      <c r="I441" s="139">
        <f>'1510'!I442</f>
        <v/>
      </c>
    </row>
    <row r="442" outlineLevel="1" ht="15" customHeight="1" s="82">
      <c r="A442" s="139">
        <f>'1510'!A443</f>
        <v/>
      </c>
      <c r="B442" s="139">
        <f>'1510'!B443</f>
        <v/>
      </c>
      <c r="C442" s="139">
        <f>'1510'!D443</f>
        <v/>
      </c>
      <c r="D442" s="140">
        <f>'1510'!E443</f>
        <v/>
      </c>
      <c r="E442" s="140">
        <f>'1510'!F443</f>
        <v/>
      </c>
      <c r="F442" s="139">
        <f>'1510'!C443</f>
        <v/>
      </c>
      <c r="G442" s="155">
        <f>'1510'!G443</f>
        <v/>
      </c>
      <c r="H442" s="155">
        <f>'1510'!H443</f>
        <v/>
      </c>
      <c r="I442" s="139">
        <f>'1510'!I443</f>
        <v/>
      </c>
    </row>
    <row r="443" outlineLevel="1" ht="15" customHeight="1" s="82">
      <c r="A443" s="139">
        <f>'1510'!A444</f>
        <v/>
      </c>
      <c r="B443" s="139">
        <f>'1510'!B444</f>
        <v/>
      </c>
      <c r="C443" s="139">
        <f>'1510'!D444</f>
        <v/>
      </c>
      <c r="D443" s="140">
        <f>'1510'!E444</f>
        <v/>
      </c>
      <c r="E443" s="140">
        <f>'1510'!F444</f>
        <v/>
      </c>
      <c r="F443" s="139">
        <f>'1510'!C444</f>
        <v/>
      </c>
      <c r="G443" s="155">
        <f>'1510'!G444</f>
        <v/>
      </c>
      <c r="H443" s="155">
        <f>'1510'!H444</f>
        <v/>
      </c>
      <c r="I443" s="139">
        <f>'1510'!I444</f>
        <v/>
      </c>
    </row>
    <row r="444" outlineLevel="1" ht="15" customHeight="1" s="82">
      <c r="A444" s="139">
        <f>'1510'!A445</f>
        <v/>
      </c>
      <c r="B444" s="139">
        <f>'1510'!B445</f>
        <v/>
      </c>
      <c r="C444" s="139">
        <f>'1510'!D445</f>
        <v/>
      </c>
      <c r="D444" s="140">
        <f>'1510'!E445</f>
        <v/>
      </c>
      <c r="E444" s="140">
        <f>'1510'!F445</f>
        <v/>
      </c>
      <c r="F444" s="139">
        <f>'1510'!C445</f>
        <v/>
      </c>
      <c r="G444" s="155">
        <f>'1510'!G445</f>
        <v/>
      </c>
      <c r="H444" s="155">
        <f>'1510'!H445</f>
        <v/>
      </c>
      <c r="I444" s="139">
        <f>'1510'!I445</f>
        <v/>
      </c>
    </row>
    <row r="445" outlineLevel="1" ht="15" customHeight="1" s="82">
      <c r="A445" s="139">
        <f>'1510'!A446</f>
        <v/>
      </c>
      <c r="B445" s="139">
        <f>'1510'!B446</f>
        <v/>
      </c>
      <c r="C445" s="139">
        <f>'1510'!D446</f>
        <v/>
      </c>
      <c r="D445" s="140">
        <f>'1510'!E446</f>
        <v/>
      </c>
      <c r="E445" s="140">
        <f>'1510'!F446</f>
        <v/>
      </c>
      <c r="F445" s="139">
        <f>'1510'!C446</f>
        <v/>
      </c>
      <c r="G445" s="155">
        <f>'1510'!G446</f>
        <v/>
      </c>
      <c r="H445" s="155">
        <f>'1510'!H446</f>
        <v/>
      </c>
      <c r="I445" s="139">
        <f>'1510'!I446</f>
        <v/>
      </c>
    </row>
    <row r="446" outlineLevel="1" ht="15" customHeight="1" s="82">
      <c r="A446" s="139">
        <f>'1510'!A447</f>
        <v/>
      </c>
      <c r="B446" s="139">
        <f>'1510'!B447</f>
        <v/>
      </c>
      <c r="C446" s="139">
        <f>'1510'!D447</f>
        <v/>
      </c>
      <c r="D446" s="140">
        <f>'1510'!E447</f>
        <v/>
      </c>
      <c r="E446" s="140">
        <f>'1510'!F447</f>
        <v/>
      </c>
      <c r="F446" s="139">
        <f>'1510'!C447</f>
        <v/>
      </c>
      <c r="G446" s="155">
        <f>'1510'!G447</f>
        <v/>
      </c>
      <c r="H446" s="155">
        <f>'1510'!H447</f>
        <v/>
      </c>
      <c r="I446" s="139">
        <f>'1510'!I447</f>
        <v/>
      </c>
    </row>
    <row r="447" outlineLevel="1" ht="15" customHeight="1" s="82">
      <c r="A447" s="139">
        <f>'1510'!A448</f>
        <v/>
      </c>
      <c r="B447" s="139">
        <f>'1510'!B448</f>
        <v/>
      </c>
      <c r="C447" s="139">
        <f>'1510'!D448</f>
        <v/>
      </c>
      <c r="D447" s="140">
        <f>'1510'!E448</f>
        <v/>
      </c>
      <c r="E447" s="140">
        <f>'1510'!F448</f>
        <v/>
      </c>
      <c r="F447" s="139">
        <f>'1510'!C448</f>
        <v/>
      </c>
      <c r="G447" s="155">
        <f>'1510'!G448</f>
        <v/>
      </c>
      <c r="H447" s="155">
        <f>'1510'!H448</f>
        <v/>
      </c>
      <c r="I447" s="139">
        <f>'1510'!I448</f>
        <v/>
      </c>
    </row>
    <row r="448" outlineLevel="1" ht="15" customHeight="1" s="82">
      <c r="A448" s="139">
        <f>'1510'!A449</f>
        <v/>
      </c>
      <c r="B448" s="139">
        <f>'1510'!B449</f>
        <v/>
      </c>
      <c r="C448" s="139">
        <f>'1510'!D449</f>
        <v/>
      </c>
      <c r="D448" s="140">
        <f>'1510'!E449</f>
        <v/>
      </c>
      <c r="E448" s="140">
        <f>'1510'!F449</f>
        <v/>
      </c>
      <c r="F448" s="139">
        <f>'1510'!C449</f>
        <v/>
      </c>
      <c r="G448" s="155">
        <f>'1510'!G449</f>
        <v/>
      </c>
      <c r="H448" s="155">
        <f>'1510'!H449</f>
        <v/>
      </c>
      <c r="I448" s="139">
        <f>'1510'!I449</f>
        <v/>
      </c>
    </row>
    <row r="449" outlineLevel="1" ht="15" customHeight="1" s="82">
      <c r="A449" s="139">
        <f>'1510'!A450</f>
        <v/>
      </c>
      <c r="B449" s="139">
        <f>'1510'!B450</f>
        <v/>
      </c>
      <c r="C449" s="139">
        <f>'1510'!D450</f>
        <v/>
      </c>
      <c r="D449" s="140">
        <f>'1510'!E450</f>
        <v/>
      </c>
      <c r="E449" s="140">
        <f>'1510'!F450</f>
        <v/>
      </c>
      <c r="F449" s="139">
        <f>'1510'!C450</f>
        <v/>
      </c>
      <c r="G449" s="155">
        <f>'1510'!G450</f>
        <v/>
      </c>
      <c r="H449" s="155">
        <f>'1510'!H450</f>
        <v/>
      </c>
      <c r="I449" s="139">
        <f>'1510'!I450</f>
        <v/>
      </c>
    </row>
    <row r="450" outlineLevel="1" ht="15" customHeight="1" s="82">
      <c r="A450" s="139">
        <f>'1510'!A451</f>
        <v/>
      </c>
      <c r="B450" s="139">
        <f>'1510'!B451</f>
        <v/>
      </c>
      <c r="C450" s="139">
        <f>'1510'!D451</f>
        <v/>
      </c>
      <c r="D450" s="140">
        <f>'1510'!E451</f>
        <v/>
      </c>
      <c r="E450" s="140">
        <f>'1510'!F451</f>
        <v/>
      </c>
      <c r="F450" s="139">
        <f>'1510'!C451</f>
        <v/>
      </c>
      <c r="G450" s="155">
        <f>'1510'!G451</f>
        <v/>
      </c>
      <c r="H450" s="155">
        <f>'1510'!H451</f>
        <v/>
      </c>
      <c r="I450" s="139">
        <f>'1510'!I451</f>
        <v/>
      </c>
    </row>
    <row r="451" outlineLevel="1" ht="15" customHeight="1" s="82">
      <c r="A451" s="139">
        <f>'1510'!A452</f>
        <v/>
      </c>
      <c r="B451" s="139">
        <f>'1510'!B452</f>
        <v/>
      </c>
      <c r="C451" s="139">
        <f>'1510'!D452</f>
        <v/>
      </c>
      <c r="D451" s="140">
        <f>'1510'!E452</f>
        <v/>
      </c>
      <c r="E451" s="140">
        <f>'1510'!F452</f>
        <v/>
      </c>
      <c r="F451" s="139">
        <f>'1510'!C452</f>
        <v/>
      </c>
      <c r="G451" s="155">
        <f>'1510'!G452</f>
        <v/>
      </c>
      <c r="H451" s="155">
        <f>'1510'!H452</f>
        <v/>
      </c>
      <c r="I451" s="139">
        <f>'1510'!I452</f>
        <v/>
      </c>
    </row>
    <row r="452" outlineLevel="1" ht="15" customHeight="1" s="82">
      <c r="A452" s="139">
        <f>'1510'!A453</f>
        <v/>
      </c>
      <c r="B452" s="139">
        <f>'1510'!B453</f>
        <v/>
      </c>
      <c r="C452" s="139">
        <f>'1510'!D453</f>
        <v/>
      </c>
      <c r="D452" s="140">
        <f>'1510'!E453</f>
        <v/>
      </c>
      <c r="E452" s="140">
        <f>'1510'!F453</f>
        <v/>
      </c>
      <c r="F452" s="139">
        <f>'1510'!C453</f>
        <v/>
      </c>
      <c r="G452" s="155">
        <f>'1510'!G453</f>
        <v/>
      </c>
      <c r="H452" s="155">
        <f>'1510'!H453</f>
        <v/>
      </c>
      <c r="I452" s="139">
        <f>'1510'!I453</f>
        <v/>
      </c>
    </row>
    <row r="453" outlineLevel="1" ht="15" customHeight="1" s="82">
      <c r="A453" s="139">
        <f>'1510'!A454</f>
        <v/>
      </c>
      <c r="B453" s="139">
        <f>'1510'!B454</f>
        <v/>
      </c>
      <c r="C453" s="139">
        <f>'1510'!D454</f>
        <v/>
      </c>
      <c r="D453" s="140">
        <f>'1510'!E454</f>
        <v/>
      </c>
      <c r="E453" s="140">
        <f>'1510'!F454</f>
        <v/>
      </c>
      <c r="F453" s="139">
        <f>'1510'!C454</f>
        <v/>
      </c>
      <c r="G453" s="155">
        <f>'1510'!G454</f>
        <v/>
      </c>
      <c r="H453" s="155">
        <f>'1510'!H454</f>
        <v/>
      </c>
      <c r="I453" s="139">
        <f>'1510'!I454</f>
        <v/>
      </c>
    </row>
    <row r="454" outlineLevel="1" ht="15" customHeight="1" s="82">
      <c r="A454" s="139">
        <f>'1510'!A455</f>
        <v/>
      </c>
      <c r="B454" s="139">
        <f>'1510'!B455</f>
        <v/>
      </c>
      <c r="C454" s="139">
        <f>'1510'!D455</f>
        <v/>
      </c>
      <c r="D454" s="140">
        <f>'1510'!E455</f>
        <v/>
      </c>
      <c r="E454" s="140">
        <f>'1510'!F455</f>
        <v/>
      </c>
      <c r="F454" s="139">
        <f>'1510'!C455</f>
        <v/>
      </c>
      <c r="G454" s="155">
        <f>'1510'!G455</f>
        <v/>
      </c>
      <c r="H454" s="155">
        <f>'1510'!H455</f>
        <v/>
      </c>
      <c r="I454" s="139">
        <f>'1510'!I455</f>
        <v/>
      </c>
    </row>
    <row r="455" outlineLevel="1" ht="15" customHeight="1" s="82">
      <c r="A455" s="139">
        <f>'1510'!A456</f>
        <v/>
      </c>
      <c r="B455" s="139">
        <f>'1510'!B456</f>
        <v/>
      </c>
      <c r="C455" s="139">
        <f>'1510'!D456</f>
        <v/>
      </c>
      <c r="D455" s="140">
        <f>'1510'!E456</f>
        <v/>
      </c>
      <c r="E455" s="140">
        <f>'1510'!F456</f>
        <v/>
      </c>
      <c r="F455" s="139">
        <f>'1510'!C456</f>
        <v/>
      </c>
      <c r="G455" s="155">
        <f>'1510'!G456</f>
        <v/>
      </c>
      <c r="H455" s="155">
        <f>'1510'!H456</f>
        <v/>
      </c>
      <c r="I455" s="139">
        <f>'1510'!I456</f>
        <v/>
      </c>
    </row>
    <row r="456" outlineLevel="1" ht="15" customHeight="1" s="82">
      <c r="A456" s="139">
        <f>'1510'!A457</f>
        <v/>
      </c>
      <c r="B456" s="139">
        <f>'1510'!B457</f>
        <v/>
      </c>
      <c r="C456" s="139">
        <f>'1510'!D457</f>
        <v/>
      </c>
      <c r="D456" s="140">
        <f>'1510'!E457</f>
        <v/>
      </c>
      <c r="E456" s="140">
        <f>'1510'!F457</f>
        <v/>
      </c>
      <c r="F456" s="139">
        <f>'1510'!C457</f>
        <v/>
      </c>
      <c r="G456" s="155">
        <f>'1510'!G457</f>
        <v/>
      </c>
      <c r="H456" s="155">
        <f>'1510'!H457</f>
        <v/>
      </c>
      <c r="I456" s="139">
        <f>'1510'!I457</f>
        <v/>
      </c>
    </row>
    <row r="457" outlineLevel="1" ht="15" customHeight="1" s="82">
      <c r="A457" s="139">
        <f>'1510'!A458</f>
        <v/>
      </c>
      <c r="B457" s="139">
        <f>'1510'!B458</f>
        <v/>
      </c>
      <c r="C457" s="139">
        <f>'1510'!D458</f>
        <v/>
      </c>
      <c r="D457" s="140">
        <f>'1510'!E458</f>
        <v/>
      </c>
      <c r="E457" s="140">
        <f>'1510'!F458</f>
        <v/>
      </c>
      <c r="F457" s="139">
        <f>'1510'!C458</f>
        <v/>
      </c>
      <c r="G457" s="155">
        <f>'1510'!G458</f>
        <v/>
      </c>
      <c r="H457" s="155">
        <f>'1510'!H458</f>
        <v/>
      </c>
      <c r="I457" s="139">
        <f>'1510'!I458</f>
        <v/>
      </c>
    </row>
    <row r="458" outlineLevel="1" ht="15" customHeight="1" s="82">
      <c r="A458" s="139">
        <f>'1510'!A459</f>
        <v/>
      </c>
      <c r="B458" s="139">
        <f>'1510'!B459</f>
        <v/>
      </c>
      <c r="C458" s="139">
        <f>'1510'!D459</f>
        <v/>
      </c>
      <c r="D458" s="140">
        <f>'1510'!E459</f>
        <v/>
      </c>
      <c r="E458" s="140">
        <f>'1510'!F459</f>
        <v/>
      </c>
      <c r="F458" s="139">
        <f>'1510'!C459</f>
        <v/>
      </c>
      <c r="G458" s="155">
        <f>'1510'!G459</f>
        <v/>
      </c>
      <c r="H458" s="155">
        <f>'1510'!H459</f>
        <v/>
      </c>
      <c r="I458" s="139">
        <f>'1510'!I459</f>
        <v/>
      </c>
    </row>
    <row r="459" outlineLevel="1" ht="15" customHeight="1" s="82">
      <c r="A459" s="139">
        <f>'1510'!A460</f>
        <v/>
      </c>
      <c r="B459" s="139">
        <f>'1510'!B460</f>
        <v/>
      </c>
      <c r="C459" s="139">
        <f>'1510'!D460</f>
        <v/>
      </c>
      <c r="D459" s="140">
        <f>'1510'!E460</f>
        <v/>
      </c>
      <c r="E459" s="140">
        <f>'1510'!F460</f>
        <v/>
      </c>
      <c r="F459" s="139">
        <f>'1510'!C460</f>
        <v/>
      </c>
      <c r="G459" s="155">
        <f>'1510'!G460</f>
        <v/>
      </c>
      <c r="H459" s="155">
        <f>'1510'!H460</f>
        <v/>
      </c>
      <c r="I459" s="139">
        <f>'1510'!I460</f>
        <v/>
      </c>
    </row>
    <row r="460" outlineLevel="1" ht="15" customHeight="1" s="82">
      <c r="A460" s="139">
        <f>'1510'!A461</f>
        <v/>
      </c>
      <c r="B460" s="139">
        <f>'1510'!B461</f>
        <v/>
      </c>
      <c r="C460" s="139">
        <f>'1510'!D461</f>
        <v/>
      </c>
      <c r="D460" s="140">
        <f>'1510'!E461</f>
        <v/>
      </c>
      <c r="E460" s="140">
        <f>'1510'!F461</f>
        <v/>
      </c>
      <c r="F460" s="139">
        <f>'1510'!C461</f>
        <v/>
      </c>
      <c r="G460" s="155">
        <f>'1510'!G461</f>
        <v/>
      </c>
      <c r="H460" s="155">
        <f>'1510'!H461</f>
        <v/>
      </c>
      <c r="I460" s="139">
        <f>'1510'!I461</f>
        <v/>
      </c>
    </row>
    <row r="461" outlineLevel="1" ht="15" customHeight="1" s="82">
      <c r="A461" s="139">
        <f>'1510'!A462</f>
        <v/>
      </c>
      <c r="B461" s="139">
        <f>'1510'!B462</f>
        <v/>
      </c>
      <c r="C461" s="139">
        <f>'1510'!D462</f>
        <v/>
      </c>
      <c r="D461" s="140">
        <f>'1510'!E462</f>
        <v/>
      </c>
      <c r="E461" s="140">
        <f>'1510'!F462</f>
        <v/>
      </c>
      <c r="F461" s="139">
        <f>'1510'!C462</f>
        <v/>
      </c>
      <c r="G461" s="155">
        <f>'1510'!G462</f>
        <v/>
      </c>
      <c r="H461" s="155">
        <f>'1510'!H462</f>
        <v/>
      </c>
      <c r="I461" s="139">
        <f>'1510'!I462</f>
        <v/>
      </c>
    </row>
    <row r="462" outlineLevel="1" ht="15" customHeight="1" s="82">
      <c r="A462" s="139">
        <f>'1510'!A463</f>
        <v/>
      </c>
      <c r="B462" s="139">
        <f>'1510'!B463</f>
        <v/>
      </c>
      <c r="C462" s="139">
        <f>'1510'!D463</f>
        <v/>
      </c>
      <c r="D462" s="140">
        <f>'1510'!E463</f>
        <v/>
      </c>
      <c r="E462" s="140">
        <f>'1510'!F463</f>
        <v/>
      </c>
      <c r="F462" s="139">
        <f>'1510'!C463</f>
        <v/>
      </c>
      <c r="G462" s="155">
        <f>'1510'!G463</f>
        <v/>
      </c>
      <c r="H462" s="155">
        <f>'1510'!H463</f>
        <v/>
      </c>
      <c r="I462" s="139">
        <f>'1510'!I463</f>
        <v/>
      </c>
    </row>
    <row r="463" outlineLevel="1" ht="15" customHeight="1" s="82">
      <c r="A463" s="139">
        <f>'1510'!A464</f>
        <v/>
      </c>
      <c r="B463" s="139">
        <f>'1510'!B464</f>
        <v/>
      </c>
      <c r="C463" s="139">
        <f>'1510'!D464</f>
        <v/>
      </c>
      <c r="D463" s="140">
        <f>'1510'!E464</f>
        <v/>
      </c>
      <c r="E463" s="140">
        <f>'1510'!F464</f>
        <v/>
      </c>
      <c r="F463" s="139">
        <f>'1510'!C464</f>
        <v/>
      </c>
      <c r="G463" s="155">
        <f>'1510'!G464</f>
        <v/>
      </c>
      <c r="H463" s="155">
        <f>'1510'!H464</f>
        <v/>
      </c>
      <c r="I463" s="139">
        <f>'1510'!I464</f>
        <v/>
      </c>
    </row>
    <row r="464" outlineLevel="1" ht="15" customHeight="1" s="82">
      <c r="A464" s="139">
        <f>'1510'!A465</f>
        <v/>
      </c>
      <c r="B464" s="139">
        <f>'1510'!B465</f>
        <v/>
      </c>
      <c r="C464" s="139">
        <f>'1510'!D465</f>
        <v/>
      </c>
      <c r="D464" s="140">
        <f>'1510'!E465</f>
        <v/>
      </c>
      <c r="E464" s="140">
        <f>'1510'!F465</f>
        <v/>
      </c>
      <c r="F464" s="139">
        <f>'1510'!C465</f>
        <v/>
      </c>
      <c r="G464" s="155">
        <f>'1510'!G465</f>
        <v/>
      </c>
      <c r="H464" s="155">
        <f>'1510'!H465</f>
        <v/>
      </c>
      <c r="I464" s="139">
        <f>'1510'!I465</f>
        <v/>
      </c>
    </row>
    <row r="465" outlineLevel="1" ht="15" customHeight="1" s="82">
      <c r="A465" s="139">
        <f>'1510'!A466</f>
        <v/>
      </c>
      <c r="B465" s="139">
        <f>'1510'!B466</f>
        <v/>
      </c>
      <c r="C465" s="139">
        <f>'1510'!D466</f>
        <v/>
      </c>
      <c r="D465" s="140">
        <f>'1510'!E466</f>
        <v/>
      </c>
      <c r="E465" s="140">
        <f>'1510'!F466</f>
        <v/>
      </c>
      <c r="F465" s="139">
        <f>'1510'!C466</f>
        <v/>
      </c>
      <c r="G465" s="155">
        <f>'1510'!G466</f>
        <v/>
      </c>
      <c r="H465" s="155">
        <f>'1510'!H466</f>
        <v/>
      </c>
      <c r="I465" s="139">
        <f>'1510'!I466</f>
        <v/>
      </c>
    </row>
    <row r="466" outlineLevel="1" ht="15" customHeight="1" s="82">
      <c r="A466" s="139">
        <f>'1510'!A467</f>
        <v/>
      </c>
      <c r="B466" s="139">
        <f>'1510'!B467</f>
        <v/>
      </c>
      <c r="C466" s="139">
        <f>'1510'!D467</f>
        <v/>
      </c>
      <c r="D466" s="140">
        <f>'1510'!E467</f>
        <v/>
      </c>
      <c r="E466" s="140">
        <f>'1510'!F467</f>
        <v/>
      </c>
      <c r="F466" s="139">
        <f>'1510'!C467</f>
        <v/>
      </c>
      <c r="G466" s="155">
        <f>'1510'!G467</f>
        <v/>
      </c>
      <c r="H466" s="155">
        <f>'1510'!H467</f>
        <v/>
      </c>
      <c r="I466" s="139">
        <f>'1510'!I467</f>
        <v/>
      </c>
    </row>
    <row r="467" outlineLevel="1" ht="15" customHeight="1" s="82">
      <c r="A467" s="139">
        <f>'1510'!A468</f>
        <v/>
      </c>
      <c r="B467" s="139">
        <f>'1510'!B468</f>
        <v/>
      </c>
      <c r="C467" s="139">
        <f>'1510'!D468</f>
        <v/>
      </c>
      <c r="D467" s="140">
        <f>'1510'!E468</f>
        <v/>
      </c>
      <c r="E467" s="140">
        <f>'1510'!F468</f>
        <v/>
      </c>
      <c r="F467" s="139">
        <f>'1510'!C468</f>
        <v/>
      </c>
      <c r="G467" s="155">
        <f>'1510'!G468</f>
        <v/>
      </c>
      <c r="H467" s="155">
        <f>'1510'!H468</f>
        <v/>
      </c>
      <c r="I467" s="139">
        <f>'1510'!I468</f>
        <v/>
      </c>
    </row>
    <row r="468" outlineLevel="1" ht="15" customHeight="1" s="82">
      <c r="A468" s="139">
        <f>'1510'!A469</f>
        <v/>
      </c>
      <c r="B468" s="139">
        <f>'1510'!B469</f>
        <v/>
      </c>
      <c r="C468" s="139">
        <f>'1510'!D469</f>
        <v/>
      </c>
      <c r="D468" s="140">
        <f>'1510'!E469</f>
        <v/>
      </c>
      <c r="E468" s="140">
        <f>'1510'!F469</f>
        <v/>
      </c>
      <c r="F468" s="139">
        <f>'1510'!C469</f>
        <v/>
      </c>
      <c r="G468" s="155">
        <f>'1510'!G469</f>
        <v/>
      </c>
      <c r="H468" s="155">
        <f>'1510'!H469</f>
        <v/>
      </c>
      <c r="I468" s="139">
        <f>'1510'!I469</f>
        <v/>
      </c>
    </row>
    <row r="469" outlineLevel="1" ht="15" customHeight="1" s="82">
      <c r="A469" s="139">
        <f>'1510'!A470</f>
        <v/>
      </c>
      <c r="B469" s="139">
        <f>'1510'!B470</f>
        <v/>
      </c>
      <c r="C469" s="139">
        <f>'1510'!D470</f>
        <v/>
      </c>
      <c r="D469" s="140">
        <f>'1510'!E470</f>
        <v/>
      </c>
      <c r="E469" s="140">
        <f>'1510'!F470</f>
        <v/>
      </c>
      <c r="F469" s="139">
        <f>'1510'!C470</f>
        <v/>
      </c>
      <c r="G469" s="155">
        <f>'1510'!G470</f>
        <v/>
      </c>
      <c r="H469" s="155">
        <f>'1510'!H470</f>
        <v/>
      </c>
      <c r="I469" s="139">
        <f>'1510'!I470</f>
        <v/>
      </c>
    </row>
    <row r="470" outlineLevel="1" ht="15" customHeight="1" s="82">
      <c r="A470" s="139">
        <f>'1510'!A471</f>
        <v/>
      </c>
      <c r="B470" s="139">
        <f>'1510'!B471</f>
        <v/>
      </c>
      <c r="C470" s="139">
        <f>'1510'!D471</f>
        <v/>
      </c>
      <c r="D470" s="140">
        <f>'1510'!E471</f>
        <v/>
      </c>
      <c r="E470" s="140">
        <f>'1510'!F471</f>
        <v/>
      </c>
      <c r="F470" s="139">
        <f>'1510'!C471</f>
        <v/>
      </c>
      <c r="G470" s="155">
        <f>'1510'!G471</f>
        <v/>
      </c>
      <c r="H470" s="155">
        <f>'1510'!H471</f>
        <v/>
      </c>
      <c r="I470" s="139">
        <f>'1510'!I471</f>
        <v/>
      </c>
    </row>
    <row r="471" outlineLevel="1" ht="15" customHeight="1" s="82">
      <c r="A471" s="139">
        <f>'1510'!A472</f>
        <v/>
      </c>
      <c r="B471" s="139">
        <f>'1510'!B472</f>
        <v/>
      </c>
      <c r="C471" s="139">
        <f>'1510'!D472</f>
        <v/>
      </c>
      <c r="D471" s="140">
        <f>'1510'!E472</f>
        <v/>
      </c>
      <c r="E471" s="140">
        <f>'1510'!F472</f>
        <v/>
      </c>
      <c r="F471" s="139">
        <f>'1510'!C472</f>
        <v/>
      </c>
      <c r="G471" s="155">
        <f>'1510'!G472</f>
        <v/>
      </c>
      <c r="H471" s="155">
        <f>'1510'!H472</f>
        <v/>
      </c>
      <c r="I471" s="139">
        <f>'1510'!I472</f>
        <v/>
      </c>
    </row>
    <row r="472" outlineLevel="1" ht="15" customHeight="1" s="82">
      <c r="A472" s="139">
        <f>'1510'!A473</f>
        <v/>
      </c>
      <c r="B472" s="139">
        <f>'1510'!B473</f>
        <v/>
      </c>
      <c r="C472" s="139">
        <f>'1510'!D473</f>
        <v/>
      </c>
      <c r="D472" s="140">
        <f>'1510'!E473</f>
        <v/>
      </c>
      <c r="E472" s="140">
        <f>'1510'!F473</f>
        <v/>
      </c>
      <c r="F472" s="139">
        <f>'1510'!C473</f>
        <v/>
      </c>
      <c r="G472" s="155">
        <f>'1510'!G473</f>
        <v/>
      </c>
      <c r="H472" s="155">
        <f>'1510'!H473</f>
        <v/>
      </c>
      <c r="I472" s="139">
        <f>'1510'!I473</f>
        <v/>
      </c>
    </row>
    <row r="473" outlineLevel="1" ht="15" customHeight="1" s="82">
      <c r="A473" s="139">
        <f>'1510'!A474</f>
        <v/>
      </c>
      <c r="B473" s="139">
        <f>'1510'!B474</f>
        <v/>
      </c>
      <c r="C473" s="139">
        <f>'1510'!D474</f>
        <v/>
      </c>
      <c r="D473" s="140">
        <f>'1510'!E474</f>
        <v/>
      </c>
      <c r="E473" s="140">
        <f>'1510'!F474</f>
        <v/>
      </c>
      <c r="F473" s="139">
        <f>'1510'!C474</f>
        <v/>
      </c>
      <c r="G473" s="155">
        <f>'1510'!G474</f>
        <v/>
      </c>
      <c r="H473" s="155">
        <f>'1510'!H474</f>
        <v/>
      </c>
      <c r="I473" s="139">
        <f>'1510'!I474</f>
        <v/>
      </c>
    </row>
    <row r="474" outlineLevel="1" ht="15" customHeight="1" s="82">
      <c r="A474" s="139">
        <f>'1510'!A475</f>
        <v/>
      </c>
      <c r="B474" s="139">
        <f>'1510'!B475</f>
        <v/>
      </c>
      <c r="C474" s="139">
        <f>'1510'!D475</f>
        <v/>
      </c>
      <c r="D474" s="140">
        <f>'1510'!E475</f>
        <v/>
      </c>
      <c r="E474" s="140">
        <f>'1510'!F475</f>
        <v/>
      </c>
      <c r="F474" s="139">
        <f>'1510'!C475</f>
        <v/>
      </c>
      <c r="G474" s="155">
        <f>'1510'!G475</f>
        <v/>
      </c>
      <c r="H474" s="155">
        <f>'1510'!H475</f>
        <v/>
      </c>
      <c r="I474" s="139">
        <f>'1510'!I475</f>
        <v/>
      </c>
    </row>
    <row r="475" outlineLevel="1" ht="15" customHeight="1" s="82">
      <c r="A475" s="139">
        <f>'1510'!A476</f>
        <v/>
      </c>
      <c r="B475" s="139">
        <f>'1510'!B476</f>
        <v/>
      </c>
      <c r="C475" s="139">
        <f>'1510'!D476</f>
        <v/>
      </c>
      <c r="D475" s="140">
        <f>'1510'!E476</f>
        <v/>
      </c>
      <c r="E475" s="140">
        <f>'1510'!F476</f>
        <v/>
      </c>
      <c r="F475" s="139">
        <f>'1510'!C476</f>
        <v/>
      </c>
      <c r="G475" s="155">
        <f>'1510'!G476</f>
        <v/>
      </c>
      <c r="H475" s="155">
        <f>'1510'!H476</f>
        <v/>
      </c>
      <c r="I475" s="139">
        <f>'1510'!I476</f>
        <v/>
      </c>
    </row>
    <row r="476" outlineLevel="1" ht="15" customHeight="1" s="82">
      <c r="A476" s="139">
        <f>'1510'!A477</f>
        <v/>
      </c>
      <c r="B476" s="139">
        <f>'1510'!B477</f>
        <v/>
      </c>
      <c r="C476" s="139">
        <f>'1510'!D477</f>
        <v/>
      </c>
      <c r="D476" s="140">
        <f>'1510'!E477</f>
        <v/>
      </c>
      <c r="E476" s="140">
        <f>'1510'!F477</f>
        <v/>
      </c>
      <c r="F476" s="139">
        <f>'1510'!C477</f>
        <v/>
      </c>
      <c r="G476" s="155">
        <f>'1510'!G477</f>
        <v/>
      </c>
      <c r="H476" s="155">
        <f>'1510'!H477</f>
        <v/>
      </c>
      <c r="I476" s="139">
        <f>'1510'!I477</f>
        <v/>
      </c>
    </row>
    <row r="477" outlineLevel="1" ht="15" customHeight="1" s="82">
      <c r="A477" s="139">
        <f>'1510'!A478</f>
        <v/>
      </c>
      <c r="B477" s="139">
        <f>'1510'!B478</f>
        <v/>
      </c>
      <c r="C477" s="139">
        <f>'1510'!D478</f>
        <v/>
      </c>
      <c r="D477" s="140">
        <f>'1510'!E478</f>
        <v/>
      </c>
      <c r="E477" s="140">
        <f>'1510'!F478</f>
        <v/>
      </c>
      <c r="F477" s="139">
        <f>'1510'!C478</f>
        <v/>
      </c>
      <c r="G477" s="155">
        <f>'1510'!G478</f>
        <v/>
      </c>
      <c r="H477" s="155">
        <f>'1510'!H478</f>
        <v/>
      </c>
      <c r="I477" s="139">
        <f>'1510'!I478</f>
        <v/>
      </c>
    </row>
    <row r="478" outlineLevel="1" ht="15" customHeight="1" s="82">
      <c r="A478" s="139">
        <f>'1510'!A479</f>
        <v/>
      </c>
      <c r="B478" s="139">
        <f>'1510'!B479</f>
        <v/>
      </c>
      <c r="C478" s="139">
        <f>'1510'!D479</f>
        <v/>
      </c>
      <c r="D478" s="140">
        <f>'1510'!E479</f>
        <v/>
      </c>
      <c r="E478" s="140">
        <f>'1510'!F479</f>
        <v/>
      </c>
      <c r="F478" s="139">
        <f>'1510'!C479</f>
        <v/>
      </c>
      <c r="G478" s="155">
        <f>'1510'!G479</f>
        <v/>
      </c>
      <c r="H478" s="155">
        <f>'1510'!H479</f>
        <v/>
      </c>
      <c r="I478" s="139">
        <f>'1510'!I479</f>
        <v/>
      </c>
    </row>
    <row r="479" outlineLevel="1" ht="15" customHeight="1" s="82">
      <c r="A479" s="139">
        <f>'1510'!A480</f>
        <v/>
      </c>
      <c r="B479" s="139">
        <f>'1510'!B480</f>
        <v/>
      </c>
      <c r="C479" s="139">
        <f>'1510'!D480</f>
        <v/>
      </c>
      <c r="D479" s="140">
        <f>'1510'!E480</f>
        <v/>
      </c>
      <c r="E479" s="140">
        <f>'1510'!F480</f>
        <v/>
      </c>
      <c r="F479" s="139">
        <f>'1510'!C480</f>
        <v/>
      </c>
      <c r="G479" s="155">
        <f>'1510'!G480</f>
        <v/>
      </c>
      <c r="H479" s="155">
        <f>'1510'!H480</f>
        <v/>
      </c>
      <c r="I479" s="139">
        <f>'1510'!I480</f>
        <v/>
      </c>
    </row>
    <row r="480" outlineLevel="1" ht="15" customHeight="1" s="82">
      <c r="A480" s="139">
        <f>'1510'!A481</f>
        <v/>
      </c>
      <c r="B480" s="139">
        <f>'1510'!B481</f>
        <v/>
      </c>
      <c r="C480" s="139">
        <f>'1510'!D481</f>
        <v/>
      </c>
      <c r="D480" s="140">
        <f>'1510'!E481</f>
        <v/>
      </c>
      <c r="E480" s="140">
        <f>'1510'!F481</f>
        <v/>
      </c>
      <c r="F480" s="139">
        <f>'1510'!C481</f>
        <v/>
      </c>
      <c r="G480" s="155">
        <f>'1510'!G481</f>
        <v/>
      </c>
      <c r="H480" s="155">
        <f>'1510'!H481</f>
        <v/>
      </c>
      <c r="I480" s="139">
        <f>'1510'!I481</f>
        <v/>
      </c>
    </row>
    <row r="481" outlineLevel="1" ht="15" customHeight="1" s="82">
      <c r="A481" s="139">
        <f>'1510'!A482</f>
        <v/>
      </c>
      <c r="B481" s="139">
        <f>'1510'!B482</f>
        <v/>
      </c>
      <c r="C481" s="139">
        <f>'1510'!D482</f>
        <v/>
      </c>
      <c r="D481" s="140">
        <f>'1510'!E482</f>
        <v/>
      </c>
      <c r="E481" s="140">
        <f>'1510'!F482</f>
        <v/>
      </c>
      <c r="F481" s="139">
        <f>'1510'!C482</f>
        <v/>
      </c>
      <c r="G481" s="155">
        <f>'1510'!G482</f>
        <v/>
      </c>
      <c r="H481" s="155">
        <f>'1510'!H482</f>
        <v/>
      </c>
      <c r="I481" s="139">
        <f>'1510'!I482</f>
        <v/>
      </c>
    </row>
    <row r="482" outlineLevel="1" ht="15" customHeight="1" s="82">
      <c r="A482" s="139">
        <f>'1510'!A483</f>
        <v/>
      </c>
      <c r="B482" s="139">
        <f>'1510'!B483</f>
        <v/>
      </c>
      <c r="C482" s="139">
        <f>'1510'!D483</f>
        <v/>
      </c>
      <c r="D482" s="140">
        <f>'1510'!E483</f>
        <v/>
      </c>
      <c r="E482" s="140">
        <f>'1510'!F483</f>
        <v/>
      </c>
      <c r="F482" s="139">
        <f>'1510'!C483</f>
        <v/>
      </c>
      <c r="G482" s="155">
        <f>'1510'!G483</f>
        <v/>
      </c>
      <c r="H482" s="155">
        <f>'1510'!H483</f>
        <v/>
      </c>
      <c r="I482" s="139">
        <f>'1510'!I483</f>
        <v/>
      </c>
    </row>
    <row r="483" outlineLevel="1" ht="15" customHeight="1" s="82">
      <c r="A483" s="139">
        <f>'1510'!A484</f>
        <v/>
      </c>
      <c r="B483" s="139">
        <f>'1510'!B484</f>
        <v/>
      </c>
      <c r="C483" s="139">
        <f>'1510'!D484</f>
        <v/>
      </c>
      <c r="D483" s="140">
        <f>'1510'!E484</f>
        <v/>
      </c>
      <c r="E483" s="140">
        <f>'1510'!F484</f>
        <v/>
      </c>
      <c r="F483" s="139">
        <f>'1510'!C484</f>
        <v/>
      </c>
      <c r="G483" s="155">
        <f>'1510'!G484</f>
        <v/>
      </c>
      <c r="H483" s="155">
        <f>'1510'!H484</f>
        <v/>
      </c>
      <c r="I483" s="139">
        <f>'1510'!I484</f>
        <v/>
      </c>
    </row>
    <row r="484" outlineLevel="1" ht="15" customHeight="1" s="82">
      <c r="A484" s="139">
        <f>'1510'!A485</f>
        <v/>
      </c>
      <c r="B484" s="139">
        <f>'1510'!B485</f>
        <v/>
      </c>
      <c r="C484" s="139">
        <f>'1510'!D485</f>
        <v/>
      </c>
      <c r="D484" s="140">
        <f>'1510'!E485</f>
        <v/>
      </c>
      <c r="E484" s="140">
        <f>'1510'!F485</f>
        <v/>
      </c>
      <c r="F484" s="139">
        <f>'1510'!C485</f>
        <v/>
      </c>
      <c r="G484" s="155">
        <f>'1510'!G485</f>
        <v/>
      </c>
      <c r="H484" s="155">
        <f>'1510'!H485</f>
        <v/>
      </c>
      <c r="I484" s="139">
        <f>'1510'!I485</f>
        <v/>
      </c>
    </row>
    <row r="485" outlineLevel="1" ht="15" customHeight="1" s="82">
      <c r="A485" s="139">
        <f>'1510'!A486</f>
        <v/>
      </c>
      <c r="B485" s="139">
        <f>'1510'!B486</f>
        <v/>
      </c>
      <c r="C485" s="139">
        <f>'1510'!D486</f>
        <v/>
      </c>
      <c r="D485" s="140">
        <f>'1510'!E486</f>
        <v/>
      </c>
      <c r="E485" s="140">
        <f>'1510'!F486</f>
        <v/>
      </c>
      <c r="F485" s="139">
        <f>'1510'!C486</f>
        <v/>
      </c>
      <c r="G485" s="155">
        <f>'1510'!G486</f>
        <v/>
      </c>
      <c r="H485" s="155">
        <f>'1510'!H486</f>
        <v/>
      </c>
      <c r="I485" s="139">
        <f>'1510'!I486</f>
        <v/>
      </c>
    </row>
    <row r="486" outlineLevel="1" ht="15" customHeight="1" s="82">
      <c r="A486" s="139">
        <f>'1510'!A487</f>
        <v/>
      </c>
      <c r="B486" s="139">
        <f>'1510'!B487</f>
        <v/>
      </c>
      <c r="C486" s="139">
        <f>'1510'!D487</f>
        <v/>
      </c>
      <c r="D486" s="140">
        <f>'1510'!E487</f>
        <v/>
      </c>
      <c r="E486" s="140">
        <f>'1510'!F487</f>
        <v/>
      </c>
      <c r="F486" s="139">
        <f>'1510'!C487</f>
        <v/>
      </c>
      <c r="G486" s="155">
        <f>'1510'!G487</f>
        <v/>
      </c>
      <c r="H486" s="155">
        <f>'1510'!H487</f>
        <v/>
      </c>
      <c r="I486" s="139">
        <f>'1510'!I487</f>
        <v/>
      </c>
    </row>
    <row r="487" outlineLevel="1" ht="15" customHeight="1" s="82">
      <c r="A487" s="139">
        <f>'1510'!A488</f>
        <v/>
      </c>
      <c r="B487" s="139">
        <f>'1510'!B488</f>
        <v/>
      </c>
      <c r="C487" s="139">
        <f>'1510'!D488</f>
        <v/>
      </c>
      <c r="D487" s="140">
        <f>'1510'!E488</f>
        <v/>
      </c>
      <c r="E487" s="140">
        <f>'1510'!F488</f>
        <v/>
      </c>
      <c r="F487" s="139">
        <f>'1510'!C488</f>
        <v/>
      </c>
      <c r="G487" s="155">
        <f>'1510'!G488</f>
        <v/>
      </c>
      <c r="H487" s="155">
        <f>'1510'!H488</f>
        <v/>
      </c>
      <c r="I487" s="139">
        <f>'1510'!I488</f>
        <v/>
      </c>
    </row>
    <row r="488" ht="15" customHeight="1" s="82"/>
    <row r="489" ht="15" customHeight="1" s="82">
      <c r="A489" s="143">
        <f>'1510'!A490</f>
        <v/>
      </c>
      <c r="B489" s="143" t="n"/>
      <c r="C489" s="143">
        <f>'1510'!D490</f>
        <v/>
      </c>
      <c r="D489" s="153">
        <f>'1510'!E490</f>
        <v/>
      </c>
      <c r="E489" s="153">
        <f>'1510'!F490</f>
        <v/>
      </c>
      <c r="F489" s="143" t="n"/>
      <c r="G489" s="154">
        <f>'1510'!G490</f>
        <v/>
      </c>
      <c r="H489" s="154">
        <f>'1510'!H490</f>
        <v/>
      </c>
      <c r="I489" s="143">
        <f>'1510'!I490</f>
        <v/>
      </c>
    </row>
    <row r="490" outlineLevel="1" ht="15" customHeight="1" s="82">
      <c r="A490" s="139">
        <f>'1510'!A491</f>
        <v/>
      </c>
      <c r="B490" s="139">
        <f>'1510'!B491</f>
        <v/>
      </c>
      <c r="C490" s="139">
        <f>'1510'!D491</f>
        <v/>
      </c>
      <c r="D490" s="140">
        <f>'1510'!E491</f>
        <v/>
      </c>
      <c r="E490" s="140">
        <f>'1510'!F491</f>
        <v/>
      </c>
      <c r="F490" s="139">
        <f>'1510'!C491</f>
        <v/>
      </c>
      <c r="G490" s="155">
        <f>'1510'!G491</f>
        <v/>
      </c>
      <c r="H490" s="155">
        <f>'1510'!H491</f>
        <v/>
      </c>
      <c r="I490" s="139">
        <f>'1510'!I491</f>
        <v/>
      </c>
    </row>
    <row r="491" outlineLevel="1" ht="15" customHeight="1" s="82">
      <c r="A491" s="139">
        <f>'1510'!A492</f>
        <v/>
      </c>
      <c r="B491" s="139">
        <f>'1510'!B492</f>
        <v/>
      </c>
      <c r="C491" s="139">
        <f>'1510'!D492</f>
        <v/>
      </c>
      <c r="D491" s="140">
        <f>'1510'!E492</f>
        <v/>
      </c>
      <c r="E491" s="140">
        <f>'1510'!F492</f>
        <v/>
      </c>
      <c r="F491" s="139">
        <f>'1510'!C492</f>
        <v/>
      </c>
      <c r="G491" s="155">
        <f>'1510'!G492</f>
        <v/>
      </c>
      <c r="H491" s="155">
        <f>'1510'!H492</f>
        <v/>
      </c>
      <c r="I491" s="139">
        <f>'1510'!I492</f>
        <v/>
      </c>
    </row>
    <row r="492" outlineLevel="1" ht="15" customHeight="1" s="82">
      <c r="A492" s="139">
        <f>'1510'!A493</f>
        <v/>
      </c>
      <c r="B492" s="139">
        <f>'1510'!B493</f>
        <v/>
      </c>
      <c r="C492" s="139">
        <f>'1510'!D493</f>
        <v/>
      </c>
      <c r="D492" s="140">
        <f>'1510'!E493</f>
        <v/>
      </c>
      <c r="E492" s="140">
        <f>'1510'!F493</f>
        <v/>
      </c>
      <c r="F492" s="139">
        <f>'1510'!C493</f>
        <v/>
      </c>
      <c r="G492" s="155">
        <f>'1510'!G493</f>
        <v/>
      </c>
      <c r="H492" s="155">
        <f>'1510'!H493</f>
        <v/>
      </c>
      <c r="I492" s="139">
        <f>'1510'!I493</f>
        <v/>
      </c>
    </row>
    <row r="493" outlineLevel="1" ht="15" customHeight="1" s="82">
      <c r="A493" s="139">
        <f>'1510'!A494</f>
        <v/>
      </c>
      <c r="B493" s="139">
        <f>'1510'!B494</f>
        <v/>
      </c>
      <c r="C493" s="139">
        <f>'1510'!D494</f>
        <v/>
      </c>
      <c r="D493" s="140">
        <f>'1510'!E494</f>
        <v/>
      </c>
      <c r="E493" s="140">
        <f>'1510'!F494</f>
        <v/>
      </c>
      <c r="F493" s="139">
        <f>'1510'!C494</f>
        <v/>
      </c>
      <c r="G493" s="155">
        <f>'1510'!G494</f>
        <v/>
      </c>
      <c r="H493" s="155">
        <f>'1510'!H494</f>
        <v/>
      </c>
      <c r="I493" s="139">
        <f>'1510'!I494</f>
        <v/>
      </c>
    </row>
    <row r="494" outlineLevel="1" ht="15" customHeight="1" s="82">
      <c r="A494" s="139">
        <f>'1510'!A495</f>
        <v/>
      </c>
      <c r="B494" s="139">
        <f>'1510'!B495</f>
        <v/>
      </c>
      <c r="C494" s="139">
        <f>'1510'!D495</f>
        <v/>
      </c>
      <c r="D494" s="140">
        <f>'1510'!E495</f>
        <v/>
      </c>
      <c r="E494" s="140">
        <f>'1510'!F495</f>
        <v/>
      </c>
      <c r="F494" s="139">
        <f>'1510'!C495</f>
        <v/>
      </c>
      <c r="G494" s="155">
        <f>'1510'!G495</f>
        <v/>
      </c>
      <c r="H494" s="155">
        <f>'1510'!H495</f>
        <v/>
      </c>
      <c r="I494" s="139">
        <f>'1510'!I495</f>
        <v/>
      </c>
    </row>
    <row r="495" outlineLevel="1" ht="15" customHeight="1" s="82">
      <c r="A495" s="139">
        <f>'1510'!A496</f>
        <v/>
      </c>
      <c r="B495" s="139">
        <f>'1510'!B496</f>
        <v/>
      </c>
      <c r="C495" s="139">
        <f>'1510'!D496</f>
        <v/>
      </c>
      <c r="D495" s="140">
        <f>'1510'!E496</f>
        <v/>
      </c>
      <c r="E495" s="140">
        <f>'1510'!F496</f>
        <v/>
      </c>
      <c r="F495" s="139">
        <f>'1510'!C496</f>
        <v/>
      </c>
      <c r="G495" s="155">
        <f>'1510'!G496</f>
        <v/>
      </c>
      <c r="H495" s="155">
        <f>'1510'!H496</f>
        <v/>
      </c>
      <c r="I495" s="139">
        <f>'1510'!I496</f>
        <v/>
      </c>
    </row>
    <row r="496" outlineLevel="1" ht="15" customHeight="1" s="82">
      <c r="A496" s="139">
        <f>'1510'!A497</f>
        <v/>
      </c>
      <c r="B496" s="139">
        <f>'1510'!B497</f>
        <v/>
      </c>
      <c r="C496" s="139">
        <f>'1510'!D497</f>
        <v/>
      </c>
      <c r="D496" s="140">
        <f>'1510'!E497</f>
        <v/>
      </c>
      <c r="E496" s="140">
        <f>'1510'!F497</f>
        <v/>
      </c>
      <c r="F496" s="139">
        <f>'1510'!C497</f>
        <v/>
      </c>
      <c r="G496" s="155">
        <f>'1510'!G497</f>
        <v/>
      </c>
      <c r="H496" s="155">
        <f>'1510'!H497</f>
        <v/>
      </c>
      <c r="I496" s="139">
        <f>'1510'!I497</f>
        <v/>
      </c>
    </row>
    <row r="497" outlineLevel="1" ht="15" customHeight="1" s="82">
      <c r="A497" s="139">
        <f>'1510'!A498</f>
        <v/>
      </c>
      <c r="B497" s="139">
        <f>'1510'!B498</f>
        <v/>
      </c>
      <c r="C497" s="139">
        <f>'1510'!D498</f>
        <v/>
      </c>
      <c r="D497" s="140">
        <f>'1510'!E498</f>
        <v/>
      </c>
      <c r="E497" s="140">
        <f>'1510'!F498</f>
        <v/>
      </c>
      <c r="F497" s="139">
        <f>'1510'!C498</f>
        <v/>
      </c>
      <c r="G497" s="155">
        <f>'1510'!G498</f>
        <v/>
      </c>
      <c r="H497" s="155">
        <f>'1510'!H498</f>
        <v/>
      </c>
      <c r="I497" s="139">
        <f>'1510'!I498</f>
        <v/>
      </c>
    </row>
    <row r="498" outlineLevel="1" ht="15" customHeight="1" s="82">
      <c r="A498" s="139">
        <f>'1510'!A499</f>
        <v/>
      </c>
      <c r="B498" s="139">
        <f>'1510'!B499</f>
        <v/>
      </c>
      <c r="C498" s="139">
        <f>'1510'!D499</f>
        <v/>
      </c>
      <c r="D498" s="140">
        <f>'1510'!E499</f>
        <v/>
      </c>
      <c r="E498" s="140">
        <f>'1510'!F499</f>
        <v/>
      </c>
      <c r="F498" s="139">
        <f>'1510'!C499</f>
        <v/>
      </c>
      <c r="G498" s="155">
        <f>'1510'!G499</f>
        <v/>
      </c>
      <c r="H498" s="155">
        <f>'1510'!H499</f>
        <v/>
      </c>
      <c r="I498" s="139">
        <f>'1510'!I499</f>
        <v/>
      </c>
    </row>
    <row r="499" outlineLevel="1" ht="15" customHeight="1" s="82">
      <c r="A499" s="139">
        <f>'1510'!A500</f>
        <v/>
      </c>
      <c r="B499" s="139">
        <f>'1510'!B500</f>
        <v/>
      </c>
      <c r="C499" s="139">
        <f>'1510'!D500</f>
        <v/>
      </c>
      <c r="D499" s="140">
        <f>'1510'!E500</f>
        <v/>
      </c>
      <c r="E499" s="140">
        <f>'1510'!F500</f>
        <v/>
      </c>
      <c r="F499" s="139">
        <f>'1510'!C500</f>
        <v/>
      </c>
      <c r="G499" s="155">
        <f>'1510'!G500</f>
        <v/>
      </c>
      <c r="H499" s="155">
        <f>'1510'!H500</f>
        <v/>
      </c>
      <c r="I499" s="139">
        <f>'1510'!I500</f>
        <v/>
      </c>
    </row>
    <row r="500" outlineLevel="1" ht="15" customHeight="1" s="82">
      <c r="A500" s="139">
        <f>'1510'!A501</f>
        <v/>
      </c>
      <c r="B500" s="139">
        <f>'1510'!B501</f>
        <v/>
      </c>
      <c r="C500" s="139">
        <f>'1510'!D501</f>
        <v/>
      </c>
      <c r="D500" s="140">
        <f>'1510'!E501</f>
        <v/>
      </c>
      <c r="E500" s="140">
        <f>'1510'!F501</f>
        <v/>
      </c>
      <c r="F500" s="139">
        <f>'1510'!C501</f>
        <v/>
      </c>
      <c r="G500" s="155">
        <f>'1510'!G501</f>
        <v/>
      </c>
      <c r="H500" s="155">
        <f>'1510'!H501</f>
        <v/>
      </c>
      <c r="I500" s="139">
        <f>'1510'!I501</f>
        <v/>
      </c>
    </row>
    <row r="501" outlineLevel="1" ht="15" customHeight="1" s="82">
      <c r="A501" s="139">
        <f>'1510'!A502</f>
        <v/>
      </c>
      <c r="B501" s="139">
        <f>'1510'!B502</f>
        <v/>
      </c>
      <c r="C501" s="139">
        <f>'1510'!D502</f>
        <v/>
      </c>
      <c r="D501" s="140">
        <f>'1510'!E502</f>
        <v/>
      </c>
      <c r="E501" s="140">
        <f>'1510'!F502</f>
        <v/>
      </c>
      <c r="F501" s="139">
        <f>'1510'!C502</f>
        <v/>
      </c>
      <c r="G501" s="155">
        <f>'1510'!G502</f>
        <v/>
      </c>
      <c r="H501" s="155">
        <f>'1510'!H502</f>
        <v/>
      </c>
      <c r="I501" s="139">
        <f>'1510'!I502</f>
        <v/>
      </c>
    </row>
    <row r="502" outlineLevel="1" ht="15" customHeight="1" s="82">
      <c r="A502" s="139">
        <f>'1510'!A503</f>
        <v/>
      </c>
      <c r="B502" s="139">
        <f>'1510'!B503</f>
        <v/>
      </c>
      <c r="C502" s="139">
        <f>'1510'!D503</f>
        <v/>
      </c>
      <c r="D502" s="140">
        <f>'1510'!E503</f>
        <v/>
      </c>
      <c r="E502" s="140">
        <f>'1510'!F503</f>
        <v/>
      </c>
      <c r="F502" s="139">
        <f>'1510'!C503</f>
        <v/>
      </c>
      <c r="G502" s="155">
        <f>'1510'!G503</f>
        <v/>
      </c>
      <c r="H502" s="155">
        <f>'1510'!H503</f>
        <v/>
      </c>
      <c r="I502" s="139">
        <f>'1510'!I503</f>
        <v/>
      </c>
    </row>
    <row r="503" outlineLevel="1" ht="15" customHeight="1" s="82">
      <c r="A503" s="139">
        <f>'1510'!A504</f>
        <v/>
      </c>
      <c r="B503" s="139">
        <f>'1510'!B504</f>
        <v/>
      </c>
      <c r="C503" s="139">
        <f>'1510'!D504</f>
        <v/>
      </c>
      <c r="D503" s="140">
        <f>'1510'!E504</f>
        <v/>
      </c>
      <c r="E503" s="140">
        <f>'1510'!F504</f>
        <v/>
      </c>
      <c r="F503" s="139">
        <f>'1510'!C504</f>
        <v/>
      </c>
      <c r="G503" s="155">
        <f>'1510'!G504</f>
        <v/>
      </c>
      <c r="H503" s="155">
        <f>'1510'!H504</f>
        <v/>
      </c>
      <c r="I503" s="139">
        <f>'1510'!I504</f>
        <v/>
      </c>
    </row>
    <row r="504" outlineLevel="1" ht="15" customHeight="1" s="82">
      <c r="A504" s="139">
        <f>'1510'!A505</f>
        <v/>
      </c>
      <c r="B504" s="139">
        <f>'1510'!B505</f>
        <v/>
      </c>
      <c r="C504" s="139">
        <f>'1510'!D505</f>
        <v/>
      </c>
      <c r="D504" s="140">
        <f>'1510'!E505</f>
        <v/>
      </c>
      <c r="E504" s="140">
        <f>'1510'!F505</f>
        <v/>
      </c>
      <c r="F504" s="139">
        <f>'1510'!C505</f>
        <v/>
      </c>
      <c r="G504" s="155">
        <f>'1510'!G505</f>
        <v/>
      </c>
      <c r="H504" s="155">
        <f>'1510'!H505</f>
        <v/>
      </c>
      <c r="I504" s="139">
        <f>'1510'!I505</f>
        <v/>
      </c>
    </row>
    <row r="505" outlineLevel="1" ht="15" customHeight="1" s="82">
      <c r="A505" s="139">
        <f>'1510'!A506</f>
        <v/>
      </c>
      <c r="B505" s="139">
        <f>'1510'!B506</f>
        <v/>
      </c>
      <c r="C505" s="139">
        <f>'1510'!D506</f>
        <v/>
      </c>
      <c r="D505" s="140">
        <f>'1510'!E506</f>
        <v/>
      </c>
      <c r="E505" s="140">
        <f>'1510'!F506</f>
        <v/>
      </c>
      <c r="F505" s="139">
        <f>'1510'!C506</f>
        <v/>
      </c>
      <c r="G505" s="155">
        <f>'1510'!G506</f>
        <v/>
      </c>
      <c r="H505" s="155">
        <f>'1510'!H506</f>
        <v/>
      </c>
      <c r="I505" s="139">
        <f>'1510'!I506</f>
        <v/>
      </c>
    </row>
    <row r="506" outlineLevel="1" ht="15" customHeight="1" s="82">
      <c r="A506" s="139">
        <f>'1510'!A507</f>
        <v/>
      </c>
      <c r="B506" s="139">
        <f>'1510'!B507</f>
        <v/>
      </c>
      <c r="C506" s="139">
        <f>'1510'!D507</f>
        <v/>
      </c>
      <c r="D506" s="140">
        <f>'1510'!E507</f>
        <v/>
      </c>
      <c r="E506" s="140">
        <f>'1510'!F507</f>
        <v/>
      </c>
      <c r="F506" s="139">
        <f>'1510'!C507</f>
        <v/>
      </c>
      <c r="G506" s="155">
        <f>'1510'!G507</f>
        <v/>
      </c>
      <c r="H506" s="155">
        <f>'1510'!H507</f>
        <v/>
      </c>
      <c r="I506" s="139">
        <f>'1510'!I507</f>
        <v/>
      </c>
    </row>
    <row r="507" outlineLevel="1" ht="15" customHeight="1" s="82">
      <c r="A507" s="139">
        <f>'1510'!A508</f>
        <v/>
      </c>
      <c r="B507" s="139">
        <f>'1510'!B508</f>
        <v/>
      </c>
      <c r="C507" s="139">
        <f>'1510'!D508</f>
        <v/>
      </c>
      <c r="D507" s="140">
        <f>'1510'!E508</f>
        <v/>
      </c>
      <c r="E507" s="140">
        <f>'1510'!F508</f>
        <v/>
      </c>
      <c r="F507" s="139">
        <f>'1510'!C508</f>
        <v/>
      </c>
      <c r="G507" s="155">
        <f>'1510'!G508</f>
        <v/>
      </c>
      <c r="H507" s="155">
        <f>'1510'!H508</f>
        <v/>
      </c>
      <c r="I507" s="139">
        <f>'1510'!I508</f>
        <v/>
      </c>
    </row>
    <row r="508" outlineLevel="1" ht="15" customHeight="1" s="82">
      <c r="A508" s="139">
        <f>'1510'!A509</f>
        <v/>
      </c>
      <c r="B508" s="139">
        <f>'1510'!B509</f>
        <v/>
      </c>
      <c r="C508" s="139">
        <f>'1510'!D509</f>
        <v/>
      </c>
      <c r="D508" s="140">
        <f>'1510'!E509</f>
        <v/>
      </c>
      <c r="E508" s="140">
        <f>'1510'!F509</f>
        <v/>
      </c>
      <c r="F508" s="139">
        <f>'1510'!C509</f>
        <v/>
      </c>
      <c r="G508" s="155">
        <f>'1510'!G509</f>
        <v/>
      </c>
      <c r="H508" s="155">
        <f>'1510'!H509</f>
        <v/>
      </c>
      <c r="I508" s="139">
        <f>'1510'!I509</f>
        <v/>
      </c>
    </row>
    <row r="509" outlineLevel="1" ht="15" customHeight="1" s="82">
      <c r="A509" s="139">
        <f>'1510'!A510</f>
        <v/>
      </c>
      <c r="B509" s="139">
        <f>'1510'!B510</f>
        <v/>
      </c>
      <c r="C509" s="139">
        <f>'1510'!D510</f>
        <v/>
      </c>
      <c r="D509" s="140">
        <f>'1510'!E510</f>
        <v/>
      </c>
      <c r="E509" s="140">
        <f>'1510'!F510</f>
        <v/>
      </c>
      <c r="F509" s="139">
        <f>'1510'!C510</f>
        <v/>
      </c>
      <c r="G509" s="155">
        <f>'1510'!G510</f>
        <v/>
      </c>
      <c r="H509" s="155">
        <f>'1510'!H510</f>
        <v/>
      </c>
      <c r="I509" s="139">
        <f>'1510'!I510</f>
        <v/>
      </c>
    </row>
    <row r="510" outlineLevel="1" ht="15" customHeight="1" s="82">
      <c r="A510" s="139">
        <f>'1510'!A511</f>
        <v/>
      </c>
      <c r="B510" s="139">
        <f>'1510'!B511</f>
        <v/>
      </c>
      <c r="C510" s="139">
        <f>'1510'!D511</f>
        <v/>
      </c>
      <c r="D510" s="140">
        <f>'1510'!E511</f>
        <v/>
      </c>
      <c r="E510" s="140">
        <f>'1510'!F511</f>
        <v/>
      </c>
      <c r="F510" s="139">
        <f>'1510'!C511</f>
        <v/>
      </c>
      <c r="G510" s="155">
        <f>'1510'!G511</f>
        <v/>
      </c>
      <c r="H510" s="155">
        <f>'1510'!H511</f>
        <v/>
      </c>
      <c r="I510" s="139">
        <f>'1510'!I511</f>
        <v/>
      </c>
    </row>
    <row r="511" outlineLevel="1" ht="15" customHeight="1" s="82">
      <c r="A511" s="139">
        <f>'1510'!A512</f>
        <v/>
      </c>
      <c r="B511" s="139">
        <f>'1510'!B512</f>
        <v/>
      </c>
      <c r="C511" s="139">
        <f>'1510'!D512</f>
        <v/>
      </c>
      <c r="D511" s="140">
        <f>'1510'!E512</f>
        <v/>
      </c>
      <c r="E511" s="140">
        <f>'1510'!F512</f>
        <v/>
      </c>
      <c r="F511" s="139">
        <f>'1510'!C512</f>
        <v/>
      </c>
      <c r="G511" s="155">
        <f>'1510'!G512</f>
        <v/>
      </c>
      <c r="H511" s="155">
        <f>'1510'!H512</f>
        <v/>
      </c>
      <c r="I511" s="139">
        <f>'1510'!I512</f>
        <v/>
      </c>
    </row>
    <row r="512" outlineLevel="1" ht="15" customHeight="1" s="82">
      <c r="A512" s="139">
        <f>'1510'!A513</f>
        <v/>
      </c>
      <c r="B512" s="139">
        <f>'1510'!B513</f>
        <v/>
      </c>
      <c r="C512" s="139">
        <f>'1510'!D513</f>
        <v/>
      </c>
      <c r="D512" s="140">
        <f>'1510'!E513</f>
        <v/>
      </c>
      <c r="E512" s="140">
        <f>'1510'!F513</f>
        <v/>
      </c>
      <c r="F512" s="139">
        <f>'1510'!C513</f>
        <v/>
      </c>
      <c r="G512" s="155">
        <f>'1510'!G513</f>
        <v/>
      </c>
      <c r="H512" s="155">
        <f>'1510'!H513</f>
        <v/>
      </c>
      <c r="I512" s="139">
        <f>'1510'!I513</f>
        <v/>
      </c>
    </row>
    <row r="513" outlineLevel="1" ht="15" customHeight="1" s="82">
      <c r="A513" s="139">
        <f>'1510'!A514</f>
        <v/>
      </c>
      <c r="B513" s="139">
        <f>'1510'!B514</f>
        <v/>
      </c>
      <c r="C513" s="139">
        <f>'1510'!D514</f>
        <v/>
      </c>
      <c r="D513" s="140">
        <f>'1510'!E514</f>
        <v/>
      </c>
      <c r="E513" s="140">
        <f>'1510'!F514</f>
        <v/>
      </c>
      <c r="F513" s="139">
        <f>'1510'!C514</f>
        <v/>
      </c>
      <c r="G513" s="155">
        <f>'1510'!G514</f>
        <v/>
      </c>
      <c r="H513" s="155">
        <f>'1510'!H514</f>
        <v/>
      </c>
      <c r="I513" s="139">
        <f>'1510'!I514</f>
        <v/>
      </c>
    </row>
    <row r="514" outlineLevel="1" ht="15" customHeight="1" s="82">
      <c r="A514" s="139">
        <f>'1510'!A515</f>
        <v/>
      </c>
      <c r="B514" s="139">
        <f>'1510'!B515</f>
        <v/>
      </c>
      <c r="C514" s="139">
        <f>'1510'!D515</f>
        <v/>
      </c>
      <c r="D514" s="140">
        <f>'1510'!E515</f>
        <v/>
      </c>
      <c r="E514" s="140">
        <f>'1510'!F515</f>
        <v/>
      </c>
      <c r="F514" s="139">
        <f>'1510'!C515</f>
        <v/>
      </c>
      <c r="G514" s="155">
        <f>'1510'!G515</f>
        <v/>
      </c>
      <c r="H514" s="155">
        <f>'1510'!H515</f>
        <v/>
      </c>
      <c r="I514" s="139">
        <f>'1510'!I515</f>
        <v/>
      </c>
    </row>
    <row r="515" outlineLevel="1" ht="15" customHeight="1" s="82">
      <c r="A515" s="139">
        <f>'1510'!A516</f>
        <v/>
      </c>
      <c r="B515" s="139">
        <f>'1510'!B516</f>
        <v/>
      </c>
      <c r="C515" s="139">
        <f>'1510'!D516</f>
        <v/>
      </c>
      <c r="D515" s="140">
        <f>'1510'!E516</f>
        <v/>
      </c>
      <c r="E515" s="140">
        <f>'1510'!F516</f>
        <v/>
      </c>
      <c r="F515" s="139">
        <f>'1510'!C516</f>
        <v/>
      </c>
      <c r="G515" s="155">
        <f>'1510'!G516</f>
        <v/>
      </c>
      <c r="H515" s="155">
        <f>'1510'!H516</f>
        <v/>
      </c>
      <c r="I515" s="139">
        <f>'1510'!I516</f>
        <v/>
      </c>
    </row>
    <row r="516" outlineLevel="1" ht="15" customHeight="1" s="82">
      <c r="A516" s="139">
        <f>'1510'!A517</f>
        <v/>
      </c>
      <c r="B516" s="139">
        <f>'1510'!B517</f>
        <v/>
      </c>
      <c r="C516" s="139">
        <f>'1510'!D517</f>
        <v/>
      </c>
      <c r="D516" s="140">
        <f>'1510'!E517</f>
        <v/>
      </c>
      <c r="E516" s="140">
        <f>'1510'!F517</f>
        <v/>
      </c>
      <c r="F516" s="139">
        <f>'1510'!C517</f>
        <v/>
      </c>
      <c r="G516" s="155">
        <f>'1510'!G517</f>
        <v/>
      </c>
      <c r="H516" s="155">
        <f>'1510'!H517</f>
        <v/>
      </c>
      <c r="I516" s="139">
        <f>'1510'!I517</f>
        <v/>
      </c>
    </row>
    <row r="517" outlineLevel="1" ht="15" customHeight="1" s="82">
      <c r="A517" s="139">
        <f>'1510'!A518</f>
        <v/>
      </c>
      <c r="B517" s="139">
        <f>'1510'!B518</f>
        <v/>
      </c>
      <c r="C517" s="139">
        <f>'1510'!D518</f>
        <v/>
      </c>
      <c r="D517" s="140">
        <f>'1510'!E518</f>
        <v/>
      </c>
      <c r="E517" s="140">
        <f>'1510'!F518</f>
        <v/>
      </c>
      <c r="F517" s="139">
        <f>'1510'!C518</f>
        <v/>
      </c>
      <c r="G517" s="155">
        <f>'1510'!G518</f>
        <v/>
      </c>
      <c r="H517" s="155">
        <f>'1510'!H518</f>
        <v/>
      </c>
      <c r="I517" s="139">
        <f>'1510'!I518</f>
        <v/>
      </c>
    </row>
    <row r="518" outlineLevel="1" ht="15" customHeight="1" s="82">
      <c r="A518" s="139">
        <f>'1510'!A519</f>
        <v/>
      </c>
      <c r="B518" s="139">
        <f>'1510'!B519</f>
        <v/>
      </c>
      <c r="C518" s="139">
        <f>'1510'!D519</f>
        <v/>
      </c>
      <c r="D518" s="140">
        <f>'1510'!E519</f>
        <v/>
      </c>
      <c r="E518" s="140">
        <f>'1510'!F519</f>
        <v/>
      </c>
      <c r="F518" s="139">
        <f>'1510'!C519</f>
        <v/>
      </c>
      <c r="G518" s="155">
        <f>'1510'!G519</f>
        <v/>
      </c>
      <c r="H518" s="155">
        <f>'1510'!H519</f>
        <v/>
      </c>
      <c r="I518" s="139">
        <f>'1510'!I519</f>
        <v/>
      </c>
    </row>
    <row r="519" outlineLevel="1" ht="15" customHeight="1" s="82">
      <c r="A519" s="139">
        <f>'1510'!A520</f>
        <v/>
      </c>
      <c r="B519" s="139">
        <f>'1510'!B520</f>
        <v/>
      </c>
      <c r="C519" s="139">
        <f>'1510'!D520</f>
        <v/>
      </c>
      <c r="D519" s="140">
        <f>'1510'!E520</f>
        <v/>
      </c>
      <c r="E519" s="140">
        <f>'1510'!F520</f>
        <v/>
      </c>
      <c r="F519" s="139">
        <f>'1510'!C520</f>
        <v/>
      </c>
      <c r="G519" s="155">
        <f>'1510'!G520</f>
        <v/>
      </c>
      <c r="H519" s="155">
        <f>'1510'!H520</f>
        <v/>
      </c>
      <c r="I519" s="139">
        <f>'1510'!I520</f>
        <v/>
      </c>
    </row>
    <row r="520" outlineLevel="1" ht="15" customHeight="1" s="82">
      <c r="A520" s="139">
        <f>'1510'!A521</f>
        <v/>
      </c>
      <c r="B520" s="139">
        <f>'1510'!B521</f>
        <v/>
      </c>
      <c r="C520" s="139">
        <f>'1510'!D521</f>
        <v/>
      </c>
      <c r="D520" s="140">
        <f>'1510'!E521</f>
        <v/>
      </c>
      <c r="E520" s="140">
        <f>'1510'!F521</f>
        <v/>
      </c>
      <c r="F520" s="139">
        <f>'1510'!C521</f>
        <v/>
      </c>
      <c r="G520" s="155">
        <f>'1510'!G521</f>
        <v/>
      </c>
      <c r="H520" s="155">
        <f>'1510'!H521</f>
        <v/>
      </c>
      <c r="I520" s="139">
        <f>'1510'!I521</f>
        <v/>
      </c>
    </row>
    <row r="521" outlineLevel="1" ht="15" customHeight="1" s="82">
      <c r="A521" s="139">
        <f>'1510'!A522</f>
        <v/>
      </c>
      <c r="B521" s="139">
        <f>'1510'!B522</f>
        <v/>
      </c>
      <c r="C521" s="139">
        <f>'1510'!D522</f>
        <v/>
      </c>
      <c r="D521" s="140">
        <f>'1510'!E522</f>
        <v/>
      </c>
      <c r="E521" s="140">
        <f>'1510'!F522</f>
        <v/>
      </c>
      <c r="F521" s="139">
        <f>'1510'!C522</f>
        <v/>
      </c>
      <c r="G521" s="155">
        <f>'1510'!G522</f>
        <v/>
      </c>
      <c r="H521" s="155">
        <f>'1510'!H522</f>
        <v/>
      </c>
      <c r="I521" s="139">
        <f>'1510'!I522</f>
        <v/>
      </c>
    </row>
    <row r="522" outlineLevel="1" ht="15" customHeight="1" s="82">
      <c r="A522" s="139">
        <f>'1510'!A523</f>
        <v/>
      </c>
      <c r="B522" s="139">
        <f>'1510'!B523</f>
        <v/>
      </c>
      <c r="C522" s="139">
        <f>'1510'!D523</f>
        <v/>
      </c>
      <c r="D522" s="140">
        <f>'1510'!E523</f>
        <v/>
      </c>
      <c r="E522" s="140">
        <f>'1510'!F523</f>
        <v/>
      </c>
      <c r="F522" s="139">
        <f>'1510'!C523</f>
        <v/>
      </c>
      <c r="G522" s="155">
        <f>'1510'!G523</f>
        <v/>
      </c>
      <c r="H522" s="155">
        <f>'1510'!H523</f>
        <v/>
      </c>
      <c r="I522" s="139">
        <f>'1510'!I523</f>
        <v/>
      </c>
    </row>
    <row r="523" outlineLevel="1" ht="15" customHeight="1" s="82">
      <c r="A523" s="139">
        <f>'1510'!A524</f>
        <v/>
      </c>
      <c r="B523" s="139">
        <f>'1510'!B524</f>
        <v/>
      </c>
      <c r="C523" s="139">
        <f>'1510'!D524</f>
        <v/>
      </c>
      <c r="D523" s="140">
        <f>'1510'!E524</f>
        <v/>
      </c>
      <c r="E523" s="140">
        <f>'1510'!F524</f>
        <v/>
      </c>
      <c r="F523" s="139">
        <f>'1510'!C524</f>
        <v/>
      </c>
      <c r="G523" s="155">
        <f>'1510'!G524</f>
        <v/>
      </c>
      <c r="H523" s="155">
        <f>'1510'!H524</f>
        <v/>
      </c>
      <c r="I523" s="139">
        <f>'1510'!I524</f>
        <v/>
      </c>
    </row>
    <row r="524" outlineLevel="1" ht="15" customHeight="1" s="82">
      <c r="A524" s="139">
        <f>'1510'!A525</f>
        <v/>
      </c>
      <c r="B524" s="139">
        <f>'1510'!B525</f>
        <v/>
      </c>
      <c r="C524" s="139">
        <f>'1510'!D525</f>
        <v/>
      </c>
      <c r="D524" s="140">
        <f>'1510'!E525</f>
        <v/>
      </c>
      <c r="E524" s="140">
        <f>'1510'!F525</f>
        <v/>
      </c>
      <c r="F524" s="139">
        <f>'1510'!C525</f>
        <v/>
      </c>
      <c r="G524" s="155">
        <f>'1510'!G525</f>
        <v/>
      </c>
      <c r="H524" s="155">
        <f>'1510'!H525</f>
        <v/>
      </c>
      <c r="I524" s="139">
        <f>'1510'!I525</f>
        <v/>
      </c>
    </row>
    <row r="525" outlineLevel="1" ht="15" customHeight="1" s="82">
      <c r="A525" s="139">
        <f>'1510'!A526</f>
        <v/>
      </c>
      <c r="B525" s="139">
        <f>'1510'!B526</f>
        <v/>
      </c>
      <c r="C525" s="139">
        <f>'1510'!D526</f>
        <v/>
      </c>
      <c r="D525" s="140">
        <f>'1510'!E526</f>
        <v/>
      </c>
      <c r="E525" s="140">
        <f>'1510'!F526</f>
        <v/>
      </c>
      <c r="F525" s="139">
        <f>'1510'!C526</f>
        <v/>
      </c>
      <c r="G525" s="155">
        <f>'1510'!G526</f>
        <v/>
      </c>
      <c r="H525" s="155">
        <f>'1510'!H526</f>
        <v/>
      </c>
      <c r="I525" s="139">
        <f>'1510'!I526</f>
        <v/>
      </c>
    </row>
    <row r="526" outlineLevel="1" ht="15" customHeight="1" s="82">
      <c r="A526" s="139">
        <f>'1510'!A527</f>
        <v/>
      </c>
      <c r="B526" s="139">
        <f>'1510'!B527</f>
        <v/>
      </c>
      <c r="C526" s="139">
        <f>'1510'!D527</f>
        <v/>
      </c>
      <c r="D526" s="140">
        <f>'1510'!E527</f>
        <v/>
      </c>
      <c r="E526" s="140">
        <f>'1510'!F527</f>
        <v/>
      </c>
      <c r="F526" s="139">
        <f>'1510'!C527</f>
        <v/>
      </c>
      <c r="G526" s="155">
        <f>'1510'!G527</f>
        <v/>
      </c>
      <c r="H526" s="155">
        <f>'1510'!H527</f>
        <v/>
      </c>
      <c r="I526" s="139">
        <f>'1510'!I527</f>
        <v/>
      </c>
    </row>
    <row r="527" outlineLevel="1" ht="15" customHeight="1" s="82">
      <c r="A527" s="139">
        <f>'1510'!A528</f>
        <v/>
      </c>
      <c r="B527" s="139">
        <f>'1510'!B528</f>
        <v/>
      </c>
      <c r="C527" s="139">
        <f>'1510'!D528</f>
        <v/>
      </c>
      <c r="D527" s="140">
        <f>'1510'!E528</f>
        <v/>
      </c>
      <c r="E527" s="140">
        <f>'1510'!F528</f>
        <v/>
      </c>
      <c r="F527" s="139">
        <f>'1510'!C528</f>
        <v/>
      </c>
      <c r="G527" s="155">
        <f>'1510'!G528</f>
        <v/>
      </c>
      <c r="H527" s="155">
        <f>'1510'!H528</f>
        <v/>
      </c>
      <c r="I527" s="139">
        <f>'1510'!I528</f>
        <v/>
      </c>
    </row>
    <row r="528" outlineLevel="1" ht="15" customHeight="1" s="82">
      <c r="A528" s="139">
        <f>'1510'!A529</f>
        <v/>
      </c>
      <c r="B528" s="139">
        <f>'1510'!B529</f>
        <v/>
      </c>
      <c r="C528" s="139">
        <f>'1510'!D529</f>
        <v/>
      </c>
      <c r="D528" s="140">
        <f>'1510'!E529</f>
        <v/>
      </c>
      <c r="E528" s="140">
        <f>'1510'!F529</f>
        <v/>
      </c>
      <c r="F528" s="139">
        <f>'1510'!C529</f>
        <v/>
      </c>
      <c r="G528" s="155">
        <f>'1510'!G529</f>
        <v/>
      </c>
      <c r="H528" s="155">
        <f>'1510'!H529</f>
        <v/>
      </c>
      <c r="I528" s="139">
        <f>'1510'!I529</f>
        <v/>
      </c>
    </row>
    <row r="529" outlineLevel="1" ht="15" customHeight="1" s="82">
      <c r="A529" s="139">
        <f>'1510'!A530</f>
        <v/>
      </c>
      <c r="B529" s="139">
        <f>'1510'!B530</f>
        <v/>
      </c>
      <c r="C529" s="139">
        <f>'1510'!D530</f>
        <v/>
      </c>
      <c r="D529" s="140">
        <f>'1510'!E530</f>
        <v/>
      </c>
      <c r="E529" s="140">
        <f>'1510'!F530</f>
        <v/>
      </c>
      <c r="F529" s="139">
        <f>'1510'!C530</f>
        <v/>
      </c>
      <c r="G529" s="155">
        <f>'1510'!G530</f>
        <v/>
      </c>
      <c r="H529" s="155">
        <f>'1510'!H530</f>
        <v/>
      </c>
      <c r="I529" s="139">
        <f>'1510'!I530</f>
        <v/>
      </c>
    </row>
    <row r="530" outlineLevel="1" ht="15" customHeight="1" s="82">
      <c r="A530" s="139">
        <f>'1510'!A531</f>
        <v/>
      </c>
      <c r="B530" s="139">
        <f>'1510'!B531</f>
        <v/>
      </c>
      <c r="C530" s="139">
        <f>'1510'!D531</f>
        <v/>
      </c>
      <c r="D530" s="140">
        <f>'1510'!E531</f>
        <v/>
      </c>
      <c r="E530" s="140">
        <f>'1510'!F531</f>
        <v/>
      </c>
      <c r="F530" s="139">
        <f>'1510'!C531</f>
        <v/>
      </c>
      <c r="G530" s="155">
        <f>'1510'!G531</f>
        <v/>
      </c>
      <c r="H530" s="155">
        <f>'1510'!H531</f>
        <v/>
      </c>
      <c r="I530" s="139">
        <f>'1510'!I531</f>
        <v/>
      </c>
    </row>
    <row r="531" outlineLevel="1" ht="15" customHeight="1" s="82">
      <c r="A531" s="139">
        <f>'1510'!A532</f>
        <v/>
      </c>
      <c r="B531" s="139">
        <f>'1510'!B532</f>
        <v/>
      </c>
      <c r="C531" s="139">
        <f>'1510'!D532</f>
        <v/>
      </c>
      <c r="D531" s="140">
        <f>'1510'!E532</f>
        <v/>
      </c>
      <c r="E531" s="140">
        <f>'1510'!F532</f>
        <v/>
      </c>
      <c r="F531" s="139">
        <f>'1510'!C532</f>
        <v/>
      </c>
      <c r="G531" s="155">
        <f>'1510'!G532</f>
        <v/>
      </c>
      <c r="H531" s="155">
        <f>'1510'!H532</f>
        <v/>
      </c>
      <c r="I531" s="139">
        <f>'1510'!I532</f>
        <v/>
      </c>
    </row>
    <row r="532" outlineLevel="1" ht="15" customHeight="1" s="82">
      <c r="A532" s="139">
        <f>'1510'!A533</f>
        <v/>
      </c>
      <c r="B532" s="139">
        <f>'1510'!B533</f>
        <v/>
      </c>
      <c r="C532" s="139">
        <f>'1510'!D533</f>
        <v/>
      </c>
      <c r="D532" s="140">
        <f>'1510'!E533</f>
        <v/>
      </c>
      <c r="E532" s="140">
        <f>'1510'!F533</f>
        <v/>
      </c>
      <c r="F532" s="139">
        <f>'1510'!C533</f>
        <v/>
      </c>
      <c r="G532" s="155">
        <f>'1510'!G533</f>
        <v/>
      </c>
      <c r="H532" s="155">
        <f>'1510'!H533</f>
        <v/>
      </c>
      <c r="I532" s="139">
        <f>'1510'!I533</f>
        <v/>
      </c>
    </row>
    <row r="533" outlineLevel="1" ht="15" customHeight="1" s="82">
      <c r="A533" s="139">
        <f>'1510'!A534</f>
        <v/>
      </c>
      <c r="B533" s="139">
        <f>'1510'!B534</f>
        <v/>
      </c>
      <c r="C533" s="139">
        <f>'1510'!D534</f>
        <v/>
      </c>
      <c r="D533" s="140">
        <f>'1510'!E534</f>
        <v/>
      </c>
      <c r="E533" s="140">
        <f>'1510'!F534</f>
        <v/>
      </c>
      <c r="F533" s="139">
        <f>'1510'!C534</f>
        <v/>
      </c>
      <c r="G533" s="155">
        <f>'1510'!G534</f>
        <v/>
      </c>
      <c r="H533" s="155">
        <f>'1510'!H534</f>
        <v/>
      </c>
      <c r="I533" s="139">
        <f>'1510'!I534</f>
        <v/>
      </c>
    </row>
    <row r="534" outlineLevel="1" ht="15" customHeight="1" s="82">
      <c r="A534" s="139">
        <f>'1510'!A535</f>
        <v/>
      </c>
      <c r="B534" s="139">
        <f>'1510'!B535</f>
        <v/>
      </c>
      <c r="C534" s="139">
        <f>'1510'!D535</f>
        <v/>
      </c>
      <c r="D534" s="140">
        <f>'1510'!E535</f>
        <v/>
      </c>
      <c r="E534" s="140">
        <f>'1510'!F535</f>
        <v/>
      </c>
      <c r="F534" s="139">
        <f>'1510'!C535</f>
        <v/>
      </c>
      <c r="G534" s="155">
        <f>'1510'!G535</f>
        <v/>
      </c>
      <c r="H534" s="155">
        <f>'1510'!H535</f>
        <v/>
      </c>
      <c r="I534" s="139">
        <f>'1510'!I535</f>
        <v/>
      </c>
    </row>
    <row r="535" outlineLevel="1" ht="15" customHeight="1" s="82">
      <c r="A535" s="139">
        <f>'1510'!A536</f>
        <v/>
      </c>
      <c r="B535" s="139">
        <f>'1510'!B536</f>
        <v/>
      </c>
      <c r="C535" s="139">
        <f>'1510'!D536</f>
        <v/>
      </c>
      <c r="D535" s="140">
        <f>'1510'!E536</f>
        <v/>
      </c>
      <c r="E535" s="140">
        <f>'1510'!F536</f>
        <v/>
      </c>
      <c r="F535" s="139">
        <f>'1510'!C536</f>
        <v/>
      </c>
      <c r="G535" s="155">
        <f>'1510'!G536</f>
        <v/>
      </c>
      <c r="H535" s="155">
        <f>'1510'!H536</f>
        <v/>
      </c>
      <c r="I535" s="139">
        <f>'1510'!I536</f>
        <v/>
      </c>
    </row>
    <row r="536" outlineLevel="1" ht="15" customHeight="1" s="82">
      <c r="A536" s="139">
        <f>'1510'!A537</f>
        <v/>
      </c>
      <c r="B536" s="139">
        <f>'1510'!B537</f>
        <v/>
      </c>
      <c r="C536" s="139">
        <f>'1510'!D537</f>
        <v/>
      </c>
      <c r="D536" s="140">
        <f>'1510'!E537</f>
        <v/>
      </c>
      <c r="E536" s="140">
        <f>'1510'!F537</f>
        <v/>
      </c>
      <c r="F536" s="139">
        <f>'1510'!C537</f>
        <v/>
      </c>
      <c r="G536" s="155">
        <f>'1510'!G537</f>
        <v/>
      </c>
      <c r="H536" s="155">
        <f>'1510'!H537</f>
        <v/>
      </c>
      <c r="I536" s="139">
        <f>'1510'!I537</f>
        <v/>
      </c>
    </row>
    <row r="537" outlineLevel="1" ht="15" customHeight="1" s="82">
      <c r="A537" s="139">
        <f>'1510'!A538</f>
        <v/>
      </c>
      <c r="B537" s="139">
        <f>'1510'!B538</f>
        <v/>
      </c>
      <c r="C537" s="139">
        <f>'1510'!D538</f>
        <v/>
      </c>
      <c r="D537" s="140">
        <f>'1510'!E538</f>
        <v/>
      </c>
      <c r="E537" s="140">
        <f>'1510'!F538</f>
        <v/>
      </c>
      <c r="F537" s="139">
        <f>'1510'!C538</f>
        <v/>
      </c>
      <c r="G537" s="155">
        <f>'1510'!G538</f>
        <v/>
      </c>
      <c r="H537" s="155">
        <f>'1510'!H538</f>
        <v/>
      </c>
      <c r="I537" s="139">
        <f>'1510'!I538</f>
        <v/>
      </c>
    </row>
    <row r="538" outlineLevel="1" ht="15" customHeight="1" s="82">
      <c r="A538" s="139">
        <f>'1510'!A539</f>
        <v/>
      </c>
      <c r="B538" s="139">
        <f>'1510'!B539</f>
        <v/>
      </c>
      <c r="C538" s="139">
        <f>'1510'!D539</f>
        <v/>
      </c>
      <c r="D538" s="140">
        <f>'1510'!E539</f>
        <v/>
      </c>
      <c r="E538" s="140">
        <f>'1510'!F539</f>
        <v/>
      </c>
      <c r="F538" s="139">
        <f>'1510'!C539</f>
        <v/>
      </c>
      <c r="G538" s="155">
        <f>'1510'!G539</f>
        <v/>
      </c>
      <c r="H538" s="155">
        <f>'1510'!H539</f>
        <v/>
      </c>
      <c r="I538" s="139">
        <f>'1510'!I539</f>
        <v/>
      </c>
    </row>
    <row r="539" outlineLevel="1" ht="15" customHeight="1" s="82">
      <c r="A539" s="139">
        <f>'1510'!A540</f>
        <v/>
      </c>
      <c r="B539" s="139">
        <f>'1510'!B540</f>
        <v/>
      </c>
      <c r="C539" s="139">
        <f>'1510'!D540</f>
        <v/>
      </c>
      <c r="D539" s="140">
        <f>'1510'!E540</f>
        <v/>
      </c>
      <c r="E539" s="140">
        <f>'1510'!F540</f>
        <v/>
      </c>
      <c r="F539" s="139">
        <f>'1510'!C540</f>
        <v/>
      </c>
      <c r="G539" s="155">
        <f>'1510'!G540</f>
        <v/>
      </c>
      <c r="H539" s="155">
        <f>'1510'!H540</f>
        <v/>
      </c>
      <c r="I539" s="139">
        <f>'1510'!I540</f>
        <v/>
      </c>
    </row>
    <row r="540" outlineLevel="1" ht="15" customHeight="1" s="82">
      <c r="A540" s="139">
        <f>'1510'!A541</f>
        <v/>
      </c>
      <c r="B540" s="139">
        <f>'1510'!B541</f>
        <v/>
      </c>
      <c r="C540" s="139">
        <f>'1510'!D541</f>
        <v/>
      </c>
      <c r="D540" s="140">
        <f>'1510'!E541</f>
        <v/>
      </c>
      <c r="E540" s="140">
        <f>'1510'!F541</f>
        <v/>
      </c>
      <c r="F540" s="139">
        <f>'1510'!C541</f>
        <v/>
      </c>
      <c r="G540" s="155">
        <f>'1510'!G541</f>
        <v/>
      </c>
      <c r="H540" s="155">
        <f>'1510'!H541</f>
        <v/>
      </c>
      <c r="I540" s="139">
        <f>'1510'!I541</f>
        <v/>
      </c>
    </row>
    <row r="541" outlineLevel="1" ht="15" customHeight="1" s="82">
      <c r="A541" s="139">
        <f>'1510'!A542</f>
        <v/>
      </c>
      <c r="B541" s="139">
        <f>'1510'!B542</f>
        <v/>
      </c>
      <c r="C541" s="139">
        <f>'1510'!D542</f>
        <v/>
      </c>
      <c r="D541" s="140">
        <f>'1510'!E542</f>
        <v/>
      </c>
      <c r="E541" s="140">
        <f>'1510'!F542</f>
        <v/>
      </c>
      <c r="F541" s="139">
        <f>'1510'!C542</f>
        <v/>
      </c>
      <c r="G541" s="155">
        <f>'1510'!G542</f>
        <v/>
      </c>
      <c r="H541" s="155">
        <f>'1510'!H542</f>
        <v/>
      </c>
      <c r="I541" s="139">
        <f>'1510'!I542</f>
        <v/>
      </c>
    </row>
    <row r="542" outlineLevel="1" ht="15" customHeight="1" s="82">
      <c r="A542" s="139">
        <f>'1510'!A543</f>
        <v/>
      </c>
      <c r="B542" s="139">
        <f>'1510'!B543</f>
        <v/>
      </c>
      <c r="C542" s="139">
        <f>'1510'!D543</f>
        <v/>
      </c>
      <c r="D542" s="140">
        <f>'1510'!E543</f>
        <v/>
      </c>
      <c r="E542" s="140">
        <f>'1510'!F543</f>
        <v/>
      </c>
      <c r="F542" s="139">
        <f>'1510'!C543</f>
        <v/>
      </c>
      <c r="G542" s="155">
        <f>'1510'!G543</f>
        <v/>
      </c>
      <c r="H542" s="155">
        <f>'1510'!H543</f>
        <v/>
      </c>
      <c r="I542" s="139">
        <f>'1510'!I543</f>
        <v/>
      </c>
    </row>
    <row r="543" outlineLevel="1" ht="15" customHeight="1" s="82">
      <c r="A543" s="139">
        <f>'1510'!A544</f>
        <v/>
      </c>
      <c r="B543" s="139">
        <f>'1510'!B544</f>
        <v/>
      </c>
      <c r="C543" s="139">
        <f>'1510'!D544</f>
        <v/>
      </c>
      <c r="D543" s="140">
        <f>'1510'!E544</f>
        <v/>
      </c>
      <c r="E543" s="140">
        <f>'1510'!F544</f>
        <v/>
      </c>
      <c r="F543" s="139">
        <f>'1510'!C544</f>
        <v/>
      </c>
      <c r="G543" s="155">
        <f>'1510'!G544</f>
        <v/>
      </c>
      <c r="H543" s="155">
        <f>'1510'!H544</f>
        <v/>
      </c>
      <c r="I543" s="139">
        <f>'1510'!I544</f>
        <v/>
      </c>
    </row>
    <row r="544" outlineLevel="1" ht="15" customHeight="1" s="82">
      <c r="A544" s="139">
        <f>'1510'!A545</f>
        <v/>
      </c>
      <c r="B544" s="139">
        <f>'1510'!B545</f>
        <v/>
      </c>
      <c r="C544" s="139">
        <f>'1510'!D545</f>
        <v/>
      </c>
      <c r="D544" s="140">
        <f>'1510'!E545</f>
        <v/>
      </c>
      <c r="E544" s="140">
        <f>'1510'!F545</f>
        <v/>
      </c>
      <c r="F544" s="139">
        <f>'1510'!C545</f>
        <v/>
      </c>
      <c r="G544" s="155">
        <f>'1510'!G545</f>
        <v/>
      </c>
      <c r="H544" s="155">
        <f>'1510'!H545</f>
        <v/>
      </c>
      <c r="I544" s="139">
        <f>'1510'!I545</f>
        <v/>
      </c>
    </row>
    <row r="545" outlineLevel="1" ht="15" customHeight="1" s="82">
      <c r="A545" s="139">
        <f>'1510'!A546</f>
        <v/>
      </c>
      <c r="B545" s="139">
        <f>'1510'!B546</f>
        <v/>
      </c>
      <c r="C545" s="139">
        <f>'1510'!D546</f>
        <v/>
      </c>
      <c r="D545" s="140">
        <f>'1510'!E546</f>
        <v/>
      </c>
      <c r="E545" s="140">
        <f>'1510'!F546</f>
        <v/>
      </c>
      <c r="F545" s="139">
        <f>'1510'!C546</f>
        <v/>
      </c>
      <c r="G545" s="155">
        <f>'1510'!G546</f>
        <v/>
      </c>
      <c r="H545" s="155">
        <f>'1510'!H546</f>
        <v/>
      </c>
      <c r="I545" s="139">
        <f>'1510'!I546</f>
        <v/>
      </c>
    </row>
    <row r="546" outlineLevel="1" ht="15" customHeight="1" s="82">
      <c r="A546" s="139">
        <f>'1510'!A547</f>
        <v/>
      </c>
      <c r="B546" s="139">
        <f>'1510'!B547</f>
        <v/>
      </c>
      <c r="C546" s="139">
        <f>'1510'!D547</f>
        <v/>
      </c>
      <c r="D546" s="140">
        <f>'1510'!E547</f>
        <v/>
      </c>
      <c r="E546" s="140">
        <f>'1510'!F547</f>
        <v/>
      </c>
      <c r="F546" s="139">
        <f>'1510'!C547</f>
        <v/>
      </c>
      <c r="G546" s="155">
        <f>'1510'!G547</f>
        <v/>
      </c>
      <c r="H546" s="155">
        <f>'1510'!H547</f>
        <v/>
      </c>
      <c r="I546" s="139">
        <f>'1510'!I547</f>
        <v/>
      </c>
    </row>
    <row r="547" outlineLevel="1" ht="15" customHeight="1" s="82">
      <c r="A547" s="139">
        <f>'1510'!A548</f>
        <v/>
      </c>
      <c r="B547" s="139">
        <f>'1510'!B548</f>
        <v/>
      </c>
      <c r="C547" s="139">
        <f>'1510'!D548</f>
        <v/>
      </c>
      <c r="D547" s="140">
        <f>'1510'!E548</f>
        <v/>
      </c>
      <c r="E547" s="140">
        <f>'1510'!F548</f>
        <v/>
      </c>
      <c r="F547" s="139">
        <f>'1510'!C548</f>
        <v/>
      </c>
      <c r="G547" s="155">
        <f>'1510'!G548</f>
        <v/>
      </c>
      <c r="H547" s="155">
        <f>'1510'!H548</f>
        <v/>
      </c>
      <c r="I547" s="139">
        <f>'1510'!I548</f>
        <v/>
      </c>
    </row>
    <row r="548" outlineLevel="1" ht="15" customHeight="1" s="82">
      <c r="A548" s="139">
        <f>'1510'!A549</f>
        <v/>
      </c>
      <c r="B548" s="139">
        <f>'1510'!B549</f>
        <v/>
      </c>
      <c r="C548" s="139">
        <f>'1510'!D549</f>
        <v/>
      </c>
      <c r="D548" s="140">
        <f>'1510'!E549</f>
        <v/>
      </c>
      <c r="E548" s="140">
        <f>'1510'!F549</f>
        <v/>
      </c>
      <c r="F548" s="139">
        <f>'1510'!C549</f>
        <v/>
      </c>
      <c r="G548" s="155">
        <f>'1510'!G549</f>
        <v/>
      </c>
      <c r="H548" s="155">
        <f>'1510'!H549</f>
        <v/>
      </c>
      <c r="I548" s="139">
        <f>'1510'!I549</f>
        <v/>
      </c>
    </row>
    <row r="549" outlineLevel="1" ht="15" customHeight="1" s="82">
      <c r="A549" s="139">
        <f>'1510'!A550</f>
        <v/>
      </c>
      <c r="B549" s="139">
        <f>'1510'!B550</f>
        <v/>
      </c>
      <c r="C549" s="139">
        <f>'1510'!D550</f>
        <v/>
      </c>
      <c r="D549" s="140">
        <f>'1510'!E550</f>
        <v/>
      </c>
      <c r="E549" s="140">
        <f>'1510'!F550</f>
        <v/>
      </c>
      <c r="F549" s="139">
        <f>'1510'!C550</f>
        <v/>
      </c>
      <c r="G549" s="155">
        <f>'1510'!G550</f>
        <v/>
      </c>
      <c r="H549" s="155">
        <f>'1510'!H550</f>
        <v/>
      </c>
      <c r="I549" s="139">
        <f>'1510'!I550</f>
        <v/>
      </c>
    </row>
    <row r="550" outlineLevel="1" ht="15" customHeight="1" s="82">
      <c r="A550" s="139">
        <f>'1510'!A551</f>
        <v/>
      </c>
      <c r="B550" s="139">
        <f>'1510'!B551</f>
        <v/>
      </c>
      <c r="C550" s="139">
        <f>'1510'!D551</f>
        <v/>
      </c>
      <c r="D550" s="140">
        <f>'1510'!E551</f>
        <v/>
      </c>
      <c r="E550" s="140">
        <f>'1510'!F551</f>
        <v/>
      </c>
      <c r="F550" s="139">
        <f>'1510'!C551</f>
        <v/>
      </c>
      <c r="G550" s="155">
        <f>'1510'!G551</f>
        <v/>
      </c>
      <c r="H550" s="155">
        <f>'1510'!H551</f>
        <v/>
      </c>
      <c r="I550" s="139">
        <f>'1510'!I551</f>
        <v/>
      </c>
    </row>
    <row r="551" outlineLevel="1" ht="15" customHeight="1" s="82">
      <c r="A551" s="139">
        <f>'1510'!A552</f>
        <v/>
      </c>
      <c r="B551" s="139">
        <f>'1510'!B552</f>
        <v/>
      </c>
      <c r="C551" s="139">
        <f>'1510'!D552</f>
        <v/>
      </c>
      <c r="D551" s="140">
        <f>'1510'!E552</f>
        <v/>
      </c>
      <c r="E551" s="140">
        <f>'1510'!F552</f>
        <v/>
      </c>
      <c r="F551" s="139">
        <f>'1510'!C552</f>
        <v/>
      </c>
      <c r="G551" s="155">
        <f>'1510'!G552</f>
        <v/>
      </c>
      <c r="H551" s="155">
        <f>'1510'!H552</f>
        <v/>
      </c>
      <c r="I551" s="139">
        <f>'1510'!I552</f>
        <v/>
      </c>
    </row>
    <row r="552" outlineLevel="1" ht="15" customHeight="1" s="82">
      <c r="A552" s="139">
        <f>'1510'!A553</f>
        <v/>
      </c>
      <c r="B552" s="139">
        <f>'1510'!B553</f>
        <v/>
      </c>
      <c r="C552" s="139">
        <f>'1510'!D553</f>
        <v/>
      </c>
      <c r="D552" s="140">
        <f>'1510'!E553</f>
        <v/>
      </c>
      <c r="E552" s="140">
        <f>'1510'!F553</f>
        <v/>
      </c>
      <c r="F552" s="139">
        <f>'1510'!C553</f>
        <v/>
      </c>
      <c r="G552" s="155">
        <f>'1510'!G553</f>
        <v/>
      </c>
      <c r="H552" s="155">
        <f>'1510'!H553</f>
        <v/>
      </c>
      <c r="I552" s="139">
        <f>'1510'!I553</f>
        <v/>
      </c>
    </row>
    <row r="553" outlineLevel="1" ht="15" customHeight="1" s="82">
      <c r="A553" s="139">
        <f>'1510'!A554</f>
        <v/>
      </c>
      <c r="B553" s="139">
        <f>'1510'!B554</f>
        <v/>
      </c>
      <c r="C553" s="139">
        <f>'1510'!D554</f>
        <v/>
      </c>
      <c r="D553" s="140">
        <f>'1510'!E554</f>
        <v/>
      </c>
      <c r="E553" s="140">
        <f>'1510'!F554</f>
        <v/>
      </c>
      <c r="F553" s="139">
        <f>'1510'!C554</f>
        <v/>
      </c>
      <c r="G553" s="155">
        <f>'1510'!G554</f>
        <v/>
      </c>
      <c r="H553" s="155">
        <f>'1510'!H554</f>
        <v/>
      </c>
      <c r="I553" s="139">
        <f>'1510'!I554</f>
        <v/>
      </c>
    </row>
    <row r="554" outlineLevel="1" ht="15" customHeight="1" s="82">
      <c r="A554" s="139">
        <f>'1510'!A555</f>
        <v/>
      </c>
      <c r="B554" s="139">
        <f>'1510'!B555</f>
        <v/>
      </c>
      <c r="C554" s="139">
        <f>'1510'!D555</f>
        <v/>
      </c>
      <c r="D554" s="140">
        <f>'1510'!E555</f>
        <v/>
      </c>
      <c r="E554" s="140">
        <f>'1510'!F555</f>
        <v/>
      </c>
      <c r="F554" s="139">
        <f>'1510'!C555</f>
        <v/>
      </c>
      <c r="G554" s="155">
        <f>'1510'!G555</f>
        <v/>
      </c>
      <c r="H554" s="155">
        <f>'1510'!H555</f>
        <v/>
      </c>
      <c r="I554" s="139">
        <f>'1510'!I555</f>
        <v/>
      </c>
    </row>
    <row r="555" outlineLevel="1" ht="15" customHeight="1" s="82">
      <c r="A555" s="139">
        <f>'1510'!A556</f>
        <v/>
      </c>
      <c r="B555" s="139">
        <f>'1510'!B556</f>
        <v/>
      </c>
      <c r="C555" s="139">
        <f>'1510'!D556</f>
        <v/>
      </c>
      <c r="D555" s="140">
        <f>'1510'!E556</f>
        <v/>
      </c>
      <c r="E555" s="140">
        <f>'1510'!F556</f>
        <v/>
      </c>
      <c r="F555" s="139">
        <f>'1510'!C556</f>
        <v/>
      </c>
      <c r="G555" s="155">
        <f>'1510'!G556</f>
        <v/>
      </c>
      <c r="H555" s="155">
        <f>'1510'!H556</f>
        <v/>
      </c>
      <c r="I555" s="139">
        <f>'1510'!I556</f>
        <v/>
      </c>
    </row>
    <row r="556" outlineLevel="1" ht="15" customHeight="1" s="82">
      <c r="A556" s="139">
        <f>'1510'!A557</f>
        <v/>
      </c>
      <c r="B556" s="139">
        <f>'1510'!B557</f>
        <v/>
      </c>
      <c r="C556" s="139">
        <f>'1510'!D557</f>
        <v/>
      </c>
      <c r="D556" s="140">
        <f>'1510'!E557</f>
        <v/>
      </c>
      <c r="E556" s="140">
        <f>'1510'!F557</f>
        <v/>
      </c>
      <c r="F556" s="139">
        <f>'1510'!C557</f>
        <v/>
      </c>
      <c r="G556" s="155">
        <f>'1510'!G557</f>
        <v/>
      </c>
      <c r="H556" s="155">
        <f>'1510'!H557</f>
        <v/>
      </c>
      <c r="I556" s="139">
        <f>'1510'!I557</f>
        <v/>
      </c>
    </row>
    <row r="557" outlineLevel="1" ht="15" customHeight="1" s="82">
      <c r="A557" s="139">
        <f>'1510'!A558</f>
        <v/>
      </c>
      <c r="B557" s="139">
        <f>'1510'!B558</f>
        <v/>
      </c>
      <c r="C557" s="139">
        <f>'1510'!D558</f>
        <v/>
      </c>
      <c r="D557" s="140">
        <f>'1510'!E558</f>
        <v/>
      </c>
      <c r="E557" s="140">
        <f>'1510'!F558</f>
        <v/>
      </c>
      <c r="F557" s="139">
        <f>'1510'!C558</f>
        <v/>
      </c>
      <c r="G557" s="155">
        <f>'1510'!G558</f>
        <v/>
      </c>
      <c r="H557" s="155">
        <f>'1510'!H558</f>
        <v/>
      </c>
      <c r="I557" s="139">
        <f>'1510'!I558</f>
        <v/>
      </c>
    </row>
    <row r="558" outlineLevel="1" ht="15" customHeight="1" s="82">
      <c r="A558" s="139">
        <f>'1510'!A559</f>
        <v/>
      </c>
      <c r="B558" s="139">
        <f>'1510'!B559</f>
        <v/>
      </c>
      <c r="C558" s="139">
        <f>'1510'!D559</f>
        <v/>
      </c>
      <c r="D558" s="140">
        <f>'1510'!E559</f>
        <v/>
      </c>
      <c r="E558" s="140">
        <f>'1510'!F559</f>
        <v/>
      </c>
      <c r="F558" s="139">
        <f>'1510'!C559</f>
        <v/>
      </c>
      <c r="G558" s="155">
        <f>'1510'!G559</f>
        <v/>
      </c>
      <c r="H558" s="155">
        <f>'1510'!H559</f>
        <v/>
      </c>
      <c r="I558" s="139">
        <f>'1510'!I559</f>
        <v/>
      </c>
    </row>
    <row r="559" outlineLevel="1" ht="15" customHeight="1" s="82">
      <c r="A559" s="139">
        <f>'1510'!A560</f>
        <v/>
      </c>
      <c r="B559" s="139">
        <f>'1510'!B560</f>
        <v/>
      </c>
      <c r="C559" s="139">
        <f>'1510'!D560</f>
        <v/>
      </c>
      <c r="D559" s="140">
        <f>'1510'!E560</f>
        <v/>
      </c>
      <c r="E559" s="140">
        <f>'1510'!F560</f>
        <v/>
      </c>
      <c r="F559" s="139">
        <f>'1510'!C560</f>
        <v/>
      </c>
      <c r="G559" s="155">
        <f>'1510'!G560</f>
        <v/>
      </c>
      <c r="H559" s="155">
        <f>'1510'!H560</f>
        <v/>
      </c>
      <c r="I559" s="139">
        <f>'1510'!I560</f>
        <v/>
      </c>
    </row>
    <row r="560" outlineLevel="1" ht="15" customHeight="1" s="82">
      <c r="A560" s="139">
        <f>'1510'!A561</f>
        <v/>
      </c>
      <c r="B560" s="139">
        <f>'1510'!B561</f>
        <v/>
      </c>
      <c r="C560" s="139">
        <f>'1510'!D561</f>
        <v/>
      </c>
      <c r="D560" s="140">
        <f>'1510'!E561</f>
        <v/>
      </c>
      <c r="E560" s="140">
        <f>'1510'!F561</f>
        <v/>
      </c>
      <c r="F560" s="139">
        <f>'1510'!C561</f>
        <v/>
      </c>
      <c r="G560" s="155">
        <f>'1510'!G561</f>
        <v/>
      </c>
      <c r="H560" s="155">
        <f>'1510'!H561</f>
        <v/>
      </c>
      <c r="I560" s="139">
        <f>'1510'!I561</f>
        <v/>
      </c>
    </row>
    <row r="561" outlineLevel="1" ht="15" customHeight="1" s="82">
      <c r="A561" s="139">
        <f>'1510'!A562</f>
        <v/>
      </c>
      <c r="B561" s="139">
        <f>'1510'!B562</f>
        <v/>
      </c>
      <c r="C561" s="139">
        <f>'1510'!D562</f>
        <v/>
      </c>
      <c r="D561" s="140">
        <f>'1510'!E562</f>
        <v/>
      </c>
      <c r="E561" s="140">
        <f>'1510'!F562</f>
        <v/>
      </c>
      <c r="F561" s="139">
        <f>'1510'!C562</f>
        <v/>
      </c>
      <c r="G561" s="155">
        <f>'1510'!G562</f>
        <v/>
      </c>
      <c r="H561" s="155">
        <f>'1510'!H562</f>
        <v/>
      </c>
      <c r="I561" s="139">
        <f>'1510'!I562</f>
        <v/>
      </c>
    </row>
    <row r="562" outlineLevel="1" ht="15" customHeight="1" s="82">
      <c r="A562" s="139">
        <f>'1510'!A563</f>
        <v/>
      </c>
      <c r="B562" s="139">
        <f>'1510'!B563</f>
        <v/>
      </c>
      <c r="C562" s="139">
        <f>'1510'!D563</f>
        <v/>
      </c>
      <c r="D562" s="140">
        <f>'1510'!E563</f>
        <v/>
      </c>
      <c r="E562" s="140">
        <f>'1510'!F563</f>
        <v/>
      </c>
      <c r="F562" s="139">
        <f>'1510'!C563</f>
        <v/>
      </c>
      <c r="G562" s="155">
        <f>'1510'!G563</f>
        <v/>
      </c>
      <c r="H562" s="155">
        <f>'1510'!H563</f>
        <v/>
      </c>
      <c r="I562" s="139">
        <f>'1510'!I563</f>
        <v/>
      </c>
    </row>
    <row r="563" outlineLevel="1" ht="15" customHeight="1" s="82">
      <c r="A563" s="139">
        <f>'1510'!A564</f>
        <v/>
      </c>
      <c r="B563" s="139">
        <f>'1510'!B564</f>
        <v/>
      </c>
      <c r="C563" s="139">
        <f>'1510'!D564</f>
        <v/>
      </c>
      <c r="D563" s="140">
        <f>'1510'!E564</f>
        <v/>
      </c>
      <c r="E563" s="140">
        <f>'1510'!F564</f>
        <v/>
      </c>
      <c r="F563" s="139">
        <f>'1510'!C564</f>
        <v/>
      </c>
      <c r="G563" s="155">
        <f>'1510'!G564</f>
        <v/>
      </c>
      <c r="H563" s="155">
        <f>'1510'!H564</f>
        <v/>
      </c>
      <c r="I563" s="139">
        <f>'1510'!I564</f>
        <v/>
      </c>
    </row>
    <row r="564" outlineLevel="1" ht="15" customHeight="1" s="82">
      <c r="A564" s="139">
        <f>'1510'!A565</f>
        <v/>
      </c>
      <c r="B564" s="139">
        <f>'1510'!B565</f>
        <v/>
      </c>
      <c r="C564" s="139">
        <f>'1510'!D565</f>
        <v/>
      </c>
      <c r="D564" s="140">
        <f>'1510'!E565</f>
        <v/>
      </c>
      <c r="E564" s="140">
        <f>'1510'!F565</f>
        <v/>
      </c>
      <c r="F564" s="139">
        <f>'1510'!C565</f>
        <v/>
      </c>
      <c r="G564" s="155">
        <f>'1510'!G565</f>
        <v/>
      </c>
      <c r="H564" s="155">
        <f>'1510'!H565</f>
        <v/>
      </c>
      <c r="I564" s="139">
        <f>'1510'!I565</f>
        <v/>
      </c>
    </row>
    <row r="565" outlineLevel="1" ht="15" customHeight="1" s="82">
      <c r="A565" s="139">
        <f>'1510'!A566</f>
        <v/>
      </c>
      <c r="B565" s="139">
        <f>'1510'!B566</f>
        <v/>
      </c>
      <c r="C565" s="139">
        <f>'1510'!D566</f>
        <v/>
      </c>
      <c r="D565" s="140">
        <f>'1510'!E566</f>
        <v/>
      </c>
      <c r="E565" s="140">
        <f>'1510'!F566</f>
        <v/>
      </c>
      <c r="F565" s="139">
        <f>'1510'!C566</f>
        <v/>
      </c>
      <c r="G565" s="155">
        <f>'1510'!G566</f>
        <v/>
      </c>
      <c r="H565" s="155">
        <f>'1510'!H566</f>
        <v/>
      </c>
      <c r="I565" s="139">
        <f>'1510'!I566</f>
        <v/>
      </c>
    </row>
    <row r="566" outlineLevel="1" ht="15" customHeight="1" s="82">
      <c r="A566" s="139">
        <f>'1510'!A567</f>
        <v/>
      </c>
      <c r="B566" s="139">
        <f>'1510'!B567</f>
        <v/>
      </c>
      <c r="C566" s="139">
        <f>'1510'!D567</f>
        <v/>
      </c>
      <c r="D566" s="140">
        <f>'1510'!E567</f>
        <v/>
      </c>
      <c r="E566" s="140">
        <f>'1510'!F567</f>
        <v/>
      </c>
      <c r="F566" s="139">
        <f>'1510'!C567</f>
        <v/>
      </c>
      <c r="G566" s="155">
        <f>'1510'!G567</f>
        <v/>
      </c>
      <c r="H566" s="155">
        <f>'1510'!H567</f>
        <v/>
      </c>
      <c r="I566" s="139">
        <f>'1510'!I567</f>
        <v/>
      </c>
    </row>
    <row r="567" outlineLevel="1" ht="15" customHeight="1" s="82">
      <c r="A567" s="139">
        <f>'1510'!A568</f>
        <v/>
      </c>
      <c r="B567" s="139">
        <f>'1510'!B568</f>
        <v/>
      </c>
      <c r="C567" s="139">
        <f>'1510'!D568</f>
        <v/>
      </c>
      <c r="D567" s="140">
        <f>'1510'!E568</f>
        <v/>
      </c>
      <c r="E567" s="140">
        <f>'1510'!F568</f>
        <v/>
      </c>
      <c r="F567" s="139">
        <f>'1510'!C568</f>
        <v/>
      </c>
      <c r="G567" s="155">
        <f>'1510'!G568</f>
        <v/>
      </c>
      <c r="H567" s="155">
        <f>'1510'!H568</f>
        <v/>
      </c>
      <c r="I567" s="139">
        <f>'1510'!I568</f>
        <v/>
      </c>
    </row>
    <row r="568" outlineLevel="1" ht="15" customHeight="1" s="82">
      <c r="A568" s="139">
        <f>'1510'!A569</f>
        <v/>
      </c>
      <c r="B568" s="139">
        <f>'1510'!B569</f>
        <v/>
      </c>
      <c r="C568" s="139">
        <f>'1510'!D569</f>
        <v/>
      </c>
      <c r="D568" s="140">
        <f>'1510'!E569</f>
        <v/>
      </c>
      <c r="E568" s="140">
        <f>'1510'!F569</f>
        <v/>
      </c>
      <c r="F568" s="139">
        <f>'1510'!C569</f>
        <v/>
      </c>
      <c r="G568" s="155">
        <f>'1510'!G569</f>
        <v/>
      </c>
      <c r="H568" s="155">
        <f>'1510'!H569</f>
        <v/>
      </c>
      <c r="I568" s="139">
        <f>'1510'!I569</f>
        <v/>
      </c>
    </row>
    <row r="569" outlineLevel="1" ht="15" customHeight="1" s="82">
      <c r="A569" s="139">
        <f>'1510'!A570</f>
        <v/>
      </c>
      <c r="B569" s="139">
        <f>'1510'!B570</f>
        <v/>
      </c>
      <c r="C569" s="139">
        <f>'1510'!D570</f>
        <v/>
      </c>
      <c r="D569" s="140">
        <f>'1510'!E570</f>
        <v/>
      </c>
      <c r="E569" s="140">
        <f>'1510'!F570</f>
        <v/>
      </c>
      <c r="F569" s="139">
        <f>'1510'!C570</f>
        <v/>
      </c>
      <c r="G569" s="155">
        <f>'1510'!G570</f>
        <v/>
      </c>
      <c r="H569" s="155">
        <f>'1510'!H570</f>
        <v/>
      </c>
      <c r="I569" s="139">
        <f>'1510'!I570</f>
        <v/>
      </c>
    </row>
    <row r="570" outlineLevel="1" ht="15" customHeight="1" s="82">
      <c r="A570" s="139">
        <f>'1510'!A571</f>
        <v/>
      </c>
      <c r="B570" s="139">
        <f>'1510'!B571</f>
        <v/>
      </c>
      <c r="C570" s="139">
        <f>'1510'!D571</f>
        <v/>
      </c>
      <c r="D570" s="140">
        <f>'1510'!E571</f>
        <v/>
      </c>
      <c r="E570" s="140">
        <f>'1510'!F571</f>
        <v/>
      </c>
      <c r="F570" s="139">
        <f>'1510'!C571</f>
        <v/>
      </c>
      <c r="G570" s="155">
        <f>'1510'!G571</f>
        <v/>
      </c>
      <c r="H570" s="155">
        <f>'1510'!H571</f>
        <v/>
      </c>
      <c r="I570" s="139">
        <f>'1510'!I571</f>
        <v/>
      </c>
    </row>
    <row r="571" outlineLevel="1" ht="15" customHeight="1" s="82">
      <c r="A571" s="139">
        <f>'1510'!A572</f>
        <v/>
      </c>
      <c r="B571" s="139">
        <f>'1510'!B572</f>
        <v/>
      </c>
      <c r="C571" s="139">
        <f>'1510'!D572</f>
        <v/>
      </c>
      <c r="D571" s="140">
        <f>'1510'!E572</f>
        <v/>
      </c>
      <c r="E571" s="140">
        <f>'1510'!F572</f>
        <v/>
      </c>
      <c r="F571" s="139">
        <f>'1510'!C572</f>
        <v/>
      </c>
      <c r="G571" s="155">
        <f>'1510'!G572</f>
        <v/>
      </c>
      <c r="H571" s="155">
        <f>'1510'!H572</f>
        <v/>
      </c>
      <c r="I571" s="139">
        <f>'1510'!I572</f>
        <v/>
      </c>
    </row>
    <row r="572" outlineLevel="1" ht="15" customHeight="1" s="82">
      <c r="A572" s="139">
        <f>'1510'!A573</f>
        <v/>
      </c>
      <c r="B572" s="139">
        <f>'1510'!B573</f>
        <v/>
      </c>
      <c r="C572" s="139">
        <f>'1510'!D573</f>
        <v/>
      </c>
      <c r="D572" s="140">
        <f>'1510'!E573</f>
        <v/>
      </c>
      <c r="E572" s="140">
        <f>'1510'!F573</f>
        <v/>
      </c>
      <c r="F572" s="139">
        <f>'1510'!C573</f>
        <v/>
      </c>
      <c r="G572" s="155">
        <f>'1510'!G573</f>
        <v/>
      </c>
      <c r="H572" s="155">
        <f>'1510'!H573</f>
        <v/>
      </c>
      <c r="I572" s="139">
        <f>'1510'!I573</f>
        <v/>
      </c>
    </row>
    <row r="573" outlineLevel="1" ht="15" customHeight="1" s="82">
      <c r="A573" s="139">
        <f>'1510'!A574</f>
        <v/>
      </c>
      <c r="B573" s="139">
        <f>'1510'!B574</f>
        <v/>
      </c>
      <c r="C573" s="139">
        <f>'1510'!D574</f>
        <v/>
      </c>
      <c r="D573" s="140">
        <f>'1510'!E574</f>
        <v/>
      </c>
      <c r="E573" s="140">
        <f>'1510'!F574</f>
        <v/>
      </c>
      <c r="F573" s="139">
        <f>'1510'!C574</f>
        <v/>
      </c>
      <c r="G573" s="155">
        <f>'1510'!G574</f>
        <v/>
      </c>
      <c r="H573" s="155">
        <f>'1510'!H574</f>
        <v/>
      </c>
      <c r="I573" s="139">
        <f>'1510'!I574</f>
        <v/>
      </c>
    </row>
    <row r="574" outlineLevel="1" ht="15" customHeight="1" s="82">
      <c r="A574" s="139">
        <f>'1510'!A575</f>
        <v/>
      </c>
      <c r="B574" s="139">
        <f>'1510'!B575</f>
        <v/>
      </c>
      <c r="C574" s="139">
        <f>'1510'!D575</f>
        <v/>
      </c>
      <c r="D574" s="140">
        <f>'1510'!E575</f>
        <v/>
      </c>
      <c r="E574" s="140">
        <f>'1510'!F575</f>
        <v/>
      </c>
      <c r="F574" s="139">
        <f>'1510'!C575</f>
        <v/>
      </c>
      <c r="G574" s="155">
        <f>'1510'!G575</f>
        <v/>
      </c>
      <c r="H574" s="155">
        <f>'1510'!H575</f>
        <v/>
      </c>
      <c r="I574" s="139">
        <f>'1510'!I575</f>
        <v/>
      </c>
    </row>
    <row r="575" outlineLevel="1" ht="15" customHeight="1" s="82">
      <c r="A575" s="139">
        <f>'1510'!A576</f>
        <v/>
      </c>
      <c r="B575" s="139">
        <f>'1510'!B576</f>
        <v/>
      </c>
      <c r="C575" s="139">
        <f>'1510'!D576</f>
        <v/>
      </c>
      <c r="D575" s="140">
        <f>'1510'!E576</f>
        <v/>
      </c>
      <c r="E575" s="140">
        <f>'1510'!F576</f>
        <v/>
      </c>
      <c r="F575" s="139">
        <f>'1510'!C576</f>
        <v/>
      </c>
      <c r="G575" s="155">
        <f>'1510'!G576</f>
        <v/>
      </c>
      <c r="H575" s="155">
        <f>'1510'!H576</f>
        <v/>
      </c>
      <c r="I575" s="139">
        <f>'1510'!I576</f>
        <v/>
      </c>
    </row>
    <row r="576" outlineLevel="1" ht="15" customHeight="1" s="82">
      <c r="A576" s="139">
        <f>'1510'!A577</f>
        <v/>
      </c>
      <c r="B576" s="139">
        <f>'1510'!B577</f>
        <v/>
      </c>
      <c r="C576" s="139">
        <f>'1510'!D577</f>
        <v/>
      </c>
      <c r="D576" s="140">
        <f>'1510'!E577</f>
        <v/>
      </c>
      <c r="E576" s="140">
        <f>'1510'!F577</f>
        <v/>
      </c>
      <c r="F576" s="139">
        <f>'1510'!C577</f>
        <v/>
      </c>
      <c r="G576" s="155">
        <f>'1510'!G577</f>
        <v/>
      </c>
      <c r="H576" s="155">
        <f>'1510'!H577</f>
        <v/>
      </c>
      <c r="I576" s="139">
        <f>'1510'!I577</f>
        <v/>
      </c>
    </row>
    <row r="577" outlineLevel="1" ht="15" customHeight="1" s="82">
      <c r="A577" s="139">
        <f>'1510'!A578</f>
        <v/>
      </c>
      <c r="B577" s="139">
        <f>'1510'!B578</f>
        <v/>
      </c>
      <c r="C577" s="139">
        <f>'1510'!D578</f>
        <v/>
      </c>
      <c r="D577" s="140">
        <f>'1510'!E578</f>
        <v/>
      </c>
      <c r="E577" s="140">
        <f>'1510'!F578</f>
        <v/>
      </c>
      <c r="F577" s="139">
        <f>'1510'!C578</f>
        <v/>
      </c>
      <c r="G577" s="155">
        <f>'1510'!G578</f>
        <v/>
      </c>
      <c r="H577" s="155">
        <f>'1510'!H578</f>
        <v/>
      </c>
      <c r="I577" s="139">
        <f>'1510'!I578</f>
        <v/>
      </c>
    </row>
    <row r="578" outlineLevel="1" ht="15" customHeight="1" s="82">
      <c r="A578" s="139">
        <f>'1510'!A579</f>
        <v/>
      </c>
      <c r="B578" s="139">
        <f>'1510'!B579</f>
        <v/>
      </c>
      <c r="C578" s="139">
        <f>'1510'!D579</f>
        <v/>
      </c>
      <c r="D578" s="140">
        <f>'1510'!E579</f>
        <v/>
      </c>
      <c r="E578" s="140">
        <f>'1510'!F579</f>
        <v/>
      </c>
      <c r="F578" s="139">
        <f>'1510'!C579</f>
        <v/>
      </c>
      <c r="G578" s="155">
        <f>'1510'!G579</f>
        <v/>
      </c>
      <c r="H578" s="155">
        <f>'1510'!H579</f>
        <v/>
      </c>
      <c r="I578" s="139">
        <f>'1510'!I579</f>
        <v/>
      </c>
    </row>
    <row r="579" outlineLevel="1" ht="15" customHeight="1" s="82">
      <c r="A579" s="139">
        <f>'1510'!A580</f>
        <v/>
      </c>
      <c r="B579" s="139">
        <f>'1510'!B580</f>
        <v/>
      </c>
      <c r="C579" s="139">
        <f>'1510'!D580</f>
        <v/>
      </c>
      <c r="D579" s="140">
        <f>'1510'!E580</f>
        <v/>
      </c>
      <c r="E579" s="140">
        <f>'1510'!F580</f>
        <v/>
      </c>
      <c r="F579" s="139">
        <f>'1510'!C580</f>
        <v/>
      </c>
      <c r="G579" s="155">
        <f>'1510'!G580</f>
        <v/>
      </c>
      <c r="H579" s="155">
        <f>'1510'!H580</f>
        <v/>
      </c>
      <c r="I579" s="139">
        <f>'1510'!I580</f>
        <v/>
      </c>
    </row>
    <row r="580" outlineLevel="1" ht="15" customHeight="1" s="82">
      <c r="A580" s="139">
        <f>'1510'!A581</f>
        <v/>
      </c>
      <c r="B580" s="139">
        <f>'1510'!B581</f>
        <v/>
      </c>
      <c r="C580" s="139">
        <f>'1510'!D581</f>
        <v/>
      </c>
      <c r="D580" s="140">
        <f>'1510'!E581</f>
        <v/>
      </c>
      <c r="E580" s="140">
        <f>'1510'!F581</f>
        <v/>
      </c>
      <c r="F580" s="139">
        <f>'1510'!C581</f>
        <v/>
      </c>
      <c r="G580" s="155">
        <f>'1510'!G581</f>
        <v/>
      </c>
      <c r="H580" s="155">
        <f>'1510'!H581</f>
        <v/>
      </c>
      <c r="I580" s="139">
        <f>'1510'!I581</f>
        <v/>
      </c>
    </row>
    <row r="581" outlineLevel="1" ht="15" customHeight="1" s="82">
      <c r="A581" s="139">
        <f>'1510'!A582</f>
        <v/>
      </c>
      <c r="B581" s="139">
        <f>'1510'!B582</f>
        <v/>
      </c>
      <c r="C581" s="139">
        <f>'1510'!D582</f>
        <v/>
      </c>
      <c r="D581" s="140">
        <f>'1510'!E582</f>
        <v/>
      </c>
      <c r="E581" s="140">
        <f>'1510'!F582</f>
        <v/>
      </c>
      <c r="F581" s="139">
        <f>'1510'!C582</f>
        <v/>
      </c>
      <c r="G581" s="155">
        <f>'1510'!G582</f>
        <v/>
      </c>
      <c r="H581" s="155">
        <f>'1510'!H582</f>
        <v/>
      </c>
      <c r="I581" s="139">
        <f>'1510'!I582</f>
        <v/>
      </c>
    </row>
    <row r="582" outlineLevel="1" ht="15" customHeight="1" s="82">
      <c r="A582" s="139">
        <f>'1510'!A583</f>
        <v/>
      </c>
      <c r="B582" s="139">
        <f>'1510'!B583</f>
        <v/>
      </c>
      <c r="C582" s="139">
        <f>'1510'!D583</f>
        <v/>
      </c>
      <c r="D582" s="140">
        <f>'1510'!E583</f>
        <v/>
      </c>
      <c r="E582" s="140">
        <f>'1510'!F583</f>
        <v/>
      </c>
      <c r="F582" s="139">
        <f>'1510'!C583</f>
        <v/>
      </c>
      <c r="G582" s="155">
        <f>'1510'!G583</f>
        <v/>
      </c>
      <c r="H582" s="155">
        <f>'1510'!H583</f>
        <v/>
      </c>
      <c r="I582" s="139">
        <f>'1510'!I583</f>
        <v/>
      </c>
    </row>
    <row r="583" outlineLevel="1" ht="15" customHeight="1" s="82">
      <c r="A583" s="139">
        <f>'1510'!A584</f>
        <v/>
      </c>
      <c r="B583" s="139">
        <f>'1510'!B584</f>
        <v/>
      </c>
      <c r="C583" s="139">
        <f>'1510'!D584</f>
        <v/>
      </c>
      <c r="D583" s="140">
        <f>'1510'!E584</f>
        <v/>
      </c>
      <c r="E583" s="140">
        <f>'1510'!F584</f>
        <v/>
      </c>
      <c r="F583" s="139">
        <f>'1510'!C584</f>
        <v/>
      </c>
      <c r="G583" s="155">
        <f>'1510'!G584</f>
        <v/>
      </c>
      <c r="H583" s="155">
        <f>'1510'!H584</f>
        <v/>
      </c>
      <c r="I583" s="139">
        <f>'1510'!I584</f>
        <v/>
      </c>
    </row>
    <row r="584" outlineLevel="1" ht="15" customHeight="1" s="82">
      <c r="A584" s="139">
        <f>'1510'!A585</f>
        <v/>
      </c>
      <c r="B584" s="139">
        <f>'1510'!B585</f>
        <v/>
      </c>
      <c r="C584" s="139">
        <f>'1510'!D585</f>
        <v/>
      </c>
      <c r="D584" s="140">
        <f>'1510'!E585</f>
        <v/>
      </c>
      <c r="E584" s="140">
        <f>'1510'!F585</f>
        <v/>
      </c>
      <c r="F584" s="139">
        <f>'1510'!C585</f>
        <v/>
      </c>
      <c r="G584" s="155">
        <f>'1510'!G585</f>
        <v/>
      </c>
      <c r="H584" s="155">
        <f>'1510'!H585</f>
        <v/>
      </c>
      <c r="I584" s="139">
        <f>'1510'!I585</f>
        <v/>
      </c>
    </row>
    <row r="585" outlineLevel="1" ht="15" customHeight="1" s="82">
      <c r="A585" s="139">
        <f>'1510'!A586</f>
        <v/>
      </c>
      <c r="B585" s="139">
        <f>'1510'!B586</f>
        <v/>
      </c>
      <c r="C585" s="139">
        <f>'1510'!D586</f>
        <v/>
      </c>
      <c r="D585" s="140">
        <f>'1510'!E586</f>
        <v/>
      </c>
      <c r="E585" s="140">
        <f>'1510'!F586</f>
        <v/>
      </c>
      <c r="F585" s="139">
        <f>'1510'!C586</f>
        <v/>
      </c>
      <c r="G585" s="155">
        <f>'1510'!G586</f>
        <v/>
      </c>
      <c r="H585" s="155">
        <f>'1510'!H586</f>
        <v/>
      </c>
      <c r="I585" s="139">
        <f>'1510'!I586</f>
        <v/>
      </c>
    </row>
    <row r="586" outlineLevel="1" ht="15" customHeight="1" s="82">
      <c r="A586" s="139">
        <f>'1510'!A587</f>
        <v/>
      </c>
      <c r="B586" s="139">
        <f>'1510'!B587</f>
        <v/>
      </c>
      <c r="C586" s="139">
        <f>'1510'!D587</f>
        <v/>
      </c>
      <c r="D586" s="140">
        <f>'1510'!E587</f>
        <v/>
      </c>
      <c r="E586" s="140">
        <f>'1510'!F587</f>
        <v/>
      </c>
      <c r="F586" s="139">
        <f>'1510'!C587</f>
        <v/>
      </c>
      <c r="G586" s="155">
        <f>'1510'!G587</f>
        <v/>
      </c>
      <c r="H586" s="155">
        <f>'1510'!H587</f>
        <v/>
      </c>
      <c r="I586" s="139">
        <f>'1510'!I587</f>
        <v/>
      </c>
    </row>
    <row r="587" outlineLevel="1" ht="15" customHeight="1" s="82">
      <c r="A587" s="139">
        <f>'1510'!A588</f>
        <v/>
      </c>
      <c r="B587" s="139">
        <f>'1510'!B588</f>
        <v/>
      </c>
      <c r="C587" s="139">
        <f>'1510'!D588</f>
        <v/>
      </c>
      <c r="D587" s="140">
        <f>'1510'!E588</f>
        <v/>
      </c>
      <c r="E587" s="140">
        <f>'1510'!F588</f>
        <v/>
      </c>
      <c r="F587" s="139">
        <f>'1510'!C588</f>
        <v/>
      </c>
      <c r="G587" s="155">
        <f>'1510'!G588</f>
        <v/>
      </c>
      <c r="H587" s="155">
        <f>'1510'!H588</f>
        <v/>
      </c>
      <c r="I587" s="139">
        <f>'1510'!I588</f>
        <v/>
      </c>
    </row>
    <row r="588" outlineLevel="1" ht="15" customHeight="1" s="82">
      <c r="A588" s="139">
        <f>'1510'!A589</f>
        <v/>
      </c>
      <c r="B588" s="139">
        <f>'1510'!B589</f>
        <v/>
      </c>
      <c r="C588" s="139">
        <f>'1510'!D589</f>
        <v/>
      </c>
      <c r="D588" s="140">
        <f>'1510'!E589</f>
        <v/>
      </c>
      <c r="E588" s="140">
        <f>'1510'!F589</f>
        <v/>
      </c>
      <c r="F588" s="139">
        <f>'1510'!C589</f>
        <v/>
      </c>
      <c r="G588" s="155">
        <f>'1510'!G589</f>
        <v/>
      </c>
      <c r="H588" s="155">
        <f>'1510'!H589</f>
        <v/>
      </c>
      <c r="I588" s="139">
        <f>'1510'!I589</f>
        <v/>
      </c>
    </row>
    <row r="589" outlineLevel="1" ht="15" customHeight="1" s="82">
      <c r="A589" s="139">
        <f>'1510'!A590</f>
        <v/>
      </c>
      <c r="B589" s="139">
        <f>'1510'!B590</f>
        <v/>
      </c>
      <c r="C589" s="139">
        <f>'1510'!D590</f>
        <v/>
      </c>
      <c r="D589" s="140">
        <f>'1510'!E590</f>
        <v/>
      </c>
      <c r="E589" s="140">
        <f>'1510'!F590</f>
        <v/>
      </c>
      <c r="F589" s="139">
        <f>'1510'!C590</f>
        <v/>
      </c>
      <c r="G589" s="155">
        <f>'1510'!G590</f>
        <v/>
      </c>
      <c r="H589" s="155">
        <f>'1510'!H590</f>
        <v/>
      </c>
      <c r="I589" s="139">
        <f>'1510'!I590</f>
        <v/>
      </c>
    </row>
    <row r="590" outlineLevel="1" ht="15" customHeight="1" s="82">
      <c r="A590" s="139">
        <f>'1510'!A591</f>
        <v/>
      </c>
      <c r="B590" s="139">
        <f>'1510'!B591</f>
        <v/>
      </c>
      <c r="C590" s="139">
        <f>'1510'!D591</f>
        <v/>
      </c>
      <c r="D590" s="140">
        <f>'1510'!E591</f>
        <v/>
      </c>
      <c r="E590" s="140">
        <f>'1510'!F591</f>
        <v/>
      </c>
      <c r="F590" s="139">
        <f>'1510'!C591</f>
        <v/>
      </c>
      <c r="G590" s="155">
        <f>'1510'!G591</f>
        <v/>
      </c>
      <c r="H590" s="155">
        <f>'1510'!H591</f>
        <v/>
      </c>
      <c r="I590" s="139">
        <f>'1510'!I591</f>
        <v/>
      </c>
    </row>
    <row r="591" outlineLevel="1" ht="15" customHeight="1" s="82">
      <c r="A591" s="139">
        <f>'1510'!A592</f>
        <v/>
      </c>
      <c r="B591" s="139">
        <f>'1510'!B592</f>
        <v/>
      </c>
      <c r="C591" s="139">
        <f>'1510'!D592</f>
        <v/>
      </c>
      <c r="D591" s="140">
        <f>'1510'!E592</f>
        <v/>
      </c>
      <c r="E591" s="140">
        <f>'1510'!F592</f>
        <v/>
      </c>
      <c r="F591" s="139">
        <f>'1510'!C592</f>
        <v/>
      </c>
      <c r="G591" s="155">
        <f>'1510'!G592</f>
        <v/>
      </c>
      <c r="H591" s="155">
        <f>'1510'!H592</f>
        <v/>
      </c>
      <c r="I591" s="139">
        <f>'1510'!I592</f>
        <v/>
      </c>
    </row>
    <row r="592" outlineLevel="1" ht="15" customHeight="1" s="82">
      <c r="A592" s="139">
        <f>'1510'!A593</f>
        <v/>
      </c>
      <c r="B592" s="139">
        <f>'1510'!B593</f>
        <v/>
      </c>
      <c r="C592" s="139">
        <f>'1510'!D593</f>
        <v/>
      </c>
      <c r="D592" s="140">
        <f>'1510'!E593</f>
        <v/>
      </c>
      <c r="E592" s="140">
        <f>'1510'!F593</f>
        <v/>
      </c>
      <c r="F592" s="139">
        <f>'1510'!C593</f>
        <v/>
      </c>
      <c r="G592" s="155">
        <f>'1510'!G593</f>
        <v/>
      </c>
      <c r="H592" s="155">
        <f>'1510'!H593</f>
        <v/>
      </c>
      <c r="I592" s="139">
        <f>'1510'!I593</f>
        <v/>
      </c>
    </row>
    <row r="593" outlineLevel="1" ht="15" customHeight="1" s="82">
      <c r="A593" s="139">
        <f>'1510'!A594</f>
        <v/>
      </c>
      <c r="B593" s="139">
        <f>'1510'!B594</f>
        <v/>
      </c>
      <c r="C593" s="139">
        <f>'1510'!D594</f>
        <v/>
      </c>
      <c r="D593" s="140">
        <f>'1510'!E594</f>
        <v/>
      </c>
      <c r="E593" s="140">
        <f>'1510'!F594</f>
        <v/>
      </c>
      <c r="F593" s="139">
        <f>'1510'!C594</f>
        <v/>
      </c>
      <c r="G593" s="155">
        <f>'1510'!G594</f>
        <v/>
      </c>
      <c r="H593" s="155">
        <f>'1510'!H594</f>
        <v/>
      </c>
      <c r="I593" s="139">
        <f>'1510'!I594</f>
        <v/>
      </c>
    </row>
    <row r="594" outlineLevel="1" ht="15" customHeight="1" s="82">
      <c r="A594" s="139">
        <f>'1510'!A595</f>
        <v/>
      </c>
      <c r="B594" s="139">
        <f>'1510'!B595</f>
        <v/>
      </c>
      <c r="C594" s="139">
        <f>'1510'!D595</f>
        <v/>
      </c>
      <c r="D594" s="140">
        <f>'1510'!E595</f>
        <v/>
      </c>
      <c r="E594" s="140">
        <f>'1510'!F595</f>
        <v/>
      </c>
      <c r="F594" s="139">
        <f>'1510'!C595</f>
        <v/>
      </c>
      <c r="G594" s="155">
        <f>'1510'!G595</f>
        <v/>
      </c>
      <c r="H594" s="155">
        <f>'1510'!H595</f>
        <v/>
      </c>
      <c r="I594" s="139">
        <f>'1510'!I595</f>
        <v/>
      </c>
    </row>
    <row r="595" outlineLevel="1" ht="15" customHeight="1" s="82">
      <c r="A595" s="139">
        <f>'1510'!A596</f>
        <v/>
      </c>
      <c r="B595" s="139">
        <f>'1510'!B596</f>
        <v/>
      </c>
      <c r="C595" s="139">
        <f>'1510'!D596</f>
        <v/>
      </c>
      <c r="D595" s="140">
        <f>'1510'!E596</f>
        <v/>
      </c>
      <c r="E595" s="140">
        <f>'1510'!F596</f>
        <v/>
      </c>
      <c r="F595" s="139">
        <f>'1510'!C596</f>
        <v/>
      </c>
      <c r="G595" s="155">
        <f>'1510'!G596</f>
        <v/>
      </c>
      <c r="H595" s="155">
        <f>'1510'!H596</f>
        <v/>
      </c>
      <c r="I595" s="139">
        <f>'1510'!I596</f>
        <v/>
      </c>
    </row>
    <row r="596" outlineLevel="1" ht="15" customHeight="1" s="82">
      <c r="A596" s="139">
        <f>'1510'!A597</f>
        <v/>
      </c>
      <c r="B596" s="139">
        <f>'1510'!B597</f>
        <v/>
      </c>
      <c r="C596" s="139">
        <f>'1510'!D597</f>
        <v/>
      </c>
      <c r="D596" s="140">
        <f>'1510'!E597</f>
        <v/>
      </c>
      <c r="E596" s="140">
        <f>'1510'!F597</f>
        <v/>
      </c>
      <c r="F596" s="139">
        <f>'1510'!C597</f>
        <v/>
      </c>
      <c r="G596" s="155">
        <f>'1510'!G597</f>
        <v/>
      </c>
      <c r="H596" s="155">
        <f>'1510'!H597</f>
        <v/>
      </c>
      <c r="I596" s="139">
        <f>'1510'!I597</f>
        <v/>
      </c>
    </row>
    <row r="597" outlineLevel="1" ht="15" customHeight="1" s="82">
      <c r="A597" s="139">
        <f>'1510'!A598</f>
        <v/>
      </c>
      <c r="B597" s="139">
        <f>'1510'!B598</f>
        <v/>
      </c>
      <c r="C597" s="139">
        <f>'1510'!D598</f>
        <v/>
      </c>
      <c r="D597" s="140">
        <f>'1510'!E598</f>
        <v/>
      </c>
      <c r="E597" s="140">
        <f>'1510'!F598</f>
        <v/>
      </c>
      <c r="F597" s="139">
        <f>'1510'!C598</f>
        <v/>
      </c>
      <c r="G597" s="155">
        <f>'1510'!G598</f>
        <v/>
      </c>
      <c r="H597" s="155">
        <f>'1510'!H598</f>
        <v/>
      </c>
      <c r="I597" s="139">
        <f>'1510'!I598</f>
        <v/>
      </c>
    </row>
    <row r="598" outlineLevel="1" ht="15" customHeight="1" s="82">
      <c r="A598" s="139">
        <f>'1510'!A599</f>
        <v/>
      </c>
      <c r="B598" s="139">
        <f>'1510'!B599</f>
        <v/>
      </c>
      <c r="C598" s="139">
        <f>'1510'!D599</f>
        <v/>
      </c>
      <c r="D598" s="140">
        <f>'1510'!E599</f>
        <v/>
      </c>
      <c r="E598" s="140">
        <f>'1510'!F599</f>
        <v/>
      </c>
      <c r="F598" s="139">
        <f>'1510'!C599</f>
        <v/>
      </c>
      <c r="G598" s="155">
        <f>'1510'!G599</f>
        <v/>
      </c>
      <c r="H598" s="155">
        <f>'1510'!H599</f>
        <v/>
      </c>
      <c r="I598" s="139">
        <f>'1510'!I599</f>
        <v/>
      </c>
    </row>
    <row r="599" outlineLevel="1" ht="15" customHeight="1" s="82">
      <c r="A599" s="139">
        <f>'1510'!A600</f>
        <v/>
      </c>
      <c r="B599" s="139">
        <f>'1510'!B600</f>
        <v/>
      </c>
      <c r="C599" s="139">
        <f>'1510'!D600</f>
        <v/>
      </c>
      <c r="D599" s="140">
        <f>'1510'!E600</f>
        <v/>
      </c>
      <c r="E599" s="140">
        <f>'1510'!F600</f>
        <v/>
      </c>
      <c r="F599" s="139">
        <f>'1510'!C600</f>
        <v/>
      </c>
      <c r="G599" s="155">
        <f>'1510'!G600</f>
        <v/>
      </c>
      <c r="H599" s="155">
        <f>'1510'!H600</f>
        <v/>
      </c>
      <c r="I599" s="139">
        <f>'1510'!I600</f>
        <v/>
      </c>
    </row>
    <row r="600" outlineLevel="1" ht="15" customHeight="1" s="82">
      <c r="A600" s="139">
        <f>'1510'!A601</f>
        <v/>
      </c>
      <c r="B600" s="139">
        <f>'1510'!B601</f>
        <v/>
      </c>
      <c r="C600" s="139">
        <f>'1510'!D601</f>
        <v/>
      </c>
      <c r="D600" s="140">
        <f>'1510'!E601</f>
        <v/>
      </c>
      <c r="E600" s="140">
        <f>'1510'!F601</f>
        <v/>
      </c>
      <c r="F600" s="139">
        <f>'1510'!C601</f>
        <v/>
      </c>
      <c r="G600" s="155">
        <f>'1510'!G601</f>
        <v/>
      </c>
      <c r="H600" s="155">
        <f>'1510'!H601</f>
        <v/>
      </c>
      <c r="I600" s="139">
        <f>'1510'!I601</f>
        <v/>
      </c>
    </row>
    <row r="601" outlineLevel="1" ht="15" customHeight="1" s="82">
      <c r="A601" s="139">
        <f>'1510'!A602</f>
        <v/>
      </c>
      <c r="B601" s="139">
        <f>'1510'!B602</f>
        <v/>
      </c>
      <c r="C601" s="139">
        <f>'1510'!D602</f>
        <v/>
      </c>
      <c r="D601" s="140">
        <f>'1510'!E602</f>
        <v/>
      </c>
      <c r="E601" s="140">
        <f>'1510'!F602</f>
        <v/>
      </c>
      <c r="F601" s="139">
        <f>'1510'!C602</f>
        <v/>
      </c>
      <c r="G601" s="155">
        <f>'1510'!G602</f>
        <v/>
      </c>
      <c r="H601" s="155">
        <f>'1510'!H602</f>
        <v/>
      </c>
      <c r="I601" s="139">
        <f>'1510'!I602</f>
        <v/>
      </c>
    </row>
    <row r="602" outlineLevel="1" ht="15" customHeight="1" s="82">
      <c r="A602" s="139">
        <f>'1510'!A603</f>
        <v/>
      </c>
      <c r="B602" s="139">
        <f>'1510'!B603</f>
        <v/>
      </c>
      <c r="C602" s="139">
        <f>'1510'!D603</f>
        <v/>
      </c>
      <c r="D602" s="140">
        <f>'1510'!E603</f>
        <v/>
      </c>
      <c r="E602" s="140">
        <f>'1510'!F603</f>
        <v/>
      </c>
      <c r="F602" s="139">
        <f>'1510'!C603</f>
        <v/>
      </c>
      <c r="G602" s="155">
        <f>'1510'!G603</f>
        <v/>
      </c>
      <c r="H602" s="155">
        <f>'1510'!H603</f>
        <v/>
      </c>
      <c r="I602" s="139">
        <f>'1510'!I603</f>
        <v/>
      </c>
    </row>
    <row r="603" outlineLevel="1" ht="15" customHeight="1" s="82">
      <c r="A603" s="139">
        <f>'1510'!A604</f>
        <v/>
      </c>
      <c r="B603" s="139">
        <f>'1510'!B604</f>
        <v/>
      </c>
      <c r="C603" s="139">
        <f>'1510'!D604</f>
        <v/>
      </c>
      <c r="D603" s="140">
        <f>'1510'!E604</f>
        <v/>
      </c>
      <c r="E603" s="140">
        <f>'1510'!F604</f>
        <v/>
      </c>
      <c r="F603" s="139">
        <f>'1510'!C604</f>
        <v/>
      </c>
      <c r="G603" s="155">
        <f>'1510'!G604</f>
        <v/>
      </c>
      <c r="H603" s="155">
        <f>'1510'!H604</f>
        <v/>
      </c>
      <c r="I603" s="139">
        <f>'1510'!I604</f>
        <v/>
      </c>
    </row>
    <row r="604" outlineLevel="1" ht="15" customHeight="1" s="82">
      <c r="A604" s="139">
        <f>'1510'!A605</f>
        <v/>
      </c>
      <c r="B604" s="139">
        <f>'1510'!B605</f>
        <v/>
      </c>
      <c r="C604" s="139">
        <f>'1510'!D605</f>
        <v/>
      </c>
      <c r="D604" s="140">
        <f>'1510'!E605</f>
        <v/>
      </c>
      <c r="E604" s="140">
        <f>'1510'!F605</f>
        <v/>
      </c>
      <c r="F604" s="139">
        <f>'1510'!C605</f>
        <v/>
      </c>
      <c r="G604" s="155">
        <f>'1510'!G605</f>
        <v/>
      </c>
      <c r="H604" s="155">
        <f>'1510'!H605</f>
        <v/>
      </c>
      <c r="I604" s="139">
        <f>'1510'!I605</f>
        <v/>
      </c>
    </row>
    <row r="605" outlineLevel="1" ht="15" customHeight="1" s="82">
      <c r="A605" s="139">
        <f>'1510'!A606</f>
        <v/>
      </c>
      <c r="B605" s="139">
        <f>'1510'!B606</f>
        <v/>
      </c>
      <c r="C605" s="139">
        <f>'1510'!D606</f>
        <v/>
      </c>
      <c r="D605" s="140">
        <f>'1510'!E606</f>
        <v/>
      </c>
      <c r="E605" s="140">
        <f>'1510'!F606</f>
        <v/>
      </c>
      <c r="F605" s="139">
        <f>'1510'!C606</f>
        <v/>
      </c>
      <c r="G605" s="155">
        <f>'1510'!G606</f>
        <v/>
      </c>
      <c r="H605" s="155">
        <f>'1510'!H606</f>
        <v/>
      </c>
      <c r="I605" s="139">
        <f>'1510'!I606</f>
        <v/>
      </c>
    </row>
    <row r="606" outlineLevel="1" ht="15" customHeight="1" s="82">
      <c r="A606" s="139">
        <f>'1510'!A607</f>
        <v/>
      </c>
      <c r="B606" s="139">
        <f>'1510'!B607</f>
        <v/>
      </c>
      <c r="C606" s="139">
        <f>'1510'!D607</f>
        <v/>
      </c>
      <c r="D606" s="140">
        <f>'1510'!E607</f>
        <v/>
      </c>
      <c r="E606" s="140">
        <f>'1510'!F607</f>
        <v/>
      </c>
      <c r="F606" s="139">
        <f>'1510'!C607</f>
        <v/>
      </c>
      <c r="G606" s="155">
        <f>'1510'!G607</f>
        <v/>
      </c>
      <c r="H606" s="155">
        <f>'1510'!H607</f>
        <v/>
      </c>
      <c r="I606" s="139">
        <f>'1510'!I607</f>
        <v/>
      </c>
    </row>
    <row r="607" outlineLevel="1" ht="15" customHeight="1" s="82">
      <c r="A607" s="139">
        <f>'1510'!A608</f>
        <v/>
      </c>
      <c r="B607" s="139">
        <f>'1510'!B608</f>
        <v/>
      </c>
      <c r="C607" s="139">
        <f>'1510'!D608</f>
        <v/>
      </c>
      <c r="D607" s="140">
        <f>'1510'!E608</f>
        <v/>
      </c>
      <c r="E607" s="140">
        <f>'1510'!F608</f>
        <v/>
      </c>
      <c r="F607" s="139">
        <f>'1510'!C608</f>
        <v/>
      </c>
      <c r="G607" s="155">
        <f>'1510'!G608</f>
        <v/>
      </c>
      <c r="H607" s="155">
        <f>'1510'!H608</f>
        <v/>
      </c>
      <c r="I607" s="139">
        <f>'1510'!I608</f>
        <v/>
      </c>
    </row>
    <row r="608" outlineLevel="1" ht="15" customHeight="1" s="82">
      <c r="A608" s="139">
        <f>'1510'!A609</f>
        <v/>
      </c>
      <c r="B608" s="139">
        <f>'1510'!B609</f>
        <v/>
      </c>
      <c r="C608" s="139">
        <f>'1510'!D609</f>
        <v/>
      </c>
      <c r="D608" s="140">
        <f>'1510'!E609</f>
        <v/>
      </c>
      <c r="E608" s="140">
        <f>'1510'!F609</f>
        <v/>
      </c>
      <c r="F608" s="139">
        <f>'1510'!C609</f>
        <v/>
      </c>
      <c r="G608" s="155">
        <f>'1510'!G609</f>
        <v/>
      </c>
      <c r="H608" s="155">
        <f>'1510'!H609</f>
        <v/>
      </c>
      <c r="I608" s="139">
        <f>'1510'!I609</f>
        <v/>
      </c>
    </row>
    <row r="609" outlineLevel="1" ht="15" customHeight="1" s="82">
      <c r="A609" s="139">
        <f>'1510'!A610</f>
        <v/>
      </c>
      <c r="B609" s="139">
        <f>'1510'!B610</f>
        <v/>
      </c>
      <c r="C609" s="139">
        <f>'1510'!D610</f>
        <v/>
      </c>
      <c r="D609" s="140">
        <f>'1510'!E610</f>
        <v/>
      </c>
      <c r="E609" s="140">
        <f>'1510'!F610</f>
        <v/>
      </c>
      <c r="F609" s="139">
        <f>'1510'!C610</f>
        <v/>
      </c>
      <c r="G609" s="155">
        <f>'1510'!G610</f>
        <v/>
      </c>
      <c r="H609" s="155">
        <f>'1510'!H610</f>
        <v/>
      </c>
      <c r="I609" s="139">
        <f>'1510'!I610</f>
        <v/>
      </c>
    </row>
    <row r="610" outlineLevel="1" ht="15" customHeight="1" s="82">
      <c r="A610" s="139">
        <f>'1510'!A611</f>
        <v/>
      </c>
      <c r="B610" s="139">
        <f>'1510'!B611</f>
        <v/>
      </c>
      <c r="C610" s="139">
        <f>'1510'!D611</f>
        <v/>
      </c>
      <c r="D610" s="140">
        <f>'1510'!E611</f>
        <v/>
      </c>
      <c r="E610" s="140">
        <f>'1510'!F611</f>
        <v/>
      </c>
      <c r="F610" s="139">
        <f>'1510'!C611</f>
        <v/>
      </c>
      <c r="G610" s="155">
        <f>'1510'!G611</f>
        <v/>
      </c>
      <c r="H610" s="155">
        <f>'1510'!H611</f>
        <v/>
      </c>
      <c r="I610" s="139">
        <f>'1510'!I611</f>
        <v/>
      </c>
    </row>
    <row r="611" outlineLevel="1" ht="15" customHeight="1" s="82">
      <c r="A611" s="139">
        <f>'1510'!A612</f>
        <v/>
      </c>
      <c r="B611" s="139">
        <f>'1510'!B612</f>
        <v/>
      </c>
      <c r="C611" s="139">
        <f>'1510'!D612</f>
        <v/>
      </c>
      <c r="D611" s="140">
        <f>'1510'!E612</f>
        <v/>
      </c>
      <c r="E611" s="140">
        <f>'1510'!F612</f>
        <v/>
      </c>
      <c r="F611" s="139">
        <f>'1510'!C612</f>
        <v/>
      </c>
      <c r="G611" s="155">
        <f>'1510'!G612</f>
        <v/>
      </c>
      <c r="H611" s="155">
        <f>'1510'!H612</f>
        <v/>
      </c>
      <c r="I611" s="139">
        <f>'1510'!I612</f>
        <v/>
      </c>
    </row>
    <row r="612" outlineLevel="1" ht="15" customHeight="1" s="82">
      <c r="A612" s="139">
        <f>'1510'!A613</f>
        <v/>
      </c>
      <c r="B612" s="139">
        <f>'1510'!B613</f>
        <v/>
      </c>
      <c r="C612" s="139">
        <f>'1510'!D613</f>
        <v/>
      </c>
      <c r="D612" s="140">
        <f>'1510'!E613</f>
        <v/>
      </c>
      <c r="E612" s="140">
        <f>'1510'!F613</f>
        <v/>
      </c>
      <c r="F612" s="139">
        <f>'1510'!C613</f>
        <v/>
      </c>
      <c r="G612" s="155">
        <f>'1510'!G613</f>
        <v/>
      </c>
      <c r="H612" s="155">
        <f>'1510'!H613</f>
        <v/>
      </c>
      <c r="I612" s="139">
        <f>'1510'!I613</f>
        <v/>
      </c>
    </row>
    <row r="613" outlineLevel="1" ht="15" customHeight="1" s="82">
      <c r="A613" s="139">
        <f>'1510'!A614</f>
        <v/>
      </c>
      <c r="B613" s="139">
        <f>'1510'!B614</f>
        <v/>
      </c>
      <c r="C613" s="139">
        <f>'1510'!D614</f>
        <v/>
      </c>
      <c r="D613" s="140">
        <f>'1510'!E614</f>
        <v/>
      </c>
      <c r="E613" s="140">
        <f>'1510'!F614</f>
        <v/>
      </c>
      <c r="F613" s="139">
        <f>'1510'!C614</f>
        <v/>
      </c>
      <c r="G613" s="155">
        <f>'1510'!G614</f>
        <v/>
      </c>
      <c r="H613" s="155">
        <f>'1510'!H614</f>
        <v/>
      </c>
      <c r="I613" s="139">
        <f>'1510'!I614</f>
        <v/>
      </c>
    </row>
    <row r="614" outlineLevel="1" ht="15" customHeight="1" s="82">
      <c r="A614" s="139">
        <f>'1510'!A615</f>
        <v/>
      </c>
      <c r="B614" s="139">
        <f>'1510'!B615</f>
        <v/>
      </c>
      <c r="C614" s="139">
        <f>'1510'!D615</f>
        <v/>
      </c>
      <c r="D614" s="140">
        <f>'1510'!E615</f>
        <v/>
      </c>
      <c r="E614" s="140">
        <f>'1510'!F615</f>
        <v/>
      </c>
      <c r="F614" s="139">
        <f>'1510'!C615</f>
        <v/>
      </c>
      <c r="G614" s="155">
        <f>'1510'!G615</f>
        <v/>
      </c>
      <c r="H614" s="155">
        <f>'1510'!H615</f>
        <v/>
      </c>
      <c r="I614" s="139">
        <f>'1510'!I615</f>
        <v/>
      </c>
    </row>
    <row r="615" outlineLevel="1" ht="15" customHeight="1" s="82">
      <c r="A615" s="139">
        <f>'1510'!A616</f>
        <v/>
      </c>
      <c r="B615" s="139">
        <f>'1510'!B616</f>
        <v/>
      </c>
      <c r="C615" s="139">
        <f>'1510'!D616</f>
        <v/>
      </c>
      <c r="D615" s="140">
        <f>'1510'!E616</f>
        <v/>
      </c>
      <c r="E615" s="140">
        <f>'1510'!F616</f>
        <v/>
      </c>
      <c r="F615" s="139">
        <f>'1510'!C616</f>
        <v/>
      </c>
      <c r="G615" s="155">
        <f>'1510'!G616</f>
        <v/>
      </c>
      <c r="H615" s="155">
        <f>'1510'!H616</f>
        <v/>
      </c>
      <c r="I615" s="139">
        <f>'1510'!I616</f>
        <v/>
      </c>
    </row>
    <row r="616" outlineLevel="1" ht="15" customHeight="1" s="82">
      <c r="A616" s="139">
        <f>'1510'!A617</f>
        <v/>
      </c>
      <c r="B616" s="139">
        <f>'1510'!B617</f>
        <v/>
      </c>
      <c r="C616" s="139">
        <f>'1510'!D617</f>
        <v/>
      </c>
      <c r="D616" s="140">
        <f>'1510'!E617</f>
        <v/>
      </c>
      <c r="E616" s="140">
        <f>'1510'!F617</f>
        <v/>
      </c>
      <c r="F616" s="139">
        <f>'1510'!C617</f>
        <v/>
      </c>
      <c r="G616" s="155">
        <f>'1510'!G617</f>
        <v/>
      </c>
      <c r="H616" s="155">
        <f>'1510'!H617</f>
        <v/>
      </c>
      <c r="I616" s="139">
        <f>'1510'!I617</f>
        <v/>
      </c>
    </row>
    <row r="617" outlineLevel="1" ht="15" customHeight="1" s="82">
      <c r="A617" s="139">
        <f>'1510'!A618</f>
        <v/>
      </c>
      <c r="B617" s="139">
        <f>'1510'!B618</f>
        <v/>
      </c>
      <c r="C617" s="139">
        <f>'1510'!D618</f>
        <v/>
      </c>
      <c r="D617" s="140">
        <f>'1510'!E618</f>
        <v/>
      </c>
      <c r="E617" s="140">
        <f>'1510'!F618</f>
        <v/>
      </c>
      <c r="F617" s="139">
        <f>'1510'!C618</f>
        <v/>
      </c>
      <c r="G617" s="155">
        <f>'1510'!G618</f>
        <v/>
      </c>
      <c r="H617" s="155">
        <f>'1510'!H618</f>
        <v/>
      </c>
      <c r="I617" s="139">
        <f>'1510'!I618</f>
        <v/>
      </c>
    </row>
    <row r="618" outlineLevel="1" ht="15" customHeight="1" s="82">
      <c r="A618" s="139">
        <f>'1510'!A619</f>
        <v/>
      </c>
      <c r="B618" s="139">
        <f>'1510'!B619</f>
        <v/>
      </c>
      <c r="C618" s="139">
        <f>'1510'!D619</f>
        <v/>
      </c>
      <c r="D618" s="140">
        <f>'1510'!E619</f>
        <v/>
      </c>
      <c r="E618" s="140">
        <f>'1510'!F619</f>
        <v/>
      </c>
      <c r="F618" s="139">
        <f>'1510'!C619</f>
        <v/>
      </c>
      <c r="G618" s="155">
        <f>'1510'!G619</f>
        <v/>
      </c>
      <c r="H618" s="155">
        <f>'1510'!H619</f>
        <v/>
      </c>
      <c r="I618" s="139">
        <f>'1510'!I619</f>
        <v/>
      </c>
    </row>
    <row r="619" outlineLevel="1" ht="15" customHeight="1" s="82">
      <c r="A619" s="139">
        <f>'1510'!A620</f>
        <v/>
      </c>
      <c r="B619" s="139">
        <f>'1510'!B620</f>
        <v/>
      </c>
      <c r="C619" s="139">
        <f>'1510'!D620</f>
        <v/>
      </c>
      <c r="D619" s="140">
        <f>'1510'!E620</f>
        <v/>
      </c>
      <c r="E619" s="140">
        <f>'1510'!F620</f>
        <v/>
      </c>
      <c r="F619" s="139">
        <f>'1510'!C620</f>
        <v/>
      </c>
      <c r="G619" s="155">
        <f>'1510'!G620</f>
        <v/>
      </c>
      <c r="H619" s="155">
        <f>'1510'!H620</f>
        <v/>
      </c>
      <c r="I619" s="139">
        <f>'1510'!I620</f>
        <v/>
      </c>
    </row>
    <row r="620" outlineLevel="1" ht="15" customHeight="1" s="82">
      <c r="A620" s="139">
        <f>'1510'!A621</f>
        <v/>
      </c>
      <c r="B620" s="139">
        <f>'1510'!B621</f>
        <v/>
      </c>
      <c r="C620" s="139">
        <f>'1510'!D621</f>
        <v/>
      </c>
      <c r="D620" s="140">
        <f>'1510'!E621</f>
        <v/>
      </c>
      <c r="E620" s="140">
        <f>'1510'!F621</f>
        <v/>
      </c>
      <c r="F620" s="139">
        <f>'1510'!C621</f>
        <v/>
      </c>
      <c r="G620" s="155">
        <f>'1510'!G621</f>
        <v/>
      </c>
      <c r="H620" s="155">
        <f>'1510'!H621</f>
        <v/>
      </c>
      <c r="I620" s="139">
        <f>'1510'!I621</f>
        <v/>
      </c>
    </row>
    <row r="621" outlineLevel="1" ht="15" customHeight="1" s="82">
      <c r="A621" s="139">
        <f>'1510'!A622</f>
        <v/>
      </c>
      <c r="B621" s="139">
        <f>'1510'!B622</f>
        <v/>
      </c>
      <c r="C621" s="139">
        <f>'1510'!D622</f>
        <v/>
      </c>
      <c r="D621" s="140">
        <f>'1510'!E622</f>
        <v/>
      </c>
      <c r="E621" s="140">
        <f>'1510'!F622</f>
        <v/>
      </c>
      <c r="F621" s="139">
        <f>'1510'!C622</f>
        <v/>
      </c>
      <c r="G621" s="155">
        <f>'1510'!G622</f>
        <v/>
      </c>
      <c r="H621" s="155">
        <f>'1510'!H622</f>
        <v/>
      </c>
      <c r="I621" s="139">
        <f>'1510'!I622</f>
        <v/>
      </c>
    </row>
    <row r="622" outlineLevel="1" ht="15" customHeight="1" s="82">
      <c r="A622" s="139">
        <f>'1510'!A623</f>
        <v/>
      </c>
      <c r="B622" s="139">
        <f>'1510'!B623</f>
        <v/>
      </c>
      <c r="C622" s="139">
        <f>'1510'!D623</f>
        <v/>
      </c>
      <c r="D622" s="140">
        <f>'1510'!E623</f>
        <v/>
      </c>
      <c r="E622" s="140">
        <f>'1510'!F623</f>
        <v/>
      </c>
      <c r="F622" s="139">
        <f>'1510'!C623</f>
        <v/>
      </c>
      <c r="G622" s="155">
        <f>'1510'!G623</f>
        <v/>
      </c>
      <c r="H622" s="155">
        <f>'1510'!H623</f>
        <v/>
      </c>
      <c r="I622" s="139">
        <f>'1510'!I623</f>
        <v/>
      </c>
    </row>
    <row r="623" outlineLevel="1" ht="15" customHeight="1" s="82">
      <c r="A623" s="139">
        <f>'1510'!A624</f>
        <v/>
      </c>
      <c r="B623" s="139">
        <f>'1510'!B624</f>
        <v/>
      </c>
      <c r="C623" s="139">
        <f>'1510'!D624</f>
        <v/>
      </c>
      <c r="D623" s="140">
        <f>'1510'!E624</f>
        <v/>
      </c>
      <c r="E623" s="140">
        <f>'1510'!F624</f>
        <v/>
      </c>
      <c r="F623" s="139">
        <f>'1510'!C624</f>
        <v/>
      </c>
      <c r="G623" s="155">
        <f>'1510'!G624</f>
        <v/>
      </c>
      <c r="H623" s="155">
        <f>'1510'!H624</f>
        <v/>
      </c>
      <c r="I623" s="139">
        <f>'1510'!I624</f>
        <v/>
      </c>
    </row>
    <row r="624" outlineLevel="1" ht="15" customHeight="1" s="82">
      <c r="A624" s="139">
        <f>'1510'!A625</f>
        <v/>
      </c>
      <c r="B624" s="139">
        <f>'1510'!B625</f>
        <v/>
      </c>
      <c r="C624" s="139">
        <f>'1510'!D625</f>
        <v/>
      </c>
      <c r="D624" s="140">
        <f>'1510'!E625</f>
        <v/>
      </c>
      <c r="E624" s="140">
        <f>'1510'!F625</f>
        <v/>
      </c>
      <c r="F624" s="139">
        <f>'1510'!C625</f>
        <v/>
      </c>
      <c r="G624" s="155">
        <f>'1510'!G625</f>
        <v/>
      </c>
      <c r="H624" s="155">
        <f>'1510'!H625</f>
        <v/>
      </c>
      <c r="I624" s="139">
        <f>'1510'!I625</f>
        <v/>
      </c>
    </row>
    <row r="625" outlineLevel="1" ht="15" customHeight="1" s="82">
      <c r="A625" s="139">
        <f>'1510'!A626</f>
        <v/>
      </c>
      <c r="B625" s="139">
        <f>'1510'!B626</f>
        <v/>
      </c>
      <c r="C625" s="139">
        <f>'1510'!D626</f>
        <v/>
      </c>
      <c r="D625" s="140">
        <f>'1510'!E626</f>
        <v/>
      </c>
      <c r="E625" s="140">
        <f>'1510'!F626</f>
        <v/>
      </c>
      <c r="F625" s="139">
        <f>'1510'!C626</f>
        <v/>
      </c>
      <c r="G625" s="155">
        <f>'1510'!G626</f>
        <v/>
      </c>
      <c r="H625" s="155">
        <f>'1510'!H626</f>
        <v/>
      </c>
      <c r="I625" s="139">
        <f>'1510'!I626</f>
        <v/>
      </c>
    </row>
    <row r="626" outlineLevel="1" ht="15" customHeight="1" s="82">
      <c r="A626" s="139">
        <f>'1510'!A627</f>
        <v/>
      </c>
      <c r="B626" s="139">
        <f>'1510'!B627</f>
        <v/>
      </c>
      <c r="C626" s="139">
        <f>'1510'!D627</f>
        <v/>
      </c>
      <c r="D626" s="140">
        <f>'1510'!E627</f>
        <v/>
      </c>
      <c r="E626" s="140">
        <f>'1510'!F627</f>
        <v/>
      </c>
      <c r="F626" s="139">
        <f>'1510'!C627</f>
        <v/>
      </c>
      <c r="G626" s="155">
        <f>'1510'!G627</f>
        <v/>
      </c>
      <c r="H626" s="155">
        <f>'1510'!H627</f>
        <v/>
      </c>
      <c r="I626" s="139">
        <f>'1510'!I627</f>
        <v/>
      </c>
    </row>
    <row r="627" outlineLevel="1" ht="15" customHeight="1" s="82">
      <c r="A627" s="139">
        <f>'1510'!A628</f>
        <v/>
      </c>
      <c r="B627" s="139">
        <f>'1510'!B628</f>
        <v/>
      </c>
      <c r="C627" s="139">
        <f>'1510'!D628</f>
        <v/>
      </c>
      <c r="D627" s="140">
        <f>'1510'!E628</f>
        <v/>
      </c>
      <c r="E627" s="140">
        <f>'1510'!F628</f>
        <v/>
      </c>
      <c r="F627" s="139">
        <f>'1510'!C628</f>
        <v/>
      </c>
      <c r="G627" s="155">
        <f>'1510'!G628</f>
        <v/>
      </c>
      <c r="H627" s="155">
        <f>'1510'!H628</f>
        <v/>
      </c>
      <c r="I627" s="139">
        <f>'1510'!I628</f>
        <v/>
      </c>
    </row>
    <row r="628" outlineLevel="1" ht="15" customHeight="1" s="82">
      <c r="A628" s="139">
        <f>'1510'!A629</f>
        <v/>
      </c>
      <c r="B628" s="139">
        <f>'1510'!B629</f>
        <v/>
      </c>
      <c r="C628" s="139">
        <f>'1510'!D629</f>
        <v/>
      </c>
      <c r="D628" s="140">
        <f>'1510'!E629</f>
        <v/>
      </c>
      <c r="E628" s="140">
        <f>'1510'!F629</f>
        <v/>
      </c>
      <c r="F628" s="139">
        <f>'1510'!C629</f>
        <v/>
      </c>
      <c r="G628" s="155">
        <f>'1510'!G629</f>
        <v/>
      </c>
      <c r="H628" s="155">
        <f>'1510'!H629</f>
        <v/>
      </c>
      <c r="I628" s="139">
        <f>'1510'!I629</f>
        <v/>
      </c>
    </row>
    <row r="629" outlineLevel="1" ht="15" customHeight="1" s="82">
      <c r="A629" s="139">
        <f>'1510'!A630</f>
        <v/>
      </c>
      <c r="B629" s="139">
        <f>'1510'!B630</f>
        <v/>
      </c>
      <c r="C629" s="139">
        <f>'1510'!D630</f>
        <v/>
      </c>
      <c r="D629" s="140">
        <f>'1510'!E630</f>
        <v/>
      </c>
      <c r="E629" s="140">
        <f>'1510'!F630</f>
        <v/>
      </c>
      <c r="F629" s="139">
        <f>'1510'!C630</f>
        <v/>
      </c>
      <c r="G629" s="155">
        <f>'1510'!G630</f>
        <v/>
      </c>
      <c r="H629" s="155">
        <f>'1510'!H630</f>
        <v/>
      </c>
      <c r="I629" s="139">
        <f>'1510'!I630</f>
        <v/>
      </c>
    </row>
    <row r="630" outlineLevel="1" ht="15" customHeight="1" s="82">
      <c r="A630" s="139">
        <f>'1510'!A631</f>
        <v/>
      </c>
      <c r="B630" s="139">
        <f>'1510'!B631</f>
        <v/>
      </c>
      <c r="C630" s="139">
        <f>'1510'!D631</f>
        <v/>
      </c>
      <c r="D630" s="140">
        <f>'1510'!E631</f>
        <v/>
      </c>
      <c r="E630" s="140">
        <f>'1510'!F631</f>
        <v/>
      </c>
      <c r="F630" s="139">
        <f>'1510'!C631</f>
        <v/>
      </c>
      <c r="G630" s="155">
        <f>'1510'!G631</f>
        <v/>
      </c>
      <c r="H630" s="155">
        <f>'1510'!H631</f>
        <v/>
      </c>
      <c r="I630" s="139">
        <f>'1510'!I631</f>
        <v/>
      </c>
    </row>
    <row r="631" outlineLevel="1" ht="15" customHeight="1" s="82">
      <c r="A631" s="139">
        <f>'1510'!A632</f>
        <v/>
      </c>
      <c r="B631" s="139">
        <f>'1510'!B632</f>
        <v/>
      </c>
      <c r="C631" s="139">
        <f>'1510'!D632</f>
        <v/>
      </c>
      <c r="D631" s="140">
        <f>'1510'!E632</f>
        <v/>
      </c>
      <c r="E631" s="140">
        <f>'1510'!F632</f>
        <v/>
      </c>
      <c r="F631" s="139">
        <f>'1510'!C632</f>
        <v/>
      </c>
      <c r="G631" s="155">
        <f>'1510'!G632</f>
        <v/>
      </c>
      <c r="H631" s="155">
        <f>'1510'!H632</f>
        <v/>
      </c>
      <c r="I631" s="139">
        <f>'1510'!I632</f>
        <v/>
      </c>
    </row>
    <row r="632" outlineLevel="1" ht="15" customHeight="1" s="82">
      <c r="A632" s="139">
        <f>'1510'!A633</f>
        <v/>
      </c>
      <c r="B632" s="139">
        <f>'1510'!B633</f>
        <v/>
      </c>
      <c r="C632" s="139">
        <f>'1510'!D633</f>
        <v/>
      </c>
      <c r="D632" s="140">
        <f>'1510'!E633</f>
        <v/>
      </c>
      <c r="E632" s="140">
        <f>'1510'!F633</f>
        <v/>
      </c>
      <c r="F632" s="139">
        <f>'1510'!C633</f>
        <v/>
      </c>
      <c r="G632" s="155">
        <f>'1510'!G633</f>
        <v/>
      </c>
      <c r="H632" s="155">
        <f>'1510'!H633</f>
        <v/>
      </c>
      <c r="I632" s="139">
        <f>'1510'!I633</f>
        <v/>
      </c>
    </row>
    <row r="633" outlineLevel="1" ht="15" customHeight="1" s="82">
      <c r="A633" s="139">
        <f>'1510'!A634</f>
        <v/>
      </c>
      <c r="B633" s="139">
        <f>'1510'!B634</f>
        <v/>
      </c>
      <c r="C633" s="139">
        <f>'1510'!D634</f>
        <v/>
      </c>
      <c r="D633" s="140">
        <f>'1510'!E634</f>
        <v/>
      </c>
      <c r="E633" s="140">
        <f>'1510'!F634</f>
        <v/>
      </c>
      <c r="F633" s="139">
        <f>'1510'!C634</f>
        <v/>
      </c>
      <c r="G633" s="155">
        <f>'1510'!G634</f>
        <v/>
      </c>
      <c r="H633" s="155">
        <f>'1510'!H634</f>
        <v/>
      </c>
      <c r="I633" s="139">
        <f>'1510'!I634</f>
        <v/>
      </c>
    </row>
    <row r="634" outlineLevel="1" ht="15" customHeight="1" s="82">
      <c r="A634" s="139">
        <f>'1510'!A635</f>
        <v/>
      </c>
      <c r="B634" s="139">
        <f>'1510'!B635</f>
        <v/>
      </c>
      <c r="C634" s="139">
        <f>'1510'!D635</f>
        <v/>
      </c>
      <c r="D634" s="140">
        <f>'1510'!E635</f>
        <v/>
      </c>
      <c r="E634" s="140">
        <f>'1510'!F635</f>
        <v/>
      </c>
      <c r="F634" s="139">
        <f>'1510'!C635</f>
        <v/>
      </c>
      <c r="G634" s="155">
        <f>'1510'!G635</f>
        <v/>
      </c>
      <c r="H634" s="155">
        <f>'1510'!H635</f>
        <v/>
      </c>
      <c r="I634" s="139">
        <f>'1510'!I635</f>
        <v/>
      </c>
    </row>
    <row r="635" outlineLevel="1" ht="15" customHeight="1" s="82">
      <c r="A635" s="139">
        <f>'1510'!A636</f>
        <v/>
      </c>
      <c r="B635" s="139">
        <f>'1510'!B636</f>
        <v/>
      </c>
      <c r="C635" s="139">
        <f>'1510'!D636</f>
        <v/>
      </c>
      <c r="D635" s="140">
        <f>'1510'!E636</f>
        <v/>
      </c>
      <c r="E635" s="140">
        <f>'1510'!F636</f>
        <v/>
      </c>
      <c r="F635" s="139">
        <f>'1510'!C636</f>
        <v/>
      </c>
      <c r="G635" s="155">
        <f>'1510'!G636</f>
        <v/>
      </c>
      <c r="H635" s="155">
        <f>'1510'!H636</f>
        <v/>
      </c>
      <c r="I635" s="139">
        <f>'1510'!I636</f>
        <v/>
      </c>
    </row>
    <row r="636" outlineLevel="1" ht="15" customHeight="1" s="82">
      <c r="A636" s="139">
        <f>'1510'!A637</f>
        <v/>
      </c>
      <c r="B636" s="139">
        <f>'1510'!B637</f>
        <v/>
      </c>
      <c r="C636" s="139">
        <f>'1510'!D637</f>
        <v/>
      </c>
      <c r="D636" s="140">
        <f>'1510'!E637</f>
        <v/>
      </c>
      <c r="E636" s="140">
        <f>'1510'!F637</f>
        <v/>
      </c>
      <c r="F636" s="139">
        <f>'1510'!C637</f>
        <v/>
      </c>
      <c r="G636" s="155">
        <f>'1510'!G637</f>
        <v/>
      </c>
      <c r="H636" s="155">
        <f>'1510'!H637</f>
        <v/>
      </c>
      <c r="I636" s="139">
        <f>'1510'!I637</f>
        <v/>
      </c>
    </row>
    <row r="637" outlineLevel="1" ht="15" customHeight="1" s="82">
      <c r="A637" s="139">
        <f>'1510'!A638</f>
        <v/>
      </c>
      <c r="B637" s="139">
        <f>'1510'!B638</f>
        <v/>
      </c>
      <c r="C637" s="139">
        <f>'1510'!D638</f>
        <v/>
      </c>
      <c r="D637" s="140">
        <f>'1510'!E638</f>
        <v/>
      </c>
      <c r="E637" s="140">
        <f>'1510'!F638</f>
        <v/>
      </c>
      <c r="F637" s="139">
        <f>'1510'!C638</f>
        <v/>
      </c>
      <c r="G637" s="155">
        <f>'1510'!G638</f>
        <v/>
      </c>
      <c r="H637" s="155">
        <f>'1510'!H638</f>
        <v/>
      </c>
      <c r="I637" s="139">
        <f>'1510'!I638</f>
        <v/>
      </c>
    </row>
    <row r="638" outlineLevel="1" ht="15" customHeight="1" s="82">
      <c r="A638" s="139">
        <f>'1510'!A639</f>
        <v/>
      </c>
      <c r="B638" s="139">
        <f>'1510'!B639</f>
        <v/>
      </c>
      <c r="C638" s="139">
        <f>'1510'!D639</f>
        <v/>
      </c>
      <c r="D638" s="140">
        <f>'1510'!E639</f>
        <v/>
      </c>
      <c r="E638" s="140">
        <f>'1510'!F639</f>
        <v/>
      </c>
      <c r="F638" s="139">
        <f>'1510'!C639</f>
        <v/>
      </c>
      <c r="G638" s="155">
        <f>'1510'!G639</f>
        <v/>
      </c>
      <c r="H638" s="155">
        <f>'1510'!H639</f>
        <v/>
      </c>
      <c r="I638" s="139">
        <f>'1510'!I639</f>
        <v/>
      </c>
    </row>
    <row r="639" outlineLevel="1" ht="15" customHeight="1" s="82">
      <c r="A639" s="139">
        <f>'1510'!A640</f>
        <v/>
      </c>
      <c r="B639" s="139">
        <f>'1510'!B640</f>
        <v/>
      </c>
      <c r="C639" s="139">
        <f>'1510'!D640</f>
        <v/>
      </c>
      <c r="D639" s="140">
        <f>'1510'!E640</f>
        <v/>
      </c>
      <c r="E639" s="140">
        <f>'1510'!F640</f>
        <v/>
      </c>
      <c r="F639" s="139">
        <f>'1510'!C640</f>
        <v/>
      </c>
      <c r="G639" s="155">
        <f>'1510'!G640</f>
        <v/>
      </c>
      <c r="H639" s="155">
        <f>'1510'!H640</f>
        <v/>
      </c>
      <c r="I639" s="139">
        <f>'1510'!I640</f>
        <v/>
      </c>
    </row>
    <row r="640" outlineLevel="1" ht="15" customHeight="1" s="82">
      <c r="A640" s="139">
        <f>'1510'!A641</f>
        <v/>
      </c>
      <c r="B640" s="139">
        <f>'1510'!B641</f>
        <v/>
      </c>
      <c r="C640" s="139">
        <f>'1510'!D641</f>
        <v/>
      </c>
      <c r="D640" s="140">
        <f>'1510'!E641</f>
        <v/>
      </c>
      <c r="E640" s="140">
        <f>'1510'!F641</f>
        <v/>
      </c>
      <c r="F640" s="139">
        <f>'1510'!C641</f>
        <v/>
      </c>
      <c r="G640" s="155">
        <f>'1510'!G641</f>
        <v/>
      </c>
      <c r="H640" s="155">
        <f>'1510'!H641</f>
        <v/>
      </c>
      <c r="I640" s="139">
        <f>'1510'!I641</f>
        <v/>
      </c>
    </row>
    <row r="641" outlineLevel="1" ht="15" customHeight="1" s="82">
      <c r="A641" s="139">
        <f>'1510'!A642</f>
        <v/>
      </c>
      <c r="B641" s="139">
        <f>'1510'!B642</f>
        <v/>
      </c>
      <c r="C641" s="139">
        <f>'1510'!D642</f>
        <v/>
      </c>
      <c r="D641" s="140">
        <f>'1510'!E642</f>
        <v/>
      </c>
      <c r="E641" s="140">
        <f>'1510'!F642</f>
        <v/>
      </c>
      <c r="F641" s="139">
        <f>'1510'!C642</f>
        <v/>
      </c>
      <c r="G641" s="155">
        <f>'1510'!G642</f>
        <v/>
      </c>
      <c r="H641" s="155">
        <f>'1510'!H642</f>
        <v/>
      </c>
      <c r="I641" s="139">
        <f>'1510'!I642</f>
        <v/>
      </c>
    </row>
    <row r="642" outlineLevel="1" ht="15" customHeight="1" s="82">
      <c r="A642" s="139">
        <f>'1510'!A643</f>
        <v/>
      </c>
      <c r="B642" s="139">
        <f>'1510'!B643</f>
        <v/>
      </c>
      <c r="C642" s="139">
        <f>'1510'!D643</f>
        <v/>
      </c>
      <c r="D642" s="140">
        <f>'1510'!E643</f>
        <v/>
      </c>
      <c r="E642" s="140">
        <f>'1510'!F643</f>
        <v/>
      </c>
      <c r="F642" s="139">
        <f>'1510'!C643</f>
        <v/>
      </c>
      <c r="G642" s="155">
        <f>'1510'!G643</f>
        <v/>
      </c>
      <c r="H642" s="155">
        <f>'1510'!H643</f>
        <v/>
      </c>
      <c r="I642" s="139">
        <f>'1510'!I643</f>
        <v/>
      </c>
    </row>
    <row r="643" outlineLevel="1" ht="15" customHeight="1" s="82">
      <c r="A643" s="139">
        <f>'1510'!A644</f>
        <v/>
      </c>
      <c r="B643" s="139">
        <f>'1510'!B644</f>
        <v/>
      </c>
      <c r="C643" s="139">
        <f>'1510'!D644</f>
        <v/>
      </c>
      <c r="D643" s="140">
        <f>'1510'!E644</f>
        <v/>
      </c>
      <c r="E643" s="140">
        <f>'1510'!F644</f>
        <v/>
      </c>
      <c r="F643" s="139">
        <f>'1510'!C644</f>
        <v/>
      </c>
      <c r="G643" s="155">
        <f>'1510'!G644</f>
        <v/>
      </c>
      <c r="H643" s="155">
        <f>'1510'!H644</f>
        <v/>
      </c>
      <c r="I643" s="139">
        <f>'1510'!I644</f>
        <v/>
      </c>
    </row>
    <row r="644" outlineLevel="1" ht="15" customHeight="1" s="82">
      <c r="A644" s="139">
        <f>'1510'!A645</f>
        <v/>
      </c>
      <c r="B644" s="139">
        <f>'1510'!B645</f>
        <v/>
      </c>
      <c r="C644" s="139">
        <f>'1510'!D645</f>
        <v/>
      </c>
      <c r="D644" s="140">
        <f>'1510'!E645</f>
        <v/>
      </c>
      <c r="E644" s="140">
        <f>'1510'!F645</f>
        <v/>
      </c>
      <c r="F644" s="139">
        <f>'1510'!C645</f>
        <v/>
      </c>
      <c r="G644" s="155">
        <f>'1510'!G645</f>
        <v/>
      </c>
      <c r="H644" s="155">
        <f>'1510'!H645</f>
        <v/>
      </c>
      <c r="I644" s="139">
        <f>'1510'!I645</f>
        <v/>
      </c>
    </row>
    <row r="645" outlineLevel="1" ht="15" customHeight="1" s="82">
      <c r="A645" s="139">
        <f>'1510'!A646</f>
        <v/>
      </c>
      <c r="B645" s="139">
        <f>'1510'!B646</f>
        <v/>
      </c>
      <c r="C645" s="139">
        <f>'1510'!D646</f>
        <v/>
      </c>
      <c r="D645" s="140">
        <f>'1510'!E646</f>
        <v/>
      </c>
      <c r="E645" s="140">
        <f>'1510'!F646</f>
        <v/>
      </c>
      <c r="F645" s="139">
        <f>'1510'!C646</f>
        <v/>
      </c>
      <c r="G645" s="155">
        <f>'1510'!G646</f>
        <v/>
      </c>
      <c r="H645" s="155">
        <f>'1510'!H646</f>
        <v/>
      </c>
      <c r="I645" s="139">
        <f>'1510'!I646</f>
        <v/>
      </c>
    </row>
    <row r="646" outlineLevel="1" ht="15" customHeight="1" s="82">
      <c r="A646" s="139">
        <f>'1510'!A647</f>
        <v/>
      </c>
      <c r="B646" s="139">
        <f>'1510'!B647</f>
        <v/>
      </c>
      <c r="C646" s="139">
        <f>'1510'!D647</f>
        <v/>
      </c>
      <c r="D646" s="140">
        <f>'1510'!E647</f>
        <v/>
      </c>
      <c r="E646" s="140">
        <f>'1510'!F647</f>
        <v/>
      </c>
      <c r="F646" s="139">
        <f>'1510'!C647</f>
        <v/>
      </c>
      <c r="G646" s="155">
        <f>'1510'!G647</f>
        <v/>
      </c>
      <c r="H646" s="155">
        <f>'1510'!H647</f>
        <v/>
      </c>
      <c r="I646" s="139">
        <f>'1510'!I647</f>
        <v/>
      </c>
    </row>
    <row r="647" outlineLevel="1" ht="15" customHeight="1" s="82">
      <c r="A647" s="139">
        <f>'1510'!A648</f>
        <v/>
      </c>
      <c r="B647" s="139">
        <f>'1510'!B648</f>
        <v/>
      </c>
      <c r="C647" s="139">
        <f>'1510'!D648</f>
        <v/>
      </c>
      <c r="D647" s="140">
        <f>'1510'!E648</f>
        <v/>
      </c>
      <c r="E647" s="140">
        <f>'1510'!F648</f>
        <v/>
      </c>
      <c r="F647" s="139">
        <f>'1510'!C648</f>
        <v/>
      </c>
      <c r="G647" s="155">
        <f>'1510'!G648</f>
        <v/>
      </c>
      <c r="H647" s="155">
        <f>'1510'!H648</f>
        <v/>
      </c>
      <c r="I647" s="139">
        <f>'1510'!I648</f>
        <v/>
      </c>
    </row>
    <row r="648" outlineLevel="1" ht="15" customHeight="1" s="82">
      <c r="A648" s="139">
        <f>'1510'!A649</f>
        <v/>
      </c>
      <c r="B648" s="139">
        <f>'1510'!B649</f>
        <v/>
      </c>
      <c r="C648" s="139">
        <f>'1510'!D649</f>
        <v/>
      </c>
      <c r="D648" s="140">
        <f>'1510'!E649</f>
        <v/>
      </c>
      <c r="E648" s="140">
        <f>'1510'!F649</f>
        <v/>
      </c>
      <c r="F648" s="139">
        <f>'1510'!C649</f>
        <v/>
      </c>
      <c r="G648" s="155">
        <f>'1510'!G649</f>
        <v/>
      </c>
      <c r="H648" s="155">
        <f>'1510'!H649</f>
        <v/>
      </c>
      <c r="I648" s="139">
        <f>'1510'!I649</f>
        <v/>
      </c>
    </row>
    <row r="649" outlineLevel="1" ht="15" customHeight="1" s="82">
      <c r="A649" s="139">
        <f>'1510'!A650</f>
        <v/>
      </c>
      <c r="B649" s="139">
        <f>'1510'!B650</f>
        <v/>
      </c>
      <c r="C649" s="139">
        <f>'1510'!D650</f>
        <v/>
      </c>
      <c r="D649" s="140">
        <f>'1510'!E650</f>
        <v/>
      </c>
      <c r="E649" s="140">
        <f>'1510'!F650</f>
        <v/>
      </c>
      <c r="F649" s="139">
        <f>'1510'!C650</f>
        <v/>
      </c>
      <c r="G649" s="155">
        <f>'1510'!G650</f>
        <v/>
      </c>
      <c r="H649" s="155">
        <f>'1510'!H650</f>
        <v/>
      </c>
      <c r="I649" s="139">
        <f>'1510'!I650</f>
        <v/>
      </c>
    </row>
    <row r="650" outlineLevel="1" ht="15" customHeight="1" s="82">
      <c r="A650" s="139">
        <f>'1510'!A651</f>
        <v/>
      </c>
      <c r="B650" s="139">
        <f>'1510'!B651</f>
        <v/>
      </c>
      <c r="C650" s="139">
        <f>'1510'!D651</f>
        <v/>
      </c>
      <c r="D650" s="140">
        <f>'1510'!E651</f>
        <v/>
      </c>
      <c r="E650" s="140">
        <f>'1510'!F651</f>
        <v/>
      </c>
      <c r="F650" s="139">
        <f>'1510'!C651</f>
        <v/>
      </c>
      <c r="G650" s="155">
        <f>'1510'!G651</f>
        <v/>
      </c>
      <c r="H650" s="155">
        <f>'1510'!H651</f>
        <v/>
      </c>
      <c r="I650" s="139">
        <f>'1510'!I651</f>
        <v/>
      </c>
    </row>
    <row r="651" outlineLevel="1" ht="15" customHeight="1" s="82">
      <c r="A651" s="139">
        <f>'1510'!A652</f>
        <v/>
      </c>
      <c r="B651" s="139">
        <f>'1510'!B652</f>
        <v/>
      </c>
      <c r="C651" s="139">
        <f>'1510'!D652</f>
        <v/>
      </c>
      <c r="D651" s="140">
        <f>'1510'!E652</f>
        <v/>
      </c>
      <c r="E651" s="140">
        <f>'1510'!F652</f>
        <v/>
      </c>
      <c r="F651" s="139">
        <f>'1510'!C652</f>
        <v/>
      </c>
      <c r="G651" s="155">
        <f>'1510'!G652</f>
        <v/>
      </c>
      <c r="H651" s="155">
        <f>'1510'!H652</f>
        <v/>
      </c>
      <c r="I651" s="139">
        <f>'1510'!I652</f>
        <v/>
      </c>
    </row>
    <row r="652" outlineLevel="1" ht="15" customHeight="1" s="82">
      <c r="A652" s="139">
        <f>'1510'!A653</f>
        <v/>
      </c>
      <c r="B652" s="139">
        <f>'1510'!B653</f>
        <v/>
      </c>
      <c r="C652" s="139">
        <f>'1510'!D653</f>
        <v/>
      </c>
      <c r="D652" s="140">
        <f>'1510'!E653</f>
        <v/>
      </c>
      <c r="E652" s="140">
        <f>'1510'!F653</f>
        <v/>
      </c>
      <c r="F652" s="139">
        <f>'1510'!C653</f>
        <v/>
      </c>
      <c r="G652" s="155">
        <f>'1510'!G653</f>
        <v/>
      </c>
      <c r="H652" s="155">
        <f>'1510'!H653</f>
        <v/>
      </c>
      <c r="I652" s="139">
        <f>'1510'!I653</f>
        <v/>
      </c>
    </row>
    <row r="653" outlineLevel="1" ht="15" customHeight="1" s="82">
      <c r="A653" s="139">
        <f>'1510'!A654</f>
        <v/>
      </c>
      <c r="B653" s="139">
        <f>'1510'!B654</f>
        <v/>
      </c>
      <c r="C653" s="139">
        <f>'1510'!D654</f>
        <v/>
      </c>
      <c r="D653" s="140">
        <f>'1510'!E654</f>
        <v/>
      </c>
      <c r="E653" s="140">
        <f>'1510'!F654</f>
        <v/>
      </c>
      <c r="F653" s="139">
        <f>'1510'!C654</f>
        <v/>
      </c>
      <c r="G653" s="155">
        <f>'1510'!G654</f>
        <v/>
      </c>
      <c r="H653" s="155">
        <f>'1510'!H654</f>
        <v/>
      </c>
      <c r="I653" s="139">
        <f>'1510'!I654</f>
        <v/>
      </c>
    </row>
    <row r="654" outlineLevel="1" ht="15" customHeight="1" s="82">
      <c r="A654" s="139">
        <f>'1510'!A655</f>
        <v/>
      </c>
      <c r="B654" s="139">
        <f>'1510'!B655</f>
        <v/>
      </c>
      <c r="C654" s="139">
        <f>'1510'!D655</f>
        <v/>
      </c>
      <c r="D654" s="140">
        <f>'1510'!E655</f>
        <v/>
      </c>
      <c r="E654" s="140">
        <f>'1510'!F655</f>
        <v/>
      </c>
      <c r="F654" s="139">
        <f>'1510'!C655</f>
        <v/>
      </c>
      <c r="G654" s="155">
        <f>'1510'!G655</f>
        <v/>
      </c>
      <c r="H654" s="155">
        <f>'1510'!H655</f>
        <v/>
      </c>
      <c r="I654" s="139">
        <f>'1510'!I655</f>
        <v/>
      </c>
    </row>
    <row r="655" outlineLevel="1" ht="15" customHeight="1" s="82">
      <c r="A655" s="139">
        <f>'1510'!A656</f>
        <v/>
      </c>
      <c r="B655" s="139">
        <f>'1510'!B656</f>
        <v/>
      </c>
      <c r="C655" s="139">
        <f>'1510'!D656</f>
        <v/>
      </c>
      <c r="D655" s="140">
        <f>'1510'!E656</f>
        <v/>
      </c>
      <c r="E655" s="140">
        <f>'1510'!F656</f>
        <v/>
      </c>
      <c r="F655" s="139">
        <f>'1510'!C656</f>
        <v/>
      </c>
      <c r="G655" s="155">
        <f>'1510'!G656</f>
        <v/>
      </c>
      <c r="H655" s="155">
        <f>'1510'!H656</f>
        <v/>
      </c>
      <c r="I655" s="139">
        <f>'1510'!I656</f>
        <v/>
      </c>
    </row>
    <row r="656" outlineLevel="1" ht="15" customHeight="1" s="82">
      <c r="A656" s="139">
        <f>'1510'!A657</f>
        <v/>
      </c>
      <c r="B656" s="139">
        <f>'1510'!B657</f>
        <v/>
      </c>
      <c r="C656" s="139">
        <f>'1510'!D657</f>
        <v/>
      </c>
      <c r="D656" s="140">
        <f>'1510'!E657</f>
        <v/>
      </c>
      <c r="E656" s="140">
        <f>'1510'!F657</f>
        <v/>
      </c>
      <c r="F656" s="139">
        <f>'1510'!C657</f>
        <v/>
      </c>
      <c r="G656" s="155">
        <f>'1510'!G657</f>
        <v/>
      </c>
      <c r="H656" s="155">
        <f>'1510'!H657</f>
        <v/>
      </c>
      <c r="I656" s="139">
        <f>'1510'!I657</f>
        <v/>
      </c>
    </row>
    <row r="657" outlineLevel="1" ht="15" customHeight="1" s="82">
      <c r="A657" s="139">
        <f>'1510'!A658</f>
        <v/>
      </c>
      <c r="B657" s="139">
        <f>'1510'!B658</f>
        <v/>
      </c>
      <c r="C657" s="139">
        <f>'1510'!D658</f>
        <v/>
      </c>
      <c r="D657" s="140">
        <f>'1510'!E658</f>
        <v/>
      </c>
      <c r="E657" s="140">
        <f>'1510'!F658</f>
        <v/>
      </c>
      <c r="F657" s="139">
        <f>'1510'!C658</f>
        <v/>
      </c>
      <c r="G657" s="155">
        <f>'1510'!G658</f>
        <v/>
      </c>
      <c r="H657" s="155">
        <f>'1510'!H658</f>
        <v/>
      </c>
      <c r="I657" s="139">
        <f>'1510'!I658</f>
        <v/>
      </c>
    </row>
    <row r="658" outlineLevel="1" ht="15" customHeight="1" s="82">
      <c r="A658" s="139">
        <f>'1510'!A659</f>
        <v/>
      </c>
      <c r="B658" s="139">
        <f>'1510'!B659</f>
        <v/>
      </c>
      <c r="C658" s="139">
        <f>'1510'!D659</f>
        <v/>
      </c>
      <c r="D658" s="140">
        <f>'1510'!E659</f>
        <v/>
      </c>
      <c r="E658" s="140">
        <f>'1510'!F659</f>
        <v/>
      </c>
      <c r="F658" s="139">
        <f>'1510'!C659</f>
        <v/>
      </c>
      <c r="G658" s="155">
        <f>'1510'!G659</f>
        <v/>
      </c>
      <c r="H658" s="155">
        <f>'1510'!H659</f>
        <v/>
      </c>
      <c r="I658" s="139">
        <f>'1510'!I659</f>
        <v/>
      </c>
    </row>
    <row r="659" outlineLevel="1" ht="15" customHeight="1" s="82">
      <c r="A659" s="139">
        <f>'1510'!A660</f>
        <v/>
      </c>
      <c r="B659" s="139">
        <f>'1510'!B660</f>
        <v/>
      </c>
      <c r="C659" s="139">
        <f>'1510'!D660</f>
        <v/>
      </c>
      <c r="D659" s="140">
        <f>'1510'!E660</f>
        <v/>
      </c>
      <c r="E659" s="140">
        <f>'1510'!F660</f>
        <v/>
      </c>
      <c r="F659" s="139">
        <f>'1510'!C660</f>
        <v/>
      </c>
      <c r="G659" s="155">
        <f>'1510'!G660</f>
        <v/>
      </c>
      <c r="H659" s="155">
        <f>'1510'!H660</f>
        <v/>
      </c>
      <c r="I659" s="139">
        <f>'1510'!I660</f>
        <v/>
      </c>
    </row>
    <row r="660" outlineLevel="1" ht="15" customHeight="1" s="82">
      <c r="A660" s="139">
        <f>'1510'!A661</f>
        <v/>
      </c>
      <c r="B660" s="139">
        <f>'1510'!B661</f>
        <v/>
      </c>
      <c r="C660" s="139">
        <f>'1510'!D661</f>
        <v/>
      </c>
      <c r="D660" s="140">
        <f>'1510'!E661</f>
        <v/>
      </c>
      <c r="E660" s="140">
        <f>'1510'!F661</f>
        <v/>
      </c>
      <c r="F660" s="139">
        <f>'1510'!C661</f>
        <v/>
      </c>
      <c r="G660" s="155">
        <f>'1510'!G661</f>
        <v/>
      </c>
      <c r="H660" s="155">
        <f>'1510'!H661</f>
        <v/>
      </c>
      <c r="I660" s="139">
        <f>'1510'!I661</f>
        <v/>
      </c>
    </row>
    <row r="661" outlineLevel="1" ht="15" customHeight="1" s="82">
      <c r="A661" s="139">
        <f>'1510'!A662</f>
        <v/>
      </c>
      <c r="B661" s="139">
        <f>'1510'!B662</f>
        <v/>
      </c>
      <c r="C661" s="139">
        <f>'1510'!D662</f>
        <v/>
      </c>
      <c r="D661" s="140">
        <f>'1510'!E662</f>
        <v/>
      </c>
      <c r="E661" s="140">
        <f>'1510'!F662</f>
        <v/>
      </c>
      <c r="F661" s="139">
        <f>'1510'!C662</f>
        <v/>
      </c>
      <c r="G661" s="155">
        <f>'1510'!G662</f>
        <v/>
      </c>
      <c r="H661" s="155">
        <f>'1510'!H662</f>
        <v/>
      </c>
      <c r="I661" s="139">
        <f>'1510'!I662</f>
        <v/>
      </c>
    </row>
    <row r="662" outlineLevel="1" ht="15" customHeight="1" s="82">
      <c r="A662" s="139">
        <f>'1510'!A663</f>
        <v/>
      </c>
      <c r="B662" s="139">
        <f>'1510'!B663</f>
        <v/>
      </c>
      <c r="C662" s="139">
        <f>'1510'!D663</f>
        <v/>
      </c>
      <c r="D662" s="140">
        <f>'1510'!E663</f>
        <v/>
      </c>
      <c r="E662" s="140">
        <f>'1510'!F663</f>
        <v/>
      </c>
      <c r="F662" s="139">
        <f>'1510'!C663</f>
        <v/>
      </c>
      <c r="G662" s="155">
        <f>'1510'!G663</f>
        <v/>
      </c>
      <c r="H662" s="155">
        <f>'1510'!H663</f>
        <v/>
      </c>
      <c r="I662" s="139">
        <f>'1510'!I663</f>
        <v/>
      </c>
    </row>
    <row r="663" outlineLevel="1" ht="15" customHeight="1" s="82">
      <c r="A663" s="139">
        <f>'1510'!A664</f>
        <v/>
      </c>
      <c r="B663" s="139">
        <f>'1510'!B664</f>
        <v/>
      </c>
      <c r="C663" s="139">
        <f>'1510'!D664</f>
        <v/>
      </c>
      <c r="D663" s="140">
        <f>'1510'!E664</f>
        <v/>
      </c>
      <c r="E663" s="140">
        <f>'1510'!F664</f>
        <v/>
      </c>
      <c r="F663" s="139">
        <f>'1510'!C664</f>
        <v/>
      </c>
      <c r="G663" s="155">
        <f>'1510'!G664</f>
        <v/>
      </c>
      <c r="H663" s="155">
        <f>'1510'!H664</f>
        <v/>
      </c>
      <c r="I663" s="139">
        <f>'1510'!I664</f>
        <v/>
      </c>
    </row>
    <row r="664" outlineLevel="1" ht="15" customHeight="1" s="82">
      <c r="A664" s="139">
        <f>'1510'!A665</f>
        <v/>
      </c>
      <c r="B664" s="139">
        <f>'1510'!B665</f>
        <v/>
      </c>
      <c r="C664" s="139">
        <f>'1510'!D665</f>
        <v/>
      </c>
      <c r="D664" s="140">
        <f>'1510'!E665</f>
        <v/>
      </c>
      <c r="E664" s="140">
        <f>'1510'!F665</f>
        <v/>
      </c>
      <c r="F664" s="139">
        <f>'1510'!C665</f>
        <v/>
      </c>
      <c r="G664" s="155">
        <f>'1510'!G665</f>
        <v/>
      </c>
      <c r="H664" s="155">
        <f>'1510'!H665</f>
        <v/>
      </c>
      <c r="I664" s="139">
        <f>'1510'!I665</f>
        <v/>
      </c>
    </row>
    <row r="665" outlineLevel="1" ht="15" customHeight="1" s="82">
      <c r="A665" s="139">
        <f>'1510'!A666</f>
        <v/>
      </c>
      <c r="B665" s="139">
        <f>'1510'!B666</f>
        <v/>
      </c>
      <c r="C665" s="139">
        <f>'1510'!D666</f>
        <v/>
      </c>
      <c r="D665" s="140">
        <f>'1510'!E666</f>
        <v/>
      </c>
      <c r="E665" s="140">
        <f>'1510'!F666</f>
        <v/>
      </c>
      <c r="F665" s="139">
        <f>'1510'!C666</f>
        <v/>
      </c>
      <c r="G665" s="155">
        <f>'1510'!G666</f>
        <v/>
      </c>
      <c r="H665" s="155">
        <f>'1510'!H666</f>
        <v/>
      </c>
      <c r="I665" s="139">
        <f>'1510'!I666</f>
        <v/>
      </c>
    </row>
    <row r="666" outlineLevel="1" ht="15" customHeight="1" s="82">
      <c r="A666" s="139">
        <f>'1510'!A667</f>
        <v/>
      </c>
      <c r="B666" s="139">
        <f>'1510'!B667</f>
        <v/>
      </c>
      <c r="C666" s="139">
        <f>'1510'!D667</f>
        <v/>
      </c>
      <c r="D666" s="140">
        <f>'1510'!E667</f>
        <v/>
      </c>
      <c r="E666" s="140">
        <f>'1510'!F667</f>
        <v/>
      </c>
      <c r="F666" s="139">
        <f>'1510'!C667</f>
        <v/>
      </c>
      <c r="G666" s="155">
        <f>'1510'!G667</f>
        <v/>
      </c>
      <c r="H666" s="155">
        <f>'1510'!H667</f>
        <v/>
      </c>
      <c r="I666" s="139">
        <f>'1510'!I667</f>
        <v/>
      </c>
    </row>
    <row r="667" outlineLevel="1" ht="15" customHeight="1" s="82">
      <c r="A667" s="139">
        <f>'1510'!A668</f>
        <v/>
      </c>
      <c r="B667" s="139">
        <f>'1510'!B668</f>
        <v/>
      </c>
      <c r="C667" s="139">
        <f>'1510'!D668</f>
        <v/>
      </c>
      <c r="D667" s="140">
        <f>'1510'!E668</f>
        <v/>
      </c>
      <c r="E667" s="140">
        <f>'1510'!F668</f>
        <v/>
      </c>
      <c r="F667" s="139">
        <f>'1510'!C668</f>
        <v/>
      </c>
      <c r="G667" s="155">
        <f>'1510'!G668</f>
        <v/>
      </c>
      <c r="H667" s="155">
        <f>'1510'!H668</f>
        <v/>
      </c>
      <c r="I667" s="139">
        <f>'1510'!I668</f>
        <v/>
      </c>
    </row>
    <row r="668" outlineLevel="1" ht="15" customHeight="1" s="82">
      <c r="A668" s="139">
        <f>'1510'!A669</f>
        <v/>
      </c>
      <c r="B668" s="139">
        <f>'1510'!B669</f>
        <v/>
      </c>
      <c r="C668" s="139">
        <f>'1510'!D669</f>
        <v/>
      </c>
      <c r="D668" s="140">
        <f>'1510'!E669</f>
        <v/>
      </c>
      <c r="E668" s="140">
        <f>'1510'!F669</f>
        <v/>
      </c>
      <c r="F668" s="139">
        <f>'1510'!C669</f>
        <v/>
      </c>
      <c r="G668" s="155">
        <f>'1510'!G669</f>
        <v/>
      </c>
      <c r="H668" s="155">
        <f>'1510'!H669</f>
        <v/>
      </c>
      <c r="I668" s="139">
        <f>'1510'!I669</f>
        <v/>
      </c>
    </row>
    <row r="669" outlineLevel="1" ht="15" customHeight="1" s="82">
      <c r="A669" s="139">
        <f>'1510'!A670</f>
        <v/>
      </c>
      <c r="B669" s="139">
        <f>'1510'!B670</f>
        <v/>
      </c>
      <c r="C669" s="139">
        <f>'1510'!D670</f>
        <v/>
      </c>
      <c r="D669" s="140">
        <f>'1510'!E670</f>
        <v/>
      </c>
      <c r="E669" s="140">
        <f>'1510'!F670</f>
        <v/>
      </c>
      <c r="F669" s="139">
        <f>'1510'!C670</f>
        <v/>
      </c>
      <c r="G669" s="155">
        <f>'1510'!G670</f>
        <v/>
      </c>
      <c r="H669" s="155">
        <f>'1510'!H670</f>
        <v/>
      </c>
      <c r="I669" s="139">
        <f>'1510'!I670</f>
        <v/>
      </c>
    </row>
    <row r="670" outlineLevel="1" ht="15" customHeight="1" s="82">
      <c r="A670" s="139">
        <f>'1510'!A671</f>
        <v/>
      </c>
      <c r="B670" s="139">
        <f>'1510'!B671</f>
        <v/>
      </c>
      <c r="C670" s="139">
        <f>'1510'!D671</f>
        <v/>
      </c>
      <c r="D670" s="140">
        <f>'1510'!E671</f>
        <v/>
      </c>
      <c r="E670" s="140">
        <f>'1510'!F671</f>
        <v/>
      </c>
      <c r="F670" s="139">
        <f>'1510'!C671</f>
        <v/>
      </c>
      <c r="G670" s="155">
        <f>'1510'!G671</f>
        <v/>
      </c>
      <c r="H670" s="155">
        <f>'1510'!H671</f>
        <v/>
      </c>
      <c r="I670" s="139">
        <f>'1510'!I671</f>
        <v/>
      </c>
    </row>
    <row r="671" outlineLevel="1" ht="15" customHeight="1" s="82">
      <c r="A671" s="139">
        <f>'1510'!A672</f>
        <v/>
      </c>
      <c r="B671" s="139">
        <f>'1510'!B672</f>
        <v/>
      </c>
      <c r="C671" s="139">
        <f>'1510'!D672</f>
        <v/>
      </c>
      <c r="D671" s="140">
        <f>'1510'!E672</f>
        <v/>
      </c>
      <c r="E671" s="140">
        <f>'1510'!F672</f>
        <v/>
      </c>
      <c r="F671" s="139">
        <f>'1510'!C672</f>
        <v/>
      </c>
      <c r="G671" s="155">
        <f>'1510'!G672</f>
        <v/>
      </c>
      <c r="H671" s="155">
        <f>'1510'!H672</f>
        <v/>
      </c>
      <c r="I671" s="139">
        <f>'1510'!I672</f>
        <v/>
      </c>
    </row>
    <row r="672" outlineLevel="1" ht="15" customHeight="1" s="82">
      <c r="A672" s="139">
        <f>'1510'!A673</f>
        <v/>
      </c>
      <c r="B672" s="139">
        <f>'1510'!B673</f>
        <v/>
      </c>
      <c r="C672" s="139">
        <f>'1510'!D673</f>
        <v/>
      </c>
      <c r="D672" s="140">
        <f>'1510'!E673</f>
        <v/>
      </c>
      <c r="E672" s="140">
        <f>'1510'!F673</f>
        <v/>
      </c>
      <c r="F672" s="139">
        <f>'1510'!C673</f>
        <v/>
      </c>
      <c r="G672" s="155">
        <f>'1510'!G673</f>
        <v/>
      </c>
      <c r="H672" s="155">
        <f>'1510'!H673</f>
        <v/>
      </c>
      <c r="I672" s="139">
        <f>'1510'!I673</f>
        <v/>
      </c>
    </row>
    <row r="673" outlineLevel="1" ht="15" customHeight="1" s="82">
      <c r="A673" s="139">
        <f>'1510'!A674</f>
        <v/>
      </c>
      <c r="B673" s="139">
        <f>'1510'!B674</f>
        <v/>
      </c>
      <c r="C673" s="139">
        <f>'1510'!D674</f>
        <v/>
      </c>
      <c r="D673" s="140">
        <f>'1510'!E674</f>
        <v/>
      </c>
      <c r="E673" s="140">
        <f>'1510'!F674</f>
        <v/>
      </c>
      <c r="F673" s="139">
        <f>'1510'!C674</f>
        <v/>
      </c>
      <c r="G673" s="155">
        <f>'1510'!G674</f>
        <v/>
      </c>
      <c r="H673" s="155">
        <f>'1510'!H674</f>
        <v/>
      </c>
      <c r="I673" s="139">
        <f>'1510'!I674</f>
        <v/>
      </c>
    </row>
    <row r="674" outlineLevel="1" ht="15" customHeight="1" s="82">
      <c r="A674" s="139">
        <f>'1510'!A675</f>
        <v/>
      </c>
      <c r="B674" s="139">
        <f>'1510'!B675</f>
        <v/>
      </c>
      <c r="C674" s="139">
        <f>'1510'!D675</f>
        <v/>
      </c>
      <c r="D674" s="140">
        <f>'1510'!E675</f>
        <v/>
      </c>
      <c r="E674" s="140">
        <f>'1510'!F675</f>
        <v/>
      </c>
      <c r="F674" s="139">
        <f>'1510'!C675</f>
        <v/>
      </c>
      <c r="G674" s="155">
        <f>'1510'!G675</f>
        <v/>
      </c>
      <c r="H674" s="155">
        <f>'1510'!H675</f>
        <v/>
      </c>
      <c r="I674" s="139">
        <f>'1510'!I675</f>
        <v/>
      </c>
    </row>
    <row r="675" outlineLevel="1" ht="15" customHeight="1" s="82">
      <c r="A675" s="139">
        <f>'1510'!A676</f>
        <v/>
      </c>
      <c r="B675" s="139">
        <f>'1510'!B676</f>
        <v/>
      </c>
      <c r="C675" s="139">
        <f>'1510'!D676</f>
        <v/>
      </c>
      <c r="D675" s="140">
        <f>'1510'!E676</f>
        <v/>
      </c>
      <c r="E675" s="140">
        <f>'1510'!F676</f>
        <v/>
      </c>
      <c r="F675" s="139">
        <f>'1510'!C676</f>
        <v/>
      </c>
      <c r="G675" s="155">
        <f>'1510'!G676</f>
        <v/>
      </c>
      <c r="H675" s="155">
        <f>'1510'!H676</f>
        <v/>
      </c>
      <c r="I675" s="139">
        <f>'1510'!I676</f>
        <v/>
      </c>
    </row>
    <row r="676" outlineLevel="1" ht="15" customHeight="1" s="82">
      <c r="A676" s="139">
        <f>'1510'!A677</f>
        <v/>
      </c>
      <c r="B676" s="139">
        <f>'1510'!B677</f>
        <v/>
      </c>
      <c r="C676" s="139">
        <f>'1510'!D677</f>
        <v/>
      </c>
      <c r="D676" s="140">
        <f>'1510'!E677</f>
        <v/>
      </c>
      <c r="E676" s="140">
        <f>'1510'!F677</f>
        <v/>
      </c>
      <c r="F676" s="139">
        <f>'1510'!C677</f>
        <v/>
      </c>
      <c r="G676" s="155">
        <f>'1510'!G677</f>
        <v/>
      </c>
      <c r="H676" s="155">
        <f>'1510'!H677</f>
        <v/>
      </c>
      <c r="I676" s="139">
        <f>'1510'!I677</f>
        <v/>
      </c>
    </row>
    <row r="677" outlineLevel="1" ht="15" customHeight="1" s="82">
      <c r="A677" s="139">
        <f>'1510'!A678</f>
        <v/>
      </c>
      <c r="B677" s="139">
        <f>'1510'!B678</f>
        <v/>
      </c>
      <c r="C677" s="139">
        <f>'1510'!D678</f>
        <v/>
      </c>
      <c r="D677" s="140">
        <f>'1510'!E678</f>
        <v/>
      </c>
      <c r="E677" s="140">
        <f>'1510'!F678</f>
        <v/>
      </c>
      <c r="F677" s="139">
        <f>'1510'!C678</f>
        <v/>
      </c>
      <c r="G677" s="155">
        <f>'1510'!G678</f>
        <v/>
      </c>
      <c r="H677" s="155">
        <f>'1510'!H678</f>
        <v/>
      </c>
      <c r="I677" s="139">
        <f>'1510'!I678</f>
        <v/>
      </c>
    </row>
    <row r="678" outlineLevel="1" ht="15" customHeight="1" s="82">
      <c r="A678" s="139">
        <f>'1510'!A679</f>
        <v/>
      </c>
      <c r="B678" s="139">
        <f>'1510'!B679</f>
        <v/>
      </c>
      <c r="C678" s="139">
        <f>'1510'!D679</f>
        <v/>
      </c>
      <c r="D678" s="140">
        <f>'1510'!E679</f>
        <v/>
      </c>
      <c r="E678" s="140">
        <f>'1510'!F679</f>
        <v/>
      </c>
      <c r="F678" s="139">
        <f>'1510'!C679</f>
        <v/>
      </c>
      <c r="G678" s="155">
        <f>'1510'!G679</f>
        <v/>
      </c>
      <c r="H678" s="155">
        <f>'1510'!H679</f>
        <v/>
      </c>
      <c r="I678" s="139">
        <f>'1510'!I679</f>
        <v/>
      </c>
    </row>
    <row r="679" outlineLevel="1" ht="15" customHeight="1" s="82">
      <c r="A679" s="139">
        <f>'1510'!A680</f>
        <v/>
      </c>
      <c r="B679" s="139">
        <f>'1510'!B680</f>
        <v/>
      </c>
      <c r="C679" s="139">
        <f>'1510'!D680</f>
        <v/>
      </c>
      <c r="D679" s="140">
        <f>'1510'!E680</f>
        <v/>
      </c>
      <c r="E679" s="140">
        <f>'1510'!F680</f>
        <v/>
      </c>
      <c r="F679" s="139">
        <f>'1510'!C680</f>
        <v/>
      </c>
      <c r="G679" s="155">
        <f>'1510'!G680</f>
        <v/>
      </c>
      <c r="H679" s="155">
        <f>'1510'!H680</f>
        <v/>
      </c>
      <c r="I679" s="139">
        <f>'1510'!I680</f>
        <v/>
      </c>
    </row>
    <row r="680" outlineLevel="1" ht="15" customHeight="1" s="82">
      <c r="A680" s="139">
        <f>'1510'!A681</f>
        <v/>
      </c>
      <c r="B680" s="139">
        <f>'1510'!B681</f>
        <v/>
      </c>
      <c r="C680" s="139">
        <f>'1510'!D681</f>
        <v/>
      </c>
      <c r="D680" s="140">
        <f>'1510'!E681</f>
        <v/>
      </c>
      <c r="E680" s="140">
        <f>'1510'!F681</f>
        <v/>
      </c>
      <c r="F680" s="139">
        <f>'1510'!C681</f>
        <v/>
      </c>
      <c r="G680" s="155">
        <f>'1510'!G681</f>
        <v/>
      </c>
      <c r="H680" s="155">
        <f>'1510'!H681</f>
        <v/>
      </c>
      <c r="I680" s="139">
        <f>'1510'!I681</f>
        <v/>
      </c>
    </row>
    <row r="681" outlineLevel="1" ht="15" customHeight="1" s="82">
      <c r="A681" s="139">
        <f>'1510'!A682</f>
        <v/>
      </c>
      <c r="B681" s="139">
        <f>'1510'!B682</f>
        <v/>
      </c>
      <c r="C681" s="139">
        <f>'1510'!D682</f>
        <v/>
      </c>
      <c r="D681" s="140">
        <f>'1510'!E682</f>
        <v/>
      </c>
      <c r="E681" s="140">
        <f>'1510'!F682</f>
        <v/>
      </c>
      <c r="F681" s="139">
        <f>'1510'!C682</f>
        <v/>
      </c>
      <c r="G681" s="155">
        <f>'1510'!G682</f>
        <v/>
      </c>
      <c r="H681" s="155">
        <f>'1510'!H682</f>
        <v/>
      </c>
      <c r="I681" s="139">
        <f>'1510'!I682</f>
        <v/>
      </c>
    </row>
    <row r="682" outlineLevel="1" ht="15" customHeight="1" s="82">
      <c r="A682" s="139">
        <f>'1510'!A683</f>
        <v/>
      </c>
      <c r="B682" s="139">
        <f>'1510'!B683</f>
        <v/>
      </c>
      <c r="C682" s="139">
        <f>'1510'!D683</f>
        <v/>
      </c>
      <c r="D682" s="140">
        <f>'1510'!E683</f>
        <v/>
      </c>
      <c r="E682" s="140">
        <f>'1510'!F683</f>
        <v/>
      </c>
      <c r="F682" s="139">
        <f>'1510'!C683</f>
        <v/>
      </c>
      <c r="G682" s="155">
        <f>'1510'!G683</f>
        <v/>
      </c>
      <c r="H682" s="155">
        <f>'1510'!H683</f>
        <v/>
      </c>
      <c r="I682" s="139">
        <f>'1510'!I683</f>
        <v/>
      </c>
    </row>
    <row r="683" outlineLevel="1" ht="15" customHeight="1" s="82">
      <c r="A683" s="139">
        <f>'1510'!A684</f>
        <v/>
      </c>
      <c r="B683" s="139">
        <f>'1510'!B684</f>
        <v/>
      </c>
      <c r="C683" s="139">
        <f>'1510'!D684</f>
        <v/>
      </c>
      <c r="D683" s="140">
        <f>'1510'!E684</f>
        <v/>
      </c>
      <c r="E683" s="140">
        <f>'1510'!F684</f>
        <v/>
      </c>
      <c r="F683" s="139">
        <f>'1510'!C684</f>
        <v/>
      </c>
      <c r="G683" s="155">
        <f>'1510'!G684</f>
        <v/>
      </c>
      <c r="H683" s="155">
        <f>'1510'!H684</f>
        <v/>
      </c>
      <c r="I683" s="139">
        <f>'1510'!I684</f>
        <v/>
      </c>
    </row>
    <row r="684" outlineLevel="1" ht="15" customHeight="1" s="82">
      <c r="A684" s="139">
        <f>'1510'!A685</f>
        <v/>
      </c>
      <c r="B684" s="139">
        <f>'1510'!B685</f>
        <v/>
      </c>
      <c r="C684" s="139">
        <f>'1510'!D685</f>
        <v/>
      </c>
      <c r="D684" s="140">
        <f>'1510'!E685</f>
        <v/>
      </c>
      <c r="E684" s="140">
        <f>'1510'!F685</f>
        <v/>
      </c>
      <c r="F684" s="139">
        <f>'1510'!C685</f>
        <v/>
      </c>
      <c r="G684" s="155">
        <f>'1510'!G685</f>
        <v/>
      </c>
      <c r="H684" s="155">
        <f>'1510'!H685</f>
        <v/>
      </c>
      <c r="I684" s="139">
        <f>'1510'!I685</f>
        <v/>
      </c>
    </row>
    <row r="685" outlineLevel="1" ht="15" customHeight="1" s="82">
      <c r="A685" s="139">
        <f>'1510'!A686</f>
        <v/>
      </c>
      <c r="B685" s="139">
        <f>'1510'!B686</f>
        <v/>
      </c>
      <c r="C685" s="139">
        <f>'1510'!D686</f>
        <v/>
      </c>
      <c r="D685" s="140">
        <f>'1510'!E686</f>
        <v/>
      </c>
      <c r="E685" s="140">
        <f>'1510'!F686</f>
        <v/>
      </c>
      <c r="F685" s="139">
        <f>'1510'!C686</f>
        <v/>
      </c>
      <c r="G685" s="155">
        <f>'1510'!G686</f>
        <v/>
      </c>
      <c r="H685" s="155">
        <f>'1510'!H686</f>
        <v/>
      </c>
      <c r="I685" s="139">
        <f>'1510'!I686</f>
        <v/>
      </c>
    </row>
    <row r="686" outlineLevel="1" ht="15" customHeight="1" s="82">
      <c r="A686" s="139">
        <f>'1510'!A687</f>
        <v/>
      </c>
      <c r="B686" s="139">
        <f>'1510'!B687</f>
        <v/>
      </c>
      <c r="C686" s="139">
        <f>'1510'!D687</f>
        <v/>
      </c>
      <c r="D686" s="140">
        <f>'1510'!E687</f>
        <v/>
      </c>
      <c r="E686" s="140">
        <f>'1510'!F687</f>
        <v/>
      </c>
      <c r="F686" s="139">
        <f>'1510'!C687</f>
        <v/>
      </c>
      <c r="G686" s="155">
        <f>'1510'!G687</f>
        <v/>
      </c>
      <c r="H686" s="155">
        <f>'1510'!H687</f>
        <v/>
      </c>
      <c r="I686" s="139">
        <f>'1510'!I687</f>
        <v/>
      </c>
    </row>
    <row r="687" outlineLevel="1" ht="15" customHeight="1" s="82">
      <c r="A687" s="139">
        <f>'1510'!A688</f>
        <v/>
      </c>
      <c r="B687" s="139">
        <f>'1510'!B688</f>
        <v/>
      </c>
      <c r="C687" s="139">
        <f>'1510'!D688</f>
        <v/>
      </c>
      <c r="D687" s="140">
        <f>'1510'!E688</f>
        <v/>
      </c>
      <c r="E687" s="140">
        <f>'1510'!F688</f>
        <v/>
      </c>
      <c r="F687" s="139">
        <f>'1510'!C688</f>
        <v/>
      </c>
      <c r="G687" s="155">
        <f>'1510'!G688</f>
        <v/>
      </c>
      <c r="H687" s="155">
        <f>'1510'!H688</f>
        <v/>
      </c>
      <c r="I687" s="139">
        <f>'1510'!I688</f>
        <v/>
      </c>
    </row>
    <row r="688" outlineLevel="1" ht="15" customHeight="1" s="82">
      <c r="A688" s="139">
        <f>'1510'!A689</f>
        <v/>
      </c>
      <c r="B688" s="139">
        <f>'1510'!B689</f>
        <v/>
      </c>
      <c r="C688" s="139">
        <f>'1510'!D689</f>
        <v/>
      </c>
      <c r="D688" s="140">
        <f>'1510'!E689</f>
        <v/>
      </c>
      <c r="E688" s="140">
        <f>'1510'!F689</f>
        <v/>
      </c>
      <c r="F688" s="139">
        <f>'1510'!C689</f>
        <v/>
      </c>
      <c r="G688" s="155">
        <f>'1510'!G689</f>
        <v/>
      </c>
      <c r="H688" s="155">
        <f>'1510'!H689</f>
        <v/>
      </c>
      <c r="I688" s="139">
        <f>'1510'!I689</f>
        <v/>
      </c>
    </row>
    <row r="689" outlineLevel="1" ht="15" customHeight="1" s="82">
      <c r="A689" s="139">
        <f>'1510'!A690</f>
        <v/>
      </c>
      <c r="B689" s="139">
        <f>'1510'!B690</f>
        <v/>
      </c>
      <c r="C689" s="139">
        <f>'1510'!D690</f>
        <v/>
      </c>
      <c r="D689" s="140">
        <f>'1510'!E690</f>
        <v/>
      </c>
      <c r="E689" s="140">
        <f>'1510'!F690</f>
        <v/>
      </c>
      <c r="F689" s="139">
        <f>'1510'!C690</f>
        <v/>
      </c>
      <c r="G689" s="155">
        <f>'1510'!G690</f>
        <v/>
      </c>
      <c r="H689" s="155">
        <f>'1510'!H690</f>
        <v/>
      </c>
      <c r="I689" s="139">
        <f>'1510'!I690</f>
        <v/>
      </c>
    </row>
    <row r="690" outlineLevel="1" ht="15" customHeight="1" s="82">
      <c r="A690" s="139">
        <f>'1510'!A691</f>
        <v/>
      </c>
      <c r="B690" s="139">
        <f>'1510'!B691</f>
        <v/>
      </c>
      <c r="C690" s="139">
        <f>'1510'!D691</f>
        <v/>
      </c>
      <c r="D690" s="140">
        <f>'1510'!E691</f>
        <v/>
      </c>
      <c r="E690" s="140">
        <f>'1510'!F691</f>
        <v/>
      </c>
      <c r="F690" s="139">
        <f>'1510'!C691</f>
        <v/>
      </c>
      <c r="G690" s="155">
        <f>'1510'!G691</f>
        <v/>
      </c>
      <c r="H690" s="155">
        <f>'1510'!H691</f>
        <v/>
      </c>
      <c r="I690" s="139">
        <f>'1510'!I691</f>
        <v/>
      </c>
    </row>
    <row r="691" outlineLevel="1" ht="15" customHeight="1" s="82">
      <c r="A691" s="139">
        <f>'1510'!A692</f>
        <v/>
      </c>
      <c r="B691" s="139">
        <f>'1510'!B692</f>
        <v/>
      </c>
      <c r="C691" s="139">
        <f>'1510'!D692</f>
        <v/>
      </c>
      <c r="D691" s="140">
        <f>'1510'!E692</f>
        <v/>
      </c>
      <c r="E691" s="140">
        <f>'1510'!F692</f>
        <v/>
      </c>
      <c r="F691" s="139">
        <f>'1510'!C692</f>
        <v/>
      </c>
      <c r="G691" s="155">
        <f>'1510'!G692</f>
        <v/>
      </c>
      <c r="H691" s="155">
        <f>'1510'!H692</f>
        <v/>
      </c>
      <c r="I691" s="139">
        <f>'1510'!I692</f>
        <v/>
      </c>
    </row>
    <row r="692" outlineLevel="1" ht="15" customHeight="1" s="82">
      <c r="A692" s="139">
        <f>'1510'!A693</f>
        <v/>
      </c>
      <c r="B692" s="139">
        <f>'1510'!B693</f>
        <v/>
      </c>
      <c r="C692" s="139">
        <f>'1510'!D693</f>
        <v/>
      </c>
      <c r="D692" s="140">
        <f>'1510'!E693</f>
        <v/>
      </c>
      <c r="E692" s="140">
        <f>'1510'!F693</f>
        <v/>
      </c>
      <c r="F692" s="139">
        <f>'1510'!C693</f>
        <v/>
      </c>
      <c r="G692" s="155">
        <f>'1510'!G693</f>
        <v/>
      </c>
      <c r="H692" s="155">
        <f>'1510'!H693</f>
        <v/>
      </c>
      <c r="I692" s="139">
        <f>'1510'!I693</f>
        <v/>
      </c>
    </row>
    <row r="693" outlineLevel="1" ht="15" customHeight="1" s="82">
      <c r="A693" s="139">
        <f>'1510'!A694</f>
        <v/>
      </c>
      <c r="B693" s="139">
        <f>'1510'!B694</f>
        <v/>
      </c>
      <c r="C693" s="139">
        <f>'1510'!D694</f>
        <v/>
      </c>
      <c r="D693" s="140">
        <f>'1510'!E694</f>
        <v/>
      </c>
      <c r="E693" s="140">
        <f>'1510'!F694</f>
        <v/>
      </c>
      <c r="F693" s="139">
        <f>'1510'!C694</f>
        <v/>
      </c>
      <c r="G693" s="155">
        <f>'1510'!G694</f>
        <v/>
      </c>
      <c r="H693" s="155">
        <f>'1510'!H694</f>
        <v/>
      </c>
      <c r="I693" s="139">
        <f>'1510'!I694</f>
        <v/>
      </c>
    </row>
    <row r="694" outlineLevel="1" ht="15" customHeight="1" s="82">
      <c r="A694" s="139">
        <f>'1510'!A695</f>
        <v/>
      </c>
      <c r="B694" s="139">
        <f>'1510'!B695</f>
        <v/>
      </c>
      <c r="C694" s="139">
        <f>'1510'!D695</f>
        <v/>
      </c>
      <c r="D694" s="140">
        <f>'1510'!E695</f>
        <v/>
      </c>
      <c r="E694" s="140">
        <f>'1510'!F695</f>
        <v/>
      </c>
      <c r="F694" s="139">
        <f>'1510'!C695</f>
        <v/>
      </c>
      <c r="G694" s="155">
        <f>'1510'!G695</f>
        <v/>
      </c>
      <c r="H694" s="155">
        <f>'1510'!H695</f>
        <v/>
      </c>
      <c r="I694" s="139">
        <f>'1510'!I695</f>
        <v/>
      </c>
    </row>
    <row r="695" outlineLevel="1" ht="15" customHeight="1" s="82">
      <c r="A695" s="139">
        <f>'1510'!A696</f>
        <v/>
      </c>
      <c r="B695" s="139">
        <f>'1510'!B696</f>
        <v/>
      </c>
      <c r="C695" s="139">
        <f>'1510'!D696</f>
        <v/>
      </c>
      <c r="D695" s="140">
        <f>'1510'!E696</f>
        <v/>
      </c>
      <c r="E695" s="140">
        <f>'1510'!F696</f>
        <v/>
      </c>
      <c r="F695" s="139">
        <f>'1510'!C696</f>
        <v/>
      </c>
      <c r="G695" s="155">
        <f>'1510'!G696</f>
        <v/>
      </c>
      <c r="H695" s="155">
        <f>'1510'!H696</f>
        <v/>
      </c>
      <c r="I695" s="139">
        <f>'1510'!I696</f>
        <v/>
      </c>
    </row>
    <row r="696" outlineLevel="1" ht="15" customHeight="1" s="82">
      <c r="A696" s="139">
        <f>'1510'!A697</f>
        <v/>
      </c>
      <c r="B696" s="139">
        <f>'1510'!B697</f>
        <v/>
      </c>
      <c r="C696" s="139">
        <f>'1510'!D697</f>
        <v/>
      </c>
      <c r="D696" s="140">
        <f>'1510'!E697</f>
        <v/>
      </c>
      <c r="E696" s="140">
        <f>'1510'!F697</f>
        <v/>
      </c>
      <c r="F696" s="139">
        <f>'1510'!C697</f>
        <v/>
      </c>
      <c r="G696" s="155">
        <f>'1510'!G697</f>
        <v/>
      </c>
      <c r="H696" s="155">
        <f>'1510'!H697</f>
        <v/>
      </c>
      <c r="I696" s="139">
        <f>'1510'!I697</f>
        <v/>
      </c>
    </row>
    <row r="697" outlineLevel="1" ht="15" customHeight="1" s="82">
      <c r="A697" s="139">
        <f>'1510'!A698</f>
        <v/>
      </c>
      <c r="B697" s="139">
        <f>'1510'!B698</f>
        <v/>
      </c>
      <c r="C697" s="139">
        <f>'1510'!D698</f>
        <v/>
      </c>
      <c r="D697" s="140">
        <f>'1510'!E698</f>
        <v/>
      </c>
      <c r="E697" s="140">
        <f>'1510'!F698</f>
        <v/>
      </c>
      <c r="F697" s="139">
        <f>'1510'!C698</f>
        <v/>
      </c>
      <c r="G697" s="155">
        <f>'1510'!G698</f>
        <v/>
      </c>
      <c r="H697" s="155">
        <f>'1510'!H698</f>
        <v/>
      </c>
      <c r="I697" s="139">
        <f>'1510'!I698</f>
        <v/>
      </c>
    </row>
    <row r="698" outlineLevel="1" ht="15" customHeight="1" s="82">
      <c r="A698" s="139">
        <f>'1510'!A699</f>
        <v/>
      </c>
      <c r="B698" s="139">
        <f>'1510'!B699</f>
        <v/>
      </c>
      <c r="C698" s="139">
        <f>'1510'!D699</f>
        <v/>
      </c>
      <c r="D698" s="140">
        <f>'1510'!E699</f>
        <v/>
      </c>
      <c r="E698" s="140">
        <f>'1510'!F699</f>
        <v/>
      </c>
      <c r="F698" s="139">
        <f>'1510'!C699</f>
        <v/>
      </c>
      <c r="G698" s="155">
        <f>'1510'!G699</f>
        <v/>
      </c>
      <c r="H698" s="155">
        <f>'1510'!H699</f>
        <v/>
      </c>
      <c r="I698" s="139">
        <f>'1510'!I699</f>
        <v/>
      </c>
    </row>
    <row r="699" outlineLevel="1" ht="15" customHeight="1" s="82">
      <c r="A699" s="139">
        <f>'1510'!A700</f>
        <v/>
      </c>
      <c r="B699" s="139">
        <f>'1510'!B700</f>
        <v/>
      </c>
      <c r="C699" s="139">
        <f>'1510'!D700</f>
        <v/>
      </c>
      <c r="D699" s="140">
        <f>'1510'!E700</f>
        <v/>
      </c>
      <c r="E699" s="140">
        <f>'1510'!F700</f>
        <v/>
      </c>
      <c r="F699" s="139">
        <f>'1510'!C700</f>
        <v/>
      </c>
      <c r="G699" s="155">
        <f>'1510'!G700</f>
        <v/>
      </c>
      <c r="H699" s="155">
        <f>'1510'!H700</f>
        <v/>
      </c>
      <c r="I699" s="139">
        <f>'1510'!I700</f>
        <v/>
      </c>
    </row>
    <row r="700" outlineLevel="1" ht="15" customHeight="1" s="82">
      <c r="A700" s="139">
        <f>'1510'!A701</f>
        <v/>
      </c>
      <c r="B700" s="139">
        <f>'1510'!B701</f>
        <v/>
      </c>
      <c r="C700" s="139">
        <f>'1510'!D701</f>
        <v/>
      </c>
      <c r="D700" s="140">
        <f>'1510'!E701</f>
        <v/>
      </c>
      <c r="E700" s="140">
        <f>'1510'!F701</f>
        <v/>
      </c>
      <c r="F700" s="139">
        <f>'1510'!C701</f>
        <v/>
      </c>
      <c r="G700" s="155">
        <f>'1510'!G701</f>
        <v/>
      </c>
      <c r="H700" s="155">
        <f>'1510'!H701</f>
        <v/>
      </c>
      <c r="I700" s="139">
        <f>'1510'!I701</f>
        <v/>
      </c>
    </row>
    <row r="701" outlineLevel="1" ht="15" customHeight="1" s="82">
      <c r="A701" s="139">
        <f>'1510'!A702</f>
        <v/>
      </c>
      <c r="B701" s="139">
        <f>'1510'!B702</f>
        <v/>
      </c>
      <c r="C701" s="139">
        <f>'1510'!D702</f>
        <v/>
      </c>
      <c r="D701" s="140">
        <f>'1510'!E702</f>
        <v/>
      </c>
      <c r="E701" s="140">
        <f>'1510'!F702</f>
        <v/>
      </c>
      <c r="F701" s="139">
        <f>'1510'!C702</f>
        <v/>
      </c>
      <c r="G701" s="155">
        <f>'1510'!G702</f>
        <v/>
      </c>
      <c r="H701" s="155">
        <f>'1510'!H702</f>
        <v/>
      </c>
      <c r="I701" s="139">
        <f>'1510'!I702</f>
        <v/>
      </c>
    </row>
    <row r="702" outlineLevel="1" ht="15" customHeight="1" s="82">
      <c r="A702" s="139">
        <f>'1510'!A703</f>
        <v/>
      </c>
      <c r="B702" s="139">
        <f>'1510'!B703</f>
        <v/>
      </c>
      <c r="C702" s="139">
        <f>'1510'!D703</f>
        <v/>
      </c>
      <c r="D702" s="140">
        <f>'1510'!E703</f>
        <v/>
      </c>
      <c r="E702" s="140">
        <f>'1510'!F703</f>
        <v/>
      </c>
      <c r="F702" s="139">
        <f>'1510'!C703</f>
        <v/>
      </c>
      <c r="G702" s="155">
        <f>'1510'!G703</f>
        <v/>
      </c>
      <c r="H702" s="155">
        <f>'1510'!H703</f>
        <v/>
      </c>
      <c r="I702" s="139">
        <f>'1510'!I703</f>
        <v/>
      </c>
    </row>
    <row r="703" outlineLevel="1" ht="15" customHeight="1" s="82">
      <c r="A703" s="139">
        <f>'1510'!A704</f>
        <v/>
      </c>
      <c r="B703" s="139">
        <f>'1510'!B704</f>
        <v/>
      </c>
      <c r="C703" s="139">
        <f>'1510'!D704</f>
        <v/>
      </c>
      <c r="D703" s="140">
        <f>'1510'!E704</f>
        <v/>
      </c>
      <c r="E703" s="140">
        <f>'1510'!F704</f>
        <v/>
      </c>
      <c r="F703" s="139">
        <f>'1510'!C704</f>
        <v/>
      </c>
      <c r="G703" s="155">
        <f>'1510'!G704</f>
        <v/>
      </c>
      <c r="H703" s="155">
        <f>'1510'!H704</f>
        <v/>
      </c>
      <c r="I703" s="139">
        <f>'1510'!I704</f>
        <v/>
      </c>
    </row>
    <row r="704" outlineLevel="1" ht="15" customHeight="1" s="82">
      <c r="A704" s="139">
        <f>'1510'!A705</f>
        <v/>
      </c>
      <c r="B704" s="139">
        <f>'1510'!B705</f>
        <v/>
      </c>
      <c r="C704" s="139">
        <f>'1510'!D705</f>
        <v/>
      </c>
      <c r="D704" s="140">
        <f>'1510'!E705</f>
        <v/>
      </c>
      <c r="E704" s="140">
        <f>'1510'!F705</f>
        <v/>
      </c>
      <c r="F704" s="139">
        <f>'1510'!C705</f>
        <v/>
      </c>
      <c r="G704" s="155">
        <f>'1510'!G705</f>
        <v/>
      </c>
      <c r="H704" s="155">
        <f>'1510'!H705</f>
        <v/>
      </c>
      <c r="I704" s="139">
        <f>'1510'!I705</f>
        <v/>
      </c>
    </row>
    <row r="705" ht="15" customHeight="1" s="82"/>
    <row r="706" ht="15" customHeight="1" s="82">
      <c r="A706" s="143">
        <f>'1510'!A707</f>
        <v/>
      </c>
      <c r="B706" s="143" t="n"/>
      <c r="C706" s="143">
        <f>'1510'!D707</f>
        <v/>
      </c>
      <c r="D706" s="153">
        <f>'1510'!E707</f>
        <v/>
      </c>
      <c r="E706" s="153">
        <f>'1510'!F707</f>
        <v/>
      </c>
      <c r="F706" s="143" t="n"/>
      <c r="G706" s="154">
        <f>'1510'!G707</f>
        <v/>
      </c>
      <c r="H706" s="154">
        <f>'1510'!H707</f>
        <v/>
      </c>
      <c r="I706" s="143">
        <f>'1510'!I707</f>
        <v/>
      </c>
    </row>
    <row r="707" outlineLevel="1" ht="15" customHeight="1" s="82">
      <c r="A707" s="139">
        <f>'1510'!A708</f>
        <v/>
      </c>
      <c r="B707" s="139">
        <f>'1510'!B708</f>
        <v/>
      </c>
      <c r="C707" s="139">
        <f>'1510'!D708</f>
        <v/>
      </c>
      <c r="D707" s="140">
        <f>'1510'!E708</f>
        <v/>
      </c>
      <c r="E707" s="140">
        <f>'1510'!F708</f>
        <v/>
      </c>
      <c r="F707" s="139">
        <f>'1510'!C708</f>
        <v/>
      </c>
      <c r="G707" s="155">
        <f>'1510'!G708</f>
        <v/>
      </c>
      <c r="H707" s="155">
        <f>'1510'!H708</f>
        <v/>
      </c>
      <c r="I707" s="139">
        <f>'1510'!I708</f>
        <v/>
      </c>
    </row>
    <row r="708" outlineLevel="1" ht="15" customHeight="1" s="82">
      <c r="A708" s="139">
        <f>'1510'!A709</f>
        <v/>
      </c>
      <c r="B708" s="139">
        <f>'1510'!B709</f>
        <v/>
      </c>
      <c r="C708" s="139">
        <f>'1510'!D709</f>
        <v/>
      </c>
      <c r="D708" s="140">
        <f>'1510'!E709</f>
        <v/>
      </c>
      <c r="E708" s="140">
        <f>'1510'!F709</f>
        <v/>
      </c>
      <c r="F708" s="139">
        <f>'1510'!C709</f>
        <v/>
      </c>
      <c r="G708" s="155">
        <f>'1510'!G709</f>
        <v/>
      </c>
      <c r="H708" s="155">
        <f>'1510'!H709</f>
        <v/>
      </c>
      <c r="I708" s="139">
        <f>'1510'!I709</f>
        <v/>
      </c>
    </row>
    <row r="709" outlineLevel="1" ht="15" customHeight="1" s="82">
      <c r="A709" s="139">
        <f>'1510'!A710</f>
        <v/>
      </c>
      <c r="B709" s="139">
        <f>'1510'!B710</f>
        <v/>
      </c>
      <c r="C709" s="139">
        <f>'1510'!D710</f>
        <v/>
      </c>
      <c r="D709" s="140">
        <f>'1510'!E710</f>
        <v/>
      </c>
      <c r="E709" s="140">
        <f>'1510'!F710</f>
        <v/>
      </c>
      <c r="F709" s="139">
        <f>'1510'!C710</f>
        <v/>
      </c>
      <c r="G709" s="155">
        <f>'1510'!G710</f>
        <v/>
      </c>
      <c r="H709" s="155">
        <f>'1510'!H710</f>
        <v/>
      </c>
      <c r="I709" s="139">
        <f>'1510'!I710</f>
        <v/>
      </c>
    </row>
    <row r="710" outlineLevel="1" ht="15" customHeight="1" s="82">
      <c r="A710" s="139">
        <f>'1510'!A711</f>
        <v/>
      </c>
      <c r="B710" s="139">
        <f>'1510'!B711</f>
        <v/>
      </c>
      <c r="C710" s="139">
        <f>'1510'!D711</f>
        <v/>
      </c>
      <c r="D710" s="140">
        <f>'1510'!E711</f>
        <v/>
      </c>
      <c r="E710" s="140">
        <f>'1510'!F711</f>
        <v/>
      </c>
      <c r="F710" s="139">
        <f>'1510'!C711</f>
        <v/>
      </c>
      <c r="G710" s="155">
        <f>'1510'!G711</f>
        <v/>
      </c>
      <c r="H710" s="155">
        <f>'1510'!H711</f>
        <v/>
      </c>
      <c r="I710" s="139">
        <f>'1510'!I711</f>
        <v/>
      </c>
    </row>
    <row r="711" outlineLevel="1" ht="15" customHeight="1" s="82">
      <c r="A711" s="139">
        <f>'1510'!A712</f>
        <v/>
      </c>
      <c r="B711" s="139">
        <f>'1510'!B712</f>
        <v/>
      </c>
      <c r="C711" s="139">
        <f>'1510'!D712</f>
        <v/>
      </c>
      <c r="D711" s="140">
        <f>'1510'!E712</f>
        <v/>
      </c>
      <c r="E711" s="140">
        <f>'1510'!F712</f>
        <v/>
      </c>
      <c r="F711" s="139">
        <f>'1510'!C712</f>
        <v/>
      </c>
      <c r="G711" s="155">
        <f>'1510'!G712</f>
        <v/>
      </c>
      <c r="H711" s="155">
        <f>'1510'!H712</f>
        <v/>
      </c>
      <c r="I711" s="139">
        <f>'1510'!I712</f>
        <v/>
      </c>
    </row>
    <row r="712" outlineLevel="1" ht="15" customHeight="1" s="82">
      <c r="A712" s="139">
        <f>'1510'!A713</f>
        <v/>
      </c>
      <c r="B712" s="139">
        <f>'1510'!B713</f>
        <v/>
      </c>
      <c r="C712" s="139">
        <f>'1510'!D713</f>
        <v/>
      </c>
      <c r="D712" s="140">
        <f>'1510'!E713</f>
        <v/>
      </c>
      <c r="E712" s="140">
        <f>'1510'!F713</f>
        <v/>
      </c>
      <c r="F712" s="139">
        <f>'1510'!C713</f>
        <v/>
      </c>
      <c r="G712" s="155">
        <f>'1510'!G713</f>
        <v/>
      </c>
      <c r="H712" s="155">
        <f>'1510'!H713</f>
        <v/>
      </c>
      <c r="I712" s="139">
        <f>'1510'!I713</f>
        <v/>
      </c>
    </row>
    <row r="713" outlineLevel="1" ht="15" customHeight="1" s="82">
      <c r="A713" s="139">
        <f>'1510'!A714</f>
        <v/>
      </c>
      <c r="B713" s="139">
        <f>'1510'!B714</f>
        <v/>
      </c>
      <c r="C713" s="139">
        <f>'1510'!D714</f>
        <v/>
      </c>
      <c r="D713" s="140">
        <f>'1510'!E714</f>
        <v/>
      </c>
      <c r="E713" s="140">
        <f>'1510'!F714</f>
        <v/>
      </c>
      <c r="F713" s="139">
        <f>'1510'!C714</f>
        <v/>
      </c>
      <c r="G713" s="155">
        <f>'1510'!G714</f>
        <v/>
      </c>
      <c r="H713" s="155">
        <f>'1510'!H714</f>
        <v/>
      </c>
      <c r="I713" s="139">
        <f>'1510'!I714</f>
        <v/>
      </c>
    </row>
    <row r="714" outlineLevel="1" ht="15" customHeight="1" s="82">
      <c r="A714" s="139">
        <f>'1510'!A715</f>
        <v/>
      </c>
      <c r="B714" s="139">
        <f>'1510'!B715</f>
        <v/>
      </c>
      <c r="C714" s="139">
        <f>'1510'!D715</f>
        <v/>
      </c>
      <c r="D714" s="140">
        <f>'1510'!E715</f>
        <v/>
      </c>
      <c r="E714" s="140">
        <f>'1510'!F715</f>
        <v/>
      </c>
      <c r="F714" s="139">
        <f>'1510'!C715</f>
        <v/>
      </c>
      <c r="G714" s="155">
        <f>'1510'!G715</f>
        <v/>
      </c>
      <c r="H714" s="155">
        <f>'1510'!H715</f>
        <v/>
      </c>
      <c r="I714" s="139">
        <f>'1510'!I715</f>
        <v/>
      </c>
    </row>
    <row r="715" outlineLevel="1" ht="15" customHeight="1" s="82">
      <c r="A715" s="139">
        <f>'1510'!A716</f>
        <v/>
      </c>
      <c r="B715" s="139">
        <f>'1510'!B716</f>
        <v/>
      </c>
      <c r="C715" s="139">
        <f>'1510'!D716</f>
        <v/>
      </c>
      <c r="D715" s="140">
        <f>'1510'!E716</f>
        <v/>
      </c>
      <c r="E715" s="140">
        <f>'1510'!F716</f>
        <v/>
      </c>
      <c r="F715" s="139">
        <f>'1510'!C716</f>
        <v/>
      </c>
      <c r="G715" s="155">
        <f>'1510'!G716</f>
        <v/>
      </c>
      <c r="H715" s="155">
        <f>'1510'!H716</f>
        <v/>
      </c>
      <c r="I715" s="139">
        <f>'1510'!I716</f>
        <v/>
      </c>
    </row>
    <row r="716" outlineLevel="1" ht="15" customHeight="1" s="82">
      <c r="A716" s="139">
        <f>'1510'!A717</f>
        <v/>
      </c>
      <c r="B716" s="139">
        <f>'1510'!B717</f>
        <v/>
      </c>
      <c r="C716" s="139">
        <f>'1510'!D717</f>
        <v/>
      </c>
      <c r="D716" s="140">
        <f>'1510'!E717</f>
        <v/>
      </c>
      <c r="E716" s="140">
        <f>'1510'!F717</f>
        <v/>
      </c>
      <c r="F716" s="139">
        <f>'1510'!C717</f>
        <v/>
      </c>
      <c r="G716" s="155">
        <f>'1510'!G717</f>
        <v/>
      </c>
      <c r="H716" s="155">
        <f>'1510'!H717</f>
        <v/>
      </c>
      <c r="I716" s="139">
        <f>'1510'!I717</f>
        <v/>
      </c>
    </row>
    <row r="717" outlineLevel="1" ht="15" customHeight="1" s="82">
      <c r="A717" s="139">
        <f>'1510'!A718</f>
        <v/>
      </c>
      <c r="B717" s="139">
        <f>'1510'!B718</f>
        <v/>
      </c>
      <c r="C717" s="139">
        <f>'1510'!D718</f>
        <v/>
      </c>
      <c r="D717" s="140">
        <f>'1510'!E718</f>
        <v/>
      </c>
      <c r="E717" s="140">
        <f>'1510'!F718</f>
        <v/>
      </c>
      <c r="F717" s="139">
        <f>'1510'!C718</f>
        <v/>
      </c>
      <c r="G717" s="155">
        <f>'1510'!G718</f>
        <v/>
      </c>
      <c r="H717" s="155">
        <f>'1510'!H718</f>
        <v/>
      </c>
      <c r="I717" s="139">
        <f>'1510'!I718</f>
        <v/>
      </c>
    </row>
    <row r="718" outlineLevel="1" ht="15" customHeight="1" s="82">
      <c r="A718" s="139">
        <f>'1510'!A719</f>
        <v/>
      </c>
      <c r="B718" s="139">
        <f>'1510'!B719</f>
        <v/>
      </c>
      <c r="C718" s="139">
        <f>'1510'!D719</f>
        <v/>
      </c>
      <c r="D718" s="140">
        <f>'1510'!E719</f>
        <v/>
      </c>
      <c r="E718" s="140">
        <f>'1510'!F719</f>
        <v/>
      </c>
      <c r="F718" s="139">
        <f>'1510'!C719</f>
        <v/>
      </c>
      <c r="G718" s="155">
        <f>'1510'!G719</f>
        <v/>
      </c>
      <c r="H718" s="155">
        <f>'1510'!H719</f>
        <v/>
      </c>
      <c r="I718" s="139">
        <f>'1510'!I719</f>
        <v/>
      </c>
    </row>
    <row r="719" outlineLevel="1" ht="15" customHeight="1" s="82">
      <c r="A719" s="139">
        <f>'1510'!A720</f>
        <v/>
      </c>
      <c r="B719" s="139">
        <f>'1510'!B720</f>
        <v/>
      </c>
      <c r="C719" s="139">
        <f>'1510'!D720</f>
        <v/>
      </c>
      <c r="D719" s="140">
        <f>'1510'!E720</f>
        <v/>
      </c>
      <c r="E719" s="140">
        <f>'1510'!F720</f>
        <v/>
      </c>
      <c r="F719" s="139">
        <f>'1510'!C720</f>
        <v/>
      </c>
      <c r="G719" s="155">
        <f>'1510'!G720</f>
        <v/>
      </c>
      <c r="H719" s="155">
        <f>'1510'!H720</f>
        <v/>
      </c>
      <c r="I719" s="139">
        <f>'1510'!I720</f>
        <v/>
      </c>
    </row>
    <row r="720" outlineLevel="1" ht="15" customHeight="1" s="82">
      <c r="A720" s="139">
        <f>'1510'!A721</f>
        <v/>
      </c>
      <c r="B720" s="139">
        <f>'1510'!B721</f>
        <v/>
      </c>
      <c r="C720" s="139">
        <f>'1510'!D721</f>
        <v/>
      </c>
      <c r="D720" s="140">
        <f>'1510'!E721</f>
        <v/>
      </c>
      <c r="E720" s="140">
        <f>'1510'!F721</f>
        <v/>
      </c>
      <c r="F720" s="139">
        <f>'1510'!C721</f>
        <v/>
      </c>
      <c r="G720" s="155">
        <f>'1510'!G721</f>
        <v/>
      </c>
      <c r="H720" s="155">
        <f>'1510'!H721</f>
        <v/>
      </c>
      <c r="I720" s="139">
        <f>'1510'!I721</f>
        <v/>
      </c>
    </row>
    <row r="721" outlineLevel="1" ht="15" customHeight="1" s="82">
      <c r="A721" s="139">
        <f>'1510'!A722</f>
        <v/>
      </c>
      <c r="B721" s="139">
        <f>'1510'!B722</f>
        <v/>
      </c>
      <c r="C721" s="139">
        <f>'1510'!D722</f>
        <v/>
      </c>
      <c r="D721" s="140">
        <f>'1510'!E722</f>
        <v/>
      </c>
      <c r="E721" s="140">
        <f>'1510'!F722</f>
        <v/>
      </c>
      <c r="F721" s="139">
        <f>'1510'!C722</f>
        <v/>
      </c>
      <c r="G721" s="155">
        <f>'1510'!G722</f>
        <v/>
      </c>
      <c r="H721" s="155">
        <f>'1510'!H722</f>
        <v/>
      </c>
      <c r="I721" s="139">
        <f>'1510'!I722</f>
        <v/>
      </c>
    </row>
    <row r="722" outlineLevel="1" ht="15" customHeight="1" s="82">
      <c r="A722" s="139">
        <f>'1510'!A723</f>
        <v/>
      </c>
      <c r="B722" s="139">
        <f>'1510'!B723</f>
        <v/>
      </c>
      <c r="C722" s="139">
        <f>'1510'!D723</f>
        <v/>
      </c>
      <c r="D722" s="140">
        <f>'1510'!E723</f>
        <v/>
      </c>
      <c r="E722" s="140">
        <f>'1510'!F723</f>
        <v/>
      </c>
      <c r="F722" s="139">
        <f>'1510'!C723</f>
        <v/>
      </c>
      <c r="G722" s="155">
        <f>'1510'!G723</f>
        <v/>
      </c>
      <c r="H722" s="155">
        <f>'1510'!H723</f>
        <v/>
      </c>
      <c r="I722" s="139">
        <f>'1510'!I723</f>
        <v/>
      </c>
    </row>
    <row r="723" outlineLevel="1" ht="15" customHeight="1" s="82">
      <c r="A723" s="139">
        <f>'1510'!A724</f>
        <v/>
      </c>
      <c r="B723" s="139">
        <f>'1510'!B724</f>
        <v/>
      </c>
      <c r="C723" s="139">
        <f>'1510'!D724</f>
        <v/>
      </c>
      <c r="D723" s="140">
        <f>'1510'!E724</f>
        <v/>
      </c>
      <c r="E723" s="140">
        <f>'1510'!F724</f>
        <v/>
      </c>
      <c r="F723" s="139">
        <f>'1510'!C724</f>
        <v/>
      </c>
      <c r="G723" s="155">
        <f>'1510'!G724</f>
        <v/>
      </c>
      <c r="H723" s="155">
        <f>'1510'!H724</f>
        <v/>
      </c>
      <c r="I723" s="139">
        <f>'1510'!I724</f>
        <v/>
      </c>
    </row>
    <row r="724" outlineLevel="1" ht="15" customHeight="1" s="82">
      <c r="A724" s="139">
        <f>'1510'!A725</f>
        <v/>
      </c>
      <c r="B724" s="139">
        <f>'1510'!B725</f>
        <v/>
      </c>
      <c r="C724" s="139">
        <f>'1510'!D725</f>
        <v/>
      </c>
      <c r="D724" s="140">
        <f>'1510'!E725</f>
        <v/>
      </c>
      <c r="E724" s="140">
        <f>'1510'!F725</f>
        <v/>
      </c>
      <c r="F724" s="139">
        <f>'1510'!C725</f>
        <v/>
      </c>
      <c r="G724" s="155">
        <f>'1510'!G725</f>
        <v/>
      </c>
      <c r="H724" s="155">
        <f>'1510'!H725</f>
        <v/>
      </c>
      <c r="I724" s="139">
        <f>'1510'!I725</f>
        <v/>
      </c>
    </row>
    <row r="725" outlineLevel="1" ht="15" customHeight="1" s="82">
      <c r="A725" s="139">
        <f>'1510'!A726</f>
        <v/>
      </c>
      <c r="B725" s="139">
        <f>'1510'!B726</f>
        <v/>
      </c>
      <c r="C725" s="139">
        <f>'1510'!D726</f>
        <v/>
      </c>
      <c r="D725" s="140">
        <f>'1510'!E726</f>
        <v/>
      </c>
      <c r="E725" s="140">
        <f>'1510'!F726</f>
        <v/>
      </c>
      <c r="F725" s="139">
        <f>'1510'!C726</f>
        <v/>
      </c>
      <c r="G725" s="155">
        <f>'1510'!G726</f>
        <v/>
      </c>
      <c r="H725" s="155">
        <f>'1510'!H726</f>
        <v/>
      </c>
      <c r="I725" s="139">
        <f>'1510'!I726</f>
        <v/>
      </c>
    </row>
    <row r="726" outlineLevel="1" ht="15" customHeight="1" s="82">
      <c r="A726" s="139">
        <f>'1510'!A727</f>
        <v/>
      </c>
      <c r="B726" s="139">
        <f>'1510'!B727</f>
        <v/>
      </c>
      <c r="C726" s="139">
        <f>'1510'!D727</f>
        <v/>
      </c>
      <c r="D726" s="140">
        <f>'1510'!E727</f>
        <v/>
      </c>
      <c r="E726" s="140">
        <f>'1510'!F727</f>
        <v/>
      </c>
      <c r="F726" s="139">
        <f>'1510'!C727</f>
        <v/>
      </c>
      <c r="G726" s="155">
        <f>'1510'!G727</f>
        <v/>
      </c>
      <c r="H726" s="155">
        <f>'1510'!H727</f>
        <v/>
      </c>
      <c r="I726" s="139">
        <f>'1510'!I727</f>
        <v/>
      </c>
    </row>
    <row r="727" outlineLevel="1" ht="15" customHeight="1" s="82">
      <c r="A727" s="139">
        <f>'1510'!A728</f>
        <v/>
      </c>
      <c r="B727" s="139">
        <f>'1510'!B728</f>
        <v/>
      </c>
      <c r="C727" s="139">
        <f>'1510'!D728</f>
        <v/>
      </c>
      <c r="D727" s="140">
        <f>'1510'!E728</f>
        <v/>
      </c>
      <c r="E727" s="140">
        <f>'1510'!F728</f>
        <v/>
      </c>
      <c r="F727" s="139">
        <f>'1510'!C728</f>
        <v/>
      </c>
      <c r="G727" s="155">
        <f>'1510'!G728</f>
        <v/>
      </c>
      <c r="H727" s="155">
        <f>'1510'!H728</f>
        <v/>
      </c>
      <c r="I727" s="139">
        <f>'1510'!I728</f>
        <v/>
      </c>
    </row>
    <row r="728" outlineLevel="1" ht="15" customHeight="1" s="82">
      <c r="A728" s="139">
        <f>'1510'!A729</f>
        <v/>
      </c>
      <c r="B728" s="139">
        <f>'1510'!B729</f>
        <v/>
      </c>
      <c r="C728" s="139">
        <f>'1510'!D729</f>
        <v/>
      </c>
      <c r="D728" s="140">
        <f>'1510'!E729</f>
        <v/>
      </c>
      <c r="E728" s="140">
        <f>'1510'!F729</f>
        <v/>
      </c>
      <c r="F728" s="139">
        <f>'1510'!C729</f>
        <v/>
      </c>
      <c r="G728" s="155">
        <f>'1510'!G729</f>
        <v/>
      </c>
      <c r="H728" s="155">
        <f>'1510'!H729</f>
        <v/>
      </c>
      <c r="I728" s="139">
        <f>'1510'!I729</f>
        <v/>
      </c>
    </row>
    <row r="729" outlineLevel="1" ht="15" customHeight="1" s="82">
      <c r="A729" s="139">
        <f>'1510'!A730</f>
        <v/>
      </c>
      <c r="B729" s="139">
        <f>'1510'!B730</f>
        <v/>
      </c>
      <c r="C729" s="139">
        <f>'1510'!D730</f>
        <v/>
      </c>
      <c r="D729" s="140">
        <f>'1510'!E730</f>
        <v/>
      </c>
      <c r="E729" s="140">
        <f>'1510'!F730</f>
        <v/>
      </c>
      <c r="F729" s="139">
        <f>'1510'!C730</f>
        <v/>
      </c>
      <c r="G729" s="155">
        <f>'1510'!G730</f>
        <v/>
      </c>
      <c r="H729" s="155">
        <f>'1510'!H730</f>
        <v/>
      </c>
      <c r="I729" s="139">
        <f>'1510'!I730</f>
        <v/>
      </c>
    </row>
    <row r="730" outlineLevel="1" ht="15" customHeight="1" s="82">
      <c r="A730" s="139">
        <f>'1510'!A731</f>
        <v/>
      </c>
      <c r="B730" s="139">
        <f>'1510'!B731</f>
        <v/>
      </c>
      <c r="C730" s="139">
        <f>'1510'!D731</f>
        <v/>
      </c>
      <c r="D730" s="140">
        <f>'1510'!E731</f>
        <v/>
      </c>
      <c r="E730" s="140">
        <f>'1510'!F731</f>
        <v/>
      </c>
      <c r="F730" s="139">
        <f>'1510'!C731</f>
        <v/>
      </c>
      <c r="G730" s="155">
        <f>'1510'!G731</f>
        <v/>
      </c>
      <c r="H730" s="155">
        <f>'1510'!H731</f>
        <v/>
      </c>
      <c r="I730" s="139">
        <f>'1510'!I731</f>
        <v/>
      </c>
    </row>
    <row r="731" outlineLevel="1" ht="15" customHeight="1" s="82">
      <c r="A731" s="139">
        <f>'1510'!A732</f>
        <v/>
      </c>
      <c r="B731" s="139">
        <f>'1510'!B732</f>
        <v/>
      </c>
      <c r="C731" s="139">
        <f>'1510'!D732</f>
        <v/>
      </c>
      <c r="D731" s="140">
        <f>'1510'!E732</f>
        <v/>
      </c>
      <c r="E731" s="140">
        <f>'1510'!F732</f>
        <v/>
      </c>
      <c r="F731" s="139">
        <f>'1510'!C732</f>
        <v/>
      </c>
      <c r="G731" s="155">
        <f>'1510'!G732</f>
        <v/>
      </c>
      <c r="H731" s="155">
        <f>'1510'!H732</f>
        <v/>
      </c>
      <c r="I731" s="139">
        <f>'1510'!I732</f>
        <v/>
      </c>
    </row>
    <row r="732" outlineLevel="1" ht="15" customHeight="1" s="82">
      <c r="A732" s="139">
        <f>'1510'!A733</f>
        <v/>
      </c>
      <c r="B732" s="139">
        <f>'1510'!B733</f>
        <v/>
      </c>
      <c r="C732" s="139">
        <f>'1510'!D733</f>
        <v/>
      </c>
      <c r="D732" s="140">
        <f>'1510'!E733</f>
        <v/>
      </c>
      <c r="E732" s="140">
        <f>'1510'!F733</f>
        <v/>
      </c>
      <c r="F732" s="139">
        <f>'1510'!C733</f>
        <v/>
      </c>
      <c r="G732" s="155">
        <f>'1510'!G733</f>
        <v/>
      </c>
      <c r="H732" s="155">
        <f>'1510'!H733</f>
        <v/>
      </c>
      <c r="I732" s="139">
        <f>'1510'!I733</f>
        <v/>
      </c>
    </row>
    <row r="733" outlineLevel="1" ht="15" customHeight="1" s="82">
      <c r="A733" s="139">
        <f>'1510'!A734</f>
        <v/>
      </c>
      <c r="B733" s="139">
        <f>'1510'!B734</f>
        <v/>
      </c>
      <c r="C733" s="139">
        <f>'1510'!D734</f>
        <v/>
      </c>
      <c r="D733" s="140">
        <f>'1510'!E734</f>
        <v/>
      </c>
      <c r="E733" s="140">
        <f>'1510'!F734</f>
        <v/>
      </c>
      <c r="F733" s="139">
        <f>'1510'!C734</f>
        <v/>
      </c>
      <c r="G733" s="155">
        <f>'1510'!G734</f>
        <v/>
      </c>
      <c r="H733" s="155">
        <f>'1510'!H734</f>
        <v/>
      </c>
      <c r="I733" s="139">
        <f>'1510'!I734</f>
        <v/>
      </c>
    </row>
    <row r="734" outlineLevel="1" ht="15" customHeight="1" s="82">
      <c r="A734" s="139">
        <f>'1510'!A735</f>
        <v/>
      </c>
      <c r="B734" s="139">
        <f>'1510'!B735</f>
        <v/>
      </c>
      <c r="C734" s="139">
        <f>'1510'!D735</f>
        <v/>
      </c>
      <c r="D734" s="140">
        <f>'1510'!E735</f>
        <v/>
      </c>
      <c r="E734" s="140">
        <f>'1510'!F735</f>
        <v/>
      </c>
      <c r="F734" s="139">
        <f>'1510'!C735</f>
        <v/>
      </c>
      <c r="G734" s="155">
        <f>'1510'!G735</f>
        <v/>
      </c>
      <c r="H734" s="155">
        <f>'1510'!H735</f>
        <v/>
      </c>
      <c r="I734" s="139">
        <f>'1510'!I735</f>
        <v/>
      </c>
    </row>
    <row r="735" outlineLevel="1" ht="15" customHeight="1" s="82">
      <c r="A735" s="139">
        <f>'1510'!A736</f>
        <v/>
      </c>
      <c r="B735" s="139">
        <f>'1510'!B736</f>
        <v/>
      </c>
      <c r="C735" s="139">
        <f>'1510'!D736</f>
        <v/>
      </c>
      <c r="D735" s="140">
        <f>'1510'!E736</f>
        <v/>
      </c>
      <c r="E735" s="140">
        <f>'1510'!F736</f>
        <v/>
      </c>
      <c r="F735" s="139">
        <f>'1510'!C736</f>
        <v/>
      </c>
      <c r="G735" s="155">
        <f>'1510'!G736</f>
        <v/>
      </c>
      <c r="H735" s="155">
        <f>'1510'!H736</f>
        <v/>
      </c>
      <c r="I735" s="139">
        <f>'1510'!I736</f>
        <v/>
      </c>
    </row>
    <row r="736" outlineLevel="1" ht="15" customHeight="1" s="82">
      <c r="A736" s="139">
        <f>'1510'!A737</f>
        <v/>
      </c>
      <c r="B736" s="139">
        <f>'1510'!B737</f>
        <v/>
      </c>
      <c r="C736" s="139">
        <f>'1510'!D737</f>
        <v/>
      </c>
      <c r="D736" s="140">
        <f>'1510'!E737</f>
        <v/>
      </c>
      <c r="E736" s="140">
        <f>'1510'!F737</f>
        <v/>
      </c>
      <c r="F736" s="139">
        <f>'1510'!C737</f>
        <v/>
      </c>
      <c r="G736" s="155">
        <f>'1510'!G737</f>
        <v/>
      </c>
      <c r="H736" s="155">
        <f>'1510'!H737</f>
        <v/>
      </c>
      <c r="I736" s="139">
        <f>'1510'!I737</f>
        <v/>
      </c>
    </row>
    <row r="737" outlineLevel="1" ht="15" customHeight="1" s="82">
      <c r="A737" s="139">
        <f>'1510'!A738</f>
        <v/>
      </c>
      <c r="B737" s="139">
        <f>'1510'!B738</f>
        <v/>
      </c>
      <c r="C737" s="139">
        <f>'1510'!D738</f>
        <v/>
      </c>
      <c r="D737" s="140">
        <f>'1510'!E738</f>
        <v/>
      </c>
      <c r="E737" s="140">
        <f>'1510'!F738</f>
        <v/>
      </c>
      <c r="F737" s="139">
        <f>'1510'!C738</f>
        <v/>
      </c>
      <c r="G737" s="155">
        <f>'1510'!G738</f>
        <v/>
      </c>
      <c r="H737" s="155">
        <f>'1510'!H738</f>
        <v/>
      </c>
      <c r="I737" s="139">
        <f>'1510'!I738</f>
        <v/>
      </c>
    </row>
    <row r="738" outlineLevel="1" ht="15" customHeight="1" s="82">
      <c r="A738" s="139">
        <f>'1510'!A739</f>
        <v/>
      </c>
      <c r="B738" s="139">
        <f>'1510'!B739</f>
        <v/>
      </c>
      <c r="C738" s="139">
        <f>'1510'!D739</f>
        <v/>
      </c>
      <c r="D738" s="140">
        <f>'1510'!E739</f>
        <v/>
      </c>
      <c r="E738" s="140">
        <f>'1510'!F739</f>
        <v/>
      </c>
      <c r="F738" s="139">
        <f>'1510'!C739</f>
        <v/>
      </c>
      <c r="G738" s="155">
        <f>'1510'!G739</f>
        <v/>
      </c>
      <c r="H738" s="155">
        <f>'1510'!H739</f>
        <v/>
      </c>
      <c r="I738" s="139">
        <f>'1510'!I739</f>
        <v/>
      </c>
    </row>
    <row r="739" outlineLevel="1" ht="15" customHeight="1" s="82">
      <c r="A739" s="139">
        <f>'1510'!A740</f>
        <v/>
      </c>
      <c r="B739" s="139">
        <f>'1510'!B740</f>
        <v/>
      </c>
      <c r="C739" s="139">
        <f>'1510'!D740</f>
        <v/>
      </c>
      <c r="D739" s="140">
        <f>'1510'!E740</f>
        <v/>
      </c>
      <c r="E739" s="140">
        <f>'1510'!F740</f>
        <v/>
      </c>
      <c r="F739" s="139">
        <f>'1510'!C740</f>
        <v/>
      </c>
      <c r="G739" s="155">
        <f>'1510'!G740</f>
        <v/>
      </c>
      <c r="H739" s="155">
        <f>'1510'!H740</f>
        <v/>
      </c>
      <c r="I739" s="139">
        <f>'1510'!I740</f>
        <v/>
      </c>
    </row>
    <row r="740" outlineLevel="1" ht="15" customHeight="1" s="82">
      <c r="A740" s="139">
        <f>'1510'!A741</f>
        <v/>
      </c>
      <c r="B740" s="139">
        <f>'1510'!B741</f>
        <v/>
      </c>
      <c r="C740" s="139">
        <f>'1510'!D741</f>
        <v/>
      </c>
      <c r="D740" s="140">
        <f>'1510'!E741</f>
        <v/>
      </c>
      <c r="E740" s="140">
        <f>'1510'!F741</f>
        <v/>
      </c>
      <c r="F740" s="139">
        <f>'1510'!C741</f>
        <v/>
      </c>
      <c r="G740" s="155">
        <f>'1510'!G741</f>
        <v/>
      </c>
      <c r="H740" s="155">
        <f>'1510'!H741</f>
        <v/>
      </c>
      <c r="I740" s="139">
        <f>'1510'!I741</f>
        <v/>
      </c>
    </row>
    <row r="741" outlineLevel="1" ht="15" customHeight="1" s="82">
      <c r="A741" s="139">
        <f>'1510'!A742</f>
        <v/>
      </c>
      <c r="B741" s="139">
        <f>'1510'!B742</f>
        <v/>
      </c>
      <c r="C741" s="139">
        <f>'1510'!D742</f>
        <v/>
      </c>
      <c r="D741" s="140">
        <f>'1510'!E742</f>
        <v/>
      </c>
      <c r="E741" s="140">
        <f>'1510'!F742</f>
        <v/>
      </c>
      <c r="F741" s="139">
        <f>'1510'!C742</f>
        <v/>
      </c>
      <c r="G741" s="155">
        <f>'1510'!G742</f>
        <v/>
      </c>
      <c r="H741" s="155">
        <f>'1510'!H742</f>
        <v/>
      </c>
      <c r="I741" s="139">
        <f>'1510'!I742</f>
        <v/>
      </c>
    </row>
    <row r="742" outlineLevel="1" ht="15" customHeight="1" s="82">
      <c r="A742" s="139">
        <f>'1510'!A743</f>
        <v/>
      </c>
      <c r="B742" s="139">
        <f>'1510'!B743</f>
        <v/>
      </c>
      <c r="C742" s="139">
        <f>'1510'!D743</f>
        <v/>
      </c>
      <c r="D742" s="140">
        <f>'1510'!E743</f>
        <v/>
      </c>
      <c r="E742" s="140">
        <f>'1510'!F743</f>
        <v/>
      </c>
      <c r="F742" s="139">
        <f>'1510'!C743</f>
        <v/>
      </c>
      <c r="G742" s="155">
        <f>'1510'!G743</f>
        <v/>
      </c>
      <c r="H742" s="155">
        <f>'1510'!H743</f>
        <v/>
      </c>
      <c r="I742" s="139">
        <f>'1510'!I743</f>
        <v/>
      </c>
    </row>
    <row r="743" outlineLevel="1" ht="15" customHeight="1" s="82">
      <c r="A743" s="139">
        <f>'1510'!A744</f>
        <v/>
      </c>
      <c r="B743" s="139">
        <f>'1510'!B744</f>
        <v/>
      </c>
      <c r="C743" s="139">
        <f>'1510'!D744</f>
        <v/>
      </c>
      <c r="D743" s="140">
        <f>'1510'!E744</f>
        <v/>
      </c>
      <c r="E743" s="140">
        <f>'1510'!F744</f>
        <v/>
      </c>
      <c r="F743" s="139">
        <f>'1510'!C744</f>
        <v/>
      </c>
      <c r="G743" s="155">
        <f>'1510'!G744</f>
        <v/>
      </c>
      <c r="H743" s="155">
        <f>'1510'!H744</f>
        <v/>
      </c>
      <c r="I743" s="139">
        <f>'1510'!I744</f>
        <v/>
      </c>
    </row>
    <row r="744" outlineLevel="1" ht="15" customHeight="1" s="82">
      <c r="A744" s="139">
        <f>'1510'!A745</f>
        <v/>
      </c>
      <c r="B744" s="139">
        <f>'1510'!B745</f>
        <v/>
      </c>
      <c r="C744" s="139">
        <f>'1510'!D745</f>
        <v/>
      </c>
      <c r="D744" s="140">
        <f>'1510'!E745</f>
        <v/>
      </c>
      <c r="E744" s="140">
        <f>'1510'!F745</f>
        <v/>
      </c>
      <c r="F744" s="139">
        <f>'1510'!C745</f>
        <v/>
      </c>
      <c r="G744" s="155">
        <f>'1510'!G745</f>
        <v/>
      </c>
      <c r="H744" s="155">
        <f>'1510'!H745</f>
        <v/>
      </c>
      <c r="I744" s="139">
        <f>'1510'!I745</f>
        <v/>
      </c>
    </row>
    <row r="745" outlineLevel="1" ht="15" customHeight="1" s="82">
      <c r="A745" s="139">
        <f>'1510'!A746</f>
        <v/>
      </c>
      <c r="B745" s="139">
        <f>'1510'!B746</f>
        <v/>
      </c>
      <c r="C745" s="139">
        <f>'1510'!D746</f>
        <v/>
      </c>
      <c r="D745" s="140">
        <f>'1510'!E746</f>
        <v/>
      </c>
      <c r="E745" s="140">
        <f>'1510'!F746</f>
        <v/>
      </c>
      <c r="F745" s="139">
        <f>'1510'!C746</f>
        <v/>
      </c>
      <c r="G745" s="155">
        <f>'1510'!G746</f>
        <v/>
      </c>
      <c r="H745" s="155">
        <f>'1510'!H746</f>
        <v/>
      </c>
      <c r="I745" s="139">
        <f>'1510'!I746</f>
        <v/>
      </c>
    </row>
    <row r="746" outlineLevel="1" ht="15" customHeight="1" s="82">
      <c r="A746" s="139">
        <f>'1510'!A747</f>
        <v/>
      </c>
      <c r="B746" s="139">
        <f>'1510'!B747</f>
        <v/>
      </c>
      <c r="C746" s="139">
        <f>'1510'!D747</f>
        <v/>
      </c>
      <c r="D746" s="140">
        <f>'1510'!E747</f>
        <v/>
      </c>
      <c r="E746" s="140">
        <f>'1510'!F747</f>
        <v/>
      </c>
      <c r="F746" s="139">
        <f>'1510'!C747</f>
        <v/>
      </c>
      <c r="G746" s="155">
        <f>'1510'!G747</f>
        <v/>
      </c>
      <c r="H746" s="155">
        <f>'1510'!H747</f>
        <v/>
      </c>
      <c r="I746" s="139">
        <f>'1510'!I747</f>
        <v/>
      </c>
    </row>
    <row r="747" outlineLevel="1" ht="15" customHeight="1" s="82">
      <c r="A747" s="139">
        <f>'1510'!A748</f>
        <v/>
      </c>
      <c r="B747" s="139">
        <f>'1510'!B748</f>
        <v/>
      </c>
      <c r="C747" s="139">
        <f>'1510'!D748</f>
        <v/>
      </c>
      <c r="D747" s="140">
        <f>'1510'!E748</f>
        <v/>
      </c>
      <c r="E747" s="140">
        <f>'1510'!F748</f>
        <v/>
      </c>
      <c r="F747" s="139">
        <f>'1510'!C748</f>
        <v/>
      </c>
      <c r="G747" s="155">
        <f>'1510'!G748</f>
        <v/>
      </c>
      <c r="H747" s="155">
        <f>'1510'!H748</f>
        <v/>
      </c>
      <c r="I747" s="139">
        <f>'1510'!I748</f>
        <v/>
      </c>
    </row>
    <row r="748" outlineLevel="1" ht="15" customHeight="1" s="82">
      <c r="A748" s="139">
        <f>'1510'!A749</f>
        <v/>
      </c>
      <c r="B748" s="139">
        <f>'1510'!B749</f>
        <v/>
      </c>
      <c r="C748" s="139">
        <f>'1510'!D749</f>
        <v/>
      </c>
      <c r="D748" s="140">
        <f>'1510'!E749</f>
        <v/>
      </c>
      <c r="E748" s="140">
        <f>'1510'!F749</f>
        <v/>
      </c>
      <c r="F748" s="139">
        <f>'1510'!C749</f>
        <v/>
      </c>
      <c r="G748" s="155">
        <f>'1510'!G749</f>
        <v/>
      </c>
      <c r="H748" s="155">
        <f>'1510'!H749</f>
        <v/>
      </c>
      <c r="I748" s="139">
        <f>'1510'!I749</f>
        <v/>
      </c>
    </row>
    <row r="749" outlineLevel="1" ht="15" customHeight="1" s="82">
      <c r="A749" s="139">
        <f>'1510'!A750</f>
        <v/>
      </c>
      <c r="B749" s="139">
        <f>'1510'!B750</f>
        <v/>
      </c>
      <c r="C749" s="139">
        <f>'1510'!D750</f>
        <v/>
      </c>
      <c r="D749" s="140">
        <f>'1510'!E750</f>
        <v/>
      </c>
      <c r="E749" s="140">
        <f>'1510'!F750</f>
        <v/>
      </c>
      <c r="F749" s="139">
        <f>'1510'!C750</f>
        <v/>
      </c>
      <c r="G749" s="155">
        <f>'1510'!G750</f>
        <v/>
      </c>
      <c r="H749" s="155">
        <f>'1510'!H750</f>
        <v/>
      </c>
      <c r="I749" s="139">
        <f>'1510'!I750</f>
        <v/>
      </c>
    </row>
    <row r="750" outlineLevel="1" ht="15" customHeight="1" s="82">
      <c r="A750" s="139">
        <f>'1510'!A751</f>
        <v/>
      </c>
      <c r="B750" s="139">
        <f>'1510'!B751</f>
        <v/>
      </c>
      <c r="C750" s="139">
        <f>'1510'!D751</f>
        <v/>
      </c>
      <c r="D750" s="140">
        <f>'1510'!E751</f>
        <v/>
      </c>
      <c r="E750" s="140">
        <f>'1510'!F751</f>
        <v/>
      </c>
      <c r="F750" s="139">
        <f>'1510'!C751</f>
        <v/>
      </c>
      <c r="G750" s="155">
        <f>'1510'!G751</f>
        <v/>
      </c>
      <c r="H750" s="155">
        <f>'1510'!H751</f>
        <v/>
      </c>
      <c r="I750" s="139">
        <f>'1510'!I751</f>
        <v/>
      </c>
    </row>
    <row r="751" outlineLevel="1" ht="15" customHeight="1" s="82">
      <c r="A751" s="139">
        <f>'1510'!A752</f>
        <v/>
      </c>
      <c r="B751" s="139">
        <f>'1510'!B752</f>
        <v/>
      </c>
      <c r="C751" s="139">
        <f>'1510'!D752</f>
        <v/>
      </c>
      <c r="D751" s="140">
        <f>'1510'!E752</f>
        <v/>
      </c>
      <c r="E751" s="140">
        <f>'1510'!F752</f>
        <v/>
      </c>
      <c r="F751" s="139">
        <f>'1510'!C752</f>
        <v/>
      </c>
      <c r="G751" s="155">
        <f>'1510'!G752</f>
        <v/>
      </c>
      <c r="H751" s="155">
        <f>'1510'!H752</f>
        <v/>
      </c>
      <c r="I751" s="139">
        <f>'1510'!I752</f>
        <v/>
      </c>
    </row>
    <row r="752" outlineLevel="1" ht="15" customHeight="1" s="82">
      <c r="A752" s="139">
        <f>'1510'!A753</f>
        <v/>
      </c>
      <c r="B752" s="139">
        <f>'1510'!B753</f>
        <v/>
      </c>
      <c r="C752" s="139">
        <f>'1510'!D753</f>
        <v/>
      </c>
      <c r="D752" s="140">
        <f>'1510'!E753</f>
        <v/>
      </c>
      <c r="E752" s="140">
        <f>'1510'!F753</f>
        <v/>
      </c>
      <c r="F752" s="139">
        <f>'1510'!C753</f>
        <v/>
      </c>
      <c r="G752" s="155">
        <f>'1510'!G753</f>
        <v/>
      </c>
      <c r="H752" s="155">
        <f>'1510'!H753</f>
        <v/>
      </c>
      <c r="I752" s="139">
        <f>'1510'!I753</f>
        <v/>
      </c>
    </row>
    <row r="753" outlineLevel="1" ht="15" customHeight="1" s="82">
      <c r="A753" s="139">
        <f>'1510'!A754</f>
        <v/>
      </c>
      <c r="B753" s="139">
        <f>'1510'!B754</f>
        <v/>
      </c>
      <c r="C753" s="139">
        <f>'1510'!D754</f>
        <v/>
      </c>
      <c r="D753" s="140">
        <f>'1510'!E754</f>
        <v/>
      </c>
      <c r="E753" s="140">
        <f>'1510'!F754</f>
        <v/>
      </c>
      <c r="F753" s="139">
        <f>'1510'!C754</f>
        <v/>
      </c>
      <c r="G753" s="155">
        <f>'1510'!G754</f>
        <v/>
      </c>
      <c r="H753" s="155">
        <f>'1510'!H754</f>
        <v/>
      </c>
      <c r="I753" s="139">
        <f>'1510'!I754</f>
        <v/>
      </c>
    </row>
    <row r="754" outlineLevel="1" ht="15" customHeight="1" s="82">
      <c r="A754" s="139">
        <f>'1510'!A755</f>
        <v/>
      </c>
      <c r="B754" s="139">
        <f>'1510'!B755</f>
        <v/>
      </c>
      <c r="C754" s="139">
        <f>'1510'!D755</f>
        <v/>
      </c>
      <c r="D754" s="140">
        <f>'1510'!E755</f>
        <v/>
      </c>
      <c r="E754" s="140">
        <f>'1510'!F755</f>
        <v/>
      </c>
      <c r="F754" s="139">
        <f>'1510'!C755</f>
        <v/>
      </c>
      <c r="G754" s="155">
        <f>'1510'!G755</f>
        <v/>
      </c>
      <c r="H754" s="155">
        <f>'1510'!H755</f>
        <v/>
      </c>
      <c r="I754" s="139">
        <f>'1510'!I755</f>
        <v/>
      </c>
    </row>
    <row r="755" outlineLevel="1" ht="15" customHeight="1" s="82">
      <c r="A755" s="139">
        <f>'1510'!A756</f>
        <v/>
      </c>
      <c r="B755" s="139">
        <f>'1510'!B756</f>
        <v/>
      </c>
      <c r="C755" s="139">
        <f>'1510'!D756</f>
        <v/>
      </c>
      <c r="D755" s="140">
        <f>'1510'!E756</f>
        <v/>
      </c>
      <c r="E755" s="140">
        <f>'1510'!F756</f>
        <v/>
      </c>
      <c r="F755" s="139">
        <f>'1510'!C756</f>
        <v/>
      </c>
      <c r="G755" s="155">
        <f>'1510'!G756</f>
        <v/>
      </c>
      <c r="H755" s="155">
        <f>'1510'!H756</f>
        <v/>
      </c>
      <c r="I755" s="139">
        <f>'1510'!I756</f>
        <v/>
      </c>
    </row>
    <row r="756" outlineLevel="1" ht="15" customHeight="1" s="82">
      <c r="A756" s="139">
        <f>'1510'!A757</f>
        <v/>
      </c>
      <c r="B756" s="139">
        <f>'1510'!B757</f>
        <v/>
      </c>
      <c r="C756" s="139">
        <f>'1510'!D757</f>
        <v/>
      </c>
      <c r="D756" s="140">
        <f>'1510'!E757</f>
        <v/>
      </c>
      <c r="E756" s="140">
        <f>'1510'!F757</f>
        <v/>
      </c>
      <c r="F756" s="139">
        <f>'1510'!C757</f>
        <v/>
      </c>
      <c r="G756" s="155">
        <f>'1510'!G757</f>
        <v/>
      </c>
      <c r="H756" s="155">
        <f>'1510'!H757</f>
        <v/>
      </c>
      <c r="I756" s="139">
        <f>'1510'!I757</f>
        <v/>
      </c>
    </row>
    <row r="757" outlineLevel="1" ht="15" customHeight="1" s="82">
      <c r="A757" s="139">
        <f>'1510'!A758</f>
        <v/>
      </c>
      <c r="B757" s="139">
        <f>'1510'!B758</f>
        <v/>
      </c>
      <c r="C757" s="139">
        <f>'1510'!D758</f>
        <v/>
      </c>
      <c r="D757" s="140">
        <f>'1510'!E758</f>
        <v/>
      </c>
      <c r="E757" s="140">
        <f>'1510'!F758</f>
        <v/>
      </c>
      <c r="F757" s="139">
        <f>'1510'!C758</f>
        <v/>
      </c>
      <c r="G757" s="155">
        <f>'1510'!G758</f>
        <v/>
      </c>
      <c r="H757" s="155">
        <f>'1510'!H758</f>
        <v/>
      </c>
      <c r="I757" s="139">
        <f>'1510'!I758</f>
        <v/>
      </c>
    </row>
    <row r="758" outlineLevel="1" ht="15" customHeight="1" s="82">
      <c r="A758" s="139">
        <f>'1510'!A759</f>
        <v/>
      </c>
      <c r="B758" s="139">
        <f>'1510'!B759</f>
        <v/>
      </c>
      <c r="C758" s="139">
        <f>'1510'!D759</f>
        <v/>
      </c>
      <c r="D758" s="140">
        <f>'1510'!E759</f>
        <v/>
      </c>
      <c r="E758" s="140">
        <f>'1510'!F759</f>
        <v/>
      </c>
      <c r="F758" s="139">
        <f>'1510'!C759</f>
        <v/>
      </c>
      <c r="G758" s="155">
        <f>'1510'!G759</f>
        <v/>
      </c>
      <c r="H758" s="155">
        <f>'1510'!H759</f>
        <v/>
      </c>
      <c r="I758" s="139">
        <f>'1510'!I759</f>
        <v/>
      </c>
    </row>
    <row r="759" outlineLevel="1" ht="15" customHeight="1" s="82">
      <c r="A759" s="139">
        <f>'1510'!A760</f>
        <v/>
      </c>
      <c r="B759" s="139">
        <f>'1510'!B760</f>
        <v/>
      </c>
      <c r="C759" s="139">
        <f>'1510'!D760</f>
        <v/>
      </c>
      <c r="D759" s="140">
        <f>'1510'!E760</f>
        <v/>
      </c>
      <c r="E759" s="140">
        <f>'1510'!F760</f>
        <v/>
      </c>
      <c r="F759" s="139">
        <f>'1510'!C760</f>
        <v/>
      </c>
      <c r="G759" s="155">
        <f>'1510'!G760</f>
        <v/>
      </c>
      <c r="H759" s="155">
        <f>'1510'!H760</f>
        <v/>
      </c>
      <c r="I759" s="139">
        <f>'1510'!I760</f>
        <v/>
      </c>
    </row>
    <row r="760" outlineLevel="1" ht="15" customHeight="1" s="82">
      <c r="A760" s="139">
        <f>'1510'!A761</f>
        <v/>
      </c>
      <c r="B760" s="139">
        <f>'1510'!B761</f>
        <v/>
      </c>
      <c r="C760" s="139">
        <f>'1510'!D761</f>
        <v/>
      </c>
      <c r="D760" s="140">
        <f>'1510'!E761</f>
        <v/>
      </c>
      <c r="E760" s="140">
        <f>'1510'!F761</f>
        <v/>
      </c>
      <c r="F760" s="139">
        <f>'1510'!C761</f>
        <v/>
      </c>
      <c r="G760" s="155">
        <f>'1510'!G761</f>
        <v/>
      </c>
      <c r="H760" s="155">
        <f>'1510'!H761</f>
        <v/>
      </c>
      <c r="I760" s="139">
        <f>'1510'!I761</f>
        <v/>
      </c>
    </row>
    <row r="761" outlineLevel="1" ht="15" customHeight="1" s="82">
      <c r="A761" s="139">
        <f>'1510'!A762</f>
        <v/>
      </c>
      <c r="B761" s="139">
        <f>'1510'!B762</f>
        <v/>
      </c>
      <c r="C761" s="139">
        <f>'1510'!D762</f>
        <v/>
      </c>
      <c r="D761" s="140">
        <f>'1510'!E762</f>
        <v/>
      </c>
      <c r="E761" s="140">
        <f>'1510'!F762</f>
        <v/>
      </c>
      <c r="F761" s="139">
        <f>'1510'!C762</f>
        <v/>
      </c>
      <c r="G761" s="155">
        <f>'1510'!G762</f>
        <v/>
      </c>
      <c r="H761" s="155">
        <f>'1510'!H762</f>
        <v/>
      </c>
      <c r="I761" s="139">
        <f>'1510'!I762</f>
        <v/>
      </c>
    </row>
    <row r="762" outlineLevel="1" ht="15" customHeight="1" s="82">
      <c r="A762" s="139">
        <f>'1510'!A763</f>
        <v/>
      </c>
      <c r="B762" s="139">
        <f>'1510'!B763</f>
        <v/>
      </c>
      <c r="C762" s="139">
        <f>'1510'!D763</f>
        <v/>
      </c>
      <c r="D762" s="140">
        <f>'1510'!E763</f>
        <v/>
      </c>
      <c r="E762" s="140">
        <f>'1510'!F763</f>
        <v/>
      </c>
      <c r="F762" s="139">
        <f>'1510'!C763</f>
        <v/>
      </c>
      <c r="G762" s="155">
        <f>'1510'!G763</f>
        <v/>
      </c>
      <c r="H762" s="155">
        <f>'1510'!H763</f>
        <v/>
      </c>
      <c r="I762" s="139">
        <f>'1510'!I763</f>
        <v/>
      </c>
    </row>
    <row r="763" outlineLevel="1" ht="15" customHeight="1" s="82">
      <c r="A763" s="139">
        <f>'1510'!A764</f>
        <v/>
      </c>
      <c r="B763" s="139">
        <f>'1510'!B764</f>
        <v/>
      </c>
      <c r="C763" s="139">
        <f>'1510'!D764</f>
        <v/>
      </c>
      <c r="D763" s="140">
        <f>'1510'!E764</f>
        <v/>
      </c>
      <c r="E763" s="140">
        <f>'1510'!F764</f>
        <v/>
      </c>
      <c r="F763" s="139">
        <f>'1510'!C764</f>
        <v/>
      </c>
      <c r="G763" s="155">
        <f>'1510'!G764</f>
        <v/>
      </c>
      <c r="H763" s="155">
        <f>'1510'!H764</f>
        <v/>
      </c>
      <c r="I763" s="139">
        <f>'1510'!I764</f>
        <v/>
      </c>
    </row>
    <row r="764" outlineLevel="1" ht="15" customHeight="1" s="82">
      <c r="A764" s="139">
        <f>'1510'!A765</f>
        <v/>
      </c>
      <c r="B764" s="139">
        <f>'1510'!B765</f>
        <v/>
      </c>
      <c r="C764" s="139">
        <f>'1510'!D765</f>
        <v/>
      </c>
      <c r="D764" s="140">
        <f>'1510'!E765</f>
        <v/>
      </c>
      <c r="E764" s="140">
        <f>'1510'!F765</f>
        <v/>
      </c>
      <c r="F764" s="139">
        <f>'1510'!C765</f>
        <v/>
      </c>
      <c r="G764" s="155">
        <f>'1510'!G765</f>
        <v/>
      </c>
      <c r="H764" s="155">
        <f>'1510'!H765</f>
        <v/>
      </c>
      <c r="I764" s="139">
        <f>'1510'!I765</f>
        <v/>
      </c>
    </row>
    <row r="765" outlineLevel="1" ht="15" customHeight="1" s="82">
      <c r="A765" s="139">
        <f>'1510'!A766</f>
        <v/>
      </c>
      <c r="B765" s="139">
        <f>'1510'!B766</f>
        <v/>
      </c>
      <c r="C765" s="139">
        <f>'1510'!D766</f>
        <v/>
      </c>
      <c r="D765" s="140">
        <f>'1510'!E766</f>
        <v/>
      </c>
      <c r="E765" s="140">
        <f>'1510'!F766</f>
        <v/>
      </c>
      <c r="F765" s="139">
        <f>'1510'!C766</f>
        <v/>
      </c>
      <c r="G765" s="155">
        <f>'1510'!G766</f>
        <v/>
      </c>
      <c r="H765" s="155">
        <f>'1510'!H766</f>
        <v/>
      </c>
      <c r="I765" s="139">
        <f>'1510'!I766</f>
        <v/>
      </c>
    </row>
    <row r="766" outlineLevel="1" ht="15" customHeight="1" s="82">
      <c r="A766" s="139">
        <f>'1510'!A767</f>
        <v/>
      </c>
      <c r="B766" s="139">
        <f>'1510'!B767</f>
        <v/>
      </c>
      <c r="C766" s="139">
        <f>'1510'!D767</f>
        <v/>
      </c>
      <c r="D766" s="140">
        <f>'1510'!E767</f>
        <v/>
      </c>
      <c r="E766" s="140">
        <f>'1510'!F767</f>
        <v/>
      </c>
      <c r="F766" s="139">
        <f>'1510'!C767</f>
        <v/>
      </c>
      <c r="G766" s="155">
        <f>'1510'!G767</f>
        <v/>
      </c>
      <c r="H766" s="155">
        <f>'1510'!H767</f>
        <v/>
      </c>
      <c r="I766" s="139">
        <f>'1510'!I767</f>
        <v/>
      </c>
    </row>
    <row r="767" outlineLevel="1" ht="15" customHeight="1" s="82">
      <c r="A767" s="139">
        <f>'1510'!A768</f>
        <v/>
      </c>
      <c r="B767" s="139">
        <f>'1510'!B768</f>
        <v/>
      </c>
      <c r="C767" s="139">
        <f>'1510'!D768</f>
        <v/>
      </c>
      <c r="D767" s="140">
        <f>'1510'!E768</f>
        <v/>
      </c>
      <c r="E767" s="140">
        <f>'1510'!F768</f>
        <v/>
      </c>
      <c r="F767" s="139">
        <f>'1510'!C768</f>
        <v/>
      </c>
      <c r="G767" s="155">
        <f>'1510'!G768</f>
        <v/>
      </c>
      <c r="H767" s="155">
        <f>'1510'!H768</f>
        <v/>
      </c>
      <c r="I767" s="139">
        <f>'1510'!I768</f>
        <v/>
      </c>
    </row>
    <row r="768" outlineLevel="1" ht="15" customHeight="1" s="82">
      <c r="A768" s="139">
        <f>'1510'!A769</f>
        <v/>
      </c>
      <c r="B768" s="139">
        <f>'1510'!B769</f>
        <v/>
      </c>
      <c r="C768" s="139">
        <f>'1510'!D769</f>
        <v/>
      </c>
      <c r="D768" s="140">
        <f>'1510'!E769</f>
        <v/>
      </c>
      <c r="E768" s="140">
        <f>'1510'!F769</f>
        <v/>
      </c>
      <c r="F768" s="139">
        <f>'1510'!C769</f>
        <v/>
      </c>
      <c r="G768" s="155">
        <f>'1510'!G769</f>
        <v/>
      </c>
      <c r="H768" s="155">
        <f>'1510'!H769</f>
        <v/>
      </c>
      <c r="I768" s="139">
        <f>'1510'!I769</f>
        <v/>
      </c>
    </row>
    <row r="769" outlineLevel="1" ht="15" customHeight="1" s="82">
      <c r="A769" s="139">
        <f>'1510'!A770</f>
        <v/>
      </c>
      <c r="B769" s="139">
        <f>'1510'!B770</f>
        <v/>
      </c>
      <c r="C769" s="139">
        <f>'1510'!D770</f>
        <v/>
      </c>
      <c r="D769" s="140">
        <f>'1510'!E770</f>
        <v/>
      </c>
      <c r="E769" s="140">
        <f>'1510'!F770</f>
        <v/>
      </c>
      <c r="F769" s="139">
        <f>'1510'!C770</f>
        <v/>
      </c>
      <c r="G769" s="155">
        <f>'1510'!G770</f>
        <v/>
      </c>
      <c r="H769" s="155">
        <f>'1510'!H770</f>
        <v/>
      </c>
      <c r="I769" s="139">
        <f>'1510'!I770</f>
        <v/>
      </c>
    </row>
    <row r="770" outlineLevel="1" ht="15" customHeight="1" s="82">
      <c r="A770" s="139">
        <f>'1510'!A771</f>
        <v/>
      </c>
      <c r="B770" s="139">
        <f>'1510'!B771</f>
        <v/>
      </c>
      <c r="C770" s="139">
        <f>'1510'!D771</f>
        <v/>
      </c>
      <c r="D770" s="140">
        <f>'1510'!E771</f>
        <v/>
      </c>
      <c r="E770" s="140">
        <f>'1510'!F771</f>
        <v/>
      </c>
      <c r="F770" s="139">
        <f>'1510'!C771</f>
        <v/>
      </c>
      <c r="G770" s="155">
        <f>'1510'!G771</f>
        <v/>
      </c>
      <c r="H770" s="155">
        <f>'1510'!H771</f>
        <v/>
      </c>
      <c r="I770" s="139">
        <f>'1510'!I771</f>
        <v/>
      </c>
    </row>
    <row r="771" outlineLevel="1" ht="15" customHeight="1" s="82">
      <c r="A771" s="139">
        <f>'1510'!A772</f>
        <v/>
      </c>
      <c r="B771" s="139">
        <f>'1510'!B772</f>
        <v/>
      </c>
      <c r="C771" s="139">
        <f>'1510'!D772</f>
        <v/>
      </c>
      <c r="D771" s="140">
        <f>'1510'!E772</f>
        <v/>
      </c>
      <c r="E771" s="140">
        <f>'1510'!F772</f>
        <v/>
      </c>
      <c r="F771" s="139">
        <f>'1510'!C772</f>
        <v/>
      </c>
      <c r="G771" s="155">
        <f>'1510'!G772</f>
        <v/>
      </c>
      <c r="H771" s="155">
        <f>'1510'!H772</f>
        <v/>
      </c>
      <c r="I771" s="139">
        <f>'1510'!I772</f>
        <v/>
      </c>
    </row>
    <row r="772" outlineLevel="1" ht="15" customHeight="1" s="82">
      <c r="A772" s="139">
        <f>'1510'!A773</f>
        <v/>
      </c>
      <c r="B772" s="139">
        <f>'1510'!B773</f>
        <v/>
      </c>
      <c r="C772" s="139">
        <f>'1510'!D773</f>
        <v/>
      </c>
      <c r="D772" s="140">
        <f>'1510'!E773</f>
        <v/>
      </c>
      <c r="E772" s="140">
        <f>'1510'!F773</f>
        <v/>
      </c>
      <c r="F772" s="139">
        <f>'1510'!C773</f>
        <v/>
      </c>
      <c r="G772" s="155">
        <f>'1510'!G773</f>
        <v/>
      </c>
      <c r="H772" s="155">
        <f>'1510'!H773</f>
        <v/>
      </c>
      <c r="I772" s="139">
        <f>'1510'!I773</f>
        <v/>
      </c>
    </row>
    <row r="773" outlineLevel="1" ht="15" customHeight="1" s="82">
      <c r="A773" s="139">
        <f>'1510'!A774</f>
        <v/>
      </c>
      <c r="B773" s="139">
        <f>'1510'!B774</f>
        <v/>
      </c>
      <c r="C773" s="139">
        <f>'1510'!D774</f>
        <v/>
      </c>
      <c r="D773" s="140">
        <f>'1510'!E774</f>
        <v/>
      </c>
      <c r="E773" s="140">
        <f>'1510'!F774</f>
        <v/>
      </c>
      <c r="F773" s="139">
        <f>'1510'!C774</f>
        <v/>
      </c>
      <c r="G773" s="155">
        <f>'1510'!G774</f>
        <v/>
      </c>
      <c r="H773" s="155">
        <f>'1510'!H774</f>
        <v/>
      </c>
      <c r="I773" s="139">
        <f>'1510'!I774</f>
        <v/>
      </c>
    </row>
    <row r="774" outlineLevel="1" ht="15" customHeight="1" s="82">
      <c r="A774" s="139">
        <f>'1510'!A775</f>
        <v/>
      </c>
      <c r="B774" s="139">
        <f>'1510'!B775</f>
        <v/>
      </c>
      <c r="C774" s="139">
        <f>'1510'!D775</f>
        <v/>
      </c>
      <c r="D774" s="140">
        <f>'1510'!E775</f>
        <v/>
      </c>
      <c r="E774" s="140">
        <f>'1510'!F775</f>
        <v/>
      </c>
      <c r="F774" s="139">
        <f>'1510'!C775</f>
        <v/>
      </c>
      <c r="G774" s="155">
        <f>'1510'!G775</f>
        <v/>
      </c>
      <c r="H774" s="155">
        <f>'1510'!H775</f>
        <v/>
      </c>
      <c r="I774" s="139">
        <f>'1510'!I775</f>
        <v/>
      </c>
    </row>
    <row r="775" outlineLevel="1" ht="15" customHeight="1" s="82">
      <c r="A775" s="139">
        <f>'1510'!A776</f>
        <v/>
      </c>
      <c r="B775" s="139">
        <f>'1510'!B776</f>
        <v/>
      </c>
      <c r="C775" s="139">
        <f>'1510'!D776</f>
        <v/>
      </c>
      <c r="D775" s="140">
        <f>'1510'!E776</f>
        <v/>
      </c>
      <c r="E775" s="140">
        <f>'1510'!F776</f>
        <v/>
      </c>
      <c r="F775" s="139">
        <f>'1510'!C776</f>
        <v/>
      </c>
      <c r="G775" s="155">
        <f>'1510'!G776</f>
        <v/>
      </c>
      <c r="H775" s="155">
        <f>'1510'!H776</f>
        <v/>
      </c>
      <c r="I775" s="139">
        <f>'1510'!I776</f>
        <v/>
      </c>
    </row>
    <row r="776" outlineLevel="1" ht="15" customHeight="1" s="82">
      <c r="A776" s="139">
        <f>'1510'!A777</f>
        <v/>
      </c>
      <c r="B776" s="139">
        <f>'1510'!B777</f>
        <v/>
      </c>
      <c r="C776" s="139">
        <f>'1510'!D777</f>
        <v/>
      </c>
      <c r="D776" s="140">
        <f>'1510'!E777</f>
        <v/>
      </c>
      <c r="E776" s="140">
        <f>'1510'!F777</f>
        <v/>
      </c>
      <c r="F776" s="139">
        <f>'1510'!C777</f>
        <v/>
      </c>
      <c r="G776" s="155">
        <f>'1510'!G777</f>
        <v/>
      </c>
      <c r="H776" s="155">
        <f>'1510'!H777</f>
        <v/>
      </c>
      <c r="I776" s="139">
        <f>'1510'!I777</f>
        <v/>
      </c>
    </row>
    <row r="777" outlineLevel="1" ht="15" customHeight="1" s="82">
      <c r="A777" s="139">
        <f>'1510'!A778</f>
        <v/>
      </c>
      <c r="B777" s="139">
        <f>'1510'!B778</f>
        <v/>
      </c>
      <c r="C777" s="139">
        <f>'1510'!D778</f>
        <v/>
      </c>
      <c r="D777" s="140">
        <f>'1510'!E778</f>
        <v/>
      </c>
      <c r="E777" s="140">
        <f>'1510'!F778</f>
        <v/>
      </c>
      <c r="F777" s="139">
        <f>'1510'!C778</f>
        <v/>
      </c>
      <c r="G777" s="155">
        <f>'1510'!G778</f>
        <v/>
      </c>
      <c r="H777" s="155">
        <f>'1510'!H778</f>
        <v/>
      </c>
      <c r="I777" s="139">
        <f>'1510'!I778</f>
        <v/>
      </c>
    </row>
    <row r="778" outlineLevel="1" ht="15" customHeight="1" s="82">
      <c r="A778" s="139">
        <f>'1510'!A779</f>
        <v/>
      </c>
      <c r="B778" s="139">
        <f>'1510'!B779</f>
        <v/>
      </c>
      <c r="C778" s="139">
        <f>'1510'!D779</f>
        <v/>
      </c>
      <c r="D778" s="140">
        <f>'1510'!E779</f>
        <v/>
      </c>
      <c r="E778" s="140">
        <f>'1510'!F779</f>
        <v/>
      </c>
      <c r="F778" s="139">
        <f>'1510'!C779</f>
        <v/>
      </c>
      <c r="G778" s="155">
        <f>'1510'!G779</f>
        <v/>
      </c>
      <c r="H778" s="155">
        <f>'1510'!H779</f>
        <v/>
      </c>
      <c r="I778" s="139">
        <f>'1510'!I779</f>
        <v/>
      </c>
    </row>
    <row r="779" outlineLevel="1" ht="15" customHeight="1" s="82">
      <c r="A779" s="139">
        <f>'1510'!A780</f>
        <v/>
      </c>
      <c r="B779" s="139">
        <f>'1510'!B780</f>
        <v/>
      </c>
      <c r="C779" s="139">
        <f>'1510'!D780</f>
        <v/>
      </c>
      <c r="D779" s="140">
        <f>'1510'!E780</f>
        <v/>
      </c>
      <c r="E779" s="140">
        <f>'1510'!F780</f>
        <v/>
      </c>
      <c r="F779" s="139">
        <f>'1510'!C780</f>
        <v/>
      </c>
      <c r="G779" s="155">
        <f>'1510'!G780</f>
        <v/>
      </c>
      <c r="H779" s="155">
        <f>'1510'!H780</f>
        <v/>
      </c>
      <c r="I779" s="139">
        <f>'1510'!I780</f>
        <v/>
      </c>
    </row>
    <row r="780" outlineLevel="1" ht="15" customHeight="1" s="82">
      <c r="A780" s="139">
        <f>'1510'!A781</f>
        <v/>
      </c>
      <c r="B780" s="139">
        <f>'1510'!B781</f>
        <v/>
      </c>
      <c r="C780" s="139">
        <f>'1510'!D781</f>
        <v/>
      </c>
      <c r="D780" s="140">
        <f>'1510'!E781</f>
        <v/>
      </c>
      <c r="E780" s="140">
        <f>'1510'!F781</f>
        <v/>
      </c>
      <c r="F780" s="139">
        <f>'1510'!C781</f>
        <v/>
      </c>
      <c r="G780" s="155">
        <f>'1510'!G781</f>
        <v/>
      </c>
      <c r="H780" s="155">
        <f>'1510'!H781</f>
        <v/>
      </c>
      <c r="I780" s="139">
        <f>'1510'!I781</f>
        <v/>
      </c>
    </row>
    <row r="781" outlineLevel="1" ht="15" customHeight="1" s="82">
      <c r="A781" s="139">
        <f>'1510'!A782</f>
        <v/>
      </c>
      <c r="B781" s="139">
        <f>'1510'!B782</f>
        <v/>
      </c>
      <c r="C781" s="139">
        <f>'1510'!D782</f>
        <v/>
      </c>
      <c r="D781" s="140">
        <f>'1510'!E782</f>
        <v/>
      </c>
      <c r="E781" s="140">
        <f>'1510'!F782</f>
        <v/>
      </c>
      <c r="F781" s="139">
        <f>'1510'!C782</f>
        <v/>
      </c>
      <c r="G781" s="155">
        <f>'1510'!G782</f>
        <v/>
      </c>
      <c r="H781" s="155">
        <f>'1510'!H782</f>
        <v/>
      </c>
      <c r="I781" s="139">
        <f>'1510'!I782</f>
        <v/>
      </c>
    </row>
    <row r="782" outlineLevel="1" ht="15" customHeight="1" s="82">
      <c r="A782" s="139">
        <f>'1510'!A783</f>
        <v/>
      </c>
      <c r="B782" s="139">
        <f>'1510'!B783</f>
        <v/>
      </c>
      <c r="C782" s="139">
        <f>'1510'!D783</f>
        <v/>
      </c>
      <c r="D782" s="140">
        <f>'1510'!E783</f>
        <v/>
      </c>
      <c r="E782" s="140">
        <f>'1510'!F783</f>
        <v/>
      </c>
      <c r="F782" s="139">
        <f>'1510'!C783</f>
        <v/>
      </c>
      <c r="G782" s="155">
        <f>'1510'!G783</f>
        <v/>
      </c>
      <c r="H782" s="155">
        <f>'1510'!H783</f>
        <v/>
      </c>
      <c r="I782" s="139">
        <f>'1510'!I783</f>
        <v/>
      </c>
    </row>
    <row r="783" outlineLevel="1" ht="15" customHeight="1" s="82">
      <c r="A783" s="139">
        <f>'1510'!A784</f>
        <v/>
      </c>
      <c r="B783" s="139">
        <f>'1510'!B784</f>
        <v/>
      </c>
      <c r="C783" s="139">
        <f>'1510'!D784</f>
        <v/>
      </c>
      <c r="D783" s="140">
        <f>'1510'!E784</f>
        <v/>
      </c>
      <c r="E783" s="140">
        <f>'1510'!F784</f>
        <v/>
      </c>
      <c r="F783" s="139">
        <f>'1510'!C784</f>
        <v/>
      </c>
      <c r="G783" s="155">
        <f>'1510'!G784</f>
        <v/>
      </c>
      <c r="H783" s="155">
        <f>'1510'!H784</f>
        <v/>
      </c>
      <c r="I783" s="139">
        <f>'1510'!I784</f>
        <v/>
      </c>
    </row>
    <row r="784" outlineLevel="1" ht="15" customHeight="1" s="82">
      <c r="A784" s="139">
        <f>'1510'!A785</f>
        <v/>
      </c>
      <c r="B784" s="139">
        <f>'1510'!B785</f>
        <v/>
      </c>
      <c r="C784" s="139">
        <f>'1510'!D785</f>
        <v/>
      </c>
      <c r="D784" s="140">
        <f>'1510'!E785</f>
        <v/>
      </c>
      <c r="E784" s="140">
        <f>'1510'!F785</f>
        <v/>
      </c>
      <c r="F784" s="139">
        <f>'1510'!C785</f>
        <v/>
      </c>
      <c r="G784" s="155">
        <f>'1510'!G785</f>
        <v/>
      </c>
      <c r="H784" s="155">
        <f>'1510'!H785</f>
        <v/>
      </c>
      <c r="I784" s="139">
        <f>'1510'!I785</f>
        <v/>
      </c>
    </row>
    <row r="785" outlineLevel="1" ht="15" customHeight="1" s="82">
      <c r="A785" s="139">
        <f>'1510'!A786</f>
        <v/>
      </c>
      <c r="B785" s="139">
        <f>'1510'!B786</f>
        <v/>
      </c>
      <c r="C785" s="139">
        <f>'1510'!D786</f>
        <v/>
      </c>
      <c r="D785" s="140">
        <f>'1510'!E786</f>
        <v/>
      </c>
      <c r="E785" s="140">
        <f>'1510'!F786</f>
        <v/>
      </c>
      <c r="F785" s="139">
        <f>'1510'!C786</f>
        <v/>
      </c>
      <c r="G785" s="155">
        <f>'1510'!G786</f>
        <v/>
      </c>
      <c r="H785" s="155">
        <f>'1510'!H786</f>
        <v/>
      </c>
      <c r="I785" s="139">
        <f>'1510'!I786</f>
        <v/>
      </c>
    </row>
    <row r="786" outlineLevel="1" ht="15" customHeight="1" s="82">
      <c r="A786" s="139">
        <f>'1510'!A787</f>
        <v/>
      </c>
      <c r="B786" s="139">
        <f>'1510'!B787</f>
        <v/>
      </c>
      <c r="C786" s="139">
        <f>'1510'!D787</f>
        <v/>
      </c>
      <c r="D786" s="140">
        <f>'1510'!E787</f>
        <v/>
      </c>
      <c r="E786" s="140">
        <f>'1510'!F787</f>
        <v/>
      </c>
      <c r="F786" s="139">
        <f>'1510'!C787</f>
        <v/>
      </c>
      <c r="G786" s="155">
        <f>'1510'!G787</f>
        <v/>
      </c>
      <c r="H786" s="155">
        <f>'1510'!H787</f>
        <v/>
      </c>
      <c r="I786" s="139">
        <f>'1510'!I787</f>
        <v/>
      </c>
    </row>
    <row r="787" outlineLevel="1" ht="15" customHeight="1" s="82">
      <c r="A787" s="139">
        <f>'1510'!A788</f>
        <v/>
      </c>
      <c r="B787" s="139">
        <f>'1510'!B788</f>
        <v/>
      </c>
      <c r="C787" s="139">
        <f>'1510'!D788</f>
        <v/>
      </c>
      <c r="D787" s="140">
        <f>'1510'!E788</f>
        <v/>
      </c>
      <c r="E787" s="140">
        <f>'1510'!F788</f>
        <v/>
      </c>
      <c r="F787" s="139">
        <f>'1510'!C788</f>
        <v/>
      </c>
      <c r="G787" s="155">
        <f>'1510'!G788</f>
        <v/>
      </c>
      <c r="H787" s="155">
        <f>'1510'!H788</f>
        <v/>
      </c>
      <c r="I787" s="139">
        <f>'1510'!I788</f>
        <v/>
      </c>
    </row>
    <row r="788" outlineLevel="1" ht="15" customHeight="1" s="82">
      <c r="A788" s="139">
        <f>'1510'!A789</f>
        <v/>
      </c>
      <c r="B788" s="139">
        <f>'1510'!B789</f>
        <v/>
      </c>
      <c r="C788" s="139">
        <f>'1510'!D789</f>
        <v/>
      </c>
      <c r="D788" s="140">
        <f>'1510'!E789</f>
        <v/>
      </c>
      <c r="E788" s="140">
        <f>'1510'!F789</f>
        <v/>
      </c>
      <c r="F788" s="139">
        <f>'1510'!C789</f>
        <v/>
      </c>
      <c r="G788" s="155">
        <f>'1510'!G789</f>
        <v/>
      </c>
      <c r="H788" s="155">
        <f>'1510'!H789</f>
        <v/>
      </c>
      <c r="I788" s="139">
        <f>'1510'!I789</f>
        <v/>
      </c>
    </row>
    <row r="789" outlineLevel="1" ht="15" customHeight="1" s="82">
      <c r="A789" s="139">
        <f>'1510'!A790</f>
        <v/>
      </c>
      <c r="B789" s="139">
        <f>'1510'!B790</f>
        <v/>
      </c>
      <c r="C789" s="139">
        <f>'1510'!D790</f>
        <v/>
      </c>
      <c r="D789" s="140">
        <f>'1510'!E790</f>
        <v/>
      </c>
      <c r="E789" s="140">
        <f>'1510'!F790</f>
        <v/>
      </c>
      <c r="F789" s="139">
        <f>'1510'!C790</f>
        <v/>
      </c>
      <c r="G789" s="155">
        <f>'1510'!G790</f>
        <v/>
      </c>
      <c r="H789" s="155">
        <f>'1510'!H790</f>
        <v/>
      </c>
      <c r="I789" s="139">
        <f>'1510'!I790</f>
        <v/>
      </c>
    </row>
    <row r="790" outlineLevel="1" ht="15" customHeight="1" s="82">
      <c r="A790" s="139">
        <f>'1510'!A791</f>
        <v/>
      </c>
      <c r="B790" s="139">
        <f>'1510'!B791</f>
        <v/>
      </c>
      <c r="C790" s="139">
        <f>'1510'!D791</f>
        <v/>
      </c>
      <c r="D790" s="140">
        <f>'1510'!E791</f>
        <v/>
      </c>
      <c r="E790" s="140">
        <f>'1510'!F791</f>
        <v/>
      </c>
      <c r="F790" s="139">
        <f>'1510'!C791</f>
        <v/>
      </c>
      <c r="G790" s="155">
        <f>'1510'!G791</f>
        <v/>
      </c>
      <c r="H790" s="155">
        <f>'1510'!H791</f>
        <v/>
      </c>
      <c r="I790" s="139">
        <f>'1510'!I791</f>
        <v/>
      </c>
    </row>
    <row r="791" outlineLevel="1" ht="15" customHeight="1" s="82">
      <c r="A791" s="139">
        <f>'1510'!A792</f>
        <v/>
      </c>
      <c r="B791" s="139">
        <f>'1510'!B792</f>
        <v/>
      </c>
      <c r="C791" s="139">
        <f>'1510'!D792</f>
        <v/>
      </c>
      <c r="D791" s="140">
        <f>'1510'!E792</f>
        <v/>
      </c>
      <c r="E791" s="140">
        <f>'1510'!F792</f>
        <v/>
      </c>
      <c r="F791" s="139">
        <f>'1510'!C792</f>
        <v/>
      </c>
      <c r="G791" s="155">
        <f>'1510'!G792</f>
        <v/>
      </c>
      <c r="H791" s="155">
        <f>'1510'!H792</f>
        <v/>
      </c>
      <c r="I791" s="139">
        <f>'1510'!I792</f>
        <v/>
      </c>
    </row>
    <row r="792" outlineLevel="1" ht="15" customHeight="1" s="82">
      <c r="A792" s="139">
        <f>'1510'!A793</f>
        <v/>
      </c>
      <c r="B792" s="139">
        <f>'1510'!B793</f>
        <v/>
      </c>
      <c r="C792" s="139">
        <f>'1510'!D793</f>
        <v/>
      </c>
      <c r="D792" s="140">
        <f>'1510'!E793</f>
        <v/>
      </c>
      <c r="E792" s="140">
        <f>'1510'!F793</f>
        <v/>
      </c>
      <c r="F792" s="139">
        <f>'1510'!C793</f>
        <v/>
      </c>
      <c r="G792" s="155">
        <f>'1510'!G793</f>
        <v/>
      </c>
      <c r="H792" s="155">
        <f>'1510'!H793</f>
        <v/>
      </c>
      <c r="I792" s="139">
        <f>'1510'!I793</f>
        <v/>
      </c>
    </row>
    <row r="793" outlineLevel="1" ht="15" customHeight="1" s="82">
      <c r="A793" s="139">
        <f>'1510'!A794</f>
        <v/>
      </c>
      <c r="B793" s="139">
        <f>'1510'!B794</f>
        <v/>
      </c>
      <c r="C793" s="139">
        <f>'1510'!D794</f>
        <v/>
      </c>
      <c r="D793" s="140">
        <f>'1510'!E794</f>
        <v/>
      </c>
      <c r="E793" s="140">
        <f>'1510'!F794</f>
        <v/>
      </c>
      <c r="F793" s="139">
        <f>'1510'!C794</f>
        <v/>
      </c>
      <c r="G793" s="155">
        <f>'1510'!G794</f>
        <v/>
      </c>
      <c r="H793" s="155">
        <f>'1510'!H794</f>
        <v/>
      </c>
      <c r="I793" s="139">
        <f>'1510'!I794</f>
        <v/>
      </c>
    </row>
    <row r="794" outlineLevel="1" ht="15" customHeight="1" s="82">
      <c r="A794" s="139">
        <f>'1510'!A795</f>
        <v/>
      </c>
      <c r="B794" s="139">
        <f>'1510'!B795</f>
        <v/>
      </c>
      <c r="C794" s="139">
        <f>'1510'!D795</f>
        <v/>
      </c>
      <c r="D794" s="140">
        <f>'1510'!E795</f>
        <v/>
      </c>
      <c r="E794" s="140">
        <f>'1510'!F795</f>
        <v/>
      </c>
      <c r="F794" s="139">
        <f>'1510'!C795</f>
        <v/>
      </c>
      <c r="G794" s="155">
        <f>'1510'!G795</f>
        <v/>
      </c>
      <c r="H794" s="155">
        <f>'1510'!H795</f>
        <v/>
      </c>
      <c r="I794" s="139">
        <f>'1510'!I795</f>
        <v/>
      </c>
    </row>
    <row r="795" outlineLevel="1" ht="15" customHeight="1" s="82">
      <c r="A795" s="139">
        <f>'1510'!A796</f>
        <v/>
      </c>
      <c r="B795" s="139">
        <f>'1510'!B796</f>
        <v/>
      </c>
      <c r="C795" s="139">
        <f>'1510'!D796</f>
        <v/>
      </c>
      <c r="D795" s="140">
        <f>'1510'!E796</f>
        <v/>
      </c>
      <c r="E795" s="140">
        <f>'1510'!F796</f>
        <v/>
      </c>
      <c r="F795" s="139">
        <f>'1510'!C796</f>
        <v/>
      </c>
      <c r="G795" s="155">
        <f>'1510'!G796</f>
        <v/>
      </c>
      <c r="H795" s="155">
        <f>'1510'!H796</f>
        <v/>
      </c>
      <c r="I795" s="139">
        <f>'1510'!I796</f>
        <v/>
      </c>
    </row>
    <row r="796" outlineLevel="1" ht="15" customHeight="1" s="82">
      <c r="A796" s="139">
        <f>'1510'!A797</f>
        <v/>
      </c>
      <c r="B796" s="139">
        <f>'1510'!B797</f>
        <v/>
      </c>
      <c r="C796" s="139">
        <f>'1510'!D797</f>
        <v/>
      </c>
      <c r="D796" s="140">
        <f>'1510'!E797</f>
        <v/>
      </c>
      <c r="E796" s="140">
        <f>'1510'!F797</f>
        <v/>
      </c>
      <c r="F796" s="139">
        <f>'1510'!C797</f>
        <v/>
      </c>
      <c r="G796" s="155">
        <f>'1510'!G797</f>
        <v/>
      </c>
      <c r="H796" s="155">
        <f>'1510'!H797</f>
        <v/>
      </c>
      <c r="I796" s="139">
        <f>'1510'!I797</f>
        <v/>
      </c>
    </row>
    <row r="797" outlineLevel="1" ht="15" customHeight="1" s="82">
      <c r="A797" s="139">
        <f>'1510'!A798</f>
        <v/>
      </c>
      <c r="B797" s="139">
        <f>'1510'!B798</f>
        <v/>
      </c>
      <c r="C797" s="139">
        <f>'1510'!D798</f>
        <v/>
      </c>
      <c r="D797" s="140">
        <f>'1510'!E798</f>
        <v/>
      </c>
      <c r="E797" s="140">
        <f>'1510'!F798</f>
        <v/>
      </c>
      <c r="F797" s="139">
        <f>'1510'!C798</f>
        <v/>
      </c>
      <c r="G797" s="155">
        <f>'1510'!G798</f>
        <v/>
      </c>
      <c r="H797" s="155">
        <f>'1510'!H798</f>
        <v/>
      </c>
      <c r="I797" s="139">
        <f>'1510'!I798</f>
        <v/>
      </c>
    </row>
    <row r="798" outlineLevel="1" ht="15" customHeight="1" s="82">
      <c r="A798" s="139">
        <f>'1510'!A799</f>
        <v/>
      </c>
      <c r="B798" s="139">
        <f>'1510'!B799</f>
        <v/>
      </c>
      <c r="C798" s="139">
        <f>'1510'!D799</f>
        <v/>
      </c>
      <c r="D798" s="140">
        <f>'1510'!E799</f>
        <v/>
      </c>
      <c r="E798" s="140">
        <f>'1510'!F799</f>
        <v/>
      </c>
      <c r="F798" s="139">
        <f>'1510'!C799</f>
        <v/>
      </c>
      <c r="G798" s="155">
        <f>'1510'!G799</f>
        <v/>
      </c>
      <c r="H798" s="155">
        <f>'1510'!H799</f>
        <v/>
      </c>
      <c r="I798" s="139">
        <f>'1510'!I799</f>
        <v/>
      </c>
    </row>
    <row r="799" outlineLevel="1" ht="15" customHeight="1" s="82">
      <c r="A799" s="139">
        <f>'1510'!A800</f>
        <v/>
      </c>
      <c r="B799" s="139">
        <f>'1510'!B800</f>
        <v/>
      </c>
      <c r="C799" s="139">
        <f>'1510'!D800</f>
        <v/>
      </c>
      <c r="D799" s="140">
        <f>'1510'!E800</f>
        <v/>
      </c>
      <c r="E799" s="140">
        <f>'1510'!F800</f>
        <v/>
      </c>
      <c r="F799" s="139">
        <f>'1510'!C800</f>
        <v/>
      </c>
      <c r="G799" s="155">
        <f>'1510'!G800</f>
        <v/>
      </c>
      <c r="H799" s="155">
        <f>'1510'!H800</f>
        <v/>
      </c>
      <c r="I799" s="139">
        <f>'1510'!I800</f>
        <v/>
      </c>
    </row>
    <row r="800" outlineLevel="1" ht="15" customHeight="1" s="82">
      <c r="A800" s="139">
        <f>'1510'!A801</f>
        <v/>
      </c>
      <c r="B800" s="139">
        <f>'1510'!B801</f>
        <v/>
      </c>
      <c r="C800" s="139">
        <f>'1510'!D801</f>
        <v/>
      </c>
      <c r="D800" s="140">
        <f>'1510'!E801</f>
        <v/>
      </c>
      <c r="E800" s="140">
        <f>'1510'!F801</f>
        <v/>
      </c>
      <c r="F800" s="139">
        <f>'1510'!C801</f>
        <v/>
      </c>
      <c r="G800" s="155">
        <f>'1510'!G801</f>
        <v/>
      </c>
      <c r="H800" s="155">
        <f>'1510'!H801</f>
        <v/>
      </c>
      <c r="I800" s="139">
        <f>'1510'!I801</f>
        <v/>
      </c>
    </row>
    <row r="801" outlineLevel="1" ht="15" customHeight="1" s="82">
      <c r="A801" s="139">
        <f>'1510'!A802</f>
        <v/>
      </c>
      <c r="B801" s="139">
        <f>'1510'!B802</f>
        <v/>
      </c>
      <c r="C801" s="139">
        <f>'1510'!D802</f>
        <v/>
      </c>
      <c r="D801" s="140">
        <f>'1510'!E802</f>
        <v/>
      </c>
      <c r="E801" s="140">
        <f>'1510'!F802</f>
        <v/>
      </c>
      <c r="F801" s="139">
        <f>'1510'!C802</f>
        <v/>
      </c>
      <c r="G801" s="155">
        <f>'1510'!G802</f>
        <v/>
      </c>
      <c r="H801" s="155">
        <f>'1510'!H802</f>
        <v/>
      </c>
      <c r="I801" s="139">
        <f>'1510'!I802</f>
        <v/>
      </c>
    </row>
    <row r="802" outlineLevel="1" ht="15" customHeight="1" s="82">
      <c r="A802" s="139">
        <f>'1510'!A803</f>
        <v/>
      </c>
      <c r="B802" s="139">
        <f>'1510'!B803</f>
        <v/>
      </c>
      <c r="C802" s="139">
        <f>'1510'!D803</f>
        <v/>
      </c>
      <c r="D802" s="140">
        <f>'1510'!E803</f>
        <v/>
      </c>
      <c r="E802" s="140">
        <f>'1510'!F803</f>
        <v/>
      </c>
      <c r="F802" s="139">
        <f>'1510'!C803</f>
        <v/>
      </c>
      <c r="G802" s="155">
        <f>'1510'!G803</f>
        <v/>
      </c>
      <c r="H802" s="155">
        <f>'1510'!H803</f>
        <v/>
      </c>
      <c r="I802" s="139">
        <f>'1510'!I803</f>
        <v/>
      </c>
    </row>
    <row r="803" outlineLevel="1" ht="15" customHeight="1" s="82">
      <c r="A803" s="139">
        <f>'1510'!A804</f>
        <v/>
      </c>
      <c r="B803" s="139">
        <f>'1510'!B804</f>
        <v/>
      </c>
      <c r="C803" s="139">
        <f>'1510'!D804</f>
        <v/>
      </c>
      <c r="D803" s="140">
        <f>'1510'!E804</f>
        <v/>
      </c>
      <c r="E803" s="140">
        <f>'1510'!F804</f>
        <v/>
      </c>
      <c r="F803" s="139">
        <f>'1510'!C804</f>
        <v/>
      </c>
      <c r="G803" s="155">
        <f>'1510'!G804</f>
        <v/>
      </c>
      <c r="H803" s="155">
        <f>'1510'!H804</f>
        <v/>
      </c>
      <c r="I803" s="139">
        <f>'1510'!I804</f>
        <v/>
      </c>
    </row>
    <row r="804" outlineLevel="1" ht="15" customHeight="1" s="82">
      <c r="A804" s="139">
        <f>'1510'!A805</f>
        <v/>
      </c>
      <c r="B804" s="139">
        <f>'1510'!B805</f>
        <v/>
      </c>
      <c r="C804" s="139">
        <f>'1510'!D805</f>
        <v/>
      </c>
      <c r="D804" s="140">
        <f>'1510'!E805</f>
        <v/>
      </c>
      <c r="E804" s="140">
        <f>'1510'!F805</f>
        <v/>
      </c>
      <c r="F804" s="139">
        <f>'1510'!C805</f>
        <v/>
      </c>
      <c r="G804" s="155">
        <f>'1510'!G805</f>
        <v/>
      </c>
      <c r="H804" s="155">
        <f>'1510'!H805</f>
        <v/>
      </c>
      <c r="I804" s="139">
        <f>'1510'!I805</f>
        <v/>
      </c>
    </row>
    <row r="805" outlineLevel="1" ht="15" customHeight="1" s="82">
      <c r="A805" s="139">
        <f>'1510'!A806</f>
        <v/>
      </c>
      <c r="B805" s="139">
        <f>'1510'!B806</f>
        <v/>
      </c>
      <c r="C805" s="139">
        <f>'1510'!D806</f>
        <v/>
      </c>
      <c r="D805" s="140">
        <f>'1510'!E806</f>
        <v/>
      </c>
      <c r="E805" s="140">
        <f>'1510'!F806</f>
        <v/>
      </c>
      <c r="F805" s="139">
        <f>'1510'!C806</f>
        <v/>
      </c>
      <c r="G805" s="155">
        <f>'1510'!G806</f>
        <v/>
      </c>
      <c r="H805" s="155">
        <f>'1510'!H806</f>
        <v/>
      </c>
      <c r="I805" s="139">
        <f>'1510'!I806</f>
        <v/>
      </c>
    </row>
    <row r="806" outlineLevel="1" ht="15" customHeight="1" s="82">
      <c r="A806" s="139">
        <f>'1510'!A807</f>
        <v/>
      </c>
      <c r="B806" s="139">
        <f>'1510'!B807</f>
        <v/>
      </c>
      <c r="C806" s="139">
        <f>'1510'!D807</f>
        <v/>
      </c>
      <c r="D806" s="140">
        <f>'1510'!E807</f>
        <v/>
      </c>
      <c r="E806" s="140">
        <f>'1510'!F807</f>
        <v/>
      </c>
      <c r="F806" s="139">
        <f>'1510'!C807</f>
        <v/>
      </c>
      <c r="G806" s="155">
        <f>'1510'!G807</f>
        <v/>
      </c>
      <c r="H806" s="155">
        <f>'1510'!H807</f>
        <v/>
      </c>
      <c r="I806" s="139">
        <f>'1510'!I807</f>
        <v/>
      </c>
    </row>
    <row r="807" outlineLevel="1" ht="15" customHeight="1" s="82">
      <c r="A807" s="139">
        <f>'1510'!A808</f>
        <v/>
      </c>
      <c r="B807" s="139">
        <f>'1510'!B808</f>
        <v/>
      </c>
      <c r="C807" s="139">
        <f>'1510'!D808</f>
        <v/>
      </c>
      <c r="D807" s="140">
        <f>'1510'!E808</f>
        <v/>
      </c>
      <c r="E807" s="140">
        <f>'1510'!F808</f>
        <v/>
      </c>
      <c r="F807" s="139">
        <f>'1510'!C808</f>
        <v/>
      </c>
      <c r="G807" s="155">
        <f>'1510'!G808</f>
        <v/>
      </c>
      <c r="H807" s="155">
        <f>'1510'!H808</f>
        <v/>
      </c>
      <c r="I807" s="139">
        <f>'1510'!I808</f>
        <v/>
      </c>
    </row>
    <row r="808" outlineLevel="1" ht="15" customHeight="1" s="82">
      <c r="A808" s="139">
        <f>'1510'!A809</f>
        <v/>
      </c>
      <c r="B808" s="139">
        <f>'1510'!B809</f>
        <v/>
      </c>
      <c r="C808" s="139">
        <f>'1510'!D809</f>
        <v/>
      </c>
      <c r="D808" s="140">
        <f>'1510'!E809</f>
        <v/>
      </c>
      <c r="E808" s="140">
        <f>'1510'!F809</f>
        <v/>
      </c>
      <c r="F808" s="139">
        <f>'1510'!C809</f>
        <v/>
      </c>
      <c r="G808" s="155">
        <f>'1510'!G809</f>
        <v/>
      </c>
      <c r="H808" s="155">
        <f>'1510'!H809</f>
        <v/>
      </c>
      <c r="I808" s="139">
        <f>'1510'!I809</f>
        <v/>
      </c>
    </row>
    <row r="809" outlineLevel="1" ht="15" customHeight="1" s="82">
      <c r="A809" s="139">
        <f>'1510'!A810</f>
        <v/>
      </c>
      <c r="B809" s="139">
        <f>'1510'!B810</f>
        <v/>
      </c>
      <c r="C809" s="139">
        <f>'1510'!D810</f>
        <v/>
      </c>
      <c r="D809" s="140">
        <f>'1510'!E810</f>
        <v/>
      </c>
      <c r="E809" s="140">
        <f>'1510'!F810</f>
        <v/>
      </c>
      <c r="F809" s="139">
        <f>'1510'!C810</f>
        <v/>
      </c>
      <c r="G809" s="155">
        <f>'1510'!G810</f>
        <v/>
      </c>
      <c r="H809" s="155">
        <f>'1510'!H810</f>
        <v/>
      </c>
      <c r="I809" s="139">
        <f>'1510'!I810</f>
        <v/>
      </c>
    </row>
    <row r="810" outlineLevel="1" ht="15" customHeight="1" s="82">
      <c r="A810" s="139">
        <f>'1510'!A811</f>
        <v/>
      </c>
      <c r="B810" s="139">
        <f>'1510'!B811</f>
        <v/>
      </c>
      <c r="C810" s="139">
        <f>'1510'!D811</f>
        <v/>
      </c>
      <c r="D810" s="140">
        <f>'1510'!E811</f>
        <v/>
      </c>
      <c r="E810" s="140">
        <f>'1510'!F811</f>
        <v/>
      </c>
      <c r="F810" s="139">
        <f>'1510'!C811</f>
        <v/>
      </c>
      <c r="G810" s="155">
        <f>'1510'!G811</f>
        <v/>
      </c>
      <c r="H810" s="155">
        <f>'1510'!H811</f>
        <v/>
      </c>
      <c r="I810" s="139">
        <f>'1510'!I811</f>
        <v/>
      </c>
    </row>
    <row r="811" outlineLevel="1" ht="15" customHeight="1" s="82">
      <c r="A811" s="139">
        <f>'1510'!A812</f>
        <v/>
      </c>
      <c r="B811" s="139">
        <f>'1510'!B812</f>
        <v/>
      </c>
      <c r="C811" s="139">
        <f>'1510'!D812</f>
        <v/>
      </c>
      <c r="D811" s="140">
        <f>'1510'!E812</f>
        <v/>
      </c>
      <c r="E811" s="140">
        <f>'1510'!F812</f>
        <v/>
      </c>
      <c r="F811" s="139">
        <f>'1510'!C812</f>
        <v/>
      </c>
      <c r="G811" s="155">
        <f>'1510'!G812</f>
        <v/>
      </c>
      <c r="H811" s="155">
        <f>'1510'!H812</f>
        <v/>
      </c>
      <c r="I811" s="139">
        <f>'1510'!I812</f>
        <v/>
      </c>
    </row>
    <row r="812" outlineLevel="1" ht="15" customHeight="1" s="82">
      <c r="A812" s="139">
        <f>'1510'!A813</f>
        <v/>
      </c>
      <c r="B812" s="139">
        <f>'1510'!B813</f>
        <v/>
      </c>
      <c r="C812" s="139">
        <f>'1510'!D813</f>
        <v/>
      </c>
      <c r="D812" s="140">
        <f>'1510'!E813</f>
        <v/>
      </c>
      <c r="E812" s="140">
        <f>'1510'!F813</f>
        <v/>
      </c>
      <c r="F812" s="139">
        <f>'1510'!C813</f>
        <v/>
      </c>
      <c r="G812" s="155">
        <f>'1510'!G813</f>
        <v/>
      </c>
      <c r="H812" s="155">
        <f>'1510'!H813</f>
        <v/>
      </c>
      <c r="I812" s="139">
        <f>'1510'!I813</f>
        <v/>
      </c>
    </row>
    <row r="813" outlineLevel="1" ht="15" customHeight="1" s="82">
      <c r="A813" s="139">
        <f>'1510'!A814</f>
        <v/>
      </c>
      <c r="B813" s="139">
        <f>'1510'!B814</f>
        <v/>
      </c>
      <c r="C813" s="139">
        <f>'1510'!D814</f>
        <v/>
      </c>
      <c r="D813" s="140">
        <f>'1510'!E814</f>
        <v/>
      </c>
      <c r="E813" s="140">
        <f>'1510'!F814</f>
        <v/>
      </c>
      <c r="F813" s="139">
        <f>'1510'!C814</f>
        <v/>
      </c>
      <c r="G813" s="155">
        <f>'1510'!G814</f>
        <v/>
      </c>
      <c r="H813" s="155">
        <f>'1510'!H814</f>
        <v/>
      </c>
      <c r="I813" s="139">
        <f>'1510'!I814</f>
        <v/>
      </c>
    </row>
    <row r="814" outlineLevel="1" ht="15" customHeight="1" s="82">
      <c r="A814" s="139">
        <f>'1510'!A815</f>
        <v/>
      </c>
      <c r="B814" s="139">
        <f>'1510'!B815</f>
        <v/>
      </c>
      <c r="C814" s="139">
        <f>'1510'!D815</f>
        <v/>
      </c>
      <c r="D814" s="140">
        <f>'1510'!E815</f>
        <v/>
      </c>
      <c r="E814" s="140">
        <f>'1510'!F815</f>
        <v/>
      </c>
      <c r="F814" s="139">
        <f>'1510'!C815</f>
        <v/>
      </c>
      <c r="G814" s="155">
        <f>'1510'!G815</f>
        <v/>
      </c>
      <c r="H814" s="155">
        <f>'1510'!H815</f>
        <v/>
      </c>
      <c r="I814" s="139">
        <f>'1510'!I815</f>
        <v/>
      </c>
    </row>
    <row r="815" outlineLevel="1" ht="15" customHeight="1" s="82">
      <c r="A815" s="139">
        <f>'1510'!A816</f>
        <v/>
      </c>
      <c r="B815" s="139">
        <f>'1510'!B816</f>
        <v/>
      </c>
      <c r="C815" s="139">
        <f>'1510'!D816</f>
        <v/>
      </c>
      <c r="D815" s="140">
        <f>'1510'!E816</f>
        <v/>
      </c>
      <c r="E815" s="140">
        <f>'1510'!F816</f>
        <v/>
      </c>
      <c r="F815" s="139">
        <f>'1510'!C816</f>
        <v/>
      </c>
      <c r="G815" s="155">
        <f>'1510'!G816</f>
        <v/>
      </c>
      <c r="H815" s="155">
        <f>'1510'!H816</f>
        <v/>
      </c>
      <c r="I815" s="139">
        <f>'1510'!I816</f>
        <v/>
      </c>
    </row>
    <row r="816" outlineLevel="1" ht="15" customHeight="1" s="82">
      <c r="A816" s="139">
        <f>'1510'!A817</f>
        <v/>
      </c>
      <c r="B816" s="139">
        <f>'1510'!B817</f>
        <v/>
      </c>
      <c r="C816" s="139">
        <f>'1510'!D817</f>
        <v/>
      </c>
      <c r="D816" s="140">
        <f>'1510'!E817</f>
        <v/>
      </c>
      <c r="E816" s="140">
        <f>'1510'!F817</f>
        <v/>
      </c>
      <c r="F816" s="139">
        <f>'1510'!C817</f>
        <v/>
      </c>
      <c r="G816" s="155">
        <f>'1510'!G817</f>
        <v/>
      </c>
      <c r="H816" s="155">
        <f>'1510'!H817</f>
        <v/>
      </c>
      <c r="I816" s="139">
        <f>'1510'!I817</f>
        <v/>
      </c>
    </row>
    <row r="817" outlineLevel="1" ht="15" customHeight="1" s="82">
      <c r="A817" s="139">
        <f>'1510'!A818</f>
        <v/>
      </c>
      <c r="B817" s="139">
        <f>'1510'!B818</f>
        <v/>
      </c>
      <c r="C817" s="139">
        <f>'1510'!D818</f>
        <v/>
      </c>
      <c r="D817" s="140">
        <f>'1510'!E818</f>
        <v/>
      </c>
      <c r="E817" s="140">
        <f>'1510'!F818</f>
        <v/>
      </c>
      <c r="F817" s="139">
        <f>'1510'!C818</f>
        <v/>
      </c>
      <c r="G817" s="155">
        <f>'1510'!G818</f>
        <v/>
      </c>
      <c r="H817" s="155">
        <f>'1510'!H818</f>
        <v/>
      </c>
      <c r="I817" s="139">
        <f>'1510'!I818</f>
        <v/>
      </c>
    </row>
    <row r="818" outlineLevel="1" ht="15" customHeight="1" s="82">
      <c r="A818" s="139">
        <f>'1510'!A819</f>
        <v/>
      </c>
      <c r="B818" s="139">
        <f>'1510'!B819</f>
        <v/>
      </c>
      <c r="C818" s="139">
        <f>'1510'!D819</f>
        <v/>
      </c>
      <c r="D818" s="140">
        <f>'1510'!E819</f>
        <v/>
      </c>
      <c r="E818" s="140">
        <f>'1510'!F819</f>
        <v/>
      </c>
      <c r="F818" s="139">
        <f>'1510'!C819</f>
        <v/>
      </c>
      <c r="G818" s="155">
        <f>'1510'!G819</f>
        <v/>
      </c>
      <c r="H818" s="155">
        <f>'1510'!H819</f>
        <v/>
      </c>
      <c r="I818" s="139">
        <f>'1510'!I819</f>
        <v/>
      </c>
    </row>
    <row r="819" outlineLevel="1" ht="15" customHeight="1" s="82">
      <c r="A819" s="139">
        <f>'1510'!A820</f>
        <v/>
      </c>
      <c r="B819" s="139">
        <f>'1510'!B820</f>
        <v/>
      </c>
      <c r="C819" s="139">
        <f>'1510'!D820</f>
        <v/>
      </c>
      <c r="D819" s="140">
        <f>'1510'!E820</f>
        <v/>
      </c>
      <c r="E819" s="140">
        <f>'1510'!F820</f>
        <v/>
      </c>
      <c r="F819" s="139">
        <f>'1510'!C820</f>
        <v/>
      </c>
      <c r="G819" s="155">
        <f>'1510'!G820</f>
        <v/>
      </c>
      <c r="H819" s="155">
        <f>'1510'!H820</f>
        <v/>
      </c>
      <c r="I819" s="139">
        <f>'1510'!I820</f>
        <v/>
      </c>
    </row>
    <row r="820" outlineLevel="1" ht="15" customHeight="1" s="82">
      <c r="A820" s="139">
        <f>'1510'!A821</f>
        <v/>
      </c>
      <c r="B820" s="139">
        <f>'1510'!B821</f>
        <v/>
      </c>
      <c r="C820" s="139">
        <f>'1510'!D821</f>
        <v/>
      </c>
      <c r="D820" s="140">
        <f>'1510'!E821</f>
        <v/>
      </c>
      <c r="E820" s="140">
        <f>'1510'!F821</f>
        <v/>
      </c>
      <c r="F820" s="139">
        <f>'1510'!C821</f>
        <v/>
      </c>
      <c r="G820" s="155">
        <f>'1510'!G821</f>
        <v/>
      </c>
      <c r="H820" s="155">
        <f>'1510'!H821</f>
        <v/>
      </c>
      <c r="I820" s="139">
        <f>'1510'!I821</f>
        <v/>
      </c>
    </row>
    <row r="821" outlineLevel="1" ht="15" customHeight="1" s="82">
      <c r="A821" s="139">
        <f>'1510'!A822</f>
        <v/>
      </c>
      <c r="B821" s="139">
        <f>'1510'!B822</f>
        <v/>
      </c>
      <c r="C821" s="139">
        <f>'1510'!D822</f>
        <v/>
      </c>
      <c r="D821" s="140">
        <f>'1510'!E822</f>
        <v/>
      </c>
      <c r="E821" s="140">
        <f>'1510'!F822</f>
        <v/>
      </c>
      <c r="F821" s="139">
        <f>'1510'!C822</f>
        <v/>
      </c>
      <c r="G821" s="155">
        <f>'1510'!G822</f>
        <v/>
      </c>
      <c r="H821" s="155">
        <f>'1510'!H822</f>
        <v/>
      </c>
      <c r="I821" s="139">
        <f>'1510'!I822</f>
        <v/>
      </c>
    </row>
    <row r="822" outlineLevel="1" ht="15" customHeight="1" s="82">
      <c r="A822" s="139">
        <f>'1510'!A823</f>
        <v/>
      </c>
      <c r="B822" s="139">
        <f>'1510'!B823</f>
        <v/>
      </c>
      <c r="C822" s="139">
        <f>'1510'!D823</f>
        <v/>
      </c>
      <c r="D822" s="140">
        <f>'1510'!E823</f>
        <v/>
      </c>
      <c r="E822" s="140">
        <f>'1510'!F823</f>
        <v/>
      </c>
      <c r="F822" s="139">
        <f>'1510'!C823</f>
        <v/>
      </c>
      <c r="G822" s="155">
        <f>'1510'!G823</f>
        <v/>
      </c>
      <c r="H822" s="155">
        <f>'1510'!H823</f>
        <v/>
      </c>
      <c r="I822" s="139">
        <f>'1510'!I823</f>
        <v/>
      </c>
    </row>
    <row r="823" outlineLevel="1" ht="15" customHeight="1" s="82">
      <c r="A823" s="139">
        <f>'1510'!A824</f>
        <v/>
      </c>
      <c r="B823" s="139">
        <f>'1510'!B824</f>
        <v/>
      </c>
      <c r="C823" s="139">
        <f>'1510'!D824</f>
        <v/>
      </c>
      <c r="D823" s="140">
        <f>'1510'!E824</f>
        <v/>
      </c>
      <c r="E823" s="140">
        <f>'1510'!F824</f>
        <v/>
      </c>
      <c r="F823" s="139">
        <f>'1510'!C824</f>
        <v/>
      </c>
      <c r="G823" s="155">
        <f>'1510'!G824</f>
        <v/>
      </c>
      <c r="H823" s="155">
        <f>'1510'!H824</f>
        <v/>
      </c>
      <c r="I823" s="139">
        <f>'1510'!I824</f>
        <v/>
      </c>
    </row>
    <row r="824" outlineLevel="1" ht="15" customHeight="1" s="82">
      <c r="A824" s="139">
        <f>'1510'!A825</f>
        <v/>
      </c>
      <c r="B824" s="139">
        <f>'1510'!B825</f>
        <v/>
      </c>
      <c r="C824" s="139">
        <f>'1510'!D825</f>
        <v/>
      </c>
      <c r="D824" s="140">
        <f>'1510'!E825</f>
        <v/>
      </c>
      <c r="E824" s="140">
        <f>'1510'!F825</f>
        <v/>
      </c>
      <c r="F824" s="139">
        <f>'1510'!C825</f>
        <v/>
      </c>
      <c r="G824" s="155">
        <f>'1510'!G825</f>
        <v/>
      </c>
      <c r="H824" s="155">
        <f>'1510'!H825</f>
        <v/>
      </c>
      <c r="I824" s="139">
        <f>'1510'!I825</f>
        <v/>
      </c>
    </row>
    <row r="825" outlineLevel="1" ht="15" customHeight="1" s="82">
      <c r="A825" s="139">
        <f>'1510'!A826</f>
        <v/>
      </c>
      <c r="B825" s="139">
        <f>'1510'!B826</f>
        <v/>
      </c>
      <c r="C825" s="139">
        <f>'1510'!D826</f>
        <v/>
      </c>
      <c r="D825" s="140">
        <f>'1510'!E826</f>
        <v/>
      </c>
      <c r="E825" s="140">
        <f>'1510'!F826</f>
        <v/>
      </c>
      <c r="F825" s="139">
        <f>'1510'!C826</f>
        <v/>
      </c>
      <c r="G825" s="155">
        <f>'1510'!G826</f>
        <v/>
      </c>
      <c r="H825" s="155">
        <f>'1510'!H826</f>
        <v/>
      </c>
      <c r="I825" s="139">
        <f>'1510'!I826</f>
        <v/>
      </c>
    </row>
    <row r="826" outlineLevel="1" ht="15" customHeight="1" s="82">
      <c r="A826" s="139">
        <f>'1510'!A827</f>
        <v/>
      </c>
      <c r="B826" s="139">
        <f>'1510'!B827</f>
        <v/>
      </c>
      <c r="C826" s="139">
        <f>'1510'!D827</f>
        <v/>
      </c>
      <c r="D826" s="140">
        <f>'1510'!E827</f>
        <v/>
      </c>
      <c r="E826" s="140">
        <f>'1510'!F827</f>
        <v/>
      </c>
      <c r="F826" s="139">
        <f>'1510'!C827</f>
        <v/>
      </c>
      <c r="G826" s="155">
        <f>'1510'!G827</f>
        <v/>
      </c>
      <c r="H826" s="155">
        <f>'1510'!H827</f>
        <v/>
      </c>
      <c r="I826" s="139">
        <f>'1510'!I827</f>
        <v/>
      </c>
    </row>
    <row r="827" outlineLevel="1" ht="15" customHeight="1" s="82">
      <c r="A827" s="139">
        <f>'1510'!A828</f>
        <v/>
      </c>
      <c r="B827" s="139">
        <f>'1510'!B828</f>
        <v/>
      </c>
      <c r="C827" s="139">
        <f>'1510'!D828</f>
        <v/>
      </c>
      <c r="D827" s="140">
        <f>'1510'!E828</f>
        <v/>
      </c>
      <c r="E827" s="140">
        <f>'1510'!F828</f>
        <v/>
      </c>
      <c r="F827" s="139">
        <f>'1510'!C828</f>
        <v/>
      </c>
      <c r="G827" s="155">
        <f>'1510'!G828</f>
        <v/>
      </c>
      <c r="H827" s="155">
        <f>'1510'!H828</f>
        <v/>
      </c>
      <c r="I827" s="139">
        <f>'1510'!I828</f>
        <v/>
      </c>
    </row>
    <row r="828" outlineLevel="1" ht="15" customHeight="1" s="82">
      <c r="A828" s="139">
        <f>'1510'!A829</f>
        <v/>
      </c>
      <c r="B828" s="139">
        <f>'1510'!B829</f>
        <v/>
      </c>
      <c r="C828" s="139">
        <f>'1510'!D829</f>
        <v/>
      </c>
      <c r="D828" s="140">
        <f>'1510'!E829</f>
        <v/>
      </c>
      <c r="E828" s="140">
        <f>'1510'!F829</f>
        <v/>
      </c>
      <c r="F828" s="139">
        <f>'1510'!C829</f>
        <v/>
      </c>
      <c r="G828" s="155">
        <f>'1510'!G829</f>
        <v/>
      </c>
      <c r="H828" s="155">
        <f>'1510'!H829</f>
        <v/>
      </c>
      <c r="I828" s="139">
        <f>'1510'!I829</f>
        <v/>
      </c>
    </row>
    <row r="829" outlineLevel="1" ht="15" customHeight="1" s="82">
      <c r="A829" s="139">
        <f>'1510'!A830</f>
        <v/>
      </c>
      <c r="B829" s="139">
        <f>'1510'!B830</f>
        <v/>
      </c>
      <c r="C829" s="139">
        <f>'1510'!D830</f>
        <v/>
      </c>
      <c r="D829" s="140">
        <f>'1510'!E830</f>
        <v/>
      </c>
      <c r="E829" s="140">
        <f>'1510'!F830</f>
        <v/>
      </c>
      <c r="F829" s="139">
        <f>'1510'!C830</f>
        <v/>
      </c>
      <c r="G829" s="155">
        <f>'1510'!G830</f>
        <v/>
      </c>
      <c r="H829" s="155">
        <f>'1510'!H830</f>
        <v/>
      </c>
      <c r="I829" s="139">
        <f>'1510'!I830</f>
        <v/>
      </c>
    </row>
    <row r="830" outlineLevel="1" ht="15" customHeight="1" s="82">
      <c r="A830" s="139">
        <f>'1510'!A831</f>
        <v/>
      </c>
      <c r="B830" s="139">
        <f>'1510'!B831</f>
        <v/>
      </c>
      <c r="C830" s="139">
        <f>'1510'!D831</f>
        <v/>
      </c>
      <c r="D830" s="140">
        <f>'1510'!E831</f>
        <v/>
      </c>
      <c r="E830" s="140">
        <f>'1510'!F831</f>
        <v/>
      </c>
      <c r="F830" s="139">
        <f>'1510'!C831</f>
        <v/>
      </c>
      <c r="G830" s="155">
        <f>'1510'!G831</f>
        <v/>
      </c>
      <c r="H830" s="155">
        <f>'1510'!H831</f>
        <v/>
      </c>
      <c r="I830" s="139">
        <f>'1510'!I831</f>
        <v/>
      </c>
    </row>
    <row r="831" outlineLevel="1" ht="15" customHeight="1" s="82">
      <c r="A831" s="139">
        <f>'1510'!A832</f>
        <v/>
      </c>
      <c r="B831" s="139">
        <f>'1510'!B832</f>
        <v/>
      </c>
      <c r="C831" s="139">
        <f>'1510'!D832</f>
        <v/>
      </c>
      <c r="D831" s="140">
        <f>'1510'!E832</f>
        <v/>
      </c>
      <c r="E831" s="140">
        <f>'1510'!F832</f>
        <v/>
      </c>
      <c r="F831" s="139">
        <f>'1510'!C832</f>
        <v/>
      </c>
      <c r="G831" s="155">
        <f>'1510'!G832</f>
        <v/>
      </c>
      <c r="H831" s="155">
        <f>'1510'!H832</f>
        <v/>
      </c>
      <c r="I831" s="139">
        <f>'1510'!I832</f>
        <v/>
      </c>
    </row>
    <row r="832" outlineLevel="1" ht="15" customHeight="1" s="82">
      <c r="A832" s="139">
        <f>'1510'!A833</f>
        <v/>
      </c>
      <c r="B832" s="139">
        <f>'1510'!B833</f>
        <v/>
      </c>
      <c r="C832" s="139">
        <f>'1510'!D833</f>
        <v/>
      </c>
      <c r="D832" s="140">
        <f>'1510'!E833</f>
        <v/>
      </c>
      <c r="E832" s="140">
        <f>'1510'!F833</f>
        <v/>
      </c>
      <c r="F832" s="139">
        <f>'1510'!C833</f>
        <v/>
      </c>
      <c r="G832" s="155">
        <f>'1510'!G833</f>
        <v/>
      </c>
      <c r="H832" s="155">
        <f>'1510'!H833</f>
        <v/>
      </c>
      <c r="I832" s="139">
        <f>'1510'!I833</f>
        <v/>
      </c>
    </row>
    <row r="833" outlineLevel="1" ht="15" customHeight="1" s="82">
      <c r="A833" s="139">
        <f>'1510'!A834</f>
        <v/>
      </c>
      <c r="B833" s="139">
        <f>'1510'!B834</f>
        <v/>
      </c>
      <c r="C833" s="139">
        <f>'1510'!D834</f>
        <v/>
      </c>
      <c r="D833" s="140">
        <f>'1510'!E834</f>
        <v/>
      </c>
      <c r="E833" s="140">
        <f>'1510'!F834</f>
        <v/>
      </c>
      <c r="F833" s="139">
        <f>'1510'!C834</f>
        <v/>
      </c>
      <c r="G833" s="155">
        <f>'1510'!G834</f>
        <v/>
      </c>
      <c r="H833" s="155">
        <f>'1510'!H834</f>
        <v/>
      </c>
      <c r="I833" s="139">
        <f>'1510'!I834</f>
        <v/>
      </c>
    </row>
    <row r="834" outlineLevel="1" ht="15" customHeight="1" s="82">
      <c r="A834" s="139">
        <f>'1510'!A835</f>
        <v/>
      </c>
      <c r="B834" s="139">
        <f>'1510'!B835</f>
        <v/>
      </c>
      <c r="C834" s="139">
        <f>'1510'!D835</f>
        <v/>
      </c>
      <c r="D834" s="140">
        <f>'1510'!E835</f>
        <v/>
      </c>
      <c r="E834" s="140">
        <f>'1510'!F835</f>
        <v/>
      </c>
      <c r="F834" s="139">
        <f>'1510'!C835</f>
        <v/>
      </c>
      <c r="G834" s="155">
        <f>'1510'!G835</f>
        <v/>
      </c>
      <c r="H834" s="155">
        <f>'1510'!H835</f>
        <v/>
      </c>
      <c r="I834" s="139">
        <f>'1510'!I835</f>
        <v/>
      </c>
    </row>
    <row r="835" outlineLevel="1" ht="15" customHeight="1" s="82">
      <c r="A835" s="139">
        <f>'1510'!A836</f>
        <v/>
      </c>
      <c r="B835" s="139">
        <f>'1510'!B836</f>
        <v/>
      </c>
      <c r="C835" s="139">
        <f>'1510'!D836</f>
        <v/>
      </c>
      <c r="D835" s="140">
        <f>'1510'!E836</f>
        <v/>
      </c>
      <c r="E835" s="140">
        <f>'1510'!F836</f>
        <v/>
      </c>
      <c r="F835" s="139">
        <f>'1510'!C836</f>
        <v/>
      </c>
      <c r="G835" s="155">
        <f>'1510'!G836</f>
        <v/>
      </c>
      <c r="H835" s="155">
        <f>'1510'!H836</f>
        <v/>
      </c>
      <c r="I835" s="139">
        <f>'1510'!I836</f>
        <v/>
      </c>
    </row>
    <row r="836" outlineLevel="1" ht="15" customHeight="1" s="82">
      <c r="A836" s="139">
        <f>'1510'!A837</f>
        <v/>
      </c>
      <c r="B836" s="139">
        <f>'1510'!B837</f>
        <v/>
      </c>
      <c r="C836" s="139">
        <f>'1510'!D837</f>
        <v/>
      </c>
      <c r="D836" s="140">
        <f>'1510'!E837</f>
        <v/>
      </c>
      <c r="E836" s="140">
        <f>'1510'!F837</f>
        <v/>
      </c>
      <c r="F836" s="139">
        <f>'1510'!C837</f>
        <v/>
      </c>
      <c r="G836" s="155">
        <f>'1510'!G837</f>
        <v/>
      </c>
      <c r="H836" s="155">
        <f>'1510'!H837</f>
        <v/>
      </c>
      <c r="I836" s="139">
        <f>'1510'!I837</f>
        <v/>
      </c>
    </row>
    <row r="837" outlineLevel="1" ht="15" customHeight="1" s="82">
      <c r="A837" s="139">
        <f>'1510'!A838</f>
        <v/>
      </c>
      <c r="B837" s="139">
        <f>'1510'!B838</f>
        <v/>
      </c>
      <c r="C837" s="139">
        <f>'1510'!D838</f>
        <v/>
      </c>
      <c r="D837" s="140">
        <f>'1510'!E838</f>
        <v/>
      </c>
      <c r="E837" s="140">
        <f>'1510'!F838</f>
        <v/>
      </c>
      <c r="F837" s="139">
        <f>'1510'!C838</f>
        <v/>
      </c>
      <c r="G837" s="155">
        <f>'1510'!G838</f>
        <v/>
      </c>
      <c r="H837" s="155">
        <f>'1510'!H838</f>
        <v/>
      </c>
      <c r="I837" s="139">
        <f>'1510'!I838</f>
        <v/>
      </c>
    </row>
    <row r="838" outlineLevel="1" ht="15" customHeight="1" s="82">
      <c r="A838" s="139">
        <f>'1510'!A839</f>
        <v/>
      </c>
      <c r="B838" s="139">
        <f>'1510'!B839</f>
        <v/>
      </c>
      <c r="C838" s="139">
        <f>'1510'!D839</f>
        <v/>
      </c>
      <c r="D838" s="140">
        <f>'1510'!E839</f>
        <v/>
      </c>
      <c r="E838" s="140">
        <f>'1510'!F839</f>
        <v/>
      </c>
      <c r="F838" s="139">
        <f>'1510'!C839</f>
        <v/>
      </c>
      <c r="G838" s="155">
        <f>'1510'!G839</f>
        <v/>
      </c>
      <c r="H838" s="155">
        <f>'1510'!H839</f>
        <v/>
      </c>
      <c r="I838" s="139">
        <f>'1510'!I839</f>
        <v/>
      </c>
    </row>
    <row r="839" outlineLevel="1" ht="15" customHeight="1" s="82">
      <c r="A839" s="139">
        <f>'1510'!A840</f>
        <v/>
      </c>
      <c r="B839" s="139">
        <f>'1510'!B840</f>
        <v/>
      </c>
      <c r="C839" s="139">
        <f>'1510'!D840</f>
        <v/>
      </c>
      <c r="D839" s="140">
        <f>'1510'!E840</f>
        <v/>
      </c>
      <c r="E839" s="140">
        <f>'1510'!F840</f>
        <v/>
      </c>
      <c r="F839" s="139">
        <f>'1510'!C840</f>
        <v/>
      </c>
      <c r="G839" s="155">
        <f>'1510'!G840</f>
        <v/>
      </c>
      <c r="H839" s="155">
        <f>'1510'!H840</f>
        <v/>
      </c>
      <c r="I839" s="139">
        <f>'1510'!I840</f>
        <v/>
      </c>
    </row>
    <row r="840" outlineLevel="1" ht="15" customHeight="1" s="82">
      <c r="A840" s="139">
        <f>'1510'!A841</f>
        <v/>
      </c>
      <c r="B840" s="139">
        <f>'1510'!B841</f>
        <v/>
      </c>
      <c r="C840" s="139">
        <f>'1510'!D841</f>
        <v/>
      </c>
      <c r="D840" s="140">
        <f>'1510'!E841</f>
        <v/>
      </c>
      <c r="E840" s="140">
        <f>'1510'!F841</f>
        <v/>
      </c>
      <c r="F840" s="139">
        <f>'1510'!C841</f>
        <v/>
      </c>
      <c r="G840" s="155">
        <f>'1510'!G841</f>
        <v/>
      </c>
      <c r="H840" s="155">
        <f>'1510'!H841</f>
        <v/>
      </c>
      <c r="I840" s="139">
        <f>'1510'!I841</f>
        <v/>
      </c>
    </row>
    <row r="841" outlineLevel="1" ht="15" customHeight="1" s="82">
      <c r="A841" s="139">
        <f>'1510'!A842</f>
        <v/>
      </c>
      <c r="B841" s="139">
        <f>'1510'!B842</f>
        <v/>
      </c>
      <c r="C841" s="139">
        <f>'1510'!D842</f>
        <v/>
      </c>
      <c r="D841" s="140">
        <f>'1510'!E842</f>
        <v/>
      </c>
      <c r="E841" s="140">
        <f>'1510'!F842</f>
        <v/>
      </c>
      <c r="F841" s="139">
        <f>'1510'!C842</f>
        <v/>
      </c>
      <c r="G841" s="155">
        <f>'1510'!G842</f>
        <v/>
      </c>
      <c r="H841" s="155">
        <f>'1510'!H842</f>
        <v/>
      </c>
      <c r="I841" s="139">
        <f>'1510'!I842</f>
        <v/>
      </c>
    </row>
    <row r="842" outlineLevel="1" ht="15" customHeight="1" s="82">
      <c r="A842" s="139">
        <f>'1510'!A843</f>
        <v/>
      </c>
      <c r="B842" s="139">
        <f>'1510'!B843</f>
        <v/>
      </c>
      <c r="C842" s="139">
        <f>'1510'!D843</f>
        <v/>
      </c>
      <c r="D842" s="140">
        <f>'1510'!E843</f>
        <v/>
      </c>
      <c r="E842" s="140">
        <f>'1510'!F843</f>
        <v/>
      </c>
      <c r="F842" s="139">
        <f>'1510'!C843</f>
        <v/>
      </c>
      <c r="G842" s="155">
        <f>'1510'!G843</f>
        <v/>
      </c>
      <c r="H842" s="155">
        <f>'1510'!H843</f>
        <v/>
      </c>
      <c r="I842" s="139">
        <f>'1510'!I843</f>
        <v/>
      </c>
    </row>
    <row r="843" outlineLevel="1" ht="15" customHeight="1" s="82">
      <c r="A843" s="139">
        <f>'1510'!A844</f>
        <v/>
      </c>
      <c r="B843" s="139">
        <f>'1510'!B844</f>
        <v/>
      </c>
      <c r="C843" s="139">
        <f>'1510'!D844</f>
        <v/>
      </c>
      <c r="D843" s="140">
        <f>'1510'!E844</f>
        <v/>
      </c>
      <c r="E843" s="140">
        <f>'1510'!F844</f>
        <v/>
      </c>
      <c r="F843" s="139">
        <f>'1510'!C844</f>
        <v/>
      </c>
      <c r="G843" s="155">
        <f>'1510'!G844</f>
        <v/>
      </c>
      <c r="H843" s="155">
        <f>'1510'!H844</f>
        <v/>
      </c>
      <c r="I843" s="139">
        <f>'1510'!I844</f>
        <v/>
      </c>
    </row>
    <row r="844" outlineLevel="1" ht="15" customHeight="1" s="82">
      <c r="A844" s="139">
        <f>'1510'!A845</f>
        <v/>
      </c>
      <c r="B844" s="139">
        <f>'1510'!B845</f>
        <v/>
      </c>
      <c r="C844" s="139">
        <f>'1510'!D845</f>
        <v/>
      </c>
      <c r="D844" s="140">
        <f>'1510'!E845</f>
        <v/>
      </c>
      <c r="E844" s="140">
        <f>'1510'!F845</f>
        <v/>
      </c>
      <c r="F844" s="139">
        <f>'1510'!C845</f>
        <v/>
      </c>
      <c r="G844" s="155">
        <f>'1510'!G845</f>
        <v/>
      </c>
      <c r="H844" s="155">
        <f>'1510'!H845</f>
        <v/>
      </c>
      <c r="I844" s="139">
        <f>'1510'!I845</f>
        <v/>
      </c>
    </row>
    <row r="845" outlineLevel="1" ht="15" customHeight="1" s="82">
      <c r="A845" s="139">
        <f>'1510'!A846</f>
        <v/>
      </c>
      <c r="B845" s="139">
        <f>'1510'!B846</f>
        <v/>
      </c>
      <c r="C845" s="139">
        <f>'1510'!D846</f>
        <v/>
      </c>
      <c r="D845" s="140">
        <f>'1510'!E846</f>
        <v/>
      </c>
      <c r="E845" s="140">
        <f>'1510'!F846</f>
        <v/>
      </c>
      <c r="F845" s="139">
        <f>'1510'!C846</f>
        <v/>
      </c>
      <c r="G845" s="155">
        <f>'1510'!G846</f>
        <v/>
      </c>
      <c r="H845" s="155">
        <f>'1510'!H846</f>
        <v/>
      </c>
      <c r="I845" s="139">
        <f>'1510'!I846</f>
        <v/>
      </c>
    </row>
    <row r="846" outlineLevel="1" ht="15" customHeight="1" s="82">
      <c r="A846" s="139">
        <f>'1510'!A847</f>
        <v/>
      </c>
      <c r="B846" s="139">
        <f>'1510'!B847</f>
        <v/>
      </c>
      <c r="C846" s="139">
        <f>'1510'!D847</f>
        <v/>
      </c>
      <c r="D846" s="140">
        <f>'1510'!E847</f>
        <v/>
      </c>
      <c r="E846" s="140">
        <f>'1510'!F847</f>
        <v/>
      </c>
      <c r="F846" s="139">
        <f>'1510'!C847</f>
        <v/>
      </c>
      <c r="G846" s="155">
        <f>'1510'!G847</f>
        <v/>
      </c>
      <c r="H846" s="155">
        <f>'1510'!H847</f>
        <v/>
      </c>
      <c r="I846" s="139">
        <f>'1510'!I847</f>
        <v/>
      </c>
    </row>
    <row r="847" outlineLevel="1" ht="15" customHeight="1" s="82">
      <c r="A847" s="139">
        <f>'1510'!A848</f>
        <v/>
      </c>
      <c r="B847" s="139">
        <f>'1510'!B848</f>
        <v/>
      </c>
      <c r="C847" s="139">
        <f>'1510'!D848</f>
        <v/>
      </c>
      <c r="D847" s="140">
        <f>'1510'!E848</f>
        <v/>
      </c>
      <c r="E847" s="140">
        <f>'1510'!F848</f>
        <v/>
      </c>
      <c r="F847" s="139">
        <f>'1510'!C848</f>
        <v/>
      </c>
      <c r="G847" s="155">
        <f>'1510'!G848</f>
        <v/>
      </c>
      <c r="H847" s="155">
        <f>'1510'!H848</f>
        <v/>
      </c>
      <c r="I847" s="139">
        <f>'1510'!I848</f>
        <v/>
      </c>
    </row>
    <row r="848" outlineLevel="1" ht="15" customHeight="1" s="82">
      <c r="A848" s="139">
        <f>'1510'!A849</f>
        <v/>
      </c>
      <c r="B848" s="139">
        <f>'1510'!B849</f>
        <v/>
      </c>
      <c r="C848" s="139">
        <f>'1510'!D849</f>
        <v/>
      </c>
      <c r="D848" s="140">
        <f>'1510'!E849</f>
        <v/>
      </c>
      <c r="E848" s="140">
        <f>'1510'!F849</f>
        <v/>
      </c>
      <c r="F848" s="139">
        <f>'1510'!C849</f>
        <v/>
      </c>
      <c r="G848" s="155">
        <f>'1510'!G849</f>
        <v/>
      </c>
      <c r="H848" s="155">
        <f>'1510'!H849</f>
        <v/>
      </c>
      <c r="I848" s="139">
        <f>'1510'!I849</f>
        <v/>
      </c>
    </row>
    <row r="849" outlineLevel="1" ht="15" customHeight="1" s="82">
      <c r="A849" s="139">
        <f>'1510'!A850</f>
        <v/>
      </c>
      <c r="B849" s="139">
        <f>'1510'!B850</f>
        <v/>
      </c>
      <c r="C849" s="139">
        <f>'1510'!D850</f>
        <v/>
      </c>
      <c r="D849" s="140">
        <f>'1510'!E850</f>
        <v/>
      </c>
      <c r="E849" s="140">
        <f>'1510'!F850</f>
        <v/>
      </c>
      <c r="F849" s="139">
        <f>'1510'!C850</f>
        <v/>
      </c>
      <c r="G849" s="155">
        <f>'1510'!G850</f>
        <v/>
      </c>
      <c r="H849" s="155">
        <f>'1510'!H850</f>
        <v/>
      </c>
      <c r="I849" s="139">
        <f>'1510'!I850</f>
        <v/>
      </c>
    </row>
    <row r="850" outlineLevel="1" ht="15" customHeight="1" s="82">
      <c r="A850" s="139">
        <f>'1510'!A851</f>
        <v/>
      </c>
      <c r="B850" s="139">
        <f>'1510'!B851</f>
        <v/>
      </c>
      <c r="C850" s="139">
        <f>'1510'!D851</f>
        <v/>
      </c>
      <c r="D850" s="140">
        <f>'1510'!E851</f>
        <v/>
      </c>
      <c r="E850" s="140">
        <f>'1510'!F851</f>
        <v/>
      </c>
      <c r="F850" s="139">
        <f>'1510'!C851</f>
        <v/>
      </c>
      <c r="G850" s="155">
        <f>'1510'!G851</f>
        <v/>
      </c>
      <c r="H850" s="155">
        <f>'1510'!H851</f>
        <v/>
      </c>
      <c r="I850" s="139">
        <f>'1510'!I851</f>
        <v/>
      </c>
    </row>
    <row r="851" outlineLevel="1" ht="15" customHeight="1" s="82">
      <c r="A851" s="139">
        <f>'1510'!A852</f>
        <v/>
      </c>
      <c r="B851" s="139">
        <f>'1510'!B852</f>
        <v/>
      </c>
      <c r="C851" s="139">
        <f>'1510'!D852</f>
        <v/>
      </c>
      <c r="D851" s="140">
        <f>'1510'!E852</f>
        <v/>
      </c>
      <c r="E851" s="140">
        <f>'1510'!F852</f>
        <v/>
      </c>
      <c r="F851" s="139">
        <f>'1510'!C852</f>
        <v/>
      </c>
      <c r="G851" s="155">
        <f>'1510'!G852</f>
        <v/>
      </c>
      <c r="H851" s="155">
        <f>'1510'!H852</f>
        <v/>
      </c>
      <c r="I851" s="139">
        <f>'1510'!I852</f>
        <v/>
      </c>
    </row>
    <row r="852" outlineLevel="1" ht="15" customHeight="1" s="82">
      <c r="A852" s="139">
        <f>'1510'!A853</f>
        <v/>
      </c>
      <c r="B852" s="139">
        <f>'1510'!B853</f>
        <v/>
      </c>
      <c r="C852" s="139">
        <f>'1510'!D853</f>
        <v/>
      </c>
      <c r="D852" s="140">
        <f>'1510'!E853</f>
        <v/>
      </c>
      <c r="E852" s="140">
        <f>'1510'!F853</f>
        <v/>
      </c>
      <c r="F852" s="139">
        <f>'1510'!C853</f>
        <v/>
      </c>
      <c r="G852" s="155">
        <f>'1510'!G853</f>
        <v/>
      </c>
      <c r="H852" s="155">
        <f>'1510'!H853</f>
        <v/>
      </c>
      <c r="I852" s="139">
        <f>'1510'!I853</f>
        <v/>
      </c>
    </row>
    <row r="853" outlineLevel="1" ht="15" customHeight="1" s="82">
      <c r="A853" s="139">
        <f>'1510'!A854</f>
        <v/>
      </c>
      <c r="B853" s="139">
        <f>'1510'!B854</f>
        <v/>
      </c>
      <c r="C853" s="139">
        <f>'1510'!D854</f>
        <v/>
      </c>
      <c r="D853" s="140">
        <f>'1510'!E854</f>
        <v/>
      </c>
      <c r="E853" s="140">
        <f>'1510'!F854</f>
        <v/>
      </c>
      <c r="F853" s="139">
        <f>'1510'!C854</f>
        <v/>
      </c>
      <c r="G853" s="155">
        <f>'1510'!G854</f>
        <v/>
      </c>
      <c r="H853" s="155">
        <f>'1510'!H854</f>
        <v/>
      </c>
      <c r="I853" s="139">
        <f>'1510'!I854</f>
        <v/>
      </c>
    </row>
    <row r="854" outlineLevel="1" ht="15" customHeight="1" s="82">
      <c r="A854" s="139">
        <f>'1510'!A855</f>
        <v/>
      </c>
      <c r="B854" s="139">
        <f>'1510'!B855</f>
        <v/>
      </c>
      <c r="C854" s="139">
        <f>'1510'!D855</f>
        <v/>
      </c>
      <c r="D854" s="140">
        <f>'1510'!E855</f>
        <v/>
      </c>
      <c r="E854" s="140">
        <f>'1510'!F855</f>
        <v/>
      </c>
      <c r="F854" s="139">
        <f>'1510'!C855</f>
        <v/>
      </c>
      <c r="G854" s="155">
        <f>'1510'!G855</f>
        <v/>
      </c>
      <c r="H854" s="155">
        <f>'1510'!H855</f>
        <v/>
      </c>
      <c r="I854" s="139">
        <f>'1510'!I855</f>
        <v/>
      </c>
    </row>
    <row r="855" outlineLevel="1" ht="15" customHeight="1" s="82">
      <c r="A855" s="139">
        <f>'1510'!A856</f>
        <v/>
      </c>
      <c r="B855" s="139">
        <f>'1510'!B856</f>
        <v/>
      </c>
      <c r="C855" s="139">
        <f>'1510'!D856</f>
        <v/>
      </c>
      <c r="D855" s="140">
        <f>'1510'!E856</f>
        <v/>
      </c>
      <c r="E855" s="140">
        <f>'1510'!F856</f>
        <v/>
      </c>
      <c r="F855" s="139">
        <f>'1510'!C856</f>
        <v/>
      </c>
      <c r="G855" s="155">
        <f>'1510'!G856</f>
        <v/>
      </c>
      <c r="H855" s="155">
        <f>'1510'!H856</f>
        <v/>
      </c>
      <c r="I855" s="139">
        <f>'1510'!I856</f>
        <v/>
      </c>
    </row>
    <row r="856" outlineLevel="1" ht="15" customHeight="1" s="82">
      <c r="A856" s="139">
        <f>'1510'!A857</f>
        <v/>
      </c>
      <c r="B856" s="139">
        <f>'1510'!B857</f>
        <v/>
      </c>
      <c r="C856" s="139">
        <f>'1510'!D857</f>
        <v/>
      </c>
      <c r="D856" s="140">
        <f>'1510'!E857</f>
        <v/>
      </c>
      <c r="E856" s="140">
        <f>'1510'!F857</f>
        <v/>
      </c>
      <c r="F856" s="139">
        <f>'1510'!C857</f>
        <v/>
      </c>
      <c r="G856" s="155">
        <f>'1510'!G857</f>
        <v/>
      </c>
      <c r="H856" s="155">
        <f>'1510'!H857</f>
        <v/>
      </c>
      <c r="I856" s="139">
        <f>'1510'!I857</f>
        <v/>
      </c>
    </row>
    <row r="857" outlineLevel="1" ht="15" customHeight="1" s="82">
      <c r="A857" s="139">
        <f>'1510'!A858</f>
        <v/>
      </c>
      <c r="B857" s="139">
        <f>'1510'!B858</f>
        <v/>
      </c>
      <c r="C857" s="139">
        <f>'1510'!D858</f>
        <v/>
      </c>
      <c r="D857" s="140">
        <f>'1510'!E858</f>
        <v/>
      </c>
      <c r="E857" s="140">
        <f>'1510'!F858</f>
        <v/>
      </c>
      <c r="F857" s="139">
        <f>'1510'!C858</f>
        <v/>
      </c>
      <c r="G857" s="155">
        <f>'1510'!G858</f>
        <v/>
      </c>
      <c r="H857" s="155">
        <f>'1510'!H858</f>
        <v/>
      </c>
      <c r="I857" s="139">
        <f>'1510'!I858</f>
        <v/>
      </c>
    </row>
    <row r="858" outlineLevel="1" ht="15" customHeight="1" s="82">
      <c r="A858" s="139">
        <f>'1510'!A859</f>
        <v/>
      </c>
      <c r="B858" s="139">
        <f>'1510'!B859</f>
        <v/>
      </c>
      <c r="C858" s="139">
        <f>'1510'!D859</f>
        <v/>
      </c>
      <c r="D858" s="140">
        <f>'1510'!E859</f>
        <v/>
      </c>
      <c r="E858" s="140">
        <f>'1510'!F859</f>
        <v/>
      </c>
      <c r="F858" s="139">
        <f>'1510'!C859</f>
        <v/>
      </c>
      <c r="G858" s="155">
        <f>'1510'!G859</f>
        <v/>
      </c>
      <c r="H858" s="155">
        <f>'1510'!H859</f>
        <v/>
      </c>
      <c r="I858" s="139">
        <f>'1510'!I859</f>
        <v/>
      </c>
    </row>
    <row r="859" outlineLevel="1" ht="15" customHeight="1" s="82">
      <c r="A859" s="139">
        <f>'1510'!A860</f>
        <v/>
      </c>
      <c r="B859" s="139">
        <f>'1510'!B860</f>
        <v/>
      </c>
      <c r="C859" s="139">
        <f>'1510'!D860</f>
        <v/>
      </c>
      <c r="D859" s="140">
        <f>'1510'!E860</f>
        <v/>
      </c>
      <c r="E859" s="140">
        <f>'1510'!F860</f>
        <v/>
      </c>
      <c r="F859" s="139">
        <f>'1510'!C860</f>
        <v/>
      </c>
      <c r="G859" s="155">
        <f>'1510'!G860</f>
        <v/>
      </c>
      <c r="H859" s="155">
        <f>'1510'!H860</f>
        <v/>
      </c>
      <c r="I859" s="139">
        <f>'1510'!I860</f>
        <v/>
      </c>
    </row>
    <row r="860" outlineLevel="1" ht="15" customHeight="1" s="82">
      <c r="A860" s="139">
        <f>'1510'!A861</f>
        <v/>
      </c>
      <c r="B860" s="139">
        <f>'1510'!B861</f>
        <v/>
      </c>
      <c r="C860" s="139">
        <f>'1510'!D861</f>
        <v/>
      </c>
      <c r="D860" s="140">
        <f>'1510'!E861</f>
        <v/>
      </c>
      <c r="E860" s="140">
        <f>'1510'!F861</f>
        <v/>
      </c>
      <c r="F860" s="139">
        <f>'1510'!C861</f>
        <v/>
      </c>
      <c r="G860" s="155">
        <f>'1510'!G861</f>
        <v/>
      </c>
      <c r="H860" s="155">
        <f>'1510'!H861</f>
        <v/>
      </c>
      <c r="I860" s="139">
        <f>'1510'!I861</f>
        <v/>
      </c>
    </row>
    <row r="861" outlineLevel="1" ht="15" customHeight="1" s="82">
      <c r="A861" s="139">
        <f>'1510'!A862</f>
        <v/>
      </c>
      <c r="B861" s="139">
        <f>'1510'!B862</f>
        <v/>
      </c>
      <c r="C861" s="139">
        <f>'1510'!D862</f>
        <v/>
      </c>
      <c r="D861" s="140">
        <f>'1510'!E862</f>
        <v/>
      </c>
      <c r="E861" s="140">
        <f>'1510'!F862</f>
        <v/>
      </c>
      <c r="F861" s="139">
        <f>'1510'!C862</f>
        <v/>
      </c>
      <c r="G861" s="155">
        <f>'1510'!G862</f>
        <v/>
      </c>
      <c r="H861" s="155">
        <f>'1510'!H862</f>
        <v/>
      </c>
      <c r="I861" s="139">
        <f>'1510'!I862</f>
        <v/>
      </c>
    </row>
    <row r="862" outlineLevel="1" ht="15" customHeight="1" s="82">
      <c r="A862" s="139">
        <f>'1510'!A863</f>
        <v/>
      </c>
      <c r="B862" s="139">
        <f>'1510'!B863</f>
        <v/>
      </c>
      <c r="C862" s="139">
        <f>'1510'!D863</f>
        <v/>
      </c>
      <c r="D862" s="140">
        <f>'1510'!E863</f>
        <v/>
      </c>
      <c r="E862" s="140">
        <f>'1510'!F863</f>
        <v/>
      </c>
      <c r="F862" s="139">
        <f>'1510'!C863</f>
        <v/>
      </c>
      <c r="G862" s="155">
        <f>'1510'!G863</f>
        <v/>
      </c>
      <c r="H862" s="155">
        <f>'1510'!H863</f>
        <v/>
      </c>
      <c r="I862" s="139">
        <f>'1510'!I863</f>
        <v/>
      </c>
    </row>
    <row r="863" outlineLevel="1" ht="15" customHeight="1" s="82">
      <c r="A863" s="139">
        <f>'1510'!A864</f>
        <v/>
      </c>
      <c r="B863" s="139">
        <f>'1510'!B864</f>
        <v/>
      </c>
      <c r="C863" s="139">
        <f>'1510'!D864</f>
        <v/>
      </c>
      <c r="D863" s="140">
        <f>'1510'!E864</f>
        <v/>
      </c>
      <c r="E863" s="140">
        <f>'1510'!F864</f>
        <v/>
      </c>
      <c r="F863" s="139">
        <f>'1510'!C864</f>
        <v/>
      </c>
      <c r="G863" s="155">
        <f>'1510'!G864</f>
        <v/>
      </c>
      <c r="H863" s="155">
        <f>'1510'!H864</f>
        <v/>
      </c>
      <c r="I863" s="139">
        <f>'1510'!I864</f>
        <v/>
      </c>
    </row>
    <row r="864" outlineLevel="1" ht="15" customHeight="1" s="82">
      <c r="A864" s="139">
        <f>'1510'!A865</f>
        <v/>
      </c>
      <c r="B864" s="139">
        <f>'1510'!B865</f>
        <v/>
      </c>
      <c r="C864" s="139">
        <f>'1510'!D865</f>
        <v/>
      </c>
      <c r="D864" s="140">
        <f>'1510'!E865</f>
        <v/>
      </c>
      <c r="E864" s="140">
        <f>'1510'!F865</f>
        <v/>
      </c>
      <c r="F864" s="139">
        <f>'1510'!C865</f>
        <v/>
      </c>
      <c r="G864" s="155">
        <f>'1510'!G865</f>
        <v/>
      </c>
      <c r="H864" s="155">
        <f>'1510'!H865</f>
        <v/>
      </c>
      <c r="I864" s="139">
        <f>'1510'!I865</f>
        <v/>
      </c>
    </row>
    <row r="865" outlineLevel="1" ht="15" customHeight="1" s="82">
      <c r="A865" s="139">
        <f>'1510'!A866</f>
        <v/>
      </c>
      <c r="B865" s="139">
        <f>'1510'!B866</f>
        <v/>
      </c>
      <c r="C865" s="139">
        <f>'1510'!D866</f>
        <v/>
      </c>
      <c r="D865" s="140">
        <f>'1510'!E866</f>
        <v/>
      </c>
      <c r="E865" s="140">
        <f>'1510'!F866</f>
        <v/>
      </c>
      <c r="F865" s="139">
        <f>'1510'!C866</f>
        <v/>
      </c>
      <c r="G865" s="155">
        <f>'1510'!G866</f>
        <v/>
      </c>
      <c r="H865" s="155">
        <f>'1510'!H866</f>
        <v/>
      </c>
      <c r="I865" s="139">
        <f>'1510'!I866</f>
        <v/>
      </c>
    </row>
    <row r="866" outlineLevel="1" ht="15" customHeight="1" s="82">
      <c r="A866" s="139">
        <f>'1510'!A867</f>
        <v/>
      </c>
      <c r="B866" s="139">
        <f>'1510'!B867</f>
        <v/>
      </c>
      <c r="C866" s="139">
        <f>'1510'!D867</f>
        <v/>
      </c>
      <c r="D866" s="140">
        <f>'1510'!E867</f>
        <v/>
      </c>
      <c r="E866" s="140">
        <f>'1510'!F867</f>
        <v/>
      </c>
      <c r="F866" s="139">
        <f>'1510'!C867</f>
        <v/>
      </c>
      <c r="G866" s="155">
        <f>'1510'!G867</f>
        <v/>
      </c>
      <c r="H866" s="155">
        <f>'1510'!H867</f>
        <v/>
      </c>
      <c r="I866" s="139">
        <f>'1510'!I867</f>
        <v/>
      </c>
    </row>
    <row r="867" outlineLevel="1" ht="15" customHeight="1" s="82">
      <c r="A867" s="139">
        <f>'1510'!A868</f>
        <v/>
      </c>
      <c r="B867" s="139">
        <f>'1510'!B868</f>
        <v/>
      </c>
      <c r="C867" s="139">
        <f>'1510'!D868</f>
        <v/>
      </c>
      <c r="D867" s="140">
        <f>'1510'!E868</f>
        <v/>
      </c>
      <c r="E867" s="140">
        <f>'1510'!F868</f>
        <v/>
      </c>
      <c r="F867" s="139">
        <f>'1510'!C868</f>
        <v/>
      </c>
      <c r="G867" s="155">
        <f>'1510'!G868</f>
        <v/>
      </c>
      <c r="H867" s="155">
        <f>'1510'!H868</f>
        <v/>
      </c>
      <c r="I867" s="139">
        <f>'1510'!I868</f>
        <v/>
      </c>
    </row>
    <row r="868" outlineLevel="1" ht="15" customHeight="1" s="82">
      <c r="A868" s="139">
        <f>'1510'!A869</f>
        <v/>
      </c>
      <c r="B868" s="139">
        <f>'1510'!B869</f>
        <v/>
      </c>
      <c r="C868" s="139">
        <f>'1510'!D869</f>
        <v/>
      </c>
      <c r="D868" s="140">
        <f>'1510'!E869</f>
        <v/>
      </c>
      <c r="E868" s="140">
        <f>'1510'!F869</f>
        <v/>
      </c>
      <c r="F868" s="139">
        <f>'1510'!C869</f>
        <v/>
      </c>
      <c r="G868" s="155">
        <f>'1510'!G869</f>
        <v/>
      </c>
      <c r="H868" s="155">
        <f>'1510'!H869</f>
        <v/>
      </c>
      <c r="I868" s="139">
        <f>'1510'!I869</f>
        <v/>
      </c>
    </row>
    <row r="869" outlineLevel="1" ht="15" customHeight="1" s="82">
      <c r="A869" s="139">
        <f>'1510'!A870</f>
        <v/>
      </c>
      <c r="B869" s="139">
        <f>'1510'!B870</f>
        <v/>
      </c>
      <c r="C869" s="139">
        <f>'1510'!D870</f>
        <v/>
      </c>
      <c r="D869" s="140">
        <f>'1510'!E870</f>
        <v/>
      </c>
      <c r="E869" s="140">
        <f>'1510'!F870</f>
        <v/>
      </c>
      <c r="F869" s="139">
        <f>'1510'!C870</f>
        <v/>
      </c>
      <c r="G869" s="155">
        <f>'1510'!G870</f>
        <v/>
      </c>
      <c r="H869" s="155">
        <f>'1510'!H870</f>
        <v/>
      </c>
      <c r="I869" s="139">
        <f>'1510'!I870</f>
        <v/>
      </c>
    </row>
    <row r="870" outlineLevel="1" ht="15" customHeight="1" s="82">
      <c r="A870" s="139">
        <f>'1510'!A871</f>
        <v/>
      </c>
      <c r="B870" s="139">
        <f>'1510'!B871</f>
        <v/>
      </c>
      <c r="C870" s="139">
        <f>'1510'!D871</f>
        <v/>
      </c>
      <c r="D870" s="140">
        <f>'1510'!E871</f>
        <v/>
      </c>
      <c r="E870" s="140">
        <f>'1510'!F871</f>
        <v/>
      </c>
      <c r="F870" s="139">
        <f>'1510'!C871</f>
        <v/>
      </c>
      <c r="G870" s="155">
        <f>'1510'!G871</f>
        <v/>
      </c>
      <c r="H870" s="155">
        <f>'1510'!H871</f>
        <v/>
      </c>
      <c r="I870" s="139">
        <f>'1510'!I871</f>
        <v/>
      </c>
    </row>
    <row r="871" outlineLevel="1" ht="15" customHeight="1" s="82">
      <c r="A871" s="139">
        <f>'1510'!A872</f>
        <v/>
      </c>
      <c r="B871" s="139">
        <f>'1510'!B872</f>
        <v/>
      </c>
      <c r="C871" s="139">
        <f>'1510'!D872</f>
        <v/>
      </c>
      <c r="D871" s="140">
        <f>'1510'!E872</f>
        <v/>
      </c>
      <c r="E871" s="140">
        <f>'1510'!F872</f>
        <v/>
      </c>
      <c r="F871" s="139">
        <f>'1510'!C872</f>
        <v/>
      </c>
      <c r="G871" s="155">
        <f>'1510'!G872</f>
        <v/>
      </c>
      <c r="H871" s="155">
        <f>'1510'!H872</f>
        <v/>
      </c>
      <c r="I871" s="139">
        <f>'1510'!I872</f>
        <v/>
      </c>
    </row>
    <row r="872" outlineLevel="1" ht="15" customHeight="1" s="82">
      <c r="A872" s="139">
        <f>'1510'!A873</f>
        <v/>
      </c>
      <c r="B872" s="139">
        <f>'1510'!B873</f>
        <v/>
      </c>
      <c r="C872" s="139">
        <f>'1510'!D873</f>
        <v/>
      </c>
      <c r="D872" s="140">
        <f>'1510'!E873</f>
        <v/>
      </c>
      <c r="E872" s="140">
        <f>'1510'!F873</f>
        <v/>
      </c>
      <c r="F872" s="139">
        <f>'1510'!C873</f>
        <v/>
      </c>
      <c r="G872" s="155">
        <f>'1510'!G873</f>
        <v/>
      </c>
      <c r="H872" s="155">
        <f>'1510'!H873</f>
        <v/>
      </c>
      <c r="I872" s="139">
        <f>'1510'!I873</f>
        <v/>
      </c>
    </row>
    <row r="873" outlineLevel="1" ht="15" customHeight="1" s="82">
      <c r="A873" s="139">
        <f>'1510'!A874</f>
        <v/>
      </c>
      <c r="B873" s="139">
        <f>'1510'!B874</f>
        <v/>
      </c>
      <c r="C873" s="139">
        <f>'1510'!D874</f>
        <v/>
      </c>
      <c r="D873" s="140">
        <f>'1510'!E874</f>
        <v/>
      </c>
      <c r="E873" s="140">
        <f>'1510'!F874</f>
        <v/>
      </c>
      <c r="F873" s="139">
        <f>'1510'!C874</f>
        <v/>
      </c>
      <c r="G873" s="155">
        <f>'1510'!G874</f>
        <v/>
      </c>
      <c r="H873" s="155">
        <f>'1510'!H874</f>
        <v/>
      </c>
      <c r="I873" s="139">
        <f>'1510'!I874</f>
        <v/>
      </c>
    </row>
    <row r="874" outlineLevel="1" ht="15" customHeight="1" s="82">
      <c r="A874" s="139">
        <f>'1510'!A875</f>
        <v/>
      </c>
      <c r="B874" s="139">
        <f>'1510'!B875</f>
        <v/>
      </c>
      <c r="C874" s="139">
        <f>'1510'!D875</f>
        <v/>
      </c>
      <c r="D874" s="140">
        <f>'1510'!E875</f>
        <v/>
      </c>
      <c r="E874" s="140">
        <f>'1510'!F875</f>
        <v/>
      </c>
      <c r="F874" s="139">
        <f>'1510'!C875</f>
        <v/>
      </c>
      <c r="G874" s="155">
        <f>'1510'!G875</f>
        <v/>
      </c>
      <c r="H874" s="155">
        <f>'1510'!H875</f>
        <v/>
      </c>
      <c r="I874" s="139">
        <f>'1510'!I875</f>
        <v/>
      </c>
    </row>
    <row r="875" outlineLevel="1" ht="15" customHeight="1" s="82">
      <c r="A875" s="139">
        <f>'1510'!A876</f>
        <v/>
      </c>
      <c r="B875" s="139">
        <f>'1510'!B876</f>
        <v/>
      </c>
      <c r="C875" s="139">
        <f>'1510'!D876</f>
        <v/>
      </c>
      <c r="D875" s="140">
        <f>'1510'!E876</f>
        <v/>
      </c>
      <c r="E875" s="140">
        <f>'1510'!F876</f>
        <v/>
      </c>
      <c r="F875" s="139">
        <f>'1510'!C876</f>
        <v/>
      </c>
      <c r="G875" s="155">
        <f>'1510'!G876</f>
        <v/>
      </c>
      <c r="H875" s="155">
        <f>'1510'!H876</f>
        <v/>
      </c>
      <c r="I875" s="139">
        <f>'1510'!I876</f>
        <v/>
      </c>
    </row>
    <row r="876" outlineLevel="1" ht="15" customHeight="1" s="82">
      <c r="A876" s="139">
        <f>'1510'!A877</f>
        <v/>
      </c>
      <c r="B876" s="139">
        <f>'1510'!B877</f>
        <v/>
      </c>
      <c r="C876" s="139">
        <f>'1510'!D877</f>
        <v/>
      </c>
      <c r="D876" s="140">
        <f>'1510'!E877</f>
        <v/>
      </c>
      <c r="E876" s="140">
        <f>'1510'!F877</f>
        <v/>
      </c>
      <c r="F876" s="139">
        <f>'1510'!C877</f>
        <v/>
      </c>
      <c r="G876" s="155">
        <f>'1510'!G877</f>
        <v/>
      </c>
      <c r="H876" s="155">
        <f>'1510'!H877</f>
        <v/>
      </c>
      <c r="I876" s="139">
        <f>'1510'!I877</f>
        <v/>
      </c>
    </row>
    <row r="877" outlineLevel="1" ht="15" customHeight="1" s="82">
      <c r="A877" s="139">
        <f>'1510'!A878</f>
        <v/>
      </c>
      <c r="B877" s="139">
        <f>'1510'!B878</f>
        <v/>
      </c>
      <c r="C877" s="139">
        <f>'1510'!D878</f>
        <v/>
      </c>
      <c r="D877" s="140">
        <f>'1510'!E878</f>
        <v/>
      </c>
      <c r="E877" s="140">
        <f>'1510'!F878</f>
        <v/>
      </c>
      <c r="F877" s="139">
        <f>'1510'!C878</f>
        <v/>
      </c>
      <c r="G877" s="155">
        <f>'1510'!G878</f>
        <v/>
      </c>
      <c r="H877" s="155">
        <f>'1510'!H878</f>
        <v/>
      </c>
      <c r="I877" s="139">
        <f>'1510'!I878</f>
        <v/>
      </c>
    </row>
    <row r="878" outlineLevel="1" ht="15" customHeight="1" s="82">
      <c r="A878" s="139">
        <f>'1510'!A879</f>
        <v/>
      </c>
      <c r="B878" s="139">
        <f>'1510'!B879</f>
        <v/>
      </c>
      <c r="C878" s="139">
        <f>'1510'!D879</f>
        <v/>
      </c>
      <c r="D878" s="140">
        <f>'1510'!E879</f>
        <v/>
      </c>
      <c r="E878" s="140">
        <f>'1510'!F879</f>
        <v/>
      </c>
      <c r="F878" s="139">
        <f>'1510'!C879</f>
        <v/>
      </c>
      <c r="G878" s="155">
        <f>'1510'!G879</f>
        <v/>
      </c>
      <c r="H878" s="155">
        <f>'1510'!H879</f>
        <v/>
      </c>
      <c r="I878" s="139">
        <f>'1510'!I879</f>
        <v/>
      </c>
    </row>
    <row r="879" outlineLevel="1" ht="15" customHeight="1" s="82">
      <c r="A879" s="139">
        <f>'1510'!A880</f>
        <v/>
      </c>
      <c r="B879" s="139">
        <f>'1510'!B880</f>
        <v/>
      </c>
      <c r="C879" s="139">
        <f>'1510'!D880</f>
        <v/>
      </c>
      <c r="D879" s="140">
        <f>'1510'!E880</f>
        <v/>
      </c>
      <c r="E879" s="140">
        <f>'1510'!F880</f>
        <v/>
      </c>
      <c r="F879" s="139">
        <f>'1510'!C880</f>
        <v/>
      </c>
      <c r="G879" s="155">
        <f>'1510'!G880</f>
        <v/>
      </c>
      <c r="H879" s="155">
        <f>'1510'!H880</f>
        <v/>
      </c>
      <c r="I879" s="139">
        <f>'1510'!I880</f>
        <v/>
      </c>
    </row>
    <row r="880" outlineLevel="1" ht="15" customHeight="1" s="82">
      <c r="A880" s="139">
        <f>'1510'!A881</f>
        <v/>
      </c>
      <c r="B880" s="139">
        <f>'1510'!B881</f>
        <v/>
      </c>
      <c r="C880" s="139">
        <f>'1510'!D881</f>
        <v/>
      </c>
      <c r="D880" s="140">
        <f>'1510'!E881</f>
        <v/>
      </c>
      <c r="E880" s="140">
        <f>'1510'!F881</f>
        <v/>
      </c>
      <c r="F880" s="139">
        <f>'1510'!C881</f>
        <v/>
      </c>
      <c r="G880" s="155">
        <f>'1510'!G881</f>
        <v/>
      </c>
      <c r="H880" s="155">
        <f>'1510'!H881</f>
        <v/>
      </c>
      <c r="I880" s="139">
        <f>'1510'!I881</f>
        <v/>
      </c>
    </row>
    <row r="881" outlineLevel="1" ht="15" customHeight="1" s="82">
      <c r="A881" s="139">
        <f>'1510'!A882</f>
        <v/>
      </c>
      <c r="B881" s="139">
        <f>'1510'!B882</f>
        <v/>
      </c>
      <c r="C881" s="139">
        <f>'1510'!D882</f>
        <v/>
      </c>
      <c r="D881" s="140">
        <f>'1510'!E882</f>
        <v/>
      </c>
      <c r="E881" s="140">
        <f>'1510'!F882</f>
        <v/>
      </c>
      <c r="F881" s="139">
        <f>'1510'!C882</f>
        <v/>
      </c>
      <c r="G881" s="155">
        <f>'1510'!G882</f>
        <v/>
      </c>
      <c r="H881" s="155">
        <f>'1510'!H882</f>
        <v/>
      </c>
      <c r="I881" s="139">
        <f>'1510'!I882</f>
        <v/>
      </c>
    </row>
    <row r="882" outlineLevel="1" ht="15" customHeight="1" s="82">
      <c r="A882" s="139">
        <f>'1510'!A883</f>
        <v/>
      </c>
      <c r="B882" s="139">
        <f>'1510'!B883</f>
        <v/>
      </c>
      <c r="C882" s="139">
        <f>'1510'!D883</f>
        <v/>
      </c>
      <c r="D882" s="140">
        <f>'1510'!E883</f>
        <v/>
      </c>
      <c r="E882" s="140">
        <f>'1510'!F883</f>
        <v/>
      </c>
      <c r="F882" s="139">
        <f>'1510'!C883</f>
        <v/>
      </c>
      <c r="G882" s="155">
        <f>'1510'!G883</f>
        <v/>
      </c>
      <c r="H882" s="155">
        <f>'1510'!H883</f>
        <v/>
      </c>
      <c r="I882" s="139">
        <f>'1510'!I883</f>
        <v/>
      </c>
    </row>
    <row r="883" outlineLevel="1" ht="15" customHeight="1" s="82">
      <c r="A883" s="139">
        <f>'1510'!A884</f>
        <v/>
      </c>
      <c r="B883" s="139">
        <f>'1510'!B884</f>
        <v/>
      </c>
      <c r="C883" s="139">
        <f>'1510'!D884</f>
        <v/>
      </c>
      <c r="D883" s="140">
        <f>'1510'!E884</f>
        <v/>
      </c>
      <c r="E883" s="140">
        <f>'1510'!F884</f>
        <v/>
      </c>
      <c r="F883" s="139">
        <f>'1510'!C884</f>
        <v/>
      </c>
      <c r="G883" s="155">
        <f>'1510'!G884</f>
        <v/>
      </c>
      <c r="H883" s="155">
        <f>'1510'!H884</f>
        <v/>
      </c>
      <c r="I883" s="139">
        <f>'1510'!I884</f>
        <v/>
      </c>
    </row>
    <row r="884" outlineLevel="1" ht="15" customHeight="1" s="82">
      <c r="A884" s="139">
        <f>'1510'!A885</f>
        <v/>
      </c>
      <c r="B884" s="139">
        <f>'1510'!B885</f>
        <v/>
      </c>
      <c r="C884" s="139">
        <f>'1510'!D885</f>
        <v/>
      </c>
      <c r="D884" s="140">
        <f>'1510'!E885</f>
        <v/>
      </c>
      <c r="E884" s="140">
        <f>'1510'!F885</f>
        <v/>
      </c>
      <c r="F884" s="139">
        <f>'1510'!C885</f>
        <v/>
      </c>
      <c r="G884" s="155">
        <f>'1510'!G885</f>
        <v/>
      </c>
      <c r="H884" s="155">
        <f>'1510'!H885</f>
        <v/>
      </c>
      <c r="I884" s="139">
        <f>'1510'!I885</f>
        <v/>
      </c>
    </row>
    <row r="885" outlineLevel="1" ht="15" customHeight="1" s="82">
      <c r="A885" s="139">
        <f>'1510'!A886</f>
        <v/>
      </c>
      <c r="B885" s="139">
        <f>'1510'!B886</f>
        <v/>
      </c>
      <c r="C885" s="139">
        <f>'1510'!D886</f>
        <v/>
      </c>
      <c r="D885" s="140">
        <f>'1510'!E886</f>
        <v/>
      </c>
      <c r="E885" s="140">
        <f>'1510'!F886</f>
        <v/>
      </c>
      <c r="F885" s="139">
        <f>'1510'!C886</f>
        <v/>
      </c>
      <c r="G885" s="155">
        <f>'1510'!G886</f>
        <v/>
      </c>
      <c r="H885" s="155">
        <f>'1510'!H886</f>
        <v/>
      </c>
      <c r="I885" s="139">
        <f>'1510'!I886</f>
        <v/>
      </c>
    </row>
    <row r="886" outlineLevel="1" ht="15" customHeight="1" s="82">
      <c r="A886" s="139">
        <f>'1510'!A887</f>
        <v/>
      </c>
      <c r="B886" s="139">
        <f>'1510'!B887</f>
        <v/>
      </c>
      <c r="C886" s="139">
        <f>'1510'!D887</f>
        <v/>
      </c>
      <c r="D886" s="140">
        <f>'1510'!E887</f>
        <v/>
      </c>
      <c r="E886" s="140">
        <f>'1510'!F887</f>
        <v/>
      </c>
      <c r="F886" s="139">
        <f>'1510'!C887</f>
        <v/>
      </c>
      <c r="G886" s="155">
        <f>'1510'!G887</f>
        <v/>
      </c>
      <c r="H886" s="155">
        <f>'1510'!H887</f>
        <v/>
      </c>
      <c r="I886" s="139">
        <f>'1510'!I887</f>
        <v/>
      </c>
    </row>
    <row r="887" outlineLevel="1" ht="15" customHeight="1" s="82">
      <c r="A887" s="139">
        <f>'1510'!A888</f>
        <v/>
      </c>
      <c r="B887" s="139">
        <f>'1510'!B888</f>
        <v/>
      </c>
      <c r="C887" s="139">
        <f>'1510'!D888</f>
        <v/>
      </c>
      <c r="D887" s="140">
        <f>'1510'!E888</f>
        <v/>
      </c>
      <c r="E887" s="140">
        <f>'1510'!F888</f>
        <v/>
      </c>
      <c r="F887" s="139">
        <f>'1510'!C888</f>
        <v/>
      </c>
      <c r="G887" s="155">
        <f>'1510'!G888</f>
        <v/>
      </c>
      <c r="H887" s="155">
        <f>'1510'!H888</f>
        <v/>
      </c>
      <c r="I887" s="139">
        <f>'1510'!I888</f>
        <v/>
      </c>
    </row>
    <row r="888" outlineLevel="1" ht="15" customHeight="1" s="82">
      <c r="A888" s="139">
        <f>'1510'!A889</f>
        <v/>
      </c>
      <c r="B888" s="139">
        <f>'1510'!B889</f>
        <v/>
      </c>
      <c r="C888" s="139">
        <f>'1510'!D889</f>
        <v/>
      </c>
      <c r="D888" s="140">
        <f>'1510'!E889</f>
        <v/>
      </c>
      <c r="E888" s="140">
        <f>'1510'!F889</f>
        <v/>
      </c>
      <c r="F888" s="139">
        <f>'1510'!C889</f>
        <v/>
      </c>
      <c r="G888" s="155">
        <f>'1510'!G889</f>
        <v/>
      </c>
      <c r="H888" s="155">
        <f>'1510'!H889</f>
        <v/>
      </c>
      <c r="I888" s="139">
        <f>'1510'!I889</f>
        <v/>
      </c>
    </row>
    <row r="889" outlineLevel="1" ht="15" customHeight="1" s="82">
      <c r="A889" s="139">
        <f>'1510'!A890</f>
        <v/>
      </c>
      <c r="B889" s="139">
        <f>'1510'!B890</f>
        <v/>
      </c>
      <c r="C889" s="139">
        <f>'1510'!D890</f>
        <v/>
      </c>
      <c r="D889" s="140">
        <f>'1510'!E890</f>
        <v/>
      </c>
      <c r="E889" s="140">
        <f>'1510'!F890</f>
        <v/>
      </c>
      <c r="F889" s="139">
        <f>'1510'!C890</f>
        <v/>
      </c>
      <c r="G889" s="155">
        <f>'1510'!G890</f>
        <v/>
      </c>
      <c r="H889" s="155">
        <f>'1510'!H890</f>
        <v/>
      </c>
      <c r="I889" s="139">
        <f>'1510'!I890</f>
        <v/>
      </c>
    </row>
    <row r="890" outlineLevel="1" ht="15" customHeight="1" s="82">
      <c r="A890" s="139">
        <f>'1510'!A891</f>
        <v/>
      </c>
      <c r="B890" s="139">
        <f>'1510'!B891</f>
        <v/>
      </c>
      <c r="C890" s="139">
        <f>'1510'!D891</f>
        <v/>
      </c>
      <c r="D890" s="140">
        <f>'1510'!E891</f>
        <v/>
      </c>
      <c r="E890" s="140">
        <f>'1510'!F891</f>
        <v/>
      </c>
      <c r="F890" s="139">
        <f>'1510'!C891</f>
        <v/>
      </c>
      <c r="G890" s="155">
        <f>'1510'!G891</f>
        <v/>
      </c>
      <c r="H890" s="155">
        <f>'1510'!H891</f>
        <v/>
      </c>
      <c r="I890" s="139">
        <f>'1510'!I891</f>
        <v/>
      </c>
    </row>
    <row r="891" outlineLevel="1" ht="15" customHeight="1" s="82">
      <c r="A891" s="139">
        <f>'1510'!A892</f>
        <v/>
      </c>
      <c r="B891" s="139">
        <f>'1510'!B892</f>
        <v/>
      </c>
      <c r="C891" s="139">
        <f>'1510'!D892</f>
        <v/>
      </c>
      <c r="D891" s="140">
        <f>'1510'!E892</f>
        <v/>
      </c>
      <c r="E891" s="140">
        <f>'1510'!F892</f>
        <v/>
      </c>
      <c r="F891" s="139">
        <f>'1510'!C892</f>
        <v/>
      </c>
      <c r="G891" s="155">
        <f>'1510'!G892</f>
        <v/>
      </c>
      <c r="H891" s="155">
        <f>'1510'!H892</f>
        <v/>
      </c>
      <c r="I891" s="139">
        <f>'1510'!I892</f>
        <v/>
      </c>
    </row>
    <row r="892" outlineLevel="1" ht="15" customHeight="1" s="82">
      <c r="A892" s="139">
        <f>'1510'!A893</f>
        <v/>
      </c>
      <c r="B892" s="139">
        <f>'1510'!B893</f>
        <v/>
      </c>
      <c r="C892" s="139">
        <f>'1510'!D893</f>
        <v/>
      </c>
      <c r="D892" s="140">
        <f>'1510'!E893</f>
        <v/>
      </c>
      <c r="E892" s="140">
        <f>'1510'!F893</f>
        <v/>
      </c>
      <c r="F892" s="139">
        <f>'1510'!C893</f>
        <v/>
      </c>
      <c r="G892" s="155">
        <f>'1510'!G893</f>
        <v/>
      </c>
      <c r="H892" s="155">
        <f>'1510'!H893</f>
        <v/>
      </c>
      <c r="I892" s="139">
        <f>'1510'!I893</f>
        <v/>
      </c>
    </row>
    <row r="893" outlineLevel="1" ht="15" customHeight="1" s="82">
      <c r="A893" s="139">
        <f>'1510'!A894</f>
        <v/>
      </c>
      <c r="B893" s="139">
        <f>'1510'!B894</f>
        <v/>
      </c>
      <c r="C893" s="139">
        <f>'1510'!D894</f>
        <v/>
      </c>
      <c r="D893" s="140">
        <f>'1510'!E894</f>
        <v/>
      </c>
      <c r="E893" s="140">
        <f>'1510'!F894</f>
        <v/>
      </c>
      <c r="F893" s="139">
        <f>'1510'!C894</f>
        <v/>
      </c>
      <c r="G893" s="155">
        <f>'1510'!G894</f>
        <v/>
      </c>
      <c r="H893" s="155">
        <f>'1510'!H894</f>
        <v/>
      </c>
      <c r="I893" s="139">
        <f>'1510'!I894</f>
        <v/>
      </c>
    </row>
    <row r="894" outlineLevel="1" ht="15" customHeight="1" s="82">
      <c r="A894" s="139">
        <f>'1510'!A895</f>
        <v/>
      </c>
      <c r="B894" s="139">
        <f>'1510'!B895</f>
        <v/>
      </c>
      <c r="C894" s="139">
        <f>'1510'!D895</f>
        <v/>
      </c>
      <c r="D894" s="140">
        <f>'1510'!E895</f>
        <v/>
      </c>
      <c r="E894" s="140">
        <f>'1510'!F895</f>
        <v/>
      </c>
      <c r="F894" s="139">
        <f>'1510'!C895</f>
        <v/>
      </c>
      <c r="G894" s="155">
        <f>'1510'!G895</f>
        <v/>
      </c>
      <c r="H894" s="155">
        <f>'1510'!H895</f>
        <v/>
      </c>
      <c r="I894" s="139">
        <f>'1510'!I895</f>
        <v/>
      </c>
    </row>
    <row r="895" outlineLevel="1" ht="15" customHeight="1" s="82">
      <c r="A895" s="139">
        <f>'1510'!A896</f>
        <v/>
      </c>
      <c r="B895" s="139">
        <f>'1510'!B896</f>
        <v/>
      </c>
      <c r="C895" s="139">
        <f>'1510'!D896</f>
        <v/>
      </c>
      <c r="D895" s="140">
        <f>'1510'!E896</f>
        <v/>
      </c>
      <c r="E895" s="140">
        <f>'1510'!F896</f>
        <v/>
      </c>
      <c r="F895" s="139">
        <f>'1510'!C896</f>
        <v/>
      </c>
      <c r="G895" s="155">
        <f>'1510'!G896</f>
        <v/>
      </c>
      <c r="H895" s="155">
        <f>'1510'!H896</f>
        <v/>
      </c>
      <c r="I895" s="139">
        <f>'1510'!I896</f>
        <v/>
      </c>
    </row>
    <row r="896" outlineLevel="1" ht="15" customHeight="1" s="82">
      <c r="A896" s="139">
        <f>'1510'!A897</f>
        <v/>
      </c>
      <c r="B896" s="139">
        <f>'1510'!B897</f>
        <v/>
      </c>
      <c r="C896" s="139">
        <f>'1510'!D897</f>
        <v/>
      </c>
      <c r="D896" s="140">
        <f>'1510'!E897</f>
        <v/>
      </c>
      <c r="E896" s="140">
        <f>'1510'!F897</f>
        <v/>
      </c>
      <c r="F896" s="139">
        <f>'1510'!C897</f>
        <v/>
      </c>
      <c r="G896" s="155">
        <f>'1510'!G897</f>
        <v/>
      </c>
      <c r="H896" s="155">
        <f>'1510'!H897</f>
        <v/>
      </c>
      <c r="I896" s="139">
        <f>'1510'!I897</f>
        <v/>
      </c>
    </row>
    <row r="897" outlineLevel="1" ht="15" customHeight="1" s="82">
      <c r="A897" s="139">
        <f>'1510'!A898</f>
        <v/>
      </c>
      <c r="B897" s="139">
        <f>'1510'!B898</f>
        <v/>
      </c>
      <c r="C897" s="139">
        <f>'1510'!D898</f>
        <v/>
      </c>
      <c r="D897" s="140">
        <f>'1510'!E898</f>
        <v/>
      </c>
      <c r="E897" s="140">
        <f>'1510'!F898</f>
        <v/>
      </c>
      <c r="F897" s="139">
        <f>'1510'!C898</f>
        <v/>
      </c>
      <c r="G897" s="155">
        <f>'1510'!G898</f>
        <v/>
      </c>
      <c r="H897" s="155">
        <f>'1510'!H898</f>
        <v/>
      </c>
      <c r="I897" s="139">
        <f>'1510'!I898</f>
        <v/>
      </c>
    </row>
    <row r="898" outlineLevel="1" ht="15" customHeight="1" s="82">
      <c r="A898" s="139">
        <f>'1510'!A899</f>
        <v/>
      </c>
      <c r="B898" s="139">
        <f>'1510'!B899</f>
        <v/>
      </c>
      <c r="C898" s="139">
        <f>'1510'!D899</f>
        <v/>
      </c>
      <c r="D898" s="140">
        <f>'1510'!E899</f>
        <v/>
      </c>
      <c r="E898" s="140">
        <f>'1510'!F899</f>
        <v/>
      </c>
      <c r="F898" s="139">
        <f>'1510'!C899</f>
        <v/>
      </c>
      <c r="G898" s="155">
        <f>'1510'!G899</f>
        <v/>
      </c>
      <c r="H898" s="155">
        <f>'1510'!H899</f>
        <v/>
      </c>
      <c r="I898" s="139">
        <f>'1510'!I899</f>
        <v/>
      </c>
    </row>
    <row r="899" outlineLevel="1" ht="15" customHeight="1" s="82">
      <c r="A899" s="139">
        <f>'1510'!A900</f>
        <v/>
      </c>
      <c r="B899" s="139">
        <f>'1510'!B900</f>
        <v/>
      </c>
      <c r="C899" s="139">
        <f>'1510'!D900</f>
        <v/>
      </c>
      <c r="D899" s="140">
        <f>'1510'!E900</f>
        <v/>
      </c>
      <c r="E899" s="140">
        <f>'1510'!F900</f>
        <v/>
      </c>
      <c r="F899" s="139">
        <f>'1510'!C900</f>
        <v/>
      </c>
      <c r="G899" s="155">
        <f>'1510'!G900</f>
        <v/>
      </c>
      <c r="H899" s="155">
        <f>'1510'!H900</f>
        <v/>
      </c>
      <c r="I899" s="139">
        <f>'1510'!I900</f>
        <v/>
      </c>
    </row>
    <row r="900" outlineLevel="1" ht="15" customHeight="1" s="82">
      <c r="A900" s="139">
        <f>'1510'!A901</f>
        <v/>
      </c>
      <c r="B900" s="139">
        <f>'1510'!B901</f>
        <v/>
      </c>
      <c r="C900" s="139">
        <f>'1510'!D901</f>
        <v/>
      </c>
      <c r="D900" s="140">
        <f>'1510'!E901</f>
        <v/>
      </c>
      <c r="E900" s="140">
        <f>'1510'!F901</f>
        <v/>
      </c>
      <c r="F900" s="139">
        <f>'1510'!C901</f>
        <v/>
      </c>
      <c r="G900" s="155">
        <f>'1510'!G901</f>
        <v/>
      </c>
      <c r="H900" s="155">
        <f>'1510'!H901</f>
        <v/>
      </c>
      <c r="I900" s="139">
        <f>'1510'!I901</f>
        <v/>
      </c>
    </row>
    <row r="901" outlineLevel="1" ht="15" customHeight="1" s="82">
      <c r="A901" s="139">
        <f>'1510'!A902</f>
        <v/>
      </c>
      <c r="B901" s="139">
        <f>'1510'!B902</f>
        <v/>
      </c>
      <c r="C901" s="139">
        <f>'1510'!D902</f>
        <v/>
      </c>
      <c r="D901" s="140">
        <f>'1510'!E902</f>
        <v/>
      </c>
      <c r="E901" s="140">
        <f>'1510'!F902</f>
        <v/>
      </c>
      <c r="F901" s="139">
        <f>'1510'!C902</f>
        <v/>
      </c>
      <c r="G901" s="155">
        <f>'1510'!G902</f>
        <v/>
      </c>
      <c r="H901" s="155">
        <f>'1510'!H902</f>
        <v/>
      </c>
      <c r="I901" s="139">
        <f>'1510'!I902</f>
        <v/>
      </c>
    </row>
    <row r="902" outlineLevel="1" ht="15" customHeight="1" s="82">
      <c r="A902" s="139">
        <f>'1510'!A903</f>
        <v/>
      </c>
      <c r="B902" s="139">
        <f>'1510'!B903</f>
        <v/>
      </c>
      <c r="C902" s="139">
        <f>'1510'!D903</f>
        <v/>
      </c>
      <c r="D902" s="140">
        <f>'1510'!E903</f>
        <v/>
      </c>
      <c r="E902" s="140">
        <f>'1510'!F903</f>
        <v/>
      </c>
      <c r="F902" s="139">
        <f>'1510'!C903</f>
        <v/>
      </c>
      <c r="G902" s="155">
        <f>'1510'!G903</f>
        <v/>
      </c>
      <c r="H902" s="155">
        <f>'1510'!H903</f>
        <v/>
      </c>
      <c r="I902" s="139">
        <f>'1510'!I903</f>
        <v/>
      </c>
    </row>
    <row r="903" outlineLevel="1" ht="15" customHeight="1" s="82">
      <c r="A903" s="139">
        <f>'1510'!A904</f>
        <v/>
      </c>
      <c r="B903" s="139">
        <f>'1510'!B904</f>
        <v/>
      </c>
      <c r="C903" s="139">
        <f>'1510'!D904</f>
        <v/>
      </c>
      <c r="D903" s="140">
        <f>'1510'!E904</f>
        <v/>
      </c>
      <c r="E903" s="140">
        <f>'1510'!F904</f>
        <v/>
      </c>
      <c r="F903" s="139">
        <f>'1510'!C904</f>
        <v/>
      </c>
      <c r="G903" s="155">
        <f>'1510'!G904</f>
        <v/>
      </c>
      <c r="H903" s="155">
        <f>'1510'!H904</f>
        <v/>
      </c>
      <c r="I903" s="139">
        <f>'1510'!I904</f>
        <v/>
      </c>
    </row>
    <row r="904" outlineLevel="1" ht="15" customHeight="1" s="82">
      <c r="A904" s="139">
        <f>'1510'!A905</f>
        <v/>
      </c>
      <c r="B904" s="139">
        <f>'1510'!B905</f>
        <v/>
      </c>
      <c r="C904" s="139">
        <f>'1510'!D905</f>
        <v/>
      </c>
      <c r="D904" s="140">
        <f>'1510'!E905</f>
        <v/>
      </c>
      <c r="E904" s="140">
        <f>'1510'!F905</f>
        <v/>
      </c>
      <c r="F904" s="139">
        <f>'1510'!C905</f>
        <v/>
      </c>
      <c r="G904" s="155">
        <f>'1510'!G905</f>
        <v/>
      </c>
      <c r="H904" s="155">
        <f>'1510'!H905</f>
        <v/>
      </c>
      <c r="I904" s="139">
        <f>'1510'!I905</f>
        <v/>
      </c>
    </row>
    <row r="905" outlineLevel="1" ht="15" customHeight="1" s="82">
      <c r="A905" s="139">
        <f>'1510'!A906</f>
        <v/>
      </c>
      <c r="B905" s="139">
        <f>'1510'!B906</f>
        <v/>
      </c>
      <c r="C905" s="139">
        <f>'1510'!D906</f>
        <v/>
      </c>
      <c r="D905" s="140">
        <f>'1510'!E906</f>
        <v/>
      </c>
      <c r="E905" s="140">
        <f>'1510'!F906</f>
        <v/>
      </c>
      <c r="F905" s="139">
        <f>'1510'!C906</f>
        <v/>
      </c>
      <c r="G905" s="155">
        <f>'1510'!G906</f>
        <v/>
      </c>
      <c r="H905" s="155">
        <f>'1510'!H906</f>
        <v/>
      </c>
      <c r="I905" s="139">
        <f>'1510'!I906</f>
        <v/>
      </c>
    </row>
    <row r="906" outlineLevel="1" ht="15" customHeight="1" s="82">
      <c r="A906" s="139">
        <f>'1510'!A907</f>
        <v/>
      </c>
      <c r="B906" s="139">
        <f>'1510'!B907</f>
        <v/>
      </c>
      <c r="C906" s="139">
        <f>'1510'!D907</f>
        <v/>
      </c>
      <c r="D906" s="140">
        <f>'1510'!E907</f>
        <v/>
      </c>
      <c r="E906" s="140">
        <f>'1510'!F907</f>
        <v/>
      </c>
      <c r="F906" s="139">
        <f>'1510'!C907</f>
        <v/>
      </c>
      <c r="G906" s="155">
        <f>'1510'!G907</f>
        <v/>
      </c>
      <c r="H906" s="155">
        <f>'1510'!H907</f>
        <v/>
      </c>
      <c r="I906" s="139">
        <f>'1510'!I907</f>
        <v/>
      </c>
    </row>
    <row r="907" outlineLevel="1" ht="15" customHeight="1" s="82">
      <c r="A907" s="139">
        <f>'1510'!A908</f>
        <v/>
      </c>
      <c r="B907" s="139">
        <f>'1510'!B908</f>
        <v/>
      </c>
      <c r="C907" s="139">
        <f>'1510'!D908</f>
        <v/>
      </c>
      <c r="D907" s="140">
        <f>'1510'!E908</f>
        <v/>
      </c>
      <c r="E907" s="140">
        <f>'1510'!F908</f>
        <v/>
      </c>
      <c r="F907" s="139">
        <f>'1510'!C908</f>
        <v/>
      </c>
      <c r="G907" s="155">
        <f>'1510'!G908</f>
        <v/>
      </c>
      <c r="H907" s="155">
        <f>'1510'!H908</f>
        <v/>
      </c>
      <c r="I907" s="139">
        <f>'1510'!I908</f>
        <v/>
      </c>
    </row>
    <row r="908" outlineLevel="1" ht="15" customHeight="1" s="82">
      <c r="A908" s="139">
        <f>'1510'!A909</f>
        <v/>
      </c>
      <c r="B908" s="139">
        <f>'1510'!B909</f>
        <v/>
      </c>
      <c r="C908" s="139">
        <f>'1510'!D909</f>
        <v/>
      </c>
      <c r="D908" s="140">
        <f>'1510'!E909</f>
        <v/>
      </c>
      <c r="E908" s="140">
        <f>'1510'!F909</f>
        <v/>
      </c>
      <c r="F908" s="139">
        <f>'1510'!C909</f>
        <v/>
      </c>
      <c r="G908" s="155">
        <f>'1510'!G909</f>
        <v/>
      </c>
      <c r="H908" s="155">
        <f>'1510'!H909</f>
        <v/>
      </c>
      <c r="I908" s="139">
        <f>'1510'!I909</f>
        <v/>
      </c>
    </row>
    <row r="909" outlineLevel="1" ht="15" customHeight="1" s="82">
      <c r="A909" s="139">
        <f>'1510'!A910</f>
        <v/>
      </c>
      <c r="B909" s="139">
        <f>'1510'!B910</f>
        <v/>
      </c>
      <c r="C909" s="139">
        <f>'1510'!D910</f>
        <v/>
      </c>
      <c r="D909" s="140">
        <f>'1510'!E910</f>
        <v/>
      </c>
      <c r="E909" s="140">
        <f>'1510'!F910</f>
        <v/>
      </c>
      <c r="F909" s="139">
        <f>'1510'!C910</f>
        <v/>
      </c>
      <c r="G909" s="155">
        <f>'1510'!G910</f>
        <v/>
      </c>
      <c r="H909" s="155">
        <f>'1510'!H910</f>
        <v/>
      </c>
      <c r="I909" s="139">
        <f>'1510'!I910</f>
        <v/>
      </c>
    </row>
    <row r="910" outlineLevel="1" ht="15" customHeight="1" s="82">
      <c r="A910" s="139">
        <f>'1510'!A911</f>
        <v/>
      </c>
      <c r="B910" s="139">
        <f>'1510'!B911</f>
        <v/>
      </c>
      <c r="C910" s="139">
        <f>'1510'!D911</f>
        <v/>
      </c>
      <c r="D910" s="140">
        <f>'1510'!E911</f>
        <v/>
      </c>
      <c r="E910" s="140">
        <f>'1510'!F911</f>
        <v/>
      </c>
      <c r="F910" s="139">
        <f>'1510'!C911</f>
        <v/>
      </c>
      <c r="G910" s="155">
        <f>'1510'!G911</f>
        <v/>
      </c>
      <c r="H910" s="155">
        <f>'1510'!H911</f>
        <v/>
      </c>
      <c r="I910" s="139">
        <f>'1510'!I911</f>
        <v/>
      </c>
    </row>
    <row r="911" outlineLevel="1" ht="15" customHeight="1" s="82">
      <c r="A911" s="139">
        <f>'1510'!A912</f>
        <v/>
      </c>
      <c r="B911" s="139">
        <f>'1510'!B912</f>
        <v/>
      </c>
      <c r="C911" s="139">
        <f>'1510'!D912</f>
        <v/>
      </c>
      <c r="D911" s="140">
        <f>'1510'!E912</f>
        <v/>
      </c>
      <c r="E911" s="140">
        <f>'1510'!F912</f>
        <v/>
      </c>
      <c r="F911" s="139">
        <f>'1510'!C912</f>
        <v/>
      </c>
      <c r="G911" s="155">
        <f>'1510'!G912</f>
        <v/>
      </c>
      <c r="H911" s="155">
        <f>'1510'!H912</f>
        <v/>
      </c>
      <c r="I911" s="139">
        <f>'1510'!I912</f>
        <v/>
      </c>
    </row>
    <row r="912" outlineLevel="1" ht="15" customHeight="1" s="82">
      <c r="A912" s="139">
        <f>'1510'!A913</f>
        <v/>
      </c>
      <c r="B912" s="139">
        <f>'1510'!B913</f>
        <v/>
      </c>
      <c r="C912" s="139">
        <f>'1510'!D913</f>
        <v/>
      </c>
      <c r="D912" s="140">
        <f>'1510'!E913</f>
        <v/>
      </c>
      <c r="E912" s="140">
        <f>'1510'!F913</f>
        <v/>
      </c>
      <c r="F912" s="139">
        <f>'1510'!C913</f>
        <v/>
      </c>
      <c r="G912" s="155">
        <f>'1510'!G913</f>
        <v/>
      </c>
      <c r="H912" s="155">
        <f>'1510'!H913</f>
        <v/>
      </c>
      <c r="I912" s="139">
        <f>'1510'!I913</f>
        <v/>
      </c>
    </row>
    <row r="913" outlineLevel="1" ht="15" customHeight="1" s="82">
      <c r="A913" s="139">
        <f>'1510'!A914</f>
        <v/>
      </c>
      <c r="B913" s="139">
        <f>'1510'!B914</f>
        <v/>
      </c>
      <c r="C913" s="139">
        <f>'1510'!D914</f>
        <v/>
      </c>
      <c r="D913" s="140">
        <f>'1510'!E914</f>
        <v/>
      </c>
      <c r="E913" s="140">
        <f>'1510'!F914</f>
        <v/>
      </c>
      <c r="F913" s="139">
        <f>'1510'!C914</f>
        <v/>
      </c>
      <c r="G913" s="155">
        <f>'1510'!G914</f>
        <v/>
      </c>
      <c r="H913" s="155">
        <f>'1510'!H914</f>
        <v/>
      </c>
      <c r="I913" s="139">
        <f>'1510'!I914</f>
        <v/>
      </c>
    </row>
    <row r="914" outlineLevel="1" ht="15" customHeight="1" s="82">
      <c r="A914" s="139">
        <f>'1510'!A915</f>
        <v/>
      </c>
      <c r="B914" s="139">
        <f>'1510'!B915</f>
        <v/>
      </c>
      <c r="C914" s="139">
        <f>'1510'!D915</f>
        <v/>
      </c>
      <c r="D914" s="140">
        <f>'1510'!E915</f>
        <v/>
      </c>
      <c r="E914" s="140">
        <f>'1510'!F915</f>
        <v/>
      </c>
      <c r="F914" s="139">
        <f>'1510'!C915</f>
        <v/>
      </c>
      <c r="G914" s="155">
        <f>'1510'!G915</f>
        <v/>
      </c>
      <c r="H914" s="155">
        <f>'1510'!H915</f>
        <v/>
      </c>
      <c r="I914" s="139">
        <f>'1510'!I915</f>
        <v/>
      </c>
    </row>
    <row r="915" outlineLevel="1" ht="15" customHeight="1" s="82">
      <c r="A915" s="139">
        <f>'1510'!A916</f>
        <v/>
      </c>
      <c r="B915" s="139">
        <f>'1510'!B916</f>
        <v/>
      </c>
      <c r="C915" s="139">
        <f>'1510'!D916</f>
        <v/>
      </c>
      <c r="D915" s="140">
        <f>'1510'!E916</f>
        <v/>
      </c>
      <c r="E915" s="140">
        <f>'1510'!F916</f>
        <v/>
      </c>
      <c r="F915" s="139">
        <f>'1510'!C916</f>
        <v/>
      </c>
      <c r="G915" s="155">
        <f>'1510'!G916</f>
        <v/>
      </c>
      <c r="H915" s="155">
        <f>'1510'!H916</f>
        <v/>
      </c>
      <c r="I915" s="139">
        <f>'1510'!I916</f>
        <v/>
      </c>
    </row>
    <row r="916" outlineLevel="1" ht="15" customHeight="1" s="82">
      <c r="A916" s="139">
        <f>'1510'!A917</f>
        <v/>
      </c>
      <c r="B916" s="139">
        <f>'1510'!B917</f>
        <v/>
      </c>
      <c r="C916" s="139">
        <f>'1510'!D917</f>
        <v/>
      </c>
      <c r="D916" s="140">
        <f>'1510'!E917</f>
        <v/>
      </c>
      <c r="E916" s="140">
        <f>'1510'!F917</f>
        <v/>
      </c>
      <c r="F916" s="139">
        <f>'1510'!C917</f>
        <v/>
      </c>
      <c r="G916" s="155">
        <f>'1510'!G917</f>
        <v/>
      </c>
      <c r="H916" s="155">
        <f>'1510'!H917</f>
        <v/>
      </c>
      <c r="I916" s="139">
        <f>'1510'!I917</f>
        <v/>
      </c>
    </row>
    <row r="917" outlineLevel="1" ht="15" customHeight="1" s="82">
      <c r="A917" s="139">
        <f>'1510'!A918</f>
        <v/>
      </c>
      <c r="B917" s="139">
        <f>'1510'!B918</f>
        <v/>
      </c>
      <c r="C917" s="139">
        <f>'1510'!D918</f>
        <v/>
      </c>
      <c r="D917" s="140">
        <f>'1510'!E918</f>
        <v/>
      </c>
      <c r="E917" s="140">
        <f>'1510'!F918</f>
        <v/>
      </c>
      <c r="F917" s="139">
        <f>'1510'!C918</f>
        <v/>
      </c>
      <c r="G917" s="155">
        <f>'1510'!G918</f>
        <v/>
      </c>
      <c r="H917" s="155">
        <f>'1510'!H918</f>
        <v/>
      </c>
      <c r="I917" s="139">
        <f>'1510'!I918</f>
        <v/>
      </c>
    </row>
    <row r="918" outlineLevel="1" ht="15" customHeight="1" s="82">
      <c r="A918" s="139">
        <f>'1510'!A919</f>
        <v/>
      </c>
      <c r="B918" s="139">
        <f>'1510'!B919</f>
        <v/>
      </c>
      <c r="C918" s="139">
        <f>'1510'!D919</f>
        <v/>
      </c>
      <c r="D918" s="140">
        <f>'1510'!E919</f>
        <v/>
      </c>
      <c r="E918" s="140">
        <f>'1510'!F919</f>
        <v/>
      </c>
      <c r="F918" s="139">
        <f>'1510'!C919</f>
        <v/>
      </c>
      <c r="G918" s="155">
        <f>'1510'!G919</f>
        <v/>
      </c>
      <c r="H918" s="155">
        <f>'1510'!H919</f>
        <v/>
      </c>
      <c r="I918" s="139">
        <f>'1510'!I919</f>
        <v/>
      </c>
    </row>
    <row r="919" outlineLevel="1" ht="15" customHeight="1" s="82">
      <c r="A919" s="139">
        <f>'1510'!A920</f>
        <v/>
      </c>
      <c r="B919" s="139">
        <f>'1510'!B920</f>
        <v/>
      </c>
      <c r="C919" s="139">
        <f>'1510'!D920</f>
        <v/>
      </c>
      <c r="D919" s="140">
        <f>'1510'!E920</f>
        <v/>
      </c>
      <c r="E919" s="140">
        <f>'1510'!F920</f>
        <v/>
      </c>
      <c r="F919" s="139">
        <f>'1510'!C920</f>
        <v/>
      </c>
      <c r="G919" s="155">
        <f>'1510'!G920</f>
        <v/>
      </c>
      <c r="H919" s="155">
        <f>'1510'!H920</f>
        <v/>
      </c>
      <c r="I919" s="139">
        <f>'1510'!I920</f>
        <v/>
      </c>
    </row>
    <row r="920" outlineLevel="1" ht="15" customHeight="1" s="82">
      <c r="A920" s="139">
        <f>'1510'!A921</f>
        <v/>
      </c>
      <c r="B920" s="139">
        <f>'1510'!B921</f>
        <v/>
      </c>
      <c r="C920" s="139">
        <f>'1510'!D921</f>
        <v/>
      </c>
      <c r="D920" s="140">
        <f>'1510'!E921</f>
        <v/>
      </c>
      <c r="E920" s="140">
        <f>'1510'!F921</f>
        <v/>
      </c>
      <c r="F920" s="139">
        <f>'1510'!C921</f>
        <v/>
      </c>
      <c r="G920" s="155">
        <f>'1510'!G921</f>
        <v/>
      </c>
      <c r="H920" s="155">
        <f>'1510'!H921</f>
        <v/>
      </c>
      <c r="I920" s="139">
        <f>'1510'!I921</f>
        <v/>
      </c>
    </row>
    <row r="921" outlineLevel="1" ht="15" customHeight="1" s="82">
      <c r="A921" s="139">
        <f>'1510'!A922</f>
        <v/>
      </c>
      <c r="B921" s="139">
        <f>'1510'!B922</f>
        <v/>
      </c>
      <c r="C921" s="139">
        <f>'1510'!D922</f>
        <v/>
      </c>
      <c r="D921" s="140">
        <f>'1510'!E922</f>
        <v/>
      </c>
      <c r="E921" s="140">
        <f>'1510'!F922</f>
        <v/>
      </c>
      <c r="F921" s="139">
        <f>'1510'!C922</f>
        <v/>
      </c>
      <c r="G921" s="155">
        <f>'1510'!G922</f>
        <v/>
      </c>
      <c r="H921" s="155">
        <f>'1510'!H922</f>
        <v/>
      </c>
      <c r="I921" s="139">
        <f>'1510'!I922</f>
        <v/>
      </c>
    </row>
    <row r="922" outlineLevel="1" ht="15" customHeight="1" s="82">
      <c r="A922" s="139">
        <f>'1510'!A923</f>
        <v/>
      </c>
      <c r="B922" s="139">
        <f>'1510'!B923</f>
        <v/>
      </c>
      <c r="C922" s="139">
        <f>'1510'!D923</f>
        <v/>
      </c>
      <c r="D922" s="140">
        <f>'1510'!E923</f>
        <v/>
      </c>
      <c r="E922" s="140">
        <f>'1510'!F923</f>
        <v/>
      </c>
      <c r="F922" s="139">
        <f>'1510'!C923</f>
        <v/>
      </c>
      <c r="G922" s="155">
        <f>'1510'!G923</f>
        <v/>
      </c>
      <c r="H922" s="155">
        <f>'1510'!H923</f>
        <v/>
      </c>
      <c r="I922" s="139">
        <f>'1510'!I923</f>
        <v/>
      </c>
    </row>
    <row r="923" outlineLevel="1" ht="15" customHeight="1" s="82">
      <c r="A923" s="139">
        <f>'1510'!A924</f>
        <v/>
      </c>
      <c r="B923" s="139">
        <f>'1510'!B924</f>
        <v/>
      </c>
      <c r="C923" s="139">
        <f>'1510'!D924</f>
        <v/>
      </c>
      <c r="D923" s="140">
        <f>'1510'!E924</f>
        <v/>
      </c>
      <c r="E923" s="140">
        <f>'1510'!F924</f>
        <v/>
      </c>
      <c r="F923" s="139">
        <f>'1510'!C924</f>
        <v/>
      </c>
      <c r="G923" s="155">
        <f>'1510'!G924</f>
        <v/>
      </c>
      <c r="H923" s="155">
        <f>'1510'!H924</f>
        <v/>
      </c>
      <c r="I923" s="139">
        <f>'1510'!I924</f>
        <v/>
      </c>
    </row>
    <row r="924" outlineLevel="1" ht="15" customHeight="1" s="82">
      <c r="A924" s="139">
        <f>'1510'!A925</f>
        <v/>
      </c>
      <c r="B924" s="139">
        <f>'1510'!B925</f>
        <v/>
      </c>
      <c r="C924" s="139">
        <f>'1510'!D925</f>
        <v/>
      </c>
      <c r="D924" s="140">
        <f>'1510'!E925</f>
        <v/>
      </c>
      <c r="E924" s="140">
        <f>'1510'!F925</f>
        <v/>
      </c>
      <c r="F924" s="139">
        <f>'1510'!C925</f>
        <v/>
      </c>
      <c r="G924" s="155">
        <f>'1510'!G925</f>
        <v/>
      </c>
      <c r="H924" s="155">
        <f>'1510'!H925</f>
        <v/>
      </c>
      <c r="I924" s="139">
        <f>'1510'!I925</f>
        <v/>
      </c>
    </row>
    <row r="925" outlineLevel="1" ht="15" customHeight="1" s="82">
      <c r="A925" s="139">
        <f>'1510'!A926</f>
        <v/>
      </c>
      <c r="B925" s="139">
        <f>'1510'!B926</f>
        <v/>
      </c>
      <c r="C925" s="139">
        <f>'1510'!D926</f>
        <v/>
      </c>
      <c r="D925" s="140">
        <f>'1510'!E926</f>
        <v/>
      </c>
      <c r="E925" s="140">
        <f>'1510'!F926</f>
        <v/>
      </c>
      <c r="F925" s="139">
        <f>'1510'!C926</f>
        <v/>
      </c>
      <c r="G925" s="155">
        <f>'1510'!G926</f>
        <v/>
      </c>
      <c r="H925" s="155">
        <f>'1510'!H926</f>
        <v/>
      </c>
      <c r="I925" s="139">
        <f>'1510'!I926</f>
        <v/>
      </c>
    </row>
    <row r="926" outlineLevel="1" ht="15" customHeight="1" s="82">
      <c r="A926" s="139">
        <f>'1510'!A927</f>
        <v/>
      </c>
      <c r="B926" s="139">
        <f>'1510'!B927</f>
        <v/>
      </c>
      <c r="C926" s="139">
        <f>'1510'!D927</f>
        <v/>
      </c>
      <c r="D926" s="140">
        <f>'1510'!E927</f>
        <v/>
      </c>
      <c r="E926" s="140">
        <f>'1510'!F927</f>
        <v/>
      </c>
      <c r="F926" s="139">
        <f>'1510'!C927</f>
        <v/>
      </c>
      <c r="G926" s="155">
        <f>'1510'!G927</f>
        <v/>
      </c>
      <c r="H926" s="155">
        <f>'1510'!H927</f>
        <v/>
      </c>
      <c r="I926" s="139">
        <f>'1510'!I927</f>
        <v/>
      </c>
    </row>
    <row r="927" outlineLevel="1" ht="15" customHeight="1" s="82">
      <c r="A927" s="139">
        <f>'1510'!A928</f>
        <v/>
      </c>
      <c r="B927" s="139">
        <f>'1510'!B928</f>
        <v/>
      </c>
      <c r="C927" s="139">
        <f>'1510'!D928</f>
        <v/>
      </c>
      <c r="D927" s="140">
        <f>'1510'!E928</f>
        <v/>
      </c>
      <c r="E927" s="140">
        <f>'1510'!F928</f>
        <v/>
      </c>
      <c r="F927" s="139">
        <f>'1510'!C928</f>
        <v/>
      </c>
      <c r="G927" s="155">
        <f>'1510'!G928</f>
        <v/>
      </c>
      <c r="H927" s="155">
        <f>'1510'!H928</f>
        <v/>
      </c>
      <c r="I927" s="139">
        <f>'1510'!I928</f>
        <v/>
      </c>
    </row>
    <row r="928" outlineLevel="1" ht="15" customHeight="1" s="82">
      <c r="A928" s="139">
        <f>'1510'!A929</f>
        <v/>
      </c>
      <c r="B928" s="139">
        <f>'1510'!B929</f>
        <v/>
      </c>
      <c r="C928" s="139">
        <f>'1510'!D929</f>
        <v/>
      </c>
      <c r="D928" s="140">
        <f>'1510'!E929</f>
        <v/>
      </c>
      <c r="E928" s="140">
        <f>'1510'!F929</f>
        <v/>
      </c>
      <c r="F928" s="139">
        <f>'1510'!C929</f>
        <v/>
      </c>
      <c r="G928" s="155">
        <f>'1510'!G929</f>
        <v/>
      </c>
      <c r="H928" s="155">
        <f>'1510'!H929</f>
        <v/>
      </c>
      <c r="I928" s="139">
        <f>'1510'!I929</f>
        <v/>
      </c>
    </row>
    <row r="929" outlineLevel="1" ht="15" customHeight="1" s="82">
      <c r="A929" s="139">
        <f>'1510'!A930</f>
        <v/>
      </c>
      <c r="B929" s="139">
        <f>'1510'!B930</f>
        <v/>
      </c>
      <c r="C929" s="139">
        <f>'1510'!D930</f>
        <v/>
      </c>
      <c r="D929" s="140">
        <f>'1510'!E930</f>
        <v/>
      </c>
      <c r="E929" s="140">
        <f>'1510'!F930</f>
        <v/>
      </c>
      <c r="F929" s="139">
        <f>'1510'!C930</f>
        <v/>
      </c>
      <c r="G929" s="155">
        <f>'1510'!G930</f>
        <v/>
      </c>
      <c r="H929" s="155">
        <f>'1510'!H930</f>
        <v/>
      </c>
      <c r="I929" s="139">
        <f>'1510'!I930</f>
        <v/>
      </c>
    </row>
    <row r="930" outlineLevel="1" ht="15" customHeight="1" s="82">
      <c r="A930" s="139">
        <f>'1510'!A931</f>
        <v/>
      </c>
      <c r="B930" s="139">
        <f>'1510'!B931</f>
        <v/>
      </c>
      <c r="C930" s="139">
        <f>'1510'!D931</f>
        <v/>
      </c>
      <c r="D930" s="140">
        <f>'1510'!E931</f>
        <v/>
      </c>
      <c r="E930" s="140">
        <f>'1510'!F931</f>
        <v/>
      </c>
      <c r="F930" s="139">
        <f>'1510'!C931</f>
        <v/>
      </c>
      <c r="G930" s="155">
        <f>'1510'!G931</f>
        <v/>
      </c>
      <c r="H930" s="155">
        <f>'1510'!H931</f>
        <v/>
      </c>
      <c r="I930" s="139">
        <f>'1510'!I931</f>
        <v/>
      </c>
    </row>
    <row r="931" outlineLevel="1" ht="15" customHeight="1" s="82">
      <c r="A931" s="139">
        <f>'1510'!A932</f>
        <v/>
      </c>
      <c r="B931" s="139">
        <f>'1510'!B932</f>
        <v/>
      </c>
      <c r="C931" s="139">
        <f>'1510'!D932</f>
        <v/>
      </c>
      <c r="D931" s="140">
        <f>'1510'!E932</f>
        <v/>
      </c>
      <c r="E931" s="140">
        <f>'1510'!F932</f>
        <v/>
      </c>
      <c r="F931" s="139">
        <f>'1510'!C932</f>
        <v/>
      </c>
      <c r="G931" s="155">
        <f>'1510'!G932</f>
        <v/>
      </c>
      <c r="H931" s="155">
        <f>'1510'!H932</f>
        <v/>
      </c>
      <c r="I931" s="139">
        <f>'1510'!I932</f>
        <v/>
      </c>
    </row>
    <row r="932" outlineLevel="1" ht="15" customHeight="1" s="82">
      <c r="A932" s="139">
        <f>'1510'!A933</f>
        <v/>
      </c>
      <c r="B932" s="139">
        <f>'1510'!B933</f>
        <v/>
      </c>
      <c r="C932" s="139">
        <f>'1510'!D933</f>
        <v/>
      </c>
      <c r="D932" s="140">
        <f>'1510'!E933</f>
        <v/>
      </c>
      <c r="E932" s="140">
        <f>'1510'!F933</f>
        <v/>
      </c>
      <c r="F932" s="139">
        <f>'1510'!C933</f>
        <v/>
      </c>
      <c r="G932" s="155">
        <f>'1510'!G933</f>
        <v/>
      </c>
      <c r="H932" s="155">
        <f>'1510'!H933</f>
        <v/>
      </c>
      <c r="I932" s="139">
        <f>'1510'!I933</f>
        <v/>
      </c>
    </row>
    <row r="933" outlineLevel="1" ht="15" customHeight="1" s="82">
      <c r="A933" s="139">
        <f>'1510'!A934</f>
        <v/>
      </c>
      <c r="B933" s="139">
        <f>'1510'!B934</f>
        <v/>
      </c>
      <c r="C933" s="139">
        <f>'1510'!D934</f>
        <v/>
      </c>
      <c r="D933" s="140">
        <f>'1510'!E934</f>
        <v/>
      </c>
      <c r="E933" s="140">
        <f>'1510'!F934</f>
        <v/>
      </c>
      <c r="F933" s="139">
        <f>'1510'!C934</f>
        <v/>
      </c>
      <c r="G933" s="155">
        <f>'1510'!G934</f>
        <v/>
      </c>
      <c r="H933" s="155">
        <f>'1510'!H934</f>
        <v/>
      </c>
      <c r="I933" s="139">
        <f>'1510'!I934</f>
        <v/>
      </c>
    </row>
    <row r="934" outlineLevel="1" ht="15" customHeight="1" s="82">
      <c r="A934" s="139">
        <f>'1510'!A935</f>
        <v/>
      </c>
      <c r="B934" s="139">
        <f>'1510'!B935</f>
        <v/>
      </c>
      <c r="C934" s="139">
        <f>'1510'!D935</f>
        <v/>
      </c>
      <c r="D934" s="140">
        <f>'1510'!E935</f>
        <v/>
      </c>
      <c r="E934" s="140">
        <f>'1510'!F935</f>
        <v/>
      </c>
      <c r="F934" s="139">
        <f>'1510'!C935</f>
        <v/>
      </c>
      <c r="G934" s="155">
        <f>'1510'!G935</f>
        <v/>
      </c>
      <c r="H934" s="155">
        <f>'1510'!H935</f>
        <v/>
      </c>
      <c r="I934" s="139">
        <f>'1510'!I935</f>
        <v/>
      </c>
    </row>
    <row r="935" outlineLevel="1" ht="15" customHeight="1" s="82">
      <c r="A935" s="139">
        <f>'1510'!A936</f>
        <v/>
      </c>
      <c r="B935" s="139">
        <f>'1510'!B936</f>
        <v/>
      </c>
      <c r="C935" s="139">
        <f>'1510'!D936</f>
        <v/>
      </c>
      <c r="D935" s="140">
        <f>'1510'!E936</f>
        <v/>
      </c>
      <c r="E935" s="140">
        <f>'1510'!F936</f>
        <v/>
      </c>
      <c r="F935" s="139">
        <f>'1510'!C936</f>
        <v/>
      </c>
      <c r="G935" s="155">
        <f>'1510'!G936</f>
        <v/>
      </c>
      <c r="H935" s="155">
        <f>'1510'!H936</f>
        <v/>
      </c>
      <c r="I935" s="139">
        <f>'1510'!I936</f>
        <v/>
      </c>
    </row>
    <row r="936" outlineLevel="1" ht="15" customHeight="1" s="82">
      <c r="A936" s="139">
        <f>'1510'!A937</f>
        <v/>
      </c>
      <c r="B936" s="139">
        <f>'1510'!B937</f>
        <v/>
      </c>
      <c r="C936" s="139">
        <f>'1510'!D937</f>
        <v/>
      </c>
      <c r="D936" s="140">
        <f>'1510'!E937</f>
        <v/>
      </c>
      <c r="E936" s="140">
        <f>'1510'!F937</f>
        <v/>
      </c>
      <c r="F936" s="139">
        <f>'1510'!C937</f>
        <v/>
      </c>
      <c r="G936" s="155">
        <f>'1510'!G937</f>
        <v/>
      </c>
      <c r="H936" s="155">
        <f>'1510'!H937</f>
        <v/>
      </c>
      <c r="I936" s="139">
        <f>'1510'!I937</f>
        <v/>
      </c>
    </row>
    <row r="937" outlineLevel="1" ht="15" customHeight="1" s="82">
      <c r="A937" s="139">
        <f>'1510'!A938</f>
        <v/>
      </c>
      <c r="B937" s="139">
        <f>'1510'!B938</f>
        <v/>
      </c>
      <c r="C937" s="139">
        <f>'1510'!D938</f>
        <v/>
      </c>
      <c r="D937" s="140">
        <f>'1510'!E938</f>
        <v/>
      </c>
      <c r="E937" s="140">
        <f>'1510'!F938</f>
        <v/>
      </c>
      <c r="F937" s="139">
        <f>'1510'!C938</f>
        <v/>
      </c>
      <c r="G937" s="155">
        <f>'1510'!G938</f>
        <v/>
      </c>
      <c r="H937" s="155">
        <f>'1510'!H938</f>
        <v/>
      </c>
      <c r="I937" s="139">
        <f>'1510'!I938</f>
        <v/>
      </c>
    </row>
    <row r="938" outlineLevel="1" ht="15" customHeight="1" s="82">
      <c r="A938" s="139">
        <f>'1510'!A939</f>
        <v/>
      </c>
      <c r="B938" s="139">
        <f>'1510'!B939</f>
        <v/>
      </c>
      <c r="C938" s="139">
        <f>'1510'!D939</f>
        <v/>
      </c>
      <c r="D938" s="140">
        <f>'1510'!E939</f>
        <v/>
      </c>
      <c r="E938" s="140">
        <f>'1510'!F939</f>
        <v/>
      </c>
      <c r="F938" s="139">
        <f>'1510'!C939</f>
        <v/>
      </c>
      <c r="G938" s="155">
        <f>'1510'!G939</f>
        <v/>
      </c>
      <c r="H938" s="155">
        <f>'1510'!H939</f>
        <v/>
      </c>
      <c r="I938" s="139">
        <f>'1510'!I939</f>
        <v/>
      </c>
    </row>
    <row r="939" outlineLevel="1" ht="15" customHeight="1" s="82">
      <c r="A939" s="139">
        <f>'1510'!A940</f>
        <v/>
      </c>
      <c r="B939" s="139">
        <f>'1510'!B940</f>
        <v/>
      </c>
      <c r="C939" s="139">
        <f>'1510'!D940</f>
        <v/>
      </c>
      <c r="D939" s="140">
        <f>'1510'!E940</f>
        <v/>
      </c>
      <c r="E939" s="140">
        <f>'1510'!F940</f>
        <v/>
      </c>
      <c r="F939" s="139">
        <f>'1510'!C940</f>
        <v/>
      </c>
      <c r="G939" s="155">
        <f>'1510'!G940</f>
        <v/>
      </c>
      <c r="H939" s="155">
        <f>'1510'!H940</f>
        <v/>
      </c>
      <c r="I939" s="139">
        <f>'1510'!I940</f>
        <v/>
      </c>
    </row>
    <row r="940" outlineLevel="1" ht="15" customHeight="1" s="82">
      <c r="A940" s="139">
        <f>'1510'!A941</f>
        <v/>
      </c>
      <c r="B940" s="139">
        <f>'1510'!B941</f>
        <v/>
      </c>
      <c r="C940" s="139">
        <f>'1510'!D941</f>
        <v/>
      </c>
      <c r="D940" s="140">
        <f>'1510'!E941</f>
        <v/>
      </c>
      <c r="E940" s="140">
        <f>'1510'!F941</f>
        <v/>
      </c>
      <c r="F940" s="139">
        <f>'1510'!C941</f>
        <v/>
      </c>
      <c r="G940" s="155">
        <f>'1510'!G941</f>
        <v/>
      </c>
      <c r="H940" s="155">
        <f>'1510'!H941</f>
        <v/>
      </c>
      <c r="I940" s="139">
        <f>'1510'!I941</f>
        <v/>
      </c>
    </row>
    <row r="941" outlineLevel="1" ht="15" customHeight="1" s="82">
      <c r="A941" s="139">
        <f>'1510'!A942</f>
        <v/>
      </c>
      <c r="B941" s="139">
        <f>'1510'!B942</f>
        <v/>
      </c>
      <c r="C941" s="139">
        <f>'1510'!D942</f>
        <v/>
      </c>
      <c r="D941" s="140">
        <f>'1510'!E942</f>
        <v/>
      </c>
      <c r="E941" s="140">
        <f>'1510'!F942</f>
        <v/>
      </c>
      <c r="F941" s="139">
        <f>'1510'!C942</f>
        <v/>
      </c>
      <c r="G941" s="155">
        <f>'1510'!G942</f>
        <v/>
      </c>
      <c r="H941" s="155">
        <f>'1510'!H942</f>
        <v/>
      </c>
      <c r="I941" s="139">
        <f>'1510'!I942</f>
        <v/>
      </c>
    </row>
    <row r="942" outlineLevel="1" ht="15" customHeight="1" s="82">
      <c r="A942" s="139">
        <f>'1510'!A943</f>
        <v/>
      </c>
      <c r="B942" s="139">
        <f>'1510'!B943</f>
        <v/>
      </c>
      <c r="C942" s="139">
        <f>'1510'!D943</f>
        <v/>
      </c>
      <c r="D942" s="140">
        <f>'1510'!E943</f>
        <v/>
      </c>
      <c r="E942" s="140">
        <f>'1510'!F943</f>
        <v/>
      </c>
      <c r="F942" s="139">
        <f>'1510'!C943</f>
        <v/>
      </c>
      <c r="G942" s="155">
        <f>'1510'!G943</f>
        <v/>
      </c>
      <c r="H942" s="155">
        <f>'1510'!H943</f>
        <v/>
      </c>
      <c r="I942" s="139">
        <f>'1510'!I943</f>
        <v/>
      </c>
    </row>
    <row r="943" outlineLevel="1" ht="15" customHeight="1" s="82">
      <c r="A943" s="139">
        <f>'1510'!A944</f>
        <v/>
      </c>
      <c r="B943" s="139">
        <f>'1510'!B944</f>
        <v/>
      </c>
      <c r="C943" s="139">
        <f>'1510'!D944</f>
        <v/>
      </c>
      <c r="D943" s="140">
        <f>'1510'!E944</f>
        <v/>
      </c>
      <c r="E943" s="140">
        <f>'1510'!F944</f>
        <v/>
      </c>
      <c r="F943" s="139">
        <f>'1510'!C944</f>
        <v/>
      </c>
      <c r="G943" s="155">
        <f>'1510'!G944</f>
        <v/>
      </c>
      <c r="H943" s="155">
        <f>'1510'!H944</f>
        <v/>
      </c>
      <c r="I943" s="139">
        <f>'1510'!I944</f>
        <v/>
      </c>
    </row>
    <row r="944" outlineLevel="1" ht="15" customHeight="1" s="82">
      <c r="A944" s="139">
        <f>'1510'!A945</f>
        <v/>
      </c>
      <c r="B944" s="139">
        <f>'1510'!B945</f>
        <v/>
      </c>
      <c r="C944" s="139">
        <f>'1510'!D945</f>
        <v/>
      </c>
      <c r="D944" s="140">
        <f>'1510'!E945</f>
        <v/>
      </c>
      <c r="E944" s="140">
        <f>'1510'!F945</f>
        <v/>
      </c>
      <c r="F944" s="139">
        <f>'1510'!C945</f>
        <v/>
      </c>
      <c r="G944" s="155">
        <f>'1510'!G945</f>
        <v/>
      </c>
      <c r="H944" s="155">
        <f>'1510'!H945</f>
        <v/>
      </c>
      <c r="I944" s="139">
        <f>'1510'!I945</f>
        <v/>
      </c>
    </row>
    <row r="945" outlineLevel="1" ht="15" customHeight="1" s="82">
      <c r="A945" s="139">
        <f>'1510'!A946</f>
        <v/>
      </c>
      <c r="B945" s="139">
        <f>'1510'!B946</f>
        <v/>
      </c>
      <c r="C945" s="139">
        <f>'1510'!D946</f>
        <v/>
      </c>
      <c r="D945" s="140">
        <f>'1510'!E946</f>
        <v/>
      </c>
      <c r="E945" s="140">
        <f>'1510'!F946</f>
        <v/>
      </c>
      <c r="F945" s="139">
        <f>'1510'!C946</f>
        <v/>
      </c>
      <c r="G945" s="155">
        <f>'1510'!G946</f>
        <v/>
      </c>
      <c r="H945" s="155">
        <f>'1510'!H946</f>
        <v/>
      </c>
      <c r="I945" s="139">
        <f>'1510'!I946</f>
        <v/>
      </c>
    </row>
    <row r="946" outlineLevel="1" ht="15" customHeight="1" s="82">
      <c r="A946" s="139">
        <f>'1510'!A947</f>
        <v/>
      </c>
      <c r="B946" s="139">
        <f>'1510'!B947</f>
        <v/>
      </c>
      <c r="C946" s="139">
        <f>'1510'!D947</f>
        <v/>
      </c>
      <c r="D946" s="140">
        <f>'1510'!E947</f>
        <v/>
      </c>
      <c r="E946" s="140">
        <f>'1510'!F947</f>
        <v/>
      </c>
      <c r="F946" s="139">
        <f>'1510'!C947</f>
        <v/>
      </c>
      <c r="G946" s="155">
        <f>'1510'!G947</f>
        <v/>
      </c>
      <c r="H946" s="155">
        <f>'1510'!H947</f>
        <v/>
      </c>
      <c r="I946" s="139">
        <f>'1510'!I947</f>
        <v/>
      </c>
    </row>
    <row r="947" outlineLevel="1" ht="15" customHeight="1" s="82">
      <c r="A947" s="139">
        <f>'1510'!A948</f>
        <v/>
      </c>
      <c r="B947" s="139">
        <f>'1510'!B948</f>
        <v/>
      </c>
      <c r="C947" s="139">
        <f>'1510'!D948</f>
        <v/>
      </c>
      <c r="D947" s="140">
        <f>'1510'!E948</f>
        <v/>
      </c>
      <c r="E947" s="140">
        <f>'1510'!F948</f>
        <v/>
      </c>
      <c r="F947" s="139">
        <f>'1510'!C948</f>
        <v/>
      </c>
      <c r="G947" s="155">
        <f>'1510'!G948</f>
        <v/>
      </c>
      <c r="H947" s="155">
        <f>'1510'!H948</f>
        <v/>
      </c>
      <c r="I947" s="139">
        <f>'1510'!I948</f>
        <v/>
      </c>
    </row>
    <row r="948" outlineLevel="1" ht="15" customHeight="1" s="82">
      <c r="A948" s="139">
        <f>'1510'!A949</f>
        <v/>
      </c>
      <c r="B948" s="139">
        <f>'1510'!B949</f>
        <v/>
      </c>
      <c r="C948" s="139">
        <f>'1510'!D949</f>
        <v/>
      </c>
      <c r="D948" s="140">
        <f>'1510'!E949</f>
        <v/>
      </c>
      <c r="E948" s="140">
        <f>'1510'!F949</f>
        <v/>
      </c>
      <c r="F948" s="139">
        <f>'1510'!C949</f>
        <v/>
      </c>
      <c r="G948" s="155">
        <f>'1510'!G949</f>
        <v/>
      </c>
      <c r="H948" s="155">
        <f>'1510'!H949</f>
        <v/>
      </c>
      <c r="I948" s="139">
        <f>'1510'!I949</f>
        <v/>
      </c>
    </row>
    <row r="949" outlineLevel="1" ht="15" customHeight="1" s="82">
      <c r="A949" s="139">
        <f>'1510'!A950</f>
        <v/>
      </c>
      <c r="B949" s="139">
        <f>'1510'!B950</f>
        <v/>
      </c>
      <c r="C949" s="139">
        <f>'1510'!D950</f>
        <v/>
      </c>
      <c r="D949" s="140">
        <f>'1510'!E950</f>
        <v/>
      </c>
      <c r="E949" s="140">
        <f>'1510'!F950</f>
        <v/>
      </c>
      <c r="F949" s="139">
        <f>'1510'!C950</f>
        <v/>
      </c>
      <c r="G949" s="155">
        <f>'1510'!G950</f>
        <v/>
      </c>
      <c r="H949" s="155">
        <f>'1510'!H950</f>
        <v/>
      </c>
      <c r="I949" s="139">
        <f>'1510'!I950</f>
        <v/>
      </c>
    </row>
    <row r="950" outlineLevel="1" ht="15" customHeight="1" s="82">
      <c r="A950" s="139">
        <f>'1510'!A951</f>
        <v/>
      </c>
      <c r="B950" s="139">
        <f>'1510'!B951</f>
        <v/>
      </c>
      <c r="C950" s="139">
        <f>'1510'!D951</f>
        <v/>
      </c>
      <c r="D950" s="140">
        <f>'1510'!E951</f>
        <v/>
      </c>
      <c r="E950" s="140">
        <f>'1510'!F951</f>
        <v/>
      </c>
      <c r="F950" s="139">
        <f>'1510'!C951</f>
        <v/>
      </c>
      <c r="G950" s="155">
        <f>'1510'!G951</f>
        <v/>
      </c>
      <c r="H950" s="155">
        <f>'1510'!H951</f>
        <v/>
      </c>
      <c r="I950" s="139">
        <f>'1510'!I951</f>
        <v/>
      </c>
    </row>
    <row r="951" outlineLevel="1" ht="15" customHeight="1" s="82">
      <c r="A951" s="139">
        <f>'1510'!A952</f>
        <v/>
      </c>
      <c r="B951" s="139">
        <f>'1510'!B952</f>
        <v/>
      </c>
      <c r="C951" s="139">
        <f>'1510'!D952</f>
        <v/>
      </c>
      <c r="D951" s="140">
        <f>'1510'!E952</f>
        <v/>
      </c>
      <c r="E951" s="140">
        <f>'1510'!F952</f>
        <v/>
      </c>
      <c r="F951" s="139">
        <f>'1510'!C952</f>
        <v/>
      </c>
      <c r="G951" s="155">
        <f>'1510'!G952</f>
        <v/>
      </c>
      <c r="H951" s="155">
        <f>'1510'!H952</f>
        <v/>
      </c>
      <c r="I951" s="139">
        <f>'1510'!I952</f>
        <v/>
      </c>
    </row>
    <row r="952" outlineLevel="1" ht="15" customHeight="1" s="82">
      <c r="A952" s="139">
        <f>'1510'!A953</f>
        <v/>
      </c>
      <c r="B952" s="139">
        <f>'1510'!B953</f>
        <v/>
      </c>
      <c r="C952" s="139">
        <f>'1510'!D953</f>
        <v/>
      </c>
      <c r="D952" s="140">
        <f>'1510'!E953</f>
        <v/>
      </c>
      <c r="E952" s="140">
        <f>'1510'!F953</f>
        <v/>
      </c>
      <c r="F952" s="139">
        <f>'1510'!C953</f>
        <v/>
      </c>
      <c r="G952" s="155">
        <f>'1510'!G953</f>
        <v/>
      </c>
      <c r="H952" s="155">
        <f>'1510'!H953</f>
        <v/>
      </c>
      <c r="I952" s="139">
        <f>'1510'!I953</f>
        <v/>
      </c>
    </row>
    <row r="953" outlineLevel="1" ht="15" customHeight="1" s="82">
      <c r="A953" s="139">
        <f>'1510'!A954</f>
        <v/>
      </c>
      <c r="B953" s="139">
        <f>'1510'!B954</f>
        <v/>
      </c>
      <c r="C953" s="139">
        <f>'1510'!D954</f>
        <v/>
      </c>
      <c r="D953" s="140">
        <f>'1510'!E954</f>
        <v/>
      </c>
      <c r="E953" s="140">
        <f>'1510'!F954</f>
        <v/>
      </c>
      <c r="F953" s="139">
        <f>'1510'!C954</f>
        <v/>
      </c>
      <c r="G953" s="155">
        <f>'1510'!G954</f>
        <v/>
      </c>
      <c r="H953" s="155">
        <f>'1510'!H954</f>
        <v/>
      </c>
      <c r="I953" s="139">
        <f>'1510'!I954</f>
        <v/>
      </c>
    </row>
    <row r="954" outlineLevel="1" ht="15" customHeight="1" s="82">
      <c r="A954" s="139">
        <f>'1510'!A955</f>
        <v/>
      </c>
      <c r="B954" s="139">
        <f>'1510'!B955</f>
        <v/>
      </c>
      <c r="C954" s="139">
        <f>'1510'!D955</f>
        <v/>
      </c>
      <c r="D954" s="140">
        <f>'1510'!E955</f>
        <v/>
      </c>
      <c r="E954" s="140">
        <f>'1510'!F955</f>
        <v/>
      </c>
      <c r="F954" s="139">
        <f>'1510'!C955</f>
        <v/>
      </c>
      <c r="G954" s="155">
        <f>'1510'!G955</f>
        <v/>
      </c>
      <c r="H954" s="155">
        <f>'1510'!H955</f>
        <v/>
      </c>
      <c r="I954" s="139">
        <f>'1510'!I955</f>
        <v/>
      </c>
    </row>
    <row r="955" outlineLevel="1" ht="15" customHeight="1" s="82">
      <c r="A955" s="139">
        <f>'1510'!A956</f>
        <v/>
      </c>
      <c r="B955" s="139">
        <f>'1510'!B956</f>
        <v/>
      </c>
      <c r="C955" s="139">
        <f>'1510'!D956</f>
        <v/>
      </c>
      <c r="D955" s="140">
        <f>'1510'!E956</f>
        <v/>
      </c>
      <c r="E955" s="140">
        <f>'1510'!F956</f>
        <v/>
      </c>
      <c r="F955" s="139">
        <f>'1510'!C956</f>
        <v/>
      </c>
      <c r="G955" s="155">
        <f>'1510'!G956</f>
        <v/>
      </c>
      <c r="H955" s="155">
        <f>'1510'!H956</f>
        <v/>
      </c>
      <c r="I955" s="139">
        <f>'1510'!I956</f>
        <v/>
      </c>
    </row>
    <row r="956" outlineLevel="1" ht="15" customHeight="1" s="82">
      <c r="A956" s="139">
        <f>'1510'!A957</f>
        <v/>
      </c>
      <c r="B956" s="139">
        <f>'1510'!B957</f>
        <v/>
      </c>
      <c r="C956" s="139">
        <f>'1510'!D957</f>
        <v/>
      </c>
      <c r="D956" s="140">
        <f>'1510'!E957</f>
        <v/>
      </c>
      <c r="E956" s="140">
        <f>'1510'!F957</f>
        <v/>
      </c>
      <c r="F956" s="139">
        <f>'1510'!C957</f>
        <v/>
      </c>
      <c r="G956" s="155">
        <f>'1510'!G957</f>
        <v/>
      </c>
      <c r="H956" s="155">
        <f>'1510'!H957</f>
        <v/>
      </c>
      <c r="I956" s="139">
        <f>'1510'!I957</f>
        <v/>
      </c>
    </row>
    <row r="957" outlineLevel="1" ht="15" customHeight="1" s="82">
      <c r="A957" s="139">
        <f>'1510'!A958</f>
        <v/>
      </c>
      <c r="B957" s="139">
        <f>'1510'!B958</f>
        <v/>
      </c>
      <c r="C957" s="139">
        <f>'1510'!D958</f>
        <v/>
      </c>
      <c r="D957" s="140">
        <f>'1510'!E958</f>
        <v/>
      </c>
      <c r="E957" s="140">
        <f>'1510'!F958</f>
        <v/>
      </c>
      <c r="F957" s="139">
        <f>'1510'!C958</f>
        <v/>
      </c>
      <c r="G957" s="155">
        <f>'1510'!G958</f>
        <v/>
      </c>
      <c r="H957" s="155">
        <f>'1510'!H958</f>
        <v/>
      </c>
      <c r="I957" s="139">
        <f>'1510'!I958</f>
        <v/>
      </c>
    </row>
    <row r="958" outlineLevel="1" ht="15" customHeight="1" s="82">
      <c r="A958" s="139">
        <f>'1510'!A959</f>
        <v/>
      </c>
      <c r="B958" s="139">
        <f>'1510'!B959</f>
        <v/>
      </c>
      <c r="C958" s="139">
        <f>'1510'!D959</f>
        <v/>
      </c>
      <c r="D958" s="140">
        <f>'1510'!E959</f>
        <v/>
      </c>
      <c r="E958" s="140">
        <f>'1510'!F959</f>
        <v/>
      </c>
      <c r="F958" s="139">
        <f>'1510'!C959</f>
        <v/>
      </c>
      <c r="G958" s="155">
        <f>'1510'!G959</f>
        <v/>
      </c>
      <c r="H958" s="155">
        <f>'1510'!H959</f>
        <v/>
      </c>
      <c r="I958" s="139">
        <f>'1510'!I959</f>
        <v/>
      </c>
    </row>
    <row r="959" outlineLevel="1" ht="15" customHeight="1" s="82">
      <c r="A959" s="139">
        <f>'1510'!A960</f>
        <v/>
      </c>
      <c r="B959" s="139">
        <f>'1510'!B960</f>
        <v/>
      </c>
      <c r="C959" s="139">
        <f>'1510'!D960</f>
        <v/>
      </c>
      <c r="D959" s="140">
        <f>'1510'!E960</f>
        <v/>
      </c>
      <c r="E959" s="140">
        <f>'1510'!F960</f>
        <v/>
      </c>
      <c r="F959" s="139">
        <f>'1510'!C960</f>
        <v/>
      </c>
      <c r="G959" s="155">
        <f>'1510'!G960</f>
        <v/>
      </c>
      <c r="H959" s="155">
        <f>'1510'!H960</f>
        <v/>
      </c>
      <c r="I959" s="139">
        <f>'1510'!I960</f>
        <v/>
      </c>
    </row>
    <row r="960" outlineLevel="1" ht="15" customHeight="1" s="82">
      <c r="A960" s="139">
        <f>'1510'!A961</f>
        <v/>
      </c>
      <c r="B960" s="139">
        <f>'1510'!B961</f>
        <v/>
      </c>
      <c r="C960" s="139">
        <f>'1510'!D961</f>
        <v/>
      </c>
      <c r="D960" s="140">
        <f>'1510'!E961</f>
        <v/>
      </c>
      <c r="E960" s="140">
        <f>'1510'!F961</f>
        <v/>
      </c>
      <c r="F960" s="139">
        <f>'1510'!C961</f>
        <v/>
      </c>
      <c r="G960" s="155">
        <f>'1510'!G961</f>
        <v/>
      </c>
      <c r="H960" s="155">
        <f>'1510'!H961</f>
        <v/>
      </c>
      <c r="I960" s="139">
        <f>'1510'!I961</f>
        <v/>
      </c>
    </row>
    <row r="961" outlineLevel="1" ht="15" customHeight="1" s="82">
      <c r="A961" s="139">
        <f>'1510'!A962</f>
        <v/>
      </c>
      <c r="B961" s="139">
        <f>'1510'!B962</f>
        <v/>
      </c>
      <c r="C961" s="139">
        <f>'1510'!D962</f>
        <v/>
      </c>
      <c r="D961" s="140">
        <f>'1510'!E962</f>
        <v/>
      </c>
      <c r="E961" s="140">
        <f>'1510'!F962</f>
        <v/>
      </c>
      <c r="F961" s="139">
        <f>'1510'!C962</f>
        <v/>
      </c>
      <c r="G961" s="155">
        <f>'1510'!G962</f>
        <v/>
      </c>
      <c r="H961" s="155">
        <f>'1510'!H962</f>
        <v/>
      </c>
      <c r="I961" s="139">
        <f>'1510'!I962</f>
        <v/>
      </c>
    </row>
    <row r="962" outlineLevel="1" ht="15" customHeight="1" s="82">
      <c r="A962" s="139">
        <f>'1510'!A963</f>
        <v/>
      </c>
      <c r="B962" s="139">
        <f>'1510'!B963</f>
        <v/>
      </c>
      <c r="C962" s="139">
        <f>'1510'!D963</f>
        <v/>
      </c>
      <c r="D962" s="140">
        <f>'1510'!E963</f>
        <v/>
      </c>
      <c r="E962" s="140">
        <f>'1510'!F963</f>
        <v/>
      </c>
      <c r="F962" s="139">
        <f>'1510'!C963</f>
        <v/>
      </c>
      <c r="G962" s="155">
        <f>'1510'!G963</f>
        <v/>
      </c>
      <c r="H962" s="155">
        <f>'1510'!H963</f>
        <v/>
      </c>
      <c r="I962" s="139">
        <f>'1510'!I963</f>
        <v/>
      </c>
    </row>
    <row r="963" outlineLevel="1" ht="15" customHeight="1" s="82">
      <c r="A963" s="139">
        <f>'1510'!A964</f>
        <v/>
      </c>
      <c r="B963" s="139">
        <f>'1510'!B964</f>
        <v/>
      </c>
      <c r="C963" s="139">
        <f>'1510'!D964</f>
        <v/>
      </c>
      <c r="D963" s="140">
        <f>'1510'!E964</f>
        <v/>
      </c>
      <c r="E963" s="140">
        <f>'1510'!F964</f>
        <v/>
      </c>
      <c r="F963" s="139">
        <f>'1510'!C964</f>
        <v/>
      </c>
      <c r="G963" s="155">
        <f>'1510'!G964</f>
        <v/>
      </c>
      <c r="H963" s="155">
        <f>'1510'!H964</f>
        <v/>
      </c>
      <c r="I963" s="139">
        <f>'1510'!I964</f>
        <v/>
      </c>
    </row>
    <row r="964" outlineLevel="1" ht="15" customHeight="1" s="82">
      <c r="A964" s="139">
        <f>'1510'!A965</f>
        <v/>
      </c>
      <c r="B964" s="139">
        <f>'1510'!B965</f>
        <v/>
      </c>
      <c r="C964" s="139">
        <f>'1510'!D965</f>
        <v/>
      </c>
      <c r="D964" s="140">
        <f>'1510'!E965</f>
        <v/>
      </c>
      <c r="E964" s="140">
        <f>'1510'!F965</f>
        <v/>
      </c>
      <c r="F964" s="139">
        <f>'1510'!C965</f>
        <v/>
      </c>
      <c r="G964" s="155">
        <f>'1510'!G965</f>
        <v/>
      </c>
      <c r="H964" s="155">
        <f>'1510'!H965</f>
        <v/>
      </c>
      <c r="I964" s="139">
        <f>'1510'!I965</f>
        <v/>
      </c>
    </row>
    <row r="965" outlineLevel="1" ht="15" customHeight="1" s="82">
      <c r="A965" s="139">
        <f>'1510'!A966</f>
        <v/>
      </c>
      <c r="B965" s="139">
        <f>'1510'!B966</f>
        <v/>
      </c>
      <c r="C965" s="139">
        <f>'1510'!D966</f>
        <v/>
      </c>
      <c r="D965" s="140">
        <f>'1510'!E966</f>
        <v/>
      </c>
      <c r="E965" s="140">
        <f>'1510'!F966</f>
        <v/>
      </c>
      <c r="F965" s="139">
        <f>'1510'!C966</f>
        <v/>
      </c>
      <c r="G965" s="155">
        <f>'1510'!G966</f>
        <v/>
      </c>
      <c r="H965" s="155">
        <f>'1510'!H966</f>
        <v/>
      </c>
      <c r="I965" s="139">
        <f>'1510'!I966</f>
        <v/>
      </c>
    </row>
    <row r="966" outlineLevel="1" ht="15" customHeight="1" s="82">
      <c r="A966" s="139">
        <f>'1510'!A967</f>
        <v/>
      </c>
      <c r="B966" s="139">
        <f>'1510'!B967</f>
        <v/>
      </c>
      <c r="C966" s="139">
        <f>'1510'!D967</f>
        <v/>
      </c>
      <c r="D966" s="140">
        <f>'1510'!E967</f>
        <v/>
      </c>
      <c r="E966" s="140">
        <f>'1510'!F967</f>
        <v/>
      </c>
      <c r="F966" s="139">
        <f>'1510'!C967</f>
        <v/>
      </c>
      <c r="G966" s="155">
        <f>'1510'!G967</f>
        <v/>
      </c>
      <c r="H966" s="155">
        <f>'1510'!H967</f>
        <v/>
      </c>
      <c r="I966" s="139">
        <f>'1510'!I967</f>
        <v/>
      </c>
    </row>
    <row r="967" outlineLevel="1" ht="15" customHeight="1" s="82">
      <c r="A967" s="139">
        <f>'1510'!A968</f>
        <v/>
      </c>
      <c r="B967" s="139">
        <f>'1510'!B968</f>
        <v/>
      </c>
      <c r="C967" s="139">
        <f>'1510'!D968</f>
        <v/>
      </c>
      <c r="D967" s="140">
        <f>'1510'!E968</f>
        <v/>
      </c>
      <c r="E967" s="140">
        <f>'1510'!F968</f>
        <v/>
      </c>
      <c r="F967" s="139">
        <f>'1510'!C968</f>
        <v/>
      </c>
      <c r="G967" s="155">
        <f>'1510'!G968</f>
        <v/>
      </c>
      <c r="H967" s="155">
        <f>'1510'!H968</f>
        <v/>
      </c>
      <c r="I967" s="139">
        <f>'1510'!I968</f>
        <v/>
      </c>
    </row>
    <row r="968" outlineLevel="1" ht="15" customHeight="1" s="82">
      <c r="A968" s="139">
        <f>'1510'!A969</f>
        <v/>
      </c>
      <c r="B968" s="139">
        <f>'1510'!B969</f>
        <v/>
      </c>
      <c r="C968" s="139">
        <f>'1510'!D969</f>
        <v/>
      </c>
      <c r="D968" s="140">
        <f>'1510'!E969</f>
        <v/>
      </c>
      <c r="E968" s="140">
        <f>'1510'!F969</f>
        <v/>
      </c>
      <c r="F968" s="139">
        <f>'1510'!C969</f>
        <v/>
      </c>
      <c r="G968" s="155">
        <f>'1510'!G969</f>
        <v/>
      </c>
      <c r="H968" s="155">
        <f>'1510'!H969</f>
        <v/>
      </c>
      <c r="I968" s="139">
        <f>'1510'!I969</f>
        <v/>
      </c>
    </row>
    <row r="969" outlineLevel="1" ht="15" customHeight="1" s="82">
      <c r="A969" s="139">
        <f>'1510'!A970</f>
        <v/>
      </c>
      <c r="B969" s="139">
        <f>'1510'!B970</f>
        <v/>
      </c>
      <c r="C969" s="139">
        <f>'1510'!D970</f>
        <v/>
      </c>
      <c r="D969" s="140">
        <f>'1510'!E970</f>
        <v/>
      </c>
      <c r="E969" s="140">
        <f>'1510'!F970</f>
        <v/>
      </c>
      <c r="F969" s="139">
        <f>'1510'!C970</f>
        <v/>
      </c>
      <c r="G969" s="155">
        <f>'1510'!G970</f>
        <v/>
      </c>
      <c r="H969" s="155">
        <f>'1510'!H970</f>
        <v/>
      </c>
      <c r="I969" s="139">
        <f>'1510'!I970</f>
        <v/>
      </c>
    </row>
    <row r="970" outlineLevel="1" ht="15" customHeight="1" s="82">
      <c r="A970" s="139">
        <f>'1510'!A971</f>
        <v/>
      </c>
      <c r="B970" s="139">
        <f>'1510'!B971</f>
        <v/>
      </c>
      <c r="C970" s="139">
        <f>'1510'!D971</f>
        <v/>
      </c>
      <c r="D970" s="140">
        <f>'1510'!E971</f>
        <v/>
      </c>
      <c r="E970" s="140">
        <f>'1510'!F971</f>
        <v/>
      </c>
      <c r="F970" s="139">
        <f>'1510'!C971</f>
        <v/>
      </c>
      <c r="G970" s="155">
        <f>'1510'!G971</f>
        <v/>
      </c>
      <c r="H970" s="155">
        <f>'1510'!H971</f>
        <v/>
      </c>
      <c r="I970" s="139">
        <f>'1510'!I971</f>
        <v/>
      </c>
    </row>
    <row r="971" outlineLevel="1" ht="15" customHeight="1" s="82">
      <c r="A971" s="139">
        <f>'1510'!A972</f>
        <v/>
      </c>
      <c r="B971" s="139">
        <f>'1510'!B972</f>
        <v/>
      </c>
      <c r="C971" s="139">
        <f>'1510'!D972</f>
        <v/>
      </c>
      <c r="D971" s="140">
        <f>'1510'!E972</f>
        <v/>
      </c>
      <c r="E971" s="140">
        <f>'1510'!F972</f>
        <v/>
      </c>
      <c r="F971" s="139">
        <f>'1510'!C972</f>
        <v/>
      </c>
      <c r="G971" s="155">
        <f>'1510'!G972</f>
        <v/>
      </c>
      <c r="H971" s="155">
        <f>'1510'!H972</f>
        <v/>
      </c>
      <c r="I971" s="139">
        <f>'1510'!I972</f>
        <v/>
      </c>
    </row>
    <row r="972" outlineLevel="1" ht="15" customHeight="1" s="82">
      <c r="A972" s="139">
        <f>'1510'!A973</f>
        <v/>
      </c>
      <c r="B972" s="139">
        <f>'1510'!B973</f>
        <v/>
      </c>
      <c r="C972" s="139">
        <f>'1510'!D973</f>
        <v/>
      </c>
      <c r="D972" s="140">
        <f>'1510'!E973</f>
        <v/>
      </c>
      <c r="E972" s="140">
        <f>'1510'!F973</f>
        <v/>
      </c>
      <c r="F972" s="139">
        <f>'1510'!C973</f>
        <v/>
      </c>
      <c r="G972" s="155">
        <f>'1510'!G973</f>
        <v/>
      </c>
      <c r="H972" s="155">
        <f>'1510'!H973</f>
        <v/>
      </c>
      <c r="I972" s="139">
        <f>'1510'!I973</f>
        <v/>
      </c>
    </row>
    <row r="973" outlineLevel="1" ht="15" customHeight="1" s="82">
      <c r="A973" s="139">
        <f>'1510'!A974</f>
        <v/>
      </c>
      <c r="B973" s="139">
        <f>'1510'!B974</f>
        <v/>
      </c>
      <c r="C973" s="139">
        <f>'1510'!D974</f>
        <v/>
      </c>
      <c r="D973" s="140">
        <f>'1510'!E974</f>
        <v/>
      </c>
      <c r="E973" s="140">
        <f>'1510'!F974</f>
        <v/>
      </c>
      <c r="F973" s="139">
        <f>'1510'!C974</f>
        <v/>
      </c>
      <c r="G973" s="155">
        <f>'1510'!G974</f>
        <v/>
      </c>
      <c r="H973" s="155">
        <f>'1510'!H974</f>
        <v/>
      </c>
      <c r="I973" s="139">
        <f>'1510'!I974</f>
        <v/>
      </c>
    </row>
    <row r="974" outlineLevel="1" ht="15" customHeight="1" s="82">
      <c r="A974" s="139">
        <f>'1510'!A975</f>
        <v/>
      </c>
      <c r="B974" s="139">
        <f>'1510'!B975</f>
        <v/>
      </c>
      <c r="C974" s="139">
        <f>'1510'!D975</f>
        <v/>
      </c>
      <c r="D974" s="140">
        <f>'1510'!E975</f>
        <v/>
      </c>
      <c r="E974" s="140">
        <f>'1510'!F975</f>
        <v/>
      </c>
      <c r="F974" s="139">
        <f>'1510'!C975</f>
        <v/>
      </c>
      <c r="G974" s="155">
        <f>'1510'!G975</f>
        <v/>
      </c>
      <c r="H974" s="155">
        <f>'1510'!H975</f>
        <v/>
      </c>
      <c r="I974" s="139">
        <f>'1510'!I975</f>
        <v/>
      </c>
    </row>
    <row r="975" outlineLevel="1" ht="15" customHeight="1" s="82">
      <c r="A975" s="139">
        <f>'1510'!A976</f>
        <v/>
      </c>
      <c r="B975" s="139">
        <f>'1510'!B976</f>
        <v/>
      </c>
      <c r="C975" s="139">
        <f>'1510'!D976</f>
        <v/>
      </c>
      <c r="D975" s="140">
        <f>'1510'!E976</f>
        <v/>
      </c>
      <c r="E975" s="140">
        <f>'1510'!F976</f>
        <v/>
      </c>
      <c r="F975" s="139">
        <f>'1510'!C976</f>
        <v/>
      </c>
      <c r="G975" s="155">
        <f>'1510'!G976</f>
        <v/>
      </c>
      <c r="H975" s="155">
        <f>'1510'!H976</f>
        <v/>
      </c>
      <c r="I975" s="139">
        <f>'1510'!I976</f>
        <v/>
      </c>
    </row>
    <row r="976" outlineLevel="1" ht="15" customHeight="1" s="82">
      <c r="A976" s="139">
        <f>'1510'!A977</f>
        <v/>
      </c>
      <c r="B976" s="139">
        <f>'1510'!B977</f>
        <v/>
      </c>
      <c r="C976" s="139">
        <f>'1510'!D977</f>
        <v/>
      </c>
      <c r="D976" s="140">
        <f>'1510'!E977</f>
        <v/>
      </c>
      <c r="E976" s="140">
        <f>'1510'!F977</f>
        <v/>
      </c>
      <c r="F976" s="139">
        <f>'1510'!C977</f>
        <v/>
      </c>
      <c r="G976" s="155">
        <f>'1510'!G977</f>
        <v/>
      </c>
      <c r="H976" s="155">
        <f>'1510'!H977</f>
        <v/>
      </c>
      <c r="I976" s="139">
        <f>'1510'!I977</f>
        <v/>
      </c>
    </row>
    <row r="977" outlineLevel="1" ht="15" customHeight="1" s="82">
      <c r="A977" s="139">
        <f>'1510'!A978</f>
        <v/>
      </c>
      <c r="B977" s="139">
        <f>'1510'!B978</f>
        <v/>
      </c>
      <c r="C977" s="139">
        <f>'1510'!D978</f>
        <v/>
      </c>
      <c r="D977" s="140">
        <f>'1510'!E978</f>
        <v/>
      </c>
      <c r="E977" s="140">
        <f>'1510'!F978</f>
        <v/>
      </c>
      <c r="F977" s="139">
        <f>'1510'!C978</f>
        <v/>
      </c>
      <c r="G977" s="155">
        <f>'1510'!G978</f>
        <v/>
      </c>
      <c r="H977" s="155">
        <f>'1510'!H978</f>
        <v/>
      </c>
      <c r="I977" s="139">
        <f>'1510'!I978</f>
        <v/>
      </c>
    </row>
    <row r="978" outlineLevel="1" ht="15" customHeight="1" s="82">
      <c r="A978" s="139">
        <f>'1510'!A979</f>
        <v/>
      </c>
      <c r="B978" s="139">
        <f>'1510'!B979</f>
        <v/>
      </c>
      <c r="C978" s="139">
        <f>'1510'!D979</f>
        <v/>
      </c>
      <c r="D978" s="140">
        <f>'1510'!E979</f>
        <v/>
      </c>
      <c r="E978" s="140">
        <f>'1510'!F979</f>
        <v/>
      </c>
      <c r="F978" s="139">
        <f>'1510'!C979</f>
        <v/>
      </c>
      <c r="G978" s="155">
        <f>'1510'!G979</f>
        <v/>
      </c>
      <c r="H978" s="155">
        <f>'1510'!H979</f>
        <v/>
      </c>
      <c r="I978" s="139">
        <f>'1510'!I979</f>
        <v/>
      </c>
    </row>
    <row r="979" outlineLevel="1" ht="15" customHeight="1" s="82">
      <c r="A979" s="139">
        <f>'1510'!A980</f>
        <v/>
      </c>
      <c r="B979" s="139">
        <f>'1510'!B980</f>
        <v/>
      </c>
      <c r="C979" s="139">
        <f>'1510'!D980</f>
        <v/>
      </c>
      <c r="D979" s="140">
        <f>'1510'!E980</f>
        <v/>
      </c>
      <c r="E979" s="140">
        <f>'1510'!F980</f>
        <v/>
      </c>
      <c r="F979" s="139">
        <f>'1510'!C980</f>
        <v/>
      </c>
      <c r="G979" s="155">
        <f>'1510'!G980</f>
        <v/>
      </c>
      <c r="H979" s="155">
        <f>'1510'!H980</f>
        <v/>
      </c>
      <c r="I979" s="139">
        <f>'1510'!I980</f>
        <v/>
      </c>
    </row>
    <row r="980" outlineLevel="1" ht="15" customHeight="1" s="82">
      <c r="A980" s="139">
        <f>'1510'!A981</f>
        <v/>
      </c>
      <c r="B980" s="139">
        <f>'1510'!B981</f>
        <v/>
      </c>
      <c r="C980" s="139">
        <f>'1510'!D981</f>
        <v/>
      </c>
      <c r="D980" s="140">
        <f>'1510'!E981</f>
        <v/>
      </c>
      <c r="E980" s="140">
        <f>'1510'!F981</f>
        <v/>
      </c>
      <c r="F980" s="139">
        <f>'1510'!C981</f>
        <v/>
      </c>
      <c r="G980" s="155">
        <f>'1510'!G981</f>
        <v/>
      </c>
      <c r="H980" s="155">
        <f>'1510'!H981</f>
        <v/>
      </c>
      <c r="I980" s="139">
        <f>'1510'!I981</f>
        <v/>
      </c>
    </row>
    <row r="981" outlineLevel="1" ht="15" customHeight="1" s="82">
      <c r="A981" s="139">
        <f>'1510'!A982</f>
        <v/>
      </c>
      <c r="B981" s="139">
        <f>'1510'!B982</f>
        <v/>
      </c>
      <c r="C981" s="139">
        <f>'1510'!D982</f>
        <v/>
      </c>
      <c r="D981" s="140">
        <f>'1510'!E982</f>
        <v/>
      </c>
      <c r="E981" s="140">
        <f>'1510'!F982</f>
        <v/>
      </c>
      <c r="F981" s="139">
        <f>'1510'!C982</f>
        <v/>
      </c>
      <c r="G981" s="155">
        <f>'1510'!G982</f>
        <v/>
      </c>
      <c r="H981" s="155">
        <f>'1510'!H982</f>
        <v/>
      </c>
      <c r="I981" s="139">
        <f>'1510'!I982</f>
        <v/>
      </c>
    </row>
    <row r="982" outlineLevel="1" ht="15" customHeight="1" s="82">
      <c r="A982" s="139">
        <f>'1510'!A983</f>
        <v/>
      </c>
      <c r="B982" s="139">
        <f>'1510'!B983</f>
        <v/>
      </c>
      <c r="C982" s="139">
        <f>'1510'!D983</f>
        <v/>
      </c>
      <c r="D982" s="140">
        <f>'1510'!E983</f>
        <v/>
      </c>
      <c r="E982" s="140">
        <f>'1510'!F983</f>
        <v/>
      </c>
      <c r="F982" s="139">
        <f>'1510'!C983</f>
        <v/>
      </c>
      <c r="G982" s="155">
        <f>'1510'!G983</f>
        <v/>
      </c>
      <c r="H982" s="155">
        <f>'1510'!H983</f>
        <v/>
      </c>
      <c r="I982" s="139">
        <f>'1510'!I983</f>
        <v/>
      </c>
    </row>
    <row r="983" outlineLevel="1" ht="15" customHeight="1" s="82">
      <c r="A983" s="139">
        <f>'1510'!A984</f>
        <v/>
      </c>
      <c r="B983" s="139">
        <f>'1510'!B984</f>
        <v/>
      </c>
      <c r="C983" s="139">
        <f>'1510'!D984</f>
        <v/>
      </c>
      <c r="D983" s="140">
        <f>'1510'!E984</f>
        <v/>
      </c>
      <c r="E983" s="140">
        <f>'1510'!F984</f>
        <v/>
      </c>
      <c r="F983" s="139">
        <f>'1510'!C984</f>
        <v/>
      </c>
      <c r="G983" s="155">
        <f>'1510'!G984</f>
        <v/>
      </c>
      <c r="H983" s="155">
        <f>'1510'!H984</f>
        <v/>
      </c>
      <c r="I983" s="139">
        <f>'1510'!I984</f>
        <v/>
      </c>
    </row>
    <row r="984" outlineLevel="1" ht="15" customHeight="1" s="82">
      <c r="A984" s="139">
        <f>'1510'!A985</f>
        <v/>
      </c>
      <c r="B984" s="139">
        <f>'1510'!B985</f>
        <v/>
      </c>
      <c r="C984" s="139">
        <f>'1510'!D985</f>
        <v/>
      </c>
      <c r="D984" s="140">
        <f>'1510'!E985</f>
        <v/>
      </c>
      <c r="E984" s="140">
        <f>'1510'!F985</f>
        <v/>
      </c>
      <c r="F984" s="139">
        <f>'1510'!C985</f>
        <v/>
      </c>
      <c r="G984" s="155">
        <f>'1510'!G985</f>
        <v/>
      </c>
      <c r="H984" s="155">
        <f>'1510'!H985</f>
        <v/>
      </c>
      <c r="I984" s="139">
        <f>'1510'!I985</f>
        <v/>
      </c>
    </row>
    <row r="985" outlineLevel="1" ht="15" customHeight="1" s="82">
      <c r="A985" s="139">
        <f>'1510'!A986</f>
        <v/>
      </c>
      <c r="B985" s="139">
        <f>'1510'!B986</f>
        <v/>
      </c>
      <c r="C985" s="139">
        <f>'1510'!D986</f>
        <v/>
      </c>
      <c r="D985" s="140">
        <f>'1510'!E986</f>
        <v/>
      </c>
      <c r="E985" s="140">
        <f>'1510'!F986</f>
        <v/>
      </c>
      <c r="F985" s="139">
        <f>'1510'!C986</f>
        <v/>
      </c>
      <c r="G985" s="155">
        <f>'1510'!G986</f>
        <v/>
      </c>
      <c r="H985" s="155">
        <f>'1510'!H986</f>
        <v/>
      </c>
      <c r="I985" s="139">
        <f>'1510'!I986</f>
        <v/>
      </c>
    </row>
    <row r="986" outlineLevel="1" ht="15" customHeight="1" s="82">
      <c r="A986" s="139">
        <f>'1510'!A987</f>
        <v/>
      </c>
      <c r="B986" s="139">
        <f>'1510'!B987</f>
        <v/>
      </c>
      <c r="C986" s="139">
        <f>'1510'!D987</f>
        <v/>
      </c>
      <c r="D986" s="140">
        <f>'1510'!E987</f>
        <v/>
      </c>
      <c r="E986" s="140">
        <f>'1510'!F987</f>
        <v/>
      </c>
      <c r="F986" s="139">
        <f>'1510'!C987</f>
        <v/>
      </c>
      <c r="G986" s="155">
        <f>'1510'!G987</f>
        <v/>
      </c>
      <c r="H986" s="155">
        <f>'1510'!H987</f>
        <v/>
      </c>
      <c r="I986" s="139">
        <f>'1510'!I987</f>
        <v/>
      </c>
    </row>
    <row r="987" outlineLevel="1" ht="15" customHeight="1" s="82">
      <c r="A987" s="139">
        <f>'1510'!A988</f>
        <v/>
      </c>
      <c r="B987" s="139">
        <f>'1510'!B988</f>
        <v/>
      </c>
      <c r="C987" s="139">
        <f>'1510'!D988</f>
        <v/>
      </c>
      <c r="D987" s="140">
        <f>'1510'!E988</f>
        <v/>
      </c>
      <c r="E987" s="140">
        <f>'1510'!F988</f>
        <v/>
      </c>
      <c r="F987" s="139">
        <f>'1510'!C988</f>
        <v/>
      </c>
      <c r="G987" s="155">
        <f>'1510'!G988</f>
        <v/>
      </c>
      <c r="H987" s="155">
        <f>'1510'!H988</f>
        <v/>
      </c>
      <c r="I987" s="139">
        <f>'1510'!I988</f>
        <v/>
      </c>
    </row>
    <row r="988" outlineLevel="1" ht="15" customHeight="1" s="82">
      <c r="A988" s="139">
        <f>'1510'!A989</f>
        <v/>
      </c>
      <c r="B988" s="139">
        <f>'1510'!B989</f>
        <v/>
      </c>
      <c r="C988" s="139">
        <f>'1510'!D989</f>
        <v/>
      </c>
      <c r="D988" s="140">
        <f>'1510'!E989</f>
        <v/>
      </c>
      <c r="E988" s="140">
        <f>'1510'!F989</f>
        <v/>
      </c>
      <c r="F988" s="139">
        <f>'1510'!C989</f>
        <v/>
      </c>
      <c r="G988" s="155">
        <f>'1510'!G989</f>
        <v/>
      </c>
      <c r="H988" s="155">
        <f>'1510'!H989</f>
        <v/>
      </c>
      <c r="I988" s="139">
        <f>'1510'!I989</f>
        <v/>
      </c>
    </row>
    <row r="989" outlineLevel="1" ht="15" customHeight="1" s="82">
      <c r="A989" s="139">
        <f>'1510'!A990</f>
        <v/>
      </c>
      <c r="B989" s="139">
        <f>'1510'!B990</f>
        <v/>
      </c>
      <c r="C989" s="139">
        <f>'1510'!D990</f>
        <v/>
      </c>
      <c r="D989" s="140">
        <f>'1510'!E990</f>
        <v/>
      </c>
      <c r="E989" s="140">
        <f>'1510'!F990</f>
        <v/>
      </c>
      <c r="F989" s="139">
        <f>'1510'!C990</f>
        <v/>
      </c>
      <c r="G989" s="155">
        <f>'1510'!G990</f>
        <v/>
      </c>
      <c r="H989" s="155">
        <f>'1510'!H990</f>
        <v/>
      </c>
      <c r="I989" s="139">
        <f>'1510'!I990</f>
        <v/>
      </c>
    </row>
    <row r="990" outlineLevel="1" ht="15" customHeight="1" s="82">
      <c r="A990" s="139">
        <f>'1510'!A991</f>
        <v/>
      </c>
      <c r="B990" s="139">
        <f>'1510'!B991</f>
        <v/>
      </c>
      <c r="C990" s="139">
        <f>'1510'!D991</f>
        <v/>
      </c>
      <c r="D990" s="140">
        <f>'1510'!E991</f>
        <v/>
      </c>
      <c r="E990" s="140">
        <f>'1510'!F991</f>
        <v/>
      </c>
      <c r="F990" s="139">
        <f>'1510'!C991</f>
        <v/>
      </c>
      <c r="G990" s="155">
        <f>'1510'!G991</f>
        <v/>
      </c>
      <c r="H990" s="155">
        <f>'1510'!H991</f>
        <v/>
      </c>
      <c r="I990" s="139">
        <f>'1510'!I991</f>
        <v/>
      </c>
    </row>
    <row r="991" outlineLevel="1" ht="15" customHeight="1" s="82">
      <c r="A991" s="139">
        <f>'1510'!A992</f>
        <v/>
      </c>
      <c r="B991" s="139">
        <f>'1510'!B992</f>
        <v/>
      </c>
      <c r="C991" s="139">
        <f>'1510'!D992</f>
        <v/>
      </c>
      <c r="D991" s="140">
        <f>'1510'!E992</f>
        <v/>
      </c>
      <c r="E991" s="140">
        <f>'1510'!F992</f>
        <v/>
      </c>
      <c r="F991" s="139">
        <f>'1510'!C992</f>
        <v/>
      </c>
      <c r="G991" s="155">
        <f>'1510'!G992</f>
        <v/>
      </c>
      <c r="H991" s="155">
        <f>'1510'!H992</f>
        <v/>
      </c>
      <c r="I991" s="139">
        <f>'1510'!I992</f>
        <v/>
      </c>
    </row>
    <row r="992" outlineLevel="1" ht="15" customHeight="1" s="82">
      <c r="A992" s="139">
        <f>'1510'!A993</f>
        <v/>
      </c>
      <c r="B992" s="139">
        <f>'1510'!B993</f>
        <v/>
      </c>
      <c r="C992" s="139">
        <f>'1510'!D993</f>
        <v/>
      </c>
      <c r="D992" s="140">
        <f>'1510'!E993</f>
        <v/>
      </c>
      <c r="E992" s="140">
        <f>'1510'!F993</f>
        <v/>
      </c>
      <c r="F992" s="139">
        <f>'1510'!C993</f>
        <v/>
      </c>
      <c r="G992" s="155">
        <f>'1510'!G993</f>
        <v/>
      </c>
      <c r="H992" s="155">
        <f>'1510'!H993</f>
        <v/>
      </c>
      <c r="I992" s="139">
        <f>'1510'!I993</f>
        <v/>
      </c>
    </row>
    <row r="993" outlineLevel="1" ht="15" customHeight="1" s="82">
      <c r="A993" s="139">
        <f>'1510'!A994</f>
        <v/>
      </c>
      <c r="B993" s="139">
        <f>'1510'!B994</f>
        <v/>
      </c>
      <c r="C993" s="139">
        <f>'1510'!D994</f>
        <v/>
      </c>
      <c r="D993" s="140">
        <f>'1510'!E994</f>
        <v/>
      </c>
      <c r="E993" s="140">
        <f>'1510'!F994</f>
        <v/>
      </c>
      <c r="F993" s="139">
        <f>'1510'!C994</f>
        <v/>
      </c>
      <c r="G993" s="155">
        <f>'1510'!G994</f>
        <v/>
      </c>
      <c r="H993" s="155">
        <f>'1510'!H994</f>
        <v/>
      </c>
      <c r="I993" s="139">
        <f>'1510'!I994</f>
        <v/>
      </c>
    </row>
    <row r="994" outlineLevel="1" ht="15" customHeight="1" s="82">
      <c r="A994" s="139">
        <f>'1510'!A995</f>
        <v/>
      </c>
      <c r="B994" s="139">
        <f>'1510'!B995</f>
        <v/>
      </c>
      <c r="C994" s="139">
        <f>'1510'!D995</f>
        <v/>
      </c>
      <c r="D994" s="140">
        <f>'1510'!E995</f>
        <v/>
      </c>
      <c r="E994" s="140">
        <f>'1510'!F995</f>
        <v/>
      </c>
      <c r="F994" s="139">
        <f>'1510'!C995</f>
        <v/>
      </c>
      <c r="G994" s="155">
        <f>'1510'!G995</f>
        <v/>
      </c>
      <c r="H994" s="155">
        <f>'1510'!H995</f>
        <v/>
      </c>
      <c r="I994" s="139">
        <f>'1510'!I995</f>
        <v/>
      </c>
    </row>
    <row r="995" outlineLevel="1" ht="15" customHeight="1" s="82">
      <c r="A995" s="139">
        <f>'1510'!A996</f>
        <v/>
      </c>
      <c r="B995" s="139">
        <f>'1510'!B996</f>
        <v/>
      </c>
      <c r="C995" s="139">
        <f>'1510'!D996</f>
        <v/>
      </c>
      <c r="D995" s="140">
        <f>'1510'!E996</f>
        <v/>
      </c>
      <c r="E995" s="140">
        <f>'1510'!F996</f>
        <v/>
      </c>
      <c r="F995" s="139">
        <f>'1510'!C996</f>
        <v/>
      </c>
      <c r="G995" s="155">
        <f>'1510'!G996</f>
        <v/>
      </c>
      <c r="H995" s="155">
        <f>'1510'!H996</f>
        <v/>
      </c>
      <c r="I995" s="139">
        <f>'1510'!I996</f>
        <v/>
      </c>
    </row>
    <row r="996" outlineLevel="1" ht="15" customHeight="1" s="82">
      <c r="A996" s="139">
        <f>'1510'!A997</f>
        <v/>
      </c>
      <c r="B996" s="139">
        <f>'1510'!B997</f>
        <v/>
      </c>
      <c r="C996" s="139">
        <f>'1510'!D997</f>
        <v/>
      </c>
      <c r="D996" s="140">
        <f>'1510'!E997</f>
        <v/>
      </c>
      <c r="E996" s="140">
        <f>'1510'!F997</f>
        <v/>
      </c>
      <c r="F996" s="139">
        <f>'1510'!C997</f>
        <v/>
      </c>
      <c r="G996" s="155">
        <f>'1510'!G997</f>
        <v/>
      </c>
      <c r="H996" s="155">
        <f>'1510'!H997</f>
        <v/>
      </c>
      <c r="I996" s="139">
        <f>'1510'!I997</f>
        <v/>
      </c>
    </row>
    <row r="997" outlineLevel="1" ht="15" customHeight="1" s="82">
      <c r="A997" s="139">
        <f>'1510'!A998</f>
        <v/>
      </c>
      <c r="B997" s="139">
        <f>'1510'!B998</f>
        <v/>
      </c>
      <c r="C997" s="139">
        <f>'1510'!D998</f>
        <v/>
      </c>
      <c r="D997" s="140">
        <f>'1510'!E998</f>
        <v/>
      </c>
      <c r="E997" s="140">
        <f>'1510'!F998</f>
        <v/>
      </c>
      <c r="F997" s="139">
        <f>'1510'!C998</f>
        <v/>
      </c>
      <c r="G997" s="155">
        <f>'1510'!G998</f>
        <v/>
      </c>
      <c r="H997" s="155">
        <f>'1510'!H998</f>
        <v/>
      </c>
      <c r="I997" s="139">
        <f>'1510'!I998</f>
        <v/>
      </c>
    </row>
    <row r="998" outlineLevel="1" ht="15" customHeight="1" s="82">
      <c r="A998" s="139">
        <f>'1510'!A999</f>
        <v/>
      </c>
      <c r="B998" s="139">
        <f>'1510'!B999</f>
        <v/>
      </c>
      <c r="C998" s="139">
        <f>'1510'!D999</f>
        <v/>
      </c>
      <c r="D998" s="140">
        <f>'1510'!E999</f>
        <v/>
      </c>
      <c r="E998" s="140">
        <f>'1510'!F999</f>
        <v/>
      </c>
      <c r="F998" s="139">
        <f>'1510'!C999</f>
        <v/>
      </c>
      <c r="G998" s="155">
        <f>'1510'!G999</f>
        <v/>
      </c>
      <c r="H998" s="155">
        <f>'1510'!H999</f>
        <v/>
      </c>
      <c r="I998" s="139">
        <f>'1510'!I999</f>
        <v/>
      </c>
    </row>
    <row r="999" outlineLevel="1" ht="15" customHeight="1" s="82">
      <c r="A999" s="139">
        <f>'1510'!A1000</f>
        <v/>
      </c>
      <c r="B999" s="139">
        <f>'1510'!B1000</f>
        <v/>
      </c>
      <c r="C999" s="139">
        <f>'1510'!D1000</f>
        <v/>
      </c>
      <c r="D999" s="140">
        <f>'1510'!E1000</f>
        <v/>
      </c>
      <c r="E999" s="140">
        <f>'1510'!F1000</f>
        <v/>
      </c>
      <c r="F999" s="139">
        <f>'1510'!C1000</f>
        <v/>
      </c>
      <c r="G999" s="155">
        <f>'1510'!G1000</f>
        <v/>
      </c>
      <c r="H999" s="155">
        <f>'1510'!H1000</f>
        <v/>
      </c>
      <c r="I999" s="139">
        <f>'1510'!I1000</f>
        <v/>
      </c>
    </row>
    <row r="1000" outlineLevel="1" ht="15" customHeight="1" s="82">
      <c r="A1000" s="139">
        <f>'1510'!A1001</f>
        <v/>
      </c>
      <c r="B1000" s="139">
        <f>'1510'!B1001</f>
        <v/>
      </c>
      <c r="C1000" s="139">
        <f>'1510'!D1001</f>
        <v/>
      </c>
      <c r="D1000" s="140">
        <f>'1510'!E1001</f>
        <v/>
      </c>
      <c r="E1000" s="140">
        <f>'1510'!F1001</f>
        <v/>
      </c>
      <c r="F1000" s="139">
        <f>'1510'!C1001</f>
        <v/>
      </c>
      <c r="G1000" s="155">
        <f>'1510'!G1001</f>
        <v/>
      </c>
      <c r="H1000" s="155">
        <f>'1510'!H1001</f>
        <v/>
      </c>
      <c r="I1000" s="139">
        <f>'1510'!I1001</f>
        <v/>
      </c>
    </row>
    <row r="1001" outlineLevel="1" ht="15" customHeight="1" s="82">
      <c r="A1001" s="139">
        <f>'1510'!A1002</f>
        <v/>
      </c>
      <c r="B1001" s="139">
        <f>'1510'!B1002</f>
        <v/>
      </c>
      <c r="C1001" s="139">
        <f>'1510'!D1002</f>
        <v/>
      </c>
      <c r="D1001" s="140">
        <f>'1510'!E1002</f>
        <v/>
      </c>
      <c r="E1001" s="140">
        <f>'1510'!F1002</f>
        <v/>
      </c>
      <c r="F1001" s="139">
        <f>'1510'!C1002</f>
        <v/>
      </c>
      <c r="G1001" s="155">
        <f>'1510'!G1002</f>
        <v/>
      </c>
      <c r="H1001" s="155">
        <f>'1510'!H1002</f>
        <v/>
      </c>
      <c r="I1001" s="139">
        <f>'1510'!I1002</f>
        <v/>
      </c>
    </row>
    <row r="1002" outlineLevel="1" ht="15" customHeight="1" s="82">
      <c r="A1002" s="139">
        <f>'1510'!A1003</f>
        <v/>
      </c>
      <c r="B1002" s="139">
        <f>'1510'!B1003</f>
        <v/>
      </c>
      <c r="C1002" s="139">
        <f>'1510'!D1003</f>
        <v/>
      </c>
      <c r="D1002" s="140">
        <f>'1510'!E1003</f>
        <v/>
      </c>
      <c r="E1002" s="140">
        <f>'1510'!F1003</f>
        <v/>
      </c>
      <c r="F1002" s="139">
        <f>'1510'!C1003</f>
        <v/>
      </c>
      <c r="G1002" s="155">
        <f>'1510'!G1003</f>
        <v/>
      </c>
      <c r="H1002" s="155">
        <f>'1510'!H1003</f>
        <v/>
      </c>
      <c r="I1002" s="139">
        <f>'1510'!I1003</f>
        <v/>
      </c>
    </row>
    <row r="1003" outlineLevel="1" ht="15" customHeight="1" s="82">
      <c r="A1003" s="139">
        <f>'1510'!A1004</f>
        <v/>
      </c>
      <c r="B1003" s="139">
        <f>'1510'!B1004</f>
        <v/>
      </c>
      <c r="C1003" s="139">
        <f>'1510'!D1004</f>
        <v/>
      </c>
      <c r="D1003" s="140">
        <f>'1510'!E1004</f>
        <v/>
      </c>
      <c r="E1003" s="140">
        <f>'1510'!F1004</f>
        <v/>
      </c>
      <c r="F1003" s="139">
        <f>'1510'!C1004</f>
        <v/>
      </c>
      <c r="G1003" s="155">
        <f>'1510'!G1004</f>
        <v/>
      </c>
      <c r="H1003" s="155">
        <f>'1510'!H1004</f>
        <v/>
      </c>
      <c r="I1003" s="139">
        <f>'1510'!I1004</f>
        <v/>
      </c>
    </row>
    <row r="1004" outlineLevel="1" ht="15" customHeight="1" s="82">
      <c r="A1004" s="139">
        <f>'1510'!A1005</f>
        <v/>
      </c>
      <c r="B1004" s="139">
        <f>'1510'!B1005</f>
        <v/>
      </c>
      <c r="C1004" s="139">
        <f>'1510'!D1005</f>
        <v/>
      </c>
      <c r="D1004" s="140">
        <f>'1510'!E1005</f>
        <v/>
      </c>
      <c r="E1004" s="140">
        <f>'1510'!F1005</f>
        <v/>
      </c>
      <c r="F1004" s="139">
        <f>'1510'!C1005</f>
        <v/>
      </c>
      <c r="G1004" s="155">
        <f>'1510'!G1005</f>
        <v/>
      </c>
      <c r="H1004" s="155">
        <f>'1510'!H1005</f>
        <v/>
      </c>
      <c r="I1004" s="139">
        <f>'1510'!I1005</f>
        <v/>
      </c>
    </row>
    <row r="1005" outlineLevel="1" ht="15" customHeight="1" s="82">
      <c r="A1005" s="139">
        <f>'1510'!A1006</f>
        <v/>
      </c>
      <c r="B1005" s="139">
        <f>'1510'!B1006</f>
        <v/>
      </c>
      <c r="C1005" s="139">
        <f>'1510'!D1006</f>
        <v/>
      </c>
      <c r="D1005" s="140">
        <f>'1510'!E1006</f>
        <v/>
      </c>
      <c r="E1005" s="140">
        <f>'1510'!F1006</f>
        <v/>
      </c>
      <c r="F1005" s="139">
        <f>'1510'!C1006</f>
        <v/>
      </c>
      <c r="G1005" s="155">
        <f>'1510'!G1006</f>
        <v/>
      </c>
      <c r="H1005" s="155">
        <f>'1510'!H1006</f>
        <v/>
      </c>
      <c r="I1005" s="139">
        <f>'1510'!I1006</f>
        <v/>
      </c>
    </row>
    <row r="1006" outlineLevel="1" ht="15" customHeight="1" s="82">
      <c r="A1006" s="139">
        <f>'1510'!A1007</f>
        <v/>
      </c>
      <c r="B1006" s="139">
        <f>'1510'!B1007</f>
        <v/>
      </c>
      <c r="C1006" s="139">
        <f>'1510'!D1007</f>
        <v/>
      </c>
      <c r="D1006" s="140">
        <f>'1510'!E1007</f>
        <v/>
      </c>
      <c r="E1006" s="140">
        <f>'1510'!F1007</f>
        <v/>
      </c>
      <c r="F1006" s="139">
        <f>'1510'!C1007</f>
        <v/>
      </c>
      <c r="G1006" s="155">
        <f>'1510'!G1007</f>
        <v/>
      </c>
      <c r="H1006" s="155">
        <f>'1510'!H1007</f>
        <v/>
      </c>
      <c r="I1006" s="139">
        <f>'1510'!I1007</f>
        <v/>
      </c>
    </row>
    <row r="1007" outlineLevel="1" ht="15" customHeight="1" s="82">
      <c r="A1007" s="139">
        <f>'1510'!A1008</f>
        <v/>
      </c>
      <c r="B1007" s="139">
        <f>'1510'!B1008</f>
        <v/>
      </c>
      <c r="C1007" s="139">
        <f>'1510'!D1008</f>
        <v/>
      </c>
      <c r="D1007" s="140">
        <f>'1510'!E1008</f>
        <v/>
      </c>
      <c r="E1007" s="140">
        <f>'1510'!F1008</f>
        <v/>
      </c>
      <c r="F1007" s="139">
        <f>'1510'!C1008</f>
        <v/>
      </c>
      <c r="G1007" s="155">
        <f>'1510'!G1008</f>
        <v/>
      </c>
      <c r="H1007" s="155">
        <f>'1510'!H1008</f>
        <v/>
      </c>
      <c r="I1007" s="139">
        <f>'1510'!I1008</f>
        <v/>
      </c>
    </row>
    <row r="1008" outlineLevel="1" ht="15" customHeight="1" s="82">
      <c r="A1008" s="139">
        <f>'1510'!A1009</f>
        <v/>
      </c>
      <c r="B1008" s="139">
        <f>'1510'!B1009</f>
        <v/>
      </c>
      <c r="C1008" s="139">
        <f>'1510'!D1009</f>
        <v/>
      </c>
      <c r="D1008" s="140">
        <f>'1510'!E1009</f>
        <v/>
      </c>
      <c r="E1008" s="140">
        <f>'1510'!F1009</f>
        <v/>
      </c>
      <c r="F1008" s="139">
        <f>'1510'!C1009</f>
        <v/>
      </c>
      <c r="G1008" s="155">
        <f>'1510'!G1009</f>
        <v/>
      </c>
      <c r="H1008" s="155">
        <f>'1510'!H1009</f>
        <v/>
      </c>
      <c r="I1008" s="139">
        <f>'1510'!I1009</f>
        <v/>
      </c>
    </row>
    <row r="1009" outlineLevel="1" ht="15" customHeight="1" s="82">
      <c r="A1009" s="139">
        <f>'1510'!A1010</f>
        <v/>
      </c>
      <c r="B1009" s="139">
        <f>'1510'!B1010</f>
        <v/>
      </c>
      <c r="C1009" s="139">
        <f>'1510'!D1010</f>
        <v/>
      </c>
      <c r="D1009" s="140">
        <f>'1510'!E1010</f>
        <v/>
      </c>
      <c r="E1009" s="140">
        <f>'1510'!F1010</f>
        <v/>
      </c>
      <c r="F1009" s="139">
        <f>'1510'!C1010</f>
        <v/>
      </c>
      <c r="G1009" s="155">
        <f>'1510'!G1010</f>
        <v/>
      </c>
      <c r="H1009" s="155">
        <f>'1510'!H1010</f>
        <v/>
      </c>
      <c r="I1009" s="139">
        <f>'1510'!I1010</f>
        <v/>
      </c>
    </row>
    <row r="1010" outlineLevel="1" ht="15" customHeight="1" s="82">
      <c r="A1010" s="139">
        <f>'1510'!A1011</f>
        <v/>
      </c>
      <c r="B1010" s="139">
        <f>'1510'!B1011</f>
        <v/>
      </c>
      <c r="C1010" s="139">
        <f>'1510'!D1011</f>
        <v/>
      </c>
      <c r="D1010" s="140">
        <f>'1510'!E1011</f>
        <v/>
      </c>
      <c r="E1010" s="140">
        <f>'1510'!F1011</f>
        <v/>
      </c>
      <c r="F1010" s="139">
        <f>'1510'!C1011</f>
        <v/>
      </c>
      <c r="G1010" s="155">
        <f>'1510'!G1011</f>
        <v/>
      </c>
      <c r="H1010" s="155">
        <f>'1510'!H1011</f>
        <v/>
      </c>
      <c r="I1010" s="139">
        <f>'1510'!I1011</f>
        <v/>
      </c>
    </row>
    <row r="1011" outlineLevel="1" ht="15" customHeight="1" s="82">
      <c r="A1011" s="139">
        <f>'1510'!A1012</f>
        <v/>
      </c>
      <c r="B1011" s="139">
        <f>'1510'!B1012</f>
        <v/>
      </c>
      <c r="C1011" s="139">
        <f>'1510'!D1012</f>
        <v/>
      </c>
      <c r="D1011" s="140">
        <f>'1510'!E1012</f>
        <v/>
      </c>
      <c r="E1011" s="140">
        <f>'1510'!F1012</f>
        <v/>
      </c>
      <c r="F1011" s="139">
        <f>'1510'!C1012</f>
        <v/>
      </c>
      <c r="G1011" s="155">
        <f>'1510'!G1012</f>
        <v/>
      </c>
      <c r="H1011" s="155">
        <f>'1510'!H1012</f>
        <v/>
      </c>
      <c r="I1011" s="139">
        <f>'1510'!I1012</f>
        <v/>
      </c>
    </row>
    <row r="1012" outlineLevel="1" ht="15" customHeight="1" s="82">
      <c r="A1012" s="139">
        <f>'1510'!A1013</f>
        <v/>
      </c>
      <c r="B1012" s="139">
        <f>'1510'!B1013</f>
        <v/>
      </c>
      <c r="C1012" s="139">
        <f>'1510'!D1013</f>
        <v/>
      </c>
      <c r="D1012" s="140">
        <f>'1510'!E1013</f>
        <v/>
      </c>
      <c r="E1012" s="140">
        <f>'1510'!F1013</f>
        <v/>
      </c>
      <c r="F1012" s="139">
        <f>'1510'!C1013</f>
        <v/>
      </c>
      <c r="G1012" s="155">
        <f>'1510'!G1013</f>
        <v/>
      </c>
      <c r="H1012" s="155">
        <f>'1510'!H1013</f>
        <v/>
      </c>
      <c r="I1012" s="139">
        <f>'1510'!I1013</f>
        <v/>
      </c>
    </row>
    <row r="1013" outlineLevel="1" ht="15" customHeight="1" s="82">
      <c r="A1013" s="139">
        <f>'1510'!A1014</f>
        <v/>
      </c>
      <c r="B1013" s="139">
        <f>'1510'!B1014</f>
        <v/>
      </c>
      <c r="C1013" s="139">
        <f>'1510'!D1014</f>
        <v/>
      </c>
      <c r="D1013" s="140">
        <f>'1510'!E1014</f>
        <v/>
      </c>
      <c r="E1013" s="140">
        <f>'1510'!F1014</f>
        <v/>
      </c>
      <c r="F1013" s="139">
        <f>'1510'!C1014</f>
        <v/>
      </c>
      <c r="G1013" s="155">
        <f>'1510'!G1014</f>
        <v/>
      </c>
      <c r="H1013" s="155">
        <f>'1510'!H1014</f>
        <v/>
      </c>
      <c r="I1013" s="139">
        <f>'1510'!I1014</f>
        <v/>
      </c>
    </row>
    <row r="1014" outlineLevel="1" ht="15" customHeight="1" s="82">
      <c r="A1014" s="139">
        <f>'1510'!A1015</f>
        <v/>
      </c>
      <c r="B1014" s="139">
        <f>'1510'!B1015</f>
        <v/>
      </c>
      <c r="C1014" s="139">
        <f>'1510'!D1015</f>
        <v/>
      </c>
      <c r="D1014" s="140">
        <f>'1510'!E1015</f>
        <v/>
      </c>
      <c r="E1014" s="140">
        <f>'1510'!F1015</f>
        <v/>
      </c>
      <c r="F1014" s="139">
        <f>'1510'!C1015</f>
        <v/>
      </c>
      <c r="G1014" s="155">
        <f>'1510'!G1015</f>
        <v/>
      </c>
      <c r="H1014" s="155">
        <f>'1510'!H1015</f>
        <v/>
      </c>
      <c r="I1014" s="139">
        <f>'1510'!I1015</f>
        <v/>
      </c>
    </row>
    <row r="1015" outlineLevel="1" ht="15" customHeight="1" s="82">
      <c r="A1015" s="139">
        <f>'1510'!A1016</f>
        <v/>
      </c>
      <c r="B1015" s="139">
        <f>'1510'!B1016</f>
        <v/>
      </c>
      <c r="C1015" s="139">
        <f>'1510'!D1016</f>
        <v/>
      </c>
      <c r="D1015" s="140">
        <f>'1510'!E1016</f>
        <v/>
      </c>
      <c r="E1015" s="140">
        <f>'1510'!F1016</f>
        <v/>
      </c>
      <c r="F1015" s="139">
        <f>'1510'!C1016</f>
        <v/>
      </c>
      <c r="G1015" s="155">
        <f>'1510'!G1016</f>
        <v/>
      </c>
      <c r="H1015" s="155">
        <f>'1510'!H1016</f>
        <v/>
      </c>
      <c r="I1015" s="139">
        <f>'1510'!I1016</f>
        <v/>
      </c>
    </row>
    <row r="1016" outlineLevel="1" ht="15" customHeight="1" s="82">
      <c r="A1016" s="139">
        <f>'1510'!A1017</f>
        <v/>
      </c>
      <c r="B1016" s="139">
        <f>'1510'!B1017</f>
        <v/>
      </c>
      <c r="C1016" s="139">
        <f>'1510'!D1017</f>
        <v/>
      </c>
      <c r="D1016" s="140">
        <f>'1510'!E1017</f>
        <v/>
      </c>
      <c r="E1016" s="140">
        <f>'1510'!F1017</f>
        <v/>
      </c>
      <c r="F1016" s="139">
        <f>'1510'!C1017</f>
        <v/>
      </c>
      <c r="G1016" s="155">
        <f>'1510'!G1017</f>
        <v/>
      </c>
      <c r="H1016" s="155">
        <f>'1510'!H1017</f>
        <v/>
      </c>
      <c r="I1016" s="139">
        <f>'1510'!I1017</f>
        <v/>
      </c>
    </row>
    <row r="1017" outlineLevel="1" ht="15" customHeight="1" s="82">
      <c r="A1017" s="139">
        <f>'1510'!A1018</f>
        <v/>
      </c>
      <c r="B1017" s="139">
        <f>'1510'!B1018</f>
        <v/>
      </c>
      <c r="C1017" s="139">
        <f>'1510'!D1018</f>
        <v/>
      </c>
      <c r="D1017" s="140">
        <f>'1510'!E1018</f>
        <v/>
      </c>
      <c r="E1017" s="140">
        <f>'1510'!F1018</f>
        <v/>
      </c>
      <c r="F1017" s="139">
        <f>'1510'!C1018</f>
        <v/>
      </c>
      <c r="G1017" s="155">
        <f>'1510'!G1018</f>
        <v/>
      </c>
      <c r="H1017" s="155">
        <f>'1510'!H1018</f>
        <v/>
      </c>
      <c r="I1017" s="139">
        <f>'1510'!I1018</f>
        <v/>
      </c>
    </row>
    <row r="1018" outlineLevel="1" ht="15" customHeight="1" s="82">
      <c r="A1018" s="139">
        <f>'1510'!A1019</f>
        <v/>
      </c>
      <c r="B1018" s="139">
        <f>'1510'!B1019</f>
        <v/>
      </c>
      <c r="C1018" s="139">
        <f>'1510'!D1019</f>
        <v/>
      </c>
      <c r="D1018" s="140">
        <f>'1510'!E1019</f>
        <v/>
      </c>
      <c r="E1018" s="140">
        <f>'1510'!F1019</f>
        <v/>
      </c>
      <c r="F1018" s="139">
        <f>'1510'!C1019</f>
        <v/>
      </c>
      <c r="G1018" s="155">
        <f>'1510'!G1019</f>
        <v/>
      </c>
      <c r="H1018" s="155">
        <f>'1510'!H1019</f>
        <v/>
      </c>
      <c r="I1018" s="139">
        <f>'1510'!I1019</f>
        <v/>
      </c>
    </row>
    <row r="1019" outlineLevel="1" ht="15" customHeight="1" s="82">
      <c r="A1019" s="139">
        <f>'1510'!A1020</f>
        <v/>
      </c>
      <c r="B1019" s="139">
        <f>'1510'!B1020</f>
        <v/>
      </c>
      <c r="C1019" s="139">
        <f>'1510'!D1020</f>
        <v/>
      </c>
      <c r="D1019" s="140">
        <f>'1510'!E1020</f>
        <v/>
      </c>
      <c r="E1019" s="140">
        <f>'1510'!F1020</f>
        <v/>
      </c>
      <c r="F1019" s="139">
        <f>'1510'!C1020</f>
        <v/>
      </c>
      <c r="G1019" s="155">
        <f>'1510'!G1020</f>
        <v/>
      </c>
      <c r="H1019" s="155">
        <f>'1510'!H1020</f>
        <v/>
      </c>
      <c r="I1019" s="139">
        <f>'1510'!I1020</f>
        <v/>
      </c>
    </row>
    <row r="1020" outlineLevel="1" ht="15" customHeight="1" s="82">
      <c r="A1020" s="139">
        <f>'1510'!A1021</f>
        <v/>
      </c>
      <c r="B1020" s="139">
        <f>'1510'!B1021</f>
        <v/>
      </c>
      <c r="C1020" s="139">
        <f>'1510'!D1021</f>
        <v/>
      </c>
      <c r="D1020" s="140">
        <f>'1510'!E1021</f>
        <v/>
      </c>
      <c r="E1020" s="140">
        <f>'1510'!F1021</f>
        <v/>
      </c>
      <c r="F1020" s="139">
        <f>'1510'!C1021</f>
        <v/>
      </c>
      <c r="G1020" s="155">
        <f>'1510'!G1021</f>
        <v/>
      </c>
      <c r="H1020" s="155">
        <f>'1510'!H1021</f>
        <v/>
      </c>
      <c r="I1020" s="139">
        <f>'1510'!I1021</f>
        <v/>
      </c>
    </row>
    <row r="1021" outlineLevel="1" ht="15" customHeight="1" s="82">
      <c r="A1021" s="139">
        <f>'1510'!A1022</f>
        <v/>
      </c>
      <c r="B1021" s="139">
        <f>'1510'!B1022</f>
        <v/>
      </c>
      <c r="C1021" s="139">
        <f>'1510'!D1022</f>
        <v/>
      </c>
      <c r="D1021" s="140">
        <f>'1510'!E1022</f>
        <v/>
      </c>
      <c r="E1021" s="140">
        <f>'1510'!F1022</f>
        <v/>
      </c>
      <c r="F1021" s="139">
        <f>'1510'!C1022</f>
        <v/>
      </c>
      <c r="G1021" s="155">
        <f>'1510'!G1022</f>
        <v/>
      </c>
      <c r="H1021" s="155">
        <f>'1510'!H1022</f>
        <v/>
      </c>
      <c r="I1021" s="139">
        <f>'1510'!I1022</f>
        <v/>
      </c>
    </row>
    <row r="1022" outlineLevel="1" ht="15" customHeight="1" s="82">
      <c r="A1022" s="139">
        <f>'1510'!A1023</f>
        <v/>
      </c>
      <c r="B1022" s="139">
        <f>'1510'!B1023</f>
        <v/>
      </c>
      <c r="C1022" s="139">
        <f>'1510'!D1023</f>
        <v/>
      </c>
      <c r="D1022" s="140">
        <f>'1510'!E1023</f>
        <v/>
      </c>
      <c r="E1022" s="140">
        <f>'1510'!F1023</f>
        <v/>
      </c>
      <c r="F1022" s="139">
        <f>'1510'!C1023</f>
        <v/>
      </c>
      <c r="G1022" s="155">
        <f>'1510'!G1023</f>
        <v/>
      </c>
      <c r="H1022" s="155">
        <f>'1510'!H1023</f>
        <v/>
      </c>
      <c r="I1022" s="139">
        <f>'1510'!I1023</f>
        <v/>
      </c>
    </row>
    <row r="1023" outlineLevel="1" ht="15" customHeight="1" s="82">
      <c r="A1023" s="139">
        <f>'1510'!A1024</f>
        <v/>
      </c>
      <c r="B1023" s="139">
        <f>'1510'!B1024</f>
        <v/>
      </c>
      <c r="C1023" s="139">
        <f>'1510'!D1024</f>
        <v/>
      </c>
      <c r="D1023" s="140">
        <f>'1510'!E1024</f>
        <v/>
      </c>
      <c r="E1023" s="140">
        <f>'1510'!F1024</f>
        <v/>
      </c>
      <c r="F1023" s="139">
        <f>'1510'!C1024</f>
        <v/>
      </c>
      <c r="G1023" s="155">
        <f>'1510'!G1024</f>
        <v/>
      </c>
      <c r="H1023" s="155">
        <f>'1510'!H1024</f>
        <v/>
      </c>
      <c r="I1023" s="139">
        <f>'1510'!I1024</f>
        <v/>
      </c>
    </row>
    <row r="1024" outlineLevel="1" ht="15" customHeight="1" s="82">
      <c r="A1024" s="139">
        <f>'1510'!A1025</f>
        <v/>
      </c>
      <c r="B1024" s="139">
        <f>'1510'!B1025</f>
        <v/>
      </c>
      <c r="C1024" s="139">
        <f>'1510'!D1025</f>
        <v/>
      </c>
      <c r="D1024" s="140">
        <f>'1510'!E1025</f>
        <v/>
      </c>
      <c r="E1024" s="140">
        <f>'1510'!F1025</f>
        <v/>
      </c>
      <c r="F1024" s="139">
        <f>'1510'!C1025</f>
        <v/>
      </c>
      <c r="G1024" s="155">
        <f>'1510'!G1025</f>
        <v/>
      </c>
      <c r="H1024" s="155">
        <f>'1510'!H1025</f>
        <v/>
      </c>
      <c r="I1024" s="139">
        <f>'1510'!I1025</f>
        <v/>
      </c>
    </row>
    <row r="1025" outlineLevel="1" ht="15" customHeight="1" s="82">
      <c r="A1025" s="139">
        <f>'1510'!A1026</f>
        <v/>
      </c>
      <c r="B1025" s="139">
        <f>'1510'!B1026</f>
        <v/>
      </c>
      <c r="C1025" s="139">
        <f>'1510'!D1026</f>
        <v/>
      </c>
      <c r="D1025" s="140">
        <f>'1510'!E1026</f>
        <v/>
      </c>
      <c r="E1025" s="140">
        <f>'1510'!F1026</f>
        <v/>
      </c>
      <c r="F1025" s="139">
        <f>'1510'!C1026</f>
        <v/>
      </c>
      <c r="G1025" s="155">
        <f>'1510'!G1026</f>
        <v/>
      </c>
      <c r="H1025" s="155">
        <f>'1510'!H1026</f>
        <v/>
      </c>
      <c r="I1025" s="139">
        <f>'1510'!I1026</f>
        <v/>
      </c>
    </row>
    <row r="1026" outlineLevel="1" ht="15" customHeight="1" s="82">
      <c r="A1026" s="139">
        <f>'1510'!A1027</f>
        <v/>
      </c>
      <c r="B1026" s="139">
        <f>'1510'!B1027</f>
        <v/>
      </c>
      <c r="C1026" s="139">
        <f>'1510'!D1027</f>
        <v/>
      </c>
      <c r="D1026" s="140">
        <f>'1510'!E1027</f>
        <v/>
      </c>
      <c r="E1026" s="140">
        <f>'1510'!F1027</f>
        <v/>
      </c>
      <c r="F1026" s="139">
        <f>'1510'!C1027</f>
        <v/>
      </c>
      <c r="G1026" s="155">
        <f>'1510'!G1027</f>
        <v/>
      </c>
      <c r="H1026" s="155">
        <f>'1510'!H1027</f>
        <v/>
      </c>
      <c r="I1026" s="139">
        <f>'1510'!I1027</f>
        <v/>
      </c>
    </row>
    <row r="1027" outlineLevel="1" ht="15" customHeight="1" s="82">
      <c r="A1027" s="139">
        <f>'1510'!A1028</f>
        <v/>
      </c>
      <c r="B1027" s="139">
        <f>'1510'!B1028</f>
        <v/>
      </c>
      <c r="C1027" s="139">
        <f>'1510'!D1028</f>
        <v/>
      </c>
      <c r="D1027" s="140">
        <f>'1510'!E1028</f>
        <v/>
      </c>
      <c r="E1027" s="140">
        <f>'1510'!F1028</f>
        <v/>
      </c>
      <c r="F1027" s="139">
        <f>'1510'!C1028</f>
        <v/>
      </c>
      <c r="G1027" s="155">
        <f>'1510'!G1028</f>
        <v/>
      </c>
      <c r="H1027" s="155">
        <f>'1510'!H1028</f>
        <v/>
      </c>
      <c r="I1027" s="139">
        <f>'1510'!I1028</f>
        <v/>
      </c>
    </row>
    <row r="1028" outlineLevel="1" ht="15" customHeight="1" s="82">
      <c r="A1028" s="139">
        <f>'1510'!A1029</f>
        <v/>
      </c>
      <c r="B1028" s="139">
        <f>'1510'!B1029</f>
        <v/>
      </c>
      <c r="C1028" s="139">
        <f>'1510'!D1029</f>
        <v/>
      </c>
      <c r="D1028" s="140">
        <f>'1510'!E1029</f>
        <v/>
      </c>
      <c r="E1028" s="140">
        <f>'1510'!F1029</f>
        <v/>
      </c>
      <c r="F1028" s="139">
        <f>'1510'!C1029</f>
        <v/>
      </c>
      <c r="G1028" s="155">
        <f>'1510'!G1029</f>
        <v/>
      </c>
      <c r="H1028" s="155">
        <f>'1510'!H1029</f>
        <v/>
      </c>
      <c r="I1028" s="139">
        <f>'1510'!I1029</f>
        <v/>
      </c>
    </row>
    <row r="1029" outlineLevel="1" ht="15" customHeight="1" s="82">
      <c r="A1029" s="139">
        <f>'1510'!A1030</f>
        <v/>
      </c>
      <c r="B1029" s="139">
        <f>'1510'!B1030</f>
        <v/>
      </c>
      <c r="C1029" s="139">
        <f>'1510'!D1030</f>
        <v/>
      </c>
      <c r="D1029" s="140">
        <f>'1510'!E1030</f>
        <v/>
      </c>
      <c r="E1029" s="140">
        <f>'1510'!F1030</f>
        <v/>
      </c>
      <c r="F1029" s="139">
        <f>'1510'!C1030</f>
        <v/>
      </c>
      <c r="G1029" s="155">
        <f>'1510'!G1030</f>
        <v/>
      </c>
      <c r="H1029" s="155">
        <f>'1510'!H1030</f>
        <v/>
      </c>
      <c r="I1029" s="139">
        <f>'1510'!I1030</f>
        <v/>
      </c>
    </row>
    <row r="1030" outlineLevel="1" ht="15" customHeight="1" s="82">
      <c r="A1030" s="139">
        <f>'1510'!A1031</f>
        <v/>
      </c>
      <c r="B1030" s="139">
        <f>'1510'!B1031</f>
        <v/>
      </c>
      <c r="C1030" s="139">
        <f>'1510'!D1031</f>
        <v/>
      </c>
      <c r="D1030" s="140">
        <f>'1510'!E1031</f>
        <v/>
      </c>
      <c r="E1030" s="140">
        <f>'1510'!F1031</f>
        <v/>
      </c>
      <c r="F1030" s="139">
        <f>'1510'!C1031</f>
        <v/>
      </c>
      <c r="G1030" s="155">
        <f>'1510'!G1031</f>
        <v/>
      </c>
      <c r="H1030" s="155">
        <f>'1510'!H1031</f>
        <v/>
      </c>
      <c r="I1030" s="139">
        <f>'1510'!I1031</f>
        <v/>
      </c>
    </row>
    <row r="1031" outlineLevel="1" ht="15" customHeight="1" s="82">
      <c r="A1031" s="139">
        <f>'1510'!A1032</f>
        <v/>
      </c>
      <c r="B1031" s="139">
        <f>'1510'!B1032</f>
        <v/>
      </c>
      <c r="C1031" s="139">
        <f>'1510'!D1032</f>
        <v/>
      </c>
      <c r="D1031" s="140">
        <f>'1510'!E1032</f>
        <v/>
      </c>
      <c r="E1031" s="140">
        <f>'1510'!F1032</f>
        <v/>
      </c>
      <c r="F1031" s="139">
        <f>'1510'!C1032</f>
        <v/>
      </c>
      <c r="G1031" s="155">
        <f>'1510'!G1032</f>
        <v/>
      </c>
      <c r="H1031" s="155">
        <f>'1510'!H1032</f>
        <v/>
      </c>
      <c r="I1031" s="139">
        <f>'1510'!I1032</f>
        <v/>
      </c>
    </row>
    <row r="1032" outlineLevel="1" ht="15" customHeight="1" s="82">
      <c r="A1032" s="139">
        <f>'1510'!A1033</f>
        <v/>
      </c>
      <c r="B1032" s="139">
        <f>'1510'!B1033</f>
        <v/>
      </c>
      <c r="C1032" s="139">
        <f>'1510'!D1033</f>
        <v/>
      </c>
      <c r="D1032" s="140">
        <f>'1510'!E1033</f>
        <v/>
      </c>
      <c r="E1032" s="140">
        <f>'1510'!F1033</f>
        <v/>
      </c>
      <c r="F1032" s="139">
        <f>'1510'!C1033</f>
        <v/>
      </c>
      <c r="G1032" s="155">
        <f>'1510'!G1033</f>
        <v/>
      </c>
      <c r="H1032" s="155">
        <f>'1510'!H1033</f>
        <v/>
      </c>
      <c r="I1032" s="139">
        <f>'1510'!I1033</f>
        <v/>
      </c>
    </row>
    <row r="1033" outlineLevel="1" ht="15" customHeight="1" s="82">
      <c r="A1033" s="139">
        <f>'1510'!A1034</f>
        <v/>
      </c>
      <c r="B1033" s="139">
        <f>'1510'!B1034</f>
        <v/>
      </c>
      <c r="C1033" s="139">
        <f>'1510'!D1034</f>
        <v/>
      </c>
      <c r="D1033" s="140">
        <f>'1510'!E1034</f>
        <v/>
      </c>
      <c r="E1033" s="140">
        <f>'1510'!F1034</f>
        <v/>
      </c>
      <c r="F1033" s="139">
        <f>'1510'!C1034</f>
        <v/>
      </c>
      <c r="G1033" s="155">
        <f>'1510'!G1034</f>
        <v/>
      </c>
      <c r="H1033" s="155">
        <f>'1510'!H1034</f>
        <v/>
      </c>
      <c r="I1033" s="139">
        <f>'1510'!I1034</f>
        <v/>
      </c>
    </row>
    <row r="1034" outlineLevel="1" ht="15" customHeight="1" s="82">
      <c r="A1034" s="139">
        <f>'1510'!A1035</f>
        <v/>
      </c>
      <c r="B1034" s="139">
        <f>'1510'!B1035</f>
        <v/>
      </c>
      <c r="C1034" s="139">
        <f>'1510'!D1035</f>
        <v/>
      </c>
      <c r="D1034" s="140">
        <f>'1510'!E1035</f>
        <v/>
      </c>
      <c r="E1034" s="140">
        <f>'1510'!F1035</f>
        <v/>
      </c>
      <c r="F1034" s="139">
        <f>'1510'!C1035</f>
        <v/>
      </c>
      <c r="G1034" s="155">
        <f>'1510'!G1035</f>
        <v/>
      </c>
      <c r="H1034" s="155">
        <f>'1510'!H1035</f>
        <v/>
      </c>
      <c r="I1034" s="139">
        <f>'1510'!I1035</f>
        <v/>
      </c>
    </row>
    <row r="1035" outlineLevel="1" ht="15" customHeight="1" s="82">
      <c r="A1035" s="139">
        <f>'1510'!A1036</f>
        <v/>
      </c>
      <c r="B1035" s="139">
        <f>'1510'!B1036</f>
        <v/>
      </c>
      <c r="C1035" s="139">
        <f>'1510'!D1036</f>
        <v/>
      </c>
      <c r="D1035" s="140">
        <f>'1510'!E1036</f>
        <v/>
      </c>
      <c r="E1035" s="140">
        <f>'1510'!F1036</f>
        <v/>
      </c>
      <c r="F1035" s="139">
        <f>'1510'!C1036</f>
        <v/>
      </c>
      <c r="G1035" s="155">
        <f>'1510'!G1036</f>
        <v/>
      </c>
      <c r="H1035" s="155">
        <f>'1510'!H1036</f>
        <v/>
      </c>
      <c r="I1035" s="139">
        <f>'1510'!I1036</f>
        <v/>
      </c>
    </row>
    <row r="1036" outlineLevel="1" ht="15" customHeight="1" s="82">
      <c r="A1036" s="139">
        <f>'1510'!A1037</f>
        <v/>
      </c>
      <c r="B1036" s="139">
        <f>'1510'!B1037</f>
        <v/>
      </c>
      <c r="C1036" s="139">
        <f>'1510'!D1037</f>
        <v/>
      </c>
      <c r="D1036" s="140">
        <f>'1510'!E1037</f>
        <v/>
      </c>
      <c r="E1036" s="140">
        <f>'1510'!F1037</f>
        <v/>
      </c>
      <c r="F1036" s="139">
        <f>'1510'!C1037</f>
        <v/>
      </c>
      <c r="G1036" s="155">
        <f>'1510'!G1037</f>
        <v/>
      </c>
      <c r="H1036" s="155">
        <f>'1510'!H1037</f>
        <v/>
      </c>
      <c r="I1036" s="139">
        <f>'1510'!I1037</f>
        <v/>
      </c>
    </row>
    <row r="1037" outlineLevel="1" ht="15" customHeight="1" s="82">
      <c r="A1037" s="139">
        <f>'1510'!A1038</f>
        <v/>
      </c>
      <c r="B1037" s="139">
        <f>'1510'!B1038</f>
        <v/>
      </c>
      <c r="C1037" s="139">
        <f>'1510'!D1038</f>
        <v/>
      </c>
      <c r="D1037" s="140">
        <f>'1510'!E1038</f>
        <v/>
      </c>
      <c r="E1037" s="140">
        <f>'1510'!F1038</f>
        <v/>
      </c>
      <c r="F1037" s="139">
        <f>'1510'!C1038</f>
        <v/>
      </c>
      <c r="G1037" s="155">
        <f>'1510'!G1038</f>
        <v/>
      </c>
      <c r="H1037" s="155">
        <f>'1510'!H1038</f>
        <v/>
      </c>
      <c r="I1037" s="139">
        <f>'1510'!I1038</f>
        <v/>
      </c>
    </row>
    <row r="1038" outlineLevel="1" ht="15" customHeight="1" s="82">
      <c r="A1038" s="139">
        <f>'1510'!A1039</f>
        <v/>
      </c>
      <c r="B1038" s="139">
        <f>'1510'!B1039</f>
        <v/>
      </c>
      <c r="C1038" s="139">
        <f>'1510'!D1039</f>
        <v/>
      </c>
      <c r="D1038" s="140">
        <f>'1510'!E1039</f>
        <v/>
      </c>
      <c r="E1038" s="140">
        <f>'1510'!F1039</f>
        <v/>
      </c>
      <c r="F1038" s="139">
        <f>'1510'!C1039</f>
        <v/>
      </c>
      <c r="G1038" s="155">
        <f>'1510'!G1039</f>
        <v/>
      </c>
      <c r="H1038" s="155">
        <f>'1510'!H1039</f>
        <v/>
      </c>
      <c r="I1038" s="139">
        <f>'1510'!I1039</f>
        <v/>
      </c>
    </row>
    <row r="1039" outlineLevel="1" ht="15" customHeight="1" s="82">
      <c r="A1039" s="139">
        <f>'1510'!A1040</f>
        <v/>
      </c>
      <c r="B1039" s="139">
        <f>'1510'!B1040</f>
        <v/>
      </c>
      <c r="C1039" s="139">
        <f>'1510'!D1040</f>
        <v/>
      </c>
      <c r="D1039" s="140">
        <f>'1510'!E1040</f>
        <v/>
      </c>
      <c r="E1039" s="140">
        <f>'1510'!F1040</f>
        <v/>
      </c>
      <c r="F1039" s="139">
        <f>'1510'!C1040</f>
        <v/>
      </c>
      <c r="G1039" s="155">
        <f>'1510'!G1040</f>
        <v/>
      </c>
      <c r="H1039" s="155">
        <f>'1510'!H1040</f>
        <v/>
      </c>
      <c r="I1039" s="139">
        <f>'1510'!I1040</f>
        <v/>
      </c>
    </row>
    <row r="1040" outlineLevel="1" ht="15" customHeight="1" s="82">
      <c r="A1040" s="139">
        <f>'1510'!A1041</f>
        <v/>
      </c>
      <c r="B1040" s="139">
        <f>'1510'!B1041</f>
        <v/>
      </c>
      <c r="C1040" s="139">
        <f>'1510'!D1041</f>
        <v/>
      </c>
      <c r="D1040" s="140">
        <f>'1510'!E1041</f>
        <v/>
      </c>
      <c r="E1040" s="140">
        <f>'1510'!F1041</f>
        <v/>
      </c>
      <c r="F1040" s="139">
        <f>'1510'!C1041</f>
        <v/>
      </c>
      <c r="G1040" s="155">
        <f>'1510'!G1041</f>
        <v/>
      </c>
      <c r="H1040" s="155">
        <f>'1510'!H1041</f>
        <v/>
      </c>
      <c r="I1040" s="139">
        <f>'1510'!I1041</f>
        <v/>
      </c>
    </row>
    <row r="1041" outlineLevel="1" ht="15" customHeight="1" s="82">
      <c r="A1041" s="139">
        <f>'1510'!A1042</f>
        <v/>
      </c>
      <c r="B1041" s="139">
        <f>'1510'!B1042</f>
        <v/>
      </c>
      <c r="C1041" s="139">
        <f>'1510'!D1042</f>
        <v/>
      </c>
      <c r="D1041" s="140">
        <f>'1510'!E1042</f>
        <v/>
      </c>
      <c r="E1041" s="140">
        <f>'1510'!F1042</f>
        <v/>
      </c>
      <c r="F1041" s="139">
        <f>'1510'!C1042</f>
        <v/>
      </c>
      <c r="G1041" s="155">
        <f>'1510'!G1042</f>
        <v/>
      </c>
      <c r="H1041" s="155">
        <f>'1510'!H1042</f>
        <v/>
      </c>
      <c r="I1041" s="139">
        <f>'1510'!I1042</f>
        <v/>
      </c>
    </row>
    <row r="1042" outlineLevel="1" ht="15" customHeight="1" s="82">
      <c r="A1042" s="139">
        <f>'1510'!A1043</f>
        <v/>
      </c>
      <c r="B1042" s="139">
        <f>'1510'!B1043</f>
        <v/>
      </c>
      <c r="C1042" s="139">
        <f>'1510'!D1043</f>
        <v/>
      </c>
      <c r="D1042" s="140">
        <f>'1510'!E1043</f>
        <v/>
      </c>
      <c r="E1042" s="140">
        <f>'1510'!F1043</f>
        <v/>
      </c>
      <c r="F1042" s="139">
        <f>'1510'!C1043</f>
        <v/>
      </c>
      <c r="G1042" s="155">
        <f>'1510'!G1043</f>
        <v/>
      </c>
      <c r="H1042" s="155">
        <f>'1510'!H1043</f>
        <v/>
      </c>
      <c r="I1042" s="139">
        <f>'1510'!I1043</f>
        <v/>
      </c>
    </row>
    <row r="1043" outlineLevel="1" ht="15" customHeight="1" s="82">
      <c r="A1043" s="139">
        <f>'1510'!A1044</f>
        <v/>
      </c>
      <c r="B1043" s="139">
        <f>'1510'!B1044</f>
        <v/>
      </c>
      <c r="C1043" s="139">
        <f>'1510'!D1044</f>
        <v/>
      </c>
      <c r="D1043" s="140">
        <f>'1510'!E1044</f>
        <v/>
      </c>
      <c r="E1043" s="140">
        <f>'1510'!F1044</f>
        <v/>
      </c>
      <c r="F1043" s="139">
        <f>'1510'!C1044</f>
        <v/>
      </c>
      <c r="G1043" s="155">
        <f>'1510'!G1044</f>
        <v/>
      </c>
      <c r="H1043" s="155">
        <f>'1510'!H1044</f>
        <v/>
      </c>
      <c r="I1043" s="139">
        <f>'1510'!I1044</f>
        <v/>
      </c>
    </row>
    <row r="1044" outlineLevel="1" ht="15" customHeight="1" s="82">
      <c r="A1044" s="139">
        <f>'1510'!A1045</f>
        <v/>
      </c>
      <c r="B1044" s="139">
        <f>'1510'!B1045</f>
        <v/>
      </c>
      <c r="C1044" s="139">
        <f>'1510'!D1045</f>
        <v/>
      </c>
      <c r="D1044" s="140">
        <f>'1510'!E1045</f>
        <v/>
      </c>
      <c r="E1044" s="140">
        <f>'1510'!F1045</f>
        <v/>
      </c>
      <c r="F1044" s="139">
        <f>'1510'!C1045</f>
        <v/>
      </c>
      <c r="G1044" s="155">
        <f>'1510'!G1045</f>
        <v/>
      </c>
      <c r="H1044" s="155">
        <f>'1510'!H1045</f>
        <v/>
      </c>
      <c r="I1044" s="139">
        <f>'1510'!I1045</f>
        <v/>
      </c>
    </row>
    <row r="1045" outlineLevel="1" ht="15" customHeight="1" s="82">
      <c r="A1045" s="139">
        <f>'1510'!A1046</f>
        <v/>
      </c>
      <c r="B1045" s="139">
        <f>'1510'!B1046</f>
        <v/>
      </c>
      <c r="C1045" s="139">
        <f>'1510'!D1046</f>
        <v/>
      </c>
      <c r="D1045" s="140">
        <f>'1510'!E1046</f>
        <v/>
      </c>
      <c r="E1045" s="140">
        <f>'1510'!F1046</f>
        <v/>
      </c>
      <c r="F1045" s="139">
        <f>'1510'!C1046</f>
        <v/>
      </c>
      <c r="G1045" s="155">
        <f>'1510'!G1046</f>
        <v/>
      </c>
      <c r="H1045" s="155">
        <f>'1510'!H1046</f>
        <v/>
      </c>
      <c r="I1045" s="139">
        <f>'1510'!I1046</f>
        <v/>
      </c>
    </row>
    <row r="1046" outlineLevel="1" ht="15" customHeight="1" s="82">
      <c r="A1046" s="139">
        <f>'1510'!A1047</f>
        <v/>
      </c>
      <c r="B1046" s="139">
        <f>'1510'!B1047</f>
        <v/>
      </c>
      <c r="C1046" s="139">
        <f>'1510'!D1047</f>
        <v/>
      </c>
      <c r="D1046" s="140">
        <f>'1510'!E1047</f>
        <v/>
      </c>
      <c r="E1046" s="140">
        <f>'1510'!F1047</f>
        <v/>
      </c>
      <c r="F1046" s="139">
        <f>'1510'!C1047</f>
        <v/>
      </c>
      <c r="G1046" s="155">
        <f>'1510'!G1047</f>
        <v/>
      </c>
      <c r="H1046" s="155">
        <f>'1510'!H1047</f>
        <v/>
      </c>
      <c r="I1046" s="139">
        <f>'1510'!I1047</f>
        <v/>
      </c>
    </row>
    <row r="1047" outlineLevel="1" ht="15" customHeight="1" s="82">
      <c r="A1047" s="139">
        <f>'1510'!A1048</f>
        <v/>
      </c>
      <c r="B1047" s="139">
        <f>'1510'!B1048</f>
        <v/>
      </c>
      <c r="C1047" s="139">
        <f>'1510'!D1048</f>
        <v/>
      </c>
      <c r="D1047" s="140">
        <f>'1510'!E1048</f>
        <v/>
      </c>
      <c r="E1047" s="140">
        <f>'1510'!F1048</f>
        <v/>
      </c>
      <c r="F1047" s="139">
        <f>'1510'!C1048</f>
        <v/>
      </c>
      <c r="G1047" s="155">
        <f>'1510'!G1048</f>
        <v/>
      </c>
      <c r="H1047" s="155">
        <f>'1510'!H1048</f>
        <v/>
      </c>
      <c r="I1047" s="139">
        <f>'1510'!I1048</f>
        <v/>
      </c>
    </row>
    <row r="1048" outlineLevel="1" ht="15" customHeight="1" s="82">
      <c r="A1048" s="139">
        <f>'1510'!A1049</f>
        <v/>
      </c>
      <c r="B1048" s="139">
        <f>'1510'!B1049</f>
        <v/>
      </c>
      <c r="C1048" s="139">
        <f>'1510'!D1049</f>
        <v/>
      </c>
      <c r="D1048" s="140">
        <f>'1510'!E1049</f>
        <v/>
      </c>
      <c r="E1048" s="140">
        <f>'1510'!F1049</f>
        <v/>
      </c>
      <c r="F1048" s="139">
        <f>'1510'!C1049</f>
        <v/>
      </c>
      <c r="G1048" s="155">
        <f>'1510'!G1049</f>
        <v/>
      </c>
      <c r="H1048" s="155">
        <f>'1510'!H1049</f>
        <v/>
      </c>
      <c r="I1048" s="139">
        <f>'1510'!I1049</f>
        <v/>
      </c>
    </row>
    <row r="1049" outlineLevel="1" ht="15" customHeight="1" s="82">
      <c r="A1049" s="139">
        <f>'1510'!A1050</f>
        <v/>
      </c>
      <c r="B1049" s="139">
        <f>'1510'!B1050</f>
        <v/>
      </c>
      <c r="C1049" s="139">
        <f>'1510'!D1050</f>
        <v/>
      </c>
      <c r="D1049" s="140">
        <f>'1510'!E1050</f>
        <v/>
      </c>
      <c r="E1049" s="140">
        <f>'1510'!F1050</f>
        <v/>
      </c>
      <c r="F1049" s="139">
        <f>'1510'!C1050</f>
        <v/>
      </c>
      <c r="G1049" s="155">
        <f>'1510'!G1050</f>
        <v/>
      </c>
      <c r="H1049" s="155">
        <f>'1510'!H1050</f>
        <v/>
      </c>
      <c r="I1049" s="139">
        <f>'1510'!I1050</f>
        <v/>
      </c>
    </row>
    <row r="1050" outlineLevel="1" ht="15" customHeight="1" s="82">
      <c r="A1050" s="139">
        <f>'1510'!A1051</f>
        <v/>
      </c>
      <c r="B1050" s="139">
        <f>'1510'!B1051</f>
        <v/>
      </c>
      <c r="C1050" s="139">
        <f>'1510'!D1051</f>
        <v/>
      </c>
      <c r="D1050" s="140">
        <f>'1510'!E1051</f>
        <v/>
      </c>
      <c r="E1050" s="140">
        <f>'1510'!F1051</f>
        <v/>
      </c>
      <c r="F1050" s="139">
        <f>'1510'!C1051</f>
        <v/>
      </c>
      <c r="G1050" s="155">
        <f>'1510'!G1051</f>
        <v/>
      </c>
      <c r="H1050" s="155">
        <f>'1510'!H1051</f>
        <v/>
      </c>
      <c r="I1050" s="139">
        <f>'1510'!I1051</f>
        <v/>
      </c>
    </row>
    <row r="1051" outlineLevel="1" ht="15" customHeight="1" s="82">
      <c r="A1051" s="139">
        <f>'1510'!A1052</f>
        <v/>
      </c>
      <c r="B1051" s="139">
        <f>'1510'!B1052</f>
        <v/>
      </c>
      <c r="C1051" s="139">
        <f>'1510'!D1052</f>
        <v/>
      </c>
      <c r="D1051" s="140">
        <f>'1510'!E1052</f>
        <v/>
      </c>
      <c r="E1051" s="140">
        <f>'1510'!F1052</f>
        <v/>
      </c>
      <c r="F1051" s="139">
        <f>'1510'!C1052</f>
        <v/>
      </c>
      <c r="G1051" s="155">
        <f>'1510'!G1052</f>
        <v/>
      </c>
      <c r="H1051" s="155">
        <f>'1510'!H1052</f>
        <v/>
      </c>
      <c r="I1051" s="139">
        <f>'1510'!I1052</f>
        <v/>
      </c>
    </row>
    <row r="1052" outlineLevel="1" ht="15" customHeight="1" s="82">
      <c r="A1052" s="139">
        <f>'1510'!A1053</f>
        <v/>
      </c>
      <c r="B1052" s="139">
        <f>'1510'!B1053</f>
        <v/>
      </c>
      <c r="C1052" s="139">
        <f>'1510'!D1053</f>
        <v/>
      </c>
      <c r="D1052" s="140">
        <f>'1510'!E1053</f>
        <v/>
      </c>
      <c r="E1052" s="140">
        <f>'1510'!F1053</f>
        <v/>
      </c>
      <c r="F1052" s="139">
        <f>'1510'!C1053</f>
        <v/>
      </c>
      <c r="G1052" s="155">
        <f>'1510'!G1053</f>
        <v/>
      </c>
      <c r="H1052" s="155">
        <f>'1510'!H1053</f>
        <v/>
      </c>
      <c r="I1052" s="139">
        <f>'1510'!I1053</f>
        <v/>
      </c>
    </row>
    <row r="1053" outlineLevel="1" ht="15" customHeight="1" s="82">
      <c r="A1053" s="139">
        <f>'1510'!A1054</f>
        <v/>
      </c>
      <c r="B1053" s="139">
        <f>'1510'!B1054</f>
        <v/>
      </c>
      <c r="C1053" s="139">
        <f>'1510'!D1054</f>
        <v/>
      </c>
      <c r="D1053" s="140">
        <f>'1510'!E1054</f>
        <v/>
      </c>
      <c r="E1053" s="140">
        <f>'1510'!F1054</f>
        <v/>
      </c>
      <c r="F1053" s="139">
        <f>'1510'!C1054</f>
        <v/>
      </c>
      <c r="G1053" s="155">
        <f>'1510'!G1054</f>
        <v/>
      </c>
      <c r="H1053" s="155">
        <f>'1510'!H1054</f>
        <v/>
      </c>
      <c r="I1053" s="139">
        <f>'1510'!I1054</f>
        <v/>
      </c>
    </row>
    <row r="1054" outlineLevel="1" ht="15" customHeight="1" s="82">
      <c r="A1054" s="139">
        <f>'1510'!A1055</f>
        <v/>
      </c>
      <c r="B1054" s="139">
        <f>'1510'!B1055</f>
        <v/>
      </c>
      <c r="C1054" s="139">
        <f>'1510'!D1055</f>
        <v/>
      </c>
      <c r="D1054" s="140">
        <f>'1510'!E1055</f>
        <v/>
      </c>
      <c r="E1054" s="140">
        <f>'1510'!F1055</f>
        <v/>
      </c>
      <c r="F1054" s="139">
        <f>'1510'!C1055</f>
        <v/>
      </c>
      <c r="G1054" s="155">
        <f>'1510'!G1055</f>
        <v/>
      </c>
      <c r="H1054" s="155">
        <f>'1510'!H1055</f>
        <v/>
      </c>
      <c r="I1054" s="139">
        <f>'1510'!I1055</f>
        <v/>
      </c>
    </row>
    <row r="1055" outlineLevel="1" ht="15" customHeight="1" s="82">
      <c r="A1055" s="139">
        <f>'1510'!A1056</f>
        <v/>
      </c>
      <c r="B1055" s="139">
        <f>'1510'!B1056</f>
        <v/>
      </c>
      <c r="C1055" s="139">
        <f>'1510'!D1056</f>
        <v/>
      </c>
      <c r="D1055" s="140">
        <f>'1510'!E1056</f>
        <v/>
      </c>
      <c r="E1055" s="140">
        <f>'1510'!F1056</f>
        <v/>
      </c>
      <c r="F1055" s="139">
        <f>'1510'!C1056</f>
        <v/>
      </c>
      <c r="G1055" s="155">
        <f>'1510'!G1056</f>
        <v/>
      </c>
      <c r="H1055" s="155">
        <f>'1510'!H1056</f>
        <v/>
      </c>
      <c r="I1055" s="139">
        <f>'1510'!I1056</f>
        <v/>
      </c>
    </row>
    <row r="1056" outlineLevel="1" ht="15" customHeight="1" s="82">
      <c r="A1056" s="139">
        <f>'1510'!A1057</f>
        <v/>
      </c>
      <c r="B1056" s="139">
        <f>'1510'!B1057</f>
        <v/>
      </c>
      <c r="C1056" s="139">
        <f>'1510'!D1057</f>
        <v/>
      </c>
      <c r="D1056" s="140">
        <f>'1510'!E1057</f>
        <v/>
      </c>
      <c r="E1056" s="140">
        <f>'1510'!F1057</f>
        <v/>
      </c>
      <c r="F1056" s="139">
        <f>'1510'!C1057</f>
        <v/>
      </c>
      <c r="G1056" s="155">
        <f>'1510'!G1057</f>
        <v/>
      </c>
      <c r="H1056" s="155">
        <f>'1510'!H1057</f>
        <v/>
      </c>
      <c r="I1056" s="139">
        <f>'1510'!I1057</f>
        <v/>
      </c>
    </row>
    <row r="1057" outlineLevel="1" ht="15" customHeight="1" s="82">
      <c r="A1057" s="139">
        <f>'1510'!A1058</f>
        <v/>
      </c>
      <c r="B1057" s="139">
        <f>'1510'!B1058</f>
        <v/>
      </c>
      <c r="C1057" s="139">
        <f>'1510'!D1058</f>
        <v/>
      </c>
      <c r="D1057" s="140">
        <f>'1510'!E1058</f>
        <v/>
      </c>
      <c r="E1057" s="140">
        <f>'1510'!F1058</f>
        <v/>
      </c>
      <c r="F1057" s="139">
        <f>'1510'!C1058</f>
        <v/>
      </c>
      <c r="G1057" s="155">
        <f>'1510'!G1058</f>
        <v/>
      </c>
      <c r="H1057" s="155">
        <f>'1510'!H1058</f>
        <v/>
      </c>
      <c r="I1057" s="139">
        <f>'1510'!I1058</f>
        <v/>
      </c>
    </row>
    <row r="1058" outlineLevel="1" ht="15" customHeight="1" s="82">
      <c r="A1058" s="139">
        <f>'1510'!A1059</f>
        <v/>
      </c>
      <c r="B1058" s="139">
        <f>'1510'!B1059</f>
        <v/>
      </c>
      <c r="C1058" s="139">
        <f>'1510'!D1059</f>
        <v/>
      </c>
      <c r="D1058" s="140">
        <f>'1510'!E1059</f>
        <v/>
      </c>
      <c r="E1058" s="140">
        <f>'1510'!F1059</f>
        <v/>
      </c>
      <c r="F1058" s="139">
        <f>'1510'!C1059</f>
        <v/>
      </c>
      <c r="G1058" s="155">
        <f>'1510'!G1059</f>
        <v/>
      </c>
      <c r="H1058" s="155">
        <f>'1510'!H1059</f>
        <v/>
      </c>
      <c r="I1058" s="139">
        <f>'1510'!I1059</f>
        <v/>
      </c>
    </row>
    <row r="1059" outlineLevel="1" ht="15" customHeight="1" s="82">
      <c r="A1059" s="139">
        <f>'1510'!A1060</f>
        <v/>
      </c>
      <c r="B1059" s="139">
        <f>'1510'!B1060</f>
        <v/>
      </c>
      <c r="C1059" s="139">
        <f>'1510'!D1060</f>
        <v/>
      </c>
      <c r="D1059" s="140">
        <f>'1510'!E1060</f>
        <v/>
      </c>
      <c r="E1059" s="140">
        <f>'1510'!F1060</f>
        <v/>
      </c>
      <c r="F1059" s="139">
        <f>'1510'!C1060</f>
        <v/>
      </c>
      <c r="G1059" s="155">
        <f>'1510'!G1060</f>
        <v/>
      </c>
      <c r="H1059" s="155">
        <f>'1510'!H1060</f>
        <v/>
      </c>
      <c r="I1059" s="139">
        <f>'1510'!I1060</f>
        <v/>
      </c>
    </row>
    <row r="1060" outlineLevel="1" ht="15" customHeight="1" s="82">
      <c r="A1060" s="139">
        <f>'1510'!A1061</f>
        <v/>
      </c>
      <c r="B1060" s="139">
        <f>'1510'!B1061</f>
        <v/>
      </c>
      <c r="C1060" s="139">
        <f>'1510'!D1061</f>
        <v/>
      </c>
      <c r="D1060" s="140">
        <f>'1510'!E1061</f>
        <v/>
      </c>
      <c r="E1060" s="140">
        <f>'1510'!F1061</f>
        <v/>
      </c>
      <c r="F1060" s="139">
        <f>'1510'!C1061</f>
        <v/>
      </c>
      <c r="G1060" s="155">
        <f>'1510'!G1061</f>
        <v/>
      </c>
      <c r="H1060" s="155">
        <f>'1510'!H1061</f>
        <v/>
      </c>
      <c r="I1060" s="139">
        <f>'1510'!I1061</f>
        <v/>
      </c>
    </row>
    <row r="1061" outlineLevel="1" ht="15" customHeight="1" s="82">
      <c r="A1061" s="139">
        <f>'1510'!A1062</f>
        <v/>
      </c>
      <c r="B1061" s="139">
        <f>'1510'!B1062</f>
        <v/>
      </c>
      <c r="C1061" s="139">
        <f>'1510'!D1062</f>
        <v/>
      </c>
      <c r="D1061" s="140">
        <f>'1510'!E1062</f>
        <v/>
      </c>
      <c r="E1061" s="140">
        <f>'1510'!F1062</f>
        <v/>
      </c>
      <c r="F1061" s="139">
        <f>'1510'!C1062</f>
        <v/>
      </c>
      <c r="G1061" s="155">
        <f>'1510'!G1062</f>
        <v/>
      </c>
      <c r="H1061" s="155">
        <f>'1510'!H1062</f>
        <v/>
      </c>
      <c r="I1061" s="139">
        <f>'1510'!I1062</f>
        <v/>
      </c>
    </row>
    <row r="1062" outlineLevel="1" ht="15" customHeight="1" s="82">
      <c r="A1062" s="139">
        <f>'1510'!A1063</f>
        <v/>
      </c>
      <c r="B1062" s="139">
        <f>'1510'!B1063</f>
        <v/>
      </c>
      <c r="C1062" s="139">
        <f>'1510'!D1063</f>
        <v/>
      </c>
      <c r="D1062" s="140">
        <f>'1510'!E1063</f>
        <v/>
      </c>
      <c r="E1062" s="140">
        <f>'1510'!F1063</f>
        <v/>
      </c>
      <c r="F1062" s="139">
        <f>'1510'!C1063</f>
        <v/>
      </c>
      <c r="G1062" s="155">
        <f>'1510'!G1063</f>
        <v/>
      </c>
      <c r="H1062" s="155">
        <f>'1510'!H1063</f>
        <v/>
      </c>
      <c r="I1062" s="139">
        <f>'1510'!I1063</f>
        <v/>
      </c>
    </row>
    <row r="1063" outlineLevel="1" ht="15" customHeight="1" s="82">
      <c r="A1063" s="139">
        <f>'1510'!A1064</f>
        <v/>
      </c>
      <c r="B1063" s="139">
        <f>'1510'!B1064</f>
        <v/>
      </c>
      <c r="C1063" s="139">
        <f>'1510'!D1064</f>
        <v/>
      </c>
      <c r="D1063" s="140">
        <f>'1510'!E1064</f>
        <v/>
      </c>
      <c r="E1063" s="140">
        <f>'1510'!F1064</f>
        <v/>
      </c>
      <c r="F1063" s="139">
        <f>'1510'!C1064</f>
        <v/>
      </c>
      <c r="G1063" s="155">
        <f>'1510'!G1064</f>
        <v/>
      </c>
      <c r="H1063" s="155">
        <f>'1510'!H1064</f>
        <v/>
      </c>
      <c r="I1063" s="139">
        <f>'1510'!I1064</f>
        <v/>
      </c>
    </row>
    <row r="1064" outlineLevel="1" ht="15" customHeight="1" s="82">
      <c r="A1064" s="139">
        <f>'1510'!A1065</f>
        <v/>
      </c>
      <c r="B1064" s="139">
        <f>'1510'!B1065</f>
        <v/>
      </c>
      <c r="C1064" s="139">
        <f>'1510'!D1065</f>
        <v/>
      </c>
      <c r="D1064" s="140">
        <f>'1510'!E1065</f>
        <v/>
      </c>
      <c r="E1064" s="140">
        <f>'1510'!F1065</f>
        <v/>
      </c>
      <c r="F1064" s="139">
        <f>'1510'!C1065</f>
        <v/>
      </c>
      <c r="G1064" s="155">
        <f>'1510'!G1065</f>
        <v/>
      </c>
      <c r="H1064" s="155">
        <f>'1510'!H1065</f>
        <v/>
      </c>
      <c r="I1064" s="139">
        <f>'1510'!I1065</f>
        <v/>
      </c>
    </row>
    <row r="1065" outlineLevel="1" ht="15" customHeight="1" s="82">
      <c r="A1065" s="139">
        <f>'1510'!A1066</f>
        <v/>
      </c>
      <c r="B1065" s="139">
        <f>'1510'!B1066</f>
        <v/>
      </c>
      <c r="C1065" s="139">
        <f>'1510'!D1066</f>
        <v/>
      </c>
      <c r="D1065" s="140">
        <f>'1510'!E1066</f>
        <v/>
      </c>
      <c r="E1065" s="140">
        <f>'1510'!F1066</f>
        <v/>
      </c>
      <c r="F1065" s="139">
        <f>'1510'!C1066</f>
        <v/>
      </c>
      <c r="G1065" s="155">
        <f>'1510'!G1066</f>
        <v/>
      </c>
      <c r="H1065" s="155">
        <f>'1510'!H1066</f>
        <v/>
      </c>
      <c r="I1065" s="139">
        <f>'1510'!I1066</f>
        <v/>
      </c>
    </row>
    <row r="1066" outlineLevel="1" ht="15" customHeight="1" s="82">
      <c r="A1066" s="139">
        <f>'1510'!A1067</f>
        <v/>
      </c>
      <c r="B1066" s="139">
        <f>'1510'!B1067</f>
        <v/>
      </c>
      <c r="C1066" s="139">
        <f>'1510'!D1067</f>
        <v/>
      </c>
      <c r="D1066" s="140">
        <f>'1510'!E1067</f>
        <v/>
      </c>
      <c r="E1066" s="140">
        <f>'1510'!F1067</f>
        <v/>
      </c>
      <c r="F1066" s="139">
        <f>'1510'!C1067</f>
        <v/>
      </c>
      <c r="G1066" s="155">
        <f>'1510'!G1067</f>
        <v/>
      </c>
      <c r="H1066" s="155">
        <f>'1510'!H1067</f>
        <v/>
      </c>
      <c r="I1066" s="139">
        <f>'1510'!I1067</f>
        <v/>
      </c>
    </row>
    <row r="1067" outlineLevel="1" ht="15" customHeight="1" s="82">
      <c r="A1067" s="139">
        <f>'1510'!A1068</f>
        <v/>
      </c>
      <c r="B1067" s="139">
        <f>'1510'!B1068</f>
        <v/>
      </c>
      <c r="C1067" s="139">
        <f>'1510'!D1068</f>
        <v/>
      </c>
      <c r="D1067" s="140">
        <f>'1510'!E1068</f>
        <v/>
      </c>
      <c r="E1067" s="140">
        <f>'1510'!F1068</f>
        <v/>
      </c>
      <c r="F1067" s="139">
        <f>'1510'!C1068</f>
        <v/>
      </c>
      <c r="G1067" s="155">
        <f>'1510'!G1068</f>
        <v/>
      </c>
      <c r="H1067" s="155">
        <f>'1510'!H1068</f>
        <v/>
      </c>
      <c r="I1067" s="139">
        <f>'1510'!I1068</f>
        <v/>
      </c>
    </row>
    <row r="1068" outlineLevel="1" ht="15" customHeight="1" s="82">
      <c r="A1068" s="139">
        <f>'1510'!A1069</f>
        <v/>
      </c>
      <c r="B1068" s="139">
        <f>'1510'!B1069</f>
        <v/>
      </c>
      <c r="C1068" s="139">
        <f>'1510'!D1069</f>
        <v/>
      </c>
      <c r="D1068" s="140">
        <f>'1510'!E1069</f>
        <v/>
      </c>
      <c r="E1068" s="140">
        <f>'1510'!F1069</f>
        <v/>
      </c>
      <c r="F1068" s="139">
        <f>'1510'!C1069</f>
        <v/>
      </c>
      <c r="G1068" s="155">
        <f>'1510'!G1069</f>
        <v/>
      </c>
      <c r="H1068" s="155">
        <f>'1510'!H1069</f>
        <v/>
      </c>
      <c r="I1068" s="139">
        <f>'1510'!I1069</f>
        <v/>
      </c>
    </row>
    <row r="1069" outlineLevel="1" ht="15" customHeight="1" s="82">
      <c r="A1069" s="139">
        <f>'1510'!A1070</f>
        <v/>
      </c>
      <c r="B1069" s="139">
        <f>'1510'!B1070</f>
        <v/>
      </c>
      <c r="C1069" s="139">
        <f>'1510'!D1070</f>
        <v/>
      </c>
      <c r="D1069" s="140">
        <f>'1510'!E1070</f>
        <v/>
      </c>
      <c r="E1069" s="140">
        <f>'1510'!F1070</f>
        <v/>
      </c>
      <c r="F1069" s="139">
        <f>'1510'!C1070</f>
        <v/>
      </c>
      <c r="G1069" s="155">
        <f>'1510'!G1070</f>
        <v/>
      </c>
      <c r="H1069" s="155">
        <f>'1510'!H1070</f>
        <v/>
      </c>
      <c r="I1069" s="139">
        <f>'1510'!I1070</f>
        <v/>
      </c>
    </row>
    <row r="1070" outlineLevel="1" ht="15" customHeight="1" s="82">
      <c r="A1070" s="139">
        <f>'1510'!A1071</f>
        <v/>
      </c>
      <c r="B1070" s="139">
        <f>'1510'!B1071</f>
        <v/>
      </c>
      <c r="C1070" s="139">
        <f>'1510'!D1071</f>
        <v/>
      </c>
      <c r="D1070" s="140">
        <f>'1510'!E1071</f>
        <v/>
      </c>
      <c r="E1070" s="140">
        <f>'1510'!F1071</f>
        <v/>
      </c>
      <c r="F1070" s="139">
        <f>'1510'!C1071</f>
        <v/>
      </c>
      <c r="G1070" s="155">
        <f>'1510'!G1071</f>
        <v/>
      </c>
      <c r="H1070" s="155">
        <f>'1510'!H1071</f>
        <v/>
      </c>
      <c r="I1070" s="139">
        <f>'1510'!I1071</f>
        <v/>
      </c>
    </row>
    <row r="1071" outlineLevel="1" ht="15" customHeight="1" s="82">
      <c r="A1071" s="139">
        <f>'1510'!A1072</f>
        <v/>
      </c>
      <c r="B1071" s="139">
        <f>'1510'!B1072</f>
        <v/>
      </c>
      <c r="C1071" s="139">
        <f>'1510'!D1072</f>
        <v/>
      </c>
      <c r="D1071" s="140">
        <f>'1510'!E1072</f>
        <v/>
      </c>
      <c r="E1071" s="140">
        <f>'1510'!F1072</f>
        <v/>
      </c>
      <c r="F1071" s="139">
        <f>'1510'!C1072</f>
        <v/>
      </c>
      <c r="G1071" s="155">
        <f>'1510'!G1072</f>
        <v/>
      </c>
      <c r="H1071" s="155">
        <f>'1510'!H1072</f>
        <v/>
      </c>
      <c r="I1071" s="139">
        <f>'1510'!I1072</f>
        <v/>
      </c>
    </row>
    <row r="1072" outlineLevel="1" ht="15" customHeight="1" s="82">
      <c r="A1072" s="139">
        <f>'1510'!A1073</f>
        <v/>
      </c>
      <c r="B1072" s="139">
        <f>'1510'!B1073</f>
        <v/>
      </c>
      <c r="C1072" s="139">
        <f>'1510'!D1073</f>
        <v/>
      </c>
      <c r="D1072" s="140">
        <f>'1510'!E1073</f>
        <v/>
      </c>
      <c r="E1072" s="140">
        <f>'1510'!F1073</f>
        <v/>
      </c>
      <c r="F1072" s="139">
        <f>'1510'!C1073</f>
        <v/>
      </c>
      <c r="G1072" s="155">
        <f>'1510'!G1073</f>
        <v/>
      </c>
      <c r="H1072" s="155">
        <f>'1510'!H1073</f>
        <v/>
      </c>
      <c r="I1072" s="139">
        <f>'1510'!I1073</f>
        <v/>
      </c>
    </row>
    <row r="1073" outlineLevel="1" ht="15" customHeight="1" s="82">
      <c r="A1073" s="139">
        <f>'1510'!A1074</f>
        <v/>
      </c>
      <c r="B1073" s="139">
        <f>'1510'!B1074</f>
        <v/>
      </c>
      <c r="C1073" s="139">
        <f>'1510'!D1074</f>
        <v/>
      </c>
      <c r="D1073" s="140">
        <f>'1510'!E1074</f>
        <v/>
      </c>
      <c r="E1073" s="140">
        <f>'1510'!F1074</f>
        <v/>
      </c>
      <c r="F1073" s="139">
        <f>'1510'!C1074</f>
        <v/>
      </c>
      <c r="G1073" s="155">
        <f>'1510'!G1074</f>
        <v/>
      </c>
      <c r="H1073" s="155">
        <f>'1510'!H1074</f>
        <v/>
      </c>
      <c r="I1073" s="139">
        <f>'1510'!I1074</f>
        <v/>
      </c>
    </row>
    <row r="1074" outlineLevel="1" ht="15" customHeight="1" s="82">
      <c r="A1074" s="139">
        <f>'1510'!A1075</f>
        <v/>
      </c>
      <c r="B1074" s="139">
        <f>'1510'!B1075</f>
        <v/>
      </c>
      <c r="C1074" s="139">
        <f>'1510'!D1075</f>
        <v/>
      </c>
      <c r="D1074" s="140">
        <f>'1510'!E1075</f>
        <v/>
      </c>
      <c r="E1074" s="140">
        <f>'1510'!F1075</f>
        <v/>
      </c>
      <c r="F1074" s="139">
        <f>'1510'!C1075</f>
        <v/>
      </c>
      <c r="G1074" s="155">
        <f>'1510'!G1075</f>
        <v/>
      </c>
      <c r="H1074" s="155">
        <f>'1510'!H1075</f>
        <v/>
      </c>
      <c r="I1074" s="139">
        <f>'1510'!I1075</f>
        <v/>
      </c>
    </row>
    <row r="1075" outlineLevel="1" ht="15" customHeight="1" s="82">
      <c r="A1075" s="139">
        <f>'1510'!A1076</f>
        <v/>
      </c>
      <c r="B1075" s="139">
        <f>'1510'!B1076</f>
        <v/>
      </c>
      <c r="C1075" s="139">
        <f>'1510'!D1076</f>
        <v/>
      </c>
      <c r="D1075" s="140">
        <f>'1510'!E1076</f>
        <v/>
      </c>
      <c r="E1075" s="140">
        <f>'1510'!F1076</f>
        <v/>
      </c>
      <c r="F1075" s="139">
        <f>'1510'!C1076</f>
        <v/>
      </c>
      <c r="G1075" s="155">
        <f>'1510'!G1076</f>
        <v/>
      </c>
      <c r="H1075" s="155">
        <f>'1510'!H1076</f>
        <v/>
      </c>
      <c r="I1075" s="139">
        <f>'1510'!I1076</f>
        <v/>
      </c>
    </row>
    <row r="1076" outlineLevel="1" ht="15" customHeight="1" s="82">
      <c r="A1076" s="139">
        <f>'1510'!A1077</f>
        <v/>
      </c>
      <c r="B1076" s="139">
        <f>'1510'!B1077</f>
        <v/>
      </c>
      <c r="C1076" s="139">
        <f>'1510'!D1077</f>
        <v/>
      </c>
      <c r="D1076" s="140">
        <f>'1510'!E1077</f>
        <v/>
      </c>
      <c r="E1076" s="140">
        <f>'1510'!F1077</f>
        <v/>
      </c>
      <c r="F1076" s="139">
        <f>'1510'!C1077</f>
        <v/>
      </c>
      <c r="G1076" s="155">
        <f>'1510'!G1077</f>
        <v/>
      </c>
      <c r="H1076" s="155">
        <f>'1510'!H1077</f>
        <v/>
      </c>
      <c r="I1076" s="139">
        <f>'1510'!I1077</f>
        <v/>
      </c>
    </row>
    <row r="1077" outlineLevel="1" ht="15" customHeight="1" s="82">
      <c r="A1077" s="139">
        <f>'1510'!A1078</f>
        <v/>
      </c>
      <c r="B1077" s="139">
        <f>'1510'!B1078</f>
        <v/>
      </c>
      <c r="C1077" s="139">
        <f>'1510'!D1078</f>
        <v/>
      </c>
      <c r="D1077" s="140">
        <f>'1510'!E1078</f>
        <v/>
      </c>
      <c r="E1077" s="140">
        <f>'1510'!F1078</f>
        <v/>
      </c>
      <c r="F1077" s="139">
        <f>'1510'!C1078</f>
        <v/>
      </c>
      <c r="G1077" s="155">
        <f>'1510'!G1078</f>
        <v/>
      </c>
      <c r="H1077" s="155">
        <f>'1510'!H1078</f>
        <v/>
      </c>
      <c r="I1077" s="139">
        <f>'1510'!I1078</f>
        <v/>
      </c>
    </row>
    <row r="1078" outlineLevel="1" ht="15" customHeight="1" s="82">
      <c r="A1078" s="139">
        <f>'1510'!A1079</f>
        <v/>
      </c>
      <c r="B1078" s="139">
        <f>'1510'!B1079</f>
        <v/>
      </c>
      <c r="C1078" s="139">
        <f>'1510'!D1079</f>
        <v/>
      </c>
      <c r="D1078" s="140">
        <f>'1510'!E1079</f>
        <v/>
      </c>
      <c r="E1078" s="140">
        <f>'1510'!F1079</f>
        <v/>
      </c>
      <c r="F1078" s="139">
        <f>'1510'!C1079</f>
        <v/>
      </c>
      <c r="G1078" s="155">
        <f>'1510'!G1079</f>
        <v/>
      </c>
      <c r="H1078" s="155">
        <f>'1510'!H1079</f>
        <v/>
      </c>
      <c r="I1078" s="139">
        <f>'1510'!I1079</f>
        <v/>
      </c>
    </row>
    <row r="1079" outlineLevel="1" ht="15" customHeight="1" s="82">
      <c r="A1079" s="139">
        <f>'1510'!A1080</f>
        <v/>
      </c>
      <c r="B1079" s="139">
        <f>'1510'!B1080</f>
        <v/>
      </c>
      <c r="C1079" s="139">
        <f>'1510'!D1080</f>
        <v/>
      </c>
      <c r="D1079" s="140">
        <f>'1510'!E1080</f>
        <v/>
      </c>
      <c r="E1079" s="140">
        <f>'1510'!F1080</f>
        <v/>
      </c>
      <c r="F1079" s="139">
        <f>'1510'!C1080</f>
        <v/>
      </c>
      <c r="G1079" s="155">
        <f>'1510'!G1080</f>
        <v/>
      </c>
      <c r="H1079" s="155">
        <f>'1510'!H1080</f>
        <v/>
      </c>
      <c r="I1079" s="139">
        <f>'1510'!I1080</f>
        <v/>
      </c>
    </row>
    <row r="1080" outlineLevel="1" ht="15" customHeight="1" s="82">
      <c r="A1080" s="139">
        <f>'1510'!A1081</f>
        <v/>
      </c>
      <c r="B1080" s="139">
        <f>'1510'!B1081</f>
        <v/>
      </c>
      <c r="C1080" s="139">
        <f>'1510'!D1081</f>
        <v/>
      </c>
      <c r="D1080" s="140">
        <f>'1510'!E1081</f>
        <v/>
      </c>
      <c r="E1080" s="140">
        <f>'1510'!F1081</f>
        <v/>
      </c>
      <c r="F1080" s="139">
        <f>'1510'!C1081</f>
        <v/>
      </c>
      <c r="G1080" s="155">
        <f>'1510'!G1081</f>
        <v/>
      </c>
      <c r="H1080" s="155">
        <f>'1510'!H1081</f>
        <v/>
      </c>
      <c r="I1080" s="139">
        <f>'1510'!I1081</f>
        <v/>
      </c>
    </row>
    <row r="1081" outlineLevel="1" ht="15" customHeight="1" s="82">
      <c r="A1081" s="139">
        <f>'1510'!A1082</f>
        <v/>
      </c>
      <c r="B1081" s="139">
        <f>'1510'!B1082</f>
        <v/>
      </c>
      <c r="C1081" s="139">
        <f>'1510'!D1082</f>
        <v/>
      </c>
      <c r="D1081" s="140">
        <f>'1510'!E1082</f>
        <v/>
      </c>
      <c r="E1081" s="140">
        <f>'1510'!F1082</f>
        <v/>
      </c>
      <c r="F1081" s="139">
        <f>'1510'!C1082</f>
        <v/>
      </c>
      <c r="G1081" s="155">
        <f>'1510'!G1082</f>
        <v/>
      </c>
      <c r="H1081" s="155">
        <f>'1510'!H1082</f>
        <v/>
      </c>
      <c r="I1081" s="139">
        <f>'1510'!I1082</f>
        <v/>
      </c>
    </row>
    <row r="1082" outlineLevel="1" ht="15" customHeight="1" s="82">
      <c r="A1082" s="139">
        <f>'1510'!A1083</f>
        <v/>
      </c>
      <c r="B1082" s="139">
        <f>'1510'!B1083</f>
        <v/>
      </c>
      <c r="C1082" s="139">
        <f>'1510'!D1083</f>
        <v/>
      </c>
      <c r="D1082" s="140">
        <f>'1510'!E1083</f>
        <v/>
      </c>
      <c r="E1082" s="140">
        <f>'1510'!F1083</f>
        <v/>
      </c>
      <c r="F1082" s="139">
        <f>'1510'!C1083</f>
        <v/>
      </c>
      <c r="G1082" s="155">
        <f>'1510'!G1083</f>
        <v/>
      </c>
      <c r="H1082" s="155">
        <f>'1510'!H1083</f>
        <v/>
      </c>
      <c r="I1082" s="139">
        <f>'1510'!I1083</f>
        <v/>
      </c>
    </row>
    <row r="1083" outlineLevel="1" ht="15" customHeight="1" s="82">
      <c r="A1083" s="139">
        <f>'1510'!A1084</f>
        <v/>
      </c>
      <c r="B1083" s="139">
        <f>'1510'!B1084</f>
        <v/>
      </c>
      <c r="C1083" s="139">
        <f>'1510'!D1084</f>
        <v/>
      </c>
      <c r="D1083" s="140">
        <f>'1510'!E1084</f>
        <v/>
      </c>
      <c r="E1083" s="140">
        <f>'1510'!F1084</f>
        <v/>
      </c>
      <c r="F1083" s="139">
        <f>'1510'!C1084</f>
        <v/>
      </c>
      <c r="G1083" s="155">
        <f>'1510'!G1084</f>
        <v/>
      </c>
      <c r="H1083" s="155">
        <f>'1510'!H1084</f>
        <v/>
      </c>
      <c r="I1083" s="139">
        <f>'1510'!I1084</f>
        <v/>
      </c>
    </row>
    <row r="1084" outlineLevel="1" ht="15" customHeight="1" s="82">
      <c r="A1084" s="139">
        <f>'1510'!A1085</f>
        <v/>
      </c>
      <c r="B1084" s="139">
        <f>'1510'!B1085</f>
        <v/>
      </c>
      <c r="C1084" s="139">
        <f>'1510'!D1085</f>
        <v/>
      </c>
      <c r="D1084" s="140">
        <f>'1510'!E1085</f>
        <v/>
      </c>
      <c r="E1084" s="140">
        <f>'1510'!F1085</f>
        <v/>
      </c>
      <c r="F1084" s="139">
        <f>'1510'!C1085</f>
        <v/>
      </c>
      <c r="G1084" s="155">
        <f>'1510'!G1085</f>
        <v/>
      </c>
      <c r="H1084" s="155">
        <f>'1510'!H1085</f>
        <v/>
      </c>
      <c r="I1084" s="139">
        <f>'1510'!I1085</f>
        <v/>
      </c>
    </row>
    <row r="1085" outlineLevel="1" ht="15" customHeight="1" s="82">
      <c r="A1085" s="139">
        <f>'1510'!A1086</f>
        <v/>
      </c>
      <c r="B1085" s="139">
        <f>'1510'!B1086</f>
        <v/>
      </c>
      <c r="C1085" s="139">
        <f>'1510'!D1086</f>
        <v/>
      </c>
      <c r="D1085" s="140">
        <f>'1510'!E1086</f>
        <v/>
      </c>
      <c r="E1085" s="140">
        <f>'1510'!F1086</f>
        <v/>
      </c>
      <c r="F1085" s="139">
        <f>'1510'!C1086</f>
        <v/>
      </c>
      <c r="G1085" s="155">
        <f>'1510'!G1086</f>
        <v/>
      </c>
      <c r="H1085" s="155">
        <f>'1510'!H1086</f>
        <v/>
      </c>
      <c r="I1085" s="139">
        <f>'1510'!I1086</f>
        <v/>
      </c>
    </row>
    <row r="1086" outlineLevel="1" ht="15" customHeight="1" s="82">
      <c r="A1086" s="139">
        <f>'1510'!A1087</f>
        <v/>
      </c>
      <c r="B1086" s="139">
        <f>'1510'!B1087</f>
        <v/>
      </c>
      <c r="C1086" s="139">
        <f>'1510'!D1087</f>
        <v/>
      </c>
      <c r="D1086" s="140">
        <f>'1510'!E1087</f>
        <v/>
      </c>
      <c r="E1086" s="140">
        <f>'1510'!F1087</f>
        <v/>
      </c>
      <c r="F1086" s="139">
        <f>'1510'!C1087</f>
        <v/>
      </c>
      <c r="G1086" s="155">
        <f>'1510'!G1087</f>
        <v/>
      </c>
      <c r="H1086" s="155">
        <f>'1510'!H1087</f>
        <v/>
      </c>
      <c r="I1086" s="139">
        <f>'1510'!I1087</f>
        <v/>
      </c>
    </row>
    <row r="1087" outlineLevel="1" ht="15" customHeight="1" s="82">
      <c r="A1087" s="139">
        <f>'1510'!A1088</f>
        <v/>
      </c>
      <c r="B1087" s="139">
        <f>'1510'!B1088</f>
        <v/>
      </c>
      <c r="C1087" s="139">
        <f>'1510'!D1088</f>
        <v/>
      </c>
      <c r="D1087" s="140">
        <f>'1510'!E1088</f>
        <v/>
      </c>
      <c r="E1087" s="140">
        <f>'1510'!F1088</f>
        <v/>
      </c>
      <c r="F1087" s="139">
        <f>'1510'!C1088</f>
        <v/>
      </c>
      <c r="G1087" s="155">
        <f>'1510'!G1088</f>
        <v/>
      </c>
      <c r="H1087" s="155">
        <f>'1510'!H1088</f>
        <v/>
      </c>
      <c r="I1087" s="139">
        <f>'1510'!I1088</f>
        <v/>
      </c>
    </row>
    <row r="1088" outlineLevel="1" ht="15" customHeight="1" s="82">
      <c r="A1088" s="139">
        <f>'1510'!A1089</f>
        <v/>
      </c>
      <c r="B1088" s="139">
        <f>'1510'!B1089</f>
        <v/>
      </c>
      <c r="C1088" s="139">
        <f>'1510'!D1089</f>
        <v/>
      </c>
      <c r="D1088" s="140">
        <f>'1510'!E1089</f>
        <v/>
      </c>
      <c r="E1088" s="140">
        <f>'1510'!F1089</f>
        <v/>
      </c>
      <c r="F1088" s="139">
        <f>'1510'!C1089</f>
        <v/>
      </c>
      <c r="G1088" s="155">
        <f>'1510'!G1089</f>
        <v/>
      </c>
      <c r="H1088" s="155">
        <f>'1510'!H1089</f>
        <v/>
      </c>
      <c r="I1088" s="139">
        <f>'1510'!I1089</f>
        <v/>
      </c>
    </row>
    <row r="1089" outlineLevel="1" ht="15" customHeight="1" s="82">
      <c r="A1089" s="139">
        <f>'1510'!A1090</f>
        <v/>
      </c>
      <c r="B1089" s="139">
        <f>'1510'!B1090</f>
        <v/>
      </c>
      <c r="C1089" s="139">
        <f>'1510'!D1090</f>
        <v/>
      </c>
      <c r="D1089" s="140">
        <f>'1510'!E1090</f>
        <v/>
      </c>
      <c r="E1089" s="140">
        <f>'1510'!F1090</f>
        <v/>
      </c>
      <c r="F1089" s="139">
        <f>'1510'!C1090</f>
        <v/>
      </c>
      <c r="G1089" s="155">
        <f>'1510'!G1090</f>
        <v/>
      </c>
      <c r="H1089" s="155">
        <f>'1510'!H1090</f>
        <v/>
      </c>
      <c r="I1089" s="139">
        <f>'1510'!I1090</f>
        <v/>
      </c>
    </row>
    <row r="1090" outlineLevel="1" ht="15" customHeight="1" s="82">
      <c r="A1090" s="139">
        <f>'1510'!A1091</f>
        <v/>
      </c>
      <c r="B1090" s="139">
        <f>'1510'!B1091</f>
        <v/>
      </c>
      <c r="C1090" s="139">
        <f>'1510'!D1091</f>
        <v/>
      </c>
      <c r="D1090" s="140">
        <f>'1510'!E1091</f>
        <v/>
      </c>
      <c r="E1090" s="140">
        <f>'1510'!F1091</f>
        <v/>
      </c>
      <c r="F1090" s="139">
        <f>'1510'!C1091</f>
        <v/>
      </c>
      <c r="G1090" s="155">
        <f>'1510'!G1091</f>
        <v/>
      </c>
      <c r="H1090" s="155">
        <f>'1510'!H1091</f>
        <v/>
      </c>
      <c r="I1090" s="139">
        <f>'1510'!I1091</f>
        <v/>
      </c>
    </row>
    <row r="1091" outlineLevel="1" ht="15" customHeight="1" s="82">
      <c r="A1091" s="139">
        <f>'1510'!A1092</f>
        <v/>
      </c>
      <c r="B1091" s="139">
        <f>'1510'!B1092</f>
        <v/>
      </c>
      <c r="C1091" s="139">
        <f>'1510'!D1092</f>
        <v/>
      </c>
      <c r="D1091" s="140">
        <f>'1510'!E1092</f>
        <v/>
      </c>
      <c r="E1091" s="140">
        <f>'1510'!F1092</f>
        <v/>
      </c>
      <c r="F1091" s="139">
        <f>'1510'!C1092</f>
        <v/>
      </c>
      <c r="G1091" s="155">
        <f>'1510'!G1092</f>
        <v/>
      </c>
      <c r="H1091" s="155">
        <f>'1510'!H1092</f>
        <v/>
      </c>
      <c r="I1091" s="139">
        <f>'1510'!I1092</f>
        <v/>
      </c>
    </row>
    <row r="1092" outlineLevel="1" ht="15" customHeight="1" s="82">
      <c r="A1092" s="139">
        <f>'1510'!A1093</f>
        <v/>
      </c>
      <c r="B1092" s="139">
        <f>'1510'!B1093</f>
        <v/>
      </c>
      <c r="C1092" s="139">
        <f>'1510'!D1093</f>
        <v/>
      </c>
      <c r="D1092" s="140">
        <f>'1510'!E1093</f>
        <v/>
      </c>
      <c r="E1092" s="140">
        <f>'1510'!F1093</f>
        <v/>
      </c>
      <c r="F1092" s="139">
        <f>'1510'!C1093</f>
        <v/>
      </c>
      <c r="G1092" s="155">
        <f>'1510'!G1093</f>
        <v/>
      </c>
      <c r="H1092" s="155">
        <f>'1510'!H1093</f>
        <v/>
      </c>
      <c r="I1092" s="139">
        <f>'1510'!I1093</f>
        <v/>
      </c>
    </row>
    <row r="1093" outlineLevel="1" ht="15" customHeight="1" s="82">
      <c r="A1093" s="139">
        <f>'1510'!A1094</f>
        <v/>
      </c>
      <c r="B1093" s="139">
        <f>'1510'!B1094</f>
        <v/>
      </c>
      <c r="C1093" s="139">
        <f>'1510'!D1094</f>
        <v/>
      </c>
      <c r="D1093" s="140">
        <f>'1510'!E1094</f>
        <v/>
      </c>
      <c r="E1093" s="140">
        <f>'1510'!F1094</f>
        <v/>
      </c>
      <c r="F1093" s="139">
        <f>'1510'!C1094</f>
        <v/>
      </c>
      <c r="G1093" s="155">
        <f>'1510'!G1094</f>
        <v/>
      </c>
      <c r="H1093" s="155">
        <f>'1510'!H1094</f>
        <v/>
      </c>
      <c r="I1093" s="139">
        <f>'1510'!I1094</f>
        <v/>
      </c>
    </row>
    <row r="1094" outlineLevel="1" ht="15" customHeight="1" s="82">
      <c r="A1094" s="139">
        <f>'1510'!A1095</f>
        <v/>
      </c>
      <c r="B1094" s="139">
        <f>'1510'!B1095</f>
        <v/>
      </c>
      <c r="C1094" s="139">
        <f>'1510'!D1095</f>
        <v/>
      </c>
      <c r="D1094" s="140">
        <f>'1510'!E1095</f>
        <v/>
      </c>
      <c r="E1094" s="140">
        <f>'1510'!F1095</f>
        <v/>
      </c>
      <c r="F1094" s="139">
        <f>'1510'!C1095</f>
        <v/>
      </c>
      <c r="G1094" s="155">
        <f>'1510'!G1095</f>
        <v/>
      </c>
      <c r="H1094" s="155">
        <f>'1510'!H1095</f>
        <v/>
      </c>
      <c r="I1094" s="139">
        <f>'1510'!I1095</f>
        <v/>
      </c>
    </row>
    <row r="1095" outlineLevel="1" ht="15" customHeight="1" s="82">
      <c r="A1095" s="139">
        <f>'1510'!A1096</f>
        <v/>
      </c>
      <c r="B1095" s="139">
        <f>'1510'!B1096</f>
        <v/>
      </c>
      <c r="C1095" s="139">
        <f>'1510'!D1096</f>
        <v/>
      </c>
      <c r="D1095" s="140">
        <f>'1510'!E1096</f>
        <v/>
      </c>
      <c r="E1095" s="140">
        <f>'1510'!F1096</f>
        <v/>
      </c>
      <c r="F1095" s="139">
        <f>'1510'!C1096</f>
        <v/>
      </c>
      <c r="G1095" s="155">
        <f>'1510'!G1096</f>
        <v/>
      </c>
      <c r="H1095" s="155">
        <f>'1510'!H1096</f>
        <v/>
      </c>
      <c r="I1095" s="139">
        <f>'1510'!I1096</f>
        <v/>
      </c>
    </row>
    <row r="1096" outlineLevel="1" ht="15" customHeight="1" s="82">
      <c r="A1096" s="139">
        <f>'1510'!A1097</f>
        <v/>
      </c>
      <c r="B1096" s="139">
        <f>'1510'!B1097</f>
        <v/>
      </c>
      <c r="C1096" s="139">
        <f>'1510'!D1097</f>
        <v/>
      </c>
      <c r="D1096" s="140">
        <f>'1510'!E1097</f>
        <v/>
      </c>
      <c r="E1096" s="140">
        <f>'1510'!F1097</f>
        <v/>
      </c>
      <c r="F1096" s="139">
        <f>'1510'!C1097</f>
        <v/>
      </c>
      <c r="G1096" s="155">
        <f>'1510'!G1097</f>
        <v/>
      </c>
      <c r="H1096" s="155">
        <f>'1510'!H1097</f>
        <v/>
      </c>
      <c r="I1096" s="139">
        <f>'1510'!I1097</f>
        <v/>
      </c>
    </row>
    <row r="1097" outlineLevel="1" ht="15" customHeight="1" s="82">
      <c r="A1097" s="139">
        <f>'1510'!A1098</f>
        <v/>
      </c>
      <c r="B1097" s="139">
        <f>'1510'!B1098</f>
        <v/>
      </c>
      <c r="C1097" s="139">
        <f>'1510'!D1098</f>
        <v/>
      </c>
      <c r="D1097" s="140">
        <f>'1510'!E1098</f>
        <v/>
      </c>
      <c r="E1097" s="140">
        <f>'1510'!F1098</f>
        <v/>
      </c>
      <c r="F1097" s="139">
        <f>'1510'!C1098</f>
        <v/>
      </c>
      <c r="G1097" s="155">
        <f>'1510'!G1098</f>
        <v/>
      </c>
      <c r="H1097" s="155">
        <f>'1510'!H1098</f>
        <v/>
      </c>
      <c r="I1097" s="139">
        <f>'1510'!I1098</f>
        <v/>
      </c>
    </row>
    <row r="1098" outlineLevel="1" ht="15" customHeight="1" s="82">
      <c r="A1098" s="139">
        <f>'1510'!A1099</f>
        <v/>
      </c>
      <c r="B1098" s="139">
        <f>'1510'!B1099</f>
        <v/>
      </c>
      <c r="C1098" s="139">
        <f>'1510'!D1099</f>
        <v/>
      </c>
      <c r="D1098" s="140">
        <f>'1510'!E1099</f>
        <v/>
      </c>
      <c r="E1098" s="140">
        <f>'1510'!F1099</f>
        <v/>
      </c>
      <c r="F1098" s="139">
        <f>'1510'!C1099</f>
        <v/>
      </c>
      <c r="G1098" s="155">
        <f>'1510'!G1099</f>
        <v/>
      </c>
      <c r="H1098" s="155">
        <f>'1510'!H1099</f>
        <v/>
      </c>
      <c r="I1098" s="139">
        <f>'1510'!I1099</f>
        <v/>
      </c>
    </row>
    <row r="1099" outlineLevel="1" ht="15" customHeight="1" s="82">
      <c r="A1099" s="139">
        <f>'1510'!A1100</f>
        <v/>
      </c>
      <c r="B1099" s="139">
        <f>'1510'!B1100</f>
        <v/>
      </c>
      <c r="C1099" s="139">
        <f>'1510'!D1100</f>
        <v/>
      </c>
      <c r="D1099" s="140">
        <f>'1510'!E1100</f>
        <v/>
      </c>
      <c r="E1099" s="140">
        <f>'1510'!F1100</f>
        <v/>
      </c>
      <c r="F1099" s="139">
        <f>'1510'!C1100</f>
        <v/>
      </c>
      <c r="G1099" s="155">
        <f>'1510'!G1100</f>
        <v/>
      </c>
      <c r="H1099" s="155">
        <f>'1510'!H1100</f>
        <v/>
      </c>
      <c r="I1099" s="139">
        <f>'1510'!I1100</f>
        <v/>
      </c>
    </row>
    <row r="1100" outlineLevel="1" ht="15" customHeight="1" s="82">
      <c r="A1100" s="139">
        <f>'1510'!A1101</f>
        <v/>
      </c>
      <c r="B1100" s="139">
        <f>'1510'!B1101</f>
        <v/>
      </c>
      <c r="C1100" s="139">
        <f>'1510'!D1101</f>
        <v/>
      </c>
      <c r="D1100" s="140">
        <f>'1510'!E1101</f>
        <v/>
      </c>
      <c r="E1100" s="140">
        <f>'1510'!F1101</f>
        <v/>
      </c>
      <c r="F1100" s="139">
        <f>'1510'!C1101</f>
        <v/>
      </c>
      <c r="G1100" s="155">
        <f>'1510'!G1101</f>
        <v/>
      </c>
      <c r="H1100" s="155">
        <f>'1510'!H1101</f>
        <v/>
      </c>
      <c r="I1100" s="139">
        <f>'1510'!I1101</f>
        <v/>
      </c>
    </row>
    <row r="1101" outlineLevel="1" ht="15" customHeight="1" s="82">
      <c r="A1101" s="139">
        <f>'1510'!A1102</f>
        <v/>
      </c>
      <c r="B1101" s="139">
        <f>'1510'!B1102</f>
        <v/>
      </c>
      <c r="C1101" s="139">
        <f>'1510'!D1102</f>
        <v/>
      </c>
      <c r="D1101" s="140">
        <f>'1510'!E1102</f>
        <v/>
      </c>
      <c r="E1101" s="140">
        <f>'1510'!F1102</f>
        <v/>
      </c>
      <c r="F1101" s="139">
        <f>'1510'!C1102</f>
        <v/>
      </c>
      <c r="G1101" s="155">
        <f>'1510'!G1102</f>
        <v/>
      </c>
      <c r="H1101" s="155">
        <f>'1510'!H1102</f>
        <v/>
      </c>
      <c r="I1101" s="139">
        <f>'1510'!I1102</f>
        <v/>
      </c>
    </row>
    <row r="1102" outlineLevel="1" ht="15" customHeight="1" s="82">
      <c r="A1102" s="139">
        <f>'1510'!A1103</f>
        <v/>
      </c>
      <c r="B1102" s="139">
        <f>'1510'!B1103</f>
        <v/>
      </c>
      <c r="C1102" s="139">
        <f>'1510'!D1103</f>
        <v/>
      </c>
      <c r="D1102" s="140">
        <f>'1510'!E1103</f>
        <v/>
      </c>
      <c r="E1102" s="140">
        <f>'1510'!F1103</f>
        <v/>
      </c>
      <c r="F1102" s="139">
        <f>'1510'!C1103</f>
        <v/>
      </c>
      <c r="G1102" s="155">
        <f>'1510'!G1103</f>
        <v/>
      </c>
      <c r="H1102" s="155">
        <f>'1510'!H1103</f>
        <v/>
      </c>
      <c r="I1102" s="139">
        <f>'1510'!I1103</f>
        <v/>
      </c>
    </row>
    <row r="1103" outlineLevel="1" ht="15" customHeight="1" s="82">
      <c r="A1103" s="139">
        <f>'1510'!A1104</f>
        <v/>
      </c>
      <c r="B1103" s="139">
        <f>'1510'!B1104</f>
        <v/>
      </c>
      <c r="C1103" s="139">
        <f>'1510'!D1104</f>
        <v/>
      </c>
      <c r="D1103" s="140">
        <f>'1510'!E1104</f>
        <v/>
      </c>
      <c r="E1103" s="140">
        <f>'1510'!F1104</f>
        <v/>
      </c>
      <c r="F1103" s="139">
        <f>'1510'!C1104</f>
        <v/>
      </c>
      <c r="G1103" s="155">
        <f>'1510'!G1104</f>
        <v/>
      </c>
      <c r="H1103" s="155">
        <f>'1510'!H1104</f>
        <v/>
      </c>
      <c r="I1103" s="139">
        <f>'1510'!I1104</f>
        <v/>
      </c>
    </row>
    <row r="1104" outlineLevel="1" ht="15" customHeight="1" s="82">
      <c r="A1104" s="139">
        <f>'1510'!A1105</f>
        <v/>
      </c>
      <c r="B1104" s="139">
        <f>'1510'!B1105</f>
        <v/>
      </c>
      <c r="C1104" s="139">
        <f>'1510'!D1105</f>
        <v/>
      </c>
      <c r="D1104" s="140">
        <f>'1510'!E1105</f>
        <v/>
      </c>
      <c r="E1104" s="140">
        <f>'1510'!F1105</f>
        <v/>
      </c>
      <c r="F1104" s="139">
        <f>'1510'!C1105</f>
        <v/>
      </c>
      <c r="G1104" s="155">
        <f>'1510'!G1105</f>
        <v/>
      </c>
      <c r="H1104" s="155">
        <f>'1510'!H1105</f>
        <v/>
      </c>
      <c r="I1104" s="139">
        <f>'1510'!I1105</f>
        <v/>
      </c>
    </row>
    <row r="1105" outlineLevel="1" ht="15" customHeight="1" s="82">
      <c r="A1105" s="139">
        <f>'1510'!A1106</f>
        <v/>
      </c>
      <c r="B1105" s="139">
        <f>'1510'!B1106</f>
        <v/>
      </c>
      <c r="C1105" s="139">
        <f>'1510'!D1106</f>
        <v/>
      </c>
      <c r="D1105" s="140">
        <f>'1510'!E1106</f>
        <v/>
      </c>
      <c r="E1105" s="140">
        <f>'1510'!F1106</f>
        <v/>
      </c>
      <c r="F1105" s="139">
        <f>'1510'!C1106</f>
        <v/>
      </c>
      <c r="G1105" s="155">
        <f>'1510'!G1106</f>
        <v/>
      </c>
      <c r="H1105" s="155">
        <f>'1510'!H1106</f>
        <v/>
      </c>
      <c r="I1105" s="139">
        <f>'1510'!I1106</f>
        <v/>
      </c>
    </row>
    <row r="1106" outlineLevel="1" ht="15" customHeight="1" s="82">
      <c r="A1106" s="139">
        <f>'1510'!A1107</f>
        <v/>
      </c>
      <c r="B1106" s="139">
        <f>'1510'!B1107</f>
        <v/>
      </c>
      <c r="C1106" s="139">
        <f>'1510'!D1107</f>
        <v/>
      </c>
      <c r="D1106" s="140">
        <f>'1510'!E1107</f>
        <v/>
      </c>
      <c r="E1106" s="140">
        <f>'1510'!F1107</f>
        <v/>
      </c>
      <c r="F1106" s="139">
        <f>'1510'!C1107</f>
        <v/>
      </c>
      <c r="G1106" s="155">
        <f>'1510'!G1107</f>
        <v/>
      </c>
      <c r="H1106" s="155">
        <f>'1510'!H1107</f>
        <v/>
      </c>
      <c r="I1106" s="139">
        <f>'1510'!I1107</f>
        <v/>
      </c>
    </row>
    <row r="1107" outlineLevel="1" ht="15" customHeight="1" s="82">
      <c r="A1107" s="139">
        <f>'1510'!A1108</f>
        <v/>
      </c>
      <c r="B1107" s="139">
        <f>'1510'!B1108</f>
        <v/>
      </c>
      <c r="C1107" s="139">
        <f>'1510'!D1108</f>
        <v/>
      </c>
      <c r="D1107" s="140">
        <f>'1510'!E1108</f>
        <v/>
      </c>
      <c r="E1107" s="140">
        <f>'1510'!F1108</f>
        <v/>
      </c>
      <c r="F1107" s="139">
        <f>'1510'!C1108</f>
        <v/>
      </c>
      <c r="G1107" s="155">
        <f>'1510'!G1108</f>
        <v/>
      </c>
      <c r="H1107" s="155">
        <f>'1510'!H1108</f>
        <v/>
      </c>
      <c r="I1107" s="139">
        <f>'1510'!I1108</f>
        <v/>
      </c>
    </row>
    <row r="1108" outlineLevel="1" ht="15" customHeight="1" s="82">
      <c r="A1108" s="139">
        <f>'1510'!A1109</f>
        <v/>
      </c>
      <c r="B1108" s="139">
        <f>'1510'!B1109</f>
        <v/>
      </c>
      <c r="C1108" s="139">
        <f>'1510'!D1109</f>
        <v/>
      </c>
      <c r="D1108" s="140">
        <f>'1510'!E1109</f>
        <v/>
      </c>
      <c r="E1108" s="140">
        <f>'1510'!F1109</f>
        <v/>
      </c>
      <c r="F1108" s="139">
        <f>'1510'!C1109</f>
        <v/>
      </c>
      <c r="G1108" s="155">
        <f>'1510'!G1109</f>
        <v/>
      </c>
      <c r="H1108" s="155">
        <f>'1510'!H1109</f>
        <v/>
      </c>
      <c r="I1108" s="139">
        <f>'1510'!I1109</f>
        <v/>
      </c>
    </row>
    <row r="1109" outlineLevel="1" ht="15" customHeight="1" s="82">
      <c r="A1109" s="139">
        <f>'1510'!A1110</f>
        <v/>
      </c>
      <c r="B1109" s="139">
        <f>'1510'!B1110</f>
        <v/>
      </c>
      <c r="C1109" s="139">
        <f>'1510'!D1110</f>
        <v/>
      </c>
      <c r="D1109" s="140">
        <f>'1510'!E1110</f>
        <v/>
      </c>
      <c r="E1109" s="140">
        <f>'1510'!F1110</f>
        <v/>
      </c>
      <c r="F1109" s="139">
        <f>'1510'!C1110</f>
        <v/>
      </c>
      <c r="G1109" s="155">
        <f>'1510'!G1110</f>
        <v/>
      </c>
      <c r="H1109" s="155">
        <f>'1510'!H1110</f>
        <v/>
      </c>
      <c r="I1109" s="139">
        <f>'1510'!I1110</f>
        <v/>
      </c>
    </row>
    <row r="1110" outlineLevel="1" ht="15" customHeight="1" s="82">
      <c r="A1110" s="139">
        <f>'1510'!A1111</f>
        <v/>
      </c>
      <c r="B1110" s="139">
        <f>'1510'!B1111</f>
        <v/>
      </c>
      <c r="C1110" s="139">
        <f>'1510'!D1111</f>
        <v/>
      </c>
      <c r="D1110" s="140">
        <f>'1510'!E1111</f>
        <v/>
      </c>
      <c r="E1110" s="140">
        <f>'1510'!F1111</f>
        <v/>
      </c>
      <c r="F1110" s="139">
        <f>'1510'!C1111</f>
        <v/>
      </c>
      <c r="G1110" s="155">
        <f>'1510'!G1111</f>
        <v/>
      </c>
      <c r="H1110" s="155">
        <f>'1510'!H1111</f>
        <v/>
      </c>
      <c r="I1110" s="139">
        <f>'1510'!I1111</f>
        <v/>
      </c>
    </row>
    <row r="1111" outlineLevel="1" ht="15" customHeight="1" s="82">
      <c r="A1111" s="139">
        <f>'1510'!A1112</f>
        <v/>
      </c>
      <c r="B1111" s="139">
        <f>'1510'!B1112</f>
        <v/>
      </c>
      <c r="C1111" s="139">
        <f>'1510'!D1112</f>
        <v/>
      </c>
      <c r="D1111" s="140">
        <f>'1510'!E1112</f>
        <v/>
      </c>
      <c r="E1111" s="140">
        <f>'1510'!F1112</f>
        <v/>
      </c>
      <c r="F1111" s="139">
        <f>'1510'!C1112</f>
        <v/>
      </c>
      <c r="G1111" s="155">
        <f>'1510'!G1112</f>
        <v/>
      </c>
      <c r="H1111" s="155">
        <f>'1510'!H1112</f>
        <v/>
      </c>
      <c r="I1111" s="139">
        <f>'1510'!I1112</f>
        <v/>
      </c>
    </row>
    <row r="1112" outlineLevel="1" ht="15" customHeight="1" s="82">
      <c r="A1112" s="139">
        <f>'1510'!A1113</f>
        <v/>
      </c>
      <c r="B1112" s="139">
        <f>'1510'!B1113</f>
        <v/>
      </c>
      <c r="C1112" s="139">
        <f>'1510'!D1113</f>
        <v/>
      </c>
      <c r="D1112" s="140">
        <f>'1510'!E1113</f>
        <v/>
      </c>
      <c r="E1112" s="140">
        <f>'1510'!F1113</f>
        <v/>
      </c>
      <c r="F1112" s="139">
        <f>'1510'!C1113</f>
        <v/>
      </c>
      <c r="G1112" s="155">
        <f>'1510'!G1113</f>
        <v/>
      </c>
      <c r="H1112" s="155">
        <f>'1510'!H1113</f>
        <v/>
      </c>
      <c r="I1112" s="139">
        <f>'1510'!I1113</f>
        <v/>
      </c>
    </row>
    <row r="1113" outlineLevel="1" ht="15" customHeight="1" s="82">
      <c r="A1113" s="139">
        <f>'1510'!A1114</f>
        <v/>
      </c>
      <c r="B1113" s="139">
        <f>'1510'!B1114</f>
        <v/>
      </c>
      <c r="C1113" s="139">
        <f>'1510'!D1114</f>
        <v/>
      </c>
      <c r="D1113" s="140">
        <f>'1510'!E1114</f>
        <v/>
      </c>
      <c r="E1113" s="140">
        <f>'1510'!F1114</f>
        <v/>
      </c>
      <c r="F1113" s="139">
        <f>'1510'!C1114</f>
        <v/>
      </c>
      <c r="G1113" s="155">
        <f>'1510'!G1114</f>
        <v/>
      </c>
      <c r="H1113" s="155">
        <f>'1510'!H1114</f>
        <v/>
      </c>
      <c r="I1113" s="139">
        <f>'1510'!I1114</f>
        <v/>
      </c>
    </row>
    <row r="1114" outlineLevel="1" ht="15" customHeight="1" s="82">
      <c r="A1114" s="139">
        <f>'1510'!A1115</f>
        <v/>
      </c>
      <c r="B1114" s="139">
        <f>'1510'!B1115</f>
        <v/>
      </c>
      <c r="C1114" s="139">
        <f>'1510'!D1115</f>
        <v/>
      </c>
      <c r="D1114" s="140">
        <f>'1510'!E1115</f>
        <v/>
      </c>
      <c r="E1114" s="140">
        <f>'1510'!F1115</f>
        <v/>
      </c>
      <c r="F1114" s="139">
        <f>'1510'!C1115</f>
        <v/>
      </c>
      <c r="G1114" s="155">
        <f>'1510'!G1115</f>
        <v/>
      </c>
      <c r="H1114" s="155">
        <f>'1510'!H1115</f>
        <v/>
      </c>
      <c r="I1114" s="139">
        <f>'1510'!I1115</f>
        <v/>
      </c>
    </row>
    <row r="1115" outlineLevel="1" ht="15" customHeight="1" s="82">
      <c r="A1115" s="139">
        <f>'1510'!A1116</f>
        <v/>
      </c>
      <c r="B1115" s="139">
        <f>'1510'!B1116</f>
        <v/>
      </c>
      <c r="C1115" s="139">
        <f>'1510'!D1116</f>
        <v/>
      </c>
      <c r="D1115" s="140">
        <f>'1510'!E1116</f>
        <v/>
      </c>
      <c r="E1115" s="140">
        <f>'1510'!F1116</f>
        <v/>
      </c>
      <c r="F1115" s="139">
        <f>'1510'!C1116</f>
        <v/>
      </c>
      <c r="G1115" s="155">
        <f>'1510'!G1116</f>
        <v/>
      </c>
      <c r="H1115" s="155">
        <f>'1510'!H1116</f>
        <v/>
      </c>
      <c r="I1115" s="139">
        <f>'1510'!I1116</f>
        <v/>
      </c>
    </row>
    <row r="1116" outlineLevel="1" ht="15" customHeight="1" s="82">
      <c r="A1116" s="139">
        <f>'1510'!A1117</f>
        <v/>
      </c>
      <c r="B1116" s="139">
        <f>'1510'!B1117</f>
        <v/>
      </c>
      <c r="C1116" s="139">
        <f>'1510'!D1117</f>
        <v/>
      </c>
      <c r="D1116" s="140">
        <f>'1510'!E1117</f>
        <v/>
      </c>
      <c r="E1116" s="140">
        <f>'1510'!F1117</f>
        <v/>
      </c>
      <c r="F1116" s="139">
        <f>'1510'!C1117</f>
        <v/>
      </c>
      <c r="G1116" s="155">
        <f>'1510'!G1117</f>
        <v/>
      </c>
      <c r="H1116" s="155">
        <f>'1510'!H1117</f>
        <v/>
      </c>
      <c r="I1116" s="139">
        <f>'1510'!I1117</f>
        <v/>
      </c>
    </row>
    <row r="1117" outlineLevel="1" ht="15" customHeight="1" s="82">
      <c r="A1117" s="139">
        <f>'1510'!A1118</f>
        <v/>
      </c>
      <c r="B1117" s="139">
        <f>'1510'!B1118</f>
        <v/>
      </c>
      <c r="C1117" s="139">
        <f>'1510'!D1118</f>
        <v/>
      </c>
      <c r="D1117" s="140">
        <f>'1510'!E1118</f>
        <v/>
      </c>
      <c r="E1117" s="140">
        <f>'1510'!F1118</f>
        <v/>
      </c>
      <c r="F1117" s="139">
        <f>'1510'!C1118</f>
        <v/>
      </c>
      <c r="G1117" s="155">
        <f>'1510'!G1118</f>
        <v/>
      </c>
      <c r="H1117" s="155">
        <f>'1510'!H1118</f>
        <v/>
      </c>
      <c r="I1117" s="139">
        <f>'1510'!I1118</f>
        <v/>
      </c>
    </row>
    <row r="1118" outlineLevel="1" ht="15" customHeight="1" s="82">
      <c r="A1118" s="139">
        <f>'1510'!A1119</f>
        <v/>
      </c>
      <c r="B1118" s="139">
        <f>'1510'!B1119</f>
        <v/>
      </c>
      <c r="C1118" s="139">
        <f>'1510'!D1119</f>
        <v/>
      </c>
      <c r="D1118" s="140">
        <f>'1510'!E1119</f>
        <v/>
      </c>
      <c r="E1118" s="140">
        <f>'1510'!F1119</f>
        <v/>
      </c>
      <c r="F1118" s="139">
        <f>'1510'!C1119</f>
        <v/>
      </c>
      <c r="G1118" s="155">
        <f>'1510'!G1119</f>
        <v/>
      </c>
      <c r="H1118" s="155">
        <f>'1510'!H1119</f>
        <v/>
      </c>
      <c r="I1118" s="139">
        <f>'1510'!I1119</f>
        <v/>
      </c>
    </row>
    <row r="1119" outlineLevel="1" ht="15" customHeight="1" s="82">
      <c r="A1119" s="139">
        <f>'1510'!A1120</f>
        <v/>
      </c>
      <c r="B1119" s="139">
        <f>'1510'!B1120</f>
        <v/>
      </c>
      <c r="C1119" s="139">
        <f>'1510'!D1120</f>
        <v/>
      </c>
      <c r="D1119" s="140">
        <f>'1510'!E1120</f>
        <v/>
      </c>
      <c r="E1119" s="140">
        <f>'1510'!F1120</f>
        <v/>
      </c>
      <c r="F1119" s="139">
        <f>'1510'!C1120</f>
        <v/>
      </c>
      <c r="G1119" s="155">
        <f>'1510'!G1120</f>
        <v/>
      </c>
      <c r="H1119" s="155">
        <f>'1510'!H1120</f>
        <v/>
      </c>
      <c r="I1119" s="139">
        <f>'1510'!I1120</f>
        <v/>
      </c>
    </row>
    <row r="1120" outlineLevel="1" ht="15" customHeight="1" s="82">
      <c r="A1120" s="139">
        <f>'1510'!A1121</f>
        <v/>
      </c>
      <c r="B1120" s="139">
        <f>'1510'!B1121</f>
        <v/>
      </c>
      <c r="C1120" s="139">
        <f>'1510'!D1121</f>
        <v/>
      </c>
      <c r="D1120" s="140">
        <f>'1510'!E1121</f>
        <v/>
      </c>
      <c r="E1120" s="140">
        <f>'1510'!F1121</f>
        <v/>
      </c>
      <c r="F1120" s="139">
        <f>'1510'!C1121</f>
        <v/>
      </c>
      <c r="G1120" s="155">
        <f>'1510'!G1121</f>
        <v/>
      </c>
      <c r="H1120" s="155">
        <f>'1510'!H1121</f>
        <v/>
      </c>
      <c r="I1120" s="139">
        <f>'1510'!I1121</f>
        <v/>
      </c>
    </row>
    <row r="1121" outlineLevel="1" ht="15" customHeight="1" s="82">
      <c r="A1121" s="139">
        <f>'1510'!A1122</f>
        <v/>
      </c>
      <c r="B1121" s="139">
        <f>'1510'!B1122</f>
        <v/>
      </c>
      <c r="C1121" s="139">
        <f>'1510'!D1122</f>
        <v/>
      </c>
      <c r="D1121" s="140">
        <f>'1510'!E1122</f>
        <v/>
      </c>
      <c r="E1121" s="140">
        <f>'1510'!F1122</f>
        <v/>
      </c>
      <c r="F1121" s="139">
        <f>'1510'!C1122</f>
        <v/>
      </c>
      <c r="G1121" s="155">
        <f>'1510'!G1122</f>
        <v/>
      </c>
      <c r="H1121" s="155">
        <f>'1510'!H1122</f>
        <v/>
      </c>
      <c r="I1121" s="139">
        <f>'1510'!I1122</f>
        <v/>
      </c>
    </row>
    <row r="1122" outlineLevel="1" ht="15" customHeight="1" s="82">
      <c r="A1122" s="139">
        <f>'1510'!A1123</f>
        <v/>
      </c>
      <c r="B1122" s="139">
        <f>'1510'!B1123</f>
        <v/>
      </c>
      <c r="C1122" s="139">
        <f>'1510'!D1123</f>
        <v/>
      </c>
      <c r="D1122" s="140">
        <f>'1510'!E1123</f>
        <v/>
      </c>
      <c r="E1122" s="140">
        <f>'1510'!F1123</f>
        <v/>
      </c>
      <c r="F1122" s="139">
        <f>'1510'!C1123</f>
        <v/>
      </c>
      <c r="G1122" s="155">
        <f>'1510'!G1123</f>
        <v/>
      </c>
      <c r="H1122" s="155">
        <f>'1510'!H1123</f>
        <v/>
      </c>
      <c r="I1122" s="139">
        <f>'1510'!I1123</f>
        <v/>
      </c>
    </row>
    <row r="1123" outlineLevel="1" ht="15" customHeight="1" s="82">
      <c r="A1123" s="139">
        <f>'1510'!A1124</f>
        <v/>
      </c>
      <c r="B1123" s="139">
        <f>'1510'!B1124</f>
        <v/>
      </c>
      <c r="C1123" s="139">
        <f>'1510'!D1124</f>
        <v/>
      </c>
      <c r="D1123" s="140">
        <f>'1510'!E1124</f>
        <v/>
      </c>
      <c r="E1123" s="140">
        <f>'1510'!F1124</f>
        <v/>
      </c>
      <c r="F1123" s="139">
        <f>'1510'!C1124</f>
        <v/>
      </c>
      <c r="G1123" s="155">
        <f>'1510'!G1124</f>
        <v/>
      </c>
      <c r="H1123" s="155">
        <f>'1510'!H1124</f>
        <v/>
      </c>
      <c r="I1123" s="139">
        <f>'1510'!I1124</f>
        <v/>
      </c>
    </row>
    <row r="1124" outlineLevel="1" ht="15" customHeight="1" s="82">
      <c r="A1124" s="139">
        <f>'1510'!A1125</f>
        <v/>
      </c>
      <c r="B1124" s="139">
        <f>'1510'!B1125</f>
        <v/>
      </c>
      <c r="C1124" s="139">
        <f>'1510'!D1125</f>
        <v/>
      </c>
      <c r="D1124" s="140">
        <f>'1510'!E1125</f>
        <v/>
      </c>
      <c r="E1124" s="140">
        <f>'1510'!F1125</f>
        <v/>
      </c>
      <c r="F1124" s="139">
        <f>'1510'!C1125</f>
        <v/>
      </c>
      <c r="G1124" s="155">
        <f>'1510'!G1125</f>
        <v/>
      </c>
      <c r="H1124" s="155">
        <f>'1510'!H1125</f>
        <v/>
      </c>
      <c r="I1124" s="139">
        <f>'1510'!I1125</f>
        <v/>
      </c>
    </row>
    <row r="1125" outlineLevel="1" ht="15" customHeight="1" s="82">
      <c r="A1125" s="139">
        <f>'1510'!A1126</f>
        <v/>
      </c>
      <c r="B1125" s="139">
        <f>'1510'!B1126</f>
        <v/>
      </c>
      <c r="C1125" s="139">
        <f>'1510'!D1126</f>
        <v/>
      </c>
      <c r="D1125" s="140">
        <f>'1510'!E1126</f>
        <v/>
      </c>
      <c r="E1125" s="140">
        <f>'1510'!F1126</f>
        <v/>
      </c>
      <c r="F1125" s="139">
        <f>'1510'!C1126</f>
        <v/>
      </c>
      <c r="G1125" s="155">
        <f>'1510'!G1126</f>
        <v/>
      </c>
      <c r="H1125" s="155">
        <f>'1510'!H1126</f>
        <v/>
      </c>
      <c r="I1125" s="139">
        <f>'1510'!I1126</f>
        <v/>
      </c>
    </row>
    <row r="1126" outlineLevel="1" ht="15" customHeight="1" s="82">
      <c r="A1126" s="139">
        <f>'1510'!A1127</f>
        <v/>
      </c>
      <c r="B1126" s="139">
        <f>'1510'!B1127</f>
        <v/>
      </c>
      <c r="C1126" s="139">
        <f>'1510'!D1127</f>
        <v/>
      </c>
      <c r="D1126" s="140">
        <f>'1510'!E1127</f>
        <v/>
      </c>
      <c r="E1126" s="140">
        <f>'1510'!F1127</f>
        <v/>
      </c>
      <c r="F1126" s="139">
        <f>'1510'!C1127</f>
        <v/>
      </c>
      <c r="G1126" s="155">
        <f>'1510'!G1127</f>
        <v/>
      </c>
      <c r="H1126" s="155">
        <f>'1510'!H1127</f>
        <v/>
      </c>
      <c r="I1126" s="139">
        <f>'1510'!I1127</f>
        <v/>
      </c>
    </row>
    <row r="1127" ht="15" customHeight="1" s="82"/>
    <row r="1128" ht="15" customHeight="1" s="82">
      <c r="A1128" s="143">
        <f>'1510'!A1129</f>
        <v/>
      </c>
      <c r="B1128" s="143" t="n"/>
      <c r="C1128" s="143">
        <f>'1510'!D1129</f>
        <v/>
      </c>
      <c r="D1128" s="153">
        <f>'1510'!E1129</f>
        <v/>
      </c>
      <c r="E1128" s="153">
        <f>'1510'!F1129</f>
        <v/>
      </c>
      <c r="F1128" s="143" t="n"/>
      <c r="G1128" s="154">
        <f>'1510'!G1129</f>
        <v/>
      </c>
      <c r="H1128" s="154">
        <f>'1510'!H1129</f>
        <v/>
      </c>
      <c r="I1128" s="143">
        <f>'1510'!I1129</f>
        <v/>
      </c>
    </row>
    <row r="1129" outlineLevel="1" ht="15" customHeight="1" s="82">
      <c r="A1129" s="139">
        <f>'1510'!A1130</f>
        <v/>
      </c>
      <c r="B1129" s="139">
        <f>'1510'!B1130</f>
        <v/>
      </c>
      <c r="C1129" s="139">
        <f>'1510'!D1130</f>
        <v/>
      </c>
      <c r="D1129" s="140">
        <f>'1510'!E1130</f>
        <v/>
      </c>
      <c r="E1129" s="140">
        <f>'1510'!F1130</f>
        <v/>
      </c>
      <c r="F1129" s="139">
        <f>'1510'!C1130</f>
        <v/>
      </c>
      <c r="G1129" s="155">
        <f>'1510'!G1130</f>
        <v/>
      </c>
      <c r="H1129" s="155">
        <f>'1510'!H1130</f>
        <v/>
      </c>
      <c r="I1129" s="139">
        <f>'1510'!I1130</f>
        <v/>
      </c>
    </row>
    <row r="1130" outlineLevel="1" ht="15" customHeight="1" s="82">
      <c r="A1130" s="139">
        <f>'1510'!A1131</f>
        <v/>
      </c>
      <c r="B1130" s="139">
        <f>'1510'!B1131</f>
        <v/>
      </c>
      <c r="C1130" s="139">
        <f>'1510'!D1131</f>
        <v/>
      </c>
      <c r="D1130" s="140">
        <f>'1510'!E1131</f>
        <v/>
      </c>
      <c r="E1130" s="140">
        <f>'1510'!F1131</f>
        <v/>
      </c>
      <c r="F1130" s="139">
        <f>'1510'!C1131</f>
        <v/>
      </c>
      <c r="G1130" s="155">
        <f>'1510'!G1131</f>
        <v/>
      </c>
      <c r="H1130" s="155">
        <f>'1510'!H1131</f>
        <v/>
      </c>
      <c r="I1130" s="139">
        <f>'1510'!I1131</f>
        <v/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2026-10-02T11:00:03Z</dcterms:created>
  <dcterms:modified xmlns:dcterms="http://purl.org/dc/terms/" xmlns:xsi="http://www.w3.org/2001/XMLSchema-instance" xsi:type="dcterms:W3CDTF">2026-10-15T13:54:44Z</dcterms:modified>
  <cp:lastModifiedBy>Eyal Sadot</cp:lastModifiedBy>
  <cp:revision>0</cp:revision>
</cp:coreProperties>
</file>