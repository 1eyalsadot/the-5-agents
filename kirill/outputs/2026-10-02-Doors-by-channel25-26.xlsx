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10,074.4 לבין "- Unassigned -"=1,625;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3,271.1 לבין "- Unassigned -"=500;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33,574.8 לבין "- Unassigned -"=1,625;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9,815.6 לבין "- Unassigned -"=1,875;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4,814.4 לבין "- Unassigned -"=375;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9,683.8 לבין "- Unassigned -"=625;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5,503.8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4,484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6,320.4 לבין "- Unassigned -"=875;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אזולאי דוד=</t>
        </r>
        <r>
          <rPr>
            <sz val="10"/>
            <rFont val="Arial"/>
            <family val="2"/>
            <charset val="1"/>
          </rPr>
          <t xml:space="preserve">1,195.3 לבין "- Unassigned -"=250; </t>
        </r>
        <r>
          <rPr>
            <sz val="10"/>
            <rFont val="FreeSans"/>
            <family val="2"/>
            <charset val="1"/>
          </rPr>
          <t xml:space="preserve">מוזג במלואו לאזולאי דוד, סה"כ </t>
        </r>
        <r>
          <rPr>
            <sz val="10"/>
            <rFont val="Arial"/>
            <family val="2"/>
            <charset val="1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סטניסלב נסאר=</t>
        </r>
        <r>
          <rPr>
            <sz val="10"/>
            <rFont val="Arial"/>
            <family val="2"/>
            <charset val="1"/>
          </rPr>
          <t xml:space="preserve">3,102.6 לבין "- Unassigned -"=500; </t>
        </r>
        <r>
          <rPr>
            <sz val="10"/>
            <rFont val="FreeSans"/>
            <family val="2"/>
            <charset val="1"/>
          </rPr>
          <t xml:space="preserve">מוזג במלואו לסטניסלב נסאר, סה"כ </t>
        </r>
        <r>
          <rPr>
            <sz val="10"/>
            <rFont val="Arial"/>
            <family val="2"/>
            <charset val="1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חיים ויצמן=</t>
        </r>
        <r>
          <rPr>
            <sz val="10"/>
            <rFont val="Arial"/>
            <family val="2"/>
            <charset val="1"/>
          </rPr>
          <t xml:space="preserve">1,076.8 לבין "- Unassigned -"=1,125; </t>
        </r>
        <r>
          <rPr>
            <sz val="10"/>
            <rFont val="FreeSans"/>
            <family val="2"/>
            <charset val="1"/>
          </rPr>
          <t xml:space="preserve">מוזג במלואו לחיים ויצמן, סה"כ </t>
        </r>
        <r>
          <rPr>
            <sz val="10"/>
            <rFont val="Arial"/>
            <family val="2"/>
            <charset val="1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חיים ויצמן=</t>
        </r>
        <r>
          <rPr>
            <sz val="10"/>
            <rFont val="Arial"/>
            <family val="2"/>
            <charset val="1"/>
          </rPr>
          <t xml:space="preserve">2,255.1 לבין "- Unassigned -"=375; </t>
        </r>
        <r>
          <rPr>
            <sz val="10"/>
            <rFont val="FreeSans"/>
            <family val="2"/>
            <charset val="1"/>
          </rPr>
          <t xml:space="preserve">מוזג במלואו לחיים ויצמן, סה"כ </t>
        </r>
        <r>
          <rPr>
            <sz val="10"/>
            <rFont val="Arial"/>
            <family val="2"/>
            <charset val="1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  <charset val="1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5,527.4 לבין "- Unassigned -"=1,000;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4,595.6 לבין "- Unassigned -"=500;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היה: מפוצל בין חאזם תלחמי=</t>
        </r>
        <r>
          <rPr>
            <sz val="10"/>
            <rFont val="Arial"/>
            <family val="2"/>
            <charset val="1"/>
          </rPr>
          <t xml:space="preserve">771.2 לבין "- Unassigned -"=500; </t>
        </r>
        <r>
          <rPr>
            <sz val="10"/>
            <rFont val="FreeSans"/>
            <family val="2"/>
            <charset val="1"/>
          </rPr>
          <t xml:space="preserve">מוזג במלואו לחאזם תלחמי, סה"כ </t>
        </r>
        <r>
          <rPr>
            <sz val="10"/>
            <rFont val="Arial"/>
            <family val="2"/>
            <charset val="1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  <charset val="1"/>
          </rPr>
          <t xml:space="preserve">04.10.2026 (</t>
        </r>
        <r>
          <rPr>
            <sz val="10"/>
            <rFont val="FreeSans"/>
            <family val="2"/>
            <charset val="1"/>
          </rPr>
          <t xml:space="preserve">היה</t>
        </r>
        <r>
          <rPr>
            <sz val="10"/>
            <rFont val="Arial"/>
            <family val="2"/>
            <charset val="1"/>
          </rPr>
          <t xml:space="preserve">: "- Unassigned -" </t>
        </r>
        <r>
          <rPr>
            <sz val="10"/>
            <rFont val="FreeSans"/>
            <family val="2"/>
            <charset val="1"/>
          </rPr>
          <t xml:space="preserve">בלבד=</t>
        </r>
        <r>
          <rPr>
            <sz val="10"/>
            <rFont val="Arial"/>
            <family val="2"/>
            <charset val="1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  <charset val="1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  <charset val="1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  <charset val="1"/>
          </rPr>
          <t xml:space="preserve">" (CHMI,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  <charset val="1"/>
          </rPr>
          <t xml:space="preserve">156903 טל שחר ב.מ" (NetSuite,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  <charset val="1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  <charset val="1"/>
          </rPr>
          <t xml:space="preserve">שורה </t>
        </r>
        <r>
          <rPr>
            <sz val="10"/>
            <rFont val="Arial"/>
            <family val="2"/>
            <charset val="1"/>
          </rPr>
          <t xml:space="preserve">26. (קיריל, 2026-10-04)</t>
        </r>
      </text>
    </comment>
  </commentList>
</comments>
</file>

<file path=xl/sharedStrings.xml><?xml version="1.0" encoding="utf-8"?>
<sst xmlns="http://schemas.openxmlformats.org/spreadsheetml/2006/main" count="17589" uniqueCount="3810">
  <si>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</si>
  <si>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</si>
  <si>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</si>
  <si>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</si>
  <si>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</si>
  <si>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</si>
  <si>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</si>
  <si>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</si>
  <si>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</si>
  <si>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</si>
  <si>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</si>
  <si>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</si>
  <si>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</si>
  <si>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</si>
  <si>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</si>
  <si>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</si>
  <si>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</si>
  <si>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</si>
  <si>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</si>
  <si>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</si>
  <si>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</si>
  <si>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</si>
  <si>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</si>
  <si>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</si>
  <si>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</si>
  <si>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</si>
  <si>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</si>
  <si>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</si>
  <si>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</si>
  <si>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</si>
  <si>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</si>
  <si>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</si>
  <si>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</si>
  <si>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</si>
  <si>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</si>
  <si>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</si>
  <si>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</si>
  <si>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</si>
  <si>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</si>
  <si>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</si>
  <si>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</si>
  <si>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</si>
  <si>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</si>
  <si>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</si>
  <si>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</si>
  <si>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</si>
  <si>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</si>
  <si>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</si>
  <si>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</si>
  <si>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</si>
  <si>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</si>
  <si>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</si>
  <si>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</si>
  <si>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</si>
  <si>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</si>
  <si>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</si>
  <si>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</si>
  <si>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</si>
  <si>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</si>
  <si>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</si>
  <si>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</si>
  <si>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</si>
  <si>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</si>
  <si>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</si>
  <si>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</si>
  <si>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</si>
  <si>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</si>
  <si>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</si>
  <si>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</si>
  <si>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</si>
  <si>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</si>
  <si>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</si>
  <si>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</si>
  <si>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</si>
  <si>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</si>
  <si>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</si>
  <si>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</si>
  <si>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</si>
  <si>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</si>
  <si>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</si>
  <si>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</si>
  <si>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</si>
  <si>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</si>
  <si>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</si>
  <si>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</si>
  <si>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</si>
  <si>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</si>
  <si>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</si>
  <si>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</si>
  <si>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</si>
  <si>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</si>
  <si>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</si>
  <si>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</si>
  <si>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</si>
  <si>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</si>
  <si>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</si>
  <si>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</si>
  <si>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</si>
  <si>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</si>
  <si>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</si>
  <si>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</si>
  <si>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</si>
  <si>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</si>
  <si>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</si>
  <si>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</si>
  <si>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</si>
  <si>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</si>
  <si>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</si>
  <si>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</si>
  <si>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</si>
  <si>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</si>
  <si>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</si>
  <si>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</si>
  <si>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</si>
  <si>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</si>
  <si>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</si>
  <si>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</si>
  <si>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</si>
  <si>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</si>
  <si>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</si>
  <si>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</si>
  <si>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</si>
  <si>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</si>
  <si>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</si>
  <si>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</si>
  <si>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</si>
  <si>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</si>
  <si>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</si>
  <si>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</si>
  <si>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</si>
  <si>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</si>
  <si>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</si>
  <si>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</si>
  <si>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</si>
  <si>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</si>
  <si>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</si>
  <si>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</si>
  <si>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</si>
  <si>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</si>
  <si>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</si>
  <si>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</si>
  <si>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</si>
  <si>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</si>
  <si>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</si>
  <si>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</si>
  <si>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</si>
  <si>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</si>
  <si>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</si>
  <si>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</si>
  <si>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</si>
  <si>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</si>
  <si>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</si>
  <si>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</si>
  <si>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</si>
  <si>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</si>
  <si>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</si>
  <si>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</si>
  <si>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</si>
  <si>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</si>
  <si>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</si>
  <si>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</si>
  <si>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</si>
  <si>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</si>
  <si>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</si>
  <si>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</si>
  <si>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</si>
  <si>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</si>
  <si>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</si>
  <si>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</si>
  <si>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</si>
  <si>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</si>
  <si>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</si>
  <si>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</si>
  <si>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</si>
  <si>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</si>
  <si>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</si>
  <si>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</si>
  <si>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</si>
  <si>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</si>
  <si>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</si>
  <si>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</si>
  <si>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</si>
  <si>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</si>
  <si>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</si>
  <si>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</si>
  <si>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</si>
  <si>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</si>
  <si>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</si>
  <si>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</si>
  <si>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</si>
  <si>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</si>
  <si>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</si>
  <si>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</si>
  <si>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</si>
  <si>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</si>
  <si>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</si>
  <si>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</si>
  <si>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</si>
  <si>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</si>
  <si>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</si>
  <si>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</si>
  <si>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</si>
  <si>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</si>
  <si>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</si>
  <si>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</si>
  <si>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</si>
  <si>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</si>
  <si>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</si>
  <si>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</si>
  <si>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</si>
  <si>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</si>
  <si>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</si>
  <si>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</si>
  <si>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</si>
  <si>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</si>
  <si>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</si>
  <si>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</si>
  <si>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</si>
  <si>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</si>
  <si>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</si>
  <si>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</si>
  <si>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</si>
  <si>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</si>
  <si>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</si>
  <si>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</si>
  <si>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</si>
  <si>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</si>
  <si>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</si>
  <si>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</si>
  <si>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</si>
  <si>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</si>
  <si>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</si>
  <si>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</si>
  <si>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</si>
  <si>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</si>
  <si>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</si>
  <si>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</si>
  <si>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</si>
  <si>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</si>
  <si>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</si>
  <si>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</si>
  <si>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</si>
  <si>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</si>
  <si>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</si>
  <si>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</si>
  <si>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</si>
  <si>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</si>
  <si>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</si>
  <si>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</si>
  <si>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</si>
  <si>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</si>
  <si>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</si>
  <si>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</si>
  <si>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</si>
  <si>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</si>
  <si>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</si>
  <si>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</si>
  <si>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</si>
  <si>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</si>
  <si>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</si>
  <si>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</si>
  <si>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</si>
  <si>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</si>
  <si>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</si>
  <si>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</si>
  <si>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</si>
  <si>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</si>
  <si>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</si>
  <si>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</si>
  <si>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</si>
  <si>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</si>
  <si>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</si>
  <si>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</si>
  <si>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</si>
  <si>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</si>
  <si>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</si>
  <si>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</si>
  <si>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</si>
  <si>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</si>
  <si>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</si>
  <si>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</si>
  <si>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</si>
  <si>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</si>
  <si>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</si>
  <si>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</si>
  <si>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</si>
  <si>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</si>
  <si>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</si>
  <si>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</si>
  <si>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</si>
  <si>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</si>
  <si>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</si>
  <si>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</si>
  <si>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</si>
  <si>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</si>
  <si>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</si>
  <si>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</si>
  <si>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</si>
  <si>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</si>
  <si>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</si>
  <si>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</si>
  <si>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</si>
  <si>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</si>
  <si>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</si>
  <si>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</si>
  <si>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</si>
  <si>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</si>
  <si>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</si>
  <si>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</si>
  <si>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</si>
  <si>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</si>
  <si>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</si>
  <si>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</si>
  <si>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</si>
  <si>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</si>
  <si>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</si>
  <si>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</si>
  <si>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</si>
  <si>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</si>
  <si>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</si>
  <si>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</si>
  <si>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</si>
  <si>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</si>
  <si>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</si>
  <si>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</si>
  <si>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</si>
  <si>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</si>
  <si>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</si>
  <si>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</si>
  <si>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</si>
  <si>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</si>
  <si>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</si>
  <si>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</si>
  <si>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</si>
  <si>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</si>
  <si>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</si>
  <si>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</si>
  <si>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</si>
  <si>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</si>
  <si>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</si>
  <si>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</si>
  <si>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</si>
  <si>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</si>
  <si>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</si>
  <si>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</si>
  <si>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</si>
  <si>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</si>
  <si>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</si>
  <si>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</si>
  <si>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</si>
  <si>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</si>
  <si>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</si>
  <si>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</si>
  <si>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</si>
  <si>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</si>
  <si>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</si>
  <si>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</si>
  <si>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</si>
  <si>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</si>
  <si>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</si>
  <si>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</si>
  <si>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</si>
  <si>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</si>
  <si>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</si>
  <si>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</si>
  <si>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</si>
  <si>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</si>
  <si>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</si>
  <si>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</si>
  <si>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</si>
  <si>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</si>
  <si>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</si>
  <si>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</si>
  <si>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</si>
  <si>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</si>
  <si>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</si>
  <si>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</si>
  <si>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</si>
  <si>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</si>
  <si>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</si>
  <si>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</si>
  <si>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</si>
  <si>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</si>
  <si>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</si>
  <si>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</si>
  <si>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</si>
  <si>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</si>
  <si>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</si>
  <si>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</si>
  <si>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</si>
  <si>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</si>
  <si>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</si>
  <si>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</si>
  <si>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</si>
  <si>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</si>
  <si>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</si>
  <si>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</si>
  <si>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</si>
  <si>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</si>
  <si>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</si>
  <si>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</si>
  <si>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</si>
  <si>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</si>
  <si>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</si>
  <si>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</si>
  <si>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</si>
  <si>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</si>
  <si>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</si>
  <si>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</si>
  <si>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</si>
  <si>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</si>
  <si>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</si>
  <si>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</si>
  <si>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</si>
  <si>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</si>
  <si>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</si>
  <si>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</si>
  <si>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</si>
  <si>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</si>
  <si>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</si>
  <si>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</si>
  <si>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</si>
  <si>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</si>
  <si>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</si>
  <si>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</si>
  <si>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</si>
  <si>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</si>
  <si>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</si>
  <si>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</si>
  <si>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</si>
  <si>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</si>
  <si>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</si>
  <si>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</si>
  <si>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</si>
  <si>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</si>
  <si>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</si>
  <si>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</si>
  <si>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</si>
  <si>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</si>
  <si>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</si>
  <si>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</si>
  <si>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</si>
  <si>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</si>
  <si>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</si>
  <si>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</si>
  <si>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</si>
  <si>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</si>
  <si>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</si>
  <si>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</si>
  <si>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</si>
  <si>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</si>
  <si>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</si>
  <si>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</si>
  <si>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</si>
  <si>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</si>
  <si>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</si>
  <si>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</si>
  <si>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</si>
  <si>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</si>
  <si>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</si>
  <si>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</si>
  <si>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</si>
  <si>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</si>
  <si>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</si>
  <si>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</si>
  <si>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</si>
  <si>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</si>
  <si>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</si>
  <si>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</si>
  <si>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</si>
  <si>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</si>
  <si>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</si>
  <si>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</si>
  <si>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</si>
  <si>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</si>
  <si>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</si>
  <si>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</si>
  <si>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</si>
  <si>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</si>
  <si>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</si>
  <si>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</si>
  <si>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</si>
  <si>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</si>
  <si>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</si>
  <si>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</si>
  <si>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</si>
  <si>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</si>
  <si>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</si>
  <si>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</si>
  <si>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</si>
  <si>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</si>
  <si>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</si>
  <si>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</si>
  <si>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</si>
  <si>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</si>
  <si>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</si>
  <si>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</si>
  <si>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</si>
  <si>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</si>
  <si>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</si>
  <si>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</si>
  <si>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</si>
  <si>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</si>
  <si>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</si>
  <si>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</si>
  <si>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</si>
  <si>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</si>
  <si>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</si>
  <si>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</si>
  <si>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</si>
  <si>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</si>
  <si>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</si>
  <si>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</si>
  <si>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</si>
  <si>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</si>
  <si>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</si>
  <si>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</si>
  <si>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</si>
  <si>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</si>
  <si>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</si>
  <si>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</si>
  <si>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</si>
  <si>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</si>
  <si>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</si>
  <si>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</si>
  <si>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</si>
  <si>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</si>
  <si>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</si>
  <si>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</si>
  <si>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</si>
  <si>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</si>
  <si>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</si>
  <si>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</si>
  <si>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</si>
  <si>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</si>
  <si>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</si>
  <si>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</si>
  <si>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</si>
  <si>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</si>
  <si>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</si>
  <si>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</si>
  <si>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</si>
  <si>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</si>
  <si>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</si>
  <si>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</si>
  <si>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</si>
  <si>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</si>
  <si>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</si>
  <si>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</si>
  <si>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</si>
  <si>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</si>
  <si>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</si>
  <si>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</si>
  <si>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</si>
  <si>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</si>
  <si>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</si>
  <si>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</si>
  <si>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</si>
  <si>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</si>
  <si>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</si>
  <si>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</si>
  <si>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</si>
  <si>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</si>
  <si>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</si>
  <si>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</si>
  <si>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</si>
  <si>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</si>
  <si>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</si>
  <si>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</si>
  <si>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</si>
  <si>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</si>
  <si>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</si>
  <si>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</si>
  <si>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</si>
  <si>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</si>
  <si>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</si>
  <si>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</si>
  <si>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</si>
  <si>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</si>
  <si>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</si>
  <si>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</si>
  <si>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</si>
  <si>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</si>
  <si>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</si>
  <si>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</si>
  <si>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</si>
  <si>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</si>
  <si>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</si>
  <si>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</si>
  <si>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</si>
  <si>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</si>
  <si>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</si>
  <si>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</si>
  <si>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</si>
  <si>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</si>
  <si>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</si>
  <si>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</si>
  <si>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</si>
  <si>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</si>
  <si>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</si>
  <si>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</si>
  <si>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</si>
  <si>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</si>
  <si>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</si>
  <si>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</si>
  <si>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</si>
  <si>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</si>
  <si>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</si>
  <si>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</si>
  <si>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</si>
  <si>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</si>
  <si>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</si>
  <si>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</si>
  <si>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</si>
  <si>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</si>
  <si>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</si>
  <si>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</si>
  <si>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</si>
  <si>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</si>
  <si>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</si>
  <si>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</si>
  <si>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</si>
  <si>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</si>
  <si>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</si>
  <si>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</si>
  <si>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</si>
  <si>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</si>
  <si>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</si>
  <si>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</si>
  <si>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</si>
  <si>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</si>
  <si>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</si>
  <si>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</si>
  <si>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</si>
  <si>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</si>
  <si>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</si>
  <si>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</si>
  <si>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</si>
  <si>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</si>
  <si>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</si>
  <si>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</si>
  <si>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</si>
  <si>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</si>
  <si>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</si>
  <si>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</si>
  <si>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</si>
  <si>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</si>
  <si>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</si>
  <si>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</si>
  <si>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</si>
  <si>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</si>
  <si>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</si>
  <si>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</si>
  <si>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</si>
  <si>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</si>
  <si>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</si>
  <si>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</si>
  <si>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</si>
  <si>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</si>
  <si>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</si>
  <si>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</si>
  <si>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</si>
  <si>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</si>
  <si>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</si>
  <si>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</si>
  <si>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</si>
  <si>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</si>
  <si>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</si>
  <si>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</si>
  <si>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</si>
  <si>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</si>
  <si>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</si>
  <si>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</si>
  <si>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</si>
  <si>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</si>
  <si>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</si>
  <si>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</si>
  <si>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</si>
  <si>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</si>
  <si>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</si>
  <si>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</si>
  <si>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</si>
  <si>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</si>
  <si>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</si>
  <si>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</si>
  <si>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</si>
  <si>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</si>
  <si>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</si>
  <si>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</si>
  <si>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</si>
  <si>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</si>
  <si>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</si>
  <si>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</si>
  <si>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</si>
  <si>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</si>
  <si>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</si>
  <si>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</si>
  <si>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</si>
  <si>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</si>
  <si>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</si>
  <si>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</si>
  <si>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</si>
  <si>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</si>
  <si>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</si>
  <si>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</si>
  <si>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</si>
  <si>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</si>
  <si>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</si>
  <si>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</si>
  <si>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</si>
  <si>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</si>
  <si>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</si>
  <si>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</si>
  <si>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</si>
  <si>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</si>
  <si>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</si>
  <si>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</si>
  <si>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</si>
  <si>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</si>
  <si>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</si>
  <si>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</si>
  <si>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</si>
  <si>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</si>
  <si>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</si>
  <si>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</si>
  <si>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</si>
  <si>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</si>
  <si>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</si>
  <si>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</si>
  <si>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</si>
  <si>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</si>
  <si>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</si>
  <si>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</si>
  <si>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</si>
  <si>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</si>
  <si>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</si>
  <si>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</si>
  <si>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</si>
  <si>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</si>
  <si>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</si>
  <si>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</si>
  <si>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</si>
  <si>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</si>
  <si>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</si>
  <si>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</si>
  <si>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</si>
  <si>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</si>
  <si>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</si>
  <si>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</si>
  <si>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</si>
  <si>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</si>
  <si>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</si>
  <si>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</si>
  <si>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</si>
  <si>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</si>
  <si>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</si>
  <si>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</si>
  <si>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</si>
  <si>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</si>
  <si>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</si>
  <si>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</si>
  <si>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</si>
  <si>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</si>
  <si>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</si>
  <si>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</si>
  <si>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</si>
  <si>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</si>
  <si>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</si>
  <si>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</si>
  <si>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</si>
  <si>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</si>
  <si>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</si>
  <si>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</si>
  <si>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</si>
  <si>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</si>
  <si>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</si>
  <si>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</si>
  <si>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</si>
  <si>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</si>
  <si>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</si>
  <si>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</si>
  <si>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</si>
  <si>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</si>
  <si>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</si>
  <si>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</si>
  <si>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</si>
  <si>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</si>
  <si>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</si>
  <si>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</si>
  <si>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</si>
  <si>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</si>
  <si>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</si>
  <si>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</si>
  <si>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</si>
  <si>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</si>
  <si>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</si>
  <si>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</si>
  <si>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</si>
  <si>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</si>
  <si>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</si>
  <si>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</si>
  <si>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</si>
  <si>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</si>
  <si>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</si>
  <si>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</si>
  <si>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</si>
  <si>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</si>
  <si>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</si>
  <si>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</si>
  <si>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</si>
  <si>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</si>
  <si>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</si>
  <si>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</si>
  <si>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</si>
  <si>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</si>
  <si>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</si>
  <si>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</si>
  <si>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</si>
  <si>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</si>
  <si>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</si>
  <si>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</si>
  <si>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</si>
  <si>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</si>
  <si>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</si>
  <si>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</si>
  <si>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</si>
  <si>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</si>
  <si>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</si>
  <si>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</si>
  <si>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</si>
  <si>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</si>
  <si>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</si>
  <si>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</si>
  <si>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</si>
  <si>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</si>
  <si>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</si>
  <si>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</si>
  <si>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</si>
  <si>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</si>
  <si>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</si>
  <si>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</si>
  <si>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</si>
  <si>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</si>
  <si>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</si>
  <si>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</si>
  <si>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</si>
  <si>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</si>
  <si>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</si>
  <si>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</si>
  <si>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</si>
  <si>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</si>
  <si>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</si>
  <si>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</si>
  <si>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</si>
  <si>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</si>
  <si>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</si>
  <si>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</si>
  <si>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</si>
  <si>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</si>
  <si>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</si>
  <si>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</si>
  <si>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</si>
  <si>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</si>
  <si>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</si>
  <si>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</si>
  <si>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</si>
  <si>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</si>
  <si>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</si>
  <si>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</si>
  <si>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</si>
  <si>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</si>
  <si>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</si>
  <si>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</si>
  <si>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</si>
  <si>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</si>
  <si>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</si>
  <si>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</si>
  <si>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</si>
  <si>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</si>
  <si>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</si>
  <si>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</si>
  <si>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</si>
  <si>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</si>
  <si>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</si>
  <si>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</si>
  <si>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</si>
  <si>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</si>
  <si>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</si>
  <si>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</si>
  <si>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</si>
  <si>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</si>
  <si>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</si>
  <si>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</si>
  <si>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</si>
  <si>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</si>
  <si>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</si>
  <si>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</si>
  <si>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</si>
  <si>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</si>
  <si>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</si>
  <si>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</si>
  <si>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</si>
  <si>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</si>
  <si>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</si>
  <si>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</si>
  <si>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</si>
  <si>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</si>
  <si>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</si>
  <si>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</si>
  <si>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</si>
  <si>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</si>
  <si>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</si>
  <si>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</si>
  <si>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</si>
  <si>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</si>
  <si>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</si>
  <si>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</si>
  <si>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</si>
  <si>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</si>
  <si>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</si>
  <si>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</si>
  <si>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</si>
  <si>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</si>
  <si>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</si>
  <si>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</si>
  <si>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</si>
  <si>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</si>
  <si>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</si>
  <si>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</si>
  <si>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</si>
  <si>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</si>
  <si>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</si>
  <si>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</si>
  <si>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</si>
  <si>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</si>
  <si>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</si>
  <si>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</si>
  <si>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</si>
  <si>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</si>
  <si>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</si>
  <si>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</si>
  <si>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</si>
  <si>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</si>
  <si>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</si>
  <si>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</si>
  <si>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</si>
  <si>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</si>
  <si>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</si>
  <si>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</si>
  <si>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</si>
  <si>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</si>
  <si>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</si>
  <si>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</si>
  <si>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</si>
  <si>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</si>
  <si>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</si>
  <si>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</si>
  <si>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</si>
  <si>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</si>
  <si>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</si>
  <si>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</si>
  <si>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</si>
  <si>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</si>
  <si>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</si>
  <si>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</si>
  <si>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</si>
  <si>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</si>
  <si>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</si>
  <si>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</si>
  <si>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</si>
  <si>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</si>
  <si>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</si>
  <si>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</si>
  <si>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</si>
  <si>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</si>
  <si>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</si>
  <si>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</si>
  <si>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</si>
  <si>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</si>
  <si>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</si>
  <si>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</si>
  <si>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</si>
  <si>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</si>
  <si>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</si>
  <si>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</si>
  <si>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</si>
  <si>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</si>
  <si>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</si>
  <si>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</si>
  <si>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</si>
  <si>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</si>
  <si>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</si>
  <si>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</si>
  <si>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</si>
  <si>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</si>
  <si>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</si>
  <si>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</si>
  <si>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</si>
  <si>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</si>
  <si>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</si>
  <si>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</si>
  <si>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</si>
  <si>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</si>
  <si>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</si>
  <si>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</si>
  <si>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</si>
  <si>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</si>
  <si>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</si>
  <si>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</si>
  <si>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</si>
  <si>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</si>
  <si>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</si>
  <si>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</si>
  <si>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</si>
  <si>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</si>
  <si>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</si>
  <si>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</si>
  <si>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</si>
  <si>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</si>
  <si>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</si>
  <si>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</si>
  <si>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</si>
  <si>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</si>
  <si>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</si>
  <si>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</si>
  <si>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</si>
  <si>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</si>
  <si>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</si>
  <si>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</si>
  <si>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</si>
  <si>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</si>
  <si>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</si>
  <si>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</si>
  <si>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</si>
  <si>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</si>
  <si>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</si>
  <si>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</si>
  <si>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</si>
  <si>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</si>
  <si>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</si>
  <si>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</si>
  <si>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</si>
  <si>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</si>
  <si>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</si>
  <si>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</si>
  <si>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</si>
  <si>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</si>
  <si>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</si>
  <si>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</si>
  <si>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</si>
  <si>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</si>
  <si>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</si>
  <si>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</si>
  <si>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</si>
  <si>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</si>
  <si>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</si>
  <si>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</si>
  <si>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</si>
  <si>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</si>
  <si>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</si>
  <si>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</si>
  <si>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</si>
  <si>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</si>
  <si>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</si>
  <si>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</si>
  <si>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</si>
  <si>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</si>
  <si>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</si>
  <si>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</si>
  <si>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</si>
  <si>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</si>
  <si>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</si>
  <si>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</si>
  <si>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</si>
  <si>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</si>
  <si>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</si>
  <si>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</si>
  <si>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</si>
  <si>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</si>
  <si>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</si>
  <si>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</si>
  <si>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</si>
  <si>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</si>
  <si>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</si>
  <si>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</si>
  <si>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</si>
  <si>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</si>
  <si>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</si>
  <si>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</si>
  <si>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</si>
  <si>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</si>
  <si>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</si>
  <si>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</si>
  <si>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</si>
  <si>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</si>
  <si>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</si>
  <si>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</si>
  <si>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</si>
  <si>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</si>
  <si>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</si>
  <si>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</si>
  <si>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</si>
  <si>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</si>
  <si>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</si>
  <si>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</si>
  <si>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</si>
  <si>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</si>
  <si>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</si>
  <si>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</si>
  <si>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</si>
  <si>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</si>
  <si>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</si>
  <si>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</si>
  <si>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</si>
  <si>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</si>
  <si>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</si>
  <si>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</si>
  <si>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</si>
  <si>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</si>
  <si>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</si>
  <si>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</si>
  <si>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</si>
  <si>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</si>
  <si>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</si>
  <si>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</si>
  <si>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</si>
  <si>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</si>
  <si>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</si>
  <si>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</si>
  <si>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</si>
  <si>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</si>
  <si>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</si>
  <si>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</si>
  <si>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</si>
  <si>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</si>
  <si>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</si>
  <si>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</si>
  <si>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</si>
  <si>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</si>
  <si>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</si>
  <si>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</si>
  <si>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</si>
  <si>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</si>
  <si>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</si>
  <si>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</si>
  <si>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</si>
  <si>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</si>
  <si>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</si>
  <si>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</si>
  <si>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</si>
  <si>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</si>
  <si>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</si>
  <si>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</si>
  <si>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</si>
  <si>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</si>
  <si>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</si>
  <si>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</si>
  <si>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</si>
  <si>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</si>
  <si>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</si>
  <si>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</si>
  <si>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</si>
  <si>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</si>
  <si>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</si>
  <si>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</si>
  <si>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</si>
  <si>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</si>
  <si>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</si>
  <si>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</si>
  <si>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</si>
  <si>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</si>
  <si>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</si>
  <si>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</si>
  <si>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</si>
  <si>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</si>
  <si>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</si>
  <si>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</si>
  <si>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</si>
  <si>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</si>
  <si>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</si>
  <si>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</si>
  <si>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</si>
  <si>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</si>
  <si>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</si>
  <si>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</si>
  <si>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</si>
  <si>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</si>
  <si>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</si>
  <si>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</si>
  <si>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</si>
  <si>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</si>
  <si>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</si>
  <si>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</si>
  <si>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</si>
  <si>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</si>
  <si>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</si>
  <si>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</si>
  <si>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</si>
  <si>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</si>
  <si>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</si>
  <si>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</si>
  <si>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</si>
  <si>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</si>
  <si>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</si>
  <si>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</si>
  <si>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</si>
  <si>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</si>
  <si>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</si>
  <si>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</si>
  <si>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</si>
  <si>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</si>
  <si>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</si>
  <si>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</si>
  <si>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</si>
  <si>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</si>
  <si>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</si>
  <si>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</si>
  <si>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</si>
  <si>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</si>
  <si>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</si>
  <si>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</si>
  <si>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</si>
  <si>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</si>
  <si>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</si>
  <si>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</si>
  <si>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</si>
  <si>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</si>
  <si>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</si>
  <si>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</si>
  <si>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</si>
  <si>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</si>
  <si>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</si>
  <si>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</si>
  <si>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</si>
  <si>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</si>
  <si>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</si>
  <si>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</si>
  <si>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</si>
  <si>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</si>
  <si>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</si>
  <si>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</si>
  <si>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</si>
  <si>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</si>
  <si>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</si>
  <si>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</si>
  <si>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</si>
  <si>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</si>
  <si>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</si>
  <si>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</si>
  <si>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</si>
  <si>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</si>
  <si>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</si>
  <si>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</si>
  <si>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</si>
  <si>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</si>
  <si>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</si>
  <si>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</si>
  <si>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</si>
  <si>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</si>
  <si>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</si>
  <si>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</si>
  <si>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</si>
  <si>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</si>
  <si>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</si>
  <si>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</si>
  <si>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</si>
  <si>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</si>
  <si>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</si>
  <si>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</si>
  <si>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</si>
  <si>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</si>
  <si>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</si>
  <si>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</si>
  <si>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</si>
  <si>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</si>
  <si>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</si>
  <si>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</si>
  <si>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</si>
  <si>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</si>
  <si>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</si>
  <si>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</si>
  <si>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</si>
  <si>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</si>
  <si>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</si>
  <si>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</si>
  <si>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</si>
  <si>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</si>
  <si>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</si>
  <si>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</si>
  <si>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</si>
  <si>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</si>
  <si>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</si>
  <si>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</si>
  <si>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</si>
  <si>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</si>
  <si>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</si>
  <si>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</si>
  <si>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</si>
  <si>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</si>
  <si>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</si>
  <si>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</si>
  <si>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</si>
  <si>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</si>
  <si>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</si>
  <si>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</si>
  <si>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</si>
  <si>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</si>
  <si>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</si>
  <si>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</si>
  <si>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</si>
  <si>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</si>
  <si>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</si>
  <si>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</si>
  <si>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</si>
  <si>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</si>
  <si>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</si>
  <si>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</si>
  <si>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</si>
  <si>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</si>
  <si>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</si>
  <si>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</si>
  <si>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</si>
  <si>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</si>
  <si>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</si>
  <si>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</si>
  <si>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</si>
  <si>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</si>
  <si>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</si>
  <si>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</si>
  <si>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</si>
  <si>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</si>
  <si>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</si>
  <si>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</si>
  <si>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</si>
  <si>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</si>
  <si>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</si>
  <si>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</si>
  <si>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</si>
  <si>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</si>
  <si>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</si>
  <si>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</si>
  <si>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</si>
  <si>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</si>
  <si>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</si>
  <si>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</si>
  <si>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</si>
  <si>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</si>
  <si>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</si>
  <si>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</si>
  <si>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</si>
  <si>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</si>
  <si>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</si>
  <si>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</si>
  <si>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</si>
  <si>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</si>
  <si>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</si>
  <si>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</si>
  <si>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</si>
  <si>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</si>
  <si>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</si>
  <si>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</si>
  <si>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</si>
  <si>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</si>
  <si>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</si>
  <si>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</si>
  <si>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</si>
  <si>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</si>
  <si>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</si>
  <si>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</si>
  <si>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</si>
  <si>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</si>
  <si>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</si>
  <si>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</si>
  <si>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</si>
  <si>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</si>
  <si>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</si>
  <si>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</si>
  <si>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</si>
  <si>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</si>
  <si>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</si>
  <si>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</si>
  <si>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</si>
  <si>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</si>
  <si>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</si>
  <si>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</si>
  <si>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</si>
  <si>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</si>
  <si>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</si>
  <si>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</si>
  <si>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</si>
  <si>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</si>
  <si>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</si>
  <si>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</si>
  <si>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</si>
  <si>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</si>
  <si>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</si>
  <si>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</si>
  <si>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</si>
  <si>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</si>
  <si>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</si>
  <si>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</si>
  <si>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</si>
  <si>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</si>
  <si>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</si>
  <si>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</si>
  <si>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</si>
  <si>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</si>
  <si>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</si>
  <si>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</si>
  <si>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</si>
  <si>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</si>
  <si>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</si>
  <si>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</si>
  <si>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</si>
  <si>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</si>
  <si>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</si>
  <si>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</si>
  <si>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</si>
  <si>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</si>
  <si>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</si>
  <si>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</si>
  <si>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</si>
  <si>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</si>
  <si>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</si>
  <si>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</si>
  <si>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</si>
  <si>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</si>
  <si>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</si>
  <si>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</si>
  <si>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</si>
  <si>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</si>
  <si>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</si>
  <si>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</si>
  <si>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</si>
  <si>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</si>
  <si>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</si>
  <si>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</si>
  <si>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</si>
  <si>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</si>
  <si>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</si>
  <si>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</si>
  <si>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</si>
  <si>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</si>
  <si>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</si>
  <si>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</si>
  <si>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</si>
  <si>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</si>
  <si>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</si>
  <si>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</si>
  <si>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</si>
  <si>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</si>
  <si>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</si>
  <si>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</si>
  <si>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</si>
  <si>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</si>
  <si>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</si>
  <si>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</si>
  <si>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</si>
  <si>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</si>
  <si>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</si>
  <si>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</si>
  <si>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</si>
  <si>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</si>
  <si>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</si>
  <si>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</si>
  <si>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</si>
  <si>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</si>
  <si>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</si>
  <si>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</si>
  <si>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</si>
  <si>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</si>
  <si>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</si>
  <si>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</si>
  <si>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</si>
  <si>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</si>
  <si>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</si>
  <si>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</si>
  <si>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</si>
  <si>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</si>
  <si>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</si>
  <si>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</si>
  <si>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</si>
  <si>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</si>
  <si>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</si>
  <si>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</si>
  <si>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</si>
  <si>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</si>
  <si>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</si>
  <si>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</si>
  <si>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</si>
  <si>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</si>
  <si>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</si>
  <si>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</si>
  <si>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</si>
  <si>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</si>
  <si>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</si>
  <si>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</si>
  <si>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</si>
  <si>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</si>
  <si>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</si>
  <si>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</si>
  <si>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</si>
  <si>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</si>
  <si>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</si>
  <si>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</si>
  <si>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</si>
  <si>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</si>
  <si>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</si>
  <si>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</si>
  <si>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</si>
  <si>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</si>
  <si>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</si>
  <si>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</si>
  <si>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</si>
  <si>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</si>
  <si>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</si>
  <si>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</si>
  <si>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</si>
  <si>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</si>
  <si>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</si>
  <si>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</si>
  <si>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</si>
  <si>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</si>
  <si>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</si>
  <si>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</si>
  <si>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</si>
  <si>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</si>
  <si>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</si>
  <si>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</si>
  <si>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</si>
  <si>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</si>
  <si>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</si>
  <si>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</si>
  <si>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</si>
  <si>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</si>
  <si>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</si>
  <si>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</si>
  <si>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</si>
  <si>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</si>
  <si>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</si>
  <si>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</si>
  <si>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</si>
  <si>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</si>
  <si>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</si>
  <si>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</si>
  <si>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</si>
  <si>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</si>
  <si>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</si>
  <si>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</si>
  <si>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</si>
  <si>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</si>
  <si>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</si>
  <si>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</si>
  <si>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</si>
  <si>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</si>
  <si>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</si>
  <si>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</si>
  <si>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</si>
  <si>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</si>
  <si>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</si>
  <si>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</si>
  <si>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</si>
  <si>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</si>
  <si>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</si>
  <si>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</si>
  <si>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</si>
  <si>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</si>
  <si>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</si>
  <si>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</si>
  <si>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</si>
  <si>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</si>
  <si>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</si>
  <si>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</si>
  <si>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</si>
  <si>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</si>
  <si>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</si>
  <si>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</si>
  <si>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</si>
  <si>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</si>
  <si>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</si>
  <si>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</si>
  <si>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</si>
  <si>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</si>
  <si>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</si>
  <si>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</si>
  <si>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</si>
  <si>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</si>
  <si>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</si>
  <si>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</si>
  <si>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</si>
  <si>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</si>
  <si>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</si>
  <si>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</si>
  <si>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</si>
  <si>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</si>
  <si>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</si>
  <si>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</si>
  <si>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</si>
  <si>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</si>
  <si>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</si>
  <si>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</si>
  <si>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</si>
  <si>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</si>
  <si>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</si>
  <si>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</si>
  <si>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</si>
  <si>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</si>
  <si>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</si>
  <si>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</si>
  <si>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</si>
  <si>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</si>
  <si>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</si>
  <si>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</si>
  <si>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</si>
  <si>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</si>
  <si>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</si>
  <si>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</si>
  <si>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</si>
  <si>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</si>
  <si>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</si>
  <si>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</si>
  <si>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</si>
  <si>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</si>
  <si>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</si>
  <si>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</si>
  <si>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</si>
  <si>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</si>
  <si>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</si>
  <si>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</si>
  <si>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</si>
  <si>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</si>
  <si>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</si>
  <si>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</si>
  <si>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</si>
  <si>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</si>
  <si>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</si>
  <si>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</si>
  <si>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</si>
  <si>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</si>
  <si>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</si>
  <si>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</si>
  <si>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</si>
  <si>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</si>
  <si>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</si>
  <si>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</si>
  <si>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</si>
  <si>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</si>
  <si>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</si>
  <si>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</si>
  <si>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</si>
  <si>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</si>
  <si>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</si>
  <si>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</si>
  <si>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</si>
  <si>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</si>
  <si>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</si>
  <si>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</si>
  <si>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</si>
  <si>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</si>
  <si>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</si>
  <si>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</si>
  <si>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</si>
  <si>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</si>
  <si>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</si>
  <si>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</si>
  <si>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</si>
  <si>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</si>
  <si>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</si>
  <si>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</si>
  <si>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</si>
  <si>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</si>
  <si>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</si>
  <si>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</si>
  <si>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</si>
  <si>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</si>
  <si>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</si>
  <si>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</si>
  <si>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</si>
  <si>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</si>
  <si>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</si>
  <si>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</si>
  <si>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</si>
  <si>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</si>
  <si>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</si>
  <si>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</si>
  <si>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</si>
  <si>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</si>
  <si>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</si>
  <si>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</si>
  <si>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</si>
  <si>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</si>
  <si>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</si>
  <si>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</si>
  <si>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</si>
  <si>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</si>
  <si>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</si>
  <si>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</si>
  <si>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</si>
  <si>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</si>
  <si>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</si>
  <si>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</si>
  <si>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</si>
  <si>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</si>
  <si>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</si>
  <si>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</si>
  <si>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</si>
  <si>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</si>
  <si>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</si>
  <si>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</si>
  <si>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</si>
  <si>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</si>
  <si>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</si>
  <si>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</si>
  <si>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</si>
  <si>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</si>
  <si>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</si>
  <si>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</si>
  <si>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</si>
  <si>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</si>
  <si>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</si>
  <si>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</si>
  <si>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</si>
  <si>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</si>
  <si>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</si>
  <si>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</si>
  <si>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</si>
  <si>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</si>
  <si>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</si>
  <si>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</si>
  <si>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</si>
  <si>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</si>
  <si>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</si>
  <si>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</si>
  <si>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</si>
  <si>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</si>
  <si>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</si>
  <si>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</si>
  <si>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</si>
  <si>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</si>
  <si>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</si>
  <si>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</si>
  <si>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</si>
  <si>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</si>
  <si>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</si>
  <si>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</si>
  <si>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</si>
  <si>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</si>
  <si>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</si>
  <si>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</si>
  <si>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</si>
  <si>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</si>
  <si>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</si>
  <si>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</si>
  <si>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</si>
  <si>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</si>
  <si>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</si>
  <si>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</si>
  <si>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</si>
  <si>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</si>
  <si>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</si>
  <si>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</si>
  <si>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</si>
  <si>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</si>
  <si>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</si>
  <si>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</si>
  <si>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</si>
  <si>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</si>
  <si>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</si>
  <si>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</si>
  <si>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</si>
  <si>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</si>
  <si>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</si>
  <si>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</si>
  <si>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</si>
  <si>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</si>
  <si>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</si>
  <si>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</si>
  <si>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</si>
  <si>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</si>
  <si>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</si>
  <si>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</si>
  <si>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</si>
  <si>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</si>
  <si>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</si>
  <si>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</si>
  <si>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</si>
  <si>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</si>
  <si>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</si>
  <si>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</si>
  <si>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</si>
  <si>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</si>
  <si>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</si>
  <si>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</si>
  <si>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</si>
  <si>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</si>
  <si>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</si>
  <si>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</si>
  <si>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</si>
  <si>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</si>
  <si>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</si>
  <si>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</si>
  <si>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</si>
  <si>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</si>
  <si>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</si>
  <si>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</si>
  <si>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</si>
  <si>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</si>
  <si>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</si>
  <si>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</si>
  <si>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</si>
  <si>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</si>
  <si>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</si>
  <si>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</si>
  <si>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</si>
  <si>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</si>
  <si>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</si>
  <si>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</si>
  <si>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</si>
  <si>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</si>
  <si>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</si>
  <si>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</si>
  <si>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</si>
  <si>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</si>
  <si>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</si>
  <si>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</si>
  <si>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</si>
  <si>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</si>
  <si>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</si>
  <si>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</si>
  <si>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</si>
  <si>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</si>
  <si>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</si>
  <si>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</si>
  <si>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</si>
  <si>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</si>
  <si>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</si>
  <si>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</si>
  <si>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</si>
  <si>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</si>
  <si>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</si>
  <si>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</si>
  <si>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</si>
  <si>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</si>
  <si>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</si>
  <si>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</si>
  <si>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</si>
  <si>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</si>
  <si>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</si>
  <si>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</si>
  <si>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</si>
  <si>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</si>
  <si>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</si>
  <si>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</si>
  <si>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</si>
  <si>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</si>
  <si>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</si>
  <si>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</si>
  <si>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</si>
  <si>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</si>
  <si>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</si>
  <si>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</si>
  <si>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</si>
  <si>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</si>
  <si>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</si>
  <si>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</si>
  <si>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</si>
  <si>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</si>
  <si>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</si>
  <si>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</si>
  <si>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</si>
  <si>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</si>
  <si>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</si>
  <si>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</si>
  <si>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</si>
  <si>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</si>
  <si>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</si>
  <si>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</si>
  <si>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</si>
  <si>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</si>
  <si>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</si>
  <si>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</si>
  <si>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</si>
  <si>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</si>
  <si>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</si>
  <si>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</si>
  <si>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</si>
  <si>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</si>
  <si>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</si>
  <si>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</si>
  <si>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</si>
  <si>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</si>
  <si>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</si>
  <si>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</si>
  <si>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</si>
  <si>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</si>
  <si>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</si>
  <si>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</si>
  <si>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</si>
  <si>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</si>
  <si>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</si>
  <si>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</si>
  <si>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</si>
  <si>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</si>
  <si>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</si>
  <si>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</si>
  <si>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</si>
  <si>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</si>
  <si>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</si>
  <si>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</si>
  <si>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</si>
  <si>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</si>
  <si>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</si>
  <si>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</si>
  <si>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</si>
  <si>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</si>
  <si>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</si>
  <si>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</si>
  <si>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</si>
  <si>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</si>
  <si>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</si>
  <si>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</si>
  <si>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</si>
  <si>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</si>
  <si>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</si>
  <si>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</si>
  <si>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</si>
  <si>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</si>
  <si>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</si>
  <si>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</si>
  <si>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</si>
  <si>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</si>
  <si>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</si>
  <si>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</si>
  <si>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</si>
  <si>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</si>
  <si>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</si>
  <si>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</si>
  <si>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</si>
  <si>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</si>
  <si>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</si>
  <si>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</si>
  <si>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</si>
  <si>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</si>
  <si>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</si>
  <si>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</si>
  <si>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</si>
  <si>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</si>
  <si>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</si>
  <si>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</si>
  <si>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</si>
  <si>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</si>
  <si>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</si>
  <si>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</si>
  <si>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</si>
  <si>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</si>
  <si>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</si>
  <si>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</si>
  <si>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</si>
  <si>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</si>
  <si>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</si>
  <si>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</si>
  <si>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</si>
  <si>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</si>
  <si>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</si>
  <si>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</si>
  <si>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</si>
  <si>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</si>
  <si>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</si>
  <si>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</si>
  <si>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</si>
  <si>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</si>
  <si>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</si>
  <si>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</si>
  <si>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</si>
  <si>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</si>
  <si>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</si>
  <si>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</si>
  <si>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</si>
  <si>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</si>
  <si>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</si>
  <si>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</si>
  <si>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</si>
  <si>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</si>
  <si>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</si>
  <si>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</si>
  <si>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</si>
  <si>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</si>
  <si>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</si>
  <si>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</si>
  <si>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</si>
  <si>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</si>
  <si>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</si>
  <si>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</si>
  <si>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</si>
  <si>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</si>
  <si>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</si>
  <si>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</si>
  <si>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</si>
  <si>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</si>
  <si>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</si>
  <si>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</si>
  <si>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</si>
  <si>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</si>
  <si>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</si>
  <si>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</si>
  <si>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</si>
  <si>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</si>
  <si>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</si>
  <si>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</si>
  <si>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</si>
  <si>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</si>
  <si>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</si>
  <si>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</si>
  <si>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</si>
  <si>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</si>
  <si>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</si>
  <si>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</si>
  <si>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</si>
  <si>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</si>
  <si>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</si>
  <si>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</si>
  <si>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</si>
  <si>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</si>
  <si>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</si>
  <si>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</si>
  <si>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</si>
  <si>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</si>
  <si>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</si>
  <si>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</si>
  <si>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</si>
  <si>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</si>
  <si>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</si>
  <si>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</si>
  <si>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</si>
  <si>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</si>
  <si>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</si>
  <si>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</si>
  <si>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</si>
  <si>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</si>
  <si>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</si>
  <si>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</si>
  <si>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</si>
  <si>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</si>
  <si>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</si>
  <si>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</si>
  <si>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</si>
  <si>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</si>
  <si>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</si>
  <si>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</si>
  <si>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</si>
  <si>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</si>
  <si>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</si>
  <si>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</si>
  <si>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</si>
  <si>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</si>
  <si>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</si>
  <si>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</si>
  <si>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</si>
  <si>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</si>
  <si>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</si>
  <si>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</si>
  <si>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</si>
  <si>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</si>
  <si>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</si>
  <si>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</si>
  <si>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</si>
  <si>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</si>
  <si>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</si>
  <si>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</si>
  <si>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</si>
  <si>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</si>
  <si>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</si>
  <si>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</si>
  <si>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</si>
  <si>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</si>
  <si>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</si>
  <si>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</si>
  <si>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</si>
  <si>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</si>
  <si>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</si>
  <si>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</si>
  <si>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</si>
  <si>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</si>
  <si>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</si>
  <si>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</si>
  <si>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</si>
  <si>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</si>
  <si>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</si>
  <si>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</si>
  <si>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</si>
  <si>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</si>
  <si>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</si>
  <si>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</si>
  <si>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</si>
  <si>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</si>
  <si>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</si>
  <si>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</si>
  <si>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</si>
  <si>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</si>
  <si>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</si>
  <si>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</si>
  <si>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</si>
  <si>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</si>
  <si>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</si>
  <si>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</si>
  <si>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</si>
  <si>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</si>
  <si>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</si>
  <si>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</si>
  <si>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</si>
  <si>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</si>
  <si>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</si>
  <si>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</si>
  <si>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</si>
  <si>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</si>
  <si>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</si>
  <si>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</si>
  <si>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</si>
  <si>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</si>
  <si>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</si>
  <si>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</si>
  <si>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</si>
  <si>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</si>
  <si>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</si>
  <si>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</si>
  <si>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</si>
  <si>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</si>
  <si>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</si>
  <si>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</si>
  <si>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</si>
  <si>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</si>
  <si>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</si>
  <si>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</si>
  <si>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</si>
  <si>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</si>
  <si>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</si>
  <si>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</si>
  <si>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</si>
  <si>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</si>
  <si>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</si>
  <si>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</si>
  <si>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</si>
  <si>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</si>
  <si>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</si>
  <si>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</si>
  <si>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</si>
  <si>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</si>
  <si>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</si>
  <si>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</si>
  <si>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</si>
  <si>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</si>
  <si>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</si>
  <si>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</si>
  <si>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</si>
  <si>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</si>
  <si>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</si>
  <si>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</si>
  <si>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</si>
  <si>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</si>
  <si>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</si>
  <si>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</si>
  <si>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</si>
  <si>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</si>
  <si>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</si>
  <si>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</si>
  <si>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</si>
  <si>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</si>
  <si>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</si>
  <si>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</si>
  <si>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</si>
  <si>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</si>
  <si>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</si>
  <si>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</si>
  <si>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</si>
  <si>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</si>
  <si>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</si>
  <si>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</si>
  <si>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</si>
  <si>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</si>
  <si>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</si>
  <si>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</si>
  <si>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</si>
  <si>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</si>
  <si>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</si>
  <si>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</si>
  <si>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</si>
  <si>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</si>
  <si>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</si>
  <si>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</si>
  <si>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</si>
  <si>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</si>
  <si>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</si>
  <si>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</si>
  <si>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</si>
  <si>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</si>
  <si>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</si>
  <si>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</si>
  <si>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</si>
  <si>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</si>
  <si>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</si>
  <si>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</si>
  <si>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</si>
  <si>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</si>
  <si>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</si>
  <si>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</si>
  <si>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</si>
  <si>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</si>
  <si>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</si>
  <si>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</si>
  <si>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</si>
  <si>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</si>
  <si>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</si>
  <si>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</si>
  <si>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</si>
  <si>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</si>
  <si>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</si>
  <si>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</si>
  <si>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</si>
  <si>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</si>
  <si>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</si>
  <si>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</si>
  <si>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</si>
  <si>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</si>
  <si>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</si>
  <si>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</si>
  <si>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</si>
  <si>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</si>
  <si>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</si>
  <si>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</si>
  <si>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</si>
  <si>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</si>
  <si>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</si>
  <si>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</si>
  <si>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</si>
  <si>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</si>
  <si>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</si>
  <si>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</si>
  <si>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</si>
  <si>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</si>
  <si>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</si>
  <si>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</si>
  <si>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</si>
  <si>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</si>
  <si>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</si>
  <si>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</si>
  <si>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</si>
  <si>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</si>
  <si>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</si>
  <si>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</si>
  <si>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</si>
  <si>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</si>
  <si>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</si>
  <si>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</si>
  <si>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</si>
  <si>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</si>
  <si>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</si>
  <si>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</si>
  <si>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</si>
  <si>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</si>
  <si>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</si>
  <si>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</si>
  <si>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</si>
  <si>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</si>
  <si>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</si>
  <si>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</si>
  <si>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</si>
  <si>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</si>
  <si>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</si>
  <si>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</si>
  <si>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</si>
  <si>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</si>
  <si>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</si>
  <si>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</si>
  <si>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</si>
  <si>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</si>
  <si>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</si>
  <si>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</si>
  <si>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</si>
  <si>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</si>
  <si>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</si>
  <si>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</si>
  <si>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</si>
  <si>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</si>
  <si>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</si>
  <si>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</si>
  <si>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</si>
  <si>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</si>
  <si>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</si>
  <si>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</si>
  <si>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</si>
  <si>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</si>
  <si>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</si>
  <si>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</si>
  <si>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</si>
  <si>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</si>
  <si>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</si>
  <si>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</si>
  <si>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</si>
  <si>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</si>
  <si>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</si>
  <si>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</si>
  <si>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</si>
  <si>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</si>
  <si>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</si>
  <si>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</si>
  <si>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</si>
  <si>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</si>
  <si>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</si>
  <si>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</si>
  <si>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</si>
  <si>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</si>
  <si>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</si>
  <si>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</si>
  <si>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</si>
  <si>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</si>
  <si>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</si>
  <si>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</si>
  <si>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</si>
  <si>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</si>
  <si>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</si>
  <si>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</si>
  <si>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</si>
  <si>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</si>
  <si>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</si>
  <si>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</si>
  <si>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</si>
  <si>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</si>
  <si>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</si>
  <si>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</si>
  <si>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</si>
  <si>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</si>
  <si>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</si>
  <si>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</si>
  <si>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</si>
  <si>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</si>
  <si>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</si>
  <si>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</si>
  <si>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</si>
  <si>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</si>
  <si>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</si>
  <si>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</si>
  <si>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</si>
  <si>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</si>
  <si>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</si>
  <si>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</si>
  <si>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</si>
  <si>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</si>
  <si>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</si>
  <si>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</si>
  <si>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</si>
  <si>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</si>
  <si>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</si>
  <si>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</si>
  <si>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</si>
  <si>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</si>
  <si>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</si>
  <si>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</si>
  <si>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</si>
  <si>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</si>
  <si>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</si>
  <si>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</si>
  <si>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</si>
  <si>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</si>
  <si>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</si>
  <si>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</si>
  <si>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</si>
  <si>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</si>
  <si>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</si>
  <si>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</si>
  <si>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</si>
  <si>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</si>
  <si>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</si>
  <si>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</si>
  <si>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</si>
  <si>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</si>
  <si>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</si>
  <si>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</si>
  <si>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</si>
  <si>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</si>
  <si>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</si>
  <si>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</si>
  <si>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</si>
  <si>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</si>
  <si>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</si>
  <si>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</si>
  <si>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</si>
  <si>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</si>
  <si>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</si>
  <si>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</si>
  <si>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</si>
  <si>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</si>
  <si>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</si>
  <si>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</si>
  <si>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</si>
  <si>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</si>
  <si>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</si>
  <si>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</si>
  <si>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</si>
  <si>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</si>
  <si>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</si>
  <si>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</si>
  <si>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</si>
  <si>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</si>
  <si>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</si>
  <si>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</si>
  <si>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</si>
  <si>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</si>
  <si>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</si>
  <si>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</si>
  <si>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</si>
  <si>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</si>
  <si>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</si>
  <si>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</si>
  <si>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</si>
  <si>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</si>
  <si>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</si>
  <si>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</si>
  <si>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</si>
  <si>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</si>
  <si>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</si>
  <si>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</si>
  <si>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</si>
  <si>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</si>
  <si>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</si>
  <si>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</si>
  <si>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</si>
  <si>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</si>
  <si>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</si>
  <si>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</si>
  <si>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</si>
  <si>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</si>
  <si>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</si>
  <si>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</si>
  <si>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</si>
  <si>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</si>
  <si>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</si>
  <si>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</si>
  <si>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</si>
  <si>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</si>
  <si>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</si>
  <si>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</si>
  <si>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</si>
  <si>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</si>
  <si>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</si>
  <si>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</si>
  <si>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</si>
  <si>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</si>
  <si>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</si>
  <si>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</si>
  <si>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</si>
  <si>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</si>
  <si>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</si>
  <si>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</si>
  <si>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</si>
  <si>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</si>
  <si>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</si>
  <si>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</si>
  <si>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</si>
  <si>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</si>
  <si>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</si>
  <si>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</si>
  <si>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</si>
  <si>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</si>
  <si>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</si>
  <si>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</si>
  <si>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</si>
  <si>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</si>
  <si>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</si>
  <si>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</si>
  <si>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</si>
  <si>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</si>
  <si>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</si>
  <si>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</si>
  <si>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</si>
  <si>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</si>
  <si>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</si>
  <si>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</si>
  <si>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</si>
  <si>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</si>
  <si>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</si>
  <si>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</si>
  <si>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</si>
  <si>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</si>
  <si>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</si>
  <si>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</si>
  <si>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</si>
  <si>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</si>
  <si>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</si>
  <si>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</si>
  <si>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</si>
  <si>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</si>
  <si>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</si>
  <si>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</si>
  <si>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</si>
  <si>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</si>
  <si>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</si>
  <si>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</si>
  <si>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</si>
  <si>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</si>
  <si>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</si>
  <si>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</si>
  <si>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</si>
  <si>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</si>
  <si>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</si>
  <si>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</si>
  <si>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</si>
  <si>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</si>
  <si>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</si>
  <si>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</si>
  <si>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</si>
  <si>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</si>
  <si>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</si>
  <si>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</si>
  <si>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</si>
  <si>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</si>
  <si>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</si>
  <si>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</si>
  <si>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</si>
  <si>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</si>
  <si>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</si>
  <si>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</si>
  <si>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</si>
  <si>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</si>
  <si>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</si>
  <si>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</si>
  <si>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</si>
  <si>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</si>
  <si>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</si>
  <si>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</si>
  <si>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</si>
  <si>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</si>
  <si>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</si>
  <si>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</si>
  <si>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</si>
  <si>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</si>
  <si>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</si>
  <si>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</si>
  <si>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</si>
  <si>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</si>
  <si>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</si>
  <si>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</si>
  <si>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</si>
  <si>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</si>
  <si>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</si>
  <si>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</si>
  <si>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</si>
  <si>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</si>
  <si>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</si>
  <si>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</si>
  <si>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</si>
  <si>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</si>
  <si>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</si>
  <si>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</si>
  <si>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</si>
  <si>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</si>
  <si>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</si>
  <si>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</si>
  <si>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</si>
  <si>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</si>
  <si>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</si>
  <si>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</si>
  <si>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</si>
  <si>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</si>
  <si>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</si>
  <si>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</si>
  <si>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</si>
  <si>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</si>
  <si>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</si>
  <si>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</si>
  <si>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</si>
  <si>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</si>
  <si>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</si>
  <si>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</si>
  <si>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</si>
  <si>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</si>
  <si>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</si>
  <si>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</si>
  <si>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</si>
  <si>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</si>
  <si>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</si>
  <si>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</si>
  <si>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</si>
  <si>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</si>
  <si>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</si>
  <si>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</si>
  <si>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</si>
  <si>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</si>
  <si>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</si>
  <si>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</si>
  <si>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</si>
  <si>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</si>
  <si>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</si>
  <si>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</si>
  <si>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</si>
  <si>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</si>
  <si>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</si>
  <si>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</si>
  <si>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</si>
  <si>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</si>
  <si>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</si>
  <si>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</si>
  <si>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</si>
  <si>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</si>
  <si>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</si>
  <si>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</si>
  <si>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</si>
  <si>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</si>
  <si>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</si>
  <si>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</si>
  <si>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</si>
  <si>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</si>
  <si>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</si>
  <si>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</si>
  <si>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</si>
  <si>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</si>
  <si>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</si>
  <si>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</si>
  <si>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</si>
  <si>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</si>
  <si>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</si>
  <si>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</si>
  <si>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</si>
  <si>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</si>
  <si>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</si>
  <si>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</si>
  <si>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</si>
  <si>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</si>
  <si>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</si>
  <si>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</si>
  <si>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</si>
  <si>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</si>
  <si>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</si>
  <si>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</si>
  <si>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</si>
  <si>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</si>
  <si>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</si>
  <si>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</si>
  <si>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</si>
  <si>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</si>
  <si>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</si>
  <si>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</si>
  <si>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</si>
  <si>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</si>
  <si>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</si>
  <si>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</si>
  <si>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</si>
  <si>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</si>
  <si>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</si>
  <si>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</si>
  <si>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</si>
  <si>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</si>
  <si>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</si>
  <si>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</si>
  <si>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</si>
  <si>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</si>
  <si>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</si>
  <si>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</si>
  <si>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</si>
  <si>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</si>
  <si>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</si>
  <si>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</si>
  <si>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</si>
  <si>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</si>
  <si>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</si>
  <si>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</si>
  <si>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</si>
  <si>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</si>
  <si>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</si>
  <si>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</si>
  <si>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</si>
  <si>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</si>
  <si>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</si>
  <si>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</si>
  <si>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</si>
  <si>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</si>
  <si>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</si>
  <si>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</si>
  <si>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</si>
  <si>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</si>
  <si>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</si>
  <si>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</si>
  <si>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</si>
  <si>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</si>
  <si>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</si>
  <si>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</si>
  <si>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</si>
  <si>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</si>
  <si>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</si>
  <si>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</si>
  <si>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</si>
  <si>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</si>
  <si>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</si>
  <si>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</si>
  <si>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</si>
  <si>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</si>
  <si>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</si>
  <si>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</si>
  <si>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</si>
  <si>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</si>
  <si>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</si>
  <si>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</si>
  <si>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</si>
  <si>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</si>
  <si>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</si>
  <si>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</si>
  <si>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</si>
  <si>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</si>
  <si>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</si>
  <si>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</si>
  <si>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</si>
  <si>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</si>
  <si>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</si>
  <si>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</si>
  <si>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</si>
  <si>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</si>
  <si>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</si>
  <si>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</si>
  <si>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</si>
  <si>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</si>
  <si>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</si>
  <si>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</si>
  <si>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</si>
  <si>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</si>
  <si>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</si>
  <si>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</si>
  <si>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</si>
  <si>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</si>
  <si>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</si>
  <si>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</si>
  <si>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</si>
  <si>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</si>
  <si>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</si>
  <si>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</si>
  <si>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</si>
  <si>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</si>
  <si>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</si>
  <si>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</si>
  <si>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</si>
  <si>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</si>
  <si>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</si>
  <si>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</si>
  <si>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</si>
  <si>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</si>
  <si>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</si>
  <si>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</si>
  <si>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</si>
  <si>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</si>
  <si>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</si>
  <si>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</si>
  <si>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</si>
  <si>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</si>
  <si>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</si>
  <si>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</si>
  <si>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</si>
  <si>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</si>
  <si>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</si>
  <si>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</si>
  <si>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</si>
  <si>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</si>
  <si>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</si>
  <si>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</si>
  <si>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</si>
  <si>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</si>
  <si>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</si>
  <si>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</si>
  <si>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</si>
  <si>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</si>
  <si>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</si>
  <si>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</si>
  <si>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</si>
  <si>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</si>
  <si>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</si>
  <si>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</si>
  <si>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</si>
  <si>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</si>
  <si>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</si>
  <si>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</si>
  <si>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</si>
  <si>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</si>
  <si>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</si>
  <si>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</si>
  <si>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</si>
  <si>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</si>
  <si>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</si>
  <si>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</si>
  <si>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</si>
  <si>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</si>
  <si>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</si>
  <si>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</si>
  <si>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</si>
  <si>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</si>
  <si>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</si>
  <si>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</si>
  <si>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</si>
  <si>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</si>
  <si>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</si>
  <si>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</si>
  <si>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</si>
  <si>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</si>
  <si>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</si>
  <si>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</si>
  <si>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</si>
  <si>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</si>
  <si>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</si>
  <si>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</si>
  <si>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</si>
  <si>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</si>
  <si>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</si>
  <si>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</si>
  <si>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</si>
  <si>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</si>
  <si>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</si>
  <si>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</si>
  <si>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</si>
  <si>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</si>
  <si>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</si>
  <si>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</si>
  <si>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</si>
  <si>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</si>
  <si>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</si>
  <si>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</si>
  <si>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</si>
  <si>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</si>
  <si>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</si>
  <si>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</si>
  <si>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</si>
  <si>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</si>
  <si>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</si>
  <si>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</si>
  <si>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</si>
  <si>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</si>
  <si>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</si>
  <si>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</si>
  <si>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</si>
  <si>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</si>
  <si>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</si>
  <si>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</si>
  <si>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</si>
  <si>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</si>
  <si>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</si>
  <si>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</si>
  <si>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</si>
  <si>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</si>
  <si>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</si>
  <si>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</si>
  <si>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</si>
  <si>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</si>
  <si>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</si>
  <si>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</si>
  <si>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</si>
  <si>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</si>
  <si>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</si>
  <si>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</si>
  <si>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</si>
  <si>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</si>
  <si>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</si>
  <si>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</si>
  <si>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</si>
  <si>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</si>
  <si>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</si>
  <si>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</si>
  <si>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</si>
  <si>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</si>
  <si>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</si>
  <si>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</si>
  <si>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</si>
  <si>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</si>
  <si>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</si>
  <si>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</si>
  <si>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</si>
  <si>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</si>
  <si>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</si>
  <si>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</si>
  <si>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</si>
  <si>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</si>
  <si>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</si>
  <si>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</si>
  <si>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</si>
  <si>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</si>
  <si>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</si>
  <si>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</si>
  <si>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</si>
  <si>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</si>
  <si>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</si>
  <si>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</si>
  <si>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</si>
  <si>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</si>
  <si>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</si>
  <si>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</si>
  <si>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</si>
  <si>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</si>
  <si>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</si>
  <si>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</si>
  <si>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</si>
  <si>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</si>
  <si>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</si>
  <si>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</si>
  <si>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</si>
  <si>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</si>
  <si>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</si>
  <si>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</si>
  <si>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</si>
  <si>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</si>
  <si>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</si>
  <si>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</si>
  <si>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</si>
  <si>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</si>
  <si>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</si>
  <si>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</si>
  <si>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</si>
  <si>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</si>
  <si>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</si>
  <si>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</si>
  <si>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</si>
  <si>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</si>
  <si>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</si>
  <si>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</si>
  <si>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</si>
  <si>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</si>
  <si>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</si>
  <si>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</si>
  <si>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</si>
  <si>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</si>
  <si>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</si>
  <si>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</si>
  <si>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</si>
  <si>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</si>
  <si>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</si>
  <si>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</si>
  <si>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</si>
  <si>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</si>
  <si>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</si>
  <si>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</si>
  <si>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</si>
  <si>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</si>
  <si>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</si>
  <si>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</si>
  <si>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</si>
  <si>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</si>
  <si>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</si>
  <si>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</si>
  <si>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</si>
  <si>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</si>
  <si>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</si>
  <si>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</si>
  <si>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</si>
  <si>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</si>
  <si>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</si>
  <si>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</si>
  <si>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</si>
  <si>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</si>
  <si>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</si>
  <si>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</si>
  <si>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</si>
  <si>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</si>
  <si>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</si>
  <si>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</si>
  <si>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</si>
  <si>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</si>
  <si>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</si>
  <si>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</si>
  <si>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</si>
  <si>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</si>
  <si>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</si>
  <si>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</si>
  <si>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</si>
  <si>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</si>
  <si>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</si>
  <si>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</si>
  <si>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</si>
  <si>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</si>
  <si>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</si>
  <si>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</si>
  <si>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</si>
  <si>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</si>
  <si>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</si>
  <si>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</si>
  <si>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</si>
  <si>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</si>
  <si>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</si>
  <si>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</si>
  <si>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</si>
  <si>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</si>
  <si>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</si>
  <si>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</si>
  <si>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</si>
  <si>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</si>
  <si>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</si>
  <si>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</si>
  <si>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</si>
  <si>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</si>
  <si>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</si>
  <si>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</si>
  <si>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</si>
  <si>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</si>
  <si>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</si>
  <si>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</si>
  <si>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</si>
  <si>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</si>
  <si>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</si>
  <si>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</si>
  <si>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</si>
  <si>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</si>
  <si>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</si>
  <si>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</si>
  <si>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</si>
  <si>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</si>
  <si>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</si>
  <si>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</si>
  <si>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</si>
  <si>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</si>
  <si>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</si>
  <si>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</si>
  <si>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</si>
  <si>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</si>
  <si>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</si>
  <si>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</si>
  <si>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</si>
  <si>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</si>
  <si>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</si>
  <si>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</si>
  <si>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</si>
  <si>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</si>
  <si>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</si>
  <si>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</si>
  <si>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</si>
  <si>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</si>
  <si>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</si>
  <si>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</si>
  <si>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</si>
  <si>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</si>
  <si>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</si>
  <si>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</si>
  <si>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</si>
  <si>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</si>
  <si>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</si>
  <si>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</si>
  <si>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</si>
  <si>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</si>
  <si>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</si>
  <si>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</si>
  <si>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</si>
  <si>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</si>
  <si>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</si>
  <si>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</si>
  <si>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</si>
  <si>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</si>
  <si>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</si>
  <si>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</si>
  <si>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</si>
  <si>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</si>
  <si>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</si>
  <si>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</si>
  <si>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</si>
  <si>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</si>
  <si>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</si>
  <si>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</si>
  <si>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</si>
  <si>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</si>
  <si>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</si>
  <si>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</si>
  <si>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</si>
  <si>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</si>
  <si>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</si>
  <si>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</si>
  <si>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</si>
  <si>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</si>
  <si>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</si>
  <si>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</si>
  <si>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</si>
  <si>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</si>
  <si>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</si>
  <si>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</si>
  <si>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</si>
  <si>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</si>
  <si>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</si>
  <si>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</si>
  <si>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</si>
  <si>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</si>
  <si>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</si>
  <si>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</si>
  <si>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</si>
  <si>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</si>
  <si>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</si>
  <si>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</si>
  <si>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</si>
  <si>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</si>
  <si>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</si>
  <si>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</si>
  <si>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</si>
  <si>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</si>
  <si>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</si>
  <si>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</si>
  <si>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</si>
  <si>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</si>
  <si>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</si>
  <si>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</si>
  <si>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</si>
  <si>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</si>
  <si>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</si>
  <si>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</si>
  <si>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</si>
  <si>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</si>
  <si>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</si>
  <si>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</si>
  <si>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</si>
  <si>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</si>
  <si>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</si>
  <si>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</si>
  <si>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</si>
  <si>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</si>
  <si>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</si>
  <si>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</si>
  <si>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</si>
  <si>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</si>
  <si>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</si>
  <si>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</si>
  <si>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</si>
  <si>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</si>
  <si>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</si>
  <si>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</si>
  <si>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</si>
  <si>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</si>
  <si>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</si>
  <si>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</si>
  <si>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</si>
  <si>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</si>
  <si>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</si>
  <si>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</si>
  <si>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</si>
  <si>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</si>
  <si>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</si>
  <si>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</si>
  <si>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</si>
  <si>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</si>
  <si>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</si>
  <si>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</si>
  <si>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</si>
  <si>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</si>
  <si>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</si>
  <si>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</si>
  <si>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</si>
  <si>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</si>
  <si>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</si>
  <si>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</si>
  <si>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</si>
  <si>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</si>
  <si>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</si>
  <si>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</si>
  <si>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</si>
  <si>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</si>
  <si>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</si>
  <si>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</si>
  <si>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</si>
  <si>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</si>
  <si>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</si>
  <si>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</si>
  <si>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</si>
  <si>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</si>
  <si>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</si>
  <si>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</si>
  <si>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</si>
  <si>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</si>
  <si>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</si>
  <si>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</si>
  <si>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</si>
  <si>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</si>
  <si>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</si>
  <si>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</si>
  <si>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</si>
  <si>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</si>
  <si>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</si>
  <si>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</si>
  <si>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</si>
  <si>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</si>
  <si>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</si>
  <si>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</si>
  <si>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</si>
  <si>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</si>
  <si>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</si>
  <si>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</si>
  <si>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</si>
  <si>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</si>
  <si>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</si>
  <si>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</si>
  <si>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</si>
  <si>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</si>
  <si>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</si>
  <si>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</si>
  <si>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</si>
  <si>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</si>
  <si>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</si>
  <si>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</si>
  <si>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</si>
  <si>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</si>
  <si>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</si>
  <si>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</si>
  <si>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</si>
  <si>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</si>
  <si>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</si>
  <si>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</si>
  <si>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</si>
  <si>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</si>
  <si>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</si>
  <si>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</si>
  <si>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</si>
  <si>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</si>
  <si>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</si>
  <si>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</si>
  <si>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</si>
  <si>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</si>
  <si>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</si>
  <si>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</si>
  <si>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</si>
  <si>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</si>
  <si>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</si>
  <si>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</si>
  <si>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</si>
  <si>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</si>
  <si>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</si>
  <si>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</si>
  <si>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</si>
  <si>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</si>
  <si>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</si>
  <si>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</si>
  <si>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</si>
  <si>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</si>
  <si>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</si>
  <si>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</si>
  <si>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</si>
  <si>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</si>
  <si>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</si>
  <si>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</si>
  <si>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</si>
  <si>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</si>
  <si>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</si>
  <si>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</si>
  <si>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</si>
  <si>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</si>
  <si>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</si>
  <si>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</si>
  <si>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</si>
  <si>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</si>
  <si>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</si>
  <si>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</si>
  <si>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</si>
  <si>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</si>
  <si>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</si>
  <si>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</si>
  <si>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</si>
  <si>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</si>
  <si>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</si>
  <si>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</si>
  <si>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</si>
  <si>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</si>
  <si>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</si>
  <si>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</si>
  <si>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</si>
  <si>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</si>
  <si>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</si>
  <si>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</si>
  <si>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</si>
  <si>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</si>
  <si>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</si>
  <si>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</si>
  <si>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</si>
  <si>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</si>
  <si>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</si>
  <si>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</si>
  <si>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</si>
  <si>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</si>
  <si>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</si>
  <si>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</si>
  <si>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</si>
  <si>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</si>
  <si>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</si>
  <si>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</si>
  <si>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</si>
  <si>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</si>
  <si>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</si>
  <si>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</si>
  <si>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</si>
  <si>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</si>
  <si>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</si>
  <si>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</si>
  <si>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</si>
  <si>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</si>
  <si>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</si>
  <si>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</si>
  <si>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</si>
  <si>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</si>
  <si>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</si>
  <si>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</si>
  <si>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</si>
  <si>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</si>
  <si>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</si>
  <si>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</si>
  <si>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</si>
  <si>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</si>
  <si>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</si>
  <si>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</si>
  <si>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</si>
  <si>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</si>
  <si>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</si>
  <si>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</si>
  <si>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</si>
  <si>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</si>
  <si>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</si>
  <si>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</si>
  <si>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</si>
  <si>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</si>
  <si>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</si>
  <si>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</si>
  <si>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</si>
  <si>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</si>
  <si>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</si>
  <si>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</si>
  <si>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</si>
  <si>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</si>
  <si>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</si>
  <si>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</si>
  <si>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</si>
  <si>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</si>
  <si>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</si>
  <si>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</si>
  <si>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</si>
  <si>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</si>
  <si>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</si>
  <si>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</si>
  <si>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</si>
  <si>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</si>
  <si>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</si>
  <si>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</si>
  <si>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</si>
  <si>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</si>
  <si>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</si>
  <si>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</si>
  <si>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</si>
  <si>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</si>
  <si>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</si>
  <si>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</si>
  <si>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</si>
  <si>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</si>
  <si>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</si>
  <si>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</si>
  <si>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</si>
  <si>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</si>
  <si>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</si>
  <si>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</si>
  <si>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</si>
  <si>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</si>
  <si>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</si>
  <si>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</si>
  <si>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</si>
  <si>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</si>
  <si>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</si>
  <si>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</si>
  <si>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</si>
  <si>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</si>
  <si>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</si>
  <si>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</si>
  <si>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</si>
  <si>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</si>
  <si>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</si>
  <si>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</si>
  <si>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</si>
  <si>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</si>
  <si>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</si>
  <si>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</si>
  <si>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</si>
  <si>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</si>
  <si>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</si>
  <si>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</si>
  <si>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</si>
  <si>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</si>
  <si>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</si>
  <si>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</si>
  <si>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</si>
  <si>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</si>
  <si>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</si>
  <si>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</si>
  <si>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</si>
  <si>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</si>
  <si>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</si>
  <si>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</si>
  <si>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</si>
  <si>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</si>
  <si>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</si>
  <si>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</si>
  <si>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</si>
  <si>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</si>
  <si>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</si>
  <si>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</si>
  <si>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</si>
  <si>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</si>
  <si>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</si>
  <si>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</si>
  <si>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</si>
  <si>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</si>
  <si>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</si>
  <si>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</si>
  <si>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</si>
  <si>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</si>
  <si>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</si>
  <si>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</si>
  <si>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</si>
  <si>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</si>
  <si>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</si>
  <si>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</si>
  <si>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</si>
  <si>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</si>
  <si>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</si>
  <si>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</si>
  <si>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</si>
  <si>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</si>
  <si>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</si>
  <si>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</si>
  <si>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</si>
  <si>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</si>
  <si>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</si>
  <si>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</si>
  <si>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</si>
  <si>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</si>
  <si>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</si>
  <si>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</si>
  <si>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</si>
  <si>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</si>
  <si>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</si>
  <si>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</si>
  <si>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</si>
  <si>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</si>
  <si>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</si>
  <si>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</si>
  <si>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</si>
  <si>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</si>
  <si>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</si>
  <si>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</si>
  <si>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</si>
  <si>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</si>
  <si>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</si>
  <si>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</si>
  <si>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</si>
  <si>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</si>
  <si>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</si>
  <si>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</si>
  <si>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</si>
  <si>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</si>
  <si>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</si>
  <si>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</si>
  <si>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</si>
  <si>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</si>
  <si>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</si>
  <si>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</si>
  <si>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</si>
  <si>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</si>
  <si>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</si>
  <si>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</si>
  <si>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</si>
  <si>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</si>
  <si>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</si>
  <si>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</si>
  <si>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</si>
  <si>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</si>
  <si>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</si>
  <si>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</si>
  <si>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</si>
  <si>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</si>
  <si>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</si>
  <si>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</si>
  <si>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</si>
  <si>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</si>
  <si>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</si>
  <si>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</si>
  <si>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</si>
  <si>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</si>
  <si>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</si>
  <si>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</si>
  <si>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</si>
  <si>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</si>
  <si>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</si>
  <si>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</si>
  <si>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</si>
  <si>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</si>
  <si>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</si>
  <si>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</si>
  <si>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</si>
  <si>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</si>
  <si>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</si>
  <si>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</si>
  <si>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</si>
  <si>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</si>
  <si>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</si>
  <si>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</si>
  <si>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</si>
  <si>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</si>
  <si>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</si>
  <si>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</si>
  <si>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</si>
  <si>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</si>
  <si>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</si>
  <si>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</si>
  <si>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</si>
  <si>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</si>
  <si>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</si>
  <si>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</si>
  <si>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</si>
  <si>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</si>
  <si>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</si>
  <si>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</si>
  <si>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</si>
  <si>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</si>
  <si>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</si>
  <si>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</si>
  <si>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</si>
  <si>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</si>
  <si>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</si>
  <si>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</si>
  <si>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</si>
  <si>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</si>
  <si>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</si>
  <si>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</si>
  <si>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</si>
  <si>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</si>
  <si>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</si>
  <si>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</si>
  <si>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</si>
  <si>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</si>
  <si>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</si>
  <si>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</si>
  <si>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</si>
  <si>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</si>
  <si>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</si>
  <si>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</si>
  <si>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</si>
  <si>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</si>
  <si>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</si>
  <si>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</si>
  <si>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</si>
  <si>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</si>
  <si>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</si>
  <si>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</si>
  <si>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</si>
  <si>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</si>
  <si>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</si>
  <si>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</si>
  <si>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</si>
  <si>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</si>
  <si>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</si>
  <si>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</si>
  <si>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</si>
  <si>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</si>
  <si>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</si>
  <si>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</si>
  <si>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</si>
  <si>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</si>
  <si>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</si>
  <si>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</si>
  <si>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</si>
  <si>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</si>
  <si>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</si>
  <si>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</si>
  <si>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</si>
  <si>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</si>
  <si>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</si>
  <si>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</si>
  <si>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</si>
  <si>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</si>
  <si>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</si>
  <si>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</si>
  <si>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</si>
  <si>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</si>
  <si>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</si>
  <si>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</si>
  <si>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</si>
  <si>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</si>
  <si>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</si>
  <si>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</si>
  <si>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</si>
  <si>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</si>
  <si>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</si>
  <si>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</si>
  <si>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</si>
  <si>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</si>
  <si>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</si>
  <si>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</si>
  <si>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</si>
  <si>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</si>
  <si>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</si>
  <si>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</si>
  <si>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</si>
  <si>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</si>
  <si>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</si>
  <si>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</si>
  <si>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</si>
  <si>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</si>
  <si>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</si>
  <si>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</si>
  <si>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</si>
  <si>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</si>
  <si>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</si>
  <si>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</si>
  <si>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</si>
  <si>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</si>
  <si>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</si>
  <si>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</si>
  <si>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</si>
  <si>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</si>
  <si>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</si>
  <si>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</si>
  <si>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</si>
  <si>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</si>
  <si>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</si>
  <si>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</si>
  <si>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</si>
  <si>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</si>
  <si>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</si>
  <si>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</si>
  <si>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</si>
  <si>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</si>
  <si>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</si>
  <si>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</si>
  <si>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</si>
  <si>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</si>
  <si>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</si>
  <si>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</si>
  <si>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</si>
  <si>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</si>
  <si>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</si>
  <si>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</si>
  <si>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</si>
  <si>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</si>
  <si>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</si>
  <si>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</si>
  <si>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</si>
  <si>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</si>
  <si>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</si>
  <si>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</si>
  <si>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</si>
  <si>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</si>
  <si>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</si>
  <si>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</si>
  <si>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</si>
  <si>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</si>
  <si>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</si>
  <si>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</si>
  <si>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</si>
  <si>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</si>
  <si>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</si>
  <si>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</si>
  <si>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</si>
  <si>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</si>
  <si>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</si>
  <si>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</si>
  <si>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</si>
  <si>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</si>
  <si>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</si>
  <si>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</si>
  <si>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</si>
  <si>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</si>
  <si>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</si>
  <si>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</si>
  <si>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</si>
  <si>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</si>
  <si>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</si>
  <si>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</si>
  <si>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</si>
  <si>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</si>
  <si>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</si>
  <si>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</si>
  <si>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</si>
  <si>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</si>
  <si>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</si>
  <si>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</si>
  <si>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</si>
  <si>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</si>
  <si>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</si>
  <si>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</si>
  <si>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</si>
  <si>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</si>
  <si>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</si>
  <si>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</si>
  <si>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</si>
  <si>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</si>
  <si>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</si>
  <si>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</si>
  <si>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</si>
  <si>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</si>
  <si>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</si>
  <si>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</si>
  <si>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</si>
  <si>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</si>
  <si>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</si>
  <si>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</si>
  <si>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</si>
  <si>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</si>
  <si>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</si>
  <si>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</si>
  <si>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</si>
  <si>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</si>
  <si>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</si>
  <si>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</si>
  <si>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</si>
  <si>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</si>
  <si>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</si>
  <si>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</si>
  <si>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</si>
  <si>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</si>
  <si>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</si>
  <si>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</si>
  <si>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</si>
  <si>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</si>
  <si>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</si>
  <si>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</si>
  <si>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</si>
  <si>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</si>
  <si>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</si>
  <si>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</si>
  <si>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</si>
  <si>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</si>
  <si>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</si>
  <si>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</si>
  <si>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</si>
  <si>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</si>
  <si>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</si>
  <si>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</si>
  <si>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</si>
  <si>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</si>
  <si>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</si>
  <si>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</si>
  <si>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</si>
  <si>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</si>
  <si>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</si>
  <si>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</si>
  <si>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</si>
  <si>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</si>
  <si>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</si>
  <si>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</si>
  <si>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</si>
  <si>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</si>
  <si>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</si>
  <si>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</si>
  <si>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</si>
  <si>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</si>
  <si>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</si>
  <si>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</si>
  <si>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</si>
  <si>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</si>
  <si>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</si>
  <si>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</si>
  <si>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</si>
  <si>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</si>
  <si>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</si>
  <si>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</si>
  <si>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</si>
  <si>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</si>
  <si>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</si>
  <si>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</si>
  <si>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</si>
  <si>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</si>
  <si>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</si>
  <si>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</si>
  <si>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</si>
  <si>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</si>
  <si>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</si>
  <si>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</si>
  <si>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</si>
  <si>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</si>
  <si>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</si>
  <si>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</si>
  <si>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</si>
  <si>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</si>
  <si>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</si>
  <si>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</si>
  <si>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</si>
  <si>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</si>
  <si>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</si>
  <si>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</si>
  <si>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</si>
  <si>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</si>
  <si>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</si>
  <si>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</si>
  <si>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</si>
  <si>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</si>
  <si>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</si>
  <si>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</si>
  <si>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</si>
  <si>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</si>
  <si>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</si>
  <si>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</si>
  <si>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</si>
  <si>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</si>
  <si>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</si>
  <si>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</si>
  <si>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</si>
  <si>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61 חנויות</t>
  </si>
  <si>
    <t xml:space="preserve">סה"כ 174 חנויות</t>
  </si>
  <si>
    <t xml:space="preserve">NetSuite+CHMI (31+143)</t>
  </si>
  <si>
    <t xml:space="preserve">סה"כ 237 חנויות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</si>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</sst>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FreeSans"/>
      <family val="2"/>
      <charset val="1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3456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3456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3456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3456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3456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3456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3456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3457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3457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3457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3457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3457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3457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3457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3458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3458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3458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3458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3458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3458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3458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3456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3456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3456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3456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3456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3456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3456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3457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3457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3457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3457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3457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3457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3457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3458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3458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3458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3458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3458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3458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3458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3464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3465</v>
      </c>
      <c r="C3" s="40" t="s">
        <v>3466</v>
      </c>
      <c r="D3" s="40" t="s">
        <v>3446</v>
      </c>
      <c r="E3" s="40" t="s">
        <v>3447</v>
      </c>
      <c r="F3" s="40" t="s">
        <v>3448</v>
      </c>
      <c r="G3" s="40" t="s">
        <v>3467</v>
      </c>
      <c r="H3" s="40" t="s">
        <v>3468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3469</v>
      </c>
      <c r="C1" s="30" t="s">
        <v>43</v>
      </c>
      <c r="D1" s="30" t="s">
        <v>3470</v>
      </c>
      <c r="E1" s="30" t="s">
        <v>3471</v>
      </c>
      <c r="F1" s="30" t="s">
        <v>3472</v>
      </c>
      <c r="G1" s="30" t="s">
        <v>3473</v>
      </c>
      <c r="H1" s="30" t="s">
        <v>48</v>
      </c>
      <c r="I1" s="30" t="s">
        <v>50</v>
      </c>
      <c r="J1" s="30" t="s">
        <v>3474</v>
      </c>
      <c r="K1" s="30" t="s">
        <v>3475</v>
      </c>
    </row>
    <row r="2" customFormat="false" ht="15" hidden="false" customHeight="true" outlineLevel="0" collapsed="false">
      <c r="A2" s="14" t="s">
        <v>3453</v>
      </c>
      <c r="B2" s="14" t="s">
        <v>3476</v>
      </c>
      <c r="C2" s="14" t="s">
        <v>51</v>
      </c>
      <c r="D2" s="14" t="s">
        <v>3477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3478</v>
      </c>
      <c r="K2" s="14" t="s">
        <v>3479</v>
      </c>
    </row>
    <row r="3" customFormat="false" ht="15" hidden="false" customHeight="true" outlineLevel="0" collapsed="false">
      <c r="A3" s="14" t="s">
        <v>3453</v>
      </c>
      <c r="B3" s="14" t="s">
        <v>3476</v>
      </c>
      <c r="C3" s="14" t="s">
        <v>51</v>
      </c>
      <c r="D3" s="14" t="s">
        <v>3480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3478</v>
      </c>
      <c r="K3" s="14" t="s">
        <v>3479</v>
      </c>
    </row>
    <row r="4" customFormat="false" ht="15" hidden="false" customHeight="true" outlineLevel="0" collapsed="false">
      <c r="A4" s="14" t="s">
        <v>3453</v>
      </c>
      <c r="B4" s="14" t="s">
        <v>3476</v>
      </c>
      <c r="C4" s="14" t="s">
        <v>51</v>
      </c>
      <c r="D4" s="14" t="s">
        <v>3481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3478</v>
      </c>
      <c r="K4" s="14" t="s">
        <v>3479</v>
      </c>
    </row>
    <row r="5" customFormat="false" ht="15" hidden="false" customHeight="true" outlineLevel="0" collapsed="false">
      <c r="A5" s="14" t="s">
        <v>3453</v>
      </c>
      <c r="B5" s="14" t="s">
        <v>3476</v>
      </c>
      <c r="C5" s="14" t="s">
        <v>51</v>
      </c>
      <c r="D5" s="14" t="s">
        <v>3482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3478</v>
      </c>
      <c r="K5" s="14" t="s">
        <v>3479</v>
      </c>
    </row>
    <row r="6" customFormat="false" ht="15" hidden="false" customHeight="true" outlineLevel="0" collapsed="false">
      <c r="A6" s="14" t="s">
        <v>3453</v>
      </c>
      <c r="B6" s="14" t="s">
        <v>3483</v>
      </c>
      <c r="C6" s="14" t="s">
        <v>1690</v>
      </c>
      <c r="D6" s="14" t="s">
        <v>3484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3478</v>
      </c>
      <c r="K6" s="14" t="s">
        <v>3479</v>
      </c>
    </row>
    <row r="7" customFormat="false" ht="15" hidden="false" customHeight="true" outlineLevel="0" collapsed="false">
      <c r="A7" s="14" t="s">
        <v>3453</v>
      </c>
      <c r="B7" s="14" t="s">
        <v>3483</v>
      </c>
      <c r="C7" s="14" t="s">
        <v>1690</v>
      </c>
      <c r="D7" s="14" t="s">
        <v>3485</v>
      </c>
      <c r="E7" s="14" t="s">
        <v>3486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3478</v>
      </c>
      <c r="K7" s="14" t="s">
        <v>3479</v>
      </c>
    </row>
    <row r="8" customFormat="false" ht="15" hidden="false" customHeight="true" outlineLevel="0" collapsed="false">
      <c r="A8" s="14" t="s">
        <v>3453</v>
      </c>
      <c r="B8" s="14" t="s">
        <v>3483</v>
      </c>
      <c r="C8" s="14" t="s">
        <v>1690</v>
      </c>
      <c r="D8" s="14" t="s">
        <v>3487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3478</v>
      </c>
      <c r="K8" s="14" t="s">
        <v>3479</v>
      </c>
    </row>
    <row r="9" customFormat="false" ht="15" hidden="false" customHeight="true" outlineLevel="0" collapsed="false">
      <c r="A9" s="14" t="s">
        <v>3453</v>
      </c>
      <c r="B9" s="14" t="s">
        <v>3483</v>
      </c>
      <c r="C9" s="14" t="s">
        <v>1690</v>
      </c>
      <c r="D9" s="14" t="s">
        <v>3488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3478</v>
      </c>
      <c r="K9" s="14" t="s">
        <v>3479</v>
      </c>
    </row>
    <row r="10" customFormat="false" ht="15" hidden="false" customHeight="true" outlineLevel="0" collapsed="false">
      <c r="A10" s="14" t="s">
        <v>3453</v>
      </c>
      <c r="B10" s="14" t="s">
        <v>3483</v>
      </c>
      <c r="C10" s="14" t="s">
        <v>1690</v>
      </c>
      <c r="D10" s="14" t="s">
        <v>3489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3478</v>
      </c>
      <c r="K10" s="14" t="s">
        <v>3479</v>
      </c>
    </row>
    <row r="11" customFormat="false" ht="15" hidden="false" customHeight="true" outlineLevel="0" collapsed="false">
      <c r="A11" s="14" t="s">
        <v>3453</v>
      </c>
      <c r="B11" s="14" t="s">
        <v>3483</v>
      </c>
      <c r="C11" s="14" t="s">
        <v>1690</v>
      </c>
      <c r="D11" s="14" t="s">
        <v>3490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3478</v>
      </c>
      <c r="K11" s="14" t="s">
        <v>3479</v>
      </c>
    </row>
    <row r="12" customFormat="false" ht="15" hidden="false" customHeight="true" outlineLevel="0" collapsed="false">
      <c r="A12" s="14" t="s">
        <v>3453</v>
      </c>
      <c r="B12" s="14" t="s">
        <v>3491</v>
      </c>
      <c r="C12" s="14" t="s">
        <v>1685</v>
      </c>
      <c r="D12" s="14" t="s">
        <v>3492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3478</v>
      </c>
      <c r="K12" s="14" t="s">
        <v>3479</v>
      </c>
    </row>
    <row r="13" customFormat="false" ht="15" hidden="false" customHeight="true" outlineLevel="0" collapsed="false">
      <c r="A13" s="14" t="s">
        <v>3453</v>
      </c>
      <c r="B13" s="14" t="s">
        <v>3493</v>
      </c>
      <c r="C13" s="14" t="s">
        <v>2431</v>
      </c>
      <c r="D13" s="14" t="s">
        <v>3494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3478</v>
      </c>
      <c r="K13" s="14" t="s">
        <v>3479</v>
      </c>
    </row>
    <row r="14" customFormat="false" ht="15" hidden="false" customHeight="true" outlineLevel="0" collapsed="false">
      <c r="A14" s="14" t="s">
        <v>3453</v>
      </c>
      <c r="B14" s="14" t="s">
        <v>3495</v>
      </c>
      <c r="C14" s="14" t="s">
        <v>1873</v>
      </c>
      <c r="D14" s="14" t="s">
        <v>3496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3478</v>
      </c>
      <c r="K14" s="14" t="s">
        <v>3479</v>
      </c>
    </row>
    <row r="15" customFormat="false" ht="15" hidden="false" customHeight="true" outlineLevel="0" collapsed="false">
      <c r="A15" s="14" t="s">
        <v>3453</v>
      </c>
      <c r="B15" s="14" t="s">
        <v>3495</v>
      </c>
      <c r="C15" s="14" t="s">
        <v>1873</v>
      </c>
      <c r="D15" s="14" t="s">
        <v>3497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3478</v>
      </c>
      <c r="K15" s="14" t="s">
        <v>3479</v>
      </c>
    </row>
    <row r="16" customFormat="false" ht="15" hidden="false" customHeight="true" outlineLevel="0" collapsed="false">
      <c r="A16" s="14" t="s">
        <v>3453</v>
      </c>
      <c r="B16" s="14" t="s">
        <v>3495</v>
      </c>
      <c r="C16" s="14" t="s">
        <v>1873</v>
      </c>
      <c r="D16" s="14" t="s">
        <v>3498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3478</v>
      </c>
      <c r="K16" s="14" t="s">
        <v>3479</v>
      </c>
    </row>
    <row r="17" customFormat="false" ht="15" hidden="false" customHeight="true" outlineLevel="0" collapsed="false">
      <c r="A17" s="14" t="s">
        <v>3454</v>
      </c>
      <c r="B17" s="14" t="s">
        <v>3476</v>
      </c>
      <c r="C17" s="14" t="s">
        <v>51</v>
      </c>
      <c r="D17" s="14" t="s">
        <v>3499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3478</v>
      </c>
      <c r="K17" s="14" t="s">
        <v>3479</v>
      </c>
    </row>
    <row r="18" customFormat="false" ht="15" hidden="false" customHeight="true" outlineLevel="0" collapsed="false">
      <c r="A18" s="14" t="s">
        <v>3454</v>
      </c>
      <c r="B18" s="14" t="s">
        <v>3476</v>
      </c>
      <c r="C18" s="14" t="s">
        <v>51</v>
      </c>
      <c r="D18" s="14" t="s">
        <v>3500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3478</v>
      </c>
      <c r="K18" s="14" t="s">
        <v>3479</v>
      </c>
    </row>
    <row r="19" customFormat="false" ht="15" hidden="false" customHeight="true" outlineLevel="0" collapsed="false">
      <c r="A19" s="14" t="s">
        <v>3454</v>
      </c>
      <c r="B19" s="14" t="s">
        <v>3476</v>
      </c>
      <c r="C19" s="14" t="s">
        <v>51</v>
      </c>
      <c r="D19" s="14" t="s">
        <v>3501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3478</v>
      </c>
      <c r="K19" s="14" t="s">
        <v>3479</v>
      </c>
    </row>
    <row r="20" customFormat="false" ht="15" hidden="false" customHeight="true" outlineLevel="0" collapsed="false">
      <c r="A20" s="14" t="s">
        <v>3454</v>
      </c>
      <c r="B20" s="14" t="s">
        <v>3476</v>
      </c>
      <c r="C20" s="14" t="s">
        <v>51</v>
      </c>
      <c r="D20" s="14" t="s">
        <v>3502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3478</v>
      </c>
      <c r="K20" s="14" t="s">
        <v>3479</v>
      </c>
    </row>
    <row r="21" customFormat="false" ht="15" hidden="false" customHeight="true" outlineLevel="0" collapsed="false">
      <c r="A21" s="14" t="s">
        <v>3454</v>
      </c>
      <c r="B21" s="14" t="s">
        <v>3476</v>
      </c>
      <c r="C21" s="14" t="s">
        <v>51</v>
      </c>
      <c r="D21" s="14" t="s">
        <v>3503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3478</v>
      </c>
      <c r="K21" s="14" t="s">
        <v>3479</v>
      </c>
    </row>
    <row r="22" customFormat="false" ht="15" hidden="false" customHeight="true" outlineLevel="0" collapsed="false">
      <c r="A22" s="14" t="s">
        <v>3454</v>
      </c>
      <c r="B22" s="14" t="s">
        <v>3476</v>
      </c>
      <c r="C22" s="14" t="s">
        <v>51</v>
      </c>
      <c r="D22" s="14" t="s">
        <v>3504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3478</v>
      </c>
      <c r="K22" s="14" t="s">
        <v>3479</v>
      </c>
    </row>
    <row r="23" customFormat="false" ht="15" hidden="false" customHeight="true" outlineLevel="0" collapsed="false">
      <c r="A23" s="14" t="s">
        <v>3454</v>
      </c>
      <c r="B23" s="14" t="s">
        <v>3476</v>
      </c>
      <c r="C23" s="14" t="s">
        <v>51</v>
      </c>
      <c r="D23" s="14" t="s">
        <v>3505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3478</v>
      </c>
      <c r="K23" s="14" t="s">
        <v>3479</v>
      </c>
    </row>
    <row r="24" customFormat="false" ht="15" hidden="false" customHeight="true" outlineLevel="0" collapsed="false">
      <c r="A24" s="14" t="s">
        <v>3454</v>
      </c>
      <c r="B24" s="14" t="s">
        <v>3476</v>
      </c>
      <c r="C24" s="14" t="s">
        <v>51</v>
      </c>
      <c r="D24" s="14" t="s">
        <v>3506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3507</v>
      </c>
      <c r="K24" s="14" t="s">
        <v>3479</v>
      </c>
    </row>
    <row r="25" customFormat="false" ht="15" hidden="false" customHeight="true" outlineLevel="0" collapsed="false">
      <c r="A25" s="14" t="s">
        <v>3454</v>
      </c>
      <c r="B25" s="14" t="s">
        <v>3476</v>
      </c>
      <c r="C25" s="14" t="s">
        <v>51</v>
      </c>
      <c r="D25" s="14" t="s">
        <v>3508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3478</v>
      </c>
      <c r="K25" s="14" t="s">
        <v>3479</v>
      </c>
    </row>
    <row r="26" customFormat="false" ht="15" hidden="false" customHeight="true" outlineLevel="0" collapsed="false">
      <c r="A26" s="14" t="s">
        <v>3454</v>
      </c>
      <c r="B26" s="14" t="s">
        <v>3476</v>
      </c>
      <c r="C26" s="14" t="s">
        <v>51</v>
      </c>
      <c r="D26" s="14" t="s">
        <v>3509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3478</v>
      </c>
      <c r="K26" s="14" t="s">
        <v>3479</v>
      </c>
    </row>
    <row r="27" customFormat="false" ht="15" hidden="false" customHeight="true" outlineLevel="0" collapsed="false">
      <c r="A27" s="14" t="s">
        <v>3454</v>
      </c>
      <c r="B27" s="14" t="s">
        <v>3476</v>
      </c>
      <c r="C27" s="14" t="s">
        <v>51</v>
      </c>
      <c r="D27" s="14" t="s">
        <v>3510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3478</v>
      </c>
      <c r="K27" s="14" t="s">
        <v>3479</v>
      </c>
    </row>
    <row r="28" customFormat="false" ht="15" hidden="false" customHeight="true" outlineLevel="0" collapsed="false">
      <c r="A28" s="14" t="s">
        <v>3454</v>
      </c>
      <c r="B28" s="14" t="s">
        <v>3476</v>
      </c>
      <c r="C28" s="14" t="s">
        <v>51</v>
      </c>
      <c r="D28" s="14" t="s">
        <v>3511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3478</v>
      </c>
      <c r="K28" s="14" t="s">
        <v>3479</v>
      </c>
    </row>
    <row r="29" customFormat="false" ht="15" hidden="false" customHeight="true" outlineLevel="0" collapsed="false">
      <c r="A29" s="14" t="s">
        <v>3454</v>
      </c>
      <c r="B29" s="14" t="s">
        <v>3476</v>
      </c>
      <c r="C29" s="14" t="s">
        <v>51</v>
      </c>
      <c r="D29" s="14" t="s">
        <v>3512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3478</v>
      </c>
      <c r="K29" s="14" t="s">
        <v>3479</v>
      </c>
    </row>
    <row r="30" customFormat="false" ht="15" hidden="false" customHeight="true" outlineLevel="0" collapsed="false">
      <c r="A30" s="14" t="s">
        <v>3454</v>
      </c>
      <c r="B30" s="14" t="s">
        <v>3476</v>
      </c>
      <c r="C30" s="14" t="s">
        <v>51</v>
      </c>
      <c r="D30" s="14" t="s">
        <v>3513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3478</v>
      </c>
      <c r="K30" s="14" t="s">
        <v>3479</v>
      </c>
    </row>
    <row r="31" customFormat="false" ht="15" hidden="false" customHeight="true" outlineLevel="0" collapsed="false">
      <c r="A31" s="14" t="s">
        <v>3454</v>
      </c>
      <c r="B31" s="14" t="s">
        <v>3476</v>
      </c>
      <c r="C31" s="14" t="s">
        <v>51</v>
      </c>
      <c r="D31" s="14" t="s">
        <v>3514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3478</v>
      </c>
      <c r="K31" s="14" t="s">
        <v>3479</v>
      </c>
    </row>
    <row r="32" customFormat="false" ht="15" hidden="false" customHeight="true" outlineLevel="0" collapsed="false">
      <c r="A32" s="14" t="s">
        <v>3454</v>
      </c>
      <c r="B32" s="14" t="s">
        <v>3476</v>
      </c>
      <c r="C32" s="14" t="s">
        <v>51</v>
      </c>
      <c r="D32" s="14" t="s">
        <v>3515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3478</v>
      </c>
      <c r="K32" s="14" t="s">
        <v>3479</v>
      </c>
    </row>
    <row r="33" customFormat="false" ht="15" hidden="false" customHeight="true" outlineLevel="0" collapsed="false">
      <c r="A33" s="14" t="s">
        <v>3454</v>
      </c>
      <c r="B33" s="14" t="s">
        <v>3476</v>
      </c>
      <c r="C33" s="14" t="s">
        <v>51</v>
      </c>
      <c r="D33" s="14" t="s">
        <v>3516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3478</v>
      </c>
      <c r="K33" s="14" t="s">
        <v>3479</v>
      </c>
    </row>
    <row r="34" customFormat="false" ht="15" hidden="false" customHeight="true" outlineLevel="0" collapsed="false">
      <c r="A34" s="14" t="s">
        <v>3454</v>
      </c>
      <c r="B34" s="14" t="s">
        <v>3476</v>
      </c>
      <c r="C34" s="14" t="s">
        <v>51</v>
      </c>
      <c r="D34" s="14" t="s">
        <v>3517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3478</v>
      </c>
      <c r="K34" s="14" t="s">
        <v>3479</v>
      </c>
    </row>
    <row r="35" customFormat="false" ht="15" hidden="false" customHeight="true" outlineLevel="0" collapsed="false">
      <c r="A35" s="14" t="s">
        <v>3454</v>
      </c>
      <c r="B35" s="14" t="s">
        <v>3476</v>
      </c>
      <c r="C35" s="14" t="s">
        <v>51</v>
      </c>
      <c r="D35" s="14" t="s">
        <v>3518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3478</v>
      </c>
      <c r="K35" s="14" t="s">
        <v>3479</v>
      </c>
    </row>
    <row r="36" customFormat="false" ht="15" hidden="false" customHeight="true" outlineLevel="0" collapsed="false">
      <c r="A36" s="14" t="s">
        <v>3454</v>
      </c>
      <c r="B36" s="14" t="s">
        <v>3476</v>
      </c>
      <c r="C36" s="14" t="s">
        <v>51</v>
      </c>
      <c r="D36" s="14" t="s">
        <v>3519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3478</v>
      </c>
      <c r="K36" s="14" t="s">
        <v>3479</v>
      </c>
    </row>
    <row r="37" customFormat="false" ht="15" hidden="false" customHeight="true" outlineLevel="0" collapsed="false">
      <c r="A37" s="14" t="s">
        <v>3454</v>
      </c>
      <c r="B37" s="14" t="s">
        <v>3476</v>
      </c>
      <c r="C37" s="14" t="s">
        <v>51</v>
      </c>
      <c r="D37" s="14" t="s">
        <v>3520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3478</v>
      </c>
      <c r="K37" s="14" t="s">
        <v>3479</v>
      </c>
    </row>
    <row r="38" customFormat="false" ht="15" hidden="false" customHeight="true" outlineLevel="0" collapsed="false">
      <c r="A38" s="14" t="s">
        <v>3454</v>
      </c>
      <c r="B38" s="14" t="s">
        <v>3476</v>
      </c>
      <c r="C38" s="14" t="s">
        <v>51</v>
      </c>
      <c r="D38" s="14" t="s">
        <v>3521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3478</v>
      </c>
      <c r="K38" s="14" t="s">
        <v>3479</v>
      </c>
    </row>
    <row r="39" customFormat="false" ht="15" hidden="false" customHeight="true" outlineLevel="0" collapsed="false">
      <c r="A39" s="14" t="s">
        <v>3454</v>
      </c>
      <c r="B39" s="14" t="s">
        <v>3476</v>
      </c>
      <c r="C39" s="14" t="s">
        <v>51</v>
      </c>
      <c r="D39" s="14" t="s">
        <v>3522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3478</v>
      </c>
      <c r="K39" s="14" t="s">
        <v>3479</v>
      </c>
    </row>
    <row r="40" customFormat="false" ht="15" hidden="false" customHeight="true" outlineLevel="0" collapsed="false">
      <c r="A40" s="14" t="s">
        <v>3454</v>
      </c>
      <c r="B40" s="14" t="s">
        <v>3476</v>
      </c>
      <c r="C40" s="14" t="s">
        <v>51</v>
      </c>
      <c r="D40" s="14" t="s">
        <v>3523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3478</v>
      </c>
      <c r="K40" s="14" t="s">
        <v>3479</v>
      </c>
    </row>
    <row r="41" customFormat="false" ht="15" hidden="false" customHeight="true" outlineLevel="0" collapsed="false">
      <c r="A41" s="14" t="s">
        <v>3454</v>
      </c>
      <c r="B41" s="14" t="s">
        <v>3476</v>
      </c>
      <c r="C41" s="14" t="s">
        <v>51</v>
      </c>
      <c r="D41" s="14" t="s">
        <v>3524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3478</v>
      </c>
      <c r="K41" s="14" t="s">
        <v>3479</v>
      </c>
    </row>
    <row r="42" customFormat="false" ht="15" hidden="false" customHeight="true" outlineLevel="0" collapsed="false">
      <c r="A42" s="14" t="s">
        <v>3454</v>
      </c>
      <c r="B42" s="14" t="s">
        <v>3476</v>
      </c>
      <c r="C42" s="14" t="s">
        <v>51</v>
      </c>
      <c r="D42" s="14" t="s">
        <v>3525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3478</v>
      </c>
      <c r="K42" s="14" t="s">
        <v>3479</v>
      </c>
    </row>
    <row r="43" customFormat="false" ht="15" hidden="false" customHeight="true" outlineLevel="0" collapsed="false">
      <c r="A43" s="14" t="s">
        <v>3454</v>
      </c>
      <c r="B43" s="14" t="s">
        <v>3476</v>
      </c>
      <c r="C43" s="14" t="s">
        <v>51</v>
      </c>
      <c r="D43" s="14" t="s">
        <v>3526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3478</v>
      </c>
      <c r="K43" s="14" t="s">
        <v>3479</v>
      </c>
    </row>
    <row r="44" customFormat="false" ht="15" hidden="false" customHeight="true" outlineLevel="0" collapsed="false">
      <c r="A44" s="14" t="s">
        <v>3454</v>
      </c>
      <c r="B44" s="14" t="s">
        <v>3476</v>
      </c>
      <c r="C44" s="14" t="s">
        <v>51</v>
      </c>
      <c r="D44" s="14" t="s">
        <v>3527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3478</v>
      </c>
      <c r="K44" s="14" t="s">
        <v>3479</v>
      </c>
    </row>
    <row r="45" customFormat="false" ht="15" hidden="false" customHeight="true" outlineLevel="0" collapsed="false">
      <c r="A45" s="14" t="s">
        <v>3454</v>
      </c>
      <c r="B45" s="14" t="s">
        <v>3476</v>
      </c>
      <c r="C45" s="14" t="s">
        <v>51</v>
      </c>
      <c r="D45" s="14" t="s">
        <v>3528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3478</v>
      </c>
      <c r="K45" s="14" t="s">
        <v>3479</v>
      </c>
    </row>
    <row r="46" customFormat="false" ht="15" hidden="false" customHeight="true" outlineLevel="0" collapsed="false">
      <c r="A46" s="14" t="s">
        <v>3454</v>
      </c>
      <c r="B46" s="14" t="s">
        <v>3476</v>
      </c>
      <c r="C46" s="14" t="s">
        <v>51</v>
      </c>
      <c r="D46" s="14" t="s">
        <v>3529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3478</v>
      </c>
      <c r="K46" s="14" t="s">
        <v>3479</v>
      </c>
    </row>
    <row r="47" customFormat="false" ht="15" hidden="false" customHeight="true" outlineLevel="0" collapsed="false">
      <c r="A47" s="14" t="s">
        <v>3454</v>
      </c>
      <c r="B47" s="14" t="s">
        <v>3476</v>
      </c>
      <c r="C47" s="14" t="s">
        <v>51</v>
      </c>
      <c r="D47" s="14" t="s">
        <v>3530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3478</v>
      </c>
      <c r="K47" s="14" t="s">
        <v>3479</v>
      </c>
    </row>
    <row r="48" customFormat="false" ht="15" hidden="false" customHeight="true" outlineLevel="0" collapsed="false">
      <c r="A48" s="14" t="s">
        <v>3454</v>
      </c>
      <c r="B48" s="14" t="s">
        <v>3476</v>
      </c>
      <c r="C48" s="14" t="s">
        <v>51</v>
      </c>
      <c r="D48" s="14" t="s">
        <v>3531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3478</v>
      </c>
      <c r="K48" s="14" t="s">
        <v>3479</v>
      </c>
    </row>
    <row r="49" customFormat="false" ht="15" hidden="false" customHeight="true" outlineLevel="0" collapsed="false">
      <c r="A49" s="14" t="s">
        <v>3454</v>
      </c>
      <c r="B49" s="14" t="s">
        <v>3476</v>
      </c>
      <c r="C49" s="14" t="s">
        <v>51</v>
      </c>
      <c r="D49" s="14" t="s">
        <v>3532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3478</v>
      </c>
      <c r="K49" s="14" t="s">
        <v>3479</v>
      </c>
    </row>
    <row r="50" customFormat="false" ht="15" hidden="false" customHeight="true" outlineLevel="0" collapsed="false">
      <c r="A50" s="14" t="s">
        <v>3454</v>
      </c>
      <c r="B50" s="14" t="s">
        <v>3483</v>
      </c>
      <c r="C50" s="14" t="s">
        <v>1690</v>
      </c>
      <c r="D50" s="14" t="s">
        <v>3533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3478</v>
      </c>
      <c r="K50" s="14" t="s">
        <v>3479</v>
      </c>
    </row>
    <row r="51" customFormat="false" ht="15" hidden="false" customHeight="true" outlineLevel="0" collapsed="false">
      <c r="A51" s="14" t="s">
        <v>3454</v>
      </c>
      <c r="B51" s="14" t="s">
        <v>3483</v>
      </c>
      <c r="C51" s="14" t="s">
        <v>1690</v>
      </c>
      <c r="D51" s="14" t="s">
        <v>3534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3478</v>
      </c>
      <c r="K51" s="14" t="s">
        <v>3479</v>
      </c>
    </row>
    <row r="52" customFormat="false" ht="15" hidden="false" customHeight="true" outlineLevel="0" collapsed="false">
      <c r="A52" s="14" t="s">
        <v>3454</v>
      </c>
      <c r="B52" s="14" t="s">
        <v>3535</v>
      </c>
      <c r="C52" s="14" t="s">
        <v>2037</v>
      </c>
      <c r="D52" s="14" t="s">
        <v>3536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3478</v>
      </c>
      <c r="K52" s="14" t="s">
        <v>3479</v>
      </c>
    </row>
    <row r="53" customFormat="false" ht="15" hidden="false" customHeight="true" outlineLevel="0" collapsed="false">
      <c r="A53" s="14" t="s">
        <v>3454</v>
      </c>
      <c r="B53" s="14" t="s">
        <v>3537</v>
      </c>
      <c r="C53" s="14" t="s">
        <v>2052</v>
      </c>
      <c r="D53" s="14" t="s">
        <v>3538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3478</v>
      </c>
      <c r="K53" s="14" t="s">
        <v>3479</v>
      </c>
    </row>
    <row r="54" customFormat="false" ht="15" hidden="false" customHeight="true" outlineLevel="0" collapsed="false">
      <c r="A54" s="14" t="s">
        <v>3454</v>
      </c>
      <c r="B54" s="14" t="s">
        <v>3495</v>
      </c>
      <c r="C54" s="14" t="s">
        <v>1873</v>
      </c>
      <c r="D54" s="14" t="s">
        <v>3539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3478</v>
      </c>
      <c r="K54" s="14" t="s">
        <v>3479</v>
      </c>
    </row>
    <row r="55" customFormat="false" ht="15" hidden="false" customHeight="true" outlineLevel="0" collapsed="false">
      <c r="A55" s="14" t="s">
        <v>3454</v>
      </c>
      <c r="B55" s="14" t="s">
        <v>3495</v>
      </c>
      <c r="C55" s="14" t="s">
        <v>1873</v>
      </c>
      <c r="D55" s="14" t="s">
        <v>3540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3478</v>
      </c>
      <c r="K55" s="14" t="s">
        <v>3479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3541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3541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3541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3541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3541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3541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3541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3541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3541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3541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3541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3541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3541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3541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3541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3541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3541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3541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3541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3541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3541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3541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3541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3541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3541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3541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3541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3541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3541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3541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3541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3541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3541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3541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3541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3541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3541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3541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3541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3541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3541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3541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3541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3541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3541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3541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3541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3541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3541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3541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3541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3541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3541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3541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3541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3541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3541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3541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3541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3541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3541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3541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3541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3541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3541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3541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3541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3541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3541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3541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3541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3541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3541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3541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3541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3541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3541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3541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3541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3541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3541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3541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3541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3541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3541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3541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3541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3541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3541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3541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3541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3541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3541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3541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3541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3541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3541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3541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3541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3541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3541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3541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3541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3541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3541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3541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3541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3542</v>
      </c>
      <c r="G164" s="22" t="n">
        <v>294.5</v>
      </c>
      <c r="K164" s="14" t="s">
        <v>3541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3543</v>
      </c>
      <c r="G165" s="22" t="n">
        <v>1731.1</v>
      </c>
      <c r="K165" s="14" t="s">
        <v>3541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3544</v>
      </c>
      <c r="G166" s="22" t="n">
        <v>896.9</v>
      </c>
      <c r="K166" s="14" t="s">
        <v>3541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3545</v>
      </c>
      <c r="G167" s="22" t="n">
        <v>21.2</v>
      </c>
      <c r="K167" s="14" t="s">
        <v>3541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3546</v>
      </c>
      <c r="G168" s="22" t="n">
        <v>2079.1</v>
      </c>
      <c r="K168" s="14" t="s">
        <v>3541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3547</v>
      </c>
      <c r="G169" s="22" t="n">
        <v>34</v>
      </c>
      <c r="K169" s="14" t="s">
        <v>3541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3548</v>
      </c>
      <c r="G170" s="22" t="n">
        <v>164.7</v>
      </c>
      <c r="K170" s="14" t="s">
        <v>3541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3549</v>
      </c>
      <c r="G171" s="22" t="n">
        <v>144.7</v>
      </c>
      <c r="K171" s="14" t="s">
        <v>3541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3550</v>
      </c>
      <c r="G172" s="22" t="n">
        <v>860.9</v>
      </c>
      <c r="K172" s="14" t="s">
        <v>3541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3551</v>
      </c>
      <c r="G173" s="22" t="n">
        <v>4782.6</v>
      </c>
      <c r="K173" s="14" t="s">
        <v>3541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3552</v>
      </c>
      <c r="G174" s="22" t="n">
        <v>15792</v>
      </c>
      <c r="K174" s="14" t="s">
        <v>3541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3553</v>
      </c>
      <c r="G175" s="22" t="n">
        <v>11699.4</v>
      </c>
      <c r="K175" s="14" t="s">
        <v>3541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3554</v>
      </c>
      <c r="G176" s="22" t="n">
        <v>3771.1</v>
      </c>
      <c r="K176" s="14" t="s">
        <v>3541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3555</v>
      </c>
      <c r="G177" s="22" t="n">
        <v>41.8</v>
      </c>
      <c r="K177" s="14" t="s">
        <v>3541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3556</v>
      </c>
      <c r="G178" s="22" t="n">
        <v>35199.8</v>
      </c>
      <c r="K178" s="14" t="s">
        <v>3541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3557</v>
      </c>
      <c r="G179" s="22" t="n">
        <v>11690.6</v>
      </c>
      <c r="K179" s="14" t="s">
        <v>3541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3558</v>
      </c>
      <c r="G180" s="22" t="n">
        <v>5189.4</v>
      </c>
      <c r="K180" s="14" t="s">
        <v>3541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3559</v>
      </c>
      <c r="G181" s="22" t="n">
        <v>1169.5</v>
      </c>
      <c r="K181" s="14" t="s">
        <v>3541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3560</v>
      </c>
      <c r="G182" s="22" t="n">
        <v>557.1</v>
      </c>
      <c r="K182" s="14" t="s">
        <v>3541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3561</v>
      </c>
      <c r="G183" s="22" t="n">
        <v>2827.5</v>
      </c>
      <c r="K183" s="14" t="s">
        <v>3541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3562</v>
      </c>
      <c r="G184" s="22" t="n">
        <v>91.8</v>
      </c>
      <c r="K184" s="14" t="s">
        <v>3541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3563</v>
      </c>
      <c r="G185" s="22" t="n">
        <v>12394.8</v>
      </c>
      <c r="K185" s="14" t="s">
        <v>3541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3564</v>
      </c>
      <c r="G186" s="22" t="n">
        <v>273.8</v>
      </c>
      <c r="K186" s="14" t="s">
        <v>3541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3565</v>
      </c>
      <c r="G187" s="22" t="n">
        <v>10308.8</v>
      </c>
      <c r="K187" s="14" t="s">
        <v>3541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3566</v>
      </c>
      <c r="G188" s="22" t="n">
        <v>2502.8</v>
      </c>
      <c r="K188" s="14" t="s">
        <v>3541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3567</v>
      </c>
      <c r="G189" s="22" t="n">
        <v>2369.3</v>
      </c>
      <c r="K189" s="14" t="s">
        <v>3541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3568</v>
      </c>
      <c r="G190" s="22" t="n">
        <v>313.3</v>
      </c>
      <c r="K190" s="14" t="s">
        <v>3541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3569</v>
      </c>
      <c r="G191" s="22" t="n">
        <v>186.4</v>
      </c>
      <c r="K191" s="14" t="s">
        <v>3541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3570</v>
      </c>
      <c r="G192" s="22" t="n">
        <v>9113.2</v>
      </c>
      <c r="K192" s="14" t="s">
        <v>3541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3571</v>
      </c>
      <c r="G193" s="22" t="n">
        <v>1628.8</v>
      </c>
      <c r="K193" s="14" t="s">
        <v>3541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3572</v>
      </c>
      <c r="G194" s="22" t="n">
        <v>943.8</v>
      </c>
      <c r="K194" s="14" t="s">
        <v>3541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3573</v>
      </c>
      <c r="G195" s="22" t="n">
        <v>858.4</v>
      </c>
      <c r="K195" s="14" t="s">
        <v>3541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3574</v>
      </c>
      <c r="G196" s="22" t="n">
        <v>3974.7</v>
      </c>
      <c r="K196" s="14" t="s">
        <v>3541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3575</v>
      </c>
      <c r="G197" s="22" t="n">
        <v>362.7</v>
      </c>
      <c r="K197" s="14" t="s">
        <v>3541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3576</v>
      </c>
      <c r="G198" s="22" t="n">
        <v>1877.3</v>
      </c>
      <c r="K198" s="14" t="s">
        <v>3541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3577</v>
      </c>
      <c r="G199" s="22" t="n">
        <v>5753.8</v>
      </c>
      <c r="K199" s="14" t="s">
        <v>3541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3578</v>
      </c>
      <c r="G200" s="22" t="n">
        <v>207.6</v>
      </c>
      <c r="K200" s="14" t="s">
        <v>3541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3579</v>
      </c>
      <c r="G201" s="22" t="n">
        <v>2335.5</v>
      </c>
      <c r="K201" s="14" t="s">
        <v>3541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3580</v>
      </c>
      <c r="G202" s="22" t="n">
        <v>4734</v>
      </c>
      <c r="K202" s="14" t="s">
        <v>3541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3581</v>
      </c>
      <c r="G203" s="22" t="n">
        <v>2611.9</v>
      </c>
      <c r="K203" s="14" t="s">
        <v>3541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3582</v>
      </c>
      <c r="G204" s="22" t="n">
        <v>7195.4</v>
      </c>
      <c r="K204" s="14" t="s">
        <v>3541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3583</v>
      </c>
      <c r="G205" s="22" t="n">
        <v>207.7</v>
      </c>
      <c r="K205" s="14" t="s">
        <v>3541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3584</v>
      </c>
      <c r="G206" s="22" t="n">
        <v>1960</v>
      </c>
      <c r="K206" s="14" t="s">
        <v>3541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3585</v>
      </c>
      <c r="G207" s="22" t="n">
        <v>320</v>
      </c>
      <c r="K207" s="14" t="s">
        <v>3541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3586</v>
      </c>
      <c r="G208" s="22" t="n">
        <v>853.7</v>
      </c>
      <c r="K208" s="14" t="s">
        <v>3541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3587</v>
      </c>
      <c r="G209" s="22" t="n">
        <v>1445.3</v>
      </c>
      <c r="K209" s="14" t="s">
        <v>3541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3588</v>
      </c>
      <c r="G210" s="22" t="n">
        <v>1833.6</v>
      </c>
      <c r="K210" s="14" t="s">
        <v>3541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3589</v>
      </c>
      <c r="G211" s="22" t="n">
        <v>1933.7</v>
      </c>
      <c r="K211" s="14" t="s">
        <v>3541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3590</v>
      </c>
      <c r="G212" s="22" t="n">
        <v>13439.9</v>
      </c>
      <c r="K212" s="14" t="s">
        <v>3541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3591</v>
      </c>
      <c r="G213" s="22" t="n">
        <v>500</v>
      </c>
      <c r="K213" s="14" t="s">
        <v>3541</v>
      </c>
    </row>
    <row r="214" customFormat="false" ht="15" hidden="false" customHeight="true" outlineLevel="0" collapsed="false">
      <c r="A214" s="14" t="s">
        <v>3455</v>
      </c>
      <c r="B214" s="14" t="s">
        <v>3476</v>
      </c>
      <c r="C214" s="14" t="s">
        <v>51</v>
      </c>
      <c r="D214" s="14" t="s">
        <v>3592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3478</v>
      </c>
      <c r="K214" s="14" t="s">
        <v>3479</v>
      </c>
    </row>
    <row r="215" customFormat="false" ht="15" hidden="false" customHeight="true" outlineLevel="0" collapsed="false">
      <c r="A215" s="14" t="s">
        <v>3455</v>
      </c>
      <c r="B215" s="14" t="s">
        <v>3476</v>
      </c>
      <c r="C215" s="14" t="s">
        <v>51</v>
      </c>
      <c r="D215" s="14" t="s">
        <v>3593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3478</v>
      </c>
      <c r="K215" s="14" t="s">
        <v>3479</v>
      </c>
    </row>
    <row r="216" customFormat="false" ht="15" hidden="false" customHeight="true" outlineLevel="0" collapsed="false">
      <c r="A216" s="14" t="s">
        <v>3455</v>
      </c>
      <c r="B216" s="14" t="s">
        <v>3476</v>
      </c>
      <c r="C216" s="14" t="s">
        <v>51</v>
      </c>
      <c r="D216" s="14" t="s">
        <v>3594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3478</v>
      </c>
      <c r="K216" s="14" t="s">
        <v>3479</v>
      </c>
    </row>
    <row r="217" customFormat="false" ht="15" hidden="false" customHeight="true" outlineLevel="0" collapsed="false">
      <c r="A217" s="14" t="s">
        <v>3455</v>
      </c>
      <c r="B217" s="14" t="s">
        <v>3476</v>
      </c>
      <c r="C217" s="14" t="s">
        <v>51</v>
      </c>
      <c r="D217" s="14" t="s">
        <v>3595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3478</v>
      </c>
      <c r="K217" s="14" t="s">
        <v>3479</v>
      </c>
    </row>
    <row r="218" customFormat="false" ht="15" hidden="false" customHeight="true" outlineLevel="0" collapsed="false">
      <c r="A218" s="14" t="s">
        <v>3455</v>
      </c>
      <c r="B218" s="14" t="s">
        <v>3476</v>
      </c>
      <c r="C218" s="14" t="s">
        <v>51</v>
      </c>
      <c r="D218" s="14" t="s">
        <v>3596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3478</v>
      </c>
      <c r="K218" s="14" t="s">
        <v>3479</v>
      </c>
    </row>
    <row r="219" customFormat="false" ht="15" hidden="false" customHeight="true" outlineLevel="0" collapsed="false">
      <c r="A219" s="14" t="s">
        <v>3455</v>
      </c>
      <c r="B219" s="14" t="s">
        <v>3476</v>
      </c>
      <c r="C219" s="14" t="s">
        <v>51</v>
      </c>
      <c r="D219" s="14" t="s">
        <v>3597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3478</v>
      </c>
      <c r="K219" s="14" t="s">
        <v>3479</v>
      </c>
    </row>
    <row r="220" customFormat="false" ht="15" hidden="false" customHeight="true" outlineLevel="0" collapsed="false">
      <c r="A220" s="14" t="s">
        <v>3455</v>
      </c>
      <c r="B220" s="14" t="s">
        <v>3476</v>
      </c>
      <c r="C220" s="14" t="s">
        <v>51</v>
      </c>
      <c r="D220" s="14" t="s">
        <v>3598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3478</v>
      </c>
      <c r="K220" s="14" t="s">
        <v>3479</v>
      </c>
    </row>
    <row r="221" customFormat="false" ht="15" hidden="false" customHeight="true" outlineLevel="0" collapsed="false">
      <c r="A221" s="14" t="s">
        <v>3455</v>
      </c>
      <c r="B221" s="14" t="s">
        <v>3476</v>
      </c>
      <c r="C221" s="14" t="s">
        <v>51</v>
      </c>
      <c r="D221" s="14" t="s">
        <v>3599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3478</v>
      </c>
      <c r="K221" s="14" t="s">
        <v>3479</v>
      </c>
    </row>
    <row r="222" customFormat="false" ht="15" hidden="false" customHeight="true" outlineLevel="0" collapsed="false">
      <c r="A222" s="14" t="s">
        <v>3455</v>
      </c>
      <c r="B222" s="14" t="s">
        <v>3476</v>
      </c>
      <c r="C222" s="14" t="s">
        <v>51</v>
      </c>
      <c r="D222" s="14" t="s">
        <v>3600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3478</v>
      </c>
      <c r="K222" s="14" t="s">
        <v>3479</v>
      </c>
    </row>
    <row r="223" customFormat="false" ht="15" hidden="false" customHeight="true" outlineLevel="0" collapsed="false">
      <c r="A223" s="14" t="s">
        <v>3455</v>
      </c>
      <c r="B223" s="14" t="s">
        <v>3476</v>
      </c>
      <c r="C223" s="14" t="s">
        <v>51</v>
      </c>
      <c r="D223" s="14" t="s">
        <v>3601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3478</v>
      </c>
      <c r="K223" s="14" t="s">
        <v>3479</v>
      </c>
    </row>
    <row r="224" customFormat="false" ht="15" hidden="false" customHeight="true" outlineLevel="0" collapsed="false">
      <c r="A224" s="14" t="s">
        <v>3455</v>
      </c>
      <c r="B224" s="14" t="s">
        <v>3476</v>
      </c>
      <c r="C224" s="14" t="s">
        <v>51</v>
      </c>
      <c r="D224" s="14" t="s">
        <v>3602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3478</v>
      </c>
      <c r="K224" s="14" t="s">
        <v>3479</v>
      </c>
    </row>
    <row r="225" customFormat="false" ht="15" hidden="false" customHeight="true" outlineLevel="0" collapsed="false">
      <c r="A225" s="14" t="s">
        <v>3455</v>
      </c>
      <c r="B225" s="14" t="s">
        <v>3476</v>
      </c>
      <c r="C225" s="14" t="s">
        <v>51</v>
      </c>
      <c r="D225" s="14" t="s">
        <v>3603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3478</v>
      </c>
      <c r="K225" s="14" t="s">
        <v>3479</v>
      </c>
    </row>
    <row r="226" customFormat="false" ht="15" hidden="false" customHeight="true" outlineLevel="0" collapsed="false">
      <c r="A226" s="14" t="s">
        <v>3455</v>
      </c>
      <c r="B226" s="14" t="s">
        <v>3476</v>
      </c>
      <c r="C226" s="14" t="s">
        <v>51</v>
      </c>
      <c r="D226" s="14" t="s">
        <v>3604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3478</v>
      </c>
      <c r="K226" s="14" t="s">
        <v>3479</v>
      </c>
    </row>
    <row r="227" customFormat="false" ht="15" hidden="false" customHeight="true" outlineLevel="0" collapsed="false">
      <c r="A227" s="14" t="s">
        <v>3455</v>
      </c>
      <c r="B227" s="14" t="s">
        <v>3476</v>
      </c>
      <c r="C227" s="14" t="s">
        <v>51</v>
      </c>
      <c r="D227" s="14" t="s">
        <v>3605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3478</v>
      </c>
      <c r="K227" s="14" t="s">
        <v>3479</v>
      </c>
    </row>
    <row r="228" customFormat="false" ht="15" hidden="false" customHeight="true" outlineLevel="0" collapsed="false">
      <c r="A228" s="14" t="s">
        <v>3455</v>
      </c>
      <c r="B228" s="14" t="s">
        <v>3476</v>
      </c>
      <c r="C228" s="14" t="s">
        <v>51</v>
      </c>
      <c r="D228" s="14" t="s">
        <v>3606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3478</v>
      </c>
      <c r="K228" s="14" t="s">
        <v>3479</v>
      </c>
    </row>
    <row r="229" customFormat="false" ht="15" hidden="false" customHeight="true" outlineLevel="0" collapsed="false">
      <c r="A229" s="14" t="s">
        <v>3455</v>
      </c>
      <c r="B229" s="14" t="s">
        <v>3476</v>
      </c>
      <c r="C229" s="14" t="s">
        <v>51</v>
      </c>
      <c r="D229" s="14" t="s">
        <v>3607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3478</v>
      </c>
      <c r="K229" s="14" t="s">
        <v>3479</v>
      </c>
    </row>
    <row r="230" customFormat="false" ht="15" hidden="false" customHeight="true" outlineLevel="0" collapsed="false">
      <c r="A230" s="14" t="s">
        <v>3455</v>
      </c>
      <c r="B230" s="14" t="s">
        <v>3476</v>
      </c>
      <c r="C230" s="14" t="s">
        <v>51</v>
      </c>
      <c r="D230" s="14" t="s">
        <v>3608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3478</v>
      </c>
      <c r="K230" s="14" t="s">
        <v>3479</v>
      </c>
    </row>
    <row r="231" customFormat="false" ht="15" hidden="false" customHeight="true" outlineLevel="0" collapsed="false">
      <c r="A231" s="14" t="s">
        <v>3455</v>
      </c>
      <c r="B231" s="14" t="s">
        <v>3483</v>
      </c>
      <c r="C231" s="14" t="s">
        <v>1690</v>
      </c>
      <c r="D231" s="14" t="s">
        <v>3609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3478</v>
      </c>
      <c r="K231" s="14" t="s">
        <v>3479</v>
      </c>
    </row>
    <row r="232" customFormat="false" ht="15" hidden="false" customHeight="true" outlineLevel="0" collapsed="false">
      <c r="A232" s="14" t="s">
        <v>3455</v>
      </c>
      <c r="B232" s="14" t="s">
        <v>3483</v>
      </c>
      <c r="C232" s="14" t="s">
        <v>1690</v>
      </c>
      <c r="D232" s="14" t="s">
        <v>3610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3478</v>
      </c>
      <c r="K232" s="14" t="s">
        <v>3479</v>
      </c>
    </row>
    <row r="233" customFormat="false" ht="15" hidden="false" customHeight="true" outlineLevel="0" collapsed="false">
      <c r="A233" s="14" t="s">
        <v>3455</v>
      </c>
      <c r="B233" s="14" t="s">
        <v>3483</v>
      </c>
      <c r="C233" s="14" t="s">
        <v>1690</v>
      </c>
      <c r="D233" s="14" t="s">
        <v>3611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3478</v>
      </c>
      <c r="K233" s="14" t="s">
        <v>3479</v>
      </c>
    </row>
    <row r="234" customFormat="false" ht="15" hidden="false" customHeight="true" outlineLevel="0" collapsed="false">
      <c r="A234" s="14" t="s">
        <v>3455</v>
      </c>
      <c r="B234" s="14" t="s">
        <v>3483</v>
      </c>
      <c r="C234" s="14" t="s">
        <v>1690</v>
      </c>
      <c r="D234" s="14" t="s">
        <v>3612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3478</v>
      </c>
      <c r="K234" s="14" t="s">
        <v>3479</v>
      </c>
    </row>
    <row r="235" customFormat="false" ht="15" hidden="false" customHeight="true" outlineLevel="0" collapsed="false">
      <c r="A235" s="14" t="s">
        <v>3455</v>
      </c>
      <c r="B235" s="14" t="s">
        <v>3537</v>
      </c>
      <c r="C235" s="14" t="s">
        <v>2052</v>
      </c>
      <c r="D235" s="14" t="s">
        <v>3613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3478</v>
      </c>
      <c r="K235" s="14" t="s">
        <v>3479</v>
      </c>
    </row>
    <row r="236" customFormat="false" ht="15" hidden="false" customHeight="true" outlineLevel="0" collapsed="false">
      <c r="A236" s="14" t="s">
        <v>3455</v>
      </c>
      <c r="B236" s="14" t="s">
        <v>3537</v>
      </c>
      <c r="C236" s="14" t="s">
        <v>2052</v>
      </c>
      <c r="D236" s="14" t="s">
        <v>3614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3478</v>
      </c>
      <c r="K236" s="14" t="s">
        <v>3479</v>
      </c>
    </row>
    <row r="237" customFormat="false" ht="15" hidden="false" customHeight="true" outlineLevel="0" collapsed="false">
      <c r="A237" s="14" t="s">
        <v>3455</v>
      </c>
      <c r="B237" s="14" t="s">
        <v>3537</v>
      </c>
      <c r="C237" s="14" t="s">
        <v>2052</v>
      </c>
      <c r="D237" s="14" t="s">
        <v>3615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3478</v>
      </c>
      <c r="K237" s="14" t="s">
        <v>3479</v>
      </c>
    </row>
    <row r="238" customFormat="false" ht="15" hidden="false" customHeight="true" outlineLevel="0" collapsed="false">
      <c r="A238" s="14" t="s">
        <v>3455</v>
      </c>
      <c r="B238" s="14" t="s">
        <v>3495</v>
      </c>
      <c r="C238" s="14" t="s">
        <v>1873</v>
      </c>
      <c r="D238" s="14" t="s">
        <v>3616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3478</v>
      </c>
      <c r="K238" s="14" t="s">
        <v>3479</v>
      </c>
    </row>
    <row r="239" customFormat="false" ht="15" hidden="false" customHeight="true" outlineLevel="0" collapsed="false">
      <c r="A239" s="14" t="s">
        <v>3455</v>
      </c>
      <c r="B239" s="14" t="s">
        <v>3495</v>
      </c>
      <c r="C239" s="14" t="s">
        <v>1873</v>
      </c>
      <c r="D239" s="14" t="s">
        <v>3617</v>
      </c>
      <c r="E239" s="14" t="s">
        <v>3618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3478</v>
      </c>
      <c r="K239" s="14" t="s">
        <v>3479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3541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3541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3541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3541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3541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3541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3541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3541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3541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3541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3541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3541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3541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3541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3541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3541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3541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3541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3541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3541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3541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3541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3541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3541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3541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3541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3541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3541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3541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3541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3541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3541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3541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3541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3541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3541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3541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3541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3541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3541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3541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3541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3541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3541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3541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3541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3541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3541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3541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3541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3541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3541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3541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3541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3541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3541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3541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3541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3541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3541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3541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3541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3541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3541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3541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3541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3541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3541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3541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3541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3541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3541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3541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3541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3541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3541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3541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3541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3541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3541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3541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3541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3541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3541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3541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3541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3541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3541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3541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3541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3541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3541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3541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3541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3541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3541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3541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3541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3541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3541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3541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3541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3541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3541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3541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3541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3541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3541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3541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3541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3541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3541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3541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3541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3541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3541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3541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3541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3541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3541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3541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3541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3541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3541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3541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3541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3619</v>
      </c>
      <c r="G367" s="22" t="n">
        <v>1278.2</v>
      </c>
      <c r="K367" s="14" t="s">
        <v>3541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3620</v>
      </c>
      <c r="G368" s="22" t="n">
        <v>900.5</v>
      </c>
      <c r="K368" s="14" t="s">
        <v>3541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3621</v>
      </c>
      <c r="G369" s="22" t="n">
        <v>375.6</v>
      </c>
      <c r="K369" s="14" t="s">
        <v>3541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3622</v>
      </c>
      <c r="G370" s="22" t="n">
        <v>874.7</v>
      </c>
      <c r="K370" s="14" t="s">
        <v>3541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3623</v>
      </c>
      <c r="G371" s="22" t="n">
        <v>2483</v>
      </c>
      <c r="K371" s="14" t="s">
        <v>3541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3624</v>
      </c>
      <c r="G372" s="22" t="n">
        <v>1261.8</v>
      </c>
      <c r="K372" s="14" t="s">
        <v>3541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3625</v>
      </c>
      <c r="G373" s="22" t="n">
        <v>513.3</v>
      </c>
      <c r="K373" s="14" t="s">
        <v>3541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3626</v>
      </c>
      <c r="G374" s="22" t="n">
        <v>2054.9</v>
      </c>
      <c r="K374" s="14" t="s">
        <v>3541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3627</v>
      </c>
      <c r="G375" s="22" t="n">
        <v>6955.3</v>
      </c>
      <c r="K375" s="14" t="s">
        <v>3541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3628</v>
      </c>
      <c r="G376" s="22" t="n">
        <v>2614.5</v>
      </c>
      <c r="K376" s="14" t="s">
        <v>3541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3629</v>
      </c>
      <c r="G377" s="22" t="n">
        <v>424.7</v>
      </c>
      <c r="K377" s="14" t="s">
        <v>3541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3630</v>
      </c>
      <c r="G378" s="22" t="n">
        <v>709.9</v>
      </c>
      <c r="K378" s="14" t="s">
        <v>3541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3631</v>
      </c>
      <c r="G379" s="22" t="n">
        <v>2293</v>
      </c>
      <c r="K379" s="14" t="s">
        <v>3541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3632</v>
      </c>
      <c r="G380" s="22" t="n">
        <v>2416.2</v>
      </c>
      <c r="K380" s="14" t="s">
        <v>3541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3633</v>
      </c>
      <c r="G381" s="22" t="n">
        <v>2643.5</v>
      </c>
      <c r="K381" s="14" t="s">
        <v>3541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3634</v>
      </c>
      <c r="G382" s="22" t="n">
        <v>1369.2</v>
      </c>
      <c r="K382" s="14" t="s">
        <v>3541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3635</v>
      </c>
      <c r="G383" s="22" t="n">
        <v>1420.4</v>
      </c>
      <c r="K383" s="14" t="s">
        <v>3541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3636</v>
      </c>
      <c r="G384" s="22" t="n">
        <v>3602.6</v>
      </c>
      <c r="K384" s="14" t="s">
        <v>3541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3637</v>
      </c>
      <c r="G385" s="22" t="n">
        <v>825.9</v>
      </c>
      <c r="K385" s="14" t="s">
        <v>3541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3638</v>
      </c>
      <c r="G386" s="22" t="n">
        <v>1743.1</v>
      </c>
      <c r="K386" s="14" t="s">
        <v>3541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3639</v>
      </c>
      <c r="G387" s="22" t="n">
        <v>421.9</v>
      </c>
      <c r="K387" s="14" t="s">
        <v>3541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3640</v>
      </c>
      <c r="G388" s="22" t="n">
        <v>240.4</v>
      </c>
      <c r="K388" s="14" t="s">
        <v>3541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3641</v>
      </c>
      <c r="G389" s="22" t="n">
        <v>5207.9</v>
      </c>
      <c r="K389" s="14" t="s">
        <v>3541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3642</v>
      </c>
      <c r="G390" s="22" t="n">
        <v>45.9</v>
      </c>
      <c r="K390" s="14" t="s">
        <v>3541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3643</v>
      </c>
      <c r="G391" s="22" t="n">
        <v>324.1</v>
      </c>
      <c r="K391" s="14" t="s">
        <v>3541</v>
      </c>
    </row>
    <row r="392" customFormat="false" ht="15" hidden="false" customHeight="true" outlineLevel="0" collapsed="false">
      <c r="A392" s="14" t="s">
        <v>3456</v>
      </c>
      <c r="B392" s="14" t="s">
        <v>3476</v>
      </c>
      <c r="C392" s="14" t="s">
        <v>51</v>
      </c>
      <c r="D392" s="14" t="s">
        <v>3644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3478</v>
      </c>
      <c r="K392" s="14" t="s">
        <v>3479</v>
      </c>
    </row>
    <row r="393" customFormat="false" ht="15" hidden="false" customHeight="true" outlineLevel="0" collapsed="false">
      <c r="A393" s="14" t="s">
        <v>3456</v>
      </c>
      <c r="B393" s="14" t="s">
        <v>3476</v>
      </c>
      <c r="C393" s="14" t="s">
        <v>51</v>
      </c>
      <c r="D393" s="14" t="s">
        <v>3645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3478</v>
      </c>
      <c r="K393" s="14" t="s">
        <v>3479</v>
      </c>
    </row>
    <row r="394" customFormat="false" ht="15" hidden="false" customHeight="true" outlineLevel="0" collapsed="false">
      <c r="A394" s="14" t="s">
        <v>3456</v>
      </c>
      <c r="B394" s="14" t="s">
        <v>3476</v>
      </c>
      <c r="C394" s="14" t="s">
        <v>51</v>
      </c>
      <c r="D394" s="14" t="s">
        <v>3646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3478</v>
      </c>
      <c r="K394" s="14" t="s">
        <v>3479</v>
      </c>
    </row>
    <row r="395" customFormat="false" ht="15" hidden="false" customHeight="true" outlineLevel="0" collapsed="false">
      <c r="A395" s="14" t="s">
        <v>3456</v>
      </c>
      <c r="B395" s="14" t="s">
        <v>3476</v>
      </c>
      <c r="C395" s="14" t="s">
        <v>51</v>
      </c>
      <c r="D395" s="14" t="s">
        <v>3647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3478</v>
      </c>
      <c r="K395" s="14" t="s">
        <v>3479</v>
      </c>
    </row>
    <row r="396" customFormat="false" ht="15" hidden="false" customHeight="true" outlineLevel="0" collapsed="false">
      <c r="A396" s="14" t="s">
        <v>3456</v>
      </c>
      <c r="B396" s="14" t="s">
        <v>3476</v>
      </c>
      <c r="C396" s="14" t="s">
        <v>51</v>
      </c>
      <c r="D396" s="14" t="s">
        <v>3648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3478</v>
      </c>
      <c r="K396" s="14" t="s">
        <v>3479</v>
      </c>
    </row>
    <row r="397" customFormat="false" ht="15" hidden="false" customHeight="true" outlineLevel="0" collapsed="false">
      <c r="A397" s="14" t="s">
        <v>3456</v>
      </c>
      <c r="B397" s="14" t="s">
        <v>3476</v>
      </c>
      <c r="C397" s="14" t="s">
        <v>51</v>
      </c>
      <c r="D397" s="14" t="s">
        <v>3649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3478</v>
      </c>
      <c r="K397" s="14" t="s">
        <v>3479</v>
      </c>
    </row>
    <row r="398" customFormat="false" ht="15" hidden="false" customHeight="true" outlineLevel="0" collapsed="false">
      <c r="A398" s="14" t="s">
        <v>3456</v>
      </c>
      <c r="B398" s="14" t="s">
        <v>3476</v>
      </c>
      <c r="C398" s="14" t="s">
        <v>51</v>
      </c>
      <c r="D398" s="14" t="s">
        <v>3650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3478</v>
      </c>
      <c r="K398" s="14" t="s">
        <v>3479</v>
      </c>
    </row>
    <row r="399" customFormat="false" ht="15" hidden="false" customHeight="true" outlineLevel="0" collapsed="false">
      <c r="A399" s="14" t="s">
        <v>3456</v>
      </c>
      <c r="B399" s="14" t="s">
        <v>3476</v>
      </c>
      <c r="C399" s="14" t="s">
        <v>51</v>
      </c>
      <c r="D399" s="14" t="s">
        <v>3651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3478</v>
      </c>
      <c r="K399" s="14" t="s">
        <v>3479</v>
      </c>
    </row>
    <row r="400" customFormat="false" ht="15" hidden="false" customHeight="true" outlineLevel="0" collapsed="false">
      <c r="A400" s="14" t="s">
        <v>3456</v>
      </c>
      <c r="B400" s="14" t="s">
        <v>3476</v>
      </c>
      <c r="C400" s="14" t="s">
        <v>51</v>
      </c>
      <c r="D400" s="14" t="s">
        <v>3652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3478</v>
      </c>
      <c r="K400" s="14" t="s">
        <v>3479</v>
      </c>
    </row>
    <row r="401" customFormat="false" ht="15" hidden="false" customHeight="true" outlineLevel="0" collapsed="false">
      <c r="A401" s="14" t="s">
        <v>3456</v>
      </c>
      <c r="B401" s="14" t="s">
        <v>3476</v>
      </c>
      <c r="C401" s="14" t="s">
        <v>51</v>
      </c>
      <c r="D401" s="14" t="s">
        <v>3653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3478</v>
      </c>
      <c r="K401" s="14" t="s">
        <v>3479</v>
      </c>
    </row>
    <row r="402" customFormat="false" ht="15" hidden="false" customHeight="true" outlineLevel="0" collapsed="false">
      <c r="A402" s="14" t="s">
        <v>3456</v>
      </c>
      <c r="B402" s="14" t="s">
        <v>3476</v>
      </c>
      <c r="C402" s="14" t="s">
        <v>51</v>
      </c>
      <c r="D402" s="14" t="s">
        <v>3654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3478</v>
      </c>
      <c r="K402" s="14" t="s">
        <v>3479</v>
      </c>
    </row>
    <row r="403" customFormat="false" ht="15" hidden="false" customHeight="true" outlineLevel="0" collapsed="false">
      <c r="A403" s="14" t="s">
        <v>3456</v>
      </c>
      <c r="B403" s="14" t="s">
        <v>3476</v>
      </c>
      <c r="C403" s="14" t="s">
        <v>51</v>
      </c>
      <c r="D403" s="14" t="s">
        <v>3655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3478</v>
      </c>
      <c r="K403" s="14" t="s">
        <v>3479</v>
      </c>
    </row>
    <row r="404" customFormat="false" ht="15" hidden="false" customHeight="true" outlineLevel="0" collapsed="false">
      <c r="A404" s="14" t="s">
        <v>3456</v>
      </c>
      <c r="B404" s="14" t="s">
        <v>3476</v>
      </c>
      <c r="C404" s="14" t="s">
        <v>51</v>
      </c>
      <c r="D404" s="14" t="s">
        <v>3656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3478</v>
      </c>
      <c r="K404" s="14" t="s">
        <v>3479</v>
      </c>
    </row>
    <row r="405" customFormat="false" ht="15" hidden="false" customHeight="true" outlineLevel="0" collapsed="false">
      <c r="A405" s="14" t="s">
        <v>3456</v>
      </c>
      <c r="B405" s="14" t="s">
        <v>3476</v>
      </c>
      <c r="C405" s="14" t="s">
        <v>51</v>
      </c>
      <c r="D405" s="14" t="s">
        <v>3657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3478</v>
      </c>
      <c r="K405" s="14" t="s">
        <v>3479</v>
      </c>
    </row>
    <row r="406" customFormat="false" ht="15" hidden="false" customHeight="true" outlineLevel="0" collapsed="false">
      <c r="A406" s="14" t="s">
        <v>3456</v>
      </c>
      <c r="B406" s="14" t="s">
        <v>3476</v>
      </c>
      <c r="C406" s="14" t="s">
        <v>51</v>
      </c>
      <c r="D406" s="14" t="s">
        <v>3658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3478</v>
      </c>
      <c r="K406" s="14" t="s">
        <v>3479</v>
      </c>
    </row>
    <row r="407" customFormat="false" ht="15" hidden="false" customHeight="true" outlineLevel="0" collapsed="false">
      <c r="A407" s="14" t="s">
        <v>3456</v>
      </c>
      <c r="B407" s="14" t="s">
        <v>3476</v>
      </c>
      <c r="C407" s="14" t="s">
        <v>51</v>
      </c>
      <c r="D407" s="14" t="s">
        <v>3659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3478</v>
      </c>
      <c r="K407" s="14" t="s">
        <v>3479</v>
      </c>
    </row>
    <row r="408" customFormat="false" ht="15" hidden="false" customHeight="true" outlineLevel="0" collapsed="false">
      <c r="A408" s="14" t="s">
        <v>3456</v>
      </c>
      <c r="B408" s="14" t="s">
        <v>3476</v>
      </c>
      <c r="C408" s="14" t="s">
        <v>51</v>
      </c>
      <c r="D408" s="14" t="s">
        <v>3660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3478</v>
      </c>
      <c r="K408" s="14" t="s">
        <v>3479</v>
      </c>
    </row>
    <row r="409" customFormat="false" ht="15" hidden="false" customHeight="true" outlineLevel="0" collapsed="false">
      <c r="A409" s="14" t="s">
        <v>3456</v>
      </c>
      <c r="B409" s="14" t="s">
        <v>3476</v>
      </c>
      <c r="C409" s="14" t="s">
        <v>51</v>
      </c>
      <c r="D409" s="14" t="s">
        <v>3661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3478</v>
      </c>
      <c r="K409" s="14" t="s">
        <v>3479</v>
      </c>
    </row>
    <row r="410" customFormat="false" ht="15" hidden="false" customHeight="true" outlineLevel="0" collapsed="false">
      <c r="A410" s="14" t="s">
        <v>3456</v>
      </c>
      <c r="B410" s="14" t="s">
        <v>3476</v>
      </c>
      <c r="C410" s="14" t="s">
        <v>51</v>
      </c>
      <c r="D410" s="14" t="s">
        <v>3662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3478</v>
      </c>
      <c r="K410" s="14" t="s">
        <v>3479</v>
      </c>
    </row>
    <row r="411" customFormat="false" ht="15" hidden="false" customHeight="true" outlineLevel="0" collapsed="false">
      <c r="A411" s="14" t="s">
        <v>3456</v>
      </c>
      <c r="B411" s="14" t="s">
        <v>3476</v>
      </c>
      <c r="C411" s="14" t="s">
        <v>51</v>
      </c>
      <c r="D411" s="14" t="s">
        <v>3663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3478</v>
      </c>
      <c r="K411" s="14" t="s">
        <v>3479</v>
      </c>
    </row>
    <row r="412" customFormat="false" ht="15" hidden="false" customHeight="true" outlineLevel="0" collapsed="false">
      <c r="A412" s="14" t="s">
        <v>3456</v>
      </c>
      <c r="B412" s="14" t="s">
        <v>3476</v>
      </c>
      <c r="C412" s="14" t="s">
        <v>51</v>
      </c>
      <c r="D412" s="14" t="s">
        <v>3664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3478</v>
      </c>
      <c r="K412" s="14" t="s">
        <v>3479</v>
      </c>
    </row>
    <row r="413" customFormat="false" ht="15" hidden="false" customHeight="true" outlineLevel="0" collapsed="false">
      <c r="A413" s="14" t="s">
        <v>3456</v>
      </c>
      <c r="B413" s="14" t="s">
        <v>3476</v>
      </c>
      <c r="C413" s="14" t="s">
        <v>51</v>
      </c>
      <c r="D413" s="14" t="s">
        <v>3665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3478</v>
      </c>
      <c r="K413" s="14" t="s">
        <v>3479</v>
      </c>
    </row>
    <row r="414" customFormat="false" ht="15" hidden="false" customHeight="true" outlineLevel="0" collapsed="false">
      <c r="A414" s="14" t="s">
        <v>3456</v>
      </c>
      <c r="B414" s="14" t="s">
        <v>3476</v>
      </c>
      <c r="C414" s="14" t="s">
        <v>51</v>
      </c>
      <c r="D414" s="14" t="s">
        <v>3666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3478</v>
      </c>
      <c r="K414" s="14" t="s">
        <v>3479</v>
      </c>
    </row>
    <row r="415" customFormat="false" ht="15" hidden="false" customHeight="true" outlineLevel="0" collapsed="false">
      <c r="A415" s="14" t="s">
        <v>3456</v>
      </c>
      <c r="B415" s="14" t="s">
        <v>3476</v>
      </c>
      <c r="C415" s="14" t="s">
        <v>51</v>
      </c>
      <c r="D415" s="14" t="s">
        <v>3667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3478</v>
      </c>
      <c r="K415" s="14" t="s">
        <v>3479</v>
      </c>
    </row>
    <row r="416" customFormat="false" ht="15" hidden="false" customHeight="true" outlineLevel="0" collapsed="false">
      <c r="A416" s="14" t="s">
        <v>3456</v>
      </c>
      <c r="B416" s="14" t="s">
        <v>3476</v>
      </c>
      <c r="C416" s="14" t="s">
        <v>51</v>
      </c>
      <c r="D416" s="14" t="s">
        <v>3668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3478</v>
      </c>
      <c r="K416" s="14" t="s">
        <v>3479</v>
      </c>
    </row>
    <row r="417" customFormat="false" ht="15" hidden="false" customHeight="true" outlineLevel="0" collapsed="false">
      <c r="A417" s="14" t="s">
        <v>3456</v>
      </c>
      <c r="B417" s="14" t="s">
        <v>3476</v>
      </c>
      <c r="C417" s="14" t="s">
        <v>51</v>
      </c>
      <c r="D417" s="14" t="s">
        <v>3669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3478</v>
      </c>
      <c r="K417" s="14" t="s">
        <v>3479</v>
      </c>
    </row>
    <row r="418" customFormat="false" ht="15" hidden="false" customHeight="true" outlineLevel="0" collapsed="false">
      <c r="A418" s="14" t="s">
        <v>3456</v>
      </c>
      <c r="B418" s="14" t="s">
        <v>3476</v>
      </c>
      <c r="C418" s="14" t="s">
        <v>51</v>
      </c>
      <c r="D418" s="14" t="s">
        <v>3670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3478</v>
      </c>
      <c r="K418" s="14" t="s">
        <v>3479</v>
      </c>
    </row>
    <row r="419" customFormat="false" ht="15" hidden="false" customHeight="true" outlineLevel="0" collapsed="false">
      <c r="A419" s="14" t="s">
        <v>3456</v>
      </c>
      <c r="B419" s="14" t="s">
        <v>3476</v>
      </c>
      <c r="C419" s="14" t="s">
        <v>51</v>
      </c>
      <c r="D419" s="14" t="s">
        <v>3671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3478</v>
      </c>
      <c r="K419" s="14" t="s">
        <v>3479</v>
      </c>
    </row>
    <row r="420" customFormat="false" ht="15" hidden="false" customHeight="true" outlineLevel="0" collapsed="false">
      <c r="A420" s="14" t="s">
        <v>3456</v>
      </c>
      <c r="B420" s="14" t="s">
        <v>3476</v>
      </c>
      <c r="C420" s="14" t="s">
        <v>51</v>
      </c>
      <c r="D420" s="14" t="s">
        <v>3672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3478</v>
      </c>
      <c r="K420" s="14" t="s">
        <v>3479</v>
      </c>
    </row>
    <row r="421" customFormat="false" ht="15" hidden="false" customHeight="true" outlineLevel="0" collapsed="false">
      <c r="A421" s="14" t="s">
        <v>3456</v>
      </c>
      <c r="B421" s="14" t="s">
        <v>3476</v>
      </c>
      <c r="C421" s="14" t="s">
        <v>51</v>
      </c>
      <c r="D421" s="14" t="s">
        <v>3673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3478</v>
      </c>
      <c r="K421" s="14" t="s">
        <v>3479</v>
      </c>
    </row>
    <row r="422" customFormat="false" ht="15" hidden="false" customHeight="true" outlineLevel="0" collapsed="false">
      <c r="A422" s="14" t="s">
        <v>3456</v>
      </c>
      <c r="B422" s="14" t="s">
        <v>3476</v>
      </c>
      <c r="C422" s="14" t="s">
        <v>51</v>
      </c>
      <c r="D422" s="14" t="s">
        <v>3674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3478</v>
      </c>
      <c r="K422" s="14" t="s">
        <v>3479</v>
      </c>
    </row>
    <row r="423" customFormat="false" ht="15" hidden="false" customHeight="true" outlineLevel="0" collapsed="false">
      <c r="A423" s="14" t="s">
        <v>3456</v>
      </c>
      <c r="B423" s="14" t="s">
        <v>3476</v>
      </c>
      <c r="C423" s="14" t="s">
        <v>51</v>
      </c>
      <c r="D423" s="14" t="s">
        <v>3675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3478</v>
      </c>
      <c r="K423" s="14" t="s">
        <v>3479</v>
      </c>
    </row>
    <row r="424" customFormat="false" ht="15" hidden="false" customHeight="true" outlineLevel="0" collapsed="false">
      <c r="A424" s="14" t="s">
        <v>3456</v>
      </c>
      <c r="B424" s="14" t="s">
        <v>3476</v>
      </c>
      <c r="C424" s="14" t="s">
        <v>51</v>
      </c>
      <c r="D424" s="14" t="s">
        <v>3676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3478</v>
      </c>
      <c r="K424" s="14" t="s">
        <v>3479</v>
      </c>
    </row>
    <row r="425" customFormat="false" ht="15" hidden="false" customHeight="true" outlineLevel="0" collapsed="false">
      <c r="A425" s="14" t="s">
        <v>3456</v>
      </c>
      <c r="B425" s="14" t="s">
        <v>3476</v>
      </c>
      <c r="C425" s="14" t="s">
        <v>51</v>
      </c>
      <c r="D425" s="14" t="s">
        <v>3677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3478</v>
      </c>
      <c r="K425" s="14" t="s">
        <v>3479</v>
      </c>
    </row>
    <row r="426" customFormat="false" ht="15" hidden="false" customHeight="true" outlineLevel="0" collapsed="false">
      <c r="A426" s="14" t="s">
        <v>3456</v>
      </c>
      <c r="B426" s="14" t="s">
        <v>3476</v>
      </c>
      <c r="C426" s="14" t="s">
        <v>51</v>
      </c>
      <c r="D426" s="14" t="s">
        <v>3678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3478</v>
      </c>
      <c r="K426" s="14" t="s">
        <v>3479</v>
      </c>
    </row>
    <row r="427" customFormat="false" ht="15" hidden="false" customHeight="true" outlineLevel="0" collapsed="false">
      <c r="A427" s="14" t="s">
        <v>3456</v>
      </c>
      <c r="B427" s="14" t="s">
        <v>3483</v>
      </c>
      <c r="C427" s="14" t="s">
        <v>1690</v>
      </c>
      <c r="D427" s="14" t="s">
        <v>3679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3478</v>
      </c>
      <c r="K427" s="14" t="s">
        <v>3479</v>
      </c>
    </row>
    <row r="428" customFormat="false" ht="15" hidden="false" customHeight="true" outlineLevel="0" collapsed="false">
      <c r="A428" s="14" t="s">
        <v>3456</v>
      </c>
      <c r="B428" s="14" t="s">
        <v>3483</v>
      </c>
      <c r="C428" s="14" t="s">
        <v>1690</v>
      </c>
      <c r="D428" s="14" t="s">
        <v>3680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3478</v>
      </c>
      <c r="K428" s="14" t="s">
        <v>3479</v>
      </c>
    </row>
    <row r="429" customFormat="false" ht="15" hidden="false" customHeight="true" outlineLevel="0" collapsed="false">
      <c r="A429" s="14" t="s">
        <v>3456</v>
      </c>
      <c r="B429" s="14" t="s">
        <v>3483</v>
      </c>
      <c r="C429" s="14" t="s">
        <v>1690</v>
      </c>
      <c r="D429" s="14" t="s">
        <v>3681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3478</v>
      </c>
      <c r="K429" s="14" t="s">
        <v>3479</v>
      </c>
    </row>
    <row r="430" customFormat="false" ht="15" hidden="false" customHeight="true" outlineLevel="0" collapsed="false">
      <c r="A430" s="14" t="s">
        <v>3456</v>
      </c>
      <c r="B430" s="14" t="s">
        <v>3483</v>
      </c>
      <c r="C430" s="14" t="s">
        <v>1690</v>
      </c>
      <c r="D430" s="14" t="s">
        <v>3682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3478</v>
      </c>
      <c r="K430" s="14" t="s">
        <v>3479</v>
      </c>
    </row>
    <row r="431" customFormat="false" ht="15" hidden="false" customHeight="true" outlineLevel="0" collapsed="false">
      <c r="A431" s="14" t="s">
        <v>3456</v>
      </c>
      <c r="B431" s="14" t="s">
        <v>3483</v>
      </c>
      <c r="C431" s="14" t="s">
        <v>1690</v>
      </c>
      <c r="D431" s="14" t="s">
        <v>3683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3478</v>
      </c>
      <c r="K431" s="14" t="s">
        <v>3479</v>
      </c>
    </row>
    <row r="432" customFormat="false" ht="15" hidden="false" customHeight="true" outlineLevel="0" collapsed="false">
      <c r="A432" s="14" t="s">
        <v>3456</v>
      </c>
      <c r="B432" s="14" t="s">
        <v>3483</v>
      </c>
      <c r="C432" s="14" t="s">
        <v>1690</v>
      </c>
      <c r="D432" s="14" t="s">
        <v>3684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3478</v>
      </c>
      <c r="K432" s="14" t="s">
        <v>3479</v>
      </c>
    </row>
    <row r="433" customFormat="false" ht="15" hidden="false" customHeight="true" outlineLevel="0" collapsed="false">
      <c r="A433" s="14" t="s">
        <v>3456</v>
      </c>
      <c r="B433" s="14" t="s">
        <v>3483</v>
      </c>
      <c r="C433" s="14" t="s">
        <v>1690</v>
      </c>
      <c r="D433" s="14" t="s">
        <v>3685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3478</v>
      </c>
      <c r="K433" s="14" t="s">
        <v>3479</v>
      </c>
    </row>
    <row r="434" customFormat="false" ht="15" hidden="false" customHeight="true" outlineLevel="0" collapsed="false">
      <c r="A434" s="14" t="s">
        <v>3456</v>
      </c>
      <c r="B434" s="14" t="s">
        <v>3483</v>
      </c>
      <c r="C434" s="14" t="s">
        <v>1690</v>
      </c>
      <c r="D434" s="14" t="s">
        <v>3686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3478</v>
      </c>
      <c r="K434" s="14" t="s">
        <v>3479</v>
      </c>
    </row>
    <row r="435" customFormat="false" ht="15" hidden="false" customHeight="true" outlineLevel="0" collapsed="false">
      <c r="A435" s="14" t="s">
        <v>3456</v>
      </c>
      <c r="B435" s="14" t="s">
        <v>3483</v>
      </c>
      <c r="C435" s="14" t="s">
        <v>1690</v>
      </c>
      <c r="D435" s="14" t="s">
        <v>3687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3478</v>
      </c>
      <c r="K435" s="14" t="s">
        <v>3479</v>
      </c>
    </row>
    <row r="436" customFormat="false" ht="15" hidden="false" customHeight="true" outlineLevel="0" collapsed="false">
      <c r="A436" s="14" t="s">
        <v>3456</v>
      </c>
      <c r="B436" s="14" t="s">
        <v>3483</v>
      </c>
      <c r="C436" s="14" t="s">
        <v>1690</v>
      </c>
      <c r="D436" s="14" t="s">
        <v>3688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3478</v>
      </c>
      <c r="K436" s="14" t="s">
        <v>3479</v>
      </c>
    </row>
    <row r="437" customFormat="false" ht="15" hidden="false" customHeight="true" outlineLevel="0" collapsed="false">
      <c r="A437" s="14" t="s">
        <v>3456</v>
      </c>
      <c r="B437" s="14" t="s">
        <v>3483</v>
      </c>
      <c r="C437" s="14" t="s">
        <v>1690</v>
      </c>
      <c r="D437" s="14" t="s">
        <v>3689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3478</v>
      </c>
      <c r="K437" s="14" t="s">
        <v>3479</v>
      </c>
    </row>
    <row r="438" customFormat="false" ht="15" hidden="false" customHeight="true" outlineLevel="0" collapsed="false">
      <c r="A438" s="14" t="s">
        <v>3456</v>
      </c>
      <c r="B438" s="14" t="s">
        <v>3491</v>
      </c>
      <c r="C438" s="14" t="s">
        <v>1685</v>
      </c>
      <c r="D438" s="14" t="s">
        <v>3690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3478</v>
      </c>
      <c r="K438" s="14" t="s">
        <v>3479</v>
      </c>
    </row>
    <row r="439" customFormat="false" ht="15" hidden="false" customHeight="true" outlineLevel="0" collapsed="false">
      <c r="A439" s="14" t="s">
        <v>3456</v>
      </c>
      <c r="B439" s="14" t="s">
        <v>3535</v>
      </c>
      <c r="C439" s="14" t="s">
        <v>2037</v>
      </c>
      <c r="D439" s="14" t="s">
        <v>3691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3507</v>
      </c>
      <c r="K439" s="14" t="s">
        <v>3479</v>
      </c>
    </row>
    <row r="440" customFormat="false" ht="15" hidden="false" customHeight="true" outlineLevel="0" collapsed="false">
      <c r="A440" s="14" t="s">
        <v>3456</v>
      </c>
      <c r="B440" s="14" t="s">
        <v>3537</v>
      </c>
      <c r="C440" s="14" t="s">
        <v>2052</v>
      </c>
      <c r="D440" s="14" t="s">
        <v>3692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3478</v>
      </c>
      <c r="K440" s="14" t="s">
        <v>3479</v>
      </c>
    </row>
    <row r="441" customFormat="false" ht="15" hidden="false" customHeight="true" outlineLevel="0" collapsed="false">
      <c r="A441" s="14" t="s">
        <v>3456</v>
      </c>
      <c r="B441" s="14" t="s">
        <v>3537</v>
      </c>
      <c r="C441" s="14" t="s">
        <v>2052</v>
      </c>
      <c r="D441" s="14" t="s">
        <v>3693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3478</v>
      </c>
      <c r="K441" s="14" t="s">
        <v>3479</v>
      </c>
    </row>
    <row r="442" customFormat="false" ht="15" hidden="false" customHeight="true" outlineLevel="0" collapsed="false">
      <c r="A442" s="14" t="s">
        <v>3456</v>
      </c>
      <c r="B442" s="14" t="s">
        <v>3537</v>
      </c>
      <c r="C442" s="14" t="s">
        <v>2052</v>
      </c>
      <c r="D442" s="14" t="s">
        <v>3694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3478</v>
      </c>
      <c r="K442" s="14" t="s">
        <v>3479</v>
      </c>
    </row>
    <row r="443" customFormat="false" ht="15" hidden="false" customHeight="true" outlineLevel="0" collapsed="false">
      <c r="A443" s="14" t="s">
        <v>3456</v>
      </c>
      <c r="B443" s="14" t="s">
        <v>3537</v>
      </c>
      <c r="C443" s="14" t="s">
        <v>2052</v>
      </c>
      <c r="D443" s="14" t="s">
        <v>3695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3478</v>
      </c>
      <c r="K443" s="14" t="s">
        <v>3479</v>
      </c>
    </row>
    <row r="444" customFormat="false" ht="15" hidden="false" customHeight="true" outlineLevel="0" collapsed="false">
      <c r="A444" s="14" t="s">
        <v>3456</v>
      </c>
      <c r="B444" s="14" t="s">
        <v>3537</v>
      </c>
      <c r="C444" s="14" t="s">
        <v>2052</v>
      </c>
      <c r="D444" s="14" t="s">
        <v>3696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3478</v>
      </c>
      <c r="K444" s="14" t="s">
        <v>3479</v>
      </c>
    </row>
    <row r="445" customFormat="false" ht="15" hidden="false" customHeight="true" outlineLevel="0" collapsed="false">
      <c r="A445" s="14" t="s">
        <v>3456</v>
      </c>
      <c r="B445" s="14" t="s">
        <v>3495</v>
      </c>
      <c r="C445" s="14" t="s">
        <v>1873</v>
      </c>
      <c r="D445" s="14" t="s">
        <v>3697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3478</v>
      </c>
      <c r="K445" s="14" t="s">
        <v>3479</v>
      </c>
    </row>
    <row r="446" customFormat="false" ht="15" hidden="false" customHeight="true" outlineLevel="0" collapsed="false">
      <c r="A446" s="14" t="s">
        <v>3456</v>
      </c>
      <c r="B446" s="14" t="s">
        <v>3495</v>
      </c>
      <c r="C446" s="14" t="s">
        <v>1873</v>
      </c>
      <c r="D446" s="14" t="s">
        <v>3698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3478</v>
      </c>
      <c r="K446" s="14" t="s">
        <v>3479</v>
      </c>
    </row>
    <row r="447" customFormat="false" ht="15" hidden="false" customHeight="true" outlineLevel="0" collapsed="false">
      <c r="A447" s="14" t="s">
        <v>3456</v>
      </c>
      <c r="B447" s="14" t="s">
        <v>3495</v>
      </c>
      <c r="C447" s="14" t="s">
        <v>1873</v>
      </c>
      <c r="D447" s="14" t="s">
        <v>3699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3478</v>
      </c>
      <c r="K447" s="14" t="s">
        <v>3479</v>
      </c>
    </row>
    <row r="448" customFormat="false" ht="15" hidden="false" customHeight="true" outlineLevel="0" collapsed="false">
      <c r="A448" s="14" t="s">
        <v>3456</v>
      </c>
      <c r="B448" s="14" t="s">
        <v>3495</v>
      </c>
      <c r="C448" s="14" t="s">
        <v>1873</v>
      </c>
      <c r="D448" s="14" t="s">
        <v>3700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3478</v>
      </c>
      <c r="K448" s="14" t="s">
        <v>3479</v>
      </c>
    </row>
    <row r="449" customFormat="false" ht="15" hidden="false" customHeight="true" outlineLevel="0" collapsed="false">
      <c r="A449" s="14" t="s">
        <v>3456</v>
      </c>
      <c r="B449" s="14" t="s">
        <v>3495</v>
      </c>
      <c r="C449" s="14" t="s">
        <v>1873</v>
      </c>
      <c r="D449" s="14" t="s">
        <v>3701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3478</v>
      </c>
      <c r="K449" s="14" t="s">
        <v>3479</v>
      </c>
    </row>
    <row r="450" customFormat="false" ht="15" hidden="false" customHeight="true" outlineLevel="0" collapsed="false">
      <c r="A450" s="14" t="s">
        <v>3456</v>
      </c>
      <c r="B450" s="14" t="s">
        <v>3495</v>
      </c>
      <c r="C450" s="14" t="s">
        <v>1873</v>
      </c>
      <c r="D450" s="14" t="s">
        <v>3702</v>
      </c>
      <c r="E450" s="14" t="s">
        <v>3703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3478</v>
      </c>
      <c r="K450" s="14" t="s">
        <v>3479</v>
      </c>
    </row>
    <row r="451" customFormat="false" ht="15" hidden="false" customHeight="true" outlineLevel="0" collapsed="false">
      <c r="A451" s="14" t="s">
        <v>3456</v>
      </c>
      <c r="B451" s="14" t="s">
        <v>3495</v>
      </c>
      <c r="C451" s="14" t="s">
        <v>1873</v>
      </c>
      <c r="D451" s="14" t="s">
        <v>3704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3478</v>
      </c>
      <c r="K451" s="14" t="s">
        <v>3479</v>
      </c>
    </row>
    <row r="452" customFormat="false" ht="15" hidden="false" customHeight="true" outlineLevel="0" collapsed="false">
      <c r="A452" s="14" t="s">
        <v>3456</v>
      </c>
      <c r="B452" s="14" t="s">
        <v>3495</v>
      </c>
      <c r="C452" s="14" t="s">
        <v>1873</v>
      </c>
      <c r="D452" s="14" t="s">
        <v>3705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3478</v>
      </c>
      <c r="K452" s="14" t="s">
        <v>3479</v>
      </c>
    </row>
    <row r="453" customFormat="false" ht="15" hidden="false" customHeight="true" outlineLevel="0" collapsed="false">
      <c r="A453" s="14" t="s">
        <v>3457</v>
      </c>
      <c r="B453" s="14" t="s">
        <v>3476</v>
      </c>
      <c r="C453" s="14" t="s">
        <v>51</v>
      </c>
      <c r="D453" s="14" t="s">
        <v>3706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3478</v>
      </c>
      <c r="K453" s="14" t="s">
        <v>3479</v>
      </c>
    </row>
    <row r="454" customFormat="false" ht="15" hidden="false" customHeight="true" outlineLevel="0" collapsed="false">
      <c r="A454" s="14" t="s">
        <v>3457</v>
      </c>
      <c r="B454" s="14" t="s">
        <v>3476</v>
      </c>
      <c r="C454" s="14" t="s">
        <v>51</v>
      </c>
      <c r="D454" s="14" t="s">
        <v>3707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3478</v>
      </c>
      <c r="K454" s="14" t="s">
        <v>3479</v>
      </c>
    </row>
    <row r="455" customFormat="false" ht="15" hidden="false" customHeight="true" outlineLevel="0" collapsed="false">
      <c r="A455" s="14" t="s">
        <v>3457</v>
      </c>
      <c r="B455" s="14" t="s">
        <v>3476</v>
      </c>
      <c r="C455" s="14" t="s">
        <v>51</v>
      </c>
      <c r="D455" s="14" t="s">
        <v>3708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3478</v>
      </c>
      <c r="K455" s="14" t="s">
        <v>3479</v>
      </c>
    </row>
    <row r="456" customFormat="false" ht="15" hidden="false" customHeight="true" outlineLevel="0" collapsed="false">
      <c r="A456" s="14" t="s">
        <v>3457</v>
      </c>
      <c r="B456" s="14" t="s">
        <v>3476</v>
      </c>
      <c r="C456" s="14" t="s">
        <v>51</v>
      </c>
      <c r="D456" s="14" t="s">
        <v>3709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3478</v>
      </c>
      <c r="K456" s="14" t="s">
        <v>3479</v>
      </c>
    </row>
    <row r="457" customFormat="false" ht="15" hidden="false" customHeight="true" outlineLevel="0" collapsed="false">
      <c r="A457" s="14" t="s">
        <v>3457</v>
      </c>
      <c r="B457" s="14" t="s">
        <v>3476</v>
      </c>
      <c r="C457" s="14" t="s">
        <v>51</v>
      </c>
      <c r="D457" s="14" t="s">
        <v>3710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3478</v>
      </c>
      <c r="K457" s="14" t="s">
        <v>3479</v>
      </c>
    </row>
    <row r="458" customFormat="false" ht="15" hidden="false" customHeight="true" outlineLevel="0" collapsed="false">
      <c r="A458" s="14" t="s">
        <v>3457</v>
      </c>
      <c r="B458" s="14" t="s">
        <v>3476</v>
      </c>
      <c r="C458" s="14" t="s">
        <v>51</v>
      </c>
      <c r="D458" s="14" t="s">
        <v>3711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3478</v>
      </c>
      <c r="K458" s="14" t="s">
        <v>3479</v>
      </c>
    </row>
    <row r="459" customFormat="false" ht="15" hidden="false" customHeight="true" outlineLevel="0" collapsed="false">
      <c r="A459" s="14" t="s">
        <v>3457</v>
      </c>
      <c r="B459" s="14" t="s">
        <v>3476</v>
      </c>
      <c r="C459" s="14" t="s">
        <v>51</v>
      </c>
      <c r="D459" s="14" t="s">
        <v>3712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3478</v>
      </c>
      <c r="K459" s="14" t="s">
        <v>3479</v>
      </c>
    </row>
    <row r="460" customFormat="false" ht="15" hidden="false" customHeight="true" outlineLevel="0" collapsed="false">
      <c r="A460" s="14" t="s">
        <v>3457</v>
      </c>
      <c r="B460" s="14" t="s">
        <v>3476</v>
      </c>
      <c r="C460" s="14" t="s">
        <v>51</v>
      </c>
      <c r="D460" s="14" t="s">
        <v>3713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3478</v>
      </c>
      <c r="K460" s="14" t="s">
        <v>3479</v>
      </c>
    </row>
    <row r="461" customFormat="false" ht="15" hidden="false" customHeight="true" outlineLevel="0" collapsed="false">
      <c r="A461" s="14" t="s">
        <v>3457</v>
      </c>
      <c r="B461" s="14" t="s">
        <v>3476</v>
      </c>
      <c r="C461" s="14" t="s">
        <v>51</v>
      </c>
      <c r="D461" s="14" t="s">
        <v>3714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3478</v>
      </c>
      <c r="K461" s="14" t="s">
        <v>3479</v>
      </c>
    </row>
    <row r="462" customFormat="false" ht="15" hidden="false" customHeight="true" outlineLevel="0" collapsed="false">
      <c r="A462" s="14" t="s">
        <v>3457</v>
      </c>
      <c r="B462" s="14" t="s">
        <v>3476</v>
      </c>
      <c r="C462" s="14" t="s">
        <v>51</v>
      </c>
      <c r="D462" s="14" t="s">
        <v>3715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3478</v>
      </c>
      <c r="K462" s="14" t="s">
        <v>3479</v>
      </c>
    </row>
    <row r="463" customFormat="false" ht="15" hidden="false" customHeight="true" outlineLevel="0" collapsed="false">
      <c r="A463" s="14" t="s">
        <v>3457</v>
      </c>
      <c r="B463" s="14" t="s">
        <v>3476</v>
      </c>
      <c r="C463" s="14" t="s">
        <v>51</v>
      </c>
      <c r="D463" s="14" t="s">
        <v>3716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3478</v>
      </c>
      <c r="K463" s="14" t="s">
        <v>3479</v>
      </c>
    </row>
    <row r="464" customFormat="false" ht="15" hidden="false" customHeight="true" outlineLevel="0" collapsed="false">
      <c r="A464" s="14" t="s">
        <v>3457</v>
      </c>
      <c r="B464" s="14" t="s">
        <v>3476</v>
      </c>
      <c r="C464" s="14" t="s">
        <v>51</v>
      </c>
      <c r="D464" s="14" t="s">
        <v>3717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3478</v>
      </c>
      <c r="K464" s="14" t="s">
        <v>3479</v>
      </c>
    </row>
    <row r="465" customFormat="false" ht="15" hidden="false" customHeight="true" outlineLevel="0" collapsed="false">
      <c r="A465" s="14" t="s">
        <v>3457</v>
      </c>
      <c r="B465" s="14" t="s">
        <v>3476</v>
      </c>
      <c r="C465" s="14" t="s">
        <v>51</v>
      </c>
      <c r="D465" s="14" t="s">
        <v>3718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3478</v>
      </c>
      <c r="K465" s="14" t="s">
        <v>3479</v>
      </c>
    </row>
    <row r="466" customFormat="false" ht="15" hidden="false" customHeight="true" outlineLevel="0" collapsed="false">
      <c r="A466" s="14" t="s">
        <v>3457</v>
      </c>
      <c r="B466" s="14" t="s">
        <v>3476</v>
      </c>
      <c r="C466" s="14" t="s">
        <v>51</v>
      </c>
      <c r="D466" s="14" t="s">
        <v>3719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3478</v>
      </c>
      <c r="K466" s="14" t="s">
        <v>3479</v>
      </c>
    </row>
    <row r="467" customFormat="false" ht="15" hidden="false" customHeight="true" outlineLevel="0" collapsed="false">
      <c r="A467" s="14" t="s">
        <v>3457</v>
      </c>
      <c r="B467" s="14" t="s">
        <v>3476</v>
      </c>
      <c r="C467" s="14" t="s">
        <v>51</v>
      </c>
      <c r="D467" s="14" t="s">
        <v>3720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3478</v>
      </c>
      <c r="K467" s="14" t="s">
        <v>3479</v>
      </c>
    </row>
    <row r="468" customFormat="false" ht="15" hidden="false" customHeight="true" outlineLevel="0" collapsed="false">
      <c r="A468" s="14" t="s">
        <v>3457</v>
      </c>
      <c r="B468" s="14" t="s">
        <v>3476</v>
      </c>
      <c r="C468" s="14" t="s">
        <v>51</v>
      </c>
      <c r="D468" s="14" t="s">
        <v>3721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3478</v>
      </c>
      <c r="K468" s="14" t="s">
        <v>3479</v>
      </c>
    </row>
    <row r="469" customFormat="false" ht="15" hidden="false" customHeight="true" outlineLevel="0" collapsed="false">
      <c r="A469" s="14" t="s">
        <v>3457</v>
      </c>
      <c r="B469" s="14" t="s">
        <v>3476</v>
      </c>
      <c r="C469" s="14" t="s">
        <v>51</v>
      </c>
      <c r="D469" s="14" t="s">
        <v>3722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3478</v>
      </c>
      <c r="K469" s="14" t="s">
        <v>3479</v>
      </c>
    </row>
    <row r="470" customFormat="false" ht="15" hidden="false" customHeight="true" outlineLevel="0" collapsed="false">
      <c r="A470" s="14" t="s">
        <v>3457</v>
      </c>
      <c r="B470" s="14" t="s">
        <v>3476</v>
      </c>
      <c r="C470" s="14" t="s">
        <v>51</v>
      </c>
      <c r="D470" s="14" t="s">
        <v>3723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3478</v>
      </c>
      <c r="K470" s="14" t="s">
        <v>3479</v>
      </c>
    </row>
    <row r="471" customFormat="false" ht="15" hidden="false" customHeight="true" outlineLevel="0" collapsed="false">
      <c r="A471" s="14" t="s">
        <v>3457</v>
      </c>
      <c r="B471" s="14" t="s">
        <v>3476</v>
      </c>
      <c r="C471" s="14" t="s">
        <v>51</v>
      </c>
      <c r="D471" s="14" t="s">
        <v>3724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3478</v>
      </c>
      <c r="K471" s="14" t="s">
        <v>3479</v>
      </c>
    </row>
    <row r="472" customFormat="false" ht="15" hidden="false" customHeight="true" outlineLevel="0" collapsed="false">
      <c r="A472" s="14" t="s">
        <v>3457</v>
      </c>
      <c r="B472" s="14" t="s">
        <v>3483</v>
      </c>
      <c r="C472" s="14" t="s">
        <v>1690</v>
      </c>
      <c r="D472" s="14" t="s">
        <v>3725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3478</v>
      </c>
      <c r="K472" s="14" t="s">
        <v>3479</v>
      </c>
    </row>
    <row r="473" customFormat="false" ht="15" hidden="false" customHeight="true" outlineLevel="0" collapsed="false">
      <c r="A473" s="14" t="s">
        <v>3457</v>
      </c>
      <c r="B473" s="14" t="s">
        <v>3483</v>
      </c>
      <c r="C473" s="14" t="s">
        <v>1690</v>
      </c>
      <c r="D473" s="14" t="s">
        <v>3726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3478</v>
      </c>
      <c r="K473" s="14" t="s">
        <v>3479</v>
      </c>
    </row>
    <row r="474" customFormat="false" ht="15" hidden="false" customHeight="true" outlineLevel="0" collapsed="false">
      <c r="A474" s="14" t="s">
        <v>3457</v>
      </c>
      <c r="B474" s="14" t="s">
        <v>3483</v>
      </c>
      <c r="C474" s="14" t="s">
        <v>1690</v>
      </c>
      <c r="D474" s="14" t="s">
        <v>3727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3478</v>
      </c>
      <c r="K474" s="14" t="s">
        <v>3479</v>
      </c>
    </row>
    <row r="475" customFormat="false" ht="15" hidden="false" customHeight="true" outlineLevel="0" collapsed="false">
      <c r="A475" s="14" t="s">
        <v>3457</v>
      </c>
      <c r="B475" s="14" t="s">
        <v>3535</v>
      </c>
      <c r="C475" s="14" t="s">
        <v>2037</v>
      </c>
      <c r="D475" s="14" t="s">
        <v>3728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3478</v>
      </c>
      <c r="K475" s="14" t="s">
        <v>3479</v>
      </c>
    </row>
    <row r="476" customFormat="false" ht="15" hidden="false" customHeight="true" outlineLevel="0" collapsed="false">
      <c r="A476" s="14" t="s">
        <v>3457</v>
      </c>
      <c r="B476" s="14" t="s">
        <v>3537</v>
      </c>
      <c r="C476" s="14" t="s">
        <v>2052</v>
      </c>
      <c r="D476" s="14" t="s">
        <v>3729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3478</v>
      </c>
      <c r="K476" s="14" t="s">
        <v>3479</v>
      </c>
    </row>
    <row r="477" customFormat="false" ht="15" hidden="false" customHeight="true" outlineLevel="0" collapsed="false">
      <c r="A477" s="14" t="s">
        <v>3457</v>
      </c>
      <c r="B477" s="14" t="s">
        <v>3537</v>
      </c>
      <c r="C477" s="14" t="s">
        <v>2052</v>
      </c>
      <c r="D477" s="14" t="s">
        <v>3730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3478</v>
      </c>
      <c r="K477" s="14" t="s">
        <v>3479</v>
      </c>
    </row>
    <row r="478" customFormat="false" ht="15" hidden="false" customHeight="true" outlineLevel="0" collapsed="false">
      <c r="A478" s="14" t="s">
        <v>3457</v>
      </c>
      <c r="B478" s="14" t="s">
        <v>3537</v>
      </c>
      <c r="C478" s="14" t="s">
        <v>2052</v>
      </c>
      <c r="D478" s="14" t="s">
        <v>3731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3478</v>
      </c>
      <c r="K478" s="14" t="s">
        <v>3479</v>
      </c>
    </row>
    <row r="479" customFormat="false" ht="15" hidden="false" customHeight="true" outlineLevel="0" collapsed="false">
      <c r="A479" s="14" t="s">
        <v>3457</v>
      </c>
      <c r="B479" s="14" t="s">
        <v>3495</v>
      </c>
      <c r="C479" s="14" t="s">
        <v>1873</v>
      </c>
      <c r="D479" s="14" t="s">
        <v>3732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3478</v>
      </c>
      <c r="K479" s="14" t="s">
        <v>3479</v>
      </c>
    </row>
    <row r="480" customFormat="false" ht="15" hidden="false" customHeight="true" outlineLevel="0" collapsed="false">
      <c r="A480" s="14" t="s">
        <v>3457</v>
      </c>
      <c r="B480" s="14" t="s">
        <v>3495</v>
      </c>
      <c r="C480" s="14" t="s">
        <v>1873</v>
      </c>
      <c r="D480" s="14" t="s">
        <v>3733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3478</v>
      </c>
      <c r="K480" s="14" t="s">
        <v>3479</v>
      </c>
    </row>
    <row r="481" customFormat="false" ht="15" hidden="false" customHeight="true" outlineLevel="0" collapsed="false">
      <c r="A481" s="14" t="s">
        <v>3457</v>
      </c>
      <c r="B481" s="14" t="s">
        <v>3495</v>
      </c>
      <c r="C481" s="14" t="s">
        <v>1873</v>
      </c>
      <c r="D481" s="14" t="s">
        <v>3734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3478</v>
      </c>
      <c r="K481" s="14" t="s">
        <v>3479</v>
      </c>
    </row>
    <row r="482" customFormat="false" ht="15" hidden="false" customHeight="true" outlineLevel="0" collapsed="false">
      <c r="A482" s="14" t="s">
        <v>3457</v>
      </c>
      <c r="B482" s="14" t="s">
        <v>3495</v>
      </c>
      <c r="C482" s="14" t="s">
        <v>1873</v>
      </c>
      <c r="D482" s="14" t="s">
        <v>3735</v>
      </c>
      <c r="E482" s="14" t="s">
        <v>3736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3478</v>
      </c>
      <c r="K482" s="14" t="s">
        <v>3479</v>
      </c>
    </row>
    <row r="483" customFormat="false" ht="15" hidden="false" customHeight="true" outlineLevel="0" collapsed="false">
      <c r="A483" s="14" t="s">
        <v>3457</v>
      </c>
      <c r="B483" s="14" t="s">
        <v>3495</v>
      </c>
      <c r="C483" s="14" t="s">
        <v>1873</v>
      </c>
      <c r="D483" s="14" t="s">
        <v>3737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3478</v>
      </c>
      <c r="K483" s="14" t="s">
        <v>3479</v>
      </c>
    </row>
    <row r="484" customFormat="false" ht="15" hidden="false" customHeight="true" outlineLevel="0" collapsed="false">
      <c r="A484" s="14" t="s">
        <v>3457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3541</v>
      </c>
    </row>
    <row r="485" customFormat="false" ht="15" hidden="false" customHeight="true" outlineLevel="0" collapsed="false">
      <c r="A485" s="14" t="s">
        <v>3457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3541</v>
      </c>
    </row>
    <row r="486" customFormat="false" ht="15" hidden="false" customHeight="true" outlineLevel="0" collapsed="false">
      <c r="A486" s="14" t="s">
        <v>3457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3541</v>
      </c>
    </row>
    <row r="487" customFormat="false" ht="15" hidden="false" customHeight="true" outlineLevel="0" collapsed="false">
      <c r="A487" s="14" t="s">
        <v>3457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3541</v>
      </c>
    </row>
    <row r="488" customFormat="false" ht="15" hidden="false" customHeight="true" outlineLevel="0" collapsed="false">
      <c r="A488" s="14" t="s">
        <v>3457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3541</v>
      </c>
    </row>
    <row r="489" customFormat="false" ht="15" hidden="false" customHeight="true" outlineLevel="0" collapsed="false">
      <c r="A489" s="14" t="s">
        <v>3457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3541</v>
      </c>
    </row>
    <row r="490" customFormat="false" ht="15" hidden="false" customHeight="true" outlineLevel="0" collapsed="false">
      <c r="A490" s="14" t="s">
        <v>3457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3541</v>
      </c>
    </row>
    <row r="491" customFormat="false" ht="15" hidden="false" customHeight="true" outlineLevel="0" collapsed="false">
      <c r="A491" s="14" t="s">
        <v>3457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3541</v>
      </c>
    </row>
    <row r="492" customFormat="false" ht="15" hidden="false" customHeight="true" outlineLevel="0" collapsed="false">
      <c r="A492" s="14" t="s">
        <v>3457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3541</v>
      </c>
    </row>
    <row r="493" customFormat="false" ht="15" hidden="false" customHeight="true" outlineLevel="0" collapsed="false">
      <c r="A493" s="14" t="s">
        <v>3457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3541</v>
      </c>
    </row>
    <row r="494" customFormat="false" ht="15" hidden="false" customHeight="true" outlineLevel="0" collapsed="false">
      <c r="A494" s="14" t="s">
        <v>3457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3541</v>
      </c>
    </row>
    <row r="495" customFormat="false" ht="15" hidden="false" customHeight="true" outlineLevel="0" collapsed="false">
      <c r="A495" s="14" t="s">
        <v>3457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3541</v>
      </c>
    </row>
    <row r="496" customFormat="false" ht="15" hidden="false" customHeight="true" outlineLevel="0" collapsed="false">
      <c r="A496" s="14" t="s">
        <v>3457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3541</v>
      </c>
    </row>
    <row r="497" customFormat="false" ht="15" hidden="false" customHeight="true" outlineLevel="0" collapsed="false">
      <c r="A497" s="14" t="s">
        <v>3457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3541</v>
      </c>
    </row>
    <row r="498" customFormat="false" ht="15" hidden="false" customHeight="true" outlineLevel="0" collapsed="false">
      <c r="A498" s="14" t="s">
        <v>3457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3541</v>
      </c>
    </row>
    <row r="499" customFormat="false" ht="15" hidden="false" customHeight="true" outlineLevel="0" collapsed="false">
      <c r="A499" s="14" t="s">
        <v>3457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3541</v>
      </c>
    </row>
    <row r="500" customFormat="false" ht="15" hidden="false" customHeight="true" outlineLevel="0" collapsed="false">
      <c r="A500" s="14" t="s">
        <v>3457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3541</v>
      </c>
    </row>
    <row r="501" customFormat="false" ht="15" hidden="false" customHeight="true" outlineLevel="0" collapsed="false">
      <c r="A501" s="14" t="s">
        <v>3457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3541</v>
      </c>
    </row>
    <row r="502" customFormat="false" ht="15" hidden="false" customHeight="true" outlineLevel="0" collapsed="false">
      <c r="A502" s="14" t="s">
        <v>3457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3541</v>
      </c>
    </row>
    <row r="503" customFormat="false" ht="15" hidden="false" customHeight="true" outlineLevel="0" collapsed="false">
      <c r="A503" s="14" t="s">
        <v>3457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3541</v>
      </c>
    </row>
    <row r="504" customFormat="false" ht="15" hidden="false" customHeight="true" outlineLevel="0" collapsed="false">
      <c r="A504" s="14" t="s">
        <v>3457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3541</v>
      </c>
    </row>
    <row r="505" customFormat="false" ht="15" hidden="false" customHeight="true" outlineLevel="0" collapsed="false">
      <c r="A505" s="14" t="s">
        <v>3457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3541</v>
      </c>
    </row>
    <row r="506" customFormat="false" ht="15" hidden="false" customHeight="true" outlineLevel="0" collapsed="false">
      <c r="A506" s="14" t="s">
        <v>3457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3541</v>
      </c>
    </row>
    <row r="507" customFormat="false" ht="15" hidden="false" customHeight="true" outlineLevel="0" collapsed="false">
      <c r="A507" s="14" t="s">
        <v>3457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3541</v>
      </c>
    </row>
    <row r="508" customFormat="false" ht="15" hidden="false" customHeight="true" outlineLevel="0" collapsed="false">
      <c r="A508" s="14" t="s">
        <v>3457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3541</v>
      </c>
    </row>
    <row r="509" customFormat="false" ht="15" hidden="false" customHeight="true" outlineLevel="0" collapsed="false">
      <c r="A509" s="14" t="s">
        <v>3457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3541</v>
      </c>
    </row>
    <row r="510" customFormat="false" ht="15" hidden="false" customHeight="true" outlineLevel="0" collapsed="false">
      <c r="A510" s="14" t="s">
        <v>3457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3541</v>
      </c>
    </row>
    <row r="511" customFormat="false" ht="15" hidden="false" customHeight="true" outlineLevel="0" collapsed="false">
      <c r="A511" s="14" t="s">
        <v>3457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3541</v>
      </c>
    </row>
    <row r="512" customFormat="false" ht="15" hidden="false" customHeight="true" outlineLevel="0" collapsed="false">
      <c r="A512" s="14" t="s">
        <v>3457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3541</v>
      </c>
    </row>
    <row r="513" customFormat="false" ht="15" hidden="false" customHeight="true" outlineLevel="0" collapsed="false">
      <c r="A513" s="14" t="s">
        <v>3457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3541</v>
      </c>
    </row>
    <row r="514" customFormat="false" ht="15" hidden="false" customHeight="true" outlineLevel="0" collapsed="false">
      <c r="A514" s="14" t="s">
        <v>3457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3541</v>
      </c>
    </row>
    <row r="515" customFormat="false" ht="15" hidden="false" customHeight="true" outlineLevel="0" collapsed="false">
      <c r="A515" s="14" t="s">
        <v>3457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3541</v>
      </c>
    </row>
    <row r="516" customFormat="false" ht="15" hidden="false" customHeight="true" outlineLevel="0" collapsed="false">
      <c r="A516" s="14" t="s">
        <v>3457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3541</v>
      </c>
    </row>
    <row r="517" customFormat="false" ht="15" hidden="false" customHeight="true" outlineLevel="0" collapsed="false">
      <c r="A517" s="14" t="s">
        <v>3457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3541</v>
      </c>
    </row>
    <row r="518" customFormat="false" ht="15" hidden="false" customHeight="true" outlineLevel="0" collapsed="false">
      <c r="A518" s="14" t="s">
        <v>3457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3541</v>
      </c>
    </row>
    <row r="519" customFormat="false" ht="15" hidden="false" customHeight="true" outlineLevel="0" collapsed="false">
      <c r="A519" s="14" t="s">
        <v>3457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3541</v>
      </c>
    </row>
    <row r="520" customFormat="false" ht="15" hidden="false" customHeight="true" outlineLevel="0" collapsed="false">
      <c r="A520" s="14" t="s">
        <v>3457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3541</v>
      </c>
    </row>
    <row r="521" customFormat="false" ht="15" hidden="false" customHeight="true" outlineLevel="0" collapsed="false">
      <c r="A521" s="14" t="s">
        <v>3457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3541</v>
      </c>
    </row>
    <row r="522" customFormat="false" ht="15" hidden="false" customHeight="true" outlineLevel="0" collapsed="false">
      <c r="A522" s="14" t="s">
        <v>3457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3541</v>
      </c>
    </row>
    <row r="523" customFormat="false" ht="15" hidden="false" customHeight="true" outlineLevel="0" collapsed="false">
      <c r="A523" s="14" t="s">
        <v>3457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3541</v>
      </c>
    </row>
    <row r="524" customFormat="false" ht="15" hidden="false" customHeight="true" outlineLevel="0" collapsed="false">
      <c r="A524" s="14" t="s">
        <v>3457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3541</v>
      </c>
    </row>
    <row r="525" customFormat="false" ht="15" hidden="false" customHeight="true" outlineLevel="0" collapsed="false">
      <c r="A525" s="14" t="s">
        <v>3457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3541</v>
      </c>
    </row>
    <row r="526" customFormat="false" ht="15" hidden="false" customHeight="true" outlineLevel="0" collapsed="false">
      <c r="A526" s="14" t="s">
        <v>3457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3541</v>
      </c>
    </row>
    <row r="527" customFormat="false" ht="15" hidden="false" customHeight="true" outlineLevel="0" collapsed="false">
      <c r="A527" s="14" t="s">
        <v>3457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3541</v>
      </c>
    </row>
    <row r="528" customFormat="false" ht="15" hidden="false" customHeight="true" outlineLevel="0" collapsed="false">
      <c r="A528" s="14" t="s">
        <v>3457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3541</v>
      </c>
    </row>
    <row r="529" customFormat="false" ht="15" hidden="false" customHeight="true" outlineLevel="0" collapsed="false">
      <c r="A529" s="14" t="s">
        <v>3457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3541</v>
      </c>
    </row>
    <row r="530" customFormat="false" ht="15" hidden="false" customHeight="true" outlineLevel="0" collapsed="false">
      <c r="A530" s="14" t="s">
        <v>3457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3541</v>
      </c>
    </row>
    <row r="531" customFormat="false" ht="15" hidden="false" customHeight="true" outlineLevel="0" collapsed="false">
      <c r="A531" s="14" t="s">
        <v>3457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3541</v>
      </c>
    </row>
    <row r="532" customFormat="false" ht="15" hidden="false" customHeight="true" outlineLevel="0" collapsed="false">
      <c r="A532" s="14" t="s">
        <v>3457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3541</v>
      </c>
    </row>
    <row r="533" customFormat="false" ht="15" hidden="false" customHeight="true" outlineLevel="0" collapsed="false">
      <c r="A533" s="14" t="s">
        <v>3457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3541</v>
      </c>
    </row>
    <row r="534" customFormat="false" ht="15" hidden="false" customHeight="true" outlineLevel="0" collapsed="false">
      <c r="A534" s="14" t="s">
        <v>3457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3541</v>
      </c>
    </row>
    <row r="535" customFormat="false" ht="15" hidden="false" customHeight="true" outlineLevel="0" collapsed="false">
      <c r="A535" s="14" t="s">
        <v>3457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3541</v>
      </c>
    </row>
    <row r="536" customFormat="false" ht="15" hidden="false" customHeight="true" outlineLevel="0" collapsed="false">
      <c r="A536" s="14" t="s">
        <v>3457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3541</v>
      </c>
    </row>
    <row r="537" customFormat="false" ht="15" hidden="false" customHeight="true" outlineLevel="0" collapsed="false">
      <c r="A537" s="14" t="s">
        <v>3457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3541</v>
      </c>
    </row>
    <row r="538" customFormat="false" ht="15" hidden="false" customHeight="true" outlineLevel="0" collapsed="false">
      <c r="A538" s="14" t="s">
        <v>3457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3541</v>
      </c>
    </row>
    <row r="539" customFormat="false" ht="15" hidden="false" customHeight="true" outlineLevel="0" collapsed="false">
      <c r="A539" s="14" t="s">
        <v>3457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3541</v>
      </c>
    </row>
    <row r="540" customFormat="false" ht="15" hidden="false" customHeight="true" outlineLevel="0" collapsed="false">
      <c r="A540" s="14" t="s">
        <v>3457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3541</v>
      </c>
    </row>
    <row r="541" customFormat="false" ht="15" hidden="false" customHeight="true" outlineLevel="0" collapsed="false">
      <c r="A541" s="14" t="s">
        <v>3457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3541</v>
      </c>
    </row>
    <row r="542" customFormat="false" ht="15" hidden="false" customHeight="true" outlineLevel="0" collapsed="false">
      <c r="A542" s="14" t="s">
        <v>3457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3541</v>
      </c>
    </row>
    <row r="543" customFormat="false" ht="15" hidden="false" customHeight="true" outlineLevel="0" collapsed="false">
      <c r="A543" s="14" t="s">
        <v>3457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3541</v>
      </c>
    </row>
    <row r="544" customFormat="false" ht="15" hidden="false" customHeight="true" outlineLevel="0" collapsed="false">
      <c r="A544" s="14" t="s">
        <v>3457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3541</v>
      </c>
    </row>
    <row r="545" customFormat="false" ht="15" hidden="false" customHeight="true" outlineLevel="0" collapsed="false">
      <c r="A545" s="14" t="s">
        <v>3457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3541</v>
      </c>
    </row>
    <row r="546" customFormat="false" ht="15" hidden="false" customHeight="true" outlineLevel="0" collapsed="false">
      <c r="A546" s="14" t="s">
        <v>3457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3541</v>
      </c>
    </row>
    <row r="547" customFormat="false" ht="15" hidden="false" customHeight="true" outlineLevel="0" collapsed="false">
      <c r="A547" s="14" t="s">
        <v>3457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3541</v>
      </c>
    </row>
    <row r="548" customFormat="false" ht="15" hidden="false" customHeight="true" outlineLevel="0" collapsed="false">
      <c r="A548" s="14" t="s">
        <v>3457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3541</v>
      </c>
    </row>
    <row r="549" customFormat="false" ht="15" hidden="false" customHeight="true" outlineLevel="0" collapsed="false">
      <c r="A549" s="14" t="s">
        <v>3457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3541</v>
      </c>
    </row>
    <row r="550" customFormat="false" ht="15" hidden="false" customHeight="true" outlineLevel="0" collapsed="false">
      <c r="A550" s="14" t="s">
        <v>3457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3541</v>
      </c>
    </row>
    <row r="551" customFormat="false" ht="15" hidden="false" customHeight="true" outlineLevel="0" collapsed="false">
      <c r="A551" s="14" t="s">
        <v>3457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3541</v>
      </c>
    </row>
    <row r="552" customFormat="false" ht="15" hidden="false" customHeight="true" outlineLevel="0" collapsed="false">
      <c r="A552" s="14" t="s">
        <v>3457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3541</v>
      </c>
    </row>
    <row r="553" customFormat="false" ht="15" hidden="false" customHeight="true" outlineLevel="0" collapsed="false">
      <c r="A553" s="14" t="s">
        <v>3457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3541</v>
      </c>
    </row>
    <row r="554" customFormat="false" ht="15" hidden="false" customHeight="true" outlineLevel="0" collapsed="false">
      <c r="A554" s="14" t="s">
        <v>3457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3541</v>
      </c>
    </row>
    <row r="555" customFormat="false" ht="15" hidden="false" customHeight="true" outlineLevel="0" collapsed="false">
      <c r="A555" s="14" t="s">
        <v>3457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3541</v>
      </c>
    </row>
    <row r="556" customFormat="false" ht="15" hidden="false" customHeight="true" outlineLevel="0" collapsed="false">
      <c r="A556" s="14" t="s">
        <v>3457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3541</v>
      </c>
    </row>
    <row r="557" customFormat="false" ht="15" hidden="false" customHeight="true" outlineLevel="0" collapsed="false">
      <c r="A557" s="14" t="s">
        <v>3457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3541</v>
      </c>
    </row>
    <row r="558" customFormat="false" ht="15" hidden="false" customHeight="true" outlineLevel="0" collapsed="false">
      <c r="A558" s="14" t="s">
        <v>3457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3541</v>
      </c>
    </row>
    <row r="559" customFormat="false" ht="15" hidden="false" customHeight="true" outlineLevel="0" collapsed="false">
      <c r="A559" s="14" t="s">
        <v>3457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3541</v>
      </c>
    </row>
    <row r="560" customFormat="false" ht="15" hidden="false" customHeight="true" outlineLevel="0" collapsed="false">
      <c r="A560" s="14" t="s">
        <v>3457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3541</v>
      </c>
    </row>
    <row r="561" customFormat="false" ht="15" hidden="false" customHeight="true" outlineLevel="0" collapsed="false">
      <c r="A561" s="14" t="s">
        <v>3457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3541</v>
      </c>
    </row>
    <row r="562" customFormat="false" ht="15" hidden="false" customHeight="true" outlineLevel="0" collapsed="false">
      <c r="A562" s="14" t="s">
        <v>3457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3541</v>
      </c>
    </row>
    <row r="563" customFormat="false" ht="15" hidden="false" customHeight="true" outlineLevel="0" collapsed="false">
      <c r="A563" s="14" t="s">
        <v>3457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3541</v>
      </c>
    </row>
    <row r="564" customFormat="false" ht="15" hidden="false" customHeight="true" outlineLevel="0" collapsed="false">
      <c r="A564" s="14" t="s">
        <v>3457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3541</v>
      </c>
    </row>
    <row r="565" customFormat="false" ht="15" hidden="false" customHeight="true" outlineLevel="0" collapsed="false">
      <c r="A565" s="14" t="s">
        <v>3457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3541</v>
      </c>
    </row>
    <row r="566" customFormat="false" ht="15" hidden="false" customHeight="true" outlineLevel="0" collapsed="false">
      <c r="A566" s="14" t="s">
        <v>3457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3541</v>
      </c>
    </row>
    <row r="567" customFormat="false" ht="15" hidden="false" customHeight="true" outlineLevel="0" collapsed="false">
      <c r="A567" s="14" t="s">
        <v>3457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3541</v>
      </c>
    </row>
    <row r="568" customFormat="false" ht="15" hidden="false" customHeight="true" outlineLevel="0" collapsed="false">
      <c r="A568" s="14" t="s">
        <v>3457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3541</v>
      </c>
    </row>
    <row r="569" customFormat="false" ht="15" hidden="false" customHeight="true" outlineLevel="0" collapsed="false">
      <c r="A569" s="14" t="s">
        <v>3457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3541</v>
      </c>
    </row>
    <row r="570" customFormat="false" ht="15" hidden="false" customHeight="true" outlineLevel="0" collapsed="false">
      <c r="A570" s="14" t="s">
        <v>3457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3541</v>
      </c>
    </row>
    <row r="571" customFormat="false" ht="15" hidden="false" customHeight="true" outlineLevel="0" collapsed="false">
      <c r="A571" s="14" t="s">
        <v>3457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3541</v>
      </c>
    </row>
    <row r="572" customFormat="false" ht="15" hidden="false" customHeight="true" outlineLevel="0" collapsed="false">
      <c r="A572" s="14" t="s">
        <v>3457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3541</v>
      </c>
    </row>
    <row r="573" customFormat="false" ht="15" hidden="false" customHeight="true" outlineLevel="0" collapsed="false">
      <c r="A573" s="14" t="s">
        <v>3457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3541</v>
      </c>
    </row>
    <row r="574" customFormat="false" ht="15" hidden="false" customHeight="true" outlineLevel="0" collapsed="false">
      <c r="A574" s="14" t="s">
        <v>3457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3541</v>
      </c>
    </row>
    <row r="575" customFormat="false" ht="15" hidden="false" customHeight="true" outlineLevel="0" collapsed="false">
      <c r="A575" s="14" t="s">
        <v>3457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3541</v>
      </c>
    </row>
    <row r="576" customFormat="false" ht="15" hidden="false" customHeight="true" outlineLevel="0" collapsed="false">
      <c r="A576" s="14" t="s">
        <v>3457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3541</v>
      </c>
    </row>
    <row r="577" customFormat="false" ht="15" hidden="false" customHeight="true" outlineLevel="0" collapsed="false">
      <c r="A577" s="14" t="s">
        <v>3457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3541</v>
      </c>
    </row>
    <row r="578" customFormat="false" ht="15" hidden="false" customHeight="true" outlineLevel="0" collapsed="false">
      <c r="A578" s="14" t="s">
        <v>3457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3541</v>
      </c>
    </row>
    <row r="579" customFormat="false" ht="15" hidden="false" customHeight="true" outlineLevel="0" collapsed="false">
      <c r="A579" s="14" t="s">
        <v>3457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3541</v>
      </c>
    </row>
    <row r="580" customFormat="false" ht="15" hidden="false" customHeight="true" outlineLevel="0" collapsed="false">
      <c r="A580" s="14" t="s">
        <v>3457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3541</v>
      </c>
    </row>
    <row r="581" customFormat="false" ht="15" hidden="false" customHeight="true" outlineLevel="0" collapsed="false">
      <c r="A581" s="14" t="s">
        <v>3457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3541</v>
      </c>
    </row>
    <row r="582" customFormat="false" ht="15" hidden="false" customHeight="true" outlineLevel="0" collapsed="false">
      <c r="A582" s="14" t="s">
        <v>3457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3541</v>
      </c>
    </row>
    <row r="583" customFormat="false" ht="15" hidden="false" customHeight="true" outlineLevel="0" collapsed="false">
      <c r="A583" s="14" t="s">
        <v>3457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3541</v>
      </c>
    </row>
    <row r="584" customFormat="false" ht="15" hidden="false" customHeight="true" outlineLevel="0" collapsed="false">
      <c r="A584" s="14" t="s">
        <v>3457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3541</v>
      </c>
    </row>
    <row r="585" customFormat="false" ht="15" hidden="false" customHeight="true" outlineLevel="0" collapsed="false">
      <c r="A585" s="14" t="s">
        <v>3457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3541</v>
      </c>
    </row>
    <row r="586" customFormat="false" ht="15" hidden="false" customHeight="true" outlineLevel="0" collapsed="false">
      <c r="A586" s="14" t="s">
        <v>3457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3541</v>
      </c>
    </row>
    <row r="587" customFormat="false" ht="15" hidden="false" customHeight="true" outlineLevel="0" collapsed="false">
      <c r="A587" s="14" t="s">
        <v>3457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3541</v>
      </c>
    </row>
    <row r="588" customFormat="false" ht="15" hidden="false" customHeight="true" outlineLevel="0" collapsed="false">
      <c r="A588" s="14" t="s">
        <v>3457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3541</v>
      </c>
    </row>
    <row r="589" customFormat="false" ht="15" hidden="false" customHeight="true" outlineLevel="0" collapsed="false">
      <c r="A589" s="14" t="s">
        <v>3457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3541</v>
      </c>
    </row>
    <row r="590" customFormat="false" ht="15" hidden="false" customHeight="true" outlineLevel="0" collapsed="false">
      <c r="A590" s="14" t="s">
        <v>3457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3541</v>
      </c>
    </row>
    <row r="591" customFormat="false" ht="15" hidden="false" customHeight="true" outlineLevel="0" collapsed="false">
      <c r="A591" s="14" t="s">
        <v>3457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3541</v>
      </c>
    </row>
    <row r="592" customFormat="false" ht="15" hidden="false" customHeight="true" outlineLevel="0" collapsed="false">
      <c r="A592" s="14" t="s">
        <v>3457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3541</v>
      </c>
    </row>
    <row r="593" customFormat="false" ht="15" hidden="false" customHeight="true" outlineLevel="0" collapsed="false">
      <c r="A593" s="14" t="s">
        <v>3457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3541</v>
      </c>
    </row>
    <row r="594" customFormat="false" ht="15" hidden="false" customHeight="true" outlineLevel="0" collapsed="false">
      <c r="A594" s="14" t="s">
        <v>3457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3541</v>
      </c>
    </row>
    <row r="595" customFormat="false" ht="15" hidden="false" customHeight="true" outlineLevel="0" collapsed="false">
      <c r="A595" s="14" t="s">
        <v>3457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3541</v>
      </c>
    </row>
    <row r="596" customFormat="false" ht="15" hidden="false" customHeight="true" outlineLevel="0" collapsed="false">
      <c r="A596" s="14" t="s">
        <v>3457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3541</v>
      </c>
    </row>
    <row r="597" customFormat="false" ht="15" hidden="false" customHeight="true" outlineLevel="0" collapsed="false">
      <c r="A597" s="14" t="s">
        <v>3457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3541</v>
      </c>
    </row>
    <row r="598" customFormat="false" ht="15" hidden="false" customHeight="true" outlineLevel="0" collapsed="false">
      <c r="A598" s="14" t="s">
        <v>3457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3541</v>
      </c>
    </row>
    <row r="599" customFormat="false" ht="15" hidden="false" customHeight="true" outlineLevel="0" collapsed="false">
      <c r="A599" s="14" t="s">
        <v>3457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3541</v>
      </c>
    </row>
    <row r="600" customFormat="false" ht="15" hidden="false" customHeight="true" outlineLevel="0" collapsed="false">
      <c r="A600" s="14" t="s">
        <v>3457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3541</v>
      </c>
    </row>
    <row r="601" customFormat="false" ht="15" hidden="false" customHeight="true" outlineLevel="0" collapsed="false">
      <c r="A601" s="14" t="s">
        <v>3457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3541</v>
      </c>
    </row>
    <row r="602" customFormat="false" ht="15" hidden="false" customHeight="true" outlineLevel="0" collapsed="false">
      <c r="A602" s="14" t="s">
        <v>3457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3541</v>
      </c>
    </row>
    <row r="603" customFormat="false" ht="15" hidden="false" customHeight="true" outlineLevel="0" collapsed="false">
      <c r="A603" s="14" t="s">
        <v>3457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3541</v>
      </c>
    </row>
    <row r="604" customFormat="false" ht="15" hidden="false" customHeight="true" outlineLevel="0" collapsed="false">
      <c r="A604" s="14" t="s">
        <v>3457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3541</v>
      </c>
    </row>
    <row r="605" customFormat="false" ht="15" hidden="false" customHeight="true" outlineLevel="0" collapsed="false">
      <c r="A605" s="14" t="s">
        <v>3457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3541</v>
      </c>
    </row>
    <row r="606" customFormat="false" ht="15" hidden="false" customHeight="true" outlineLevel="0" collapsed="false">
      <c r="A606" s="14" t="s">
        <v>3457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3541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3457</v>
      </c>
      <c r="C608" s="14" t="s">
        <v>20</v>
      </c>
      <c r="E608" s="14" t="s">
        <v>3738</v>
      </c>
      <c r="G608" s="22" t="n">
        <v>673.2</v>
      </c>
      <c r="K608" s="14" t="s">
        <v>3541</v>
      </c>
    </row>
    <row r="609" customFormat="false" ht="15" hidden="false" customHeight="true" outlineLevel="0" collapsed="false">
      <c r="A609" s="14" t="s">
        <v>3457</v>
      </c>
      <c r="C609" s="14" t="s">
        <v>20</v>
      </c>
      <c r="E609" s="14" t="s">
        <v>3739</v>
      </c>
      <c r="G609" s="22" t="n">
        <v>2201.8</v>
      </c>
      <c r="K609" s="14" t="s">
        <v>3541</v>
      </c>
    </row>
    <row r="610" customFormat="false" ht="15" hidden="false" customHeight="true" outlineLevel="0" collapsed="false">
      <c r="A610" s="14" t="s">
        <v>3457</v>
      </c>
      <c r="C610" s="14" t="s">
        <v>20</v>
      </c>
      <c r="E610" s="14" t="s">
        <v>3740</v>
      </c>
      <c r="G610" s="22" t="n">
        <v>182</v>
      </c>
      <c r="K610" s="14" t="s">
        <v>3541</v>
      </c>
    </row>
    <row r="611" customFormat="false" ht="15" hidden="false" customHeight="true" outlineLevel="0" collapsed="false">
      <c r="A611" s="14" t="s">
        <v>3457</v>
      </c>
      <c r="C611" s="14" t="s">
        <v>20</v>
      </c>
      <c r="E611" s="14" t="s">
        <v>3741</v>
      </c>
      <c r="G611" s="22" t="n">
        <v>4674.1</v>
      </c>
      <c r="K611" s="14" t="s">
        <v>3541</v>
      </c>
    </row>
    <row r="612" customFormat="false" ht="15" hidden="false" customHeight="true" outlineLevel="0" collapsed="false">
      <c r="A612" s="14" t="s">
        <v>3457</v>
      </c>
      <c r="C612" s="14" t="s">
        <v>20</v>
      </c>
      <c r="E612" s="14" t="s">
        <v>3742</v>
      </c>
      <c r="G612" s="22" t="n">
        <v>2548.5</v>
      </c>
      <c r="K612" s="14" t="s">
        <v>3541</v>
      </c>
    </row>
    <row r="613" customFormat="false" ht="15" hidden="false" customHeight="true" outlineLevel="0" collapsed="false">
      <c r="A613" s="14" t="s">
        <v>3457</v>
      </c>
      <c r="C613" s="14" t="s">
        <v>20</v>
      </c>
      <c r="E613" s="14" t="s">
        <v>3743</v>
      </c>
      <c r="G613" s="22" t="n">
        <v>106</v>
      </c>
      <c r="K613" s="14" t="s">
        <v>3541</v>
      </c>
    </row>
    <row r="614" customFormat="false" ht="15" hidden="false" customHeight="true" outlineLevel="0" collapsed="false">
      <c r="A614" s="14" t="s">
        <v>3457</v>
      </c>
      <c r="C614" s="14" t="s">
        <v>20</v>
      </c>
      <c r="E614" s="14" t="s">
        <v>3744</v>
      </c>
      <c r="G614" s="22" t="n">
        <v>2456.7</v>
      </c>
      <c r="K614" s="14" t="s">
        <v>3541</v>
      </c>
    </row>
    <row r="615" customFormat="false" ht="15" hidden="false" customHeight="true" outlineLevel="0" collapsed="false">
      <c r="A615" s="14" t="s">
        <v>3457</v>
      </c>
      <c r="C615" s="14" t="s">
        <v>20</v>
      </c>
      <c r="E615" s="14" t="s">
        <v>3745</v>
      </c>
      <c r="G615" s="22" t="n">
        <v>10879.4</v>
      </c>
      <c r="K615" s="14" t="s">
        <v>3541</v>
      </c>
    </row>
    <row r="616" customFormat="false" ht="15" hidden="false" customHeight="true" outlineLevel="0" collapsed="false">
      <c r="A616" s="14" t="s">
        <v>3457</v>
      </c>
      <c r="C616" s="14" t="s">
        <v>20</v>
      </c>
      <c r="E616" s="14" t="s">
        <v>3746</v>
      </c>
      <c r="G616" s="22" t="n">
        <v>599</v>
      </c>
      <c r="K616" s="14" t="s">
        <v>3541</v>
      </c>
    </row>
    <row r="617" customFormat="false" ht="15" hidden="false" customHeight="true" outlineLevel="0" collapsed="false">
      <c r="A617" s="14" t="s">
        <v>3457</v>
      </c>
      <c r="C617" s="14" t="s">
        <v>20</v>
      </c>
      <c r="E617" s="14" t="s">
        <v>3747</v>
      </c>
      <c r="G617" s="22" t="n">
        <v>3922.3</v>
      </c>
      <c r="K617" s="14" t="s">
        <v>3541</v>
      </c>
    </row>
    <row r="618" customFormat="false" ht="15" hidden="false" customHeight="true" outlineLevel="0" collapsed="false">
      <c r="A618" s="14" t="s">
        <v>3457</v>
      </c>
      <c r="C618" s="14" t="s">
        <v>20</v>
      </c>
      <c r="E618" s="14" t="s">
        <v>3748</v>
      </c>
      <c r="G618" s="22" t="n">
        <v>378.6</v>
      </c>
      <c r="K618" s="14" t="s">
        <v>3541</v>
      </c>
    </row>
    <row r="619" customFormat="false" ht="15" hidden="false" customHeight="true" outlineLevel="0" collapsed="false">
      <c r="A619" s="14" t="s">
        <v>3457</v>
      </c>
      <c r="C619" s="14" t="s">
        <v>20</v>
      </c>
      <c r="E619" s="14" t="s">
        <v>3749</v>
      </c>
      <c r="G619" s="22" t="n">
        <v>1075.7</v>
      </c>
      <c r="K619" s="14" t="s">
        <v>3541</v>
      </c>
    </row>
    <row r="620" customFormat="false" ht="15" hidden="false" customHeight="true" outlineLevel="0" collapsed="false">
      <c r="A620" s="14" t="s">
        <v>3457</v>
      </c>
      <c r="C620" s="14" t="s">
        <v>20</v>
      </c>
      <c r="E620" s="14" t="s">
        <v>3750</v>
      </c>
      <c r="G620" s="22" t="n">
        <v>643.7</v>
      </c>
      <c r="K620" s="14" t="s">
        <v>3541</v>
      </c>
    </row>
    <row r="621" customFormat="false" ht="15" hidden="false" customHeight="true" outlineLevel="0" collapsed="false">
      <c r="A621" s="14" t="s">
        <v>3457</v>
      </c>
      <c r="C621" s="14" t="s">
        <v>20</v>
      </c>
      <c r="E621" s="14" t="s">
        <v>3751</v>
      </c>
      <c r="G621" s="22" t="n">
        <v>539.4</v>
      </c>
      <c r="K621" s="14" t="s">
        <v>3541</v>
      </c>
    </row>
    <row r="622" customFormat="false" ht="15" hidden="false" customHeight="true" outlineLevel="0" collapsed="false">
      <c r="A622" s="14" t="s">
        <v>3457</v>
      </c>
      <c r="C622" s="14" t="s">
        <v>20</v>
      </c>
      <c r="E622" s="14" t="s">
        <v>3752</v>
      </c>
      <c r="G622" s="22" t="n">
        <v>2630.1</v>
      </c>
      <c r="K622" s="14" t="s">
        <v>3541</v>
      </c>
    </row>
    <row r="623" customFormat="false" ht="15" hidden="false" customHeight="true" outlineLevel="0" collapsed="false">
      <c r="A623" s="14" t="s">
        <v>3457</v>
      </c>
      <c r="C623" s="14" t="s">
        <v>20</v>
      </c>
      <c r="E623" s="14" t="s">
        <v>3753</v>
      </c>
      <c r="G623" s="22" t="n">
        <v>3713</v>
      </c>
      <c r="K623" s="14" t="s">
        <v>3541</v>
      </c>
    </row>
    <row r="624" customFormat="false" ht="15" hidden="false" customHeight="true" outlineLevel="0" collapsed="false">
      <c r="A624" s="14" t="s">
        <v>3457</v>
      </c>
      <c r="C624" s="14" t="s">
        <v>20</v>
      </c>
      <c r="E624" s="14" t="s">
        <v>3754</v>
      </c>
      <c r="G624" s="22" t="n">
        <v>40.2</v>
      </c>
      <c r="K624" s="14" t="s">
        <v>3541</v>
      </c>
    </row>
    <row r="625" customFormat="false" ht="15" hidden="false" customHeight="true" outlineLevel="0" collapsed="false">
      <c r="A625" s="14" t="s">
        <v>3457</v>
      </c>
      <c r="C625" s="14" t="s">
        <v>20</v>
      </c>
      <c r="E625" s="14" t="s">
        <v>3755</v>
      </c>
      <c r="G625" s="22" t="n">
        <v>134</v>
      </c>
      <c r="K625" s="14" t="s">
        <v>3541</v>
      </c>
    </row>
    <row r="626" customFormat="false" ht="15" hidden="false" customHeight="true" outlineLevel="0" collapsed="false">
      <c r="A626" s="14" t="s">
        <v>3457</v>
      </c>
      <c r="C626" s="14" t="s">
        <v>20</v>
      </c>
      <c r="E626" s="14" t="s">
        <v>3756</v>
      </c>
      <c r="G626" s="22" t="n">
        <v>692.3</v>
      </c>
      <c r="K626" s="14" t="s">
        <v>3541</v>
      </c>
    </row>
    <row r="627" customFormat="false" ht="15" hidden="false" customHeight="true" outlineLevel="0" collapsed="false">
      <c r="A627" s="14" t="s">
        <v>3457</v>
      </c>
      <c r="C627" s="14" t="s">
        <v>20</v>
      </c>
      <c r="E627" s="14" t="s">
        <v>3757</v>
      </c>
      <c r="G627" s="22" t="n">
        <v>3259.9</v>
      </c>
      <c r="K627" s="14" t="s">
        <v>3541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3541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3541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3541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3541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3541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3541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3541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3541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3541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3541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3541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3541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3541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3541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3541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3541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3541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3541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3541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3541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3541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3541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3541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3541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3541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3541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3541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3541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3541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3541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3541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3541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3541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3541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3541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3541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3541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3541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3541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3541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3541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3541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3541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3541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3541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3541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3541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3541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3541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3541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3541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3541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3541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3541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3541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3541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3541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3541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3541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3541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3541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3541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3541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3541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3541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3541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3541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3541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3541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3541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3541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3541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3541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3541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3541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3541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3541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3541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3541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3541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3541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3541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3541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3541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3541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3541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3541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3541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3541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3541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3541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3541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3541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3541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3541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3541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3541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3541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3541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3541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3541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3541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3541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3541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3541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3541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3541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3541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3541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3541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3541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3541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3541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3541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3541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3541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3541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3541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3541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3541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3541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3541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3541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3541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3541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3541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3541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3541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3541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3541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3541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3541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3541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3541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3541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3541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3541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3541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3541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3541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3541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3541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3541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3541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3541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3541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3541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3541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3541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3541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3541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3541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3541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3541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3541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3541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3541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3541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3541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3541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3541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3541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3541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3541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3541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3541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3541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3541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3541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3541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3541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3541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3541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3541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3541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3541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3541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3541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3541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3541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3541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3541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3541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3541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3541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3541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3541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3541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3541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3541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3541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3541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3541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3541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3541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3541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3541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3541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3541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3541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3541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3541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3541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3541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3541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3541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3541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3541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3758</v>
      </c>
      <c r="G837" s="22" t="n">
        <v>6527.4</v>
      </c>
      <c r="K837" s="14" t="s">
        <v>3541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3759</v>
      </c>
      <c r="G838" s="22" t="n">
        <v>5095.6</v>
      </c>
      <c r="K838" s="14" t="s">
        <v>3541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3760</v>
      </c>
      <c r="G839" s="22" t="n">
        <v>1627.6</v>
      </c>
      <c r="K839" s="14" t="s">
        <v>3541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3761</v>
      </c>
      <c r="G840" s="22" t="n">
        <v>944.2</v>
      </c>
      <c r="K840" s="14" t="s">
        <v>3541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3762</v>
      </c>
      <c r="G841" s="22" t="n">
        <v>479.9</v>
      </c>
      <c r="K841" s="14" t="s">
        <v>3541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3763</v>
      </c>
      <c r="G842" s="22" t="n">
        <v>4501.9</v>
      </c>
      <c r="K842" s="14" t="s">
        <v>3541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3764</v>
      </c>
      <c r="G843" s="22" t="n">
        <v>2849.2</v>
      </c>
      <c r="K843" s="14" t="s">
        <v>3541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3765</v>
      </c>
      <c r="G844" s="22" t="n">
        <v>447</v>
      </c>
      <c r="K844" s="14" t="s">
        <v>3541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3766</v>
      </c>
      <c r="G845" s="22" t="n">
        <v>181.5</v>
      </c>
      <c r="K845" s="14" t="s">
        <v>3541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3767</v>
      </c>
      <c r="G846" s="22" t="n">
        <v>1505.7</v>
      </c>
      <c r="K846" s="14" t="s">
        <v>3541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3768</v>
      </c>
      <c r="G847" s="22" t="n">
        <v>795.1</v>
      </c>
      <c r="K847" s="14" t="s">
        <v>3541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3769</v>
      </c>
      <c r="G848" s="22" t="n">
        <v>1189.9</v>
      </c>
      <c r="K848" s="14" t="s">
        <v>3541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3770</v>
      </c>
      <c r="G849" s="22" t="n">
        <v>541.8</v>
      </c>
      <c r="K849" s="14" t="s">
        <v>3541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3771</v>
      </c>
      <c r="G850" s="22" t="n">
        <v>610.6</v>
      </c>
      <c r="K850" s="14" t="s">
        <v>3541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3772</v>
      </c>
      <c r="G851" s="22" t="n">
        <v>1533.1</v>
      </c>
      <c r="K851" s="14" t="s">
        <v>3541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3773</v>
      </c>
      <c r="G852" s="22" t="n">
        <v>2975.3</v>
      </c>
      <c r="K852" s="14" t="s">
        <v>3541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3774</v>
      </c>
      <c r="G853" s="22" t="n">
        <v>1123.6</v>
      </c>
      <c r="K853" s="14" t="s">
        <v>3541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3775</v>
      </c>
      <c r="G854" s="22" t="n">
        <v>142.8</v>
      </c>
      <c r="K854" s="14" t="s">
        <v>3541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3776</v>
      </c>
      <c r="G855" s="22" t="n">
        <v>1271.2</v>
      </c>
      <c r="K855" s="14" t="s">
        <v>3541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3777</v>
      </c>
      <c r="G856" s="22" t="n">
        <v>2329</v>
      </c>
      <c r="K856" s="14" t="s">
        <v>3541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3778</v>
      </c>
      <c r="G857" s="22" t="n">
        <v>1536.6</v>
      </c>
      <c r="K857" s="14" t="s">
        <v>3541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3779</v>
      </c>
      <c r="G858" s="22" t="n">
        <v>496.4</v>
      </c>
      <c r="K858" s="14" t="s">
        <v>3541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3780</v>
      </c>
      <c r="G859" s="22" t="n">
        <v>2072.6</v>
      </c>
      <c r="K859" s="14" t="s">
        <v>3541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3781</v>
      </c>
      <c r="G860" s="22" t="n">
        <v>1049.4</v>
      </c>
      <c r="K860" s="14" t="s">
        <v>3541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3782</v>
      </c>
      <c r="G861" s="22" t="n">
        <v>8138.5</v>
      </c>
      <c r="K861" s="14" t="s">
        <v>3541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3783</v>
      </c>
      <c r="G862" s="22" t="n">
        <v>1519.4</v>
      </c>
      <c r="K862" s="14" t="s">
        <v>3541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3784</v>
      </c>
      <c r="F863" s="22"/>
      <c r="G863" s="22" t="n">
        <v>660.9</v>
      </c>
      <c r="H863" s="15"/>
      <c r="I863" s="15"/>
      <c r="J863" s="14"/>
      <c r="K863" s="14" t="s">
        <v>3541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3785</v>
      </c>
      <c r="F864" s="22"/>
      <c r="G864" s="22" t="n">
        <v>926.3</v>
      </c>
      <c r="H864" s="15"/>
      <c r="I864" s="15"/>
      <c r="J864" s="14"/>
      <c r="K864" s="14" t="s">
        <v>3541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3786</v>
      </c>
      <c r="G865" s="22" t="n">
        <v>294.6</v>
      </c>
      <c r="K865" s="14" t="s">
        <v>3541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3541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3541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9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3788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</row>
    <row r="4" customFormat="false" ht="15" hidden="false" customHeight="true" outlineLevel="0" collapsed="false">
      <c r="A4" s="16" t="s">
        <v>3453</v>
      </c>
      <c r="B4" s="16"/>
      <c r="C4" s="45" t="s">
        <v>3789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3479</v>
      </c>
    </row>
    <row r="5" customFormat="false" ht="15" hidden="fals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fals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fals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fals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fals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fals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fals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fals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fals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fals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fals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fals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fals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fals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fals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3790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3791</v>
      </c>
    </row>
    <row r="22" customFormat="false" ht="15" hidden="fals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fals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fals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fals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fals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fals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fals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fals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fals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fals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fals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fals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fals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fals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fals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fals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fals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fals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fals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fals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fals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fals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fals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fals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fals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fals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fals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fals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fals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fals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fals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fals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fals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fals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fals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fals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fals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fals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fals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fals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fals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fals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fals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fals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fals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fals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fals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fals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fals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fals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fals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fals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fals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fals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fals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fals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fals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fals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fals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fals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fals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fals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fals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fals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fals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fals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fals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fals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fals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fals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fals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fals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fals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fals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fals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fals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fals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fals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fals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fals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fals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fals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fals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fals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fals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fals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fals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fals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fals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fals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fals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fals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fals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fals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fals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fals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fals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fals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fals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fals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fals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fals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fals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fals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fals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fals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fals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fals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fals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fals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fals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fals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fals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fals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fals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fals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fals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fals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fals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fals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fals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fals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fals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fals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fals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fals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fals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fals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fals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fals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fals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fals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fals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fals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fals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fals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fals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fals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fals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fals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fals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fals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fals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fals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fals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fals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fals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fals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fals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fals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fals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fals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fals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fals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fals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fals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fals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fals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fals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fals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fals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fals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fals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fals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fals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fals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fals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fals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fals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fals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fals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fals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fals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fals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fals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fals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fals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fals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fals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fals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fals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fals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fals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fals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fals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fals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fals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fals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fals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fals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fals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fals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fals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fals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fals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fals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3792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3793</v>
      </c>
    </row>
    <row r="220" customFormat="false" ht="15" hidden="fals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fals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fals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fals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fals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fals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fals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fals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fals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fals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fals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fals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fals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fals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fals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fals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fals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fals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fals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fals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fals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fals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fals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fals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fals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fals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fals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fals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fals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fals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fals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fals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fals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fals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fals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fals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fals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fals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fals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fals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fals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fals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fals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fals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fals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fals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fals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fals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fals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fals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fals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fals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fals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fals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fals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fals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fals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fals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fals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fals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fals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fals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fals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fals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fals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fals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fals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fals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fals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fals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fals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fals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fals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fals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fals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fals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fals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fals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fals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fals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fals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fals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fals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fals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fals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fals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fals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fals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fals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fals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fals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fals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fals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fals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fals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fals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fals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fals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fals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fals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fals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fals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fals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fals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fals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fals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fals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fals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fals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fals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fals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fals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fals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fals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fals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fals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fals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fals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fals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fals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fals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fals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fals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fals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fals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fals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fals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fals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fals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fals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fals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fals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fals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fals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fals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fals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fals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fals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fals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fals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fals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fals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fals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fals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fals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fals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fals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fals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fals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fals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fals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fals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fals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fals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fals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fals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fals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fals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fals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fals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fals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fals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fals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fals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fals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fals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fals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fals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fals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fals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fals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fals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fals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/>
    <row r="398" customFormat="false" ht="15" hidden="false" customHeight="true" outlineLevel="0" collapsed="false">
      <c r="A398" s="16" t="s">
        <v>3456</v>
      </c>
      <c r="B398" s="16"/>
      <c r="C398" s="45" t="s">
        <v>3794</v>
      </c>
      <c r="D398" s="46" t="n">
        <f aca="false">SUMIF('לקוחות לפי סוכן - מקור'!$A$2:$A$867,$A398,'לקוחות לפי סוכן - מקור'!$F$2:$F$867)</f>
        <v>476651.57</v>
      </c>
      <c r="E398" s="46" t="n">
        <f aca="false">SUMIF('לקוחות לפי סוכן - מקור'!$A$2:$A$867,$A398,'לקוחות לפי סוכן - מקור'!$G$2:$G$867)</f>
        <v>340025.56</v>
      </c>
      <c r="F398" s="16"/>
      <c r="G398" s="17" t="n">
        <f aca="false">SUMIF('לקוחות לפי סוכן - מקור'!$A$2:$A$867,$A398,'לקוחות לפי סוכן - מקור'!$H$2:$H$867)</f>
        <v>7181</v>
      </c>
      <c r="H398" s="17" t="n">
        <f aca="false">SUMIF('לקוחות לפי סוכן - מקור'!$A$2:$A$867,$A398,'לקוחות לפי סוכן - מקור'!$I$2:$I$867)</f>
        <v>4369</v>
      </c>
      <c r="I398" s="16" t="s">
        <v>3479</v>
      </c>
    </row>
    <row r="399" customFormat="false" ht="15" hidden="false" customHeight="true" outlineLevel="1" collapsed="false">
      <c r="A399" s="14" t="str">
        <f aca="false">'לקוחות לפי סוכן - מקור'!A392</f>
        <v>אורלי בלאיש</v>
      </c>
      <c r="B399" s="14" t="str">
        <f aca="false">'לקוחות לפי סוכן - מקור'!C392</f>
        <v>102 - Orthopedic institutes</v>
      </c>
      <c r="C399" s="47" t="str">
        <f aca="false">'לקוחות לפי סוכן - מקור'!E392</f>
        <v>150005 אקספרס הנעלה ועור בע"מ</v>
      </c>
      <c r="D399" s="22" t="n">
        <f aca="false">'לקוחות לפי סוכן - מקור'!F392</f>
        <v>22318.45</v>
      </c>
      <c r="E399" s="22" t="n">
        <f aca="false">'לקוחות לפי סוכן - מקור'!G392</f>
        <v>22040.24</v>
      </c>
      <c r="F399" s="14" t="str">
        <f aca="false">'לקוחות לפי סוכן - מקור'!D392</f>
        <v>150005</v>
      </c>
      <c r="G399" s="15" t="n">
        <f aca="false">'לקוחות לפי סוכן - מקור'!H392</f>
        <v>351</v>
      </c>
      <c r="H399" s="15" t="n">
        <f aca="false">'לקוחות לפי סוכן - מקור'!I392</f>
        <v>317</v>
      </c>
      <c r="I399" s="14" t="str">
        <f aca="false">'לקוחות לפי סוכן - מקור'!K392</f>
        <v>NetSuite</v>
      </c>
    </row>
    <row r="400" customFormat="false" ht="15" hidden="false" customHeight="true" outlineLevel="1" collapsed="false">
      <c r="A400" s="14" t="str">
        <f aca="false">'לקוחות לפי סוכן - מקור'!A393</f>
        <v>אורלי בלאיש</v>
      </c>
      <c r="B400" s="14" t="str">
        <f aca="false">'לקוחות לפי סוכן - מקור'!C393</f>
        <v>102 - Orthopedic institutes</v>
      </c>
      <c r="C400" s="47" t="str">
        <f aca="false">'לקוחות לפי סוכן - מקור'!E393</f>
        <v>150010 אור אורטופדיה</v>
      </c>
      <c r="D400" s="22" t="n">
        <f aca="false">'לקוחות לפי סוכן - מקור'!F393</f>
        <v>27346.95</v>
      </c>
      <c r="E400" s="22" t="n">
        <f aca="false">'לקוחות לפי סוכן - מקור'!G393</f>
        <v>20846.97</v>
      </c>
      <c r="F400" s="14" t="str">
        <f aca="false">'לקוחות לפי סוכן - מקור'!D393</f>
        <v>150010</v>
      </c>
      <c r="G400" s="15" t="n">
        <f aca="false">'לקוחות לפי סוכן - מקור'!H393</f>
        <v>462</v>
      </c>
      <c r="H400" s="15" t="n">
        <f aca="false">'לקוחות לפי סוכן - מקור'!I393</f>
        <v>348</v>
      </c>
      <c r="I400" s="14" t="str">
        <f aca="false">'לקוחות לפי סוכן - מקור'!K393</f>
        <v>NetSuite</v>
      </c>
    </row>
    <row r="401" customFormat="false" ht="15" hidden="false" customHeight="true" outlineLevel="1" collapsed="false">
      <c r="A401" s="14" t="str">
        <f aca="false">'לקוחות לפי סוכן - מקור'!A394</f>
        <v>אורלי בלאיש</v>
      </c>
      <c r="B401" s="14" t="str">
        <f aca="false">'לקוחות לפי סוכן - מקור'!C394</f>
        <v>102 - Orthopedic institutes</v>
      </c>
      <c r="C401" s="47" t="str">
        <f aca="false">'לקוחות לפי סוכן - מקור'!E394</f>
        <v>150013 גליל אורטופדיה</v>
      </c>
      <c r="D401" s="22" t="n">
        <f aca="false">'לקוחות לפי סוכן - מקור'!F394</f>
        <v>17270.19</v>
      </c>
      <c r="E401" s="22" t="n">
        <f aca="false">'לקוחות לפי סוכן - מקור'!G394</f>
        <v>7296.18</v>
      </c>
      <c r="F401" s="14" t="str">
        <f aca="false">'לקוחות לפי סוכן - מקור'!D394</f>
        <v>150013</v>
      </c>
      <c r="G401" s="15" t="n">
        <f aca="false">'לקוחות לפי סוכן - מקור'!H394</f>
        <v>162</v>
      </c>
      <c r="H401" s="15" t="n">
        <f aca="false">'לקוחות לפי סוכן - מקור'!I394</f>
        <v>67</v>
      </c>
      <c r="I401" s="14" t="str">
        <f aca="false">'לקוחות לפי סוכן - מקור'!K394</f>
        <v>NetSuite</v>
      </c>
    </row>
    <row r="402" customFormat="false" ht="15" hidden="false" customHeight="true" outlineLevel="1" collapsed="false">
      <c r="A402" s="14" t="str">
        <f aca="false">'לקוחות לפי סוכן - מקור'!A395</f>
        <v>אורלי בלאיש</v>
      </c>
      <c r="B402" s="14" t="str">
        <f aca="false">'לקוחות לפי סוכן - מקור'!C395</f>
        <v>102 - Orthopedic institutes</v>
      </c>
      <c r="C402" s="47" t="str">
        <f aca="false">'לקוחות לפי סוכן - מקור'!E395</f>
        <v>150020 בירו אורטופדיה (יוסי)</v>
      </c>
      <c r="D402" s="22" t="n">
        <f aca="false">'לקוחות לפי סוכן - מקור'!F395</f>
        <v>2728.9</v>
      </c>
      <c r="E402" s="22" t="n">
        <f aca="false">'לקוחות לפי סוכן - מקור'!G395</f>
        <v>1425.36</v>
      </c>
      <c r="F402" s="14" t="str">
        <f aca="false">'לקוחות לפי סוכן - מקור'!D395</f>
        <v>150020</v>
      </c>
      <c r="G402" s="15" t="n">
        <f aca="false">'לקוחות לפי סוכן - מקור'!H395</f>
        <v>24</v>
      </c>
      <c r="H402" s="15" t="n">
        <f aca="false">'לקוחות לפי סוכן - מקור'!I395</f>
        <v>14</v>
      </c>
      <c r="I402" s="14" t="str">
        <f aca="false">'לקוחות לפי סוכן - מקור'!K395</f>
        <v>NetSuite</v>
      </c>
    </row>
    <row r="403" customFormat="false" ht="15" hidden="false" customHeight="true" outlineLevel="1" collapsed="false">
      <c r="A403" s="14" t="str">
        <f aca="false">'לקוחות לפי סוכן - מקור'!A396</f>
        <v>אורלי בלאיש</v>
      </c>
      <c r="B403" s="14" t="str">
        <f aca="false">'לקוחות לפי סוכן - מקור'!C396</f>
        <v>102 - Orthopedic institutes</v>
      </c>
      <c r="C403" s="47" t="str">
        <f aca="false">'לקוחות לפי סוכן - מקור'!E396</f>
        <v>150041 דן סימון אורטופדיה-פנורמה</v>
      </c>
      <c r="D403" s="22" t="n">
        <f aca="false">'לקוחות לפי סוכן - מקור'!F396</f>
        <v>957.32</v>
      </c>
      <c r="E403" s="22" t="n">
        <f aca="false">'לקוחות לפי סוכן - מקור'!G396</f>
        <v>422.28</v>
      </c>
      <c r="F403" s="14" t="str">
        <f aca="false">'לקוחות לפי סוכן - מקור'!D396</f>
        <v>150041</v>
      </c>
      <c r="G403" s="15" t="n">
        <f aca="false">'לקוחות לפי סוכן - מקור'!H396</f>
        <v>5</v>
      </c>
      <c r="H403" s="15" t="n">
        <f aca="false">'לקוחות לפי סוכן - מקור'!I396</f>
        <v>2</v>
      </c>
      <c r="I403" s="14" t="str">
        <f aca="false">'לקוחות לפי סוכן - מקור'!K396</f>
        <v>NetSuite</v>
      </c>
    </row>
    <row r="404" customFormat="false" ht="15" hidden="false" customHeight="true" outlineLevel="1" collapsed="false">
      <c r="A404" s="14" t="str">
        <f aca="false">'לקוחות לפי סוכן - מקור'!A397</f>
        <v>אורלי בלאיש</v>
      </c>
      <c r="B404" s="14" t="str">
        <f aca="false">'לקוחות לפי סוכן - מקור'!C397</f>
        <v>102 - Orthopedic institutes</v>
      </c>
      <c r="C404" s="47" t="str">
        <f aca="false">'לקוחות לפי סוכן - מקור'!E397</f>
        <v>150051 הררי אורטופדיה</v>
      </c>
      <c r="D404" s="22" t="n">
        <f aca="false">'לקוחות לפי סוכן - מקור'!F397</f>
        <v>3463.81</v>
      </c>
      <c r="E404" s="22" t="n">
        <f aca="false">'לקוחות לפי סוכן - מקור'!G397</f>
        <v>7057.04</v>
      </c>
      <c r="F404" s="14" t="str">
        <f aca="false">'לקוחות לפי סוכן - מקור'!D397</f>
        <v>150051</v>
      </c>
      <c r="G404" s="15" t="n">
        <f aca="false">'לקוחות לפי סוכן - מקור'!H397</f>
        <v>23</v>
      </c>
      <c r="H404" s="15" t="n">
        <f aca="false">'לקוחות לפי סוכן - מקור'!I397</f>
        <v>65</v>
      </c>
      <c r="I404" s="14" t="str">
        <f aca="false">'לקוחות לפי סוכן - מקור'!K397</f>
        <v>NetSuite</v>
      </c>
    </row>
    <row r="405" customFormat="false" ht="15" hidden="false" customHeight="true" outlineLevel="1" collapsed="false">
      <c r="A405" s="14" t="str">
        <f aca="false">'לקוחות לפי סוכן - מקור'!A398</f>
        <v>אורלי בלאיש</v>
      </c>
      <c r="B405" s="14" t="str">
        <f aca="false">'לקוחות לפי סוכן - מקור'!C398</f>
        <v>102 - Orthopedic institutes</v>
      </c>
      <c r="C405" s="47" t="str">
        <f aca="false">'לקוחות לפי סוכן - מקור'!E398</f>
        <v>150067 גרינברג ר.ע.י.ה אורטופדיה</v>
      </c>
      <c r="D405" s="22" t="n">
        <f aca="false">'לקוחות לפי סוכן - מקור'!F398</f>
        <v>2892.01</v>
      </c>
      <c r="E405" s="22" t="n">
        <f aca="false">'לקוחות לפי סוכן - מקור'!G398</f>
        <v>0</v>
      </c>
      <c r="F405" s="14" t="str">
        <f aca="false">'לקוחות לפי סוכן - מקור'!D398</f>
        <v>150067</v>
      </c>
      <c r="G405" s="15" t="n">
        <f aca="false">'לקוחות לפי סוכן - מקור'!H398</f>
        <v>12</v>
      </c>
      <c r="H405" s="15" t="n">
        <f aca="false">'לקוחות לפי סוכן - מקור'!I398</f>
        <v>0</v>
      </c>
      <c r="I405" s="14" t="str">
        <f aca="false">'לקוחות לפי סוכן - מקור'!K398</f>
        <v>NetSuite</v>
      </c>
    </row>
    <row r="406" customFormat="false" ht="15" hidden="false" customHeight="true" outlineLevel="1" collapsed="false">
      <c r="A406" s="14" t="str">
        <f aca="false">'לקוחות לפי סוכן - מקור'!A399</f>
        <v>אורלי בלאיש</v>
      </c>
      <c r="B406" s="14" t="str">
        <f aca="false">'לקוחות לפי סוכן - מקור'!C399</f>
        <v>102 - Orthopedic institutes</v>
      </c>
      <c r="C406" s="47" t="str">
        <f aca="false">'לקוחות לפי סוכן - מקור'!E399</f>
        <v>150136 מידרך אורטופדיה</v>
      </c>
      <c r="D406" s="22" t="n">
        <f aca="false">'לקוחות לפי סוכן - מקור'!F399</f>
        <v>911.25</v>
      </c>
      <c r="E406" s="22" t="n">
        <f aca="false">'לקוחות לפי סוכן - מקור'!G399</f>
        <v>0</v>
      </c>
      <c r="F406" s="14" t="str">
        <f aca="false">'לקוחות לפי סוכן - מקור'!D399</f>
        <v>150136</v>
      </c>
      <c r="G406" s="15" t="n">
        <f aca="false">'לקוחות לפי סוכן - מקור'!H399</f>
        <v>21</v>
      </c>
      <c r="H406" s="15" t="n">
        <f aca="false">'לקוחות לפי סוכן - מקור'!I399</f>
        <v>0</v>
      </c>
      <c r="I406" s="14" t="str">
        <f aca="false">'לקוחות לפי סוכן - מקור'!K399</f>
        <v>NetSuite</v>
      </c>
    </row>
    <row r="407" customFormat="false" ht="15" hidden="false" customHeight="true" outlineLevel="1" collapsed="false">
      <c r="A407" s="14" t="str">
        <f aca="false">'לקוחות לפי סוכן - מקור'!A400</f>
        <v>אורלי בלאיש</v>
      </c>
      <c r="B407" s="14" t="str">
        <f aca="false">'לקוחות לפי סוכן - מקור'!C400</f>
        <v>102 - Orthopedic institutes</v>
      </c>
      <c r="C407" s="47" t="str">
        <f aca="false">'לקוחות לפי סוכן - מקור'!E400</f>
        <v>150170 אליאורט אורטופדיה מתקדמת</v>
      </c>
      <c r="D407" s="22" t="n">
        <f aca="false">'לקוחות לפי סוכן - מקור'!F400</f>
        <v>8159.39</v>
      </c>
      <c r="E407" s="22" t="n">
        <f aca="false">'לקוחות לפי סוכן - מקור'!G400</f>
        <v>1723.04</v>
      </c>
      <c r="F407" s="14" t="str">
        <f aca="false">'לקוחות לפי סוכן - מקור'!D400</f>
        <v>150170</v>
      </c>
      <c r="G407" s="15" t="n">
        <f aca="false">'לקוחות לפי סוכן - מקור'!H400</f>
        <v>128</v>
      </c>
      <c r="H407" s="15" t="n">
        <f aca="false">'לקוחות לפי סוכן - מקור'!I400</f>
        <v>15</v>
      </c>
      <c r="I407" s="14" t="str">
        <f aca="false">'לקוחות לפי סוכן - מקור'!K400</f>
        <v>NetSuite</v>
      </c>
    </row>
    <row r="408" customFormat="false" ht="15" hidden="false" customHeight="true" outlineLevel="1" collapsed="false">
      <c r="A408" s="14" t="str">
        <f aca="false">'לקוחות לפי סוכן - מקור'!A401</f>
        <v>אורלי בלאיש</v>
      </c>
      <c r="B408" s="14" t="str">
        <f aca="false">'לקוחות לפי סוכן - מקור'!C401</f>
        <v>102 - Orthopedic institutes</v>
      </c>
      <c r="C408" s="47" t="str">
        <f aca="false">'לקוחות לפי סוכן - מקור'!E401</f>
        <v>150181 מכון ציון-מרכזים רפואיים</v>
      </c>
      <c r="D408" s="22" t="n">
        <f aca="false">'לקוחות לפי סוכן - מקור'!F401</f>
        <v>11173.08</v>
      </c>
      <c r="E408" s="22" t="n">
        <f aca="false">'לקוחות לפי סוכן - מקור'!G401</f>
        <v>5091.86</v>
      </c>
      <c r="F408" s="14" t="str">
        <f aca="false">'לקוחות לפי סוכן - מקור'!D401</f>
        <v>150181</v>
      </c>
      <c r="G408" s="15" t="n">
        <f aca="false">'לקוחות לפי סוכן - מקור'!H401</f>
        <v>83</v>
      </c>
      <c r="H408" s="15" t="n">
        <f aca="false">'לקוחות לפי סוכן - מקור'!I401</f>
        <v>32</v>
      </c>
      <c r="I408" s="14" t="str">
        <f aca="false">'לקוחות לפי סוכן - מקור'!K401</f>
        <v>NetSuite</v>
      </c>
    </row>
    <row r="409" customFormat="false" ht="15" hidden="false" customHeight="true" outlineLevel="1" collapsed="false">
      <c r="A409" s="14" t="str">
        <f aca="false">'לקוחות לפי סוכן - מקור'!A402</f>
        <v>אורלי בלאיש</v>
      </c>
      <c r="B409" s="14" t="str">
        <f aca="false">'לקוחות לפי סוכן - מקור'!C402</f>
        <v>102 - Orthopedic institutes</v>
      </c>
      <c r="C409" s="47" t="str">
        <f aca="false">'לקוחות לפי סוכן - מקור'!E402</f>
        <v>150202 רוני אורטופדיה בע"מ</v>
      </c>
      <c r="D409" s="22" t="n">
        <f aca="false">'לקוחות לפי סוכן - מקור'!F402</f>
        <v>63875.02</v>
      </c>
      <c r="E409" s="22" t="n">
        <f aca="false">'לקוחות לפי סוכן - מקור'!G402</f>
        <v>35989.62</v>
      </c>
      <c r="F409" s="14" t="str">
        <f aca="false">'לקוחות לפי סוכן - מקור'!D402</f>
        <v>150202</v>
      </c>
      <c r="G409" s="15" t="n">
        <f aca="false">'לקוחות לפי סוכן - מקור'!H402</f>
        <v>925</v>
      </c>
      <c r="H409" s="15" t="n">
        <f aca="false">'לקוחות לפי סוכן - מקור'!I402</f>
        <v>442</v>
      </c>
      <c r="I409" s="14" t="str">
        <f aca="false">'לקוחות לפי סוכן - מקור'!K402</f>
        <v>NetSuite</v>
      </c>
    </row>
    <row r="410" customFormat="false" ht="15" hidden="false" customHeight="true" outlineLevel="1" collapsed="false">
      <c r="A410" s="14" t="str">
        <f aca="false">'לקוחות לפי סוכן - מקור'!A403</f>
        <v>אורלי בלאיש</v>
      </c>
      <c r="B410" s="14" t="str">
        <f aca="false">'לקוחות לפי סוכן - מקור'!C403</f>
        <v>102 - Orthopedic institutes</v>
      </c>
      <c r="C410" s="47" t="str">
        <f aca="false">'לקוחות לפי סוכן - מקור'!E403</f>
        <v>150208 בני אורטפדיה קרית שמונ</v>
      </c>
      <c r="D410" s="22" t="n">
        <f aca="false">'לקוחות לפי סוכן - מקור'!F403</f>
        <v>1143.27</v>
      </c>
      <c r="E410" s="22" t="n">
        <f aca="false">'לקוחות לפי סוכן - מקור'!G403</f>
        <v>1149.18</v>
      </c>
      <c r="F410" s="14" t="str">
        <f aca="false">'לקוחות לפי סוכן - מקור'!D403</f>
        <v>150208</v>
      </c>
      <c r="G410" s="15" t="n">
        <f aca="false">'לקוחות לפי סוכן - מקור'!H403</f>
        <v>12</v>
      </c>
      <c r="H410" s="15" t="n">
        <f aca="false">'לקוחות לפי סוכן - מקור'!I403</f>
        <v>11</v>
      </c>
      <c r="I410" s="14" t="str">
        <f aca="false">'לקוחות לפי סוכן - מקור'!K403</f>
        <v>NetSuite</v>
      </c>
    </row>
    <row r="411" customFormat="false" ht="15" hidden="false" customHeight="true" outlineLevel="1" collapsed="false">
      <c r="A411" s="14" t="str">
        <f aca="false">'לקוחות לפי סוכן - מקור'!A404</f>
        <v>אורלי בלאיש</v>
      </c>
      <c r="B411" s="14" t="str">
        <f aca="false">'לקוחות לפי סוכן - מקור'!C404</f>
        <v>102 - Orthopedic institutes</v>
      </c>
      <c r="C411" s="47" t="str">
        <f aca="false">'לקוחות לפי סוכן - מקור'!E404</f>
        <v>150340 חגי אורטופדיה בע"מ</v>
      </c>
      <c r="D411" s="22" t="n">
        <f aca="false">'לקוחות לפי סוכן - מקור'!F404</f>
        <v>24502.71</v>
      </c>
      <c r="E411" s="22" t="n">
        <f aca="false">'לקוחות לפי סוכן - מקור'!G404</f>
        <v>18523.84</v>
      </c>
      <c r="F411" s="14" t="str">
        <f aca="false">'לקוחות לפי סוכן - מקור'!D404</f>
        <v>150340</v>
      </c>
      <c r="G411" s="15" t="n">
        <f aca="false">'לקוחות לפי סוכן - מקור'!H404</f>
        <v>596</v>
      </c>
      <c r="H411" s="15" t="n">
        <f aca="false">'לקוחות לפי סוכן - מקור'!I404</f>
        <v>387</v>
      </c>
      <c r="I411" s="14" t="str">
        <f aca="false">'לקוחות לפי סוכן - מקור'!K404</f>
        <v>NetSuite</v>
      </c>
    </row>
    <row r="412" customFormat="false" ht="15" hidden="false" customHeight="true" outlineLevel="1" collapsed="false">
      <c r="A412" s="14" t="str">
        <f aca="false">'לקוחות לפי סוכן - מקור'!A405</f>
        <v>אורלי בלאיש</v>
      </c>
      <c r="B412" s="14" t="str">
        <f aca="false">'לקוחות לפי סוכן - מקור'!C405</f>
        <v>102 - Orthopedic institutes</v>
      </c>
      <c r="C412" s="47" t="str">
        <f aca="false">'לקוחות לפי סוכן - מקור'!E405</f>
        <v>151048 כיאל מדיקל בע"מ</v>
      </c>
      <c r="D412" s="22" t="n">
        <f aca="false">'לקוחות לפי סוכן - מקור'!F405</f>
        <v>3743.45</v>
      </c>
      <c r="E412" s="22" t="n">
        <f aca="false">'לקוחות לפי סוכן - מקור'!G405</f>
        <v>0</v>
      </c>
      <c r="F412" s="14" t="str">
        <f aca="false">'לקוחות לפי סוכן - מקור'!D405</f>
        <v>151048</v>
      </c>
      <c r="G412" s="15" t="n">
        <f aca="false">'לקוחות לפי סוכן - מקור'!H405</f>
        <v>52</v>
      </c>
      <c r="H412" s="15" t="n">
        <f aca="false">'לקוחות לפי סוכן - מקור'!I405</f>
        <v>0</v>
      </c>
      <c r="I412" s="14" t="str">
        <f aca="false">'לקוחות לפי סוכן - מקור'!K405</f>
        <v>NetSuite</v>
      </c>
    </row>
    <row r="413" customFormat="false" ht="15" hidden="false" customHeight="true" outlineLevel="1" collapsed="false">
      <c r="A413" s="14" t="str">
        <f aca="false">'לקוחות לפי סוכן - מקור'!A406</f>
        <v>אורלי בלאיש</v>
      </c>
      <c r="B413" s="14" t="str">
        <f aca="false">'לקוחות לפי סוכן - מקור'!C406</f>
        <v>102 - Orthopedic institutes</v>
      </c>
      <c r="C413" s="47" t="str">
        <f aca="false">'לקוחות לפי סוכן - מקור'!E406</f>
        <v>151083 גל און קליניק</v>
      </c>
      <c r="D413" s="22" t="n">
        <f aca="false">'לקוחות לפי סוכן - מקור'!F406</f>
        <v>352.87</v>
      </c>
      <c r="E413" s="22" t="n">
        <f aca="false">'לקוחות לפי סוכן - מקור'!G406</f>
        <v>0</v>
      </c>
      <c r="F413" s="14" t="str">
        <f aca="false">'לקוחות לפי סוכן - מקור'!D406</f>
        <v>151083</v>
      </c>
      <c r="G413" s="15" t="n">
        <f aca="false">'לקוחות לפי סוכן - מקור'!H406</f>
        <v>4</v>
      </c>
      <c r="H413" s="15" t="n">
        <f aca="false">'לקוחות לפי סוכן - מקור'!I406</f>
        <v>0</v>
      </c>
      <c r="I413" s="14" t="str">
        <f aca="false">'לקוחות לפי סוכן - מקור'!K406</f>
        <v>NetSuite</v>
      </c>
    </row>
    <row r="414" customFormat="false" ht="15" hidden="false" customHeight="true" outlineLevel="1" collapsed="false">
      <c r="A414" s="14" t="str">
        <f aca="false">'לקוחות לפי סוכן - מקור'!A407</f>
        <v>אורלי בלאיש</v>
      </c>
      <c r="B414" s="14" t="str">
        <f aca="false">'לקוחות לפי סוכן - מקור'!C407</f>
        <v>102 - Orthopedic institutes</v>
      </c>
      <c r="C414" s="47" t="str">
        <f aca="false">'לקוחות לפי סוכן - מקור'!E407</f>
        <v>151092 נקודת הריפוי</v>
      </c>
      <c r="D414" s="22" t="n">
        <f aca="false">'לקוחות לפי סוכן - מקור'!F407</f>
        <v>4494.58</v>
      </c>
      <c r="E414" s="22" t="n">
        <f aca="false">'לקוחות לפי סוכן - מקור'!G407</f>
        <v>0</v>
      </c>
      <c r="F414" s="14" t="str">
        <f aca="false">'לקוחות לפי סוכן - מקור'!D407</f>
        <v>151092</v>
      </c>
      <c r="G414" s="15" t="n">
        <f aca="false">'לקוחות לפי סוכן - מקור'!H407</f>
        <v>50</v>
      </c>
      <c r="H414" s="15" t="n">
        <f aca="false">'לקוחות לפי סוכן - מקור'!I407</f>
        <v>0</v>
      </c>
      <c r="I414" s="14" t="str">
        <f aca="false">'לקוחות לפי סוכן - מקור'!K407</f>
        <v>NetSuite</v>
      </c>
    </row>
    <row r="415" customFormat="false" ht="15" hidden="false" customHeight="true" outlineLevel="1" collapsed="false">
      <c r="A415" s="14" t="str">
        <f aca="false">'לקוחות לפי סוכן - מקור'!A408</f>
        <v>אורלי בלאיש</v>
      </c>
      <c r="B415" s="14" t="str">
        <f aca="false">'לקוחות לפי סוכן - מקור'!C408</f>
        <v>102 - Orthopedic institutes</v>
      </c>
      <c r="C415" s="47" t="str">
        <f aca="false">'לקוחות לפי סוכן - מקור'!E408</f>
        <v>151136 אמיר מדיקל פארם בע"מ</v>
      </c>
      <c r="D415" s="22" t="n">
        <f aca="false">'לקוחות לפי סוכן - מקור'!F408</f>
        <v>34431.9</v>
      </c>
      <c r="E415" s="22" t="n">
        <f aca="false">'לקוחות לפי סוכן - מקור'!G408</f>
        <v>21083.63</v>
      </c>
      <c r="F415" s="14" t="str">
        <f aca="false">'לקוחות לפי סוכן - מקור'!D408</f>
        <v>151136</v>
      </c>
      <c r="G415" s="15" t="n">
        <f aca="false">'לקוחות לפי סוכן - מקור'!H408</f>
        <v>564</v>
      </c>
      <c r="H415" s="15" t="n">
        <f aca="false">'לקוחות לפי סוכן - מקור'!I408</f>
        <v>333</v>
      </c>
      <c r="I415" s="14" t="str">
        <f aca="false">'לקוחות לפי סוכן - מקור'!K408</f>
        <v>NetSuite</v>
      </c>
    </row>
    <row r="416" customFormat="false" ht="15" hidden="false" customHeight="true" outlineLevel="1" collapsed="false">
      <c r="A416" s="14" t="str">
        <f aca="false">'לקוחות לפי סוכן - מקור'!A409</f>
        <v>אורלי בלאיש</v>
      </c>
      <c r="B416" s="14" t="str">
        <f aca="false">'לקוחות לפי סוכן - מקור'!C409</f>
        <v>102 - Orthopedic institutes</v>
      </c>
      <c r="C416" s="47" t="str">
        <f aca="false">'לקוחות לפי סוכן - מקור'!E409</f>
        <v>151145 גל און קליניק אורתופדיה</v>
      </c>
      <c r="D416" s="22" t="n">
        <f aca="false">'לקוחות לפי סוכן - מקור'!F409</f>
        <v>435.07</v>
      </c>
      <c r="E416" s="22" t="n">
        <f aca="false">'לקוחות לפי סוכן - מקור'!G409</f>
        <v>1534.52</v>
      </c>
      <c r="F416" s="14" t="str">
        <f aca="false">'לקוחות לפי סוכן - מקור'!D409</f>
        <v>151145</v>
      </c>
      <c r="G416" s="15" t="n">
        <f aca="false">'לקוחות לפי סוכן - מקור'!H409</f>
        <v>7</v>
      </c>
      <c r="H416" s="15" t="n">
        <f aca="false">'לקוחות לפי סוכן - מקור'!I409</f>
        <v>14</v>
      </c>
      <c r="I416" s="14" t="str">
        <f aca="false">'לקוחות לפי סוכן - מקור'!K409</f>
        <v>NetSuite</v>
      </c>
    </row>
    <row r="417" customFormat="false" ht="15" hidden="false" customHeight="true" outlineLevel="1" collapsed="false">
      <c r="A417" s="14" t="str">
        <f aca="false">'לקוחות לפי סוכן - מקור'!A410</f>
        <v>אורלי בלאיש</v>
      </c>
      <c r="B417" s="14" t="str">
        <f aca="false">'לקוחות לפי סוכן - מקור'!C410</f>
        <v>102 - Orthopedic institutes</v>
      </c>
      <c r="C417" s="47" t="str">
        <f aca="false">'לקוחות לפי סוכן - מקור'!E410</f>
        <v>151170 נ.ר פתרונות אורתופדים</v>
      </c>
      <c r="D417" s="22" t="n">
        <f aca="false">'לקוחות לפי סוכן - מקור'!F410</f>
        <v>677.24</v>
      </c>
      <c r="E417" s="22" t="n">
        <f aca="false">'לקוחות לפי סוכן - מקור'!G410</f>
        <v>469.99</v>
      </c>
      <c r="F417" s="14" t="str">
        <f aca="false">'לקוחות לפי סוכן - מקור'!D410</f>
        <v>151170</v>
      </c>
      <c r="G417" s="15" t="n">
        <f aca="false">'לקוחות לפי סוכן - מקור'!H410</f>
        <v>6</v>
      </c>
      <c r="H417" s="15" t="n">
        <f aca="false">'לקוחות לפי סוכן - מקור'!I410</f>
        <v>5</v>
      </c>
      <c r="I417" s="14" t="str">
        <f aca="false">'לקוחות לפי סוכן - מקור'!K410</f>
        <v>NetSuite</v>
      </c>
    </row>
    <row r="418" customFormat="false" ht="15" hidden="false" customHeight="true" outlineLevel="1" collapsed="false">
      <c r="A418" s="14" t="str">
        <f aca="false">'לקוחות לפי סוכן - מקור'!A411</f>
        <v>אורלי בלאיש</v>
      </c>
      <c r="B418" s="14" t="str">
        <f aca="false">'לקוחות לפי סוכן - מקור'!C411</f>
        <v>102 - Orthopedic institutes</v>
      </c>
      <c r="C418" s="47" t="str">
        <f aca="false">'לקוחות לפי סוכן - מקור'!E411</f>
        <v>151183 א.מ אורטופדיה</v>
      </c>
      <c r="D418" s="22" t="n">
        <f aca="false">'לקוחות לפי סוכן - מקור'!F411</f>
        <v>3075.73</v>
      </c>
      <c r="E418" s="22" t="n">
        <f aca="false">'לקוחות לפי סוכן - מקור'!G411</f>
        <v>0</v>
      </c>
      <c r="F418" s="14" t="str">
        <f aca="false">'לקוחות לפי סוכן - מקור'!D411</f>
        <v>151183</v>
      </c>
      <c r="G418" s="15" t="n">
        <f aca="false">'לקוחות לפי סוכן - מקור'!H411</f>
        <v>35</v>
      </c>
      <c r="H418" s="15" t="n">
        <f aca="false">'לקוחות לפי סוכן - מקור'!I411</f>
        <v>0</v>
      </c>
      <c r="I418" s="14" t="str">
        <f aca="false">'לקוחות לפי סוכן - מקור'!K411</f>
        <v>NetSuite</v>
      </c>
    </row>
    <row r="419" customFormat="false" ht="15" hidden="false" customHeight="true" outlineLevel="1" collapsed="false">
      <c r="A419" s="14" t="str">
        <f aca="false">'לקוחות לפי סוכן - מקור'!A412</f>
        <v>אורלי בלאיש</v>
      </c>
      <c r="B419" s="14" t="str">
        <f aca="false">'לקוחות לפי סוכן - מקור'!C412</f>
        <v>102 - Orthopedic institutes</v>
      </c>
      <c r="C419" s="47" t="str">
        <f aca="false">'לקוחות לפי סוכן - מקור'!E412</f>
        <v>151198 טובא פארם</v>
      </c>
      <c r="D419" s="22" t="n">
        <f aca="false">'לקוחות לפי סוכן - מקור'!F412</f>
        <v>5256.45</v>
      </c>
      <c r="E419" s="22" t="n">
        <f aca="false">'לקוחות לפי סוכן - מקור'!G412</f>
        <v>2185.46</v>
      </c>
      <c r="F419" s="14" t="str">
        <f aca="false">'לקוחות לפי סוכן - מקור'!D412</f>
        <v>151198</v>
      </c>
      <c r="G419" s="15" t="n">
        <f aca="false">'לקוחות לפי סוכן - מקור'!H412</f>
        <v>63</v>
      </c>
      <c r="H419" s="15" t="n">
        <f aca="false">'לקוחות לפי סוכן - מקור'!I412</f>
        <v>39</v>
      </c>
      <c r="I419" s="14" t="str">
        <f aca="false">'לקוחות לפי סוכן - מקור'!K412</f>
        <v>NetSuite</v>
      </c>
    </row>
    <row r="420" customFormat="false" ht="15" hidden="false" customHeight="true" outlineLevel="1" collapsed="false">
      <c r="A420" s="14" t="str">
        <f aca="false">'לקוחות לפי סוכן - מקור'!A413</f>
        <v>אורלי בלאיש</v>
      </c>
      <c r="B420" s="14" t="str">
        <f aca="false">'לקוחות לפי סוכן - מקור'!C413</f>
        <v>102 - Orthopedic institutes</v>
      </c>
      <c r="C420" s="47" t="str">
        <f aca="false">'לקוחות לפי סוכן - מקור'!E413</f>
        <v>151209 רוני אורטופדיה  בע"מ - רמבם</v>
      </c>
      <c r="D420" s="22" t="n">
        <f aca="false">'לקוחות לפי סוכן - מקור'!F413</f>
        <v>54526.13</v>
      </c>
      <c r="E420" s="22" t="n">
        <f aca="false">'לקוחות לפי סוכן - מקור'!G413</f>
        <v>63540.64</v>
      </c>
      <c r="F420" s="14" t="str">
        <f aca="false">'לקוחות לפי סוכן - מקור'!D413</f>
        <v>151209</v>
      </c>
      <c r="G420" s="15" t="n">
        <f aca="false">'לקוחות לפי סוכן - מקור'!H413</f>
        <v>600</v>
      </c>
      <c r="H420" s="15" t="n">
        <f aca="false">'לקוחות לפי סוכן - מקור'!I413</f>
        <v>502</v>
      </c>
      <c r="I420" s="14" t="str">
        <f aca="false">'לקוחות לפי סוכן - מקור'!K413</f>
        <v>NetSuite</v>
      </c>
    </row>
    <row r="421" customFormat="false" ht="15" hidden="false" customHeight="true" outlineLevel="1" collapsed="false">
      <c r="A421" s="14" t="str">
        <f aca="false">'לקוחות לפי סוכן - מקור'!A414</f>
        <v>אורלי בלאיש</v>
      </c>
      <c r="B421" s="14" t="str">
        <f aca="false">'לקוחות לפי סוכן - מקור'!C414</f>
        <v>102 - Orthopedic institutes</v>
      </c>
      <c r="C421" s="47" t="str">
        <f aca="false">'לקוחות לפי סוכן - מקור'!E414</f>
        <v>151231 הום פלסט בע"מ</v>
      </c>
      <c r="D421" s="22" t="n">
        <f aca="false">'לקוחות לפי סוכן - מקור'!F414</f>
        <v>7952.2</v>
      </c>
      <c r="E421" s="22" t="n">
        <f aca="false">'לקוחות לפי סוכן - מקור'!G414</f>
        <v>100</v>
      </c>
      <c r="F421" s="14" t="str">
        <f aca="false">'לקוחות לפי סוכן - מקור'!D414</f>
        <v>151231</v>
      </c>
      <c r="G421" s="15" t="n">
        <f aca="false">'לקוחות לפי סוכן - מקור'!H414</f>
        <v>98</v>
      </c>
      <c r="H421" s="15" t="n">
        <f aca="false">'לקוחות לפי סוכן - מקור'!I414</f>
        <v>1</v>
      </c>
      <c r="I421" s="14" t="str">
        <f aca="false">'לקוחות לפי סוכן - מקור'!K414</f>
        <v>NetSuite</v>
      </c>
    </row>
    <row r="422" customFormat="false" ht="15" hidden="false" customHeight="true" outlineLevel="1" collapsed="false">
      <c r="A422" s="14" t="str">
        <f aca="false">'לקוחות לפי סוכן - מקור'!A415</f>
        <v>אורלי בלאיש</v>
      </c>
      <c r="B422" s="14" t="str">
        <f aca="false">'לקוחות לפי סוכן - מקור'!C415</f>
        <v>102 - Orthopedic institutes</v>
      </c>
      <c r="C422" s="47" t="str">
        <f aca="false">'לקוחות לפי סוכן - מקור'!E415</f>
        <v>152031 גפיים חיפה</v>
      </c>
      <c r="D422" s="22" t="n">
        <f aca="false">'לקוחות לפי סוכן - מקור'!F415</f>
        <v>7196.12</v>
      </c>
      <c r="E422" s="22" t="n">
        <f aca="false">'לקוחות לפי סוכן - מקור'!G415</f>
        <v>3231.74</v>
      </c>
      <c r="F422" s="14" t="str">
        <f aca="false">'לקוחות לפי סוכן - מקור'!D415</f>
        <v>152031</v>
      </c>
      <c r="G422" s="15" t="n">
        <f aca="false">'לקוחות לפי סוכן - מקור'!H415</f>
        <v>90</v>
      </c>
      <c r="H422" s="15" t="n">
        <f aca="false">'לקוחות לפי סוכן - מקור'!I415</f>
        <v>48</v>
      </c>
      <c r="I422" s="14" t="str">
        <f aca="false">'לקוחות לפי סוכן - מקור'!K415</f>
        <v>NetSuite</v>
      </c>
    </row>
    <row r="423" customFormat="false" ht="15" hidden="false" customHeight="true" outlineLevel="1" collapsed="false">
      <c r="A423" s="14" t="str">
        <f aca="false">'לקוחות לפי סוכן - מקור'!A416</f>
        <v>אורלי בלאיש</v>
      </c>
      <c r="B423" s="14" t="str">
        <f aca="false">'לקוחות לפי סוכן - מקור'!C416</f>
        <v>102 - Orthopedic institutes</v>
      </c>
      <c r="C423" s="47" t="str">
        <f aca="false">'לקוחות לפי סוכן - מקור'!E416</f>
        <v>153031 גרינברג ר.ע.י.ה מדיקל בעמ</v>
      </c>
      <c r="D423" s="22" t="n">
        <f aca="false">'לקוחות לפי סוכן - מקור'!F416</f>
        <v>4860</v>
      </c>
      <c r="E423" s="22" t="n">
        <f aca="false">'לקוחות לפי סוכן - מקור'!G416</f>
        <v>4440</v>
      </c>
      <c r="F423" s="14" t="str">
        <f aca="false">'לקוחות לפי סוכן - מקור'!D416</f>
        <v>153031</v>
      </c>
      <c r="G423" s="15" t="n">
        <f aca="false">'לקוחות לפי סוכן - מקור'!H416</f>
        <v>18</v>
      </c>
      <c r="H423" s="15" t="n">
        <f aca="false">'לקוחות לפי סוכן - מקור'!I416</f>
        <v>20</v>
      </c>
      <c r="I423" s="14" t="str">
        <f aca="false">'לקוחות לפי סוכן - מקור'!K416</f>
        <v>NetSuite</v>
      </c>
    </row>
    <row r="424" customFormat="false" ht="15" hidden="false" customHeight="true" outlineLevel="1" collapsed="false">
      <c r="A424" s="14" t="str">
        <f aca="false">'לקוחות לפי סוכן - מקור'!A417</f>
        <v>אורלי בלאיש</v>
      </c>
      <c r="B424" s="14" t="str">
        <f aca="false">'לקוחות לפי סוכן - מקור'!C417</f>
        <v>102 - Orthopedic institutes</v>
      </c>
      <c r="C424" s="47" t="str">
        <f aca="false">'לקוחות לפי סוכן - מקור'!E417</f>
        <v>153196 קלפון וילפריד</v>
      </c>
      <c r="D424" s="22" t="n">
        <f aca="false">'לקוחות לפי סוכן - מקור'!F417</f>
        <v>0</v>
      </c>
      <c r="E424" s="22" t="n">
        <f aca="false">'לקוחות לפי סוכן - מקור'!G417</f>
        <v>912.99</v>
      </c>
      <c r="F424" s="14" t="str">
        <f aca="false">'לקוחות לפי סוכן - מקור'!D417</f>
        <v>153196</v>
      </c>
      <c r="G424" s="15" t="n">
        <f aca="false">'לקוחות לפי סוכן - מקור'!H417</f>
        <v>0</v>
      </c>
      <c r="H424" s="15" t="n">
        <f aca="false">'לקוחות לפי סוכן - מקור'!I417</f>
        <v>11</v>
      </c>
      <c r="I424" s="14" t="str">
        <f aca="false">'לקוחות לפי סוכן - מקור'!K417</f>
        <v>NetSuite</v>
      </c>
    </row>
    <row r="425" customFormat="false" ht="15" hidden="false" customHeight="true" outlineLevel="1" collapsed="false">
      <c r="A425" s="14" t="str">
        <f aca="false">'לקוחות לפי סוכן - מקור'!A418</f>
        <v>אורלי בלאיש</v>
      </c>
      <c r="B425" s="14" t="str">
        <f aca="false">'לקוחות לפי סוכן - מקור'!C418</f>
        <v>102 - Orthopedic institutes</v>
      </c>
      <c r="C425" s="47" t="str">
        <f aca="false">'לקוחות לפי סוכן - מקור'!E418</f>
        <v>153248 א.ק אורטופדיה מתקדמת</v>
      </c>
      <c r="D425" s="22" t="n">
        <f aca="false">'לקוחות לפי סוכן - מקור'!F418</f>
        <v>1943.56</v>
      </c>
      <c r="E425" s="22" t="n">
        <f aca="false">'לקוחות לפי סוכן - מקור'!G418</f>
        <v>-536.7</v>
      </c>
      <c r="F425" s="14" t="str">
        <f aca="false">'לקוחות לפי סוכן - מקור'!D418</f>
        <v>153248</v>
      </c>
      <c r="G425" s="15" t="n">
        <f aca="false">'לקוחות לפי סוכן - מקור'!H418</f>
        <v>38</v>
      </c>
      <c r="H425" s="15" t="n">
        <f aca="false">'לקוחות לפי סוכן - מקור'!I418</f>
        <v>-24</v>
      </c>
      <c r="I425" s="14" t="str">
        <f aca="false">'לקוחות לפי סוכן - מקור'!K418</f>
        <v>NetSuite</v>
      </c>
    </row>
    <row r="426" customFormat="false" ht="15" hidden="false" customHeight="true" outlineLevel="1" collapsed="false">
      <c r="A426" s="14" t="str">
        <f aca="false">'לקוחות לפי סוכן - מקור'!A419</f>
        <v>אורלי בלאיש</v>
      </c>
      <c r="B426" s="14" t="str">
        <f aca="false">'לקוחות לפי סוכן - מקור'!C419</f>
        <v>102 - Orthopedic institutes</v>
      </c>
      <c r="C426" s="47" t="str">
        <f aca="false">'לקוחות לפי סוכן - מקור'!E419</f>
        <v>154142 מרכז הספורט חצור הגלילית</v>
      </c>
      <c r="D426" s="22" t="n">
        <f aca="false">'לקוחות לפי סוכן - מקור'!F419</f>
        <v>1490.09</v>
      </c>
      <c r="E426" s="22" t="n">
        <f aca="false">'לקוחות לפי סוכן - מקור'!G419</f>
        <v>0</v>
      </c>
      <c r="F426" s="14" t="str">
        <f aca="false">'לקוחות לפי סוכן - מקור'!D419</f>
        <v>154142</v>
      </c>
      <c r="G426" s="15" t="n">
        <f aca="false">'לקוחות לפי סוכן - מקור'!H419</f>
        <v>59</v>
      </c>
      <c r="H426" s="15" t="n">
        <f aca="false">'לקוחות לפי סוכן - מקור'!I419</f>
        <v>0</v>
      </c>
      <c r="I426" s="14" t="str">
        <f aca="false">'לקוחות לפי סוכן - מקור'!K419</f>
        <v>NetSuite</v>
      </c>
    </row>
    <row r="427" customFormat="false" ht="15" hidden="false" customHeight="true" outlineLevel="1" collapsed="false">
      <c r="A427" s="14" t="str">
        <f aca="false">'לקוחות לפי סוכן - מקור'!A420</f>
        <v>אורלי בלאיש</v>
      </c>
      <c r="B427" s="14" t="str">
        <f aca="false">'לקוחות לפי סוכן - מקור'!C420</f>
        <v>102 - Orthopedic institutes</v>
      </c>
      <c r="C427" s="47" t="str">
        <f aca="false">'לקוחות לפי סוכן - מקור'!E420</f>
        <v>157464 מדיקל הצפון ב.מ-חורי</v>
      </c>
      <c r="D427" s="22" t="n">
        <f aca="false">'לקוחות לפי סוכן - מקור'!F420</f>
        <v>46725.38</v>
      </c>
      <c r="E427" s="22" t="n">
        <f aca="false">'לקוחות לפי סוכן - מקור'!G420</f>
        <v>50813.46</v>
      </c>
      <c r="F427" s="14" t="str">
        <f aca="false">'לקוחות לפי סוכן - מקור'!D420</f>
        <v>157464</v>
      </c>
      <c r="G427" s="15" t="n">
        <f aca="false">'לקוחות לפי סוכן - מקור'!H420</f>
        <v>589</v>
      </c>
      <c r="H427" s="15" t="n">
        <f aca="false">'לקוחות לפי סוכן - מקור'!I420</f>
        <v>617</v>
      </c>
      <c r="I427" s="14" t="str">
        <f aca="false">'לקוחות לפי סוכן - מקור'!K420</f>
        <v>NetSuite</v>
      </c>
    </row>
    <row r="428" customFormat="false" ht="15" hidden="false" customHeight="true" outlineLevel="1" collapsed="false">
      <c r="A428" s="14" t="str">
        <f aca="false">'לקוחות לפי סוכן - מקור'!A421</f>
        <v>אורלי בלאיש</v>
      </c>
      <c r="B428" s="14" t="str">
        <f aca="false">'לקוחות לפי סוכן - מקור'!C421</f>
        <v>102 - Orthopedic institutes</v>
      </c>
      <c r="C428" s="47" t="str">
        <f aca="false">'לקוחות לפי סוכן - מקור'!E421</f>
        <v>157521 נזרין פארם-ראוי אורתופדיה</v>
      </c>
      <c r="D428" s="22" t="n">
        <f aca="false">'לקוחות לפי סוכן - מקור'!F421</f>
        <v>10625.11</v>
      </c>
      <c r="E428" s="22" t="n">
        <f aca="false">'לקוחות לפי סוכן - מקור'!G421</f>
        <v>7588.63</v>
      </c>
      <c r="F428" s="14" t="str">
        <f aca="false">'לקוחות לפי סוכן - מקור'!D421</f>
        <v>157521</v>
      </c>
      <c r="G428" s="15" t="n">
        <f aca="false">'לקוחות לפי סוכן - מקור'!H421</f>
        <v>231</v>
      </c>
      <c r="H428" s="15" t="n">
        <f aca="false">'לקוחות לפי סוכן - מקור'!I421</f>
        <v>97</v>
      </c>
      <c r="I428" s="14" t="str">
        <f aca="false">'לקוחות לפי סוכן - מקור'!K421</f>
        <v>NetSuite</v>
      </c>
    </row>
    <row r="429" customFormat="false" ht="15" hidden="false" customHeight="true" outlineLevel="1" collapsed="false">
      <c r="A429" s="14" t="str">
        <f aca="false">'לקוחות לפי סוכן - מקור'!A422</f>
        <v>אורלי בלאיש</v>
      </c>
      <c r="B429" s="14" t="str">
        <f aca="false">'לקוחות לפי סוכן - מקור'!C422</f>
        <v>102 - Orthopedic institutes</v>
      </c>
      <c r="C429" s="47" t="str">
        <f aca="false">'לקוחות לפי סוכן - מקור'!E422</f>
        <v>C02279 אורטופדיק מדיקל דניאלציק אברהם</v>
      </c>
      <c r="D429" s="22" t="n">
        <f aca="false">'לקוחות לפי סוכן - מקור'!F422</f>
        <v>3090.51</v>
      </c>
      <c r="E429" s="22" t="n">
        <f aca="false">'לקוחות לפי סוכן - מקור'!G422</f>
        <v>0</v>
      </c>
      <c r="F429" s="14" t="str">
        <f aca="false">'לקוחות לפי סוכן - מקור'!D422</f>
        <v>C02279</v>
      </c>
      <c r="G429" s="15" t="n">
        <f aca="false">'לקוחות לפי סוכן - מקור'!H422</f>
        <v>25</v>
      </c>
      <c r="H429" s="15" t="n">
        <f aca="false">'לקוחות לפי סוכן - מקור'!I422</f>
        <v>0</v>
      </c>
      <c r="I429" s="14" t="str">
        <f aca="false">'לקוחות לפי סוכן - מקור'!K422</f>
        <v>NetSuite</v>
      </c>
    </row>
    <row r="430" customFormat="false" ht="15" hidden="false" customHeight="true" outlineLevel="1" collapsed="false">
      <c r="A430" s="14" t="str">
        <f aca="false">'לקוחות לפי סוכן - מקור'!A423</f>
        <v>אורלי בלאיש</v>
      </c>
      <c r="B430" s="14" t="str">
        <f aca="false">'לקוחות לפי סוכן - מקור'!C423</f>
        <v>102 - Orthopedic institutes</v>
      </c>
      <c r="C430" s="47" t="str">
        <f aca="false">'לקוחות לפי סוכן - מקור'!E423</f>
        <v>C02286 ראם אורטופדיה בע"מ</v>
      </c>
      <c r="D430" s="22" t="n">
        <f aca="false">'לקוחות לפי סוכן - מקור'!F423</f>
        <v>2233.57</v>
      </c>
      <c r="E430" s="22" t="n">
        <f aca="false">'לקוחות לפי סוכן - מקור'!G423</f>
        <v>1168.44</v>
      </c>
      <c r="F430" s="14" t="str">
        <f aca="false">'לקוחות לפי סוכן - מקור'!D423</f>
        <v>C02286</v>
      </c>
      <c r="G430" s="15" t="n">
        <f aca="false">'לקוחות לפי סוכן - מקור'!H423</f>
        <v>74</v>
      </c>
      <c r="H430" s="15" t="n">
        <f aca="false">'לקוחות לפי סוכן - מקור'!I423</f>
        <v>44</v>
      </c>
      <c r="I430" s="14" t="str">
        <f aca="false">'לקוחות לפי סוכן - מקור'!K423</f>
        <v>NetSuite</v>
      </c>
    </row>
    <row r="431" customFormat="false" ht="15" hidden="false" customHeight="true" outlineLevel="1" collapsed="false">
      <c r="A431" s="14" t="str">
        <f aca="false">'לקוחות לפי סוכן - מקור'!A424</f>
        <v>אורלי בלאיש</v>
      </c>
      <c r="B431" s="14" t="str">
        <f aca="false">'לקוחות לפי סוכן - מקור'!C424</f>
        <v>102 - Orthopedic institutes</v>
      </c>
      <c r="C431" s="47" t="str">
        <f aca="false">'לקוחות לפי סוכן - מקור'!E424</f>
        <v>C02302 רושיטה בע"מ</v>
      </c>
      <c r="D431" s="22" t="n">
        <f aca="false">'לקוחות לפי סוכן - מקור'!F424</f>
        <v>0</v>
      </c>
      <c r="E431" s="22" t="n">
        <f aca="false">'לקוחות לפי סוכן - מקור'!G424</f>
        <v>997.69</v>
      </c>
      <c r="F431" s="14" t="str">
        <f aca="false">'לקוחות לפי סוכן - מקור'!D424</f>
        <v>C02302</v>
      </c>
      <c r="G431" s="15" t="n">
        <f aca="false">'לקוחות לפי סוכן - מקור'!H424</f>
        <v>0</v>
      </c>
      <c r="H431" s="15" t="n">
        <f aca="false">'לקוחות לפי סוכן - מקור'!I424</f>
        <v>15</v>
      </c>
      <c r="I431" s="14" t="str">
        <f aca="false">'לקוחות לפי סוכן - מקור'!K424</f>
        <v>NetSuite</v>
      </c>
    </row>
    <row r="432" customFormat="false" ht="15" hidden="false" customHeight="true" outlineLevel="1" collapsed="false">
      <c r="A432" s="14" t="str">
        <f aca="false">'לקוחות לפי סוכן - מקור'!A425</f>
        <v>אורלי בלאיש</v>
      </c>
      <c r="B432" s="14" t="str">
        <f aca="false">'לקוחות לפי סוכן - מקור'!C425</f>
        <v>102 - Orthopedic institutes</v>
      </c>
      <c r="C432" s="47" t="str">
        <f aca="false">'לקוחות לפי סוכן - מקור'!E425</f>
        <v>C02323 ח'טיב ראיד</v>
      </c>
      <c r="D432" s="22" t="n">
        <f aca="false">'לקוחות לפי סוכן - מקור'!F425</f>
        <v>0</v>
      </c>
      <c r="E432" s="22" t="n">
        <f aca="false">'לקוחות לפי סוכן - מקור'!G425</f>
        <v>2100.04</v>
      </c>
      <c r="F432" s="14" t="str">
        <f aca="false">'לקוחות לפי סוכן - מקור'!D425</f>
        <v>C02323</v>
      </c>
      <c r="G432" s="15" t="n">
        <f aca="false">'לקוחות לפי סוכן - מקור'!H425</f>
        <v>0</v>
      </c>
      <c r="H432" s="15" t="n">
        <f aca="false">'לקוחות לפי סוכן - מקור'!I425</f>
        <v>15</v>
      </c>
      <c r="I432" s="14" t="str">
        <f aca="false">'לקוחות לפי סוכן - מקור'!K425</f>
        <v>NetSuite</v>
      </c>
    </row>
    <row r="433" customFormat="false" ht="15" hidden="false" customHeight="true" outlineLevel="1" collapsed="false">
      <c r="A433" s="14" t="str">
        <f aca="false">'לקוחות לפי סוכן - מקור'!A426</f>
        <v>אורלי בלאיש</v>
      </c>
      <c r="B433" s="14" t="str">
        <f aca="false">'לקוחות לפי סוכן - מקור'!C426</f>
        <v>102 - Orthopedic institutes</v>
      </c>
      <c r="C433" s="47" t="str">
        <f aca="false">'לקוחות לפי סוכן - מקור'!E426</f>
        <v>C02333 רוזלינה 24 בעמ</v>
      </c>
      <c r="D433" s="22" t="n">
        <f aca="false">'לקוחות לפי סוכן - מקור'!F426</f>
        <v>0</v>
      </c>
      <c r="E433" s="22" t="n">
        <f aca="false">'לקוחות לפי סוכן - מקור'!G426</f>
        <v>2719.24</v>
      </c>
      <c r="F433" s="14" t="str">
        <f aca="false">'לקוחות לפי סוכן - מקור'!D426</f>
        <v>C02333</v>
      </c>
      <c r="G433" s="15" t="n">
        <f aca="false">'לקוחות לפי סוכן - מקור'!H426</f>
        <v>0</v>
      </c>
      <c r="H433" s="15" t="n">
        <f aca="false">'לקוחות לפי סוכן - מקור'!I426</f>
        <v>36</v>
      </c>
      <c r="I433" s="14" t="str">
        <f aca="false">'לקוחות לפי סוכן - מקור'!K426</f>
        <v>NetSuite</v>
      </c>
    </row>
    <row r="434" customFormat="false" ht="15" hidden="false" customHeight="true" outlineLevel="1" collapsed="false">
      <c r="A434" s="14" t="str">
        <f aca="false">'לקוחות לפי סוכן - מקור'!A427</f>
        <v>אורלי בלאיש</v>
      </c>
      <c r="B434" s="14" t="str">
        <f aca="false">'לקוחות לפי סוכן - מקור'!C427</f>
        <v>103 - Physiotherapy institutes</v>
      </c>
      <c r="C434" s="47" t="str">
        <f aca="false">'לקוחות לפי סוכן - מקור'!E427</f>
        <v>150070 זריק סקר - מכון פיזיותרפי</v>
      </c>
      <c r="D434" s="22" t="n">
        <f aca="false">'לקוחות לפי סוכן - מקור'!F427</f>
        <v>11131.13</v>
      </c>
      <c r="E434" s="22" t="n">
        <f aca="false">'לקוחות לפי סוכן - מקור'!G427</f>
        <v>8946.8</v>
      </c>
      <c r="F434" s="14" t="str">
        <f aca="false">'לקוחות לפי סוכן - מקור'!D427</f>
        <v>150070</v>
      </c>
      <c r="G434" s="15" t="n">
        <f aca="false">'לקוחות לפי סוכן - מקור'!H427</f>
        <v>166</v>
      </c>
      <c r="H434" s="15" t="n">
        <f aca="false">'לקוחות לפי סוכן - מקור'!I427</f>
        <v>105</v>
      </c>
      <c r="I434" s="14" t="str">
        <f aca="false">'לקוחות לפי סוכן - מקור'!K427</f>
        <v>NetSuite</v>
      </c>
    </row>
    <row r="435" customFormat="false" ht="15" hidden="false" customHeight="true" outlineLevel="1" collapsed="false">
      <c r="A435" s="14" t="str">
        <f aca="false">'לקוחות לפי סוכן - מקור'!A428</f>
        <v>אורלי בלאיש</v>
      </c>
      <c r="B435" s="14" t="str">
        <f aca="false">'לקוחות לפי סוכן - מקור'!C428</f>
        <v>103 - Physiotherapy institutes</v>
      </c>
      <c r="C435" s="47" t="str">
        <f aca="false">'לקוחות לפי סוכן - מקור'!E428</f>
        <v>151039 פיזיו גב</v>
      </c>
      <c r="D435" s="22" t="n">
        <f aca="false">'לקוחות לפי סוכן - מקור'!F428</f>
        <v>5347.74</v>
      </c>
      <c r="E435" s="22" t="n">
        <f aca="false">'לקוחות לפי סוכן - מקור'!G428</f>
        <v>0</v>
      </c>
      <c r="F435" s="14" t="str">
        <f aca="false">'לקוחות לפי סוכן - מקור'!D428</f>
        <v>151039</v>
      </c>
      <c r="G435" s="15" t="n">
        <f aca="false">'לקוחות לפי סוכן - מקור'!H428</f>
        <v>57</v>
      </c>
      <c r="H435" s="15" t="n">
        <f aca="false">'לקוחות לפי סוכן - מקור'!I428</f>
        <v>0</v>
      </c>
      <c r="I435" s="14" t="str">
        <f aca="false">'לקוחות לפי סוכן - מקור'!K428</f>
        <v>NetSuite</v>
      </c>
    </row>
    <row r="436" customFormat="false" ht="15" hidden="false" customHeight="true" outlineLevel="1" collapsed="false">
      <c r="A436" s="14" t="str">
        <f aca="false">'לקוחות לפי סוכן - מקור'!A429</f>
        <v>אורלי בלאיש</v>
      </c>
      <c r="B436" s="14" t="str">
        <f aca="false">'לקוחות לפי סוכן - מקור'!C429</f>
        <v>103 - Physiotherapy institutes</v>
      </c>
      <c r="C436" s="47" t="str">
        <f aca="false">'לקוחות לפי סוכן - מקור'!E429</f>
        <v>151060 מכון מילא לפיזיוטרפיה</v>
      </c>
      <c r="D436" s="22" t="n">
        <f aca="false">'לקוחות לפי סוכן - מקור'!F429</f>
        <v>3987.14</v>
      </c>
      <c r="E436" s="22" t="n">
        <f aca="false">'לקוחות לפי סוכן - מקור'!G429</f>
        <v>3099.08</v>
      </c>
      <c r="F436" s="14" t="str">
        <f aca="false">'לקוחות לפי סוכן - מקור'!D429</f>
        <v>151060</v>
      </c>
      <c r="G436" s="15" t="n">
        <f aca="false">'לקוחות לפי סוכן - מקור'!H429</f>
        <v>91</v>
      </c>
      <c r="H436" s="15" t="n">
        <f aca="false">'לקוחות לפי סוכן - מקור'!I429</f>
        <v>72</v>
      </c>
      <c r="I436" s="14" t="str">
        <f aca="false">'לקוחות לפי סוכן - מקור'!K429</f>
        <v>NetSuite</v>
      </c>
    </row>
    <row r="437" customFormat="false" ht="15" hidden="false" customHeight="true" outlineLevel="1" collapsed="false">
      <c r="A437" s="14" t="str">
        <f aca="false">'לקוחות לפי סוכן - מקור'!A430</f>
        <v>אורלי בלאיש</v>
      </c>
      <c r="B437" s="14" t="str">
        <f aca="false">'לקוחות לפי סוכן - מקור'!C430</f>
        <v>103 - Physiotherapy institutes</v>
      </c>
      <c r="C437" s="47" t="str">
        <f aca="false">'לקוחות לפי סוכן - מקור'!E430</f>
        <v>151088 מכון פיזיוטרפיה פיזיו מנד</v>
      </c>
      <c r="D437" s="22" t="n">
        <f aca="false">'לקוחות לפי סוכן - מקור'!F430</f>
        <v>9021.08</v>
      </c>
      <c r="E437" s="22" t="n">
        <f aca="false">'לקוחות לפי סוכן - מקור'!G430</f>
        <v>4935.55</v>
      </c>
      <c r="F437" s="14" t="str">
        <f aca="false">'לקוחות לפי סוכן - מקור'!D430</f>
        <v>151088</v>
      </c>
      <c r="G437" s="15" t="n">
        <f aca="false">'לקוחות לפי סוכן - מקור'!H430</f>
        <v>81</v>
      </c>
      <c r="H437" s="15" t="n">
        <f aca="false">'לקוחות לפי סוכן - מקור'!I430</f>
        <v>32</v>
      </c>
      <c r="I437" s="14" t="str">
        <f aca="false">'לקוחות לפי סוכן - מקור'!K430</f>
        <v>NetSuite</v>
      </c>
    </row>
    <row r="438" customFormat="false" ht="15" hidden="false" customHeight="true" outlineLevel="1" collapsed="false">
      <c r="A438" s="14" t="str">
        <f aca="false">'לקוחות לפי סוכן - מקור'!A431</f>
        <v>אורלי בלאיש</v>
      </c>
      <c r="B438" s="14" t="str">
        <f aca="false">'לקוחות לפי סוכן - מקור'!C431</f>
        <v>103 - Physiotherapy institutes</v>
      </c>
      <c r="C438" s="47" t="str">
        <f aca="false">'לקוחות לפי סוכן - מקור'!E431</f>
        <v>151100 ס.ח מרכז בריאות</v>
      </c>
      <c r="D438" s="22" t="n">
        <f aca="false">'לקוחות לפי סוכן - מקור'!F431</f>
        <v>1651.96</v>
      </c>
      <c r="E438" s="22" t="n">
        <f aca="false">'לקוחות לפי סוכן - מקור'!G431</f>
        <v>1555.87</v>
      </c>
      <c r="F438" s="14" t="str">
        <f aca="false">'לקוחות לפי סוכן - מקור'!D431</f>
        <v>151100</v>
      </c>
      <c r="G438" s="15" t="n">
        <f aca="false">'לקוחות לפי סוכן - מקור'!H431</f>
        <v>22</v>
      </c>
      <c r="H438" s="15" t="n">
        <f aca="false">'לקוחות לפי סוכן - מקור'!I431</f>
        <v>20</v>
      </c>
      <c r="I438" s="14" t="str">
        <f aca="false">'לקוחות לפי סוכן - מקור'!K431</f>
        <v>NetSuite</v>
      </c>
    </row>
    <row r="439" customFormat="false" ht="15" hidden="false" customHeight="true" outlineLevel="1" collapsed="false">
      <c r="A439" s="14" t="str">
        <f aca="false">'לקוחות לפי סוכן - מקור'!A432</f>
        <v>אורלי בלאיש</v>
      </c>
      <c r="B439" s="14" t="str">
        <f aca="false">'לקוחות לפי סוכן - מקור'!C432</f>
        <v>103 - Physiotherapy institutes</v>
      </c>
      <c r="C439" s="47" t="str">
        <f aca="false">'לקוחות לפי סוכן - מקור'!E432</f>
        <v>151180 פיזיו אורטופדיק</v>
      </c>
      <c r="D439" s="22" t="n">
        <f aca="false">'לקוחות לפי סוכן - מקור'!F432</f>
        <v>3536.7</v>
      </c>
      <c r="E439" s="22" t="n">
        <f aca="false">'לקוחות לפי סוכן - מקור'!G432</f>
        <v>1925.59</v>
      </c>
      <c r="F439" s="14" t="str">
        <f aca="false">'לקוחות לפי סוכן - מקור'!D432</f>
        <v>151180</v>
      </c>
      <c r="G439" s="15" t="n">
        <f aca="false">'לקוחות לפי סוכן - מקור'!H432</f>
        <v>60</v>
      </c>
      <c r="H439" s="15" t="n">
        <f aca="false">'לקוחות לפי סוכן - מקור'!I432</f>
        <v>25</v>
      </c>
      <c r="I439" s="14" t="str">
        <f aca="false">'לקוחות לפי סוכן - מקור'!K432</f>
        <v>NetSuite</v>
      </c>
    </row>
    <row r="440" customFormat="false" ht="15" hidden="false" customHeight="true" outlineLevel="1" collapsed="false">
      <c r="A440" s="14" t="str">
        <f aca="false">'לקוחות לפי סוכן - מקור'!A433</f>
        <v>אורלי בלאיש</v>
      </c>
      <c r="B440" s="14" t="str">
        <f aca="false">'לקוחות לפי סוכן - מקור'!C433</f>
        <v>103 - Physiotherapy institutes</v>
      </c>
      <c r="C440" s="47" t="str">
        <f aca="false">'לקוחות לפי סוכן - מקור'!E433</f>
        <v>153209 מכון פיזיותרפיה בועיינה</v>
      </c>
      <c r="D440" s="22" t="n">
        <f aca="false">'לקוחות לפי סוכן - מקור'!F433</f>
        <v>0</v>
      </c>
      <c r="E440" s="22" t="n">
        <f aca="false">'לקוחות לפי סוכן - מקור'!G433</f>
        <v>700</v>
      </c>
      <c r="F440" s="14" t="str">
        <f aca="false">'לקוחות לפי סוכן - מקור'!D433</f>
        <v>153209</v>
      </c>
      <c r="G440" s="15" t="n">
        <f aca="false">'לקוחות לפי סוכן - מקור'!H433</f>
        <v>0</v>
      </c>
      <c r="H440" s="15" t="n">
        <f aca="false">'לקוחות לפי סוכן - מקור'!I433</f>
        <v>2</v>
      </c>
      <c r="I440" s="14" t="str">
        <f aca="false">'לקוחות לפי סוכן - מקור'!K433</f>
        <v>NetSuite</v>
      </c>
    </row>
    <row r="441" customFormat="false" ht="15" hidden="false" customHeight="true" outlineLevel="1" collapsed="false">
      <c r="A441" s="14" t="str">
        <f aca="false">'לקוחות לפי סוכן - מקור'!A434</f>
        <v>אורלי בלאיש</v>
      </c>
      <c r="B441" s="14" t="str">
        <f aca="false">'לקוחות לפי סוכן - מקור'!C434</f>
        <v>103 - Physiotherapy institutes</v>
      </c>
      <c r="C441" s="47" t="str">
        <f aca="false">'לקוחות לפי סוכן - מקור'!E434</f>
        <v>C02272 איי.אם. ריהאפיליתאשן</v>
      </c>
      <c r="D441" s="22" t="n">
        <f aca="false">'לקוחות לפי סוכן - מקור'!F434</f>
        <v>1651.73</v>
      </c>
      <c r="E441" s="22" t="n">
        <f aca="false">'לקוחות לפי סוכן - מקור'!G434</f>
        <v>0</v>
      </c>
      <c r="F441" s="14" t="str">
        <f aca="false">'לקוחות לפי סוכן - מקור'!D434</f>
        <v>C02272</v>
      </c>
      <c r="G441" s="15" t="n">
        <f aca="false">'לקוחות לפי סוכן - מקור'!H434</f>
        <v>15</v>
      </c>
      <c r="H441" s="15" t="n">
        <f aca="false">'לקוחות לפי סוכן - מקור'!I434</f>
        <v>0</v>
      </c>
      <c r="I441" s="14" t="str">
        <f aca="false">'לקוחות לפי סוכן - מקור'!K434</f>
        <v>NetSuite</v>
      </c>
    </row>
    <row r="442" customFormat="false" ht="15" hidden="false" customHeight="true" outlineLevel="1" collapsed="false">
      <c r="A442" s="14" t="str">
        <f aca="false">'לקוחות לפי סוכן - מקור'!A435</f>
        <v>אורלי בלאיש</v>
      </c>
      <c r="B442" s="14" t="str">
        <f aca="false">'לקוחות לפי סוכן - מקור'!C435</f>
        <v>103 - Physiotherapy institutes</v>
      </c>
      <c r="C442" s="47" t="str">
        <f aca="false">'לקוחות לפי סוכן - מקור'!E435</f>
        <v>C02278 נאסר מוחסן</v>
      </c>
      <c r="D442" s="22" t="n">
        <f aca="false">'לקוחות לפי סוכן - מקור'!F435</f>
        <v>1612.18</v>
      </c>
      <c r="E442" s="22" t="n">
        <f aca="false">'לקוחות לפי סוכן - מקור'!G435</f>
        <v>0</v>
      </c>
      <c r="F442" s="14" t="str">
        <f aca="false">'לקוחות לפי סוכן - מקור'!D435</f>
        <v>C02278</v>
      </c>
      <c r="G442" s="15" t="n">
        <f aca="false">'לקוחות לפי סוכן - מקור'!H435</f>
        <v>15</v>
      </c>
      <c r="H442" s="15" t="n">
        <f aca="false">'לקוחות לפי סוכן - מקור'!I435</f>
        <v>0</v>
      </c>
      <c r="I442" s="14" t="str">
        <f aca="false">'לקוחות לפי סוכן - מקור'!K435</f>
        <v>NetSuite</v>
      </c>
    </row>
    <row r="443" customFormat="false" ht="15" hidden="false" customHeight="true" outlineLevel="1" collapsed="false">
      <c r="A443" s="14" t="str">
        <f aca="false">'לקוחות לפי סוכן - מקור'!A436</f>
        <v>אורלי בלאיש</v>
      </c>
      <c r="B443" s="14" t="str">
        <f aca="false">'לקוחות לפי סוכן - מקור'!C436</f>
        <v>103 - Physiotherapy institutes</v>
      </c>
      <c r="C443" s="47" t="str">
        <f aca="false">'לקוחות לפי סוכן - מקור'!E436</f>
        <v>C02288 פאעור עלי</v>
      </c>
      <c r="D443" s="22" t="n">
        <f aca="false">'לקוחות לפי סוכן - מקור'!F436</f>
        <v>11357.27</v>
      </c>
      <c r="E443" s="22" t="n">
        <f aca="false">'לקוחות לפי סוכן - מקור'!G436</f>
        <v>476.98</v>
      </c>
      <c r="F443" s="14" t="str">
        <f aca="false">'לקוחות לפי סוכן - מקור'!D436</f>
        <v>C02288</v>
      </c>
      <c r="G443" s="15" t="n">
        <f aca="false">'לקוחות לפי סוכן - מקור'!H436</f>
        <v>148</v>
      </c>
      <c r="H443" s="15" t="n">
        <f aca="false">'לקוחות לפי סוכן - מקור'!I436</f>
        <v>5</v>
      </c>
      <c r="I443" s="14" t="str">
        <f aca="false">'לקוחות לפי סוכן - מקור'!K436</f>
        <v>NetSuite</v>
      </c>
    </row>
    <row r="444" customFormat="false" ht="15" hidden="false" customHeight="true" outlineLevel="1" collapsed="false">
      <c r="A444" s="14" t="str">
        <f aca="false">'לקוחות לפי סוכן - מקור'!A437</f>
        <v>אורלי בלאיש</v>
      </c>
      <c r="B444" s="14" t="str">
        <f aca="false">'לקוחות לפי סוכן - מקור'!C437</f>
        <v>103 - Physiotherapy institutes</v>
      </c>
      <c r="C444" s="47" t="str">
        <f aca="false">'לקוחות לפי סוכן - מקור'!E437</f>
        <v>C02292 כיאל ויסאם</v>
      </c>
      <c r="D444" s="22" t="n">
        <f aca="false">'לקוחות לפי סוכן - מקור'!F437</f>
        <v>5135.4</v>
      </c>
      <c r="E444" s="22" t="n">
        <f aca="false">'לקוחות לפי סוכן - מקור'!G437</f>
        <v>4003.91</v>
      </c>
      <c r="F444" s="14" t="str">
        <f aca="false">'לקוחות לפי סוכן - מקור'!D437</f>
        <v>C02292</v>
      </c>
      <c r="G444" s="15" t="n">
        <f aca="false">'לקוחות לפי סוכן - מקור'!H437</f>
        <v>113</v>
      </c>
      <c r="H444" s="15" t="n">
        <f aca="false">'לקוחות לפי סוכן - מקור'!I437</f>
        <v>59</v>
      </c>
      <c r="I444" s="14" t="str">
        <f aca="false">'לקוחות לפי סוכן - מקור'!K437</f>
        <v>NetSuite</v>
      </c>
    </row>
    <row r="445" customFormat="false" ht="15" hidden="false" customHeight="true" outlineLevel="1" collapsed="false">
      <c r="A445" s="14" t="str">
        <f aca="false">'לקוחות לפי סוכן - מקור'!A438</f>
        <v>אורלי בלאיש</v>
      </c>
      <c r="B445" s="14" t="str">
        <f aca="false">'לקוחות לפי סוכן - מקור'!C438</f>
        <v>104 - Sports Shop</v>
      </c>
      <c r="C445" s="47" t="str">
        <f aca="false">'לקוחות לפי סוכן - מקור'!E438</f>
        <v>150064 מיקס שופ</v>
      </c>
      <c r="D445" s="22" t="n">
        <f aca="false">'לקוחות לפי סוכן - מקור'!F438</f>
        <v>514.2</v>
      </c>
      <c r="E445" s="22" t="n">
        <f aca="false">'לקוחות לפי סוכן - מקור'!G438</f>
        <v>0</v>
      </c>
      <c r="F445" s="14" t="str">
        <f aca="false">'לקוחות לפי סוכן - מקור'!D438</f>
        <v>150064</v>
      </c>
      <c r="G445" s="15" t="n">
        <f aca="false">'לקוחות לפי סוכן - מקור'!H438</f>
        <v>16</v>
      </c>
      <c r="H445" s="15" t="n">
        <f aca="false">'לקוחות לפי סוכן - מקור'!I438</f>
        <v>0</v>
      </c>
      <c r="I445" s="14" t="str">
        <f aca="false">'לקוחות לפי סוכן - מקור'!K438</f>
        <v>NetSuite</v>
      </c>
    </row>
    <row r="446" customFormat="false" ht="15" hidden="false" customHeight="true" outlineLevel="1" collapsed="false">
      <c r="A446" s="14" t="str">
        <f aca="false">'לקוחות לפי סוכן - מקור'!A439</f>
        <v>אורלי בלאיש</v>
      </c>
      <c r="B446" s="14" t="str">
        <f aca="false">'לקוחות לפי סוכן - מקור'!C439</f>
        <v>105 - Pedicure Salons</v>
      </c>
      <c r="C446" s="47" t="str">
        <f aca="false">'לקוחות לפי סוכן - מקור'!E439</f>
        <v>151082 טובול מיכל</v>
      </c>
      <c r="D446" s="22" t="n">
        <f aca="false">'לקוחות לפי סוכן - מקור'!F439</f>
        <v>498.8</v>
      </c>
      <c r="E446" s="22" t="n">
        <f aca="false">'לקוחות לפי סוכן - מקור'!G439</f>
        <v>0</v>
      </c>
      <c r="F446" s="14" t="str">
        <f aca="false">'לקוחות לפי סוכן - מקור'!D439</f>
        <v>151082</v>
      </c>
      <c r="G446" s="15" t="n">
        <f aca="false">'לקוחות לפי סוכן - מקור'!H439</f>
        <v>20</v>
      </c>
      <c r="H446" s="15" t="n">
        <f aca="false">'לקוחות לפי סוכן - מקור'!I439</f>
        <v>0</v>
      </c>
      <c r="I446" s="14" t="str">
        <f aca="false">'לקוחות לפי סוכן - מקור'!K439</f>
        <v>NetSuite</v>
      </c>
    </row>
    <row r="447" customFormat="false" ht="15" hidden="false" customHeight="true" outlineLevel="1" collapsed="false">
      <c r="A447" s="14" t="str">
        <f aca="false">'לקוחות לפי סוכן - מקור'!A440</f>
        <v>אורלי בלאיש</v>
      </c>
      <c r="B447" s="14" t="str">
        <f aca="false">'לקוחות לפי סוכן - מקור'!C440</f>
        <v>107 - Pharmacies</v>
      </c>
      <c r="C447" s="47" t="str">
        <f aca="false">'לקוחות לפי סוכן - מקור'!E440</f>
        <v>151178 ב.מ טוטאל פארם להבות חביב</v>
      </c>
      <c r="D447" s="22" t="n">
        <f aca="false">'לקוחות לפי סוכן - מקור'!F440</f>
        <v>16058.16</v>
      </c>
      <c r="E447" s="22" t="n">
        <f aca="false">'לקוחות לפי סוכן - מקור'!G440</f>
        <v>15758.62</v>
      </c>
      <c r="F447" s="14" t="str">
        <f aca="false">'לקוחות לפי סוכן - מקור'!D440</f>
        <v>151178</v>
      </c>
      <c r="G447" s="15" t="n">
        <f aca="false">'לקוחות לפי סוכן - מקור'!H440</f>
        <v>471</v>
      </c>
      <c r="H447" s="15" t="n">
        <f aca="false">'לקוחות לפי סוכן - מקור'!I440</f>
        <v>319</v>
      </c>
      <c r="I447" s="14" t="str">
        <f aca="false">'לקוחות לפי סוכן - מקור'!K440</f>
        <v>NetSuite</v>
      </c>
    </row>
    <row r="448" customFormat="false" ht="15" hidden="false" customHeight="true" outlineLevel="1" collapsed="false">
      <c r="A448" s="14" t="str">
        <f aca="false">'לקוחות לפי סוכן - מקור'!A441</f>
        <v>אורלי בלאיש</v>
      </c>
      <c r="B448" s="14" t="str">
        <f aca="false">'לקוחות לפי סוכן - מקור'!C441</f>
        <v>107 - Pharmacies</v>
      </c>
      <c r="C448" s="47" t="str">
        <f aca="false">'לקוחות לפי סוכן - מקור'!E441</f>
        <v>156511 בית מרקחת הקריות בע"מ</v>
      </c>
      <c r="D448" s="22" t="n">
        <f aca="false">'לקוחות לפי סוכן - מקור'!F441</f>
        <v>6333.4</v>
      </c>
      <c r="E448" s="22" t="n">
        <f aca="false">'לקוחות לפי סוכן - מקור'!G441</f>
        <v>1213.05</v>
      </c>
      <c r="F448" s="14" t="str">
        <f aca="false">'לקוחות לפי סוכן - מקור'!D441</f>
        <v>156511</v>
      </c>
      <c r="G448" s="15" t="n">
        <f aca="false">'לקוחות לפי סוכן - מקור'!H441</f>
        <v>60</v>
      </c>
      <c r="H448" s="15" t="n">
        <f aca="false">'לקוחות לפי סוכן - מקור'!I441</f>
        <v>21</v>
      </c>
      <c r="I448" s="14" t="str">
        <f aca="false">'לקוחות לפי סוכן - מקור'!K441</f>
        <v>NetSuite</v>
      </c>
    </row>
    <row r="449" customFormat="false" ht="15" hidden="false" customHeight="true" outlineLevel="1" collapsed="false">
      <c r="A449" s="14" t="str">
        <f aca="false">'לקוחות לפי סוכן - מקור'!A442</f>
        <v>אורלי בלאיש</v>
      </c>
      <c r="B449" s="14" t="str">
        <f aca="false">'לקוחות לפי סוכן - מקור'!C442</f>
        <v>107 - Pharmacies</v>
      </c>
      <c r="C449" s="47" t="str">
        <f aca="false">'לקוחות לפי סוכן - מקור'!E442</f>
        <v>156909 בית מרקחת עלאדין</v>
      </c>
      <c r="D449" s="22" t="n">
        <f aca="false">'לקוחות לפי סוכן - מקור'!F442</f>
        <v>480</v>
      </c>
      <c r="E449" s="22" t="n">
        <f aca="false">'לקוחות לפי סוכן - מקור'!G442</f>
        <v>0</v>
      </c>
      <c r="F449" s="14" t="str">
        <f aca="false">'לקוחות לפי סוכן - מקור'!D442</f>
        <v>156909</v>
      </c>
      <c r="G449" s="15" t="n">
        <f aca="false">'לקוחות לפי סוכן - מקור'!H442</f>
        <v>4</v>
      </c>
      <c r="H449" s="15" t="n">
        <f aca="false">'לקוחות לפי סוכן - מקור'!I442</f>
        <v>0</v>
      </c>
      <c r="I449" s="14" t="str">
        <f aca="false">'לקוחות לפי סוכן - מקור'!K442</f>
        <v>NetSuite</v>
      </c>
    </row>
    <row r="450" customFormat="false" ht="15" hidden="false" customHeight="true" outlineLevel="1" collapsed="false">
      <c r="A450" s="14" t="str">
        <f aca="false">'לקוחות לפי סוכן - מקור'!A443</f>
        <v>אורלי בלאיש</v>
      </c>
      <c r="B450" s="14" t="str">
        <f aca="false">'לקוחות לפי סוכן - מקור'!C443</f>
        <v>107 - Pharmacies</v>
      </c>
      <c r="C450" s="47" t="str">
        <f aca="false">'לקוחות לפי סוכן - מקור'!E443</f>
        <v>157412 סופר מדיקה ב.מ.</v>
      </c>
      <c r="D450" s="22" t="n">
        <f aca="false">'לקוחות לפי סוכן - מקור'!F443</f>
        <v>3607.47</v>
      </c>
      <c r="E450" s="22" t="n">
        <f aca="false">'לקוחות לפי סוכן - מקור'!G443</f>
        <v>960.19</v>
      </c>
      <c r="F450" s="14" t="str">
        <f aca="false">'לקוחות לפי סוכן - מקור'!D443</f>
        <v>157412</v>
      </c>
      <c r="G450" s="15" t="n">
        <f aca="false">'לקוחות לפי סוכן - מקור'!H443</f>
        <v>76</v>
      </c>
      <c r="H450" s="15" t="n">
        <f aca="false">'לקוחות לפי סוכן - מקור'!I443</f>
        <v>6</v>
      </c>
      <c r="I450" s="14" t="str">
        <f aca="false">'לקוחות לפי סוכן - מקור'!K443</f>
        <v>NetSuite</v>
      </c>
    </row>
    <row r="451" customFormat="false" ht="15" hidden="false" customHeight="true" outlineLevel="1" collapsed="false">
      <c r="A451" s="14" t="str">
        <f aca="false">'לקוחות לפי סוכן - מקור'!A444</f>
        <v>אורלי בלאיש</v>
      </c>
      <c r="B451" s="14" t="str">
        <f aca="false">'לקוחות לפי סוכן - מקור'!C444</f>
        <v>107 - Pharmacies</v>
      </c>
      <c r="C451" s="47" t="str">
        <f aca="false">'לקוחות לפי סוכן - מקור'!E444</f>
        <v>C02232 בית מרקחת מוקייבלה</v>
      </c>
      <c r="D451" s="22" t="n">
        <f aca="false">'לקוחות לפי סוכן - מקור'!F444</f>
        <v>2530.21</v>
      </c>
      <c r="E451" s="22" t="n">
        <f aca="false">'לקוחות לפי סוכן - מקור'!G444</f>
        <v>0</v>
      </c>
      <c r="F451" s="14" t="str">
        <f aca="false">'לקוחות לפי סוכן - מקור'!D444</f>
        <v>C02232</v>
      </c>
      <c r="G451" s="15" t="n">
        <f aca="false">'לקוחות לפי סוכן - מקור'!H444</f>
        <v>58</v>
      </c>
      <c r="H451" s="15" t="n">
        <f aca="false">'לקוחות לפי סוכן - מקור'!I444</f>
        <v>0</v>
      </c>
      <c r="I451" s="14" t="str">
        <f aca="false">'לקוחות לפי סוכן - מקור'!K444</f>
        <v>NetSuite</v>
      </c>
    </row>
    <row r="452" customFormat="false" ht="15" hidden="false" customHeight="true" outlineLevel="1" collapsed="false">
      <c r="A452" s="14" t="str">
        <f aca="false">'לקוחות לפי סוכן - מקור'!A445</f>
        <v>אורלי בלאיש</v>
      </c>
      <c r="B452" s="14" t="str">
        <f aca="false">'לקוחות לפי סוכן - מקור'!C445</f>
        <v>109 - Private Shops</v>
      </c>
      <c r="C452" s="47" t="str">
        <f aca="false">'לקוחות לפי סוכן - מקור'!E445</f>
        <v>151045 סנדלריית רוממה</v>
      </c>
      <c r="D452" s="22" t="n">
        <f aca="false">'לקוחות לפי סוכן - מקור'!F445</f>
        <v>465.91</v>
      </c>
      <c r="E452" s="22" t="n">
        <f aca="false">'לקוחות לפי סוכן - מקור'!G445</f>
        <v>476.77</v>
      </c>
      <c r="F452" s="14" t="str">
        <f aca="false">'לקוחות לפי סוכן - מקור'!D445</f>
        <v>151045</v>
      </c>
      <c r="G452" s="15" t="n">
        <f aca="false">'לקוחות לפי סוכן - מקור'!H445</f>
        <v>22</v>
      </c>
      <c r="H452" s="15" t="n">
        <f aca="false">'לקוחות לפי סוכן - מקור'!I445</f>
        <v>10</v>
      </c>
      <c r="I452" s="14" t="str">
        <f aca="false">'לקוחות לפי סוכן - מקור'!K445</f>
        <v>NetSuite</v>
      </c>
    </row>
    <row r="453" customFormat="false" ht="15" hidden="false" customHeight="true" outlineLevel="1" collapsed="false">
      <c r="A453" s="14" t="str">
        <f aca="false">'לקוחות לפי סוכן - מקור'!A446</f>
        <v>אורלי בלאיש</v>
      </c>
      <c r="B453" s="14" t="str">
        <f aca="false">'לקוחות לפי סוכן - מקור'!C446</f>
        <v>109 - Private Shops</v>
      </c>
      <c r="C453" s="47" t="str">
        <f aca="false">'לקוחות לפי סוכן - מקור'!E446</f>
        <v>151138 בורג המפרץ בע"מ</v>
      </c>
      <c r="D453" s="22" t="n">
        <f aca="false">'לקוחות לפי סוכן - מקור'!F446</f>
        <v>2036.36</v>
      </c>
      <c r="E453" s="22" t="n">
        <f aca="false">'לקוחות לפי סוכן - מקור'!G446</f>
        <v>8933.35</v>
      </c>
      <c r="F453" s="14" t="str">
        <f aca="false">'לקוחות לפי סוכן - מקור'!D446</f>
        <v>151138</v>
      </c>
      <c r="G453" s="15" t="n">
        <f aca="false">'לקוחות לפי סוכן - מקור'!H446</f>
        <v>55</v>
      </c>
      <c r="H453" s="15" t="n">
        <f aca="false">'לקוחות לפי סוכן - מקור'!I446</f>
        <v>172</v>
      </c>
      <c r="I453" s="14" t="str">
        <f aca="false">'לקוחות לפי סוכן - מקור'!K446</f>
        <v>NetSuite</v>
      </c>
    </row>
    <row r="454" customFormat="false" ht="15" hidden="false" customHeight="true" outlineLevel="1" collapsed="false">
      <c r="A454" s="14" t="str">
        <f aca="false">'לקוחות לפי סוכן - מקור'!A447</f>
        <v>אורלי בלאיש</v>
      </c>
      <c r="B454" s="14" t="str">
        <f aca="false">'לקוחות לפי סוכן - מקור'!C447</f>
        <v>109 - Private Shops</v>
      </c>
      <c r="C454" s="47" t="str">
        <f aca="false">'לקוחות לפי סוכן - מקור'!E447</f>
        <v>151163 חידוש נעל</v>
      </c>
      <c r="D454" s="22" t="n">
        <f aca="false">'לקוחות לפי סוכן - מקור'!F447</f>
        <v>2146.75</v>
      </c>
      <c r="E454" s="22" t="n">
        <f aca="false">'לקוחות לפי סוכן - מקור'!G447</f>
        <v>1621.34</v>
      </c>
      <c r="F454" s="14" t="str">
        <f aca="false">'לקוחות לפי סוכן - מקור'!D447</f>
        <v>151163</v>
      </c>
      <c r="G454" s="15" t="n">
        <f aca="false">'לקוחות לפי סוכן - מקור'!H447</f>
        <v>34</v>
      </c>
      <c r="H454" s="15" t="n">
        <f aca="false">'לקוחות לפי סוכן - מקור'!I447</f>
        <v>39</v>
      </c>
      <c r="I454" s="14" t="str">
        <f aca="false">'לקוחות לפי סוכן - מקור'!K447</f>
        <v>NetSuite</v>
      </c>
    </row>
    <row r="455" customFormat="false" ht="15" hidden="false" customHeight="true" outlineLevel="1" collapsed="false">
      <c r="A455" s="14" t="str">
        <f aca="false">'לקוחות לפי סוכן - מקור'!A448</f>
        <v>אורלי בלאיש</v>
      </c>
      <c r="B455" s="14" t="str">
        <f aca="false">'לקוחות לפי סוכן - מקור'!C448</f>
        <v>109 - Private Shops</v>
      </c>
      <c r="C455" s="47" t="str">
        <f aca="false">'לקוחות לפי סוכן - מקור'!E448</f>
        <v>155012 אמי בע"מ-ביגוד מגן</v>
      </c>
      <c r="D455" s="22" t="n">
        <f aca="false">'לקוחות לפי סוכן - מקור'!F448</f>
        <v>922.35</v>
      </c>
      <c r="E455" s="22" t="n">
        <f aca="false">'לקוחות לפי סוכן - מקור'!G448</f>
        <v>0</v>
      </c>
      <c r="F455" s="14" t="str">
        <f aca="false">'לקוחות לפי סוכן - מקור'!D448</f>
        <v>155012</v>
      </c>
      <c r="G455" s="15" t="n">
        <f aca="false">'לקוחות לפי סוכן - מקור'!H448</f>
        <v>22</v>
      </c>
      <c r="H455" s="15" t="n">
        <f aca="false">'לקוחות לפי סוכן - מקור'!I448</f>
        <v>0</v>
      </c>
      <c r="I455" s="14" t="str">
        <f aca="false">'לקוחות לפי סוכן - מקור'!K448</f>
        <v>NetSuite</v>
      </c>
    </row>
    <row r="456" customFormat="false" ht="15" hidden="false" customHeight="true" outlineLevel="1" collapsed="false">
      <c r="A456" s="14" t="str">
        <f aca="false">'לקוחות לפי סוכן - מקור'!A449</f>
        <v>אורלי בלאיש</v>
      </c>
      <c r="B456" s="14" t="str">
        <f aca="false">'לקוחות לפי סוכן - מקור'!C449</f>
        <v>109 - Private Shops</v>
      </c>
      <c r="C456" s="47" t="str">
        <f aca="false">'לקוחות לפי סוכן - מקור'!E449</f>
        <v>155504 בית טבע פנצאיה</v>
      </c>
      <c r="D456" s="22" t="n">
        <f aca="false">'לקוחות לפי סוכן - מקור'!F449</f>
        <v>4635.08</v>
      </c>
      <c r="E456" s="22" t="n">
        <f aca="false">'לקוחות לפי סוכן - מקור'!G449</f>
        <v>571.68</v>
      </c>
      <c r="F456" s="14" t="str">
        <f aca="false">'לקוחות לפי סוכן - מקור'!D449</f>
        <v>155504</v>
      </c>
      <c r="G456" s="15" t="n">
        <f aca="false">'לקוחות לפי סוכן - מקור'!H449</f>
        <v>106</v>
      </c>
      <c r="H456" s="15" t="n">
        <f aca="false">'לקוחות לפי סוכן - מקור'!I449</f>
        <v>4</v>
      </c>
      <c r="I456" s="14" t="str">
        <f aca="false">'לקוחות לפי סוכן - מקור'!K449</f>
        <v>NetSuite</v>
      </c>
    </row>
    <row r="457" customFormat="false" ht="15" hidden="false" customHeight="true" outlineLevel="1" collapsed="false">
      <c r="A457" s="14" t="str">
        <f aca="false">'לקוחות לפי סוכן - מקור'!A450</f>
        <v>אורלי בלאיש</v>
      </c>
      <c r="B457" s="14" t="str">
        <f aca="false">'לקוחות לפי סוכן - מקור'!C450</f>
        <v>109 - Private Shops</v>
      </c>
      <c r="C457" s="47" t="str">
        <f aca="false">'לקוחות לפי סוכן - מקור'!E450</f>
        <v>C02231 ש.ל.י. סיירת ציוד בעמ : C02231SC1 ש.ל.י סיירת ציוד חיפה</v>
      </c>
      <c r="D457" s="22" t="n">
        <f aca="false">'לקוחות לפי סוכן - מקור'!F450</f>
        <v>1710.83</v>
      </c>
      <c r="E457" s="22" t="n">
        <f aca="false">'לקוחות לפי סוכן - מקור'!G450</f>
        <v>0</v>
      </c>
      <c r="F457" s="14" t="str">
        <f aca="false">'לקוחות לפי סוכן - מקור'!D450</f>
        <v>C02231SC1</v>
      </c>
      <c r="G457" s="15" t="n">
        <f aca="false">'לקוחות לפי סוכן - מקור'!H450</f>
        <v>44</v>
      </c>
      <c r="H457" s="15" t="n">
        <f aca="false">'לקוחות לפי סוכן - מקור'!I450</f>
        <v>0</v>
      </c>
      <c r="I457" s="14" t="str">
        <f aca="false">'לקוחות לפי סוכן - מקור'!K450</f>
        <v>NetSuite</v>
      </c>
    </row>
    <row r="458" customFormat="false" ht="15" hidden="false" customHeight="true" outlineLevel="1" collapsed="false">
      <c r="A458" s="14" t="str">
        <f aca="false">'לקוחות לפי סוכן - מקור'!A451</f>
        <v>אורלי בלאיש</v>
      </c>
      <c r="B458" s="14" t="str">
        <f aca="false">'לקוחות לפי סוכן - מקור'!C451</f>
        <v>109 - Private Shops</v>
      </c>
      <c r="C458" s="47" t="str">
        <f aca="false">'לקוחות לפי סוכן - מקור'!E451</f>
        <v>C02268 ר.ת מדיקל גרופ</v>
      </c>
      <c r="D458" s="22" t="n">
        <f aca="false">'לקוחות לפי סוכן - מקור'!F451</f>
        <v>0</v>
      </c>
      <c r="E458" s="22" t="n">
        <f aca="false">'לקוחות לפי סוכן - מקור'!G451</f>
        <v>931.4</v>
      </c>
      <c r="F458" s="14" t="str">
        <f aca="false">'לקוחות לפי סוכן - מקור'!D451</f>
        <v>C02268</v>
      </c>
      <c r="G458" s="15" t="n">
        <f aca="false">'לקוחות לפי סוכן - מקור'!H451</f>
        <v>0</v>
      </c>
      <c r="H458" s="15" t="n">
        <f aca="false">'לקוחות לפי סוכן - מקור'!I451</f>
        <v>5</v>
      </c>
      <c r="I458" s="14" t="str">
        <f aca="false">'לקוחות לפי סוכן - מקור'!K451</f>
        <v>NetSuite</v>
      </c>
    </row>
    <row r="459" customFormat="false" ht="15" hidden="false" customHeight="true" outlineLevel="1" collapsed="false">
      <c r="A459" s="14" t="str">
        <f aca="false">'לקוחות לפי סוכן - מקור'!A452</f>
        <v>אורלי בלאיש</v>
      </c>
      <c r="B459" s="14" t="str">
        <f aca="false">'לקוחות לפי סוכן - מקור'!C452</f>
        <v>109 - Private Shops</v>
      </c>
      <c r="C459" s="47" t="str">
        <f aca="false">'לקוחות לפי סוכן - מקור'!E452</f>
        <v>C02276 ריאן עלא סלימאן</v>
      </c>
      <c r="D459" s="22" t="n">
        <f aca="false">'לקוחות לפי סוכן - מקור'!F452</f>
        <v>427.41</v>
      </c>
      <c r="E459" s="22" t="n">
        <f aca="false">'לקוחות לפי סוכן - מקור'!G452</f>
        <v>0</v>
      </c>
      <c r="F459" s="14" t="str">
        <f aca="false">'לקוחות לפי סוכן - מקור'!D452</f>
        <v>C02276</v>
      </c>
      <c r="G459" s="15" t="n">
        <f aca="false">'לקוחות לפי סוכן - מקור'!H452</f>
        <v>18</v>
      </c>
      <c r="H459" s="15" t="n">
        <f aca="false">'לקוחות לפי סוכן - מקור'!I452</f>
        <v>0</v>
      </c>
      <c r="I459" s="14" t="str">
        <f aca="false">'לקוחות לפי סוכן - מקור'!K452</f>
        <v>NetSuite</v>
      </c>
    </row>
    <row r="460" customFormat="false" ht="15" hidden="false" customHeight="true" outlineLevel="0" collapsed="false"/>
    <row r="461" customFormat="false" ht="15" hidden="false" customHeight="true" outlineLevel="0" collapsed="false">
      <c r="A461" s="16" t="s">
        <v>3457</v>
      </c>
      <c r="B461" s="16"/>
      <c r="C461" s="45" t="s">
        <v>3795</v>
      </c>
      <c r="D461" s="46" t="n">
        <f aca="false">SUMIF('לקוחות לפי סוכן - מקור'!$A$2:$A$867,$A461,'לקוחות לפי סוכן - מקור'!$F$2:$F$867)</f>
        <v>181437.76</v>
      </c>
      <c r="E461" s="46" t="n">
        <f aca="false">SUMIF('לקוחות לפי סוכן - מקור'!$A$2:$A$867,$A461,'לקוחות לפי סוכן - מקור'!$G$2:$G$867)</f>
        <v>1770470.43</v>
      </c>
      <c r="F461" s="16"/>
      <c r="G461" s="17" t="n">
        <f aca="false">SUMIF('לקוחות לפי סוכן - מקור'!$A$2:$A$867,$A461,'לקוחות לפי סוכן - מקור'!$H$2:$H$867)</f>
        <v>2795</v>
      </c>
      <c r="H461" s="17" t="n">
        <f aca="false">SUMIF('לקוחות לפי סוכן - מקור'!$A$2:$A$867,$A461,'לקוחות לפי סוכן - מקור'!$I$2:$I$867)</f>
        <v>2182</v>
      </c>
      <c r="I461" s="16" t="s">
        <v>3796</v>
      </c>
    </row>
    <row r="462" customFormat="false" ht="15" hidden="false" customHeight="true" outlineLevel="1" collapsed="false">
      <c r="A462" s="14" t="str">
        <f aca="false">'לקוחות לפי סוכן - מקור'!A453</f>
        <v>חיים ויצמן</v>
      </c>
      <c r="B462" s="14" t="str">
        <f aca="false">'לקוחות לפי סוכן - מקור'!C453</f>
        <v>102 - Orthopedic institutes</v>
      </c>
      <c r="C462" s="47" t="str">
        <f aca="false">'לקוחות לפי סוכן - מקור'!E453</f>
        <v>150007 אבידן אורטופדיה שיקומית ב</v>
      </c>
      <c r="D462" s="22" t="n">
        <f aca="false">'לקוחות לפי סוכן - מקור'!F453</f>
        <v>360</v>
      </c>
      <c r="E462" s="22" t="n">
        <f aca="false">'לקוחות לפי סוכן - מקור'!G453</f>
        <v>3412.07</v>
      </c>
      <c r="F462" s="14" t="str">
        <f aca="false">'לקוחות לפי סוכן - מקור'!D453</f>
        <v>150007</v>
      </c>
      <c r="G462" s="15" t="n">
        <f aca="false">'לקוחות לפי סוכן - מקור'!H453</f>
        <v>3</v>
      </c>
      <c r="H462" s="15" t="n">
        <f aca="false">'לקוחות לפי סוכן - מקור'!I453</f>
        <v>41</v>
      </c>
      <c r="I462" s="14" t="str">
        <f aca="false">'לקוחות לפי סוכן - מקור'!K453</f>
        <v>NetSuite</v>
      </c>
    </row>
    <row r="463" customFormat="false" ht="15" hidden="false" customHeight="true" outlineLevel="1" collapsed="false">
      <c r="A463" s="14" t="str">
        <f aca="false">'לקוחות לפי סוכן - מקור'!A454</f>
        <v>חיים ויצמן</v>
      </c>
      <c r="B463" s="14" t="str">
        <f aca="false">'לקוחות לפי סוכן - מקור'!C454</f>
        <v>102 - Orthopedic institutes</v>
      </c>
      <c r="C463" s="47" t="str">
        <f aca="false">'לקוחות לפי סוכן - מקור'!E454</f>
        <v>150055 סניוס מדיק בע"מ</v>
      </c>
      <c r="D463" s="22" t="n">
        <f aca="false">'לקוחות לפי סוכן - מקור'!F454</f>
        <v>12357.83</v>
      </c>
      <c r="E463" s="22" t="n">
        <f aca="false">'לקוחות לפי סוכן - מקור'!G454</f>
        <v>14282.47</v>
      </c>
      <c r="F463" s="14" t="str">
        <f aca="false">'לקוחות לפי סוכן - מקור'!D454</f>
        <v>150055</v>
      </c>
      <c r="G463" s="15" t="n">
        <f aca="false">'לקוחות לפי סוכן - מקור'!H454</f>
        <v>239</v>
      </c>
      <c r="H463" s="15" t="n">
        <f aca="false">'לקוחות לפי סוכן - מקור'!I454</f>
        <v>208</v>
      </c>
      <c r="I463" s="14" t="str">
        <f aca="false">'לקוחות לפי סוכן - מקור'!K454</f>
        <v>NetSuite</v>
      </c>
    </row>
    <row r="464" customFormat="false" ht="15" hidden="false" customHeight="true" outlineLevel="1" collapsed="false">
      <c r="A464" s="14" t="str">
        <f aca="false">'לקוחות לפי סוכן - מקור'!A455</f>
        <v>חיים ויצמן</v>
      </c>
      <c r="B464" s="14" t="str">
        <f aca="false">'לקוחות לפי סוכן - מקור'!C455</f>
        <v>102 - Orthopedic institutes</v>
      </c>
      <c r="C464" s="47" t="str">
        <f aca="false">'לקוחות לפי סוכן - מקור'!E455</f>
        <v>150125 מ.ח. כף רגל וקרסול מ.אורט</v>
      </c>
      <c r="D464" s="22" t="n">
        <f aca="false">'לקוחות לפי סוכן - מקור'!F455</f>
        <v>2743.01</v>
      </c>
      <c r="E464" s="22" t="n">
        <f aca="false">'לקוחות לפי סוכן - מקור'!G455</f>
        <v>2140.03</v>
      </c>
      <c r="F464" s="14" t="str">
        <f aca="false">'לקוחות לפי סוכן - מקור'!D455</f>
        <v>150125</v>
      </c>
      <c r="G464" s="15" t="n">
        <f aca="false">'לקוחות לפי סוכן - מקור'!H455</f>
        <v>19</v>
      </c>
      <c r="H464" s="15" t="n">
        <f aca="false">'לקוחות לפי סוכן - מקור'!I455</f>
        <v>11</v>
      </c>
      <c r="I464" s="14" t="str">
        <f aca="false">'לקוחות לפי סוכן - מקור'!K455</f>
        <v>NetSuite</v>
      </c>
    </row>
    <row r="465" customFormat="false" ht="15" hidden="false" customHeight="true" outlineLevel="1" collapsed="false">
      <c r="A465" s="14" t="str">
        <f aca="false">'לקוחות לפי סוכן - מקור'!A456</f>
        <v>חיים ויצמן</v>
      </c>
      <c r="B465" s="14" t="str">
        <f aca="false">'לקוחות לפי סוכן - מקור'!C456</f>
        <v>102 - Orthopedic institutes</v>
      </c>
      <c r="C465" s="47" t="str">
        <f aca="false">'לקוחות לפי סוכן - מקור'!E456</f>
        <v>150138 מדיק סנטר ר.א בע"מ</v>
      </c>
      <c r="D465" s="22" t="n">
        <f aca="false">'לקוחות לפי סוכן - מקור'!F456</f>
        <v>39708.63</v>
      </c>
      <c r="E465" s="22" t="n">
        <f aca="false">'לקוחות לפי סוכן - מקור'!G456</f>
        <v>31927.9</v>
      </c>
      <c r="F465" s="14" t="str">
        <f aca="false">'לקוחות לפי סוכן - מקור'!D456</f>
        <v>150138</v>
      </c>
      <c r="G465" s="15" t="n">
        <f aca="false">'לקוחות לפי סוכן - מקור'!H456</f>
        <v>606</v>
      </c>
      <c r="H465" s="15" t="n">
        <f aca="false">'לקוחות לפי סוכן - מקור'!I456</f>
        <v>457</v>
      </c>
      <c r="I465" s="14" t="str">
        <f aca="false">'לקוחות לפי סוכן - מקור'!K456</f>
        <v>NetSuite</v>
      </c>
    </row>
    <row r="466" customFormat="false" ht="15" hidden="false" customHeight="true" outlineLevel="1" collapsed="false">
      <c r="A466" s="14" t="str">
        <f aca="false">'לקוחות לפי סוכן - מקור'!A457</f>
        <v>חיים ויצמן</v>
      </c>
      <c r="B466" s="14" t="str">
        <f aca="false">'לקוחות לפי סוכן - מקור'!C457</f>
        <v>102 - Orthopedic institutes</v>
      </c>
      <c r="C466" s="47" t="str">
        <f aca="false">'לקוחות לפי סוכן - מקור'!E457</f>
        <v>150160 המ.הבריאותי לרגל בע"מ</v>
      </c>
      <c r="D466" s="22" t="n">
        <f aca="false">'לקוחות לפי סוכן - מקור'!F457</f>
        <v>425.32</v>
      </c>
      <c r="E466" s="22" t="n">
        <f aca="false">'לקוחות לפי סוכן - מקור'!G457</f>
        <v>876.14</v>
      </c>
      <c r="F466" s="14" t="str">
        <f aca="false">'לקוחות לפי סוכן - מקור'!D457</f>
        <v>150160</v>
      </c>
      <c r="G466" s="15" t="n">
        <f aca="false">'לקוחות לפי סוכן - מקור'!H457</f>
        <v>4</v>
      </c>
      <c r="H466" s="15" t="n">
        <f aca="false">'לקוחות לפי סוכן - מקור'!I457</f>
        <v>10</v>
      </c>
      <c r="I466" s="14" t="str">
        <f aca="false">'לקוחות לפי סוכן - מקור'!K457</f>
        <v>NetSuite</v>
      </c>
    </row>
    <row r="467" customFormat="false" ht="15" hidden="false" customHeight="true" outlineLevel="1" collapsed="false">
      <c r="A467" s="14" t="str">
        <f aca="false">'לקוחות לפי סוכן - מקור'!A458</f>
        <v>חיים ויצמן</v>
      </c>
      <c r="B467" s="14" t="str">
        <f aca="false">'לקוחות לפי סוכן - מקור'!C458</f>
        <v>102 - Orthopedic institutes</v>
      </c>
      <c r="C467" s="47" t="str">
        <f aca="false">'לקוחות לפי סוכן - מקור'!E458</f>
        <v>150182 עטרת מדיפוט נתניה</v>
      </c>
      <c r="D467" s="22" t="n">
        <f aca="false">'לקוחות לפי סוכן - מקור'!F458</f>
        <v>11441.84</v>
      </c>
      <c r="E467" s="22" t="n">
        <f aca="false">'לקוחות לפי סוכן - מקור'!G458</f>
        <v>6334.67</v>
      </c>
      <c r="F467" s="14" t="str">
        <f aca="false">'לקוחות לפי סוכן - מקור'!D458</f>
        <v>150182</v>
      </c>
      <c r="G467" s="15" t="n">
        <f aca="false">'לקוחות לפי סוכן - מקור'!H458</f>
        <v>161</v>
      </c>
      <c r="H467" s="15" t="n">
        <f aca="false">'לקוחות לפי סוכן - מקור'!I458</f>
        <v>156</v>
      </c>
      <c r="I467" s="14" t="str">
        <f aca="false">'לקוחות לפי סוכן - מקור'!K458</f>
        <v>NetSuite</v>
      </c>
    </row>
    <row r="468" customFormat="false" ht="15" hidden="false" customHeight="true" outlineLevel="1" collapsed="false">
      <c r="A468" s="14" t="str">
        <f aca="false">'לקוחות לפי סוכן - מקור'!A459</f>
        <v>חיים ויצמן</v>
      </c>
      <c r="B468" s="14" t="str">
        <f aca="false">'לקוחות לפי סוכן - מקור'!C459</f>
        <v>102 - Orthopedic institutes</v>
      </c>
      <c r="C468" s="47" t="str">
        <f aca="false">'לקוחות לפי סוכן - מקור'!E459</f>
        <v>150221 רגליים כ"ס אורטופדיה</v>
      </c>
      <c r="D468" s="22" t="n">
        <f aca="false">'לקוחות לפי סוכן - מקור'!F459</f>
        <v>461.04</v>
      </c>
      <c r="E468" s="22" t="n">
        <f aca="false">'לקוחות לפי סוכן - מקור'!G459</f>
        <v>0</v>
      </c>
      <c r="F468" s="14" t="str">
        <f aca="false">'לקוחות לפי סוכן - מקור'!D459</f>
        <v>150221</v>
      </c>
      <c r="G468" s="15" t="n">
        <f aca="false">'לקוחות לפי סוכן - מקור'!H459</f>
        <v>2</v>
      </c>
      <c r="H468" s="15" t="n">
        <f aca="false">'לקוחות לפי סוכן - מקור'!I459</f>
        <v>0</v>
      </c>
      <c r="I468" s="14" t="str">
        <f aca="false">'לקוחות לפי סוכן - מקור'!K459</f>
        <v>NetSuite</v>
      </c>
    </row>
    <row r="469" customFormat="false" ht="15" hidden="false" customHeight="true" outlineLevel="1" collapsed="false">
      <c r="A469" s="14" t="str">
        <f aca="false">'לקוחות לפי סוכן - מקור'!A460</f>
        <v>חיים ויצמן</v>
      </c>
      <c r="B469" s="14" t="str">
        <f aca="false">'לקוחות לפי סוכן - מקור'!C460</f>
        <v>102 - Orthopedic institutes</v>
      </c>
      <c r="C469" s="47" t="str">
        <f aca="false">'לקוחות לפי סוכן - מקור'!E460</f>
        <v>150336 מרכז לאביזרים אורט' אסותא</v>
      </c>
      <c r="D469" s="22" t="n">
        <f aca="false">'לקוחות לפי סוכן - מקור'!F460</f>
        <v>5649.24</v>
      </c>
      <c r="E469" s="22" t="n">
        <f aca="false">'לקוחות לפי סוכן - מקור'!G460</f>
        <v>6243.73</v>
      </c>
      <c r="F469" s="14" t="str">
        <f aca="false">'לקוחות לפי סוכן - מקור'!D460</f>
        <v>150336</v>
      </c>
      <c r="G469" s="15" t="n">
        <f aca="false">'לקוחות לפי סוכן - מקור'!H460</f>
        <v>44</v>
      </c>
      <c r="H469" s="15" t="n">
        <f aca="false">'לקוחות לפי סוכן - מקור'!I460</f>
        <v>50</v>
      </c>
      <c r="I469" s="14" t="str">
        <f aca="false">'לקוחות לפי סוכן - מקור'!K460</f>
        <v>NetSuite</v>
      </c>
    </row>
    <row r="470" customFormat="false" ht="15" hidden="false" customHeight="true" outlineLevel="1" collapsed="false">
      <c r="A470" s="14" t="str">
        <f aca="false">'לקוחות לפי סוכן - מקור'!A461</f>
        <v>חיים ויצמן</v>
      </c>
      <c r="B470" s="14" t="str">
        <f aca="false">'לקוחות לפי סוכן - מקור'!C461</f>
        <v>102 - Orthopedic institutes</v>
      </c>
      <c r="C470" s="47" t="str">
        <f aca="false">'לקוחות לפי סוכן - מקור'!E461</f>
        <v>150373 פיזיו קליניק בע"מ</v>
      </c>
      <c r="D470" s="22" t="n">
        <f aca="false">'לקוחות לפי סוכן - מקור'!F461</f>
        <v>223.64</v>
      </c>
      <c r="E470" s="22" t="n">
        <f aca="false">'לקוחות לפי סוכן - מקור'!G461</f>
        <v>0</v>
      </c>
      <c r="F470" s="14" t="str">
        <f aca="false">'לקוחות לפי סוכן - מקור'!D461</f>
        <v>150373</v>
      </c>
      <c r="G470" s="15" t="n">
        <f aca="false">'לקוחות לפי סוכן - מקור'!H461</f>
        <v>4</v>
      </c>
      <c r="H470" s="15" t="n">
        <f aca="false">'לקוחות לפי סוכן - מקור'!I461</f>
        <v>0</v>
      </c>
      <c r="I470" s="14" t="str">
        <f aca="false">'לקוחות לפי סוכן - מקור'!K461</f>
        <v>NetSuite</v>
      </c>
    </row>
    <row r="471" customFormat="false" ht="15" hidden="false" customHeight="true" outlineLevel="1" collapsed="false">
      <c r="A471" s="14" t="str">
        <f aca="false">'לקוחות לפי סוכן - מקור'!A462</f>
        <v>חיים ויצמן</v>
      </c>
      <c r="B471" s="14" t="str">
        <f aca="false">'לקוחות לפי סוכן - מקור'!C462</f>
        <v>102 - Orthopedic institutes</v>
      </c>
      <c r="C471" s="47" t="str">
        <f aca="false">'לקוחות לפי סוכן - מקור'!E462</f>
        <v>151005 עקב אכילס -מכון אורטופדי</v>
      </c>
      <c r="D471" s="22" t="n">
        <f aca="false">'לקוחות לפי סוכן - מקור'!F462</f>
        <v>13619.55</v>
      </c>
      <c r="E471" s="22" t="n">
        <f aca="false">'לקוחות לפי סוכן - מקור'!G462</f>
        <v>7289.88</v>
      </c>
      <c r="F471" s="14" t="str">
        <f aca="false">'לקוחות לפי סוכן - מקור'!D462</f>
        <v>151005</v>
      </c>
      <c r="G471" s="15" t="n">
        <f aca="false">'לקוחות לפי סוכן - מקור'!H462</f>
        <v>101</v>
      </c>
      <c r="H471" s="15" t="n">
        <f aca="false">'לקוחות לפי סוכן - מקור'!I462</f>
        <v>50</v>
      </c>
      <c r="I471" s="14" t="str">
        <f aca="false">'לקוחות לפי סוכן - מקור'!K462</f>
        <v>NetSuite</v>
      </c>
    </row>
    <row r="472" customFormat="false" ht="15" hidden="false" customHeight="true" outlineLevel="1" collapsed="false">
      <c r="A472" s="14" t="str">
        <f aca="false">'לקוחות לפי סוכן - מקור'!A463</f>
        <v>חיים ויצמן</v>
      </c>
      <c r="B472" s="14" t="str">
        <f aca="false">'לקוחות לפי סוכן - מקור'!C463</f>
        <v>102 - Orthopedic institutes</v>
      </c>
      <c r="C472" s="47" t="str">
        <f aca="false">'לקוחות לפי סוכן - מקור'!E463</f>
        <v>151010 אסף מדיקל</v>
      </c>
      <c r="D472" s="22" t="n">
        <f aca="false">'לקוחות לפי סוכן - מקור'!F463</f>
        <v>3691.02</v>
      </c>
      <c r="E472" s="22" t="n">
        <f aca="false">'לקוחות לפי סוכן - מקור'!G463</f>
        <v>5446.19</v>
      </c>
      <c r="F472" s="14" t="str">
        <f aca="false">'לקוחות לפי סוכן - מקור'!D463</f>
        <v>151010</v>
      </c>
      <c r="G472" s="15" t="n">
        <f aca="false">'לקוחות לפי סוכן - מקור'!H463</f>
        <v>19</v>
      </c>
      <c r="H472" s="15" t="n">
        <f aca="false">'לקוחות לפי סוכן - מקור'!I463</f>
        <v>27</v>
      </c>
      <c r="I472" s="14" t="str">
        <f aca="false">'לקוחות לפי סוכן - מקור'!K463</f>
        <v>NetSuite</v>
      </c>
    </row>
    <row r="473" customFormat="false" ht="15" hidden="false" customHeight="true" outlineLevel="1" collapsed="false">
      <c r="A473" s="14" t="str">
        <f aca="false">'לקוחות לפי סוכן - מקור'!A464</f>
        <v>חיים ויצמן</v>
      </c>
      <c r="B473" s="14" t="str">
        <f aca="false">'לקוחות לפי סוכן - מקור'!C464</f>
        <v>102 - Orthopedic institutes</v>
      </c>
      <c r="C473" s="47" t="str">
        <f aca="false">'לקוחות לפי סוכן - מקור'!E464</f>
        <v>151057 מזלטק בע"מ</v>
      </c>
      <c r="D473" s="22" t="n">
        <f aca="false">'לקוחות לפי סוכן - מקור'!F464</f>
        <v>981.88</v>
      </c>
      <c r="E473" s="22" t="n">
        <f aca="false">'לקוחות לפי סוכן - מקור'!G464</f>
        <v>485.45</v>
      </c>
      <c r="F473" s="14" t="str">
        <f aca="false">'לקוחות לפי סוכן - מקור'!D464</f>
        <v>151057</v>
      </c>
      <c r="G473" s="15" t="n">
        <f aca="false">'לקוחות לפי סוכן - מקור'!H464</f>
        <v>6</v>
      </c>
      <c r="H473" s="15" t="n">
        <f aca="false">'לקוחות לפי סוכן - מקור'!I464</f>
        <v>13</v>
      </c>
      <c r="I473" s="14" t="str">
        <f aca="false">'לקוחות לפי סוכן - מקור'!K464</f>
        <v>NetSuite</v>
      </c>
    </row>
    <row r="474" customFormat="false" ht="15" hidden="false" customHeight="true" outlineLevel="1" collapsed="false">
      <c r="A474" s="14" t="str">
        <f aca="false">'לקוחות לפי סוכן - מקור'!A465</f>
        <v>חיים ויצמן</v>
      </c>
      <c r="B474" s="14" t="str">
        <f aca="false">'לקוחות לפי סוכן - מקור'!C465</f>
        <v>102 - Orthopedic institutes</v>
      </c>
      <c r="C474" s="47" t="str">
        <f aca="false">'לקוחות לפי סוכן - מקור'!E465</f>
        <v>151122 א.ב.רגליים</v>
      </c>
      <c r="D474" s="22" t="n">
        <f aca="false">'לקוחות לפי סוכן - מקור'!F465</f>
        <v>548.79</v>
      </c>
      <c r="E474" s="22" t="n">
        <f aca="false">'לקוחות לפי סוכן - מקור'!G465</f>
        <v>0</v>
      </c>
      <c r="F474" s="14" t="str">
        <f aca="false">'לקוחות לפי סוכן - מקור'!D465</f>
        <v>151122</v>
      </c>
      <c r="G474" s="15" t="n">
        <f aca="false">'לקוחות לפי סוכן - מקור'!H465</f>
        <v>9</v>
      </c>
      <c r="H474" s="15" t="n">
        <f aca="false">'לקוחות לפי סוכן - מקור'!I465</f>
        <v>0</v>
      </c>
      <c r="I474" s="14" t="str">
        <f aca="false">'לקוחות לפי סוכן - מקור'!K465</f>
        <v>NetSuite</v>
      </c>
    </row>
    <row r="475" customFormat="false" ht="15" hidden="false" customHeight="true" outlineLevel="1" collapsed="false">
      <c r="A475" s="14" t="str">
        <f aca="false">'לקוחות לפי סוכן - מקור'!A466</f>
        <v>חיים ויצמן</v>
      </c>
      <c r="B475" s="14" t="str">
        <f aca="false">'לקוחות לפי סוכן - מקור'!C466</f>
        <v>102 - Orthopedic institutes</v>
      </c>
      <c r="C475" s="47" t="str">
        <f aca="false">'לקוחות לפי סוכן - מקור'!E466</f>
        <v>151162 מרכזים לניתוחים</v>
      </c>
      <c r="D475" s="22" t="n">
        <f aca="false">'לקוחות לפי סוכן - מקור'!F466</f>
        <v>3738.75</v>
      </c>
      <c r="E475" s="22" t="n">
        <f aca="false">'לקוחות לפי סוכן - מקור'!G466</f>
        <v>0</v>
      </c>
      <c r="F475" s="14" t="str">
        <f aca="false">'לקוחות לפי סוכן - מקור'!D466</f>
        <v>151162</v>
      </c>
      <c r="G475" s="15" t="n">
        <f aca="false">'לקוחות לפי סוכן - מקור'!H466</f>
        <v>42</v>
      </c>
      <c r="H475" s="15" t="n">
        <f aca="false">'לקוחות לפי סוכן - מקור'!I466</f>
        <v>0</v>
      </c>
      <c r="I475" s="14" t="str">
        <f aca="false">'לקוחות לפי סוכן - מקור'!K466</f>
        <v>NetSuite</v>
      </c>
    </row>
    <row r="476" customFormat="false" ht="15" hidden="false" customHeight="true" outlineLevel="1" collapsed="false">
      <c r="A476" s="14" t="str">
        <f aca="false">'לקוחות לפי סוכן - מקור'!A467</f>
        <v>חיים ויצמן</v>
      </c>
      <c r="B476" s="14" t="str">
        <f aca="false">'לקוחות לפי סוכן - מקור'!C467</f>
        <v>102 - Orthopedic institutes</v>
      </c>
      <c r="C476" s="47" t="str">
        <f aca="false">'לקוחות לפי סוכן - מקור'!E467</f>
        <v>C02177 עולם האורטופדיה והספורט</v>
      </c>
      <c r="D476" s="22" t="n">
        <f aca="false">'לקוחות לפי סוכן - מקור'!F467</f>
        <v>6765.43</v>
      </c>
      <c r="E476" s="22" t="n">
        <f aca="false">'לקוחות לפי סוכן - מקור'!G467</f>
        <v>4118.36</v>
      </c>
      <c r="F476" s="14" t="str">
        <f aca="false">'לקוחות לפי סוכן - מקור'!D467</f>
        <v>C02177</v>
      </c>
      <c r="G476" s="15" t="n">
        <f aca="false">'לקוחות לפי סוכן - מקור'!H467</f>
        <v>81</v>
      </c>
      <c r="H476" s="15" t="n">
        <f aca="false">'לקוחות לפי סוכן - מקור'!I467</f>
        <v>53</v>
      </c>
      <c r="I476" s="14" t="str">
        <f aca="false">'לקוחות לפי סוכן - מקור'!K467</f>
        <v>NetSuite</v>
      </c>
    </row>
    <row r="477" customFormat="false" ht="15" hidden="false" customHeight="true" outlineLevel="1" collapsed="false">
      <c r="A477" s="14" t="str">
        <f aca="false">'לקוחות לפי סוכן - מקור'!A468</f>
        <v>חיים ויצמן</v>
      </c>
      <c r="B477" s="14" t="str">
        <f aca="false">'לקוחות לפי סוכן - מקור'!C468</f>
        <v>102 - Orthopedic institutes</v>
      </c>
      <c r="C477" s="47" t="str">
        <f aca="false">'לקוחות לפי סוכן - מקור'!E468</f>
        <v>C02262 בני בלאנס ב בלאנס</v>
      </c>
      <c r="D477" s="22" t="n">
        <f aca="false">'לקוחות לפי סוכן - מקור'!F468</f>
        <v>252</v>
      </c>
      <c r="E477" s="22" t="n">
        <f aca="false">'לקוחות לפי סוכן - מקור'!G468</f>
        <v>252</v>
      </c>
      <c r="F477" s="14" t="str">
        <f aca="false">'לקוחות לפי סוכן - מקור'!D468</f>
        <v>C02262</v>
      </c>
      <c r="G477" s="15" t="n">
        <f aca="false">'לקוחות לפי סוכן - מקור'!H468</f>
        <v>2</v>
      </c>
      <c r="H477" s="15" t="n">
        <f aca="false">'לקוחות לפי סוכן - מקור'!I468</f>
        <v>2</v>
      </c>
      <c r="I477" s="14" t="str">
        <f aca="false">'לקוחות לפי סוכן - מקור'!K468</f>
        <v>NetSuite</v>
      </c>
    </row>
    <row r="478" customFormat="false" ht="15" hidden="false" customHeight="true" outlineLevel="1" collapsed="false">
      <c r="A478" s="14" t="str">
        <f aca="false">'לקוחות לפי סוכן - מקור'!A469</f>
        <v>חיים ויצמן</v>
      </c>
      <c r="B478" s="14" t="str">
        <f aca="false">'לקוחות לפי סוכן - מקור'!C469</f>
        <v>102 - Orthopedic institutes</v>
      </c>
      <c r="C478" s="47" t="str">
        <f aca="false">'לקוחות לפי סוכן - מקור'!E469</f>
        <v>C02293 מבס איתי אורטופדיה קלינית</v>
      </c>
      <c r="D478" s="22" t="n">
        <f aca="false">'לקוחות לפי סוכן - מקור'!F469</f>
        <v>254.25</v>
      </c>
      <c r="E478" s="22" t="n">
        <f aca="false">'לקוחות לפי סוכן - מקור'!G469</f>
        <v>0</v>
      </c>
      <c r="F478" s="14" t="str">
        <f aca="false">'לקוחות לפי סוכן - מקור'!D469</f>
        <v>C02293</v>
      </c>
      <c r="G478" s="15" t="n">
        <f aca="false">'לקוחות לפי סוכן - מקור'!H469</f>
        <v>2</v>
      </c>
      <c r="H478" s="15" t="n">
        <f aca="false">'לקוחות לפי סוכן - מקור'!I469</f>
        <v>0</v>
      </c>
      <c r="I478" s="14" t="str">
        <f aca="false">'לקוחות לפי סוכן - מקור'!K469</f>
        <v>NetSuite</v>
      </c>
    </row>
    <row r="479" customFormat="false" ht="15" hidden="false" customHeight="true" outlineLevel="1" collapsed="false">
      <c r="A479" s="14" t="str">
        <f aca="false">'לקוחות לפי סוכן - מקור'!A470</f>
        <v>חיים ויצמן</v>
      </c>
      <c r="B479" s="14" t="str">
        <f aca="false">'לקוחות לפי סוכן - מקור'!C470</f>
        <v>102 - Orthopedic institutes</v>
      </c>
      <c r="C479" s="47" t="str">
        <f aca="false">'לקוחות לפי סוכן - מקור'!E470</f>
        <v>C02294 מיקי אורטופדיה בע"מ</v>
      </c>
      <c r="D479" s="22" t="n">
        <f aca="false">'לקוחות לפי סוכן - מקור'!F470</f>
        <v>1300.01</v>
      </c>
      <c r="E479" s="22" t="n">
        <f aca="false">'לקוחות לפי סוכן - מקור'!G470</f>
        <v>0</v>
      </c>
      <c r="F479" s="14" t="str">
        <f aca="false">'לקוחות לפי סוכן - מקור'!D470</f>
        <v>C02294</v>
      </c>
      <c r="G479" s="15" t="n">
        <f aca="false">'לקוחות לפי סוכן - מקור'!H470</f>
        <v>5</v>
      </c>
      <c r="H479" s="15" t="n">
        <f aca="false">'לקוחות לפי סוכן - מקור'!I470</f>
        <v>0</v>
      </c>
      <c r="I479" s="14" t="str">
        <f aca="false">'לקוחות לפי סוכן - מקור'!K470</f>
        <v>NetSuite</v>
      </c>
    </row>
    <row r="480" customFormat="false" ht="15" hidden="false" customHeight="true" outlineLevel="1" collapsed="false">
      <c r="A480" s="14" t="str">
        <f aca="false">'לקוחות לפי סוכן - מקור'!A471</f>
        <v>חיים ויצמן</v>
      </c>
      <c r="B480" s="14" t="str">
        <f aca="false">'לקוחות לפי סוכן - מקור'!C471</f>
        <v>102 - Orthopedic institutes</v>
      </c>
      <c r="C480" s="47" t="str">
        <f aca="false">'לקוחות לפי סוכן - מקור'!E471</f>
        <v>C02317 אלוש יעקב - תפנית</v>
      </c>
      <c r="D480" s="22" t="n">
        <f aca="false">'לקוחות לפי סוכן - מקור'!F471</f>
        <v>0</v>
      </c>
      <c r="E480" s="22" t="n">
        <f aca="false">'לקוחות לפי סוכן - מקור'!G471</f>
        <v>2600</v>
      </c>
      <c r="F480" s="14" t="str">
        <f aca="false">'לקוחות לפי סוכן - מקור'!D471</f>
        <v>C02317</v>
      </c>
      <c r="G480" s="15" t="n">
        <f aca="false">'לקוחות לפי סוכן - מקור'!H471</f>
        <v>0</v>
      </c>
      <c r="H480" s="15" t="n">
        <f aca="false">'לקוחות לפי סוכן - מקור'!I471</f>
        <v>10</v>
      </c>
      <c r="I480" s="14" t="str">
        <f aca="false">'לקוחות לפי סוכן - מקור'!K471</f>
        <v>NetSuite</v>
      </c>
    </row>
    <row r="481" customFormat="false" ht="15" hidden="false" customHeight="true" outlineLevel="1" collapsed="false">
      <c r="A481" s="14" t="str">
        <f aca="false">'לקוחות לפי סוכן - מקור'!A472</f>
        <v>חיים ויצמן</v>
      </c>
      <c r="B481" s="14" t="str">
        <f aca="false">'לקוחות לפי סוכן - מקור'!C472</f>
        <v>103 - Physiotherapy institutes</v>
      </c>
      <c r="C481" s="47" t="str">
        <f aca="false">'לקוחות לפי סוכן - מקור'!E472</f>
        <v>150371 ספורטרפיה</v>
      </c>
      <c r="D481" s="22" t="n">
        <f aca="false">'לקוחות לפי סוכן - מקור'!F472</f>
        <v>1620</v>
      </c>
      <c r="E481" s="22" t="n">
        <f aca="false">'לקוחות לפי סוכן - מקור'!G472</f>
        <v>1350</v>
      </c>
      <c r="F481" s="14" t="str">
        <f aca="false">'לקוחות לפי סוכן - מקור'!D472</f>
        <v>150371</v>
      </c>
      <c r="G481" s="15" t="n">
        <f aca="false">'לקוחות לפי סוכן - מקור'!H472</f>
        <v>54</v>
      </c>
      <c r="H481" s="15" t="n">
        <f aca="false">'לקוחות לפי סוכן - מקור'!I472</f>
        <v>45</v>
      </c>
      <c r="I481" s="14" t="str">
        <f aca="false">'לקוחות לפי סוכן - מקור'!K472</f>
        <v>NetSuite</v>
      </c>
    </row>
    <row r="482" customFormat="false" ht="15" hidden="false" customHeight="true" outlineLevel="1" collapsed="false">
      <c r="A482" s="14" t="str">
        <f aca="false">'לקוחות לפי סוכן - מקור'!A473</f>
        <v>חיים ויצמן</v>
      </c>
      <c r="B482" s="14" t="str">
        <f aca="false">'לקוחות לפי סוכן - מקור'!C473</f>
        <v>103 - Physiotherapy institutes</v>
      </c>
      <c r="C482" s="47" t="str">
        <f aca="false">'לקוחות לפי סוכן - מקור'!E473</f>
        <v>150392 פיזיו קליניק בע"מ</v>
      </c>
      <c r="D482" s="22" t="n">
        <f aca="false">'לקוחות לפי סוכן - מקור'!F473</f>
        <v>144.57</v>
      </c>
      <c r="E482" s="22" t="n">
        <f aca="false">'לקוחות לפי סוכן - מקור'!G473</f>
        <v>428.65</v>
      </c>
      <c r="F482" s="14" t="str">
        <f aca="false">'לקוחות לפי סוכן - מקור'!D473</f>
        <v>150392</v>
      </c>
      <c r="G482" s="15" t="n">
        <f aca="false">'לקוחות לפי סוכן - מקור'!H473</f>
        <v>5</v>
      </c>
      <c r="H482" s="15" t="n">
        <f aca="false">'לקוחות לפי סוכן - מקור'!I473</f>
        <v>6</v>
      </c>
      <c r="I482" s="14" t="str">
        <f aca="false">'לקוחות לפי סוכן - מקור'!K473</f>
        <v>NetSuite</v>
      </c>
    </row>
    <row r="483" customFormat="false" ht="15" hidden="false" customHeight="true" outlineLevel="1" collapsed="false">
      <c r="A483" s="14" t="str">
        <f aca="false">'לקוחות לפי סוכן - מקור'!A474</f>
        <v>חיים ויצמן</v>
      </c>
      <c r="B483" s="14" t="str">
        <f aca="false">'לקוחות לפי סוכן - מקור'!C474</f>
        <v>103 - Physiotherapy institutes</v>
      </c>
      <c r="C483" s="47" t="str">
        <f aca="false">'לקוחות לפי סוכן - מקור'!E474</f>
        <v>C02312 עאסי האדי</v>
      </c>
      <c r="D483" s="22" t="n">
        <f aca="false">'לקוחות לפי סוכן - מקור'!F474</f>
        <v>0</v>
      </c>
      <c r="E483" s="22" t="n">
        <f aca="false">'לקוחות לפי סוכן - מקור'!G474</f>
        <v>3602.06</v>
      </c>
      <c r="F483" s="14" t="str">
        <f aca="false">'לקוחות לפי סוכן - מקור'!D474</f>
        <v>C02312</v>
      </c>
      <c r="G483" s="15" t="n">
        <f aca="false">'לקוחות לפי סוכן - מקור'!H474</f>
        <v>0</v>
      </c>
      <c r="H483" s="15" t="n">
        <f aca="false">'לקוחות לפי סוכן - מקור'!I474</f>
        <v>51</v>
      </c>
      <c r="I483" s="14" t="str">
        <f aca="false">'לקוחות לפי סוכן - מקור'!K474</f>
        <v>NetSuite</v>
      </c>
    </row>
    <row r="484" customFormat="false" ht="15" hidden="false" customHeight="true" outlineLevel="1" collapsed="false">
      <c r="A484" s="14" t="str">
        <f aca="false">'לקוחות לפי סוכן - מקור'!A475</f>
        <v>חיים ויצמן</v>
      </c>
      <c r="B484" s="14" t="str">
        <f aca="false">'לקוחות לפי סוכן - מקור'!C475</f>
        <v>105 - Pedicure Salons</v>
      </c>
      <c r="C484" s="47" t="str">
        <f aca="false">'לקוחות לפי סוכן - מקור'!E475</f>
        <v>150289 רות אסתטיק</v>
      </c>
      <c r="D484" s="22" t="n">
        <f aca="false">'לקוחות לפי סוכן - מקור'!F475</f>
        <v>1633.63</v>
      </c>
      <c r="E484" s="22" t="n">
        <f aca="false">'לקוחות לפי סוכן - מקור'!G475</f>
        <v>2098.57</v>
      </c>
      <c r="F484" s="14" t="str">
        <f aca="false">'לקוחות לפי סוכן - מקור'!D475</f>
        <v>150289</v>
      </c>
      <c r="G484" s="15" t="n">
        <f aca="false">'לקוחות לפי סוכן - מקור'!H475</f>
        <v>70</v>
      </c>
      <c r="H484" s="15" t="n">
        <f aca="false">'לקוחות לפי סוכן - מקור'!I475</f>
        <v>71</v>
      </c>
      <c r="I484" s="14" t="str">
        <f aca="false">'לקוחות לפי סוכן - מקור'!K475</f>
        <v>NetSuite</v>
      </c>
    </row>
    <row r="485" customFormat="false" ht="15" hidden="false" customHeight="true" outlineLevel="1" collapsed="false">
      <c r="A485" s="14" t="str">
        <f aca="false">'לקוחות לפי סוכן - מקור'!A476</f>
        <v>חיים ויצמן</v>
      </c>
      <c r="B485" s="14" t="str">
        <f aca="false">'לקוחות לפי סוכן - מקור'!C476</f>
        <v>107 - Pharmacies</v>
      </c>
      <c r="C485" s="47" t="str">
        <f aca="false">'לקוחות לפי סוכן - מקור'!E476</f>
        <v>156140 רימונים פארם בע"מ</v>
      </c>
      <c r="D485" s="22" t="n">
        <f aca="false">'לקוחות לפי סוכן - מקור'!F476</f>
        <v>5565.49</v>
      </c>
      <c r="E485" s="22" t="n">
        <f aca="false">'לקוחות לפי סוכן - מקור'!G476</f>
        <v>0</v>
      </c>
      <c r="F485" s="14" t="str">
        <f aca="false">'לקוחות לפי סוכן - מקור'!D476</f>
        <v>156140</v>
      </c>
      <c r="G485" s="15" t="n">
        <f aca="false">'לקוחות לפי סוכן - מקור'!H476</f>
        <v>145</v>
      </c>
      <c r="H485" s="15" t="n">
        <f aca="false">'לקוחות לפי סוכן - מקור'!I476</f>
        <v>0</v>
      </c>
      <c r="I485" s="14" t="str">
        <f aca="false">'לקוחות לפי סוכן - מקור'!K476</f>
        <v>NetSuite</v>
      </c>
    </row>
    <row r="486" customFormat="false" ht="15" hidden="false" customHeight="true" outlineLevel="1" collapsed="false">
      <c r="A486" s="14" t="str">
        <f aca="false">'לקוחות לפי סוכן - מקור'!A477</f>
        <v>חיים ויצמן</v>
      </c>
      <c r="B486" s="14" t="str">
        <f aca="false">'לקוחות לפי סוכן - מקור'!C477</f>
        <v>107 - Pharmacies</v>
      </c>
      <c r="C486" s="47" t="str">
        <f aca="false">'לקוחות לפי סוכן - מקור'!E477</f>
        <v>156903 טל שחר ב.מ</v>
      </c>
      <c r="D486" s="22" t="n">
        <f aca="false">'לקוחות לפי סוכן - מקור'!F477</f>
        <v>38179.56</v>
      </c>
      <c r="E486" s="22" t="n">
        <f aca="false">'לקוחות לפי סוכן - מקור'!G477</f>
        <v>30643.82</v>
      </c>
      <c r="F486" s="14" t="str">
        <f aca="false">'לקוחות לפי סוכן - מקור'!D477</f>
        <v>156903</v>
      </c>
      <c r="G486" s="15" t="n">
        <f aca="false">'לקוחות לפי סוכן - מקור'!H477</f>
        <v>547</v>
      </c>
      <c r="H486" s="15" t="n">
        <f aca="false">'לקוחות לפי סוכן - מקור'!I477</f>
        <v>491</v>
      </c>
      <c r="I486" s="14" t="str">
        <f aca="false">'לקוחות לפי סוכן - מקור'!K477</f>
        <v>NetSuite</v>
      </c>
    </row>
    <row r="487" customFormat="false" ht="15" hidden="false" customHeight="true" outlineLevel="1" collapsed="false">
      <c r="A487" s="14" t="str">
        <f aca="false">'לקוחות לפי סוכן - מקור'!A478</f>
        <v>חיים ויצמן</v>
      </c>
      <c r="B487" s="14" t="str">
        <f aca="false">'לקוחות לפי סוכן - מקור'!C478</f>
        <v>107 - Pharmacies</v>
      </c>
      <c r="C487" s="47" t="str">
        <f aca="false">'לקוחות לפי סוכן - מקור'!E478</f>
        <v>156908 טלפארמה בע"מ</v>
      </c>
      <c r="D487" s="22" t="n">
        <f aca="false">'לקוחות לפי סוכן - מקור'!F478</f>
        <v>9396.85</v>
      </c>
      <c r="E487" s="22" t="n">
        <f aca="false">'לקוחות לפי סוכן - מקור'!G478</f>
        <v>15009.76</v>
      </c>
      <c r="F487" s="14" t="str">
        <f aca="false">'לקוחות לפי סוכן - מקור'!D478</f>
        <v>156908</v>
      </c>
      <c r="G487" s="15" t="n">
        <f aca="false">'לקוחות לפי סוכן - מקור'!H478</f>
        <v>88</v>
      </c>
      <c r="H487" s="15" t="n">
        <f aca="false">'לקוחות לפי סוכן - מקור'!I478</f>
        <v>165</v>
      </c>
      <c r="I487" s="14" t="str">
        <f aca="false">'לקוחות לפי סוכן - מקור'!K478</f>
        <v>NetSuite</v>
      </c>
    </row>
    <row r="488" customFormat="false" ht="15" hidden="false" customHeight="true" outlineLevel="1" collapsed="false">
      <c r="A488" s="14" t="str">
        <f aca="false">'לקוחות לפי סוכן - מקור'!A479</f>
        <v>חיים ויצמן</v>
      </c>
      <c r="B488" s="14" t="str">
        <f aca="false">'לקוחות לפי סוכן - מקור'!C479</f>
        <v>109 - Private Shops</v>
      </c>
      <c r="C488" s="47" t="str">
        <f aca="false">'לקוחות לפי סוכן - מקור'!E479</f>
        <v>150151 סלון בלומה-בני ברק</v>
      </c>
      <c r="D488" s="22" t="n">
        <f aca="false">'לקוחות לפי סוכן - מקור'!F479</f>
        <v>4655.97</v>
      </c>
      <c r="E488" s="22" t="n">
        <f aca="false">'לקוחות לפי סוכן - מקור'!G479</f>
        <v>3751.96</v>
      </c>
      <c r="F488" s="14" t="str">
        <f aca="false">'לקוחות לפי סוכן - מקור'!D479</f>
        <v>150151</v>
      </c>
      <c r="G488" s="15" t="n">
        <f aca="false">'לקוחות לפי סוכן - מקור'!H479</f>
        <v>20</v>
      </c>
      <c r="H488" s="15" t="n">
        <f aca="false">'לקוחות לפי סוכן - מקור'!I479</f>
        <v>14</v>
      </c>
      <c r="I488" s="14" t="str">
        <f aca="false">'לקוחות לפי סוכן - מקור'!K479</f>
        <v>NetSuite</v>
      </c>
    </row>
    <row r="489" customFormat="false" ht="15" hidden="false" customHeight="true" outlineLevel="1" collapsed="false">
      <c r="A489" s="14" t="str">
        <f aca="false">'לקוחות לפי סוכן - מקור'!A480</f>
        <v>חיים ויצמן</v>
      </c>
      <c r="B489" s="14" t="str">
        <f aca="false">'לקוחות לפי סוכן - מקור'!C480</f>
        <v>109 - Private Shops</v>
      </c>
      <c r="C489" s="47" t="str">
        <f aca="false">'לקוחות לפי סוכן - מקור'!E480</f>
        <v>151240 קומפורט זון</v>
      </c>
      <c r="D489" s="22" t="n">
        <f aca="false">'לקוחות לפי סוכן - מקור'!F480</f>
        <v>761.98</v>
      </c>
      <c r="E489" s="22" t="n">
        <f aca="false">'לקוחות לפי סוכן - מקור'!G480</f>
        <v>0</v>
      </c>
      <c r="F489" s="14" t="str">
        <f aca="false">'לקוחות לפי סוכן - מקור'!D480</f>
        <v>151240</v>
      </c>
      <c r="G489" s="15" t="n">
        <f aca="false">'לקוחות לפי סוכן - מקור'!H480</f>
        <v>6</v>
      </c>
      <c r="H489" s="15" t="n">
        <f aca="false">'לקוחות לפי סוכן - מקור'!I480</f>
        <v>0</v>
      </c>
      <c r="I489" s="14" t="str">
        <f aca="false">'לקוחות לפי סוכן - מקור'!K480</f>
        <v>NetSuite</v>
      </c>
    </row>
    <row r="490" customFormat="false" ht="15" hidden="false" customHeight="true" outlineLevel="1" collapsed="false">
      <c r="A490" s="14" t="str">
        <f aca="false">'לקוחות לפי סוכן - מקור'!A481</f>
        <v>חיים ויצמן</v>
      </c>
      <c r="B490" s="14" t="str">
        <f aca="false">'לקוחות לפי סוכן - מקור'!C481</f>
        <v>109 - Private Shops</v>
      </c>
      <c r="C490" s="47" t="str">
        <f aca="false">'לקוחות לפי סוכן - מקור'!E481</f>
        <v>C02231 ש.ל.י. סיירת ציוד בעמ</v>
      </c>
      <c r="D490" s="22" t="n">
        <f aca="false">'לקוחות לפי סוכן - מקור'!F481</f>
        <v>11691.24</v>
      </c>
      <c r="E490" s="22" t="n">
        <f aca="false">'לקוחות לפי סוכן - מקור'!G481</f>
        <v>10102.07</v>
      </c>
      <c r="F490" s="14" t="str">
        <f aca="false">'לקוחות לפי סוכן - מקור'!D481</f>
        <v>C02231</v>
      </c>
      <c r="G490" s="15" t="n">
        <f aca="false">'לקוחות לפי סוכן - מקור'!H481</f>
        <v>408</v>
      </c>
      <c r="H490" s="15" t="n">
        <f aca="false">'לקוחות לפי סוכן - מקור'!I481</f>
        <v>165</v>
      </c>
      <c r="I490" s="14" t="str">
        <f aca="false">'לקוחות לפי סוכן - מקור'!K481</f>
        <v>NetSuite</v>
      </c>
    </row>
    <row r="491" customFormat="false" ht="15" hidden="false" customHeight="true" outlineLevel="1" collapsed="false">
      <c r="A491" s="14" t="str">
        <f aca="false">'לקוחות לפי סוכן - מקור'!A482</f>
        <v>חיים ויצמן</v>
      </c>
      <c r="B491" s="14" t="str">
        <f aca="false">'לקוחות לפי סוכן - מקור'!C482</f>
        <v>109 - Private Shops</v>
      </c>
      <c r="C491" s="47" t="str">
        <f aca="false">'לקוחות לפי סוכן - מקור'!E482</f>
        <v>C02231 ש.ל.י. סיירת ציוד בעמ : C02231SC2 ש.ל.י סיירת ציוד ראשון לציון</v>
      </c>
      <c r="D491" s="22" t="n">
        <f aca="false">'לקוחות לפי סוכן - מקור'!F482</f>
        <v>1979.24</v>
      </c>
      <c r="E491" s="22" t="n">
        <f aca="false">'לקוחות לפי סוכן - מקור'!G482</f>
        <v>0</v>
      </c>
      <c r="F491" s="14" t="str">
        <f aca="false">'לקוחות לפי סוכן - מקור'!D482</f>
        <v>C02231SC2</v>
      </c>
      <c r="G491" s="15" t="n">
        <f aca="false">'לקוחות לפי סוכן - מקור'!H482</f>
        <v>77</v>
      </c>
      <c r="H491" s="15" t="n">
        <f aca="false">'לקוחות לפי סוכן - מקור'!I482</f>
        <v>0</v>
      </c>
      <c r="I491" s="14" t="str">
        <f aca="false">'לקוחות לפי סוכן - מקור'!K482</f>
        <v>NetSuite</v>
      </c>
    </row>
    <row r="492" customFormat="false" ht="15" hidden="false" customHeight="true" outlineLevel="1" collapsed="false">
      <c r="A492" s="14" t="str">
        <f aca="false">'לקוחות לפי סוכן - מקור'!A483</f>
        <v>חיים ויצמן</v>
      </c>
      <c r="B492" s="14" t="str">
        <f aca="false">'לקוחות לפי סוכן - מקור'!C483</f>
        <v>109 - Private Shops</v>
      </c>
      <c r="C492" s="47" t="str">
        <f aca="false">'לקוחות לפי סוכן - מקור'!E483</f>
        <v>C02270 טעם טבע של גיל</v>
      </c>
      <c r="D492" s="22" t="n">
        <f aca="false">'לקוחות לפי סוכן - מקור'!F483</f>
        <v>1287</v>
      </c>
      <c r="E492" s="22" t="n">
        <f aca="false">'לקוחות לפי סוכן - מקור'!G483</f>
        <v>6024.15</v>
      </c>
      <c r="F492" s="14" t="str">
        <f aca="false">'לקוחות לפי סוכן - מקור'!D483</f>
        <v>C02270</v>
      </c>
      <c r="G492" s="15" t="n">
        <f aca="false">'לקוחות לפי סוכן - מקור'!H483</f>
        <v>26</v>
      </c>
      <c r="H492" s="15" t="n">
        <f aca="false">'לקוחות לפי סוכן - מקור'!I483</f>
        <v>86</v>
      </c>
      <c r="I492" s="14" t="str">
        <f aca="false">'לקוחות לפי סוכן - מקור'!K483</f>
        <v>NetSuite</v>
      </c>
    </row>
    <row r="493" customFormat="false" ht="15" hidden="false" customHeight="true" outlineLevel="1" collapsed="false">
      <c r="A493" s="14" t="str">
        <f aca="false">'לקוחות לפי סוכן - מקור'!A484</f>
        <v>חיים ויצמן</v>
      </c>
      <c r="B493" s="14" t="str">
        <f aca="false">'לקוחות לפי סוכן - מקור'!C484</f>
        <v>0בתי מרקחת</v>
      </c>
      <c r="C493" s="47" t="str">
        <f aca="false">'לקוחות לפי סוכן - מקור'!E484</f>
        <v>בתי מרקחת פרטי</v>
      </c>
      <c r="D493" s="22" t="n">
        <f aca="false">'לקוחות לפי סוכן - מקור'!F484</f>
        <v>0</v>
      </c>
      <c r="E493" s="22" t="n">
        <f aca="false">'לקוחות לפי סוכן - מקור'!G484</f>
        <v>77423.2</v>
      </c>
      <c r="F493" s="14" t="n">
        <f aca="false">'לקוחות לפי סוכן - מקור'!D484</f>
        <v>0</v>
      </c>
      <c r="G493" s="15" t="n">
        <f aca="false">'לקוחות לפי סוכן - מקור'!H484</f>
        <v>0</v>
      </c>
      <c r="H493" s="15" t="n">
        <f aca="false">'לקוחות לפי סוכן - מקור'!I484</f>
        <v>0</v>
      </c>
      <c r="I493" s="14" t="str">
        <f aca="false">'לקוחות לפי סוכן - מקור'!K484</f>
        <v>CHMI</v>
      </c>
    </row>
    <row r="494" customFormat="false" ht="15" hidden="false" customHeight="true" outlineLevel="1" collapsed="false">
      <c r="A494" s="14" t="str">
        <f aca="false">'לקוחות לפי סוכן - מקור'!A485</f>
        <v>חיים ויצמן</v>
      </c>
      <c r="B494" s="14" t="str">
        <f aca="false">'לקוחות לפי סוכן - מקור'!C485</f>
        <v>שור טבצניק</v>
      </c>
      <c r="C494" s="47" t="str">
        <f aca="false">'לקוחות לפי סוכן - מקור'!E485</f>
        <v>שור טבצ'ניק ת""א ב.מ</v>
      </c>
      <c r="D494" s="22" t="n">
        <f aca="false">'לקוחות לפי סוכן - מקור'!F485</f>
        <v>0</v>
      </c>
      <c r="E494" s="22" t="n">
        <f aca="false">'לקוחות לפי סוכן - מקור'!G485</f>
        <v>3760</v>
      </c>
      <c r="F494" s="14" t="n">
        <f aca="false">'לקוחות לפי סוכן - מקור'!D485</f>
        <v>0</v>
      </c>
      <c r="G494" s="15" t="n">
        <f aca="false">'לקוחות לפי סוכן - מקור'!H485</f>
        <v>0</v>
      </c>
      <c r="H494" s="15" t="n">
        <f aca="false">'לקוחות לפי סוכן - מקור'!I485</f>
        <v>0</v>
      </c>
      <c r="I494" s="14" t="str">
        <f aca="false">'לקוחות לפי סוכן - מקור'!K485</f>
        <v>CHMI</v>
      </c>
    </row>
    <row r="495" customFormat="false" ht="15" hidden="false" customHeight="true" outlineLevel="1" collapsed="false">
      <c r="A495" s="14" t="str">
        <f aca="false">'לקוחות לפי סוכן - מקור'!A486</f>
        <v>חיים ויצמן</v>
      </c>
      <c r="B495" s="14" t="str">
        <f aca="false">'לקוחות לפי סוכן - מקור'!C486</f>
        <v>שרם</v>
      </c>
      <c r="C495" s="47" t="str">
        <f aca="false">'לקוחות לפי סוכן - מקור'!E486</f>
        <v>המרקחה ב.מ 03.11 שרמפארם</v>
      </c>
      <c r="D495" s="22" t="n">
        <f aca="false">'לקוחות לפי סוכן - מקור'!F486</f>
        <v>0</v>
      </c>
      <c r="E495" s="22" t="n">
        <f aca="false">'לקוחות לפי סוכן - מקור'!G486</f>
        <v>9776.6</v>
      </c>
      <c r="F495" s="14" t="n">
        <f aca="false">'לקוחות לפי סוכן - מקור'!D486</f>
        <v>0</v>
      </c>
      <c r="G495" s="15" t="n">
        <f aca="false">'לקוחות לפי סוכן - מקור'!H486</f>
        <v>0</v>
      </c>
      <c r="H495" s="15" t="n">
        <f aca="false">'לקוחות לפי סוכן - מקור'!I486</f>
        <v>0</v>
      </c>
      <c r="I495" s="14" t="str">
        <f aca="false">'לקוחות לפי סוכן - מקור'!K486</f>
        <v>CHMI</v>
      </c>
    </row>
    <row r="496" customFormat="false" ht="15" hidden="false" customHeight="true" outlineLevel="1" collapsed="false">
      <c r="A496" s="14" t="str">
        <f aca="false">'לקוחות לפי סוכן - מקור'!A487</f>
        <v>חיים ויצמן</v>
      </c>
      <c r="B496" s="14" t="str">
        <f aca="false">'לקוחות לפי סוכן - מקור'!C487</f>
        <v>שרם</v>
      </c>
      <c r="C496" s="47" t="str">
        <f aca="false">'לקוחות לפי סוכן - מקור'!E487</f>
        <v>טל שחר ת""א ב.מ שרםפארם</v>
      </c>
      <c r="D496" s="22" t="n">
        <f aca="false">'לקוחות לפי סוכן - מקור'!F487</f>
        <v>0</v>
      </c>
      <c r="E496" s="22" t="n">
        <f aca="false">'לקוחות לפי סוכן - מקור'!G487</f>
        <v>2020.2</v>
      </c>
      <c r="F496" s="14" t="n">
        <f aca="false">'לקוחות לפי סוכן - מקור'!D487</f>
        <v>0</v>
      </c>
      <c r="G496" s="15" t="n">
        <f aca="false">'לקוחות לפי סוכן - מקור'!H487</f>
        <v>0</v>
      </c>
      <c r="H496" s="15" t="n">
        <f aca="false">'לקוחות לפי סוכן - מקור'!I487</f>
        <v>0</v>
      </c>
      <c r="I496" s="14" t="str">
        <f aca="false">'לקוחות לפי סוכן - מקור'!K487</f>
        <v>CHMI</v>
      </c>
    </row>
    <row r="497" customFormat="false" ht="15" hidden="false" customHeight="true" outlineLevel="1" collapsed="false">
      <c r="A497" s="14" t="str">
        <f aca="false">'לקוחות לפי סוכן - מקור'!A488</f>
        <v>חיים ויצמן</v>
      </c>
      <c r="B497" s="14" t="str">
        <f aca="false">'לקוחות לפי סוכן - מקור'!C488</f>
        <v>שרם</v>
      </c>
      <c r="C497" s="47" t="str">
        <f aca="false">'לקוחות לפי סוכן - מקור'!E488</f>
        <v>נחמיה ב""ב ב.מ שרםפארם</v>
      </c>
      <c r="D497" s="22" t="n">
        <f aca="false">'לקוחות לפי סוכן - מקור'!F488</f>
        <v>0</v>
      </c>
      <c r="E497" s="22" t="n">
        <f aca="false">'לקוחות לפי סוכן - מקור'!G488</f>
        <v>240.7</v>
      </c>
      <c r="F497" s="14" t="n">
        <f aca="false">'לקוחות לפי סוכן - מקור'!D488</f>
        <v>0</v>
      </c>
      <c r="G497" s="15" t="n">
        <f aca="false">'לקוחות לפי סוכן - מקור'!H488</f>
        <v>0</v>
      </c>
      <c r="H497" s="15" t="n">
        <f aca="false">'לקוחות לפי סוכן - מקור'!I488</f>
        <v>0</v>
      </c>
      <c r="I497" s="14" t="str">
        <f aca="false">'לקוחות לפי סוכן - מקור'!K488</f>
        <v>CHMI</v>
      </c>
    </row>
    <row r="498" customFormat="false" ht="15" hidden="false" customHeight="true" outlineLevel="1" collapsed="false">
      <c r="A498" s="14" t="str">
        <f aca="false">'לקוחות לפי סוכן - מקור'!A489</f>
        <v>חיים ויצמן</v>
      </c>
      <c r="B498" s="14" t="str">
        <f aca="false">'לקוחות לפי סוכן - מקור'!C489</f>
        <v>שרם</v>
      </c>
      <c r="C498" s="47" t="str">
        <f aca="false">'לקוחות לפי סוכן - מקור'!E489</f>
        <v>יהודה הלוי ת""א ב.מ שרםפארם</v>
      </c>
      <c r="D498" s="22" t="n">
        <f aca="false">'לקוחות לפי סוכן - מקור'!F489</f>
        <v>0</v>
      </c>
      <c r="E498" s="22" t="n">
        <f aca="false">'לקוחות לפי סוכן - מקור'!G489</f>
        <v>452.2</v>
      </c>
      <c r="F498" s="14" t="n">
        <f aca="false">'לקוחות לפי סוכן - מקור'!D489</f>
        <v>0</v>
      </c>
      <c r="G498" s="15" t="n">
        <f aca="false">'לקוחות לפי סוכן - מקור'!H489</f>
        <v>0</v>
      </c>
      <c r="H498" s="15" t="n">
        <f aca="false">'לקוחות לפי סוכן - מקור'!I489</f>
        <v>0</v>
      </c>
      <c r="I498" s="14" t="str">
        <f aca="false">'לקוחות לפי סוכן - מקור'!K489</f>
        <v>CHMI</v>
      </c>
    </row>
    <row r="499" customFormat="false" ht="15" hidden="false" customHeight="true" outlineLevel="1" collapsed="false">
      <c r="A499" s="14" t="str">
        <f aca="false">'לקוחות לפי סוכן - מקור'!A490</f>
        <v>חיים ויצמן</v>
      </c>
      <c r="B499" s="14" t="str">
        <f aca="false">'לקוחות לפי סוכן - מקור'!C490</f>
        <v>שרם</v>
      </c>
      <c r="C499" s="47" t="str">
        <f aca="false">'לקוחות לפי סוכן - מקור'!E490</f>
        <v>מרכז צפון ת""א ב.מ שרםפארם</v>
      </c>
      <c r="D499" s="22" t="n">
        <f aca="false">'לקוחות לפי סוכן - מקור'!F490</f>
        <v>0</v>
      </c>
      <c r="E499" s="22" t="n">
        <f aca="false">'לקוחות לפי סוכן - מקור'!G490</f>
        <v>1404</v>
      </c>
      <c r="F499" s="14" t="n">
        <f aca="false">'לקוחות לפי סוכן - מקור'!D490</f>
        <v>0</v>
      </c>
      <c r="G499" s="15" t="n">
        <f aca="false">'לקוחות לפי סוכן - מקור'!H490</f>
        <v>0</v>
      </c>
      <c r="H499" s="15" t="n">
        <f aca="false">'לקוחות לפי סוכן - מקור'!I490</f>
        <v>0</v>
      </c>
      <c r="I499" s="14" t="str">
        <f aca="false">'לקוחות לפי סוכן - מקור'!K490</f>
        <v>CHMI</v>
      </c>
    </row>
    <row r="500" customFormat="false" ht="15" hidden="false" customHeight="true" outlineLevel="1" collapsed="false">
      <c r="A500" s="14" t="str">
        <f aca="false">'לקוחות לפי סוכן - מקור'!A491</f>
        <v>חיים ויצמן</v>
      </c>
      <c r="B500" s="14" t="str">
        <f aca="false">'לקוחות לפי סוכן - מקור'!C491</f>
        <v>שרם</v>
      </c>
      <c r="C500" s="47" t="str">
        <f aca="false">'לקוחות לפי סוכן - מקור'!E491</f>
        <v>בר אילן רעננה ב.מ שרמפארם</v>
      </c>
      <c r="D500" s="22" t="n">
        <f aca="false">'לקוחות לפי סוכן - מקור'!F491</f>
        <v>0</v>
      </c>
      <c r="E500" s="22" t="n">
        <f aca="false">'לקוחות לפי סוכן - מקור'!G491</f>
        <v>1061.8</v>
      </c>
      <c r="F500" s="14" t="n">
        <f aca="false">'לקוחות לפי סוכן - מקור'!D491</f>
        <v>0</v>
      </c>
      <c r="G500" s="15" t="n">
        <f aca="false">'לקוחות לפי סוכן - מקור'!H491</f>
        <v>0</v>
      </c>
      <c r="H500" s="15" t="n">
        <f aca="false">'לקוחות לפי סוכן - מקור'!I491</f>
        <v>0</v>
      </c>
      <c r="I500" s="14" t="str">
        <f aca="false">'לקוחות לפי סוכן - מקור'!K491</f>
        <v>CHMI</v>
      </c>
    </row>
    <row r="501" customFormat="false" ht="15" hidden="false" customHeight="true" outlineLevel="1" collapsed="false">
      <c r="A501" s="14" t="str">
        <f aca="false">'לקוחות לפי סוכן - מקור'!A492</f>
        <v>חיים ויצמן</v>
      </c>
      <c r="B501" s="14" t="str">
        <f aca="false">'לקוחות לפי סוכן - מקור'!C492</f>
        <v>שרם</v>
      </c>
      <c r="C501" s="47" t="str">
        <f aca="false">'לקוחות לפי סוכן - מקור'!E492</f>
        <v>.ברק )י.מ.שרותי רוקחות(ת""א ב.מ</v>
      </c>
      <c r="D501" s="22" t="n">
        <f aca="false">'לקוחות לפי סוכן - מקור'!F492</f>
        <v>0</v>
      </c>
      <c r="E501" s="22" t="n">
        <f aca="false">'לקוחות לפי סוכן - מקור'!G492</f>
        <v>3322.6</v>
      </c>
      <c r="F501" s="14" t="n">
        <f aca="false">'לקוחות לפי סוכן - מקור'!D492</f>
        <v>0</v>
      </c>
      <c r="G501" s="15" t="n">
        <f aca="false">'לקוחות לפי סוכן - מקור'!H492</f>
        <v>0</v>
      </c>
      <c r="H501" s="15" t="n">
        <f aca="false">'לקוחות לפי סוכן - מקור'!I492</f>
        <v>0</v>
      </c>
      <c r="I501" s="14" t="str">
        <f aca="false">'לקוחות לפי סוכן - מקור'!K492</f>
        <v>CHMI</v>
      </c>
    </row>
    <row r="502" customFormat="false" ht="15" hidden="false" customHeight="true" outlineLevel="1" collapsed="false">
      <c r="A502" s="14" t="str">
        <f aca="false">'לקוחות לפי סוכן - מקור'!A493</f>
        <v>חיים ויצמן</v>
      </c>
      <c r="B502" s="14" t="str">
        <f aca="false">'לקוחות לפי סוכן - מקור'!C493</f>
        <v>שרם</v>
      </c>
      <c r="C502" s="47" t="str">
        <f aca="false">'לקוחות לפי סוכן - מקור'!E493</f>
        <v>פריים פארם-יהודה המכבי ב.מ.שרמ</v>
      </c>
      <c r="D502" s="22" t="n">
        <f aca="false">'לקוחות לפי סוכן - מקור'!F493</f>
        <v>0</v>
      </c>
      <c r="E502" s="22" t="n">
        <f aca="false">'לקוחות לפי סוכן - מקור'!G493</f>
        <v>8995.4</v>
      </c>
      <c r="F502" s="14" t="n">
        <f aca="false">'לקוחות לפי סוכן - מקור'!D493</f>
        <v>0</v>
      </c>
      <c r="G502" s="15" t="n">
        <f aca="false">'לקוחות לפי סוכן - מקור'!H493</f>
        <v>0</v>
      </c>
      <c r="H502" s="15" t="n">
        <f aca="false">'לקוחות לפי סוכן - מקור'!I493</f>
        <v>0</v>
      </c>
      <c r="I502" s="14" t="str">
        <f aca="false">'לקוחות לפי סוכן - מקור'!K493</f>
        <v>CHMI</v>
      </c>
    </row>
    <row r="503" customFormat="false" ht="15" hidden="false" customHeight="true" outlineLevel="1" collapsed="false">
      <c r="A503" s="14" t="str">
        <f aca="false">'לקוחות לפי סוכן - מקור'!A494</f>
        <v>חיים ויצמן</v>
      </c>
      <c r="B503" s="14" t="str">
        <f aca="false">'לקוחות לפי סוכן - מקור'!C494</f>
        <v>שרם</v>
      </c>
      <c r="C503" s="47" t="str">
        <f aca="false">'לקוחות לפי סוכן - מקור'!E494</f>
        <v>המרכז נס ציונה ב.מ שרםפארם</v>
      </c>
      <c r="D503" s="22" t="n">
        <f aca="false">'לקוחות לפי סוכן - מקור'!F494</f>
        <v>0</v>
      </c>
      <c r="E503" s="22" t="n">
        <f aca="false">'לקוחות לפי סוכן - מקור'!G494</f>
        <v>1844.5</v>
      </c>
      <c r="F503" s="14" t="n">
        <f aca="false">'לקוחות לפי סוכן - מקור'!D494</f>
        <v>0</v>
      </c>
      <c r="G503" s="15" t="n">
        <f aca="false">'לקוחות לפי סוכן - מקור'!H494</f>
        <v>0</v>
      </c>
      <c r="H503" s="15" t="n">
        <f aca="false">'לקוחות לפי סוכן - מקור'!I494</f>
        <v>0</v>
      </c>
      <c r="I503" s="14" t="str">
        <f aca="false">'לקוחות לפי סוכן - מקור'!K494</f>
        <v>CHMI</v>
      </c>
    </row>
    <row r="504" customFormat="false" ht="15" hidden="false" customHeight="true" outlineLevel="1" collapsed="false">
      <c r="A504" s="14" t="str">
        <f aca="false">'לקוחות לפי סוכן - מקור'!A495</f>
        <v>חיים ויצמן</v>
      </c>
      <c r="B504" s="14" t="str">
        <f aca="false">'לקוחות לפי סוכן - מקור'!C495</f>
        <v>שרם</v>
      </c>
      <c r="C504" s="47" t="str">
        <f aca="false">'לקוחות לפי סוכן - מקור'!E495</f>
        <v>כפר שמריהו ב.מ )חדש( שרמפארם</v>
      </c>
      <c r="D504" s="22" t="n">
        <f aca="false">'לקוחות לפי סוכן - מקור'!F495</f>
        <v>0</v>
      </c>
      <c r="E504" s="22" t="n">
        <f aca="false">'לקוחות לפי סוכן - מקור'!G495</f>
        <v>10405.7</v>
      </c>
      <c r="F504" s="14" t="n">
        <f aca="false">'לקוחות לפי סוכן - מקור'!D495</f>
        <v>0</v>
      </c>
      <c r="G504" s="15" t="n">
        <f aca="false">'לקוחות לפי סוכן - מקור'!H495</f>
        <v>0</v>
      </c>
      <c r="H504" s="15" t="n">
        <f aca="false">'לקוחות לפי סוכן - מקור'!I495</f>
        <v>0</v>
      </c>
      <c r="I504" s="14" t="str">
        <f aca="false">'לקוחות לפי סוכן - מקור'!K495</f>
        <v>CHMI</v>
      </c>
    </row>
    <row r="505" customFormat="false" ht="15" hidden="false" customHeight="true" outlineLevel="1" collapsed="false">
      <c r="A505" s="14" t="str">
        <f aca="false">'לקוחות לפי סוכן - מקור'!A496</f>
        <v>חיים ויצמן</v>
      </c>
      <c r="B505" s="14" t="str">
        <f aca="false">'לקוחות לפי סוכן - מקור'!C496</f>
        <v>שרם</v>
      </c>
      <c r="C505" s="47" t="str">
        <f aca="false">'לקוחות לפי סוכן - מקור'!E496</f>
        <v>לב הרצליה חדש ב.מ שרמפארם</v>
      </c>
      <c r="D505" s="22" t="n">
        <f aca="false">'לקוחות לפי סוכן - מקור'!F496</f>
        <v>0</v>
      </c>
      <c r="E505" s="22" t="n">
        <f aca="false">'לקוחות לפי סוכן - מקור'!G496</f>
        <v>344.1</v>
      </c>
      <c r="F505" s="14" t="n">
        <f aca="false">'לקוחות לפי סוכן - מקור'!D496</f>
        <v>0</v>
      </c>
      <c r="G505" s="15" t="n">
        <f aca="false">'לקוחות לפי סוכן - מקור'!H496</f>
        <v>0</v>
      </c>
      <c r="H505" s="15" t="n">
        <f aca="false">'לקוחות לפי סוכן - מקור'!I496</f>
        <v>0</v>
      </c>
      <c r="I505" s="14" t="str">
        <f aca="false">'לקוחות לפי סוכן - מקור'!K496</f>
        <v>CHMI</v>
      </c>
    </row>
    <row r="506" customFormat="false" ht="15" hidden="false" customHeight="true" outlineLevel="1" collapsed="false">
      <c r="A506" s="14" t="str">
        <f aca="false">'לקוחות לפי סוכן - מקור'!A497</f>
        <v>חיים ויצמן</v>
      </c>
      <c r="B506" s="14" t="str">
        <f aca="false">'לקוחות לפי סוכן - מקור'!C497</f>
        <v>שרם</v>
      </c>
      <c r="C506" s="47" t="str">
        <f aca="false">'לקוחות לפי סוכן - מקור'!E497</f>
        <v>פארמה גנים ראשל""צ ב.מ שרמ</v>
      </c>
      <c r="D506" s="22" t="n">
        <f aca="false">'לקוחות לפי סוכן - מקור'!F497</f>
        <v>0</v>
      </c>
      <c r="E506" s="22" t="n">
        <f aca="false">'לקוחות לפי סוכן - מקור'!G497</f>
        <v>485.9</v>
      </c>
      <c r="F506" s="14" t="n">
        <f aca="false">'לקוחות לפי סוכן - מקור'!D497</f>
        <v>0</v>
      </c>
      <c r="G506" s="15" t="n">
        <f aca="false">'לקוחות לפי סוכן - מקור'!H497</f>
        <v>0</v>
      </c>
      <c r="H506" s="15" t="n">
        <f aca="false">'לקוחות לפי סוכן - מקור'!I497</f>
        <v>0</v>
      </c>
      <c r="I506" s="14" t="str">
        <f aca="false">'לקוחות לפי סוכן - מקור'!K497</f>
        <v>CHMI</v>
      </c>
    </row>
    <row r="507" customFormat="false" ht="15" hidden="false" customHeight="true" outlineLevel="1" collapsed="false">
      <c r="A507" s="14" t="str">
        <f aca="false">'לקוחות לפי סוכן - מקור'!A498</f>
        <v>חיים ויצמן</v>
      </c>
      <c r="B507" s="14" t="str">
        <f aca="false">'לקוחות לפי סוכן - מקור'!C498</f>
        <v>שרם</v>
      </c>
      <c r="C507" s="47" t="str">
        <f aca="false">'לקוחות לפי סוכן - מקור'!E498</f>
        <v>בית מרקחת הרצליה שרמפארם</v>
      </c>
      <c r="D507" s="22" t="n">
        <f aca="false">'לקוחות לפי סוכן - מקור'!F498</f>
        <v>0</v>
      </c>
      <c r="E507" s="22" t="n">
        <f aca="false">'לקוחות לפי סוכן - מקור'!G498</f>
        <v>182.6</v>
      </c>
      <c r="F507" s="14" t="n">
        <f aca="false">'לקוחות לפי סוכן - מקור'!D498</f>
        <v>0</v>
      </c>
      <c r="G507" s="15" t="n">
        <f aca="false">'לקוחות לפי סוכן - מקור'!H498</f>
        <v>0</v>
      </c>
      <c r="H507" s="15" t="n">
        <f aca="false">'לקוחות לפי סוכן - מקור'!I498</f>
        <v>0</v>
      </c>
      <c r="I507" s="14" t="str">
        <f aca="false">'לקוחות לפי סוכן - מקור'!K498</f>
        <v>CHMI</v>
      </c>
    </row>
    <row r="508" customFormat="false" ht="15" hidden="false" customHeight="true" outlineLevel="1" collapsed="false">
      <c r="A508" s="14" t="str">
        <f aca="false">'לקוחות לפי סוכן - מקור'!A499</f>
        <v>חיים ויצמן</v>
      </c>
      <c r="B508" s="14" t="str">
        <f aca="false">'לקוחות לפי סוכן - מקור'!C499</f>
        <v>שרם</v>
      </c>
      <c r="C508" s="47" t="str">
        <f aca="false">'לקוחות לפי סוכן - מקור'!E499</f>
        <v>למד ת""א ב.מ שרםפארם</v>
      </c>
      <c r="D508" s="22" t="n">
        <f aca="false">'לקוחות לפי סוכן - מקור'!F499</f>
        <v>0</v>
      </c>
      <c r="E508" s="22" t="n">
        <f aca="false">'לקוחות לפי סוכן - מקור'!G499</f>
        <v>228</v>
      </c>
      <c r="F508" s="14" t="n">
        <f aca="false">'לקוחות לפי סוכן - מקור'!D499</f>
        <v>0</v>
      </c>
      <c r="G508" s="15" t="n">
        <f aca="false">'לקוחות לפי סוכן - מקור'!H499</f>
        <v>0</v>
      </c>
      <c r="H508" s="15" t="n">
        <f aca="false">'לקוחות לפי סוכן - מקור'!I499</f>
        <v>0</v>
      </c>
      <c r="I508" s="14" t="str">
        <f aca="false">'לקוחות לפי סוכן - מקור'!K499</f>
        <v>CHMI</v>
      </c>
    </row>
    <row r="509" customFormat="false" ht="15" hidden="false" customHeight="true" outlineLevel="1" collapsed="false">
      <c r="A509" s="14" t="str">
        <f aca="false">'לקוחות לפי סוכן - מקור'!A500</f>
        <v>חיים ויצמן</v>
      </c>
      <c r="B509" s="14" t="str">
        <f aca="false">'לקוחות לפי סוכן - מקור'!C500</f>
        <v>שרם</v>
      </c>
      <c r="C509" s="47" t="str">
        <f aca="false">'לקוחות לפי סוכן - מקור'!E500</f>
        <v>יהודה הלוי ת""א ב.מ שרםפארם</v>
      </c>
      <c r="D509" s="22" t="n">
        <f aca="false">'לקוחות לפי סוכן - מקור'!F500</f>
        <v>0</v>
      </c>
      <c r="E509" s="22" t="n">
        <f aca="false">'לקוחות לפי סוכן - מקור'!G500</f>
        <v>3023.4</v>
      </c>
      <c r="F509" s="14" t="n">
        <f aca="false">'לקוחות לפי סוכן - מקור'!D500</f>
        <v>0</v>
      </c>
      <c r="G509" s="15" t="n">
        <f aca="false">'לקוחות לפי סוכן - מקור'!H500</f>
        <v>0</v>
      </c>
      <c r="H509" s="15" t="n">
        <f aca="false">'לקוחות לפי סוכן - מקור'!I500</f>
        <v>0</v>
      </c>
      <c r="I509" s="14" t="str">
        <f aca="false">'לקוחות לפי סוכן - מקור'!K500</f>
        <v>CHMI</v>
      </c>
    </row>
    <row r="510" customFormat="false" ht="15" hidden="false" customHeight="true" outlineLevel="1" collapsed="false">
      <c r="A510" s="14" t="str">
        <f aca="false">'לקוחות לפי סוכן - מקור'!A501</f>
        <v>חיים ויצמן</v>
      </c>
      <c r="B510" s="14" t="str">
        <f aca="false">'לקוחות לפי סוכן - מקור'!C501</f>
        <v>ס. פארם</v>
      </c>
      <c r="C510" s="47" t="str">
        <f aca="false">'לקוחות לפי סוכן - מקור'!E501</f>
        <v>ס.פ.רמת החייל תרופות</v>
      </c>
      <c r="D510" s="22" t="n">
        <f aca="false">'לקוחות לפי סוכן - מקור'!F501</f>
        <v>0</v>
      </c>
      <c r="E510" s="22" t="n">
        <f aca="false">'לקוחות לפי סוכן - מקור'!G501</f>
        <v>11788.9</v>
      </c>
      <c r="F510" s="14" t="n">
        <f aca="false">'לקוחות לפי סוכן - מקור'!D501</f>
        <v>0</v>
      </c>
      <c r="G510" s="15" t="n">
        <f aca="false">'לקוחות לפי סוכן - מקור'!H501</f>
        <v>0</v>
      </c>
      <c r="H510" s="15" t="n">
        <f aca="false">'לקוחות לפי סוכן - מקור'!I501</f>
        <v>0</v>
      </c>
      <c r="I510" s="14" t="str">
        <f aca="false">'לקוחות לפי סוכן - מקור'!K501</f>
        <v>CHMI</v>
      </c>
    </row>
    <row r="511" customFormat="false" ht="15" hidden="false" customHeight="true" outlineLevel="1" collapsed="false">
      <c r="A511" s="14" t="str">
        <f aca="false">'לקוחות לפי סוכן - מקור'!A502</f>
        <v>חיים ויצמן</v>
      </c>
      <c r="B511" s="14" t="str">
        <f aca="false">'לקוחות לפי סוכן - מקור'!C502</f>
        <v>ס. פארם</v>
      </c>
      <c r="C511" s="47" t="str">
        <f aca="false">'לקוחות לפי סוכן - מקור'!E502</f>
        <v>ס.פ.קניון רמת אביב תרופות</v>
      </c>
      <c r="D511" s="22" t="n">
        <f aca="false">'לקוחות לפי סוכן - מקור'!F502</f>
        <v>0</v>
      </c>
      <c r="E511" s="22" t="n">
        <f aca="false">'לקוחות לפי סוכן - מקור'!G502</f>
        <v>37290.5</v>
      </c>
      <c r="F511" s="14" t="n">
        <f aca="false">'לקוחות לפי סוכן - מקור'!D502</f>
        <v>0</v>
      </c>
      <c r="G511" s="15" t="n">
        <f aca="false">'לקוחות לפי סוכן - מקור'!H502</f>
        <v>0</v>
      </c>
      <c r="H511" s="15" t="n">
        <f aca="false">'לקוחות לפי סוכן - מקור'!I502</f>
        <v>0</v>
      </c>
      <c r="I511" s="14" t="str">
        <f aca="false">'לקוחות לפי סוכן - מקור'!K502</f>
        <v>CHMI</v>
      </c>
    </row>
    <row r="512" customFormat="false" ht="15" hidden="false" customHeight="true" outlineLevel="1" collapsed="false">
      <c r="A512" s="14" t="str">
        <f aca="false">'לקוחות לפי סוכן - מקור'!A503</f>
        <v>חיים ויצמן</v>
      </c>
      <c r="B512" s="14" t="str">
        <f aca="false">'לקוחות לפי סוכן - מקור'!C503</f>
        <v>ס. פארם</v>
      </c>
      <c r="C512" s="47" t="str">
        <f aca="false">'לקוחות לפי סוכן - מקור'!E503</f>
        <v>ס.פ.שכון דן תרופות</v>
      </c>
      <c r="D512" s="22" t="n">
        <f aca="false">'לקוחות לפי סוכן - מקור'!F503</f>
        <v>0</v>
      </c>
      <c r="E512" s="22" t="n">
        <f aca="false">'לקוחות לפי סוכן - מקור'!G503</f>
        <v>32560.1</v>
      </c>
      <c r="F512" s="14" t="n">
        <f aca="false">'לקוחות לפי סוכן - מקור'!D503</f>
        <v>0</v>
      </c>
      <c r="G512" s="15" t="n">
        <f aca="false">'לקוחות לפי סוכן - מקור'!H503</f>
        <v>0</v>
      </c>
      <c r="H512" s="15" t="n">
        <f aca="false">'לקוחות לפי סוכן - מקור'!I503</f>
        <v>0</v>
      </c>
      <c r="I512" s="14" t="str">
        <f aca="false">'לקוחות לפי סוכן - מקור'!K503</f>
        <v>CHMI</v>
      </c>
    </row>
    <row r="513" customFormat="false" ht="15" hidden="false" customHeight="true" outlineLevel="1" collapsed="false">
      <c r="A513" s="14" t="str">
        <f aca="false">'לקוחות לפי סוכן - מקור'!A504</f>
        <v>חיים ויצמן</v>
      </c>
      <c r="B513" s="14" t="str">
        <f aca="false">'לקוחות לפי סוכן - מקור'!C504</f>
        <v>ס. פארם</v>
      </c>
      <c r="C513" s="47" t="str">
        <f aca="false">'לקוחות לפי סוכן - מקור'!E504</f>
        <v>ס.פ.אלנבי תרופות</v>
      </c>
      <c r="D513" s="22" t="n">
        <f aca="false">'לקוחות לפי סוכן - מקור'!F504</f>
        <v>0</v>
      </c>
      <c r="E513" s="22" t="n">
        <f aca="false">'לקוחות לפי סוכן - מקור'!G504</f>
        <v>13661.8</v>
      </c>
      <c r="F513" s="14" t="n">
        <f aca="false">'לקוחות לפי סוכן - מקור'!D504</f>
        <v>0</v>
      </c>
      <c r="G513" s="15" t="n">
        <f aca="false">'לקוחות לפי סוכן - מקור'!H504</f>
        <v>0</v>
      </c>
      <c r="H513" s="15" t="n">
        <f aca="false">'לקוחות לפי סוכן - מקור'!I504</f>
        <v>0</v>
      </c>
      <c r="I513" s="14" t="str">
        <f aca="false">'לקוחות לפי סוכן - מקור'!K504</f>
        <v>CHMI</v>
      </c>
    </row>
    <row r="514" customFormat="false" ht="15" hidden="false" customHeight="true" outlineLevel="1" collapsed="false">
      <c r="A514" s="14" t="str">
        <f aca="false">'לקוחות לפי סוכן - מקור'!A505</f>
        <v>חיים ויצמן</v>
      </c>
      <c r="B514" s="14" t="str">
        <f aca="false">'לקוחות לפי סוכן - מקור'!C505</f>
        <v>ס. פארם</v>
      </c>
      <c r="C514" s="47" t="str">
        <f aca="false">'לקוחות לפי סוכן - מקור'!E505</f>
        <v>ס.פ.פלורנטין תרופות</v>
      </c>
      <c r="D514" s="22" t="n">
        <f aca="false">'לקוחות לפי סוכן - מקור'!F505</f>
        <v>0</v>
      </c>
      <c r="E514" s="22" t="n">
        <f aca="false">'לקוחות לפי סוכן - מקור'!G505</f>
        <v>1546.3</v>
      </c>
      <c r="F514" s="14" t="n">
        <f aca="false">'לקוחות לפי סוכן - מקור'!D505</f>
        <v>0</v>
      </c>
      <c r="G514" s="15" t="n">
        <f aca="false">'לקוחות לפי סוכן - מקור'!H505</f>
        <v>0</v>
      </c>
      <c r="H514" s="15" t="n">
        <f aca="false">'לקוחות לפי סוכן - מקור'!I505</f>
        <v>0</v>
      </c>
      <c r="I514" s="14" t="str">
        <f aca="false">'לקוחות לפי סוכן - מקור'!K505</f>
        <v>CHMI</v>
      </c>
    </row>
    <row r="515" customFormat="false" ht="15" hidden="false" customHeight="true" outlineLevel="1" collapsed="false">
      <c r="A515" s="14" t="str">
        <f aca="false">'לקוחות לפי סוכן - מקור'!A506</f>
        <v>חיים ויצמן</v>
      </c>
      <c r="B515" s="14" t="str">
        <f aca="false">'לקוחות לפי סוכן - מקור'!C506</f>
        <v>ס. פארם</v>
      </c>
      <c r="C515" s="47" t="str">
        <f aca="false">'לקוחות לפי סוכן - מקור'!E506</f>
        <v>ס.פ.מגדלי ת""א תרופות</v>
      </c>
      <c r="D515" s="22" t="n">
        <f aca="false">'לקוחות לפי סוכן - מקור'!F506</f>
        <v>0</v>
      </c>
      <c r="E515" s="22" t="n">
        <f aca="false">'לקוחות לפי סוכן - מקור'!G506</f>
        <v>5372.3</v>
      </c>
      <c r="F515" s="14" t="n">
        <f aca="false">'לקוחות לפי סוכן - מקור'!D506</f>
        <v>0</v>
      </c>
      <c r="G515" s="15" t="n">
        <f aca="false">'לקוחות לפי סוכן - מקור'!H506</f>
        <v>0</v>
      </c>
      <c r="H515" s="15" t="n">
        <f aca="false">'לקוחות לפי סוכן - מקור'!I506</f>
        <v>0</v>
      </c>
      <c r="I515" s="14" t="str">
        <f aca="false">'לקוחות לפי סוכן - מקור'!K506</f>
        <v>CHMI</v>
      </c>
    </row>
    <row r="516" customFormat="false" ht="15" hidden="false" customHeight="true" outlineLevel="1" collapsed="false">
      <c r="A516" s="14" t="str">
        <f aca="false">'לקוחות לפי סוכן - מקור'!A507</f>
        <v>חיים ויצמן</v>
      </c>
      <c r="B516" s="14" t="str">
        <f aca="false">'לקוחות לפי סוכן - מקור'!C507</f>
        <v>ס. פארם</v>
      </c>
      <c r="C516" s="47" t="str">
        <f aca="false">'לקוחות לפי סוכן - מקור'!E507</f>
        <v>ס.פ.נמל תל אביב תרופות</v>
      </c>
      <c r="D516" s="22" t="n">
        <f aca="false">'לקוחות לפי סוכן - מקור'!F507</f>
        <v>0</v>
      </c>
      <c r="E516" s="22" t="n">
        <f aca="false">'לקוחות לפי סוכן - מקור'!G507</f>
        <v>6993.9</v>
      </c>
      <c r="F516" s="14" t="n">
        <f aca="false">'לקוחות לפי סוכן - מקור'!D507</f>
        <v>0</v>
      </c>
      <c r="G516" s="15" t="n">
        <f aca="false">'לקוחות לפי סוכן - מקור'!H507</f>
        <v>0</v>
      </c>
      <c r="H516" s="15" t="n">
        <f aca="false">'לקוחות לפי סוכן - מקור'!I507</f>
        <v>0</v>
      </c>
      <c r="I516" s="14" t="str">
        <f aca="false">'לקוחות לפי סוכן - מקור'!K507</f>
        <v>CHMI</v>
      </c>
    </row>
    <row r="517" customFormat="false" ht="15" hidden="false" customHeight="true" outlineLevel="1" collapsed="false">
      <c r="A517" s="14" t="str">
        <f aca="false">'לקוחות לפי סוכן - מקור'!A508</f>
        <v>חיים ויצמן</v>
      </c>
      <c r="B517" s="14" t="str">
        <f aca="false">'לקוחות לפי סוכן - מקור'!C508</f>
        <v>ס. פארם</v>
      </c>
      <c r="C517" s="47" t="str">
        <f aca="false">'לקוחות לפי סוכן - מקור'!E508</f>
        <v>ס.פ.דיזנגוף סנטר תרופות</v>
      </c>
      <c r="D517" s="22" t="n">
        <f aca="false">'לקוחות לפי סוכן - מקור'!F508</f>
        <v>0</v>
      </c>
      <c r="E517" s="22" t="n">
        <f aca="false">'לקוחות לפי סוכן - מקור'!G508</f>
        <v>11944.1</v>
      </c>
      <c r="F517" s="14" t="n">
        <f aca="false">'לקוחות לפי סוכן - מקור'!D508</f>
        <v>0</v>
      </c>
      <c r="G517" s="15" t="n">
        <f aca="false">'לקוחות לפי סוכן - מקור'!H508</f>
        <v>0</v>
      </c>
      <c r="H517" s="15" t="n">
        <f aca="false">'לקוחות לפי סוכן - מקור'!I508</f>
        <v>0</v>
      </c>
      <c r="I517" s="14" t="str">
        <f aca="false">'לקוחות לפי סוכן - מקור'!K508</f>
        <v>CHMI</v>
      </c>
    </row>
    <row r="518" customFormat="false" ht="15" hidden="false" customHeight="true" outlineLevel="1" collapsed="false">
      <c r="A518" s="14" t="str">
        <f aca="false">'לקוחות לפי סוכן - מקור'!A509</f>
        <v>חיים ויצמן</v>
      </c>
      <c r="B518" s="14" t="str">
        <f aca="false">'לקוחות לפי סוכן - מקור'!C509</f>
        <v>ס. פארם</v>
      </c>
      <c r="C518" s="47" t="str">
        <f aca="false">'לקוחות לפי סוכן - מקור'!E509</f>
        <v>ס.פ. איכילוב תרופות</v>
      </c>
      <c r="D518" s="22" t="n">
        <f aca="false">'לקוחות לפי סוכן - מקור'!F509</f>
        <v>0</v>
      </c>
      <c r="E518" s="22" t="n">
        <f aca="false">'לקוחות לפי סוכן - מקור'!G509</f>
        <v>36633.4</v>
      </c>
      <c r="F518" s="14" t="n">
        <f aca="false">'לקוחות לפי סוכן - מקור'!D509</f>
        <v>0</v>
      </c>
      <c r="G518" s="15" t="n">
        <f aca="false">'לקוחות לפי סוכן - מקור'!H509</f>
        <v>0</v>
      </c>
      <c r="H518" s="15" t="n">
        <f aca="false">'לקוחות לפי סוכן - מקור'!I509</f>
        <v>0</v>
      </c>
      <c r="I518" s="14" t="str">
        <f aca="false">'לקוחות לפי סוכן - מקור'!K509</f>
        <v>CHMI</v>
      </c>
    </row>
    <row r="519" customFormat="false" ht="15" hidden="false" customHeight="true" outlineLevel="1" collapsed="false">
      <c r="A519" s="14" t="str">
        <f aca="false">'לקוחות לפי סוכן - מקור'!A510</f>
        <v>חיים ויצמן</v>
      </c>
      <c r="B519" s="14" t="str">
        <f aca="false">'לקוחות לפי סוכן - מקור'!C510</f>
        <v>ס. פארם</v>
      </c>
      <c r="C519" s="47" t="str">
        <f aca="false">'לקוחות לפי סוכן - מקור'!E510</f>
        <v>ס.פ.יד אליהו  תרופות</v>
      </c>
      <c r="D519" s="22" t="n">
        <f aca="false">'לקוחות לפי סוכן - מקור'!F510</f>
        <v>0</v>
      </c>
      <c r="E519" s="22" t="n">
        <f aca="false">'לקוחות לפי סוכן - מקור'!G510</f>
        <v>10689.4</v>
      </c>
      <c r="F519" s="14" t="n">
        <f aca="false">'לקוחות לפי סוכן - מקור'!D510</f>
        <v>0</v>
      </c>
      <c r="G519" s="15" t="n">
        <f aca="false">'לקוחות לפי סוכן - מקור'!H510</f>
        <v>0</v>
      </c>
      <c r="H519" s="15" t="n">
        <f aca="false">'לקוחות לפי סוכן - מקור'!I510</f>
        <v>0</v>
      </c>
      <c r="I519" s="14" t="str">
        <f aca="false">'לקוחות לפי סוכן - מקור'!K510</f>
        <v>CHMI</v>
      </c>
    </row>
    <row r="520" customFormat="false" ht="15" hidden="false" customHeight="true" outlineLevel="1" collapsed="false">
      <c r="A520" s="14" t="str">
        <f aca="false">'לקוחות לפי סוכן - מקור'!A511</f>
        <v>חיים ויצמן</v>
      </c>
      <c r="B520" s="14" t="str">
        <f aca="false">'לקוחות לפי סוכן - מקור'!C511</f>
        <v>ס. פארם</v>
      </c>
      <c r="C520" s="47" t="str">
        <f aca="false">'לקוחות לפי סוכן - מקור'!E511</f>
        <v>ס.פ.ת.מרכזית תא תרופות</v>
      </c>
      <c r="D520" s="22" t="n">
        <f aca="false">'לקוחות לפי סוכן - מקור'!F511</f>
        <v>0</v>
      </c>
      <c r="E520" s="22" t="n">
        <f aca="false">'לקוחות לפי סוכן - מקור'!G511</f>
        <v>19531.7</v>
      </c>
      <c r="F520" s="14" t="n">
        <f aca="false">'לקוחות לפי סוכן - מקור'!D511</f>
        <v>0</v>
      </c>
      <c r="G520" s="15" t="n">
        <f aca="false">'לקוחות לפי סוכן - מקור'!H511</f>
        <v>0</v>
      </c>
      <c r="H520" s="15" t="n">
        <f aca="false">'לקוחות לפי סוכן - מקור'!I511</f>
        <v>0</v>
      </c>
      <c r="I520" s="14" t="str">
        <f aca="false">'לקוחות לפי סוכן - מקור'!K511</f>
        <v>CHMI</v>
      </c>
    </row>
    <row r="521" customFormat="false" ht="15" hidden="false" customHeight="true" outlineLevel="1" collapsed="false">
      <c r="A521" s="14" t="str">
        <f aca="false">'לקוחות לפי סוכן - מקור'!A512</f>
        <v>חיים ויצמן</v>
      </c>
      <c r="B521" s="14" t="str">
        <f aca="false">'לקוחות לפי סוכן - מקור'!C512</f>
        <v>ס. פארם</v>
      </c>
      <c r="C521" s="47" t="str">
        <f aca="false">'לקוחות לפי סוכן - מקור'!E512</f>
        <v>ס.פ.מגדל שלום תרופות</v>
      </c>
      <c r="D521" s="22" t="n">
        <f aca="false">'לקוחות לפי סוכן - מקור'!F512</f>
        <v>0</v>
      </c>
      <c r="E521" s="22" t="n">
        <f aca="false">'לקוחות לפי סוכן - מקור'!G512</f>
        <v>17670.5</v>
      </c>
      <c r="F521" s="14" t="n">
        <f aca="false">'לקוחות לפי סוכן - מקור'!D512</f>
        <v>0</v>
      </c>
      <c r="G521" s="15" t="n">
        <f aca="false">'לקוחות לפי סוכן - מקור'!H512</f>
        <v>0</v>
      </c>
      <c r="H521" s="15" t="n">
        <f aca="false">'לקוחות לפי סוכן - מקור'!I512</f>
        <v>0</v>
      </c>
      <c r="I521" s="14" t="str">
        <f aca="false">'לקוחות לפי סוכן - מקור'!K512</f>
        <v>CHMI</v>
      </c>
    </row>
    <row r="522" customFormat="false" ht="15" hidden="false" customHeight="true" outlineLevel="1" collapsed="false">
      <c r="A522" s="14" t="str">
        <f aca="false">'לקוחות לפי סוכן - מקור'!A513</f>
        <v>חיים ויצמן</v>
      </c>
      <c r="B522" s="14" t="str">
        <f aca="false">'לקוחות לפי סוכן - מקור'!C513</f>
        <v>ס. פארם</v>
      </c>
      <c r="C522" s="47" t="str">
        <f aca="false">'לקוחות לפי סוכן - מקור'!E513</f>
        <v>ס.פ.צמרת ת""א תרופות</v>
      </c>
      <c r="D522" s="22" t="n">
        <f aca="false">'לקוחות לפי סוכן - מקור'!F513</f>
        <v>0</v>
      </c>
      <c r="E522" s="22" t="n">
        <f aca="false">'לקוחות לפי סוכן - מקור'!G513</f>
        <v>5586.4</v>
      </c>
      <c r="F522" s="14" t="n">
        <f aca="false">'לקוחות לפי סוכן - מקור'!D513</f>
        <v>0</v>
      </c>
      <c r="G522" s="15" t="n">
        <f aca="false">'לקוחות לפי סוכן - מקור'!H513</f>
        <v>0</v>
      </c>
      <c r="H522" s="15" t="n">
        <f aca="false">'לקוחות לפי סוכן - מקור'!I513</f>
        <v>0</v>
      </c>
      <c r="I522" s="14" t="str">
        <f aca="false">'לקוחות לפי סוכן - מקור'!K513</f>
        <v>CHMI</v>
      </c>
    </row>
    <row r="523" customFormat="false" ht="15" hidden="false" customHeight="true" outlineLevel="1" collapsed="false">
      <c r="A523" s="14" t="str">
        <f aca="false">'לקוחות לפי סוכן - מקור'!A514</f>
        <v>חיים ויצמן</v>
      </c>
      <c r="B523" s="14" t="str">
        <f aca="false">'לקוחות לפי סוכן - מקור'!C514</f>
        <v>ס. פארם</v>
      </c>
      <c r="C523" s="47" t="str">
        <f aca="false">'לקוחות לפי סוכן - מקור'!E514</f>
        <v>ס.פ.מיניסטור תרופות</v>
      </c>
      <c r="D523" s="22" t="n">
        <f aca="false">'לקוחות לפי סוכן - מקור'!F514</f>
        <v>0</v>
      </c>
      <c r="E523" s="22" t="n">
        <f aca="false">'לקוחות לפי סוכן - מקור'!G514</f>
        <v>47848.3</v>
      </c>
      <c r="F523" s="14" t="n">
        <f aca="false">'לקוחות לפי סוכן - מקור'!D514</f>
        <v>0</v>
      </c>
      <c r="G523" s="15" t="n">
        <f aca="false">'לקוחות לפי סוכן - מקור'!H514</f>
        <v>0</v>
      </c>
      <c r="H523" s="15" t="n">
        <f aca="false">'לקוחות לפי סוכן - מקור'!I514</f>
        <v>0</v>
      </c>
      <c r="I523" s="14" t="str">
        <f aca="false">'לקוחות לפי סוכן - מקור'!K514</f>
        <v>CHMI</v>
      </c>
    </row>
    <row r="524" customFormat="false" ht="15" hidden="false" customHeight="true" outlineLevel="1" collapsed="false">
      <c r="A524" s="14" t="str">
        <f aca="false">'לקוחות לפי סוכן - מקור'!A515</f>
        <v>חיים ויצמן</v>
      </c>
      <c r="B524" s="14" t="str">
        <f aca="false">'לקוחות לפי סוכן - מקור'!C515</f>
        <v>ס. פארם</v>
      </c>
      <c r="C524" s="47" t="str">
        <f aca="false">'לקוחות לפי סוכן - מקור'!E515</f>
        <v>ס.פ מ.השלום )עזריאלי( תרופות</v>
      </c>
      <c r="D524" s="22" t="n">
        <f aca="false">'לקוחות לפי סוכן - מקור'!F515</f>
        <v>0</v>
      </c>
      <c r="E524" s="22" t="n">
        <f aca="false">'לקוחות לפי סוכן - מקור'!G515</f>
        <v>20853.9</v>
      </c>
      <c r="F524" s="14" t="n">
        <f aca="false">'לקוחות לפי סוכן - מקור'!D515</f>
        <v>0</v>
      </c>
      <c r="G524" s="15" t="n">
        <f aca="false">'לקוחות לפי סוכן - מקור'!H515</f>
        <v>0</v>
      </c>
      <c r="H524" s="15" t="n">
        <f aca="false">'לקוחות לפי סוכן - מקור'!I515</f>
        <v>0</v>
      </c>
      <c r="I524" s="14" t="str">
        <f aca="false">'לקוחות לפי סוכן - מקור'!K515</f>
        <v>CHMI</v>
      </c>
    </row>
    <row r="525" customFormat="false" ht="15" hidden="false" customHeight="true" outlineLevel="1" collapsed="false">
      <c r="A525" s="14" t="str">
        <f aca="false">'לקוחות לפי סוכן - מקור'!A516</f>
        <v>חיים ויצמן</v>
      </c>
      <c r="B525" s="14" t="str">
        <f aca="false">'לקוחות לפי סוכן - מקור'!C516</f>
        <v>ס. פארם</v>
      </c>
      <c r="C525" s="47" t="str">
        <f aca="false">'לקוחות לפי סוכן - מקור'!E516</f>
        <v>ס.פ.גורדון תרופות</v>
      </c>
      <c r="D525" s="22" t="n">
        <f aca="false">'לקוחות לפי סוכן - מקור'!F516</f>
        <v>0</v>
      </c>
      <c r="E525" s="22" t="n">
        <f aca="false">'לקוחות לפי סוכן - מקור'!G516</f>
        <v>12166.6</v>
      </c>
      <c r="F525" s="14" t="n">
        <f aca="false">'לקוחות לפי סוכן - מקור'!D516</f>
        <v>0</v>
      </c>
      <c r="G525" s="15" t="n">
        <f aca="false">'לקוחות לפי סוכן - מקור'!H516</f>
        <v>0</v>
      </c>
      <c r="H525" s="15" t="n">
        <f aca="false">'לקוחות לפי סוכן - מקור'!I516</f>
        <v>0</v>
      </c>
      <c r="I525" s="14" t="str">
        <f aca="false">'לקוחות לפי סוכן - מקור'!K516</f>
        <v>CHMI</v>
      </c>
    </row>
    <row r="526" customFormat="false" ht="15" hidden="false" customHeight="true" outlineLevel="1" collapsed="false">
      <c r="A526" s="14" t="str">
        <f aca="false">'לקוחות לפי סוכן - מקור'!A517</f>
        <v>חיים ויצמן</v>
      </c>
      <c r="B526" s="14" t="str">
        <f aca="false">'לקוחות לפי סוכן - מקור'!C517</f>
        <v>ס. פארם</v>
      </c>
      <c r="C526" s="47" t="str">
        <f aca="false">'לקוחות לפי סוכן - מקור'!E517</f>
        <v>ס.פ.אבן גבירול תרופות</v>
      </c>
      <c r="D526" s="22" t="n">
        <f aca="false">'לקוחות לפי סוכן - מקור'!F517</f>
        <v>0</v>
      </c>
      <c r="E526" s="22" t="n">
        <f aca="false">'לקוחות לפי סוכן - מקור'!G517</f>
        <v>32455.5</v>
      </c>
      <c r="F526" s="14" t="n">
        <f aca="false">'לקוחות לפי סוכן - מקור'!D517</f>
        <v>0</v>
      </c>
      <c r="G526" s="15" t="n">
        <f aca="false">'לקוחות לפי סוכן - מקור'!H517</f>
        <v>0</v>
      </c>
      <c r="H526" s="15" t="n">
        <f aca="false">'לקוחות לפי סוכן - מקור'!I517</f>
        <v>0</v>
      </c>
      <c r="I526" s="14" t="str">
        <f aca="false">'לקוחות לפי סוכן - מקור'!K517</f>
        <v>CHMI</v>
      </c>
    </row>
    <row r="527" customFormat="false" ht="15" hidden="false" customHeight="true" outlineLevel="1" collapsed="false">
      <c r="A527" s="14" t="str">
        <f aca="false">'לקוחות לפי סוכן - מקור'!A518</f>
        <v>חיים ויצמן</v>
      </c>
      <c r="B527" s="14" t="str">
        <f aca="false">'לקוחות לפי סוכן - מקור'!C518</f>
        <v>ס. פארם</v>
      </c>
      <c r="C527" s="47" t="str">
        <f aca="false">'לקוחות לפי סוכן - מקור'!E518</f>
        <v>ס.פ.קסטל תל אביב תרופות</v>
      </c>
      <c r="D527" s="22" t="n">
        <f aca="false">'לקוחות לפי סוכן - מקור'!F518</f>
        <v>0</v>
      </c>
      <c r="E527" s="22" t="n">
        <f aca="false">'לקוחות לפי סוכן - מקור'!G518</f>
        <v>8935.3</v>
      </c>
      <c r="F527" s="14" t="n">
        <f aca="false">'לקוחות לפי סוכן - מקור'!D518</f>
        <v>0</v>
      </c>
      <c r="G527" s="15" t="n">
        <f aca="false">'לקוחות לפי סוכן - מקור'!H518</f>
        <v>0</v>
      </c>
      <c r="H527" s="15" t="n">
        <f aca="false">'לקוחות לפי סוכן - מקור'!I518</f>
        <v>0</v>
      </c>
      <c r="I527" s="14" t="str">
        <f aca="false">'לקוחות לפי סוכן - מקור'!K518</f>
        <v>CHMI</v>
      </c>
    </row>
    <row r="528" customFormat="false" ht="15" hidden="false" customHeight="true" outlineLevel="1" collapsed="false">
      <c r="A528" s="14" t="str">
        <f aca="false">'לקוחות לפי סוכן - מקור'!A519</f>
        <v>חיים ויצמן</v>
      </c>
      <c r="B528" s="14" t="str">
        <f aca="false">'לקוחות לפי סוכן - מקור'!C519</f>
        <v>ס. פארם</v>
      </c>
      <c r="C528" s="47" t="str">
        <f aca="false">'לקוחות לפי סוכן - מקור'!E519</f>
        <v>ס.פ.שנקין תרופות</v>
      </c>
      <c r="D528" s="22" t="n">
        <f aca="false">'לקוחות לפי סוכן - מקור'!F519</f>
        <v>0</v>
      </c>
      <c r="E528" s="22" t="n">
        <f aca="false">'לקוחות לפי סוכן - מקור'!G519</f>
        <v>16158.5</v>
      </c>
      <c r="F528" s="14" t="n">
        <f aca="false">'לקוחות לפי סוכן - מקור'!D519</f>
        <v>0</v>
      </c>
      <c r="G528" s="15" t="n">
        <f aca="false">'לקוחות לפי סוכן - מקור'!H519</f>
        <v>0</v>
      </c>
      <c r="H528" s="15" t="n">
        <f aca="false">'לקוחות לפי סוכן - מקור'!I519</f>
        <v>0</v>
      </c>
      <c r="I528" s="14" t="str">
        <f aca="false">'לקוחות לפי סוכן - מקור'!K519</f>
        <v>CHMI</v>
      </c>
    </row>
    <row r="529" customFormat="false" ht="15" hidden="false" customHeight="true" outlineLevel="1" collapsed="false">
      <c r="A529" s="14" t="str">
        <f aca="false">'לקוחות לפי סוכן - מקור'!A520</f>
        <v>חיים ויצמן</v>
      </c>
      <c r="B529" s="14" t="str">
        <f aca="false">'לקוחות לפי סוכן - מקור'!C520</f>
        <v>ס. פארם</v>
      </c>
      <c r="C529" s="47" t="str">
        <f aca="false">'לקוחות לפי סוכן - מקור'!E520</f>
        <v>ס.פ.רעננה מרכז תרופות</v>
      </c>
      <c r="D529" s="22" t="n">
        <f aca="false">'לקוחות לפי סוכן - מקור'!F520</f>
        <v>0</v>
      </c>
      <c r="E529" s="22" t="n">
        <f aca="false">'לקוחות לפי סוכן - מקור'!G520</f>
        <v>23919.9</v>
      </c>
      <c r="F529" s="14" t="n">
        <f aca="false">'לקוחות לפי סוכן - מקור'!D520</f>
        <v>0</v>
      </c>
      <c r="G529" s="15" t="n">
        <f aca="false">'לקוחות לפי סוכן - מקור'!H520</f>
        <v>0</v>
      </c>
      <c r="H529" s="15" t="n">
        <f aca="false">'לקוחות לפי סוכן - מקור'!I520</f>
        <v>0</v>
      </c>
      <c r="I529" s="14" t="str">
        <f aca="false">'לקוחות לפי סוכן - מקור'!K520</f>
        <v>CHMI</v>
      </c>
    </row>
    <row r="530" customFormat="false" ht="15" hidden="false" customHeight="true" outlineLevel="1" collapsed="false">
      <c r="A530" s="14" t="str">
        <f aca="false">'לקוחות לפי סוכן - מקור'!A521</f>
        <v>חיים ויצמן</v>
      </c>
      <c r="B530" s="14" t="str">
        <f aca="false">'לקוחות לפי סוכן - מקור'!C521</f>
        <v>ס. פארם</v>
      </c>
      <c r="C530" s="47" t="str">
        <f aca="false">'לקוחות לפי סוכן - מקור'!E521</f>
        <v>ס.פ.רננים תרופות</v>
      </c>
      <c r="D530" s="22" t="n">
        <f aca="false">'לקוחות לפי סוכן - מקור'!F521</f>
        <v>0</v>
      </c>
      <c r="E530" s="22" t="n">
        <f aca="false">'לקוחות לפי סוכן - מקור'!G521</f>
        <v>20531.7</v>
      </c>
      <c r="F530" s="14" t="n">
        <f aca="false">'לקוחות לפי סוכן - מקור'!D521</f>
        <v>0</v>
      </c>
      <c r="G530" s="15" t="n">
        <f aca="false">'לקוחות לפי סוכן - מקור'!H521</f>
        <v>0</v>
      </c>
      <c r="H530" s="15" t="n">
        <f aca="false">'לקוחות לפי סוכן - מקור'!I521</f>
        <v>0</v>
      </c>
      <c r="I530" s="14" t="str">
        <f aca="false">'לקוחות לפי סוכן - מקור'!K521</f>
        <v>CHMI</v>
      </c>
    </row>
    <row r="531" customFormat="false" ht="15" hidden="false" customHeight="true" outlineLevel="1" collapsed="false">
      <c r="A531" s="14" t="str">
        <f aca="false">'לקוחות לפי סוכן - מקור'!A522</f>
        <v>חיים ויצמן</v>
      </c>
      <c r="B531" s="14" t="str">
        <f aca="false">'לקוחות לפי סוכן - מקור'!C522</f>
        <v>ס. פארם</v>
      </c>
      <c r="C531" s="47" t="str">
        <f aca="false">'לקוחות לפי סוכן - מקור'!E522</f>
        <v>ס.פ.פקר כפר סבא תרופות</v>
      </c>
      <c r="D531" s="22" t="n">
        <f aca="false">'לקוחות לפי סוכן - מקור'!F522</f>
        <v>0</v>
      </c>
      <c r="E531" s="22" t="n">
        <f aca="false">'לקוחות לפי סוכן - מקור'!G522</f>
        <v>27155.7</v>
      </c>
      <c r="F531" s="14" t="n">
        <f aca="false">'לקוחות לפי סוכן - מקור'!D522</f>
        <v>0</v>
      </c>
      <c r="G531" s="15" t="n">
        <f aca="false">'לקוחות לפי סוכן - מקור'!H522</f>
        <v>0</v>
      </c>
      <c r="H531" s="15" t="n">
        <f aca="false">'לקוחות לפי סוכן - מקור'!I522</f>
        <v>0</v>
      </c>
      <c r="I531" s="14" t="str">
        <f aca="false">'לקוחות לפי סוכן - מקור'!K522</f>
        <v>CHMI</v>
      </c>
    </row>
    <row r="532" customFormat="false" ht="15" hidden="false" customHeight="true" outlineLevel="1" collapsed="false">
      <c r="A532" s="14" t="str">
        <f aca="false">'לקוחות לפי סוכן - מקור'!A523</f>
        <v>חיים ויצמן</v>
      </c>
      <c r="B532" s="14" t="str">
        <f aca="false">'לקוחות לפי סוכן - מקור'!C523</f>
        <v>ס. פארם</v>
      </c>
      <c r="C532" s="47" t="str">
        <f aca="false">'לקוחות לפי סוכן - מקור'!E523</f>
        <v>267  ס.פ.פארק מול תרופות</v>
      </c>
      <c r="D532" s="22" t="n">
        <f aca="false">'לקוחות לפי סוכן - מקור'!F523</f>
        <v>0</v>
      </c>
      <c r="E532" s="22" t="n">
        <f aca="false">'לקוחות לפי סוכן - מקור'!G523</f>
        <v>24651.5</v>
      </c>
      <c r="F532" s="14" t="n">
        <f aca="false">'לקוחות לפי סוכן - מקור'!D523</f>
        <v>0</v>
      </c>
      <c r="G532" s="15" t="n">
        <f aca="false">'לקוחות לפי סוכן - מקור'!H523</f>
        <v>0</v>
      </c>
      <c r="H532" s="15" t="n">
        <f aca="false">'לקוחות לפי סוכן - מקור'!I523</f>
        <v>0</v>
      </c>
      <c r="I532" s="14" t="str">
        <f aca="false">'לקוחות לפי סוכן - מקור'!K523</f>
        <v>CHMI</v>
      </c>
    </row>
    <row r="533" customFormat="false" ht="15" hidden="false" customHeight="true" outlineLevel="1" collapsed="false">
      <c r="A533" s="14" t="str">
        <f aca="false">'לקוחות לפי סוכן - מקור'!A524</f>
        <v>חיים ויצמן</v>
      </c>
      <c r="B533" s="14" t="str">
        <f aca="false">'לקוחות לפי סוכן - מקור'!C524</f>
        <v>ס. פארם</v>
      </c>
      <c r="C533" s="47" t="str">
        <f aca="false">'לקוחות לפי סוכן - מקור'!E524</f>
        <v>ס.פ.הוד השרון תרופות</v>
      </c>
      <c r="D533" s="22" t="n">
        <f aca="false">'לקוחות לפי סוכן - מקור'!F524</f>
        <v>0</v>
      </c>
      <c r="E533" s="22" t="n">
        <f aca="false">'לקוחות לפי סוכן - מקור'!G524</f>
        <v>24101.1</v>
      </c>
      <c r="F533" s="14" t="n">
        <f aca="false">'לקוחות לפי סוכן - מקור'!D524</f>
        <v>0</v>
      </c>
      <c r="G533" s="15" t="n">
        <f aca="false">'לקוחות לפי סוכן - מקור'!H524</f>
        <v>0</v>
      </c>
      <c r="H533" s="15" t="n">
        <f aca="false">'לקוחות לפי סוכן - מקור'!I524</f>
        <v>0</v>
      </c>
      <c r="I533" s="14" t="str">
        <f aca="false">'לקוחות לפי סוכן - מקור'!K524</f>
        <v>CHMI</v>
      </c>
    </row>
    <row r="534" customFormat="false" ht="15" hidden="false" customHeight="true" outlineLevel="1" collapsed="false">
      <c r="A534" s="14" t="str">
        <f aca="false">'לקוחות לפי סוכן - מקור'!A525</f>
        <v>חיים ויצמן</v>
      </c>
      <c r="B534" s="14" t="str">
        <f aca="false">'לקוחות לפי סוכן - מקור'!C525</f>
        <v>ס. פארם</v>
      </c>
      <c r="C534" s="47" t="str">
        <f aca="false">'לקוחות לפי סוכן - מקור'!E525</f>
        <v>ס.פ.כפר סבא תרופות</v>
      </c>
      <c r="D534" s="22" t="n">
        <f aca="false">'לקוחות לפי סוכן - מקור'!F525</f>
        <v>0</v>
      </c>
      <c r="E534" s="22" t="n">
        <f aca="false">'לקוחות לפי סוכן - מקור'!G525</f>
        <v>6522.2</v>
      </c>
      <c r="F534" s="14" t="n">
        <f aca="false">'לקוחות לפי סוכן - מקור'!D525</f>
        <v>0</v>
      </c>
      <c r="G534" s="15" t="n">
        <f aca="false">'לקוחות לפי סוכן - מקור'!H525</f>
        <v>0</v>
      </c>
      <c r="H534" s="15" t="n">
        <f aca="false">'לקוחות לפי סוכן - מקור'!I525</f>
        <v>0</v>
      </c>
      <c r="I534" s="14" t="str">
        <f aca="false">'לקוחות לפי סוכן - מקור'!K525</f>
        <v>CHMI</v>
      </c>
    </row>
    <row r="535" customFormat="false" ht="15" hidden="false" customHeight="true" outlineLevel="1" collapsed="false">
      <c r="A535" s="14" t="str">
        <f aca="false">'לקוחות לפי סוכן - מקור'!A526</f>
        <v>חיים ויצמן</v>
      </c>
      <c r="B535" s="14" t="str">
        <f aca="false">'לקוחות לפי סוכן - מקור'!C526</f>
        <v>ס. פארם</v>
      </c>
      <c r="C535" s="47" t="str">
        <f aca="false">'לקוחות לפי סוכן - מקור'!E526</f>
        <v>ס.פ.קניון ערים כ""ס תרופות</v>
      </c>
      <c r="D535" s="22" t="n">
        <f aca="false">'לקוחות לפי סוכן - מקור'!F526</f>
        <v>0</v>
      </c>
      <c r="E535" s="22" t="n">
        <f aca="false">'לקוחות לפי סוכן - מקור'!G526</f>
        <v>16442</v>
      </c>
      <c r="F535" s="14" t="n">
        <f aca="false">'לקוחות לפי סוכן - מקור'!D526</f>
        <v>0</v>
      </c>
      <c r="G535" s="15" t="n">
        <f aca="false">'לקוחות לפי סוכן - מקור'!H526</f>
        <v>0</v>
      </c>
      <c r="H535" s="15" t="n">
        <f aca="false">'לקוחות לפי סוכן - מקור'!I526</f>
        <v>0</v>
      </c>
      <c r="I535" s="14" t="str">
        <f aca="false">'לקוחות לפי סוכן - מקור'!K526</f>
        <v>CHMI</v>
      </c>
    </row>
    <row r="536" customFormat="false" ht="15" hidden="false" customHeight="true" outlineLevel="1" collapsed="false">
      <c r="A536" s="14" t="str">
        <f aca="false">'לקוחות לפי סוכן - מקור'!A527</f>
        <v>חיים ויצמן</v>
      </c>
      <c r="B536" s="14" t="str">
        <f aca="false">'לקוחות לפי סוכן - מקור'!C527</f>
        <v>ס. פארם</v>
      </c>
      <c r="C536" s="47" t="str">
        <f aca="false">'לקוחות לפי סוכן - מקור'!E527</f>
        <v>ס.פ.קניון השרון נתניה תרופות</v>
      </c>
      <c r="D536" s="22" t="n">
        <f aca="false">'לקוחות לפי סוכן - מקור'!F527</f>
        <v>0</v>
      </c>
      <c r="E536" s="22" t="n">
        <f aca="false">'לקוחות לפי סוכן - מקור'!G527</f>
        <v>21382.2</v>
      </c>
      <c r="F536" s="14" t="n">
        <f aca="false">'לקוחות לפי סוכן - מקור'!D527</f>
        <v>0</v>
      </c>
      <c r="G536" s="15" t="n">
        <f aca="false">'לקוחות לפי סוכן - מקור'!H527</f>
        <v>0</v>
      </c>
      <c r="H536" s="15" t="n">
        <f aca="false">'לקוחות לפי סוכן - מקור'!I527</f>
        <v>0</v>
      </c>
      <c r="I536" s="14" t="str">
        <f aca="false">'לקוחות לפי סוכן - מקור'!K527</f>
        <v>CHMI</v>
      </c>
    </row>
    <row r="537" customFormat="false" ht="15" hidden="false" customHeight="true" outlineLevel="1" collapsed="false">
      <c r="A537" s="14" t="str">
        <f aca="false">'לקוחות לפי סוכן - מקור'!A528</f>
        <v>חיים ויצמן</v>
      </c>
      <c r="B537" s="14" t="str">
        <f aca="false">'לקוחות לפי סוכן - מקור'!C528</f>
        <v>ס. פארם</v>
      </c>
      <c r="C537" s="47" t="str">
        <f aca="false">'לקוחות לפי סוכן - מקור'!E528</f>
        <v>ס.פ.ויצמן נתניה תרופות</v>
      </c>
      <c r="D537" s="22" t="n">
        <f aca="false">'לקוחות לפי סוכן - מקור'!F528</f>
        <v>0</v>
      </c>
      <c r="E537" s="22" t="n">
        <f aca="false">'לקוחות לפי סוכן - מקור'!G528</f>
        <v>14275.7</v>
      </c>
      <c r="F537" s="14" t="n">
        <f aca="false">'לקוחות לפי סוכן - מקור'!D528</f>
        <v>0</v>
      </c>
      <c r="G537" s="15" t="n">
        <f aca="false">'לקוחות לפי סוכן - מקור'!H528</f>
        <v>0</v>
      </c>
      <c r="H537" s="15" t="n">
        <f aca="false">'לקוחות לפי סוכן - מקור'!I528</f>
        <v>0</v>
      </c>
      <c r="I537" s="14" t="str">
        <f aca="false">'לקוחות לפי סוכן - מקור'!K528</f>
        <v>CHMI</v>
      </c>
    </row>
    <row r="538" customFormat="false" ht="15" hidden="false" customHeight="true" outlineLevel="1" collapsed="false">
      <c r="A538" s="14" t="str">
        <f aca="false">'לקוחות לפי סוכן - מקור'!A529</f>
        <v>חיים ויצמן</v>
      </c>
      <c r="B538" s="14" t="str">
        <f aca="false">'לקוחות לפי סוכן - מקור'!C529</f>
        <v>ס. פארם</v>
      </c>
      <c r="C538" s="47" t="str">
        <f aca="false">'לקוחות לפי סוכן - מקור'!E529</f>
        <v>ס.פ.קדימה תרופות</v>
      </c>
      <c r="D538" s="22" t="n">
        <f aca="false">'לקוחות לפי סוכן - מקור'!F529</f>
        <v>0</v>
      </c>
      <c r="E538" s="22" t="n">
        <f aca="false">'לקוחות לפי סוכן - מקור'!G529</f>
        <v>15066.9</v>
      </c>
      <c r="F538" s="14" t="n">
        <f aca="false">'לקוחות לפי סוכן - מקור'!D529</f>
        <v>0</v>
      </c>
      <c r="G538" s="15" t="n">
        <f aca="false">'לקוחות לפי סוכן - מקור'!H529</f>
        <v>0</v>
      </c>
      <c r="H538" s="15" t="n">
        <f aca="false">'לקוחות לפי סוכן - מקור'!I529</f>
        <v>0</v>
      </c>
      <c r="I538" s="14" t="str">
        <f aca="false">'לקוחות לפי סוכן - מקור'!K529</f>
        <v>CHMI</v>
      </c>
    </row>
    <row r="539" customFormat="false" ht="15" hidden="false" customHeight="true" outlineLevel="1" collapsed="false">
      <c r="A539" s="14" t="str">
        <f aca="false">'לקוחות לפי סוכן - מקור'!A530</f>
        <v>חיים ויצמן</v>
      </c>
      <c r="B539" s="14" t="str">
        <f aca="false">'לקוחות לפי סוכן - מקור'!C530</f>
        <v>ס. פארם</v>
      </c>
      <c r="C539" s="47" t="str">
        <f aca="false">'לקוחות לפי סוכן - מקור'!E530</f>
        <v>ס.פ.תל מונד תרופות</v>
      </c>
      <c r="D539" s="22" t="n">
        <f aca="false">'לקוחות לפי סוכן - מקור'!F530</f>
        <v>0</v>
      </c>
      <c r="E539" s="22" t="n">
        <f aca="false">'לקוחות לפי סוכן - מקור'!G530</f>
        <v>12098.6</v>
      </c>
      <c r="F539" s="14" t="n">
        <f aca="false">'לקוחות לפי סוכן - מקור'!D530</f>
        <v>0</v>
      </c>
      <c r="G539" s="15" t="n">
        <f aca="false">'לקוחות לפי סוכן - מקור'!H530</f>
        <v>0</v>
      </c>
      <c r="H539" s="15" t="n">
        <f aca="false">'לקוחות לפי סוכן - מקור'!I530</f>
        <v>0</v>
      </c>
      <c r="I539" s="14" t="str">
        <f aca="false">'לקוחות לפי סוכן - מקור'!K530</f>
        <v>CHMI</v>
      </c>
    </row>
    <row r="540" customFormat="false" ht="15" hidden="false" customHeight="true" outlineLevel="1" collapsed="false">
      <c r="A540" s="14" t="str">
        <f aca="false">'לקוחות לפי סוכן - מקור'!A531</f>
        <v>חיים ויצמן</v>
      </c>
      <c r="B540" s="14" t="str">
        <f aca="false">'לקוחות לפי סוכן - מקור'!C531</f>
        <v>ס. פארם</v>
      </c>
      <c r="C540" s="47" t="str">
        <f aca="false">'לקוחות לפי סוכן - מקור'!E531</f>
        <v>ס.פ.ביג פולג תרופות</v>
      </c>
      <c r="D540" s="22" t="n">
        <f aca="false">'לקוחות לפי סוכן - מקור'!F531</f>
        <v>0</v>
      </c>
      <c r="E540" s="22" t="n">
        <f aca="false">'לקוחות לפי סוכן - מקור'!G531</f>
        <v>20736.3</v>
      </c>
      <c r="F540" s="14" t="n">
        <f aca="false">'לקוחות לפי סוכן - מקור'!D531</f>
        <v>0</v>
      </c>
      <c r="G540" s="15" t="n">
        <f aca="false">'לקוחות לפי סוכן - מקור'!H531</f>
        <v>0</v>
      </c>
      <c r="H540" s="15" t="n">
        <f aca="false">'לקוחות לפי סוכן - מקור'!I531</f>
        <v>0</v>
      </c>
      <c r="I540" s="14" t="str">
        <f aca="false">'לקוחות לפי סוכן - מקור'!K531</f>
        <v>CHMI</v>
      </c>
    </row>
    <row r="541" customFormat="false" ht="15" hidden="false" customHeight="true" outlineLevel="1" collapsed="false">
      <c r="A541" s="14" t="str">
        <f aca="false">'לקוחות לפי סוכן - מקור'!A532</f>
        <v>חיים ויצמן</v>
      </c>
      <c r="B541" s="14" t="str">
        <f aca="false">'לקוחות לפי סוכן - מקור'!C532</f>
        <v>ס. פארם</v>
      </c>
      <c r="C541" s="47" t="str">
        <f aca="false">'לקוחות לפי סוכן - מקור'!E532</f>
        <v>ס.פ.הארי נתניה תרופות</v>
      </c>
      <c r="D541" s="22" t="n">
        <f aca="false">'לקוחות לפי סוכן - מקור'!F532</f>
        <v>0</v>
      </c>
      <c r="E541" s="22" t="n">
        <f aca="false">'לקוחות לפי סוכן - מקור'!G532</f>
        <v>22369.9</v>
      </c>
      <c r="F541" s="14" t="n">
        <f aca="false">'לקוחות לפי סוכן - מקור'!D532</f>
        <v>0</v>
      </c>
      <c r="G541" s="15" t="n">
        <f aca="false">'לקוחות לפי סוכן - מקור'!H532</f>
        <v>0</v>
      </c>
      <c r="H541" s="15" t="n">
        <f aca="false">'לקוחות לפי סוכן - מקור'!I532</f>
        <v>0</v>
      </c>
      <c r="I541" s="14" t="str">
        <f aca="false">'לקוחות לפי סוכן - מקור'!K532</f>
        <v>CHMI</v>
      </c>
    </row>
    <row r="542" customFormat="false" ht="15" hidden="false" customHeight="true" outlineLevel="1" collapsed="false">
      <c r="A542" s="14" t="str">
        <f aca="false">'לקוחות לפי סוכן - מקור'!A533</f>
        <v>חיים ויצמן</v>
      </c>
      <c r="B542" s="14" t="str">
        <f aca="false">'לקוחות לפי סוכן - מקור'!C533</f>
        <v>ס. פארם</v>
      </c>
      <c r="C542" s="47" t="str">
        <f aca="false">'לקוחות לפי סוכן - מקור'!E533</f>
        <v>ס.פ.עיר ימים נתניה תרופות</v>
      </c>
      <c r="D542" s="22" t="n">
        <f aca="false">'לקוחות לפי סוכן - מקור'!F533</f>
        <v>0</v>
      </c>
      <c r="E542" s="22" t="n">
        <f aca="false">'לקוחות לפי סוכן - מקור'!G533</f>
        <v>24534.9</v>
      </c>
      <c r="F542" s="14" t="n">
        <f aca="false">'לקוחות לפי סוכן - מקור'!D533</f>
        <v>0</v>
      </c>
      <c r="G542" s="15" t="n">
        <f aca="false">'לקוחות לפי סוכן - מקור'!H533</f>
        <v>0</v>
      </c>
      <c r="H542" s="15" t="n">
        <f aca="false">'לקוחות לפי סוכן - מקור'!I533</f>
        <v>0</v>
      </c>
      <c r="I542" s="14" t="str">
        <f aca="false">'לקוחות לפי סוכן - מקור'!K533</f>
        <v>CHMI</v>
      </c>
    </row>
    <row r="543" customFormat="false" ht="15" hidden="false" customHeight="true" outlineLevel="1" collapsed="false">
      <c r="A543" s="14" t="str">
        <f aca="false">'לקוחות לפי סוכן - מקור'!A534</f>
        <v>חיים ויצמן</v>
      </c>
      <c r="B543" s="14" t="str">
        <f aca="false">'לקוחות לפי סוכן - מקור'!C534</f>
        <v>ס. פארם</v>
      </c>
      <c r="C543" s="47" t="str">
        <f aca="false">'לקוחות לפי סוכן - מקור'!E534</f>
        <v>ס.פ.רמז נתניה תרופות</v>
      </c>
      <c r="D543" s="22" t="n">
        <f aca="false">'לקוחות לפי סוכן - מקור'!F534</f>
        <v>0</v>
      </c>
      <c r="E543" s="22" t="n">
        <f aca="false">'לקוחות לפי סוכן - מקור'!G534</f>
        <v>14898.9</v>
      </c>
      <c r="F543" s="14" t="n">
        <f aca="false">'לקוחות לפי סוכן - מקור'!D534</f>
        <v>0</v>
      </c>
      <c r="G543" s="15" t="n">
        <f aca="false">'לקוחות לפי סוכן - מקור'!H534</f>
        <v>0</v>
      </c>
      <c r="H543" s="15" t="n">
        <f aca="false">'לקוחות לפי סוכן - מקור'!I534</f>
        <v>0</v>
      </c>
      <c r="I543" s="14" t="str">
        <f aca="false">'לקוחות לפי סוכן - מקור'!K534</f>
        <v>CHMI</v>
      </c>
    </row>
    <row r="544" customFormat="false" ht="15" hidden="false" customHeight="true" outlineLevel="1" collapsed="false">
      <c r="A544" s="14" t="str">
        <f aca="false">'לקוחות לפי סוכן - מקור'!A535</f>
        <v>חיים ויצמן</v>
      </c>
      <c r="B544" s="14" t="str">
        <f aca="false">'לקוחות לפי סוכן - מקור'!C535</f>
        <v>ס. פארם</v>
      </c>
      <c r="C544" s="47" t="str">
        <f aca="false">'לקוחות לפי סוכן - מקור'!E535</f>
        <v>ס.פ.הרצל ראשל""צ תרופות</v>
      </c>
      <c r="D544" s="22" t="n">
        <f aca="false">'לקוחות לפי סוכן - מקור'!F535</f>
        <v>0</v>
      </c>
      <c r="E544" s="22" t="n">
        <f aca="false">'לקוחות לפי סוכן - מקור'!G535</f>
        <v>2781.9</v>
      </c>
      <c r="F544" s="14" t="n">
        <f aca="false">'לקוחות לפי סוכן - מקור'!D535</f>
        <v>0</v>
      </c>
      <c r="G544" s="15" t="n">
        <f aca="false">'לקוחות לפי סוכן - מקור'!H535</f>
        <v>0</v>
      </c>
      <c r="H544" s="15" t="n">
        <f aca="false">'לקוחות לפי סוכן - מקור'!I535</f>
        <v>0</v>
      </c>
      <c r="I544" s="14" t="str">
        <f aca="false">'לקוחות לפי סוכן - מקור'!K535</f>
        <v>CHMI</v>
      </c>
    </row>
    <row r="545" customFormat="false" ht="15" hidden="false" customHeight="true" outlineLevel="1" collapsed="false">
      <c r="A545" s="14" t="str">
        <f aca="false">'לקוחות לפי סוכן - מקור'!A536</f>
        <v>חיים ויצמן</v>
      </c>
      <c r="B545" s="14" t="str">
        <f aca="false">'לקוחות לפי סוכן - מקור'!C536</f>
        <v>ס. פארם</v>
      </c>
      <c r="C545" s="47" t="str">
        <f aca="false">'לקוחות לפי סוכן - מקור'!E536</f>
        <v>ס.פ.ישפרו נס ציונה תרופות</v>
      </c>
      <c r="D545" s="22" t="n">
        <f aca="false">'לקוחות לפי סוכן - מקור'!F536</f>
        <v>0</v>
      </c>
      <c r="E545" s="22" t="n">
        <f aca="false">'לקוחות לפי סוכן - מקור'!G536</f>
        <v>18633.4</v>
      </c>
      <c r="F545" s="14" t="n">
        <f aca="false">'לקוחות לפי סוכן - מקור'!D536</f>
        <v>0</v>
      </c>
      <c r="G545" s="15" t="n">
        <f aca="false">'לקוחות לפי סוכן - מקור'!H536</f>
        <v>0</v>
      </c>
      <c r="H545" s="15" t="n">
        <f aca="false">'לקוחות לפי סוכן - מקור'!I536</f>
        <v>0</v>
      </c>
      <c r="I545" s="14" t="str">
        <f aca="false">'לקוחות לפי סוכן - מקור'!K536</f>
        <v>CHMI</v>
      </c>
    </row>
    <row r="546" customFormat="false" ht="15" hidden="false" customHeight="true" outlineLevel="1" collapsed="false">
      <c r="A546" s="14" t="str">
        <f aca="false">'לקוחות לפי סוכן - מקור'!A537</f>
        <v>חיים ויצמן</v>
      </c>
      <c r="B546" s="14" t="str">
        <f aca="false">'לקוחות לפי סוכן - מקור'!C537</f>
        <v>ס. פארם</v>
      </c>
      <c r="C546" s="47" t="str">
        <f aca="false">'לקוחות לפי סוכן - מקור'!E537</f>
        <v>ס.פ.גלרי ראשון לציון</v>
      </c>
      <c r="D546" s="22" t="n">
        <f aca="false">'לקוחות לפי סוכן - מקור'!F537</f>
        <v>0</v>
      </c>
      <c r="E546" s="22" t="n">
        <f aca="false">'לקוחות לפי סוכן - מקור'!G537</f>
        <v>21217.3</v>
      </c>
      <c r="F546" s="14" t="n">
        <f aca="false">'לקוחות לפי סוכן - מקור'!D537</f>
        <v>0</v>
      </c>
      <c r="G546" s="15" t="n">
        <f aca="false">'לקוחות לפי סוכן - מקור'!H537</f>
        <v>0</v>
      </c>
      <c r="H546" s="15" t="n">
        <f aca="false">'לקוחות לפי סוכן - מקור'!I537</f>
        <v>0</v>
      </c>
      <c r="I546" s="14" t="str">
        <f aca="false">'לקוחות לפי סוכן - מקור'!K537</f>
        <v>CHMI</v>
      </c>
    </row>
    <row r="547" customFormat="false" ht="15" hidden="false" customHeight="true" outlineLevel="1" collapsed="false">
      <c r="A547" s="14" t="str">
        <f aca="false">'לקוחות לפי סוכן - מקור'!A538</f>
        <v>חיים ויצמן</v>
      </c>
      <c r="B547" s="14" t="str">
        <f aca="false">'לקוחות לפי סוכן - מקור'!C538</f>
        <v>ס. פארם</v>
      </c>
      <c r="C547" s="47" t="str">
        <f aca="false">'לקוחות לפי סוכן - מקור'!E538</f>
        <v>ס.פ.הזהב תרופות</v>
      </c>
      <c r="D547" s="22" t="n">
        <f aca="false">'לקוחות לפי סוכן - מקור'!F538</f>
        <v>0</v>
      </c>
      <c r="E547" s="22" t="n">
        <f aca="false">'לקוחות לפי סוכן - מקור'!G538</f>
        <v>15223.5</v>
      </c>
      <c r="F547" s="14" t="n">
        <f aca="false">'לקוחות לפי סוכן - מקור'!D538</f>
        <v>0</v>
      </c>
      <c r="G547" s="15" t="n">
        <f aca="false">'לקוחות לפי סוכן - מקור'!H538</f>
        <v>0</v>
      </c>
      <c r="H547" s="15" t="n">
        <f aca="false">'לקוחות לפי סוכן - מקור'!I538</f>
        <v>0</v>
      </c>
      <c r="I547" s="14" t="str">
        <f aca="false">'לקוחות לפי סוכן - מקור'!K538</f>
        <v>CHMI</v>
      </c>
    </row>
    <row r="548" customFormat="false" ht="15" hidden="false" customHeight="true" outlineLevel="1" collapsed="false">
      <c r="A548" s="14" t="str">
        <f aca="false">'לקוחות לפי סוכן - מקור'!A539</f>
        <v>חיים ויצמן</v>
      </c>
      <c r="B548" s="14" t="str">
        <f aca="false">'לקוחות לפי סוכן - מקור'!C539</f>
        <v>ס. פארם</v>
      </c>
      <c r="C548" s="47" t="str">
        <f aca="false">'לקוחות לפי סוכן - מקור'!E539</f>
        <v>ס.פ.שיקמה תרופות ראשון לציון</v>
      </c>
      <c r="D548" s="22" t="n">
        <f aca="false">'לקוחות לפי סוכן - מקור'!F539</f>
        <v>0</v>
      </c>
      <c r="E548" s="22" t="n">
        <f aca="false">'לקוחות לפי סוכן - מקור'!G539</f>
        <v>8519.2</v>
      </c>
      <c r="F548" s="14" t="n">
        <f aca="false">'לקוחות לפי סוכן - מקור'!D539</f>
        <v>0</v>
      </c>
      <c r="G548" s="15" t="n">
        <f aca="false">'לקוחות לפי סוכן - מקור'!H539</f>
        <v>0</v>
      </c>
      <c r="H548" s="15" t="n">
        <f aca="false">'לקוחות לפי סוכן - מקור'!I539</f>
        <v>0</v>
      </c>
      <c r="I548" s="14" t="str">
        <f aca="false">'לקוחות לפי סוכן - מקור'!K539</f>
        <v>CHMI</v>
      </c>
    </row>
    <row r="549" customFormat="false" ht="15" hidden="false" customHeight="true" outlineLevel="1" collapsed="false">
      <c r="A549" s="14" t="str">
        <f aca="false">'לקוחות לפי סוכן - מקור'!A540</f>
        <v>חיים ויצמן</v>
      </c>
      <c r="B549" s="14" t="str">
        <f aca="false">'לקוחות לפי סוכן - מקור'!C540</f>
        <v>ס. פארם</v>
      </c>
      <c r="C549" s="47" t="str">
        <f aca="false">'לקוחות לפי סוכן - מקור'!E540</f>
        <v>ס.פ.רוטישלד תרופות</v>
      </c>
      <c r="D549" s="22" t="n">
        <f aca="false">'לקוחות לפי סוכן - מקור'!F540</f>
        <v>0</v>
      </c>
      <c r="E549" s="22" t="n">
        <f aca="false">'לקוחות לפי סוכן - מקור'!G540</f>
        <v>12975.1</v>
      </c>
      <c r="F549" s="14" t="n">
        <f aca="false">'לקוחות לפי סוכן - מקור'!D540</f>
        <v>0</v>
      </c>
      <c r="G549" s="15" t="n">
        <f aca="false">'לקוחות לפי סוכן - מקור'!H540</f>
        <v>0</v>
      </c>
      <c r="H549" s="15" t="n">
        <f aca="false">'לקוחות לפי סוכן - מקור'!I540</f>
        <v>0</v>
      </c>
      <c r="I549" s="14" t="str">
        <f aca="false">'לקוחות לפי סוכן - מקור'!K540</f>
        <v>CHMI</v>
      </c>
    </row>
    <row r="550" customFormat="false" ht="15" hidden="false" customHeight="true" outlineLevel="1" collapsed="false">
      <c r="A550" s="14" t="str">
        <f aca="false">'לקוחות לפי סוכן - מקור'!A541</f>
        <v>חיים ויצמן</v>
      </c>
      <c r="B550" s="14" t="str">
        <f aca="false">'לקוחות לפי סוכן - מקור'!C541</f>
        <v>ס. פארם</v>
      </c>
      <c r="C550" s="47" t="str">
        <f aca="false">'לקוחות לפי סוכן - מקור'!E541</f>
        <v>ס.פ.לישנסקי תרופות</v>
      </c>
      <c r="D550" s="22" t="n">
        <f aca="false">'לקוחות לפי סוכן - מקור'!F541</f>
        <v>0</v>
      </c>
      <c r="E550" s="22" t="n">
        <f aca="false">'לקוחות לפי סוכן - מקור'!G541</f>
        <v>12020.2</v>
      </c>
      <c r="F550" s="14" t="n">
        <f aca="false">'לקוחות לפי סוכן - מקור'!D541</f>
        <v>0</v>
      </c>
      <c r="G550" s="15" t="n">
        <f aca="false">'לקוחות לפי סוכן - מקור'!H541</f>
        <v>0</v>
      </c>
      <c r="H550" s="15" t="n">
        <f aca="false">'לקוחות לפי סוכן - מקור'!I541</f>
        <v>0</v>
      </c>
      <c r="I550" s="14" t="str">
        <f aca="false">'לקוחות לפי סוכן - מקור'!K541</f>
        <v>CHMI</v>
      </c>
    </row>
    <row r="551" customFormat="false" ht="15" hidden="false" customHeight="true" outlineLevel="1" collapsed="false">
      <c r="A551" s="14" t="str">
        <f aca="false">'לקוחות לפי סוכן - מקור'!A542</f>
        <v>חיים ויצמן</v>
      </c>
      <c r="B551" s="14" t="str">
        <f aca="false">'לקוחות לפי סוכן - מקור'!C542</f>
        <v>ס. פארם</v>
      </c>
      <c r="C551" s="47" t="str">
        <f aca="false">'לקוחות לפי סוכן - מקור'!E542</f>
        <v>ס.פ.קניותר תרופות</v>
      </c>
      <c r="D551" s="22" t="n">
        <f aca="false">'לקוחות לפי סוכן - מקור'!F542</f>
        <v>0</v>
      </c>
      <c r="E551" s="22" t="n">
        <f aca="false">'לקוחות לפי סוכן - מקור'!G542</f>
        <v>26211.2</v>
      </c>
      <c r="F551" s="14" t="n">
        <f aca="false">'לקוחות לפי סוכן - מקור'!D542</f>
        <v>0</v>
      </c>
      <c r="G551" s="15" t="n">
        <f aca="false">'לקוחות לפי סוכן - מקור'!H542</f>
        <v>0</v>
      </c>
      <c r="H551" s="15" t="n">
        <f aca="false">'לקוחות לפי סוכן - מקור'!I542</f>
        <v>0</v>
      </c>
      <c r="I551" s="14" t="str">
        <f aca="false">'לקוחות לפי סוכן - מקור'!K542</f>
        <v>CHMI</v>
      </c>
    </row>
    <row r="552" customFormat="false" ht="15" hidden="false" customHeight="true" outlineLevel="1" collapsed="false">
      <c r="A552" s="14" t="str">
        <f aca="false">'לקוחות לפי סוכן - מקור'!A543</f>
        <v>חיים ויצמן</v>
      </c>
      <c r="B552" s="14" t="str">
        <f aca="false">'לקוחות לפי סוכן - מקור'!C543</f>
        <v>ס. פארם</v>
      </c>
      <c r="C552" s="47" t="str">
        <f aca="false">'לקוחות לפי סוכן - מקור'!E543</f>
        <v>ס.פ.ראשל""צ תרופות</v>
      </c>
      <c r="D552" s="22" t="n">
        <f aca="false">'לקוחות לפי סוכן - מקור'!F543</f>
        <v>0</v>
      </c>
      <c r="E552" s="22" t="n">
        <f aca="false">'לקוחות לפי סוכן - מקור'!G543</f>
        <v>29530.3</v>
      </c>
      <c r="F552" s="14" t="n">
        <f aca="false">'לקוחות לפי סוכן - מקור'!D543</f>
        <v>0</v>
      </c>
      <c r="G552" s="15" t="n">
        <f aca="false">'לקוחות לפי סוכן - מקור'!H543</f>
        <v>0</v>
      </c>
      <c r="H552" s="15" t="n">
        <f aca="false">'לקוחות לפי סוכן - מקור'!I543</f>
        <v>0</v>
      </c>
      <c r="I552" s="14" t="str">
        <f aca="false">'לקוחות לפי סוכן - מקור'!K543</f>
        <v>CHMI</v>
      </c>
    </row>
    <row r="553" customFormat="false" ht="15" hidden="false" customHeight="true" outlineLevel="1" collapsed="false">
      <c r="A553" s="14" t="str">
        <f aca="false">'לקוחות לפי סוכן - מקור'!A544</f>
        <v>חיים ויצמן</v>
      </c>
      <c r="B553" s="14" t="str">
        <f aca="false">'לקוחות לפי סוכן - מקור'!C544</f>
        <v>ס. פארם</v>
      </c>
      <c r="C553" s="47" t="str">
        <f aca="false">'לקוחות לפי סוכן - מקור'!E544</f>
        <v>ס.פ.אוסישקין תרופות רמת השרון</v>
      </c>
      <c r="D553" s="22" t="n">
        <f aca="false">'לקוחות לפי סוכן - מקור'!F544</f>
        <v>0</v>
      </c>
      <c r="E553" s="22" t="n">
        <f aca="false">'לקוחות לפי סוכן - מקור'!G544</f>
        <v>19009.4</v>
      </c>
      <c r="F553" s="14" t="n">
        <f aca="false">'לקוחות לפי סוכן - מקור'!D544</f>
        <v>0</v>
      </c>
      <c r="G553" s="15" t="n">
        <f aca="false">'לקוחות לפי סוכן - מקור'!H544</f>
        <v>0</v>
      </c>
      <c r="H553" s="15" t="n">
        <f aca="false">'לקוחות לפי סוכן - מקור'!I544</f>
        <v>0</v>
      </c>
      <c r="I553" s="14" t="str">
        <f aca="false">'לקוחות לפי סוכן - מקור'!K544</f>
        <v>CHMI</v>
      </c>
    </row>
    <row r="554" customFormat="false" ht="15" hidden="false" customHeight="true" outlineLevel="1" collapsed="false">
      <c r="A554" s="14" t="str">
        <f aca="false">'לקוחות לפי סוכן - מקור'!A545</f>
        <v>חיים ויצמן</v>
      </c>
      <c r="B554" s="14" t="str">
        <f aca="false">'לקוחות לפי סוכן - מקור'!C545</f>
        <v>ס. פארם</v>
      </c>
      <c r="C554" s="47" t="str">
        <f aca="false">'לקוחות לפי סוכן - מקור'!E545</f>
        <v>ס.פ.צמרות תרופות</v>
      </c>
      <c r="D554" s="22" t="n">
        <f aca="false">'לקוחות לפי סוכן - מקור'!F545</f>
        <v>0</v>
      </c>
      <c r="E554" s="22" t="n">
        <f aca="false">'לקוחות לפי סוכן - מקור'!G545</f>
        <v>30879.9</v>
      </c>
      <c r="F554" s="14" t="n">
        <f aca="false">'לקוחות לפי סוכן - מקור'!D545</f>
        <v>0</v>
      </c>
      <c r="G554" s="15" t="n">
        <f aca="false">'לקוחות לפי סוכן - מקור'!H545</f>
        <v>0</v>
      </c>
      <c r="H554" s="15" t="n">
        <f aca="false">'לקוחות לפי סוכן - מקור'!I545</f>
        <v>0</v>
      </c>
      <c r="I554" s="14" t="str">
        <f aca="false">'לקוחות לפי סוכן - מקור'!K545</f>
        <v>CHMI</v>
      </c>
    </row>
    <row r="555" customFormat="false" ht="15" hidden="false" customHeight="true" outlineLevel="1" collapsed="false">
      <c r="A555" s="14" t="str">
        <f aca="false">'לקוחות לפי סוכן - מקור'!A546</f>
        <v>חיים ויצמן</v>
      </c>
      <c r="B555" s="14" t="str">
        <f aca="false">'לקוחות לפי סוכן - מקור'!C546</f>
        <v>ס. פארם</v>
      </c>
      <c r="C555" s="47" t="str">
        <f aca="false">'לקוחות לפי סוכן - מקור'!E546</f>
        <v>ס.פ.הרצליה פיתוח תרופות</v>
      </c>
      <c r="D555" s="22" t="n">
        <f aca="false">'לקוחות לפי סוכן - מקור'!F546</f>
        <v>0</v>
      </c>
      <c r="E555" s="22" t="n">
        <f aca="false">'לקוחות לפי סוכן - מקור'!G546</f>
        <v>19731</v>
      </c>
      <c r="F555" s="14" t="n">
        <f aca="false">'לקוחות לפי סוכן - מקור'!D546</f>
        <v>0</v>
      </c>
      <c r="G555" s="15" t="n">
        <f aca="false">'לקוחות לפי סוכן - מקור'!H546</f>
        <v>0</v>
      </c>
      <c r="H555" s="15" t="n">
        <f aca="false">'לקוחות לפי סוכן - מקור'!I546</f>
        <v>0</v>
      </c>
      <c r="I555" s="14" t="str">
        <f aca="false">'לקוחות לפי סוכן - מקור'!K546</f>
        <v>CHMI</v>
      </c>
    </row>
    <row r="556" customFormat="false" ht="15" hidden="false" customHeight="true" outlineLevel="1" collapsed="false">
      <c r="A556" s="14" t="str">
        <f aca="false">'לקוחות לפי סוכן - מקור'!A547</f>
        <v>חיים ויצמן</v>
      </c>
      <c r="B556" s="14" t="str">
        <f aca="false">'לקוחות לפי סוכן - מקור'!C547</f>
        <v>ס. פארם</v>
      </c>
      <c r="C556" s="47" t="str">
        <f aca="false">'לקוחות לפי סוכן - מקור'!E547</f>
        <v>ס.פ.סוקולוב הרצליה תרופות</v>
      </c>
      <c r="D556" s="22" t="n">
        <f aca="false">'לקוחות לפי סוכן - מקור'!F547</f>
        <v>0</v>
      </c>
      <c r="E556" s="22" t="n">
        <f aca="false">'לקוחות לפי סוכן - מקור'!G547</f>
        <v>13579.9</v>
      </c>
      <c r="F556" s="14" t="n">
        <f aca="false">'לקוחות לפי סוכן - מקור'!D547</f>
        <v>0</v>
      </c>
      <c r="G556" s="15" t="n">
        <f aca="false">'לקוחות לפי סוכן - מקור'!H547</f>
        <v>0</v>
      </c>
      <c r="H556" s="15" t="n">
        <f aca="false">'לקוחות לפי סוכן - מקור'!I547</f>
        <v>0</v>
      </c>
      <c r="I556" s="14" t="str">
        <f aca="false">'לקוחות לפי סוכן - מקור'!K547</f>
        <v>CHMI</v>
      </c>
    </row>
    <row r="557" customFormat="false" ht="15" hidden="false" customHeight="true" outlineLevel="1" collapsed="false">
      <c r="A557" s="14" t="str">
        <f aca="false">'לקוחות לפי סוכן - מקור'!A548</f>
        <v>חיים ויצמן</v>
      </c>
      <c r="B557" s="14" t="str">
        <f aca="false">'לקוחות לפי סוכן - מקור'!C548</f>
        <v>ס. פארם</v>
      </c>
      <c r="C557" s="47" t="str">
        <f aca="false">'לקוחות לפי סוכן - מקור'!E548</f>
        <v>ס.פ.שפיים תרופות</v>
      </c>
      <c r="D557" s="22" t="n">
        <f aca="false">'לקוחות לפי סוכן - מקור'!F548</f>
        <v>0</v>
      </c>
      <c r="E557" s="22" t="n">
        <f aca="false">'לקוחות לפי סוכן - מקור'!G548</f>
        <v>14973.4</v>
      </c>
      <c r="F557" s="14" t="n">
        <f aca="false">'לקוחות לפי סוכן - מקור'!D548</f>
        <v>0</v>
      </c>
      <c r="G557" s="15" t="n">
        <f aca="false">'לקוחות לפי סוכן - מקור'!H548</f>
        <v>0</v>
      </c>
      <c r="H557" s="15" t="n">
        <f aca="false">'לקוחות לפי סוכן - מקור'!I548</f>
        <v>0</v>
      </c>
      <c r="I557" s="14" t="str">
        <f aca="false">'לקוחות לפי סוכן - מקור'!K548</f>
        <v>CHMI</v>
      </c>
    </row>
    <row r="558" customFormat="false" ht="15" hidden="false" customHeight="true" outlineLevel="1" collapsed="false">
      <c r="A558" s="14" t="str">
        <f aca="false">'לקוחות לפי סוכן - מקור'!A549</f>
        <v>חיים ויצמן</v>
      </c>
      <c r="B558" s="14" t="str">
        <f aca="false">'לקוחות לפי סוכן - מקור'!C549</f>
        <v>ס. פארם</v>
      </c>
      <c r="C558" s="47" t="str">
        <f aca="false">'לקוחות לפי סוכן - מקור'!E549</f>
        <v>ס.פ.שבעת הכוכבים תרופות</v>
      </c>
      <c r="D558" s="22" t="n">
        <f aca="false">'לקוחות לפי סוכן - מקור'!F549</f>
        <v>0</v>
      </c>
      <c r="E558" s="22" t="n">
        <f aca="false">'לקוחות לפי סוכן - מקור'!G549</f>
        <v>28402.3</v>
      </c>
      <c r="F558" s="14" t="n">
        <f aca="false">'לקוחות לפי סוכן - מקור'!D549</f>
        <v>0</v>
      </c>
      <c r="G558" s="15" t="n">
        <f aca="false">'לקוחות לפי סוכן - מקור'!H549</f>
        <v>0</v>
      </c>
      <c r="H558" s="15" t="n">
        <f aca="false">'לקוחות לפי סוכן - מקור'!I549</f>
        <v>0</v>
      </c>
      <c r="I558" s="14" t="str">
        <f aca="false">'לקוחות לפי סוכן - מקור'!K549</f>
        <v>CHMI</v>
      </c>
    </row>
    <row r="559" customFormat="false" ht="15" hidden="false" customHeight="true" outlineLevel="1" collapsed="false">
      <c r="A559" s="14" t="str">
        <f aca="false">'לקוחות לפי סוכן - מקור'!A550</f>
        <v>חיים ויצמן</v>
      </c>
      <c r="B559" s="14" t="str">
        <f aca="false">'לקוחות לפי סוכן - מקור'!C550</f>
        <v>ס. פארם</v>
      </c>
      <c r="C559" s="47" t="str">
        <f aca="false">'לקוחות לפי סוכן - מקור'!E550</f>
        <v>ס.פ.ארנה הרצליה תרופות</v>
      </c>
      <c r="D559" s="22" t="n">
        <f aca="false">'לקוחות לפי סוכן - מקור'!F550</f>
        <v>0</v>
      </c>
      <c r="E559" s="22" t="n">
        <f aca="false">'לקוחות לפי סוכן - מקור'!G550</f>
        <v>17575.5</v>
      </c>
      <c r="F559" s="14" t="n">
        <f aca="false">'לקוחות לפי סוכן - מקור'!D550</f>
        <v>0</v>
      </c>
      <c r="G559" s="15" t="n">
        <f aca="false">'לקוחות לפי סוכן - מקור'!H550</f>
        <v>0</v>
      </c>
      <c r="H559" s="15" t="n">
        <f aca="false">'לקוחות לפי סוכן - מקור'!I550</f>
        <v>0</v>
      </c>
      <c r="I559" s="14" t="str">
        <f aca="false">'לקוחות לפי סוכן - מקור'!K550</f>
        <v>CHMI</v>
      </c>
    </row>
    <row r="560" customFormat="false" ht="15" hidden="false" customHeight="true" outlineLevel="1" collapsed="false">
      <c r="A560" s="14" t="str">
        <f aca="false">'לקוחות לפי סוכן - מקור'!A551</f>
        <v>חיים ויצמן</v>
      </c>
      <c r="B560" s="14" t="str">
        <f aca="false">'לקוחות לפי סוכן - מקור'!C551</f>
        <v>ס. פארם</v>
      </c>
      <c r="C560" s="47" t="str">
        <f aca="false">'לקוחות לפי סוכן - מקור'!E551</f>
        <v>ס.פ.כיכר דיזנגוף תרופות</v>
      </c>
      <c r="D560" s="22" t="n">
        <f aca="false">'לקוחות לפי סוכן - מקור'!F551</f>
        <v>0</v>
      </c>
      <c r="E560" s="22" t="n">
        <f aca="false">'לקוחות לפי סוכן - מקור'!G551</f>
        <v>15642.4</v>
      </c>
      <c r="F560" s="14" t="n">
        <f aca="false">'לקוחות לפי סוכן - מקור'!D551</f>
        <v>0</v>
      </c>
      <c r="G560" s="15" t="n">
        <f aca="false">'לקוחות לפי סוכן - מקור'!H551</f>
        <v>0</v>
      </c>
      <c r="H560" s="15" t="n">
        <f aca="false">'לקוחות לפי סוכן - מקור'!I551</f>
        <v>0</v>
      </c>
      <c r="I560" s="14" t="str">
        <f aca="false">'לקוחות לפי סוכן - מקור'!K551</f>
        <v>CHMI</v>
      </c>
    </row>
    <row r="561" customFormat="false" ht="15" hidden="false" customHeight="true" outlineLevel="1" collapsed="false">
      <c r="A561" s="14" t="str">
        <f aca="false">'לקוחות לפי סוכן - מקור'!A552</f>
        <v>חיים ויצמן</v>
      </c>
      <c r="B561" s="14" t="str">
        <f aca="false">'לקוחות לפי סוכן - מקור'!C552</f>
        <v>ס. פארם</v>
      </c>
      <c r="C561" s="47" t="str">
        <f aca="false">'לקוחות לפי סוכן - מקור'!E552</f>
        <v>ס.פ.ארלוזורוב תרופות</v>
      </c>
      <c r="D561" s="22" t="n">
        <f aca="false">'לקוחות לפי סוכן - מקור'!F552</f>
        <v>0</v>
      </c>
      <c r="E561" s="22" t="n">
        <f aca="false">'לקוחות לפי סוכן - מקור'!G552</f>
        <v>10308</v>
      </c>
      <c r="F561" s="14" t="n">
        <f aca="false">'לקוחות לפי סוכן - מקור'!D552</f>
        <v>0</v>
      </c>
      <c r="G561" s="15" t="n">
        <f aca="false">'לקוחות לפי סוכן - מקור'!H552</f>
        <v>0</v>
      </c>
      <c r="H561" s="15" t="n">
        <f aca="false">'לקוחות לפי סוכן - מקור'!I552</f>
        <v>0</v>
      </c>
      <c r="I561" s="14" t="str">
        <f aca="false">'לקוחות לפי סוכן - מקור'!K552</f>
        <v>CHMI</v>
      </c>
    </row>
    <row r="562" customFormat="false" ht="15" hidden="false" customHeight="true" outlineLevel="1" collapsed="false">
      <c r="A562" s="14" t="str">
        <f aca="false">'לקוחות לפי סוכן - מקור'!A553</f>
        <v>חיים ויצמן</v>
      </c>
      <c r="B562" s="14" t="str">
        <f aca="false">'לקוחות לפי סוכן - מקור'!C553</f>
        <v>ס. פארם</v>
      </c>
      <c r="C562" s="47" t="str">
        <f aca="false">'לקוחות לפי סוכן - מקור'!E553</f>
        <v>ס.פ.כפר סבא הירוקה תרופות</v>
      </c>
      <c r="D562" s="22" t="n">
        <f aca="false">'לקוחות לפי סוכן - מקור'!F553</f>
        <v>0</v>
      </c>
      <c r="E562" s="22" t="n">
        <f aca="false">'לקוחות לפי סוכן - מקור'!G553</f>
        <v>14927.9</v>
      </c>
      <c r="F562" s="14" t="n">
        <f aca="false">'לקוחות לפי סוכן - מקור'!D553</f>
        <v>0</v>
      </c>
      <c r="G562" s="15" t="n">
        <f aca="false">'לקוחות לפי סוכן - מקור'!H553</f>
        <v>0</v>
      </c>
      <c r="H562" s="15" t="n">
        <f aca="false">'לקוחות לפי סוכן - מקור'!I553</f>
        <v>0</v>
      </c>
      <c r="I562" s="14" t="str">
        <f aca="false">'לקוחות לפי סוכן - מקור'!K553</f>
        <v>CHMI</v>
      </c>
    </row>
    <row r="563" customFormat="false" ht="15" hidden="false" customHeight="true" outlineLevel="1" collapsed="false">
      <c r="A563" s="14" t="str">
        <f aca="false">'לקוחות לפי סוכן - מקור'!A554</f>
        <v>חיים ויצמן</v>
      </c>
      <c r="B563" s="14" t="str">
        <f aca="false">'לקוחות לפי סוכן - מקור'!C554</f>
        <v>ס. פארם</v>
      </c>
      <c r="C563" s="47" t="str">
        <f aca="false">'לקוחות לפי סוכן - מקור'!E554</f>
        <v>ס.פ.בית הבד תרופות הוד השרון</v>
      </c>
      <c r="D563" s="22" t="n">
        <f aca="false">'לקוחות לפי סוכן - מקור'!F554</f>
        <v>0</v>
      </c>
      <c r="E563" s="22" t="n">
        <f aca="false">'לקוחות לפי סוכן - מקור'!G554</f>
        <v>10688.9</v>
      </c>
      <c r="F563" s="14" t="n">
        <f aca="false">'לקוחות לפי סוכן - מקור'!D554</f>
        <v>0</v>
      </c>
      <c r="G563" s="15" t="n">
        <f aca="false">'לקוחות לפי סוכן - מקור'!H554</f>
        <v>0</v>
      </c>
      <c r="H563" s="15" t="n">
        <f aca="false">'לקוחות לפי סוכן - מקור'!I554</f>
        <v>0</v>
      </c>
      <c r="I563" s="14" t="str">
        <f aca="false">'לקוחות לפי סוכן - מקור'!K554</f>
        <v>CHMI</v>
      </c>
    </row>
    <row r="564" customFormat="false" ht="15" hidden="false" customHeight="true" outlineLevel="1" collapsed="false">
      <c r="A564" s="14" t="str">
        <f aca="false">'לקוחות לפי סוכן - מקור'!A555</f>
        <v>חיים ויצמן</v>
      </c>
      <c r="B564" s="14" t="str">
        <f aca="false">'לקוחות לפי סוכן - מקור'!C555</f>
        <v>ס. פארם</v>
      </c>
      <c r="C564" s="47" t="str">
        <f aca="false">'לקוחות לפי סוכן - מקור'!E555</f>
        <v>ס.פ.אגמים נתניה תרופות</v>
      </c>
      <c r="D564" s="22" t="n">
        <f aca="false">'לקוחות לפי סוכן - מקור'!F555</f>
        <v>0</v>
      </c>
      <c r="E564" s="22" t="n">
        <f aca="false">'לקוחות לפי סוכן - מקור'!G555</f>
        <v>13338.6</v>
      </c>
      <c r="F564" s="14" t="n">
        <f aca="false">'לקוחות לפי סוכן - מקור'!D555</f>
        <v>0</v>
      </c>
      <c r="G564" s="15" t="n">
        <f aca="false">'לקוחות לפי סוכן - מקור'!H555</f>
        <v>0</v>
      </c>
      <c r="H564" s="15" t="n">
        <f aca="false">'לקוחות לפי סוכן - מקור'!I555</f>
        <v>0</v>
      </c>
      <c r="I564" s="14" t="str">
        <f aca="false">'לקוחות לפי סוכן - מקור'!K555</f>
        <v>CHMI</v>
      </c>
    </row>
    <row r="565" customFormat="false" ht="15" hidden="false" customHeight="true" outlineLevel="1" collapsed="false">
      <c r="A565" s="14" t="str">
        <f aca="false">'לקוחות לפי סוכן - מקור'!A556</f>
        <v>חיים ויצמן</v>
      </c>
      <c r="B565" s="14" t="str">
        <f aca="false">'לקוחות לפי סוכן - מקור'!C556</f>
        <v>ס. פארם</v>
      </c>
      <c r="C565" s="47" t="str">
        <f aca="false">'לקוחות לפי סוכן - מקור'!E556</f>
        <v>ס.פ.צייטלין ת""א תרופות</v>
      </c>
      <c r="D565" s="22" t="n">
        <f aca="false">'לקוחות לפי סוכן - מקור'!F556</f>
        <v>0</v>
      </c>
      <c r="E565" s="22" t="n">
        <f aca="false">'לקוחות לפי סוכן - מקור'!G556</f>
        <v>4912.1</v>
      </c>
      <c r="F565" s="14" t="n">
        <f aca="false">'לקוחות לפי סוכן - מקור'!D556</f>
        <v>0</v>
      </c>
      <c r="G565" s="15" t="n">
        <f aca="false">'לקוחות לפי סוכן - מקור'!H556</f>
        <v>0</v>
      </c>
      <c r="H565" s="15" t="n">
        <f aca="false">'לקוחות לפי סוכן - מקור'!I556</f>
        <v>0</v>
      </c>
      <c r="I565" s="14" t="str">
        <f aca="false">'לקוחות לפי סוכן - מקור'!K556</f>
        <v>CHMI</v>
      </c>
    </row>
    <row r="566" customFormat="false" ht="15" hidden="false" customHeight="true" outlineLevel="1" collapsed="false">
      <c r="A566" s="14" t="str">
        <f aca="false">'לקוחות לפי סוכן - מקור'!A557</f>
        <v>חיים ויצמן</v>
      </c>
      <c r="B566" s="14" t="str">
        <f aca="false">'לקוחות לפי סוכן - מקור'!C557</f>
        <v>ס. פארם</v>
      </c>
      <c r="C566" s="47" t="str">
        <f aca="false">'לקוחות לפי סוכן - מקור'!E557</f>
        <v>ס.פ.שרונה ת""א תרופות</v>
      </c>
      <c r="D566" s="22" t="n">
        <f aca="false">'לקוחות לפי סוכן - מקור'!F557</f>
        <v>0</v>
      </c>
      <c r="E566" s="22" t="n">
        <f aca="false">'לקוחות לפי סוכן - מקור'!G557</f>
        <v>9085.7</v>
      </c>
      <c r="F566" s="14" t="n">
        <f aca="false">'לקוחות לפי סוכן - מקור'!D557</f>
        <v>0</v>
      </c>
      <c r="G566" s="15" t="n">
        <f aca="false">'לקוחות לפי סוכן - מקור'!H557</f>
        <v>0</v>
      </c>
      <c r="H566" s="15" t="n">
        <f aca="false">'לקוחות לפי סוכן - מקור'!I557</f>
        <v>0</v>
      </c>
      <c r="I566" s="14" t="str">
        <f aca="false">'לקוחות לפי סוכן - מקור'!K557</f>
        <v>CHMI</v>
      </c>
    </row>
    <row r="567" customFormat="false" ht="15" hidden="false" customHeight="true" outlineLevel="1" collapsed="false">
      <c r="A567" s="14" t="str">
        <f aca="false">'לקוחות לפי סוכן - מקור'!A558</f>
        <v>חיים ויצמן</v>
      </c>
      <c r="B567" s="14" t="str">
        <f aca="false">'לקוחות לפי סוכן - מקור'!C558</f>
        <v>ס. פארם</v>
      </c>
      <c r="C567" s="47" t="str">
        <f aca="false">'לקוחות לפי סוכן - מקור'!E558</f>
        <v>תרופות ת""א TLV ס.פ.קניון</v>
      </c>
      <c r="D567" s="22" t="n">
        <f aca="false">'לקוחות לפי סוכן - מקור'!F558</f>
        <v>0</v>
      </c>
      <c r="E567" s="22" t="n">
        <f aca="false">'לקוחות לפי סוכן - מקור'!G558</f>
        <v>14184.4</v>
      </c>
      <c r="F567" s="14" t="n">
        <f aca="false">'לקוחות לפי סוכן - מקור'!D558</f>
        <v>0</v>
      </c>
      <c r="G567" s="15" t="n">
        <f aca="false">'לקוחות לפי סוכן - מקור'!H558</f>
        <v>0</v>
      </c>
      <c r="H567" s="15" t="n">
        <f aca="false">'לקוחות לפי סוכן - מקור'!I558</f>
        <v>0</v>
      </c>
      <c r="I567" s="14" t="str">
        <f aca="false">'לקוחות לפי סוכן - מקור'!K558</f>
        <v>CHMI</v>
      </c>
    </row>
    <row r="568" customFormat="false" ht="15" hidden="false" customHeight="true" outlineLevel="1" collapsed="false">
      <c r="A568" s="14" t="str">
        <f aca="false">'לקוחות לפי סוכן - מקור'!A559</f>
        <v>חיים ויצמן</v>
      </c>
      <c r="B568" s="14" t="str">
        <f aca="false">'לקוחות לפי סוכן - מקור'!C559</f>
        <v>ס. פארם</v>
      </c>
      <c r="C568" s="47" t="str">
        <f aca="false">'לקוחות לפי סוכן - מקור'!E559</f>
        <v>ס.פ.נופי ים ת""א תרופות</v>
      </c>
      <c r="D568" s="22" t="n">
        <f aca="false">'לקוחות לפי סוכן - מקור'!F559</f>
        <v>0</v>
      </c>
      <c r="E568" s="22" t="n">
        <f aca="false">'לקוחות לפי סוכן - מקור'!G559</f>
        <v>11984.1</v>
      </c>
      <c r="F568" s="14" t="n">
        <f aca="false">'לקוחות לפי סוכן - מקור'!D559</f>
        <v>0</v>
      </c>
      <c r="G568" s="15" t="n">
        <f aca="false">'לקוחות לפי סוכן - מקור'!H559</f>
        <v>0</v>
      </c>
      <c r="H568" s="15" t="n">
        <f aca="false">'לקוחות לפי סוכן - מקור'!I559</f>
        <v>0</v>
      </c>
      <c r="I568" s="14" t="str">
        <f aca="false">'לקוחות לפי סוכן - מקור'!K559</f>
        <v>CHMI</v>
      </c>
    </row>
    <row r="569" customFormat="false" ht="15" hidden="false" customHeight="true" outlineLevel="1" collapsed="false">
      <c r="A569" s="14" t="str">
        <f aca="false">'לקוחות לפי סוכן - מקור'!A560</f>
        <v>חיים ויצמן</v>
      </c>
      <c r="B569" s="14" t="str">
        <f aca="false">'לקוחות לפי סוכן - מקור'!C560</f>
        <v>ס. פארם</v>
      </c>
      <c r="C569" s="47" t="str">
        <f aca="false">'לקוחות לפי סוכן - מקור'!E560</f>
        <v>ס.פ. המכללה ראשל""צ תרופות</v>
      </c>
      <c r="D569" s="22" t="n">
        <f aca="false">'לקוחות לפי סוכן - מקור'!F560</f>
        <v>0</v>
      </c>
      <c r="E569" s="22" t="n">
        <f aca="false">'לקוחות לפי סוכן - מקור'!G560</f>
        <v>7012.3</v>
      </c>
      <c r="F569" s="14" t="n">
        <f aca="false">'לקוחות לפי סוכן - מקור'!D560</f>
        <v>0</v>
      </c>
      <c r="G569" s="15" t="n">
        <f aca="false">'לקוחות לפי סוכן - מקור'!H560</f>
        <v>0</v>
      </c>
      <c r="H569" s="15" t="n">
        <f aca="false">'לקוחות לפי סוכן - מקור'!I560</f>
        <v>0</v>
      </c>
      <c r="I569" s="14" t="str">
        <f aca="false">'לקוחות לפי סוכן - מקור'!K560</f>
        <v>CHMI</v>
      </c>
    </row>
    <row r="570" customFormat="false" ht="15" hidden="false" customHeight="true" outlineLevel="1" collapsed="false">
      <c r="A570" s="14" t="str">
        <f aca="false">'לקוחות לפי סוכן - מקור'!A561</f>
        <v>חיים ויצמן</v>
      </c>
      <c r="B570" s="14" t="str">
        <f aca="false">'לקוחות לפי סוכן - מקור'!C561</f>
        <v>ס. פארם</v>
      </c>
      <c r="C570" s="47" t="str">
        <f aca="false">'לקוחות לפי סוכן - מקור'!E561</f>
        <v>ס.פ.קניון ראשונים תרופות</v>
      </c>
      <c r="D570" s="22" t="n">
        <f aca="false">'לקוחות לפי סוכן - מקור'!F561</f>
        <v>0</v>
      </c>
      <c r="E570" s="22" t="n">
        <f aca="false">'לקוחות לפי סוכן - מקור'!G561</f>
        <v>14206.4</v>
      </c>
      <c r="F570" s="14" t="n">
        <f aca="false">'לקוחות לפי סוכן - מקור'!D561</f>
        <v>0</v>
      </c>
      <c r="G570" s="15" t="n">
        <f aca="false">'לקוחות לפי סוכן - מקור'!H561</f>
        <v>0</v>
      </c>
      <c r="H570" s="15" t="n">
        <f aca="false">'לקוחות לפי סוכן - מקור'!I561</f>
        <v>0</v>
      </c>
      <c r="I570" s="14" t="str">
        <f aca="false">'לקוחות לפי סוכן - מקור'!K561</f>
        <v>CHMI</v>
      </c>
    </row>
    <row r="571" customFormat="false" ht="15" hidden="false" customHeight="true" outlineLevel="1" collapsed="false">
      <c r="A571" s="14" t="str">
        <f aca="false">'לקוחות לפי סוכן - מקור'!A562</f>
        <v>חיים ויצמן</v>
      </c>
      <c r="B571" s="14" t="str">
        <f aca="false">'לקוחות לפי סוכן - מקור'!C562</f>
        <v>ס. פארם</v>
      </c>
      <c r="C571" s="47" t="str">
        <f aca="false">'לקוחות לפי סוכן - מקור'!E562</f>
        <v>ס.פ.אסף הרופא תרופות</v>
      </c>
      <c r="D571" s="22" t="n">
        <f aca="false">'לקוחות לפי סוכן - מקור'!F562</f>
        <v>0</v>
      </c>
      <c r="E571" s="22" t="n">
        <f aca="false">'לקוחות לפי סוכן - מקור'!G562</f>
        <v>7275.2</v>
      </c>
      <c r="F571" s="14" t="n">
        <f aca="false">'לקוחות לפי סוכן - מקור'!D562</f>
        <v>0</v>
      </c>
      <c r="G571" s="15" t="n">
        <f aca="false">'לקוחות לפי סוכן - מקור'!H562</f>
        <v>0</v>
      </c>
      <c r="H571" s="15" t="n">
        <f aca="false">'לקוחות לפי סוכן - מקור'!I562</f>
        <v>0</v>
      </c>
      <c r="I571" s="14" t="str">
        <f aca="false">'לקוחות לפי סוכן - מקור'!K562</f>
        <v>CHMI</v>
      </c>
    </row>
    <row r="572" customFormat="false" ht="15" hidden="false" customHeight="true" outlineLevel="1" collapsed="false">
      <c r="A572" s="14" t="str">
        <f aca="false">'לקוחות לפי סוכן - מקור'!A563</f>
        <v>חיים ויצמן</v>
      </c>
      <c r="B572" s="14" t="str">
        <f aca="false">'לקוחות לפי סוכן - מקור'!C563</f>
        <v>ס. פארם</v>
      </c>
      <c r="C572" s="47" t="str">
        <f aca="false">'לקוחות לפי סוכן - מקור'!E563</f>
        <v>ס.פ.קניון באר יעקב תרופות</v>
      </c>
      <c r="D572" s="22" t="n">
        <f aca="false">'לקוחות לפי סוכן - מקור'!F563</f>
        <v>0</v>
      </c>
      <c r="E572" s="22" t="n">
        <f aca="false">'לקוחות לפי סוכן - מקור'!G563</f>
        <v>10556.3</v>
      </c>
      <c r="F572" s="14" t="n">
        <f aca="false">'לקוחות לפי סוכן - מקור'!D563</f>
        <v>0</v>
      </c>
      <c r="G572" s="15" t="n">
        <f aca="false">'לקוחות לפי סוכן - מקור'!H563</f>
        <v>0</v>
      </c>
      <c r="H572" s="15" t="n">
        <f aca="false">'לקוחות לפי סוכן - מקור'!I563</f>
        <v>0</v>
      </c>
      <c r="I572" s="14" t="str">
        <f aca="false">'לקוחות לפי סוכן - מקור'!K563</f>
        <v>CHMI</v>
      </c>
    </row>
    <row r="573" customFormat="false" ht="15" hidden="false" customHeight="true" outlineLevel="1" collapsed="false">
      <c r="A573" s="14" t="str">
        <f aca="false">'לקוחות לפי סוכן - מקור'!A564</f>
        <v>חיים ויצמן</v>
      </c>
      <c r="B573" s="14" t="str">
        <f aca="false">'לקוחות לפי סוכן - מקור'!C564</f>
        <v>ס. פארם</v>
      </c>
      <c r="C573" s="47" t="str">
        <f aca="false">'לקוחות לפי סוכן - מקור'!E564</f>
        <v>ס.פ נעימי קרית השרון נתניה</v>
      </c>
      <c r="D573" s="22" t="n">
        <f aca="false">'לקוחות לפי סוכן - מקור'!F564</f>
        <v>0</v>
      </c>
      <c r="E573" s="22" t="n">
        <f aca="false">'לקוחות לפי סוכן - מקור'!G564</f>
        <v>7596.4</v>
      </c>
      <c r="F573" s="14" t="n">
        <f aca="false">'לקוחות לפי סוכן - מקור'!D564</f>
        <v>0</v>
      </c>
      <c r="G573" s="15" t="n">
        <f aca="false">'לקוחות לפי סוכן - מקור'!H564</f>
        <v>0</v>
      </c>
      <c r="H573" s="15" t="n">
        <f aca="false">'לקוחות לפי סוכן - מקור'!I564</f>
        <v>0</v>
      </c>
      <c r="I573" s="14" t="str">
        <f aca="false">'לקוחות לפי סוכן - מקור'!K564</f>
        <v>CHMI</v>
      </c>
    </row>
    <row r="574" customFormat="false" ht="15" hidden="false" customHeight="true" outlineLevel="1" collapsed="false">
      <c r="A574" s="14" t="str">
        <f aca="false">'לקוחות לפי סוכן - מקור'!A565</f>
        <v>חיים ויצמן</v>
      </c>
      <c r="B574" s="14" t="str">
        <f aca="false">'לקוחות לפי סוכן - מקור'!C565</f>
        <v>ס. פארם</v>
      </c>
      <c r="C574" s="47" t="str">
        <f aca="false">'לקוחות לפי סוכן - מקור'!E565</f>
        <v>ס.פ.מגדלי אלון ת""א תרופות</v>
      </c>
      <c r="D574" s="22" t="n">
        <f aca="false">'לקוחות לפי סוכן - מקור'!F565</f>
        <v>0</v>
      </c>
      <c r="E574" s="22" t="n">
        <f aca="false">'לקוחות לפי סוכן - מקור'!G565</f>
        <v>13044.7</v>
      </c>
      <c r="F574" s="14" t="n">
        <f aca="false">'לקוחות לפי סוכן - מקור'!D565</f>
        <v>0</v>
      </c>
      <c r="G574" s="15" t="n">
        <f aca="false">'לקוחות לפי סוכן - מקור'!H565</f>
        <v>0</v>
      </c>
      <c r="H574" s="15" t="n">
        <f aca="false">'לקוחות לפי סוכן - מקור'!I565</f>
        <v>0</v>
      </c>
      <c r="I574" s="14" t="str">
        <f aca="false">'לקוחות לפי סוכן - מקור'!K565</f>
        <v>CHMI</v>
      </c>
    </row>
    <row r="575" customFormat="false" ht="15" hidden="false" customHeight="true" outlineLevel="1" collapsed="false">
      <c r="A575" s="14" t="str">
        <f aca="false">'לקוחות לפי סוכן - מקור'!A566</f>
        <v>חיים ויצמן</v>
      </c>
      <c r="B575" s="14" t="str">
        <f aca="false">'לקוחות לפי סוכן - מקור'!C566</f>
        <v>ס. פארם</v>
      </c>
      <c r="C575" s="47" t="str">
        <f aca="false">'לקוחות לפי סוכן - מקור'!E566</f>
        <v>ס.פ.דרך בר לב ת""א</v>
      </c>
      <c r="D575" s="22" t="n">
        <f aca="false">'לקוחות לפי סוכן - מקור'!F566</f>
        <v>0</v>
      </c>
      <c r="E575" s="22" t="n">
        <f aca="false">'לקוחות לפי סוכן - מקור'!G566</f>
        <v>8453.8</v>
      </c>
      <c r="F575" s="14" t="n">
        <f aca="false">'לקוחות לפי סוכן - מקור'!D566</f>
        <v>0</v>
      </c>
      <c r="G575" s="15" t="n">
        <f aca="false">'לקוחות לפי סוכן - מקור'!H566</f>
        <v>0</v>
      </c>
      <c r="H575" s="15" t="n">
        <f aca="false">'לקוחות לפי סוכן - מקור'!I566</f>
        <v>0</v>
      </c>
      <c r="I575" s="14" t="str">
        <f aca="false">'לקוחות לפי סוכן - מקור'!K566</f>
        <v>CHMI</v>
      </c>
    </row>
    <row r="576" customFormat="false" ht="15" hidden="false" customHeight="true" outlineLevel="1" collapsed="false">
      <c r="A576" s="14" t="str">
        <f aca="false">'לקוחות לפי סוכן - מקור'!A567</f>
        <v>חיים ויצמן</v>
      </c>
      <c r="B576" s="14" t="str">
        <f aca="false">'לקוחות לפי סוכן - מקור'!C567</f>
        <v>ס. פארם</v>
      </c>
      <c r="C576" s="47" t="str">
        <f aca="false">'לקוחות לפי סוכן - מקור'!E567</f>
        <v>271 ס.פ. נווה הדרים ראשל""צ</v>
      </c>
      <c r="D576" s="22" t="n">
        <f aca="false">'לקוחות לפי סוכן - מקור'!F567</f>
        <v>0</v>
      </c>
      <c r="E576" s="22" t="n">
        <f aca="false">'לקוחות לפי סוכן - מקור'!G567</f>
        <v>4409.6</v>
      </c>
      <c r="F576" s="14" t="n">
        <f aca="false">'לקוחות לפי סוכן - מקור'!D567</f>
        <v>0</v>
      </c>
      <c r="G576" s="15" t="n">
        <f aca="false">'לקוחות לפי סוכן - מקור'!H567</f>
        <v>0</v>
      </c>
      <c r="H576" s="15" t="n">
        <f aca="false">'לקוחות לפי סוכן - מקור'!I567</f>
        <v>0</v>
      </c>
      <c r="I576" s="14" t="str">
        <f aca="false">'לקוחות לפי סוכן - מקור'!K567</f>
        <v>CHMI</v>
      </c>
    </row>
    <row r="577" customFormat="false" ht="15" hidden="false" customHeight="true" outlineLevel="1" collapsed="false">
      <c r="A577" s="14" t="str">
        <f aca="false">'לקוחות לפי סוכן - מקור'!A568</f>
        <v>חיים ויצמן</v>
      </c>
      <c r="B577" s="14" t="str">
        <f aca="false">'לקוחות לפי סוכן - מקור'!C568</f>
        <v>ס. פארם</v>
      </c>
      <c r="C577" s="47" t="str">
        <f aca="false">'לקוחות לפי סוכן - מקור'!E568</f>
        <v>277 סופר פארם שער ראשון</v>
      </c>
      <c r="D577" s="22" t="n">
        <f aca="false">'לקוחות לפי סוכן - מקור'!F568</f>
        <v>0</v>
      </c>
      <c r="E577" s="22" t="n">
        <f aca="false">'לקוחות לפי סוכן - מקור'!G568</f>
        <v>15513.4</v>
      </c>
      <c r="F577" s="14" t="n">
        <f aca="false">'לקוחות לפי סוכן - מקור'!D568</f>
        <v>0</v>
      </c>
      <c r="G577" s="15" t="n">
        <f aca="false">'לקוחות לפי סוכן - מקור'!H568</f>
        <v>0</v>
      </c>
      <c r="H577" s="15" t="n">
        <f aca="false">'לקוחות לפי סוכן - מקור'!I568</f>
        <v>0</v>
      </c>
      <c r="I577" s="14" t="str">
        <f aca="false">'לקוחות לפי סוכן - מקור'!K568</f>
        <v>CHMI</v>
      </c>
    </row>
    <row r="578" customFormat="false" ht="15" hidden="false" customHeight="true" outlineLevel="1" collapsed="false">
      <c r="A578" s="14" t="str">
        <f aca="false">'לקוחות לפי סוכן - מקור'!A569</f>
        <v>חיים ויצמן</v>
      </c>
      <c r="B578" s="14" t="str">
        <f aca="false">'לקוחות לפי סוכן - מקור'!C569</f>
        <v>ס. פארם</v>
      </c>
      <c r="C578" s="47" t="str">
        <f aca="false">'לקוחות לפי סוכן - מקור'!E569</f>
        <v>BM ס.פ צורן</v>
      </c>
      <c r="D578" s="22" t="n">
        <f aca="false">'לקוחות לפי סוכן - מקור'!F569</f>
        <v>0</v>
      </c>
      <c r="E578" s="22" t="n">
        <f aca="false">'לקוחות לפי סוכן - מקור'!G569</f>
        <v>15298</v>
      </c>
      <c r="F578" s="14" t="n">
        <f aca="false">'לקוחות לפי סוכן - מקור'!D569</f>
        <v>0</v>
      </c>
      <c r="G578" s="15" t="n">
        <f aca="false">'לקוחות לפי סוכן - מקור'!H569</f>
        <v>0</v>
      </c>
      <c r="H578" s="15" t="n">
        <f aca="false">'לקוחות לפי סוכן - מקור'!I569</f>
        <v>0</v>
      </c>
      <c r="I578" s="14" t="str">
        <f aca="false">'לקוחות לפי סוכן - מקור'!K569</f>
        <v>CHMI</v>
      </c>
    </row>
    <row r="579" customFormat="false" ht="15" hidden="false" customHeight="true" outlineLevel="1" collapsed="false">
      <c r="A579" s="14" t="str">
        <f aca="false">'לקוחות לפי סוכן - מקור'!A570</f>
        <v>חיים ויצמן</v>
      </c>
      <c r="B579" s="14" t="str">
        <f aca="false">'לקוחות לפי סוכן - מקור'!C570</f>
        <v>ס. פארם</v>
      </c>
      <c r="C579" s="47" t="str">
        <f aca="false">'לקוחות לפי סוכן - מקור'!E570</f>
        <v>BM ס.פ כפר יונה</v>
      </c>
      <c r="D579" s="22" t="n">
        <f aca="false">'לקוחות לפי סוכן - מקור'!F570</f>
        <v>0</v>
      </c>
      <c r="E579" s="22" t="n">
        <f aca="false">'לקוחות לפי סוכן - מקור'!G570</f>
        <v>14023.2</v>
      </c>
      <c r="F579" s="14" t="n">
        <f aca="false">'לקוחות לפי סוכן - מקור'!D570</f>
        <v>0</v>
      </c>
      <c r="G579" s="15" t="n">
        <f aca="false">'לקוחות לפי סוכן - מקור'!H570</f>
        <v>0</v>
      </c>
      <c r="H579" s="15" t="n">
        <f aca="false">'לקוחות לפי סוכן - מקור'!I570</f>
        <v>0</v>
      </c>
      <c r="I579" s="14" t="str">
        <f aca="false">'לקוחות לפי סוכן - מקור'!K570</f>
        <v>CHMI</v>
      </c>
    </row>
    <row r="580" customFormat="false" ht="15" hidden="false" customHeight="true" outlineLevel="1" collapsed="false">
      <c r="A580" s="14" t="str">
        <f aca="false">'לקוחות לפי סוכן - מקור'!A571</f>
        <v>חיים ויצמן</v>
      </c>
      <c r="B580" s="14" t="str">
        <f aca="false">'לקוחות לפי סוכן - מקור'!C571</f>
        <v>ס. פארם</v>
      </c>
      <c r="C580" s="47" t="str">
        <f aca="false">'לקוחות לפי סוכן - מקור'!E571</f>
        <v>BM ס.פ נווה זמר רעננה</v>
      </c>
      <c r="D580" s="22" t="n">
        <f aca="false">'לקוחות לפי סוכן - מקור'!F571</f>
        <v>0</v>
      </c>
      <c r="E580" s="22" t="n">
        <f aca="false">'לקוחות לפי סוכן - מקור'!G571</f>
        <v>10389.8</v>
      </c>
      <c r="F580" s="14" t="n">
        <f aca="false">'לקוחות לפי סוכן - מקור'!D571</f>
        <v>0</v>
      </c>
      <c r="G580" s="15" t="n">
        <f aca="false">'לקוחות לפי סוכן - מקור'!H571</f>
        <v>0</v>
      </c>
      <c r="H580" s="15" t="n">
        <f aca="false">'לקוחות לפי סוכן - מקור'!I571</f>
        <v>0</v>
      </c>
      <c r="I580" s="14" t="str">
        <f aca="false">'לקוחות לפי סוכן - מקור'!K571</f>
        <v>CHMI</v>
      </c>
    </row>
    <row r="581" customFormat="false" ht="15" hidden="false" customHeight="true" outlineLevel="1" collapsed="false">
      <c r="A581" s="14" t="str">
        <f aca="false">'לקוחות לפי סוכן - מקור'!A572</f>
        <v>חיים ויצמן</v>
      </c>
      <c r="B581" s="14" t="str">
        <f aca="false">'לקוחות לפי סוכן - מקור'!C572</f>
        <v>ס. פארם</v>
      </c>
      <c r="C581" s="47" t="str">
        <f aca="false">'לקוחות לפי סוכן - מקור'!E572</f>
        <v>BM ס.פ הנשיאים הוד השרון</v>
      </c>
      <c r="D581" s="22" t="n">
        <f aca="false">'לקוחות לפי סוכן - מקור'!F572</f>
        <v>0</v>
      </c>
      <c r="E581" s="22" t="n">
        <f aca="false">'לקוחות לפי סוכן - מקור'!G572</f>
        <v>10346</v>
      </c>
      <c r="F581" s="14" t="n">
        <f aca="false">'לקוחות לפי סוכן - מקור'!D572</f>
        <v>0</v>
      </c>
      <c r="G581" s="15" t="n">
        <f aca="false">'לקוחות לפי סוכן - מקור'!H572</f>
        <v>0</v>
      </c>
      <c r="H581" s="15" t="n">
        <f aca="false">'לקוחות לפי סוכן - מקור'!I572</f>
        <v>0</v>
      </c>
      <c r="I581" s="14" t="str">
        <f aca="false">'לקוחות לפי סוכן - מקור'!K572</f>
        <v>CHMI</v>
      </c>
    </row>
    <row r="582" customFormat="false" ht="15" hidden="false" customHeight="true" outlineLevel="1" collapsed="false">
      <c r="A582" s="14" t="str">
        <f aca="false">'לקוחות לפי סוכן - מקור'!A573</f>
        <v>חיים ויצמן</v>
      </c>
      <c r="B582" s="14" t="str">
        <f aca="false">'לקוחות לפי סוכן - מקור'!C573</f>
        <v>ס. פארם</v>
      </c>
      <c r="C582" s="47" t="str">
        <f aca="false">'לקוחות לפי סוכן - מקור'!E573</f>
        <v>BM ס.פ גליל ים הרצליה</v>
      </c>
      <c r="D582" s="22" t="n">
        <f aca="false">'לקוחות לפי סוכן - מקור'!F573</f>
        <v>0</v>
      </c>
      <c r="E582" s="22" t="n">
        <f aca="false">'לקוחות לפי סוכן - מקור'!G573</f>
        <v>4083.4</v>
      </c>
      <c r="F582" s="14" t="n">
        <f aca="false">'לקוחות לפי סוכן - מקור'!D573</f>
        <v>0</v>
      </c>
      <c r="G582" s="15" t="n">
        <f aca="false">'לקוחות לפי סוכן - מקור'!H573</f>
        <v>0</v>
      </c>
      <c r="H582" s="15" t="n">
        <f aca="false">'לקוחות לפי סוכן - מקור'!I573</f>
        <v>0</v>
      </c>
      <c r="I582" s="14" t="str">
        <f aca="false">'לקוחות לפי סוכן - מקור'!K573</f>
        <v>CHMI</v>
      </c>
    </row>
    <row r="583" customFormat="false" ht="15" hidden="false" customHeight="true" outlineLevel="1" collapsed="false">
      <c r="A583" s="14" t="str">
        <f aca="false">'לקוחות לפי סוכן - מקור'!A574</f>
        <v>חיים ויצמן</v>
      </c>
      <c r="B583" s="14" t="str">
        <f aca="false">'לקוחות לפי סוכן - מקור'!C574</f>
        <v>ס. פארם</v>
      </c>
      <c r="C583" s="47" t="str">
        <f aca="false">'לקוחות לפי סוכן - מקור'!E574</f>
        <v>BM ס.פ ר. אביב גימל</v>
      </c>
      <c r="D583" s="22" t="n">
        <f aca="false">'לקוחות לפי סוכן - מקור'!F574</f>
        <v>0</v>
      </c>
      <c r="E583" s="22" t="n">
        <f aca="false">'לקוחות לפי סוכן - מקור'!G574</f>
        <v>18519.5</v>
      </c>
      <c r="F583" s="14" t="n">
        <f aca="false">'לקוחות לפי סוכן - מקור'!D574</f>
        <v>0</v>
      </c>
      <c r="G583" s="15" t="n">
        <f aca="false">'לקוחות לפי סוכן - מקור'!H574</f>
        <v>0</v>
      </c>
      <c r="H583" s="15" t="n">
        <f aca="false">'לקוחות לפי סוכן - מקור'!I574</f>
        <v>0</v>
      </c>
      <c r="I583" s="14" t="str">
        <f aca="false">'לקוחות לפי סוכן - מקור'!K574</f>
        <v>CHMI</v>
      </c>
    </row>
    <row r="584" customFormat="false" ht="15" hidden="false" customHeight="true" outlineLevel="1" collapsed="false">
      <c r="A584" s="14" t="str">
        <f aca="false">'לקוחות לפי סוכן - מקור'!A575</f>
        <v>חיים ויצמן</v>
      </c>
      <c r="B584" s="14" t="str">
        <f aca="false">'לקוחות לפי סוכן - מקור'!C575</f>
        <v>ס. פארם</v>
      </c>
      <c r="C584" s="47" t="str">
        <f aca="false">'לקוחות לפי סוכן - מקור'!E575</f>
        <v>BM ס.פ נרקיסים ראשון לציון</v>
      </c>
      <c r="D584" s="22" t="n">
        <f aca="false">'לקוחות לפי סוכן - מקור'!F575</f>
        <v>0</v>
      </c>
      <c r="E584" s="22" t="n">
        <f aca="false">'לקוחות לפי סוכן - מקור'!G575</f>
        <v>10044.3</v>
      </c>
      <c r="F584" s="14" t="n">
        <f aca="false">'לקוחות לפי סוכן - מקור'!D575</f>
        <v>0</v>
      </c>
      <c r="G584" s="15" t="n">
        <f aca="false">'לקוחות לפי סוכן - מקור'!H575</f>
        <v>0</v>
      </c>
      <c r="H584" s="15" t="n">
        <f aca="false">'לקוחות לפי סוכן - מקור'!I575</f>
        <v>0</v>
      </c>
      <c r="I584" s="14" t="str">
        <f aca="false">'לקוחות לפי סוכן - מקור'!K575</f>
        <v>CHMI</v>
      </c>
    </row>
    <row r="585" customFormat="false" ht="15" hidden="false" customHeight="true" outlineLevel="1" collapsed="false">
      <c r="A585" s="14" t="str">
        <f aca="false">'לקוחות לפי סוכן - מקור'!A576</f>
        <v>חיים ויצמן</v>
      </c>
      <c r="B585" s="14" t="str">
        <f aca="false">'לקוחות לפי סוכן - מקור'!C576</f>
        <v>ס. פארם</v>
      </c>
      <c r="C585" s="47" t="str">
        <f aca="false">'לקוחות לפי סוכן - מקור'!E576</f>
        <v>BM ס.פ גאלרי ביג גלילות</v>
      </c>
      <c r="D585" s="22" t="n">
        <f aca="false">'לקוחות לפי סוכן - מקור'!F576</f>
        <v>0</v>
      </c>
      <c r="E585" s="22" t="n">
        <f aca="false">'לקוחות לפי סוכן - מקור'!G576</f>
        <v>39232.4</v>
      </c>
      <c r="F585" s="14" t="n">
        <f aca="false">'לקוחות לפי סוכן - מקור'!D576</f>
        <v>0</v>
      </c>
      <c r="G585" s="15" t="n">
        <f aca="false">'לקוחות לפי סוכן - מקור'!H576</f>
        <v>0</v>
      </c>
      <c r="H585" s="15" t="n">
        <f aca="false">'לקוחות לפי סוכן - מקור'!I576</f>
        <v>0</v>
      </c>
      <c r="I585" s="14" t="str">
        <f aca="false">'לקוחות לפי סוכן - מקור'!K576</f>
        <v>CHMI</v>
      </c>
    </row>
    <row r="586" customFormat="false" ht="15" hidden="false" customHeight="true" outlineLevel="1" collapsed="false">
      <c r="A586" s="14" t="str">
        <f aca="false">'לקוחות לפי סוכן - מקור'!A577</f>
        <v>חיים ויצמן</v>
      </c>
      <c r="B586" s="14" t="str">
        <f aca="false">'לקוחות לפי סוכן - מקור'!C577</f>
        <v>ס. פארם</v>
      </c>
      <c r="C586" s="47" t="str">
        <f aca="false">'לקוחות לפי סוכן - מקור'!E577</f>
        <v>BM  ס.פ קלנסווה</v>
      </c>
      <c r="D586" s="22" t="n">
        <f aca="false">'לקוחות לפי סוכן - מקור'!F577</f>
        <v>0</v>
      </c>
      <c r="E586" s="22" t="n">
        <f aca="false">'לקוחות לפי סוכן - מקור'!G577</f>
        <v>12240.9</v>
      </c>
      <c r="F586" s="14" t="n">
        <f aca="false">'לקוחות לפי סוכן - מקור'!D577</f>
        <v>0</v>
      </c>
      <c r="G586" s="15" t="n">
        <f aca="false">'לקוחות לפי סוכן - מקור'!H577</f>
        <v>0</v>
      </c>
      <c r="H586" s="15" t="n">
        <f aca="false">'לקוחות לפי סוכן - מקור'!I577</f>
        <v>0</v>
      </c>
      <c r="I586" s="14" t="str">
        <f aca="false">'לקוחות לפי סוכן - מקור'!K577</f>
        <v>CHMI</v>
      </c>
    </row>
    <row r="587" customFormat="false" ht="15" hidden="false" customHeight="true" outlineLevel="1" collapsed="false">
      <c r="A587" s="14" t="str">
        <f aca="false">'לקוחות לפי סוכן - מקור'!A578</f>
        <v>חיים ויצמן</v>
      </c>
      <c r="B587" s="14" t="str">
        <f aca="false">'לקוחות לפי סוכן - מקור'!C578</f>
        <v>שופרסל BE</v>
      </c>
      <c r="C587" s="47" t="str">
        <f aca="false">'לקוחות לפי סוכן - מקור'!E578</f>
        <v>675 שרונים BE</v>
      </c>
      <c r="D587" s="22" t="n">
        <f aca="false">'לקוחות לפי סוכן - מקור'!F578</f>
        <v>0</v>
      </c>
      <c r="E587" s="22" t="n">
        <f aca="false">'לקוחות לפי סוכן - מקור'!G578</f>
        <v>3764.1</v>
      </c>
      <c r="F587" s="14" t="n">
        <f aca="false">'לקוחות לפי סוכן - מקור'!D578</f>
        <v>0</v>
      </c>
      <c r="G587" s="15" t="n">
        <f aca="false">'לקוחות לפי סוכן - מקור'!H578</f>
        <v>0</v>
      </c>
      <c r="H587" s="15" t="n">
        <f aca="false">'לקוחות לפי סוכן - מקור'!I578</f>
        <v>0</v>
      </c>
      <c r="I587" s="14" t="str">
        <f aca="false">'לקוחות לפי סוכן - מקור'!K578</f>
        <v>CHMI</v>
      </c>
    </row>
    <row r="588" customFormat="false" ht="15" hidden="false" customHeight="true" outlineLevel="1" collapsed="false">
      <c r="A588" s="14" t="str">
        <f aca="false">'לקוחות לפי סוכן - מקור'!A579</f>
        <v>חיים ויצמן</v>
      </c>
      <c r="B588" s="14" t="str">
        <f aca="false">'לקוחות לפי סוכן - מקור'!C579</f>
        <v>שופרסל BE</v>
      </c>
      <c r="C588" s="47" t="str">
        <f aca="false">'לקוחות לפי סוכן - מקור'!E579</f>
        <v>615 פארם כפר סבא BE</v>
      </c>
      <c r="D588" s="22" t="n">
        <f aca="false">'לקוחות לפי סוכן - מקור'!F579</f>
        <v>0</v>
      </c>
      <c r="E588" s="22" t="n">
        <f aca="false">'לקוחות לפי סוכן - מקור'!G579</f>
        <v>12086.8</v>
      </c>
      <c r="F588" s="14" t="n">
        <f aca="false">'לקוחות לפי סוכן - מקור'!D579</f>
        <v>0</v>
      </c>
      <c r="G588" s="15" t="n">
        <f aca="false">'לקוחות לפי סוכן - מקור'!H579</f>
        <v>0</v>
      </c>
      <c r="H588" s="15" t="n">
        <f aca="false">'לקוחות לפי סוכן - מקור'!I579</f>
        <v>0</v>
      </c>
      <c r="I588" s="14" t="str">
        <f aca="false">'לקוחות לפי סוכן - מקור'!K579</f>
        <v>CHMI</v>
      </c>
    </row>
    <row r="589" customFormat="false" ht="15" hidden="false" customHeight="true" outlineLevel="1" collapsed="false">
      <c r="A589" s="14" t="str">
        <f aca="false">'לקוחות לפי סוכן - מקור'!A580</f>
        <v>חיים ויצמן</v>
      </c>
      <c r="B589" s="14" t="str">
        <f aca="false">'לקוחות לפי סוכן - מקור'!C580</f>
        <v>שופרסל BE</v>
      </c>
      <c r="C589" s="47" t="str">
        <f aca="false">'לקוחות לפי סוכן - מקור'!E580</f>
        <v>648 מאיר כ""ס BE</v>
      </c>
      <c r="D589" s="22" t="n">
        <f aca="false">'לקוחות לפי סוכן - מקור'!F580</f>
        <v>0</v>
      </c>
      <c r="E589" s="22" t="n">
        <f aca="false">'לקוחות לפי סוכן - מקור'!G580</f>
        <v>11663.2</v>
      </c>
      <c r="F589" s="14" t="n">
        <f aca="false">'לקוחות לפי סוכן - מקור'!D580</f>
        <v>0</v>
      </c>
      <c r="G589" s="15" t="n">
        <f aca="false">'לקוחות לפי סוכן - מקור'!H580</f>
        <v>0</v>
      </c>
      <c r="H589" s="15" t="n">
        <f aca="false">'לקוחות לפי סוכן - מקור'!I580</f>
        <v>0</v>
      </c>
      <c r="I589" s="14" t="str">
        <f aca="false">'לקוחות לפי סוכן - מקור'!K580</f>
        <v>CHMI</v>
      </c>
    </row>
    <row r="590" customFormat="false" ht="15" hidden="false" customHeight="true" outlineLevel="1" collapsed="false">
      <c r="A590" s="14" t="str">
        <f aca="false">'לקוחות לפי סוכן - מקור'!A581</f>
        <v>חיים ויצמן</v>
      </c>
      <c r="B590" s="14" t="str">
        <f aca="false">'לקוחות לפי סוכן - מקור'!C581</f>
        <v>שופרסל BE</v>
      </c>
      <c r="C590" s="47" t="str">
        <f aca="false">'לקוחות לפי סוכן - מקור'!E581</f>
        <v>682  פארם כ""ס צפון ירוקה BE</v>
      </c>
      <c r="D590" s="22" t="n">
        <f aca="false">'לקוחות לפי סוכן - מקור'!F581</f>
        <v>0</v>
      </c>
      <c r="E590" s="22" t="n">
        <f aca="false">'לקוחות לפי סוכן - מקור'!G581</f>
        <v>2934.9</v>
      </c>
      <c r="F590" s="14" t="n">
        <f aca="false">'לקוחות לפי סוכן - מקור'!D581</f>
        <v>0</v>
      </c>
      <c r="G590" s="15" t="n">
        <f aca="false">'לקוחות לפי סוכן - מקור'!H581</f>
        <v>0</v>
      </c>
      <c r="H590" s="15" t="n">
        <f aca="false">'לקוחות לפי סוכן - מקור'!I581</f>
        <v>0</v>
      </c>
      <c r="I590" s="14" t="str">
        <f aca="false">'לקוחות לפי סוכן - מקור'!K581</f>
        <v>CHMI</v>
      </c>
    </row>
    <row r="591" customFormat="false" ht="15" hidden="false" customHeight="true" outlineLevel="1" collapsed="false">
      <c r="A591" s="14" t="str">
        <f aca="false">'לקוחות לפי סוכן - מקור'!A582</f>
        <v>חיים ויצמן</v>
      </c>
      <c r="B591" s="14" t="str">
        <f aca="false">'לקוחות לפי סוכן - מקור'!C582</f>
        <v>שופרסל BE</v>
      </c>
      <c r="C591" s="47" t="str">
        <f aca="false">'לקוחות לפי סוכן - מקור'!E582</f>
        <v>637  פארם רעננה BE</v>
      </c>
      <c r="D591" s="22" t="n">
        <f aca="false">'לקוחות לפי סוכן - מקור'!F582</f>
        <v>0</v>
      </c>
      <c r="E591" s="22" t="n">
        <f aca="false">'לקוחות לפי סוכן - מקור'!G582</f>
        <v>8996.9</v>
      </c>
      <c r="F591" s="14" t="n">
        <f aca="false">'לקוחות לפי סוכן - מקור'!D582</f>
        <v>0</v>
      </c>
      <c r="G591" s="15" t="n">
        <f aca="false">'לקוחות לפי סוכן - מקור'!H582</f>
        <v>0</v>
      </c>
      <c r="H591" s="15" t="n">
        <f aca="false">'לקוחות לפי סוכן - מקור'!I582</f>
        <v>0</v>
      </c>
      <c r="I591" s="14" t="str">
        <f aca="false">'לקוחות לפי סוכן - מקור'!K582</f>
        <v>CHMI</v>
      </c>
    </row>
    <row r="592" customFormat="false" ht="15" hidden="false" customHeight="true" outlineLevel="1" collapsed="false">
      <c r="A592" s="14" t="str">
        <f aca="false">'לקוחות לפי סוכן - מקור'!A583</f>
        <v>חיים ויצמן</v>
      </c>
      <c r="B592" s="14" t="str">
        <f aca="false">'לקוחות לפי סוכן - מקור'!C583</f>
        <v>שופרסל BE</v>
      </c>
      <c r="C592" s="47" t="str">
        <f aca="false">'לקוחות לפי סוכן - מקור'!E583</f>
        <v>668  קרית השרון נתניה BE</v>
      </c>
      <c r="D592" s="22" t="n">
        <f aca="false">'לקוחות לפי סוכן - מקור'!F583</f>
        <v>0</v>
      </c>
      <c r="E592" s="22" t="n">
        <f aca="false">'לקוחות לפי סוכן - מקור'!G583</f>
        <v>8221.7</v>
      </c>
      <c r="F592" s="14" t="n">
        <f aca="false">'לקוחות לפי סוכן - מקור'!D583</f>
        <v>0</v>
      </c>
      <c r="G592" s="15" t="n">
        <f aca="false">'לקוחות לפי סוכן - מקור'!H583</f>
        <v>0</v>
      </c>
      <c r="H592" s="15" t="n">
        <f aca="false">'לקוחות לפי סוכן - מקור'!I583</f>
        <v>0</v>
      </c>
      <c r="I592" s="14" t="str">
        <f aca="false">'לקוחות לפי סוכן - מקור'!K583</f>
        <v>CHMI</v>
      </c>
    </row>
    <row r="593" customFormat="false" ht="15" hidden="false" customHeight="true" outlineLevel="1" collapsed="false">
      <c r="A593" s="14" t="str">
        <f aca="false">'לקוחות לפי סוכן - מקור'!A584</f>
        <v>חיים ויצמן</v>
      </c>
      <c r="B593" s="14" t="str">
        <f aca="false">'לקוחות לפי סוכן - מקור'!C584</f>
        <v>שופרסל BE</v>
      </c>
      <c r="C593" s="47" t="str">
        <f aca="false">'לקוחות לפי סוכן - מקור'!E584</f>
        <v>651 דרורים BE</v>
      </c>
      <c r="D593" s="22" t="n">
        <f aca="false">'לקוחות לפי סוכן - מקור'!F584</f>
        <v>0</v>
      </c>
      <c r="E593" s="22" t="n">
        <f aca="false">'לקוחות לפי סוכן - מקור'!G584</f>
        <v>11065.1</v>
      </c>
      <c r="F593" s="14" t="n">
        <f aca="false">'לקוחות לפי סוכן - מקור'!D584</f>
        <v>0</v>
      </c>
      <c r="G593" s="15" t="n">
        <f aca="false">'לקוחות לפי סוכן - מקור'!H584</f>
        <v>0</v>
      </c>
      <c r="H593" s="15" t="n">
        <f aca="false">'לקוחות לפי סוכן - מקור'!I584</f>
        <v>0</v>
      </c>
      <c r="I593" s="14" t="str">
        <f aca="false">'לקוחות לפי סוכן - מקור'!K584</f>
        <v>CHMI</v>
      </c>
    </row>
    <row r="594" customFormat="false" ht="15" hidden="false" customHeight="true" outlineLevel="1" collapsed="false">
      <c r="A594" s="14" t="str">
        <f aca="false">'לקוחות לפי סוכן - מקור'!A585</f>
        <v>חיים ויצמן</v>
      </c>
      <c r="B594" s="14" t="str">
        <f aca="false">'לקוחות לפי סוכן - מקור'!C585</f>
        <v>שופרסל BE</v>
      </c>
      <c r="C594" s="47" t="str">
        <f aca="false">'לקוחות לפי סוכן - מקור'!E585</f>
        <v>614 פארם נתניה BE</v>
      </c>
      <c r="D594" s="22" t="n">
        <f aca="false">'לקוחות לפי סוכן - מקור'!F585</f>
        <v>0</v>
      </c>
      <c r="E594" s="22" t="n">
        <f aca="false">'לקוחות לפי סוכן - מקור'!G585</f>
        <v>4289.7</v>
      </c>
      <c r="F594" s="14" t="n">
        <f aca="false">'לקוחות לפי סוכן - מקור'!D585</f>
        <v>0</v>
      </c>
      <c r="G594" s="15" t="n">
        <f aca="false">'לקוחות לפי סוכן - מקור'!H585</f>
        <v>0</v>
      </c>
      <c r="H594" s="15" t="n">
        <f aca="false">'לקוחות לפי סוכן - מקור'!I585</f>
        <v>0</v>
      </c>
      <c r="I594" s="14" t="str">
        <f aca="false">'לקוחות לפי סוכן - מקור'!K585</f>
        <v>CHMI</v>
      </c>
    </row>
    <row r="595" customFormat="false" ht="15" hidden="false" customHeight="true" outlineLevel="1" collapsed="false">
      <c r="A595" s="14" t="str">
        <f aca="false">'לקוחות לפי סוכן - מקור'!A586</f>
        <v>חיים ויצמן</v>
      </c>
      <c r="B595" s="14" t="str">
        <f aca="false">'לקוחות לפי סוכן - מקור'!C586</f>
        <v>שופרסל BE</v>
      </c>
      <c r="C595" s="47" t="str">
        <f aca="false">'לקוחות לפי סוכן - מקור'!E586</f>
        <v>618 ראשל""צ BE</v>
      </c>
      <c r="D595" s="22" t="n">
        <f aca="false">'לקוחות לפי סוכן - מקור'!F586</f>
        <v>0</v>
      </c>
      <c r="E595" s="22" t="n">
        <f aca="false">'לקוחות לפי סוכן - מקור'!G586</f>
        <v>3920</v>
      </c>
      <c r="F595" s="14" t="n">
        <f aca="false">'לקוחות לפי סוכן - מקור'!D586</f>
        <v>0</v>
      </c>
      <c r="G595" s="15" t="n">
        <f aca="false">'לקוחות לפי סוכן - מקור'!H586</f>
        <v>0</v>
      </c>
      <c r="H595" s="15" t="n">
        <f aca="false">'לקוחות לפי סוכן - מקור'!I586</f>
        <v>0</v>
      </c>
      <c r="I595" s="14" t="str">
        <f aca="false">'לקוחות לפי סוכן - מקור'!K586</f>
        <v>CHMI</v>
      </c>
    </row>
    <row r="596" customFormat="false" ht="15" hidden="false" customHeight="true" outlineLevel="1" collapsed="false">
      <c r="A596" s="14" t="str">
        <f aca="false">'לקוחות לפי סוכן - מקור'!A587</f>
        <v>חיים ויצמן</v>
      </c>
      <c r="B596" s="14" t="str">
        <f aca="false">'לקוחות לפי סוכן - מקור'!C587</f>
        <v>שופרסל BE</v>
      </c>
      <c r="C596" s="47" t="str">
        <f aca="false">'לקוחות לפי סוכן - מקור'!E587</f>
        <v>674 תל ברוך BE</v>
      </c>
      <c r="D596" s="22" t="n">
        <f aca="false">'לקוחות לפי סוכן - מקור'!F587</f>
        <v>0</v>
      </c>
      <c r="E596" s="22" t="n">
        <f aca="false">'לקוחות לפי סוכן - מקור'!G587</f>
        <v>7122.2</v>
      </c>
      <c r="F596" s="14" t="n">
        <f aca="false">'לקוחות לפי סוכן - מקור'!D587</f>
        <v>0</v>
      </c>
      <c r="G596" s="15" t="n">
        <f aca="false">'לקוחות לפי סוכן - מקור'!H587</f>
        <v>0</v>
      </c>
      <c r="H596" s="15" t="n">
        <f aca="false">'לקוחות לפי סוכן - מקור'!I587</f>
        <v>0</v>
      </c>
      <c r="I596" s="14" t="str">
        <f aca="false">'לקוחות לפי סוכן - מקור'!K587</f>
        <v>CHMI</v>
      </c>
    </row>
    <row r="597" customFormat="false" ht="15" hidden="false" customHeight="true" outlineLevel="1" collapsed="false">
      <c r="A597" s="14" t="str">
        <f aca="false">'לקוחות לפי סוכן - מקור'!A588</f>
        <v>חיים ויצמן</v>
      </c>
      <c r="B597" s="14" t="str">
        <f aca="false">'לקוחות לפי סוכן - מקור'!C588</f>
        <v>שופרסל BE</v>
      </c>
      <c r="C597" s="47" t="str">
        <f aca="false">'לקוחות לפי סוכן - מקור'!E588</f>
        <v>695 אסותא רמת החייל BE</v>
      </c>
      <c r="D597" s="22" t="n">
        <f aca="false">'לקוחות לפי סוכן - מקור'!F588</f>
        <v>0</v>
      </c>
      <c r="E597" s="22" t="n">
        <f aca="false">'לקוחות לפי סוכן - מקור'!G588</f>
        <v>264.3</v>
      </c>
      <c r="F597" s="14" t="n">
        <f aca="false">'לקוחות לפי סוכן - מקור'!D588</f>
        <v>0</v>
      </c>
      <c r="G597" s="15" t="n">
        <f aca="false">'לקוחות לפי סוכן - מקור'!H588</f>
        <v>0</v>
      </c>
      <c r="H597" s="15" t="n">
        <f aca="false">'לקוחות לפי סוכן - מקור'!I588</f>
        <v>0</v>
      </c>
      <c r="I597" s="14" t="str">
        <f aca="false">'לקוחות לפי סוכן - מקור'!K588</f>
        <v>CHMI</v>
      </c>
    </row>
    <row r="598" customFormat="false" ht="15" hidden="false" customHeight="true" outlineLevel="1" collapsed="false">
      <c r="A598" s="14" t="str">
        <f aca="false">'לקוחות לפי סוכן - מקור'!A589</f>
        <v>חיים ויצמן</v>
      </c>
      <c r="B598" s="14" t="str">
        <f aca="false">'לקוחות לפי סוכן - מקור'!C589</f>
        <v>שופרסל BE</v>
      </c>
      <c r="C598" s="47" t="str">
        <f aca="false">'לקוחות לפי סוכן - מקור'!E589</f>
        <v>677 הרצליה BE</v>
      </c>
      <c r="D598" s="22" t="n">
        <f aca="false">'לקוחות לפי סוכן - מקור'!F589</f>
        <v>0</v>
      </c>
      <c r="E598" s="22" t="n">
        <f aca="false">'לקוחות לפי סוכן - מקור'!G589</f>
        <v>9802</v>
      </c>
      <c r="F598" s="14" t="n">
        <f aca="false">'לקוחות לפי סוכן - מקור'!D589</f>
        <v>0</v>
      </c>
      <c r="G598" s="15" t="n">
        <f aca="false">'לקוחות לפי סוכן - מקור'!H589</f>
        <v>0</v>
      </c>
      <c r="H598" s="15" t="n">
        <f aca="false">'לקוחות לפי סוכן - מקור'!I589</f>
        <v>0</v>
      </c>
      <c r="I598" s="14" t="str">
        <f aca="false">'לקוחות לפי סוכן - מקור'!K589</f>
        <v>CHMI</v>
      </c>
    </row>
    <row r="599" customFormat="false" ht="15" hidden="false" customHeight="true" outlineLevel="1" collapsed="false">
      <c r="A599" s="14" t="str">
        <f aca="false">'לקוחות לפי סוכן - מקור'!A590</f>
        <v>חיים ויצמן</v>
      </c>
      <c r="B599" s="14" t="str">
        <f aca="false">'לקוחות לפי סוכן - מקור'!C590</f>
        <v>שופרסל BE</v>
      </c>
      <c r="C599" s="47" t="str">
        <f aca="false">'לקוחות לפי סוכן - מקור'!E590</f>
        <v>660  רמת השרון BE</v>
      </c>
      <c r="D599" s="22" t="n">
        <f aca="false">'לקוחות לפי סוכן - מקור'!F590</f>
        <v>0</v>
      </c>
      <c r="E599" s="22" t="n">
        <f aca="false">'לקוחות לפי סוכן - מקור'!G590</f>
        <v>8982.9</v>
      </c>
      <c r="F599" s="14" t="n">
        <f aca="false">'לקוחות לפי סוכן - מקור'!D590</f>
        <v>0</v>
      </c>
      <c r="G599" s="15" t="n">
        <f aca="false">'לקוחות לפי סוכן - מקור'!H590</f>
        <v>0</v>
      </c>
      <c r="H599" s="15" t="n">
        <f aca="false">'לקוחות לפי סוכן - מקור'!I590</f>
        <v>0</v>
      </c>
      <c r="I599" s="14" t="str">
        <f aca="false">'לקוחות לפי סוכן - מקור'!K590</f>
        <v>CHMI</v>
      </c>
    </row>
    <row r="600" customFormat="false" ht="15" hidden="false" customHeight="true" outlineLevel="1" collapsed="false">
      <c r="A600" s="14" t="str">
        <f aca="false">'לקוחות לפי סוכן - מקור'!A591</f>
        <v>חיים ויצמן</v>
      </c>
      <c r="B600" s="14" t="str">
        <f aca="false">'לקוחות לפי סוכן - מקור'!C591</f>
        <v>שופרסל BE</v>
      </c>
      <c r="C600" s="47" t="str">
        <f aca="false">'לקוחות לפי סוכן - מקור'!E591</f>
        <v>653 בני ברק BE</v>
      </c>
      <c r="D600" s="22" t="n">
        <f aca="false">'לקוחות לפי סוכן - מקור'!F591</f>
        <v>0</v>
      </c>
      <c r="E600" s="22" t="n">
        <f aca="false">'לקוחות לפי סוכן - מקור'!G591</f>
        <v>3679.4</v>
      </c>
      <c r="F600" s="14" t="n">
        <f aca="false">'לקוחות לפי סוכן - מקור'!D591</f>
        <v>0</v>
      </c>
      <c r="G600" s="15" t="n">
        <f aca="false">'לקוחות לפי סוכן - מקור'!H591</f>
        <v>0</v>
      </c>
      <c r="H600" s="15" t="n">
        <f aca="false">'לקוחות לפי סוכן - מקור'!I591</f>
        <v>0</v>
      </c>
      <c r="I600" s="14" t="str">
        <f aca="false">'לקוחות לפי סוכן - מקור'!K591</f>
        <v>CHMI</v>
      </c>
    </row>
    <row r="601" customFormat="false" ht="15" hidden="false" customHeight="true" outlineLevel="1" collapsed="false">
      <c r="A601" s="14" t="str">
        <f aca="false">'לקוחות לפי סוכן - מקור'!A592</f>
        <v>חיים ויצמן</v>
      </c>
      <c r="B601" s="14" t="str">
        <f aca="false">'לקוחות לפי סוכן - מקור'!C592</f>
        <v>שופרסל BE</v>
      </c>
      <c r="C601" s="47" t="str">
        <f aca="false">'לקוחות לפי סוכן - מקור'!E592</f>
        <v>670 איכילוב BE</v>
      </c>
      <c r="D601" s="22" t="n">
        <f aca="false">'לקוחות לפי סוכן - מקור'!F592</f>
        <v>0</v>
      </c>
      <c r="E601" s="22" t="n">
        <f aca="false">'לקוחות לפי סוכן - מקור'!G592</f>
        <v>28048.9</v>
      </c>
      <c r="F601" s="14" t="n">
        <f aca="false">'לקוחות לפי סוכן - מקור'!D592</f>
        <v>0</v>
      </c>
      <c r="G601" s="15" t="n">
        <f aca="false">'לקוחות לפי סוכן - מקור'!H592</f>
        <v>0</v>
      </c>
      <c r="H601" s="15" t="n">
        <f aca="false">'לקוחות לפי סוכן - מקור'!I592</f>
        <v>0</v>
      </c>
      <c r="I601" s="14" t="str">
        <f aca="false">'לקוחות לפי סוכן - מקור'!K592</f>
        <v>CHMI</v>
      </c>
    </row>
    <row r="602" customFormat="false" ht="15" hidden="false" customHeight="true" outlineLevel="1" collapsed="false">
      <c r="A602" s="14" t="str">
        <f aca="false">'לקוחות לפי סוכן - מקור'!A593</f>
        <v>חיים ויצמן</v>
      </c>
      <c r="B602" s="14" t="str">
        <f aca="false">'לקוחות לפי סוכן - מקור'!C593</f>
        <v>שופרסל BE</v>
      </c>
      <c r="C602" s="47" t="str">
        <f aca="false">'לקוחות לפי סוכן - מקור'!E593</f>
        <v>656 בן יהודה ת""א BE</v>
      </c>
      <c r="D602" s="22" t="n">
        <f aca="false">'לקוחות לפי סוכן - מקור'!F593</f>
        <v>0</v>
      </c>
      <c r="E602" s="22" t="n">
        <f aca="false">'לקוחות לפי סוכן - מקור'!G593</f>
        <v>488.3</v>
      </c>
      <c r="F602" s="14" t="n">
        <f aca="false">'לקוחות לפי סוכן - מקור'!D593</f>
        <v>0</v>
      </c>
      <c r="G602" s="15" t="n">
        <f aca="false">'לקוחות לפי סוכן - מקור'!H593</f>
        <v>0</v>
      </c>
      <c r="H602" s="15" t="n">
        <f aca="false">'לקוחות לפי סוכן - מקור'!I593</f>
        <v>0</v>
      </c>
      <c r="I602" s="14" t="str">
        <f aca="false">'לקוחות לפי סוכן - מקור'!K593</f>
        <v>CHMI</v>
      </c>
    </row>
    <row r="603" customFormat="false" ht="15" hidden="false" customHeight="true" outlineLevel="1" collapsed="false">
      <c r="A603" s="14" t="str">
        <f aca="false">'לקוחות לפי סוכן - מקור'!A594</f>
        <v>חיים ויצמן</v>
      </c>
      <c r="B603" s="14" t="str">
        <f aca="false">'לקוחות לפי סוכן - מקור'!C594</f>
        <v>שופרסל BE</v>
      </c>
      <c r="C603" s="47" t="str">
        <f aca="false">'לקוחות לפי סוכן - מקור'!E594</f>
        <v>685 אזורי חן BE</v>
      </c>
      <c r="D603" s="22" t="n">
        <f aca="false">'לקוחות לפי סוכן - מקור'!F594</f>
        <v>0</v>
      </c>
      <c r="E603" s="22" t="n">
        <f aca="false">'לקוחות לפי סוכן - מקור'!G594</f>
        <v>246.4</v>
      </c>
      <c r="F603" s="14" t="n">
        <f aca="false">'לקוחות לפי סוכן - מקור'!D594</f>
        <v>0</v>
      </c>
      <c r="G603" s="15" t="n">
        <f aca="false">'לקוחות לפי סוכן - מקור'!H594</f>
        <v>0</v>
      </c>
      <c r="H603" s="15" t="n">
        <f aca="false">'לקוחות לפי סוכן - מקור'!I594</f>
        <v>0</v>
      </c>
      <c r="I603" s="14" t="str">
        <f aca="false">'לקוחות לפי סוכן - מקור'!K594</f>
        <v>CHMI</v>
      </c>
    </row>
    <row r="604" customFormat="false" ht="15" hidden="false" customHeight="true" outlineLevel="1" collapsed="false">
      <c r="A604" s="14" t="str">
        <f aca="false">'לקוחות לפי סוכן - מקור'!A595</f>
        <v>חיים ויצמן</v>
      </c>
      <c r="B604" s="14" t="str">
        <f aca="false">'לקוחות לפי סוכן - מקור'!C595</f>
        <v>שופרסל BE</v>
      </c>
      <c r="C604" s="47" t="str">
        <f aca="false">'לקוחות לפי סוכן - מקור'!E595</f>
        <v>621 סינמה סיטי נתניה BE</v>
      </c>
      <c r="D604" s="22" t="n">
        <f aca="false">'לקוחות לפי סוכן - מקור'!F595</f>
        <v>0</v>
      </c>
      <c r="E604" s="22" t="n">
        <f aca="false">'לקוחות לפי סוכן - מקור'!G595</f>
        <v>3454.2</v>
      </c>
      <c r="F604" s="14" t="n">
        <f aca="false">'לקוחות לפי סוכן - מקור'!D595</f>
        <v>0</v>
      </c>
      <c r="G604" s="15" t="n">
        <f aca="false">'לקוחות לפי סוכן - מקור'!H595</f>
        <v>0</v>
      </c>
      <c r="H604" s="15" t="n">
        <f aca="false">'לקוחות לפי סוכן - מקור'!I595</f>
        <v>0</v>
      </c>
      <c r="I604" s="14" t="str">
        <f aca="false">'לקוחות לפי סוכן - מקור'!K595</f>
        <v>CHMI</v>
      </c>
    </row>
    <row r="605" customFormat="false" ht="15" hidden="false" customHeight="true" outlineLevel="1" collapsed="false">
      <c r="A605" s="14" t="str">
        <f aca="false">'לקוחות לפי סוכן - מקור'!A596</f>
        <v>חיים ויצמן</v>
      </c>
      <c r="B605" s="14" t="str">
        <f aca="false">'לקוחות לפי סוכן - מקור'!C596</f>
        <v>שופרסל BE</v>
      </c>
      <c r="C605" s="47" t="str">
        <f aca="false">'לקוחות לפי סוכן - מקור'!E596</f>
        <v>201 בריגה נתניה BE</v>
      </c>
      <c r="D605" s="22" t="n">
        <f aca="false">'לקוחות לפי סוכן - מקור'!F596</f>
        <v>0</v>
      </c>
      <c r="E605" s="22" t="n">
        <f aca="false">'לקוחות לפי סוכן - מקור'!G596</f>
        <v>6481.7</v>
      </c>
      <c r="F605" s="14" t="n">
        <f aca="false">'לקוחות לפי סוכן - מקור'!D596</f>
        <v>0</v>
      </c>
      <c r="G605" s="15" t="n">
        <f aca="false">'לקוחות לפי סוכן - מקור'!H596</f>
        <v>0</v>
      </c>
      <c r="H605" s="15" t="n">
        <f aca="false">'לקוחות לפי סוכן - מקור'!I596</f>
        <v>0</v>
      </c>
      <c r="I605" s="14" t="str">
        <f aca="false">'לקוחות לפי סוכן - מקור'!K596</f>
        <v>CHMI</v>
      </c>
    </row>
    <row r="606" customFormat="false" ht="15" hidden="false" customHeight="true" outlineLevel="1" collapsed="false">
      <c r="A606" s="14" t="str">
        <f aca="false">'לקוחות לפי סוכן - מקור'!A597</f>
        <v>חיים ויצמן</v>
      </c>
      <c r="B606" s="14" t="str">
        <f aca="false">'לקוחות לפי סוכן - מקור'!C597</f>
        <v>שופרסל BE</v>
      </c>
      <c r="C606" s="47" t="str">
        <f aca="false">'לקוחות לפי סוכן - מקור'!E597</f>
        <v>665 החשמונאים BE</v>
      </c>
      <c r="D606" s="22" t="n">
        <f aca="false">'לקוחות לפי סוכן - מקור'!F597</f>
        <v>0</v>
      </c>
      <c r="E606" s="22" t="n">
        <f aca="false">'לקוחות לפי סוכן - מקור'!G597</f>
        <v>7107.6</v>
      </c>
      <c r="F606" s="14" t="n">
        <f aca="false">'לקוחות לפי סוכן - מקור'!D597</f>
        <v>0</v>
      </c>
      <c r="G606" s="15" t="n">
        <f aca="false">'לקוחות לפי סוכן - מקור'!H597</f>
        <v>0</v>
      </c>
      <c r="H606" s="15" t="n">
        <f aca="false">'לקוחות לפי סוכן - מקור'!I597</f>
        <v>0</v>
      </c>
      <c r="I606" s="14" t="str">
        <f aca="false">'לקוחות לפי סוכן - מקור'!K597</f>
        <v>CHMI</v>
      </c>
    </row>
    <row r="607" customFormat="false" ht="15" hidden="false" customHeight="true" outlineLevel="1" collapsed="false">
      <c r="A607" s="14" t="str">
        <f aca="false">'לקוחות לפי סוכן - מקור'!A598</f>
        <v>חיים ויצמן</v>
      </c>
      <c r="B607" s="14" t="str">
        <f aca="false">'לקוחות לפי סוכן - מקור'!C598</f>
        <v>שופרסל BE</v>
      </c>
      <c r="C607" s="47" t="str">
        <f aca="false">'לקוחות לפי סוכן - מקור'!E598</f>
        <v>345 מידטאון ת""א BE</v>
      </c>
      <c r="D607" s="22" t="n">
        <f aca="false">'לקוחות לפי סוכן - מקור'!F598</f>
        <v>0</v>
      </c>
      <c r="E607" s="22" t="n">
        <f aca="false">'לקוחות לפי סוכן - מקור'!G598</f>
        <v>5126.2</v>
      </c>
      <c r="F607" s="14" t="n">
        <f aca="false">'לקוחות לפי סוכן - מקור'!D598</f>
        <v>0</v>
      </c>
      <c r="G607" s="15" t="n">
        <f aca="false">'לקוחות לפי סוכן - מקור'!H598</f>
        <v>0</v>
      </c>
      <c r="H607" s="15" t="n">
        <f aca="false">'לקוחות לפי סוכן - מקור'!I598</f>
        <v>0</v>
      </c>
      <c r="I607" s="14" t="str">
        <f aca="false">'לקוחות לפי סוכן - מקור'!K598</f>
        <v>CHMI</v>
      </c>
    </row>
    <row r="608" customFormat="false" ht="15" hidden="false" customHeight="true" outlineLevel="1" collapsed="false">
      <c r="A608" s="14" t="str">
        <f aca="false">'לקוחות לפי סוכן - מקור'!A599</f>
        <v>חיים ויצמן</v>
      </c>
      <c r="B608" s="14" t="str">
        <f aca="false">'לקוחות לפי סוכן - מקור'!C599</f>
        <v>שופרסל BE</v>
      </c>
      <c r="C608" s="47" t="str">
        <f aca="false">'לקוחות לפי סוכן - מקור'!E599</f>
        <v>322 גן העיר ת""א BE</v>
      </c>
      <c r="D608" s="22" t="n">
        <f aca="false">'לקוחות לפי סוכן - מקור'!F599</f>
        <v>0</v>
      </c>
      <c r="E608" s="22" t="n">
        <f aca="false">'לקוחות לפי סוכן - מקור'!G599</f>
        <v>9307.6</v>
      </c>
      <c r="F608" s="14" t="n">
        <f aca="false">'לקוחות לפי סוכן - מקור'!D599</f>
        <v>0</v>
      </c>
      <c r="G608" s="15" t="n">
        <f aca="false">'לקוחות לפי סוכן - מקור'!H599</f>
        <v>0</v>
      </c>
      <c r="H608" s="15" t="n">
        <f aca="false">'לקוחות לפי סוכן - מקור'!I599</f>
        <v>0</v>
      </c>
      <c r="I608" s="14" t="str">
        <f aca="false">'לקוחות לפי סוכן - מקור'!K599</f>
        <v>CHMI</v>
      </c>
    </row>
    <row r="609" customFormat="false" ht="15" hidden="false" customHeight="true" outlineLevel="1" collapsed="false">
      <c r="A609" s="14" t="str">
        <f aca="false">'לקוחות לפי סוכן - מקור'!A600</f>
        <v>חיים ויצמן</v>
      </c>
      <c r="B609" s="14" t="str">
        <f aca="false">'לקוחות לפי סוכן - מקור'!C600</f>
        <v>שופרסל BE</v>
      </c>
      <c r="C609" s="47" t="str">
        <f aca="false">'לקוחות לפי סוכן - מקור'!E600</f>
        <v>41 דיזינגוף סנטר BE</v>
      </c>
      <c r="D609" s="22" t="n">
        <f aca="false">'לקוחות לפי סוכן - מקור'!F600</f>
        <v>0</v>
      </c>
      <c r="E609" s="22" t="n">
        <f aca="false">'לקוחות לפי סוכן - מקור'!G600</f>
        <v>8027.1</v>
      </c>
      <c r="F609" s="14" t="n">
        <f aca="false">'לקוחות לפי סוכן - מקור'!D600</f>
        <v>0</v>
      </c>
      <c r="G609" s="15" t="n">
        <f aca="false">'לקוחות לפי סוכן - מקור'!H600</f>
        <v>0</v>
      </c>
      <c r="H609" s="15" t="n">
        <f aca="false">'לקוחות לפי סוכן - מקור'!I600</f>
        <v>0</v>
      </c>
      <c r="I609" s="14" t="str">
        <f aca="false">'לקוחות לפי סוכן - מקור'!K600</f>
        <v>CHMI</v>
      </c>
    </row>
    <row r="610" customFormat="false" ht="15" hidden="false" customHeight="true" outlineLevel="1" collapsed="false">
      <c r="A610" s="14" t="str">
        <f aca="false">'לקוחות לפי סוכן - מקור'!A601</f>
        <v>חיים ויצמן</v>
      </c>
      <c r="B610" s="14" t="str">
        <f aca="false">'לקוחות לפי סוכן - מקור'!C601</f>
        <v>שופרסל BE</v>
      </c>
      <c r="C610" s="47" t="str">
        <f aca="false">'לקוחות לפי סוכן - מקור'!E601</f>
        <v>256 ישפרו נס ציונה B.</v>
      </c>
      <c r="D610" s="22" t="n">
        <f aca="false">'לקוחות לפי סוכן - מקור'!F601</f>
        <v>0</v>
      </c>
      <c r="E610" s="22" t="n">
        <f aca="false">'לקוחות לפי סוכן - מקור'!G601</f>
        <v>3705.3</v>
      </c>
      <c r="F610" s="14" t="n">
        <f aca="false">'לקוחות לפי סוכן - מקור'!D601</f>
        <v>0</v>
      </c>
      <c r="G610" s="15" t="n">
        <f aca="false">'לקוחות לפי סוכן - מקור'!H601</f>
        <v>0</v>
      </c>
      <c r="H610" s="15" t="n">
        <f aca="false">'לקוחות לפי סוכן - מקור'!I601</f>
        <v>0</v>
      </c>
      <c r="I610" s="14" t="str">
        <f aca="false">'לקוחות לפי סוכן - מקור'!K601</f>
        <v>CHMI</v>
      </c>
    </row>
    <row r="611" customFormat="false" ht="15" hidden="false" customHeight="true" outlineLevel="1" collapsed="false">
      <c r="A611" s="14" t="str">
        <f aca="false">'לקוחות לפי סוכן - מקור'!A602</f>
        <v>חיים ויצמן</v>
      </c>
      <c r="B611" s="14" t="str">
        <f aca="false">'לקוחות לפי סוכן - מקור'!C602</f>
        <v>שופרסל BE</v>
      </c>
      <c r="C611" s="47" t="str">
        <f aca="false">'לקוחות לפי סוכן - מקור'!E602</f>
        <v>476 ככר המושבה הוד השרון BE</v>
      </c>
      <c r="D611" s="22" t="n">
        <f aca="false">'לקוחות לפי סוכן - מקור'!F602</f>
        <v>0</v>
      </c>
      <c r="E611" s="22" t="n">
        <f aca="false">'לקוחות לפי סוכן - מקור'!G602</f>
        <v>5744</v>
      </c>
      <c r="F611" s="14" t="n">
        <f aca="false">'לקוחות לפי סוכן - מקור'!D602</f>
        <v>0</v>
      </c>
      <c r="G611" s="15" t="n">
        <f aca="false">'לקוחות לפי סוכן - מקור'!H602</f>
        <v>0</v>
      </c>
      <c r="H611" s="15" t="n">
        <f aca="false">'לקוחות לפי סוכן - מקור'!I602</f>
        <v>0</v>
      </c>
      <c r="I611" s="14" t="str">
        <f aca="false">'לקוחות לפי סוכן - מקור'!K602</f>
        <v>CHMI</v>
      </c>
    </row>
    <row r="612" customFormat="false" ht="15" hidden="false" customHeight="true" outlineLevel="1" collapsed="false">
      <c r="A612" s="14" t="str">
        <f aca="false">'לקוחות לפי סוכן - מקור'!A603</f>
        <v>חיים ויצמן</v>
      </c>
      <c r="B612" s="14" t="str">
        <f aca="false">'לקוחות לפי סוכן - מקור'!C603</f>
        <v>שופרסל BE</v>
      </c>
      <c r="C612" s="47" t="str">
        <f aca="false">'לקוחות לפי סוכן - מקור'!E603</f>
        <v>782 שיין ראשל""צ BE</v>
      </c>
      <c r="D612" s="22" t="n">
        <f aca="false">'לקוחות לפי סוכן - מקור'!F603</f>
        <v>0</v>
      </c>
      <c r="E612" s="22" t="n">
        <f aca="false">'לקוחות לפי סוכן - מקור'!G603</f>
        <v>636</v>
      </c>
      <c r="F612" s="14" t="n">
        <f aca="false">'לקוחות לפי סוכן - מקור'!D603</f>
        <v>0</v>
      </c>
      <c r="G612" s="15" t="n">
        <f aca="false">'לקוחות לפי סוכן - מקור'!H603</f>
        <v>0</v>
      </c>
      <c r="H612" s="15" t="n">
        <f aca="false">'לקוחות לפי סוכן - מקור'!I603</f>
        <v>0</v>
      </c>
      <c r="I612" s="14" t="str">
        <f aca="false">'לקוחות לפי סוכן - מקור'!K603</f>
        <v>CHMI</v>
      </c>
    </row>
    <row r="613" customFormat="false" ht="15" hidden="false" customHeight="true" outlineLevel="1" collapsed="false">
      <c r="A613" s="14" t="str">
        <f aca="false">'לקוחות לפי סוכן - מקור'!A604</f>
        <v>חיים ויצמן</v>
      </c>
      <c r="B613" s="14" t="str">
        <f aca="false">'לקוחות לפי סוכן - מקור'!C604</f>
        <v>שופרסל BE</v>
      </c>
      <c r="C613" s="47" t="str">
        <f aca="false">'לקוחות לפי סוכן - מקור'!E604</f>
        <v>762 אושיסקין רמת השרון BE</v>
      </c>
      <c r="D613" s="22" t="n">
        <f aca="false">'לקוחות לפי סוכן - מקור'!F604</f>
        <v>0</v>
      </c>
      <c r="E613" s="22" t="n">
        <f aca="false">'לקוחות לפי סוכן - מקור'!G604</f>
        <v>4767.1</v>
      </c>
      <c r="F613" s="14" t="n">
        <f aca="false">'לקוחות לפי סוכן - מקור'!D604</f>
        <v>0</v>
      </c>
      <c r="G613" s="15" t="n">
        <f aca="false">'לקוחות לפי סוכן - מקור'!H604</f>
        <v>0</v>
      </c>
      <c r="H613" s="15" t="n">
        <f aca="false">'לקוחות לפי סוכן - מקור'!I604</f>
        <v>0</v>
      </c>
      <c r="I613" s="14" t="str">
        <f aca="false">'לקוחות לפי סוכן - מקור'!K604</f>
        <v>CHMI</v>
      </c>
    </row>
    <row r="614" customFormat="false" ht="15" hidden="false" customHeight="true" outlineLevel="1" collapsed="false">
      <c r="A614" s="14" t="str">
        <f aca="false">'לקוחות לפי סוכן - מקור'!A605</f>
        <v>חיים ויצמן</v>
      </c>
      <c r="B614" s="14" t="str">
        <f aca="false">'לקוחות לפי סוכן - מקור'!C605</f>
        <v>שופרסל BE</v>
      </c>
      <c r="C614" s="47" t="str">
        <f aca="false">'לקוחות לפי סוכן - מקור'!E605</f>
        <v>781 פרישמן ת""א BE</v>
      </c>
      <c r="D614" s="22" t="n">
        <f aca="false">'לקוחות לפי סוכן - מקור'!F605</f>
        <v>0</v>
      </c>
      <c r="E614" s="22" t="n">
        <f aca="false">'לקוחות לפי סוכן - מקור'!G605</f>
        <v>4710.9</v>
      </c>
      <c r="F614" s="14" t="n">
        <f aca="false">'לקוחות לפי סוכן - מקור'!D605</f>
        <v>0</v>
      </c>
      <c r="G614" s="15" t="n">
        <f aca="false">'לקוחות לפי סוכן - מקור'!H605</f>
        <v>0</v>
      </c>
      <c r="H614" s="15" t="n">
        <f aca="false">'לקוחות לפי סוכן - מקור'!I605</f>
        <v>0</v>
      </c>
      <c r="I614" s="14" t="str">
        <f aca="false">'לקוחות לפי סוכן - מקור'!K605</f>
        <v>CHMI</v>
      </c>
    </row>
    <row r="615" customFormat="false" ht="15" hidden="false" customHeight="true" outlineLevel="1" collapsed="false">
      <c r="A615" s="14" t="str">
        <f aca="false">'לקוחות לפי סוכן - מקור'!A606</f>
        <v>חיים ויצמן</v>
      </c>
      <c r="B615" s="14" t="str">
        <f aca="false">'לקוחות לפי סוכן - מקור'!C606</f>
        <v>שופרסל BE</v>
      </c>
      <c r="C615" s="47" t="str">
        <f aca="false">'לקוחות לפי סוכן - מקור'!E606</f>
        <v>172 באר יעקב BE</v>
      </c>
      <c r="D615" s="22" t="n">
        <f aca="false">'לקוחות לפי סוכן - מקור'!F606</f>
        <v>0</v>
      </c>
      <c r="E615" s="22" t="n">
        <f aca="false">'לקוחות לפי סוכן - מקור'!G606</f>
        <v>4129.1</v>
      </c>
      <c r="F615" s="14" t="n">
        <f aca="false">'לקוחות לפי סוכן - מקור'!D606</f>
        <v>0</v>
      </c>
      <c r="G615" s="15" t="n">
        <f aca="false">'לקוחות לפי סוכן - מקור'!H606</f>
        <v>0</v>
      </c>
      <c r="H615" s="15" t="n">
        <f aca="false">'לקוחות לפי סוכן - מקור'!I606</f>
        <v>0</v>
      </c>
      <c r="I615" s="14" t="str">
        <f aca="false">'לקוחות לפי סוכן - מקור'!K606</f>
        <v>CHMI</v>
      </c>
    </row>
    <row r="616" customFormat="false" ht="15" hidden="false" customHeight="true" outlineLevel="1" collapsed="false">
      <c r="A616" s="14" t="str">
        <f aca="false">'לקוחות לפי סוכן - מקור'!A608</f>
        <v>חיים ויצמן</v>
      </c>
      <c r="B616" s="14" t="str">
        <f aca="false">'לקוחות לפי סוכן - מקור'!C608</f>
        <v>0קופות חולים</v>
      </c>
      <c r="C616" s="47" t="str">
        <f aca="false">'לקוחות לפי סוכן - מקור'!E608</f>
        <v>מאוחדת נ.שקמה ראשל""צ</v>
      </c>
      <c r="D616" s="22" t="n">
        <f aca="false">'לקוחות לפי סוכן - מקור'!F608</f>
        <v>0</v>
      </c>
      <c r="E616" s="22" t="n">
        <f aca="false">'לקוחות לפי סוכן - מקור'!G608</f>
        <v>673.2</v>
      </c>
      <c r="F616" s="14" t="n">
        <f aca="false">'לקוחות לפי סוכן - מקור'!D608</f>
        <v>0</v>
      </c>
      <c r="G616" s="15" t="n">
        <f aca="false">'לקוחות לפי סוכן - מקור'!H608</f>
        <v>0</v>
      </c>
      <c r="H616" s="15" t="n">
        <f aca="false">'לקוחות לפי סוכן - מקור'!I608</f>
        <v>0</v>
      </c>
      <c r="I616" s="14" t="str">
        <f aca="false">'לקוחות לפי סוכן - מקור'!K608</f>
        <v>CHMI</v>
      </c>
    </row>
    <row r="617" customFormat="false" ht="15" hidden="false" customHeight="true" outlineLevel="1" collapsed="false">
      <c r="A617" s="14" t="str">
        <f aca="false">'לקוחות לפי סוכן - מקור'!A609</f>
        <v>חיים ויצמן</v>
      </c>
      <c r="B617" s="14" t="str">
        <f aca="false">'לקוחות לפי סוכן - מקור'!C609</f>
        <v>0קופות חולים</v>
      </c>
      <c r="C617" s="47" t="str">
        <f aca="false">'לקוחות לפי סוכן - מקור'!E609</f>
        <v>7123 מאוחדת כפר סבא</v>
      </c>
      <c r="D617" s="22" t="n">
        <f aca="false">'לקוחות לפי סוכן - מקור'!F609</f>
        <v>0</v>
      </c>
      <c r="E617" s="22" t="n">
        <f aca="false">'לקוחות לפי סוכן - מקור'!G609</f>
        <v>2201.8</v>
      </c>
      <c r="F617" s="14" t="n">
        <f aca="false">'לקוחות לפי סוכן - מקור'!D609</f>
        <v>0</v>
      </c>
      <c r="G617" s="15" t="n">
        <f aca="false">'לקוחות לפי סוכן - מקור'!H609</f>
        <v>0</v>
      </c>
      <c r="H617" s="15" t="n">
        <f aca="false">'לקוחות לפי סוכן - מקור'!I609</f>
        <v>0</v>
      </c>
      <c r="I617" s="14" t="str">
        <f aca="false">'לקוחות לפי סוכן - מקור'!K609</f>
        <v>CHMI</v>
      </c>
    </row>
    <row r="618" customFormat="false" ht="15" hidden="false" customHeight="true" outlineLevel="1" collapsed="false">
      <c r="A618" s="14" t="str">
        <f aca="false">'לקוחות לפי סוכן - מקור'!A610</f>
        <v>חיים ויצמן</v>
      </c>
      <c r="B618" s="14" t="str">
        <f aca="false">'לקוחות לפי סוכן - מקור'!C610</f>
        <v>0קופות חולים</v>
      </c>
      <c r="C618" s="47" t="str">
        <f aca="false">'לקוחות לפי סוכן - מקור'!E610</f>
        <v>7101 מאוחדת אבן-יהודה</v>
      </c>
      <c r="D618" s="22" t="n">
        <f aca="false">'לקוחות לפי סוכן - מקור'!F610</f>
        <v>0</v>
      </c>
      <c r="E618" s="22" t="n">
        <f aca="false">'לקוחות לפי סוכן - מקור'!G610</f>
        <v>182</v>
      </c>
      <c r="F618" s="14" t="n">
        <f aca="false">'לקוחות לפי סוכן - מקור'!D610</f>
        <v>0</v>
      </c>
      <c r="G618" s="15" t="n">
        <f aca="false">'לקוחות לפי סוכן - מקור'!H610</f>
        <v>0</v>
      </c>
      <c r="H618" s="15" t="n">
        <f aca="false">'לקוחות לפי סוכן - מקור'!I610</f>
        <v>0</v>
      </c>
      <c r="I618" s="14" t="str">
        <f aca="false">'לקוחות לפי סוכן - מקור'!K610</f>
        <v>CHMI</v>
      </c>
    </row>
    <row r="619" customFormat="false" ht="15" hidden="false" customHeight="true" outlineLevel="1" collapsed="false">
      <c r="A619" s="14" t="str">
        <f aca="false">'לקוחות לפי סוכן - מקור'!A611</f>
        <v>חיים ויצמן</v>
      </c>
      <c r="B619" s="14" t="str">
        <f aca="false">'לקוחות לפי סוכן - מקור'!C611</f>
        <v>0קופות חולים</v>
      </c>
      <c r="C619" s="47" t="str">
        <f aca="false">'לקוחות לפי סוכן - מקור'!E611</f>
        <v>4410 מאוחדת נתניה</v>
      </c>
      <c r="D619" s="22" t="n">
        <f aca="false">'לקוחות לפי סוכן - מקור'!F611</f>
        <v>0</v>
      </c>
      <c r="E619" s="22" t="n">
        <f aca="false">'לקוחות לפי סוכן - מקור'!G611</f>
        <v>4674.1</v>
      </c>
      <c r="F619" s="14" t="n">
        <f aca="false">'לקוחות לפי סוכן - מקור'!D611</f>
        <v>0</v>
      </c>
      <c r="G619" s="15" t="n">
        <f aca="false">'לקוחות לפי סוכן - מקור'!H611</f>
        <v>0</v>
      </c>
      <c r="H619" s="15" t="n">
        <f aca="false">'לקוחות לפי סוכן - מקור'!I611</f>
        <v>0</v>
      </c>
      <c r="I619" s="14" t="str">
        <f aca="false">'לקוחות לפי סוכן - מקור'!K611</f>
        <v>CHMI</v>
      </c>
    </row>
    <row r="620" customFormat="false" ht="15" hidden="false" customHeight="true" outlineLevel="1" collapsed="false">
      <c r="A620" s="14" t="str">
        <f aca="false">'לקוחות לפי סוכן - מקור'!A612</f>
        <v>חיים ויצמן</v>
      </c>
      <c r="B620" s="14" t="str">
        <f aca="false">'לקוחות לפי סוכן - מקור'!C612</f>
        <v>0קופות חולים</v>
      </c>
      <c r="C620" s="47" t="str">
        <f aca="false">'לקוחות לפי סוכן - מקור'!E612</f>
        <v>7108 מאוחדת הרצליה</v>
      </c>
      <c r="D620" s="22" t="n">
        <f aca="false">'לקוחות לפי סוכן - מקור'!F612</f>
        <v>0</v>
      </c>
      <c r="E620" s="22" t="n">
        <f aca="false">'לקוחות לפי סוכן - מקור'!G612</f>
        <v>2548.5</v>
      </c>
      <c r="F620" s="14" t="n">
        <f aca="false">'לקוחות לפי סוכן - מקור'!D612</f>
        <v>0</v>
      </c>
      <c r="G620" s="15" t="n">
        <f aca="false">'לקוחות לפי סוכן - מקור'!H612</f>
        <v>0</v>
      </c>
      <c r="H620" s="15" t="n">
        <f aca="false">'לקוחות לפי סוכן - מקור'!I612</f>
        <v>0</v>
      </c>
      <c r="I620" s="14" t="str">
        <f aca="false">'לקוחות לפי סוכן - מקור'!K612</f>
        <v>CHMI</v>
      </c>
    </row>
    <row r="621" customFormat="false" ht="15" hidden="false" customHeight="true" outlineLevel="1" collapsed="false">
      <c r="A621" s="14" t="str">
        <f aca="false">'לקוחות לפי סוכן - מקור'!A613</f>
        <v>חיים ויצמן</v>
      </c>
      <c r="B621" s="14" t="str">
        <f aca="false">'לקוחות לפי סוכן - מקור'!C613</f>
        <v>0קופות חולים</v>
      </c>
      <c r="C621" s="47" t="str">
        <f aca="false">'לקוחות לפי סוכן - מקור'!E613</f>
        <v>7105 מאוחדת אבני נזר ב""ב</v>
      </c>
      <c r="D621" s="22" t="n">
        <f aca="false">'לקוחות לפי סוכן - מקור'!F613</f>
        <v>0</v>
      </c>
      <c r="E621" s="22" t="n">
        <f aca="false">'לקוחות לפי סוכן - מקור'!G613</f>
        <v>106</v>
      </c>
      <c r="F621" s="14" t="n">
        <f aca="false">'לקוחות לפי סוכן - מקור'!D613</f>
        <v>0</v>
      </c>
      <c r="G621" s="15" t="n">
        <f aca="false">'לקוחות לפי סוכן - מקור'!H613</f>
        <v>0</v>
      </c>
      <c r="H621" s="15" t="n">
        <f aca="false">'לקוחות לפי סוכן - מקור'!I613</f>
        <v>0</v>
      </c>
      <c r="I621" s="14" t="str">
        <f aca="false">'לקוחות לפי סוכן - מקור'!K613</f>
        <v>CHMI</v>
      </c>
    </row>
    <row r="622" customFormat="false" ht="15" hidden="false" customHeight="true" outlineLevel="1" collapsed="false">
      <c r="A622" s="14" t="str">
        <f aca="false">'לקוחות לפי סוכן - מקור'!A614</f>
        <v>חיים ויצמן</v>
      </c>
      <c r="B622" s="14" t="str">
        <f aca="false">'לקוחות לפי סוכן - מקור'!C614</f>
        <v>0קופות חולים</v>
      </c>
      <c r="C622" s="47" t="str">
        <f aca="false">'לקוחות לפי סוכן - מקור'!E614</f>
        <v>7104  מאוחדת בני-ברק</v>
      </c>
      <c r="D622" s="22" t="n">
        <f aca="false">'לקוחות לפי סוכן - מקור'!F614</f>
        <v>0</v>
      </c>
      <c r="E622" s="22" t="n">
        <f aca="false">'לקוחות לפי סוכן - מקור'!G614</f>
        <v>2456.7</v>
      </c>
      <c r="F622" s="14" t="n">
        <f aca="false">'לקוחות לפי סוכן - מקור'!D614</f>
        <v>0</v>
      </c>
      <c r="G622" s="15" t="n">
        <f aca="false">'לקוחות לפי סוכן - מקור'!H614</f>
        <v>0</v>
      </c>
      <c r="H622" s="15" t="n">
        <f aca="false">'לקוחות לפי סוכן - מקור'!I614</f>
        <v>0</v>
      </c>
      <c r="I622" s="14" t="str">
        <f aca="false">'לקוחות לפי סוכן - מקור'!K614</f>
        <v>CHMI</v>
      </c>
    </row>
    <row r="623" customFormat="false" ht="15" hidden="false" customHeight="true" outlineLevel="1" collapsed="false">
      <c r="A623" s="14" t="str">
        <f aca="false">'לקוחות לפי סוכן - מקור'!A615</f>
        <v>חיים ויצמן</v>
      </c>
      <c r="B623" s="14" t="str">
        <f aca="false">'לקוחות לפי סוכן - מקור'!C615</f>
        <v>0קופות חולים</v>
      </c>
      <c r="C623" s="47" t="str">
        <f aca="false">'לקוחות לפי סוכן - מקור'!E615</f>
        <v>5910 מאוחדת תל-אביב</v>
      </c>
      <c r="D623" s="22" t="n">
        <f aca="false">'לקוחות לפי סוכן - מקור'!F615</f>
        <v>0</v>
      </c>
      <c r="E623" s="22" t="n">
        <f aca="false">'לקוחות לפי סוכן - מקור'!G615</f>
        <v>10879.4</v>
      </c>
      <c r="F623" s="14" t="n">
        <f aca="false">'לקוחות לפי סוכן - מקור'!D615</f>
        <v>0</v>
      </c>
      <c r="G623" s="15" t="n">
        <f aca="false">'לקוחות לפי סוכן - מקור'!H615</f>
        <v>0</v>
      </c>
      <c r="H623" s="15" t="n">
        <f aca="false">'לקוחות לפי סוכן - מקור'!I615</f>
        <v>0</v>
      </c>
      <c r="I623" s="14" t="str">
        <f aca="false">'לקוחות לפי סוכן - מקור'!K615</f>
        <v>CHMI</v>
      </c>
    </row>
    <row r="624" customFormat="false" ht="15" hidden="false" customHeight="true" outlineLevel="1" collapsed="false">
      <c r="A624" s="14" t="str">
        <f aca="false">'לקוחות לפי סוכן - מקור'!A616</f>
        <v>חיים ויצמן</v>
      </c>
      <c r="B624" s="14" t="str">
        <f aca="false">'לקוחות לפי סוכן - מקור'!C616</f>
        <v>0קופות חולים</v>
      </c>
      <c r="C624" s="47" t="str">
        <f aca="false">'לקוחות לפי סוכן - מקור'!E616</f>
        <v>מאוחדת צרפתי ראשון לציון</v>
      </c>
      <c r="D624" s="22" t="n">
        <f aca="false">'לקוחות לפי סוכן - מקור'!F616</f>
        <v>0</v>
      </c>
      <c r="E624" s="22" t="n">
        <f aca="false">'לקוחות לפי סוכן - מקור'!G616</f>
        <v>599</v>
      </c>
      <c r="F624" s="14" t="n">
        <f aca="false">'לקוחות לפי סוכן - מקור'!D616</f>
        <v>0</v>
      </c>
      <c r="G624" s="15" t="n">
        <f aca="false">'לקוחות לפי סוכן - מקור'!H616</f>
        <v>0</v>
      </c>
      <c r="H624" s="15" t="n">
        <f aca="false">'לקוחות לפי סוכן - מקור'!I616</f>
        <v>0</v>
      </c>
      <c r="I624" s="14" t="str">
        <f aca="false">'לקוחות לפי סוכן - מקור'!K616</f>
        <v>CHMI</v>
      </c>
    </row>
    <row r="625" customFormat="false" ht="15" hidden="false" customHeight="true" outlineLevel="1" collapsed="false">
      <c r="A625" s="14" t="str">
        <f aca="false">'לקוחות לפי סוכן - מקור'!A617</f>
        <v>חיים ויצמן</v>
      </c>
      <c r="B625" s="14" t="str">
        <f aca="false">'לקוחות לפי סוכן - מקור'!C617</f>
        <v>0קופות חולים</v>
      </c>
      <c r="C625" s="47" t="str">
        <f aca="false">'לקוחות לפי סוכן - מקור'!E617</f>
        <v>5210 (מאוחדת ראשל""צ )פיקא</v>
      </c>
      <c r="D625" s="22" t="n">
        <f aca="false">'לקוחות לפי סוכן - מקור'!F617</f>
        <v>0</v>
      </c>
      <c r="E625" s="22" t="n">
        <f aca="false">'לקוחות לפי סוכן - מקור'!G617</f>
        <v>3922.3</v>
      </c>
      <c r="F625" s="14" t="n">
        <f aca="false">'לקוחות לפי סוכן - מקור'!D617</f>
        <v>0</v>
      </c>
      <c r="G625" s="15" t="n">
        <f aca="false">'לקוחות לפי סוכן - מקור'!H617</f>
        <v>0</v>
      </c>
      <c r="H625" s="15" t="n">
        <f aca="false">'לקוחות לפי סוכן - מקור'!I617</f>
        <v>0</v>
      </c>
      <c r="I625" s="14" t="str">
        <f aca="false">'לקוחות לפי סוכן - מקור'!K617</f>
        <v>CHMI</v>
      </c>
    </row>
    <row r="626" customFormat="false" ht="15" hidden="false" customHeight="true" outlineLevel="1" collapsed="false">
      <c r="A626" s="14" t="str">
        <f aca="false">'לקוחות לפי סוכן - מקור'!A618</f>
        <v>חיים ויצמן</v>
      </c>
      <c r="B626" s="14" t="str">
        <f aca="false">'לקוחות לפי סוכן - מקור'!C618</f>
        <v>0קופות חולים</v>
      </c>
      <c r="C626" s="47" t="str">
        <f aca="false">'לקוחות לפי סוכן - מקור'!E618</f>
        <v>144 מאוחדת קריית השרון נתניה</v>
      </c>
      <c r="D626" s="22" t="n">
        <f aca="false">'לקוחות לפי סוכן - מקור'!F618</f>
        <v>0</v>
      </c>
      <c r="E626" s="22" t="n">
        <f aca="false">'לקוחות לפי סוכן - מקור'!G618</f>
        <v>378.6</v>
      </c>
      <c r="F626" s="14" t="n">
        <f aca="false">'לקוחות לפי סוכן - מקור'!D618</f>
        <v>0</v>
      </c>
      <c r="G626" s="15" t="n">
        <f aca="false">'לקוחות לפי סוכן - מקור'!H618</f>
        <v>0</v>
      </c>
      <c r="H626" s="15" t="n">
        <f aca="false">'לקוחות לפי סוכן - מקור'!I618</f>
        <v>0</v>
      </c>
      <c r="I626" s="14" t="str">
        <f aca="false">'לקוחות לפי סוכן - מקור'!K618</f>
        <v>CHMI</v>
      </c>
    </row>
    <row r="627" customFormat="false" ht="15" hidden="false" customHeight="true" outlineLevel="1" collapsed="false">
      <c r="A627" s="14" t="str">
        <f aca="false">'לקוחות לפי סוכן - מקור'!A619</f>
        <v>חיים ויצמן</v>
      </c>
      <c r="B627" s="14" t="str">
        <f aca="false">'לקוחות לפי סוכן - מקור'!C619</f>
        <v>0קופות חולים</v>
      </c>
      <c r="C627" s="47" t="str">
        <f aca="false">'לקוחות לפי סוכן - מקור'!E619</f>
        <v>מאוחדת רמת אביב חדר תרופות</v>
      </c>
      <c r="D627" s="22" t="n">
        <f aca="false">'לקוחות לפי סוכן - מקור'!F619</f>
        <v>0</v>
      </c>
      <c r="E627" s="22" t="n">
        <f aca="false">'לקוחות לפי סוכן - מקור'!G619</f>
        <v>1075.7</v>
      </c>
      <c r="F627" s="14" t="n">
        <f aca="false">'לקוחות לפי סוכן - מקור'!D619</f>
        <v>0</v>
      </c>
      <c r="G627" s="15" t="n">
        <f aca="false">'לקוחות לפי סוכן - מקור'!H619</f>
        <v>0</v>
      </c>
      <c r="H627" s="15" t="n">
        <f aca="false">'לקוחות לפי סוכן - מקור'!I619</f>
        <v>0</v>
      </c>
      <c r="I627" s="14" t="str">
        <f aca="false">'לקוחות לפי סוכן - מקור'!K619</f>
        <v>CHMI</v>
      </c>
    </row>
    <row r="628" customFormat="false" ht="15" hidden="false" customHeight="true" outlineLevel="1" collapsed="false">
      <c r="A628" s="14" t="str">
        <f aca="false">'לקוחות לפי סוכן - מקור'!A620</f>
        <v>חיים ויצמן</v>
      </c>
      <c r="B628" s="14" t="str">
        <f aca="false">'לקוחות לפי סוכן - מקור'!C620</f>
        <v>0קופות חולים</v>
      </c>
      <c r="C628" s="47" t="str">
        <f aca="false">'לקוחות לפי סוכן - מקור'!E620</f>
        <v>168 מאוחדת רעננה</v>
      </c>
      <c r="D628" s="22" t="n">
        <f aca="false">'לקוחות לפי סוכן - מקור'!F620</f>
        <v>0</v>
      </c>
      <c r="E628" s="22" t="n">
        <f aca="false">'לקוחות לפי סוכן - מקור'!G620</f>
        <v>643.7</v>
      </c>
      <c r="F628" s="14" t="n">
        <f aca="false">'לקוחות לפי סוכן - מקור'!D620</f>
        <v>0</v>
      </c>
      <c r="G628" s="15" t="n">
        <f aca="false">'לקוחות לפי סוכן - מקור'!H620</f>
        <v>0</v>
      </c>
      <c r="H628" s="15" t="n">
        <f aca="false">'לקוחות לפי סוכן - מקור'!I620</f>
        <v>0</v>
      </c>
      <c r="I628" s="14" t="str">
        <f aca="false">'לקוחות לפי סוכן - מקור'!K620</f>
        <v>CHMI</v>
      </c>
    </row>
    <row r="629" customFormat="false" ht="15" hidden="false" customHeight="true" outlineLevel="1" collapsed="false">
      <c r="A629" s="14" t="str">
        <f aca="false">'לקוחות לפי סוכן - מקור'!A621</f>
        <v>חיים ויצמן</v>
      </c>
      <c r="B629" s="14" t="str">
        <f aca="false">'לקוחות לפי סוכן - מקור'!C621</f>
        <v>0קופות חולים</v>
      </c>
      <c r="C629" s="47" t="str">
        <f aca="false">'לקוחות לפי סוכן - מקור'!E621</f>
        <v>7523 מאוחדת כפר חב""ד</v>
      </c>
      <c r="D629" s="22" t="n">
        <f aca="false">'לקוחות לפי סוכן - מקור'!F621</f>
        <v>0</v>
      </c>
      <c r="E629" s="22" t="n">
        <f aca="false">'לקוחות לפי סוכן - מקור'!G621</f>
        <v>539.4</v>
      </c>
      <c r="F629" s="14" t="n">
        <f aca="false">'לקוחות לפי סוכן - מקור'!D621</f>
        <v>0</v>
      </c>
      <c r="G629" s="15" t="n">
        <f aca="false">'לקוחות לפי סוכן - מקור'!H621</f>
        <v>0</v>
      </c>
      <c r="H629" s="15" t="n">
        <f aca="false">'לקוחות לפי סוכן - מקור'!I621</f>
        <v>0</v>
      </c>
      <c r="I629" s="14" t="str">
        <f aca="false">'לקוחות לפי סוכן - מקור'!K621</f>
        <v>CHMI</v>
      </c>
    </row>
    <row r="630" customFormat="false" ht="15" hidden="false" customHeight="true" outlineLevel="1" collapsed="false">
      <c r="A630" s="14" t="str">
        <f aca="false">'לקוחות לפי סוכן - מקור'!A622</f>
        <v>חיים ויצמן</v>
      </c>
      <c r="B630" s="14" t="str">
        <f aca="false">'לקוחות לפי סוכן - מקור'!C622</f>
        <v>0קופות חולים</v>
      </c>
      <c r="C630" s="47" t="str">
        <f aca="false">'לקוחות לפי סוכן - מקור'!E622</f>
        <v>7121 מאוחדת כפר יונה</v>
      </c>
      <c r="D630" s="22" t="n">
        <f aca="false">'לקוחות לפי סוכן - מקור'!F622</f>
        <v>0</v>
      </c>
      <c r="E630" s="22" t="n">
        <f aca="false">'לקוחות לפי סוכן - מקור'!G622</f>
        <v>2630.1</v>
      </c>
      <c r="F630" s="14" t="n">
        <f aca="false">'לקוחות לפי סוכן - מקור'!D622</f>
        <v>0</v>
      </c>
      <c r="G630" s="15" t="n">
        <f aca="false">'לקוחות לפי סוכן - מקור'!H622</f>
        <v>0</v>
      </c>
      <c r="H630" s="15" t="n">
        <f aca="false">'לקוחות לפי סוכן - מקור'!I622</f>
        <v>0</v>
      </c>
      <c r="I630" s="14" t="str">
        <f aca="false">'לקוחות לפי סוכן - מקור'!K622</f>
        <v>CHMI</v>
      </c>
    </row>
    <row r="631" customFormat="false" ht="15" hidden="false" customHeight="true" outlineLevel="1" collapsed="false">
      <c r="A631" s="14" t="str">
        <f aca="false">'לקוחות לפי סוכן - מקור'!A623</f>
        <v>חיים ויצמן</v>
      </c>
      <c r="B631" s="14" t="str">
        <f aca="false">'לקוחות לפי סוכן - מקור'!C623</f>
        <v>0קופות חולים</v>
      </c>
      <c r="C631" s="47" t="str">
        <f aca="false">'לקוחות לפי סוכן - מקור'!E623</f>
        <v>156 מאוחדת נס ציונה</v>
      </c>
      <c r="D631" s="22" t="n">
        <f aca="false">'לקוחות לפי סוכן - מקור'!F623</f>
        <v>0</v>
      </c>
      <c r="E631" s="22" t="n">
        <f aca="false">'לקוחות לפי סוכן - מקור'!G623</f>
        <v>3713</v>
      </c>
      <c r="F631" s="14" t="n">
        <f aca="false">'לקוחות לפי סוכן - מקור'!D623</f>
        <v>0</v>
      </c>
      <c r="G631" s="15" t="n">
        <f aca="false">'לקוחות לפי סוכן - מקור'!H623</f>
        <v>0</v>
      </c>
      <c r="H631" s="15" t="n">
        <f aca="false">'לקוחות לפי סוכן - מקור'!I623</f>
        <v>0</v>
      </c>
      <c r="I631" s="14" t="str">
        <f aca="false">'לקוחות לפי סוכן - מקור'!K623</f>
        <v>CHMI</v>
      </c>
    </row>
    <row r="632" customFormat="false" ht="15" hidden="false" customHeight="true" outlineLevel="1" collapsed="false">
      <c r="A632" s="14" t="str">
        <f aca="false">'לקוחות לפי סוכן - מקור'!A624</f>
        <v>חיים ויצמן</v>
      </c>
      <c r="B632" s="14" t="str">
        <f aca="false">'לקוחות לפי סוכן - מקור'!C624</f>
        <v>0קופות חולים</v>
      </c>
      <c r="C632" s="47" t="str">
        <f aca="false">'לקוחות לפי סוכן - מקור'!E624</f>
        <v>24 מאוחדת ב""ב נורוק קרית הרצוג</v>
      </c>
      <c r="D632" s="22" t="n">
        <f aca="false">'לקוחות לפי סוכן - מקור'!F624</f>
        <v>0</v>
      </c>
      <c r="E632" s="22" t="n">
        <f aca="false">'לקוחות לפי סוכן - מקור'!G624</f>
        <v>40.2</v>
      </c>
      <c r="F632" s="14" t="n">
        <f aca="false">'לקוחות לפי סוכן - מקור'!D624</f>
        <v>0</v>
      </c>
      <c r="G632" s="15" t="n">
        <f aca="false">'לקוחות לפי סוכן - מקור'!H624</f>
        <v>0</v>
      </c>
      <c r="H632" s="15" t="n">
        <f aca="false">'לקוחות לפי סוכן - מקור'!I624</f>
        <v>0</v>
      </c>
      <c r="I632" s="14" t="str">
        <f aca="false">'לקוחות לפי סוכן - מקור'!K624</f>
        <v>CHMI</v>
      </c>
    </row>
    <row r="633" customFormat="false" ht="15" hidden="false" customHeight="true" outlineLevel="1" collapsed="false">
      <c r="A633" s="14" t="str">
        <f aca="false">'לקוחות לפי סוכן - מקור'!A625</f>
        <v>חיים ויצמן</v>
      </c>
      <c r="B633" s="14" t="str">
        <f aca="false">'לקוחות לפי סוכן - מקור'!C625</f>
        <v>0קופות חולים</v>
      </c>
      <c r="C633" s="47" t="str">
        <f aca="false">'לקוחות לפי סוכן - מקור'!E625</f>
        <v>מאוחדת אונליין טלפארמה</v>
      </c>
      <c r="D633" s="22" t="n">
        <f aca="false">'לקוחות לפי סוכן - מקור'!F625</f>
        <v>0</v>
      </c>
      <c r="E633" s="22" t="n">
        <f aca="false">'לקוחות לפי סוכן - מקור'!G625</f>
        <v>134</v>
      </c>
      <c r="F633" s="14" t="n">
        <f aca="false">'לקוחות לפי סוכן - מקור'!D625</f>
        <v>0</v>
      </c>
      <c r="G633" s="15" t="n">
        <f aca="false">'לקוחות לפי סוכן - מקור'!H625</f>
        <v>0</v>
      </c>
      <c r="H633" s="15" t="n">
        <f aca="false">'לקוחות לפי סוכן - מקור'!I625</f>
        <v>0</v>
      </c>
      <c r="I633" s="14" t="str">
        <f aca="false">'לקוחות לפי סוכן - מקור'!K625</f>
        <v>CHMI</v>
      </c>
    </row>
    <row r="634" customFormat="false" ht="15" hidden="false" customHeight="true" outlineLevel="1" collapsed="false">
      <c r="A634" s="14" t="str">
        <f aca="false">'לקוחות לפי סוכן - מקור'!A626</f>
        <v>חיים ויצמן</v>
      </c>
      <c r="B634" s="14" t="str">
        <f aca="false">'לקוחות לפי סוכן - מקור'!C626</f>
        <v>0קופות חולים</v>
      </c>
      <c r="C634" s="47" t="str">
        <f aca="false">'לקוחות לפי סוכן - מקור'!E626</f>
        <v>7127 מאוחדת הקשתות בני ברק</v>
      </c>
      <c r="D634" s="22" t="n">
        <f aca="false">'לקוחות לפי סוכן - מקור'!F626</f>
        <v>0</v>
      </c>
      <c r="E634" s="22" t="n">
        <f aca="false">'לקוחות לפי סוכן - מקור'!G626</f>
        <v>692.3</v>
      </c>
      <c r="F634" s="14" t="n">
        <f aca="false">'לקוחות לפי סוכן - מקור'!D626</f>
        <v>0</v>
      </c>
      <c r="G634" s="15" t="n">
        <f aca="false">'לקוחות לפי סוכן - מקור'!H626</f>
        <v>0</v>
      </c>
      <c r="H634" s="15" t="n">
        <f aca="false">'לקוחות לפי סוכן - מקור'!I626</f>
        <v>0</v>
      </c>
      <c r="I634" s="14" t="str">
        <f aca="false">'לקוחות לפי סוכן - מקור'!K626</f>
        <v>CHMI</v>
      </c>
    </row>
    <row r="635" customFormat="false" ht="15" hidden="false" customHeight="true" outlineLevel="1" collapsed="false">
      <c r="A635" s="14" t="str">
        <f aca="false">'לקוחות לפי סוכן - מקור'!A627</f>
        <v>חיים ויצמן</v>
      </c>
      <c r="B635" s="14" t="str">
        <f aca="false">'לקוחות לפי סוכן - מקור'!C627</f>
        <v>0קופות חולים</v>
      </c>
      <c r="C635" s="47" t="str">
        <f aca="false">'לקוחות לפי סוכן - מקור'!E627</f>
        <v>מאוחדת פארם המושבה הוד השרון</v>
      </c>
      <c r="D635" s="22" t="n">
        <f aca="false">'לקוחות לפי סוכן - מקור'!F627</f>
        <v>0</v>
      </c>
      <c r="E635" s="22" t="n">
        <f aca="false">'לקוחות לפי סוכן - מקור'!G627</f>
        <v>3259.9</v>
      </c>
      <c r="F635" s="14" t="n">
        <f aca="false">'לקוחות לפי סוכן - מקור'!D627</f>
        <v>0</v>
      </c>
      <c r="G635" s="15" t="n">
        <f aca="false">'לקוחות לפי סוכן - מקור'!H627</f>
        <v>0</v>
      </c>
      <c r="H635" s="15" t="n">
        <f aca="false">'לקוחות לפי סוכן - מקור'!I627</f>
        <v>0</v>
      </c>
      <c r="I635" s="14" t="str">
        <f aca="false">'לקוחות לפי סוכן - מקור'!K627</f>
        <v>CHMI</v>
      </c>
    </row>
    <row r="636" customFormat="false" ht="15" hidden="false" customHeight="true" outlineLevel="0" collapsed="false"/>
    <row r="637" customFormat="false" ht="15" hidden="false" customHeight="true" outlineLevel="0" collapsed="false">
      <c r="A637" s="16" t="s">
        <v>25</v>
      </c>
      <c r="B637" s="16"/>
      <c r="C637" s="45" t="s">
        <v>3797</v>
      </c>
      <c r="D637" s="46" t="n">
        <f aca="false">SUMIF('לקוחות לפי סוכן - מקור'!$A$2:$A$867,$A637,'לקוחות לפי סוכן - מקור'!$F$2:$F$867)</f>
        <v>0</v>
      </c>
      <c r="E637" s="46" t="n">
        <f aca="false">SUMIF('לקוחות לפי סוכן - מקור'!$A$2:$A$867,$A637,'לקוחות לפי סוכן - מקור'!$G$2:$G$867)</f>
        <v>1680747.1</v>
      </c>
      <c r="F637" s="16"/>
      <c r="G637" s="17" t="n">
        <f aca="false">SUMIF('לקוחות לפי סוכן - מקור'!$A$2:$A$867,$A637,'לקוחות לפי סוכן - מקור'!$H$2:$H$867)</f>
        <v>0</v>
      </c>
      <c r="H637" s="17" t="n">
        <f aca="false">SUMIF('לקוחות לפי סוכן - מקור'!$A$2:$A$867,$A637,'לקוחות לפי סוכן - מקור'!$I$2:$I$867)</f>
        <v>0</v>
      </c>
      <c r="I637" s="16" t="s">
        <v>3541</v>
      </c>
    </row>
    <row r="638" customFormat="false" ht="15" hidden="false" customHeight="true" outlineLevel="1" collapsed="false">
      <c r="A638" s="14" t="str">
        <f aca="false">'לקוחות לפי סוכן - מקור'!A628</f>
        <v>חאזם תלחמי</v>
      </c>
      <c r="B638" s="14" t="str">
        <f aca="false">'לקוחות לפי סוכן - מקור'!C628</f>
        <v>0בתי מרקחת</v>
      </c>
      <c r="C638" s="47" t="str">
        <f aca="false">'לקוחות לפי סוכן - מקור'!E628</f>
        <v>המרכז אעבלין ב.מ</v>
      </c>
      <c r="D638" s="22" t="n">
        <f aca="false">'לקוחות לפי סוכן - מקור'!F628</f>
        <v>0</v>
      </c>
      <c r="E638" s="22" t="n">
        <f aca="false">'לקוחות לפי סוכן - מקור'!G628</f>
        <v>2875.2</v>
      </c>
      <c r="F638" s="14" t="n">
        <f aca="false">'לקוחות לפי סוכן - מקור'!D628</f>
        <v>0</v>
      </c>
      <c r="G638" s="15" t="n">
        <f aca="false">'לקוחות לפי סוכן - מקור'!H628</f>
        <v>0</v>
      </c>
      <c r="H638" s="15" t="n">
        <f aca="false">'לקוחות לפי סוכן - מקור'!I628</f>
        <v>0</v>
      </c>
      <c r="I638" s="14" t="str">
        <f aca="false">'לקוחות לפי סוכן - מקור'!K628</f>
        <v>CHMI</v>
      </c>
    </row>
    <row r="639" customFormat="false" ht="15" hidden="false" customHeight="true" outlineLevel="1" collapsed="false">
      <c r="A639" s="14" t="str">
        <f aca="false">'לקוחות לפי סוכן - מקור'!A629</f>
        <v>חאזם תלחמי</v>
      </c>
      <c r="B639" s="14" t="str">
        <f aca="false">'לקוחות לפי סוכן - מקור'!C629</f>
        <v>0בתי מרקחת</v>
      </c>
      <c r="C639" s="47" t="str">
        <f aca="false">'לקוחות לפי סוכן - מקור'!E629</f>
        <v>(מדיקל הצפון מעיליה )חורי בע""מ</v>
      </c>
      <c r="D639" s="22" t="n">
        <f aca="false">'לקוחות לפי סוכן - מקור'!F629</f>
        <v>0</v>
      </c>
      <c r="E639" s="22" t="n">
        <f aca="false">'לקוחות לפי סוכן - מקור'!G629</f>
        <v>3742.5</v>
      </c>
      <c r="F639" s="14" t="n">
        <f aca="false">'לקוחות לפי סוכן - מקור'!D629</f>
        <v>0</v>
      </c>
      <c r="G639" s="15" t="n">
        <f aca="false">'לקוחות לפי סוכן - מקור'!H629</f>
        <v>0</v>
      </c>
      <c r="H639" s="15" t="n">
        <f aca="false">'לקוחות לפי סוכן - מקור'!I629</f>
        <v>0</v>
      </c>
      <c r="I639" s="14" t="str">
        <f aca="false">'לקוחות לפי סוכן - מקור'!K629</f>
        <v>CHMI</v>
      </c>
    </row>
    <row r="640" customFormat="false" ht="15" hidden="false" customHeight="true" outlineLevel="1" collapsed="false">
      <c r="A640" s="14" t="str">
        <f aca="false">'לקוחות לפי סוכן - מקור'!A630</f>
        <v>חאזם תלחמי</v>
      </c>
      <c r="B640" s="14" t="str">
        <f aca="false">'לקוחות לפי סוכן - מקור'!C630</f>
        <v>0בתי מרקחת</v>
      </c>
      <c r="C640" s="47" t="str">
        <f aca="false">'לקוחות לפי סוכן - מקור'!E630</f>
        <v>נובו פארם דיר אל אסד ב.מ</v>
      </c>
      <c r="D640" s="22" t="n">
        <f aca="false">'לקוחות לפי סוכן - מקור'!F630</f>
        <v>0</v>
      </c>
      <c r="E640" s="22" t="n">
        <f aca="false">'לקוחות לפי סוכן - מקור'!G630</f>
        <v>14900.4</v>
      </c>
      <c r="F640" s="14" t="n">
        <f aca="false">'לקוחות לפי סוכן - מקור'!D630</f>
        <v>0</v>
      </c>
      <c r="G640" s="15" t="n">
        <f aca="false">'לקוחות לפי סוכן - מקור'!H630</f>
        <v>0</v>
      </c>
      <c r="H640" s="15" t="n">
        <f aca="false">'לקוחות לפי סוכן - מקור'!I630</f>
        <v>0</v>
      </c>
      <c r="I640" s="14" t="str">
        <f aca="false">'לקוחות לפי סוכן - מקור'!K630</f>
        <v>CHMI</v>
      </c>
    </row>
    <row r="641" customFormat="false" ht="15" hidden="false" customHeight="true" outlineLevel="1" collapsed="false">
      <c r="A641" s="14" t="str">
        <f aca="false">'לקוחות לפי סוכן - מקור'!A631</f>
        <v>חאזם תלחמי</v>
      </c>
      <c r="B641" s="14" t="str">
        <f aca="false">'לקוחות לפי סוכן - מקור'!C631</f>
        <v>0בתי מרקחת</v>
      </c>
      <c r="C641" s="47" t="str">
        <f aca="false">'לקוחות לפי סוכן - מקור'!E631</f>
        <v>שביט בע""מ ק.אתא ב.מ</v>
      </c>
      <c r="D641" s="22" t="n">
        <f aca="false">'לקוחות לפי סוכן - מקור'!F631</f>
        <v>0</v>
      </c>
      <c r="E641" s="22" t="n">
        <f aca="false">'לקוחות לפי סוכן - מקור'!G631</f>
        <v>429.8</v>
      </c>
      <c r="F641" s="14" t="n">
        <f aca="false">'לקוחות לפי סוכן - מקור'!D631</f>
        <v>0</v>
      </c>
      <c r="G641" s="15" t="n">
        <f aca="false">'לקוחות לפי סוכן - מקור'!H631</f>
        <v>0</v>
      </c>
      <c r="H641" s="15" t="n">
        <f aca="false">'לקוחות לפי סוכן - מקור'!I631</f>
        <v>0</v>
      </c>
      <c r="I641" s="14" t="str">
        <f aca="false">'לקוחות לפי סוכן - מקור'!K631</f>
        <v>CHMI</v>
      </c>
    </row>
    <row r="642" customFormat="false" ht="15" hidden="false" customHeight="true" outlineLevel="1" collapsed="false">
      <c r="A642" s="14" t="str">
        <f aca="false">'לקוחות לפי סוכן - מקור'!A632</f>
        <v>חאזם תלחמי</v>
      </c>
      <c r="B642" s="14" t="str">
        <f aca="false">'לקוחות לפי סוכן - מקור'!C632</f>
        <v>0בתי מרקחת</v>
      </c>
      <c r="C642" s="47" t="str">
        <f aca="false">'לקוחות לפי סוכן - מקור'!E632</f>
        <v>חידאר פארם ב.מ</v>
      </c>
      <c r="D642" s="22" t="n">
        <f aca="false">'לקוחות לפי סוכן - מקור'!F632</f>
        <v>0</v>
      </c>
      <c r="E642" s="22" t="n">
        <f aca="false">'לקוחות לפי סוכן - מקור'!G632</f>
        <v>2601</v>
      </c>
      <c r="F642" s="14" t="n">
        <f aca="false">'לקוחות לפי סוכן - מקור'!D632</f>
        <v>0</v>
      </c>
      <c r="G642" s="15" t="n">
        <f aca="false">'לקוחות לפי סוכן - מקור'!H632</f>
        <v>0</v>
      </c>
      <c r="H642" s="15" t="n">
        <f aca="false">'לקוחות לפי סוכן - מקור'!I632</f>
        <v>0</v>
      </c>
      <c r="I642" s="14" t="str">
        <f aca="false">'לקוחות לפי סוכן - מקור'!K632</f>
        <v>CHMI</v>
      </c>
    </row>
    <row r="643" customFormat="false" ht="15" hidden="false" customHeight="true" outlineLevel="1" collapsed="false">
      <c r="A643" s="14" t="str">
        <f aca="false">'לקוחות לפי סוכן - מקור'!A633</f>
        <v>חאזם תלחמי</v>
      </c>
      <c r="B643" s="14" t="str">
        <f aca="false">'לקוחות לפי סוכן - מקור'!C633</f>
        <v>0בתי מרקחת</v>
      </c>
      <c r="C643" s="47" t="str">
        <f aca="false">'לקוחות לפי סוכן - מקור'!E633</f>
        <v>-סמי בית שאן בע""מ ב.מ</v>
      </c>
      <c r="D643" s="22" t="n">
        <f aca="false">'לקוחות לפי סוכן - מקור'!F633</f>
        <v>0</v>
      </c>
      <c r="E643" s="22" t="n">
        <f aca="false">'לקוחות לפי סוכן - מקור'!G633</f>
        <v>560.9</v>
      </c>
      <c r="F643" s="14" t="n">
        <f aca="false">'לקוחות לפי סוכן - מקור'!D633</f>
        <v>0</v>
      </c>
      <c r="G643" s="15" t="n">
        <f aca="false">'לקוחות לפי סוכן - מקור'!H633</f>
        <v>0</v>
      </c>
      <c r="H643" s="15" t="n">
        <f aca="false">'לקוחות לפי סוכן - מקור'!I633</f>
        <v>0</v>
      </c>
      <c r="I643" s="14" t="str">
        <f aca="false">'לקוחות לפי סוכן - מקור'!K633</f>
        <v>CHMI</v>
      </c>
    </row>
    <row r="644" customFormat="false" ht="15" hidden="false" customHeight="true" outlineLevel="1" collapsed="false">
      <c r="A644" s="14" t="str">
        <f aca="false">'לקוחות לפי סוכן - מקור'!A634</f>
        <v>חאזם תלחמי</v>
      </c>
      <c r="B644" s="14" t="str">
        <f aca="false">'לקוחות לפי סוכן - מקור'!C634</f>
        <v>0בתי מרקחת</v>
      </c>
      <c r="C644" s="47" t="str">
        <f aca="false">'לקוחות לפי סוכן - מקור'!E634</f>
        <v>רסקו טבריה ב.מ</v>
      </c>
      <c r="D644" s="22" t="n">
        <f aca="false">'לקוחות לפי סוכן - מקור'!F634</f>
        <v>0</v>
      </c>
      <c r="E644" s="22" t="n">
        <f aca="false">'לקוחות לפי סוכן - מקור'!G634</f>
        <v>3837.2</v>
      </c>
      <c r="F644" s="14" t="n">
        <f aca="false">'לקוחות לפי סוכן - מקור'!D634</f>
        <v>0</v>
      </c>
      <c r="G644" s="15" t="n">
        <f aca="false">'לקוחות לפי סוכן - מקור'!H634</f>
        <v>0</v>
      </c>
      <c r="H644" s="15" t="n">
        <f aca="false">'לקוחות לפי סוכן - מקור'!I634</f>
        <v>0</v>
      </c>
      <c r="I644" s="14" t="str">
        <f aca="false">'לקוחות לפי סוכן - מקור'!K634</f>
        <v>CHMI</v>
      </c>
    </row>
    <row r="645" customFormat="false" ht="15" hidden="false" customHeight="true" outlineLevel="1" collapsed="false">
      <c r="A645" s="14" t="str">
        <f aca="false">'לקוחות לפי סוכן - מקור'!A635</f>
        <v>חאזם תלחמי</v>
      </c>
      <c r="B645" s="14" t="str">
        <f aca="false">'לקוחות לפי סוכן - מקור'!C635</f>
        <v>0בתי מרקחת</v>
      </c>
      <c r="C645" s="47" t="str">
        <f aca="false">'לקוחות לפי סוכן - מקור'!E635</f>
        <v>פרמה טבריה ב.מ</v>
      </c>
      <c r="D645" s="22" t="n">
        <f aca="false">'לקוחות לפי סוכן - מקור'!F635</f>
        <v>0</v>
      </c>
      <c r="E645" s="22" t="n">
        <f aca="false">'לקוחות לפי סוכן - מקור'!G635</f>
        <v>278</v>
      </c>
      <c r="F645" s="14" t="n">
        <f aca="false">'לקוחות לפי סוכן - מקור'!D635</f>
        <v>0</v>
      </c>
      <c r="G645" s="15" t="n">
        <f aca="false">'לקוחות לפי סוכן - מקור'!H635</f>
        <v>0</v>
      </c>
      <c r="H645" s="15" t="n">
        <f aca="false">'לקוחות לפי סוכן - מקור'!I635</f>
        <v>0</v>
      </c>
      <c r="I645" s="14" t="str">
        <f aca="false">'לקוחות לפי סוכן - מקור'!K635</f>
        <v>CHMI</v>
      </c>
    </row>
    <row r="646" customFormat="false" ht="15" hidden="false" customHeight="true" outlineLevel="1" collapsed="false">
      <c r="A646" s="14" t="str">
        <f aca="false">'לקוחות לפי סוכן - מקור'!A636</f>
        <v>חאזם תלחמי</v>
      </c>
      <c r="B646" s="14" t="str">
        <f aca="false">'לקוחות לפי סוכן - מקור'!C636</f>
        <v>0בתי מרקחת</v>
      </c>
      <c r="C646" s="47" t="str">
        <f aca="false">'לקוחות לפי סוכן - מקור'!E636</f>
        <v>צפת דרום ב.מ</v>
      </c>
      <c r="D646" s="22" t="n">
        <f aca="false">'לקוחות לפי סוכן - מקור'!F636</f>
        <v>0</v>
      </c>
      <c r="E646" s="22" t="n">
        <f aca="false">'לקוחות לפי סוכן - מקור'!G636</f>
        <v>20.1</v>
      </c>
      <c r="F646" s="14" t="n">
        <f aca="false">'לקוחות לפי סוכן - מקור'!D636</f>
        <v>0</v>
      </c>
      <c r="G646" s="15" t="n">
        <f aca="false">'לקוחות לפי סוכן - מקור'!H636</f>
        <v>0</v>
      </c>
      <c r="H646" s="15" t="n">
        <f aca="false">'לקוחות לפי סוכן - מקור'!I636</f>
        <v>0</v>
      </c>
      <c r="I646" s="14" t="str">
        <f aca="false">'לקוחות לפי סוכן - מקור'!K636</f>
        <v>CHMI</v>
      </c>
    </row>
    <row r="647" customFormat="false" ht="15" hidden="false" customHeight="true" outlineLevel="1" collapsed="false">
      <c r="A647" s="14" t="str">
        <f aca="false">'לקוחות לפי סוכן - מקור'!A637</f>
        <v>חאזם תלחמי</v>
      </c>
      <c r="B647" s="14" t="str">
        <f aca="false">'לקוחות לפי סוכן - מקור'!C637</f>
        <v>0בתי מרקחת</v>
      </c>
      <c r="C647" s="47" t="str">
        <f aca="false">'לקוחות לפי סוכן - מקור'!E637</f>
        <v>.נובו פארם בית שאן ב.מ</v>
      </c>
      <c r="D647" s="22" t="n">
        <f aca="false">'לקוחות לפי סוכן - מקור'!F637</f>
        <v>0</v>
      </c>
      <c r="E647" s="22" t="n">
        <f aca="false">'לקוחות לפי סוכן - מקור'!G637</f>
        <v>6926</v>
      </c>
      <c r="F647" s="14" t="n">
        <f aca="false">'לקוחות לפי סוכן - מקור'!D637</f>
        <v>0</v>
      </c>
      <c r="G647" s="15" t="n">
        <f aca="false">'לקוחות לפי סוכן - מקור'!H637</f>
        <v>0</v>
      </c>
      <c r="H647" s="15" t="n">
        <f aca="false">'לקוחות לפי סוכן - מקור'!I637</f>
        <v>0</v>
      </c>
      <c r="I647" s="14" t="str">
        <f aca="false">'לקוחות לפי סוכן - מקור'!K637</f>
        <v>CHMI</v>
      </c>
    </row>
    <row r="648" customFormat="false" ht="15" hidden="false" customHeight="true" outlineLevel="1" collapsed="false">
      <c r="A648" s="14" t="str">
        <f aca="false">'לקוחות לפי סוכן - מקור'!A638</f>
        <v>חאזם תלחמי</v>
      </c>
      <c r="B648" s="14" t="str">
        <f aca="false">'לקוחות לפי סוכן - מקור'!C638</f>
        <v>0בתי מרקחת</v>
      </c>
      <c r="C648" s="47" t="str">
        <f aca="false">'לקוחות לפי סוכן - מקור'!E638</f>
        <v>גרין ב.מ -גבעת עדה</v>
      </c>
      <c r="D648" s="22" t="n">
        <f aca="false">'לקוחות לפי סוכן - מקור'!F638</f>
        <v>0</v>
      </c>
      <c r="E648" s="22" t="n">
        <f aca="false">'לקוחות לפי סוכן - מקור'!G638</f>
        <v>2061.6</v>
      </c>
      <c r="F648" s="14" t="n">
        <f aca="false">'לקוחות לפי סוכן - מקור'!D638</f>
        <v>0</v>
      </c>
      <c r="G648" s="15" t="n">
        <f aca="false">'לקוחות לפי סוכן - מקור'!H638</f>
        <v>0</v>
      </c>
      <c r="H648" s="15" t="n">
        <f aca="false">'לקוחות לפי סוכן - מקור'!I638</f>
        <v>0</v>
      </c>
      <c r="I648" s="14" t="str">
        <f aca="false">'לקוחות לפי סוכן - מקור'!K638</f>
        <v>CHMI</v>
      </c>
    </row>
    <row r="649" customFormat="false" ht="15" hidden="false" customHeight="true" outlineLevel="1" collapsed="false">
      <c r="A649" s="14" t="str">
        <f aca="false">'לקוחות לפי סוכן - מקור'!A639</f>
        <v>חאזם תלחמי</v>
      </c>
      <c r="B649" s="14" t="str">
        <f aca="false">'לקוחות לפי סוכן - מקור'!C639</f>
        <v>0בתי מרקחת</v>
      </c>
      <c r="C649" s="47" t="str">
        <f aca="false">'לקוחות לפי סוכן - מקור'!E639</f>
        <v>מוראד פארם ב.מ אבו סנאן</v>
      </c>
      <c r="D649" s="22" t="n">
        <f aca="false">'לקוחות לפי סוכן - מקור'!F639</f>
        <v>0</v>
      </c>
      <c r="E649" s="22" t="n">
        <f aca="false">'לקוחות לפי סוכן - מקור'!G639</f>
        <v>2578</v>
      </c>
      <c r="F649" s="14" t="n">
        <f aca="false">'לקוחות לפי סוכן - מקור'!D639</f>
        <v>0</v>
      </c>
      <c r="G649" s="15" t="n">
        <f aca="false">'לקוחות לפי סוכן - מקור'!H639</f>
        <v>0</v>
      </c>
      <c r="H649" s="15" t="n">
        <f aca="false">'לקוחות לפי סוכן - מקור'!I639</f>
        <v>0</v>
      </c>
      <c r="I649" s="14" t="str">
        <f aca="false">'לקוחות לפי סוכן - מקור'!K639</f>
        <v>CHMI</v>
      </c>
    </row>
    <row r="650" customFormat="false" ht="15" hidden="false" customHeight="true" outlineLevel="1" collapsed="false">
      <c r="A650" s="14" t="str">
        <f aca="false">'לקוחות לפי סוכן - מקור'!A640</f>
        <v>חאזם תלחמי</v>
      </c>
      <c r="B650" s="14" t="str">
        <f aca="false">'לקוחות לפי סוכן - מקור'!C640</f>
        <v>0בתי מרקחת</v>
      </c>
      <c r="C650" s="47" t="str">
        <f aca="false">'לקוחות לפי סוכן - מקור'!E640</f>
        <v>נובו פארם דבאח ב.מ</v>
      </c>
      <c r="D650" s="22" t="n">
        <f aca="false">'לקוחות לפי סוכן - מקור'!F640</f>
        <v>0</v>
      </c>
      <c r="E650" s="22" t="n">
        <f aca="false">'לקוחות לפי סוכן - מקור'!G640</f>
        <v>4126.8</v>
      </c>
      <c r="F650" s="14" t="n">
        <f aca="false">'לקוחות לפי סוכן - מקור'!D640</f>
        <v>0</v>
      </c>
      <c r="G650" s="15" t="n">
        <f aca="false">'לקוחות לפי סוכן - מקור'!H640</f>
        <v>0</v>
      </c>
      <c r="H650" s="15" t="n">
        <f aca="false">'לקוחות לפי סוכן - מקור'!I640</f>
        <v>0</v>
      </c>
      <c r="I650" s="14" t="str">
        <f aca="false">'לקוחות לפי סוכן - מקור'!K640</f>
        <v>CHMI</v>
      </c>
    </row>
    <row r="651" customFormat="false" ht="15" hidden="false" customHeight="true" outlineLevel="1" collapsed="false">
      <c r="A651" s="14" t="str">
        <f aca="false">'לקוחות לפי סוכן - מקור'!A641</f>
        <v>חאזם תלחמי</v>
      </c>
      <c r="B651" s="14" t="str">
        <f aca="false">'לקוחות לפי סוכן - מקור'!C641</f>
        <v>0בתי מרקחת</v>
      </c>
      <c r="C651" s="47" t="str">
        <f aca="false">'לקוחות לפי סוכן - מקור'!E641</f>
        <v>.אלבלד אעבלין ב.מ</v>
      </c>
      <c r="D651" s="22" t="n">
        <f aca="false">'לקוחות לפי סוכן - מקור'!F641</f>
        <v>0</v>
      </c>
      <c r="E651" s="22" t="n">
        <f aca="false">'לקוחות לפי סוכן - מקור'!G641</f>
        <v>422.1</v>
      </c>
      <c r="F651" s="14" t="n">
        <f aca="false">'לקוחות לפי סוכן - מקור'!D641</f>
        <v>0</v>
      </c>
      <c r="G651" s="15" t="n">
        <f aca="false">'לקוחות לפי סוכן - מקור'!H641</f>
        <v>0</v>
      </c>
      <c r="H651" s="15" t="n">
        <f aca="false">'לקוחות לפי סוכן - מקור'!I641</f>
        <v>0</v>
      </c>
      <c r="I651" s="14" t="str">
        <f aca="false">'לקוחות לפי סוכן - מקור'!K641</f>
        <v>CHMI</v>
      </c>
    </row>
    <row r="652" customFormat="false" ht="15" hidden="false" customHeight="true" outlineLevel="1" collapsed="false">
      <c r="A652" s="14" t="str">
        <f aca="false">'לקוחות לפי סוכן - מקור'!A642</f>
        <v>חאזם תלחמי</v>
      </c>
      <c r="B652" s="14" t="str">
        <f aca="false">'לקוחות לפי סוכן - מקור'!C642</f>
        <v>0בתי מרקחת</v>
      </c>
      <c r="C652" s="47" t="str">
        <f aca="false">'לקוחות לפי סוכן - מקור'!E642</f>
        <v>עמית נהריה ב.מ</v>
      </c>
      <c r="D652" s="22" t="n">
        <f aca="false">'לקוחות לפי סוכן - מקור'!F642</f>
        <v>0</v>
      </c>
      <c r="E652" s="22" t="n">
        <f aca="false">'לקוחות לפי סוכן - מקור'!G642</f>
        <v>3094.2</v>
      </c>
      <c r="F652" s="14" t="n">
        <f aca="false">'לקוחות לפי סוכן - מקור'!D642</f>
        <v>0</v>
      </c>
      <c r="G652" s="15" t="n">
        <f aca="false">'לקוחות לפי סוכן - מקור'!H642</f>
        <v>0</v>
      </c>
      <c r="H652" s="15" t="n">
        <f aca="false">'לקוחות לפי סוכן - מקור'!I642</f>
        <v>0</v>
      </c>
      <c r="I652" s="14" t="str">
        <f aca="false">'לקוחות לפי סוכן - מקור'!K642</f>
        <v>CHMI</v>
      </c>
    </row>
    <row r="653" customFormat="false" ht="15" hidden="false" customHeight="true" outlineLevel="1" collapsed="false">
      <c r="A653" s="14" t="str">
        <f aca="false">'לקוחות לפי סוכן - מקור'!A643</f>
        <v>חאזם תלחמי</v>
      </c>
      <c r="B653" s="14" t="str">
        <f aca="false">'לקוחות לפי סוכן - מקור'!C643</f>
        <v>0בתי מרקחת</v>
      </c>
      <c r="C653" s="47" t="str">
        <f aca="false">'לקוחות לפי סוכן - מקור'!E643</f>
        <v>בתי מרקחת פרטי</v>
      </c>
      <c r="D653" s="22" t="n">
        <f aca="false">'לקוחות לפי סוכן - מקור'!F643</f>
        <v>0</v>
      </c>
      <c r="E653" s="22" t="n">
        <f aca="false">'לקוחות לפי סוכן - מקור'!G643</f>
        <v>223781</v>
      </c>
      <c r="F653" s="14" t="n">
        <f aca="false">'לקוחות לפי סוכן - מקור'!D643</f>
        <v>0</v>
      </c>
      <c r="G653" s="15" t="n">
        <f aca="false">'לקוחות לפי סוכן - מקור'!H643</f>
        <v>0</v>
      </c>
      <c r="H653" s="15" t="n">
        <f aca="false">'לקוחות לפי סוכן - מקור'!I643</f>
        <v>0</v>
      </c>
      <c r="I653" s="14" t="str">
        <f aca="false">'לקוחות לפי סוכן - מקור'!K643</f>
        <v>CHMI</v>
      </c>
    </row>
    <row r="654" customFormat="false" ht="15" hidden="false" customHeight="true" outlineLevel="1" collapsed="false">
      <c r="A654" s="14" t="str">
        <f aca="false">'לקוחות לפי סוכן - מקור'!A644</f>
        <v>חאזם תלחמי</v>
      </c>
      <c r="B654" s="14" t="str">
        <f aca="false">'לקוחות לפי סוכן - מקור'!C644</f>
        <v>מגזר ערבי</v>
      </c>
      <c r="C654" s="47" t="str">
        <f aca="false">'לקוחות לפי סוכן - מקור'!E644</f>
        <v>כרום פארם ב.מ</v>
      </c>
      <c r="D654" s="22" t="n">
        <f aca="false">'לקוחות לפי סוכן - מקור'!F644</f>
        <v>0</v>
      </c>
      <c r="E654" s="22" t="n">
        <f aca="false">'לקוחות לפי סוכן - מקור'!G644</f>
        <v>2789.6</v>
      </c>
      <c r="F654" s="14" t="n">
        <f aca="false">'לקוחות לפי סוכן - מקור'!D644</f>
        <v>0</v>
      </c>
      <c r="G654" s="15" t="n">
        <f aca="false">'לקוחות לפי סוכן - מקור'!H644</f>
        <v>0</v>
      </c>
      <c r="H654" s="15" t="n">
        <f aca="false">'לקוחות לפי סוכן - מקור'!I644</f>
        <v>0</v>
      </c>
      <c r="I654" s="14" t="str">
        <f aca="false">'לקוחות לפי סוכן - מקור'!K644</f>
        <v>CHMI</v>
      </c>
    </row>
    <row r="655" customFormat="false" ht="15" hidden="false" customHeight="true" outlineLevel="1" collapsed="false">
      <c r="A655" s="14" t="str">
        <f aca="false">'לקוחות לפי סוכן - מקור'!A645</f>
        <v>חאזם תלחמי</v>
      </c>
      <c r="B655" s="14" t="str">
        <f aca="false">'לקוחות לפי סוכן - מקור'!C645</f>
        <v>מגזר ערבי</v>
      </c>
      <c r="C655" s="47" t="str">
        <f aca="false">'לקוחות לפי סוכן - מקור'!E645</f>
        <v>אלבלד פארם ב.מ טמרה</v>
      </c>
      <c r="D655" s="22" t="n">
        <f aca="false">'לקוחות לפי סוכן - מקור'!F645</f>
        <v>0</v>
      </c>
      <c r="E655" s="22" t="n">
        <f aca="false">'לקוחות לפי סוכן - מקור'!G645</f>
        <v>3296</v>
      </c>
      <c r="F655" s="14" t="n">
        <f aca="false">'לקוחות לפי סוכן - מקור'!D645</f>
        <v>0</v>
      </c>
      <c r="G655" s="15" t="n">
        <f aca="false">'לקוחות לפי סוכן - מקור'!H645</f>
        <v>0</v>
      </c>
      <c r="H655" s="15" t="n">
        <f aca="false">'לקוחות לפי סוכן - מקור'!I645</f>
        <v>0</v>
      </c>
      <c r="I655" s="14" t="str">
        <f aca="false">'לקוחות לפי סוכן - מקור'!K645</f>
        <v>CHMI</v>
      </c>
    </row>
    <row r="656" customFormat="false" ht="15" hidden="false" customHeight="true" outlineLevel="1" collapsed="false">
      <c r="A656" s="14" t="str">
        <f aca="false">'לקוחות לפי סוכן - מקור'!A646</f>
        <v>חאזם תלחמי</v>
      </c>
      <c r="B656" s="14" t="str">
        <f aca="false">'לקוחות לפי סוכן - מקור'!C646</f>
        <v>מגזר ערבי</v>
      </c>
      <c r="C656" s="47" t="str">
        <f aca="false">'לקוחות לפי סוכן - מקור'!E646</f>
        <v>אל בלאד שפרעם ב.מ</v>
      </c>
      <c r="D656" s="22" t="n">
        <f aca="false">'לקוחות לפי סוכן - מקור'!F646</f>
        <v>0</v>
      </c>
      <c r="E656" s="22" t="n">
        <f aca="false">'לקוחות לפי סוכן - מקור'!G646</f>
        <v>2787.8</v>
      </c>
      <c r="F656" s="14" t="n">
        <f aca="false">'לקוחות לפי סוכן - מקור'!D646</f>
        <v>0</v>
      </c>
      <c r="G656" s="15" t="n">
        <f aca="false">'לקוחות לפי סוכן - מקור'!H646</f>
        <v>0</v>
      </c>
      <c r="H656" s="15" t="n">
        <f aca="false">'לקוחות לפי סוכן - מקור'!I646</f>
        <v>0</v>
      </c>
      <c r="I656" s="14" t="str">
        <f aca="false">'לקוחות לפי סוכן - מקור'!K646</f>
        <v>CHMI</v>
      </c>
    </row>
    <row r="657" customFormat="false" ht="15" hidden="false" customHeight="true" outlineLevel="1" collapsed="false">
      <c r="A657" s="14" t="str">
        <f aca="false">'לקוחות לפי סוכן - מקור'!A647</f>
        <v>חאזם תלחמי</v>
      </c>
      <c r="B657" s="14" t="str">
        <f aca="false">'לקוחות לפי סוכן - מקור'!C647</f>
        <v>מגזר ערבי</v>
      </c>
      <c r="C657" s="47" t="str">
        <f aca="false">'לקוחות לפי סוכן - מקור'!E647</f>
        <v>אלכאוכב כ.מע'אר ב.מ</v>
      </c>
      <c r="D657" s="22" t="n">
        <f aca="false">'לקוחות לפי סוכן - מקור'!F647</f>
        <v>0</v>
      </c>
      <c r="E657" s="22" t="n">
        <f aca="false">'לקוחות לפי סוכן - מקור'!G647</f>
        <v>1593.7</v>
      </c>
      <c r="F657" s="14" t="n">
        <f aca="false">'לקוחות לפי סוכן - מקור'!D647</f>
        <v>0</v>
      </c>
      <c r="G657" s="15" t="n">
        <f aca="false">'לקוחות לפי סוכן - מקור'!H647</f>
        <v>0</v>
      </c>
      <c r="H657" s="15" t="n">
        <f aca="false">'לקוחות לפי סוכן - מקור'!I647</f>
        <v>0</v>
      </c>
      <c r="I657" s="14" t="str">
        <f aca="false">'לקוחות לפי סוכן - מקור'!K647</f>
        <v>CHMI</v>
      </c>
    </row>
    <row r="658" customFormat="false" ht="15" hidden="false" customHeight="true" outlineLevel="1" collapsed="false">
      <c r="A658" s="14" t="str">
        <f aca="false">'לקוחות לפי סוכן - מקור'!A648</f>
        <v>חאזם תלחמי</v>
      </c>
      <c r="B658" s="14" t="str">
        <f aca="false">'לקוחות לפי סוכן - מקור'!C648</f>
        <v>מגזר ערבי</v>
      </c>
      <c r="C658" s="47" t="str">
        <f aca="false">'לקוחות לפי סוכן - מקור'!E648</f>
        <v>וואן פארם ב.מ מג'ד אל כרום</v>
      </c>
      <c r="D658" s="22" t="n">
        <f aca="false">'לקוחות לפי סוכן - מקור'!F648</f>
        <v>0</v>
      </c>
      <c r="E658" s="22" t="n">
        <f aca="false">'לקוחות לפי סוכן - מקור'!G648</f>
        <v>5801.3</v>
      </c>
      <c r="F658" s="14" t="n">
        <f aca="false">'לקוחות לפי סוכן - מקור'!D648</f>
        <v>0</v>
      </c>
      <c r="G658" s="15" t="n">
        <f aca="false">'לקוחות לפי סוכן - מקור'!H648</f>
        <v>0</v>
      </c>
      <c r="H658" s="15" t="n">
        <f aca="false">'לקוחות לפי סוכן - מקור'!I648</f>
        <v>0</v>
      </c>
      <c r="I658" s="14" t="str">
        <f aca="false">'לקוחות לפי סוכן - מקור'!K648</f>
        <v>CHMI</v>
      </c>
    </row>
    <row r="659" customFormat="false" ht="15" hidden="false" customHeight="true" outlineLevel="1" collapsed="false">
      <c r="A659" s="14" t="str">
        <f aca="false">'לקוחות לפי סוכן - מקור'!A649</f>
        <v>חאזם תלחמי</v>
      </c>
      <c r="B659" s="14" t="str">
        <f aca="false">'לקוחות לפי סוכן - מקור'!C649</f>
        <v>מגזר ערבי</v>
      </c>
      <c r="C659" s="47" t="str">
        <f aca="false">'לקוחות לפי סוכן - מקור'!E649</f>
        <v>חדאד פארם ח.הגלילית ב.מ</v>
      </c>
      <c r="D659" s="22" t="n">
        <f aca="false">'לקוחות לפי סוכן - מקור'!F649</f>
        <v>0</v>
      </c>
      <c r="E659" s="22" t="n">
        <f aca="false">'לקוחות לפי סוכן - מקור'!G649</f>
        <v>2040.7</v>
      </c>
      <c r="F659" s="14" t="n">
        <f aca="false">'לקוחות לפי סוכן - מקור'!D649</f>
        <v>0</v>
      </c>
      <c r="G659" s="15" t="n">
        <f aca="false">'לקוחות לפי סוכן - מקור'!H649</f>
        <v>0</v>
      </c>
      <c r="H659" s="15" t="n">
        <f aca="false">'לקוחות לפי סוכן - מקור'!I649</f>
        <v>0</v>
      </c>
      <c r="I659" s="14" t="str">
        <f aca="false">'לקוחות לפי סוכן - מקור'!K649</f>
        <v>CHMI</v>
      </c>
    </row>
    <row r="660" customFormat="false" ht="15" hidden="false" customHeight="true" outlineLevel="1" collapsed="false">
      <c r="A660" s="14" t="str">
        <f aca="false">'לקוחות לפי סוכן - מקור'!A650</f>
        <v>חאזם תלחמי</v>
      </c>
      <c r="B660" s="14" t="str">
        <f aca="false">'לקוחות לפי סוכן - מקור'!C650</f>
        <v>מגזר ערבי</v>
      </c>
      <c r="C660" s="47" t="str">
        <f aca="false">'לקוחות לפי סוכן - מקור'!E650</f>
        <v>חמדאן פארם ב.מ</v>
      </c>
      <c r="D660" s="22" t="n">
        <f aca="false">'לקוחות לפי סוכן - מקור'!F650</f>
        <v>0</v>
      </c>
      <c r="E660" s="22" t="n">
        <f aca="false">'לקוחות לפי סוכן - מקור'!G650</f>
        <v>826.4</v>
      </c>
      <c r="F660" s="14" t="n">
        <f aca="false">'לקוחות לפי סוכן - מקור'!D650</f>
        <v>0</v>
      </c>
      <c r="G660" s="15" t="n">
        <f aca="false">'לקוחות לפי סוכן - מקור'!H650</f>
        <v>0</v>
      </c>
      <c r="H660" s="15" t="n">
        <f aca="false">'לקוחות לפי סוכן - מקור'!I650</f>
        <v>0</v>
      </c>
      <c r="I660" s="14" t="str">
        <f aca="false">'לקוחות לפי סוכן - מקור'!K650</f>
        <v>CHMI</v>
      </c>
    </row>
    <row r="661" customFormat="false" ht="15" hidden="false" customHeight="true" outlineLevel="1" collapsed="false">
      <c r="A661" s="14" t="str">
        <f aca="false">'לקוחות לפי סוכן - מקור'!A651</f>
        <v>חאזם תלחמי</v>
      </c>
      <c r="B661" s="14" t="str">
        <f aca="false">'לקוחות לפי סוכן - מקור'!C651</f>
        <v>מגזר ערבי</v>
      </c>
      <c r="C661" s="47" t="str">
        <f aca="false">'לקוחות לפי סוכן - מקור'!E651</f>
        <v>הצפון כפר סמיע ב.מ חדש</v>
      </c>
      <c r="D661" s="22" t="n">
        <f aca="false">'לקוחות לפי סוכן - מקור'!F651</f>
        <v>0</v>
      </c>
      <c r="E661" s="22" t="n">
        <f aca="false">'לקוחות לפי סוכן - מקור'!G651</f>
        <v>3994.5</v>
      </c>
      <c r="F661" s="14" t="n">
        <f aca="false">'לקוחות לפי סוכן - מקור'!D651</f>
        <v>0</v>
      </c>
      <c r="G661" s="15" t="n">
        <f aca="false">'לקוחות לפי סוכן - מקור'!H651</f>
        <v>0</v>
      </c>
      <c r="H661" s="15" t="n">
        <f aca="false">'לקוחות לפי סוכן - מקור'!I651</f>
        <v>0</v>
      </c>
      <c r="I661" s="14" t="str">
        <f aca="false">'לקוחות לפי סוכן - מקור'!K651</f>
        <v>CHMI</v>
      </c>
    </row>
    <row r="662" customFormat="false" ht="15" hidden="false" customHeight="true" outlineLevel="1" collapsed="false">
      <c r="A662" s="14" t="str">
        <f aca="false">'לקוחות לפי סוכן - מקור'!A652</f>
        <v>חאזם תלחמי</v>
      </c>
      <c r="B662" s="14" t="str">
        <f aca="false">'לקוחות לפי סוכן - מקור'!C652</f>
        <v>מגזר ערבי</v>
      </c>
      <c r="C662" s="47" t="str">
        <f aca="false">'לקוחות לפי סוכן - מקור'!E652</f>
        <v>מדיקל פארם-ראמה  ב.מ</v>
      </c>
      <c r="D662" s="22" t="n">
        <f aca="false">'לקוחות לפי סוכן - מקור'!F652</f>
        <v>0</v>
      </c>
      <c r="E662" s="22" t="n">
        <f aca="false">'לקוחות לפי סוכן - מקור'!G652</f>
        <v>1738.4</v>
      </c>
      <c r="F662" s="14" t="n">
        <f aca="false">'לקוחות לפי סוכן - מקור'!D652</f>
        <v>0</v>
      </c>
      <c r="G662" s="15" t="n">
        <f aca="false">'לקוחות לפי סוכן - מקור'!H652</f>
        <v>0</v>
      </c>
      <c r="H662" s="15" t="n">
        <f aca="false">'לקוחות לפי סוכן - מקור'!I652</f>
        <v>0</v>
      </c>
      <c r="I662" s="14" t="str">
        <f aca="false">'לקוחות לפי סוכן - מקור'!K652</f>
        <v>CHMI</v>
      </c>
    </row>
    <row r="663" customFormat="false" ht="15" hidden="false" customHeight="true" outlineLevel="1" collapsed="false">
      <c r="A663" s="14" t="str">
        <f aca="false">'לקוחות לפי סוכן - מקור'!A653</f>
        <v>חאזם תלחמי</v>
      </c>
      <c r="B663" s="14" t="str">
        <f aca="false">'לקוחות לפי סוכן - מקור'!C653</f>
        <v>מגזר ערבי</v>
      </c>
      <c r="C663" s="47" t="str">
        <f aca="false">'לקוחות לפי סוכן - מקור'!E653</f>
        <v>ספואן ב.מ שפרעם</v>
      </c>
      <c r="D663" s="22" t="n">
        <f aca="false">'לקוחות לפי סוכן - מקור'!F653</f>
        <v>0</v>
      </c>
      <c r="E663" s="22" t="n">
        <f aca="false">'לקוחות לפי סוכן - מקור'!G653</f>
        <v>5267.1</v>
      </c>
      <c r="F663" s="14" t="n">
        <f aca="false">'לקוחות לפי סוכן - מקור'!D653</f>
        <v>0</v>
      </c>
      <c r="G663" s="15" t="n">
        <f aca="false">'לקוחות לפי סוכן - מקור'!H653</f>
        <v>0</v>
      </c>
      <c r="H663" s="15" t="n">
        <f aca="false">'לקוחות לפי סוכן - מקור'!I653</f>
        <v>0</v>
      </c>
      <c r="I663" s="14" t="str">
        <f aca="false">'לקוחות לפי סוכן - מקור'!K653</f>
        <v>CHMI</v>
      </c>
    </row>
    <row r="664" customFormat="false" ht="15" hidden="false" customHeight="true" outlineLevel="1" collapsed="false">
      <c r="A664" s="14" t="str">
        <f aca="false">'לקוחות לפי סוכן - מקור'!A654</f>
        <v>חאזם תלחמי</v>
      </c>
      <c r="B664" s="14" t="str">
        <f aca="false">'לקוחות לפי סוכן - מקור'!C654</f>
        <v>מגזר ערבי</v>
      </c>
      <c r="C664" s="47" t="str">
        <f aca="false">'לקוחות לפי סוכן - מקור'!E654</f>
        <v>פארמה קואופ יפיע בע""מ ב.מ</v>
      </c>
      <c r="D664" s="22" t="n">
        <f aca="false">'לקוחות לפי סוכן - מקור'!F654</f>
        <v>0</v>
      </c>
      <c r="E664" s="22" t="n">
        <f aca="false">'לקוחות לפי סוכן - מקור'!G654</f>
        <v>9334.5</v>
      </c>
      <c r="F664" s="14" t="n">
        <f aca="false">'לקוחות לפי סוכן - מקור'!D654</f>
        <v>0</v>
      </c>
      <c r="G664" s="15" t="n">
        <f aca="false">'לקוחות לפי סוכן - מקור'!H654</f>
        <v>0</v>
      </c>
      <c r="H664" s="15" t="n">
        <f aca="false">'לקוחות לפי סוכן - מקור'!I654</f>
        <v>0</v>
      </c>
      <c r="I664" s="14" t="str">
        <f aca="false">'לקוחות לפי סוכן - מקור'!K654</f>
        <v>CHMI</v>
      </c>
    </row>
    <row r="665" customFormat="false" ht="15" hidden="false" customHeight="true" outlineLevel="1" collapsed="false">
      <c r="A665" s="14" t="str">
        <f aca="false">'לקוחות לפי סוכן - מקור'!A655</f>
        <v>חאזם תלחמי</v>
      </c>
      <c r="B665" s="14" t="str">
        <f aca="false">'לקוחות לפי סוכן - מקור'!C655</f>
        <v>מגזר ערבי</v>
      </c>
      <c r="C665" s="47" t="str">
        <f aca="false">'לקוחות לפי סוכן - מקור'!E655</f>
        <v>פרמהזול עין מאהל ב.מ</v>
      </c>
      <c r="D665" s="22" t="n">
        <f aca="false">'לקוחות לפי סוכן - מקור'!F655</f>
        <v>0</v>
      </c>
      <c r="E665" s="22" t="n">
        <f aca="false">'לקוחות לפי סוכן - מקור'!G655</f>
        <v>1362.5</v>
      </c>
      <c r="F665" s="14" t="n">
        <f aca="false">'לקוחות לפי סוכן - מקור'!D655</f>
        <v>0</v>
      </c>
      <c r="G665" s="15" t="n">
        <f aca="false">'לקוחות לפי סוכן - מקור'!H655</f>
        <v>0</v>
      </c>
      <c r="H665" s="15" t="n">
        <f aca="false">'לקוחות לפי סוכן - מקור'!I655</f>
        <v>0</v>
      </c>
      <c r="I665" s="14" t="str">
        <f aca="false">'לקוחות לפי סוכן - מקור'!K655</f>
        <v>CHMI</v>
      </c>
    </row>
    <row r="666" customFormat="false" ht="15" hidden="false" customHeight="true" outlineLevel="1" collapsed="false">
      <c r="A666" s="14" t="str">
        <f aca="false">'לקוחות לפי סוכן - מקור'!A656</f>
        <v>חאזם תלחמי</v>
      </c>
      <c r="B666" s="14" t="str">
        <f aca="false">'לקוחות לפי סוכן - מקור'!C656</f>
        <v>מגזר ערבי</v>
      </c>
      <c r="C666" s="47" t="str">
        <f aca="false">'לקוחות לפי סוכן - מקור'!E656</f>
        <v>נידאא פארם תרשיחא ב.מ</v>
      </c>
      <c r="D666" s="22" t="n">
        <f aca="false">'לקוחות לפי סוכן - מקור'!F656</f>
        <v>0</v>
      </c>
      <c r="E666" s="22" t="n">
        <f aca="false">'לקוחות לפי סוכן - מקור'!G656</f>
        <v>677.6</v>
      </c>
      <c r="F666" s="14" t="n">
        <f aca="false">'לקוחות לפי סוכן - מקור'!D656</f>
        <v>0</v>
      </c>
      <c r="G666" s="15" t="n">
        <f aca="false">'לקוחות לפי סוכן - מקור'!H656</f>
        <v>0</v>
      </c>
      <c r="H666" s="15" t="n">
        <f aca="false">'לקוחות לפי סוכן - מקור'!I656</f>
        <v>0</v>
      </c>
      <c r="I666" s="14" t="str">
        <f aca="false">'לקוחות לפי סוכן - מקור'!K656</f>
        <v>CHMI</v>
      </c>
    </row>
    <row r="667" customFormat="false" ht="15" hidden="false" customHeight="true" outlineLevel="1" collapsed="false">
      <c r="A667" s="14" t="str">
        <f aca="false">'לקוחות לפי סוכן - מקור'!A657</f>
        <v>חאזם תלחמי</v>
      </c>
      <c r="B667" s="14" t="str">
        <f aca="false">'לקוחות לפי סוכן - מקור'!C657</f>
        <v>מגזר ערבי</v>
      </c>
      <c r="C667" s="47" t="str">
        <f aca="false">'לקוחות לפי סוכן - מקור'!E657</f>
        <v>קמא פארם כפר קמא ב.מ</v>
      </c>
      <c r="D667" s="22" t="n">
        <f aca="false">'לקוחות לפי סוכן - מקור'!F657</f>
        <v>0</v>
      </c>
      <c r="E667" s="22" t="n">
        <f aca="false">'לקוחות לפי סוכן - מקור'!G657</f>
        <v>4303.2</v>
      </c>
      <c r="F667" s="14" t="n">
        <f aca="false">'לקוחות לפי סוכן - מקור'!D657</f>
        <v>0</v>
      </c>
      <c r="G667" s="15" t="n">
        <f aca="false">'לקוחות לפי סוכן - מקור'!H657</f>
        <v>0</v>
      </c>
      <c r="H667" s="15" t="n">
        <f aca="false">'לקוחות לפי סוכן - מקור'!I657</f>
        <v>0</v>
      </c>
      <c r="I667" s="14" t="str">
        <f aca="false">'לקוחות לפי סוכן - מקור'!K657</f>
        <v>CHMI</v>
      </c>
    </row>
    <row r="668" customFormat="false" ht="15" hidden="false" customHeight="true" outlineLevel="1" collapsed="false">
      <c r="A668" s="14" t="str">
        <f aca="false">'לקוחות לפי סוכן - מקור'!A658</f>
        <v>חאזם תלחמי</v>
      </c>
      <c r="B668" s="14" t="str">
        <f aca="false">'לקוחות לפי סוכן - מקור'!C658</f>
        <v>מגזר ערבי</v>
      </c>
      <c r="C668" s="47" t="str">
        <f aca="false">'לקוחות לפי סוכן - מקור'!E658</f>
        <v>איווה פארם זמר ב.מ</v>
      </c>
      <c r="D668" s="22" t="n">
        <f aca="false">'לקוחות לפי סוכן - מקור'!F658</f>
        <v>0</v>
      </c>
      <c r="E668" s="22" t="n">
        <f aca="false">'לקוחות לפי סוכן - מקור'!G658</f>
        <v>11337.4</v>
      </c>
      <c r="F668" s="14" t="n">
        <f aca="false">'לקוחות לפי סוכן - מקור'!D658</f>
        <v>0</v>
      </c>
      <c r="G668" s="15" t="n">
        <f aca="false">'לקוחות לפי סוכן - מקור'!H658</f>
        <v>0</v>
      </c>
      <c r="H668" s="15" t="n">
        <f aca="false">'לקוחות לפי סוכן - מקור'!I658</f>
        <v>0</v>
      </c>
      <c r="I668" s="14" t="str">
        <f aca="false">'לקוחות לפי סוכן - מקור'!K658</f>
        <v>CHMI</v>
      </c>
    </row>
    <row r="669" customFormat="false" ht="15" hidden="false" customHeight="true" outlineLevel="1" collapsed="false">
      <c r="A669" s="14" t="str">
        <f aca="false">'לקוחות לפי סוכן - מקור'!A659</f>
        <v>חאזם תלחמי</v>
      </c>
      <c r="B669" s="14" t="str">
        <f aca="false">'לקוחות לפי סוכן - מקור'!C659</f>
        <v>מגזר ערבי</v>
      </c>
      <c r="C669" s="47" t="str">
        <f aca="false">'לקוחות לפי סוכן - מקור'!E659</f>
        <v>אל אח'לאס רמת הגולן ב.מ</v>
      </c>
      <c r="D669" s="22" t="n">
        <f aca="false">'לקוחות לפי סוכן - מקור'!F659</f>
        <v>0</v>
      </c>
      <c r="E669" s="22" t="n">
        <f aca="false">'לקוחות לפי סוכן - מקור'!G659</f>
        <v>1594.9</v>
      </c>
      <c r="F669" s="14" t="n">
        <f aca="false">'לקוחות לפי סוכן - מקור'!D659</f>
        <v>0</v>
      </c>
      <c r="G669" s="15" t="n">
        <f aca="false">'לקוחות לפי סוכן - מקור'!H659</f>
        <v>0</v>
      </c>
      <c r="H669" s="15" t="n">
        <f aca="false">'לקוחות לפי סוכן - מקור'!I659</f>
        <v>0</v>
      </c>
      <c r="I669" s="14" t="str">
        <f aca="false">'לקוחות לפי סוכן - מקור'!K659</f>
        <v>CHMI</v>
      </c>
    </row>
    <row r="670" customFormat="false" ht="15" hidden="false" customHeight="true" outlineLevel="1" collapsed="false">
      <c r="A670" s="14" t="str">
        <f aca="false">'לקוחות לפי סוכן - מקור'!A660</f>
        <v>חאזם תלחמי</v>
      </c>
      <c r="B670" s="14" t="str">
        <f aca="false">'לקוחות לפי סוכן - מקור'!C660</f>
        <v>מגזר ערבי</v>
      </c>
      <c r="C670" s="47" t="str">
        <f aca="false">'לקוחות לפי סוכן - מקור'!E660</f>
        <v>.עין קנייה רמת הגולן ב.מ</v>
      </c>
      <c r="D670" s="22" t="n">
        <f aca="false">'לקוחות לפי סוכן - מקור'!F660</f>
        <v>0</v>
      </c>
      <c r="E670" s="22" t="n">
        <f aca="false">'לקוחות לפי סוכן - מקור'!G660</f>
        <v>4777.4</v>
      </c>
      <c r="F670" s="14" t="n">
        <f aca="false">'לקוחות לפי סוכן - מקור'!D660</f>
        <v>0</v>
      </c>
      <c r="G670" s="15" t="n">
        <f aca="false">'לקוחות לפי סוכן - מקור'!H660</f>
        <v>0</v>
      </c>
      <c r="H670" s="15" t="n">
        <f aca="false">'לקוחות לפי סוכן - מקור'!I660</f>
        <v>0</v>
      </c>
      <c r="I670" s="14" t="str">
        <f aca="false">'לקוחות לפי סוכן - מקור'!K660</f>
        <v>CHMI</v>
      </c>
    </row>
    <row r="671" customFormat="false" ht="15" hidden="false" customHeight="true" outlineLevel="1" collapsed="false">
      <c r="A671" s="14" t="str">
        <f aca="false">'לקוחות לפי סוכן - מקור'!A661</f>
        <v>חאזם תלחמי</v>
      </c>
      <c r="B671" s="14" t="str">
        <f aca="false">'לקוחות לפי סוכן - מקור'!C661</f>
        <v>מגזר ערבי</v>
      </c>
      <c r="C671" s="47" t="str">
        <f aca="false">'לקוחות לפי סוכן - מקור'!E661</f>
        <v>אל אסדי ב.מ</v>
      </c>
      <c r="D671" s="22" t="n">
        <f aca="false">'לקוחות לפי סוכן - מקור'!F661</f>
        <v>0</v>
      </c>
      <c r="E671" s="22" t="n">
        <f aca="false">'לקוחות לפי סוכן - מקור'!G661</f>
        <v>99.7</v>
      </c>
      <c r="F671" s="14" t="n">
        <f aca="false">'לקוחות לפי סוכן - מקור'!D661</f>
        <v>0</v>
      </c>
      <c r="G671" s="15" t="n">
        <f aca="false">'לקוחות לפי סוכן - מקור'!H661</f>
        <v>0</v>
      </c>
      <c r="H671" s="15" t="n">
        <f aca="false">'לקוחות לפי סוכן - מקור'!I661</f>
        <v>0</v>
      </c>
      <c r="I671" s="14" t="str">
        <f aca="false">'לקוחות לפי סוכן - מקור'!K661</f>
        <v>CHMI</v>
      </c>
    </row>
    <row r="672" customFormat="false" ht="15" hidden="false" customHeight="true" outlineLevel="1" collapsed="false">
      <c r="A672" s="14" t="str">
        <f aca="false">'לקוחות לפי סוכן - מקור'!A662</f>
        <v>חאזם תלחמי</v>
      </c>
      <c r="B672" s="14" t="str">
        <f aca="false">'לקוחות לפי סוכן - מקור'!C662</f>
        <v>מגזר ערבי</v>
      </c>
      <c r="C672" s="47" t="str">
        <f aca="false">'לקוחות לפי סוכן - מקור'!E662</f>
        <v>אל מרכז ראמה חדש ב.מ</v>
      </c>
      <c r="D672" s="22" t="n">
        <f aca="false">'לקוחות לפי סוכן - מקור'!F662</f>
        <v>0</v>
      </c>
      <c r="E672" s="22" t="n">
        <f aca="false">'לקוחות לפי סוכן - מקור'!G662</f>
        <v>160.7</v>
      </c>
      <c r="F672" s="14" t="n">
        <f aca="false">'לקוחות לפי סוכן - מקור'!D662</f>
        <v>0</v>
      </c>
      <c r="G672" s="15" t="n">
        <f aca="false">'לקוחות לפי סוכן - מקור'!H662</f>
        <v>0</v>
      </c>
      <c r="H672" s="15" t="n">
        <f aca="false">'לקוחות לפי סוכן - מקור'!I662</f>
        <v>0</v>
      </c>
      <c r="I672" s="14" t="str">
        <f aca="false">'לקוחות לפי סוכן - מקור'!K662</f>
        <v>CHMI</v>
      </c>
    </row>
    <row r="673" customFormat="false" ht="15" hidden="false" customHeight="true" outlineLevel="1" collapsed="false">
      <c r="A673" s="14" t="str">
        <f aca="false">'לקוחות לפי סוכן - מקור'!A663</f>
        <v>חאזם תלחמי</v>
      </c>
      <c r="B673" s="14" t="str">
        <f aca="false">'לקוחות לפי סוכן - מקור'!C663</f>
        <v>מגזר ערבי</v>
      </c>
      <c r="C673" s="47" t="str">
        <f aca="false">'לקוחות לפי סוכן - מקור'!E663</f>
        <v>אלעין ב.מ שפרעם</v>
      </c>
      <c r="D673" s="22" t="n">
        <f aca="false">'לקוחות לפי סוכן - מקור'!F663</f>
        <v>0</v>
      </c>
      <c r="E673" s="22" t="n">
        <f aca="false">'לקוחות לפי סוכן - מקור'!G663</f>
        <v>995.6</v>
      </c>
      <c r="F673" s="14" t="n">
        <f aca="false">'לקוחות לפי סוכן - מקור'!D663</f>
        <v>0</v>
      </c>
      <c r="G673" s="15" t="n">
        <f aca="false">'לקוחות לפי סוכן - מקור'!H663</f>
        <v>0</v>
      </c>
      <c r="H673" s="15" t="n">
        <f aca="false">'לקוחות לפי סוכן - מקור'!I663</f>
        <v>0</v>
      </c>
      <c r="I673" s="14" t="str">
        <f aca="false">'לקוחות לפי סוכן - מקור'!K663</f>
        <v>CHMI</v>
      </c>
    </row>
    <row r="674" customFormat="false" ht="15" hidden="false" customHeight="true" outlineLevel="1" collapsed="false">
      <c r="A674" s="14" t="str">
        <f aca="false">'לקוחות לפי סוכן - מקור'!A664</f>
        <v>חאזם תלחמי</v>
      </c>
      <c r="B674" s="14" t="str">
        <f aca="false">'לקוחות לפי סוכן - מקור'!C664</f>
        <v>מגזר ערבי</v>
      </c>
      <c r="C674" s="47" t="str">
        <f aca="false">'לקוחות לפי סוכן - מקור'!E664</f>
        <v>אבן סינא פארם טמרה ב.מ</v>
      </c>
      <c r="D674" s="22" t="n">
        <f aca="false">'לקוחות לפי סוכן - מקור'!F664</f>
        <v>0</v>
      </c>
      <c r="E674" s="22" t="n">
        <f aca="false">'לקוחות לפי סוכן - מקור'!G664</f>
        <v>2574.1</v>
      </c>
      <c r="F674" s="14" t="n">
        <f aca="false">'לקוחות לפי סוכן - מקור'!D664</f>
        <v>0</v>
      </c>
      <c r="G674" s="15" t="n">
        <f aca="false">'לקוחות לפי סוכן - מקור'!H664</f>
        <v>0</v>
      </c>
      <c r="H674" s="15" t="n">
        <f aca="false">'לקוחות לפי סוכן - מקור'!I664</f>
        <v>0</v>
      </c>
      <c r="I674" s="14" t="str">
        <f aca="false">'לקוחות לפי סוכן - מקור'!K664</f>
        <v>CHMI</v>
      </c>
    </row>
    <row r="675" customFormat="false" ht="15" hidden="false" customHeight="true" outlineLevel="1" collapsed="false">
      <c r="A675" s="14" t="str">
        <f aca="false">'לקוחות לפי סוכן - מקור'!A665</f>
        <v>חאזם תלחמי</v>
      </c>
      <c r="B675" s="14" t="str">
        <f aca="false">'לקוחות לפי סוכן - מקור'!C665</f>
        <v>מגזר ערבי</v>
      </c>
      <c r="C675" s="47" t="str">
        <f aca="false">'לקוחות לפי סוכן - מקור'!E665</f>
        <v>נוגידאת פארם ב.מ</v>
      </c>
      <c r="D675" s="22" t="n">
        <f aca="false">'לקוחות לפי סוכן - מקור'!F665</f>
        <v>0</v>
      </c>
      <c r="E675" s="22" t="n">
        <f aca="false">'לקוחות לפי סוכן - מקור'!G665</f>
        <v>371.8</v>
      </c>
      <c r="F675" s="14" t="n">
        <f aca="false">'לקוחות לפי סוכן - מקור'!D665</f>
        <v>0</v>
      </c>
      <c r="G675" s="15" t="n">
        <f aca="false">'לקוחות לפי סוכן - מקור'!H665</f>
        <v>0</v>
      </c>
      <c r="H675" s="15" t="n">
        <f aca="false">'לקוחות לפי סוכן - מקור'!I665</f>
        <v>0</v>
      </c>
      <c r="I675" s="14" t="str">
        <f aca="false">'לקוחות לפי סוכן - מקור'!K665</f>
        <v>CHMI</v>
      </c>
    </row>
    <row r="676" customFormat="false" ht="15" hidden="false" customHeight="true" outlineLevel="1" collapsed="false">
      <c r="A676" s="14" t="str">
        <f aca="false">'לקוחות לפי סוכן - מקור'!A666</f>
        <v>חאזם תלחמי</v>
      </c>
      <c r="B676" s="14" t="str">
        <f aca="false">'לקוחות לפי סוכן - מקור'!C666</f>
        <v>מגזר ערבי</v>
      </c>
      <c r="C676" s="47" t="str">
        <f aca="false">'לקוחות לפי סוכן - מקור'!E666</f>
        <v>איווה פארם ב.אל גרבייה ב.מ</v>
      </c>
      <c r="D676" s="22" t="n">
        <f aca="false">'לקוחות לפי סוכן - מקור'!F666</f>
        <v>0</v>
      </c>
      <c r="E676" s="22" t="n">
        <f aca="false">'לקוחות לפי סוכן - מקור'!G666</f>
        <v>2568.8</v>
      </c>
      <c r="F676" s="14" t="n">
        <f aca="false">'לקוחות לפי סוכן - מקור'!D666</f>
        <v>0</v>
      </c>
      <c r="G676" s="15" t="n">
        <f aca="false">'לקוחות לפי סוכן - מקור'!H666</f>
        <v>0</v>
      </c>
      <c r="H676" s="15" t="n">
        <f aca="false">'לקוחות לפי סוכן - מקור'!I666</f>
        <v>0</v>
      </c>
      <c r="I676" s="14" t="str">
        <f aca="false">'לקוחות לפי סוכן - מקור'!K666</f>
        <v>CHMI</v>
      </c>
    </row>
    <row r="677" customFormat="false" ht="15" hidden="false" customHeight="true" outlineLevel="1" collapsed="false">
      <c r="A677" s="14" t="str">
        <f aca="false">'לקוחות לפי סוכן - מקור'!A667</f>
        <v>חאזם תלחמי</v>
      </c>
      <c r="B677" s="14" t="str">
        <f aca="false">'לקוחות לפי סוכן - מקור'!C667</f>
        <v>מגזר ערבי</v>
      </c>
      <c r="C677" s="47" t="str">
        <f aca="false">'לקוחות לפי סוכן - מקור'!E667</f>
        <v>המרכז טמרה ב.מ</v>
      </c>
      <c r="D677" s="22" t="n">
        <f aca="false">'לקוחות לפי סוכן - מקור'!F667</f>
        <v>0</v>
      </c>
      <c r="E677" s="22" t="n">
        <f aca="false">'לקוחות לפי סוכן - מקור'!G667</f>
        <v>117.1</v>
      </c>
      <c r="F677" s="14" t="n">
        <f aca="false">'לקוחות לפי סוכן - מקור'!D667</f>
        <v>0</v>
      </c>
      <c r="G677" s="15" t="n">
        <f aca="false">'לקוחות לפי סוכן - מקור'!H667</f>
        <v>0</v>
      </c>
      <c r="H677" s="15" t="n">
        <f aca="false">'לקוחות לפי סוכן - מקור'!I667</f>
        <v>0</v>
      </c>
      <c r="I677" s="14" t="str">
        <f aca="false">'לקוחות לפי סוכן - מקור'!K667</f>
        <v>CHMI</v>
      </c>
    </row>
    <row r="678" customFormat="false" ht="15" hidden="false" customHeight="true" outlineLevel="1" collapsed="false">
      <c r="A678" s="14" t="str">
        <f aca="false">'לקוחות לפי סוכן - מקור'!A668</f>
        <v>חאזם תלחמי</v>
      </c>
      <c r="B678" s="14" t="str">
        <f aca="false">'לקוחות לפי סוכן - מקור'!C668</f>
        <v>מגזר ערבי</v>
      </c>
      <c r="C678" s="47" t="str">
        <f aca="false">'לקוחות לפי סוכן - מקור'!E668</f>
        <v>ביג פארם כפר ינוח ב.מ</v>
      </c>
      <c r="D678" s="22" t="n">
        <f aca="false">'לקוחות לפי סוכן - מקור'!F668</f>
        <v>0</v>
      </c>
      <c r="E678" s="22" t="n">
        <f aca="false">'לקוחות לפי סוכן - מקור'!G668</f>
        <v>3197.3</v>
      </c>
      <c r="F678" s="14" t="n">
        <f aca="false">'לקוחות לפי סוכן - מקור'!D668</f>
        <v>0</v>
      </c>
      <c r="G678" s="15" t="n">
        <f aca="false">'לקוחות לפי סוכן - מקור'!H668</f>
        <v>0</v>
      </c>
      <c r="H678" s="15" t="n">
        <f aca="false">'לקוחות לפי סוכן - מקור'!I668</f>
        <v>0</v>
      </c>
      <c r="I678" s="14" t="str">
        <f aca="false">'לקוחות לפי סוכן - מקור'!K668</f>
        <v>CHMI</v>
      </c>
    </row>
    <row r="679" customFormat="false" ht="15" hidden="false" customHeight="true" outlineLevel="1" collapsed="false">
      <c r="A679" s="14" t="str">
        <f aca="false">'לקוחות לפי סוכן - מקור'!A669</f>
        <v>חאזם תלחמי</v>
      </c>
      <c r="B679" s="14" t="str">
        <f aca="false">'לקוחות לפי סוכן - מקור'!C669</f>
        <v>מגזר ערבי</v>
      </c>
      <c r="C679" s="47" t="str">
        <f aca="false">'לקוחות לפי סוכן - מקור'!E669</f>
        <v>אקסטרה פארם בע""מ נצרת ב.מ</v>
      </c>
      <c r="D679" s="22" t="n">
        <f aca="false">'לקוחות לפי סוכן - מקור'!F669</f>
        <v>0</v>
      </c>
      <c r="E679" s="22" t="n">
        <f aca="false">'לקוחות לפי סוכן - מקור'!G669</f>
        <v>2489</v>
      </c>
      <c r="F679" s="14" t="n">
        <f aca="false">'לקוחות לפי סוכן - מקור'!D669</f>
        <v>0</v>
      </c>
      <c r="G679" s="15" t="n">
        <f aca="false">'לקוחות לפי סוכן - מקור'!H669</f>
        <v>0</v>
      </c>
      <c r="H679" s="15" t="n">
        <f aca="false">'לקוחות לפי סוכן - מקור'!I669</f>
        <v>0</v>
      </c>
      <c r="I679" s="14" t="str">
        <f aca="false">'לקוחות לפי סוכן - מקור'!K669</f>
        <v>CHMI</v>
      </c>
    </row>
    <row r="680" customFormat="false" ht="15" hidden="false" customHeight="true" outlineLevel="1" collapsed="false">
      <c r="A680" s="14" t="str">
        <f aca="false">'לקוחות לפי סוכן - מקור'!A670</f>
        <v>חאזם תלחמי</v>
      </c>
      <c r="B680" s="14" t="str">
        <f aca="false">'לקוחות לפי סוכן - מקור'!C670</f>
        <v>מגזר ערבי</v>
      </c>
      <c r="C680" s="47" t="str">
        <f aca="false">'לקוחות לפי סוכן - מקור'!E670</f>
        <v>טופ פארם כפר קרע ב.מ. חדש</v>
      </c>
      <c r="D680" s="22" t="n">
        <f aca="false">'לקוחות לפי סוכן - מקור'!F670</f>
        <v>0</v>
      </c>
      <c r="E680" s="22" t="n">
        <f aca="false">'לקוחות לפי סוכן - מקור'!G670</f>
        <v>838.9</v>
      </c>
      <c r="F680" s="14" t="n">
        <f aca="false">'לקוחות לפי סוכן - מקור'!D670</f>
        <v>0</v>
      </c>
      <c r="G680" s="15" t="n">
        <f aca="false">'לקוחות לפי סוכן - מקור'!H670</f>
        <v>0</v>
      </c>
      <c r="H680" s="15" t="n">
        <f aca="false">'לקוחות לפי סוכן - מקור'!I670</f>
        <v>0</v>
      </c>
      <c r="I680" s="14" t="str">
        <f aca="false">'לקוחות לפי סוכן - מקור'!K670</f>
        <v>CHMI</v>
      </c>
    </row>
    <row r="681" customFormat="false" ht="15" hidden="false" customHeight="true" outlineLevel="1" collapsed="false">
      <c r="A681" s="14" t="str">
        <f aca="false">'לקוחות לפי סוכן - מקור'!A671</f>
        <v>חאזם תלחמי</v>
      </c>
      <c r="B681" s="14" t="str">
        <f aca="false">'לקוחות לפי סוכן - מקור'!C671</f>
        <v>מגזר ערבי</v>
      </c>
      <c r="C681" s="47" t="str">
        <f aca="false">'לקוחות לפי סוכן - מקור'!E671</f>
        <v>איווה פארם אלרחמה בע""מ ב.מ</v>
      </c>
      <c r="D681" s="22" t="n">
        <f aca="false">'לקוחות לפי סוכן - מקור'!F671</f>
        <v>0</v>
      </c>
      <c r="E681" s="22" t="n">
        <f aca="false">'לקוחות לפי סוכן - מקור'!G671</f>
        <v>5981.7</v>
      </c>
      <c r="F681" s="14" t="n">
        <f aca="false">'לקוחות לפי סוכן - מקור'!D671</f>
        <v>0</v>
      </c>
      <c r="G681" s="15" t="n">
        <f aca="false">'לקוחות לפי סוכן - מקור'!H671</f>
        <v>0</v>
      </c>
      <c r="H681" s="15" t="n">
        <f aca="false">'לקוחות לפי סוכן - מקור'!I671</f>
        <v>0</v>
      </c>
      <c r="I681" s="14" t="str">
        <f aca="false">'לקוחות לפי סוכן - מקור'!K671</f>
        <v>CHMI</v>
      </c>
    </row>
    <row r="682" customFormat="false" ht="15" hidden="false" customHeight="true" outlineLevel="1" collapsed="false">
      <c r="A682" s="14" t="str">
        <f aca="false">'לקוחות לפי סוכן - מקור'!A672</f>
        <v>חאזם תלחמי</v>
      </c>
      <c r="B682" s="14" t="str">
        <f aca="false">'לקוחות לפי סוכן - מקור'!C672</f>
        <v>מגזר ערבי</v>
      </c>
      <c r="C682" s="47" t="str">
        <f aca="false">'לקוחות לפי סוכן - מקור'!E672</f>
        <v>ריאד פארם ב.מ ברטעה חדש</v>
      </c>
      <c r="D682" s="22" t="n">
        <f aca="false">'לקוחות לפי סוכן - מקור'!F672</f>
        <v>0</v>
      </c>
      <c r="E682" s="22" t="n">
        <f aca="false">'לקוחות לפי סוכן - מקור'!G672</f>
        <v>1095.8</v>
      </c>
      <c r="F682" s="14" t="n">
        <f aca="false">'לקוחות לפי סוכן - מקור'!D672</f>
        <v>0</v>
      </c>
      <c r="G682" s="15" t="n">
        <f aca="false">'לקוחות לפי סוכן - מקור'!H672</f>
        <v>0</v>
      </c>
      <c r="H682" s="15" t="n">
        <f aca="false">'לקוחות לפי סוכן - מקור'!I672</f>
        <v>0</v>
      </c>
      <c r="I682" s="14" t="str">
        <f aca="false">'לקוחות לפי סוכן - מקור'!K672</f>
        <v>CHMI</v>
      </c>
    </row>
    <row r="683" customFormat="false" ht="15" hidden="false" customHeight="true" outlineLevel="1" collapsed="false">
      <c r="A683" s="14" t="str">
        <f aca="false">'לקוחות לפי סוכן - מקור'!A673</f>
        <v>חאזם תלחמי</v>
      </c>
      <c r="B683" s="14" t="str">
        <f aca="false">'לקוחות לפי סוכן - מקור'!C673</f>
        <v>מגזר ערבי</v>
      </c>
      <c r="C683" s="47" t="str">
        <f aca="false">'לקוחות לפי סוכן - מקור'!E673</f>
        <v>מורינגה פארם בית הבריאות ב.מ מ</v>
      </c>
      <c r="D683" s="22" t="n">
        <f aca="false">'לקוחות לפי סוכן - מקור'!F673</f>
        <v>0</v>
      </c>
      <c r="E683" s="22" t="n">
        <f aca="false">'לקוחות לפי סוכן - מקור'!G673</f>
        <v>477.2</v>
      </c>
      <c r="F683" s="14" t="n">
        <f aca="false">'לקוחות לפי סוכן - מקור'!D673</f>
        <v>0</v>
      </c>
      <c r="G683" s="15" t="n">
        <f aca="false">'לקוחות לפי סוכן - מקור'!H673</f>
        <v>0</v>
      </c>
      <c r="H683" s="15" t="n">
        <f aca="false">'לקוחות לפי סוכן - מקור'!I673</f>
        <v>0</v>
      </c>
      <c r="I683" s="14" t="str">
        <f aca="false">'לקוחות לפי סוכן - מקור'!K673</f>
        <v>CHMI</v>
      </c>
    </row>
    <row r="684" customFormat="false" ht="15" hidden="false" customHeight="true" outlineLevel="1" collapsed="false">
      <c r="A684" s="14" t="str">
        <f aca="false">'לקוחות לפי סוכן - מקור'!A674</f>
        <v>חאזם תלחמי</v>
      </c>
      <c r="B684" s="14" t="str">
        <f aca="false">'לקוחות לפי סוכן - מקור'!C674</f>
        <v>מגזר ערבי</v>
      </c>
      <c r="C684" s="47" t="str">
        <f aca="false">'לקוחות לפי סוכן - מקור'!E674</f>
        <v>סיטי פארם נצרת ב.מ</v>
      </c>
      <c r="D684" s="22" t="n">
        <f aca="false">'לקוחות לפי סוכן - מקור'!F674</f>
        <v>0</v>
      </c>
      <c r="E684" s="22" t="n">
        <f aca="false">'לקוחות לפי סוכן - מקור'!G674</f>
        <v>163.4</v>
      </c>
      <c r="F684" s="14" t="n">
        <f aca="false">'לקוחות לפי סוכן - מקור'!D674</f>
        <v>0</v>
      </c>
      <c r="G684" s="15" t="n">
        <f aca="false">'לקוחות לפי סוכן - מקור'!H674</f>
        <v>0</v>
      </c>
      <c r="H684" s="15" t="n">
        <f aca="false">'לקוחות לפי סוכן - מקור'!I674</f>
        <v>0</v>
      </c>
      <c r="I684" s="14" t="str">
        <f aca="false">'לקוחות לפי סוכן - מקור'!K674</f>
        <v>CHMI</v>
      </c>
    </row>
    <row r="685" customFormat="false" ht="15" hidden="false" customHeight="true" outlineLevel="1" collapsed="false">
      <c r="A685" s="14" t="str">
        <f aca="false">'לקוחות לפי סוכן - מקור'!A675</f>
        <v>חאזם תלחמי</v>
      </c>
      <c r="B685" s="14" t="str">
        <f aca="false">'לקוחות לפי סוכן - מקור'!C675</f>
        <v>מגזר ערבי</v>
      </c>
      <c r="C685" s="47" t="str">
        <f aca="false">'לקוחות לפי סוכן - מקור'!E675</f>
        <v>מדיקל פארם שפרעם ב.מ</v>
      </c>
      <c r="D685" s="22" t="n">
        <f aca="false">'לקוחות לפי סוכן - מקור'!F675</f>
        <v>0</v>
      </c>
      <c r="E685" s="22" t="n">
        <f aca="false">'לקוחות לפי סוכן - מקור'!G675</f>
        <v>2868</v>
      </c>
      <c r="F685" s="14" t="n">
        <f aca="false">'לקוחות לפי סוכן - מקור'!D675</f>
        <v>0</v>
      </c>
      <c r="G685" s="15" t="n">
        <f aca="false">'לקוחות לפי סוכן - מקור'!H675</f>
        <v>0</v>
      </c>
      <c r="H685" s="15" t="n">
        <f aca="false">'לקוחות לפי סוכן - מקור'!I675</f>
        <v>0</v>
      </c>
      <c r="I685" s="14" t="str">
        <f aca="false">'לקוחות לפי סוכן - מקור'!K675</f>
        <v>CHMI</v>
      </c>
    </row>
    <row r="686" customFormat="false" ht="15" hidden="false" customHeight="true" outlineLevel="1" collapsed="false">
      <c r="A686" s="14" t="str">
        <f aca="false">'לקוחות לפי סוכן - מקור'!A676</f>
        <v>חאזם תלחמי</v>
      </c>
      <c r="B686" s="14" t="str">
        <f aca="false">'לקוחות לפי סוכן - מקור'!C676</f>
        <v>מגזר ערבי</v>
      </c>
      <c r="C686" s="47" t="str">
        <f aca="false">'לקוחות לפי סוכן - מקור'!E676</f>
        <v>פארמה שיא ביר אל מכסור ב.מ</v>
      </c>
      <c r="D686" s="22" t="n">
        <f aca="false">'לקוחות לפי סוכן - מקור'!F676</f>
        <v>0</v>
      </c>
      <c r="E686" s="22" t="n">
        <f aca="false">'לקוחות לפי סוכן - מקור'!G676</f>
        <v>2356.3</v>
      </c>
      <c r="F686" s="14" t="n">
        <f aca="false">'לקוחות לפי סוכן - מקור'!D676</f>
        <v>0</v>
      </c>
      <c r="G686" s="15" t="n">
        <f aca="false">'לקוחות לפי סוכן - מקור'!H676</f>
        <v>0</v>
      </c>
      <c r="H686" s="15" t="n">
        <f aca="false">'לקוחות לפי סוכן - מקור'!I676</f>
        <v>0</v>
      </c>
      <c r="I686" s="14" t="str">
        <f aca="false">'לקוחות לפי סוכן - מקור'!K676</f>
        <v>CHMI</v>
      </c>
    </row>
    <row r="687" customFormat="false" ht="15" hidden="false" customHeight="true" outlineLevel="1" collapsed="false">
      <c r="A687" s="14" t="str">
        <f aca="false">'לקוחות לפי סוכן - מקור'!A677</f>
        <v>חאזם תלחמי</v>
      </c>
      <c r="B687" s="14" t="str">
        <f aca="false">'לקוחות לפי סוכן - מקור'!C677</f>
        <v>מגזר ערבי</v>
      </c>
      <c r="C687" s="47" t="str">
        <f aca="false">'לקוחות לפי סוכן - מקור'!E677</f>
        <v>בית מרקחת אוור פארם עוספיא</v>
      </c>
      <c r="D687" s="22" t="n">
        <f aca="false">'לקוחות לפי סוכן - מקור'!F677</f>
        <v>0</v>
      </c>
      <c r="E687" s="22" t="n">
        <f aca="false">'לקוחות לפי סוכן - מקור'!G677</f>
        <v>369.9</v>
      </c>
      <c r="F687" s="14" t="n">
        <f aca="false">'לקוחות לפי סוכן - מקור'!D677</f>
        <v>0</v>
      </c>
      <c r="G687" s="15" t="n">
        <f aca="false">'לקוחות לפי סוכן - מקור'!H677</f>
        <v>0</v>
      </c>
      <c r="H687" s="15" t="n">
        <f aca="false">'לקוחות לפי סוכן - מקור'!I677</f>
        <v>0</v>
      </c>
      <c r="I687" s="14" t="str">
        <f aca="false">'לקוחות לפי סוכן - מקור'!K677</f>
        <v>CHMI</v>
      </c>
    </row>
    <row r="688" customFormat="false" ht="15" hidden="false" customHeight="true" outlineLevel="1" collapsed="false">
      <c r="A688" s="14" t="str">
        <f aca="false">'לקוחות לפי סוכן - מקור'!A678</f>
        <v>חאזם תלחמי</v>
      </c>
      <c r="B688" s="14" t="str">
        <f aca="false">'לקוחות לפי סוכן - מקור'!C678</f>
        <v>מגזר ערבי</v>
      </c>
      <c r="C688" s="47" t="str">
        <f aca="false">'לקוחות לפי סוכן - מקור'!E678</f>
        <v>אלח'רובה ב.מ באקה אל גרבייה</v>
      </c>
      <c r="D688" s="22" t="n">
        <f aca="false">'לקוחות לפי סוכן - מקור'!F678</f>
        <v>0</v>
      </c>
      <c r="E688" s="22" t="n">
        <f aca="false">'לקוחות לפי סוכן - מקור'!G678</f>
        <v>1531</v>
      </c>
      <c r="F688" s="14" t="n">
        <f aca="false">'לקוחות לפי סוכן - מקור'!D678</f>
        <v>0</v>
      </c>
      <c r="G688" s="15" t="n">
        <f aca="false">'לקוחות לפי סוכן - מקור'!H678</f>
        <v>0</v>
      </c>
      <c r="H688" s="15" t="n">
        <f aca="false">'לקוחות לפי סוכן - מקור'!I678</f>
        <v>0</v>
      </c>
      <c r="I688" s="14" t="str">
        <f aca="false">'לקוחות לפי סוכן - מקור'!K678</f>
        <v>CHMI</v>
      </c>
    </row>
    <row r="689" customFormat="false" ht="15" hidden="false" customHeight="true" outlineLevel="1" collapsed="false">
      <c r="A689" s="14" t="str">
        <f aca="false">'לקוחות לפי סוכן - מקור'!A679</f>
        <v>חאזם תלחמי</v>
      </c>
      <c r="B689" s="14" t="str">
        <f aca="false">'לקוחות לפי סוכן - מקור'!C679</f>
        <v>מגזר ערבי</v>
      </c>
      <c r="C689" s="47" t="str">
        <f aca="false">'לקוחות לפי סוכן - מקור'!E679</f>
        <v>רימא פארם כפר יאסיף ב.מ</v>
      </c>
      <c r="D689" s="22" t="n">
        <f aca="false">'לקוחות לפי סוכן - מקור'!F679</f>
        <v>0</v>
      </c>
      <c r="E689" s="22" t="n">
        <f aca="false">'לקוחות לפי סוכן - מקור'!G679</f>
        <v>7748.9</v>
      </c>
      <c r="F689" s="14" t="n">
        <f aca="false">'לקוחות לפי סוכן - מקור'!D679</f>
        <v>0</v>
      </c>
      <c r="G689" s="15" t="n">
        <f aca="false">'לקוחות לפי סוכן - מקור'!H679</f>
        <v>0</v>
      </c>
      <c r="H689" s="15" t="n">
        <f aca="false">'לקוחות לפי סוכן - מקור'!I679</f>
        <v>0</v>
      </c>
      <c r="I689" s="14" t="str">
        <f aca="false">'לקוחות לפי סוכן - מקור'!K679</f>
        <v>CHMI</v>
      </c>
    </row>
    <row r="690" customFormat="false" ht="15" hidden="false" customHeight="true" outlineLevel="1" collapsed="false">
      <c r="A690" s="14" t="str">
        <f aca="false">'לקוחות לפי סוכן - מקור'!A680</f>
        <v>חאזם תלחמי</v>
      </c>
      <c r="B690" s="14" t="str">
        <f aca="false">'לקוחות לפי סוכן - מקור'!C680</f>
        <v>מגזר ערבי</v>
      </c>
      <c r="C690" s="47" t="str">
        <f aca="false">'לקוחות לפי סוכן - מקור'!E680</f>
        <v>.רימא פארם כפר קרע ב.מ</v>
      </c>
      <c r="D690" s="22" t="n">
        <f aca="false">'לקוחות לפי סוכן - מקור'!F680</f>
        <v>0</v>
      </c>
      <c r="E690" s="22" t="n">
        <f aca="false">'לקוחות לפי סוכן - מקור'!G680</f>
        <v>210.9</v>
      </c>
      <c r="F690" s="14" t="n">
        <f aca="false">'לקוחות לפי סוכן - מקור'!D680</f>
        <v>0</v>
      </c>
      <c r="G690" s="15" t="n">
        <f aca="false">'לקוחות לפי סוכן - מקור'!H680</f>
        <v>0</v>
      </c>
      <c r="H690" s="15" t="n">
        <f aca="false">'לקוחות לפי סוכן - מקור'!I680</f>
        <v>0</v>
      </c>
      <c r="I690" s="14" t="str">
        <f aca="false">'לקוחות לפי סוכן - מקור'!K680</f>
        <v>CHMI</v>
      </c>
    </row>
    <row r="691" customFormat="false" ht="15" hidden="false" customHeight="true" outlineLevel="1" collapsed="false">
      <c r="A691" s="14" t="str">
        <f aca="false">'לקוחות לפי סוכן - מקור'!A681</f>
        <v>חאזם תלחמי</v>
      </c>
      <c r="B691" s="14" t="str">
        <f aca="false">'לקוחות לפי סוכן - מקור'!C681</f>
        <v>מגזר ערבי</v>
      </c>
      <c r="C691" s="47" t="str">
        <f aca="false">'לקוחות לפי סוכן - מקור'!E681</f>
        <v>רביע פארם כפר כסרא בימר""ק</v>
      </c>
      <c r="D691" s="22" t="n">
        <f aca="false">'לקוחות לפי סוכן - מקור'!F681</f>
        <v>0</v>
      </c>
      <c r="E691" s="22" t="n">
        <f aca="false">'לקוחות לפי סוכן - מקור'!G681</f>
        <v>39.8</v>
      </c>
      <c r="F691" s="14" t="n">
        <f aca="false">'לקוחות לפי סוכן - מקור'!D681</f>
        <v>0</v>
      </c>
      <c r="G691" s="15" t="n">
        <f aca="false">'לקוחות לפי סוכן - מקור'!H681</f>
        <v>0</v>
      </c>
      <c r="H691" s="15" t="n">
        <f aca="false">'לקוחות לפי סוכן - מקור'!I681</f>
        <v>0</v>
      </c>
      <c r="I691" s="14" t="str">
        <f aca="false">'לקוחות לפי סוכן - מקור'!K681</f>
        <v>CHMI</v>
      </c>
    </row>
    <row r="692" customFormat="false" ht="15" hidden="false" customHeight="true" outlineLevel="1" collapsed="false">
      <c r="A692" s="14" t="str">
        <f aca="false">'לקוחות לפי סוכן - מקור'!A682</f>
        <v>חאזם תלחמי</v>
      </c>
      <c r="B692" s="14" t="str">
        <f aca="false">'לקוחות לפי סוכן - מקור'!C682</f>
        <v>מגזר ערבי</v>
      </c>
      <c r="C692" s="47" t="str">
        <f aca="false">'לקוחות לפי סוכן - מקור'!E682</f>
        <v>פארמה לייף יקנעם עילית ב.מ</v>
      </c>
      <c r="D692" s="22" t="n">
        <f aca="false">'לקוחות לפי סוכן - מקור'!F682</f>
        <v>0</v>
      </c>
      <c r="E692" s="22" t="n">
        <f aca="false">'לקוחות לפי סוכן - מקור'!G682</f>
        <v>1212.9</v>
      </c>
      <c r="F692" s="14" t="n">
        <f aca="false">'לקוחות לפי סוכן - מקור'!D682</f>
        <v>0</v>
      </c>
      <c r="G692" s="15" t="n">
        <f aca="false">'לקוחות לפי סוכן - מקור'!H682</f>
        <v>0</v>
      </c>
      <c r="H692" s="15" t="n">
        <f aca="false">'לקוחות לפי סוכן - מקור'!I682</f>
        <v>0</v>
      </c>
      <c r="I692" s="14" t="str">
        <f aca="false">'לקוחות לפי סוכן - מקור'!K682</f>
        <v>CHMI</v>
      </c>
    </row>
    <row r="693" customFormat="false" ht="15" hidden="false" customHeight="true" outlineLevel="1" collapsed="false">
      <c r="A693" s="14" t="str">
        <f aca="false">'לקוחות לפי סוכן - מקור'!A683</f>
        <v>חאזם תלחמי</v>
      </c>
      <c r="B693" s="14" t="str">
        <f aca="false">'לקוחות לפי סוכן - מקור'!C683</f>
        <v>מגזר ערבי</v>
      </c>
      <c r="C693" s="47" t="str">
        <f aca="false">'לקוחות לפי סוכן - מקור'!E683</f>
        <v>ראפע פארם בע""מ נצרת</v>
      </c>
      <c r="D693" s="22" t="n">
        <f aca="false">'לקוחות לפי סוכן - מקור'!F683</f>
        <v>0</v>
      </c>
      <c r="E693" s="22" t="n">
        <f aca="false">'לקוחות לפי סוכן - מקור'!G683</f>
        <v>3176.5</v>
      </c>
      <c r="F693" s="14" t="n">
        <f aca="false">'לקוחות לפי סוכן - מקור'!D683</f>
        <v>0</v>
      </c>
      <c r="G693" s="15" t="n">
        <f aca="false">'לקוחות לפי סוכן - מקור'!H683</f>
        <v>0</v>
      </c>
      <c r="H693" s="15" t="n">
        <f aca="false">'לקוחות לפי סוכן - מקור'!I683</f>
        <v>0</v>
      </c>
      <c r="I693" s="14" t="str">
        <f aca="false">'לקוחות לפי סוכן - מקור'!K683</f>
        <v>CHMI</v>
      </c>
    </row>
    <row r="694" customFormat="false" ht="15" hidden="false" customHeight="true" outlineLevel="1" collapsed="false">
      <c r="A694" s="14" t="str">
        <f aca="false">'לקוחות לפי סוכן - מקור'!A684</f>
        <v>חאזם תלחמי</v>
      </c>
      <c r="B694" s="14" t="str">
        <f aca="false">'לקוחות לפי סוכן - מקור'!C684</f>
        <v>מגזר ערבי</v>
      </c>
      <c r="C694" s="47" t="str">
        <f aca="false">'לקוחות לפי סוכן - מקור'!E684</f>
        <v>שקד פארם זכרון יעקב ב.מ</v>
      </c>
      <c r="D694" s="22" t="n">
        <f aca="false">'לקוחות לפי סוכן - מקור'!F684</f>
        <v>0</v>
      </c>
      <c r="E694" s="22" t="n">
        <f aca="false">'לקוחות לפי סוכן - מקור'!G684</f>
        <v>523</v>
      </c>
      <c r="F694" s="14" t="n">
        <f aca="false">'לקוחות לפי סוכן - מקור'!D684</f>
        <v>0</v>
      </c>
      <c r="G694" s="15" t="n">
        <f aca="false">'לקוחות לפי סוכן - מקור'!H684</f>
        <v>0</v>
      </c>
      <c r="H694" s="15" t="n">
        <f aca="false">'לקוחות לפי סוכן - מקור'!I684</f>
        <v>0</v>
      </c>
      <c r="I694" s="14" t="str">
        <f aca="false">'לקוחות לפי סוכן - מקור'!K684</f>
        <v>CHMI</v>
      </c>
    </row>
    <row r="695" customFormat="false" ht="15" hidden="false" customHeight="true" outlineLevel="1" collapsed="false">
      <c r="A695" s="14" t="str">
        <f aca="false">'לקוחות לפי סוכן - מקור'!A685</f>
        <v>חאזם תלחמי</v>
      </c>
      <c r="B695" s="14" t="str">
        <f aca="false">'לקוחות לפי סוכן - מקור'!C685</f>
        <v>שרם</v>
      </c>
      <c r="C695" s="47" t="str">
        <f aca="false">'לקוחות לפי סוכן - מקור'!E685</f>
        <v>בלסם פארם בית ג'אן ב.מ שרמפארם</v>
      </c>
      <c r="D695" s="22" t="n">
        <f aca="false">'לקוחות לפי סוכן - מקור'!F685</f>
        <v>0</v>
      </c>
      <c r="E695" s="22" t="n">
        <f aca="false">'לקוחות לפי סוכן - מקור'!G685</f>
        <v>2841.2</v>
      </c>
      <c r="F695" s="14" t="n">
        <f aca="false">'לקוחות לפי סוכן - מקור'!D685</f>
        <v>0</v>
      </c>
      <c r="G695" s="15" t="n">
        <f aca="false">'לקוחות לפי סוכן - מקור'!H685</f>
        <v>0</v>
      </c>
      <c r="H695" s="15" t="n">
        <f aca="false">'לקוחות לפי סוכן - מקור'!I685</f>
        <v>0</v>
      </c>
      <c r="I695" s="14" t="str">
        <f aca="false">'לקוחות לפי סוכן - מקור'!K685</f>
        <v>CHMI</v>
      </c>
    </row>
    <row r="696" customFormat="false" ht="15" hidden="false" customHeight="true" outlineLevel="1" collapsed="false">
      <c r="A696" s="14" t="str">
        <f aca="false">'לקוחות לפי סוכן - מקור'!A686</f>
        <v>חאזם תלחמי</v>
      </c>
      <c r="B696" s="14" t="str">
        <f aca="false">'לקוחות לפי סוכן - מקור'!C686</f>
        <v>שרם</v>
      </c>
      <c r="C696" s="47" t="str">
        <f aca="false">'לקוחות לפי סוכן - מקור'!E686</f>
        <v>הגליל תרשיחא ב.מ שרמפארם</v>
      </c>
      <c r="D696" s="22" t="n">
        <f aca="false">'לקוחות לפי סוכן - מקור'!F686</f>
        <v>0</v>
      </c>
      <c r="E696" s="22" t="n">
        <f aca="false">'לקוחות לפי סוכן - מקור'!G686</f>
        <v>14262.8</v>
      </c>
      <c r="F696" s="14" t="n">
        <f aca="false">'לקוחות לפי סוכן - מקור'!D686</f>
        <v>0</v>
      </c>
      <c r="G696" s="15" t="n">
        <f aca="false">'לקוחות לפי סוכן - מקור'!H686</f>
        <v>0</v>
      </c>
      <c r="H696" s="15" t="n">
        <f aca="false">'לקוחות לפי סוכן - מקור'!I686</f>
        <v>0</v>
      </c>
      <c r="I696" s="14" t="str">
        <f aca="false">'לקוחות לפי סוכן - מקור'!K686</f>
        <v>CHMI</v>
      </c>
    </row>
    <row r="697" customFormat="false" ht="15" hidden="false" customHeight="true" outlineLevel="1" collapsed="false">
      <c r="A697" s="14" t="str">
        <f aca="false">'לקוחות לפי סוכן - מקור'!A687</f>
        <v>חאזם תלחמי</v>
      </c>
      <c r="B697" s="14" t="str">
        <f aca="false">'לקוחות לפי סוכן - מקור'!C687</f>
        <v>שרם</v>
      </c>
      <c r="C697" s="47" t="str">
        <f aca="false">'לקוחות לפי סוכן - מקור'!E687</f>
        <v>מטר פארם ב.מ עכו</v>
      </c>
      <c r="D697" s="22" t="n">
        <f aca="false">'לקוחות לפי סוכן - מקור'!F687</f>
        <v>0</v>
      </c>
      <c r="E697" s="22" t="n">
        <f aca="false">'לקוחות לפי סוכן - מקור'!G687</f>
        <v>1412.2</v>
      </c>
      <c r="F697" s="14" t="n">
        <f aca="false">'לקוחות לפי סוכן - מקור'!D687</f>
        <v>0</v>
      </c>
      <c r="G697" s="15" t="n">
        <f aca="false">'לקוחות לפי סוכן - מקור'!H687</f>
        <v>0</v>
      </c>
      <c r="H697" s="15" t="n">
        <f aca="false">'לקוחות לפי סוכן - מקור'!I687</f>
        <v>0</v>
      </c>
      <c r="I697" s="14" t="str">
        <f aca="false">'לקוחות לפי סוכן - מקור'!K687</f>
        <v>CHMI</v>
      </c>
    </row>
    <row r="698" customFormat="false" ht="15" hidden="false" customHeight="true" outlineLevel="1" collapsed="false">
      <c r="A698" s="14" t="str">
        <f aca="false">'לקוחות לפי סוכן - מקור'!A688</f>
        <v>חאזם תלחמי</v>
      </c>
      <c r="B698" s="14" t="str">
        <f aca="false">'לקוחות לפי סוכן - מקור'!C688</f>
        <v>שרם</v>
      </c>
      <c r="C698" s="47" t="str">
        <f aca="false">'לקוחות לפי סוכן - מקור'!E688</f>
        <v>רקפות מעלות ב.מ שרמפארם</v>
      </c>
      <c r="D698" s="22" t="n">
        <f aca="false">'לקוחות לפי סוכן - מקור'!F688</f>
        <v>0</v>
      </c>
      <c r="E698" s="22" t="n">
        <f aca="false">'לקוחות לפי סוכן - מקור'!G688</f>
        <v>5638.6</v>
      </c>
      <c r="F698" s="14" t="n">
        <f aca="false">'לקוחות לפי סוכן - מקור'!D688</f>
        <v>0</v>
      </c>
      <c r="G698" s="15" t="n">
        <f aca="false">'לקוחות לפי סוכן - מקור'!H688</f>
        <v>0</v>
      </c>
      <c r="H698" s="15" t="n">
        <f aca="false">'לקוחות לפי סוכן - מקור'!I688</f>
        <v>0</v>
      </c>
      <c r="I698" s="14" t="str">
        <f aca="false">'לקוחות לפי סוכן - מקור'!K688</f>
        <v>CHMI</v>
      </c>
    </row>
    <row r="699" customFormat="false" ht="15" hidden="false" customHeight="true" outlineLevel="1" collapsed="false">
      <c r="A699" s="14" t="str">
        <f aca="false">'לקוחות לפי סוכן - מקור'!A689</f>
        <v>חאזם תלחמי</v>
      </c>
      <c r="B699" s="14" t="str">
        <f aca="false">'לקוחות לפי סוכן - מקור'!C689</f>
        <v>שרם</v>
      </c>
      <c r="C699" s="47" t="str">
        <f aca="false">'לקוחות לפי סוכן - מקור'!E689</f>
        <v>מעלות בעמכ-פר ורדים ב.מ. שרמפא</v>
      </c>
      <c r="D699" s="22" t="n">
        <f aca="false">'לקוחות לפי סוכן - מקור'!F689</f>
        <v>0</v>
      </c>
      <c r="E699" s="22" t="n">
        <f aca="false">'לקוחות לפי סוכן - מקור'!G689</f>
        <v>2740.7</v>
      </c>
      <c r="F699" s="14" t="n">
        <f aca="false">'לקוחות לפי סוכן - מקור'!D689</f>
        <v>0</v>
      </c>
      <c r="G699" s="15" t="n">
        <f aca="false">'לקוחות לפי סוכן - מקור'!H689</f>
        <v>0</v>
      </c>
      <c r="H699" s="15" t="n">
        <f aca="false">'לקוחות לפי סוכן - מקור'!I689</f>
        <v>0</v>
      </c>
      <c r="I699" s="14" t="str">
        <f aca="false">'לקוחות לפי סוכן - מקור'!K689</f>
        <v>CHMI</v>
      </c>
    </row>
    <row r="700" customFormat="false" ht="15" hidden="false" customHeight="true" outlineLevel="1" collapsed="false">
      <c r="A700" s="14" t="str">
        <f aca="false">'לקוחות לפי סוכן - מקור'!A690</f>
        <v>חאזם תלחמי</v>
      </c>
      <c r="B700" s="14" t="str">
        <f aca="false">'לקוחות לפי סוכן - מקור'!C690</f>
        <v>שרם</v>
      </c>
      <c r="C700" s="47" t="str">
        <f aca="false">'לקוחות לפי סוכן - מקור'!E690</f>
        <v>נארימאן פארם בע""מ כפר ראמה שרמ</v>
      </c>
      <c r="D700" s="22" t="n">
        <f aca="false">'לקוחות לפי סוכן - מקור'!F690</f>
        <v>0</v>
      </c>
      <c r="E700" s="22" t="n">
        <f aca="false">'לקוחות לפי סוכן - מקור'!G690</f>
        <v>6683.7</v>
      </c>
      <c r="F700" s="14" t="n">
        <f aca="false">'לקוחות לפי סוכן - מקור'!D690</f>
        <v>0</v>
      </c>
      <c r="G700" s="15" t="n">
        <f aca="false">'לקוחות לפי סוכן - מקור'!H690</f>
        <v>0</v>
      </c>
      <c r="H700" s="15" t="n">
        <f aca="false">'לקוחות לפי סוכן - מקור'!I690</f>
        <v>0</v>
      </c>
      <c r="I700" s="14" t="str">
        <f aca="false">'לקוחות לפי סוכן - מקור'!K690</f>
        <v>CHMI</v>
      </c>
    </row>
    <row r="701" customFormat="false" ht="15" hidden="false" customHeight="true" outlineLevel="1" collapsed="false">
      <c r="A701" s="14" t="str">
        <f aca="false">'לקוחות לפי סוכן - מקור'!A691</f>
        <v>חאזם תלחמי</v>
      </c>
      <c r="B701" s="14" t="str">
        <f aca="false">'לקוחות לפי סוכן - מקור'!C691</f>
        <v>שרם</v>
      </c>
      <c r="C701" s="47" t="str">
        <f aca="false">'לקוחות לפי סוכן - מקור'!E691</f>
        <v>ספא פארם נצרת עילית ב.מ שרמפאר</v>
      </c>
      <c r="D701" s="22" t="n">
        <f aca="false">'לקוחות לפי סוכן - מקור'!F691</f>
        <v>0</v>
      </c>
      <c r="E701" s="22" t="n">
        <f aca="false">'לקוחות לפי סוכן - מקור'!G691</f>
        <v>1496.4</v>
      </c>
      <c r="F701" s="14" t="n">
        <f aca="false">'לקוחות לפי סוכן - מקור'!D691</f>
        <v>0</v>
      </c>
      <c r="G701" s="15" t="n">
        <f aca="false">'לקוחות לפי סוכן - מקור'!H691</f>
        <v>0</v>
      </c>
      <c r="H701" s="15" t="n">
        <f aca="false">'לקוחות לפי סוכן - מקור'!I691</f>
        <v>0</v>
      </c>
      <c r="I701" s="14" t="str">
        <f aca="false">'לקוחות לפי סוכן - מקור'!K691</f>
        <v>CHMI</v>
      </c>
    </row>
    <row r="702" customFormat="false" ht="15" hidden="false" customHeight="true" outlineLevel="1" collapsed="false">
      <c r="A702" s="14" t="str">
        <f aca="false">'לקוחות לפי סוכן - מקור'!A692</f>
        <v>חאזם תלחמי</v>
      </c>
      <c r="B702" s="14" t="str">
        <f aca="false">'לקוחות לפי סוכן - מקור'!C692</f>
        <v>שרם</v>
      </c>
      <c r="C702" s="47" t="str">
        <f aca="false">'לקוחות לפי סוכן - מקור'!E692</f>
        <v>טמרה פארם בע""מ  ב.מ שרמפארם</v>
      </c>
      <c r="D702" s="22" t="n">
        <f aca="false">'לקוחות לפי סוכן - מקור'!F692</f>
        <v>0</v>
      </c>
      <c r="E702" s="22" t="n">
        <f aca="false">'לקוחות לפי סוכן - מקור'!G692</f>
        <v>7846.8</v>
      </c>
      <c r="F702" s="14" t="n">
        <f aca="false">'לקוחות לפי סוכן - מקור'!D692</f>
        <v>0</v>
      </c>
      <c r="G702" s="15" t="n">
        <f aca="false">'לקוחות לפי סוכן - מקור'!H692</f>
        <v>0</v>
      </c>
      <c r="H702" s="15" t="n">
        <f aca="false">'לקוחות לפי סוכן - מקור'!I692</f>
        <v>0</v>
      </c>
      <c r="I702" s="14" t="str">
        <f aca="false">'לקוחות לפי סוכן - מקור'!K692</f>
        <v>CHMI</v>
      </c>
    </row>
    <row r="703" customFormat="false" ht="15" hidden="false" customHeight="true" outlineLevel="1" collapsed="false">
      <c r="A703" s="14" t="str">
        <f aca="false">'לקוחות לפי סוכן - מקור'!A693</f>
        <v>חאזם תלחמי</v>
      </c>
      <c r="B703" s="14" t="str">
        <f aca="false">'לקוחות לפי סוכן - מקור'!C693</f>
        <v>שרם</v>
      </c>
      <c r="C703" s="47" t="str">
        <f aca="false">'לקוחות לפי סוכן - מקור'!E693</f>
        <v>אורנים טבעון ב.מ שרמפארם</v>
      </c>
      <c r="D703" s="22" t="n">
        <f aca="false">'לקוחות לפי סוכן - מקור'!F693</f>
        <v>0</v>
      </c>
      <c r="E703" s="22" t="n">
        <f aca="false">'לקוחות לפי סוכן - מקור'!G693</f>
        <v>590</v>
      </c>
      <c r="F703" s="14" t="n">
        <f aca="false">'לקוחות לפי סוכן - מקור'!D693</f>
        <v>0</v>
      </c>
      <c r="G703" s="15" t="n">
        <f aca="false">'לקוחות לפי סוכן - מקור'!H693</f>
        <v>0</v>
      </c>
      <c r="H703" s="15" t="n">
        <f aca="false">'לקוחות לפי סוכן - מקור'!I693</f>
        <v>0</v>
      </c>
      <c r="I703" s="14" t="str">
        <f aca="false">'לקוחות לפי סוכן - מקור'!K693</f>
        <v>CHMI</v>
      </c>
    </row>
    <row r="704" customFormat="false" ht="15" hidden="false" customHeight="true" outlineLevel="1" collapsed="false">
      <c r="A704" s="14" t="str">
        <f aca="false">'לקוחות לפי סוכן - מקור'!A694</f>
        <v>חאזם תלחמי</v>
      </c>
      <c r="B704" s="14" t="str">
        <f aca="false">'לקוחות לפי סוכן - מקור'!C694</f>
        <v>שרם</v>
      </c>
      <c r="C704" s="47" t="str">
        <f aca="false">'לקוחות לפי סוכן - מקור'!E694</f>
        <v>לב כרמל בע""מ ב.מ  שרמפארם</v>
      </c>
      <c r="D704" s="22" t="n">
        <f aca="false">'לקוחות לפי סוכן - מקור'!F694</f>
        <v>0</v>
      </c>
      <c r="E704" s="22" t="n">
        <f aca="false">'לקוחות לפי סוכן - מקור'!G694</f>
        <v>3320.8</v>
      </c>
      <c r="F704" s="14" t="n">
        <f aca="false">'לקוחות לפי סוכן - מקור'!D694</f>
        <v>0</v>
      </c>
      <c r="G704" s="15" t="n">
        <f aca="false">'לקוחות לפי סוכן - מקור'!H694</f>
        <v>0</v>
      </c>
      <c r="H704" s="15" t="n">
        <f aca="false">'לקוחות לפי סוכן - מקור'!I694</f>
        <v>0</v>
      </c>
      <c r="I704" s="14" t="str">
        <f aca="false">'לקוחות לפי סוכן - מקור'!K694</f>
        <v>CHMI</v>
      </c>
    </row>
    <row r="705" customFormat="false" ht="15" hidden="false" customHeight="true" outlineLevel="1" collapsed="false">
      <c r="A705" s="14" t="str">
        <f aca="false">'לקוחות לפי סוכן - מקור'!A695</f>
        <v>חאזם תלחמי</v>
      </c>
      <c r="B705" s="14" t="str">
        <f aca="false">'לקוחות לפי סוכן - מקור'!C695</f>
        <v>שרם</v>
      </c>
      <c r="C705" s="47" t="str">
        <f aca="false">'לקוחות לפי סוכן - מקור'!E695</f>
        <v>העליה השניה בע""מ בימ""ק שרמפארם</v>
      </c>
      <c r="D705" s="22" t="n">
        <f aca="false">'לקוחות לפי סוכן - מקור'!F695</f>
        <v>0</v>
      </c>
      <c r="E705" s="22" t="n">
        <f aca="false">'לקוחות לפי סוכן - מקור'!G695</f>
        <v>4596</v>
      </c>
      <c r="F705" s="14" t="n">
        <f aca="false">'לקוחות לפי סוכן - מקור'!D695</f>
        <v>0</v>
      </c>
      <c r="G705" s="15" t="n">
        <f aca="false">'לקוחות לפי סוכן - מקור'!H695</f>
        <v>0</v>
      </c>
      <c r="H705" s="15" t="n">
        <f aca="false">'לקוחות לפי סוכן - מקור'!I695</f>
        <v>0</v>
      </c>
      <c r="I705" s="14" t="str">
        <f aca="false">'לקוחות לפי סוכן - מקור'!K695</f>
        <v>CHMI</v>
      </c>
    </row>
    <row r="706" customFormat="false" ht="15" hidden="false" customHeight="true" outlineLevel="1" collapsed="false">
      <c r="A706" s="14" t="str">
        <f aca="false">'לקוחות לפי סוכן - מקור'!A696</f>
        <v>חאזם תלחמי</v>
      </c>
      <c r="B706" s="14" t="str">
        <f aca="false">'לקוחות לפי סוכן - מקור'!C696</f>
        <v>שרם</v>
      </c>
      <c r="C706" s="47" t="str">
        <f aca="false">'לקוחות לפי סוכן - מקור'!E696</f>
        <v>צמח פארם ב.מ שרמפארם</v>
      </c>
      <c r="D706" s="22" t="n">
        <f aca="false">'לקוחות לפי סוכן - מקור'!F696</f>
        <v>0</v>
      </c>
      <c r="E706" s="22" t="n">
        <f aca="false">'לקוחות לפי סוכן - מקור'!G696</f>
        <v>3440.7</v>
      </c>
      <c r="F706" s="14" t="n">
        <f aca="false">'לקוחות לפי סוכן - מקור'!D696</f>
        <v>0</v>
      </c>
      <c r="G706" s="15" t="n">
        <f aca="false">'לקוחות לפי סוכן - מקור'!H696</f>
        <v>0</v>
      </c>
      <c r="H706" s="15" t="n">
        <f aca="false">'לקוחות לפי סוכן - מקור'!I696</f>
        <v>0</v>
      </c>
      <c r="I706" s="14" t="str">
        <f aca="false">'לקוחות לפי סוכן - מקור'!K696</f>
        <v>CHMI</v>
      </c>
    </row>
    <row r="707" customFormat="false" ht="15" hidden="false" customHeight="true" outlineLevel="1" collapsed="false">
      <c r="A707" s="14" t="str">
        <f aca="false">'לקוחות לפי סוכן - מקור'!A697</f>
        <v>חאזם תלחמי</v>
      </c>
      <c r="B707" s="14" t="str">
        <f aca="false">'לקוחות לפי סוכן - מקור'!C697</f>
        <v>שרם</v>
      </c>
      <c r="C707" s="47" t="str">
        <f aca="false">'לקוחות לפי סוכן - מקור'!E697</f>
        <v>שבתאי לוי ב.מ  חיפה שרמפארם</v>
      </c>
      <c r="D707" s="22" t="n">
        <f aca="false">'לקוחות לפי סוכן - מקור'!F697</f>
        <v>0</v>
      </c>
      <c r="E707" s="22" t="n">
        <f aca="false">'לקוחות לפי סוכן - מקור'!G697</f>
        <v>243.6</v>
      </c>
      <c r="F707" s="14" t="n">
        <f aca="false">'לקוחות לפי סוכן - מקור'!D697</f>
        <v>0</v>
      </c>
      <c r="G707" s="15" t="n">
        <f aca="false">'לקוחות לפי סוכן - מקור'!H697</f>
        <v>0</v>
      </c>
      <c r="H707" s="15" t="n">
        <f aca="false">'לקוחות לפי סוכן - מקור'!I697</f>
        <v>0</v>
      </c>
      <c r="I707" s="14" t="str">
        <f aca="false">'לקוחות לפי סוכן - מקור'!K697</f>
        <v>CHMI</v>
      </c>
    </row>
    <row r="708" customFormat="false" ht="15" hidden="false" customHeight="true" outlineLevel="1" collapsed="false">
      <c r="A708" s="14" t="str">
        <f aca="false">'לקוחות לפי סוכן - מקור'!A698</f>
        <v>חאזם תלחמי</v>
      </c>
      <c r="B708" s="14" t="str">
        <f aca="false">'לקוחות לפי סוכן - מקור'!C698</f>
        <v>שרם</v>
      </c>
      <c r="C708" s="47" t="str">
        <f aca="false">'לקוחות לפי סוכן - מקור'!E698</f>
        <v>גולן פארם קצרין ב.מ שרמפארם</v>
      </c>
      <c r="D708" s="22" t="n">
        <f aca="false">'לקוחות לפי סוכן - מקור'!F698</f>
        <v>0</v>
      </c>
      <c r="E708" s="22" t="n">
        <f aca="false">'לקוחות לפי סוכן - מקור'!G698</f>
        <v>969.2</v>
      </c>
      <c r="F708" s="14" t="n">
        <f aca="false">'לקוחות לפי סוכן - מקור'!D698</f>
        <v>0</v>
      </c>
      <c r="G708" s="15" t="n">
        <f aca="false">'לקוחות לפי סוכן - מקור'!H698</f>
        <v>0</v>
      </c>
      <c r="H708" s="15" t="n">
        <f aca="false">'לקוחות לפי סוכן - מקור'!I698</f>
        <v>0</v>
      </c>
      <c r="I708" s="14" t="str">
        <f aca="false">'לקוחות לפי סוכן - מקור'!K698</f>
        <v>CHMI</v>
      </c>
    </row>
    <row r="709" customFormat="false" ht="15" hidden="false" customHeight="true" outlineLevel="1" collapsed="false">
      <c r="A709" s="14" t="str">
        <f aca="false">'לקוחות לפי סוכן - מקור'!A699</f>
        <v>חאזם תלחמי</v>
      </c>
      <c r="B709" s="14" t="str">
        <f aca="false">'לקוחות לפי סוכן - מקור'!C699</f>
        <v>שרם</v>
      </c>
      <c r="C709" s="47" t="str">
        <f aca="false">'לקוחות לפי סוכן - מקור'!E699</f>
        <v>נוה גנים ק מוצקין 3178 ב.מ</v>
      </c>
      <c r="D709" s="22" t="n">
        <f aca="false">'לקוחות לפי סוכן - מקור'!F699</f>
        <v>0</v>
      </c>
      <c r="E709" s="22" t="n">
        <f aca="false">'לקוחות לפי סוכן - מקור'!G699</f>
        <v>818</v>
      </c>
      <c r="F709" s="14" t="n">
        <f aca="false">'לקוחות לפי סוכן - מקור'!D699</f>
        <v>0</v>
      </c>
      <c r="G709" s="15" t="n">
        <f aca="false">'לקוחות לפי סוכן - מקור'!H699</f>
        <v>0</v>
      </c>
      <c r="H709" s="15" t="n">
        <f aca="false">'לקוחות לפי סוכן - מקור'!I699</f>
        <v>0</v>
      </c>
      <c r="I709" s="14" t="str">
        <f aca="false">'לקוחות לפי סוכן - מקור'!K699</f>
        <v>CHMI</v>
      </c>
    </row>
    <row r="710" customFormat="false" ht="15" hidden="false" customHeight="true" outlineLevel="1" collapsed="false">
      <c r="A710" s="14" t="str">
        <f aca="false">'לקוחות לפי סוכן - מקור'!A700</f>
        <v>חאזם תלחמי</v>
      </c>
      <c r="B710" s="14" t="str">
        <f aca="false">'לקוחות לפי סוכן - מקור'!C700</f>
        <v>שרם</v>
      </c>
      <c r="C710" s="47" t="str">
        <f aca="false">'לקוחות לפי סוכן - מקור'!E700</f>
        <v>מזרח עכו ב.מ שרמפארם</v>
      </c>
      <c r="D710" s="22" t="n">
        <f aca="false">'לקוחות לפי סוכן - מקור'!F700</f>
        <v>0</v>
      </c>
      <c r="E710" s="22" t="n">
        <f aca="false">'לקוחות לפי סוכן - מקור'!G700</f>
        <v>9395.1</v>
      </c>
      <c r="F710" s="14" t="n">
        <f aca="false">'לקוחות לפי סוכן - מקור'!D700</f>
        <v>0</v>
      </c>
      <c r="G710" s="15" t="n">
        <f aca="false">'לקוחות לפי סוכן - מקור'!H700</f>
        <v>0</v>
      </c>
      <c r="H710" s="15" t="n">
        <f aca="false">'לקוחות לפי סוכן - מקור'!I700</f>
        <v>0</v>
      </c>
      <c r="I710" s="14" t="str">
        <f aca="false">'לקוחות לפי סוכן - מקור'!K700</f>
        <v>CHMI</v>
      </c>
    </row>
    <row r="711" customFormat="false" ht="15" hidden="false" customHeight="true" outlineLevel="1" collapsed="false">
      <c r="A711" s="14" t="str">
        <f aca="false">'לקוחות לפי סוכן - מקור'!A701</f>
        <v>חאזם תלחמי</v>
      </c>
      <c r="B711" s="14" t="str">
        <f aca="false">'לקוחות לפי סוכן - מקור'!C701</f>
        <v>שרם</v>
      </c>
      <c r="C711" s="47" t="str">
        <f aca="false">'לקוחות לפי סוכן - מקור'!E701</f>
        <v>מדיקה ק.ים-אלבוסתן פארם בע""מ ב</v>
      </c>
      <c r="D711" s="22" t="n">
        <f aca="false">'לקוחות לפי סוכן - מקור'!F701</f>
        <v>0</v>
      </c>
      <c r="E711" s="22" t="n">
        <f aca="false">'לקוחות לפי סוכן - מקור'!G701</f>
        <v>1079.9</v>
      </c>
      <c r="F711" s="14" t="n">
        <f aca="false">'לקוחות לפי סוכן - מקור'!D701</f>
        <v>0</v>
      </c>
      <c r="G711" s="15" t="n">
        <f aca="false">'לקוחות לפי סוכן - מקור'!H701</f>
        <v>0</v>
      </c>
      <c r="H711" s="15" t="n">
        <f aca="false">'לקוחות לפי סוכן - מקור'!I701</f>
        <v>0</v>
      </c>
      <c r="I711" s="14" t="str">
        <f aca="false">'לקוחות לפי סוכן - מקור'!K701</f>
        <v>CHMI</v>
      </c>
    </row>
    <row r="712" customFormat="false" ht="15" hidden="false" customHeight="true" outlineLevel="1" collapsed="false">
      <c r="A712" s="14" t="str">
        <f aca="false">'לקוחות לפי סוכן - מקור'!A702</f>
        <v>חאזם תלחמי</v>
      </c>
      <c r="B712" s="14" t="str">
        <f aca="false">'לקוחות לפי סוכן - מקור'!C702</f>
        <v>שרם</v>
      </c>
      <c r="C712" s="47" t="str">
        <f aca="false">'לקוחות לפי סוכן - מקור'!E702</f>
        <v>ב.מ שרה פארם צור יצחק שרמפארם</v>
      </c>
      <c r="D712" s="22" t="n">
        <f aca="false">'לקוחות לפי סוכן - מקור'!F702</f>
        <v>0</v>
      </c>
      <c r="E712" s="22" t="n">
        <f aca="false">'לקוחות לפי סוכן - מקור'!G702</f>
        <v>3419.7</v>
      </c>
      <c r="F712" s="14" t="n">
        <f aca="false">'לקוחות לפי סוכן - מקור'!D702</f>
        <v>0</v>
      </c>
      <c r="G712" s="15" t="n">
        <f aca="false">'לקוחות לפי סוכן - מקור'!H702</f>
        <v>0</v>
      </c>
      <c r="H712" s="15" t="n">
        <f aca="false">'לקוחות לפי סוכן - מקור'!I702</f>
        <v>0</v>
      </c>
      <c r="I712" s="14" t="str">
        <f aca="false">'לקוחות לפי סוכן - מקור'!K702</f>
        <v>CHMI</v>
      </c>
    </row>
    <row r="713" customFormat="false" ht="15" hidden="false" customHeight="true" outlineLevel="1" collapsed="false">
      <c r="A713" s="14" t="str">
        <f aca="false">'לקוחות לפי סוכן - מקור'!A703</f>
        <v>חאזם תלחמי</v>
      </c>
      <c r="B713" s="14" t="str">
        <f aca="false">'לקוחות לפי סוכן - מקור'!C703</f>
        <v>שרם</v>
      </c>
      <c r="C713" s="47" t="str">
        <f aca="false">'לקוחות לפי סוכן - מקור'!E703</f>
        <v>ריינה-אומגה פארם בע""מ שרמפארם</v>
      </c>
      <c r="D713" s="22" t="n">
        <f aca="false">'לקוחות לפי סוכן - מקור'!F703</f>
        <v>0</v>
      </c>
      <c r="E713" s="22" t="n">
        <f aca="false">'לקוחות לפי סוכן - מקור'!G703</f>
        <v>2051.3</v>
      </c>
      <c r="F713" s="14" t="n">
        <f aca="false">'לקוחות לפי סוכן - מקור'!D703</f>
        <v>0</v>
      </c>
      <c r="G713" s="15" t="n">
        <f aca="false">'לקוחות לפי סוכן - מקור'!H703</f>
        <v>0</v>
      </c>
      <c r="H713" s="15" t="n">
        <f aca="false">'לקוחות לפי סוכן - מקור'!I703</f>
        <v>0</v>
      </c>
      <c r="I713" s="14" t="str">
        <f aca="false">'לקוחות לפי סוכן - מקור'!K703</f>
        <v>CHMI</v>
      </c>
    </row>
    <row r="714" customFormat="false" ht="15" hidden="false" customHeight="true" outlineLevel="1" collapsed="false">
      <c r="A714" s="14" t="str">
        <f aca="false">'לקוחות לפי סוכן - מקור'!A704</f>
        <v>חאזם תלחמי</v>
      </c>
      <c r="B714" s="14" t="str">
        <f aca="false">'לקוחות לפי סוכן - מקור'!C704</f>
        <v>שרם</v>
      </c>
      <c r="C714" s="47" t="str">
        <f aca="false">'לקוחות לפי סוכן - מקור'!E704</f>
        <v>רמת רבין ב.מ כרמיאל שרמפארם</v>
      </c>
      <c r="D714" s="22" t="n">
        <f aca="false">'לקוחות לפי סוכן - מקור'!F704</f>
        <v>0</v>
      </c>
      <c r="E714" s="22" t="n">
        <f aca="false">'לקוחות לפי סוכן - מקור'!G704</f>
        <v>110.5</v>
      </c>
      <c r="F714" s="14" t="n">
        <f aca="false">'לקוחות לפי סוכן - מקור'!D704</f>
        <v>0</v>
      </c>
      <c r="G714" s="15" t="n">
        <f aca="false">'לקוחות לפי סוכן - מקור'!H704</f>
        <v>0</v>
      </c>
      <c r="H714" s="15" t="n">
        <f aca="false">'לקוחות לפי סוכן - מקור'!I704</f>
        <v>0</v>
      </c>
      <c r="I714" s="14" t="str">
        <f aca="false">'לקוחות לפי סוכן - מקור'!K704</f>
        <v>CHMI</v>
      </c>
    </row>
    <row r="715" customFormat="false" ht="15" hidden="false" customHeight="true" outlineLevel="1" collapsed="false">
      <c r="A715" s="14" t="str">
        <f aca="false">'לקוחות לפי סוכן - מקור'!A705</f>
        <v>חאזם תלחמי</v>
      </c>
      <c r="B715" s="14" t="str">
        <f aca="false">'לקוחות לפי סוכן - מקור'!C705</f>
        <v>שרם</v>
      </c>
      <c r="C715" s="47" t="str">
        <f aca="false">'לקוחות לפי סוכן - מקור'!E705</f>
        <v>אלאסראא שפרעם ב.מ שרמפארם</v>
      </c>
      <c r="D715" s="22" t="n">
        <f aca="false">'לקוחות לפי סוכן - מקור'!F705</f>
        <v>0</v>
      </c>
      <c r="E715" s="22" t="n">
        <f aca="false">'לקוחות לפי סוכן - מקור'!G705</f>
        <v>2808.1</v>
      </c>
      <c r="F715" s="14" t="n">
        <f aca="false">'לקוחות לפי סוכן - מקור'!D705</f>
        <v>0</v>
      </c>
      <c r="G715" s="15" t="n">
        <f aca="false">'לקוחות לפי סוכן - מקור'!H705</f>
        <v>0</v>
      </c>
      <c r="H715" s="15" t="n">
        <f aca="false">'לקוחות לפי סוכן - מקור'!I705</f>
        <v>0</v>
      </c>
      <c r="I715" s="14" t="str">
        <f aca="false">'לקוחות לפי סוכן - מקור'!K705</f>
        <v>CHMI</v>
      </c>
    </row>
    <row r="716" customFormat="false" ht="15" hidden="false" customHeight="true" outlineLevel="1" collapsed="false">
      <c r="A716" s="14" t="str">
        <f aca="false">'לקוחות לפי סוכן - מקור'!A706</f>
        <v>חאזם תלחמי</v>
      </c>
      <c r="B716" s="14" t="str">
        <f aca="false">'לקוחות לפי סוכן - מקור'!C706</f>
        <v>שרם</v>
      </c>
      <c r="C716" s="47" t="str">
        <f aca="false">'לקוחות לפי סוכן - מקור'!E706</f>
        <v>מרכז עכו ב.מ שרמפארם</v>
      </c>
      <c r="D716" s="22" t="n">
        <f aca="false">'לקוחות לפי סוכן - מקור'!F706</f>
        <v>0</v>
      </c>
      <c r="E716" s="22" t="n">
        <f aca="false">'לקוחות לפי סוכן - מקור'!G706</f>
        <v>43.4</v>
      </c>
      <c r="F716" s="14" t="n">
        <f aca="false">'לקוחות לפי סוכן - מקור'!D706</f>
        <v>0</v>
      </c>
      <c r="G716" s="15" t="n">
        <f aca="false">'לקוחות לפי סוכן - מקור'!H706</f>
        <v>0</v>
      </c>
      <c r="H716" s="15" t="n">
        <f aca="false">'לקוחות לפי סוכן - מקור'!I706</f>
        <v>0</v>
      </c>
      <c r="I716" s="14" t="str">
        <f aca="false">'לקוחות לפי סוכן - מקור'!K706</f>
        <v>CHMI</v>
      </c>
    </row>
    <row r="717" customFormat="false" ht="15" hidden="false" customHeight="true" outlineLevel="1" collapsed="false">
      <c r="A717" s="14" t="str">
        <f aca="false">'לקוחות לפי סוכן - מקור'!A707</f>
        <v>חאזם תלחמי</v>
      </c>
      <c r="B717" s="14" t="str">
        <f aca="false">'לקוחות לפי סוכן - מקור'!C707</f>
        <v>שרם</v>
      </c>
      <c r="C717" s="47" t="str">
        <f aca="false">'לקוחות לפי סוכן - מקור'!E707</f>
        <v>ספא פארם ב.מ סכנין חדש שרמפארם</v>
      </c>
      <c r="D717" s="22" t="n">
        <f aca="false">'לקוחות לפי סוכן - מקור'!F707</f>
        <v>0</v>
      </c>
      <c r="E717" s="22" t="n">
        <f aca="false">'לקוחות לפי סוכן - מקור'!G707</f>
        <v>2623.8</v>
      </c>
      <c r="F717" s="14" t="n">
        <f aca="false">'לקוחות לפי סוכן - מקור'!D707</f>
        <v>0</v>
      </c>
      <c r="G717" s="15" t="n">
        <f aca="false">'לקוחות לפי סוכן - מקור'!H707</f>
        <v>0</v>
      </c>
      <c r="H717" s="15" t="n">
        <f aca="false">'לקוחות לפי סוכן - מקור'!I707</f>
        <v>0</v>
      </c>
      <c r="I717" s="14" t="str">
        <f aca="false">'לקוחות לפי סוכן - מקור'!K707</f>
        <v>CHMI</v>
      </c>
    </row>
    <row r="718" customFormat="false" ht="15" hidden="false" customHeight="true" outlineLevel="1" collapsed="false">
      <c r="A718" s="14" t="str">
        <f aca="false">'לקוחות לפי סוכן - מקור'!A708</f>
        <v>חאזם תלחמי</v>
      </c>
      <c r="B718" s="14" t="str">
        <f aca="false">'לקוחות לפי סוכן - מקור'!C708</f>
        <v>שרם</v>
      </c>
      <c r="C718" s="47" t="str">
        <f aca="false">'לקוחות לפי סוכן - מקור'!E708</f>
        <v>פארמה פלוס שפרעם ב.מ שרמפארם</v>
      </c>
      <c r="D718" s="22" t="n">
        <f aca="false">'לקוחות לפי סוכן - מקור'!F708</f>
        <v>0</v>
      </c>
      <c r="E718" s="22" t="n">
        <f aca="false">'לקוחות לפי סוכן - מקור'!G708</f>
        <v>8166.8</v>
      </c>
      <c r="F718" s="14" t="n">
        <f aca="false">'לקוחות לפי סוכן - מקור'!D708</f>
        <v>0</v>
      </c>
      <c r="G718" s="15" t="n">
        <f aca="false">'לקוחות לפי סוכן - מקור'!H708</f>
        <v>0</v>
      </c>
      <c r="H718" s="15" t="n">
        <f aca="false">'לקוחות לפי סוכן - מקור'!I708</f>
        <v>0</v>
      </c>
      <c r="I718" s="14" t="str">
        <f aca="false">'לקוחות לפי סוכן - מקור'!K708</f>
        <v>CHMI</v>
      </c>
    </row>
    <row r="719" customFormat="false" ht="15" hidden="false" customHeight="true" outlineLevel="1" collapsed="false">
      <c r="A719" s="14" t="str">
        <f aca="false">'לקוחות לפי סוכן - מקור'!A709</f>
        <v>חאזם תלחמי</v>
      </c>
      <c r="B719" s="14" t="str">
        <f aca="false">'לקוחות לפי סוכן - מקור'!C709</f>
        <v>שרם</v>
      </c>
      <c r="C719" s="47" t="str">
        <f aca="false">'לקוחות לפי סוכן - מקור'!E709</f>
        <v>אקספו פארם מכר ב.מ שרמפארם</v>
      </c>
      <c r="D719" s="22" t="n">
        <f aca="false">'לקוחות לפי סוכן - מקור'!F709</f>
        <v>0</v>
      </c>
      <c r="E719" s="22" t="n">
        <f aca="false">'לקוחות לפי סוכן - מקור'!G709</f>
        <v>4330.6</v>
      </c>
      <c r="F719" s="14" t="n">
        <f aca="false">'לקוחות לפי סוכן - מקור'!D709</f>
        <v>0</v>
      </c>
      <c r="G719" s="15" t="n">
        <f aca="false">'לקוחות לפי סוכן - מקור'!H709</f>
        <v>0</v>
      </c>
      <c r="H719" s="15" t="n">
        <f aca="false">'לקוחות לפי סוכן - מקור'!I709</f>
        <v>0</v>
      </c>
      <c r="I719" s="14" t="str">
        <f aca="false">'לקוחות לפי סוכן - מקור'!K709</f>
        <v>CHMI</v>
      </c>
    </row>
    <row r="720" customFormat="false" ht="15" hidden="false" customHeight="true" outlineLevel="1" collapsed="false">
      <c r="A720" s="14" t="str">
        <f aca="false">'לקוחות לפי סוכן - מקור'!A710</f>
        <v>חאזם תלחמי</v>
      </c>
      <c r="B720" s="14" t="str">
        <f aca="false">'לקוחות לפי סוכן - מקור'!C710</f>
        <v>שרם</v>
      </c>
      <c r="C720" s="47" t="str">
        <f aca="false">'לקוחות לפי סוכן - מקור'!E710</f>
        <v>אקופארם ב.מ מעלות שרמפארם</v>
      </c>
      <c r="D720" s="22" t="n">
        <f aca="false">'לקוחות לפי סוכן - מקור'!F710</f>
        <v>0</v>
      </c>
      <c r="E720" s="22" t="n">
        <f aca="false">'לקוחות לפי סוכן - מקור'!G710</f>
        <v>4316.5</v>
      </c>
      <c r="F720" s="14" t="n">
        <f aca="false">'לקוחות לפי סוכן - מקור'!D710</f>
        <v>0</v>
      </c>
      <c r="G720" s="15" t="n">
        <f aca="false">'לקוחות לפי סוכן - מקור'!H710</f>
        <v>0</v>
      </c>
      <c r="H720" s="15" t="n">
        <f aca="false">'לקוחות לפי סוכן - מקור'!I710</f>
        <v>0</v>
      </c>
      <c r="I720" s="14" t="str">
        <f aca="false">'לקוחות לפי סוכן - מקור'!K710</f>
        <v>CHMI</v>
      </c>
    </row>
    <row r="721" customFormat="false" ht="15" hidden="false" customHeight="true" outlineLevel="1" collapsed="false">
      <c r="A721" s="14" t="str">
        <f aca="false">'לקוחות לפי סוכן - מקור'!A711</f>
        <v>חאזם תלחמי</v>
      </c>
      <c r="B721" s="14" t="str">
        <f aca="false">'לקוחות לפי סוכן - מקור'!C711</f>
        <v>שרם</v>
      </c>
      <c r="C721" s="47" t="str">
        <f aca="false">'לקוחות לפי סוכן - מקור'!E711</f>
        <v>אלשיפאא ב.מ כפר עראבה שרמפארם</v>
      </c>
      <c r="D721" s="22" t="n">
        <f aca="false">'לקוחות לפי סוכן - מקור'!F711</f>
        <v>0</v>
      </c>
      <c r="E721" s="22" t="n">
        <f aca="false">'לקוחות לפי סוכן - מקור'!G711</f>
        <v>164</v>
      </c>
      <c r="F721" s="14" t="n">
        <f aca="false">'לקוחות לפי סוכן - מקור'!D711</f>
        <v>0</v>
      </c>
      <c r="G721" s="15" t="n">
        <f aca="false">'לקוחות לפי סוכן - מקור'!H711</f>
        <v>0</v>
      </c>
      <c r="H721" s="15" t="n">
        <f aca="false">'לקוחות לפי סוכן - מקור'!I711</f>
        <v>0</v>
      </c>
      <c r="I721" s="14" t="str">
        <f aca="false">'לקוחות לפי סוכן - מקור'!K711</f>
        <v>CHMI</v>
      </c>
    </row>
    <row r="722" customFormat="false" ht="15" hidden="false" customHeight="true" outlineLevel="1" collapsed="false">
      <c r="A722" s="14" t="str">
        <f aca="false">'לקוחות לפי סוכן - מקור'!A712</f>
        <v>חאזם תלחמי</v>
      </c>
      <c r="B722" s="14" t="str">
        <f aca="false">'לקוחות לפי סוכן - מקור'!C712</f>
        <v>שרם</v>
      </c>
      <c r="C722" s="47" t="str">
        <f aca="false">'לקוחות לפי סוכן - מקור'!E712</f>
        <v>אסף עפולה ב.מ שרמפארם</v>
      </c>
      <c r="D722" s="22" t="n">
        <f aca="false">'לקוחות לפי סוכן - מקור'!F712</f>
        <v>0</v>
      </c>
      <c r="E722" s="22" t="n">
        <f aca="false">'לקוחות לפי סוכן - מקור'!G712</f>
        <v>747.2</v>
      </c>
      <c r="F722" s="14" t="n">
        <f aca="false">'לקוחות לפי סוכן - מקור'!D712</f>
        <v>0</v>
      </c>
      <c r="G722" s="15" t="n">
        <f aca="false">'לקוחות לפי סוכן - מקור'!H712</f>
        <v>0</v>
      </c>
      <c r="H722" s="15" t="n">
        <f aca="false">'לקוחות לפי סוכן - מקור'!I712</f>
        <v>0</v>
      </c>
      <c r="I722" s="14" t="str">
        <f aca="false">'לקוחות לפי סוכן - מקור'!K712</f>
        <v>CHMI</v>
      </c>
    </row>
    <row r="723" customFormat="false" ht="15" hidden="false" customHeight="true" outlineLevel="1" collapsed="false">
      <c r="A723" s="14" t="str">
        <f aca="false">'לקוחות לפי סוכן - מקור'!A713</f>
        <v>חאזם תלחמי</v>
      </c>
      <c r="B723" s="14" t="str">
        <f aca="false">'לקוחות לפי סוכן - מקור'!C713</f>
        <v>שרם</v>
      </c>
      <c r="C723" s="47" t="str">
        <f aca="false">'לקוחות לפי סוכן - מקור'!E713</f>
        <v>השלום כפר מוקבלה ב.מ</v>
      </c>
      <c r="D723" s="22" t="n">
        <f aca="false">'לקוחות לפי סוכן - מקור'!F713</f>
        <v>0</v>
      </c>
      <c r="E723" s="22" t="n">
        <f aca="false">'לקוחות לפי סוכן - מקור'!G713</f>
        <v>280.9</v>
      </c>
      <c r="F723" s="14" t="n">
        <f aca="false">'לקוחות לפי סוכן - מקור'!D713</f>
        <v>0</v>
      </c>
      <c r="G723" s="15" t="n">
        <f aca="false">'לקוחות לפי סוכן - מקור'!H713</f>
        <v>0</v>
      </c>
      <c r="H723" s="15" t="n">
        <f aca="false">'לקוחות לפי סוכן - מקור'!I713</f>
        <v>0</v>
      </c>
      <c r="I723" s="14" t="str">
        <f aca="false">'לקוחות לפי סוכן - מקור'!K713</f>
        <v>CHMI</v>
      </c>
    </row>
    <row r="724" customFormat="false" ht="15" hidden="false" customHeight="true" outlineLevel="1" collapsed="false">
      <c r="A724" s="14" t="str">
        <f aca="false">'לקוחות לפי סוכן - מקור'!A714</f>
        <v>חאזם תלחמי</v>
      </c>
      <c r="B724" s="14" t="str">
        <f aca="false">'לקוחות לפי סוכן - מקור'!C714</f>
        <v>שרם</v>
      </c>
      <c r="C724" s="47" t="str">
        <f aca="false">'לקוחות לפי סוכן - מקור'!E714</f>
        <v>ב.מ CPHARM טשרניחובסקי</v>
      </c>
      <c r="D724" s="22" t="n">
        <f aca="false">'לקוחות לפי סוכן - מקור'!F714</f>
        <v>0</v>
      </c>
      <c r="E724" s="22" t="n">
        <f aca="false">'לקוחות לפי סוכן - מקור'!G714</f>
        <v>47.3</v>
      </c>
      <c r="F724" s="14" t="n">
        <f aca="false">'לקוחות לפי סוכן - מקור'!D714</f>
        <v>0</v>
      </c>
      <c r="G724" s="15" t="n">
        <f aca="false">'לקוחות לפי סוכן - מקור'!H714</f>
        <v>0</v>
      </c>
      <c r="H724" s="15" t="n">
        <f aca="false">'לקוחות לפי סוכן - מקור'!I714</f>
        <v>0</v>
      </c>
      <c r="I724" s="14" t="str">
        <f aca="false">'לקוחות לפי סוכן - מקור'!K714</f>
        <v>CHMI</v>
      </c>
    </row>
    <row r="725" customFormat="false" ht="15" hidden="false" customHeight="true" outlineLevel="1" collapsed="false">
      <c r="A725" s="14" t="str">
        <f aca="false">'לקוחות לפי סוכן - מקור'!A715</f>
        <v>חאזם תלחמי</v>
      </c>
      <c r="B725" s="14" t="str">
        <f aca="false">'לקוחות לפי סוכן - מקור'!C715</f>
        <v>שרם</v>
      </c>
      <c r="C725" s="47" t="str">
        <f aca="false">'לקוחות לפי סוכן - מקור'!E715</f>
        <v>פארם פור יו ב.מ שרמפארם</v>
      </c>
      <c r="D725" s="22" t="n">
        <f aca="false">'לקוחות לפי סוכן - מקור'!F715</f>
        <v>0</v>
      </c>
      <c r="E725" s="22" t="n">
        <f aca="false">'לקוחות לפי סוכן - מקור'!G715</f>
        <v>5806.5</v>
      </c>
      <c r="F725" s="14" t="n">
        <f aca="false">'לקוחות לפי סוכן - מקור'!D715</f>
        <v>0</v>
      </c>
      <c r="G725" s="15" t="n">
        <f aca="false">'לקוחות לפי סוכן - מקור'!H715</f>
        <v>0</v>
      </c>
      <c r="H725" s="15" t="n">
        <f aca="false">'לקוחות לפי סוכן - מקור'!I715</f>
        <v>0</v>
      </c>
      <c r="I725" s="14" t="str">
        <f aca="false">'לקוחות לפי סוכן - מקור'!K715</f>
        <v>CHMI</v>
      </c>
    </row>
    <row r="726" customFormat="false" ht="15" hidden="false" customHeight="true" outlineLevel="1" collapsed="false">
      <c r="A726" s="14" t="str">
        <f aca="false">'לקוחות לפי סוכן - מקור'!A716</f>
        <v>חאזם תלחמי</v>
      </c>
      <c r="B726" s="14" t="str">
        <f aca="false">'לקוחות לפי סוכן - מקור'!C716</f>
        <v>שרם</v>
      </c>
      <c r="C726" s="47" t="str">
        <f aca="false">'לקוחות לפי סוכן - מקור'!E716</f>
        <v>אלשפא בע""מ א.א.פחם ב.מ  שרמפאר</v>
      </c>
      <c r="D726" s="22" t="n">
        <f aca="false">'לקוחות לפי סוכן - מקור'!F716</f>
        <v>0</v>
      </c>
      <c r="E726" s="22" t="n">
        <f aca="false">'לקוחות לפי סוכן - מקור'!G716</f>
        <v>701.9</v>
      </c>
      <c r="F726" s="14" t="n">
        <f aca="false">'לקוחות לפי סוכן - מקור'!D716</f>
        <v>0</v>
      </c>
      <c r="G726" s="15" t="n">
        <f aca="false">'לקוחות לפי סוכן - מקור'!H716</f>
        <v>0</v>
      </c>
      <c r="H726" s="15" t="n">
        <f aca="false">'לקוחות לפי סוכן - מקור'!I716</f>
        <v>0</v>
      </c>
      <c r="I726" s="14" t="str">
        <f aca="false">'לקוחות לפי סוכן - מקור'!K716</f>
        <v>CHMI</v>
      </c>
    </row>
    <row r="727" customFormat="false" ht="15" hidden="false" customHeight="true" outlineLevel="1" collapsed="false">
      <c r="A727" s="14" t="str">
        <f aca="false">'לקוחות לפי סוכן - מקור'!A717</f>
        <v>חאזם תלחמי</v>
      </c>
      <c r="B727" s="14" t="str">
        <f aca="false">'לקוחות לפי סוכן - מקור'!C717</f>
        <v>שרם</v>
      </c>
      <c r="C727" s="47" t="str">
        <f aca="false">'לקוחות לפי סוכן - מקור'!E717</f>
        <v>אלעין פקיעין ב.מ</v>
      </c>
      <c r="D727" s="22" t="n">
        <f aca="false">'לקוחות לפי סוכן - מקור'!F717</f>
        <v>0</v>
      </c>
      <c r="E727" s="22" t="n">
        <f aca="false">'לקוחות לפי סוכן - מקור'!G717</f>
        <v>1697</v>
      </c>
      <c r="F727" s="14" t="n">
        <f aca="false">'לקוחות לפי סוכן - מקור'!D717</f>
        <v>0</v>
      </c>
      <c r="G727" s="15" t="n">
        <f aca="false">'לקוחות לפי סוכן - מקור'!H717</f>
        <v>0</v>
      </c>
      <c r="H727" s="15" t="n">
        <f aca="false">'לקוחות לפי סוכן - מקור'!I717</f>
        <v>0</v>
      </c>
      <c r="I727" s="14" t="str">
        <f aca="false">'לקוחות לפי סוכן - מקור'!K717</f>
        <v>CHMI</v>
      </c>
    </row>
    <row r="728" customFormat="false" ht="15" hidden="false" customHeight="true" outlineLevel="1" collapsed="false">
      <c r="A728" s="14" t="str">
        <f aca="false">'לקוחות לפי סוכן - מקור'!A718</f>
        <v>חאזם תלחמי</v>
      </c>
      <c r="B728" s="14" t="str">
        <f aca="false">'לקוחות לפי סוכן - מקור'!C718</f>
        <v>שרם</v>
      </c>
      <c r="C728" s="47" t="str">
        <f aca="false">'לקוחות לפי סוכן - מקור'!E718</f>
        <v>מירוני חיפה ב.מ שרמפארם</v>
      </c>
      <c r="D728" s="22" t="n">
        <f aca="false">'לקוחות לפי סוכן - מקור'!F718</f>
        <v>0</v>
      </c>
      <c r="E728" s="22" t="n">
        <f aca="false">'לקוחות לפי סוכן - מקור'!G718</f>
        <v>126.3</v>
      </c>
      <c r="F728" s="14" t="n">
        <f aca="false">'לקוחות לפי סוכן - מקור'!D718</f>
        <v>0</v>
      </c>
      <c r="G728" s="15" t="n">
        <f aca="false">'לקוחות לפי סוכן - מקור'!H718</f>
        <v>0</v>
      </c>
      <c r="H728" s="15" t="n">
        <f aca="false">'לקוחות לפי סוכן - מקור'!I718</f>
        <v>0</v>
      </c>
      <c r="I728" s="14" t="str">
        <f aca="false">'לקוחות לפי סוכן - מקור'!K718</f>
        <v>CHMI</v>
      </c>
    </row>
    <row r="729" customFormat="false" ht="15" hidden="false" customHeight="true" outlineLevel="1" collapsed="false">
      <c r="A729" s="14" t="str">
        <f aca="false">'לקוחות לפי סוכן - מקור'!A719</f>
        <v>חאזם תלחמי</v>
      </c>
      <c r="B729" s="14" t="str">
        <f aca="false">'לקוחות לפי סוכן - מקור'!C719</f>
        <v>שרם</v>
      </c>
      <c r="C729" s="47" t="str">
        <f aca="false">'לקוחות לפי סוכן - מקור'!E719</f>
        <v>השושנים ב.מ שרמפארם</v>
      </c>
      <c r="D729" s="22" t="n">
        <f aca="false">'לקוחות לפי סוכן - מקור'!F719</f>
        <v>0</v>
      </c>
      <c r="E729" s="22" t="n">
        <f aca="false">'לקוחות לפי סוכן - מקור'!G719</f>
        <v>96.3</v>
      </c>
      <c r="F729" s="14" t="n">
        <f aca="false">'לקוחות לפי סוכן - מקור'!D719</f>
        <v>0</v>
      </c>
      <c r="G729" s="15" t="n">
        <f aca="false">'לקוחות לפי סוכן - מקור'!H719</f>
        <v>0</v>
      </c>
      <c r="H729" s="15" t="n">
        <f aca="false">'לקוחות לפי סוכן - מקור'!I719</f>
        <v>0</v>
      </c>
      <c r="I729" s="14" t="str">
        <f aca="false">'לקוחות לפי סוכן - מקור'!K719</f>
        <v>CHMI</v>
      </c>
    </row>
    <row r="730" customFormat="false" ht="15" hidden="false" customHeight="true" outlineLevel="1" collapsed="false">
      <c r="A730" s="14" t="str">
        <f aca="false">'לקוחות לפי סוכן - מקור'!A720</f>
        <v>חאזם תלחמי</v>
      </c>
      <c r="B730" s="14" t="str">
        <f aca="false">'לקוחות לפי סוכן - מקור'!C720</f>
        <v>ס. פארם</v>
      </c>
      <c r="C730" s="47" t="str">
        <f aca="false">'לקוחות לפי סוכן - מקור'!E720</f>
        <v>ס.פ. חוצות המפרץ תרופות</v>
      </c>
      <c r="D730" s="22" t="n">
        <f aca="false">'לקוחות לפי סוכן - מקור'!F720</f>
        <v>0</v>
      </c>
      <c r="E730" s="22" t="n">
        <f aca="false">'לקוחות לפי סוכן - מקור'!G720</f>
        <v>9018.5</v>
      </c>
      <c r="F730" s="14" t="n">
        <f aca="false">'לקוחות לפי סוכן - מקור'!D720</f>
        <v>0</v>
      </c>
      <c r="G730" s="15" t="n">
        <f aca="false">'לקוחות לפי סוכן - מקור'!H720</f>
        <v>0</v>
      </c>
      <c r="H730" s="15" t="n">
        <f aca="false">'לקוחות לפי סוכן - מקור'!I720</f>
        <v>0</v>
      </c>
      <c r="I730" s="14" t="str">
        <f aca="false">'לקוחות לפי סוכן - מקור'!K720</f>
        <v>CHMI</v>
      </c>
    </row>
    <row r="731" customFormat="false" ht="15" hidden="false" customHeight="true" outlineLevel="1" collapsed="false">
      <c r="A731" s="14" t="str">
        <f aca="false">'לקוחות לפי סוכן - מקור'!A721</f>
        <v>חאזם תלחמי</v>
      </c>
      <c r="B731" s="14" t="str">
        <f aca="false">'לקוחות לפי סוכן - מקור'!C721</f>
        <v>ס. פארם</v>
      </c>
      <c r="C731" s="47" t="str">
        <f aca="false">'לקוחות לפי סוכן - מקור'!E721</f>
        <v>ס.פ. לב חדרה תרופות</v>
      </c>
      <c r="D731" s="22" t="n">
        <f aca="false">'לקוחות לפי סוכן - מקור'!F721</f>
        <v>0</v>
      </c>
      <c r="E731" s="22" t="n">
        <f aca="false">'לקוחות לפי סוכן - מקור'!G721</f>
        <v>13367.9</v>
      </c>
      <c r="F731" s="14" t="n">
        <f aca="false">'לקוחות לפי סוכן - מקור'!D721</f>
        <v>0</v>
      </c>
      <c r="G731" s="15" t="n">
        <f aca="false">'לקוחות לפי סוכן - מקור'!H721</f>
        <v>0</v>
      </c>
      <c r="H731" s="15" t="n">
        <f aca="false">'לקוחות לפי סוכן - מקור'!I721</f>
        <v>0</v>
      </c>
      <c r="I731" s="14" t="str">
        <f aca="false">'לקוחות לפי סוכן - מקור'!K721</f>
        <v>CHMI</v>
      </c>
    </row>
    <row r="732" customFormat="false" ht="15" hidden="false" customHeight="true" outlineLevel="1" collapsed="false">
      <c r="A732" s="14" t="str">
        <f aca="false">'לקוחות לפי סוכן - מקור'!A722</f>
        <v>חאזם תלחמי</v>
      </c>
      <c r="B732" s="14" t="str">
        <f aca="false">'לקוחות לפי סוכן - מקור'!C722</f>
        <v>ס. פארם</v>
      </c>
      <c r="C732" s="47" t="str">
        <f aca="false">'לקוחות לפי סוכן - מקור'!E722</f>
        <v>ס.פ. קניון נחמיה קרית שמונה</v>
      </c>
      <c r="D732" s="22" t="n">
        <f aca="false">'לקוחות לפי סוכן - מקור'!F722</f>
        <v>0</v>
      </c>
      <c r="E732" s="22" t="n">
        <f aca="false">'לקוחות לפי סוכן - מקור'!G722</f>
        <v>11212.1</v>
      </c>
      <c r="F732" s="14" t="n">
        <f aca="false">'לקוחות לפי סוכן - מקור'!D722</f>
        <v>0</v>
      </c>
      <c r="G732" s="15" t="n">
        <f aca="false">'לקוחות לפי סוכן - מקור'!H722</f>
        <v>0</v>
      </c>
      <c r="H732" s="15" t="n">
        <f aca="false">'לקוחות לפי סוכן - מקור'!I722</f>
        <v>0</v>
      </c>
      <c r="I732" s="14" t="str">
        <f aca="false">'לקוחות לפי סוכן - מקור'!K722</f>
        <v>CHMI</v>
      </c>
    </row>
    <row r="733" customFormat="false" ht="15" hidden="false" customHeight="true" outlineLevel="1" collapsed="false">
      <c r="A733" s="14" t="str">
        <f aca="false">'לקוחות לפי סוכן - מקור'!A723</f>
        <v>חאזם תלחמי</v>
      </c>
      <c r="B733" s="14" t="str">
        <f aca="false">'לקוחות לפי סוכן - מקור'!C723</f>
        <v>ס. פארם</v>
      </c>
      <c r="C733" s="47" t="str">
        <f aca="false">'לקוחות לפי סוכן - מקור'!E723</f>
        <v>ס.פ. ביג עפולה תרופות</v>
      </c>
      <c r="D733" s="22" t="n">
        <f aca="false">'לקוחות לפי סוכן - מקור'!F723</f>
        <v>0</v>
      </c>
      <c r="E733" s="22" t="n">
        <f aca="false">'לקוחות לפי סוכן - מקור'!G723</f>
        <v>7619.1</v>
      </c>
      <c r="F733" s="14" t="n">
        <f aca="false">'לקוחות לפי סוכן - מקור'!D723</f>
        <v>0</v>
      </c>
      <c r="G733" s="15" t="n">
        <f aca="false">'לקוחות לפי סוכן - מקור'!H723</f>
        <v>0</v>
      </c>
      <c r="H733" s="15" t="n">
        <f aca="false">'לקוחות לפי סוכן - מקור'!I723</f>
        <v>0</v>
      </c>
      <c r="I733" s="14" t="str">
        <f aca="false">'לקוחות לפי סוכן - מקור'!K723</f>
        <v>CHMI</v>
      </c>
    </row>
    <row r="734" customFormat="false" ht="15" hidden="false" customHeight="true" outlineLevel="1" collapsed="false">
      <c r="A734" s="14" t="str">
        <f aca="false">'לקוחות לפי סוכן - מקור'!A724</f>
        <v>חאזם תלחמי</v>
      </c>
      <c r="B734" s="14" t="str">
        <f aca="false">'לקוחות לפי סוכן - מקור'!C724</f>
        <v>ס. פארם</v>
      </c>
      <c r="C734" s="47" t="str">
        <f aca="false">'לקוחות לפי סוכן - מקור'!E724</f>
        <v>ס.פ. קרית מוצקין תרופות</v>
      </c>
      <c r="D734" s="22" t="n">
        <f aca="false">'לקוחות לפי סוכן - מקור'!F724</f>
        <v>0</v>
      </c>
      <c r="E734" s="22" t="n">
        <f aca="false">'לקוחות לפי סוכן - מקור'!G724</f>
        <v>3216.4</v>
      </c>
      <c r="F734" s="14" t="n">
        <f aca="false">'לקוחות לפי סוכן - מקור'!D724</f>
        <v>0</v>
      </c>
      <c r="G734" s="15" t="n">
        <f aca="false">'לקוחות לפי סוכן - מקור'!H724</f>
        <v>0</v>
      </c>
      <c r="H734" s="15" t="n">
        <f aca="false">'לקוחות לפי סוכן - מקור'!I724</f>
        <v>0</v>
      </c>
      <c r="I734" s="14" t="str">
        <f aca="false">'לקוחות לפי סוכן - מקור'!K724</f>
        <v>CHMI</v>
      </c>
    </row>
    <row r="735" customFormat="false" ht="15" hidden="false" customHeight="true" outlineLevel="1" collapsed="false">
      <c r="A735" s="14" t="str">
        <f aca="false">'לקוחות לפי סוכן - מקור'!A725</f>
        <v>חאזם תלחמי</v>
      </c>
      <c r="B735" s="14" t="str">
        <f aca="false">'לקוחות לפי סוכן - מקור'!C725</f>
        <v>ס. פארם</v>
      </c>
      <c r="C735" s="47" t="str">
        <f aca="false">'לקוחות לפי סוכן - מקור'!E725</f>
        <v>ס.פ. חורב תרופות</v>
      </c>
      <c r="D735" s="22" t="n">
        <f aca="false">'לקוחות לפי סוכן - מקור'!F725</f>
        <v>0</v>
      </c>
      <c r="E735" s="22" t="n">
        <f aca="false">'לקוחות לפי סוכן - מקור'!G725</f>
        <v>50156</v>
      </c>
      <c r="F735" s="14" t="n">
        <f aca="false">'לקוחות לפי סוכן - מקור'!D725</f>
        <v>0</v>
      </c>
      <c r="G735" s="15" t="n">
        <f aca="false">'לקוחות לפי סוכן - מקור'!H725</f>
        <v>0</v>
      </c>
      <c r="H735" s="15" t="n">
        <f aca="false">'לקוחות לפי סוכן - מקור'!I725</f>
        <v>0</v>
      </c>
      <c r="I735" s="14" t="str">
        <f aca="false">'לקוחות לפי סוכן - מקור'!K725</f>
        <v>CHMI</v>
      </c>
    </row>
    <row r="736" customFormat="false" ht="15" hidden="false" customHeight="true" outlineLevel="1" collapsed="false">
      <c r="A736" s="14" t="str">
        <f aca="false">'לקוחות לפי סוכן - מקור'!A726</f>
        <v>חאזם תלחמי</v>
      </c>
      <c r="B736" s="14" t="str">
        <f aca="false">'לקוחות לפי סוכן - מקור'!C726</f>
        <v>ס. פארם</v>
      </c>
      <c r="C736" s="47" t="str">
        <f aca="false">'לקוחות לפי סוכן - מקור'!E726</f>
        <v>ס.פ. פרדס חנה תרופות</v>
      </c>
      <c r="D736" s="22" t="n">
        <f aca="false">'לקוחות לפי סוכן - מקור'!F726</f>
        <v>0</v>
      </c>
      <c r="E736" s="22" t="n">
        <f aca="false">'לקוחות לפי סוכן - מקור'!G726</f>
        <v>13049.1</v>
      </c>
      <c r="F736" s="14" t="n">
        <f aca="false">'לקוחות לפי סוכן - מקור'!D726</f>
        <v>0</v>
      </c>
      <c r="G736" s="15" t="n">
        <f aca="false">'לקוחות לפי סוכן - מקור'!H726</f>
        <v>0</v>
      </c>
      <c r="H736" s="15" t="n">
        <f aca="false">'לקוחות לפי סוכן - מקור'!I726</f>
        <v>0</v>
      </c>
      <c r="I736" s="14" t="str">
        <f aca="false">'לקוחות לפי סוכן - מקור'!K726</f>
        <v>CHMI</v>
      </c>
    </row>
    <row r="737" customFormat="false" ht="15" hidden="false" customHeight="true" outlineLevel="1" collapsed="false">
      <c r="A737" s="14" t="str">
        <f aca="false">'לקוחות לפי סוכן - מקור'!A727</f>
        <v>חאזם תלחמי</v>
      </c>
      <c r="B737" s="14" t="str">
        <f aca="false">'לקוחות לפי סוכן - מקור'!C727</f>
        <v>ס. פארם</v>
      </c>
      <c r="C737" s="47" t="str">
        <f aca="false">'לקוחות לפי סוכן - מקור'!E727</f>
        <v>ס.פ. ארמון תרופות חיפה</v>
      </c>
      <c r="D737" s="22" t="n">
        <f aca="false">'לקוחות לפי סוכן - מקור'!F727</f>
        <v>0</v>
      </c>
      <c r="E737" s="22" t="n">
        <f aca="false">'לקוחות לפי סוכן - מקור'!G727</f>
        <v>4279.8</v>
      </c>
      <c r="F737" s="14" t="n">
        <f aca="false">'לקוחות לפי סוכן - מקור'!D727</f>
        <v>0</v>
      </c>
      <c r="G737" s="15" t="n">
        <f aca="false">'לקוחות לפי סוכן - מקור'!H727</f>
        <v>0</v>
      </c>
      <c r="H737" s="15" t="n">
        <f aca="false">'לקוחות לפי סוכן - מקור'!I727</f>
        <v>0</v>
      </c>
      <c r="I737" s="14" t="str">
        <f aca="false">'לקוחות לפי סוכן - מקור'!K727</f>
        <v>CHMI</v>
      </c>
    </row>
    <row r="738" customFormat="false" ht="15" hidden="false" customHeight="true" outlineLevel="1" collapsed="false">
      <c r="A738" s="14" t="str">
        <f aca="false">'לקוחות לפי סוכן - מקור'!A728</f>
        <v>חאזם תלחמי</v>
      </c>
      <c r="B738" s="14" t="str">
        <f aca="false">'לקוחות לפי סוכן - מקור'!C728</f>
        <v>ס. פארם</v>
      </c>
      <c r="C738" s="47" t="str">
        <f aca="false">'לקוחות לפי סוכן - מקור'!E728</f>
        <v>ס.פ. גאלרי קריון</v>
      </c>
      <c r="D738" s="22" t="n">
        <f aca="false">'לקוחות לפי סוכן - מקור'!F728</f>
        <v>0</v>
      </c>
      <c r="E738" s="22" t="n">
        <f aca="false">'לקוחות לפי סוכן - מקור'!G728</f>
        <v>21144.2</v>
      </c>
      <c r="F738" s="14" t="n">
        <f aca="false">'לקוחות לפי סוכן - מקור'!D728</f>
        <v>0</v>
      </c>
      <c r="G738" s="15" t="n">
        <f aca="false">'לקוחות לפי סוכן - מקור'!H728</f>
        <v>0</v>
      </c>
      <c r="H738" s="15" t="n">
        <f aca="false">'לקוחות לפי סוכן - מקור'!I728</f>
        <v>0</v>
      </c>
      <c r="I738" s="14" t="str">
        <f aca="false">'לקוחות לפי סוכן - מקור'!K728</f>
        <v>CHMI</v>
      </c>
    </row>
    <row r="739" customFormat="false" ht="15" hidden="false" customHeight="true" outlineLevel="1" collapsed="false">
      <c r="A739" s="14" t="str">
        <f aca="false">'לקוחות לפי סוכן - מקור'!A729</f>
        <v>חאזם תלחמי</v>
      </c>
      <c r="B739" s="14" t="str">
        <f aca="false">'לקוחות לפי סוכן - מקור'!C729</f>
        <v>ס. פארם</v>
      </c>
      <c r="C739" s="47" t="str">
        <f aca="false">'לקוחות לפי סוכן - מקור'!E729</f>
        <v>ס.פ. גן שמואל תרופות</v>
      </c>
      <c r="D739" s="22" t="n">
        <f aca="false">'לקוחות לפי סוכן - מקור'!F729</f>
        <v>0</v>
      </c>
      <c r="E739" s="22" t="n">
        <f aca="false">'לקוחות לפי סוכן - מקור'!G729</f>
        <v>19158.8</v>
      </c>
      <c r="F739" s="14" t="n">
        <f aca="false">'לקוחות לפי סוכן - מקור'!D729</f>
        <v>0</v>
      </c>
      <c r="G739" s="15" t="n">
        <f aca="false">'לקוחות לפי סוכן - מקור'!H729</f>
        <v>0</v>
      </c>
      <c r="H739" s="15" t="n">
        <f aca="false">'לקוחות לפי סוכן - מקור'!I729</f>
        <v>0</v>
      </c>
      <c r="I739" s="14" t="str">
        <f aca="false">'לקוחות לפי סוכן - מקור'!K729</f>
        <v>CHMI</v>
      </c>
    </row>
    <row r="740" customFormat="false" ht="15" hidden="false" customHeight="true" outlineLevel="1" collapsed="false">
      <c r="A740" s="14" t="str">
        <f aca="false">'לקוחות לפי סוכן - מקור'!A730</f>
        <v>חאזם תלחמי</v>
      </c>
      <c r="B740" s="14" t="str">
        <f aca="false">'לקוחות לפי סוכן - מקור'!C730</f>
        <v>ס. פארם</v>
      </c>
      <c r="C740" s="47" t="str">
        <f aca="false">'לקוחות לפי סוכן - מקור'!E730</f>
        <v>ס.פ. סכנין תרופות</v>
      </c>
      <c r="D740" s="22" t="n">
        <f aca="false">'לקוחות לפי סוכן - מקור'!F730</f>
        <v>0</v>
      </c>
      <c r="E740" s="22" t="n">
        <f aca="false">'לקוחות לפי סוכן - מקור'!G730</f>
        <v>3568.1</v>
      </c>
      <c r="F740" s="14" t="n">
        <f aca="false">'לקוחות לפי סוכן - מקור'!D730</f>
        <v>0</v>
      </c>
      <c r="G740" s="15" t="n">
        <f aca="false">'לקוחות לפי סוכן - מקור'!H730</f>
        <v>0</v>
      </c>
      <c r="H740" s="15" t="n">
        <f aca="false">'לקוחות לפי סוכן - מקור'!I730</f>
        <v>0</v>
      </c>
      <c r="I740" s="14" t="str">
        <f aca="false">'לקוחות לפי סוכן - מקור'!K730</f>
        <v>CHMI</v>
      </c>
    </row>
    <row r="741" customFormat="false" ht="15" hidden="false" customHeight="true" outlineLevel="1" collapsed="false">
      <c r="A741" s="14" t="str">
        <f aca="false">'לקוחות לפי סוכן - מקור'!A731</f>
        <v>חאזם תלחמי</v>
      </c>
      <c r="B741" s="14" t="str">
        <f aca="false">'לקוחות לפי סוכן - מקור'!C731</f>
        <v>ס. פארם</v>
      </c>
      <c r="C741" s="47" t="str">
        <f aca="false">'לקוחות לפי סוכן - מקור'!E731</f>
        <v>ס.פ. מול זכרון תרופות</v>
      </c>
      <c r="D741" s="22" t="n">
        <f aca="false">'לקוחות לפי סוכן - מקור'!F731</f>
        <v>0</v>
      </c>
      <c r="E741" s="22" t="n">
        <f aca="false">'לקוחות לפי סוכן - מקור'!G731</f>
        <v>13427.6</v>
      </c>
      <c r="F741" s="14" t="n">
        <f aca="false">'לקוחות לפי סוכן - מקור'!D731</f>
        <v>0</v>
      </c>
      <c r="G741" s="15" t="n">
        <f aca="false">'לקוחות לפי סוכן - מקור'!H731</f>
        <v>0</v>
      </c>
      <c r="H741" s="15" t="n">
        <f aca="false">'לקוחות לפי סוכן - מקור'!I731</f>
        <v>0</v>
      </c>
      <c r="I741" s="14" t="str">
        <f aca="false">'לקוחות לפי סוכן - מקור'!K731</f>
        <v>CHMI</v>
      </c>
    </row>
    <row r="742" customFormat="false" ht="15" hidden="false" customHeight="true" outlineLevel="1" collapsed="false">
      <c r="A742" s="14" t="str">
        <f aca="false">'לקוחות לפי סוכן - מקור'!A732</f>
        <v>חאזם תלחמי</v>
      </c>
      <c r="B742" s="14" t="str">
        <f aca="false">'לקוחות לפי סוכן - מקור'!C732</f>
        <v>ס. פארם</v>
      </c>
      <c r="C742" s="47" t="str">
        <f aca="false">'לקוחות לפי סוכן - מקור'!E732</f>
        <v>ס.פ. עכו תרופות</v>
      </c>
      <c r="D742" s="22" t="n">
        <f aca="false">'לקוחות לפי סוכן - מקור'!F732</f>
        <v>0</v>
      </c>
      <c r="E742" s="22" t="n">
        <f aca="false">'לקוחות לפי סוכן - מקור'!G732</f>
        <v>3906.2</v>
      </c>
      <c r="F742" s="14" t="n">
        <f aca="false">'לקוחות לפי סוכן - מקור'!D732</f>
        <v>0</v>
      </c>
      <c r="G742" s="15" t="n">
        <f aca="false">'לקוחות לפי סוכן - מקור'!H732</f>
        <v>0</v>
      </c>
      <c r="H742" s="15" t="n">
        <f aca="false">'לקוחות לפי סוכן - מקור'!I732</f>
        <v>0</v>
      </c>
      <c r="I742" s="14" t="str">
        <f aca="false">'לקוחות לפי סוכן - מקור'!K732</f>
        <v>CHMI</v>
      </c>
    </row>
    <row r="743" customFormat="false" ht="15" hidden="false" customHeight="true" outlineLevel="1" collapsed="false">
      <c r="A743" s="14" t="str">
        <f aca="false">'לקוחות לפי סוכן - מקור'!A733</f>
        <v>חאזם תלחמי</v>
      </c>
      <c r="B743" s="14" t="str">
        <f aca="false">'לקוחות לפי סוכן - מקור'!C733</f>
        <v>ס. פארם</v>
      </c>
      <c r="C743" s="47" t="str">
        <f aca="false">'לקוחות לפי סוכן - מקור'!E733</f>
        <v>ס.פ.סינמול תרופות חיפה</v>
      </c>
      <c r="D743" s="22" t="n">
        <f aca="false">'לקוחות לפי סוכן - מקור'!F733</f>
        <v>0</v>
      </c>
      <c r="E743" s="22" t="n">
        <f aca="false">'לקוחות לפי סוכן - מקור'!G733</f>
        <v>-3933.6</v>
      </c>
      <c r="F743" s="14" t="n">
        <f aca="false">'לקוחות לפי סוכן - מקור'!D733</f>
        <v>0</v>
      </c>
      <c r="G743" s="15" t="n">
        <f aca="false">'לקוחות לפי סוכן - מקור'!H733</f>
        <v>0</v>
      </c>
      <c r="H743" s="15" t="n">
        <f aca="false">'לקוחות לפי סוכן - מקור'!I733</f>
        <v>0</v>
      </c>
      <c r="I743" s="14" t="str">
        <f aca="false">'לקוחות לפי סוכן - מקור'!K733</f>
        <v>CHMI</v>
      </c>
    </row>
    <row r="744" customFormat="false" ht="15" hidden="false" customHeight="true" outlineLevel="1" collapsed="false">
      <c r="A744" s="14" t="str">
        <f aca="false">'לקוחות לפי סוכן - מקור'!A734</f>
        <v>חאזם תלחמי</v>
      </c>
      <c r="B744" s="14" t="str">
        <f aca="false">'לקוחות לפי סוכן - מקור'!C734</f>
        <v>ס. פארם</v>
      </c>
      <c r="C744" s="47" t="str">
        <f aca="false">'לקוחות לפי סוכן - מקור'!E734</f>
        <v>ס.פ. קרית ים תרופות</v>
      </c>
      <c r="D744" s="22" t="n">
        <f aca="false">'לקוחות לפי סוכן - מקור'!F734</f>
        <v>0</v>
      </c>
      <c r="E744" s="22" t="n">
        <f aca="false">'לקוחות לפי סוכן - מקור'!G734</f>
        <v>6737.5</v>
      </c>
      <c r="F744" s="14" t="n">
        <f aca="false">'לקוחות לפי סוכן - מקור'!D734</f>
        <v>0</v>
      </c>
      <c r="G744" s="15" t="n">
        <f aca="false">'לקוחות לפי סוכן - מקור'!H734</f>
        <v>0</v>
      </c>
      <c r="H744" s="15" t="n">
        <f aca="false">'לקוחות לפי סוכן - מקור'!I734</f>
        <v>0</v>
      </c>
      <c r="I744" s="14" t="str">
        <f aca="false">'לקוחות לפי סוכן - מקור'!K734</f>
        <v>CHMI</v>
      </c>
    </row>
    <row r="745" customFormat="false" ht="15" hidden="false" customHeight="true" outlineLevel="1" collapsed="false">
      <c r="A745" s="14" t="str">
        <f aca="false">'לקוחות לפי סוכן - מקור'!A735</f>
        <v>חאזם תלחמי</v>
      </c>
      <c r="B745" s="14" t="str">
        <f aca="false">'לקוחות לפי סוכן - מקור'!C735</f>
        <v>ס. פארם</v>
      </c>
      <c r="C745" s="47" t="str">
        <f aca="false">'לקוחות לפי סוכן - מקור'!E735</f>
        <v>ס.פ. ביג פוריה תרופות</v>
      </c>
      <c r="D745" s="22" t="n">
        <f aca="false">'לקוחות לפי סוכן - מקור'!F735</f>
        <v>0</v>
      </c>
      <c r="E745" s="22" t="n">
        <f aca="false">'לקוחות לפי סוכן - מקור'!G735</f>
        <v>8873</v>
      </c>
      <c r="F745" s="14" t="n">
        <f aca="false">'לקוחות לפי סוכן - מקור'!D735</f>
        <v>0</v>
      </c>
      <c r="G745" s="15" t="n">
        <f aca="false">'לקוחות לפי סוכן - מקור'!H735</f>
        <v>0</v>
      </c>
      <c r="H745" s="15" t="n">
        <f aca="false">'לקוחות לפי סוכן - מקור'!I735</f>
        <v>0</v>
      </c>
      <c r="I745" s="14" t="str">
        <f aca="false">'לקוחות לפי סוכן - מקור'!K735</f>
        <v>CHMI</v>
      </c>
    </row>
    <row r="746" customFormat="false" ht="15" hidden="false" customHeight="true" outlineLevel="1" collapsed="false">
      <c r="A746" s="14" t="str">
        <f aca="false">'לקוחות לפי סוכן - מקור'!A736</f>
        <v>חאזם תלחמי</v>
      </c>
      <c r="B746" s="14" t="str">
        <f aca="false">'לקוחות לפי סוכן - מקור'!C736</f>
        <v>ס. פארם</v>
      </c>
      <c r="C746" s="47" t="str">
        <f aca="false">'לקוחות לפי סוכן - מקור'!E736</f>
        <v>ס.פ. ביג נצרת תרופות</v>
      </c>
      <c r="D746" s="22" t="n">
        <f aca="false">'לקוחות לפי סוכן - מקור'!F736</f>
        <v>0</v>
      </c>
      <c r="E746" s="22" t="n">
        <f aca="false">'לקוחות לפי סוכן - מקור'!G736</f>
        <v>8433.5</v>
      </c>
      <c r="F746" s="14" t="n">
        <f aca="false">'לקוחות לפי סוכן - מקור'!D736</f>
        <v>0</v>
      </c>
      <c r="G746" s="15" t="n">
        <f aca="false">'לקוחות לפי סוכן - מקור'!H736</f>
        <v>0</v>
      </c>
      <c r="H746" s="15" t="n">
        <f aca="false">'לקוחות לפי סוכן - מקור'!I736</f>
        <v>0</v>
      </c>
      <c r="I746" s="14" t="str">
        <f aca="false">'לקוחות לפי סוכן - מקור'!K736</f>
        <v>CHMI</v>
      </c>
    </row>
    <row r="747" customFormat="false" ht="15" hidden="false" customHeight="true" outlineLevel="1" collapsed="false">
      <c r="A747" s="14" t="str">
        <f aca="false">'לקוחות לפי סוכן - מקור'!A737</f>
        <v>חאזם תלחמי</v>
      </c>
      <c r="B747" s="14" t="str">
        <f aca="false">'לקוחות לפי סוכן - מקור'!C737</f>
        <v>ס. פארם</v>
      </c>
      <c r="C747" s="47" t="str">
        <f aca="false">'לקוחות לפי סוכן - מקור'!E737</f>
        <v>ס.פ. רמת ישי תרופות</v>
      </c>
      <c r="D747" s="22" t="n">
        <f aca="false">'לקוחות לפי סוכן - מקור'!F737</f>
        <v>0</v>
      </c>
      <c r="E747" s="22" t="n">
        <f aca="false">'לקוחות לפי סוכן - מקור'!G737</f>
        <v>18932.9</v>
      </c>
      <c r="F747" s="14" t="n">
        <f aca="false">'לקוחות לפי סוכן - מקור'!D737</f>
        <v>0</v>
      </c>
      <c r="G747" s="15" t="n">
        <f aca="false">'לקוחות לפי סוכן - מקור'!H737</f>
        <v>0</v>
      </c>
      <c r="H747" s="15" t="n">
        <f aca="false">'לקוחות לפי סוכן - מקור'!I737</f>
        <v>0</v>
      </c>
      <c r="I747" s="14" t="str">
        <f aca="false">'לקוחות לפי סוכן - מקור'!K737</f>
        <v>CHMI</v>
      </c>
    </row>
    <row r="748" customFormat="false" ht="15" hidden="false" customHeight="true" outlineLevel="1" collapsed="false">
      <c r="A748" s="14" t="str">
        <f aca="false">'לקוחות לפי סוכן - מקור'!A738</f>
        <v>חאזם תלחמי</v>
      </c>
      <c r="B748" s="14" t="str">
        <f aca="false">'לקוחות לפי סוכן - מקור'!C738</f>
        <v>ס. פארם</v>
      </c>
      <c r="C748" s="47" t="str">
        <f aca="false">'לקוחות לפי סוכן - מקור'!E738</f>
        <v>ס.פ. עפולה תרופות</v>
      </c>
      <c r="D748" s="22" t="n">
        <f aca="false">'לקוחות לפי סוכן - מקור'!F738</f>
        <v>0</v>
      </c>
      <c r="E748" s="22" t="n">
        <f aca="false">'לקוחות לפי סוכן - מקור'!G738</f>
        <v>13194.2</v>
      </c>
      <c r="F748" s="14" t="n">
        <f aca="false">'לקוחות לפי סוכן - מקור'!D738</f>
        <v>0</v>
      </c>
      <c r="G748" s="15" t="n">
        <f aca="false">'לקוחות לפי סוכן - מקור'!H738</f>
        <v>0</v>
      </c>
      <c r="H748" s="15" t="n">
        <f aca="false">'לקוחות לפי סוכן - מקור'!I738</f>
        <v>0</v>
      </c>
      <c r="I748" s="14" t="str">
        <f aca="false">'לקוחות לפי סוכן - מקור'!K738</f>
        <v>CHMI</v>
      </c>
    </row>
    <row r="749" customFormat="false" ht="15" hidden="false" customHeight="true" outlineLevel="1" collapsed="false">
      <c r="A749" s="14" t="str">
        <f aca="false">'לקוחות לפי סוכן - מקור'!A739</f>
        <v>חאזם תלחמי</v>
      </c>
      <c r="B749" s="14" t="str">
        <f aca="false">'לקוחות לפי סוכן - מקור'!C739</f>
        <v>ס. פארם</v>
      </c>
      <c r="C749" s="47" t="str">
        <f aca="false">'לקוחות לפי סוכן - מקור'!E739</f>
        <v>ס.פ. כפר יאסיף-תרופות</v>
      </c>
      <c r="D749" s="22" t="n">
        <f aca="false">'לקוחות לפי סוכן - מקור'!F739</f>
        <v>0</v>
      </c>
      <c r="E749" s="22" t="n">
        <f aca="false">'לקוחות לפי סוכן - מקור'!G739</f>
        <v>6314.5</v>
      </c>
      <c r="F749" s="14" t="n">
        <f aca="false">'לקוחות לפי סוכן - מקור'!D739</f>
        <v>0</v>
      </c>
      <c r="G749" s="15" t="n">
        <f aca="false">'לקוחות לפי סוכן - מקור'!H739</f>
        <v>0</v>
      </c>
      <c r="H749" s="15" t="n">
        <f aca="false">'לקוחות לפי סוכן - מקור'!I739</f>
        <v>0</v>
      </c>
      <c r="I749" s="14" t="str">
        <f aca="false">'לקוחות לפי סוכן - מקור'!K739</f>
        <v>CHMI</v>
      </c>
    </row>
    <row r="750" customFormat="false" ht="15" hidden="false" customHeight="true" outlineLevel="1" collapsed="false">
      <c r="A750" s="14" t="str">
        <f aca="false">'לקוחות לפי סוכן - מקור'!A740</f>
        <v>חאזם תלחמי</v>
      </c>
      <c r="B750" s="14" t="str">
        <f aca="false">'לקוחות לפי סוכן - מקור'!C740</f>
        <v>ס. פארם</v>
      </c>
      <c r="C750" s="47" t="str">
        <f aca="false">'לקוחות לפי סוכן - מקור'!E740</f>
        <v>ס.פ. נוה שאנן תרופות</v>
      </c>
      <c r="D750" s="22" t="n">
        <f aca="false">'לקוחות לפי סוכן - מקור'!F740</f>
        <v>0</v>
      </c>
      <c r="E750" s="22" t="n">
        <f aca="false">'לקוחות לפי סוכן - מקור'!G740</f>
        <v>14491.3</v>
      </c>
      <c r="F750" s="14" t="n">
        <f aca="false">'לקוחות לפי סוכן - מקור'!D740</f>
        <v>0</v>
      </c>
      <c r="G750" s="15" t="n">
        <f aca="false">'לקוחות לפי סוכן - מקור'!H740</f>
        <v>0</v>
      </c>
      <c r="H750" s="15" t="n">
        <f aca="false">'לקוחות לפי סוכן - מקור'!I740</f>
        <v>0</v>
      </c>
      <c r="I750" s="14" t="str">
        <f aca="false">'לקוחות לפי סוכן - מקור'!K740</f>
        <v>CHMI</v>
      </c>
    </row>
    <row r="751" customFormat="false" ht="15" hidden="false" customHeight="true" outlineLevel="1" collapsed="false">
      <c r="A751" s="14" t="str">
        <f aca="false">'לקוחות לפי סוכן - מקור'!A741</f>
        <v>חאזם תלחמי</v>
      </c>
      <c r="B751" s="14" t="str">
        <f aca="false">'לקוחות לפי סוכן - מקור'!C741</f>
        <v>ס. פארם</v>
      </c>
      <c r="C751" s="47" t="str">
        <f aca="false">'לקוחות לפי סוכן - מקור'!E741</f>
        <v>ס.פ. אודיטוריום  תרופות</v>
      </c>
      <c r="D751" s="22" t="n">
        <f aca="false">'לקוחות לפי סוכן - מקור'!F741</f>
        <v>0</v>
      </c>
      <c r="E751" s="22" t="n">
        <f aca="false">'לקוחות לפי סוכן - מקור'!G741</f>
        <v>20466.8</v>
      </c>
      <c r="F751" s="14" t="n">
        <f aca="false">'לקוחות לפי סוכן - מקור'!D741</f>
        <v>0</v>
      </c>
      <c r="G751" s="15" t="n">
        <f aca="false">'לקוחות לפי סוכן - מקור'!H741</f>
        <v>0</v>
      </c>
      <c r="H751" s="15" t="n">
        <f aca="false">'לקוחות לפי סוכן - מקור'!I741</f>
        <v>0</v>
      </c>
      <c r="I751" s="14" t="str">
        <f aca="false">'לקוחות לפי סוכן - מקור'!K741</f>
        <v>CHMI</v>
      </c>
    </row>
    <row r="752" customFormat="false" ht="15" hidden="false" customHeight="true" outlineLevel="1" collapsed="false">
      <c r="A752" s="14" t="str">
        <f aca="false">'לקוחות לפי סוכן - מקור'!A742</f>
        <v>חאזם תלחמי</v>
      </c>
      <c r="B752" s="14" t="str">
        <f aca="false">'לקוחות לפי סוכן - מקור'!C742</f>
        <v>ס. פארם</v>
      </c>
      <c r="C752" s="47" t="str">
        <f aca="false">'לקוחות לפי סוכן - מקור'!E742</f>
        <v>ס.פ. עמק סנטר עפולה תרופות</v>
      </c>
      <c r="D752" s="22" t="n">
        <f aca="false">'לקוחות לפי סוכן - מקור'!F742</f>
        <v>0</v>
      </c>
      <c r="E752" s="22" t="n">
        <f aca="false">'לקוחות לפי סוכן - מקור'!G742</f>
        <v>20480.8</v>
      </c>
      <c r="F752" s="14" t="n">
        <f aca="false">'לקוחות לפי סוכן - מקור'!D742</f>
        <v>0</v>
      </c>
      <c r="G752" s="15" t="n">
        <f aca="false">'לקוחות לפי סוכן - מקור'!H742</f>
        <v>0</v>
      </c>
      <c r="H752" s="15" t="n">
        <f aca="false">'לקוחות לפי סוכן - מקור'!I742</f>
        <v>0</v>
      </c>
      <c r="I752" s="14" t="str">
        <f aca="false">'לקוחות לפי סוכן - מקור'!K742</f>
        <v>CHMI</v>
      </c>
    </row>
    <row r="753" customFormat="false" ht="15" hidden="false" customHeight="true" outlineLevel="1" collapsed="false">
      <c r="A753" s="14" t="str">
        <f aca="false">'לקוחות לפי סוכן - מקור'!A743</f>
        <v>חאזם תלחמי</v>
      </c>
      <c r="B753" s="14" t="str">
        <f aca="false">'לקוחות לפי סוכן - מקור'!C743</f>
        <v>ס. פארם</v>
      </c>
      <c r="C753" s="47" t="str">
        <f aca="false">'לקוחות לפי סוכן - מקור'!E743</f>
        <v>ס.פ. אום אל פחם  תרופות</v>
      </c>
      <c r="D753" s="22" t="n">
        <f aca="false">'לקוחות לפי סוכן - מקור'!F743</f>
        <v>0</v>
      </c>
      <c r="E753" s="22" t="n">
        <f aca="false">'לקוחות לפי סוכן - מקור'!G743</f>
        <v>13307.7</v>
      </c>
      <c r="F753" s="14" t="n">
        <f aca="false">'לקוחות לפי סוכן - מקור'!D743</f>
        <v>0</v>
      </c>
      <c r="G753" s="15" t="n">
        <f aca="false">'לקוחות לפי סוכן - מקור'!H743</f>
        <v>0</v>
      </c>
      <c r="H753" s="15" t="n">
        <f aca="false">'לקוחות לפי סוכן - מקור'!I743</f>
        <v>0</v>
      </c>
      <c r="I753" s="14" t="str">
        <f aca="false">'לקוחות לפי סוכן - מקור'!K743</f>
        <v>CHMI</v>
      </c>
    </row>
    <row r="754" customFormat="false" ht="15" hidden="false" customHeight="true" outlineLevel="1" collapsed="false">
      <c r="A754" s="14" t="str">
        <f aca="false">'לקוחות לפי סוכן - מקור'!A744</f>
        <v>חאזם תלחמי</v>
      </c>
      <c r="B754" s="14" t="str">
        <f aca="false">'לקוחות לפי סוכן - מקור'!C744</f>
        <v>ס. פארם</v>
      </c>
      <c r="C754" s="47" t="str">
        <f aca="false">'לקוחות לפי סוכן - מקור'!E744</f>
        <v>(ס.פ. נוף הגליל )נצרת עילית</v>
      </c>
      <c r="D754" s="22" t="n">
        <f aca="false">'לקוחות לפי סוכן - מקור'!F744</f>
        <v>0</v>
      </c>
      <c r="E754" s="22" t="n">
        <f aca="false">'לקוחות לפי סוכן - מקור'!G744</f>
        <v>19466.3</v>
      </c>
      <c r="F754" s="14" t="n">
        <f aca="false">'לקוחות לפי סוכן - מקור'!D744</f>
        <v>0</v>
      </c>
      <c r="G754" s="15" t="n">
        <f aca="false">'לקוחות לפי סוכן - מקור'!H744</f>
        <v>0</v>
      </c>
      <c r="H754" s="15" t="n">
        <f aca="false">'לקוחות לפי סוכן - מקור'!I744</f>
        <v>0</v>
      </c>
      <c r="I754" s="14" t="str">
        <f aca="false">'לקוחות לפי סוכן - מקור'!K744</f>
        <v>CHMI</v>
      </c>
    </row>
    <row r="755" customFormat="false" ht="15" hidden="false" customHeight="true" outlineLevel="1" collapsed="false">
      <c r="A755" s="14" t="str">
        <f aca="false">'לקוחות לפי סוכן - מקור'!A745</f>
        <v>חאזם תלחמי</v>
      </c>
      <c r="B755" s="14" t="str">
        <f aca="false">'לקוחות לפי סוכן - מקור'!C745</f>
        <v>ס. פארם</v>
      </c>
      <c r="C755" s="47" t="str">
        <f aca="false">'לקוחות לפי סוכן - מקור'!E745</f>
        <v>ס.פ. נצרת תרופות</v>
      </c>
      <c r="D755" s="22" t="n">
        <f aca="false">'לקוחות לפי סוכן - מקור'!F745</f>
        <v>0</v>
      </c>
      <c r="E755" s="22" t="n">
        <f aca="false">'לקוחות לפי סוכן - מקור'!G745</f>
        <v>9724.6</v>
      </c>
      <c r="F755" s="14" t="n">
        <f aca="false">'לקוחות לפי סוכן - מקור'!D745</f>
        <v>0</v>
      </c>
      <c r="G755" s="15" t="n">
        <f aca="false">'לקוחות לפי סוכן - מקור'!H745</f>
        <v>0</v>
      </c>
      <c r="H755" s="15" t="n">
        <f aca="false">'לקוחות לפי סוכן - מקור'!I745</f>
        <v>0</v>
      </c>
      <c r="I755" s="14" t="str">
        <f aca="false">'לקוחות לפי סוכן - מקור'!K745</f>
        <v>CHMI</v>
      </c>
    </row>
    <row r="756" customFormat="false" ht="15" hidden="false" customHeight="true" outlineLevel="1" collapsed="false">
      <c r="A756" s="14" t="str">
        <f aca="false">'לקוחות לפי סוכן - מקור'!A746</f>
        <v>חאזם תלחמי</v>
      </c>
      <c r="B756" s="14" t="str">
        <f aca="false">'לקוחות לפי סוכן - מקור'!C746</f>
        <v>ס. פארם</v>
      </c>
      <c r="C756" s="47" t="str">
        <f aca="false">'לקוחות לפי סוכן - מקור'!E746</f>
        <v>ס.פ. ביג ק.שמונה תרופות</v>
      </c>
      <c r="D756" s="22" t="n">
        <f aca="false">'לקוחות לפי סוכן - מקור'!F746</f>
        <v>0</v>
      </c>
      <c r="E756" s="22" t="n">
        <f aca="false">'לקוחות לפי סוכן - מקור'!G746</f>
        <v>16689.7</v>
      </c>
      <c r="F756" s="14" t="n">
        <f aca="false">'לקוחות לפי סוכן - מקור'!D746</f>
        <v>0</v>
      </c>
      <c r="G756" s="15" t="n">
        <f aca="false">'לקוחות לפי סוכן - מקור'!H746</f>
        <v>0</v>
      </c>
      <c r="H756" s="15" t="n">
        <f aca="false">'לקוחות לפי סוכן - מקור'!I746</f>
        <v>0</v>
      </c>
      <c r="I756" s="14" t="str">
        <f aca="false">'לקוחות לפי סוכן - מקור'!K746</f>
        <v>CHMI</v>
      </c>
    </row>
    <row r="757" customFormat="false" ht="15" hidden="false" customHeight="true" outlineLevel="1" collapsed="false">
      <c r="A757" s="14" t="str">
        <f aca="false">'לקוחות לפי סוכן - מקור'!A747</f>
        <v>חאזם תלחמי</v>
      </c>
      <c r="B757" s="14" t="str">
        <f aca="false">'לקוחות לפי סוכן - מקור'!C747</f>
        <v>ס. פארם</v>
      </c>
      <c r="C757" s="47" t="str">
        <f aca="false">'לקוחות לפי סוכן - מקור'!E747</f>
        <v>ס.פ. טבעון תרופות</v>
      </c>
      <c r="D757" s="22" t="n">
        <f aca="false">'לקוחות לפי סוכן - מקור'!F747</f>
        <v>0</v>
      </c>
      <c r="E757" s="22" t="n">
        <f aca="false">'לקוחות לפי סוכן - מקור'!G747</f>
        <v>8155.6</v>
      </c>
      <c r="F757" s="14" t="n">
        <f aca="false">'לקוחות לפי סוכן - מקור'!D747</f>
        <v>0</v>
      </c>
      <c r="G757" s="15" t="n">
        <f aca="false">'לקוחות לפי סוכן - מקור'!H747</f>
        <v>0</v>
      </c>
      <c r="H757" s="15" t="n">
        <f aca="false">'לקוחות לפי סוכן - מקור'!I747</f>
        <v>0</v>
      </c>
      <c r="I757" s="14" t="str">
        <f aca="false">'לקוחות לפי סוכן - מקור'!K747</f>
        <v>CHMI</v>
      </c>
    </row>
    <row r="758" customFormat="false" ht="15" hidden="false" customHeight="true" outlineLevel="1" collapsed="false">
      <c r="A758" s="14" t="str">
        <f aca="false">'לקוחות לפי סוכן - מקור'!A748</f>
        <v>חאזם תלחמי</v>
      </c>
      <c r="B758" s="14" t="str">
        <f aca="false">'לקוחות לפי סוכן - מקור'!C748</f>
        <v>ס. פארם</v>
      </c>
      <c r="C758" s="47" t="str">
        <f aca="false">'לקוחות לפי סוכן - מקור'!E748</f>
        <v>ס.פ. ביג פרדס חנה תרופות</v>
      </c>
      <c r="D758" s="22" t="n">
        <f aca="false">'לקוחות לפי סוכן - מקור'!F748</f>
        <v>0</v>
      </c>
      <c r="E758" s="22" t="n">
        <f aca="false">'לקוחות לפי סוכן - מקור'!G748</f>
        <v>3527.8</v>
      </c>
      <c r="F758" s="14" t="n">
        <f aca="false">'לקוחות לפי סוכן - מקור'!D748</f>
        <v>0</v>
      </c>
      <c r="G758" s="15" t="n">
        <f aca="false">'לקוחות לפי סוכן - מקור'!H748</f>
        <v>0</v>
      </c>
      <c r="H758" s="15" t="n">
        <f aca="false">'לקוחות לפי סוכן - מקור'!I748</f>
        <v>0</v>
      </c>
      <c r="I758" s="14" t="str">
        <f aca="false">'לקוחות לפי סוכן - מקור'!K748</f>
        <v>CHMI</v>
      </c>
    </row>
    <row r="759" customFormat="false" ht="15" hidden="false" customHeight="true" outlineLevel="1" collapsed="false">
      <c r="A759" s="14" t="str">
        <f aca="false">'לקוחות לפי סוכן - מקור'!A749</f>
        <v>חאזם תלחמי</v>
      </c>
      <c r="B759" s="14" t="str">
        <f aca="false">'לקוחות לפי סוכן - מקור'!C749</f>
        <v>ס. פארם</v>
      </c>
      <c r="C759" s="47" t="str">
        <f aca="false">'לקוחות לפי סוכן - מקור'!E749</f>
        <v>ס.פ. מעלות תרופות</v>
      </c>
      <c r="D759" s="22" t="n">
        <f aca="false">'לקוחות לפי סוכן - מקור'!F749</f>
        <v>0</v>
      </c>
      <c r="E759" s="22" t="n">
        <f aca="false">'לקוחות לפי סוכן - מקור'!G749</f>
        <v>10797.7</v>
      </c>
      <c r="F759" s="14" t="n">
        <f aca="false">'לקוחות לפי סוכן - מקור'!D749</f>
        <v>0</v>
      </c>
      <c r="G759" s="15" t="n">
        <f aca="false">'לקוחות לפי סוכן - מקור'!H749</f>
        <v>0</v>
      </c>
      <c r="H759" s="15" t="n">
        <f aca="false">'לקוחות לפי סוכן - מקור'!I749</f>
        <v>0</v>
      </c>
      <c r="I759" s="14" t="str">
        <f aca="false">'לקוחות לפי סוכן - מקור'!K749</f>
        <v>CHMI</v>
      </c>
    </row>
    <row r="760" customFormat="false" ht="15" hidden="false" customHeight="true" outlineLevel="1" collapsed="false">
      <c r="A760" s="14" t="str">
        <f aca="false">'לקוחות לפי סוכן - מקור'!A750</f>
        <v>חאזם תלחמי</v>
      </c>
      <c r="B760" s="14" t="str">
        <f aca="false">'לקוחות לפי סוכן - מקור'!C750</f>
        <v>ס. פארם</v>
      </c>
      <c r="C760" s="47" t="str">
        <f aca="false">'לקוחות לפי סוכן - מקור'!E750</f>
        <v>ס.פ. זכרון יעקב תרופות</v>
      </c>
      <c r="D760" s="22" t="n">
        <f aca="false">'לקוחות לפי סוכן - מקור'!F750</f>
        <v>0</v>
      </c>
      <c r="E760" s="22" t="n">
        <f aca="false">'לקוחות לפי סוכן - מקור'!G750</f>
        <v>8671.6</v>
      </c>
      <c r="F760" s="14" t="n">
        <f aca="false">'לקוחות לפי סוכן - מקור'!D750</f>
        <v>0</v>
      </c>
      <c r="G760" s="15" t="n">
        <f aca="false">'לקוחות לפי סוכן - מקור'!H750</f>
        <v>0</v>
      </c>
      <c r="H760" s="15" t="n">
        <f aca="false">'לקוחות לפי סוכן - מקור'!I750</f>
        <v>0</v>
      </c>
      <c r="I760" s="14" t="str">
        <f aca="false">'לקוחות לפי סוכן - מקור'!K750</f>
        <v>CHMI</v>
      </c>
    </row>
    <row r="761" customFormat="false" ht="15" hidden="false" customHeight="true" outlineLevel="1" collapsed="false">
      <c r="A761" s="14" t="str">
        <f aca="false">'לקוחות לפי סוכן - מקור'!A751</f>
        <v>חאזם תלחמי</v>
      </c>
      <c r="B761" s="14" t="str">
        <f aca="false">'לקוחות לפי סוכן - מקור'!C751</f>
        <v>ס. פארם</v>
      </c>
      <c r="C761" s="47" t="str">
        <f aca="false">'לקוחות לפי סוכן - מקור'!E751</f>
        <v>ס.פ. ביג כרמיאל תרופות</v>
      </c>
      <c r="D761" s="22" t="n">
        <f aca="false">'לקוחות לפי סוכן - מקור'!F751</f>
        <v>0</v>
      </c>
      <c r="E761" s="22" t="n">
        <f aca="false">'לקוחות לפי סוכן - מקור'!G751</f>
        <v>50356.6</v>
      </c>
      <c r="F761" s="14" t="n">
        <f aca="false">'לקוחות לפי סוכן - מקור'!D751</f>
        <v>0</v>
      </c>
      <c r="G761" s="15" t="n">
        <f aca="false">'לקוחות לפי סוכן - מקור'!H751</f>
        <v>0</v>
      </c>
      <c r="H761" s="15" t="n">
        <f aca="false">'לקוחות לפי סוכן - מקור'!I751</f>
        <v>0</v>
      </c>
      <c r="I761" s="14" t="str">
        <f aca="false">'לקוחות לפי סוכן - מקור'!K751</f>
        <v>CHMI</v>
      </c>
    </row>
    <row r="762" customFormat="false" ht="15" hidden="false" customHeight="true" outlineLevel="1" collapsed="false">
      <c r="A762" s="14" t="str">
        <f aca="false">'לקוחות לפי סוכן - מקור'!A752</f>
        <v>חאזם תלחמי</v>
      </c>
      <c r="B762" s="14" t="str">
        <f aca="false">'לקוחות לפי סוכן - מקור'!C752</f>
        <v>ס. פארם</v>
      </c>
      <c r="C762" s="47" t="str">
        <f aca="false">'לקוחות לפי סוכן - מקור'!E752</f>
        <v>ס.פ. קניון טבריה תרופות</v>
      </c>
      <c r="D762" s="22" t="n">
        <f aca="false">'לקוחות לפי סוכן - מקור'!F752</f>
        <v>0</v>
      </c>
      <c r="E762" s="22" t="n">
        <f aca="false">'לקוחות לפי סוכן - מקור'!G752</f>
        <v>8075.4</v>
      </c>
      <c r="F762" s="14" t="n">
        <f aca="false">'לקוחות לפי סוכן - מקור'!D752</f>
        <v>0</v>
      </c>
      <c r="G762" s="15" t="n">
        <f aca="false">'לקוחות לפי סוכן - מקור'!H752</f>
        <v>0</v>
      </c>
      <c r="H762" s="15" t="n">
        <f aca="false">'לקוחות לפי סוכן - מקור'!I752</f>
        <v>0</v>
      </c>
      <c r="I762" s="14" t="str">
        <f aca="false">'לקוחות לפי סוכן - מקור'!K752</f>
        <v>CHMI</v>
      </c>
    </row>
    <row r="763" customFormat="false" ht="15" hidden="false" customHeight="true" outlineLevel="1" collapsed="false">
      <c r="A763" s="14" t="str">
        <f aca="false">'לקוחות לפי סוכן - מקור'!A753</f>
        <v>חאזם תלחמי</v>
      </c>
      <c r="B763" s="14" t="str">
        <f aca="false">'לקוחות לפי סוכן - מקור'!C753</f>
        <v>ס. פארם</v>
      </c>
      <c r="C763" s="47" t="str">
        <f aca="false">'לקוחות לפי סוכן - מקור'!E753</f>
        <v>ס.פ. כוכב הגעתון תרופות</v>
      </c>
      <c r="D763" s="22" t="n">
        <f aca="false">'לקוחות לפי סוכן - מקור'!F753</f>
        <v>0</v>
      </c>
      <c r="E763" s="22" t="n">
        <f aca="false">'לקוחות לפי סוכן - מקור'!G753</f>
        <v>13056.4</v>
      </c>
      <c r="F763" s="14" t="n">
        <f aca="false">'לקוחות לפי סוכן - מקור'!D753</f>
        <v>0</v>
      </c>
      <c r="G763" s="15" t="n">
        <f aca="false">'לקוחות לפי סוכן - מקור'!H753</f>
        <v>0</v>
      </c>
      <c r="H763" s="15" t="n">
        <f aca="false">'לקוחות לפי סוכן - מקור'!I753</f>
        <v>0</v>
      </c>
      <c r="I763" s="14" t="str">
        <f aca="false">'לקוחות לפי סוכן - מקור'!K753</f>
        <v>CHMI</v>
      </c>
    </row>
    <row r="764" customFormat="false" ht="15" hidden="false" customHeight="true" outlineLevel="1" collapsed="false">
      <c r="A764" s="14" t="str">
        <f aca="false">'לקוחות לפי סוכן - מקור'!A754</f>
        <v>חאזם תלחמי</v>
      </c>
      <c r="B764" s="14" t="str">
        <f aca="false">'לקוחות לפי סוכן - מקור'!C754</f>
        <v>ס. פארם</v>
      </c>
      <c r="C764" s="47" t="str">
        <f aca="false">'לקוחות לפי סוכן - מקור'!E754</f>
        <v>ס.פ. טבריה תרופות</v>
      </c>
      <c r="D764" s="22" t="n">
        <f aca="false">'לקוחות לפי סוכן - מקור'!F754</f>
        <v>0</v>
      </c>
      <c r="E764" s="22" t="n">
        <f aca="false">'לקוחות לפי סוכן - מקור'!G754</f>
        <v>11850.6</v>
      </c>
      <c r="F764" s="14" t="n">
        <f aca="false">'לקוחות לפי סוכן - מקור'!D754</f>
        <v>0</v>
      </c>
      <c r="G764" s="15" t="n">
        <f aca="false">'לקוחות לפי סוכן - מקור'!H754</f>
        <v>0</v>
      </c>
      <c r="H764" s="15" t="n">
        <f aca="false">'לקוחות לפי סוכן - מקור'!I754</f>
        <v>0</v>
      </c>
      <c r="I764" s="14" t="str">
        <f aca="false">'לקוחות לפי סוכן - מקור'!K754</f>
        <v>CHMI</v>
      </c>
    </row>
    <row r="765" customFormat="false" ht="15" hidden="false" customHeight="true" outlineLevel="1" collapsed="false">
      <c r="A765" s="14" t="str">
        <f aca="false">'לקוחות לפי סוכן - מקור'!A755</f>
        <v>חאזם תלחמי</v>
      </c>
      <c r="B765" s="14" t="str">
        <f aca="false">'לקוחות לפי סוכן - מקור'!C755</f>
        <v>ס. פארם</v>
      </c>
      <c r="C765" s="47" t="str">
        <f aca="false">'לקוחות לפי סוכן - מקור'!E755</f>
        <v>ס.פ. טמרה תרופות</v>
      </c>
      <c r="D765" s="22" t="n">
        <f aca="false">'לקוחות לפי סוכן - מקור'!F755</f>
        <v>0</v>
      </c>
      <c r="E765" s="22" t="n">
        <f aca="false">'לקוחות לפי סוכן - מקור'!G755</f>
        <v>5188.9</v>
      </c>
      <c r="F765" s="14" t="n">
        <f aca="false">'לקוחות לפי סוכן - מקור'!D755</f>
        <v>0</v>
      </c>
      <c r="G765" s="15" t="n">
        <f aca="false">'לקוחות לפי סוכן - מקור'!H755</f>
        <v>0</v>
      </c>
      <c r="H765" s="15" t="n">
        <f aca="false">'לקוחות לפי סוכן - מקור'!I755</f>
        <v>0</v>
      </c>
      <c r="I765" s="14" t="str">
        <f aca="false">'לקוחות לפי סוכן - מקור'!K755</f>
        <v>CHMI</v>
      </c>
    </row>
    <row r="766" customFormat="false" ht="15" hidden="false" customHeight="true" outlineLevel="1" collapsed="false">
      <c r="A766" s="14" t="str">
        <f aca="false">'לקוחות לפי סוכן - מקור'!A756</f>
        <v>חאזם תלחמי</v>
      </c>
      <c r="B766" s="14" t="str">
        <f aca="false">'לקוחות לפי סוכן - מקור'!C756</f>
        <v>ס. פארם</v>
      </c>
      <c r="C766" s="47" t="str">
        <f aca="false">'לקוחות לפי סוכן - מקור'!E756</f>
        <v>ס.פ. רגבה  תרופות</v>
      </c>
      <c r="D766" s="22" t="n">
        <f aca="false">'לקוחות לפי סוכן - מקור'!F756</f>
        <v>0</v>
      </c>
      <c r="E766" s="22" t="n">
        <f aca="false">'לקוחות לפי סוכן - מקור'!G756</f>
        <v>10900.5</v>
      </c>
      <c r="F766" s="14" t="n">
        <f aca="false">'לקוחות לפי סוכן - מקור'!D756</f>
        <v>0</v>
      </c>
      <c r="G766" s="15" t="n">
        <f aca="false">'לקוחות לפי סוכן - מקור'!H756</f>
        <v>0</v>
      </c>
      <c r="H766" s="15" t="n">
        <f aca="false">'לקוחות לפי סוכן - מקור'!I756</f>
        <v>0</v>
      </c>
      <c r="I766" s="14" t="str">
        <f aca="false">'לקוחות לפי סוכן - מקור'!K756</f>
        <v>CHMI</v>
      </c>
    </row>
    <row r="767" customFormat="false" ht="15" hidden="false" customHeight="true" outlineLevel="1" collapsed="false">
      <c r="A767" s="14" t="str">
        <f aca="false">'לקוחות לפי סוכן - מקור'!A757</f>
        <v>חאזם תלחמי</v>
      </c>
      <c r="B767" s="14" t="str">
        <f aca="false">'לקוחות לפי סוכן - מקור'!C757</f>
        <v>ס. פארם</v>
      </c>
      <c r="C767" s="47" t="str">
        <f aca="false">'לקוחות לפי סוכן - מקור'!E757</f>
        <v>ס.פ. קרית אתא  תרופות</v>
      </c>
      <c r="D767" s="22" t="n">
        <f aca="false">'לקוחות לפי סוכן - מקור'!F757</f>
        <v>0</v>
      </c>
      <c r="E767" s="22" t="n">
        <f aca="false">'לקוחות לפי סוכן - מקור'!G757</f>
        <v>21128.6</v>
      </c>
      <c r="F767" s="14" t="n">
        <f aca="false">'לקוחות לפי סוכן - מקור'!D757</f>
        <v>0</v>
      </c>
      <c r="G767" s="15" t="n">
        <f aca="false">'לקוחות לפי סוכן - מקור'!H757</f>
        <v>0</v>
      </c>
      <c r="H767" s="15" t="n">
        <f aca="false">'לקוחות לפי סוכן - מקור'!I757</f>
        <v>0</v>
      </c>
      <c r="I767" s="14" t="str">
        <f aca="false">'לקוחות לפי סוכן - מקור'!K757</f>
        <v>CHMI</v>
      </c>
    </row>
    <row r="768" customFormat="false" ht="15" hidden="false" customHeight="true" outlineLevel="1" collapsed="false">
      <c r="A768" s="14" t="str">
        <f aca="false">'לקוחות לפי סוכן - מקור'!A758</f>
        <v>חאזם תלחמי</v>
      </c>
      <c r="B768" s="14" t="str">
        <f aca="false">'לקוחות לפי סוכן - מקור'!C758</f>
        <v>ס. פארם</v>
      </c>
      <c r="C768" s="47" t="str">
        <f aca="false">'לקוחות לפי סוכן - מקור'!E758</f>
        <v>ס.פ. קניון לב כרמיאל</v>
      </c>
      <c r="D768" s="22" t="n">
        <f aca="false">'לקוחות לפי סוכן - מקור'!F758</f>
        <v>0</v>
      </c>
      <c r="E768" s="22" t="n">
        <f aca="false">'לקוחות לפי סוכן - מקור'!G758</f>
        <v>17359.8</v>
      </c>
      <c r="F768" s="14" t="n">
        <f aca="false">'לקוחות לפי סוכן - מקור'!D758</f>
        <v>0</v>
      </c>
      <c r="G768" s="15" t="n">
        <f aca="false">'לקוחות לפי סוכן - מקור'!H758</f>
        <v>0</v>
      </c>
      <c r="H768" s="15" t="n">
        <f aca="false">'לקוחות לפי סוכן - מקור'!I758</f>
        <v>0</v>
      </c>
      <c r="I768" s="14" t="str">
        <f aca="false">'לקוחות לפי סוכן - מקור'!K758</f>
        <v>CHMI</v>
      </c>
    </row>
    <row r="769" customFormat="false" ht="15" hidden="false" customHeight="true" outlineLevel="1" collapsed="false">
      <c r="A769" s="14" t="str">
        <f aca="false">'לקוחות לפי סוכן - מקור'!A759</f>
        <v>חאזם תלחמי</v>
      </c>
      <c r="B769" s="14" t="str">
        <f aca="false">'לקוחות לפי סוכן - מקור'!C759</f>
        <v>ס. פארם</v>
      </c>
      <c r="C769" s="47" t="str">
        <f aca="false">'לקוחות לפי סוכן - מקור'!E759</f>
        <v>ס.פ. גרנד קניון  תרופות</v>
      </c>
      <c r="D769" s="22" t="n">
        <f aca="false">'לקוחות לפי סוכן - מקור'!F759</f>
        <v>0</v>
      </c>
      <c r="E769" s="22" t="n">
        <f aca="false">'לקוחות לפי סוכן - מקור'!G759</f>
        <v>42414.2</v>
      </c>
      <c r="F769" s="14" t="n">
        <f aca="false">'לקוחות לפי סוכן - מקור'!D759</f>
        <v>0</v>
      </c>
      <c r="G769" s="15" t="n">
        <f aca="false">'לקוחות לפי סוכן - מקור'!H759</f>
        <v>0</v>
      </c>
      <c r="H769" s="15" t="n">
        <f aca="false">'לקוחות לפי סוכן - מקור'!I759</f>
        <v>0</v>
      </c>
      <c r="I769" s="14" t="str">
        <f aca="false">'לקוחות לפי סוכן - מקור'!K759</f>
        <v>CHMI</v>
      </c>
    </row>
    <row r="770" customFormat="false" ht="15" hidden="false" customHeight="true" outlineLevel="1" collapsed="false">
      <c r="A770" s="14" t="str">
        <f aca="false">'לקוחות לפי סוכן - מקור'!A760</f>
        <v>חאזם תלחמי</v>
      </c>
      <c r="B770" s="14" t="str">
        <f aca="false">'לקוחות לפי סוכן - מקור'!C760</f>
        <v>ס. פארם</v>
      </c>
      <c r="C770" s="47" t="str">
        <f aca="false">'לקוחות לפי סוכן - מקור'!E760</f>
        <v>ס.פ. מגדל העמק  תרופות</v>
      </c>
      <c r="D770" s="22" t="n">
        <f aca="false">'לקוחות לפי סוכן - מקור'!F760</f>
        <v>0</v>
      </c>
      <c r="E770" s="22" t="n">
        <f aca="false">'לקוחות לפי סוכן - מקור'!G760</f>
        <v>8282.5</v>
      </c>
      <c r="F770" s="14" t="n">
        <f aca="false">'לקוחות לפי סוכן - מקור'!D760</f>
        <v>0</v>
      </c>
      <c r="G770" s="15" t="n">
        <f aca="false">'לקוחות לפי סוכן - מקור'!H760</f>
        <v>0</v>
      </c>
      <c r="H770" s="15" t="n">
        <f aca="false">'לקוחות לפי סוכן - מקור'!I760</f>
        <v>0</v>
      </c>
      <c r="I770" s="14" t="str">
        <f aca="false">'לקוחות לפי סוכן - מקור'!K760</f>
        <v>CHMI</v>
      </c>
    </row>
    <row r="771" customFormat="false" ht="15" hidden="false" customHeight="true" outlineLevel="1" collapsed="false">
      <c r="A771" s="14" t="str">
        <f aca="false">'לקוחות לפי סוכן - מקור'!A761</f>
        <v>חאזם תלחמי</v>
      </c>
      <c r="B771" s="14" t="str">
        <f aca="false">'לקוחות לפי סוכן - מקור'!C761</f>
        <v>ס. פארם</v>
      </c>
      <c r="C771" s="47" t="str">
        <f aca="false">'לקוחות לפי סוכן - מקור'!E761</f>
        <v>ס.פ. העצמאות ק.אתא תרופות</v>
      </c>
      <c r="D771" s="22" t="n">
        <f aca="false">'לקוחות לפי סוכן - מקור'!F761</f>
        <v>0</v>
      </c>
      <c r="E771" s="22" t="n">
        <f aca="false">'לקוחות לפי סוכן - מקור'!G761</f>
        <v>6776.3</v>
      </c>
      <c r="F771" s="14" t="n">
        <f aca="false">'לקוחות לפי סוכן - מקור'!D761</f>
        <v>0</v>
      </c>
      <c r="G771" s="15" t="n">
        <f aca="false">'לקוחות לפי סוכן - מקור'!H761</f>
        <v>0</v>
      </c>
      <c r="H771" s="15" t="n">
        <f aca="false">'לקוחות לפי סוכן - מקור'!I761</f>
        <v>0</v>
      </c>
      <c r="I771" s="14" t="str">
        <f aca="false">'לקוחות לפי סוכן - מקור'!K761</f>
        <v>CHMI</v>
      </c>
    </row>
    <row r="772" customFormat="false" ht="15" hidden="false" customHeight="true" outlineLevel="1" collapsed="false">
      <c r="A772" s="14" t="str">
        <f aca="false">'לקוחות לפי סוכן - מקור'!A762</f>
        <v>חאזם תלחמי</v>
      </c>
      <c r="B772" s="14" t="str">
        <f aca="false">'לקוחות לפי סוכן - מקור'!C762</f>
        <v>ס. פארם</v>
      </c>
      <c r="C772" s="47" t="str">
        <f aca="false">'לקוחות לפי סוכן - מקור'!E762</f>
        <v>ס.פ. שפרעם תרופות</v>
      </c>
      <c r="D772" s="22" t="n">
        <f aca="false">'לקוחות לפי סוכן - מקור'!F762</f>
        <v>0</v>
      </c>
      <c r="E772" s="22" t="n">
        <f aca="false">'לקוחות לפי סוכן - מקור'!G762</f>
        <v>14403.6</v>
      </c>
      <c r="F772" s="14" t="n">
        <f aca="false">'לקוחות לפי סוכן - מקור'!D762</f>
        <v>0</v>
      </c>
      <c r="G772" s="15" t="n">
        <f aca="false">'לקוחות לפי סוכן - מקור'!H762</f>
        <v>0</v>
      </c>
      <c r="H772" s="15" t="n">
        <f aca="false">'לקוחות לפי סוכן - מקור'!I762</f>
        <v>0</v>
      </c>
      <c r="I772" s="14" t="str">
        <f aca="false">'לקוחות לפי סוכן - מקור'!K762</f>
        <v>CHMI</v>
      </c>
    </row>
    <row r="773" customFormat="false" ht="15" hidden="false" customHeight="true" outlineLevel="1" collapsed="false">
      <c r="A773" s="14" t="str">
        <f aca="false">'לקוחות לפי סוכן - מקור'!A763</f>
        <v>חאזם תלחמי</v>
      </c>
      <c r="B773" s="14" t="str">
        <f aca="false">'לקוחות לפי סוכן - מקור'!C763</f>
        <v>ס. פארם</v>
      </c>
      <c r="C773" s="47" t="str">
        <f aca="false">'לקוחות לפי סוכן - מקור'!E763</f>
        <v>ס.פ. ביג יוקנעם תרופות</v>
      </c>
      <c r="D773" s="22" t="n">
        <f aca="false">'לקוחות לפי סוכן - מקור'!F763</f>
        <v>0</v>
      </c>
      <c r="E773" s="22" t="n">
        <f aca="false">'לקוחות לפי סוכן - מקור'!G763</f>
        <v>20693.4</v>
      </c>
      <c r="F773" s="14" t="n">
        <f aca="false">'לקוחות לפי סוכן - מקור'!D763</f>
        <v>0</v>
      </c>
      <c r="G773" s="15" t="n">
        <f aca="false">'לקוחות לפי סוכן - מקור'!H763</f>
        <v>0</v>
      </c>
      <c r="H773" s="15" t="n">
        <f aca="false">'לקוחות לפי סוכן - מקור'!I763</f>
        <v>0</v>
      </c>
      <c r="I773" s="14" t="str">
        <f aca="false">'לקוחות לפי סוכן - מקור'!K763</f>
        <v>CHMI</v>
      </c>
    </row>
    <row r="774" customFormat="false" ht="15" hidden="false" customHeight="true" outlineLevel="1" collapsed="false">
      <c r="A774" s="14" t="str">
        <f aca="false">'לקוחות לפי סוכן - מקור'!A764</f>
        <v>חאזם תלחמי</v>
      </c>
      <c r="B774" s="14" t="str">
        <f aca="false">'לקוחות לפי סוכן - מקור'!C764</f>
        <v>ס. פארם</v>
      </c>
      <c r="C774" s="47" t="str">
        <f aca="false">'לקוחות לפי סוכן - מקור'!E764</f>
        <v>ס.פ. סיטי סנטר חיפה תרופות</v>
      </c>
      <c r="D774" s="22" t="n">
        <f aca="false">'לקוחות לפי סוכן - מקור'!F764</f>
        <v>0</v>
      </c>
      <c r="E774" s="22" t="n">
        <f aca="false">'לקוחות לפי סוכן - מקור'!G764</f>
        <v>9688.3</v>
      </c>
      <c r="F774" s="14" t="n">
        <f aca="false">'לקוחות לפי סוכן - מקור'!D764</f>
        <v>0</v>
      </c>
      <c r="G774" s="15" t="n">
        <f aca="false">'לקוחות לפי סוכן - מקור'!H764</f>
        <v>0</v>
      </c>
      <c r="H774" s="15" t="n">
        <f aca="false">'לקוחות לפי סוכן - מקור'!I764</f>
        <v>0</v>
      </c>
      <c r="I774" s="14" t="str">
        <f aca="false">'לקוחות לפי סוכן - מקור'!K764</f>
        <v>CHMI</v>
      </c>
    </row>
    <row r="775" customFormat="false" ht="15" hidden="false" customHeight="true" outlineLevel="1" collapsed="false">
      <c r="A775" s="14" t="str">
        <f aca="false">'לקוחות לפי סוכן - מקור'!A765</f>
        <v>חאזם תלחמי</v>
      </c>
      <c r="B775" s="14" t="str">
        <f aca="false">'לקוחות לפי סוכן - מקור'!C765</f>
        <v>ס. פארם</v>
      </c>
      <c r="C775" s="47" t="str">
        <f aca="false">'לקוחות לפי סוכן - מקור'!E765</f>
        <v>ס.פ. בית שאן תרופות</v>
      </c>
      <c r="D775" s="22" t="n">
        <f aca="false">'לקוחות לפי סוכן - מקור'!F765</f>
        <v>0</v>
      </c>
      <c r="E775" s="22" t="n">
        <f aca="false">'לקוחות לפי סוכן - מקור'!G765</f>
        <v>9631.5</v>
      </c>
      <c r="F775" s="14" t="n">
        <f aca="false">'לקוחות לפי סוכן - מקור'!D765</f>
        <v>0</v>
      </c>
      <c r="G775" s="15" t="n">
        <f aca="false">'לקוחות לפי סוכן - מקור'!H765</f>
        <v>0</v>
      </c>
      <c r="H775" s="15" t="n">
        <f aca="false">'לקוחות לפי סוכן - מקור'!I765</f>
        <v>0</v>
      </c>
      <c r="I775" s="14" t="str">
        <f aca="false">'לקוחות לפי סוכן - מקור'!K765</f>
        <v>CHMI</v>
      </c>
    </row>
    <row r="776" customFormat="false" ht="15" hidden="false" customHeight="true" outlineLevel="1" collapsed="false">
      <c r="A776" s="14" t="str">
        <f aca="false">'לקוחות לפי סוכן - מקור'!A766</f>
        <v>חאזם תלחמי</v>
      </c>
      <c r="B776" s="14" t="str">
        <f aca="false">'לקוחות לפי סוכן - מקור'!C766</f>
        <v>ס. פארם</v>
      </c>
      <c r="C776" s="47" t="str">
        <f aca="false">'לקוחות לפי סוכן - מקור'!E766</f>
        <v>ס.פ. חדרה מזרח תרופות</v>
      </c>
      <c r="D776" s="22" t="n">
        <f aca="false">'לקוחות לפי סוכן - מקור'!F766</f>
        <v>0</v>
      </c>
      <c r="E776" s="22" t="n">
        <f aca="false">'לקוחות לפי סוכן - מקור'!G766</f>
        <v>11217.1</v>
      </c>
      <c r="F776" s="14" t="n">
        <f aca="false">'לקוחות לפי סוכן - מקור'!D766</f>
        <v>0</v>
      </c>
      <c r="G776" s="15" t="n">
        <f aca="false">'לקוחות לפי סוכן - מקור'!H766</f>
        <v>0</v>
      </c>
      <c r="H776" s="15" t="n">
        <f aca="false">'לקוחות לפי סוכן - מקור'!I766</f>
        <v>0</v>
      </c>
      <c r="I776" s="14" t="str">
        <f aca="false">'לקוחות לפי סוכן - מקור'!K766</f>
        <v>CHMI</v>
      </c>
    </row>
    <row r="777" customFormat="false" ht="15" hidden="false" customHeight="true" outlineLevel="1" collapsed="false">
      <c r="A777" s="14" t="str">
        <f aca="false">'לקוחות לפי סוכן - מקור'!A767</f>
        <v>חאזם תלחמי</v>
      </c>
      <c r="B777" s="14" t="str">
        <f aca="false">'לקוחות לפי סוכן - מקור'!C767</f>
        <v>ס. פארם</v>
      </c>
      <c r="C777" s="47" t="str">
        <f aca="false">'לקוחות לפי סוכן - מקור'!E767</f>
        <v>ס.פ. רמת הנשיא חיפה תרופות</v>
      </c>
      <c r="D777" s="22" t="n">
        <f aca="false">'לקוחות לפי סוכן - מקור'!F767</f>
        <v>0</v>
      </c>
      <c r="E777" s="22" t="n">
        <f aca="false">'לקוחות לפי סוכן - מקור'!G767</f>
        <v>11174.6</v>
      </c>
      <c r="F777" s="14" t="n">
        <f aca="false">'לקוחות לפי סוכן - מקור'!D767</f>
        <v>0</v>
      </c>
      <c r="G777" s="15" t="n">
        <f aca="false">'לקוחות לפי סוכן - מקור'!H767</f>
        <v>0</v>
      </c>
      <c r="H777" s="15" t="n">
        <f aca="false">'לקוחות לפי סוכן - מקור'!I767</f>
        <v>0</v>
      </c>
      <c r="I777" s="14" t="str">
        <f aca="false">'לקוחות לפי סוכן - מקור'!K767</f>
        <v>CHMI</v>
      </c>
    </row>
    <row r="778" customFormat="false" ht="15" hidden="false" customHeight="true" outlineLevel="1" collapsed="false">
      <c r="A778" s="14" t="str">
        <f aca="false">'לקוחות לפי סוכן - מקור'!A768</f>
        <v>חאזם תלחמי</v>
      </c>
      <c r="B778" s="14" t="str">
        <f aca="false">'לקוחות לפי סוכן - מקור'!C768</f>
        <v>ס. פארם</v>
      </c>
      <c r="C778" s="47" t="str">
        <f aca="false">'לקוחות לפי סוכן - מקור'!E768</f>
        <v>ס.פ. טירת הכרמל  תרופות</v>
      </c>
      <c r="D778" s="22" t="n">
        <f aca="false">'לקוחות לפי סוכן - מקור'!F768</f>
        <v>0</v>
      </c>
      <c r="E778" s="22" t="n">
        <f aca="false">'לקוחות לפי סוכן - מקור'!G768</f>
        <v>8633.7</v>
      </c>
      <c r="F778" s="14" t="n">
        <f aca="false">'לקוחות לפי סוכן - מקור'!D768</f>
        <v>0</v>
      </c>
      <c r="G778" s="15" t="n">
        <f aca="false">'לקוחות לפי סוכן - מקור'!H768</f>
        <v>0</v>
      </c>
      <c r="H778" s="15" t="n">
        <f aca="false">'לקוחות לפי סוכן - מקור'!I768</f>
        <v>0</v>
      </c>
      <c r="I778" s="14" t="str">
        <f aca="false">'לקוחות לפי סוכן - מקור'!K768</f>
        <v>CHMI</v>
      </c>
    </row>
    <row r="779" customFormat="false" ht="15" hidden="false" customHeight="true" outlineLevel="1" collapsed="false">
      <c r="A779" s="14" t="str">
        <f aca="false">'לקוחות לפי סוכן - מקור'!A769</f>
        <v>חאזם תלחמי</v>
      </c>
      <c r="B779" s="14" t="str">
        <f aca="false">'לקוחות לפי סוכן - מקור'!C769</f>
        <v>ס. פארם</v>
      </c>
      <c r="C779" s="47" t="str">
        <f aca="false">'לקוחות לפי סוכן - מקור'!E769</f>
        <v>ס.פ. שער צפון קרית אתא תרופות</v>
      </c>
      <c r="D779" s="22" t="n">
        <f aca="false">'לקוחות לפי סוכן - מקור'!F769</f>
        <v>0</v>
      </c>
      <c r="E779" s="22" t="n">
        <f aca="false">'לקוחות לפי סוכן - מקור'!G769</f>
        <v>5607.1</v>
      </c>
      <c r="F779" s="14" t="n">
        <f aca="false">'לקוחות לפי סוכן - מקור'!D769</f>
        <v>0</v>
      </c>
      <c r="G779" s="15" t="n">
        <f aca="false">'לקוחות לפי סוכן - מקור'!H769</f>
        <v>0</v>
      </c>
      <c r="H779" s="15" t="n">
        <f aca="false">'לקוחות לפי סוכן - מקור'!I769</f>
        <v>0</v>
      </c>
      <c r="I779" s="14" t="str">
        <f aca="false">'לקוחות לפי סוכן - מקור'!K769</f>
        <v>CHMI</v>
      </c>
    </row>
    <row r="780" customFormat="false" ht="15" hidden="false" customHeight="true" outlineLevel="1" collapsed="false">
      <c r="A780" s="14" t="str">
        <f aca="false">'לקוחות לפי סוכן - מקור'!A770</f>
        <v>חאזם תלחמי</v>
      </c>
      <c r="B780" s="14" t="str">
        <f aca="false">'לקוחות לפי סוכן - מקור'!C770</f>
        <v>ס. פארם</v>
      </c>
      <c r="C780" s="47" t="str">
        <f aca="false">'לקוחות לפי סוכן - מקור'!E770</f>
        <v>ס.פ. קרית חיים תרופות</v>
      </c>
      <c r="D780" s="22" t="n">
        <f aca="false">'לקוחות לפי סוכן - מקור'!F770</f>
        <v>0</v>
      </c>
      <c r="E780" s="22" t="n">
        <f aca="false">'לקוחות לפי סוכן - מקור'!G770</f>
        <v>11554.3</v>
      </c>
      <c r="F780" s="14" t="n">
        <f aca="false">'לקוחות לפי סוכן - מקור'!D770</f>
        <v>0</v>
      </c>
      <c r="G780" s="15" t="n">
        <f aca="false">'לקוחות לפי סוכן - מקור'!H770</f>
        <v>0</v>
      </c>
      <c r="H780" s="15" t="n">
        <f aca="false">'לקוחות לפי סוכן - מקור'!I770</f>
        <v>0</v>
      </c>
      <c r="I780" s="14" t="str">
        <f aca="false">'לקוחות לפי סוכן - מקור'!K770</f>
        <v>CHMI</v>
      </c>
    </row>
    <row r="781" customFormat="false" ht="15" hidden="false" customHeight="true" outlineLevel="1" collapsed="false">
      <c r="A781" s="14" t="str">
        <f aca="false">'לקוחות לפי סוכן - מקור'!A771</f>
        <v>חאזם תלחמי</v>
      </c>
      <c r="B781" s="14" t="str">
        <f aca="false">'לקוחות לפי סוכן - מקור'!C771</f>
        <v>ס. פארם</v>
      </c>
      <c r="C781" s="47" t="str">
        <f aca="false">'לקוחות לפי סוכן - מקור'!E771</f>
        <v>ס.פ.צפת תרופות</v>
      </c>
      <c r="D781" s="22" t="n">
        <f aca="false">'לקוחות לפי סוכן - מקור'!F771</f>
        <v>0</v>
      </c>
      <c r="E781" s="22" t="n">
        <f aca="false">'לקוחות לפי סוכן - מקור'!G771</f>
        <v>6504.5</v>
      </c>
      <c r="F781" s="14" t="n">
        <f aca="false">'לקוחות לפי סוכן - מקור'!D771</f>
        <v>0</v>
      </c>
      <c r="G781" s="15" t="n">
        <f aca="false">'לקוחות לפי סוכן - מקור'!H771</f>
        <v>0</v>
      </c>
      <c r="H781" s="15" t="n">
        <f aca="false">'לקוחות לפי סוכן - מקור'!I771</f>
        <v>0</v>
      </c>
      <c r="I781" s="14" t="str">
        <f aca="false">'לקוחות לפי סוכן - מקור'!K771</f>
        <v>CHMI</v>
      </c>
    </row>
    <row r="782" customFormat="false" ht="15" hidden="false" customHeight="true" outlineLevel="1" collapsed="false">
      <c r="A782" s="14" t="str">
        <f aca="false">'לקוחות לפי סוכן - מקור'!A772</f>
        <v>חאזם תלחמי</v>
      </c>
      <c r="B782" s="14" t="str">
        <f aca="false">'לקוחות לפי סוכן - מקור'!C772</f>
        <v>ס. פארם</v>
      </c>
      <c r="C782" s="47" t="str">
        <f aca="false">'לקוחות לפי סוכן - מקור'!E772</f>
        <v>ס.פ.ארנה נהריה תרופות</v>
      </c>
      <c r="D782" s="22" t="n">
        <f aca="false">'לקוחות לפי סוכן - מקור'!F772</f>
        <v>0</v>
      </c>
      <c r="E782" s="22" t="n">
        <f aca="false">'לקוחות לפי סוכן - מקור'!G772</f>
        <v>6789</v>
      </c>
      <c r="F782" s="14" t="n">
        <f aca="false">'לקוחות לפי סוכן - מקור'!D772</f>
        <v>0</v>
      </c>
      <c r="G782" s="15" t="n">
        <f aca="false">'לקוחות לפי סוכן - מקור'!H772</f>
        <v>0</v>
      </c>
      <c r="H782" s="15" t="n">
        <f aca="false">'לקוחות לפי סוכן - מקור'!I772</f>
        <v>0</v>
      </c>
      <c r="I782" s="14" t="str">
        <f aca="false">'לקוחות לפי סוכן - מקור'!K772</f>
        <v>CHMI</v>
      </c>
    </row>
    <row r="783" customFormat="false" ht="15" hidden="false" customHeight="true" outlineLevel="1" collapsed="false">
      <c r="A783" s="14" t="str">
        <f aca="false">'לקוחות לפי סוכן - מקור'!A773</f>
        <v>חאזם תלחמי</v>
      </c>
      <c r="B783" s="14" t="str">
        <f aca="false">'לקוחות לפי סוכן - מקור'!C773</f>
        <v>ס. פארם</v>
      </c>
      <c r="C783" s="47" t="str">
        <f aca="false">'לקוחות לפי סוכן - מקור'!E773</f>
        <v>ס.פ.יפיע תרופות</v>
      </c>
      <c r="D783" s="22" t="n">
        <f aca="false">'לקוחות לפי סוכן - מקור'!F773</f>
        <v>0</v>
      </c>
      <c r="E783" s="22" t="n">
        <f aca="false">'לקוחות לפי סוכן - מקור'!G773</f>
        <v>5757</v>
      </c>
      <c r="F783" s="14" t="n">
        <f aca="false">'לקוחות לפי סוכן - מקור'!D773</f>
        <v>0</v>
      </c>
      <c r="G783" s="15" t="n">
        <f aca="false">'לקוחות לפי סוכן - מקור'!H773</f>
        <v>0</v>
      </c>
      <c r="H783" s="15" t="n">
        <f aca="false">'לקוחות לפי סוכן - מקור'!I773</f>
        <v>0</v>
      </c>
      <c r="I783" s="14" t="str">
        <f aca="false">'לקוחות לפי סוכן - מקור'!K773</f>
        <v>CHMI</v>
      </c>
    </row>
    <row r="784" customFormat="false" ht="15" hidden="false" customHeight="true" outlineLevel="1" collapsed="false">
      <c r="A784" s="14" t="str">
        <f aca="false">'לקוחות לפי סוכן - מקור'!A774</f>
        <v>חאזם תלחמי</v>
      </c>
      <c r="B784" s="14" t="str">
        <f aca="false">'לקוחות לפי סוכן - מקור'!C774</f>
        <v>ס. פארם</v>
      </c>
      <c r="C784" s="47" t="str">
        <f aca="false">'לקוחות לפי סוכן - מקור'!E774</f>
        <v>ס.פ. חיפה תרופות</v>
      </c>
      <c r="D784" s="22" t="n">
        <f aca="false">'לקוחות לפי סוכן - מקור'!F774</f>
        <v>0</v>
      </c>
      <c r="E784" s="22" t="n">
        <f aca="false">'לקוחות לפי סוכן - מקור'!G774</f>
        <v>16393.1</v>
      </c>
      <c r="F784" s="14" t="n">
        <f aca="false">'לקוחות לפי סוכן - מקור'!D774</f>
        <v>0</v>
      </c>
      <c r="G784" s="15" t="n">
        <f aca="false">'לקוחות לפי סוכן - מקור'!H774</f>
        <v>0</v>
      </c>
      <c r="H784" s="15" t="n">
        <f aca="false">'לקוחות לפי סוכן - מקור'!I774</f>
        <v>0</v>
      </c>
      <c r="I784" s="14" t="str">
        <f aca="false">'לקוחות לפי סוכן - מקור'!K774</f>
        <v>CHMI</v>
      </c>
    </row>
    <row r="785" customFormat="false" ht="15" hidden="false" customHeight="true" outlineLevel="1" collapsed="false">
      <c r="A785" s="14" t="str">
        <f aca="false">'לקוחות לפי סוכן - מקור'!A775</f>
        <v>חאזם תלחמי</v>
      </c>
      <c r="B785" s="14" t="str">
        <f aca="false">'לקוחות לפי סוכן - מקור'!C775</f>
        <v>ס. פארם</v>
      </c>
      <c r="C785" s="47" t="str">
        <f aca="false">'לקוחות לפי סוכן - מקור'!E775</f>
        <v>ס.פ. ביג צ'ק פוסט תרופות</v>
      </c>
      <c r="D785" s="22" t="n">
        <f aca="false">'לקוחות לפי סוכן - מקור'!F775</f>
        <v>0</v>
      </c>
      <c r="E785" s="22" t="n">
        <f aca="false">'לקוחות לפי סוכן - מקור'!G775</f>
        <v>10935.3</v>
      </c>
      <c r="F785" s="14" t="n">
        <f aca="false">'לקוחות לפי סוכן - מקור'!D775</f>
        <v>0</v>
      </c>
      <c r="G785" s="15" t="n">
        <f aca="false">'לקוחות לפי סוכן - מקור'!H775</f>
        <v>0</v>
      </c>
      <c r="H785" s="15" t="n">
        <f aca="false">'לקוחות לפי סוכן - מקור'!I775</f>
        <v>0</v>
      </c>
      <c r="I785" s="14" t="str">
        <f aca="false">'לקוחות לפי סוכן - מקור'!K775</f>
        <v>CHMI</v>
      </c>
    </row>
    <row r="786" customFormat="false" ht="15" hidden="false" customHeight="true" outlineLevel="1" collapsed="false">
      <c r="A786" s="14" t="str">
        <f aca="false">'לקוחות לפי סוכן - מקור'!A776</f>
        <v>חאזם תלחמי</v>
      </c>
      <c r="B786" s="14" t="str">
        <f aca="false">'לקוחות לפי סוכן - מקור'!C776</f>
        <v>ס. פארם</v>
      </c>
      <c r="C786" s="47" t="str">
        <f aca="false">'לקוחות לפי סוכן - מקור'!E776</f>
        <v>ס.פ.ביג אור עקיבא תרופות</v>
      </c>
      <c r="D786" s="22" t="n">
        <f aca="false">'לקוחות לפי סוכן - מקור'!F776</f>
        <v>0</v>
      </c>
      <c r="E786" s="22" t="n">
        <f aca="false">'לקוחות לפי סוכן - מקור'!G776</f>
        <v>11607.5</v>
      </c>
      <c r="F786" s="14" t="n">
        <f aca="false">'לקוחות לפי סוכן - מקור'!D776</f>
        <v>0</v>
      </c>
      <c r="G786" s="15" t="n">
        <f aca="false">'לקוחות לפי סוכן - מקור'!H776</f>
        <v>0</v>
      </c>
      <c r="H786" s="15" t="n">
        <f aca="false">'לקוחות לפי סוכן - מקור'!I776</f>
        <v>0</v>
      </c>
      <c r="I786" s="14" t="str">
        <f aca="false">'לקוחות לפי סוכן - מקור'!K776</f>
        <v>CHMI</v>
      </c>
    </row>
    <row r="787" customFormat="false" ht="15" hidden="false" customHeight="true" outlineLevel="1" collapsed="false">
      <c r="A787" s="14" t="str">
        <f aca="false">'לקוחות לפי סוכן - מקור'!A777</f>
        <v>חאזם תלחמי</v>
      </c>
      <c r="B787" s="14" t="str">
        <f aca="false">'לקוחות לפי סוכן - מקור'!C777</f>
        <v>ס. פארם</v>
      </c>
      <c r="C787" s="47" t="str">
        <f aca="false">'לקוחות לפי סוכן - מקור'!E777</f>
        <v>ס.פ.איינשטיין חיפה תרופות</v>
      </c>
      <c r="D787" s="22" t="n">
        <f aca="false">'לקוחות לפי סוכן - מקור'!F777</f>
        <v>0</v>
      </c>
      <c r="E787" s="22" t="n">
        <f aca="false">'לקוחות לפי סוכן - מקור'!G777</f>
        <v>10056.6</v>
      </c>
      <c r="F787" s="14" t="n">
        <f aca="false">'לקוחות לפי סוכן - מקור'!D777</f>
        <v>0</v>
      </c>
      <c r="G787" s="15" t="n">
        <f aca="false">'לקוחות לפי סוכן - מקור'!H777</f>
        <v>0</v>
      </c>
      <c r="H787" s="15" t="n">
        <f aca="false">'לקוחות לפי סוכן - מקור'!I777</f>
        <v>0</v>
      </c>
      <c r="I787" s="14" t="str">
        <f aca="false">'לקוחות לפי סוכן - מקור'!K777</f>
        <v>CHMI</v>
      </c>
    </row>
    <row r="788" customFormat="false" ht="15" hidden="false" customHeight="true" outlineLevel="1" collapsed="false">
      <c r="A788" s="14" t="str">
        <f aca="false">'לקוחות לפי סוכן - מקור'!A778</f>
        <v>חאזם תלחמי</v>
      </c>
      <c r="B788" s="14" t="str">
        <f aca="false">'לקוחות לפי סוכן - מקור'!C778</f>
        <v>ס. פארם</v>
      </c>
      <c r="C788" s="47" t="str">
        <f aca="false">'לקוחות לפי סוכן - מקור'!E778</f>
        <v>ס.פ.מול החוף חדרה תרופות</v>
      </c>
      <c r="D788" s="22" t="n">
        <f aca="false">'לקוחות לפי סוכן - מקור'!F778</f>
        <v>0</v>
      </c>
      <c r="E788" s="22" t="n">
        <f aca="false">'לקוחות לפי סוכן - מקור'!G778</f>
        <v>5365.9</v>
      </c>
      <c r="F788" s="14" t="n">
        <f aca="false">'לקוחות לפי סוכן - מקור'!D778</f>
        <v>0</v>
      </c>
      <c r="G788" s="15" t="n">
        <f aca="false">'לקוחות לפי סוכן - מקור'!H778</f>
        <v>0</v>
      </c>
      <c r="H788" s="15" t="n">
        <f aca="false">'לקוחות לפי סוכן - מקור'!I778</f>
        <v>0</v>
      </c>
      <c r="I788" s="14" t="str">
        <f aca="false">'לקוחות לפי סוכן - מקור'!K778</f>
        <v>CHMI</v>
      </c>
    </row>
    <row r="789" customFormat="false" ht="15" hidden="false" customHeight="true" outlineLevel="1" collapsed="false">
      <c r="A789" s="14" t="str">
        <f aca="false">'לקוחות לפי סוכן - מקור'!A779</f>
        <v>חאזם תלחמי</v>
      </c>
      <c r="B789" s="14" t="str">
        <f aca="false">'לקוחות לפי סוכן - מקור'!C779</f>
        <v>ס. פארם</v>
      </c>
      <c r="C789" s="47" t="str">
        <f aca="false">'לקוחות לפי סוכן - מקור'!E779</f>
        <v>BM ס.פ ירכא</v>
      </c>
      <c r="D789" s="22" t="n">
        <f aca="false">'לקוחות לפי סוכן - מקור'!F779</f>
        <v>0</v>
      </c>
      <c r="E789" s="22" t="n">
        <f aca="false">'לקוחות לפי סוכן - מקור'!G779</f>
        <v>14103.6</v>
      </c>
      <c r="F789" s="14" t="n">
        <f aca="false">'לקוחות לפי סוכן - מקור'!D779</f>
        <v>0</v>
      </c>
      <c r="G789" s="15" t="n">
        <f aca="false">'לקוחות לפי סוכן - מקור'!H779</f>
        <v>0</v>
      </c>
      <c r="H789" s="15" t="n">
        <f aca="false">'לקוחות לפי סוכן - מקור'!I779</f>
        <v>0</v>
      </c>
      <c r="I789" s="14" t="str">
        <f aca="false">'לקוחות לפי סוכן - מקור'!K779</f>
        <v>CHMI</v>
      </c>
    </row>
    <row r="790" customFormat="false" ht="15" hidden="false" customHeight="true" outlineLevel="1" collapsed="false">
      <c r="A790" s="14" t="str">
        <f aca="false">'לקוחות לפי סוכן - מקור'!A780</f>
        <v>חאזם תלחמי</v>
      </c>
      <c r="B790" s="14" t="str">
        <f aca="false">'לקוחות לפי סוכן - מקור'!C780</f>
        <v>ס. פארם</v>
      </c>
      <c r="C790" s="47" t="str">
        <f aca="false">'לקוחות לפי סוכן - מקור'!E780</f>
        <v>BM ס.פ חדרה שכונת הפארק</v>
      </c>
      <c r="D790" s="22" t="n">
        <f aca="false">'לקוחות לפי סוכן - מקור'!F780</f>
        <v>0</v>
      </c>
      <c r="E790" s="22" t="n">
        <f aca="false">'לקוחות לפי סוכן - מקור'!G780</f>
        <v>8565</v>
      </c>
      <c r="F790" s="14" t="n">
        <f aca="false">'לקוחות לפי סוכן - מקור'!D780</f>
        <v>0</v>
      </c>
      <c r="G790" s="15" t="n">
        <f aca="false">'לקוחות לפי סוכן - מקור'!H780</f>
        <v>0</v>
      </c>
      <c r="H790" s="15" t="n">
        <f aca="false">'לקוחות לפי סוכן - מקור'!I780</f>
        <v>0</v>
      </c>
      <c r="I790" s="14" t="str">
        <f aca="false">'לקוחות לפי סוכן - מקור'!K780</f>
        <v>CHMI</v>
      </c>
    </row>
    <row r="791" customFormat="false" ht="15" hidden="false" customHeight="true" outlineLevel="1" collapsed="false">
      <c r="A791" s="14" t="str">
        <f aca="false">'לקוחות לפי סוכן - מקור'!A781</f>
        <v>חאזם תלחמי</v>
      </c>
      <c r="B791" s="14" t="str">
        <f aca="false">'לקוחות לפי סוכן - מקור'!C781</f>
        <v>ס. פארם</v>
      </c>
      <c r="C791" s="47" t="str">
        <f aca="false">'לקוחות לפי סוכן - מקור'!E781</f>
        <v>BM ס.פ חריש</v>
      </c>
      <c r="D791" s="22" t="n">
        <f aca="false">'לקוחות לפי סוכן - מקור'!F781</f>
        <v>0</v>
      </c>
      <c r="E791" s="22" t="n">
        <f aca="false">'לקוחות לפי סוכן - מקור'!G781</f>
        <v>7057.5</v>
      </c>
      <c r="F791" s="14" t="n">
        <f aca="false">'לקוחות לפי סוכן - מקור'!D781</f>
        <v>0</v>
      </c>
      <c r="G791" s="15" t="n">
        <f aca="false">'לקוחות לפי סוכן - מקור'!H781</f>
        <v>0</v>
      </c>
      <c r="H791" s="15" t="n">
        <f aca="false">'לקוחות לפי סוכן - מקור'!I781</f>
        <v>0</v>
      </c>
      <c r="I791" s="14" t="str">
        <f aca="false">'לקוחות לפי סוכן - מקור'!K781</f>
        <v>CHMI</v>
      </c>
    </row>
    <row r="792" customFormat="false" ht="15" hidden="false" customHeight="true" outlineLevel="1" collapsed="false">
      <c r="A792" s="14" t="str">
        <f aca="false">'לקוחות לפי סוכן - מקור'!A782</f>
        <v>חאזם תלחמי</v>
      </c>
      <c r="B792" s="14" t="str">
        <f aca="false">'לקוחות לפי סוכן - מקור'!C782</f>
        <v>ס. פארם</v>
      </c>
      <c r="C792" s="47" t="str">
        <f aca="false">'לקוחות לפי סוכן - מקור'!E782</f>
        <v>BM ס.פ הר יונה</v>
      </c>
      <c r="D792" s="22" t="n">
        <f aca="false">'לקוחות לפי סוכן - מקור'!F782</f>
        <v>0</v>
      </c>
      <c r="E792" s="22" t="n">
        <f aca="false">'לקוחות לפי סוכן - מקור'!G782</f>
        <v>3506.3</v>
      </c>
      <c r="F792" s="14" t="n">
        <f aca="false">'לקוחות לפי סוכן - מקור'!D782</f>
        <v>0</v>
      </c>
      <c r="G792" s="15" t="n">
        <f aca="false">'לקוחות לפי סוכן - מקור'!H782</f>
        <v>0</v>
      </c>
      <c r="H792" s="15" t="n">
        <f aca="false">'לקוחות לפי סוכן - מקור'!I782</f>
        <v>0</v>
      </c>
      <c r="I792" s="14" t="str">
        <f aca="false">'לקוחות לפי סוכן - מקור'!K782</f>
        <v>CHMI</v>
      </c>
    </row>
    <row r="793" customFormat="false" ht="15" hidden="false" customHeight="true" outlineLevel="1" collapsed="false">
      <c r="A793" s="14" t="str">
        <f aca="false">'לקוחות לפי סוכן - מקור'!A783</f>
        <v>חאזם תלחמי</v>
      </c>
      <c r="B793" s="14" t="str">
        <f aca="false">'לקוחות לפי סוכן - מקור'!C783</f>
        <v>ס. פארם</v>
      </c>
      <c r="C793" s="47" t="str">
        <f aca="false">'לקוחות לפי סוכן - מקור'!E783</f>
        <v>BM ס.פ ראש פינה</v>
      </c>
      <c r="D793" s="22" t="n">
        <f aca="false">'לקוחות לפי סוכן - מקור'!F783</f>
        <v>0</v>
      </c>
      <c r="E793" s="22" t="n">
        <f aca="false">'לקוחות לפי סוכן - מקור'!G783</f>
        <v>4317.2</v>
      </c>
      <c r="F793" s="14" t="n">
        <f aca="false">'לקוחות לפי סוכן - מקור'!D783</f>
        <v>0</v>
      </c>
      <c r="G793" s="15" t="n">
        <f aca="false">'לקוחות לפי סוכן - מקור'!H783</f>
        <v>0</v>
      </c>
      <c r="H793" s="15" t="n">
        <f aca="false">'לקוחות לפי סוכן - מקור'!I783</f>
        <v>0</v>
      </c>
      <c r="I793" s="14" t="str">
        <f aca="false">'לקוחות לפי סוכן - מקור'!K783</f>
        <v>CHMI</v>
      </c>
    </row>
    <row r="794" customFormat="false" ht="15" hidden="false" customHeight="true" outlineLevel="1" collapsed="false">
      <c r="A794" s="14" t="str">
        <f aca="false">'לקוחות לפי סוכן - מקור'!A784</f>
        <v>חאזם תלחמי</v>
      </c>
      <c r="B794" s="14" t="str">
        <f aca="false">'לקוחות לפי סוכן - מקור'!C784</f>
        <v>ס. פארם</v>
      </c>
      <c r="C794" s="47" t="str">
        <f aca="false">'לקוחות לפי סוכן - מקור'!E784</f>
        <v>BM ס.פ גושן קרית מוצקין</v>
      </c>
      <c r="D794" s="22" t="n">
        <f aca="false">'לקוחות לפי סוכן - מקור'!F784</f>
        <v>0</v>
      </c>
      <c r="E794" s="22" t="n">
        <f aca="false">'לקוחות לפי סוכן - מקור'!G784</f>
        <v>5605</v>
      </c>
      <c r="F794" s="14" t="n">
        <f aca="false">'לקוחות לפי סוכן - מקור'!D784</f>
        <v>0</v>
      </c>
      <c r="G794" s="15" t="n">
        <f aca="false">'לקוחות לפי סוכן - מקור'!H784</f>
        <v>0</v>
      </c>
      <c r="H794" s="15" t="n">
        <f aca="false">'לקוחות לפי סוכן - מקור'!I784</f>
        <v>0</v>
      </c>
      <c r="I794" s="14" t="str">
        <f aca="false">'לקוחות לפי סוכן - מקור'!K784</f>
        <v>CHMI</v>
      </c>
    </row>
    <row r="795" customFormat="false" ht="15" hidden="false" customHeight="true" outlineLevel="1" collapsed="false">
      <c r="A795" s="14" t="str">
        <f aca="false">'לקוחות לפי סוכן - מקור'!A785</f>
        <v>חאזם תלחמי</v>
      </c>
      <c r="B795" s="14" t="str">
        <f aca="false">'לקוחות לפי סוכן - מקור'!C785</f>
        <v>ס. פארם</v>
      </c>
      <c r="C795" s="47" t="str">
        <f aca="false">'לקוחות לפי סוכן - מקור'!E785</f>
        <v>BM ס.פ קניון אורות</v>
      </c>
      <c r="D795" s="22" t="n">
        <f aca="false">'לקוחות לפי סוכן - מקור'!F785</f>
        <v>0</v>
      </c>
      <c r="E795" s="22" t="n">
        <f aca="false">'לקוחות לפי סוכן - מקור'!G785</f>
        <v>9877.3</v>
      </c>
      <c r="F795" s="14" t="n">
        <f aca="false">'לקוחות לפי סוכן - מקור'!D785</f>
        <v>0</v>
      </c>
      <c r="G795" s="15" t="n">
        <f aca="false">'לקוחות לפי סוכן - מקור'!H785</f>
        <v>0</v>
      </c>
      <c r="H795" s="15" t="n">
        <f aca="false">'לקוחות לפי סוכן - מקור'!I785</f>
        <v>0</v>
      </c>
      <c r="I795" s="14" t="str">
        <f aca="false">'לקוחות לפי סוכן - מקור'!K785</f>
        <v>CHMI</v>
      </c>
    </row>
    <row r="796" customFormat="false" ht="15" hidden="false" customHeight="true" outlineLevel="1" collapsed="false">
      <c r="A796" s="14" t="str">
        <f aca="false">'לקוחות לפי סוכן - מקור'!A786</f>
        <v>חאזם תלחמי</v>
      </c>
      <c r="B796" s="14" t="str">
        <f aca="false">'לקוחות לפי סוכן - מקור'!C786</f>
        <v>ס. פארם</v>
      </c>
      <c r="C796" s="47" t="str">
        <f aca="false">'לקוחות לפי סוכן - מקור'!E786</f>
        <v>BM ס.פ רכבת עפולה</v>
      </c>
      <c r="D796" s="22" t="n">
        <f aca="false">'לקוחות לפי סוכן - מקור'!F786</f>
        <v>0</v>
      </c>
      <c r="E796" s="22" t="n">
        <f aca="false">'לקוחות לפי סוכן - מקור'!G786</f>
        <v>7471.7</v>
      </c>
      <c r="F796" s="14" t="n">
        <f aca="false">'לקוחות לפי סוכן - מקור'!D786</f>
        <v>0</v>
      </c>
      <c r="G796" s="15" t="n">
        <f aca="false">'לקוחות לפי סוכן - מקור'!H786</f>
        <v>0</v>
      </c>
      <c r="H796" s="15" t="n">
        <f aca="false">'לקוחות לפי סוכן - מקור'!I786</f>
        <v>0</v>
      </c>
      <c r="I796" s="14" t="str">
        <f aca="false">'לקוחות לפי סוכן - מקור'!K786</f>
        <v>CHMI</v>
      </c>
    </row>
    <row r="797" customFormat="false" ht="15" hidden="false" customHeight="true" outlineLevel="1" collapsed="false">
      <c r="A797" s="14" t="str">
        <f aca="false">'לקוחות לפי סוכן - מקור'!A787</f>
        <v>חאזם תלחמי</v>
      </c>
      <c r="B797" s="14" t="str">
        <f aca="false">'לקוחות לפי סוכן - מקור'!C787</f>
        <v>ס. פארם</v>
      </c>
      <c r="C797" s="47" t="str">
        <f aca="false">'לקוחות לפי סוכן - מקור'!E787</f>
        <v>BM ס.פ דלית אל כרמל</v>
      </c>
      <c r="D797" s="22" t="n">
        <f aca="false">'לקוחות לפי סוכן - מקור'!F787</f>
        <v>0</v>
      </c>
      <c r="E797" s="22" t="n">
        <f aca="false">'לקוחות לפי סוכן - מקור'!G787</f>
        <v>7007.4</v>
      </c>
      <c r="F797" s="14" t="n">
        <f aca="false">'לקוחות לפי סוכן - מקור'!D787</f>
        <v>0</v>
      </c>
      <c r="G797" s="15" t="n">
        <f aca="false">'לקוחות לפי סוכן - מקור'!H787</f>
        <v>0</v>
      </c>
      <c r="H797" s="15" t="n">
        <f aca="false">'לקוחות לפי סוכן - מקור'!I787</f>
        <v>0</v>
      </c>
      <c r="I797" s="14" t="str">
        <f aca="false">'לקוחות לפי סוכן - מקור'!K787</f>
        <v>CHMI</v>
      </c>
    </row>
    <row r="798" customFormat="false" ht="15" hidden="false" customHeight="true" outlineLevel="1" collapsed="false">
      <c r="A798" s="14" t="str">
        <f aca="false">'לקוחות לפי סוכן - מקור'!A788</f>
        <v>חאזם תלחמי</v>
      </c>
      <c r="B798" s="14" t="str">
        <f aca="false">'לקוחות לפי סוכן - מקור'!C788</f>
        <v>ס. פארם</v>
      </c>
      <c r="C798" s="47" t="str">
        <f aca="false">'לקוחות לפי סוכן - מקור'!E788</f>
        <v>BM ס.פ כפר כנא</v>
      </c>
      <c r="D798" s="22" t="n">
        <f aca="false">'לקוחות לפי סוכן - מקור'!F788</f>
        <v>0</v>
      </c>
      <c r="E798" s="22" t="n">
        <f aca="false">'לקוחות לפי סוכן - מקור'!G788</f>
        <v>4153</v>
      </c>
      <c r="F798" s="14" t="n">
        <f aca="false">'לקוחות לפי סוכן - מקור'!D788</f>
        <v>0</v>
      </c>
      <c r="G798" s="15" t="n">
        <f aca="false">'לקוחות לפי סוכן - מקור'!H788</f>
        <v>0</v>
      </c>
      <c r="H798" s="15" t="n">
        <f aca="false">'לקוחות לפי סוכן - מקור'!I788</f>
        <v>0</v>
      </c>
      <c r="I798" s="14" t="str">
        <f aca="false">'לקוחות לפי סוכן - מקור'!K788</f>
        <v>CHMI</v>
      </c>
    </row>
    <row r="799" customFormat="false" ht="15" hidden="false" customHeight="true" outlineLevel="1" collapsed="false">
      <c r="A799" s="14" t="str">
        <f aca="false">'לקוחות לפי סוכן - מקור'!A789</f>
        <v>חאזם תלחמי</v>
      </c>
      <c r="B799" s="14" t="str">
        <f aca="false">'לקוחות לפי סוכן - מקור'!C789</f>
        <v>ס. פארם</v>
      </c>
      <c r="C799" s="47" t="str">
        <f aca="false">'לקוחות לפי סוכן - מקור'!E789</f>
        <v>BM ס.פ באקה סנטר</v>
      </c>
      <c r="D799" s="22" t="n">
        <f aca="false">'לקוחות לפי סוכן - מקור'!F789</f>
        <v>0</v>
      </c>
      <c r="E799" s="22" t="n">
        <f aca="false">'לקוחות לפי סוכן - מקור'!G789</f>
        <v>4079.3</v>
      </c>
      <c r="F799" s="14" t="n">
        <f aca="false">'לקוחות לפי סוכן - מקור'!D789</f>
        <v>0</v>
      </c>
      <c r="G799" s="15" t="n">
        <f aca="false">'לקוחות לפי סוכן - מקור'!H789</f>
        <v>0</v>
      </c>
      <c r="H799" s="15" t="n">
        <f aca="false">'לקוחות לפי סוכן - מקור'!I789</f>
        <v>0</v>
      </c>
      <c r="I799" s="14" t="str">
        <f aca="false">'לקוחות לפי סוכן - מקור'!K789</f>
        <v>CHMI</v>
      </c>
    </row>
    <row r="800" customFormat="false" ht="15" hidden="false" customHeight="true" outlineLevel="1" collapsed="false">
      <c r="A800" s="14" t="str">
        <f aca="false">'לקוחות לפי סוכן - מקור'!A790</f>
        <v>חאזם תלחמי</v>
      </c>
      <c r="B800" s="14" t="str">
        <f aca="false">'לקוחות לפי סוכן - מקור'!C790</f>
        <v>ס. פארם</v>
      </c>
      <c r="C800" s="47" t="str">
        <f aca="false">'לקוחות לפי סוכן - מקור'!E790</f>
        <v>BM ס.פ מול כנרת צמח</v>
      </c>
      <c r="D800" s="22" t="n">
        <f aca="false">'לקוחות לפי סוכן - מקור'!F790</f>
        <v>0</v>
      </c>
      <c r="E800" s="22" t="n">
        <f aca="false">'לקוחות לפי סוכן - מקור'!G790</f>
        <v>20586.2</v>
      </c>
      <c r="F800" s="14" t="n">
        <f aca="false">'לקוחות לפי סוכן - מקור'!D790</f>
        <v>0</v>
      </c>
      <c r="G800" s="15" t="n">
        <f aca="false">'לקוחות לפי סוכן - מקור'!H790</f>
        <v>0</v>
      </c>
      <c r="H800" s="15" t="n">
        <f aca="false">'לקוחות לפי סוכן - מקור'!I790</f>
        <v>0</v>
      </c>
      <c r="I800" s="14" t="str">
        <f aca="false">'לקוחות לפי סוכן - מקור'!K790</f>
        <v>CHMI</v>
      </c>
    </row>
    <row r="801" customFormat="false" ht="15" hidden="false" customHeight="true" outlineLevel="1" collapsed="false">
      <c r="A801" s="14" t="str">
        <f aca="false">'לקוחות לפי סוכן - מקור'!A791</f>
        <v>חאזם תלחמי</v>
      </c>
      <c r="B801" s="14" t="str">
        <f aca="false">'לקוחות לפי סוכן - מקור'!C791</f>
        <v>ס. פארם</v>
      </c>
      <c r="C801" s="47" t="str">
        <f aca="false">'לקוחות לפי סוכן - מקור'!E791</f>
        <v>BM ס.פ דושי סנטר נצרת</v>
      </c>
      <c r="D801" s="22" t="n">
        <f aca="false">'לקוחות לפי סוכן - מקור'!F791</f>
        <v>0</v>
      </c>
      <c r="E801" s="22" t="n">
        <f aca="false">'לקוחות לפי סוכן - מקור'!G791</f>
        <v>2816.3</v>
      </c>
      <c r="F801" s="14" t="n">
        <f aca="false">'לקוחות לפי סוכן - מקור'!D791</f>
        <v>0</v>
      </c>
      <c r="G801" s="15" t="n">
        <f aca="false">'לקוחות לפי סוכן - מקור'!H791</f>
        <v>0</v>
      </c>
      <c r="H801" s="15" t="n">
        <f aca="false">'לקוחות לפי סוכן - מקור'!I791</f>
        <v>0</v>
      </c>
      <c r="I801" s="14" t="str">
        <f aca="false">'לקוחות לפי סוכן - מקור'!K791</f>
        <v>CHMI</v>
      </c>
    </row>
    <row r="802" customFormat="false" ht="15" hidden="false" customHeight="true" outlineLevel="1" collapsed="false">
      <c r="A802" s="14" t="str">
        <f aca="false">'לקוחות לפי סוכן - מקור'!A792</f>
        <v>חאזם תלחמי</v>
      </c>
      <c r="B802" s="14" t="str">
        <f aca="false">'לקוחות לפי סוכן - מקור'!C792</f>
        <v>ס. פארם</v>
      </c>
      <c r="C802" s="47" t="str">
        <f aca="false">'לקוחות לפי סוכן - מקור'!E792</f>
        <v>BM ס.פ כפר קרע</v>
      </c>
      <c r="D802" s="22" t="n">
        <f aca="false">'לקוחות לפי סוכן - מקור'!F792</f>
        <v>0</v>
      </c>
      <c r="E802" s="22" t="n">
        <f aca="false">'לקוחות לפי סוכן - מקור'!G792</f>
        <v>6502.8</v>
      </c>
      <c r="F802" s="14" t="n">
        <f aca="false">'לקוחות לפי סוכן - מקור'!D792</f>
        <v>0</v>
      </c>
      <c r="G802" s="15" t="n">
        <f aca="false">'לקוחות לפי סוכן - מקור'!H792</f>
        <v>0</v>
      </c>
      <c r="H802" s="15" t="n">
        <f aca="false">'לקוחות לפי סוכן - מקור'!I792</f>
        <v>0</v>
      </c>
      <c r="I802" s="14" t="str">
        <f aca="false">'לקוחות לפי סוכן - מקור'!K792</f>
        <v>CHMI</v>
      </c>
    </row>
    <row r="803" customFormat="false" ht="15" hidden="false" customHeight="true" outlineLevel="1" collapsed="false">
      <c r="A803" s="14" t="str">
        <f aca="false">'לקוחות לפי סוכן - מקור'!A793</f>
        <v>חאזם תלחמי</v>
      </c>
      <c r="B803" s="14" t="str">
        <f aca="false">'לקוחות לפי סוכן - מקור'!C793</f>
        <v>ס. פארם</v>
      </c>
      <c r="C803" s="47" t="str">
        <f aca="false">'לקוחות לפי סוכן - מקור'!E793</f>
        <v>BM ס.פ ג'דיידה מכר</v>
      </c>
      <c r="D803" s="22" t="n">
        <f aca="false">'לקוחות לפי סוכן - מקור'!F793</f>
        <v>0</v>
      </c>
      <c r="E803" s="22" t="n">
        <f aca="false">'לקוחות לפי סוכן - מקור'!G793</f>
        <v>4360.4</v>
      </c>
      <c r="F803" s="14" t="n">
        <f aca="false">'לקוחות לפי סוכן - מקור'!D793</f>
        <v>0</v>
      </c>
      <c r="G803" s="15" t="n">
        <f aca="false">'לקוחות לפי סוכן - מקור'!H793</f>
        <v>0</v>
      </c>
      <c r="H803" s="15" t="n">
        <f aca="false">'לקוחות לפי סוכן - מקור'!I793</f>
        <v>0</v>
      </c>
      <c r="I803" s="14" t="str">
        <f aca="false">'לקוחות לפי סוכן - מקור'!K793</f>
        <v>CHMI</v>
      </c>
    </row>
    <row r="804" customFormat="false" ht="15" hidden="false" customHeight="true" outlineLevel="1" collapsed="false">
      <c r="A804" s="14" t="str">
        <f aca="false">'לקוחות לפי סוכן - מקור'!A794</f>
        <v>חאזם תלחמי</v>
      </c>
      <c r="B804" s="14" t="str">
        <f aca="false">'לקוחות לפי סוכן - מקור'!C794</f>
        <v>ס. פארם</v>
      </c>
      <c r="C804" s="47" t="str">
        <f aca="false">'לקוחות לפי סוכן - מקור'!E794</f>
        <v>BM ס.פ יוקלר עפולה</v>
      </c>
      <c r="D804" s="22" t="n">
        <f aca="false">'לקוחות לפי סוכן - מקור'!F794</f>
        <v>0</v>
      </c>
      <c r="E804" s="22" t="n">
        <f aca="false">'לקוחות לפי סוכן - מקור'!G794</f>
        <v>2375.5</v>
      </c>
      <c r="F804" s="14" t="n">
        <f aca="false">'לקוחות לפי סוכן - מקור'!D794</f>
        <v>0</v>
      </c>
      <c r="G804" s="15" t="n">
        <f aca="false">'לקוחות לפי סוכן - מקור'!H794</f>
        <v>0</v>
      </c>
      <c r="H804" s="15" t="n">
        <f aca="false">'לקוחות לפי סוכן - מקור'!I794</f>
        <v>0</v>
      </c>
      <c r="I804" s="14" t="str">
        <f aca="false">'לקוחות לפי סוכן - מקור'!K794</f>
        <v>CHMI</v>
      </c>
    </row>
    <row r="805" customFormat="false" ht="15" hidden="false" customHeight="true" outlineLevel="1" collapsed="false">
      <c r="A805" s="14" t="str">
        <f aca="false">'לקוחות לפי סוכן - מקור'!A795</f>
        <v>חאזם תלחמי</v>
      </c>
      <c r="B805" s="14" t="str">
        <f aca="false">'לקוחות לפי סוכן - מקור'!C795</f>
        <v>ס. פארם</v>
      </c>
      <c r="C805" s="47" t="str">
        <f aca="false">'לקוחות לפי סוכן - מקור'!E795</f>
        <v>BM ס.פ עראבה</v>
      </c>
      <c r="D805" s="22" t="n">
        <f aca="false">'לקוחות לפי סוכן - מקור'!F795</f>
        <v>0</v>
      </c>
      <c r="E805" s="22" t="n">
        <f aca="false">'לקוחות לפי סוכן - מקור'!G795</f>
        <v>7884.7</v>
      </c>
      <c r="F805" s="14" t="n">
        <f aca="false">'לקוחות לפי סוכן - מקור'!D795</f>
        <v>0</v>
      </c>
      <c r="G805" s="15" t="n">
        <f aca="false">'לקוחות לפי סוכן - מקור'!H795</f>
        <v>0</v>
      </c>
      <c r="H805" s="15" t="n">
        <f aca="false">'לקוחות לפי סוכן - מקור'!I795</f>
        <v>0</v>
      </c>
      <c r="I805" s="14" t="str">
        <f aca="false">'לקוחות לפי סוכן - מקור'!K795</f>
        <v>CHMI</v>
      </c>
    </row>
    <row r="806" customFormat="false" ht="15" hidden="false" customHeight="true" outlineLevel="1" collapsed="false">
      <c r="A806" s="14" t="str">
        <f aca="false">'לקוחות לפי סוכן - מקור'!A796</f>
        <v>חאזם תלחמי</v>
      </c>
      <c r="B806" s="14" t="str">
        <f aca="false">'לקוחות לפי סוכן - מקור'!C796</f>
        <v>ס. פארם</v>
      </c>
      <c r="C806" s="47" t="str">
        <f aca="false">'לקוחות לפי סוכן - מקור'!E796</f>
        <v>671 BM ס.פ פבריק עמק חפר</v>
      </c>
      <c r="D806" s="22" t="n">
        <f aca="false">'לקוחות לפי סוכן - מקור'!F796</f>
        <v>0</v>
      </c>
      <c r="E806" s="22" t="n">
        <f aca="false">'לקוחות לפי סוכן - מקור'!G796</f>
        <v>41267.4</v>
      </c>
      <c r="F806" s="14" t="n">
        <f aca="false">'לקוחות לפי סוכן - מקור'!D796</f>
        <v>0</v>
      </c>
      <c r="G806" s="15" t="n">
        <f aca="false">'לקוחות לפי סוכן - מקור'!H796</f>
        <v>0</v>
      </c>
      <c r="H806" s="15" t="n">
        <f aca="false">'לקוחות לפי סוכן - מקור'!I796</f>
        <v>0</v>
      </c>
      <c r="I806" s="14" t="str">
        <f aca="false">'לקוחות לפי סוכן - מקור'!K796</f>
        <v>CHMI</v>
      </c>
    </row>
    <row r="807" customFormat="false" ht="15" hidden="false" customHeight="true" outlineLevel="1" collapsed="false">
      <c r="A807" s="14" t="str">
        <f aca="false">'לקוחות לפי סוכן - מקור'!A797</f>
        <v>חאזם תלחמי</v>
      </c>
      <c r="B807" s="14" t="str">
        <f aca="false">'לקוחות לפי סוכן - מקור'!C797</f>
        <v>ס. פארם</v>
      </c>
      <c r="C807" s="47" t="str">
        <f aca="false">'לקוחות לפי סוכן - מקור'!E797</f>
        <v>BM ס.פ חריש בעיר</v>
      </c>
      <c r="D807" s="22" t="n">
        <f aca="false">'לקוחות לפי סוכן - מקור'!F797</f>
        <v>0</v>
      </c>
      <c r="E807" s="22" t="n">
        <f aca="false">'לקוחות לפי סוכן - מקור'!G797</f>
        <v>9129</v>
      </c>
      <c r="F807" s="14" t="n">
        <f aca="false">'לקוחות לפי סוכן - מקור'!D797</f>
        <v>0</v>
      </c>
      <c r="G807" s="15" t="n">
        <f aca="false">'לקוחות לפי סוכן - מקור'!H797</f>
        <v>0</v>
      </c>
      <c r="H807" s="15" t="n">
        <f aca="false">'לקוחות לפי סוכן - מקור'!I797</f>
        <v>0</v>
      </c>
      <c r="I807" s="14" t="str">
        <f aca="false">'לקוחות לפי סוכן - מקור'!K797</f>
        <v>CHMI</v>
      </c>
    </row>
    <row r="808" customFormat="false" ht="15" hidden="false" customHeight="true" outlineLevel="1" collapsed="false">
      <c r="A808" s="14" t="str">
        <f aca="false">'לקוחות לפי סוכן - מקור'!A798</f>
        <v>חאזם תלחמי</v>
      </c>
      <c r="B808" s="14" t="str">
        <f aca="false">'לקוחות לפי סוכן - מקור'!C798</f>
        <v>ס. פארם</v>
      </c>
      <c r="C808" s="47" t="str">
        <f aca="false">'לקוחות לפי סוכן - מקור'!E798</f>
        <v>BM ק. ים SEA ס.פ</v>
      </c>
      <c r="D808" s="22" t="n">
        <f aca="false">'לקוחות לפי סוכן - מקור'!F798</f>
        <v>0</v>
      </c>
      <c r="E808" s="22" t="n">
        <f aca="false">'לקוחות לפי סוכן - מקור'!G798</f>
        <v>5187.3</v>
      </c>
      <c r="F808" s="14" t="n">
        <f aca="false">'לקוחות לפי סוכן - מקור'!D798</f>
        <v>0</v>
      </c>
      <c r="G808" s="15" t="n">
        <f aca="false">'לקוחות לפי סוכן - מקור'!H798</f>
        <v>0</v>
      </c>
      <c r="H808" s="15" t="n">
        <f aca="false">'לקוחות לפי סוכן - מקור'!I798</f>
        <v>0</v>
      </c>
      <c r="I808" s="14" t="str">
        <f aca="false">'לקוחות לפי סוכן - מקור'!K798</f>
        <v>CHMI</v>
      </c>
    </row>
    <row r="809" customFormat="false" ht="15" hidden="false" customHeight="true" outlineLevel="1" collapsed="false">
      <c r="A809" s="14" t="str">
        <f aca="false">'לקוחות לפי סוכן - מקור'!A799</f>
        <v>חאזם תלחמי</v>
      </c>
      <c r="B809" s="14" t="str">
        <f aca="false">'לקוחות לפי סוכן - מקור'!C799</f>
        <v>ס. פארם</v>
      </c>
      <c r="C809" s="47" t="str">
        <f aca="false">'לקוחות לפי סוכן - מקור'!E799</f>
        <v>BM ס.פ גבעת אלונים</v>
      </c>
      <c r="D809" s="22" t="n">
        <f aca="false">'לקוחות לפי סוכן - מקור'!F799</f>
        <v>0</v>
      </c>
      <c r="E809" s="22" t="n">
        <f aca="false">'לקוחות לפי סוכן - מקור'!G799</f>
        <v>1815.5</v>
      </c>
      <c r="F809" s="14" t="n">
        <f aca="false">'לקוחות לפי סוכן - מקור'!D799</f>
        <v>0</v>
      </c>
      <c r="G809" s="15" t="n">
        <f aca="false">'לקוחות לפי סוכן - מקור'!H799</f>
        <v>0</v>
      </c>
      <c r="H809" s="15" t="n">
        <f aca="false">'לקוחות לפי סוכן - מקור'!I799</f>
        <v>0</v>
      </c>
      <c r="I809" s="14" t="str">
        <f aca="false">'לקוחות לפי סוכן - מקור'!K799</f>
        <v>CHMI</v>
      </c>
    </row>
    <row r="810" customFormat="false" ht="15" hidden="false" customHeight="true" outlineLevel="1" collapsed="false">
      <c r="A810" s="14" t="str">
        <f aca="false">'לקוחות לפי סוכן - מקור'!A800</f>
        <v>חאזם תלחמי</v>
      </c>
      <c r="B810" s="14" t="str">
        <f aca="false">'לקוחות לפי סוכן - מקור'!C800</f>
        <v>ס. פארם</v>
      </c>
      <c r="C810" s="47" t="str">
        <f aca="false">'לקוחות לפי סוכן - מקור'!E800</f>
        <v>BM ס.פ אעבלין</v>
      </c>
      <c r="D810" s="22" t="n">
        <f aca="false">'לקוחות לפי סוכן - מקור'!F800</f>
        <v>0</v>
      </c>
      <c r="E810" s="22" t="n">
        <f aca="false">'לקוחות לפי סוכן - מקור'!G800</f>
        <v>3026.2</v>
      </c>
      <c r="F810" s="14" t="n">
        <f aca="false">'לקוחות לפי סוכן - מקור'!D800</f>
        <v>0</v>
      </c>
      <c r="G810" s="15" t="n">
        <f aca="false">'לקוחות לפי סוכן - מקור'!H800</f>
        <v>0</v>
      </c>
      <c r="H810" s="15" t="n">
        <f aca="false">'לקוחות לפי סוכן - מקור'!I800</f>
        <v>0</v>
      </c>
      <c r="I810" s="14" t="str">
        <f aca="false">'לקוחות לפי סוכן - מקור'!K800</f>
        <v>CHMI</v>
      </c>
    </row>
    <row r="811" customFormat="false" ht="15" hidden="false" customHeight="true" outlineLevel="1" collapsed="false">
      <c r="A811" s="14" t="str">
        <f aca="false">'לקוחות לפי סוכן - מקור'!A801</f>
        <v>חאזם תלחמי</v>
      </c>
      <c r="B811" s="14" t="str">
        <f aca="false">'לקוחות לפי סוכן - מקור'!C801</f>
        <v>ס. פארם</v>
      </c>
      <c r="C811" s="47" t="str">
        <f aca="false">'לקוחות לפי סוכן - מקור'!E801</f>
        <v>BM ס.פ פארק תעשיות עמק חפר</v>
      </c>
      <c r="D811" s="22" t="n">
        <f aca="false">'לקוחות לפי סוכן - מקור'!F801</f>
        <v>0</v>
      </c>
      <c r="E811" s="22" t="n">
        <f aca="false">'לקוחות לפי סוכן - מקור'!G801</f>
        <v>-995.5</v>
      </c>
      <c r="F811" s="14" t="n">
        <f aca="false">'לקוחות לפי סוכן - מקור'!D801</f>
        <v>0</v>
      </c>
      <c r="G811" s="15" t="n">
        <f aca="false">'לקוחות לפי סוכן - מקור'!H801</f>
        <v>0</v>
      </c>
      <c r="H811" s="15" t="n">
        <f aca="false">'לקוחות לפי סוכן - מקור'!I801</f>
        <v>0</v>
      </c>
      <c r="I811" s="14" t="str">
        <f aca="false">'לקוחות לפי סוכן - מקור'!K801</f>
        <v>CHMI</v>
      </c>
    </row>
    <row r="812" customFormat="false" ht="15" hidden="false" customHeight="true" outlineLevel="1" collapsed="false">
      <c r="A812" s="14" t="str">
        <f aca="false">'לקוחות לפי סוכן - מקור'!A802</f>
        <v>חאזם תלחמי</v>
      </c>
      <c r="B812" s="14" t="str">
        <f aca="false">'לקוחות לפי סוכן - מקור'!C802</f>
        <v>ס. פארם</v>
      </c>
      <c r="C812" s="47" t="str">
        <f aca="false">'לקוחות לפי סוכן - מקור'!E802</f>
        <v>BM ס.פ הבנקים חיפה</v>
      </c>
      <c r="D812" s="22" t="n">
        <f aca="false">'לקוחות לפי סוכן - מקור'!F802</f>
        <v>0</v>
      </c>
      <c r="E812" s="22" t="n">
        <f aca="false">'לקוחות לפי סוכן - מקור'!G802</f>
        <v>3940.4</v>
      </c>
      <c r="F812" s="14" t="n">
        <f aca="false">'לקוחות לפי סוכן - מקור'!D802</f>
        <v>0</v>
      </c>
      <c r="G812" s="15" t="n">
        <f aca="false">'לקוחות לפי סוכן - מקור'!H802</f>
        <v>0</v>
      </c>
      <c r="H812" s="15" t="n">
        <f aca="false">'לקוחות לפי סוכן - מקור'!I802</f>
        <v>0</v>
      </c>
      <c r="I812" s="14" t="str">
        <f aca="false">'לקוחות לפי סוכן - מקור'!K802</f>
        <v>CHMI</v>
      </c>
    </row>
    <row r="813" customFormat="false" ht="15" hidden="false" customHeight="true" outlineLevel="1" collapsed="false">
      <c r="A813" s="14" t="str">
        <f aca="false">'לקוחות לפי סוכן - מקור'!A803</f>
        <v>חאזם תלחמי</v>
      </c>
      <c r="B813" s="14" t="str">
        <f aca="false">'לקוחות לפי סוכן - מקור'!C803</f>
        <v>ס. פארם</v>
      </c>
      <c r="C813" s="47" t="str">
        <f aca="false">'לקוחות לפי סוכן - מקור'!E803</f>
        <v>BM ס.פ ביג מגדל העמק</v>
      </c>
      <c r="D813" s="22" t="n">
        <f aca="false">'לקוחות לפי סוכן - מקור'!F803</f>
        <v>0</v>
      </c>
      <c r="E813" s="22" t="n">
        <f aca="false">'לקוחות לפי סוכן - מקור'!G803</f>
        <v>6794</v>
      </c>
      <c r="F813" s="14" t="n">
        <f aca="false">'לקוחות לפי סוכן - מקור'!D803</f>
        <v>0</v>
      </c>
      <c r="G813" s="15" t="n">
        <f aca="false">'לקוחות לפי סוכן - מקור'!H803</f>
        <v>0</v>
      </c>
      <c r="H813" s="15" t="n">
        <f aca="false">'לקוחות לפי סוכן - מקור'!I803</f>
        <v>0</v>
      </c>
      <c r="I813" s="14" t="str">
        <f aca="false">'לקוחות לפי סוכן - מקור'!K803</f>
        <v>CHMI</v>
      </c>
    </row>
    <row r="814" customFormat="false" ht="15" hidden="false" customHeight="true" outlineLevel="1" collapsed="false">
      <c r="A814" s="14" t="str">
        <f aca="false">'לקוחות לפי סוכן - מקור'!A804</f>
        <v>חאזם תלחמי</v>
      </c>
      <c r="B814" s="14" t="str">
        <f aca="false">'לקוחות לפי סוכן - מקור'!C804</f>
        <v>ס. פארם</v>
      </c>
      <c r="C814" s="47" t="str">
        <f aca="false">'לקוחות לפי סוכן - מקור'!E804</f>
        <v>BM ס.פ אפקה קרית ביאליק</v>
      </c>
      <c r="D814" s="22" t="n">
        <f aca="false">'לקוחות לפי סוכן - מקור'!F804</f>
        <v>0</v>
      </c>
      <c r="E814" s="22" t="n">
        <f aca="false">'לקוחות לפי סוכן - מקור'!G804</f>
        <v>2209.3</v>
      </c>
      <c r="F814" s="14" t="n">
        <f aca="false">'לקוחות לפי סוכן - מקור'!D804</f>
        <v>0</v>
      </c>
      <c r="G814" s="15" t="n">
        <f aca="false">'לקוחות לפי סוכן - מקור'!H804</f>
        <v>0</v>
      </c>
      <c r="H814" s="15" t="n">
        <f aca="false">'לקוחות לפי סוכן - מקור'!I804</f>
        <v>0</v>
      </c>
      <c r="I814" s="14" t="str">
        <f aca="false">'לקוחות לפי סוכן - מקור'!K804</f>
        <v>CHMI</v>
      </c>
    </row>
    <row r="815" customFormat="false" ht="15" hidden="false" customHeight="true" outlineLevel="1" collapsed="false">
      <c r="A815" s="14" t="str">
        <f aca="false">'לקוחות לפי סוכן - מקור'!A805</f>
        <v>חאזם תלחמי</v>
      </c>
      <c r="B815" s="14" t="str">
        <f aca="false">'לקוחות לפי סוכן - מקור'!C805</f>
        <v>ס. פארם</v>
      </c>
      <c r="C815" s="47" t="str">
        <f aca="false">'לקוחות לפי סוכן - מקור'!E805</f>
        <v>BM ס.פ צים טמרה</v>
      </c>
      <c r="D815" s="22" t="n">
        <f aca="false">'לקוחות לפי סוכן - מקור'!F805</f>
        <v>0</v>
      </c>
      <c r="E815" s="22" t="n">
        <f aca="false">'לקוחות לפי סוכן - מקור'!G805</f>
        <v>4665</v>
      </c>
      <c r="F815" s="14" t="n">
        <f aca="false">'לקוחות לפי סוכן - מקור'!D805</f>
        <v>0</v>
      </c>
      <c r="G815" s="15" t="n">
        <f aca="false">'לקוחות לפי סוכן - מקור'!H805</f>
        <v>0</v>
      </c>
      <c r="H815" s="15" t="n">
        <f aca="false">'לקוחות לפי סוכן - מקור'!I805</f>
        <v>0</v>
      </c>
      <c r="I815" s="14" t="str">
        <f aca="false">'לקוחות לפי סוכן - מקור'!K805</f>
        <v>CHMI</v>
      </c>
    </row>
    <row r="816" customFormat="false" ht="15" hidden="false" customHeight="true" outlineLevel="1" collapsed="false">
      <c r="A816" s="14" t="str">
        <f aca="false">'לקוחות לפי סוכן - מקור'!A806</f>
        <v>חאזם תלחמי</v>
      </c>
      <c r="B816" s="14" t="str">
        <f aca="false">'לקוחות לפי סוכן - מקור'!C806</f>
        <v>ס. פארם</v>
      </c>
      <c r="C816" s="47" t="str">
        <f aca="false">'לקוחות לפי סוכן - מקור'!E806</f>
        <v>BM ס.פ האומנים קרית מוצקין</v>
      </c>
      <c r="D816" s="22" t="n">
        <f aca="false">'לקוחות לפי סוכן - מקור'!F806</f>
        <v>0</v>
      </c>
      <c r="E816" s="22" t="n">
        <f aca="false">'לקוחות לפי סוכן - מקור'!G806</f>
        <v>1149.7</v>
      </c>
      <c r="F816" s="14" t="n">
        <f aca="false">'לקוחות לפי סוכן - מקור'!D806</f>
        <v>0</v>
      </c>
      <c r="G816" s="15" t="n">
        <f aca="false">'לקוחות לפי סוכן - מקור'!H806</f>
        <v>0</v>
      </c>
      <c r="H816" s="15" t="n">
        <f aca="false">'לקוחות לפי סוכן - מקור'!I806</f>
        <v>0</v>
      </c>
      <c r="I816" s="14" t="str">
        <f aca="false">'לקוחות לפי סוכן - מקור'!K806</f>
        <v>CHMI</v>
      </c>
    </row>
    <row r="817" customFormat="false" ht="15" hidden="false" customHeight="true" outlineLevel="1" collapsed="false">
      <c r="A817" s="14" t="str">
        <f aca="false">'לקוחות לפי סוכן - מקור'!A807</f>
        <v>חאזם תלחמי</v>
      </c>
      <c r="B817" s="14" t="str">
        <f aca="false">'לקוחות לפי סוכן - מקור'!C807</f>
        <v>שופרסל BE</v>
      </c>
      <c r="C817" s="47" t="str">
        <f aca="false">'לקוחות לפי סוכן - מקור'!E807</f>
        <v>650 חיפה BE</v>
      </c>
      <c r="D817" s="22" t="n">
        <f aca="false">'לקוחות לפי סוכן - מקור'!F807</f>
        <v>0</v>
      </c>
      <c r="E817" s="22" t="n">
        <f aca="false">'לקוחות לפי סוכן - מקור'!G807</f>
        <v>21263.9</v>
      </c>
      <c r="F817" s="14" t="n">
        <f aca="false">'לקוחות לפי סוכן - מקור'!D807</f>
        <v>0</v>
      </c>
      <c r="G817" s="15" t="n">
        <f aca="false">'לקוחות לפי סוכן - מקור'!H807</f>
        <v>0</v>
      </c>
      <c r="H817" s="15" t="n">
        <f aca="false">'לקוחות לפי סוכן - מקור'!I807</f>
        <v>0</v>
      </c>
      <c r="I817" s="14" t="str">
        <f aca="false">'לקוחות לפי סוכן - מקור'!K807</f>
        <v>CHMI</v>
      </c>
    </row>
    <row r="818" customFormat="false" ht="15" hidden="false" customHeight="true" outlineLevel="1" collapsed="false">
      <c r="A818" s="14" t="str">
        <f aca="false">'לקוחות לפי סוכן - מקור'!A808</f>
        <v>חאזם תלחמי</v>
      </c>
      <c r="B818" s="14" t="str">
        <f aca="false">'לקוחות לפי סוכן - מקור'!C808</f>
        <v>שופרסל BE</v>
      </c>
      <c r="C818" s="47" t="str">
        <f aca="false">'לקוחות לפי סוכן - מקור'!E808</f>
        <v>659 פארם הדר חיפה BE</v>
      </c>
      <c r="D818" s="22" t="n">
        <f aca="false">'לקוחות לפי סוכן - מקור'!F808</f>
        <v>0</v>
      </c>
      <c r="E818" s="22" t="n">
        <f aca="false">'לקוחות לפי סוכן - מקור'!G808</f>
        <v>5019.8</v>
      </c>
      <c r="F818" s="14" t="n">
        <f aca="false">'לקוחות לפי סוכן - מקור'!D808</f>
        <v>0</v>
      </c>
      <c r="G818" s="15" t="n">
        <f aca="false">'לקוחות לפי סוכן - מקור'!H808</f>
        <v>0</v>
      </c>
      <c r="H818" s="15" t="n">
        <f aca="false">'לקוחות לפי סוכן - מקור'!I808</f>
        <v>0</v>
      </c>
      <c r="I818" s="14" t="str">
        <f aca="false">'לקוחות לפי סוכן - מקור'!K808</f>
        <v>CHMI</v>
      </c>
    </row>
    <row r="819" customFormat="false" ht="15" hidden="false" customHeight="true" outlineLevel="1" collapsed="false">
      <c r="A819" s="14" t="str">
        <f aca="false">'לקוחות לפי סוכן - מקור'!A809</f>
        <v>חאזם תלחמי</v>
      </c>
      <c r="B819" s="14" t="str">
        <f aca="false">'לקוחות לפי סוכן - מקור'!C809</f>
        <v>שופרסל BE</v>
      </c>
      <c r="C819" s="47" t="str">
        <f aca="false">'לקוחות לפי סוכן - מקור'!E809</f>
        <v>633 תל חנן נשר BE</v>
      </c>
      <c r="D819" s="22" t="n">
        <f aca="false">'לקוחות לפי סוכן - מקור'!F809</f>
        <v>0</v>
      </c>
      <c r="E819" s="22" t="n">
        <f aca="false">'לקוחות לפי סוכן - מקור'!G809</f>
        <v>7251.7</v>
      </c>
      <c r="F819" s="14" t="n">
        <f aca="false">'לקוחות לפי סוכן - מקור'!D809</f>
        <v>0</v>
      </c>
      <c r="G819" s="15" t="n">
        <f aca="false">'לקוחות לפי סוכן - מקור'!H809</f>
        <v>0</v>
      </c>
      <c r="H819" s="15" t="n">
        <f aca="false">'לקוחות לפי סוכן - מקור'!I809</f>
        <v>0</v>
      </c>
      <c r="I819" s="14" t="str">
        <f aca="false">'לקוחות לפי סוכן - מקור'!K809</f>
        <v>CHMI</v>
      </c>
    </row>
    <row r="820" customFormat="false" ht="15" hidden="false" customHeight="true" outlineLevel="1" collapsed="false">
      <c r="A820" s="14" t="str">
        <f aca="false">'לקוחות לפי סוכן - מקור'!A810</f>
        <v>חאזם תלחמי</v>
      </c>
      <c r="B820" s="14" t="str">
        <f aca="false">'לקוחות לפי סוכן - מקור'!C810</f>
        <v>שופרסל BE</v>
      </c>
      <c r="C820" s="47" t="str">
        <f aca="false">'לקוחות לפי סוכן - מקור'!E810</f>
        <v>638 משמר השרון BE</v>
      </c>
      <c r="D820" s="22" t="n">
        <f aca="false">'לקוחות לפי סוכן - מקור'!F810</f>
        <v>0</v>
      </c>
      <c r="E820" s="22" t="n">
        <f aca="false">'לקוחות לפי סוכן - מקור'!G810</f>
        <v>22837.6</v>
      </c>
      <c r="F820" s="14" t="n">
        <f aca="false">'לקוחות לפי סוכן - מקור'!D810</f>
        <v>0</v>
      </c>
      <c r="G820" s="15" t="n">
        <f aca="false">'לקוחות לפי סוכן - מקור'!H810</f>
        <v>0</v>
      </c>
      <c r="H820" s="15" t="n">
        <f aca="false">'לקוחות לפי סוכן - מקור'!I810</f>
        <v>0</v>
      </c>
      <c r="I820" s="14" t="str">
        <f aca="false">'לקוחות לפי סוכן - מקור'!K810</f>
        <v>CHMI</v>
      </c>
    </row>
    <row r="821" customFormat="false" ht="15" hidden="false" customHeight="true" outlineLevel="1" collapsed="false">
      <c r="A821" s="14" t="str">
        <f aca="false">'לקוחות לפי סוכן - מקור'!A811</f>
        <v>חאזם תלחמי</v>
      </c>
      <c r="B821" s="14" t="str">
        <f aca="false">'לקוחות לפי סוכן - מקור'!C811</f>
        <v>שופרסל BE</v>
      </c>
      <c r="C821" s="47" t="str">
        <f aca="false">'לקוחות לפי סוכן - מקור'!E811</f>
        <v>640 דלית אל כרמל BE</v>
      </c>
      <c r="D821" s="22" t="n">
        <f aca="false">'לקוחות לפי סוכן - מקור'!F811</f>
        <v>0</v>
      </c>
      <c r="E821" s="22" t="n">
        <f aca="false">'לקוחות לפי סוכן - מקור'!G811</f>
        <v>11115.8</v>
      </c>
      <c r="F821" s="14" t="n">
        <f aca="false">'לקוחות לפי סוכן - מקור'!D811</f>
        <v>0</v>
      </c>
      <c r="G821" s="15" t="n">
        <f aca="false">'לקוחות לפי סוכן - מקור'!H811</f>
        <v>0</v>
      </c>
      <c r="H821" s="15" t="n">
        <f aca="false">'לקוחות לפי סוכן - מקור'!I811</f>
        <v>0</v>
      </c>
      <c r="I821" s="14" t="str">
        <f aca="false">'לקוחות לפי סוכן - מקור'!K811</f>
        <v>CHMI</v>
      </c>
    </row>
    <row r="822" customFormat="false" ht="15" hidden="false" customHeight="true" outlineLevel="1" collapsed="false">
      <c r="A822" s="14" t="str">
        <f aca="false">'לקוחות לפי סוכן - מקור'!A812</f>
        <v>חאזם תלחמי</v>
      </c>
      <c r="B822" s="14" t="str">
        <f aca="false">'לקוחות לפי סוכן - מקור'!C812</f>
        <v>שופרסל BE</v>
      </c>
      <c r="C822" s="47" t="str">
        <f aca="false">'לקוחות לפי סוכן - מקור'!E812</f>
        <v>673 פנורמה חיפה BE</v>
      </c>
      <c r="D822" s="22" t="n">
        <f aca="false">'לקוחות לפי סוכן - מקור'!F812</f>
        <v>0</v>
      </c>
      <c r="E822" s="22" t="n">
        <f aca="false">'לקוחות לפי סוכן - מקור'!G812</f>
        <v>1746.6</v>
      </c>
      <c r="F822" s="14" t="n">
        <f aca="false">'לקוחות לפי סוכן - מקור'!D812</f>
        <v>0</v>
      </c>
      <c r="G822" s="15" t="n">
        <f aca="false">'לקוחות לפי סוכן - מקור'!H812</f>
        <v>0</v>
      </c>
      <c r="H822" s="15" t="n">
        <f aca="false">'לקוחות לפי סוכן - מקור'!I812</f>
        <v>0</v>
      </c>
      <c r="I822" s="14" t="str">
        <f aca="false">'לקוחות לפי סוכן - מקור'!K812</f>
        <v>CHMI</v>
      </c>
    </row>
    <row r="823" customFormat="false" ht="15" hidden="false" customHeight="true" outlineLevel="1" collapsed="false">
      <c r="A823" s="14" t="str">
        <f aca="false">'לקוחות לפי סוכן - מקור'!A813</f>
        <v>חאזם תלחמי</v>
      </c>
      <c r="B823" s="14" t="str">
        <f aca="false">'לקוחות לפי סוכן - מקור'!C813</f>
        <v>שופרסל BE</v>
      </c>
      <c r="C823" s="47" t="str">
        <f aca="false">'לקוחות לפי סוכן - מקור'!E813</f>
        <v>635 ראש פינה BE</v>
      </c>
      <c r="D823" s="22" t="n">
        <f aca="false">'לקוחות לפי סוכן - מקור'!F813</f>
        <v>0</v>
      </c>
      <c r="E823" s="22" t="n">
        <f aca="false">'לקוחות לפי סוכן - מקור'!G813</f>
        <v>6157.7</v>
      </c>
      <c r="F823" s="14" t="n">
        <f aca="false">'לקוחות לפי סוכן - מקור'!D813</f>
        <v>0</v>
      </c>
      <c r="G823" s="15" t="n">
        <f aca="false">'לקוחות לפי סוכן - מקור'!H813</f>
        <v>0</v>
      </c>
      <c r="H823" s="15" t="n">
        <f aca="false">'לקוחות לפי סוכן - מקור'!I813</f>
        <v>0</v>
      </c>
      <c r="I823" s="14" t="str">
        <f aca="false">'לקוחות לפי סוכן - מקור'!K813</f>
        <v>CHMI</v>
      </c>
    </row>
    <row r="824" customFormat="false" ht="15" hidden="false" customHeight="true" outlineLevel="1" collapsed="false">
      <c r="A824" s="14" t="str">
        <f aca="false">'לקוחות לפי סוכן - מקור'!A814</f>
        <v>חאזם תלחמי</v>
      </c>
      <c r="B824" s="14" t="str">
        <f aca="false">'לקוחות לפי סוכן - מקור'!C814</f>
        <v>שופרסל BE</v>
      </c>
      <c r="C824" s="47" t="str">
        <f aca="false">'לקוחות לפי סוכן - מקור'!E814</f>
        <v>658   קרית אתא BE</v>
      </c>
      <c r="D824" s="22" t="n">
        <f aca="false">'לקוחות לפי סוכן - מקור'!F814</f>
        <v>0</v>
      </c>
      <c r="E824" s="22" t="n">
        <f aca="false">'לקוחות לפי סוכן - מקור'!G814</f>
        <v>179.4</v>
      </c>
      <c r="F824" s="14" t="n">
        <f aca="false">'לקוחות לפי סוכן - מקור'!D814</f>
        <v>0</v>
      </c>
      <c r="G824" s="15" t="n">
        <f aca="false">'לקוחות לפי סוכן - מקור'!H814</f>
        <v>0</v>
      </c>
      <c r="H824" s="15" t="n">
        <f aca="false">'לקוחות לפי סוכן - מקור'!I814</f>
        <v>0</v>
      </c>
      <c r="I824" s="14" t="str">
        <f aca="false">'לקוחות לפי סוכן - מקור'!K814</f>
        <v>CHMI</v>
      </c>
    </row>
    <row r="825" customFormat="false" ht="15" hidden="false" customHeight="true" outlineLevel="1" collapsed="false">
      <c r="A825" s="14" t="str">
        <f aca="false">'לקוחות לפי סוכן - מקור'!A815</f>
        <v>חאזם תלחמי</v>
      </c>
      <c r="B825" s="14" t="str">
        <f aca="false">'לקוחות לפי סוכן - מקור'!C815</f>
        <v>שופרסל BE</v>
      </c>
      <c r="C825" s="47" t="str">
        <f aca="false">'לקוחות לפי סוכן - מקור'!E815</f>
        <v>697 ירכא BE</v>
      </c>
      <c r="D825" s="22" t="n">
        <f aca="false">'לקוחות לפי סוכן - מקור'!F815</f>
        <v>0</v>
      </c>
      <c r="E825" s="22" t="n">
        <f aca="false">'לקוחות לפי סוכן - מקור'!G815</f>
        <v>10992.7</v>
      </c>
      <c r="F825" s="14" t="n">
        <f aca="false">'לקוחות לפי סוכן - מקור'!D815</f>
        <v>0</v>
      </c>
      <c r="G825" s="15" t="n">
        <f aca="false">'לקוחות לפי סוכן - מקור'!H815</f>
        <v>0</v>
      </c>
      <c r="H825" s="15" t="n">
        <f aca="false">'לקוחות לפי סוכן - מקור'!I815</f>
        <v>0</v>
      </c>
      <c r="I825" s="14" t="str">
        <f aca="false">'לקוחות לפי סוכן - מקור'!K815</f>
        <v>CHMI</v>
      </c>
    </row>
    <row r="826" customFormat="false" ht="15" hidden="false" customHeight="true" outlineLevel="1" collapsed="false">
      <c r="A826" s="14" t="str">
        <f aca="false">'לקוחות לפי סוכן - מקור'!A816</f>
        <v>חאזם תלחמי</v>
      </c>
      <c r="B826" s="14" t="str">
        <f aca="false">'לקוחות לפי סוכן - מקור'!C816</f>
        <v>שופרסל BE</v>
      </c>
      <c r="C826" s="47" t="str">
        <f aca="false">'לקוחות לפי סוכן - מקור'!E816</f>
        <v>642 אלונים טבעון BE</v>
      </c>
      <c r="D826" s="22" t="n">
        <f aca="false">'לקוחות לפי סוכן - מקור'!F816</f>
        <v>0</v>
      </c>
      <c r="E826" s="22" t="n">
        <f aca="false">'לקוחות לפי סוכן - מקור'!G816</f>
        <v>6458.2</v>
      </c>
      <c r="F826" s="14" t="n">
        <f aca="false">'לקוחות לפי סוכן - מקור'!D816</f>
        <v>0</v>
      </c>
      <c r="G826" s="15" t="n">
        <f aca="false">'לקוחות לפי סוכן - מקור'!H816</f>
        <v>0</v>
      </c>
      <c r="H826" s="15" t="n">
        <f aca="false">'לקוחות לפי סוכן - מקור'!I816</f>
        <v>0</v>
      </c>
      <c r="I826" s="14" t="str">
        <f aca="false">'לקוחות לפי סוכן - מקור'!K816</f>
        <v>CHMI</v>
      </c>
    </row>
    <row r="827" customFormat="false" ht="15" hidden="false" customHeight="true" outlineLevel="1" collapsed="false">
      <c r="A827" s="14" t="str">
        <f aca="false">'לקוחות לפי סוכן - מקור'!A817</f>
        <v>חאזם תלחמי</v>
      </c>
      <c r="B827" s="14" t="str">
        <f aca="false">'לקוחות לפי סוכן - מקור'!C817</f>
        <v>שופרסל BE</v>
      </c>
      <c r="C827" s="47" t="str">
        <f aca="false">'לקוחות לפי סוכן - מקור'!E817</f>
        <v>676   יקנעם BE</v>
      </c>
      <c r="D827" s="22" t="n">
        <f aca="false">'לקוחות לפי סוכן - מקור'!F817</f>
        <v>0</v>
      </c>
      <c r="E827" s="22" t="n">
        <f aca="false">'לקוחות לפי סוכן - מקור'!G817</f>
        <v>14554</v>
      </c>
      <c r="F827" s="14" t="n">
        <f aca="false">'לקוחות לפי סוכן - מקור'!D817</f>
        <v>0</v>
      </c>
      <c r="G827" s="15" t="n">
        <f aca="false">'לקוחות לפי סוכן - מקור'!H817</f>
        <v>0</v>
      </c>
      <c r="H827" s="15" t="n">
        <f aca="false">'לקוחות לפי סוכן - מקור'!I817</f>
        <v>0</v>
      </c>
      <c r="I827" s="14" t="str">
        <f aca="false">'לקוחות לפי סוכן - מקור'!K817</f>
        <v>CHMI</v>
      </c>
    </row>
    <row r="828" customFormat="false" ht="15" hidden="false" customHeight="true" outlineLevel="1" collapsed="false">
      <c r="A828" s="14" t="str">
        <f aca="false">'לקוחות לפי סוכן - מקור'!A818</f>
        <v>חאזם תלחמי</v>
      </c>
      <c r="B828" s="14" t="str">
        <f aca="false">'לקוחות לפי סוכן - מקור'!C818</f>
        <v>שופרסל BE</v>
      </c>
      <c r="C828" s="47" t="str">
        <f aca="false">'לקוחות לפי סוכן - מקור'!E818</f>
        <v>649  פארם עכו BE</v>
      </c>
      <c r="D828" s="22" t="n">
        <f aca="false">'לקוחות לפי סוכן - מקור'!F818</f>
        <v>0</v>
      </c>
      <c r="E828" s="22" t="n">
        <f aca="false">'לקוחות לפי סוכן - מקור'!G818</f>
        <v>3983.1</v>
      </c>
      <c r="F828" s="14" t="n">
        <f aca="false">'לקוחות לפי סוכן - מקור'!D818</f>
        <v>0</v>
      </c>
      <c r="G828" s="15" t="n">
        <f aca="false">'לקוחות לפי סוכן - מקור'!H818</f>
        <v>0</v>
      </c>
      <c r="H828" s="15" t="n">
        <f aca="false">'לקוחות לפי סוכן - מקור'!I818</f>
        <v>0</v>
      </c>
      <c r="I828" s="14" t="str">
        <f aca="false">'לקוחות לפי סוכן - מקור'!K818</f>
        <v>CHMI</v>
      </c>
    </row>
    <row r="829" customFormat="false" ht="15" hidden="false" customHeight="true" outlineLevel="1" collapsed="false">
      <c r="A829" s="14" t="str">
        <f aca="false">'לקוחות לפי סוכן - מקור'!A819</f>
        <v>חאזם תלחמי</v>
      </c>
      <c r="B829" s="14" t="str">
        <f aca="false">'לקוחות לפי סוכן - מקור'!C819</f>
        <v>שופרסל BE</v>
      </c>
      <c r="C829" s="47" t="str">
        <f aca="false">'לקוחות לפי סוכן - מקור'!E819</f>
        <v>617 (נוף הגליל )נצרת BE</v>
      </c>
      <c r="D829" s="22" t="n">
        <f aca="false">'לקוחות לפי סוכן - מקור'!F819</f>
        <v>0</v>
      </c>
      <c r="E829" s="22" t="n">
        <f aca="false">'לקוחות לפי סוכן - מקור'!G819</f>
        <v>3160.2</v>
      </c>
      <c r="F829" s="14" t="n">
        <f aca="false">'לקוחות לפי סוכן - מקור'!D819</f>
        <v>0</v>
      </c>
      <c r="G829" s="15" t="n">
        <f aca="false">'לקוחות לפי סוכן - מקור'!H819</f>
        <v>0</v>
      </c>
      <c r="H829" s="15" t="n">
        <f aca="false">'לקוחות לפי סוכן - מקור'!I819</f>
        <v>0</v>
      </c>
      <c r="I829" s="14" t="str">
        <f aca="false">'לקוחות לפי סוכן - מקור'!K819</f>
        <v>CHMI</v>
      </c>
    </row>
    <row r="830" customFormat="false" ht="15" hidden="false" customHeight="true" outlineLevel="1" collapsed="false">
      <c r="A830" s="14" t="str">
        <f aca="false">'לקוחות לפי סוכן - מקור'!A820</f>
        <v>חאזם תלחמי</v>
      </c>
      <c r="B830" s="14" t="str">
        <f aca="false">'לקוחות לפי סוכן - מקור'!C820</f>
        <v>שופרסל BE</v>
      </c>
      <c r="C830" s="47" t="str">
        <f aca="false">'לקוחות לפי סוכן - מקור'!E820</f>
        <v>678 עפולה BE</v>
      </c>
      <c r="D830" s="22" t="n">
        <f aca="false">'לקוחות לפי סוכן - מקור'!F820</f>
        <v>0</v>
      </c>
      <c r="E830" s="22" t="n">
        <f aca="false">'לקוחות לפי סוכן - מקור'!G820</f>
        <v>5883.6</v>
      </c>
      <c r="F830" s="14" t="n">
        <f aca="false">'לקוחות לפי סוכן - מקור'!D820</f>
        <v>0</v>
      </c>
      <c r="G830" s="15" t="n">
        <f aca="false">'לקוחות לפי סוכן - מקור'!H820</f>
        <v>0</v>
      </c>
      <c r="H830" s="15" t="n">
        <f aca="false">'לקוחות לפי סוכן - מקור'!I820</f>
        <v>0</v>
      </c>
      <c r="I830" s="14" t="str">
        <f aca="false">'לקוחות לפי סוכן - מקור'!K820</f>
        <v>CHMI</v>
      </c>
    </row>
    <row r="831" customFormat="false" ht="15" hidden="false" customHeight="true" outlineLevel="1" collapsed="false">
      <c r="A831" s="14" t="str">
        <f aca="false">'לקוחות לפי סוכן - מקור'!A821</f>
        <v>חאזם תלחמי</v>
      </c>
      <c r="B831" s="14" t="str">
        <f aca="false">'לקוחות לפי סוכן - מקור'!C821</f>
        <v>שופרסל BE</v>
      </c>
      <c r="C831" s="47" t="str">
        <f aca="false">'לקוחות לפי סוכן - מקור'!E821</f>
        <v>613 נהריה BE</v>
      </c>
      <c r="D831" s="22" t="n">
        <f aca="false">'לקוחות לפי סוכן - מקור'!F821</f>
        <v>0</v>
      </c>
      <c r="E831" s="22" t="n">
        <f aca="false">'לקוחות לפי סוכן - מקור'!G821</f>
        <v>5446.1</v>
      </c>
      <c r="F831" s="14" t="n">
        <f aca="false">'לקוחות לפי סוכן - מקור'!D821</f>
        <v>0</v>
      </c>
      <c r="G831" s="15" t="n">
        <f aca="false">'לקוחות לפי סוכן - מקור'!H821</f>
        <v>0</v>
      </c>
      <c r="H831" s="15" t="n">
        <f aca="false">'לקוחות לפי סוכן - מקור'!I821</f>
        <v>0</v>
      </c>
      <c r="I831" s="14" t="str">
        <f aca="false">'לקוחות לפי סוכן - מקור'!K821</f>
        <v>CHMI</v>
      </c>
    </row>
    <row r="832" customFormat="false" ht="15" hidden="false" customHeight="true" outlineLevel="1" collapsed="false">
      <c r="A832" s="14" t="str">
        <f aca="false">'לקוחות לפי סוכן - מקור'!A822</f>
        <v>חאזם תלחמי</v>
      </c>
      <c r="B832" s="14" t="str">
        <f aca="false">'לקוחות לפי סוכן - מקור'!C822</f>
        <v>שופרסל BE</v>
      </c>
      <c r="C832" s="47" t="str">
        <f aca="false">'לקוחות לפי סוכן - מקור'!E822</f>
        <v>698  כרמיאל BE</v>
      </c>
      <c r="D832" s="22" t="n">
        <f aca="false">'לקוחות לפי סוכן - מקור'!F822</f>
        <v>0</v>
      </c>
      <c r="E832" s="22" t="n">
        <f aca="false">'לקוחות לפי סוכן - מקור'!G822</f>
        <v>3568.7</v>
      </c>
      <c r="F832" s="14" t="n">
        <f aca="false">'לקוחות לפי סוכן - מקור'!D822</f>
        <v>0</v>
      </c>
      <c r="G832" s="15" t="n">
        <f aca="false">'לקוחות לפי סוכן - מקור'!H822</f>
        <v>0</v>
      </c>
      <c r="H832" s="15" t="n">
        <f aca="false">'לקוחות לפי סוכן - מקור'!I822</f>
        <v>0</v>
      </c>
      <c r="I832" s="14" t="str">
        <f aca="false">'לקוחות לפי סוכן - מקור'!K822</f>
        <v>CHMI</v>
      </c>
    </row>
    <row r="833" customFormat="false" ht="15" hidden="false" customHeight="true" outlineLevel="1" collapsed="false">
      <c r="A833" s="14" t="str">
        <f aca="false">'לקוחות לפי סוכן - מקור'!A823</f>
        <v>חאזם תלחמי</v>
      </c>
      <c r="B833" s="14" t="str">
        <f aca="false">'לקוחות לפי סוכן - מקור'!C823</f>
        <v>שופרסל BE</v>
      </c>
      <c r="C833" s="47" t="str">
        <f aca="false">'לקוחות לפי סוכן - מקור'!E823</f>
        <v>679 כרכור מדיקל BE</v>
      </c>
      <c r="D833" s="22" t="n">
        <f aca="false">'לקוחות לפי סוכן - מקור'!F823</f>
        <v>0</v>
      </c>
      <c r="E833" s="22" t="n">
        <f aca="false">'לקוחות לפי סוכן - מקור'!G823</f>
        <v>6566.1</v>
      </c>
      <c r="F833" s="14" t="n">
        <f aca="false">'לקוחות לפי סוכן - מקור'!D823</f>
        <v>0</v>
      </c>
      <c r="G833" s="15" t="n">
        <f aca="false">'לקוחות לפי סוכן - מקור'!H823</f>
        <v>0</v>
      </c>
      <c r="H833" s="15" t="n">
        <f aca="false">'לקוחות לפי סוכן - מקור'!I823</f>
        <v>0</v>
      </c>
      <c r="I833" s="14" t="str">
        <f aca="false">'לקוחות לפי סוכן - מקור'!K823</f>
        <v>CHMI</v>
      </c>
    </row>
    <row r="834" customFormat="false" ht="15" hidden="false" customHeight="true" outlineLevel="1" collapsed="false">
      <c r="A834" s="14" t="str">
        <f aca="false">'לקוחות לפי סוכן - מקור'!A824</f>
        <v>חאזם תלחמי</v>
      </c>
      <c r="B834" s="14" t="str">
        <f aca="false">'לקוחות לפי סוכן - מקור'!C824</f>
        <v>שופרסל BE</v>
      </c>
      <c r="C834" s="47" t="str">
        <f aca="false">'לקוחות לפי סוכן - מקור'!E824</f>
        <v>601 פרדס חנה BE</v>
      </c>
      <c r="D834" s="22" t="n">
        <f aca="false">'לקוחות לפי סוכן - מקור'!F824</f>
        <v>0</v>
      </c>
      <c r="E834" s="22" t="n">
        <f aca="false">'לקוחות לפי סוכן - מקור'!G824</f>
        <v>2580.6</v>
      </c>
      <c r="F834" s="14" t="n">
        <f aca="false">'לקוחות לפי סוכן - מקור'!D824</f>
        <v>0</v>
      </c>
      <c r="G834" s="15" t="n">
        <f aca="false">'לקוחות לפי סוכן - מקור'!H824</f>
        <v>0</v>
      </c>
      <c r="H834" s="15" t="n">
        <f aca="false">'לקוחות לפי סוכן - מקור'!I824</f>
        <v>0</v>
      </c>
      <c r="I834" s="14" t="str">
        <f aca="false">'לקוחות לפי סוכן - מקור'!K824</f>
        <v>CHMI</v>
      </c>
    </row>
    <row r="835" customFormat="false" ht="15" hidden="false" customHeight="true" outlineLevel="1" collapsed="false">
      <c r="A835" s="14" t="str">
        <f aca="false">'לקוחות לפי סוכן - מקור'!A825</f>
        <v>חאזם תלחמי</v>
      </c>
      <c r="B835" s="14" t="str">
        <f aca="false">'לקוחות לפי סוכן - מקור'!C825</f>
        <v>שופרסל BE</v>
      </c>
      <c r="C835" s="47" t="str">
        <f aca="false">'לקוחות לפי סוכן - מקור'!E825</f>
        <v>667 הלל יפה חדרה BE</v>
      </c>
      <c r="D835" s="22" t="n">
        <f aca="false">'לקוחות לפי סוכן - מקור'!F825</f>
        <v>0</v>
      </c>
      <c r="E835" s="22" t="n">
        <f aca="false">'לקוחות לפי סוכן - מקור'!G825</f>
        <v>10551</v>
      </c>
      <c r="F835" s="14" t="n">
        <f aca="false">'לקוחות לפי סוכן - מקור'!D825</f>
        <v>0</v>
      </c>
      <c r="G835" s="15" t="n">
        <f aca="false">'לקוחות לפי סוכן - מקור'!H825</f>
        <v>0</v>
      </c>
      <c r="H835" s="15" t="n">
        <f aca="false">'לקוחות לפי סוכן - מקור'!I825</f>
        <v>0</v>
      </c>
      <c r="I835" s="14" t="str">
        <f aca="false">'לקוחות לפי סוכן - מקור'!K825</f>
        <v>CHMI</v>
      </c>
    </row>
    <row r="836" customFormat="false" ht="15" hidden="false" customHeight="true" outlineLevel="1" collapsed="false">
      <c r="A836" s="14" t="str">
        <f aca="false">'לקוחות לפי סוכן - מקור'!A826</f>
        <v>חאזם תלחמי</v>
      </c>
      <c r="B836" s="14" t="str">
        <f aca="false">'לקוחות לפי סוכן - מקור'!C826</f>
        <v>שופרסל BE</v>
      </c>
      <c r="C836" s="47" t="str">
        <f aca="false">'לקוחות לפי סוכן - מקור'!E826</f>
        <v>252 עין שמר BE</v>
      </c>
      <c r="D836" s="22" t="n">
        <f aca="false">'לקוחות לפי סוכן - מקור'!F826</f>
        <v>0</v>
      </c>
      <c r="E836" s="22" t="n">
        <f aca="false">'לקוחות לפי סוכן - מקור'!G826</f>
        <v>2289.4</v>
      </c>
      <c r="F836" s="14" t="n">
        <f aca="false">'לקוחות לפי סוכן - מקור'!D826</f>
        <v>0</v>
      </c>
      <c r="G836" s="15" t="n">
        <f aca="false">'לקוחות לפי סוכן - מקור'!H826</f>
        <v>0</v>
      </c>
      <c r="H836" s="15" t="n">
        <f aca="false">'לקוחות לפי סוכן - מקור'!I826</f>
        <v>0</v>
      </c>
      <c r="I836" s="14" t="str">
        <f aca="false">'לקוחות לפי סוכן - מקור'!K826</f>
        <v>CHMI</v>
      </c>
    </row>
    <row r="837" customFormat="false" ht="15" hidden="false" customHeight="true" outlineLevel="1" collapsed="false">
      <c r="A837" s="14" t="str">
        <f aca="false">'לקוחות לפי סוכן - מקור'!A827</f>
        <v>חאזם תלחמי</v>
      </c>
      <c r="B837" s="14" t="str">
        <f aca="false">'לקוחות לפי סוכן - מקור'!C827</f>
        <v>שופרסל BE</v>
      </c>
      <c r="C837" s="47" t="str">
        <f aca="false">'לקוחות לפי סוכן - מקור'!E827</f>
        <v>דיל עמק חפר BE</v>
      </c>
      <c r="D837" s="22" t="n">
        <f aca="false">'לקוחות לפי סוכן - מקור'!F827</f>
        <v>0</v>
      </c>
      <c r="E837" s="22" t="n">
        <f aca="false">'לקוחות לפי סוכן - מקור'!G827</f>
        <v>4261.8</v>
      </c>
      <c r="F837" s="14" t="n">
        <f aca="false">'לקוחות לפי סוכן - מקור'!D827</f>
        <v>0</v>
      </c>
      <c r="G837" s="15" t="n">
        <f aca="false">'לקוחות לפי סוכן - מקור'!H827</f>
        <v>0</v>
      </c>
      <c r="H837" s="15" t="n">
        <f aca="false">'לקוחות לפי סוכן - מקור'!I827</f>
        <v>0</v>
      </c>
      <c r="I837" s="14" t="str">
        <f aca="false">'לקוחות לפי סוכן - מקור'!K827</f>
        <v>CHMI</v>
      </c>
    </row>
    <row r="838" customFormat="false" ht="15" hidden="false" customHeight="true" outlineLevel="1" collapsed="false">
      <c r="A838" s="14" t="str">
        <f aca="false">'לקוחות לפי סוכן - מקור'!A828</f>
        <v>חאזם תלחמי</v>
      </c>
      <c r="B838" s="14" t="str">
        <f aca="false">'לקוחות לפי סוכן - מקור'!C828</f>
        <v>שופרסל BE</v>
      </c>
      <c r="C838" s="47" t="str">
        <f aca="false">'לקוחות לפי סוכן - מקור'!E828</f>
        <v>242 ויוה חדרה BE</v>
      </c>
      <c r="D838" s="22" t="n">
        <f aca="false">'לקוחות לפי סוכן - מקור'!F828</f>
        <v>0</v>
      </c>
      <c r="E838" s="22" t="n">
        <f aca="false">'לקוחות לפי סוכן - מקור'!G828</f>
        <v>3297.8</v>
      </c>
      <c r="F838" s="14" t="n">
        <f aca="false">'לקוחות לפי סוכן - מקור'!D828</f>
        <v>0</v>
      </c>
      <c r="G838" s="15" t="n">
        <f aca="false">'לקוחות לפי סוכן - מקור'!H828</f>
        <v>0</v>
      </c>
      <c r="H838" s="15" t="n">
        <f aca="false">'לקוחות לפי סוכן - מקור'!I828</f>
        <v>0</v>
      </c>
      <c r="I838" s="14" t="str">
        <f aca="false">'לקוחות לפי סוכן - מקור'!K828</f>
        <v>CHMI</v>
      </c>
    </row>
    <row r="839" customFormat="false" ht="15" hidden="false" customHeight="true" outlineLevel="1" collapsed="false">
      <c r="A839" s="14" t="str">
        <f aca="false">'לקוחות לפי סוכן - מקור'!A829</f>
        <v>חאזם תלחמי</v>
      </c>
      <c r="B839" s="14" t="str">
        <f aca="false">'לקוחות לפי סוכן - מקור'!C829</f>
        <v>שופרסל BE</v>
      </c>
      <c r="C839" s="47" t="str">
        <f aca="false">'לקוחות לפי סוכן - מקור'!E829</f>
        <v>763 שפרעם BE</v>
      </c>
      <c r="D839" s="22" t="n">
        <f aca="false">'לקוחות לפי סוכן - מקור'!F829</f>
        <v>0</v>
      </c>
      <c r="E839" s="22" t="n">
        <f aca="false">'לקוחות לפי סוכן - מקור'!G829</f>
        <v>2558.8</v>
      </c>
      <c r="F839" s="14" t="n">
        <f aca="false">'לקוחות לפי סוכן - מקור'!D829</f>
        <v>0</v>
      </c>
      <c r="G839" s="15" t="n">
        <f aca="false">'לקוחות לפי סוכן - מקור'!H829</f>
        <v>0</v>
      </c>
      <c r="H839" s="15" t="n">
        <f aca="false">'לקוחות לפי סוכן - מקור'!I829</f>
        <v>0</v>
      </c>
      <c r="I839" s="14" t="str">
        <f aca="false">'לקוחות לפי סוכן - מקור'!K829</f>
        <v>CHMI</v>
      </c>
    </row>
    <row r="840" customFormat="false" ht="15" hidden="false" customHeight="true" outlineLevel="1" collapsed="false">
      <c r="A840" s="14" t="str">
        <f aca="false">'לקוחות לפי סוכן - מקור'!A830</f>
        <v>חאזם תלחמי</v>
      </c>
      <c r="B840" s="14" t="str">
        <f aca="false">'לקוחות לפי סוכן - מקור'!C830</f>
        <v>שופרסל BE</v>
      </c>
      <c r="C840" s="47" t="str">
        <f aca="false">'לקוחות לפי סוכן - מקור'!E830</f>
        <v>(128)שופרסל ב. טירת הכרמל BE</v>
      </c>
      <c r="D840" s="22" t="n">
        <f aca="false">'לקוחות לפי סוכן - מקור'!F830</f>
        <v>0</v>
      </c>
      <c r="E840" s="22" t="n">
        <f aca="false">'לקוחות לפי סוכן - מקור'!G830</f>
        <v>10499.6</v>
      </c>
      <c r="F840" s="14" t="n">
        <f aca="false">'לקוחות לפי סוכן - מקור'!D830</f>
        <v>0</v>
      </c>
      <c r="G840" s="15" t="n">
        <f aca="false">'לקוחות לפי סוכן - מקור'!H830</f>
        <v>0</v>
      </c>
      <c r="H840" s="15" t="n">
        <f aca="false">'לקוחות לפי סוכן - מקור'!I830</f>
        <v>0</v>
      </c>
      <c r="I840" s="14" t="str">
        <f aca="false">'לקוחות לפי סוכן - מקור'!K830</f>
        <v>CHMI</v>
      </c>
    </row>
    <row r="841" customFormat="false" ht="15" hidden="false" customHeight="true" outlineLevel="1" collapsed="false">
      <c r="A841" s="14" t="str">
        <f aca="false">'לקוחות לפי סוכן - מקור'!A831</f>
        <v>חאזם תלחמי</v>
      </c>
      <c r="B841" s="14" t="str">
        <f aca="false">'לקוחות לפי סוכן - מקור'!C831</f>
        <v>שופרסל BE</v>
      </c>
      <c r="C841" s="47" t="str">
        <f aca="false">'לקוחות לפי סוכן - מקור'!E831</f>
        <v>713 אור ים אור עקיבא BE</v>
      </c>
      <c r="D841" s="22" t="n">
        <f aca="false">'לקוחות לפי סוכן - מקור'!F831</f>
        <v>0</v>
      </c>
      <c r="E841" s="22" t="n">
        <f aca="false">'לקוחות לפי סוכן - מקור'!G831</f>
        <v>2572.5</v>
      </c>
      <c r="F841" s="14" t="n">
        <f aca="false">'לקוחות לפי סוכן - מקור'!D831</f>
        <v>0</v>
      </c>
      <c r="G841" s="15" t="n">
        <f aca="false">'לקוחות לפי סוכן - מקור'!H831</f>
        <v>0</v>
      </c>
      <c r="H841" s="15" t="n">
        <f aca="false">'לקוחות לפי סוכן - מקור'!I831</f>
        <v>0</v>
      </c>
      <c r="I841" s="14" t="str">
        <f aca="false">'לקוחות לפי סוכן - מקור'!K831</f>
        <v>CHMI</v>
      </c>
    </row>
    <row r="842" customFormat="false" ht="15" hidden="false" customHeight="true" outlineLevel="1" collapsed="false">
      <c r="A842" s="14" t="str">
        <f aca="false">'לקוחות לפי סוכן - מקור'!A832</f>
        <v>חאזם תלחמי</v>
      </c>
      <c r="B842" s="14" t="str">
        <f aca="false">'לקוחות לפי סוכן - מקור'!C832</f>
        <v>שופרסל BE</v>
      </c>
      <c r="C842" s="47" t="str">
        <f aca="false">'לקוחות לפי סוכן - מקור'!E832</f>
        <v>714 סכנין BE</v>
      </c>
      <c r="D842" s="22" t="n">
        <f aca="false">'לקוחות לפי סוכן - מקור'!F832</f>
        <v>0</v>
      </c>
      <c r="E842" s="22" t="n">
        <f aca="false">'לקוחות לפי סוכן - מקור'!G832</f>
        <v>5135.7</v>
      </c>
      <c r="F842" s="14" t="n">
        <f aca="false">'לקוחות לפי סוכן - מקור'!D832</f>
        <v>0</v>
      </c>
      <c r="G842" s="15" t="n">
        <f aca="false">'לקוחות לפי סוכן - מקור'!H832</f>
        <v>0</v>
      </c>
      <c r="H842" s="15" t="n">
        <f aca="false">'לקוחות לפי סוכן - מקור'!I832</f>
        <v>0</v>
      </c>
      <c r="I842" s="14" t="str">
        <f aca="false">'לקוחות לפי סוכן - מקור'!K832</f>
        <v>CHMI</v>
      </c>
    </row>
    <row r="843" customFormat="false" ht="15" hidden="false" customHeight="true" outlineLevel="1" collapsed="false">
      <c r="A843" s="14" t="str">
        <f aca="false">'לקוחות לפי סוכן - מקור'!A833</f>
        <v>חאזם תלחמי</v>
      </c>
      <c r="B843" s="14" t="str">
        <f aca="false">'לקוחות לפי סוכן - מקור'!C833</f>
        <v>שופרסל BE</v>
      </c>
      <c r="C843" s="47" t="str">
        <f aca="false">'לקוחות לפי סוכן - מקור'!E833</f>
        <v>712  עין הים חדרה BE</v>
      </c>
      <c r="D843" s="22" t="n">
        <f aca="false">'לקוחות לפי סוכן - מקור'!F833</f>
        <v>0</v>
      </c>
      <c r="E843" s="22" t="n">
        <f aca="false">'לקוחות לפי סוכן - מקור'!G833</f>
        <v>4672.9</v>
      </c>
      <c r="F843" s="14" t="n">
        <f aca="false">'לקוחות לפי סוכן - מקור'!D833</f>
        <v>0</v>
      </c>
      <c r="G843" s="15" t="n">
        <f aca="false">'לקוחות לפי סוכן - מקור'!H833</f>
        <v>0</v>
      </c>
      <c r="H843" s="15" t="n">
        <f aca="false">'לקוחות לפי סוכן - מקור'!I833</f>
        <v>0</v>
      </c>
      <c r="I843" s="14" t="str">
        <f aca="false">'לקוחות לפי סוכן - מקור'!K833</f>
        <v>CHMI</v>
      </c>
    </row>
    <row r="844" customFormat="false" ht="15" hidden="false" customHeight="true" outlineLevel="1" collapsed="false">
      <c r="A844" s="14" t="str">
        <f aca="false">'לקוחות לפי סוכן - מקור'!A834</f>
        <v>חאזם תלחמי</v>
      </c>
      <c r="B844" s="14" t="str">
        <f aca="false">'לקוחות לפי סוכן - מקור'!C834</f>
        <v>שופרסל BE</v>
      </c>
      <c r="C844" s="47" t="str">
        <f aca="false">'לקוחות לפי סוכן - מקור'!E834</f>
        <v>112 מוצקין BE</v>
      </c>
      <c r="D844" s="22" t="n">
        <f aca="false">'לקוחות לפי סוכן - מקור'!F834</f>
        <v>0</v>
      </c>
      <c r="E844" s="22" t="n">
        <f aca="false">'לקוחות לפי סוכן - מקור'!G834</f>
        <v>1459</v>
      </c>
      <c r="F844" s="14" t="n">
        <f aca="false">'לקוחות לפי סוכן - מקור'!D834</f>
        <v>0</v>
      </c>
      <c r="G844" s="15" t="n">
        <f aca="false">'לקוחות לפי סוכן - מקור'!H834</f>
        <v>0</v>
      </c>
      <c r="H844" s="15" t="n">
        <f aca="false">'לקוחות לפי סוכן - מקור'!I834</f>
        <v>0</v>
      </c>
      <c r="I844" s="14" t="str">
        <f aca="false">'לקוחות לפי סוכן - מקור'!K834</f>
        <v>CHMI</v>
      </c>
    </row>
    <row r="845" customFormat="false" ht="15" hidden="false" customHeight="true" outlineLevel="1" collapsed="false">
      <c r="A845" s="14" t="str">
        <f aca="false">'לקוחות לפי סוכן - מקור'!A835</f>
        <v>חאזם תלחמי</v>
      </c>
      <c r="B845" s="14" t="str">
        <f aca="false">'לקוחות לפי סוכן - מקור'!C835</f>
        <v>שופרסל BE</v>
      </c>
      <c r="C845" s="47" t="str">
        <f aca="false">'לקוחות לפי סוכן - מקור'!E835</f>
        <v>518 כפר קרע BE</v>
      </c>
      <c r="D845" s="22" t="n">
        <f aca="false">'לקוחות לפי סוכן - מקור'!F835</f>
        <v>0</v>
      </c>
      <c r="E845" s="22" t="n">
        <f aca="false">'לקוחות לפי סוכן - מקור'!G835</f>
        <v>12160.3</v>
      </c>
      <c r="F845" s="14" t="n">
        <f aca="false">'לקוחות לפי סוכן - מקור'!D835</f>
        <v>0</v>
      </c>
      <c r="G845" s="15" t="n">
        <f aca="false">'לקוחות לפי סוכן - מקור'!H835</f>
        <v>0</v>
      </c>
      <c r="H845" s="15" t="n">
        <f aca="false">'לקוחות לפי סוכן - מקור'!I835</f>
        <v>0</v>
      </c>
      <c r="I845" s="14" t="str">
        <f aca="false">'לקוחות לפי סוכן - מקור'!K835</f>
        <v>CHMI</v>
      </c>
    </row>
    <row r="846" customFormat="false" ht="15" hidden="false" customHeight="true" outlineLevel="1" collapsed="false">
      <c r="A846" s="14" t="str">
        <f aca="false">'לקוחות לפי סוכן - מקור'!A837</f>
        <v>חאזם תלחמי</v>
      </c>
      <c r="B846" s="14" t="str">
        <f aca="false">'לקוחות לפי סוכן - מקור'!C837</f>
        <v>0קופות חולים</v>
      </c>
      <c r="C846" s="47" t="str">
        <f aca="false">'לקוחות לפי סוכן - מקור'!E837</f>
        <v>7407 מאוחדת ירכא</v>
      </c>
      <c r="D846" s="22" t="n">
        <f aca="false">'לקוחות לפי סוכן - מקור'!F837</f>
        <v>0</v>
      </c>
      <c r="E846" s="22" t="n">
        <f aca="false">'לקוחות לפי סוכן - מקור'!G837</f>
        <v>6527.4</v>
      </c>
      <c r="F846" s="14" t="n">
        <f aca="false">'לקוחות לפי סוכן - מקור'!D837</f>
        <v>0</v>
      </c>
      <c r="G846" s="15" t="n">
        <f aca="false">'לקוחות לפי סוכן - מקור'!H837</f>
        <v>0</v>
      </c>
      <c r="H846" s="15" t="n">
        <f aca="false">'לקוחות לפי סוכן - מקור'!I837</f>
        <v>0</v>
      </c>
      <c r="I846" s="14" t="str">
        <f aca="false">'לקוחות לפי סוכן - מקור'!K837</f>
        <v>CHMI</v>
      </c>
    </row>
    <row r="847" customFormat="false" ht="15" hidden="false" customHeight="true" outlineLevel="1" collapsed="false">
      <c r="A847" s="14" t="str">
        <f aca="false">'לקוחות לפי סוכן - מקור'!A838</f>
        <v>חאזם תלחמי</v>
      </c>
      <c r="B847" s="14" t="str">
        <f aca="false">'לקוחות לפי סוכן - מקור'!C838</f>
        <v>0קופות חולים</v>
      </c>
      <c r="C847" s="47" t="str">
        <f aca="false">'לקוחות לפי סוכן - מקור'!E838</f>
        <v>7401  מאוחדת אום אל פחם</v>
      </c>
      <c r="D847" s="22" t="n">
        <f aca="false">'לקוחות לפי סוכן - מקור'!F838</f>
        <v>0</v>
      </c>
      <c r="E847" s="22" t="n">
        <f aca="false">'לקוחות לפי סוכן - מקור'!G838</f>
        <v>5095.6</v>
      </c>
      <c r="F847" s="14" t="n">
        <f aca="false">'לקוחות לפי סוכן - מקור'!D838</f>
        <v>0</v>
      </c>
      <c r="G847" s="15" t="n">
        <f aca="false">'לקוחות לפי סוכן - מקור'!H838</f>
        <v>0</v>
      </c>
      <c r="H847" s="15" t="n">
        <f aca="false">'לקוחות לפי סוכן - מקור'!I838</f>
        <v>0</v>
      </c>
      <c r="I847" s="14" t="str">
        <f aca="false">'לקוחות לפי סוכן - מקור'!K838</f>
        <v>CHMI</v>
      </c>
    </row>
    <row r="848" customFormat="false" ht="15" hidden="false" customHeight="true" outlineLevel="1" collapsed="false">
      <c r="A848" s="14" t="str">
        <f aca="false">'לקוחות לפי סוכן - מקור'!A839</f>
        <v>חאזם תלחמי</v>
      </c>
      <c r="B848" s="14" t="str">
        <f aca="false">'לקוחות לפי סוכן - מקור'!C839</f>
        <v>0קופות חולים</v>
      </c>
      <c r="C848" s="47" t="str">
        <f aca="false">'לקוחות לפי סוכן - מקור'!E839</f>
        <v>7406 מאוחדת טבריה</v>
      </c>
      <c r="D848" s="22" t="n">
        <f aca="false">'לקוחות לפי סוכן - מקור'!F839</f>
        <v>0</v>
      </c>
      <c r="E848" s="22" t="n">
        <f aca="false">'לקוחות לפי סוכן - מקור'!G839</f>
        <v>1627.6</v>
      </c>
      <c r="F848" s="14" t="n">
        <f aca="false">'לקוחות לפי סוכן - מקור'!D839</f>
        <v>0</v>
      </c>
      <c r="G848" s="15" t="n">
        <f aca="false">'לקוחות לפי סוכן - מקור'!H839</f>
        <v>0</v>
      </c>
      <c r="H848" s="15" t="n">
        <f aca="false">'לקוחות לפי סוכן - מקור'!I839</f>
        <v>0</v>
      </c>
      <c r="I848" s="14" t="str">
        <f aca="false">'לקוחות לפי סוכן - מקור'!K839</f>
        <v>CHMI</v>
      </c>
    </row>
    <row r="849" customFormat="false" ht="15" hidden="false" customHeight="true" outlineLevel="1" collapsed="false">
      <c r="A849" s="14" t="str">
        <f aca="false">'לקוחות לפי סוכן - מקור'!A840</f>
        <v>חאזם תלחמי</v>
      </c>
      <c r="B849" s="14" t="str">
        <f aca="false">'לקוחות לפי סוכן - מקור'!C840</f>
        <v>0קופות חולים</v>
      </c>
      <c r="C849" s="47" t="str">
        <f aca="false">'לקוחות לפי סוכן - מקור'!E840</f>
        <v>7411  מאוחדת כרמיאל</v>
      </c>
      <c r="D849" s="22" t="n">
        <f aca="false">'לקוחות לפי סוכן - מקור'!F840</f>
        <v>0</v>
      </c>
      <c r="E849" s="22" t="n">
        <f aca="false">'לקוחות לפי סוכן - מקור'!G840</f>
        <v>944.2</v>
      </c>
      <c r="F849" s="14" t="n">
        <f aca="false">'לקוחות לפי סוכן - מקור'!D840</f>
        <v>0</v>
      </c>
      <c r="G849" s="15" t="n">
        <f aca="false">'לקוחות לפי סוכן - מקור'!H840</f>
        <v>0</v>
      </c>
      <c r="H849" s="15" t="n">
        <f aca="false">'לקוחות לפי סוכן - מקור'!I840</f>
        <v>0</v>
      </c>
      <c r="I849" s="14" t="str">
        <f aca="false">'לקוחות לפי סוכן - מקור'!K840</f>
        <v>CHMI</v>
      </c>
    </row>
    <row r="850" customFormat="false" ht="15" hidden="false" customHeight="true" outlineLevel="1" collapsed="false">
      <c r="A850" s="14" t="str">
        <f aca="false">'לקוחות לפי סוכן - מקור'!A841</f>
        <v>חאזם תלחמי</v>
      </c>
      <c r="B850" s="14" t="str">
        <f aca="false">'לקוחות לפי סוכן - מקור'!C841</f>
        <v>0קופות חולים</v>
      </c>
      <c r="C850" s="47" t="str">
        <f aca="false">'לקוחות לפי סוכן - מקור'!E841</f>
        <v>7408 מאוחדת כפר חסידים</v>
      </c>
      <c r="D850" s="22" t="n">
        <f aca="false">'לקוחות לפי סוכן - מקור'!F841</f>
        <v>0</v>
      </c>
      <c r="E850" s="22" t="n">
        <f aca="false">'לקוחות לפי סוכן - מקור'!G841</f>
        <v>479.9</v>
      </c>
      <c r="F850" s="14" t="n">
        <f aca="false">'לקוחות לפי סוכן - מקור'!D841</f>
        <v>0</v>
      </c>
      <c r="G850" s="15" t="n">
        <f aca="false">'לקוחות לפי סוכן - מקור'!H841</f>
        <v>0</v>
      </c>
      <c r="H850" s="15" t="n">
        <f aca="false">'לקוחות לפי סוכן - מקור'!I841</f>
        <v>0</v>
      </c>
      <c r="I850" s="14" t="str">
        <f aca="false">'לקוחות לפי סוכן - מקור'!K841</f>
        <v>CHMI</v>
      </c>
    </row>
    <row r="851" customFormat="false" ht="15" hidden="false" customHeight="true" outlineLevel="1" collapsed="false">
      <c r="A851" s="14" t="str">
        <f aca="false">'לקוחות לפי סוכן - מקור'!A842</f>
        <v>חאזם תלחמי</v>
      </c>
      <c r="B851" s="14" t="str">
        <f aca="false">'לקוחות לפי סוכן - מקור'!C842</f>
        <v>0קופות חולים</v>
      </c>
      <c r="C851" s="47" t="str">
        <f aca="false">'לקוחות לפי סוכן - מקור'!E842</f>
        <v>7405 מאוחדת חיפה</v>
      </c>
      <c r="D851" s="22" t="n">
        <f aca="false">'לקוחות לפי סוכן - מקור'!F842</f>
        <v>0</v>
      </c>
      <c r="E851" s="22" t="n">
        <f aca="false">'לקוחות לפי סוכן - מקור'!G842</f>
        <v>4501.9</v>
      </c>
      <c r="F851" s="14" t="n">
        <f aca="false">'לקוחות לפי סוכן - מקור'!D842</f>
        <v>0</v>
      </c>
      <c r="G851" s="15" t="n">
        <f aca="false">'לקוחות לפי סוכן - מקור'!H842</f>
        <v>0</v>
      </c>
      <c r="H851" s="15" t="n">
        <f aca="false">'לקוחות לפי סוכן - מקור'!I842</f>
        <v>0</v>
      </c>
      <c r="I851" s="14" t="str">
        <f aca="false">'לקוחות לפי סוכן - מקור'!K842</f>
        <v>CHMI</v>
      </c>
    </row>
    <row r="852" customFormat="false" ht="15" hidden="false" customHeight="true" outlineLevel="1" collapsed="false">
      <c r="A852" s="14" t="str">
        <f aca="false">'לקוחות לפי סוכן - מקור'!A843</f>
        <v>חאזם תלחמי</v>
      </c>
      <c r="B852" s="14" t="str">
        <f aca="false">'לקוחות לפי סוכן - מקור'!C843</f>
        <v>0קופות חולים</v>
      </c>
      <c r="C852" s="47" t="str">
        <f aca="false">'לקוחות לפי סוכן - מקור'!E843</f>
        <v>7403 מאוחדת חדרה</v>
      </c>
      <c r="D852" s="22" t="n">
        <f aca="false">'לקוחות לפי סוכן - מקור'!F843</f>
        <v>0</v>
      </c>
      <c r="E852" s="22" t="n">
        <f aca="false">'לקוחות לפי סוכן - מקור'!G843</f>
        <v>2849.2</v>
      </c>
      <c r="F852" s="14" t="n">
        <f aca="false">'לקוחות לפי סוכן - מקור'!D843</f>
        <v>0</v>
      </c>
      <c r="G852" s="15" t="n">
        <f aca="false">'לקוחות לפי סוכן - מקור'!H843</f>
        <v>0</v>
      </c>
      <c r="H852" s="15" t="n">
        <f aca="false">'לקוחות לפי סוכן - מקור'!I843</f>
        <v>0</v>
      </c>
      <c r="I852" s="14" t="str">
        <f aca="false">'לקוחות לפי סוכן - מקור'!K843</f>
        <v>CHMI</v>
      </c>
    </row>
    <row r="853" customFormat="false" ht="15" hidden="false" customHeight="true" outlineLevel="1" collapsed="false">
      <c r="A853" s="14" t="str">
        <f aca="false">'לקוחות לפי סוכן - מקור'!A844</f>
        <v>חאזם תלחמי</v>
      </c>
      <c r="B853" s="14" t="str">
        <f aca="false">'לקוחות לפי סוכן - מקור'!C844</f>
        <v>0קופות חולים</v>
      </c>
      <c r="C853" s="47" t="str">
        <f aca="false">'לקוחות לפי סוכן - מקור'!E844</f>
        <v>מאוחדת מגדלי נצרת</v>
      </c>
      <c r="D853" s="22" t="n">
        <f aca="false">'לקוחות לפי סוכן - מקור'!F844</f>
        <v>0</v>
      </c>
      <c r="E853" s="22" t="n">
        <f aca="false">'לקוחות לפי סוכן - מקור'!G844</f>
        <v>447</v>
      </c>
      <c r="F853" s="14" t="n">
        <f aca="false">'לקוחות לפי סוכן - מקור'!D844</f>
        <v>0</v>
      </c>
      <c r="G853" s="15" t="n">
        <f aca="false">'לקוחות לפי סוכן - מקור'!H844</f>
        <v>0</v>
      </c>
      <c r="H853" s="15" t="n">
        <f aca="false">'לקוחות לפי סוכן - מקור'!I844</f>
        <v>0</v>
      </c>
      <c r="I853" s="14" t="str">
        <f aca="false">'לקוחות לפי סוכן - מקור'!K844</f>
        <v>CHMI</v>
      </c>
    </row>
    <row r="854" customFormat="false" ht="15" hidden="false" customHeight="true" outlineLevel="1" collapsed="false">
      <c r="A854" s="14" t="str">
        <f aca="false">'לקוחות לפי סוכן - מקור'!A845</f>
        <v>חאזם תלחמי</v>
      </c>
      <c r="B854" s="14" t="str">
        <f aca="false">'לקוחות לפי סוכן - מקור'!C845</f>
        <v>0קופות חולים</v>
      </c>
      <c r="C854" s="47" t="str">
        <f aca="false">'לקוחות לפי סוכן - מקור'!E845</f>
        <v>מאוחדת נצרת-סניף המרכז הלבן)פא</v>
      </c>
      <c r="D854" s="22" t="n">
        <f aca="false">'לקוחות לפי סוכן - מקור'!F845</f>
        <v>0</v>
      </c>
      <c r="E854" s="22" t="n">
        <f aca="false">'לקוחות לפי סוכן - מקור'!G845</f>
        <v>181.5</v>
      </c>
      <c r="F854" s="14" t="n">
        <f aca="false">'לקוחות לפי סוכן - מקור'!D845</f>
        <v>0</v>
      </c>
      <c r="G854" s="15" t="n">
        <f aca="false">'לקוחות לפי סוכן - מקור'!H845</f>
        <v>0</v>
      </c>
      <c r="H854" s="15" t="n">
        <f aca="false">'לקוחות לפי סוכן - מקור'!I845</f>
        <v>0</v>
      </c>
      <c r="I854" s="14" t="str">
        <f aca="false">'לקוחות לפי סוכן - מקור'!K845</f>
        <v>CHMI</v>
      </c>
    </row>
    <row r="855" customFormat="false" ht="15" hidden="false" customHeight="true" outlineLevel="1" collapsed="false">
      <c r="A855" s="14" t="str">
        <f aca="false">'לקוחות לפי סוכן - מקור'!A846</f>
        <v>חאזם תלחמי</v>
      </c>
      <c r="B855" s="14" t="str">
        <f aca="false">'לקוחות לפי סוכן - מקור'!C846</f>
        <v>0קופות חולים</v>
      </c>
      <c r="C855" s="47" t="str">
        <f aca="false">'לקוחות לפי סוכן - מקור'!E846</f>
        <v>7409   מאוחדת כפר כנא</v>
      </c>
      <c r="D855" s="22" t="n">
        <f aca="false">'לקוחות לפי סוכן - מקור'!F846</f>
        <v>0</v>
      </c>
      <c r="E855" s="22" t="n">
        <f aca="false">'לקוחות לפי סוכן - מקור'!G846</f>
        <v>1505.7</v>
      </c>
      <c r="F855" s="14" t="n">
        <f aca="false">'לקוחות לפי סוכן - מקור'!D846</f>
        <v>0</v>
      </c>
      <c r="G855" s="15" t="n">
        <f aca="false">'לקוחות לפי סוכן - מקור'!H846</f>
        <v>0</v>
      </c>
      <c r="H855" s="15" t="n">
        <f aca="false">'לקוחות לפי סוכן - מקור'!I846</f>
        <v>0</v>
      </c>
      <c r="I855" s="14" t="str">
        <f aca="false">'לקוחות לפי סוכן - מקור'!K846</f>
        <v>CHMI</v>
      </c>
    </row>
    <row r="856" customFormat="false" ht="15" hidden="false" customHeight="true" outlineLevel="1" collapsed="false">
      <c r="A856" s="14" t="str">
        <f aca="false">'לקוחות לפי סוכן - מקור'!A847</f>
        <v>חאזם תלחמי</v>
      </c>
      <c r="B856" s="14" t="str">
        <f aca="false">'לקוחות לפי סוכן - מקור'!C847</f>
        <v>0קופות חולים</v>
      </c>
      <c r="C856" s="47" t="str">
        <f aca="false">'לקוחות לפי סוכן - מקור'!E847</f>
        <v>7410  מאוחדת כפר קרע</v>
      </c>
      <c r="D856" s="22" t="n">
        <f aca="false">'לקוחות לפי סוכן - מקור'!F847</f>
        <v>0</v>
      </c>
      <c r="E856" s="22" t="n">
        <f aca="false">'לקוחות לפי סוכן - מקור'!G847</f>
        <v>795.1</v>
      </c>
      <c r="F856" s="14" t="n">
        <f aca="false">'לקוחות לפי סוכן - מקור'!D847</f>
        <v>0</v>
      </c>
      <c r="G856" s="15" t="n">
        <f aca="false">'לקוחות לפי סוכן - מקור'!H847</f>
        <v>0</v>
      </c>
      <c r="H856" s="15" t="n">
        <f aca="false">'לקוחות לפי סוכן - מקור'!I847</f>
        <v>0</v>
      </c>
      <c r="I856" s="14" t="str">
        <f aca="false">'לקוחות לפי סוכן - מקור'!K847</f>
        <v>CHMI</v>
      </c>
    </row>
    <row r="857" customFormat="false" ht="15" hidden="false" customHeight="true" outlineLevel="1" collapsed="false">
      <c r="A857" s="14" t="str">
        <f aca="false">'לקוחות לפי סוכן - מקור'!A848</f>
        <v>חאזם תלחמי</v>
      </c>
      <c r="B857" s="14" t="str">
        <f aca="false">'לקוחות לפי סוכן - מקור'!C848</f>
        <v>0קופות חולים</v>
      </c>
      <c r="C857" s="47" t="str">
        <f aca="false">'לקוחות לפי סוכן - מקור'!E848</f>
        <v>מאוחדת צפת</v>
      </c>
      <c r="D857" s="22" t="n">
        <f aca="false">'לקוחות לפי סוכן - מקור'!F848</f>
        <v>0</v>
      </c>
      <c r="E857" s="22" t="n">
        <f aca="false">'לקוחות לפי סוכן - מקור'!G848</f>
        <v>1189.9</v>
      </c>
      <c r="F857" s="14" t="n">
        <f aca="false">'לקוחות לפי סוכן - מקור'!D848</f>
        <v>0</v>
      </c>
      <c r="G857" s="15" t="n">
        <f aca="false">'לקוחות לפי סוכן - מקור'!H848</f>
        <v>0</v>
      </c>
      <c r="H857" s="15" t="n">
        <f aca="false">'לקוחות לפי סוכן - מקור'!I848</f>
        <v>0</v>
      </c>
      <c r="I857" s="14" t="str">
        <f aca="false">'לקוחות לפי סוכן - מקור'!K848</f>
        <v>CHMI</v>
      </c>
    </row>
    <row r="858" customFormat="false" ht="15" hidden="false" customHeight="true" outlineLevel="1" collapsed="false">
      <c r="A858" s="14" t="str">
        <f aca="false">'לקוחות לפי סוכן - מקור'!A849</f>
        <v>חאזם תלחמי</v>
      </c>
      <c r="B858" s="14" t="str">
        <f aca="false">'לקוחות לפי סוכן - מקור'!C849</f>
        <v>0קופות חולים</v>
      </c>
      <c r="C858" s="47" t="str">
        <f aca="false">'לקוחות לפי סוכן - מקור'!E849</f>
        <v>7402 מאוחדת אור עקיבא</v>
      </c>
      <c r="D858" s="22" t="n">
        <f aca="false">'לקוחות לפי סוכן - מקור'!F849</f>
        <v>0</v>
      </c>
      <c r="E858" s="22" t="n">
        <f aca="false">'לקוחות לפי סוכן - מקור'!G849</f>
        <v>541.8</v>
      </c>
      <c r="F858" s="14" t="n">
        <f aca="false">'לקוחות לפי סוכן - מקור'!D849</f>
        <v>0</v>
      </c>
      <c r="G858" s="15" t="n">
        <f aca="false">'לקוחות לפי סוכן - מקור'!H849</f>
        <v>0</v>
      </c>
      <c r="H858" s="15" t="n">
        <f aca="false">'לקוחות לפי סוכן - מקור'!I849</f>
        <v>0</v>
      </c>
      <c r="I858" s="14" t="str">
        <f aca="false">'לקוחות לפי סוכן - מקור'!K849</f>
        <v>CHMI</v>
      </c>
    </row>
    <row r="859" customFormat="false" ht="15" hidden="false" customHeight="true" outlineLevel="1" collapsed="false">
      <c r="A859" s="14" t="str">
        <f aca="false">'לקוחות לפי סוכן - מקור'!A850</f>
        <v>חאזם תלחמי</v>
      </c>
      <c r="B859" s="14" t="str">
        <f aca="false">'לקוחות לפי סוכן - מקור'!C850</f>
        <v>0קופות חולים</v>
      </c>
      <c r="C859" s="47" t="str">
        <f aca="false">'לקוחות לפי סוכן - מקור'!E850</f>
        <v>150 מאוחדת חדר תרופות סכנין</v>
      </c>
      <c r="D859" s="22" t="n">
        <f aca="false">'לקוחות לפי סוכן - מקור'!F850</f>
        <v>0</v>
      </c>
      <c r="E859" s="22" t="n">
        <f aca="false">'לקוחות לפי סוכן - מקור'!G850</f>
        <v>610.6</v>
      </c>
      <c r="F859" s="14" t="n">
        <f aca="false">'לקוחות לפי סוכן - מקור'!D850</f>
        <v>0</v>
      </c>
      <c r="G859" s="15" t="n">
        <f aca="false">'לקוחות לפי סוכן - מקור'!H850</f>
        <v>0</v>
      </c>
      <c r="H859" s="15" t="n">
        <f aca="false">'לקוחות לפי סוכן - מקור'!I850</f>
        <v>0</v>
      </c>
      <c r="I859" s="14" t="str">
        <f aca="false">'לקוחות לפי סוכן - מקור'!K850</f>
        <v>CHMI</v>
      </c>
    </row>
    <row r="860" customFormat="false" ht="15" hidden="false" customHeight="true" outlineLevel="1" collapsed="false">
      <c r="A860" s="14" t="str">
        <f aca="false">'לקוחות לפי סוכן - מקור'!A851</f>
        <v>חאזם תלחמי</v>
      </c>
      <c r="B860" s="14" t="str">
        <f aca="false">'לקוחות לפי סוכן - מקור'!C851</f>
        <v>0קופות חולים</v>
      </c>
      <c r="C860" s="47" t="str">
        <f aca="false">'לקוחות לפי סוכן - מקור'!E851</f>
        <v>163 מאוחדת עוספיא</v>
      </c>
      <c r="D860" s="22" t="n">
        <f aca="false">'לקוחות לפי סוכן - מקור'!F851</f>
        <v>0</v>
      </c>
      <c r="E860" s="22" t="n">
        <f aca="false">'לקוחות לפי סוכן - מקור'!G851</f>
        <v>1533.1</v>
      </c>
      <c r="F860" s="14" t="n">
        <f aca="false">'לקוחות לפי סוכן - מקור'!D851</f>
        <v>0</v>
      </c>
      <c r="G860" s="15" t="n">
        <f aca="false">'לקוחות לפי סוכן - מקור'!H851</f>
        <v>0</v>
      </c>
      <c r="H860" s="15" t="n">
        <f aca="false">'לקוחות לפי סוכן - מקור'!I851</f>
        <v>0</v>
      </c>
      <c r="I860" s="14" t="str">
        <f aca="false">'לקוחות לפי סוכן - מקור'!K851</f>
        <v>CHMI</v>
      </c>
    </row>
    <row r="861" customFormat="false" ht="15" hidden="false" customHeight="true" outlineLevel="1" collapsed="false">
      <c r="A861" s="14" t="str">
        <f aca="false">'לקוחות לפי סוכן - מקור'!A852</f>
        <v>חאזם תלחמי</v>
      </c>
      <c r="B861" s="14" t="str">
        <f aca="false">'לקוחות לפי סוכן - מקור'!C852</f>
        <v>0קופות חולים</v>
      </c>
      <c r="C861" s="47" t="str">
        <f aca="false">'לקוחות לפי סוכן - מקור'!E852</f>
        <v>7418  מאוחדת עכו</v>
      </c>
      <c r="D861" s="22" t="n">
        <f aca="false">'לקוחות לפי סוכן - מקור'!F852</f>
        <v>0</v>
      </c>
      <c r="E861" s="22" t="n">
        <f aca="false">'לקוחות לפי סוכן - מקור'!G852</f>
        <v>2975.3</v>
      </c>
      <c r="F861" s="14" t="n">
        <f aca="false">'לקוחות לפי סוכן - מקור'!D852</f>
        <v>0</v>
      </c>
      <c r="G861" s="15" t="n">
        <f aca="false">'לקוחות לפי סוכן - מקור'!H852</f>
        <v>0</v>
      </c>
      <c r="H861" s="15" t="n">
        <f aca="false">'לקוחות לפי סוכן - מקור'!I852</f>
        <v>0</v>
      </c>
      <c r="I861" s="14" t="str">
        <f aca="false">'לקוחות לפי סוכן - מקור'!K852</f>
        <v>CHMI</v>
      </c>
    </row>
    <row r="862" customFormat="false" ht="15" hidden="false" customHeight="true" outlineLevel="1" collapsed="false">
      <c r="A862" s="14" t="str">
        <f aca="false">'לקוחות לפי סוכן - מקור'!A853</f>
        <v>חאזם תלחמי</v>
      </c>
      <c r="B862" s="14" t="str">
        <f aca="false">'לקוחות לפי סוכן - מקור'!C853</f>
        <v>0קופות חולים</v>
      </c>
      <c r="C862" s="47" t="str">
        <f aca="false">'לקוחות לפי סוכן - מקור'!E853</f>
        <v>164 מאוחדת פרדס חנה</v>
      </c>
      <c r="D862" s="22" t="n">
        <f aca="false">'לקוחות לפי סוכן - מקור'!F853</f>
        <v>0</v>
      </c>
      <c r="E862" s="22" t="n">
        <f aca="false">'לקוחות לפי סוכן - מקור'!G853</f>
        <v>1123.6</v>
      </c>
      <c r="F862" s="14" t="n">
        <f aca="false">'לקוחות לפי סוכן - מקור'!D853</f>
        <v>0</v>
      </c>
      <c r="G862" s="15" t="n">
        <f aca="false">'לקוחות לפי סוכן - מקור'!H853</f>
        <v>0</v>
      </c>
      <c r="H862" s="15" t="n">
        <f aca="false">'לקוחות לפי סוכן - מקור'!I853</f>
        <v>0</v>
      </c>
      <c r="I862" s="14" t="str">
        <f aca="false">'לקוחות לפי סוכן - מקור'!K853</f>
        <v>CHMI</v>
      </c>
    </row>
    <row r="863" customFormat="false" ht="15" hidden="false" customHeight="true" outlineLevel="1" collapsed="false">
      <c r="A863" s="14" t="str">
        <f aca="false">'לקוחות לפי סוכן - מקור'!A854</f>
        <v>חאזם תלחמי</v>
      </c>
      <c r="B863" s="14" t="str">
        <f aca="false">'לקוחות לפי סוכן - מקור'!C854</f>
        <v>0קופות חולים</v>
      </c>
      <c r="C863" s="47" t="str">
        <f aca="false">'לקוחות לפי סוכן - מקור'!E854</f>
        <v>7420 מאוחדת טבריה עילית</v>
      </c>
      <c r="D863" s="22" t="n">
        <f aca="false">'לקוחות לפי סוכן - מקור'!F854</f>
        <v>0</v>
      </c>
      <c r="E863" s="22" t="n">
        <f aca="false">'לקוחות לפי סוכן - מקור'!G854</f>
        <v>142.8</v>
      </c>
      <c r="F863" s="14" t="n">
        <f aca="false">'לקוחות לפי סוכן - מקור'!D854</f>
        <v>0</v>
      </c>
      <c r="G863" s="15" t="n">
        <f aca="false">'לקוחות לפי סוכן - מקור'!H854</f>
        <v>0</v>
      </c>
      <c r="H863" s="15" t="n">
        <f aca="false">'לקוחות לפי סוכן - מקור'!I854</f>
        <v>0</v>
      </c>
      <c r="I863" s="14" t="str">
        <f aca="false">'לקוחות לפי סוכן - מקור'!K854</f>
        <v>CHMI</v>
      </c>
    </row>
    <row r="864" customFormat="false" ht="15" hidden="false" customHeight="true" outlineLevel="1" collapsed="false">
      <c r="A864" s="14" t="str">
        <f aca="false">'לקוחות לפי סוכן - מקור'!A855</f>
        <v>חאזם תלחמי</v>
      </c>
      <c r="B864" s="14" t="str">
        <f aca="false">'לקוחות לפי סוכן - מקור'!C855</f>
        <v>0קופות חולים</v>
      </c>
      <c r="C864" s="47" t="str">
        <f aca="false">'לקוחות לפי סוכן - מקור'!E855</f>
        <v>7421 מאוחדת נהריה</v>
      </c>
      <c r="D864" s="22" t="n">
        <f aca="false">'לקוחות לפי סוכן - מקור'!F855</f>
        <v>0</v>
      </c>
      <c r="E864" s="22" t="n">
        <f aca="false">'לקוחות לפי סוכן - מקור'!G855</f>
        <v>1271.2</v>
      </c>
      <c r="F864" s="14" t="n">
        <f aca="false">'לקוחות לפי סוכן - מקור'!D855</f>
        <v>0</v>
      </c>
      <c r="G864" s="15" t="n">
        <f aca="false">'לקוחות לפי סוכן - מקור'!H855</f>
        <v>0</v>
      </c>
      <c r="H864" s="15" t="n">
        <f aca="false">'לקוחות לפי סוכן - מקור'!I855</f>
        <v>0</v>
      </c>
      <c r="I864" s="14" t="str">
        <f aca="false">'לקוחות לפי סוכן - מקור'!K855</f>
        <v>CHMI</v>
      </c>
    </row>
    <row r="865" customFormat="false" ht="15" hidden="false" customHeight="true" outlineLevel="1" collapsed="false">
      <c r="A865" s="14" t="str">
        <f aca="false">'לקוחות לפי סוכן - מקור'!A856</f>
        <v>חאזם תלחמי</v>
      </c>
      <c r="B865" s="14" t="str">
        <f aca="false">'לקוחות לפי סוכן - מקור'!C856</f>
        <v>0קופות חולים</v>
      </c>
      <c r="C865" s="47" t="str">
        <f aca="false">'לקוחות לפי סוכן - מקור'!E856</f>
        <v>7422 מאוחדת חריש</v>
      </c>
      <c r="D865" s="22" t="n">
        <f aca="false">'לקוחות לפי סוכן - מקור'!F856</f>
        <v>0</v>
      </c>
      <c r="E865" s="22" t="n">
        <f aca="false">'לקוחות לפי סוכן - מקור'!G856</f>
        <v>2329</v>
      </c>
      <c r="F865" s="14" t="n">
        <f aca="false">'לקוחות לפי סוכן - מקור'!D856</f>
        <v>0</v>
      </c>
      <c r="G865" s="15" t="n">
        <f aca="false">'לקוחות לפי סוכן - מקור'!H856</f>
        <v>0</v>
      </c>
      <c r="H865" s="15" t="n">
        <f aca="false">'לקוחות לפי סוכן - מקור'!I856</f>
        <v>0</v>
      </c>
      <c r="I865" s="14" t="str">
        <f aca="false">'לקוחות לפי סוכן - מקור'!K856</f>
        <v>CHMI</v>
      </c>
    </row>
    <row r="866" customFormat="false" ht="15" hidden="false" customHeight="true" outlineLevel="1" collapsed="false">
      <c r="A866" s="14" t="str">
        <f aca="false">'לקוחות לפי סוכן - מקור'!A857</f>
        <v>חאזם תלחמי</v>
      </c>
      <c r="B866" s="14" t="str">
        <f aca="false">'לקוחות לפי סוכן - מקור'!C857</f>
        <v>0קופות חולים</v>
      </c>
      <c r="C866" s="47" t="str">
        <f aca="false">'לקוחות לפי סוכן - מקור'!E857</f>
        <v>7419 מאוחדת פארם זכרון יעקב</v>
      </c>
      <c r="D866" s="22" t="n">
        <f aca="false">'לקוחות לפי סוכן - מקור'!F857</f>
        <v>0</v>
      </c>
      <c r="E866" s="22" t="n">
        <f aca="false">'לקוחות לפי סוכן - מקור'!G857</f>
        <v>1536.6</v>
      </c>
      <c r="F866" s="14" t="n">
        <f aca="false">'לקוחות לפי סוכן - מקור'!D857</f>
        <v>0</v>
      </c>
      <c r="G866" s="15" t="n">
        <f aca="false">'לקוחות לפי סוכן - מקור'!H857</f>
        <v>0</v>
      </c>
      <c r="H866" s="15" t="n">
        <f aca="false">'לקוחות לפי סוכן - מקור'!I857</f>
        <v>0</v>
      </c>
      <c r="I866" s="14" t="str">
        <f aca="false">'לקוחות לפי סוכן - מקור'!K857</f>
        <v>CHMI</v>
      </c>
    </row>
    <row r="867" customFormat="false" ht="15" hidden="false" customHeight="true" outlineLevel="1" collapsed="false">
      <c r="A867" s="14" t="str">
        <f aca="false">'לקוחות לפי סוכן - מקור'!A858</f>
        <v>חאזם תלחמי</v>
      </c>
      <c r="B867" s="14" t="str">
        <f aca="false">'לקוחות לפי סוכן - מקור'!C858</f>
        <v>0קופות חולים</v>
      </c>
      <c r="C867" s="47" t="str">
        <f aca="false">'לקוחות לפי סוכן - מקור'!E858</f>
        <v>מאוחדת בר כוכבא חיפה</v>
      </c>
      <c r="D867" s="22" t="n">
        <f aca="false">'לקוחות לפי סוכן - מקור'!F858</f>
        <v>0</v>
      </c>
      <c r="E867" s="22" t="n">
        <f aca="false">'לקוחות לפי סוכן - מקור'!G858</f>
        <v>496.4</v>
      </c>
      <c r="F867" s="14" t="n">
        <f aca="false">'לקוחות לפי סוכן - מקור'!D858</f>
        <v>0</v>
      </c>
      <c r="G867" s="15" t="n">
        <f aca="false">'לקוחות לפי סוכן - מקור'!H858</f>
        <v>0</v>
      </c>
      <c r="H867" s="15" t="n">
        <f aca="false">'לקוחות לפי סוכן - מקור'!I858</f>
        <v>0</v>
      </c>
      <c r="I867" s="14" t="str">
        <f aca="false">'לקוחות לפי סוכן - מקור'!K858</f>
        <v>CHMI</v>
      </c>
    </row>
    <row r="868" customFormat="false" ht="15" hidden="false" customHeight="true" outlineLevel="1" collapsed="false">
      <c r="A868" s="14" t="str">
        <f aca="false">'לקוחות לפי סוכן - מקור'!A859</f>
        <v>חאזם תלחמי</v>
      </c>
      <c r="B868" s="14" t="str">
        <f aca="false">'לקוחות לפי סוכן - מקור'!C859</f>
        <v>0קופות חולים</v>
      </c>
      <c r="C868" s="47" t="str">
        <f aca="false">'לקוחות לפי סוכן - מקור'!E859</f>
        <v>7424 מאוחדת פארם פסגות ים</v>
      </c>
      <c r="D868" s="22" t="n">
        <f aca="false">'לקוחות לפי סוכן - מקור'!F859</f>
        <v>0</v>
      </c>
      <c r="E868" s="22" t="n">
        <f aca="false">'לקוחות לפי סוכן - מקור'!G859</f>
        <v>2072.6</v>
      </c>
      <c r="F868" s="14" t="n">
        <f aca="false">'לקוחות לפי סוכן - מקור'!D859</f>
        <v>0</v>
      </c>
      <c r="G868" s="15" t="n">
        <f aca="false">'לקוחות לפי סוכן - מקור'!H859</f>
        <v>0</v>
      </c>
      <c r="H868" s="15" t="n">
        <f aca="false">'לקוחות לפי סוכן - מקור'!I859</f>
        <v>0</v>
      </c>
      <c r="I868" s="14" t="str">
        <f aca="false">'לקוחות לפי סוכן - מקור'!K859</f>
        <v>CHMI</v>
      </c>
    </row>
    <row r="869" customFormat="false" ht="15" hidden="false" customHeight="true" outlineLevel="1" collapsed="false">
      <c r="A869" s="14" t="str">
        <f aca="false">'לקוחות לפי סוכן - מקור'!A860</f>
        <v>חאזם תלחמי</v>
      </c>
      <c r="B869" s="14" t="str">
        <f aca="false">'לקוחות לפי סוכן - מקור'!C860</f>
        <v>0קופות חולים</v>
      </c>
      <c r="C869" s="47" t="str">
        <f aca="false">'לקוחות לפי סוכן - מקור'!E860</f>
        <v>7427 מאוחדת קרית אתא</v>
      </c>
      <c r="D869" s="22" t="n">
        <f aca="false">'לקוחות לפי סוכן - מקור'!F860</f>
        <v>0</v>
      </c>
      <c r="E869" s="22" t="n">
        <f aca="false">'לקוחות לפי סוכן - מקור'!G860</f>
        <v>1049.4</v>
      </c>
      <c r="F869" s="14" t="n">
        <f aca="false">'לקוחות לפי סוכן - מקור'!D860</f>
        <v>0</v>
      </c>
      <c r="G869" s="15" t="n">
        <f aca="false">'לקוחות לפי סוכן - מקור'!H860</f>
        <v>0</v>
      </c>
      <c r="H869" s="15" t="n">
        <f aca="false">'לקוחות לפי סוכן - מקור'!I860</f>
        <v>0</v>
      </c>
      <c r="I869" s="14" t="str">
        <f aca="false">'לקוחות לפי סוכן - מקור'!K860</f>
        <v>CHMI</v>
      </c>
    </row>
    <row r="870" customFormat="false" ht="15" hidden="false" customHeight="true" outlineLevel="1" collapsed="false">
      <c r="A870" s="14" t="str">
        <f aca="false">'לקוחות לפי סוכן - מקור'!A861</f>
        <v>חאזם תלחמי</v>
      </c>
      <c r="B870" s="14" t="str">
        <f aca="false">'לקוחות לפי סוכן - מקור'!C861</f>
        <v>0קופות חולים</v>
      </c>
      <c r="C870" s="47" t="str">
        <f aca="false">'לקוחות לפי סוכן - מקור'!E861</f>
        <v>7426 מאוחדת פארם ויוה חדרה</v>
      </c>
      <c r="D870" s="22" t="n">
        <f aca="false">'לקוחות לפי סוכן - מקור'!F861</f>
        <v>0</v>
      </c>
      <c r="E870" s="22" t="n">
        <f aca="false">'לקוחות לפי סוכן - מקור'!G861</f>
        <v>8138.5</v>
      </c>
      <c r="F870" s="14" t="n">
        <f aca="false">'לקוחות לפי סוכן - מקור'!D861</f>
        <v>0</v>
      </c>
      <c r="G870" s="15" t="n">
        <f aca="false">'לקוחות לפי סוכן - מקור'!H861</f>
        <v>0</v>
      </c>
      <c r="H870" s="15" t="n">
        <f aca="false">'לקוחות לפי סוכן - מקור'!I861</f>
        <v>0</v>
      </c>
      <c r="I870" s="14" t="str">
        <f aca="false">'לקוחות לפי סוכן - מקור'!K861</f>
        <v>CHMI</v>
      </c>
    </row>
    <row r="871" customFormat="false" ht="15" hidden="false" customHeight="true" outlineLevel="1" collapsed="false">
      <c r="A871" s="14" t="str">
        <f aca="false">'לקוחות לפי סוכן - מקור'!A862</f>
        <v>חאזם תלחמי</v>
      </c>
      <c r="B871" s="14" t="str">
        <f aca="false">'לקוחות לפי סוכן - מקור'!C862</f>
        <v>0קופות חולים</v>
      </c>
      <c r="C871" s="47" t="str">
        <f aca="false">'לקוחות לפי סוכן - מקור'!E862</f>
        <v>7434 מאוחדת פארם שפרעם</v>
      </c>
      <c r="D871" s="22" t="n">
        <f aca="false">'לקוחות לפי סוכן - מקור'!F862</f>
        <v>0</v>
      </c>
      <c r="E871" s="22" t="n">
        <f aca="false">'לקוחות לפי סוכן - מקור'!G862</f>
        <v>1519.4</v>
      </c>
      <c r="F871" s="14" t="n">
        <f aca="false">'לקוחות לפי סוכן - מקור'!D862</f>
        <v>0</v>
      </c>
      <c r="G871" s="15" t="n">
        <f aca="false">'לקוחות לפי סוכן - מקור'!H862</f>
        <v>0</v>
      </c>
      <c r="H871" s="15" t="n">
        <f aca="false">'לקוחות לפי סוכן - מקור'!I862</f>
        <v>0</v>
      </c>
      <c r="I871" s="14" t="str">
        <f aca="false">'לקוחות לפי סוכן - מקור'!K862</f>
        <v>CHMI</v>
      </c>
    </row>
    <row r="872" customFormat="false" ht="15" hidden="false" customHeight="true" outlineLevel="1" collapsed="false">
      <c r="A872" s="14" t="str">
        <f aca="false">'לקוחות לפי סוכן - מקור'!A863</f>
        <v>חאזם תלחמי</v>
      </c>
      <c r="B872" s="14" t="str">
        <f aca="false">'לקוחות לפי סוכן - מקור'!C863</f>
        <v>0קופות חולים</v>
      </c>
      <c r="C872" s="47" t="str">
        <f aca="false">'לקוחות לפי סוכן - מקור'!E863</f>
        <v>7433 מאוחדת פארם לב כרמיאל</v>
      </c>
      <c r="D872" s="22" t="n">
        <f aca="false">'לקוחות לפי סוכן - מקור'!F863</f>
        <v>0</v>
      </c>
      <c r="E872" s="22" t="n">
        <f aca="false">'לקוחות לפי סוכן - מקור'!G863</f>
        <v>660.9</v>
      </c>
      <c r="F872" s="14" t="n">
        <f aca="false">'לקוחות לפי סוכן - מקור'!D863</f>
        <v>0</v>
      </c>
      <c r="G872" s="15" t="n">
        <f aca="false">'לקוחות לפי סוכן - מקור'!H863</f>
        <v>0</v>
      </c>
      <c r="H872" s="15" t="n">
        <f aca="false">'לקוחות לפי סוכן - מקור'!I863</f>
        <v>0</v>
      </c>
      <c r="I872" s="14" t="str">
        <f aca="false">'לקוחות לפי סוכן - מקור'!K863</f>
        <v>CHMI</v>
      </c>
    </row>
    <row r="873" customFormat="false" ht="15" hidden="false" customHeight="true" outlineLevel="1" collapsed="false">
      <c r="A873" s="14" t="str">
        <f aca="false">'לקוחות לפי סוכן - מקור'!A864</f>
        <v>חאזם תלחמי</v>
      </c>
      <c r="B873" s="14" t="str">
        <f aca="false">'לקוחות לפי סוכן - מקור'!C864</f>
        <v>0קופות חולים</v>
      </c>
      <c r="C873" s="47" t="str">
        <f aca="false">'לקוחות לפי סוכן - מקור'!E864</f>
        <v>7435 מאוחדת פארם כאבול</v>
      </c>
      <c r="D873" s="22" t="n">
        <f aca="false">'לקוחות לפי סוכן - מקור'!F864</f>
        <v>0</v>
      </c>
      <c r="E873" s="22" t="n">
        <f aca="false">'לקוחות לפי סוכן - מקור'!G864</f>
        <v>926.3</v>
      </c>
      <c r="F873" s="14" t="n">
        <f aca="false">'לקוחות לפי סוכן - מקור'!D864</f>
        <v>0</v>
      </c>
      <c r="G873" s="15" t="n">
        <f aca="false">'לקוחות לפי סוכן - מקור'!H864</f>
        <v>0</v>
      </c>
      <c r="H873" s="15" t="n">
        <f aca="false">'לקוחות לפי סוכן - מקור'!I864</f>
        <v>0</v>
      </c>
      <c r="I873" s="14" t="str">
        <f aca="false">'לקוחות לפי סוכן - מקור'!K864</f>
        <v>CHMI</v>
      </c>
    </row>
    <row r="874" customFormat="false" ht="15" hidden="false" customHeight="true" outlineLevel="1" collapsed="false">
      <c r="A874" s="14" t="str">
        <f aca="false">'לקוחות לפי סוכן - מקור'!A865</f>
        <v>חאזם תלחמי</v>
      </c>
      <c r="B874" s="14" t="str">
        <f aca="false">'לקוחות לפי סוכן - מקור'!C865</f>
        <v>0קופות חולים</v>
      </c>
      <c r="C874" s="47" t="str">
        <f aca="false">'לקוחות לפי סוכן - מקור'!E865</f>
        <v>מאוחדת פארם עפולה עילית</v>
      </c>
      <c r="D874" s="22" t="n">
        <f aca="false">'לקוחות לפי סוכן - מקור'!F865</f>
        <v>0</v>
      </c>
      <c r="E874" s="22" t="n">
        <f aca="false">'לקוחות לפי סוכן - מקור'!G865</f>
        <v>294.6</v>
      </c>
      <c r="F874" s="14" t="n">
        <f aca="false">'לקוחות לפי סוכן - מקור'!D865</f>
        <v>0</v>
      </c>
      <c r="G874" s="15" t="n">
        <f aca="false">'לקוחות לפי סוכן - מקור'!H865</f>
        <v>0</v>
      </c>
      <c r="H874" s="15" t="n">
        <f aca="false">'לקוחות לפי סוכן - מקור'!I865</f>
        <v>0</v>
      </c>
      <c r="I874" s="14" t="str">
        <f aca="false">'לקוחות לפי סוכן - מקור'!K865</f>
        <v>CHMI</v>
      </c>
    </row>
    <row r="875" customFormat="false" ht="15" hidden="false" customHeight="true" outlineLevel="0" collapsed="false"/>
    <row r="876" customFormat="false" ht="15" hidden="false" customHeight="true" outlineLevel="0" collapsed="false">
      <c r="A876" s="16" t="s">
        <v>27</v>
      </c>
      <c r="B876" s="16"/>
      <c r="C876" s="45" t="s">
        <v>3798</v>
      </c>
      <c r="D876" s="46" t="n">
        <f aca="false">SUMIF('לקוחות לפי סוכן - מקור'!$A$2:$A$867,$A876,'לקוחות לפי סוכן - מקור'!$F$2:$F$867)</f>
        <v>0</v>
      </c>
      <c r="E876" s="46" t="n">
        <f aca="false">SUMIF('לקוחות לפי סוכן - מקור'!$A$2:$A$867,$A876,'לקוחות לפי סוכן - מקור'!$G$2:$G$867)</f>
        <v>16208.1</v>
      </c>
      <c r="F876" s="16"/>
      <c r="G876" s="17" t="n">
        <f aca="false">SUMIF('לקוחות לפי סוכן - מקור'!$A$2:$A$867,$A876,'לקוחות לפי סוכן - מקור'!$H$2:$H$867)</f>
        <v>0</v>
      </c>
      <c r="H876" s="17" t="n">
        <f aca="false">SUMIF('לקוחות לפי סוכן - מקור'!$A$2:$A$867,$A876,'לקוחות לפי סוכן - מקור'!$I$2:$I$867)</f>
        <v>0</v>
      </c>
      <c r="I876" s="16" t="s">
        <v>3541</v>
      </c>
    </row>
    <row r="877" customFormat="false" ht="15" hidden="false" customHeight="true" outlineLevel="1" collapsed="false">
      <c r="A877" s="14" t="str">
        <f aca="false">'לקוחות לפי סוכן - מקור'!A866</f>
        <v>עיסא</v>
      </c>
      <c r="B877" s="14" t="str">
        <f aca="false">'לקוחות לפי סוכן - מקור'!C866</f>
        <v>שופרסל BE</v>
      </c>
      <c r="C877" s="47" t="str">
        <f aca="false">'לקוחות לפי סוכן - מקור'!E866</f>
        <v>824  אונליין לונג פ""ת BE</v>
      </c>
      <c r="D877" s="22" t="n">
        <f aca="false">'לקוחות לפי סוכן - מקור'!F866</f>
        <v>0</v>
      </c>
      <c r="E877" s="22" t="n">
        <f aca="false">'לקוחות לפי סוכן - מקור'!G866</f>
        <v>15621.3</v>
      </c>
      <c r="F877" s="14" t="n">
        <f aca="false">'לקוחות לפי סוכן - מקור'!D866</f>
        <v>0</v>
      </c>
      <c r="G877" s="15" t="n">
        <f aca="false">'לקוחות לפי סוכן - מקור'!H866</f>
        <v>0</v>
      </c>
      <c r="H877" s="15" t="n">
        <f aca="false">'לקוחות לפי סוכן - מקור'!I866</f>
        <v>0</v>
      </c>
      <c r="I877" s="14" t="str">
        <f aca="false">'לקוחות לפי סוכן - מקור'!K866</f>
        <v>CHMI</v>
      </c>
    </row>
    <row r="878" customFormat="false" ht="15" hidden="false" customHeight="true" outlineLevel="1" collapsed="false">
      <c r="A878" s="14" t="str">
        <f aca="false">'לקוחות לפי סוכן - מקור'!A867</f>
        <v>עיסא</v>
      </c>
      <c r="B878" s="14" t="str">
        <f aca="false">'לקוחות לפי סוכן - מקור'!C867</f>
        <v>0קופות חולים</v>
      </c>
      <c r="C878" s="47" t="str">
        <f aca="false">'לקוחות לפי סוכן - מקור'!E867</f>
        <v>ק.חולים מכבי</v>
      </c>
      <c r="D878" s="22" t="n">
        <f aca="false">'לקוחות לפי סוכן - מקור'!F867</f>
        <v>0</v>
      </c>
      <c r="E878" s="22" t="n">
        <f aca="false">'לקוחות לפי סוכן - מקור'!G867</f>
        <v>586.8</v>
      </c>
      <c r="F878" s="14" t="n">
        <f aca="false">'לקוחות לפי סוכן - מקור'!D867</f>
        <v>0</v>
      </c>
      <c r="G878" s="15" t="n">
        <f aca="false">'לקוחות לפי סוכן - מקור'!H867</f>
        <v>0</v>
      </c>
      <c r="H878" s="15" t="n">
        <f aca="false">'לקוחות לפי סוכן - מקור'!I867</f>
        <v>0</v>
      </c>
      <c r="I878" s="14" t="str">
        <f aca="false">'לקוחות לפי סוכן - מקור'!K867</f>
        <v>CHMI</v>
      </c>
    </row>
    <row r="879" customFormat="false" ht="15" hidden="false" customHeight="true" outlineLevel="0" collapsed="false"/>
    <row r="880" customFormat="false" ht="15" hidden="false" customHeight="true" outlineLevel="0" collapsed="false">
      <c r="A880" s="16" t="s">
        <v>3458</v>
      </c>
      <c r="B880" s="16"/>
      <c r="C880" s="45" t="s">
        <v>3799</v>
      </c>
      <c r="D880" s="46" t="n">
        <f aca="false">SUMIF('לקוחות לפי סוכן - מקור'!$A$2:$A$867,$A880,'לקוחות לפי סוכן - מקור'!$F$2:$F$867)</f>
        <v>0</v>
      </c>
      <c r="E880" s="46" t="n">
        <f aca="false">SUMIF('לקוחות לפי סוכן - מקור'!$A$2:$A$867,$A880,'לקוחות לפי סוכן - מקור'!$G$2:$G$867)</f>
        <v>0</v>
      </c>
      <c r="F880" s="16"/>
      <c r="G880" s="17" t="n">
        <f aca="false">SUMIF('לקוחות לפי סוכן - מקור'!$A$2:$A$867,$A880,'לקוחות לפי סוכן - מקור'!$H$2:$H$867)</f>
        <v>0</v>
      </c>
      <c r="H880" s="17" t="n">
        <f aca="false">SUMIF('לקוחות לפי סוכן - מקור'!$A$2:$A$867,$A880,'לקוחות לפי סוכן - מקור'!$I$2:$I$867)</f>
        <v>0</v>
      </c>
      <c r="I880" s="16" t="s">
        <v>3541</v>
      </c>
    </row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  <row r="885" customFormat="false" ht="15" hidden="false" customHeight="true" outlineLevel="0" collapsed="false"/>
    <row r="886" customFormat="false" ht="15" hidden="false" customHeight="true" outlineLevel="0" collapsed="false"/>
    <row r="887" customFormat="false" ht="15" hidden="false" customHeight="true" outlineLevel="0" collapsed="false"/>
    <row r="888" customFormat="false" ht="15" hidden="false" customHeight="true" outlineLevel="0" collapsed="false"/>
    <row r="889" customFormat="false" ht="15" hidden="false" customHeight="true" outlineLevel="0" collapsed="false"/>
    <row r="890" customFormat="false" ht="15" hidden="false" customHeight="true" outlineLevel="0" collapsed="false"/>
    <row r="891" customFormat="false" ht="15" hidden="false" customHeight="true" outlineLevel="0" collapsed="false"/>
    <row r="892" customFormat="false" ht="15" hidden="false" customHeight="true" outlineLevel="0" collapsed="false"/>
    <row r="893" customFormat="false" ht="15" hidden="false" customHeight="true" outlineLevel="0" collapsed="false"/>
    <row r="894" customFormat="false" ht="15" hidden="false" customHeight="true" outlineLevel="0" collapsed="false"/>
    <row r="895" customFormat="false" ht="15" hidden="false" customHeight="true" outlineLevel="0" collapsed="false"/>
    <row r="896" customFormat="false" ht="15" hidden="false" customHeight="true" outlineLevel="0" collapsed="false"/>
    <row r="897" customFormat="false" ht="1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6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3800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3801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3802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  <c r="J3" s="30" t="s">
        <v>3803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fals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fals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fals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fals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fals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fals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fals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fals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fals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fals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fals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fals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fals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fals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fals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false">
      <c r="A25" s="16" t="s">
        <v>3453</v>
      </c>
      <c r="B25" s="16"/>
      <c r="C25" s="16" t="s">
        <v>3804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fals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fals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fals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fals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fals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fals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fals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fals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fals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fals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fals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fals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fals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fals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fals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fals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fals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fals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fals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fals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fals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fals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fals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fals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fals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fals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fals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fals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fals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fals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fals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fals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fals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fals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fals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fals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fals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fals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fals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fals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fals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fals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fals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fals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fals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fals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fals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fals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fals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fals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fals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fals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fals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fals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fals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fals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fals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fals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fals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fals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fals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fals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fals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fals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fals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fals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fals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fals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fals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fals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fals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fals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fals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fals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fals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fals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fals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fals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fals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fals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fals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fals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fals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fals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fals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fals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fals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fals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fals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fals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fals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fals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fals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fals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fals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fals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fals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fals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fals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fals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fals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fals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fals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fals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fals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fals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fals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fals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fals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fals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fals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fals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fals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fals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fals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fals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fals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fals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fals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fals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fals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fals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fals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fals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fals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fals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fals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fals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fals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fals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fals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fals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fals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fals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fals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fals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fals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fals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fals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fals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fals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fals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fals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fals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fals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fals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fals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fals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fals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fals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fals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fals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fals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fals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fals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fals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fals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fals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fals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fals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fals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fals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fals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fals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fals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fals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fals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fals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fals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fals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fals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fals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fals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fals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fals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fals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fals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fals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fals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fals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fals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fals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fals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fals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fals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fals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fals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fals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fals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fals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fals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fals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fals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3804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fals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fals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fals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fals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fals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fals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fals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fals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fals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fals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fals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fals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fals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fals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fals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fals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fals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fals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fals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fals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fals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fals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fals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fals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fals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fals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fals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fals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fals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fals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fals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fals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fals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fals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fals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fals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fals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fals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fals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fals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fals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fals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fals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fals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fals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fals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fals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fals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fals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fals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fals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fals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fals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fals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fals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fals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fals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fals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fals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fals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fals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fals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fals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fals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fals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fals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fals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fals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fals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fals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fals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fals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fals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fals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fals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fals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fals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fals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fals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fals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fals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fals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fals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fals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fals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fals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fals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fals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fals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fals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fals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fals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fals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fals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fals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fals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fals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fals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fals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fals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fals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fals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fals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fals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fals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fals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fals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fals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fals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fals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fals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fals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fals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fals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fals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fals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fals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fals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fals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fals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fals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fals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fals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fals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fals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fals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fals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fals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fals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fals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fals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fals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fals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fals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fals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fals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fals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fals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fals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fals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fals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fals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fals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fals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fals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fals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fals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fals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fals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fals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fals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fals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fals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fals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fals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fals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fals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fals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fals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fals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fals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fals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fals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fals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fals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fals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fals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fals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fals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fals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fals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3804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379852.31</v>
      </c>
      <c r="E428" s="52" t="n">
        <f aca="false">SUMIFS('לקוחות לפי סוכן - מקור'!$G$2:$G$867,'לקוחות לפי סוכן - מקור'!$A$2:$A$867,$A428,'לקוחות לפי סוכן - מקור'!$C$2:$C$867,$B428)</f>
        <v>283915.38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5407</v>
      </c>
      <c r="H428" s="53" t="n">
        <f aca="false">SUMIFS('לקוחות לפי סוכן - מקור'!$I$2:$I$867,'לקוחות לפי סוכן - מקור'!$A$2:$A$867,$A428,'לקוחות לפי סוכן - מקור'!$C$2:$C$867,$B428)</f>
        <v>3473</v>
      </c>
      <c r="I428" s="51"/>
      <c r="J428" s="53" t="n">
        <f aca="false">COUNTIFS('לקוחות לפי סוכן - מקור'!$A$2:$A$867,$A428,'לקוחות לפי סוכן - מקור'!$C$2:$C$867,$B428)</f>
        <v>35</v>
      </c>
    </row>
    <row r="429" customFormat="false" ht="15" hidden="false" customHeight="true" outlineLevel="2" collapsed="false">
      <c r="A429" s="14" t="str">
        <f aca="false">'לקוחות לפי סוכן - מקור'!A392</f>
        <v>אורלי בלאיש</v>
      </c>
      <c r="B429" s="14" t="str">
        <f aca="false">'לקוחות לפי סוכן - מקור'!C392</f>
        <v>102 - Orthopedic institutes</v>
      </c>
      <c r="C429" s="14" t="str">
        <f aca="false">'לקוחות לפי סוכן - מקור'!E392</f>
        <v>150005 אקספרס הנעלה ועור בע"מ</v>
      </c>
      <c r="D429" s="22" t="n">
        <f aca="false">'לקוחות לפי סוכן - מקור'!F392</f>
        <v>22318.45</v>
      </c>
      <c r="E429" s="22" t="n">
        <f aca="false">'לקוחות לפי סוכן - מקור'!G392</f>
        <v>22040.24</v>
      </c>
      <c r="F429" s="14" t="str">
        <f aca="false">'לקוחות לפי סוכן - מקור'!D392</f>
        <v>150005</v>
      </c>
      <c r="G429" s="15" t="n">
        <f aca="false">'לקוחות לפי סוכן - מקור'!H392</f>
        <v>351</v>
      </c>
      <c r="H429" s="15" t="n">
        <f aca="false">'לקוחות לפי סוכן - מקור'!I392</f>
        <v>317</v>
      </c>
      <c r="I429" s="48" t="str">
        <f aca="false">'לקוחות לפי סוכן - מקור'!K392</f>
        <v>NetSuite</v>
      </c>
    </row>
    <row r="430" customFormat="false" ht="15" hidden="false" customHeight="true" outlineLevel="2" collapsed="false">
      <c r="A430" s="14" t="str">
        <f aca="false">'לקוחות לפי סוכן - מקור'!A393</f>
        <v>אורלי בלאיש</v>
      </c>
      <c r="B430" s="14" t="str">
        <f aca="false">'לקוחות לפי סוכן - מקור'!C393</f>
        <v>102 - Orthopedic institutes</v>
      </c>
      <c r="C430" s="14" t="str">
        <f aca="false">'לקוחות לפי סוכן - מקור'!E393</f>
        <v>150010 אור אורטופדיה</v>
      </c>
      <c r="D430" s="22" t="n">
        <f aca="false">'לקוחות לפי סוכן - מקור'!F393</f>
        <v>27346.95</v>
      </c>
      <c r="E430" s="22" t="n">
        <f aca="false">'לקוחות לפי סוכן - מקור'!G393</f>
        <v>20846.97</v>
      </c>
      <c r="F430" s="14" t="str">
        <f aca="false">'לקוחות לפי סוכן - מקור'!D393</f>
        <v>150010</v>
      </c>
      <c r="G430" s="15" t="n">
        <f aca="false">'לקוחות לפי סוכן - מקור'!H393</f>
        <v>462</v>
      </c>
      <c r="H430" s="15" t="n">
        <f aca="false">'לקוחות לפי סוכן - מקור'!I393</f>
        <v>348</v>
      </c>
      <c r="I430" s="48" t="str">
        <f aca="false">'לקוחות לפי סוכן - מקור'!K393</f>
        <v>NetSuite</v>
      </c>
    </row>
    <row r="431" customFormat="false" ht="15" hidden="false" customHeight="true" outlineLevel="2" collapsed="false">
      <c r="A431" s="14" t="str">
        <f aca="false">'לקוחות לפי סוכן - מקור'!A394</f>
        <v>אורלי בלאיש</v>
      </c>
      <c r="B431" s="14" t="str">
        <f aca="false">'לקוחות לפי סוכן - מקור'!C394</f>
        <v>102 - Orthopedic institutes</v>
      </c>
      <c r="C431" s="14" t="str">
        <f aca="false">'לקוחות לפי סוכן - מקור'!E394</f>
        <v>150013 גליל אורטופדיה</v>
      </c>
      <c r="D431" s="22" t="n">
        <f aca="false">'לקוחות לפי סוכן - מקור'!F394</f>
        <v>17270.19</v>
      </c>
      <c r="E431" s="22" t="n">
        <f aca="false">'לקוחות לפי סוכן - מקור'!G394</f>
        <v>7296.18</v>
      </c>
      <c r="F431" s="14" t="str">
        <f aca="false">'לקוחות לפי סוכן - מקור'!D394</f>
        <v>150013</v>
      </c>
      <c r="G431" s="15" t="n">
        <f aca="false">'לקוחות לפי סוכן - מקור'!H394</f>
        <v>162</v>
      </c>
      <c r="H431" s="15" t="n">
        <f aca="false">'לקוחות לפי סוכן - מקור'!I394</f>
        <v>67</v>
      </c>
      <c r="I431" s="48" t="str">
        <f aca="false">'לקוחות לפי סוכן - מקור'!K394</f>
        <v>NetSuite</v>
      </c>
    </row>
    <row r="432" customFormat="false" ht="15" hidden="false" customHeight="true" outlineLevel="2" collapsed="false">
      <c r="A432" s="14" t="str">
        <f aca="false">'לקוחות לפי סוכן - מקור'!A395</f>
        <v>אורלי בלאיש</v>
      </c>
      <c r="B432" s="14" t="str">
        <f aca="false">'לקוחות לפי סוכן - מקור'!C395</f>
        <v>102 - Orthopedic institutes</v>
      </c>
      <c r="C432" s="14" t="str">
        <f aca="false">'לקוחות לפי סוכן - מקור'!E395</f>
        <v>150020 בירו אורטופדיה (יוסי)</v>
      </c>
      <c r="D432" s="22" t="n">
        <f aca="false">'לקוחות לפי סוכן - מקור'!F395</f>
        <v>2728.9</v>
      </c>
      <c r="E432" s="22" t="n">
        <f aca="false">'לקוחות לפי סוכן - מקור'!G395</f>
        <v>1425.36</v>
      </c>
      <c r="F432" s="14" t="str">
        <f aca="false">'לקוחות לפי סוכן - מקור'!D395</f>
        <v>150020</v>
      </c>
      <c r="G432" s="15" t="n">
        <f aca="false">'לקוחות לפי סוכן - מקור'!H395</f>
        <v>24</v>
      </c>
      <c r="H432" s="15" t="n">
        <f aca="false">'לקוחות לפי סוכן - מקור'!I395</f>
        <v>14</v>
      </c>
      <c r="I432" s="48" t="str">
        <f aca="false">'לקוחות לפי סוכן - מקור'!K395</f>
        <v>NetSuite</v>
      </c>
    </row>
    <row r="433" customFormat="false" ht="15" hidden="false" customHeight="true" outlineLevel="2" collapsed="false">
      <c r="A433" s="14" t="str">
        <f aca="false">'לקוחות לפי סוכן - מקור'!A396</f>
        <v>אורלי בלאיש</v>
      </c>
      <c r="B433" s="14" t="str">
        <f aca="false">'לקוחות לפי סוכן - מקור'!C396</f>
        <v>102 - Orthopedic institutes</v>
      </c>
      <c r="C433" s="14" t="str">
        <f aca="false">'לקוחות לפי סוכן - מקור'!E396</f>
        <v>150041 דן סימון אורטופדיה-פנורמה</v>
      </c>
      <c r="D433" s="22" t="n">
        <f aca="false">'לקוחות לפי סוכן - מקור'!F396</f>
        <v>957.32</v>
      </c>
      <c r="E433" s="22" t="n">
        <f aca="false">'לקוחות לפי סוכן - מקור'!G396</f>
        <v>422.28</v>
      </c>
      <c r="F433" s="14" t="str">
        <f aca="false">'לקוחות לפי סוכן - מקור'!D396</f>
        <v>150041</v>
      </c>
      <c r="G433" s="15" t="n">
        <f aca="false">'לקוחות לפי סוכן - מקור'!H396</f>
        <v>5</v>
      </c>
      <c r="H433" s="15" t="n">
        <f aca="false">'לקוחות לפי סוכן - מקור'!I396</f>
        <v>2</v>
      </c>
      <c r="I433" s="48" t="str">
        <f aca="false">'לקוחות לפי סוכן - מקור'!K396</f>
        <v>NetSuite</v>
      </c>
    </row>
    <row r="434" customFormat="false" ht="15" hidden="false" customHeight="true" outlineLevel="2" collapsed="false">
      <c r="A434" s="14" t="str">
        <f aca="false">'לקוחות לפי סוכן - מקור'!A397</f>
        <v>אורלי בלאיש</v>
      </c>
      <c r="B434" s="14" t="str">
        <f aca="false">'לקוחות לפי סוכן - מקור'!C397</f>
        <v>102 - Orthopedic institutes</v>
      </c>
      <c r="C434" s="14" t="str">
        <f aca="false">'לקוחות לפי סוכן - מקור'!E397</f>
        <v>150051 הררי אורטופדיה</v>
      </c>
      <c r="D434" s="22" t="n">
        <f aca="false">'לקוחות לפי סוכן - מקור'!F397</f>
        <v>3463.81</v>
      </c>
      <c r="E434" s="22" t="n">
        <f aca="false">'לקוחות לפי סוכן - מקור'!G397</f>
        <v>7057.04</v>
      </c>
      <c r="F434" s="14" t="str">
        <f aca="false">'לקוחות לפי סוכן - מקור'!D397</f>
        <v>150051</v>
      </c>
      <c r="G434" s="15" t="n">
        <f aca="false">'לקוחות לפי סוכן - מקור'!H397</f>
        <v>23</v>
      </c>
      <c r="H434" s="15" t="n">
        <f aca="false">'לקוחות לפי סוכן - מקור'!I397</f>
        <v>65</v>
      </c>
      <c r="I434" s="48" t="str">
        <f aca="false">'לקוחות לפי סוכן - מקור'!K397</f>
        <v>NetSuite</v>
      </c>
    </row>
    <row r="435" customFormat="false" ht="15" hidden="false" customHeight="true" outlineLevel="2" collapsed="false">
      <c r="A435" s="14" t="str">
        <f aca="false">'לקוחות לפי סוכן - מקור'!A398</f>
        <v>אורלי בלאיש</v>
      </c>
      <c r="B435" s="14" t="str">
        <f aca="false">'לקוחות לפי סוכן - מקור'!C398</f>
        <v>102 - Orthopedic institutes</v>
      </c>
      <c r="C435" s="14" t="str">
        <f aca="false">'לקוחות לפי סוכן - מקור'!E398</f>
        <v>150067 גרינברג ר.ע.י.ה אורטופדיה</v>
      </c>
      <c r="D435" s="22" t="n">
        <f aca="false">'לקוחות לפי סוכן - מקור'!F398</f>
        <v>2892.01</v>
      </c>
      <c r="E435" s="22" t="n">
        <f aca="false">'לקוחות לפי סוכן - מקור'!G398</f>
        <v>0</v>
      </c>
      <c r="F435" s="14" t="str">
        <f aca="false">'לקוחות לפי סוכן - מקור'!D398</f>
        <v>150067</v>
      </c>
      <c r="G435" s="15" t="n">
        <f aca="false">'לקוחות לפי סוכן - מקור'!H398</f>
        <v>12</v>
      </c>
      <c r="H435" s="15" t="n">
        <f aca="false">'לקוחות לפי סוכן - מקור'!I398</f>
        <v>0</v>
      </c>
      <c r="I435" s="48" t="str">
        <f aca="false">'לקוחות לפי סוכן - מקור'!K398</f>
        <v>NetSuite</v>
      </c>
    </row>
    <row r="436" customFormat="false" ht="15" hidden="false" customHeight="true" outlineLevel="2" collapsed="false">
      <c r="A436" s="14" t="str">
        <f aca="false">'לקוחות לפי סוכן - מקור'!A399</f>
        <v>אורלי בלאיש</v>
      </c>
      <c r="B436" s="14" t="str">
        <f aca="false">'לקוחות לפי סוכן - מקור'!C399</f>
        <v>102 - Orthopedic institutes</v>
      </c>
      <c r="C436" s="14" t="str">
        <f aca="false">'לקוחות לפי סוכן - מקור'!E399</f>
        <v>150136 מידרך אורטופדיה</v>
      </c>
      <c r="D436" s="22" t="n">
        <f aca="false">'לקוחות לפי סוכן - מקור'!F399</f>
        <v>911.25</v>
      </c>
      <c r="E436" s="22" t="n">
        <f aca="false">'לקוחות לפי סוכן - מקור'!G399</f>
        <v>0</v>
      </c>
      <c r="F436" s="14" t="str">
        <f aca="false">'לקוחות לפי סוכן - מקור'!D399</f>
        <v>150136</v>
      </c>
      <c r="G436" s="15" t="n">
        <f aca="false">'לקוחות לפי סוכן - מקור'!H399</f>
        <v>21</v>
      </c>
      <c r="H436" s="15" t="n">
        <f aca="false">'לקוחות לפי סוכן - מקור'!I399</f>
        <v>0</v>
      </c>
      <c r="I436" s="48" t="str">
        <f aca="false">'לקוחות לפי סוכן - מקור'!K399</f>
        <v>NetSuite</v>
      </c>
    </row>
    <row r="437" customFormat="false" ht="15" hidden="false" customHeight="true" outlineLevel="2" collapsed="false">
      <c r="A437" s="14" t="str">
        <f aca="false">'לקוחות לפי סוכן - מקור'!A400</f>
        <v>אורלי בלאיש</v>
      </c>
      <c r="B437" s="14" t="str">
        <f aca="false">'לקוחות לפי סוכן - מקור'!C400</f>
        <v>102 - Orthopedic institutes</v>
      </c>
      <c r="C437" s="14" t="str">
        <f aca="false">'לקוחות לפי סוכן - מקור'!E400</f>
        <v>150170 אליאורט אורטופדיה מתקדמת</v>
      </c>
      <c r="D437" s="22" t="n">
        <f aca="false">'לקוחות לפי סוכן - מקור'!F400</f>
        <v>8159.39</v>
      </c>
      <c r="E437" s="22" t="n">
        <f aca="false">'לקוחות לפי סוכן - מקור'!G400</f>
        <v>1723.04</v>
      </c>
      <c r="F437" s="14" t="str">
        <f aca="false">'לקוחות לפי סוכן - מקור'!D400</f>
        <v>150170</v>
      </c>
      <c r="G437" s="15" t="n">
        <f aca="false">'לקוחות לפי סוכן - מקור'!H400</f>
        <v>128</v>
      </c>
      <c r="H437" s="15" t="n">
        <f aca="false">'לקוחות לפי סוכן - מקור'!I400</f>
        <v>15</v>
      </c>
      <c r="I437" s="48" t="str">
        <f aca="false">'לקוחות לפי סוכן - מקור'!K400</f>
        <v>NetSuite</v>
      </c>
    </row>
    <row r="438" customFormat="false" ht="15" hidden="false" customHeight="true" outlineLevel="2" collapsed="false">
      <c r="A438" s="14" t="str">
        <f aca="false">'לקוחות לפי סוכן - מקור'!A401</f>
        <v>אורלי בלאיש</v>
      </c>
      <c r="B438" s="14" t="str">
        <f aca="false">'לקוחות לפי סוכן - מקור'!C401</f>
        <v>102 - Orthopedic institutes</v>
      </c>
      <c r="C438" s="14" t="str">
        <f aca="false">'לקוחות לפי סוכן - מקור'!E401</f>
        <v>150181 מכון ציון-מרכזים רפואיים</v>
      </c>
      <c r="D438" s="22" t="n">
        <f aca="false">'לקוחות לפי סוכן - מקור'!F401</f>
        <v>11173.08</v>
      </c>
      <c r="E438" s="22" t="n">
        <f aca="false">'לקוחות לפי סוכן - מקור'!G401</f>
        <v>5091.86</v>
      </c>
      <c r="F438" s="14" t="str">
        <f aca="false">'לקוחות לפי סוכן - מקור'!D401</f>
        <v>150181</v>
      </c>
      <c r="G438" s="15" t="n">
        <f aca="false">'לקוחות לפי סוכן - מקור'!H401</f>
        <v>83</v>
      </c>
      <c r="H438" s="15" t="n">
        <f aca="false">'לקוחות לפי סוכן - מקור'!I401</f>
        <v>32</v>
      </c>
      <c r="I438" s="48" t="str">
        <f aca="false">'לקוחות לפי סוכן - מקור'!K401</f>
        <v>NetSuite</v>
      </c>
    </row>
    <row r="439" customFormat="false" ht="15" hidden="false" customHeight="true" outlineLevel="2" collapsed="false">
      <c r="A439" s="14" t="str">
        <f aca="false">'לקוחות לפי סוכן - מקור'!A402</f>
        <v>אורלי בלאיש</v>
      </c>
      <c r="B439" s="14" t="str">
        <f aca="false">'לקוחות לפי סוכן - מקור'!C402</f>
        <v>102 - Orthopedic institutes</v>
      </c>
      <c r="C439" s="14" t="str">
        <f aca="false">'לקוחות לפי סוכן - מקור'!E402</f>
        <v>150202 רוני אורטופדיה בע"מ</v>
      </c>
      <c r="D439" s="22" t="n">
        <f aca="false">'לקוחות לפי סוכן - מקור'!F402</f>
        <v>63875.02</v>
      </c>
      <c r="E439" s="22" t="n">
        <f aca="false">'לקוחות לפי סוכן - מקור'!G402</f>
        <v>35989.62</v>
      </c>
      <c r="F439" s="14" t="str">
        <f aca="false">'לקוחות לפי סוכן - מקור'!D402</f>
        <v>150202</v>
      </c>
      <c r="G439" s="15" t="n">
        <f aca="false">'לקוחות לפי סוכן - מקור'!H402</f>
        <v>925</v>
      </c>
      <c r="H439" s="15" t="n">
        <f aca="false">'לקוחות לפי סוכן - מקור'!I402</f>
        <v>442</v>
      </c>
      <c r="I439" s="48" t="str">
        <f aca="false">'לקוחות לפי סוכן - מקור'!K402</f>
        <v>NetSuite</v>
      </c>
    </row>
    <row r="440" customFormat="false" ht="15" hidden="false" customHeight="true" outlineLevel="2" collapsed="false">
      <c r="A440" s="14" t="str">
        <f aca="false">'לקוחות לפי סוכן - מקור'!A403</f>
        <v>אורלי בלאיש</v>
      </c>
      <c r="B440" s="14" t="str">
        <f aca="false">'לקוחות לפי סוכן - מקור'!C403</f>
        <v>102 - Orthopedic institutes</v>
      </c>
      <c r="C440" s="14" t="str">
        <f aca="false">'לקוחות לפי סוכן - מקור'!E403</f>
        <v>150208 בני אורטפדיה קרית שמונ</v>
      </c>
      <c r="D440" s="22" t="n">
        <f aca="false">'לקוחות לפי סוכן - מקור'!F403</f>
        <v>1143.27</v>
      </c>
      <c r="E440" s="22" t="n">
        <f aca="false">'לקוחות לפי סוכן - מקור'!G403</f>
        <v>1149.18</v>
      </c>
      <c r="F440" s="14" t="str">
        <f aca="false">'לקוחות לפי סוכן - מקור'!D403</f>
        <v>150208</v>
      </c>
      <c r="G440" s="15" t="n">
        <f aca="false">'לקוחות לפי סוכן - מקור'!H403</f>
        <v>12</v>
      </c>
      <c r="H440" s="15" t="n">
        <f aca="false">'לקוחות לפי סוכן - מקור'!I403</f>
        <v>11</v>
      </c>
      <c r="I440" s="48" t="str">
        <f aca="false">'לקוחות לפי סוכן - מקור'!K403</f>
        <v>NetSuite</v>
      </c>
    </row>
    <row r="441" customFormat="false" ht="15" hidden="false" customHeight="true" outlineLevel="2" collapsed="false">
      <c r="A441" s="14" t="str">
        <f aca="false">'לקוחות לפי סוכן - מקור'!A404</f>
        <v>אורלי בלאיש</v>
      </c>
      <c r="B441" s="14" t="str">
        <f aca="false">'לקוחות לפי סוכן - מקור'!C404</f>
        <v>102 - Orthopedic institutes</v>
      </c>
      <c r="C441" s="14" t="str">
        <f aca="false">'לקוחות לפי סוכן - מקור'!E404</f>
        <v>150340 חגי אורטופדיה בע"מ</v>
      </c>
      <c r="D441" s="22" t="n">
        <f aca="false">'לקוחות לפי סוכן - מקור'!F404</f>
        <v>24502.71</v>
      </c>
      <c r="E441" s="22" t="n">
        <f aca="false">'לקוחות לפי סוכן - מקור'!G404</f>
        <v>18523.84</v>
      </c>
      <c r="F441" s="14" t="str">
        <f aca="false">'לקוחות לפי סוכן - מקור'!D404</f>
        <v>150340</v>
      </c>
      <c r="G441" s="15" t="n">
        <f aca="false">'לקוחות לפי סוכן - מקור'!H404</f>
        <v>596</v>
      </c>
      <c r="H441" s="15" t="n">
        <f aca="false">'לקוחות לפי סוכן - מקור'!I404</f>
        <v>387</v>
      </c>
      <c r="I441" s="48" t="str">
        <f aca="false">'לקוחות לפי סוכן - מקור'!K404</f>
        <v>NetSuite</v>
      </c>
    </row>
    <row r="442" customFormat="false" ht="15" hidden="false" customHeight="true" outlineLevel="2" collapsed="false">
      <c r="A442" s="14" t="str">
        <f aca="false">'לקוחות לפי סוכן - מקור'!A405</f>
        <v>אורלי בלאיש</v>
      </c>
      <c r="B442" s="14" t="str">
        <f aca="false">'לקוחות לפי סוכן - מקור'!C405</f>
        <v>102 - Orthopedic institutes</v>
      </c>
      <c r="C442" s="14" t="str">
        <f aca="false">'לקוחות לפי סוכן - מקור'!E405</f>
        <v>151048 כיאל מדיקל בע"מ</v>
      </c>
      <c r="D442" s="22" t="n">
        <f aca="false">'לקוחות לפי סוכן - מקור'!F405</f>
        <v>3743.45</v>
      </c>
      <c r="E442" s="22" t="n">
        <f aca="false">'לקוחות לפי סוכן - מקור'!G405</f>
        <v>0</v>
      </c>
      <c r="F442" s="14" t="str">
        <f aca="false">'לקוחות לפי סוכן - מקור'!D405</f>
        <v>151048</v>
      </c>
      <c r="G442" s="15" t="n">
        <f aca="false">'לקוחות לפי סוכן - מקור'!H405</f>
        <v>52</v>
      </c>
      <c r="H442" s="15" t="n">
        <f aca="false">'לקוחות לפי סוכן - מקור'!I405</f>
        <v>0</v>
      </c>
      <c r="I442" s="48" t="str">
        <f aca="false">'לקוחות לפי סוכן - מקור'!K405</f>
        <v>NetSuite</v>
      </c>
    </row>
    <row r="443" customFormat="false" ht="15" hidden="false" customHeight="true" outlineLevel="2" collapsed="false">
      <c r="A443" s="14" t="str">
        <f aca="false">'לקוחות לפי סוכן - מקור'!A406</f>
        <v>אורלי בלאיש</v>
      </c>
      <c r="B443" s="14" t="str">
        <f aca="false">'לקוחות לפי סוכן - מקור'!C406</f>
        <v>102 - Orthopedic institutes</v>
      </c>
      <c r="C443" s="14" t="str">
        <f aca="false">'לקוחות לפי סוכן - מקור'!E406</f>
        <v>151083 גל און קליניק</v>
      </c>
      <c r="D443" s="22" t="n">
        <f aca="false">'לקוחות לפי סוכן - מקור'!F406</f>
        <v>352.87</v>
      </c>
      <c r="E443" s="22" t="n">
        <f aca="false">'לקוחות לפי סוכן - מקור'!G406</f>
        <v>0</v>
      </c>
      <c r="F443" s="14" t="str">
        <f aca="false">'לקוחות לפי סוכן - מקור'!D406</f>
        <v>151083</v>
      </c>
      <c r="G443" s="15" t="n">
        <f aca="false">'לקוחות לפי סוכן - מקור'!H406</f>
        <v>4</v>
      </c>
      <c r="H443" s="15" t="n">
        <f aca="false">'לקוחות לפי סוכן - מקור'!I406</f>
        <v>0</v>
      </c>
      <c r="I443" s="48" t="str">
        <f aca="false">'לקוחות לפי סוכן - מקור'!K406</f>
        <v>NetSuite</v>
      </c>
    </row>
    <row r="444" customFormat="false" ht="15" hidden="false" customHeight="true" outlineLevel="2" collapsed="false">
      <c r="A444" s="14" t="str">
        <f aca="false">'לקוחות לפי סוכן - מקור'!A407</f>
        <v>אורלי בלאיש</v>
      </c>
      <c r="B444" s="14" t="str">
        <f aca="false">'לקוחות לפי סוכן - מקור'!C407</f>
        <v>102 - Orthopedic institutes</v>
      </c>
      <c r="C444" s="14" t="str">
        <f aca="false">'לקוחות לפי סוכן - מקור'!E407</f>
        <v>151092 נקודת הריפוי</v>
      </c>
      <c r="D444" s="22" t="n">
        <f aca="false">'לקוחות לפי סוכן - מקור'!F407</f>
        <v>4494.58</v>
      </c>
      <c r="E444" s="22" t="n">
        <f aca="false">'לקוחות לפי סוכן - מקור'!G407</f>
        <v>0</v>
      </c>
      <c r="F444" s="14" t="str">
        <f aca="false">'לקוחות לפי סוכן - מקור'!D407</f>
        <v>151092</v>
      </c>
      <c r="G444" s="15" t="n">
        <f aca="false">'לקוחות לפי סוכן - מקור'!H407</f>
        <v>50</v>
      </c>
      <c r="H444" s="15" t="n">
        <f aca="false">'לקוחות לפי סוכן - מקור'!I407</f>
        <v>0</v>
      </c>
      <c r="I444" s="48" t="str">
        <f aca="false">'לקוחות לפי סוכן - מקור'!K407</f>
        <v>NetSuite</v>
      </c>
    </row>
    <row r="445" customFormat="false" ht="15" hidden="false" customHeight="true" outlineLevel="2" collapsed="false">
      <c r="A445" s="14" t="str">
        <f aca="false">'לקוחות לפי סוכן - מקור'!A408</f>
        <v>אורלי בלאיש</v>
      </c>
      <c r="B445" s="14" t="str">
        <f aca="false">'לקוחות לפי סוכן - מקור'!C408</f>
        <v>102 - Orthopedic institutes</v>
      </c>
      <c r="C445" s="14" t="str">
        <f aca="false">'לקוחות לפי סוכן - מקור'!E408</f>
        <v>151136 אמיר מדיקל פארם בע"מ</v>
      </c>
      <c r="D445" s="22" t="n">
        <f aca="false">'לקוחות לפי סוכן - מקור'!F408</f>
        <v>34431.9</v>
      </c>
      <c r="E445" s="22" t="n">
        <f aca="false">'לקוחות לפי סוכן - מקור'!G408</f>
        <v>21083.63</v>
      </c>
      <c r="F445" s="14" t="str">
        <f aca="false">'לקוחות לפי סוכן - מקור'!D408</f>
        <v>151136</v>
      </c>
      <c r="G445" s="15" t="n">
        <f aca="false">'לקוחות לפי סוכן - מקור'!H408</f>
        <v>564</v>
      </c>
      <c r="H445" s="15" t="n">
        <f aca="false">'לקוחות לפי סוכן - מקור'!I408</f>
        <v>333</v>
      </c>
      <c r="I445" s="48" t="str">
        <f aca="false">'לקוחות לפי סוכן - מקור'!K408</f>
        <v>NetSuite</v>
      </c>
    </row>
    <row r="446" customFormat="false" ht="15" hidden="false" customHeight="true" outlineLevel="2" collapsed="false">
      <c r="A446" s="14" t="str">
        <f aca="false">'לקוחות לפי סוכן - מקור'!A409</f>
        <v>אורלי בלאיש</v>
      </c>
      <c r="B446" s="14" t="str">
        <f aca="false">'לקוחות לפי סוכן - מקור'!C409</f>
        <v>102 - Orthopedic institutes</v>
      </c>
      <c r="C446" s="14" t="str">
        <f aca="false">'לקוחות לפי סוכן - מקור'!E409</f>
        <v>151145 גל און קליניק אורתופדיה</v>
      </c>
      <c r="D446" s="22" t="n">
        <f aca="false">'לקוחות לפי סוכן - מקור'!F409</f>
        <v>435.07</v>
      </c>
      <c r="E446" s="22" t="n">
        <f aca="false">'לקוחות לפי סוכן - מקור'!G409</f>
        <v>1534.52</v>
      </c>
      <c r="F446" s="14" t="str">
        <f aca="false">'לקוחות לפי סוכן - מקור'!D409</f>
        <v>151145</v>
      </c>
      <c r="G446" s="15" t="n">
        <f aca="false">'לקוחות לפי סוכן - מקור'!H409</f>
        <v>7</v>
      </c>
      <c r="H446" s="15" t="n">
        <f aca="false">'לקוחות לפי סוכן - מקור'!I409</f>
        <v>14</v>
      </c>
      <c r="I446" s="48" t="str">
        <f aca="false">'לקוחות לפי סוכן - מקור'!K409</f>
        <v>NetSuite</v>
      </c>
    </row>
    <row r="447" customFormat="false" ht="15" hidden="false" customHeight="true" outlineLevel="2" collapsed="false">
      <c r="A447" s="14" t="str">
        <f aca="false">'לקוחות לפי סוכן - מקור'!A410</f>
        <v>אורלי בלאיש</v>
      </c>
      <c r="B447" s="14" t="str">
        <f aca="false">'לקוחות לפי סוכן - מקור'!C410</f>
        <v>102 - Orthopedic institutes</v>
      </c>
      <c r="C447" s="14" t="str">
        <f aca="false">'לקוחות לפי סוכן - מקור'!E410</f>
        <v>151170 נ.ר פתרונות אורתופדים</v>
      </c>
      <c r="D447" s="22" t="n">
        <f aca="false">'לקוחות לפי סוכן - מקור'!F410</f>
        <v>677.24</v>
      </c>
      <c r="E447" s="22" t="n">
        <f aca="false">'לקוחות לפי סוכן - מקור'!G410</f>
        <v>469.99</v>
      </c>
      <c r="F447" s="14" t="str">
        <f aca="false">'לקוחות לפי סוכן - מקור'!D410</f>
        <v>151170</v>
      </c>
      <c r="G447" s="15" t="n">
        <f aca="false">'לקוחות לפי סוכן - מקור'!H410</f>
        <v>6</v>
      </c>
      <c r="H447" s="15" t="n">
        <f aca="false">'לקוחות לפי סוכן - מקור'!I410</f>
        <v>5</v>
      </c>
      <c r="I447" s="48" t="str">
        <f aca="false">'לקוחות לפי סוכן - מקור'!K410</f>
        <v>NetSuite</v>
      </c>
    </row>
    <row r="448" customFormat="false" ht="15" hidden="false" customHeight="true" outlineLevel="2" collapsed="false">
      <c r="A448" s="14" t="str">
        <f aca="false">'לקוחות לפי סוכן - מקור'!A411</f>
        <v>אורלי בלאיש</v>
      </c>
      <c r="B448" s="14" t="str">
        <f aca="false">'לקוחות לפי סוכן - מקור'!C411</f>
        <v>102 - Orthopedic institutes</v>
      </c>
      <c r="C448" s="14" t="str">
        <f aca="false">'לקוחות לפי סוכן - מקור'!E411</f>
        <v>151183 א.מ אורטופדיה</v>
      </c>
      <c r="D448" s="22" t="n">
        <f aca="false">'לקוחות לפי סוכן - מקור'!F411</f>
        <v>3075.73</v>
      </c>
      <c r="E448" s="22" t="n">
        <f aca="false">'לקוחות לפי סוכן - מקור'!G411</f>
        <v>0</v>
      </c>
      <c r="F448" s="14" t="str">
        <f aca="false">'לקוחות לפי סוכן - מקור'!D411</f>
        <v>151183</v>
      </c>
      <c r="G448" s="15" t="n">
        <f aca="false">'לקוחות לפי סוכן - מקור'!H411</f>
        <v>35</v>
      </c>
      <c r="H448" s="15" t="n">
        <f aca="false">'לקוחות לפי סוכן - מקור'!I411</f>
        <v>0</v>
      </c>
      <c r="I448" s="48" t="str">
        <f aca="false">'לקוחות לפי סוכן - מקור'!K411</f>
        <v>NetSuite</v>
      </c>
    </row>
    <row r="449" customFormat="false" ht="15" hidden="false" customHeight="true" outlineLevel="2" collapsed="false">
      <c r="A449" s="14" t="str">
        <f aca="false">'לקוחות לפי סוכן - מקור'!A412</f>
        <v>אורלי בלאיש</v>
      </c>
      <c r="B449" s="14" t="str">
        <f aca="false">'לקוחות לפי סוכן - מקור'!C412</f>
        <v>102 - Orthopedic institutes</v>
      </c>
      <c r="C449" s="14" t="str">
        <f aca="false">'לקוחות לפי סוכן - מקור'!E412</f>
        <v>151198 טובא פארם</v>
      </c>
      <c r="D449" s="22" t="n">
        <f aca="false">'לקוחות לפי סוכן - מקור'!F412</f>
        <v>5256.45</v>
      </c>
      <c r="E449" s="22" t="n">
        <f aca="false">'לקוחות לפי סוכן - מקור'!G412</f>
        <v>2185.46</v>
      </c>
      <c r="F449" s="14" t="str">
        <f aca="false">'לקוחות לפי סוכן - מקור'!D412</f>
        <v>151198</v>
      </c>
      <c r="G449" s="15" t="n">
        <f aca="false">'לקוחות לפי סוכן - מקור'!H412</f>
        <v>63</v>
      </c>
      <c r="H449" s="15" t="n">
        <f aca="false">'לקוחות לפי סוכן - מקור'!I412</f>
        <v>39</v>
      </c>
      <c r="I449" s="48" t="str">
        <f aca="false">'לקוחות לפי סוכן - מקור'!K412</f>
        <v>NetSuite</v>
      </c>
    </row>
    <row r="450" customFormat="false" ht="15" hidden="false" customHeight="true" outlineLevel="2" collapsed="false">
      <c r="A450" s="14" t="str">
        <f aca="false">'לקוחות לפי סוכן - מקור'!A413</f>
        <v>אורלי בלאיש</v>
      </c>
      <c r="B450" s="14" t="str">
        <f aca="false">'לקוחות לפי סוכן - מקור'!C413</f>
        <v>102 - Orthopedic institutes</v>
      </c>
      <c r="C450" s="14" t="str">
        <f aca="false">'לקוחות לפי סוכן - מקור'!E413</f>
        <v>151209 רוני אורטופדיה  בע"מ - רמבם</v>
      </c>
      <c r="D450" s="22" t="n">
        <f aca="false">'לקוחות לפי סוכן - מקור'!F413</f>
        <v>54526.13</v>
      </c>
      <c r="E450" s="22" t="n">
        <f aca="false">'לקוחות לפי סוכן - מקור'!G413</f>
        <v>63540.64</v>
      </c>
      <c r="F450" s="14" t="str">
        <f aca="false">'לקוחות לפי סוכן - מקור'!D413</f>
        <v>151209</v>
      </c>
      <c r="G450" s="15" t="n">
        <f aca="false">'לקוחות לפי סוכן - מקור'!H413</f>
        <v>600</v>
      </c>
      <c r="H450" s="15" t="n">
        <f aca="false">'לקוחות לפי סוכן - מקור'!I413</f>
        <v>502</v>
      </c>
      <c r="I450" s="48" t="str">
        <f aca="false">'לקוחות לפי סוכן - מקור'!K413</f>
        <v>NetSuite</v>
      </c>
    </row>
    <row r="451" customFormat="false" ht="15" hidden="false" customHeight="true" outlineLevel="2" collapsed="false">
      <c r="A451" s="14" t="str">
        <f aca="false">'לקוחות לפי סוכן - מקור'!A414</f>
        <v>אורלי בלאיש</v>
      </c>
      <c r="B451" s="14" t="str">
        <f aca="false">'לקוחות לפי סוכן - מקור'!C414</f>
        <v>102 - Orthopedic institutes</v>
      </c>
      <c r="C451" s="14" t="str">
        <f aca="false">'לקוחות לפי סוכן - מקור'!E414</f>
        <v>151231 הום פלסט בע"מ</v>
      </c>
      <c r="D451" s="22" t="n">
        <f aca="false">'לקוחות לפי סוכן - מקור'!F414</f>
        <v>7952.2</v>
      </c>
      <c r="E451" s="22" t="n">
        <f aca="false">'לקוחות לפי סוכן - מקור'!G414</f>
        <v>100</v>
      </c>
      <c r="F451" s="14" t="str">
        <f aca="false">'לקוחות לפי סוכן - מקור'!D414</f>
        <v>151231</v>
      </c>
      <c r="G451" s="15" t="n">
        <f aca="false">'לקוחות לפי סוכן - מקור'!H414</f>
        <v>98</v>
      </c>
      <c r="H451" s="15" t="n">
        <f aca="false">'לקוחות לפי סוכן - מקור'!I414</f>
        <v>1</v>
      </c>
      <c r="I451" s="48" t="str">
        <f aca="false">'לקוחות לפי סוכן - מקור'!K414</f>
        <v>NetSuite</v>
      </c>
    </row>
    <row r="452" customFormat="false" ht="15" hidden="false" customHeight="true" outlineLevel="2" collapsed="false">
      <c r="A452" s="14" t="str">
        <f aca="false">'לקוחות לפי סוכן - מקור'!A415</f>
        <v>אורלי בלאיש</v>
      </c>
      <c r="B452" s="14" t="str">
        <f aca="false">'לקוחות לפי סוכן - מקור'!C415</f>
        <v>102 - Orthopedic institutes</v>
      </c>
      <c r="C452" s="14" t="str">
        <f aca="false">'לקוחות לפי סוכן - מקור'!E415</f>
        <v>152031 גפיים חיפה</v>
      </c>
      <c r="D452" s="22" t="n">
        <f aca="false">'לקוחות לפי סוכן - מקור'!F415</f>
        <v>7196.12</v>
      </c>
      <c r="E452" s="22" t="n">
        <f aca="false">'לקוחות לפי סוכן - מקור'!G415</f>
        <v>3231.74</v>
      </c>
      <c r="F452" s="14" t="str">
        <f aca="false">'לקוחות לפי סוכן - מקור'!D415</f>
        <v>152031</v>
      </c>
      <c r="G452" s="15" t="n">
        <f aca="false">'לקוחות לפי סוכן - מקור'!H415</f>
        <v>90</v>
      </c>
      <c r="H452" s="15" t="n">
        <f aca="false">'לקוחות לפי סוכן - מקור'!I415</f>
        <v>48</v>
      </c>
      <c r="I452" s="48" t="str">
        <f aca="false">'לקוחות לפי סוכן - מקור'!K415</f>
        <v>NetSuite</v>
      </c>
    </row>
    <row r="453" customFormat="false" ht="15" hidden="false" customHeight="true" outlineLevel="2" collapsed="false">
      <c r="A453" s="14" t="str">
        <f aca="false">'לקוחות לפי סוכן - מקור'!A416</f>
        <v>אורלי בלאיש</v>
      </c>
      <c r="B453" s="14" t="str">
        <f aca="false">'לקוחות לפי סוכן - מקור'!C416</f>
        <v>102 - Orthopedic institutes</v>
      </c>
      <c r="C453" s="14" t="str">
        <f aca="false">'לקוחות לפי סוכן - מקור'!E416</f>
        <v>153031 גרינברג ר.ע.י.ה מדיקל בעמ</v>
      </c>
      <c r="D453" s="22" t="n">
        <f aca="false">'לקוחות לפי סוכן - מקור'!F416</f>
        <v>4860</v>
      </c>
      <c r="E453" s="22" t="n">
        <f aca="false">'לקוחות לפי סוכן - מקור'!G416</f>
        <v>4440</v>
      </c>
      <c r="F453" s="14" t="str">
        <f aca="false">'לקוחות לפי סוכן - מקור'!D416</f>
        <v>153031</v>
      </c>
      <c r="G453" s="15" t="n">
        <f aca="false">'לקוחות לפי סוכן - מקור'!H416</f>
        <v>18</v>
      </c>
      <c r="H453" s="15" t="n">
        <f aca="false">'לקוחות לפי סוכן - מקור'!I416</f>
        <v>20</v>
      </c>
      <c r="I453" s="48" t="str">
        <f aca="false">'לקוחות לפי סוכן - מקור'!K416</f>
        <v>NetSuite</v>
      </c>
    </row>
    <row r="454" customFormat="false" ht="15" hidden="false" customHeight="true" outlineLevel="2" collapsed="false">
      <c r="A454" s="14" t="str">
        <f aca="false">'לקוחות לפי סוכן - מקור'!A417</f>
        <v>אורלי בלאיש</v>
      </c>
      <c r="B454" s="14" t="str">
        <f aca="false">'לקוחות לפי סוכן - מקור'!C417</f>
        <v>102 - Orthopedic institutes</v>
      </c>
      <c r="C454" s="14" t="str">
        <f aca="false">'לקוחות לפי סוכן - מקור'!E417</f>
        <v>153196 קלפון וילפריד</v>
      </c>
      <c r="D454" s="22" t="n">
        <f aca="false">'לקוחות לפי סוכן - מקור'!F417</f>
        <v>0</v>
      </c>
      <c r="E454" s="22" t="n">
        <f aca="false">'לקוחות לפי סוכן - מקור'!G417</f>
        <v>912.99</v>
      </c>
      <c r="F454" s="14" t="str">
        <f aca="false">'לקוחות לפי סוכן - מקור'!D417</f>
        <v>153196</v>
      </c>
      <c r="G454" s="15" t="n">
        <f aca="false">'לקוחות לפי סוכן - מקור'!H417</f>
        <v>0</v>
      </c>
      <c r="H454" s="15" t="n">
        <f aca="false">'לקוחות לפי סוכן - מקור'!I417</f>
        <v>11</v>
      </c>
      <c r="I454" s="48" t="str">
        <f aca="false">'לקוחות לפי סוכן - מקור'!K417</f>
        <v>NetSuite</v>
      </c>
    </row>
    <row r="455" customFormat="false" ht="15" hidden="false" customHeight="true" outlineLevel="2" collapsed="false">
      <c r="A455" s="14" t="str">
        <f aca="false">'לקוחות לפי סוכן - מקור'!A418</f>
        <v>אורלי בלאיש</v>
      </c>
      <c r="B455" s="14" t="str">
        <f aca="false">'לקוחות לפי סוכן - מקור'!C418</f>
        <v>102 - Orthopedic institutes</v>
      </c>
      <c r="C455" s="14" t="str">
        <f aca="false">'לקוחות לפי סוכן - מקור'!E418</f>
        <v>153248 א.ק אורטופדיה מתקדמת</v>
      </c>
      <c r="D455" s="22" t="n">
        <f aca="false">'לקוחות לפי סוכן - מקור'!F418</f>
        <v>1943.56</v>
      </c>
      <c r="E455" s="22" t="n">
        <f aca="false">'לקוחות לפי סוכן - מקור'!G418</f>
        <v>-536.7</v>
      </c>
      <c r="F455" s="14" t="str">
        <f aca="false">'לקוחות לפי סוכן - מקור'!D418</f>
        <v>153248</v>
      </c>
      <c r="G455" s="15" t="n">
        <f aca="false">'לקוחות לפי סוכן - מקור'!H418</f>
        <v>38</v>
      </c>
      <c r="H455" s="15" t="n">
        <f aca="false">'לקוחות לפי סוכן - מקור'!I418</f>
        <v>-24</v>
      </c>
      <c r="I455" s="48" t="str">
        <f aca="false">'לקוחות לפי סוכן - מקור'!K418</f>
        <v>NetSuite</v>
      </c>
    </row>
    <row r="456" customFormat="false" ht="15" hidden="false" customHeight="true" outlineLevel="2" collapsed="false">
      <c r="A456" s="14" t="str">
        <f aca="false">'לקוחות לפי סוכן - מקור'!A419</f>
        <v>אורלי בלאיש</v>
      </c>
      <c r="B456" s="14" t="str">
        <f aca="false">'לקוחות לפי סוכן - מקור'!C419</f>
        <v>102 - Orthopedic institutes</v>
      </c>
      <c r="C456" s="14" t="str">
        <f aca="false">'לקוחות לפי סוכן - מקור'!E419</f>
        <v>154142 מרכז הספורט חצור הגלילית</v>
      </c>
      <c r="D456" s="22" t="n">
        <f aca="false">'לקוחות לפי סוכן - מקור'!F419</f>
        <v>1490.09</v>
      </c>
      <c r="E456" s="22" t="n">
        <f aca="false">'לקוחות לפי סוכן - מקור'!G419</f>
        <v>0</v>
      </c>
      <c r="F456" s="14" t="str">
        <f aca="false">'לקוחות לפי סוכן - מקור'!D419</f>
        <v>154142</v>
      </c>
      <c r="G456" s="15" t="n">
        <f aca="false">'לקוחות לפי סוכן - מקור'!H419</f>
        <v>59</v>
      </c>
      <c r="H456" s="15" t="n">
        <f aca="false">'לקוחות לפי סוכן - מקור'!I419</f>
        <v>0</v>
      </c>
      <c r="I456" s="48" t="str">
        <f aca="false">'לקוחות לפי סוכן - מקור'!K419</f>
        <v>NetSuite</v>
      </c>
    </row>
    <row r="457" customFormat="false" ht="15" hidden="false" customHeight="true" outlineLevel="2" collapsed="false">
      <c r="A457" s="14" t="str">
        <f aca="false">'לקוחות לפי סוכן - מקור'!A420</f>
        <v>אורלי בלאיש</v>
      </c>
      <c r="B457" s="14" t="str">
        <f aca="false">'לקוחות לפי סוכן - מקור'!C420</f>
        <v>102 - Orthopedic institutes</v>
      </c>
      <c r="C457" s="14" t="str">
        <f aca="false">'לקוחות לפי סוכן - מקור'!E420</f>
        <v>157464 מדיקל הצפון ב.מ-חורי</v>
      </c>
      <c r="D457" s="22" t="n">
        <f aca="false">'לקוחות לפי סוכן - מקור'!F420</f>
        <v>46725.38</v>
      </c>
      <c r="E457" s="22" t="n">
        <f aca="false">'לקוחות לפי סוכן - מקור'!G420</f>
        <v>50813.46</v>
      </c>
      <c r="F457" s="14" t="str">
        <f aca="false">'לקוחות לפי סוכן - מקור'!D420</f>
        <v>157464</v>
      </c>
      <c r="G457" s="15" t="n">
        <f aca="false">'לקוחות לפי סוכן - מקור'!H420</f>
        <v>589</v>
      </c>
      <c r="H457" s="15" t="n">
        <f aca="false">'לקוחות לפי סוכן - מקור'!I420</f>
        <v>617</v>
      </c>
      <c r="I457" s="48" t="str">
        <f aca="false">'לקוחות לפי סוכן - מקור'!K420</f>
        <v>NetSuite</v>
      </c>
    </row>
    <row r="458" customFormat="false" ht="15" hidden="false" customHeight="true" outlineLevel="2" collapsed="false">
      <c r="A458" s="14" t="str">
        <f aca="false">'לקוחות לפי סוכן - מקור'!A421</f>
        <v>אורלי בלאיש</v>
      </c>
      <c r="B458" s="14" t="str">
        <f aca="false">'לקוחות לפי סוכן - מקור'!C421</f>
        <v>102 - Orthopedic institutes</v>
      </c>
      <c r="C458" s="14" t="str">
        <f aca="false">'לקוחות לפי סוכן - מקור'!E421</f>
        <v>157521 נזרין פארם-ראוי אורתופדיה</v>
      </c>
      <c r="D458" s="22" t="n">
        <f aca="false">'לקוחות לפי סוכן - מקור'!F421</f>
        <v>10625.11</v>
      </c>
      <c r="E458" s="22" t="n">
        <f aca="false">'לקוחות לפי סוכן - מקור'!G421</f>
        <v>7588.63</v>
      </c>
      <c r="F458" s="14" t="str">
        <f aca="false">'לקוחות לפי סוכן - מקור'!D421</f>
        <v>157521</v>
      </c>
      <c r="G458" s="15" t="n">
        <f aca="false">'לקוחות לפי סוכן - מקור'!H421</f>
        <v>231</v>
      </c>
      <c r="H458" s="15" t="n">
        <f aca="false">'לקוחות לפי סוכן - מקור'!I421</f>
        <v>97</v>
      </c>
      <c r="I458" s="48" t="str">
        <f aca="false">'לקוחות לפי סוכן - מקור'!K421</f>
        <v>NetSuite</v>
      </c>
    </row>
    <row r="459" customFormat="false" ht="15" hidden="false" customHeight="true" outlineLevel="2" collapsed="false">
      <c r="A459" s="14" t="str">
        <f aca="false">'לקוחות לפי סוכן - מקור'!A422</f>
        <v>אורלי בלאיש</v>
      </c>
      <c r="B459" s="14" t="str">
        <f aca="false">'לקוחות לפי סוכן - מקור'!C422</f>
        <v>102 - Orthopedic institutes</v>
      </c>
      <c r="C459" s="14" t="str">
        <f aca="false">'לקוחות לפי סוכן - מקור'!E422</f>
        <v>C02279 אורטופדיק מדיקל דניאלציק אברהם</v>
      </c>
      <c r="D459" s="22" t="n">
        <f aca="false">'לקוחות לפי סוכן - מקור'!F422</f>
        <v>3090.51</v>
      </c>
      <c r="E459" s="22" t="n">
        <f aca="false">'לקוחות לפי סוכן - מקור'!G422</f>
        <v>0</v>
      </c>
      <c r="F459" s="14" t="str">
        <f aca="false">'לקוחות לפי סוכן - מקור'!D422</f>
        <v>C02279</v>
      </c>
      <c r="G459" s="15" t="n">
        <f aca="false">'לקוחות לפי סוכן - מקור'!H422</f>
        <v>25</v>
      </c>
      <c r="H459" s="15" t="n">
        <f aca="false">'לקוחות לפי סוכן - מקור'!I422</f>
        <v>0</v>
      </c>
      <c r="I459" s="48" t="str">
        <f aca="false">'לקוחות לפי סוכן - מקור'!K422</f>
        <v>NetSuite</v>
      </c>
    </row>
    <row r="460" customFormat="false" ht="15" hidden="false" customHeight="true" outlineLevel="2" collapsed="false">
      <c r="A460" s="14" t="str">
        <f aca="false">'לקוחות לפי סוכן - מקור'!A423</f>
        <v>אורלי בלאיש</v>
      </c>
      <c r="B460" s="14" t="str">
        <f aca="false">'לקוחות לפי סוכן - מקור'!C423</f>
        <v>102 - Orthopedic institutes</v>
      </c>
      <c r="C460" s="14" t="str">
        <f aca="false">'לקוחות לפי סוכן - מקור'!E423</f>
        <v>C02286 ראם אורטופדיה בע"מ</v>
      </c>
      <c r="D460" s="22" t="n">
        <f aca="false">'לקוחות לפי סוכן - מקור'!F423</f>
        <v>2233.57</v>
      </c>
      <c r="E460" s="22" t="n">
        <f aca="false">'לקוחות לפי סוכן - מקור'!G423</f>
        <v>1168.44</v>
      </c>
      <c r="F460" s="14" t="str">
        <f aca="false">'לקוחות לפי סוכן - מקור'!D423</f>
        <v>C02286</v>
      </c>
      <c r="G460" s="15" t="n">
        <f aca="false">'לקוחות לפי סוכן - מקור'!H423</f>
        <v>74</v>
      </c>
      <c r="H460" s="15" t="n">
        <f aca="false">'לקוחות לפי סוכן - מקור'!I423</f>
        <v>44</v>
      </c>
      <c r="I460" s="48" t="str">
        <f aca="false">'לקוחות לפי סוכן - מקור'!K423</f>
        <v>NetSuite</v>
      </c>
    </row>
    <row r="461" customFormat="false" ht="15" hidden="false" customHeight="true" outlineLevel="2" collapsed="false">
      <c r="A461" s="14" t="str">
        <f aca="false">'לקוחות לפי סוכן - מקור'!A424</f>
        <v>אורלי בלאיש</v>
      </c>
      <c r="B461" s="14" t="str">
        <f aca="false">'לקוחות לפי סוכן - מקור'!C424</f>
        <v>102 - Orthopedic institutes</v>
      </c>
      <c r="C461" s="14" t="str">
        <f aca="false">'לקוחות לפי סוכן - מקור'!E424</f>
        <v>C02302 רושיטה בע"מ</v>
      </c>
      <c r="D461" s="22" t="n">
        <f aca="false">'לקוחות לפי סוכן - מקור'!F424</f>
        <v>0</v>
      </c>
      <c r="E461" s="22" t="n">
        <f aca="false">'לקוחות לפי סוכן - מקור'!G424</f>
        <v>997.69</v>
      </c>
      <c r="F461" s="14" t="str">
        <f aca="false">'לקוחות לפי סוכן - מקור'!D424</f>
        <v>C02302</v>
      </c>
      <c r="G461" s="15" t="n">
        <f aca="false">'לקוחות לפי סוכן - מקור'!H424</f>
        <v>0</v>
      </c>
      <c r="H461" s="15" t="n">
        <f aca="false">'לקוחות לפי סוכן - מקור'!I424</f>
        <v>15</v>
      </c>
      <c r="I461" s="48" t="str">
        <f aca="false">'לקוחות לפי סוכן - מקור'!K424</f>
        <v>NetSuite</v>
      </c>
    </row>
    <row r="462" customFormat="false" ht="15" hidden="false" customHeight="true" outlineLevel="2" collapsed="false">
      <c r="A462" s="14" t="str">
        <f aca="false">'לקוחות לפי סוכן - מקור'!A425</f>
        <v>אורלי בלאיש</v>
      </c>
      <c r="B462" s="14" t="str">
        <f aca="false">'לקוחות לפי סוכן - מקור'!C425</f>
        <v>102 - Orthopedic institutes</v>
      </c>
      <c r="C462" s="14" t="str">
        <f aca="false">'לקוחות לפי סוכן - מקור'!E425</f>
        <v>C02323 ח'טיב ראיד</v>
      </c>
      <c r="D462" s="22" t="n">
        <f aca="false">'לקוחות לפי סוכן - מקור'!F425</f>
        <v>0</v>
      </c>
      <c r="E462" s="22" t="n">
        <f aca="false">'לקוחות לפי סוכן - מקור'!G425</f>
        <v>2100.04</v>
      </c>
      <c r="F462" s="14" t="str">
        <f aca="false">'לקוחות לפי סוכן - מקור'!D425</f>
        <v>C02323</v>
      </c>
      <c r="G462" s="15" t="n">
        <f aca="false">'לקוחות לפי סוכן - מקור'!H425</f>
        <v>0</v>
      </c>
      <c r="H462" s="15" t="n">
        <f aca="false">'לקוחות לפי סוכן - מקור'!I425</f>
        <v>15</v>
      </c>
      <c r="I462" s="48" t="str">
        <f aca="false">'לקוחות לפי סוכן - מקור'!K425</f>
        <v>NetSuite</v>
      </c>
    </row>
    <row r="463" customFormat="false" ht="15" hidden="false" customHeight="true" outlineLevel="2" collapsed="false">
      <c r="A463" s="14" t="str">
        <f aca="false">'לקוחות לפי סוכן - מקור'!A426</f>
        <v>אורלי בלאיש</v>
      </c>
      <c r="B463" s="14" t="str">
        <f aca="false">'לקוחות לפי סוכן - מקור'!C426</f>
        <v>102 - Orthopedic institutes</v>
      </c>
      <c r="C463" s="14" t="str">
        <f aca="false">'לקוחות לפי סוכן - מקור'!E426</f>
        <v>C02333 רוזלינה 24 בעמ</v>
      </c>
      <c r="D463" s="22" t="n">
        <f aca="false">'לקוחות לפי סוכן - מקור'!F426</f>
        <v>0</v>
      </c>
      <c r="E463" s="22" t="n">
        <f aca="false">'לקוחות לפי סוכן - מקור'!G426</f>
        <v>2719.24</v>
      </c>
      <c r="F463" s="14" t="str">
        <f aca="false">'לקוחות לפי סוכן - מקור'!D426</f>
        <v>C02333</v>
      </c>
      <c r="G463" s="15" t="n">
        <f aca="false">'לקוחות לפי סוכן - מקור'!H426</f>
        <v>0</v>
      </c>
      <c r="H463" s="15" t="n">
        <f aca="false">'לקוחות לפי סוכן - מקור'!I426</f>
        <v>36</v>
      </c>
      <c r="I463" s="48" t="str">
        <f aca="false">'לקוחות לפי סוכן - מקור'!K426</f>
        <v>NetSuite</v>
      </c>
    </row>
    <row r="464" customFormat="false" ht="15" hidden="false" customHeight="true" outlineLevel="1" collapsed="false">
      <c r="A464" s="49" t="s">
        <v>3456</v>
      </c>
      <c r="B464" s="50" t="s">
        <v>1690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54432.33</v>
      </c>
      <c r="E464" s="52" t="n">
        <f aca="false">SUMIFS('לקוחות לפי סוכן - מקור'!$G$2:$G$867,'לקוחות לפי סוכן - מקור'!$A$2:$A$867,$A464,'לקוחות לפי סוכן - מקור'!$C$2:$C$867,$B464)</f>
        <v>25643.78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768</v>
      </c>
      <c r="H464" s="53" t="n">
        <f aca="false">SUMIFS('לקוחות לפי סוכן - מקור'!$I$2:$I$867,'לקוחות לפי סוכן - מקור'!$A$2:$A$867,$A464,'לקוחות לפי סוכן - מקור'!$C$2:$C$867,$B464)</f>
        <v>320</v>
      </c>
      <c r="I464" s="51"/>
      <c r="J464" s="53" t="n">
        <f aca="false">COUNTIFS('לקוחות לפי סוכן - מקור'!$A$2:$A$867,$A464,'לקוחות לפי סוכן - מקור'!$C$2:$C$867,$B464)</f>
        <v>11</v>
      </c>
    </row>
    <row r="465" customFormat="false" ht="15" hidden="false" customHeight="true" outlineLevel="2" collapsed="false">
      <c r="A465" s="14" t="str">
        <f aca="false">'לקוחות לפי סוכן - מקור'!A427</f>
        <v>אורלי בלאיש</v>
      </c>
      <c r="B465" s="14" t="str">
        <f aca="false">'לקוחות לפי סוכן - מקור'!C427</f>
        <v>103 - Physiotherapy institutes</v>
      </c>
      <c r="C465" s="14" t="str">
        <f aca="false">'לקוחות לפי סוכן - מקור'!E427</f>
        <v>150070 זריק סקר - מכון פיזיותרפי</v>
      </c>
      <c r="D465" s="22" t="n">
        <f aca="false">'לקוחות לפי סוכן - מקור'!F427</f>
        <v>11131.13</v>
      </c>
      <c r="E465" s="22" t="n">
        <f aca="false">'לקוחות לפי סוכן - מקור'!G427</f>
        <v>8946.8</v>
      </c>
      <c r="F465" s="14" t="str">
        <f aca="false">'לקוחות לפי סוכן - מקור'!D427</f>
        <v>150070</v>
      </c>
      <c r="G465" s="15" t="n">
        <f aca="false">'לקוחות לפי סוכן - מקור'!H427</f>
        <v>166</v>
      </c>
      <c r="H465" s="15" t="n">
        <f aca="false">'לקוחות לפי סוכן - מקור'!I427</f>
        <v>105</v>
      </c>
      <c r="I465" s="48" t="str">
        <f aca="false">'לקוחות לפי סוכן - מקור'!K427</f>
        <v>NetSuite</v>
      </c>
    </row>
    <row r="466" customFormat="false" ht="15" hidden="false" customHeight="true" outlineLevel="2" collapsed="false">
      <c r="A466" s="14" t="str">
        <f aca="false">'לקוחות לפי סוכן - מקור'!A428</f>
        <v>אורלי בלאיש</v>
      </c>
      <c r="B466" s="14" t="str">
        <f aca="false">'לקוחות לפי סוכן - מקור'!C428</f>
        <v>103 - Physiotherapy institutes</v>
      </c>
      <c r="C466" s="14" t="str">
        <f aca="false">'לקוחות לפי סוכן - מקור'!E428</f>
        <v>151039 פיזיו גב</v>
      </c>
      <c r="D466" s="22" t="n">
        <f aca="false">'לקוחות לפי סוכן - מקור'!F428</f>
        <v>5347.74</v>
      </c>
      <c r="E466" s="22" t="n">
        <f aca="false">'לקוחות לפי סוכן - מקור'!G428</f>
        <v>0</v>
      </c>
      <c r="F466" s="14" t="str">
        <f aca="false">'לקוחות לפי סוכן - מקור'!D428</f>
        <v>151039</v>
      </c>
      <c r="G466" s="15" t="n">
        <f aca="false">'לקוחות לפי סוכן - מקור'!H428</f>
        <v>57</v>
      </c>
      <c r="H466" s="15" t="n">
        <f aca="false">'לקוחות לפי סוכן - מקור'!I428</f>
        <v>0</v>
      </c>
      <c r="I466" s="48" t="str">
        <f aca="false">'לקוחות לפי סוכן - מקור'!K428</f>
        <v>NetSuite</v>
      </c>
    </row>
    <row r="467" customFormat="false" ht="15" hidden="false" customHeight="true" outlineLevel="2" collapsed="false">
      <c r="A467" s="14" t="str">
        <f aca="false">'לקוחות לפי סוכן - מקור'!A429</f>
        <v>אורלי בלאיש</v>
      </c>
      <c r="B467" s="14" t="str">
        <f aca="false">'לקוחות לפי סוכן - מקור'!C429</f>
        <v>103 - Physiotherapy institutes</v>
      </c>
      <c r="C467" s="14" t="str">
        <f aca="false">'לקוחות לפי סוכן - מקור'!E429</f>
        <v>151060 מכון מילא לפיזיוטרפיה</v>
      </c>
      <c r="D467" s="22" t="n">
        <f aca="false">'לקוחות לפי סוכן - מקור'!F429</f>
        <v>3987.14</v>
      </c>
      <c r="E467" s="22" t="n">
        <f aca="false">'לקוחות לפי סוכן - מקור'!G429</f>
        <v>3099.08</v>
      </c>
      <c r="F467" s="14" t="str">
        <f aca="false">'לקוחות לפי סוכן - מקור'!D429</f>
        <v>151060</v>
      </c>
      <c r="G467" s="15" t="n">
        <f aca="false">'לקוחות לפי סוכן - מקור'!H429</f>
        <v>91</v>
      </c>
      <c r="H467" s="15" t="n">
        <f aca="false">'לקוחות לפי סוכן - מקור'!I429</f>
        <v>72</v>
      </c>
      <c r="I467" s="48" t="str">
        <f aca="false">'לקוחות לפי סוכן - מקור'!K429</f>
        <v>NetSuite</v>
      </c>
    </row>
    <row r="468" customFormat="false" ht="15" hidden="false" customHeight="true" outlineLevel="2" collapsed="false">
      <c r="A468" s="14" t="str">
        <f aca="false">'לקוחות לפי סוכן - מקור'!A430</f>
        <v>אורלי בלאיש</v>
      </c>
      <c r="B468" s="14" t="str">
        <f aca="false">'לקוחות לפי סוכן - מקור'!C430</f>
        <v>103 - Physiotherapy institutes</v>
      </c>
      <c r="C468" s="14" t="str">
        <f aca="false">'לקוחות לפי סוכן - מקור'!E430</f>
        <v>151088 מכון פיזיוטרפיה פיזיו מנד</v>
      </c>
      <c r="D468" s="22" t="n">
        <f aca="false">'לקוחות לפי סוכן - מקור'!F430</f>
        <v>9021.08</v>
      </c>
      <c r="E468" s="22" t="n">
        <f aca="false">'לקוחות לפי סוכן - מקור'!G430</f>
        <v>4935.55</v>
      </c>
      <c r="F468" s="14" t="str">
        <f aca="false">'לקוחות לפי סוכן - מקור'!D430</f>
        <v>151088</v>
      </c>
      <c r="G468" s="15" t="n">
        <f aca="false">'לקוחות לפי סוכן - מקור'!H430</f>
        <v>81</v>
      </c>
      <c r="H468" s="15" t="n">
        <f aca="false">'לקוחות לפי סוכן - מקור'!I430</f>
        <v>32</v>
      </c>
      <c r="I468" s="48" t="str">
        <f aca="false">'לקוחות לפי סוכן - מקור'!K430</f>
        <v>NetSuite</v>
      </c>
    </row>
    <row r="469" customFormat="false" ht="15" hidden="false" customHeight="true" outlineLevel="2" collapsed="false">
      <c r="A469" s="14" t="str">
        <f aca="false">'לקוחות לפי סוכן - מקור'!A431</f>
        <v>אורלי בלאיש</v>
      </c>
      <c r="B469" s="14" t="str">
        <f aca="false">'לקוחות לפי סוכן - מקור'!C431</f>
        <v>103 - Physiotherapy institutes</v>
      </c>
      <c r="C469" s="14" t="str">
        <f aca="false">'לקוחות לפי סוכן - מקור'!E431</f>
        <v>151100 ס.ח מרכז בריאות</v>
      </c>
      <c r="D469" s="22" t="n">
        <f aca="false">'לקוחות לפי סוכן - מקור'!F431</f>
        <v>1651.96</v>
      </c>
      <c r="E469" s="22" t="n">
        <f aca="false">'לקוחות לפי סוכן - מקור'!G431</f>
        <v>1555.87</v>
      </c>
      <c r="F469" s="14" t="str">
        <f aca="false">'לקוחות לפי סוכן - מקור'!D431</f>
        <v>151100</v>
      </c>
      <c r="G469" s="15" t="n">
        <f aca="false">'לקוחות לפי סוכן - מקור'!H431</f>
        <v>22</v>
      </c>
      <c r="H469" s="15" t="n">
        <f aca="false">'לקוחות לפי סוכן - מקור'!I431</f>
        <v>20</v>
      </c>
      <c r="I469" s="48" t="str">
        <f aca="false">'לקוחות לפי סוכן - מקור'!K431</f>
        <v>NetSuite</v>
      </c>
    </row>
    <row r="470" customFormat="false" ht="15" hidden="false" customHeight="true" outlineLevel="2" collapsed="false">
      <c r="A470" s="14" t="str">
        <f aca="false">'לקוחות לפי סוכן - מקור'!A432</f>
        <v>אורלי בלאיש</v>
      </c>
      <c r="B470" s="14" t="str">
        <f aca="false">'לקוחות לפי סוכן - מקור'!C432</f>
        <v>103 - Physiotherapy institutes</v>
      </c>
      <c r="C470" s="14" t="str">
        <f aca="false">'לקוחות לפי סוכן - מקור'!E432</f>
        <v>151180 פיזיו אורטופדיק</v>
      </c>
      <c r="D470" s="22" t="n">
        <f aca="false">'לקוחות לפי סוכן - מקור'!F432</f>
        <v>3536.7</v>
      </c>
      <c r="E470" s="22" t="n">
        <f aca="false">'לקוחות לפי סוכן - מקור'!G432</f>
        <v>1925.59</v>
      </c>
      <c r="F470" s="14" t="str">
        <f aca="false">'לקוחות לפי סוכן - מקור'!D432</f>
        <v>151180</v>
      </c>
      <c r="G470" s="15" t="n">
        <f aca="false">'לקוחות לפי סוכן - מקור'!H432</f>
        <v>60</v>
      </c>
      <c r="H470" s="15" t="n">
        <f aca="false">'לקוחות לפי סוכן - מקור'!I432</f>
        <v>25</v>
      </c>
      <c r="I470" s="48" t="str">
        <f aca="false">'לקוחות לפי סוכן - מקור'!K432</f>
        <v>NetSuite</v>
      </c>
    </row>
    <row r="471" customFormat="false" ht="15" hidden="false" customHeight="true" outlineLevel="2" collapsed="false">
      <c r="A471" s="14" t="str">
        <f aca="false">'לקוחות לפי סוכן - מקור'!A433</f>
        <v>אורלי בלאיש</v>
      </c>
      <c r="B471" s="14" t="str">
        <f aca="false">'לקוחות לפי סוכן - מקור'!C433</f>
        <v>103 - Physiotherapy institutes</v>
      </c>
      <c r="C471" s="14" t="str">
        <f aca="false">'לקוחות לפי סוכן - מקור'!E433</f>
        <v>153209 מכון פיזיותרפיה בועיינה</v>
      </c>
      <c r="D471" s="22" t="n">
        <f aca="false">'לקוחות לפי סוכן - מקור'!F433</f>
        <v>0</v>
      </c>
      <c r="E471" s="22" t="n">
        <f aca="false">'לקוחות לפי סוכן - מקור'!G433</f>
        <v>700</v>
      </c>
      <c r="F471" s="14" t="str">
        <f aca="false">'לקוחות לפי סוכן - מקור'!D433</f>
        <v>153209</v>
      </c>
      <c r="G471" s="15" t="n">
        <f aca="false">'לקוחות לפי סוכן - מקור'!H433</f>
        <v>0</v>
      </c>
      <c r="H471" s="15" t="n">
        <f aca="false">'לקוחות לפי סוכן - מקור'!I433</f>
        <v>2</v>
      </c>
      <c r="I471" s="48" t="str">
        <f aca="false">'לקוחות לפי סוכן - מקור'!K433</f>
        <v>NetSuite</v>
      </c>
    </row>
    <row r="472" customFormat="false" ht="15" hidden="false" customHeight="true" outlineLevel="2" collapsed="false">
      <c r="A472" s="14" t="str">
        <f aca="false">'לקוחות לפי סוכן - מקור'!A434</f>
        <v>אורלי בלאיש</v>
      </c>
      <c r="B472" s="14" t="str">
        <f aca="false">'לקוחות לפי סוכן - מקור'!C434</f>
        <v>103 - Physiotherapy institutes</v>
      </c>
      <c r="C472" s="14" t="str">
        <f aca="false">'לקוחות לפי סוכן - מקור'!E434</f>
        <v>C02272 איי.אם. ריהאפיליתאשן</v>
      </c>
      <c r="D472" s="22" t="n">
        <f aca="false">'לקוחות לפי סוכן - מקור'!F434</f>
        <v>1651.73</v>
      </c>
      <c r="E472" s="22" t="n">
        <f aca="false">'לקוחות לפי סוכן - מקור'!G434</f>
        <v>0</v>
      </c>
      <c r="F472" s="14" t="str">
        <f aca="false">'לקוחות לפי סוכן - מקור'!D434</f>
        <v>C02272</v>
      </c>
      <c r="G472" s="15" t="n">
        <f aca="false">'לקוחות לפי סוכן - מקור'!H434</f>
        <v>15</v>
      </c>
      <c r="H472" s="15" t="n">
        <f aca="false">'לקוחות לפי סוכן - מקור'!I434</f>
        <v>0</v>
      </c>
      <c r="I472" s="48" t="str">
        <f aca="false">'לקוחות לפי סוכן - מקור'!K434</f>
        <v>NetSuite</v>
      </c>
    </row>
    <row r="473" customFormat="false" ht="15" hidden="false" customHeight="true" outlineLevel="2" collapsed="false">
      <c r="A473" s="14" t="str">
        <f aca="false">'לקוחות לפי סוכן - מקור'!A435</f>
        <v>אורלי בלאיש</v>
      </c>
      <c r="B473" s="14" t="str">
        <f aca="false">'לקוחות לפי סוכן - מקור'!C435</f>
        <v>103 - Physiotherapy institutes</v>
      </c>
      <c r="C473" s="14" t="str">
        <f aca="false">'לקוחות לפי סוכן - מקור'!E435</f>
        <v>C02278 נאסר מוחסן</v>
      </c>
      <c r="D473" s="22" t="n">
        <f aca="false">'לקוחות לפי סוכן - מקור'!F435</f>
        <v>1612.18</v>
      </c>
      <c r="E473" s="22" t="n">
        <f aca="false">'לקוחות לפי סוכן - מקור'!G435</f>
        <v>0</v>
      </c>
      <c r="F473" s="14" t="str">
        <f aca="false">'לקוחות לפי סוכן - מקור'!D435</f>
        <v>C02278</v>
      </c>
      <c r="G473" s="15" t="n">
        <f aca="false">'לקוחות לפי סוכן - מקור'!H435</f>
        <v>15</v>
      </c>
      <c r="H473" s="15" t="n">
        <f aca="false">'לקוחות לפי סוכן - מקור'!I435</f>
        <v>0</v>
      </c>
      <c r="I473" s="48" t="str">
        <f aca="false">'לקוחות לפי סוכן - מקור'!K435</f>
        <v>NetSuite</v>
      </c>
    </row>
    <row r="474" customFormat="false" ht="15" hidden="false" customHeight="true" outlineLevel="2" collapsed="false">
      <c r="A474" s="14" t="str">
        <f aca="false">'לקוחות לפי סוכן - מקור'!A436</f>
        <v>אורלי בלאיש</v>
      </c>
      <c r="B474" s="14" t="str">
        <f aca="false">'לקוחות לפי סוכן - מקור'!C436</f>
        <v>103 - Physiotherapy institutes</v>
      </c>
      <c r="C474" s="14" t="str">
        <f aca="false">'לקוחות לפי סוכן - מקור'!E436</f>
        <v>C02288 פאעור עלי</v>
      </c>
      <c r="D474" s="22" t="n">
        <f aca="false">'לקוחות לפי סוכן - מקור'!F436</f>
        <v>11357.27</v>
      </c>
      <c r="E474" s="22" t="n">
        <f aca="false">'לקוחות לפי סוכן - מקור'!G436</f>
        <v>476.98</v>
      </c>
      <c r="F474" s="14" t="str">
        <f aca="false">'לקוחות לפי סוכן - מקור'!D436</f>
        <v>C02288</v>
      </c>
      <c r="G474" s="15" t="n">
        <f aca="false">'לקוחות לפי סוכן - מקור'!H436</f>
        <v>148</v>
      </c>
      <c r="H474" s="15" t="n">
        <f aca="false">'לקוחות לפי סוכן - מקור'!I436</f>
        <v>5</v>
      </c>
      <c r="I474" s="48" t="str">
        <f aca="false">'לקוחות לפי סוכן - מקור'!K436</f>
        <v>NetSuite</v>
      </c>
    </row>
    <row r="475" customFormat="false" ht="15" hidden="false" customHeight="true" outlineLevel="2" collapsed="false">
      <c r="A475" s="14" t="str">
        <f aca="false">'לקוחות לפי סוכן - מקור'!A437</f>
        <v>אורלי בלאיש</v>
      </c>
      <c r="B475" s="14" t="str">
        <f aca="false">'לקוחות לפי סוכן - מקור'!C437</f>
        <v>103 - Physiotherapy institutes</v>
      </c>
      <c r="C475" s="14" t="str">
        <f aca="false">'לקוחות לפי סוכן - מקור'!E437</f>
        <v>C02292 כיאל ויסאם</v>
      </c>
      <c r="D475" s="22" t="n">
        <f aca="false">'לקוחות לפי סוכן - מקור'!F437</f>
        <v>5135.4</v>
      </c>
      <c r="E475" s="22" t="n">
        <f aca="false">'לקוחות לפי סוכן - מקור'!G437</f>
        <v>4003.91</v>
      </c>
      <c r="F475" s="14" t="str">
        <f aca="false">'לקוחות לפי סוכן - מקור'!D437</f>
        <v>C02292</v>
      </c>
      <c r="G475" s="15" t="n">
        <f aca="false">'לקוחות לפי סוכן - מקור'!H437</f>
        <v>113</v>
      </c>
      <c r="H475" s="15" t="n">
        <f aca="false">'לקוחות לפי סוכן - מקור'!I437</f>
        <v>59</v>
      </c>
      <c r="I475" s="48" t="str">
        <f aca="false">'לקוחות לפי סוכן - מקור'!K437</f>
        <v>NetSuite</v>
      </c>
    </row>
    <row r="476" customFormat="false" ht="15" hidden="false" customHeight="true" outlineLevel="1" collapsed="false">
      <c r="A476" s="49" t="s">
        <v>3456</v>
      </c>
      <c r="B476" s="50" t="s">
        <v>1685</v>
      </c>
      <c r="C476" s="51"/>
      <c r="D476" s="52" t="n">
        <f aca="false">SUMIFS('לקוחות לפי סוכן - מקור'!$F$2:$F$867,'לקוחות לפי סוכן - מקור'!$A$2:$A$867,$A476,'לקוחות לפי סוכן - מקור'!$C$2:$C$867,$B476)</f>
        <v>514.2</v>
      </c>
      <c r="E476" s="52" t="n">
        <f aca="false">SUMIFS('לקוחות לפי סוכן - מקור'!$G$2:$G$867,'לקוחות לפי סוכן - מקור'!$A$2:$A$867,$A476,'לקוחות לפי סוכן - מקור'!$C$2:$C$867,$B476)</f>
        <v>0</v>
      </c>
      <c r="F476" s="51"/>
      <c r="G476" s="53" t="n">
        <f aca="false">SUMIFS('לקוחות לפי סוכן - מקור'!$H$2:$H$867,'לקוחות לפי סוכן - מקור'!$A$2:$A$867,$A476,'לקוחות לפי סוכן - מקור'!$C$2:$C$867,$B476)</f>
        <v>16</v>
      </c>
      <c r="H476" s="53" t="n">
        <f aca="false">SUMIFS('לקוחות לפי סוכן - מקור'!$I$2:$I$867,'לקוחות לפי סוכן - מקור'!$A$2:$A$867,$A476,'לקוחות לפי סוכן - מקור'!$C$2:$C$867,$B476)</f>
        <v>0</v>
      </c>
      <c r="I476" s="51"/>
      <c r="J476" s="53" t="n">
        <f aca="false">COUNTIFS('לקוחות לפי סוכן - מקור'!$A$2:$A$867,$A476,'לקוחות לפי סוכן - מקור'!$C$2:$C$867,$B476)</f>
        <v>1</v>
      </c>
    </row>
    <row r="477" customFormat="false" ht="15" hidden="false" customHeight="true" outlineLevel="2" collapsed="false">
      <c r="A477" s="14" t="str">
        <f aca="false">'לקוחות לפי סוכן - מקור'!A438</f>
        <v>אורלי בלאיש</v>
      </c>
      <c r="B477" s="14" t="str">
        <f aca="false">'לקוחות לפי סוכן - מקור'!C438</f>
        <v>104 - Sports Shop</v>
      </c>
      <c r="C477" s="14" t="str">
        <f aca="false">'לקוחות לפי סוכן - מקור'!E438</f>
        <v>150064 מיקס שופ</v>
      </c>
      <c r="D477" s="22" t="n">
        <f aca="false">'לקוחות לפי סוכן - מקור'!F438</f>
        <v>514.2</v>
      </c>
      <c r="E477" s="22" t="n">
        <f aca="false">'לקוחות לפי סוכן - מקור'!G438</f>
        <v>0</v>
      </c>
      <c r="F477" s="14" t="str">
        <f aca="false">'לקוחות לפי סוכן - מקור'!D438</f>
        <v>150064</v>
      </c>
      <c r="G477" s="15" t="n">
        <f aca="false">'לקוחות לפי סוכן - מקור'!H438</f>
        <v>16</v>
      </c>
      <c r="H477" s="15" t="n">
        <f aca="false">'לקוחות לפי סוכן - מקור'!I438</f>
        <v>0</v>
      </c>
      <c r="I477" s="48" t="str">
        <f aca="false">'לקוחות לפי סוכן - מקור'!K438</f>
        <v>NetSuite</v>
      </c>
    </row>
    <row r="478" customFormat="false" ht="15" hidden="false" customHeight="true" outlineLevel="1" collapsed="false">
      <c r="A478" s="49" t="s">
        <v>3456</v>
      </c>
      <c r="B478" s="50" t="s">
        <v>2037</v>
      </c>
      <c r="C478" s="51"/>
      <c r="D478" s="52" t="n">
        <f aca="false">SUMIFS('לקוחות לפי סוכן - מקור'!$F$2:$F$867,'לקוחות לפי סוכן - מקור'!$A$2:$A$867,$A478,'לקוחות לפי סוכן - מקור'!$C$2:$C$867,$B478)</f>
        <v>498.8</v>
      </c>
      <c r="E478" s="52" t="n">
        <f aca="false">SUMIFS('לקוחות לפי סוכן - מקור'!$G$2:$G$867,'לקוחות לפי סוכן - מקור'!$A$2:$A$867,$A478,'לקוחות לפי סוכן - מקור'!$C$2:$C$867,$B478)</f>
        <v>0</v>
      </c>
      <c r="F478" s="51"/>
      <c r="G478" s="53" t="n">
        <f aca="false">SUMIFS('לקוחות לפי סוכן - מקור'!$H$2:$H$867,'לקוחות לפי סוכן - מקור'!$A$2:$A$867,$A478,'לקוחות לפי סוכן - מקור'!$C$2:$C$867,$B478)</f>
        <v>20</v>
      </c>
      <c r="H478" s="53" t="n">
        <f aca="false">SUMIFS('לקוחות לפי סוכן - מקור'!$I$2:$I$867,'לקוחות לפי סוכן - מקור'!$A$2:$A$867,$A478,'לקוחות לפי סוכן - מקור'!$C$2:$C$867,$B478)</f>
        <v>0</v>
      </c>
      <c r="I478" s="51"/>
      <c r="J478" s="53" t="n">
        <f aca="false">COUNTIFS('לקוחות לפי סוכן - מקור'!$A$2:$A$867,$A478,'לקוחות לפי סוכן - מקור'!$C$2:$C$867,$B478)</f>
        <v>1</v>
      </c>
    </row>
    <row r="479" customFormat="false" ht="15" hidden="false" customHeight="true" outlineLevel="2" collapsed="false">
      <c r="A479" s="14" t="str">
        <f aca="false">'לקוחות לפי סוכן - מקור'!A439</f>
        <v>אורלי בלאיש</v>
      </c>
      <c r="B479" s="14" t="str">
        <f aca="false">'לקוחות לפי סוכן - מקור'!C439</f>
        <v>105 - Pedicure Salons</v>
      </c>
      <c r="C479" s="14" t="str">
        <f aca="false">'לקוחות לפי סוכן - מקור'!E439</f>
        <v>151082 טובול מיכל</v>
      </c>
      <c r="D479" s="22" t="n">
        <f aca="false">'לקוחות לפי סוכן - מקור'!F439</f>
        <v>498.8</v>
      </c>
      <c r="E479" s="22" t="n">
        <f aca="false">'לקוחות לפי סוכן - מקור'!G439</f>
        <v>0</v>
      </c>
      <c r="F479" s="14" t="str">
        <f aca="false">'לקוחות לפי סוכן - מקור'!D439</f>
        <v>151082</v>
      </c>
      <c r="G479" s="15" t="n">
        <f aca="false">'לקוחות לפי סוכן - מקור'!H439</f>
        <v>20</v>
      </c>
      <c r="H479" s="15" t="n">
        <f aca="false">'לקוחות לפי סוכן - מקור'!I439</f>
        <v>0</v>
      </c>
      <c r="I479" s="48" t="str">
        <f aca="false">'לקוחות לפי סוכן - מקור'!K439</f>
        <v>NetSuite</v>
      </c>
    </row>
    <row r="480" customFormat="false" ht="15" hidden="false" customHeight="true" outlineLevel="1" collapsed="false">
      <c r="A480" s="49" t="s">
        <v>3456</v>
      </c>
      <c r="B480" s="50" t="s">
        <v>2052</v>
      </c>
      <c r="C480" s="51"/>
      <c r="D480" s="52" t="n">
        <f aca="false">SUMIFS('לקוחות לפי סוכן - מקור'!$F$2:$F$867,'לקוחות לפי סוכן - מקור'!$A$2:$A$867,$A480,'לקוחות לפי סוכן - מקור'!$C$2:$C$867,$B480)</f>
        <v>29009.24</v>
      </c>
      <c r="E480" s="52" t="n">
        <f aca="false">SUMIFS('לקוחות לפי סוכן - מקור'!$G$2:$G$867,'לקוחות לפי סוכן - מקור'!$A$2:$A$867,$A480,'לקוחות לפי סוכן - מקור'!$C$2:$C$867,$B480)</f>
        <v>17931.86</v>
      </c>
      <c r="F480" s="51"/>
      <c r="G480" s="53" t="n">
        <f aca="false">SUMIFS('לקוחות לפי סוכן - מקור'!$H$2:$H$867,'לקוחות לפי סוכן - מקור'!$A$2:$A$867,$A480,'לקוחות לפי סוכן - מקור'!$C$2:$C$867,$B480)</f>
        <v>669</v>
      </c>
      <c r="H480" s="53" t="n">
        <f aca="false">SUMIFS('לקוחות לפי סוכן - מקור'!$I$2:$I$867,'לקוחות לפי סוכן - מקור'!$A$2:$A$867,$A480,'לקוחות לפי סוכן - מקור'!$C$2:$C$867,$B480)</f>
        <v>346</v>
      </c>
      <c r="I480" s="51"/>
      <c r="J480" s="53" t="n">
        <f aca="false">COUNTIFS('לקוחות לפי סוכן - מקור'!$A$2:$A$867,$A480,'לקוחות לפי סוכן - מקור'!$C$2:$C$867,$B480)</f>
        <v>5</v>
      </c>
    </row>
    <row r="481" customFormat="false" ht="15" hidden="false" customHeight="true" outlineLevel="2" collapsed="false">
      <c r="A481" s="14" t="str">
        <f aca="false">'לקוחות לפי סוכן - מקור'!A440</f>
        <v>אורלי בלאיש</v>
      </c>
      <c r="B481" s="14" t="str">
        <f aca="false">'לקוחות לפי סוכן - מקור'!C440</f>
        <v>107 - Pharmacies</v>
      </c>
      <c r="C481" s="14" t="str">
        <f aca="false">'לקוחות לפי סוכן - מקור'!E440</f>
        <v>151178 ב.מ טוטאל פארם להבות חביב</v>
      </c>
      <c r="D481" s="22" t="n">
        <f aca="false">'לקוחות לפי סוכן - מקור'!F440</f>
        <v>16058.16</v>
      </c>
      <c r="E481" s="22" t="n">
        <f aca="false">'לקוחות לפי סוכן - מקור'!G440</f>
        <v>15758.62</v>
      </c>
      <c r="F481" s="14" t="str">
        <f aca="false">'לקוחות לפי סוכן - מקור'!D440</f>
        <v>151178</v>
      </c>
      <c r="G481" s="15" t="n">
        <f aca="false">'לקוחות לפי סוכן - מקור'!H440</f>
        <v>471</v>
      </c>
      <c r="H481" s="15" t="n">
        <f aca="false">'לקוחות לפי סוכן - מקור'!I440</f>
        <v>319</v>
      </c>
      <c r="I481" s="48" t="str">
        <f aca="false">'לקוחות לפי סוכן - מקור'!K440</f>
        <v>NetSuite</v>
      </c>
    </row>
    <row r="482" customFormat="false" ht="15" hidden="false" customHeight="true" outlineLevel="2" collapsed="false">
      <c r="A482" s="14" t="str">
        <f aca="false">'לקוחות לפי סוכן - מקור'!A441</f>
        <v>אורלי בלאיש</v>
      </c>
      <c r="B482" s="14" t="str">
        <f aca="false">'לקוחות לפי סוכן - מקור'!C441</f>
        <v>107 - Pharmacies</v>
      </c>
      <c r="C482" s="14" t="str">
        <f aca="false">'לקוחות לפי סוכן - מקור'!E441</f>
        <v>156511 בית מרקחת הקריות בע"מ</v>
      </c>
      <c r="D482" s="22" t="n">
        <f aca="false">'לקוחות לפי סוכן - מקור'!F441</f>
        <v>6333.4</v>
      </c>
      <c r="E482" s="22" t="n">
        <f aca="false">'לקוחות לפי סוכן - מקור'!G441</f>
        <v>1213.05</v>
      </c>
      <c r="F482" s="14" t="str">
        <f aca="false">'לקוחות לפי סוכן - מקור'!D441</f>
        <v>156511</v>
      </c>
      <c r="G482" s="15" t="n">
        <f aca="false">'לקוחות לפי סוכן - מקור'!H441</f>
        <v>60</v>
      </c>
      <c r="H482" s="15" t="n">
        <f aca="false">'לקוחות לפי סוכן - מקור'!I441</f>
        <v>21</v>
      </c>
      <c r="I482" s="48" t="str">
        <f aca="false">'לקוחות לפי סוכן - מקור'!K441</f>
        <v>NetSuite</v>
      </c>
    </row>
    <row r="483" customFormat="false" ht="15" hidden="false" customHeight="true" outlineLevel="2" collapsed="false">
      <c r="A483" s="14" t="str">
        <f aca="false">'לקוחות לפי סוכן - מקור'!A442</f>
        <v>אורלי בלאיש</v>
      </c>
      <c r="B483" s="14" t="str">
        <f aca="false">'לקוחות לפי סוכן - מקור'!C442</f>
        <v>107 - Pharmacies</v>
      </c>
      <c r="C483" s="14" t="str">
        <f aca="false">'לקוחות לפי סוכן - מקור'!E442</f>
        <v>156909 בית מרקחת עלאדין</v>
      </c>
      <c r="D483" s="22" t="n">
        <f aca="false">'לקוחות לפי סוכן - מקור'!F442</f>
        <v>480</v>
      </c>
      <c r="E483" s="22" t="n">
        <f aca="false">'לקוחות לפי סוכן - מקור'!G442</f>
        <v>0</v>
      </c>
      <c r="F483" s="14" t="str">
        <f aca="false">'לקוחות לפי סוכן - מקור'!D442</f>
        <v>156909</v>
      </c>
      <c r="G483" s="15" t="n">
        <f aca="false">'לקוחות לפי סוכן - מקור'!H442</f>
        <v>4</v>
      </c>
      <c r="H483" s="15" t="n">
        <f aca="false">'לקוחות לפי סוכן - מקור'!I442</f>
        <v>0</v>
      </c>
      <c r="I483" s="48" t="str">
        <f aca="false">'לקוחות לפי סוכן - מקור'!K442</f>
        <v>NetSuite</v>
      </c>
    </row>
    <row r="484" customFormat="false" ht="15" hidden="false" customHeight="true" outlineLevel="2" collapsed="false">
      <c r="A484" s="14" t="str">
        <f aca="false">'לקוחות לפי סוכן - מקור'!A443</f>
        <v>אורלי בלאיש</v>
      </c>
      <c r="B484" s="14" t="str">
        <f aca="false">'לקוחות לפי סוכן - מקור'!C443</f>
        <v>107 - Pharmacies</v>
      </c>
      <c r="C484" s="14" t="str">
        <f aca="false">'לקוחות לפי סוכן - מקור'!E443</f>
        <v>157412 סופר מדיקה ב.מ.</v>
      </c>
      <c r="D484" s="22" t="n">
        <f aca="false">'לקוחות לפי סוכן - מקור'!F443</f>
        <v>3607.47</v>
      </c>
      <c r="E484" s="22" t="n">
        <f aca="false">'לקוחות לפי סוכן - מקור'!G443</f>
        <v>960.19</v>
      </c>
      <c r="F484" s="14" t="str">
        <f aca="false">'לקוחות לפי סוכן - מקור'!D443</f>
        <v>157412</v>
      </c>
      <c r="G484" s="15" t="n">
        <f aca="false">'לקוחות לפי סוכן - מקור'!H443</f>
        <v>76</v>
      </c>
      <c r="H484" s="15" t="n">
        <f aca="false">'לקוחות לפי סוכן - מקור'!I443</f>
        <v>6</v>
      </c>
      <c r="I484" s="48" t="str">
        <f aca="false">'לקוחות לפי סוכן - מקור'!K443</f>
        <v>NetSuite</v>
      </c>
    </row>
    <row r="485" customFormat="false" ht="15" hidden="false" customHeight="true" outlineLevel="2" collapsed="false">
      <c r="A485" s="14" t="str">
        <f aca="false">'לקוחות לפי סוכן - מקור'!A444</f>
        <v>אורלי בלאיש</v>
      </c>
      <c r="B485" s="14" t="str">
        <f aca="false">'לקוחות לפי סוכן - מקור'!C444</f>
        <v>107 - Pharmacies</v>
      </c>
      <c r="C485" s="14" t="str">
        <f aca="false">'לקוחות לפי סוכן - מקור'!E444</f>
        <v>C02232 בית מרקחת מוקייבלה</v>
      </c>
      <c r="D485" s="22" t="n">
        <f aca="false">'לקוחות לפי סוכן - מקור'!F444</f>
        <v>2530.21</v>
      </c>
      <c r="E485" s="22" t="n">
        <f aca="false">'לקוחות לפי סוכן - מקור'!G444</f>
        <v>0</v>
      </c>
      <c r="F485" s="14" t="str">
        <f aca="false">'לקוחות לפי סוכן - מקור'!D444</f>
        <v>C02232</v>
      </c>
      <c r="G485" s="15" t="n">
        <f aca="false">'לקוחות לפי סוכן - מקור'!H444</f>
        <v>58</v>
      </c>
      <c r="H485" s="15" t="n">
        <f aca="false">'לקוחות לפי סוכן - מקור'!I444</f>
        <v>0</v>
      </c>
      <c r="I485" s="48" t="str">
        <f aca="false">'לקוחות לפי סוכן - מקור'!K444</f>
        <v>NetSuite</v>
      </c>
    </row>
    <row r="486" customFormat="false" ht="15" hidden="false" customHeight="true" outlineLevel="1" collapsed="false">
      <c r="A486" s="49" t="s">
        <v>3456</v>
      </c>
      <c r="B486" s="50" t="s">
        <v>1873</v>
      </c>
      <c r="C486" s="51"/>
      <c r="D486" s="52" t="n">
        <f aca="false">SUMIFS('לקוחות לפי סוכן - מקור'!$F$2:$F$867,'לקוחות לפי סוכן - מקור'!$A$2:$A$867,$A486,'לקוחות לפי סוכן - מקור'!$C$2:$C$867,$B486)</f>
        <v>12344.69</v>
      </c>
      <c r="E486" s="52" t="n">
        <f aca="false">SUMIFS('לקוחות לפי סוכן - מקור'!$G$2:$G$867,'לקוחות לפי סוכן - מקור'!$A$2:$A$867,$A486,'לקוחות לפי סוכן - מקור'!$C$2:$C$867,$B486)</f>
        <v>12534.54</v>
      </c>
      <c r="F486" s="51"/>
      <c r="G486" s="53" t="n">
        <f aca="false">SUMIFS('לקוחות לפי סוכן - מקור'!$H$2:$H$867,'לקוחות לפי סוכן - מקור'!$A$2:$A$867,$A486,'לקוחות לפי סוכן - מקור'!$C$2:$C$867,$B486)</f>
        <v>301</v>
      </c>
      <c r="H486" s="53" t="n">
        <f aca="false">SUMIFS('לקוחות לפי סוכן - מקור'!$I$2:$I$867,'לקוחות לפי סוכן - מקור'!$A$2:$A$867,$A486,'לקוחות לפי סוכן - מקור'!$C$2:$C$867,$B486)</f>
        <v>230</v>
      </c>
      <c r="I486" s="51"/>
      <c r="J486" s="53" t="n">
        <f aca="false">COUNTIFS('לקוחות לפי סוכן - מקור'!$A$2:$A$867,$A486,'לקוחות לפי סוכן - מקור'!$C$2:$C$867,$B486)</f>
        <v>8</v>
      </c>
    </row>
    <row r="487" customFormat="false" ht="15" hidden="false" customHeight="true" outlineLevel="2" collapsed="false">
      <c r="A487" s="14" t="str">
        <f aca="false">'לקוחות לפי סוכן - מקור'!A445</f>
        <v>אורלי בלאיש</v>
      </c>
      <c r="B487" s="14" t="str">
        <f aca="false">'לקוחות לפי סוכן - מקור'!C445</f>
        <v>109 - Private Shops</v>
      </c>
      <c r="C487" s="14" t="str">
        <f aca="false">'לקוחות לפי סוכן - מקור'!E445</f>
        <v>151045 סנדלריית רוממה</v>
      </c>
      <c r="D487" s="22" t="n">
        <f aca="false">'לקוחות לפי סוכן - מקור'!F445</f>
        <v>465.91</v>
      </c>
      <c r="E487" s="22" t="n">
        <f aca="false">'לקוחות לפי סוכן - מקור'!G445</f>
        <v>476.77</v>
      </c>
      <c r="F487" s="14" t="str">
        <f aca="false">'לקוחות לפי סוכן - מקור'!D445</f>
        <v>151045</v>
      </c>
      <c r="G487" s="15" t="n">
        <f aca="false">'לקוחות לפי סוכן - מקור'!H445</f>
        <v>22</v>
      </c>
      <c r="H487" s="15" t="n">
        <f aca="false">'לקוחות לפי סוכן - מקור'!I445</f>
        <v>10</v>
      </c>
      <c r="I487" s="48" t="str">
        <f aca="false">'לקוחות לפי סוכן - מקור'!K445</f>
        <v>NetSuite</v>
      </c>
    </row>
    <row r="488" customFormat="false" ht="15" hidden="false" customHeight="true" outlineLevel="2" collapsed="false">
      <c r="A488" s="14" t="str">
        <f aca="false">'לקוחות לפי סוכן - מקור'!A446</f>
        <v>אורלי בלאיש</v>
      </c>
      <c r="B488" s="14" t="str">
        <f aca="false">'לקוחות לפי סוכן - מקור'!C446</f>
        <v>109 - Private Shops</v>
      </c>
      <c r="C488" s="14" t="str">
        <f aca="false">'לקוחות לפי סוכן - מקור'!E446</f>
        <v>151138 בורג המפרץ בע"מ</v>
      </c>
      <c r="D488" s="22" t="n">
        <f aca="false">'לקוחות לפי סוכן - מקור'!F446</f>
        <v>2036.36</v>
      </c>
      <c r="E488" s="22" t="n">
        <f aca="false">'לקוחות לפי סוכן - מקור'!G446</f>
        <v>8933.35</v>
      </c>
      <c r="F488" s="14" t="str">
        <f aca="false">'לקוחות לפי סוכן - מקור'!D446</f>
        <v>151138</v>
      </c>
      <c r="G488" s="15" t="n">
        <f aca="false">'לקוחות לפי סוכן - מקור'!H446</f>
        <v>55</v>
      </c>
      <c r="H488" s="15" t="n">
        <f aca="false">'לקוחות לפי סוכן - מקור'!I446</f>
        <v>172</v>
      </c>
      <c r="I488" s="48" t="str">
        <f aca="false">'לקוחות לפי סוכן - מקור'!K446</f>
        <v>NetSuite</v>
      </c>
    </row>
    <row r="489" customFormat="false" ht="15" hidden="false" customHeight="true" outlineLevel="2" collapsed="false">
      <c r="A489" s="14" t="str">
        <f aca="false">'לקוחות לפי סוכן - מקור'!A447</f>
        <v>אורלי בלאיש</v>
      </c>
      <c r="B489" s="14" t="str">
        <f aca="false">'לקוחות לפי סוכן - מקור'!C447</f>
        <v>109 - Private Shops</v>
      </c>
      <c r="C489" s="14" t="str">
        <f aca="false">'לקוחות לפי סוכן - מקור'!E447</f>
        <v>151163 חידוש נעל</v>
      </c>
      <c r="D489" s="22" t="n">
        <f aca="false">'לקוחות לפי סוכן - מקור'!F447</f>
        <v>2146.75</v>
      </c>
      <c r="E489" s="22" t="n">
        <f aca="false">'לקוחות לפי סוכן - מקור'!G447</f>
        <v>1621.34</v>
      </c>
      <c r="F489" s="14" t="str">
        <f aca="false">'לקוחות לפי סוכן - מקור'!D447</f>
        <v>151163</v>
      </c>
      <c r="G489" s="15" t="n">
        <f aca="false">'לקוחות לפי סוכן - מקור'!H447</f>
        <v>34</v>
      </c>
      <c r="H489" s="15" t="n">
        <f aca="false">'לקוחות לפי סוכן - מקור'!I447</f>
        <v>39</v>
      </c>
      <c r="I489" s="48" t="str">
        <f aca="false">'לקוחות לפי סוכן - מקור'!K447</f>
        <v>NetSuite</v>
      </c>
    </row>
    <row r="490" customFormat="false" ht="15" hidden="false" customHeight="true" outlineLevel="2" collapsed="false">
      <c r="A490" s="14" t="str">
        <f aca="false">'לקוחות לפי סוכן - מקור'!A448</f>
        <v>אורלי בלאיש</v>
      </c>
      <c r="B490" s="14" t="str">
        <f aca="false">'לקוחות לפי סוכן - מקור'!C448</f>
        <v>109 - Private Shops</v>
      </c>
      <c r="C490" s="14" t="str">
        <f aca="false">'לקוחות לפי סוכן - מקור'!E448</f>
        <v>155012 אמי בע"מ-ביגוד מגן</v>
      </c>
      <c r="D490" s="22" t="n">
        <f aca="false">'לקוחות לפי סוכן - מקור'!F448</f>
        <v>922.35</v>
      </c>
      <c r="E490" s="22" t="n">
        <f aca="false">'לקוחות לפי סוכן - מקור'!G448</f>
        <v>0</v>
      </c>
      <c r="F490" s="14" t="str">
        <f aca="false">'לקוחות לפי סוכן - מקור'!D448</f>
        <v>155012</v>
      </c>
      <c r="G490" s="15" t="n">
        <f aca="false">'לקוחות לפי סוכן - מקור'!H448</f>
        <v>22</v>
      </c>
      <c r="H490" s="15" t="n">
        <f aca="false">'לקוחות לפי סוכן - מקור'!I448</f>
        <v>0</v>
      </c>
      <c r="I490" s="48" t="str">
        <f aca="false">'לקוחות לפי סוכן - מקור'!K448</f>
        <v>NetSuite</v>
      </c>
    </row>
    <row r="491" customFormat="false" ht="15" hidden="false" customHeight="true" outlineLevel="2" collapsed="false">
      <c r="A491" s="14" t="str">
        <f aca="false">'לקוחות לפי סוכן - מקור'!A449</f>
        <v>אורלי בלאיש</v>
      </c>
      <c r="B491" s="14" t="str">
        <f aca="false">'לקוחות לפי סוכן - מקור'!C449</f>
        <v>109 - Private Shops</v>
      </c>
      <c r="C491" s="14" t="str">
        <f aca="false">'לקוחות לפי סוכן - מקור'!E449</f>
        <v>155504 בית טבע פנצאיה</v>
      </c>
      <c r="D491" s="22" t="n">
        <f aca="false">'לקוחות לפי סוכן - מקור'!F449</f>
        <v>4635.08</v>
      </c>
      <c r="E491" s="22" t="n">
        <f aca="false">'לקוחות לפי סוכן - מקור'!G449</f>
        <v>571.68</v>
      </c>
      <c r="F491" s="14" t="str">
        <f aca="false">'לקוחות לפי סוכן - מקור'!D449</f>
        <v>155504</v>
      </c>
      <c r="G491" s="15" t="n">
        <f aca="false">'לקוחות לפי סוכן - מקור'!H449</f>
        <v>106</v>
      </c>
      <c r="H491" s="15" t="n">
        <f aca="false">'לקוחות לפי סוכן - מקור'!I449</f>
        <v>4</v>
      </c>
      <c r="I491" s="48" t="str">
        <f aca="false">'לקוחות לפי סוכן - מקור'!K449</f>
        <v>NetSuite</v>
      </c>
    </row>
    <row r="492" customFormat="false" ht="15" hidden="false" customHeight="true" outlineLevel="2" collapsed="false">
      <c r="A492" s="14" t="str">
        <f aca="false">'לקוחות לפי סוכן - מקור'!A450</f>
        <v>אורלי בלאיש</v>
      </c>
      <c r="B492" s="14" t="str">
        <f aca="false">'לקוחות לפי סוכן - מקור'!C450</f>
        <v>109 - Private Shops</v>
      </c>
      <c r="C492" s="14" t="str">
        <f aca="false">'לקוחות לפי סוכן - מקור'!E450</f>
        <v>C02231 ש.ל.י. סיירת ציוד בעמ : C02231SC1 ש.ל.י סיירת ציוד חיפה</v>
      </c>
      <c r="D492" s="22" t="n">
        <f aca="false">'לקוחות לפי סוכן - מקור'!F450</f>
        <v>1710.83</v>
      </c>
      <c r="E492" s="22" t="n">
        <f aca="false">'לקוחות לפי סוכן - מקור'!G450</f>
        <v>0</v>
      </c>
      <c r="F492" s="14" t="str">
        <f aca="false">'לקוחות לפי סוכן - מקור'!D450</f>
        <v>C02231SC1</v>
      </c>
      <c r="G492" s="15" t="n">
        <f aca="false">'לקוחות לפי סוכן - מקור'!H450</f>
        <v>44</v>
      </c>
      <c r="H492" s="15" t="n">
        <f aca="false">'לקוחות לפי סוכן - מקור'!I450</f>
        <v>0</v>
      </c>
      <c r="I492" s="48" t="str">
        <f aca="false">'לקוחות לפי סוכן - מקור'!K450</f>
        <v>NetSuite</v>
      </c>
    </row>
    <row r="493" customFormat="false" ht="15" hidden="false" customHeight="true" outlineLevel="2" collapsed="false">
      <c r="A493" s="14" t="str">
        <f aca="false">'לקוחות לפי סוכן - מקור'!A451</f>
        <v>אורלי בלאיש</v>
      </c>
      <c r="B493" s="14" t="str">
        <f aca="false">'לקוחות לפי סוכן - מקור'!C451</f>
        <v>109 - Private Shops</v>
      </c>
      <c r="C493" s="14" t="str">
        <f aca="false">'לקוחות לפי סוכן - מקור'!E451</f>
        <v>C02268 ר.ת מדיקל גרופ</v>
      </c>
      <c r="D493" s="22" t="n">
        <f aca="false">'לקוחות לפי סוכן - מקור'!F451</f>
        <v>0</v>
      </c>
      <c r="E493" s="22" t="n">
        <f aca="false">'לקוחות לפי סוכן - מקור'!G451</f>
        <v>931.4</v>
      </c>
      <c r="F493" s="14" t="str">
        <f aca="false">'לקוחות לפי סוכן - מקור'!D451</f>
        <v>C02268</v>
      </c>
      <c r="G493" s="15" t="n">
        <f aca="false">'לקוחות לפי סוכן - מקור'!H451</f>
        <v>0</v>
      </c>
      <c r="H493" s="15" t="n">
        <f aca="false">'לקוחות לפי סוכן - מקור'!I451</f>
        <v>5</v>
      </c>
      <c r="I493" s="48" t="str">
        <f aca="false">'לקוחות לפי סוכן - מקור'!K451</f>
        <v>NetSuite</v>
      </c>
    </row>
    <row r="494" customFormat="false" ht="15" hidden="false" customHeight="true" outlineLevel="2" collapsed="false">
      <c r="A494" s="14" t="str">
        <f aca="false">'לקוחות לפי סוכן - מקור'!A452</f>
        <v>אורלי בלאיש</v>
      </c>
      <c r="B494" s="14" t="str">
        <f aca="false">'לקוחות לפי סוכן - מקור'!C452</f>
        <v>109 - Private Shops</v>
      </c>
      <c r="C494" s="14" t="str">
        <f aca="false">'לקוחות לפי סוכן - מקור'!E452</f>
        <v>C02276 ריאן עלא סלימאן</v>
      </c>
      <c r="D494" s="22" t="n">
        <f aca="false">'לקוחות לפי סוכן - מקור'!F452</f>
        <v>427.41</v>
      </c>
      <c r="E494" s="22" t="n">
        <f aca="false">'לקוחות לפי סוכן - מקור'!G452</f>
        <v>0</v>
      </c>
      <c r="F494" s="14" t="str">
        <f aca="false">'לקוחות לפי סוכן - מקור'!D452</f>
        <v>C02276</v>
      </c>
      <c r="G494" s="15" t="n">
        <f aca="false">'לקוחות לפי סוכן - מקור'!H452</f>
        <v>18</v>
      </c>
      <c r="H494" s="15" t="n">
        <f aca="false">'לקוחות לפי סוכן - מקור'!I452</f>
        <v>0</v>
      </c>
      <c r="I494" s="48" t="str">
        <f aca="false">'לקוחות לפי סוכן - מקור'!K452</f>
        <v>NetSuite</v>
      </c>
    </row>
    <row r="495" customFormat="false" ht="15" hidden="false" customHeight="true" outlineLevel="0" collapsed="false">
      <c r="A495" s="16" t="s">
        <v>3456</v>
      </c>
      <c r="B495" s="16"/>
      <c r="C495" s="16" t="s">
        <v>3804</v>
      </c>
      <c r="D495" s="46" t="n">
        <f aca="false">SUMIF('לקוחות לפי סוכן - מקור'!$A$2:$A$867,$A495,'לקוחות לפי סוכן - מקור'!$F$2:$F$867)</f>
        <v>476651.57</v>
      </c>
      <c r="E495" s="46" t="n">
        <f aca="false">SUMIF('לקוחות לפי סוכן - מקור'!$A$2:$A$867,$A495,'לקוחות לפי סוכן - מקור'!$G$2:$G$867)</f>
        <v>340025.56</v>
      </c>
      <c r="F495" s="16"/>
      <c r="G495" s="17" t="n">
        <f aca="false">SUMIF('לקוחות לפי סוכן - מקור'!$A$2:$A$867,$A495,'לקוחות לפי סוכן - מקור'!$H$2:$H$867)</f>
        <v>7181</v>
      </c>
      <c r="H495" s="17" t="n">
        <f aca="false">SUMIF('לקוחות לפי סוכן - מקור'!$A$2:$A$867,$A495,'לקוחות לפי סוכן - מקור'!$I$2:$I$867)</f>
        <v>4369</v>
      </c>
      <c r="I495" s="16" t="str">
        <f aca="false">IF(COUNTIFS('לקוחות לפי סוכן - מקור'!$A$2:$A$867,$A495,'לקוחות לפי סוכן - מקור'!$K$2:$K$867,"NetSuite")&gt;0,IF(COUNTIFS('לקוחות לפי סוכן - מקור'!$A$2:$A$867,$A495,'לקוחות לפי סוכן - מקור'!$K$2:$K$867,"CHMI")&gt;0,"NetSuite+CHMI ("&amp;COUNTIFS('לקוחות לפי סוכן - מקור'!$A$2:$A$867,$A495,'לקוחות לפי סוכן - מקור'!$K$2:$K$867,"NetSuite")&amp;"+"&amp;COUNTIFS('לקוחות לפי סוכן - מקור'!$A$2:$A$867,$A495,'לקוחות לפי סוכן - מקור'!$K$2:$K$867,"CHMI")&amp;")","NetSuite ("&amp;COUNTIFS('לקוחות לפי סוכן - מקור'!$A$2:$A$867,$A495,'לקוחות לפי סוכן - מקור'!$K$2:$K$867,"NetSuite")&amp;")"),"CHMI ("&amp;COUNTIFS('לקוחות לפי סוכן - מקור'!$A$2:$A$867,$A495,'לקוחות לפי סוכן - מקור'!$K$2:$K$867,"CHMI")&amp;")")</f>
        <v>NetSuite (61)</v>
      </c>
      <c r="J495" s="17" t="n">
        <f aca="false">COUNTIF('לקוחות לפי סוכן - מקור'!$A$2:$A$867,$A495)</f>
        <v>61</v>
      </c>
    </row>
    <row r="496" customFormat="false" ht="15" hidden="false" customHeight="true" outlineLevel="0" collapsed="false"/>
    <row r="497" customFormat="false" ht="15" hidden="false" customHeight="true" outlineLevel="0" collapsed="false">
      <c r="A497" s="16" t="s">
        <v>3457</v>
      </c>
      <c r="B497" s="16"/>
      <c r="C497" s="16"/>
      <c r="D497" s="16"/>
      <c r="E497" s="16"/>
      <c r="F497" s="16"/>
      <c r="G497" s="16"/>
      <c r="H497" s="16"/>
      <c r="I497" s="16"/>
      <c r="J497" s="16"/>
    </row>
    <row r="498" customFormat="false" ht="15" hidden="false" customHeight="true" outlineLevel="1" collapsed="false">
      <c r="A498" s="49" t="s">
        <v>3457</v>
      </c>
      <c r="B498" s="50" t="s">
        <v>51</v>
      </c>
      <c r="C498" s="51"/>
      <c r="D498" s="52" t="n">
        <f aca="false">SUMIFS('לקוחות לפי סוכן - מקור'!$F$2:$F$867,'לקוחות לפי סוכן - מקור'!$A$2:$A$867,$A498,'לקוחות לפי סוכן - מקור'!$C$2:$C$867,$B498)</f>
        <v>104522.23</v>
      </c>
      <c r="E498" s="52" t="n">
        <f aca="false">SUMIFS('לקוחות לפי סוכן - מקור'!$G$2:$G$867,'לקוחות לפי סוכן - מקור'!$A$2:$A$867,$A498,'לקוחות לפי סוכן - מקור'!$C$2:$C$867,$B498)</f>
        <v>85408.89</v>
      </c>
      <c r="F498" s="51"/>
      <c r="G498" s="53" t="n">
        <f aca="false">SUMIFS('לקוחות לפי סוכן - מקור'!$H$2:$H$867,'לקוחות לפי סוכן - מקור'!$A$2:$A$867,$A498,'לקוחות לפי סוכן - מקור'!$C$2:$C$867,$B498)</f>
        <v>1349</v>
      </c>
      <c r="H498" s="53" t="n">
        <f aca="false">SUMIFS('לקוחות לפי סוכן - מקור'!$I$2:$I$867,'לקוחות לפי סוכן - מקור'!$A$2:$A$867,$A498,'לקוחות לפי סוכן - מקור'!$C$2:$C$867,$B498)</f>
        <v>1088</v>
      </c>
      <c r="I498" s="51"/>
      <c r="J498" s="53" t="n">
        <f aca="false">COUNTIFS('לקוחות לפי סוכן - מקור'!$A$2:$A$867,$A498,'לקוחות לפי סוכן - מקור'!$C$2:$C$867,$B498)</f>
        <v>19</v>
      </c>
    </row>
    <row r="499" customFormat="false" ht="15" hidden="false" customHeight="true" outlineLevel="2" collapsed="false">
      <c r="A499" s="14" t="str">
        <f aca="false">'לקוחות לפי סוכן - מקור'!A453</f>
        <v>חיים ויצמן</v>
      </c>
      <c r="B499" s="14" t="str">
        <f aca="false">'לקוחות לפי סוכן - מקור'!C453</f>
        <v>102 - Orthopedic institutes</v>
      </c>
      <c r="C499" s="14" t="str">
        <f aca="false">'לקוחות לפי סוכן - מקור'!E453</f>
        <v>150007 אבידן אורטופדיה שיקומית ב</v>
      </c>
      <c r="D499" s="22" t="n">
        <f aca="false">'לקוחות לפי סוכן - מקור'!F453</f>
        <v>360</v>
      </c>
      <c r="E499" s="22" t="n">
        <f aca="false">'לקוחות לפי סוכן - מקור'!G453</f>
        <v>3412.07</v>
      </c>
      <c r="F499" s="14" t="str">
        <f aca="false">'לקוחות לפי סוכן - מקור'!D453</f>
        <v>150007</v>
      </c>
      <c r="G499" s="15" t="n">
        <f aca="false">'לקוחות לפי סוכן - מקור'!H453</f>
        <v>3</v>
      </c>
      <c r="H499" s="15" t="n">
        <f aca="false">'לקוחות לפי סוכן - מקור'!I453</f>
        <v>41</v>
      </c>
      <c r="I499" s="48" t="str">
        <f aca="false">'לקוחות לפי סוכן - מקור'!K453</f>
        <v>NetSuite</v>
      </c>
    </row>
    <row r="500" customFormat="false" ht="15" hidden="false" customHeight="true" outlineLevel="2" collapsed="false">
      <c r="A500" s="14" t="str">
        <f aca="false">'לקוחות לפי סוכן - מקור'!A454</f>
        <v>חיים ויצמן</v>
      </c>
      <c r="B500" s="14" t="str">
        <f aca="false">'לקוחות לפי סוכן - מקור'!C454</f>
        <v>102 - Orthopedic institutes</v>
      </c>
      <c r="C500" s="14" t="str">
        <f aca="false">'לקוחות לפי סוכן - מקור'!E454</f>
        <v>150055 סניוס מדיק בע"מ</v>
      </c>
      <c r="D500" s="22" t="n">
        <f aca="false">'לקוחות לפי סוכן - מקור'!F454</f>
        <v>12357.83</v>
      </c>
      <c r="E500" s="22" t="n">
        <f aca="false">'לקוחות לפי סוכן - מקור'!G454</f>
        <v>14282.47</v>
      </c>
      <c r="F500" s="14" t="str">
        <f aca="false">'לקוחות לפי סוכן - מקור'!D454</f>
        <v>150055</v>
      </c>
      <c r="G500" s="15" t="n">
        <f aca="false">'לקוחות לפי סוכן - מקור'!H454</f>
        <v>239</v>
      </c>
      <c r="H500" s="15" t="n">
        <f aca="false">'לקוחות לפי סוכן - מקור'!I454</f>
        <v>208</v>
      </c>
      <c r="I500" s="48" t="str">
        <f aca="false">'לקוחות לפי סוכן - מקור'!K454</f>
        <v>NetSuite</v>
      </c>
    </row>
    <row r="501" customFormat="false" ht="15" hidden="false" customHeight="true" outlineLevel="2" collapsed="false">
      <c r="A501" s="14" t="str">
        <f aca="false">'לקוחות לפי סוכן - מקור'!A455</f>
        <v>חיים ויצמן</v>
      </c>
      <c r="B501" s="14" t="str">
        <f aca="false">'לקוחות לפי סוכן - מקור'!C455</f>
        <v>102 - Orthopedic institutes</v>
      </c>
      <c r="C501" s="14" t="str">
        <f aca="false">'לקוחות לפי סוכן - מקור'!E455</f>
        <v>150125 מ.ח. כף רגל וקרסול מ.אורט</v>
      </c>
      <c r="D501" s="22" t="n">
        <f aca="false">'לקוחות לפי סוכן - מקור'!F455</f>
        <v>2743.01</v>
      </c>
      <c r="E501" s="22" t="n">
        <f aca="false">'לקוחות לפי סוכן - מקור'!G455</f>
        <v>2140.03</v>
      </c>
      <c r="F501" s="14" t="str">
        <f aca="false">'לקוחות לפי סוכן - מקור'!D455</f>
        <v>150125</v>
      </c>
      <c r="G501" s="15" t="n">
        <f aca="false">'לקוחות לפי סוכן - מקור'!H455</f>
        <v>19</v>
      </c>
      <c r="H501" s="15" t="n">
        <f aca="false">'לקוחות לפי סוכן - מקור'!I455</f>
        <v>11</v>
      </c>
      <c r="I501" s="48" t="str">
        <f aca="false">'לקוחות לפי סוכן - מקור'!K455</f>
        <v>NetSuite</v>
      </c>
    </row>
    <row r="502" customFormat="false" ht="15" hidden="false" customHeight="true" outlineLevel="2" collapsed="false">
      <c r="A502" s="14" t="str">
        <f aca="false">'לקוחות לפי סוכן - מקור'!A456</f>
        <v>חיים ויצמן</v>
      </c>
      <c r="B502" s="14" t="str">
        <f aca="false">'לקוחות לפי סוכן - מקור'!C456</f>
        <v>102 - Orthopedic institutes</v>
      </c>
      <c r="C502" s="14" t="str">
        <f aca="false">'לקוחות לפי סוכן - מקור'!E456</f>
        <v>150138 מדיק סנטר ר.א בע"מ</v>
      </c>
      <c r="D502" s="22" t="n">
        <f aca="false">'לקוחות לפי סוכן - מקור'!F456</f>
        <v>39708.63</v>
      </c>
      <c r="E502" s="22" t="n">
        <f aca="false">'לקוחות לפי סוכן - מקור'!G456</f>
        <v>31927.9</v>
      </c>
      <c r="F502" s="14" t="str">
        <f aca="false">'לקוחות לפי סוכן - מקור'!D456</f>
        <v>150138</v>
      </c>
      <c r="G502" s="15" t="n">
        <f aca="false">'לקוחות לפי סוכן - מקור'!H456</f>
        <v>606</v>
      </c>
      <c r="H502" s="15" t="n">
        <f aca="false">'לקוחות לפי סוכן - מקור'!I456</f>
        <v>457</v>
      </c>
      <c r="I502" s="48" t="str">
        <f aca="false">'לקוחות לפי סוכן - מקור'!K456</f>
        <v>NetSuite</v>
      </c>
    </row>
    <row r="503" customFormat="false" ht="15" hidden="false" customHeight="true" outlineLevel="2" collapsed="false">
      <c r="A503" s="14" t="str">
        <f aca="false">'לקוחות לפי סוכן - מקור'!A457</f>
        <v>חיים ויצמן</v>
      </c>
      <c r="B503" s="14" t="str">
        <f aca="false">'לקוחות לפי סוכן - מקור'!C457</f>
        <v>102 - Orthopedic institutes</v>
      </c>
      <c r="C503" s="14" t="str">
        <f aca="false">'לקוחות לפי סוכן - מקור'!E457</f>
        <v>150160 המ.הבריאותי לרגל בע"מ</v>
      </c>
      <c r="D503" s="22" t="n">
        <f aca="false">'לקוחות לפי סוכן - מקור'!F457</f>
        <v>425.32</v>
      </c>
      <c r="E503" s="22" t="n">
        <f aca="false">'לקוחות לפי סוכן - מקור'!G457</f>
        <v>876.14</v>
      </c>
      <c r="F503" s="14" t="str">
        <f aca="false">'לקוחות לפי סוכן - מקור'!D457</f>
        <v>150160</v>
      </c>
      <c r="G503" s="15" t="n">
        <f aca="false">'לקוחות לפי סוכן - מקור'!H457</f>
        <v>4</v>
      </c>
      <c r="H503" s="15" t="n">
        <f aca="false">'לקוחות לפי סוכן - מקור'!I457</f>
        <v>10</v>
      </c>
      <c r="I503" s="48" t="str">
        <f aca="false">'לקוחות לפי סוכן - מקור'!K457</f>
        <v>NetSuite</v>
      </c>
    </row>
    <row r="504" customFormat="false" ht="15" hidden="false" customHeight="true" outlineLevel="2" collapsed="false">
      <c r="A504" s="14" t="str">
        <f aca="false">'לקוחות לפי סוכן - מקור'!A458</f>
        <v>חיים ויצמן</v>
      </c>
      <c r="B504" s="14" t="str">
        <f aca="false">'לקוחות לפי סוכן - מקור'!C458</f>
        <v>102 - Orthopedic institutes</v>
      </c>
      <c r="C504" s="14" t="str">
        <f aca="false">'לקוחות לפי סוכן - מקור'!E458</f>
        <v>150182 עטרת מדיפוט נתניה</v>
      </c>
      <c r="D504" s="22" t="n">
        <f aca="false">'לקוחות לפי סוכן - מקור'!F458</f>
        <v>11441.84</v>
      </c>
      <c r="E504" s="22" t="n">
        <f aca="false">'לקוחות לפי סוכן - מקור'!G458</f>
        <v>6334.67</v>
      </c>
      <c r="F504" s="14" t="str">
        <f aca="false">'לקוחות לפי סוכן - מקור'!D458</f>
        <v>150182</v>
      </c>
      <c r="G504" s="15" t="n">
        <f aca="false">'לקוחות לפי סוכן - מקור'!H458</f>
        <v>161</v>
      </c>
      <c r="H504" s="15" t="n">
        <f aca="false">'לקוחות לפי סוכן - מקור'!I458</f>
        <v>156</v>
      </c>
      <c r="I504" s="48" t="str">
        <f aca="false">'לקוחות לפי סוכן - מקור'!K458</f>
        <v>NetSuite</v>
      </c>
    </row>
    <row r="505" customFormat="false" ht="15" hidden="false" customHeight="true" outlineLevel="2" collapsed="false">
      <c r="A505" s="14" t="str">
        <f aca="false">'לקוחות לפי סוכן - מקור'!A459</f>
        <v>חיים ויצמן</v>
      </c>
      <c r="B505" s="14" t="str">
        <f aca="false">'לקוחות לפי סוכן - מקור'!C459</f>
        <v>102 - Orthopedic institutes</v>
      </c>
      <c r="C505" s="14" t="str">
        <f aca="false">'לקוחות לפי סוכן - מקור'!E459</f>
        <v>150221 רגליים כ"ס אורטופדיה</v>
      </c>
      <c r="D505" s="22" t="n">
        <f aca="false">'לקוחות לפי סוכן - מקור'!F459</f>
        <v>461.04</v>
      </c>
      <c r="E505" s="22" t="n">
        <f aca="false">'לקוחות לפי סוכן - מקור'!G459</f>
        <v>0</v>
      </c>
      <c r="F505" s="14" t="str">
        <f aca="false">'לקוחות לפי סוכן - מקור'!D459</f>
        <v>150221</v>
      </c>
      <c r="G505" s="15" t="n">
        <f aca="false">'לקוחות לפי סוכן - מקור'!H459</f>
        <v>2</v>
      </c>
      <c r="H505" s="15" t="n">
        <f aca="false">'לקוחות לפי סוכן - מקור'!I459</f>
        <v>0</v>
      </c>
      <c r="I505" s="48" t="str">
        <f aca="false">'לקוחות לפי סוכן - מקור'!K459</f>
        <v>NetSuite</v>
      </c>
    </row>
    <row r="506" customFormat="false" ht="15" hidden="false" customHeight="true" outlineLevel="2" collapsed="false">
      <c r="A506" s="14" t="str">
        <f aca="false">'לקוחות לפי סוכן - מקור'!A460</f>
        <v>חיים ויצמן</v>
      </c>
      <c r="B506" s="14" t="str">
        <f aca="false">'לקוחות לפי סוכן - מקור'!C460</f>
        <v>102 - Orthopedic institutes</v>
      </c>
      <c r="C506" s="14" t="str">
        <f aca="false">'לקוחות לפי סוכן - מקור'!E460</f>
        <v>150336 מרכז לאביזרים אורט' אסותא</v>
      </c>
      <c r="D506" s="22" t="n">
        <f aca="false">'לקוחות לפי סוכן - מקור'!F460</f>
        <v>5649.24</v>
      </c>
      <c r="E506" s="22" t="n">
        <f aca="false">'לקוחות לפי סוכן - מקור'!G460</f>
        <v>6243.73</v>
      </c>
      <c r="F506" s="14" t="str">
        <f aca="false">'לקוחות לפי סוכן - מקור'!D460</f>
        <v>150336</v>
      </c>
      <c r="G506" s="15" t="n">
        <f aca="false">'לקוחות לפי סוכן - מקור'!H460</f>
        <v>44</v>
      </c>
      <c r="H506" s="15" t="n">
        <f aca="false">'לקוחות לפי סוכן - מקור'!I460</f>
        <v>50</v>
      </c>
      <c r="I506" s="48" t="str">
        <f aca="false">'לקוחות לפי סוכן - מקור'!K460</f>
        <v>NetSuite</v>
      </c>
    </row>
    <row r="507" customFormat="false" ht="15" hidden="false" customHeight="true" outlineLevel="2" collapsed="false">
      <c r="A507" s="14" t="str">
        <f aca="false">'לקוחות לפי סוכן - מקור'!A461</f>
        <v>חיים ויצמן</v>
      </c>
      <c r="B507" s="14" t="str">
        <f aca="false">'לקוחות לפי סוכן - מקור'!C461</f>
        <v>102 - Orthopedic institutes</v>
      </c>
      <c r="C507" s="14" t="str">
        <f aca="false">'לקוחות לפי סוכן - מקור'!E461</f>
        <v>150373 פיזיו קליניק בע"מ</v>
      </c>
      <c r="D507" s="22" t="n">
        <f aca="false">'לקוחות לפי סוכן - מקור'!F461</f>
        <v>223.64</v>
      </c>
      <c r="E507" s="22" t="n">
        <f aca="false">'לקוחות לפי סוכן - מקור'!G461</f>
        <v>0</v>
      </c>
      <c r="F507" s="14" t="str">
        <f aca="false">'לקוחות לפי סוכן - מקור'!D461</f>
        <v>150373</v>
      </c>
      <c r="G507" s="15" t="n">
        <f aca="false">'לקוחות לפי סוכן - מקור'!H461</f>
        <v>4</v>
      </c>
      <c r="H507" s="15" t="n">
        <f aca="false">'לקוחות לפי סוכן - מקור'!I461</f>
        <v>0</v>
      </c>
      <c r="I507" s="48" t="str">
        <f aca="false">'לקוחות לפי סוכן - מקור'!K461</f>
        <v>NetSuite</v>
      </c>
    </row>
    <row r="508" customFormat="false" ht="15" hidden="false" customHeight="true" outlineLevel="2" collapsed="false">
      <c r="A508" s="14" t="str">
        <f aca="false">'לקוחות לפי סוכן - מקור'!A462</f>
        <v>חיים ויצמן</v>
      </c>
      <c r="B508" s="14" t="str">
        <f aca="false">'לקוחות לפי סוכן - מקור'!C462</f>
        <v>102 - Orthopedic institutes</v>
      </c>
      <c r="C508" s="14" t="str">
        <f aca="false">'לקוחות לפי סוכן - מקור'!E462</f>
        <v>151005 עקב אכילס -מכון אורטופדי</v>
      </c>
      <c r="D508" s="22" t="n">
        <f aca="false">'לקוחות לפי סוכן - מקור'!F462</f>
        <v>13619.55</v>
      </c>
      <c r="E508" s="22" t="n">
        <f aca="false">'לקוחות לפי סוכן - מקור'!G462</f>
        <v>7289.88</v>
      </c>
      <c r="F508" s="14" t="str">
        <f aca="false">'לקוחות לפי סוכן - מקור'!D462</f>
        <v>151005</v>
      </c>
      <c r="G508" s="15" t="n">
        <f aca="false">'לקוחות לפי סוכן - מקור'!H462</f>
        <v>101</v>
      </c>
      <c r="H508" s="15" t="n">
        <f aca="false">'לקוחות לפי סוכן - מקור'!I462</f>
        <v>50</v>
      </c>
      <c r="I508" s="48" t="str">
        <f aca="false">'לקוחות לפי סוכן - מקור'!K462</f>
        <v>NetSuite</v>
      </c>
    </row>
    <row r="509" customFormat="false" ht="15" hidden="false" customHeight="true" outlineLevel="2" collapsed="false">
      <c r="A509" s="14" t="str">
        <f aca="false">'לקוחות לפי סוכן - מקור'!A463</f>
        <v>חיים ויצמן</v>
      </c>
      <c r="B509" s="14" t="str">
        <f aca="false">'לקוחות לפי סוכן - מקור'!C463</f>
        <v>102 - Orthopedic institutes</v>
      </c>
      <c r="C509" s="14" t="str">
        <f aca="false">'לקוחות לפי סוכן - מקור'!E463</f>
        <v>151010 אסף מדיקל</v>
      </c>
      <c r="D509" s="22" t="n">
        <f aca="false">'לקוחות לפי סוכן - מקור'!F463</f>
        <v>3691.02</v>
      </c>
      <c r="E509" s="22" t="n">
        <f aca="false">'לקוחות לפי סוכן - מקור'!G463</f>
        <v>5446.19</v>
      </c>
      <c r="F509" s="14" t="str">
        <f aca="false">'לקוחות לפי סוכן - מקור'!D463</f>
        <v>151010</v>
      </c>
      <c r="G509" s="15" t="n">
        <f aca="false">'לקוחות לפי סוכן - מקור'!H463</f>
        <v>19</v>
      </c>
      <c r="H509" s="15" t="n">
        <f aca="false">'לקוחות לפי סוכן - מקור'!I463</f>
        <v>27</v>
      </c>
      <c r="I509" s="48" t="str">
        <f aca="false">'לקוחות לפי סוכן - מקור'!K463</f>
        <v>NetSuite</v>
      </c>
    </row>
    <row r="510" customFormat="false" ht="15" hidden="false" customHeight="true" outlineLevel="2" collapsed="false">
      <c r="A510" s="14" t="str">
        <f aca="false">'לקוחות לפי סוכן - מקור'!A464</f>
        <v>חיים ויצמן</v>
      </c>
      <c r="B510" s="14" t="str">
        <f aca="false">'לקוחות לפי סוכן - מקור'!C464</f>
        <v>102 - Orthopedic institutes</v>
      </c>
      <c r="C510" s="14" t="str">
        <f aca="false">'לקוחות לפי סוכן - מקור'!E464</f>
        <v>151057 מזלטק בע"מ</v>
      </c>
      <c r="D510" s="22" t="n">
        <f aca="false">'לקוחות לפי סוכן - מקור'!F464</f>
        <v>981.88</v>
      </c>
      <c r="E510" s="22" t="n">
        <f aca="false">'לקוחות לפי סוכן - מקור'!G464</f>
        <v>485.45</v>
      </c>
      <c r="F510" s="14" t="str">
        <f aca="false">'לקוחות לפי סוכן - מקור'!D464</f>
        <v>151057</v>
      </c>
      <c r="G510" s="15" t="n">
        <f aca="false">'לקוחות לפי סוכן - מקור'!H464</f>
        <v>6</v>
      </c>
      <c r="H510" s="15" t="n">
        <f aca="false">'לקוחות לפי סוכן - מקור'!I464</f>
        <v>13</v>
      </c>
      <c r="I510" s="48" t="str">
        <f aca="false">'לקוחות לפי סוכן - מקור'!K464</f>
        <v>NetSuite</v>
      </c>
    </row>
    <row r="511" customFormat="false" ht="15" hidden="false" customHeight="true" outlineLevel="2" collapsed="false">
      <c r="A511" s="14" t="str">
        <f aca="false">'לקוחות לפי סוכן - מקור'!A465</f>
        <v>חיים ויצמן</v>
      </c>
      <c r="B511" s="14" t="str">
        <f aca="false">'לקוחות לפי סוכן - מקור'!C465</f>
        <v>102 - Orthopedic institutes</v>
      </c>
      <c r="C511" s="14" t="str">
        <f aca="false">'לקוחות לפי סוכן - מקור'!E465</f>
        <v>151122 א.ב.רגליים</v>
      </c>
      <c r="D511" s="22" t="n">
        <f aca="false">'לקוחות לפי סוכן - מקור'!F465</f>
        <v>548.79</v>
      </c>
      <c r="E511" s="22" t="n">
        <f aca="false">'לקוחות לפי סוכן - מקור'!G465</f>
        <v>0</v>
      </c>
      <c r="F511" s="14" t="str">
        <f aca="false">'לקוחות לפי סוכן - מקור'!D465</f>
        <v>151122</v>
      </c>
      <c r="G511" s="15" t="n">
        <f aca="false">'לקוחות לפי סוכן - מקור'!H465</f>
        <v>9</v>
      </c>
      <c r="H511" s="15" t="n">
        <f aca="false">'לקוחות לפי סוכן - מקור'!I465</f>
        <v>0</v>
      </c>
      <c r="I511" s="48" t="str">
        <f aca="false">'לקוחות לפי סוכן - מקור'!K465</f>
        <v>NetSuite</v>
      </c>
    </row>
    <row r="512" customFormat="false" ht="15" hidden="false" customHeight="true" outlineLevel="2" collapsed="false">
      <c r="A512" s="14" t="str">
        <f aca="false">'לקוחות לפי סוכן - מקור'!A466</f>
        <v>חיים ויצמן</v>
      </c>
      <c r="B512" s="14" t="str">
        <f aca="false">'לקוחות לפי סוכן - מקור'!C466</f>
        <v>102 - Orthopedic institutes</v>
      </c>
      <c r="C512" s="14" t="str">
        <f aca="false">'לקוחות לפי סוכן - מקור'!E466</f>
        <v>151162 מרכזים לניתוחים</v>
      </c>
      <c r="D512" s="22" t="n">
        <f aca="false">'לקוחות לפי סוכן - מקור'!F466</f>
        <v>3738.75</v>
      </c>
      <c r="E512" s="22" t="n">
        <f aca="false">'לקוחות לפי סוכן - מקור'!G466</f>
        <v>0</v>
      </c>
      <c r="F512" s="14" t="str">
        <f aca="false">'לקוחות לפי סוכן - מקור'!D466</f>
        <v>151162</v>
      </c>
      <c r="G512" s="15" t="n">
        <f aca="false">'לקוחות לפי סוכן - מקור'!H466</f>
        <v>42</v>
      </c>
      <c r="H512" s="15" t="n">
        <f aca="false">'לקוחות לפי סוכן - מקור'!I466</f>
        <v>0</v>
      </c>
      <c r="I512" s="48" t="str">
        <f aca="false">'לקוחות לפי סוכן - מקור'!K466</f>
        <v>NetSuite</v>
      </c>
    </row>
    <row r="513" customFormat="false" ht="15" hidden="false" customHeight="true" outlineLevel="2" collapsed="false">
      <c r="A513" s="14" t="str">
        <f aca="false">'לקוחות לפי סוכן - מקור'!A467</f>
        <v>חיים ויצמן</v>
      </c>
      <c r="B513" s="14" t="str">
        <f aca="false">'לקוחות לפי סוכן - מקור'!C467</f>
        <v>102 - Orthopedic institutes</v>
      </c>
      <c r="C513" s="14" t="str">
        <f aca="false">'לקוחות לפי סוכן - מקור'!E467</f>
        <v>C02177 עולם האורטופדיה והספורט</v>
      </c>
      <c r="D513" s="22" t="n">
        <f aca="false">'לקוחות לפי סוכן - מקור'!F467</f>
        <v>6765.43</v>
      </c>
      <c r="E513" s="22" t="n">
        <f aca="false">'לקוחות לפי סוכן - מקור'!G467</f>
        <v>4118.36</v>
      </c>
      <c r="F513" s="14" t="str">
        <f aca="false">'לקוחות לפי סוכן - מקור'!D467</f>
        <v>C02177</v>
      </c>
      <c r="G513" s="15" t="n">
        <f aca="false">'לקוחות לפי סוכן - מקור'!H467</f>
        <v>81</v>
      </c>
      <c r="H513" s="15" t="n">
        <f aca="false">'לקוחות לפי סוכן - מקור'!I467</f>
        <v>53</v>
      </c>
      <c r="I513" s="48" t="str">
        <f aca="false">'לקוחות לפי סוכן - מקור'!K467</f>
        <v>NetSuite</v>
      </c>
    </row>
    <row r="514" customFormat="false" ht="15" hidden="false" customHeight="true" outlineLevel="2" collapsed="false">
      <c r="A514" s="14" t="str">
        <f aca="false">'לקוחות לפי סוכן - מקור'!A468</f>
        <v>חיים ויצמן</v>
      </c>
      <c r="B514" s="14" t="str">
        <f aca="false">'לקוחות לפי סוכן - מקור'!C468</f>
        <v>102 - Orthopedic institutes</v>
      </c>
      <c r="C514" s="14" t="str">
        <f aca="false">'לקוחות לפי סוכן - מקור'!E468</f>
        <v>C02262 בני בלאנס ב בלאנס</v>
      </c>
      <c r="D514" s="22" t="n">
        <f aca="false">'לקוחות לפי סוכן - מקור'!F468</f>
        <v>252</v>
      </c>
      <c r="E514" s="22" t="n">
        <f aca="false">'לקוחות לפי סוכן - מקור'!G468</f>
        <v>252</v>
      </c>
      <c r="F514" s="14" t="str">
        <f aca="false">'לקוחות לפי סוכן - מקור'!D468</f>
        <v>C02262</v>
      </c>
      <c r="G514" s="15" t="n">
        <f aca="false">'לקוחות לפי סוכן - מקור'!H468</f>
        <v>2</v>
      </c>
      <c r="H514" s="15" t="n">
        <f aca="false">'לקוחות לפי סוכן - מקור'!I468</f>
        <v>2</v>
      </c>
      <c r="I514" s="48" t="str">
        <f aca="false">'לקוחות לפי סוכן - מקור'!K468</f>
        <v>NetSuite</v>
      </c>
    </row>
    <row r="515" customFormat="false" ht="15" hidden="false" customHeight="true" outlineLevel="2" collapsed="false">
      <c r="A515" s="14" t="str">
        <f aca="false">'לקוחות לפי סוכן - מקור'!A469</f>
        <v>חיים ויצמן</v>
      </c>
      <c r="B515" s="14" t="str">
        <f aca="false">'לקוחות לפי סוכן - מקור'!C469</f>
        <v>102 - Orthopedic institutes</v>
      </c>
      <c r="C515" s="14" t="str">
        <f aca="false">'לקוחות לפי סוכן - מקור'!E469</f>
        <v>C02293 מבס איתי אורטופדיה קלינית</v>
      </c>
      <c r="D515" s="22" t="n">
        <f aca="false">'לקוחות לפי סוכן - מקור'!F469</f>
        <v>254.25</v>
      </c>
      <c r="E515" s="22" t="n">
        <f aca="false">'לקוחות לפי סוכן - מקור'!G469</f>
        <v>0</v>
      </c>
      <c r="F515" s="14" t="str">
        <f aca="false">'לקוחות לפי סוכן - מקור'!D469</f>
        <v>C02293</v>
      </c>
      <c r="G515" s="15" t="n">
        <f aca="false">'לקוחות לפי סוכן - מקור'!H469</f>
        <v>2</v>
      </c>
      <c r="H515" s="15" t="n">
        <f aca="false">'לקוחות לפי סוכן - מקור'!I469</f>
        <v>0</v>
      </c>
      <c r="I515" s="48" t="str">
        <f aca="false">'לקוחות לפי סוכן - מקור'!K469</f>
        <v>NetSuite</v>
      </c>
    </row>
    <row r="516" customFormat="false" ht="15" hidden="false" customHeight="true" outlineLevel="2" collapsed="false">
      <c r="A516" s="14" t="str">
        <f aca="false">'לקוחות לפי סוכן - מקור'!A470</f>
        <v>חיים ויצמן</v>
      </c>
      <c r="B516" s="14" t="str">
        <f aca="false">'לקוחות לפי סוכן - מקור'!C470</f>
        <v>102 - Orthopedic institutes</v>
      </c>
      <c r="C516" s="14" t="str">
        <f aca="false">'לקוחות לפי סוכן - מקור'!E470</f>
        <v>C02294 מיקי אורטופדיה בע"מ</v>
      </c>
      <c r="D516" s="22" t="n">
        <f aca="false">'לקוחות לפי סוכן - מקור'!F470</f>
        <v>1300.01</v>
      </c>
      <c r="E516" s="22" t="n">
        <f aca="false">'לקוחות לפי סוכן - מקור'!G470</f>
        <v>0</v>
      </c>
      <c r="F516" s="14" t="str">
        <f aca="false">'לקוחות לפי סוכן - מקור'!D470</f>
        <v>C02294</v>
      </c>
      <c r="G516" s="15" t="n">
        <f aca="false">'לקוחות לפי סוכן - מקור'!H470</f>
        <v>5</v>
      </c>
      <c r="H516" s="15" t="n">
        <f aca="false">'לקוחות לפי סוכן - מקור'!I470</f>
        <v>0</v>
      </c>
      <c r="I516" s="48" t="str">
        <f aca="false">'לקוחות לפי סוכן - מקור'!K470</f>
        <v>NetSuite</v>
      </c>
    </row>
    <row r="517" customFormat="false" ht="15" hidden="false" customHeight="true" outlineLevel="2" collapsed="false">
      <c r="A517" s="14" t="str">
        <f aca="false">'לקוחות לפי סוכן - מקור'!A471</f>
        <v>חיים ויצמן</v>
      </c>
      <c r="B517" s="14" t="str">
        <f aca="false">'לקוחות לפי סוכן - מקור'!C471</f>
        <v>102 - Orthopedic institutes</v>
      </c>
      <c r="C517" s="14" t="str">
        <f aca="false">'לקוחות לפי סוכן - מקור'!E471</f>
        <v>C02317 אלוש יעקב - תפנית</v>
      </c>
      <c r="D517" s="22" t="n">
        <f aca="false">'לקוחות לפי סוכן - מקור'!F471</f>
        <v>0</v>
      </c>
      <c r="E517" s="22" t="n">
        <f aca="false">'לקוחות לפי סוכן - מקור'!G471</f>
        <v>2600</v>
      </c>
      <c r="F517" s="14" t="str">
        <f aca="false">'לקוחות לפי סוכן - מקור'!D471</f>
        <v>C02317</v>
      </c>
      <c r="G517" s="15" t="n">
        <f aca="false">'לקוחות לפי סוכן - מקור'!H471</f>
        <v>0</v>
      </c>
      <c r="H517" s="15" t="n">
        <f aca="false">'לקוחות לפי סוכן - מקור'!I471</f>
        <v>10</v>
      </c>
      <c r="I517" s="48" t="str">
        <f aca="false">'לקוחות לפי סוכן - מקור'!K471</f>
        <v>NetSuite</v>
      </c>
    </row>
    <row r="518" customFormat="false" ht="15" hidden="false" customHeight="true" outlineLevel="1" collapsed="false">
      <c r="A518" s="49" t="s">
        <v>3457</v>
      </c>
      <c r="B518" s="50" t="s">
        <v>1690</v>
      </c>
      <c r="C518" s="51"/>
      <c r="D518" s="52" t="n">
        <f aca="false">SUMIFS('לקוחות לפי סוכן - מקור'!$F$2:$F$867,'לקוחות לפי סוכן - מקור'!$A$2:$A$867,$A518,'לקוחות לפי סוכן - מקור'!$C$2:$C$867,$B518)</f>
        <v>1764.57</v>
      </c>
      <c r="E518" s="52" t="n">
        <f aca="false">SUMIFS('לקוחות לפי סוכן - מקור'!$G$2:$G$867,'לקוחות לפי סוכן - מקור'!$A$2:$A$867,$A518,'לקוחות לפי סוכן - מקור'!$C$2:$C$867,$B518)</f>
        <v>5380.71</v>
      </c>
      <c r="F518" s="51"/>
      <c r="G518" s="53" t="n">
        <f aca="false">SUMIFS('לקוחות לפי סוכן - מקור'!$H$2:$H$867,'לקוחות לפי סוכן - מקור'!$A$2:$A$867,$A518,'לקוחות לפי סוכן - מקור'!$C$2:$C$867,$B518)</f>
        <v>59</v>
      </c>
      <c r="H518" s="53" t="n">
        <f aca="false">SUMIFS('לקוחות לפי סוכן - מקור'!$I$2:$I$867,'לקוחות לפי סוכן - מקור'!$A$2:$A$867,$A518,'לקוחות לפי סוכן - מקור'!$C$2:$C$867,$B518)</f>
        <v>102</v>
      </c>
      <c r="I518" s="51"/>
      <c r="J518" s="53" t="n">
        <f aca="false">COUNTIFS('לקוחות לפי סוכן - מקור'!$A$2:$A$867,$A518,'לקוחות לפי סוכן - מקור'!$C$2:$C$867,$B518)</f>
        <v>3</v>
      </c>
    </row>
    <row r="519" customFormat="false" ht="15" hidden="false" customHeight="true" outlineLevel="2" collapsed="false">
      <c r="A519" s="14" t="str">
        <f aca="false">'לקוחות לפי סוכן - מקור'!A472</f>
        <v>חיים ויצמן</v>
      </c>
      <c r="B519" s="14" t="str">
        <f aca="false">'לקוחות לפי סוכן - מקור'!C472</f>
        <v>103 - Physiotherapy institutes</v>
      </c>
      <c r="C519" s="14" t="str">
        <f aca="false">'לקוחות לפי סוכן - מקור'!E472</f>
        <v>150371 ספורטרפיה</v>
      </c>
      <c r="D519" s="22" t="n">
        <f aca="false">'לקוחות לפי סוכן - מקור'!F472</f>
        <v>1620</v>
      </c>
      <c r="E519" s="22" t="n">
        <f aca="false">'לקוחות לפי סוכן - מקור'!G472</f>
        <v>1350</v>
      </c>
      <c r="F519" s="14" t="str">
        <f aca="false">'לקוחות לפי סוכן - מקור'!D472</f>
        <v>150371</v>
      </c>
      <c r="G519" s="15" t="n">
        <f aca="false">'לקוחות לפי סוכן - מקור'!H472</f>
        <v>54</v>
      </c>
      <c r="H519" s="15" t="n">
        <f aca="false">'לקוחות לפי סוכן - מקור'!I472</f>
        <v>45</v>
      </c>
      <c r="I519" s="48" t="str">
        <f aca="false">'לקוחות לפי סוכן - מקור'!K472</f>
        <v>NetSuite</v>
      </c>
    </row>
    <row r="520" customFormat="false" ht="15" hidden="false" customHeight="true" outlineLevel="2" collapsed="false">
      <c r="A520" s="14" t="str">
        <f aca="false">'לקוחות לפי סוכן - מקור'!A473</f>
        <v>חיים ויצמן</v>
      </c>
      <c r="B520" s="14" t="str">
        <f aca="false">'לקוחות לפי סוכן - מקור'!C473</f>
        <v>103 - Physiotherapy institutes</v>
      </c>
      <c r="C520" s="14" t="str">
        <f aca="false">'לקוחות לפי סוכן - מקור'!E473</f>
        <v>150392 פיזיו קליניק בע"מ</v>
      </c>
      <c r="D520" s="22" t="n">
        <f aca="false">'לקוחות לפי סוכן - מקור'!F473</f>
        <v>144.57</v>
      </c>
      <c r="E520" s="22" t="n">
        <f aca="false">'לקוחות לפי סוכן - מקור'!G473</f>
        <v>428.65</v>
      </c>
      <c r="F520" s="14" t="str">
        <f aca="false">'לקוחות לפי סוכן - מקור'!D473</f>
        <v>150392</v>
      </c>
      <c r="G520" s="15" t="n">
        <f aca="false">'לקוחות לפי סוכן - מקור'!H473</f>
        <v>5</v>
      </c>
      <c r="H520" s="15" t="n">
        <f aca="false">'לקוחות לפי סוכן - מקור'!I473</f>
        <v>6</v>
      </c>
      <c r="I520" s="48" t="str">
        <f aca="false">'לקוחות לפי סוכן - מקור'!K473</f>
        <v>NetSuite</v>
      </c>
    </row>
    <row r="521" customFormat="false" ht="15" hidden="false" customHeight="true" outlineLevel="2" collapsed="false">
      <c r="A521" s="14" t="str">
        <f aca="false">'לקוחות לפי סוכן - מקור'!A474</f>
        <v>חיים ויצמן</v>
      </c>
      <c r="B521" s="14" t="str">
        <f aca="false">'לקוחות לפי סוכן - מקור'!C474</f>
        <v>103 - Physiotherapy institutes</v>
      </c>
      <c r="C521" s="14" t="str">
        <f aca="false">'לקוחות לפי סוכן - מקור'!E474</f>
        <v>C02312 עאסי האדי</v>
      </c>
      <c r="D521" s="22" t="n">
        <f aca="false">'לקוחות לפי סוכן - מקור'!F474</f>
        <v>0</v>
      </c>
      <c r="E521" s="22" t="n">
        <f aca="false">'לקוחות לפי סוכן - מקור'!G474</f>
        <v>3602.06</v>
      </c>
      <c r="F521" s="14" t="str">
        <f aca="false">'לקוחות לפי סוכן - מקור'!D474</f>
        <v>C02312</v>
      </c>
      <c r="G521" s="15" t="n">
        <f aca="false">'לקוחות לפי סוכן - מקור'!H474</f>
        <v>0</v>
      </c>
      <c r="H521" s="15" t="n">
        <f aca="false">'לקוחות לפי סוכן - מקור'!I474</f>
        <v>51</v>
      </c>
      <c r="I521" s="48" t="str">
        <f aca="false">'לקוחות לפי סוכן - מקור'!K474</f>
        <v>NetSuite</v>
      </c>
    </row>
    <row r="522" customFormat="false" ht="15" hidden="false" customHeight="true" outlineLevel="1" collapsed="false">
      <c r="A522" s="49" t="s">
        <v>3457</v>
      </c>
      <c r="B522" s="50" t="s">
        <v>2037</v>
      </c>
      <c r="C522" s="51"/>
      <c r="D522" s="52" t="n">
        <f aca="false">SUMIFS('לקוחות לפי סוכן - מקור'!$F$2:$F$867,'לקוחות לפי סוכן - מקור'!$A$2:$A$867,$A522,'לקוחות לפי סוכן - מקור'!$C$2:$C$867,$B522)</f>
        <v>1633.63</v>
      </c>
      <c r="E522" s="52" t="n">
        <f aca="false">SUMIFS('לקוחות לפי סוכן - מקור'!$G$2:$G$867,'לקוחות לפי סוכן - מקור'!$A$2:$A$867,$A522,'לקוחות לפי סוכן - מקור'!$C$2:$C$867,$B522)</f>
        <v>2098.57</v>
      </c>
      <c r="F522" s="51"/>
      <c r="G522" s="53" t="n">
        <f aca="false">SUMIFS('לקוחות לפי סוכן - מקור'!$H$2:$H$867,'לקוחות לפי סוכן - מקור'!$A$2:$A$867,$A522,'לקוחות לפי סוכן - מקור'!$C$2:$C$867,$B522)</f>
        <v>70</v>
      </c>
      <c r="H522" s="53" t="n">
        <f aca="false">SUMIFS('לקוחות לפי סוכן - מקור'!$I$2:$I$867,'לקוחות לפי סוכן - מקור'!$A$2:$A$867,$A522,'לקוחות לפי סוכן - מקור'!$C$2:$C$867,$B522)</f>
        <v>71</v>
      </c>
      <c r="I522" s="51"/>
      <c r="J522" s="53" t="n">
        <f aca="false">COUNTIFS('לקוחות לפי סוכן - מקור'!$A$2:$A$867,$A522,'לקוחות לפי סוכן - מקור'!$C$2:$C$867,$B522)</f>
        <v>1</v>
      </c>
    </row>
    <row r="523" customFormat="false" ht="15" hidden="false" customHeight="true" outlineLevel="2" collapsed="false">
      <c r="A523" s="14" t="str">
        <f aca="false">'לקוחות לפי סוכן - מקור'!A475</f>
        <v>חיים ויצמן</v>
      </c>
      <c r="B523" s="14" t="str">
        <f aca="false">'לקוחות לפי סוכן - מקור'!C475</f>
        <v>105 - Pedicure Salons</v>
      </c>
      <c r="C523" s="14" t="str">
        <f aca="false">'לקוחות לפי סוכן - מקור'!E475</f>
        <v>150289 רות אסתטיק</v>
      </c>
      <c r="D523" s="22" t="n">
        <f aca="false">'לקוחות לפי סוכן - מקור'!F475</f>
        <v>1633.63</v>
      </c>
      <c r="E523" s="22" t="n">
        <f aca="false">'לקוחות לפי סוכן - מקור'!G475</f>
        <v>2098.57</v>
      </c>
      <c r="F523" s="14" t="str">
        <f aca="false">'לקוחות לפי סוכן - מקור'!D475</f>
        <v>150289</v>
      </c>
      <c r="G523" s="15" t="n">
        <f aca="false">'לקוחות לפי סוכן - מקור'!H475</f>
        <v>70</v>
      </c>
      <c r="H523" s="15" t="n">
        <f aca="false">'לקוחות לפי סוכן - מקור'!I475</f>
        <v>71</v>
      </c>
      <c r="I523" s="48" t="str">
        <f aca="false">'לקוחות לפי סוכן - מקור'!K475</f>
        <v>NetSuite</v>
      </c>
    </row>
    <row r="524" customFormat="false" ht="15" hidden="false" customHeight="true" outlineLevel="1" collapsed="false">
      <c r="A524" s="49" t="s">
        <v>3457</v>
      </c>
      <c r="B524" s="50" t="s">
        <v>2052</v>
      </c>
      <c r="C524" s="51"/>
      <c r="D524" s="52" t="n">
        <f aca="false">SUMIFS('לקוחות לפי סוכן - מקור'!$F$2:$F$867,'לקוחות לפי סוכן - מקור'!$A$2:$A$867,$A524,'לקוחות לפי סוכן - מקור'!$C$2:$C$867,$B524)</f>
        <v>53141.9</v>
      </c>
      <c r="E524" s="52" t="n">
        <f aca="false">SUMIFS('לקוחות לפי סוכן - מקור'!$G$2:$G$867,'לקוחות לפי סוכן - מקור'!$A$2:$A$867,$A524,'לקוחות לפי סוכן - מקור'!$C$2:$C$867,$B524)</f>
        <v>45653.58</v>
      </c>
      <c r="F524" s="51"/>
      <c r="G524" s="53" t="n">
        <f aca="false">SUMIFS('לקוחות לפי סוכן - מקור'!$H$2:$H$867,'לקוחות לפי סוכן - מקור'!$A$2:$A$867,$A524,'לקוחות לפי סוכן - מקור'!$C$2:$C$867,$B524)</f>
        <v>780</v>
      </c>
      <c r="H524" s="53" t="n">
        <f aca="false">SUMIFS('לקוחות לפי סוכן - מקור'!$I$2:$I$867,'לקוחות לפי סוכן - מקור'!$A$2:$A$867,$A524,'לקוחות לפי סוכן - מקור'!$C$2:$C$867,$B524)</f>
        <v>656</v>
      </c>
      <c r="I524" s="51"/>
      <c r="J524" s="53" t="n">
        <f aca="false">COUNTIFS('לקוחות לפי סוכן - מקור'!$A$2:$A$867,$A524,'לקוחות לפי סוכן - מקור'!$C$2:$C$867,$B524)</f>
        <v>3</v>
      </c>
    </row>
    <row r="525" customFormat="false" ht="15" hidden="false" customHeight="true" outlineLevel="2" collapsed="false">
      <c r="A525" s="14" t="str">
        <f aca="false">'לקוחות לפי סוכן - מקור'!A476</f>
        <v>חיים ויצמן</v>
      </c>
      <c r="B525" s="14" t="str">
        <f aca="false">'לקוחות לפי סוכן - מקור'!C476</f>
        <v>107 - Pharmacies</v>
      </c>
      <c r="C525" s="14" t="str">
        <f aca="false">'לקוחות לפי סוכן - מקור'!E476</f>
        <v>156140 רימונים פארם בע"מ</v>
      </c>
      <c r="D525" s="22" t="n">
        <f aca="false">'לקוחות לפי סוכן - מקור'!F476</f>
        <v>5565.49</v>
      </c>
      <c r="E525" s="22" t="n">
        <f aca="false">'לקוחות לפי סוכן - מקור'!G476</f>
        <v>0</v>
      </c>
      <c r="F525" s="14" t="str">
        <f aca="false">'לקוחות לפי סוכן - מקור'!D476</f>
        <v>156140</v>
      </c>
      <c r="G525" s="15" t="n">
        <f aca="false">'לקוחות לפי סוכן - מקור'!H476</f>
        <v>145</v>
      </c>
      <c r="H525" s="15" t="n">
        <f aca="false">'לקוחות לפי סוכן - מקור'!I476</f>
        <v>0</v>
      </c>
      <c r="I525" s="48" t="str">
        <f aca="false">'לקוחות לפי סוכן - מקור'!K476</f>
        <v>NetSuite</v>
      </c>
    </row>
    <row r="526" customFormat="false" ht="15" hidden="false" customHeight="true" outlineLevel="2" collapsed="false">
      <c r="A526" s="14" t="str">
        <f aca="false">'לקוחות לפי סוכן - מקור'!A477</f>
        <v>חיים ויצמן</v>
      </c>
      <c r="B526" s="14" t="str">
        <f aca="false">'לקוחות לפי סוכן - מקור'!C477</f>
        <v>107 - Pharmacies</v>
      </c>
      <c r="C526" s="14" t="str">
        <f aca="false">'לקוחות לפי סוכן - מקור'!E477</f>
        <v>156903 טל שחר ב.מ</v>
      </c>
      <c r="D526" s="22" t="n">
        <f aca="false">'לקוחות לפי סוכן - מקור'!F477</f>
        <v>38179.56</v>
      </c>
      <c r="E526" s="22" t="n">
        <f aca="false">'לקוחות לפי סוכן - מקור'!G477</f>
        <v>30643.82</v>
      </c>
      <c r="F526" s="14" t="str">
        <f aca="false">'לקוחות לפי סוכן - מקור'!D477</f>
        <v>156903</v>
      </c>
      <c r="G526" s="15" t="n">
        <f aca="false">'לקוחות לפי סוכן - מקור'!H477</f>
        <v>547</v>
      </c>
      <c r="H526" s="15" t="n">
        <f aca="false">'לקוחות לפי סוכן - מקור'!I477</f>
        <v>491</v>
      </c>
      <c r="I526" s="48" t="str">
        <f aca="false">'לקוחות לפי סוכן - מקור'!K477</f>
        <v>NetSuite</v>
      </c>
    </row>
    <row r="527" customFormat="false" ht="15" hidden="false" customHeight="true" outlineLevel="2" collapsed="false">
      <c r="A527" s="14" t="str">
        <f aca="false">'לקוחות לפי סוכן - מקור'!A478</f>
        <v>חיים ויצמן</v>
      </c>
      <c r="B527" s="14" t="str">
        <f aca="false">'לקוחות לפי סוכן - מקור'!C478</f>
        <v>107 - Pharmacies</v>
      </c>
      <c r="C527" s="14" t="str">
        <f aca="false">'לקוחות לפי סוכן - מקור'!E478</f>
        <v>156908 טלפארמה בע"מ</v>
      </c>
      <c r="D527" s="22" t="n">
        <f aca="false">'לקוחות לפי סוכן - מקור'!F478</f>
        <v>9396.85</v>
      </c>
      <c r="E527" s="22" t="n">
        <f aca="false">'לקוחות לפי סוכן - מקור'!G478</f>
        <v>15009.76</v>
      </c>
      <c r="F527" s="14" t="str">
        <f aca="false">'לקוחות לפי סוכן - מקור'!D478</f>
        <v>156908</v>
      </c>
      <c r="G527" s="15" t="n">
        <f aca="false">'לקוחות לפי סוכן - מקור'!H478</f>
        <v>88</v>
      </c>
      <c r="H527" s="15" t="n">
        <f aca="false">'לקוחות לפי סוכן - מקור'!I478</f>
        <v>165</v>
      </c>
      <c r="I527" s="48" t="str">
        <f aca="false">'לקוחות לפי סוכן - מקור'!K478</f>
        <v>NetSuite</v>
      </c>
    </row>
    <row r="528" customFormat="false" ht="15" hidden="false" customHeight="true" outlineLevel="1" collapsed="false">
      <c r="A528" s="49" t="s">
        <v>3457</v>
      </c>
      <c r="B528" s="50" t="s">
        <v>1873</v>
      </c>
      <c r="C528" s="51"/>
      <c r="D528" s="52" t="n">
        <f aca="false">SUMIFS('לקוחות לפי סוכן - מקור'!$F$2:$F$867,'לקוחות לפי סוכן - מקור'!$A$2:$A$867,$A528,'לקוחות לפי סוכן - מקור'!$C$2:$C$867,$B528)</f>
        <v>20375.43</v>
      </c>
      <c r="E528" s="52" t="n">
        <f aca="false">SUMIFS('לקוחות לפי סוכן - מקור'!$G$2:$G$867,'לקוחות לפי סוכן - מקור'!$A$2:$A$867,$A528,'לקוחות לפי סוכן - מקור'!$C$2:$C$867,$B528)</f>
        <v>19878.18</v>
      </c>
      <c r="F528" s="51"/>
      <c r="G528" s="53" t="n">
        <f aca="false">SUMIFS('לקוחות לפי סוכן - מקור'!$H$2:$H$867,'לקוחות לפי סוכן - מקור'!$A$2:$A$867,$A528,'לקוחות לפי סוכן - מקור'!$C$2:$C$867,$B528)</f>
        <v>537</v>
      </c>
      <c r="H528" s="53" t="n">
        <f aca="false">SUMIFS('לקוחות לפי סוכן - מקור'!$I$2:$I$867,'לקוחות לפי סוכן - מקור'!$A$2:$A$867,$A528,'לקוחות לפי סוכן - מקור'!$C$2:$C$867,$B528)</f>
        <v>265</v>
      </c>
      <c r="I528" s="51"/>
      <c r="J528" s="53" t="n">
        <f aca="false">COUNTIFS('לקוחות לפי סוכן - מקור'!$A$2:$A$867,$A528,'לקוחות לפי סוכן - מקור'!$C$2:$C$867,$B528)</f>
        <v>5</v>
      </c>
    </row>
    <row r="529" customFormat="false" ht="15" hidden="false" customHeight="true" outlineLevel="2" collapsed="false">
      <c r="A529" s="14" t="str">
        <f aca="false">'לקוחות לפי סוכן - מקור'!A479</f>
        <v>חיים ויצמן</v>
      </c>
      <c r="B529" s="14" t="str">
        <f aca="false">'לקוחות לפי סוכן - מקור'!C479</f>
        <v>109 - Private Shops</v>
      </c>
      <c r="C529" s="14" t="str">
        <f aca="false">'לקוחות לפי סוכן - מקור'!E479</f>
        <v>150151 סלון בלומה-בני ברק</v>
      </c>
      <c r="D529" s="22" t="n">
        <f aca="false">'לקוחות לפי סוכן - מקור'!F479</f>
        <v>4655.97</v>
      </c>
      <c r="E529" s="22" t="n">
        <f aca="false">'לקוחות לפי סוכן - מקור'!G479</f>
        <v>3751.96</v>
      </c>
      <c r="F529" s="14" t="str">
        <f aca="false">'לקוחות לפי סוכן - מקור'!D479</f>
        <v>150151</v>
      </c>
      <c r="G529" s="15" t="n">
        <f aca="false">'לקוחות לפי סוכן - מקור'!H479</f>
        <v>20</v>
      </c>
      <c r="H529" s="15" t="n">
        <f aca="false">'לקוחות לפי סוכן - מקור'!I479</f>
        <v>14</v>
      </c>
      <c r="I529" s="48" t="str">
        <f aca="false">'לקוחות לפי סוכן - מקור'!K479</f>
        <v>NetSuite</v>
      </c>
    </row>
    <row r="530" customFormat="false" ht="15" hidden="false" customHeight="true" outlineLevel="2" collapsed="false">
      <c r="A530" s="14" t="str">
        <f aca="false">'לקוחות לפי סוכן - מקור'!A480</f>
        <v>חיים ויצמן</v>
      </c>
      <c r="B530" s="14" t="str">
        <f aca="false">'לקוחות לפי סוכן - מקור'!C480</f>
        <v>109 - Private Shops</v>
      </c>
      <c r="C530" s="14" t="str">
        <f aca="false">'לקוחות לפי סוכן - מקור'!E480</f>
        <v>151240 קומפורט זון</v>
      </c>
      <c r="D530" s="22" t="n">
        <f aca="false">'לקוחות לפי סוכן - מקור'!F480</f>
        <v>761.98</v>
      </c>
      <c r="E530" s="22" t="n">
        <f aca="false">'לקוחות לפי סוכן - מקור'!G480</f>
        <v>0</v>
      </c>
      <c r="F530" s="14" t="str">
        <f aca="false">'לקוחות לפי סוכן - מקור'!D480</f>
        <v>151240</v>
      </c>
      <c r="G530" s="15" t="n">
        <f aca="false">'לקוחות לפי סוכן - מקור'!H480</f>
        <v>6</v>
      </c>
      <c r="H530" s="15" t="n">
        <f aca="false">'לקוחות לפי סוכן - מקור'!I480</f>
        <v>0</v>
      </c>
      <c r="I530" s="48" t="str">
        <f aca="false">'לקוחות לפי סוכן - מקור'!K480</f>
        <v>NetSuite</v>
      </c>
    </row>
    <row r="531" customFormat="false" ht="15" hidden="false" customHeight="true" outlineLevel="2" collapsed="false">
      <c r="A531" s="14" t="str">
        <f aca="false">'לקוחות לפי סוכן - מקור'!A481</f>
        <v>חיים ויצמן</v>
      </c>
      <c r="B531" s="14" t="str">
        <f aca="false">'לקוחות לפי סוכן - מקור'!C481</f>
        <v>109 - Private Shops</v>
      </c>
      <c r="C531" s="14" t="str">
        <f aca="false">'לקוחות לפי סוכן - מקור'!E481</f>
        <v>C02231 ש.ל.י. סיירת ציוד בעמ</v>
      </c>
      <c r="D531" s="22" t="n">
        <f aca="false">'לקוחות לפי סוכן - מקור'!F481</f>
        <v>11691.24</v>
      </c>
      <c r="E531" s="22" t="n">
        <f aca="false">'לקוחות לפי סוכן - מקור'!G481</f>
        <v>10102.07</v>
      </c>
      <c r="F531" s="14" t="str">
        <f aca="false">'לקוחות לפי סוכן - מקור'!D481</f>
        <v>C02231</v>
      </c>
      <c r="G531" s="15" t="n">
        <f aca="false">'לקוחות לפי סוכן - מקור'!H481</f>
        <v>408</v>
      </c>
      <c r="H531" s="15" t="n">
        <f aca="false">'לקוחות לפי סוכן - מקור'!I481</f>
        <v>165</v>
      </c>
      <c r="I531" s="48" t="str">
        <f aca="false">'לקוחות לפי סוכן - מקור'!K481</f>
        <v>NetSuite</v>
      </c>
    </row>
    <row r="532" customFormat="false" ht="15" hidden="false" customHeight="true" outlineLevel="2" collapsed="false">
      <c r="A532" s="14" t="str">
        <f aca="false">'לקוחות לפי סוכן - מקור'!A482</f>
        <v>חיים ויצמן</v>
      </c>
      <c r="B532" s="14" t="str">
        <f aca="false">'לקוחות לפי סוכן - מקור'!C482</f>
        <v>109 - Private Shops</v>
      </c>
      <c r="C532" s="14" t="str">
        <f aca="false">'לקוחות לפי סוכן - מקור'!E482</f>
        <v>C02231 ש.ל.י. סיירת ציוד בעמ : C02231SC2 ש.ל.י סיירת ציוד ראשון לציון</v>
      </c>
      <c r="D532" s="22" t="n">
        <f aca="false">'לקוחות לפי סוכן - מקור'!F482</f>
        <v>1979.24</v>
      </c>
      <c r="E532" s="22" t="n">
        <f aca="false">'לקוחות לפי סוכן - מקור'!G482</f>
        <v>0</v>
      </c>
      <c r="F532" s="14" t="str">
        <f aca="false">'לקוחות לפי סוכן - מקור'!D482</f>
        <v>C02231SC2</v>
      </c>
      <c r="G532" s="15" t="n">
        <f aca="false">'לקוחות לפי סוכן - מקור'!H482</f>
        <v>77</v>
      </c>
      <c r="H532" s="15" t="n">
        <f aca="false">'לקוחות לפי סוכן - מקור'!I482</f>
        <v>0</v>
      </c>
      <c r="I532" s="48" t="str">
        <f aca="false">'לקוחות לפי סוכן - מקור'!K482</f>
        <v>NetSuite</v>
      </c>
    </row>
    <row r="533" customFormat="false" ht="15" hidden="false" customHeight="true" outlineLevel="2" collapsed="false">
      <c r="A533" s="14" t="str">
        <f aca="false">'לקוחות לפי סוכן - מקור'!A483</f>
        <v>חיים ויצמן</v>
      </c>
      <c r="B533" s="14" t="str">
        <f aca="false">'לקוחות לפי סוכן - מקור'!C483</f>
        <v>109 - Private Shops</v>
      </c>
      <c r="C533" s="14" t="str">
        <f aca="false">'לקוחות לפי סוכן - מקור'!E483</f>
        <v>C02270 טעם טבע של גיל</v>
      </c>
      <c r="D533" s="22" t="n">
        <f aca="false">'לקוחות לפי סוכן - מקור'!F483</f>
        <v>1287</v>
      </c>
      <c r="E533" s="22" t="n">
        <f aca="false">'לקוחות לפי סוכן - מקור'!G483</f>
        <v>6024.15</v>
      </c>
      <c r="F533" s="14" t="str">
        <f aca="false">'לקוחות לפי סוכן - מקור'!D483</f>
        <v>C02270</v>
      </c>
      <c r="G533" s="15" t="n">
        <f aca="false">'לקוחות לפי סוכן - מקור'!H483</f>
        <v>26</v>
      </c>
      <c r="H533" s="15" t="n">
        <f aca="false">'לקוחות לפי סוכן - מקור'!I483</f>
        <v>86</v>
      </c>
      <c r="I533" s="48" t="str">
        <f aca="false">'לקוחות לפי סוכן - מקור'!K483</f>
        <v>NetSuite</v>
      </c>
    </row>
    <row r="534" customFormat="false" ht="15" hidden="false" customHeight="true" outlineLevel="1" collapsed="false">
      <c r="A534" s="49" t="s">
        <v>3457</v>
      </c>
      <c r="B534" s="50" t="s">
        <v>7</v>
      </c>
      <c r="C534" s="51"/>
      <c r="D534" s="52" t="n">
        <f aca="false">SUMIFS('לקוחות לפי סוכן - מקור'!$F$2:$F$867,'לקוחות לפי סוכן - מקור'!$A$2:$A$867,$A534,'לקוחות לפי סוכן - מקור'!$C$2:$C$867,$B534)</f>
        <v>0</v>
      </c>
      <c r="E534" s="52" t="n">
        <f aca="false">SUMIFS('לקוחות לפי סוכן - מקור'!$G$2:$G$867,'לקוחות לפי סוכן - מקור'!$A$2:$A$867,$A534,'לקוחות לפי סוכן - מקור'!$C$2:$C$867,$B534)</f>
        <v>77423.2</v>
      </c>
      <c r="F534" s="51"/>
      <c r="G534" s="53" t="n">
        <f aca="false">SUMIFS('לקוחות לפי סוכן - מקור'!$H$2:$H$867,'לקוחות לפי סוכן - מקור'!$A$2:$A$867,$A534,'לקוחות לפי סוכן - מקור'!$C$2:$C$867,$B534)</f>
        <v>0</v>
      </c>
      <c r="H534" s="53" t="n">
        <f aca="false">SUMIFS('לקוחות לפי סוכן - מקור'!$I$2:$I$867,'לקוחות לפי סוכן - מקור'!$A$2:$A$867,$A534,'לקוחות לפי סוכן - מקור'!$C$2:$C$867,$B534)</f>
        <v>0</v>
      </c>
      <c r="I534" s="51"/>
      <c r="J534" s="53" t="n">
        <f aca="false">COUNTIFS('לקוחות לפי סוכן - מקור'!$A$2:$A$867,$A534,'לקוחות לפי סוכן - מקור'!$C$2:$C$867,$B534)</f>
        <v>1</v>
      </c>
    </row>
    <row r="535" customFormat="false" ht="15" hidden="false" customHeight="true" outlineLevel="2" collapsed="false">
      <c r="A535" s="14" t="str">
        <f aca="false">'לקוחות לפי סוכן - מקור'!A484</f>
        <v>חיים ויצמן</v>
      </c>
      <c r="B535" s="14" t="str">
        <f aca="false">'לקוחות לפי סוכן - מקור'!C484</f>
        <v>0בתי מרקחת</v>
      </c>
      <c r="C535" s="14" t="str">
        <f aca="false">'לקוחות לפי סוכן - מקור'!E484</f>
        <v>בתי מרקחת פרטי</v>
      </c>
      <c r="D535" s="22" t="n">
        <f aca="false">'לקוחות לפי סוכן - מקור'!F484</f>
        <v>0</v>
      </c>
      <c r="E535" s="22" t="n">
        <f aca="false">'לקוחות לפי סוכן - מקור'!G484</f>
        <v>77423.2</v>
      </c>
      <c r="F535" s="14" t="n">
        <f aca="false">'לקוחות לפי סוכן - מקור'!D484</f>
        <v>0</v>
      </c>
      <c r="G535" s="15" t="n">
        <f aca="false">'לקוחות לפי סוכן - מקור'!H484</f>
        <v>0</v>
      </c>
      <c r="H535" s="15" t="n">
        <f aca="false">'לקוחות לפי סוכן - מקור'!I484</f>
        <v>0</v>
      </c>
      <c r="I535" s="48" t="str">
        <f aca="false">'לקוחות לפי סוכן - מקור'!K484</f>
        <v>CHMI</v>
      </c>
    </row>
    <row r="536" customFormat="false" ht="15" hidden="false" customHeight="true" outlineLevel="1" collapsed="false">
      <c r="A536" s="49" t="s">
        <v>3457</v>
      </c>
      <c r="B536" s="50" t="s">
        <v>11</v>
      </c>
      <c r="C536" s="51"/>
      <c r="D536" s="52" t="n">
        <f aca="false">SUMIFS('לקוחות לפי סוכן - מקור'!$F$2:$F$867,'לקוחות לפי סוכן - מקור'!$A$2:$A$867,$A536,'לקוחות לפי סוכן - מקור'!$C$2:$C$867,$B536)</f>
        <v>0</v>
      </c>
      <c r="E536" s="52" t="n">
        <f aca="false">SUMIFS('לקוחות לפי סוכן - מקור'!$G$2:$G$867,'לקוחות לפי סוכן - מקור'!$A$2:$A$867,$A536,'לקוחות לפי סוכן - מקור'!$C$2:$C$867,$B536)</f>
        <v>3760</v>
      </c>
      <c r="F536" s="51"/>
      <c r="G536" s="53" t="n">
        <f aca="false">SUMIFS('לקוחות לפי סוכן - מקור'!$H$2:$H$867,'לקוחות לפי סוכן - מקור'!$A$2:$A$867,$A536,'לקוחות לפי סוכן - מקור'!$C$2:$C$867,$B536)</f>
        <v>0</v>
      </c>
      <c r="H536" s="53" t="n">
        <f aca="false">SUMIFS('לקוחות לפי סוכן - מקור'!$I$2:$I$867,'לקוחות לפי סוכן - מקור'!$A$2:$A$867,$A536,'לקוחות לפי סוכן - מקור'!$C$2:$C$867,$B536)</f>
        <v>0</v>
      </c>
      <c r="I536" s="51"/>
      <c r="J536" s="53" t="n">
        <f aca="false">COUNTIFS('לקוחות לפי סוכן - מקור'!$A$2:$A$867,$A536,'לקוחות לפי סוכן - מקור'!$C$2:$C$867,$B536)</f>
        <v>1</v>
      </c>
    </row>
    <row r="537" customFormat="false" ht="15" hidden="false" customHeight="true" outlineLevel="2" collapsed="false">
      <c r="A537" s="14" t="str">
        <f aca="false">'לקוחות לפי סוכן - מקור'!A485</f>
        <v>חיים ויצמן</v>
      </c>
      <c r="B537" s="14" t="str">
        <f aca="false">'לקוחות לפי סוכן - מקור'!C485</f>
        <v>שור טבצניק</v>
      </c>
      <c r="C537" s="14" t="str">
        <f aca="false">'לקוחות לפי סוכן - מקור'!E485</f>
        <v>שור טבצ'ניק ת""א ב.מ</v>
      </c>
      <c r="D537" s="22" t="n">
        <f aca="false">'לקוחות לפי סוכן - מקור'!F485</f>
        <v>0</v>
      </c>
      <c r="E537" s="22" t="n">
        <f aca="false">'לקוחות לפי סוכן - מקור'!G485</f>
        <v>3760</v>
      </c>
      <c r="F537" s="14" t="n">
        <f aca="false">'לקוחות לפי סוכן - מקור'!D485</f>
        <v>0</v>
      </c>
      <c r="G537" s="15" t="n">
        <f aca="false">'לקוחות לפי סוכן - מקור'!H485</f>
        <v>0</v>
      </c>
      <c r="H537" s="15" t="n">
        <f aca="false">'לקוחות לפי סוכן - מקור'!I485</f>
        <v>0</v>
      </c>
      <c r="I537" s="48" t="str">
        <f aca="false">'לקוחות לפי סוכן - מקור'!K485</f>
        <v>CHMI</v>
      </c>
    </row>
    <row r="538" customFormat="false" ht="15" hidden="false" customHeight="true" outlineLevel="1" collapsed="false">
      <c r="A538" s="49" t="s">
        <v>3457</v>
      </c>
      <c r="B538" s="50" t="s">
        <v>12</v>
      </c>
      <c r="C538" s="51"/>
      <c r="D538" s="52" t="n">
        <f aca="false">SUMIFS('לקוחות לפי סוכן - מקור'!$F$2:$F$867,'לקוחות לפי סוכן - מקור'!$A$2:$A$867,$A538,'לקוחות לפי סוכן - מקור'!$C$2:$C$867,$B538)</f>
        <v>0</v>
      </c>
      <c r="E538" s="52" t="n">
        <f aca="false">SUMIFS('לקוחות לפי סוכן - מקור'!$G$2:$G$867,'לקוחות לפי סוכן - מקור'!$A$2:$A$867,$A538,'לקוחות לפי סוכן - מקור'!$C$2:$C$867,$B538)</f>
        <v>43787.7</v>
      </c>
      <c r="F538" s="51"/>
      <c r="G538" s="53" t="n">
        <f aca="false">SUMIFS('לקוחות לפי סוכן - מקור'!$H$2:$H$867,'לקוחות לפי סוכן - מקור'!$A$2:$A$867,$A538,'לקוחות לפי סוכן - מקור'!$C$2:$C$867,$B538)</f>
        <v>0</v>
      </c>
      <c r="H538" s="53" t="n">
        <f aca="false">SUMIFS('לקוחות לפי סוכן - מקור'!$I$2:$I$867,'לקוחות לפי סוכן - מקור'!$A$2:$A$867,$A538,'לקוחות לפי סוכן - מקור'!$C$2:$C$867,$B538)</f>
        <v>0</v>
      </c>
      <c r="I538" s="51"/>
      <c r="J538" s="53" t="n">
        <f aca="false">COUNTIFS('לקוחות לפי סוכן - מקור'!$A$2:$A$867,$A538,'לקוחות לפי סוכן - מקור'!$C$2:$C$867,$B538)</f>
        <v>15</v>
      </c>
    </row>
    <row r="539" customFormat="false" ht="15" hidden="false" customHeight="true" outlineLevel="2" collapsed="false">
      <c r="A539" s="14" t="str">
        <f aca="false">'לקוחות לפי סוכן - מקור'!A486</f>
        <v>חיים ויצמן</v>
      </c>
      <c r="B539" s="14" t="str">
        <f aca="false">'לקוחות לפי סוכן - מקור'!C486</f>
        <v>שרם</v>
      </c>
      <c r="C539" s="14" t="str">
        <f aca="false">'לקוחות לפי סוכן - מקור'!E486</f>
        <v>המרקחה ב.מ 03.11 שרמפארם</v>
      </c>
      <c r="D539" s="22" t="n">
        <f aca="false">'לקוחות לפי סוכן - מקור'!F486</f>
        <v>0</v>
      </c>
      <c r="E539" s="22" t="n">
        <f aca="false">'לקוחות לפי סוכן - מקור'!G486</f>
        <v>9776.6</v>
      </c>
      <c r="F539" s="14" t="n">
        <f aca="false">'לקוחות לפי סוכן - מקור'!D486</f>
        <v>0</v>
      </c>
      <c r="G539" s="15" t="n">
        <f aca="false">'לקוחות לפי סוכן - מקור'!H486</f>
        <v>0</v>
      </c>
      <c r="H539" s="15" t="n">
        <f aca="false">'לקוחות לפי סוכן - מקור'!I486</f>
        <v>0</v>
      </c>
      <c r="I539" s="48" t="str">
        <f aca="false">'לקוחות לפי סוכן - מקור'!K486</f>
        <v>CHMI</v>
      </c>
    </row>
    <row r="540" customFormat="false" ht="15" hidden="false" customHeight="true" outlineLevel="2" collapsed="false">
      <c r="A540" s="14" t="str">
        <f aca="false">'לקוחות לפי סוכן - מקור'!A487</f>
        <v>חיים ויצמן</v>
      </c>
      <c r="B540" s="14" t="str">
        <f aca="false">'לקוחות לפי סוכן - מקור'!C487</f>
        <v>שרם</v>
      </c>
      <c r="C540" s="14" t="str">
        <f aca="false">'לקוחות לפי סוכן - מקור'!E487</f>
        <v>טל שחר ת""א ב.מ שרםפארם</v>
      </c>
      <c r="D540" s="22" t="n">
        <f aca="false">'לקוחות לפי סוכן - מקור'!F487</f>
        <v>0</v>
      </c>
      <c r="E540" s="22" t="n">
        <f aca="false">'לקוחות לפי סוכן - מקור'!G487</f>
        <v>2020.2</v>
      </c>
      <c r="F540" s="14" t="n">
        <f aca="false">'לקוחות לפי סוכן - מקור'!D487</f>
        <v>0</v>
      </c>
      <c r="G540" s="15" t="n">
        <f aca="false">'לקוחות לפי סוכן - מקור'!H487</f>
        <v>0</v>
      </c>
      <c r="H540" s="15" t="n">
        <f aca="false">'לקוחות לפי סוכן - מקור'!I487</f>
        <v>0</v>
      </c>
      <c r="I540" s="48" t="str">
        <f aca="false">'לקוחות לפי סוכן - מקור'!K487</f>
        <v>CHMI</v>
      </c>
    </row>
    <row r="541" customFormat="false" ht="15" hidden="false" customHeight="true" outlineLevel="2" collapsed="false">
      <c r="A541" s="14" t="str">
        <f aca="false">'לקוחות לפי סוכן - מקור'!A488</f>
        <v>חיים ויצמן</v>
      </c>
      <c r="B541" s="14" t="str">
        <f aca="false">'לקוחות לפי סוכן - מקור'!C488</f>
        <v>שרם</v>
      </c>
      <c r="C541" s="14" t="str">
        <f aca="false">'לקוחות לפי סוכן - מקור'!E488</f>
        <v>נחמיה ב""ב ב.מ שרםפארם</v>
      </c>
      <c r="D541" s="22" t="n">
        <f aca="false">'לקוחות לפי סוכן - מקור'!F488</f>
        <v>0</v>
      </c>
      <c r="E541" s="22" t="n">
        <f aca="false">'לקוחות לפי סוכן - מקור'!G488</f>
        <v>240.7</v>
      </c>
      <c r="F541" s="14" t="n">
        <f aca="false">'לקוחות לפי סוכן - מקור'!D488</f>
        <v>0</v>
      </c>
      <c r="G541" s="15" t="n">
        <f aca="false">'לקוחות לפי סוכן - מקור'!H488</f>
        <v>0</v>
      </c>
      <c r="H541" s="15" t="n">
        <f aca="false">'לקוחות לפי סוכן - מקור'!I488</f>
        <v>0</v>
      </c>
      <c r="I541" s="48" t="str">
        <f aca="false">'לקוחות לפי סוכן - מקור'!K488</f>
        <v>CHMI</v>
      </c>
    </row>
    <row r="542" customFormat="false" ht="15" hidden="false" customHeight="true" outlineLevel="2" collapsed="false">
      <c r="A542" s="14" t="str">
        <f aca="false">'לקוחות לפי סוכן - מקור'!A489</f>
        <v>חיים ויצמן</v>
      </c>
      <c r="B542" s="14" t="str">
        <f aca="false">'לקוחות לפי סוכן - מקור'!C489</f>
        <v>שרם</v>
      </c>
      <c r="C542" s="14" t="str">
        <f aca="false">'לקוחות לפי סוכן - מקור'!E489</f>
        <v>יהודה הלוי ת""א ב.מ שרםפארם</v>
      </c>
      <c r="D542" s="22" t="n">
        <f aca="false">'לקוחות לפי סוכן - מקור'!F489</f>
        <v>0</v>
      </c>
      <c r="E542" s="22" t="n">
        <f aca="false">'לקוחות לפי סוכן - מקור'!G489</f>
        <v>452.2</v>
      </c>
      <c r="F542" s="14" t="n">
        <f aca="false">'לקוחות לפי סוכן - מקור'!D489</f>
        <v>0</v>
      </c>
      <c r="G542" s="15" t="n">
        <f aca="false">'לקוחות לפי סוכן - מקור'!H489</f>
        <v>0</v>
      </c>
      <c r="H542" s="15" t="n">
        <f aca="false">'לקוחות לפי סוכן - מקור'!I489</f>
        <v>0</v>
      </c>
      <c r="I542" s="48" t="str">
        <f aca="false">'לקוחות לפי סוכן - מקור'!K489</f>
        <v>CHMI</v>
      </c>
    </row>
    <row r="543" customFormat="false" ht="15" hidden="false" customHeight="true" outlineLevel="2" collapsed="false">
      <c r="A543" s="14" t="str">
        <f aca="false">'לקוחות לפי סוכן - מקור'!A490</f>
        <v>חיים ויצמן</v>
      </c>
      <c r="B543" s="14" t="str">
        <f aca="false">'לקוחות לפי סוכן - מקור'!C490</f>
        <v>שרם</v>
      </c>
      <c r="C543" s="14" t="str">
        <f aca="false">'לקוחות לפי סוכן - מקור'!E490</f>
        <v>מרכז צפון ת""א ב.מ שרםפארם</v>
      </c>
      <c r="D543" s="22" t="n">
        <f aca="false">'לקוחות לפי סוכן - מקור'!F490</f>
        <v>0</v>
      </c>
      <c r="E543" s="22" t="n">
        <f aca="false">'לקוחות לפי סוכן - מקור'!G490</f>
        <v>1404</v>
      </c>
      <c r="F543" s="14" t="n">
        <f aca="false">'לקוחות לפי סוכן - מקור'!D490</f>
        <v>0</v>
      </c>
      <c r="G543" s="15" t="n">
        <f aca="false">'לקוחות לפי סוכן - מקור'!H490</f>
        <v>0</v>
      </c>
      <c r="H543" s="15" t="n">
        <f aca="false">'לקוחות לפי סוכן - מקור'!I490</f>
        <v>0</v>
      </c>
      <c r="I543" s="48" t="str">
        <f aca="false">'לקוחות לפי סוכן - מקור'!K490</f>
        <v>CHMI</v>
      </c>
    </row>
    <row r="544" customFormat="false" ht="15" hidden="false" customHeight="true" outlineLevel="2" collapsed="false">
      <c r="A544" s="14" t="str">
        <f aca="false">'לקוחות לפי סוכן - מקור'!A491</f>
        <v>חיים ויצמן</v>
      </c>
      <c r="B544" s="14" t="str">
        <f aca="false">'לקוחות לפי סוכן - מקור'!C491</f>
        <v>שרם</v>
      </c>
      <c r="C544" s="14" t="str">
        <f aca="false">'לקוחות לפי סוכן - מקור'!E491</f>
        <v>בר אילן רעננה ב.מ שרמפארם</v>
      </c>
      <c r="D544" s="22" t="n">
        <f aca="false">'לקוחות לפי סוכן - מקור'!F491</f>
        <v>0</v>
      </c>
      <c r="E544" s="22" t="n">
        <f aca="false">'לקוחות לפי סוכן - מקור'!G491</f>
        <v>1061.8</v>
      </c>
      <c r="F544" s="14" t="n">
        <f aca="false">'לקוחות לפי סוכן - מקור'!D491</f>
        <v>0</v>
      </c>
      <c r="G544" s="15" t="n">
        <f aca="false">'לקוחות לפי סוכן - מקור'!H491</f>
        <v>0</v>
      </c>
      <c r="H544" s="15" t="n">
        <f aca="false">'לקוחות לפי סוכן - מקור'!I491</f>
        <v>0</v>
      </c>
      <c r="I544" s="48" t="str">
        <f aca="false">'לקוחות לפי סוכן - מקור'!K491</f>
        <v>CHMI</v>
      </c>
    </row>
    <row r="545" customFormat="false" ht="15" hidden="false" customHeight="true" outlineLevel="2" collapsed="false">
      <c r="A545" s="14" t="str">
        <f aca="false">'לקוחות לפי סוכן - מקור'!A492</f>
        <v>חיים ויצמן</v>
      </c>
      <c r="B545" s="14" t="str">
        <f aca="false">'לקוחות לפי סוכן - מקור'!C492</f>
        <v>שרם</v>
      </c>
      <c r="C545" s="14" t="str">
        <f aca="false">'לקוחות לפי סוכן - מקור'!E492</f>
        <v>.ברק )י.מ.שרותי רוקחות(ת""א ב.מ</v>
      </c>
      <c r="D545" s="22" t="n">
        <f aca="false">'לקוחות לפי סוכן - מקור'!F492</f>
        <v>0</v>
      </c>
      <c r="E545" s="22" t="n">
        <f aca="false">'לקוחות לפי סוכן - מקור'!G492</f>
        <v>3322.6</v>
      </c>
      <c r="F545" s="14" t="n">
        <f aca="false">'לקוחות לפי סוכן - מקור'!D492</f>
        <v>0</v>
      </c>
      <c r="G545" s="15" t="n">
        <f aca="false">'לקוחות לפי סוכן - מקור'!H492</f>
        <v>0</v>
      </c>
      <c r="H545" s="15" t="n">
        <f aca="false">'לקוחות לפי סוכן - מקור'!I492</f>
        <v>0</v>
      </c>
      <c r="I545" s="48" t="str">
        <f aca="false">'לקוחות לפי סוכן - מקור'!K492</f>
        <v>CHMI</v>
      </c>
    </row>
    <row r="546" customFormat="false" ht="15" hidden="false" customHeight="true" outlineLevel="2" collapsed="false">
      <c r="A546" s="14" t="str">
        <f aca="false">'לקוחות לפי סוכן - מקור'!A493</f>
        <v>חיים ויצמן</v>
      </c>
      <c r="B546" s="14" t="str">
        <f aca="false">'לקוחות לפי סוכן - מקור'!C493</f>
        <v>שרם</v>
      </c>
      <c r="C546" s="14" t="str">
        <f aca="false">'לקוחות לפי סוכן - מקור'!E493</f>
        <v>פריים פארם-יהודה המכבי ב.מ.שרמ</v>
      </c>
      <c r="D546" s="22" t="n">
        <f aca="false">'לקוחות לפי סוכן - מקור'!F493</f>
        <v>0</v>
      </c>
      <c r="E546" s="22" t="n">
        <f aca="false">'לקוחות לפי סוכן - מקור'!G493</f>
        <v>8995.4</v>
      </c>
      <c r="F546" s="14" t="n">
        <f aca="false">'לקוחות לפי סוכן - מקור'!D493</f>
        <v>0</v>
      </c>
      <c r="G546" s="15" t="n">
        <f aca="false">'לקוחות לפי סוכן - מקור'!H493</f>
        <v>0</v>
      </c>
      <c r="H546" s="15" t="n">
        <f aca="false">'לקוחות לפי סוכן - מקור'!I493</f>
        <v>0</v>
      </c>
      <c r="I546" s="48" t="str">
        <f aca="false">'לקוחות לפי סוכן - מקור'!K493</f>
        <v>CHMI</v>
      </c>
    </row>
    <row r="547" customFormat="false" ht="15" hidden="false" customHeight="true" outlineLevel="2" collapsed="false">
      <c r="A547" s="14" t="str">
        <f aca="false">'לקוחות לפי סוכן - מקור'!A494</f>
        <v>חיים ויצמן</v>
      </c>
      <c r="B547" s="14" t="str">
        <f aca="false">'לקוחות לפי סוכן - מקור'!C494</f>
        <v>שרם</v>
      </c>
      <c r="C547" s="14" t="str">
        <f aca="false">'לקוחות לפי סוכן - מקור'!E494</f>
        <v>המרכז נס ציונה ב.מ שרםפארם</v>
      </c>
      <c r="D547" s="22" t="n">
        <f aca="false">'לקוחות לפי סוכן - מקור'!F494</f>
        <v>0</v>
      </c>
      <c r="E547" s="22" t="n">
        <f aca="false">'לקוחות לפי סוכן - מקור'!G494</f>
        <v>1844.5</v>
      </c>
      <c r="F547" s="14" t="n">
        <f aca="false">'לקוחות לפי סוכן - מקור'!D494</f>
        <v>0</v>
      </c>
      <c r="G547" s="15" t="n">
        <f aca="false">'לקוחות לפי סוכן - מקור'!H494</f>
        <v>0</v>
      </c>
      <c r="H547" s="15" t="n">
        <f aca="false">'לקוחות לפי סוכן - מקור'!I494</f>
        <v>0</v>
      </c>
      <c r="I547" s="48" t="str">
        <f aca="false">'לקוחות לפי סוכן - מקור'!K494</f>
        <v>CHMI</v>
      </c>
    </row>
    <row r="548" customFormat="false" ht="15" hidden="false" customHeight="true" outlineLevel="2" collapsed="false">
      <c r="A548" s="14" t="str">
        <f aca="false">'לקוחות לפי סוכן - מקור'!A495</f>
        <v>חיים ויצמן</v>
      </c>
      <c r="B548" s="14" t="str">
        <f aca="false">'לקוחות לפי סוכן - מקור'!C495</f>
        <v>שרם</v>
      </c>
      <c r="C548" s="14" t="str">
        <f aca="false">'לקוחות לפי סוכן - מקור'!E495</f>
        <v>כפר שמריהו ב.מ )חדש( שרמפארם</v>
      </c>
      <c r="D548" s="22" t="n">
        <f aca="false">'לקוחות לפי סוכן - מקור'!F495</f>
        <v>0</v>
      </c>
      <c r="E548" s="22" t="n">
        <f aca="false">'לקוחות לפי סוכן - מקור'!G495</f>
        <v>10405.7</v>
      </c>
      <c r="F548" s="14" t="n">
        <f aca="false">'לקוחות לפי סוכן - מקור'!D495</f>
        <v>0</v>
      </c>
      <c r="G548" s="15" t="n">
        <f aca="false">'לקוחות לפי סוכן - מקור'!H495</f>
        <v>0</v>
      </c>
      <c r="H548" s="15" t="n">
        <f aca="false">'לקוחות לפי סוכן - מקור'!I495</f>
        <v>0</v>
      </c>
      <c r="I548" s="48" t="str">
        <f aca="false">'לקוחות לפי סוכן - מקור'!K495</f>
        <v>CHMI</v>
      </c>
    </row>
    <row r="549" customFormat="false" ht="15" hidden="false" customHeight="true" outlineLevel="2" collapsed="false">
      <c r="A549" s="14" t="str">
        <f aca="false">'לקוחות לפי סוכן - מקור'!A496</f>
        <v>חיים ויצמן</v>
      </c>
      <c r="B549" s="14" t="str">
        <f aca="false">'לקוחות לפי סוכן - מקור'!C496</f>
        <v>שרם</v>
      </c>
      <c r="C549" s="14" t="str">
        <f aca="false">'לקוחות לפי סוכן - מקור'!E496</f>
        <v>לב הרצליה חדש ב.מ שרמפארם</v>
      </c>
      <c r="D549" s="22" t="n">
        <f aca="false">'לקוחות לפי סוכן - מקור'!F496</f>
        <v>0</v>
      </c>
      <c r="E549" s="22" t="n">
        <f aca="false">'לקוחות לפי סוכן - מקור'!G496</f>
        <v>344.1</v>
      </c>
      <c r="F549" s="14" t="n">
        <f aca="false">'לקוחות לפי סוכן - מקור'!D496</f>
        <v>0</v>
      </c>
      <c r="G549" s="15" t="n">
        <f aca="false">'לקוחות לפי סוכן - מקור'!H496</f>
        <v>0</v>
      </c>
      <c r="H549" s="15" t="n">
        <f aca="false">'לקוחות לפי סוכן - מקור'!I496</f>
        <v>0</v>
      </c>
      <c r="I549" s="48" t="str">
        <f aca="false">'לקוחות לפי סוכן - מקור'!K496</f>
        <v>CHMI</v>
      </c>
    </row>
    <row r="550" customFormat="false" ht="15" hidden="false" customHeight="true" outlineLevel="2" collapsed="false">
      <c r="A550" s="14" t="str">
        <f aca="false">'לקוחות לפי סוכן - מקור'!A497</f>
        <v>חיים ויצמן</v>
      </c>
      <c r="B550" s="14" t="str">
        <f aca="false">'לקוחות לפי סוכן - מקור'!C497</f>
        <v>שרם</v>
      </c>
      <c r="C550" s="14" t="str">
        <f aca="false">'לקוחות לפי סוכן - מקור'!E497</f>
        <v>פארמה גנים ראשל""צ ב.מ שרמ</v>
      </c>
      <c r="D550" s="22" t="n">
        <f aca="false">'לקוחות לפי סוכן - מקור'!F497</f>
        <v>0</v>
      </c>
      <c r="E550" s="22" t="n">
        <f aca="false">'לקוחות לפי סוכן - מקור'!G497</f>
        <v>485.9</v>
      </c>
      <c r="F550" s="14" t="n">
        <f aca="false">'לקוחות לפי סוכן - מקור'!D497</f>
        <v>0</v>
      </c>
      <c r="G550" s="15" t="n">
        <f aca="false">'לקוחות לפי סוכן - מקור'!H497</f>
        <v>0</v>
      </c>
      <c r="H550" s="15" t="n">
        <f aca="false">'לקוחות לפי סוכן - מקור'!I497</f>
        <v>0</v>
      </c>
      <c r="I550" s="48" t="str">
        <f aca="false">'לקוחות לפי סוכן - מקור'!K497</f>
        <v>CHMI</v>
      </c>
    </row>
    <row r="551" customFormat="false" ht="15" hidden="false" customHeight="true" outlineLevel="2" collapsed="false">
      <c r="A551" s="14" t="str">
        <f aca="false">'לקוחות לפי סוכן - מקור'!A498</f>
        <v>חיים ויצמן</v>
      </c>
      <c r="B551" s="14" t="str">
        <f aca="false">'לקוחות לפי סוכן - מקור'!C498</f>
        <v>שרם</v>
      </c>
      <c r="C551" s="14" t="str">
        <f aca="false">'לקוחות לפי סוכן - מקור'!E498</f>
        <v>בית מרקחת הרצליה שרמפארם</v>
      </c>
      <c r="D551" s="22" t="n">
        <f aca="false">'לקוחות לפי סוכן - מקור'!F498</f>
        <v>0</v>
      </c>
      <c r="E551" s="22" t="n">
        <f aca="false">'לקוחות לפי סוכן - מקור'!G498</f>
        <v>182.6</v>
      </c>
      <c r="F551" s="14" t="n">
        <f aca="false">'לקוחות לפי סוכן - מקור'!D498</f>
        <v>0</v>
      </c>
      <c r="G551" s="15" t="n">
        <f aca="false">'לקוחות לפי סוכן - מקור'!H498</f>
        <v>0</v>
      </c>
      <c r="H551" s="15" t="n">
        <f aca="false">'לקוחות לפי סוכן - מקור'!I498</f>
        <v>0</v>
      </c>
      <c r="I551" s="48" t="str">
        <f aca="false">'לקוחות לפי סוכן - מקור'!K498</f>
        <v>CHMI</v>
      </c>
    </row>
    <row r="552" customFormat="false" ht="15" hidden="false" customHeight="true" outlineLevel="2" collapsed="false">
      <c r="A552" s="14" t="str">
        <f aca="false">'לקוחות לפי סוכן - מקור'!A499</f>
        <v>חיים ויצמן</v>
      </c>
      <c r="B552" s="14" t="str">
        <f aca="false">'לקוחות לפי סוכן - מקור'!C499</f>
        <v>שרם</v>
      </c>
      <c r="C552" s="14" t="str">
        <f aca="false">'לקוחות לפי סוכן - מקור'!E499</f>
        <v>למד ת""א ב.מ שרםפארם</v>
      </c>
      <c r="D552" s="22" t="n">
        <f aca="false">'לקוחות לפי סוכן - מקור'!F499</f>
        <v>0</v>
      </c>
      <c r="E552" s="22" t="n">
        <f aca="false">'לקוחות לפי סוכן - מקור'!G499</f>
        <v>228</v>
      </c>
      <c r="F552" s="14" t="n">
        <f aca="false">'לקוחות לפי סוכן - מקור'!D499</f>
        <v>0</v>
      </c>
      <c r="G552" s="15" t="n">
        <f aca="false">'לקוחות לפי סוכן - מקור'!H499</f>
        <v>0</v>
      </c>
      <c r="H552" s="15" t="n">
        <f aca="false">'לקוחות לפי סוכן - מקור'!I499</f>
        <v>0</v>
      </c>
      <c r="I552" s="48" t="str">
        <f aca="false">'לקוחות לפי סוכן - מקור'!K499</f>
        <v>CHMI</v>
      </c>
    </row>
    <row r="553" customFormat="false" ht="15" hidden="false" customHeight="true" outlineLevel="2" collapsed="false">
      <c r="A553" s="14" t="str">
        <f aca="false">'לקוחות לפי סוכן - מקור'!A500</f>
        <v>חיים ויצמן</v>
      </c>
      <c r="B553" s="14" t="str">
        <f aca="false">'לקוחות לפי סוכן - מקור'!C500</f>
        <v>שרם</v>
      </c>
      <c r="C553" s="14" t="str">
        <f aca="false">'לקוחות לפי סוכן - מקור'!E500</f>
        <v>יהודה הלוי ת""א ב.מ שרםפארם</v>
      </c>
      <c r="D553" s="22" t="n">
        <f aca="false">'לקוחות לפי סוכן - מקור'!F500</f>
        <v>0</v>
      </c>
      <c r="E553" s="22" t="n">
        <f aca="false">'לקוחות לפי סוכן - מקור'!G500</f>
        <v>3023.4</v>
      </c>
      <c r="F553" s="14" t="n">
        <f aca="false">'לקוחות לפי סוכן - מקור'!D500</f>
        <v>0</v>
      </c>
      <c r="G553" s="15" t="n">
        <f aca="false">'לקוחות לפי סוכן - מקור'!H500</f>
        <v>0</v>
      </c>
      <c r="H553" s="15" t="n">
        <f aca="false">'לקוחות לפי סוכן - מקור'!I500</f>
        <v>0</v>
      </c>
      <c r="I553" s="48" t="str">
        <f aca="false">'לקוחות לפי סוכן - מקור'!K500</f>
        <v>CHMI</v>
      </c>
    </row>
    <row r="554" customFormat="false" ht="15" hidden="false" customHeight="true" outlineLevel="1" collapsed="false">
      <c r="A554" s="49" t="s">
        <v>3457</v>
      </c>
      <c r="B554" s="50" t="s">
        <v>15</v>
      </c>
      <c r="C554" s="51"/>
      <c r="D554" s="52" t="n">
        <f aca="false">SUMIFS('לקוחות לפי סוכן - מקור'!$F$2:$F$867,'לקוחות לפי סוכן - מקור'!$A$2:$A$867,$A554,'לקוחות לפי סוכן - מקור'!$C$2:$C$867,$B554)</f>
        <v>0</v>
      </c>
      <c r="E554" s="52" t="n">
        <f aca="false">SUMIFS('לקוחות לפי סוכן - מקור'!$G$2:$G$867,'לקוחות לפי סוכן - מקור'!$A$2:$A$867,$A554,'לקוחות לפי סוכן - מקור'!$C$2:$C$867,$B554)</f>
        <v>1256956.1</v>
      </c>
      <c r="F554" s="51"/>
      <c r="G554" s="53" t="n">
        <f aca="false">SUMIFS('לקוחות לפי סוכן - מקור'!$H$2:$H$867,'לקוחות לפי סוכן - מקור'!$A$2:$A$867,$A554,'לקוחות לפי סוכן - מקור'!$C$2:$C$867,$B554)</f>
        <v>0</v>
      </c>
      <c r="H554" s="53" t="n">
        <f aca="false">SUMIFS('לקוחות לפי סוכן - מקור'!$I$2:$I$867,'לקוחות לפי סוכן - מקור'!$A$2:$A$867,$A554,'לקוחות לפי סוכן - מקור'!$C$2:$C$867,$B554)</f>
        <v>0</v>
      </c>
      <c r="I554" s="51"/>
      <c r="J554" s="53" t="n">
        <f aca="false">COUNTIFS('לקוחות לפי סוכן - מקור'!$A$2:$A$867,$A554,'לקוחות לפי סוכן - מקור'!$C$2:$C$867,$B554)</f>
        <v>77</v>
      </c>
    </row>
    <row r="555" customFormat="false" ht="15" hidden="false" customHeight="true" outlineLevel="2" collapsed="false">
      <c r="A555" s="14" t="str">
        <f aca="false">'לקוחות לפי סוכן - מקור'!A501</f>
        <v>חיים ויצמן</v>
      </c>
      <c r="B555" s="14" t="str">
        <f aca="false">'לקוחות לפי סוכן - מקור'!C501</f>
        <v>ס. פארם</v>
      </c>
      <c r="C555" s="14" t="str">
        <f aca="false">'לקוחות לפי סוכן - מקור'!E501</f>
        <v>ס.פ.רמת החייל תרופות</v>
      </c>
      <c r="D555" s="22" t="n">
        <f aca="false">'לקוחות לפי סוכן - מקור'!F501</f>
        <v>0</v>
      </c>
      <c r="E555" s="22" t="n">
        <f aca="false">'לקוחות לפי סוכן - מקור'!G501</f>
        <v>11788.9</v>
      </c>
      <c r="F555" s="14" t="n">
        <f aca="false">'לקוחות לפי סוכן - מקור'!D501</f>
        <v>0</v>
      </c>
      <c r="G555" s="15" t="n">
        <f aca="false">'לקוחות לפי סוכן - מקור'!H501</f>
        <v>0</v>
      </c>
      <c r="H555" s="15" t="n">
        <f aca="false">'לקוחות לפי סוכן - מקור'!I501</f>
        <v>0</v>
      </c>
      <c r="I555" s="48" t="str">
        <f aca="false">'לקוחות לפי סוכן - מקור'!K501</f>
        <v>CHMI</v>
      </c>
    </row>
    <row r="556" customFormat="false" ht="15" hidden="false" customHeight="true" outlineLevel="2" collapsed="false">
      <c r="A556" s="14" t="str">
        <f aca="false">'לקוחות לפי סוכן - מקור'!A502</f>
        <v>חיים ויצמן</v>
      </c>
      <c r="B556" s="14" t="str">
        <f aca="false">'לקוחות לפי סוכן - מקור'!C502</f>
        <v>ס. פארם</v>
      </c>
      <c r="C556" s="14" t="str">
        <f aca="false">'לקוחות לפי סוכן - מקור'!E502</f>
        <v>ס.פ.קניון רמת אביב תרופות</v>
      </c>
      <c r="D556" s="22" t="n">
        <f aca="false">'לקוחות לפי סוכן - מקור'!F502</f>
        <v>0</v>
      </c>
      <c r="E556" s="22" t="n">
        <f aca="false">'לקוחות לפי סוכן - מקור'!G502</f>
        <v>37290.5</v>
      </c>
      <c r="F556" s="14" t="n">
        <f aca="false">'לקוחות לפי סוכן - מקור'!D502</f>
        <v>0</v>
      </c>
      <c r="G556" s="15" t="n">
        <f aca="false">'לקוחות לפי סוכן - מקור'!H502</f>
        <v>0</v>
      </c>
      <c r="H556" s="15" t="n">
        <f aca="false">'לקוחות לפי סוכן - מקור'!I502</f>
        <v>0</v>
      </c>
      <c r="I556" s="48" t="str">
        <f aca="false">'לקוחות לפי סוכן - מקור'!K502</f>
        <v>CHMI</v>
      </c>
    </row>
    <row r="557" customFormat="false" ht="15" hidden="false" customHeight="true" outlineLevel="2" collapsed="false">
      <c r="A557" s="14" t="str">
        <f aca="false">'לקוחות לפי סוכן - מקור'!A503</f>
        <v>חיים ויצמן</v>
      </c>
      <c r="B557" s="14" t="str">
        <f aca="false">'לקוחות לפי סוכן - מקור'!C503</f>
        <v>ס. פארם</v>
      </c>
      <c r="C557" s="14" t="str">
        <f aca="false">'לקוחות לפי סוכן - מקור'!E503</f>
        <v>ס.פ.שכון דן תרופות</v>
      </c>
      <c r="D557" s="22" t="n">
        <f aca="false">'לקוחות לפי סוכן - מקור'!F503</f>
        <v>0</v>
      </c>
      <c r="E557" s="22" t="n">
        <f aca="false">'לקוחות לפי סוכן - מקור'!G503</f>
        <v>32560.1</v>
      </c>
      <c r="F557" s="14" t="n">
        <f aca="false">'לקוחות לפי סוכן - מקור'!D503</f>
        <v>0</v>
      </c>
      <c r="G557" s="15" t="n">
        <f aca="false">'לקוחות לפי סוכן - מקור'!H503</f>
        <v>0</v>
      </c>
      <c r="H557" s="15" t="n">
        <f aca="false">'לקוחות לפי סוכן - מקור'!I503</f>
        <v>0</v>
      </c>
      <c r="I557" s="48" t="str">
        <f aca="false">'לקוחות לפי סוכן - מקור'!K503</f>
        <v>CHMI</v>
      </c>
    </row>
    <row r="558" customFormat="false" ht="15" hidden="false" customHeight="true" outlineLevel="2" collapsed="false">
      <c r="A558" s="14" t="str">
        <f aca="false">'לקוחות לפי סוכן - מקור'!A504</f>
        <v>חיים ויצמן</v>
      </c>
      <c r="B558" s="14" t="str">
        <f aca="false">'לקוחות לפי סוכן - מקור'!C504</f>
        <v>ס. פארם</v>
      </c>
      <c r="C558" s="14" t="str">
        <f aca="false">'לקוחות לפי סוכן - מקור'!E504</f>
        <v>ס.פ.אלנבי תרופות</v>
      </c>
      <c r="D558" s="22" t="n">
        <f aca="false">'לקוחות לפי סוכן - מקור'!F504</f>
        <v>0</v>
      </c>
      <c r="E558" s="22" t="n">
        <f aca="false">'לקוחות לפי סוכן - מקור'!G504</f>
        <v>13661.8</v>
      </c>
      <c r="F558" s="14" t="n">
        <f aca="false">'לקוחות לפי סוכן - מקור'!D504</f>
        <v>0</v>
      </c>
      <c r="G558" s="15" t="n">
        <f aca="false">'לקוחות לפי סוכן - מקור'!H504</f>
        <v>0</v>
      </c>
      <c r="H558" s="15" t="n">
        <f aca="false">'לקוחות לפי סוכן - מקור'!I504</f>
        <v>0</v>
      </c>
      <c r="I558" s="48" t="str">
        <f aca="false">'לקוחות לפי סוכן - מקור'!K504</f>
        <v>CHMI</v>
      </c>
    </row>
    <row r="559" customFormat="false" ht="15" hidden="false" customHeight="true" outlineLevel="2" collapsed="false">
      <c r="A559" s="14" t="str">
        <f aca="false">'לקוחות לפי סוכן - מקור'!A505</f>
        <v>חיים ויצמן</v>
      </c>
      <c r="B559" s="14" t="str">
        <f aca="false">'לקוחות לפי סוכן - מקור'!C505</f>
        <v>ס. פארם</v>
      </c>
      <c r="C559" s="14" t="str">
        <f aca="false">'לקוחות לפי סוכן - מקור'!E505</f>
        <v>ס.פ.פלורנטין תרופות</v>
      </c>
      <c r="D559" s="22" t="n">
        <f aca="false">'לקוחות לפי סוכן - מקור'!F505</f>
        <v>0</v>
      </c>
      <c r="E559" s="22" t="n">
        <f aca="false">'לקוחות לפי סוכן - מקור'!G505</f>
        <v>1546.3</v>
      </c>
      <c r="F559" s="14" t="n">
        <f aca="false">'לקוחות לפי סוכן - מקור'!D505</f>
        <v>0</v>
      </c>
      <c r="G559" s="15" t="n">
        <f aca="false">'לקוחות לפי סוכן - מקור'!H505</f>
        <v>0</v>
      </c>
      <c r="H559" s="15" t="n">
        <f aca="false">'לקוחות לפי סוכן - מקור'!I505</f>
        <v>0</v>
      </c>
      <c r="I559" s="48" t="str">
        <f aca="false">'לקוחות לפי סוכן - מקור'!K505</f>
        <v>CHMI</v>
      </c>
    </row>
    <row r="560" customFormat="false" ht="15" hidden="false" customHeight="true" outlineLevel="2" collapsed="false">
      <c r="A560" s="14" t="str">
        <f aca="false">'לקוחות לפי סוכן - מקור'!A506</f>
        <v>חיים ויצמן</v>
      </c>
      <c r="B560" s="14" t="str">
        <f aca="false">'לקוחות לפי סוכן - מקור'!C506</f>
        <v>ס. פארם</v>
      </c>
      <c r="C560" s="14" t="str">
        <f aca="false">'לקוחות לפי סוכן - מקור'!E506</f>
        <v>ס.פ.מגדלי ת""א תרופות</v>
      </c>
      <c r="D560" s="22" t="n">
        <f aca="false">'לקוחות לפי סוכן - מקור'!F506</f>
        <v>0</v>
      </c>
      <c r="E560" s="22" t="n">
        <f aca="false">'לקוחות לפי סוכן - מקור'!G506</f>
        <v>5372.3</v>
      </c>
      <c r="F560" s="14" t="n">
        <f aca="false">'לקוחות לפי סוכן - מקור'!D506</f>
        <v>0</v>
      </c>
      <c r="G560" s="15" t="n">
        <f aca="false">'לקוחות לפי סוכן - מקור'!H506</f>
        <v>0</v>
      </c>
      <c r="H560" s="15" t="n">
        <f aca="false">'לקוחות לפי סוכן - מקור'!I506</f>
        <v>0</v>
      </c>
      <c r="I560" s="48" t="str">
        <f aca="false">'לקוחות לפי סוכן - מקור'!K506</f>
        <v>CHMI</v>
      </c>
    </row>
    <row r="561" customFormat="false" ht="15" hidden="false" customHeight="true" outlineLevel="2" collapsed="false">
      <c r="A561" s="14" t="str">
        <f aca="false">'לקוחות לפי סוכן - מקור'!A507</f>
        <v>חיים ויצמן</v>
      </c>
      <c r="B561" s="14" t="str">
        <f aca="false">'לקוחות לפי סוכן - מקור'!C507</f>
        <v>ס. פארם</v>
      </c>
      <c r="C561" s="14" t="str">
        <f aca="false">'לקוחות לפי סוכן - מקור'!E507</f>
        <v>ס.פ.נמל תל אביב תרופות</v>
      </c>
      <c r="D561" s="22" t="n">
        <f aca="false">'לקוחות לפי סוכן - מקור'!F507</f>
        <v>0</v>
      </c>
      <c r="E561" s="22" t="n">
        <f aca="false">'לקוחות לפי סוכן - מקור'!G507</f>
        <v>6993.9</v>
      </c>
      <c r="F561" s="14" t="n">
        <f aca="false">'לקוחות לפי סוכן - מקור'!D507</f>
        <v>0</v>
      </c>
      <c r="G561" s="15" t="n">
        <f aca="false">'לקוחות לפי סוכן - מקור'!H507</f>
        <v>0</v>
      </c>
      <c r="H561" s="15" t="n">
        <f aca="false">'לקוחות לפי סוכן - מקור'!I507</f>
        <v>0</v>
      </c>
      <c r="I561" s="48" t="str">
        <f aca="false">'לקוחות לפי סוכן - מקור'!K507</f>
        <v>CHMI</v>
      </c>
    </row>
    <row r="562" customFormat="false" ht="15" hidden="false" customHeight="true" outlineLevel="2" collapsed="false">
      <c r="A562" s="14" t="str">
        <f aca="false">'לקוחות לפי סוכן - מקור'!A508</f>
        <v>חיים ויצמן</v>
      </c>
      <c r="B562" s="14" t="str">
        <f aca="false">'לקוחות לפי סוכן - מקור'!C508</f>
        <v>ס. פארם</v>
      </c>
      <c r="C562" s="14" t="str">
        <f aca="false">'לקוחות לפי סוכן - מקור'!E508</f>
        <v>ס.פ.דיזנגוף סנטר תרופות</v>
      </c>
      <c r="D562" s="22" t="n">
        <f aca="false">'לקוחות לפי סוכן - מקור'!F508</f>
        <v>0</v>
      </c>
      <c r="E562" s="22" t="n">
        <f aca="false">'לקוחות לפי סוכן - מקור'!G508</f>
        <v>11944.1</v>
      </c>
      <c r="F562" s="14" t="n">
        <f aca="false">'לקוחות לפי סוכן - מקור'!D508</f>
        <v>0</v>
      </c>
      <c r="G562" s="15" t="n">
        <f aca="false">'לקוחות לפי סוכן - מקור'!H508</f>
        <v>0</v>
      </c>
      <c r="H562" s="15" t="n">
        <f aca="false">'לקוחות לפי סוכן - מקור'!I508</f>
        <v>0</v>
      </c>
      <c r="I562" s="48" t="str">
        <f aca="false">'לקוחות לפי סוכן - מקור'!K508</f>
        <v>CHMI</v>
      </c>
    </row>
    <row r="563" customFormat="false" ht="15" hidden="false" customHeight="true" outlineLevel="2" collapsed="false">
      <c r="A563" s="14" t="str">
        <f aca="false">'לקוחות לפי סוכן - מקור'!A509</f>
        <v>חיים ויצמן</v>
      </c>
      <c r="B563" s="14" t="str">
        <f aca="false">'לקוחות לפי סוכן - מקור'!C509</f>
        <v>ס. פארם</v>
      </c>
      <c r="C563" s="14" t="str">
        <f aca="false">'לקוחות לפי סוכן - מקור'!E509</f>
        <v>ס.פ. איכילוב תרופות</v>
      </c>
      <c r="D563" s="22" t="n">
        <f aca="false">'לקוחות לפי סוכן - מקור'!F509</f>
        <v>0</v>
      </c>
      <c r="E563" s="22" t="n">
        <f aca="false">'לקוחות לפי סוכן - מקור'!G509</f>
        <v>36633.4</v>
      </c>
      <c r="F563" s="14" t="n">
        <f aca="false">'לקוחות לפי סוכן - מקור'!D509</f>
        <v>0</v>
      </c>
      <c r="G563" s="15" t="n">
        <f aca="false">'לקוחות לפי סוכן - מקור'!H509</f>
        <v>0</v>
      </c>
      <c r="H563" s="15" t="n">
        <f aca="false">'לקוחות לפי סוכן - מקור'!I509</f>
        <v>0</v>
      </c>
      <c r="I563" s="48" t="str">
        <f aca="false">'לקוחות לפי סוכן - מקור'!K509</f>
        <v>CHMI</v>
      </c>
    </row>
    <row r="564" customFormat="false" ht="15" hidden="false" customHeight="true" outlineLevel="2" collapsed="false">
      <c r="A564" s="14" t="str">
        <f aca="false">'לקוחות לפי סוכן - מקור'!A510</f>
        <v>חיים ויצמן</v>
      </c>
      <c r="B564" s="14" t="str">
        <f aca="false">'לקוחות לפי סוכן - מקור'!C510</f>
        <v>ס. פארם</v>
      </c>
      <c r="C564" s="14" t="str">
        <f aca="false">'לקוחות לפי סוכן - מקור'!E510</f>
        <v>ס.פ.יד אליהו  תרופות</v>
      </c>
      <c r="D564" s="22" t="n">
        <f aca="false">'לקוחות לפי סוכן - מקור'!F510</f>
        <v>0</v>
      </c>
      <c r="E564" s="22" t="n">
        <f aca="false">'לקוחות לפי סוכן - מקור'!G510</f>
        <v>10689.4</v>
      </c>
      <c r="F564" s="14" t="n">
        <f aca="false">'לקוחות לפי סוכן - מקור'!D510</f>
        <v>0</v>
      </c>
      <c r="G564" s="15" t="n">
        <f aca="false">'לקוחות לפי סוכן - מקור'!H510</f>
        <v>0</v>
      </c>
      <c r="H564" s="15" t="n">
        <f aca="false">'לקוחות לפי סוכן - מקור'!I510</f>
        <v>0</v>
      </c>
      <c r="I564" s="48" t="str">
        <f aca="false">'לקוחות לפי סוכן - מקור'!K510</f>
        <v>CHMI</v>
      </c>
    </row>
    <row r="565" customFormat="false" ht="15" hidden="false" customHeight="true" outlineLevel="2" collapsed="false">
      <c r="A565" s="14" t="str">
        <f aca="false">'לקוחות לפי סוכן - מקור'!A511</f>
        <v>חיים ויצמן</v>
      </c>
      <c r="B565" s="14" t="str">
        <f aca="false">'לקוחות לפי סוכן - מקור'!C511</f>
        <v>ס. פארם</v>
      </c>
      <c r="C565" s="14" t="str">
        <f aca="false">'לקוחות לפי סוכן - מקור'!E511</f>
        <v>ס.פ.ת.מרכזית תא תרופות</v>
      </c>
      <c r="D565" s="22" t="n">
        <f aca="false">'לקוחות לפי סוכן - מקור'!F511</f>
        <v>0</v>
      </c>
      <c r="E565" s="22" t="n">
        <f aca="false">'לקוחות לפי סוכן - מקור'!G511</f>
        <v>19531.7</v>
      </c>
      <c r="F565" s="14" t="n">
        <f aca="false">'לקוחות לפי סוכן - מקור'!D511</f>
        <v>0</v>
      </c>
      <c r="G565" s="15" t="n">
        <f aca="false">'לקוחות לפי סוכן - מקור'!H511</f>
        <v>0</v>
      </c>
      <c r="H565" s="15" t="n">
        <f aca="false">'לקוחות לפי סוכן - מקור'!I511</f>
        <v>0</v>
      </c>
      <c r="I565" s="48" t="str">
        <f aca="false">'לקוחות לפי סוכן - מקור'!K511</f>
        <v>CHMI</v>
      </c>
    </row>
    <row r="566" customFormat="false" ht="15" hidden="false" customHeight="true" outlineLevel="2" collapsed="false">
      <c r="A566" s="14" t="str">
        <f aca="false">'לקוחות לפי סוכן - מקור'!A512</f>
        <v>חיים ויצמן</v>
      </c>
      <c r="B566" s="14" t="str">
        <f aca="false">'לקוחות לפי סוכן - מקור'!C512</f>
        <v>ס. פארם</v>
      </c>
      <c r="C566" s="14" t="str">
        <f aca="false">'לקוחות לפי סוכן - מקור'!E512</f>
        <v>ס.פ.מגדל שלום תרופות</v>
      </c>
      <c r="D566" s="22" t="n">
        <f aca="false">'לקוחות לפי סוכן - מקור'!F512</f>
        <v>0</v>
      </c>
      <c r="E566" s="22" t="n">
        <f aca="false">'לקוחות לפי סוכן - מקור'!G512</f>
        <v>17670.5</v>
      </c>
      <c r="F566" s="14" t="n">
        <f aca="false">'לקוחות לפי סוכן - מקור'!D512</f>
        <v>0</v>
      </c>
      <c r="G566" s="15" t="n">
        <f aca="false">'לקוחות לפי סוכן - מקור'!H512</f>
        <v>0</v>
      </c>
      <c r="H566" s="15" t="n">
        <f aca="false">'לקוחות לפי סוכן - מקור'!I512</f>
        <v>0</v>
      </c>
      <c r="I566" s="48" t="str">
        <f aca="false">'לקוחות לפי סוכן - מקור'!K512</f>
        <v>CHMI</v>
      </c>
    </row>
    <row r="567" customFormat="false" ht="15" hidden="false" customHeight="true" outlineLevel="2" collapsed="false">
      <c r="A567" s="14" t="str">
        <f aca="false">'לקוחות לפי סוכן - מקור'!A513</f>
        <v>חיים ויצמן</v>
      </c>
      <c r="B567" s="14" t="str">
        <f aca="false">'לקוחות לפי סוכן - מקור'!C513</f>
        <v>ס. פארם</v>
      </c>
      <c r="C567" s="14" t="str">
        <f aca="false">'לקוחות לפי סוכן - מקור'!E513</f>
        <v>ס.פ.צמרת ת""א תרופות</v>
      </c>
      <c r="D567" s="22" t="n">
        <f aca="false">'לקוחות לפי סוכן - מקור'!F513</f>
        <v>0</v>
      </c>
      <c r="E567" s="22" t="n">
        <f aca="false">'לקוחות לפי סוכן - מקור'!G513</f>
        <v>5586.4</v>
      </c>
      <c r="F567" s="14" t="n">
        <f aca="false">'לקוחות לפי סוכן - מקור'!D513</f>
        <v>0</v>
      </c>
      <c r="G567" s="15" t="n">
        <f aca="false">'לקוחות לפי סוכן - מקור'!H513</f>
        <v>0</v>
      </c>
      <c r="H567" s="15" t="n">
        <f aca="false">'לקוחות לפי סוכן - מקור'!I513</f>
        <v>0</v>
      </c>
      <c r="I567" s="48" t="str">
        <f aca="false">'לקוחות לפי סוכן - מקור'!K513</f>
        <v>CHMI</v>
      </c>
    </row>
    <row r="568" customFormat="false" ht="15" hidden="false" customHeight="true" outlineLevel="2" collapsed="false">
      <c r="A568" s="14" t="str">
        <f aca="false">'לקוחות לפי סוכן - מקור'!A514</f>
        <v>חיים ויצמן</v>
      </c>
      <c r="B568" s="14" t="str">
        <f aca="false">'לקוחות לפי סוכן - מקור'!C514</f>
        <v>ס. פארם</v>
      </c>
      <c r="C568" s="14" t="str">
        <f aca="false">'לקוחות לפי סוכן - מקור'!E514</f>
        <v>ס.פ.מיניסטור תרופות</v>
      </c>
      <c r="D568" s="22" t="n">
        <f aca="false">'לקוחות לפי סוכן - מקור'!F514</f>
        <v>0</v>
      </c>
      <c r="E568" s="22" t="n">
        <f aca="false">'לקוחות לפי סוכן - מקור'!G514</f>
        <v>47848.3</v>
      </c>
      <c r="F568" s="14" t="n">
        <f aca="false">'לקוחות לפי סוכן - מקור'!D514</f>
        <v>0</v>
      </c>
      <c r="G568" s="15" t="n">
        <f aca="false">'לקוחות לפי סוכן - מקור'!H514</f>
        <v>0</v>
      </c>
      <c r="H568" s="15" t="n">
        <f aca="false">'לקוחות לפי סוכן - מקור'!I514</f>
        <v>0</v>
      </c>
      <c r="I568" s="48" t="str">
        <f aca="false">'לקוחות לפי סוכן - מקור'!K514</f>
        <v>CHMI</v>
      </c>
    </row>
    <row r="569" customFormat="false" ht="15" hidden="false" customHeight="true" outlineLevel="2" collapsed="false">
      <c r="A569" s="14" t="str">
        <f aca="false">'לקוחות לפי סוכן - מקור'!A515</f>
        <v>חיים ויצמן</v>
      </c>
      <c r="B569" s="14" t="str">
        <f aca="false">'לקוחות לפי סוכן - מקור'!C515</f>
        <v>ס. פארם</v>
      </c>
      <c r="C569" s="14" t="str">
        <f aca="false">'לקוחות לפי סוכן - מקור'!E515</f>
        <v>ס.פ מ.השלום )עזריאלי( תרופות</v>
      </c>
      <c r="D569" s="22" t="n">
        <f aca="false">'לקוחות לפי סוכן - מקור'!F515</f>
        <v>0</v>
      </c>
      <c r="E569" s="22" t="n">
        <f aca="false">'לקוחות לפי סוכן - מקור'!G515</f>
        <v>20853.9</v>
      </c>
      <c r="F569" s="14" t="n">
        <f aca="false">'לקוחות לפי סוכן - מקור'!D515</f>
        <v>0</v>
      </c>
      <c r="G569" s="15" t="n">
        <f aca="false">'לקוחות לפי סוכן - מקור'!H515</f>
        <v>0</v>
      </c>
      <c r="H569" s="15" t="n">
        <f aca="false">'לקוחות לפי סוכן - מקור'!I515</f>
        <v>0</v>
      </c>
      <c r="I569" s="48" t="str">
        <f aca="false">'לקוחות לפי סוכן - מקור'!K515</f>
        <v>CHMI</v>
      </c>
    </row>
    <row r="570" customFormat="false" ht="15" hidden="false" customHeight="true" outlineLevel="2" collapsed="false">
      <c r="A570" s="14" t="str">
        <f aca="false">'לקוחות לפי סוכן - מקור'!A516</f>
        <v>חיים ויצמן</v>
      </c>
      <c r="B570" s="14" t="str">
        <f aca="false">'לקוחות לפי סוכן - מקור'!C516</f>
        <v>ס. פארם</v>
      </c>
      <c r="C570" s="14" t="str">
        <f aca="false">'לקוחות לפי סוכן - מקור'!E516</f>
        <v>ס.פ.גורדון תרופות</v>
      </c>
      <c r="D570" s="22" t="n">
        <f aca="false">'לקוחות לפי סוכן - מקור'!F516</f>
        <v>0</v>
      </c>
      <c r="E570" s="22" t="n">
        <f aca="false">'לקוחות לפי סוכן - מקור'!G516</f>
        <v>12166.6</v>
      </c>
      <c r="F570" s="14" t="n">
        <f aca="false">'לקוחות לפי סוכן - מקור'!D516</f>
        <v>0</v>
      </c>
      <c r="G570" s="15" t="n">
        <f aca="false">'לקוחות לפי סוכן - מקור'!H516</f>
        <v>0</v>
      </c>
      <c r="H570" s="15" t="n">
        <f aca="false">'לקוחות לפי סוכן - מקור'!I516</f>
        <v>0</v>
      </c>
      <c r="I570" s="48" t="str">
        <f aca="false">'לקוחות לפי סוכן - מקור'!K516</f>
        <v>CHMI</v>
      </c>
    </row>
    <row r="571" customFormat="false" ht="15" hidden="false" customHeight="true" outlineLevel="2" collapsed="false">
      <c r="A571" s="14" t="str">
        <f aca="false">'לקוחות לפי סוכן - מקור'!A517</f>
        <v>חיים ויצמן</v>
      </c>
      <c r="B571" s="14" t="str">
        <f aca="false">'לקוחות לפי סוכן - מקור'!C517</f>
        <v>ס. פארם</v>
      </c>
      <c r="C571" s="14" t="str">
        <f aca="false">'לקוחות לפי סוכן - מקור'!E517</f>
        <v>ס.פ.אבן גבירול תרופות</v>
      </c>
      <c r="D571" s="22" t="n">
        <f aca="false">'לקוחות לפי סוכן - מקור'!F517</f>
        <v>0</v>
      </c>
      <c r="E571" s="22" t="n">
        <f aca="false">'לקוחות לפי סוכן - מקור'!G517</f>
        <v>32455.5</v>
      </c>
      <c r="F571" s="14" t="n">
        <f aca="false">'לקוחות לפי סוכן - מקור'!D517</f>
        <v>0</v>
      </c>
      <c r="G571" s="15" t="n">
        <f aca="false">'לקוחות לפי סוכן - מקור'!H517</f>
        <v>0</v>
      </c>
      <c r="H571" s="15" t="n">
        <f aca="false">'לקוחות לפי סוכן - מקור'!I517</f>
        <v>0</v>
      </c>
      <c r="I571" s="48" t="str">
        <f aca="false">'לקוחות לפי סוכן - מקור'!K517</f>
        <v>CHMI</v>
      </c>
    </row>
    <row r="572" customFormat="false" ht="15" hidden="false" customHeight="true" outlineLevel="2" collapsed="false">
      <c r="A572" s="14" t="str">
        <f aca="false">'לקוחות לפי סוכן - מקור'!A518</f>
        <v>חיים ויצמן</v>
      </c>
      <c r="B572" s="14" t="str">
        <f aca="false">'לקוחות לפי סוכן - מקור'!C518</f>
        <v>ס. פארם</v>
      </c>
      <c r="C572" s="14" t="str">
        <f aca="false">'לקוחות לפי סוכן - מקור'!E518</f>
        <v>ס.פ.קסטל תל אביב תרופות</v>
      </c>
      <c r="D572" s="22" t="n">
        <f aca="false">'לקוחות לפי סוכן - מקור'!F518</f>
        <v>0</v>
      </c>
      <c r="E572" s="22" t="n">
        <f aca="false">'לקוחות לפי סוכן - מקור'!G518</f>
        <v>8935.3</v>
      </c>
      <c r="F572" s="14" t="n">
        <f aca="false">'לקוחות לפי סוכן - מקור'!D518</f>
        <v>0</v>
      </c>
      <c r="G572" s="15" t="n">
        <f aca="false">'לקוחות לפי סוכן - מקור'!H518</f>
        <v>0</v>
      </c>
      <c r="H572" s="15" t="n">
        <f aca="false">'לקוחות לפי סוכן - מקור'!I518</f>
        <v>0</v>
      </c>
      <c r="I572" s="48" t="str">
        <f aca="false">'לקוחות לפי סוכן - מקור'!K518</f>
        <v>CHMI</v>
      </c>
    </row>
    <row r="573" customFormat="false" ht="15" hidden="false" customHeight="true" outlineLevel="2" collapsed="false">
      <c r="A573" s="14" t="str">
        <f aca="false">'לקוחות לפי סוכן - מקור'!A519</f>
        <v>חיים ויצמן</v>
      </c>
      <c r="B573" s="14" t="str">
        <f aca="false">'לקוחות לפי סוכן - מקור'!C519</f>
        <v>ס. פארם</v>
      </c>
      <c r="C573" s="14" t="str">
        <f aca="false">'לקוחות לפי סוכן - מקור'!E519</f>
        <v>ס.פ.שנקין תרופות</v>
      </c>
      <c r="D573" s="22" t="n">
        <f aca="false">'לקוחות לפי סוכן - מקור'!F519</f>
        <v>0</v>
      </c>
      <c r="E573" s="22" t="n">
        <f aca="false">'לקוחות לפי סוכן - מקור'!G519</f>
        <v>16158.5</v>
      </c>
      <c r="F573" s="14" t="n">
        <f aca="false">'לקוחות לפי סוכן - מקור'!D519</f>
        <v>0</v>
      </c>
      <c r="G573" s="15" t="n">
        <f aca="false">'לקוחות לפי סוכן - מקור'!H519</f>
        <v>0</v>
      </c>
      <c r="H573" s="15" t="n">
        <f aca="false">'לקוחות לפי סוכן - מקור'!I519</f>
        <v>0</v>
      </c>
      <c r="I573" s="48" t="str">
        <f aca="false">'לקוחות לפי סוכן - מקור'!K519</f>
        <v>CHMI</v>
      </c>
    </row>
    <row r="574" customFormat="false" ht="15" hidden="false" customHeight="true" outlineLevel="2" collapsed="false">
      <c r="A574" s="14" t="str">
        <f aca="false">'לקוחות לפי סוכן - מקור'!A520</f>
        <v>חיים ויצמן</v>
      </c>
      <c r="B574" s="14" t="str">
        <f aca="false">'לקוחות לפי סוכן - מקור'!C520</f>
        <v>ס. פארם</v>
      </c>
      <c r="C574" s="14" t="str">
        <f aca="false">'לקוחות לפי סוכן - מקור'!E520</f>
        <v>ס.פ.רעננה מרכז תרופות</v>
      </c>
      <c r="D574" s="22" t="n">
        <f aca="false">'לקוחות לפי סוכן - מקור'!F520</f>
        <v>0</v>
      </c>
      <c r="E574" s="22" t="n">
        <f aca="false">'לקוחות לפי סוכן - מקור'!G520</f>
        <v>23919.9</v>
      </c>
      <c r="F574" s="14" t="n">
        <f aca="false">'לקוחות לפי סוכן - מקור'!D520</f>
        <v>0</v>
      </c>
      <c r="G574" s="15" t="n">
        <f aca="false">'לקוחות לפי סוכן - מקור'!H520</f>
        <v>0</v>
      </c>
      <c r="H574" s="15" t="n">
        <f aca="false">'לקוחות לפי סוכן - מקור'!I520</f>
        <v>0</v>
      </c>
      <c r="I574" s="48" t="str">
        <f aca="false">'לקוחות לפי סוכן - מקור'!K520</f>
        <v>CHMI</v>
      </c>
    </row>
    <row r="575" customFormat="false" ht="15" hidden="false" customHeight="true" outlineLevel="2" collapsed="false">
      <c r="A575" s="14" t="str">
        <f aca="false">'לקוחות לפי סוכן - מקור'!A521</f>
        <v>חיים ויצמן</v>
      </c>
      <c r="B575" s="14" t="str">
        <f aca="false">'לקוחות לפי סוכן - מקור'!C521</f>
        <v>ס. פארם</v>
      </c>
      <c r="C575" s="14" t="str">
        <f aca="false">'לקוחות לפי סוכן - מקור'!E521</f>
        <v>ס.פ.רננים תרופות</v>
      </c>
      <c r="D575" s="22" t="n">
        <f aca="false">'לקוחות לפי סוכן - מקור'!F521</f>
        <v>0</v>
      </c>
      <c r="E575" s="22" t="n">
        <f aca="false">'לקוחות לפי סוכן - מקור'!G521</f>
        <v>20531.7</v>
      </c>
      <c r="F575" s="14" t="n">
        <f aca="false">'לקוחות לפי סוכן - מקור'!D521</f>
        <v>0</v>
      </c>
      <c r="G575" s="15" t="n">
        <f aca="false">'לקוחות לפי סוכן - מקור'!H521</f>
        <v>0</v>
      </c>
      <c r="H575" s="15" t="n">
        <f aca="false">'לקוחות לפי סוכן - מקור'!I521</f>
        <v>0</v>
      </c>
      <c r="I575" s="48" t="str">
        <f aca="false">'לקוחות לפי סוכן - מקור'!K521</f>
        <v>CHMI</v>
      </c>
    </row>
    <row r="576" customFormat="false" ht="15" hidden="false" customHeight="true" outlineLevel="2" collapsed="false">
      <c r="A576" s="14" t="str">
        <f aca="false">'לקוחות לפי סוכן - מקור'!A522</f>
        <v>חיים ויצמן</v>
      </c>
      <c r="B576" s="14" t="str">
        <f aca="false">'לקוחות לפי סוכן - מקור'!C522</f>
        <v>ס. פארם</v>
      </c>
      <c r="C576" s="14" t="str">
        <f aca="false">'לקוחות לפי סוכן - מקור'!E522</f>
        <v>ס.פ.פקר כפר סבא תרופות</v>
      </c>
      <c r="D576" s="22" t="n">
        <f aca="false">'לקוחות לפי סוכן - מקור'!F522</f>
        <v>0</v>
      </c>
      <c r="E576" s="22" t="n">
        <f aca="false">'לקוחות לפי סוכן - מקור'!G522</f>
        <v>27155.7</v>
      </c>
      <c r="F576" s="14" t="n">
        <f aca="false">'לקוחות לפי סוכן - מקור'!D522</f>
        <v>0</v>
      </c>
      <c r="G576" s="15" t="n">
        <f aca="false">'לקוחות לפי סוכן - מקור'!H522</f>
        <v>0</v>
      </c>
      <c r="H576" s="15" t="n">
        <f aca="false">'לקוחות לפי סוכן - מקור'!I522</f>
        <v>0</v>
      </c>
      <c r="I576" s="48" t="str">
        <f aca="false">'לקוחות לפי סוכן - מקור'!K522</f>
        <v>CHMI</v>
      </c>
    </row>
    <row r="577" customFormat="false" ht="15" hidden="false" customHeight="true" outlineLevel="2" collapsed="false">
      <c r="A577" s="14" t="str">
        <f aca="false">'לקוחות לפי סוכן - מקור'!A523</f>
        <v>חיים ויצמן</v>
      </c>
      <c r="B577" s="14" t="str">
        <f aca="false">'לקוחות לפי סוכן - מקור'!C523</f>
        <v>ס. פארם</v>
      </c>
      <c r="C577" s="14" t="str">
        <f aca="false">'לקוחות לפי סוכן - מקור'!E523</f>
        <v>267  ס.פ.פארק מול תרופות</v>
      </c>
      <c r="D577" s="22" t="n">
        <f aca="false">'לקוחות לפי סוכן - מקור'!F523</f>
        <v>0</v>
      </c>
      <c r="E577" s="22" t="n">
        <f aca="false">'לקוחות לפי סוכן - מקור'!G523</f>
        <v>24651.5</v>
      </c>
      <c r="F577" s="14" t="n">
        <f aca="false">'לקוחות לפי סוכן - מקור'!D523</f>
        <v>0</v>
      </c>
      <c r="G577" s="15" t="n">
        <f aca="false">'לקוחות לפי סוכן - מקור'!H523</f>
        <v>0</v>
      </c>
      <c r="H577" s="15" t="n">
        <f aca="false">'לקוחות לפי סוכן - מקור'!I523</f>
        <v>0</v>
      </c>
      <c r="I577" s="48" t="str">
        <f aca="false">'לקוחות לפי סוכן - מקור'!K523</f>
        <v>CHMI</v>
      </c>
    </row>
    <row r="578" customFormat="false" ht="15" hidden="false" customHeight="true" outlineLevel="2" collapsed="false">
      <c r="A578" s="14" t="str">
        <f aca="false">'לקוחות לפי סוכן - מקור'!A524</f>
        <v>חיים ויצמן</v>
      </c>
      <c r="B578" s="14" t="str">
        <f aca="false">'לקוחות לפי סוכן - מקור'!C524</f>
        <v>ס. פארם</v>
      </c>
      <c r="C578" s="14" t="str">
        <f aca="false">'לקוחות לפי סוכן - מקור'!E524</f>
        <v>ס.פ.הוד השרון תרופות</v>
      </c>
      <c r="D578" s="22" t="n">
        <f aca="false">'לקוחות לפי סוכן - מקור'!F524</f>
        <v>0</v>
      </c>
      <c r="E578" s="22" t="n">
        <f aca="false">'לקוחות לפי סוכן - מקור'!G524</f>
        <v>24101.1</v>
      </c>
      <c r="F578" s="14" t="n">
        <f aca="false">'לקוחות לפי סוכן - מקור'!D524</f>
        <v>0</v>
      </c>
      <c r="G578" s="15" t="n">
        <f aca="false">'לקוחות לפי סוכן - מקור'!H524</f>
        <v>0</v>
      </c>
      <c r="H578" s="15" t="n">
        <f aca="false">'לקוחות לפי סוכן - מקור'!I524</f>
        <v>0</v>
      </c>
      <c r="I578" s="48" t="str">
        <f aca="false">'לקוחות לפי סוכן - מקור'!K524</f>
        <v>CHMI</v>
      </c>
    </row>
    <row r="579" customFormat="false" ht="15" hidden="false" customHeight="true" outlineLevel="2" collapsed="false">
      <c r="A579" s="14" t="str">
        <f aca="false">'לקוחות לפי סוכן - מקור'!A525</f>
        <v>חיים ויצמן</v>
      </c>
      <c r="B579" s="14" t="str">
        <f aca="false">'לקוחות לפי סוכן - מקור'!C525</f>
        <v>ס. פארם</v>
      </c>
      <c r="C579" s="14" t="str">
        <f aca="false">'לקוחות לפי סוכן - מקור'!E525</f>
        <v>ס.פ.כפר סבא תרופות</v>
      </c>
      <c r="D579" s="22" t="n">
        <f aca="false">'לקוחות לפי סוכן - מקור'!F525</f>
        <v>0</v>
      </c>
      <c r="E579" s="22" t="n">
        <f aca="false">'לקוחות לפי סוכן - מקור'!G525</f>
        <v>6522.2</v>
      </c>
      <c r="F579" s="14" t="n">
        <f aca="false">'לקוחות לפי סוכן - מקור'!D525</f>
        <v>0</v>
      </c>
      <c r="G579" s="15" t="n">
        <f aca="false">'לקוחות לפי סוכן - מקור'!H525</f>
        <v>0</v>
      </c>
      <c r="H579" s="15" t="n">
        <f aca="false">'לקוחות לפי סוכן - מקור'!I525</f>
        <v>0</v>
      </c>
      <c r="I579" s="48" t="str">
        <f aca="false">'לקוחות לפי סוכן - מקור'!K525</f>
        <v>CHMI</v>
      </c>
    </row>
    <row r="580" customFormat="false" ht="15" hidden="false" customHeight="true" outlineLevel="2" collapsed="false">
      <c r="A580" s="14" t="str">
        <f aca="false">'לקוחות לפי סוכן - מקור'!A526</f>
        <v>חיים ויצמן</v>
      </c>
      <c r="B580" s="14" t="str">
        <f aca="false">'לקוחות לפי סוכן - מקור'!C526</f>
        <v>ס. פארם</v>
      </c>
      <c r="C580" s="14" t="str">
        <f aca="false">'לקוחות לפי סוכן - מקור'!E526</f>
        <v>ס.פ.קניון ערים כ""ס תרופות</v>
      </c>
      <c r="D580" s="22" t="n">
        <f aca="false">'לקוחות לפי סוכן - מקור'!F526</f>
        <v>0</v>
      </c>
      <c r="E580" s="22" t="n">
        <f aca="false">'לקוחות לפי סוכן - מקור'!G526</f>
        <v>16442</v>
      </c>
      <c r="F580" s="14" t="n">
        <f aca="false">'לקוחות לפי סוכן - מקור'!D526</f>
        <v>0</v>
      </c>
      <c r="G580" s="15" t="n">
        <f aca="false">'לקוחות לפי סוכן - מקור'!H526</f>
        <v>0</v>
      </c>
      <c r="H580" s="15" t="n">
        <f aca="false">'לקוחות לפי סוכן - מקור'!I526</f>
        <v>0</v>
      </c>
      <c r="I580" s="48" t="str">
        <f aca="false">'לקוחות לפי סוכן - מקור'!K526</f>
        <v>CHMI</v>
      </c>
    </row>
    <row r="581" customFormat="false" ht="15" hidden="false" customHeight="true" outlineLevel="2" collapsed="false">
      <c r="A581" s="14" t="str">
        <f aca="false">'לקוחות לפי סוכן - מקור'!A527</f>
        <v>חיים ויצמן</v>
      </c>
      <c r="B581" s="14" t="str">
        <f aca="false">'לקוחות לפי סוכן - מקור'!C527</f>
        <v>ס. פארם</v>
      </c>
      <c r="C581" s="14" t="str">
        <f aca="false">'לקוחות לפי סוכן - מקור'!E527</f>
        <v>ס.פ.קניון השרון נתניה תרופות</v>
      </c>
      <c r="D581" s="22" t="n">
        <f aca="false">'לקוחות לפי סוכן - מקור'!F527</f>
        <v>0</v>
      </c>
      <c r="E581" s="22" t="n">
        <f aca="false">'לקוחות לפי סוכן - מקור'!G527</f>
        <v>21382.2</v>
      </c>
      <c r="F581" s="14" t="n">
        <f aca="false">'לקוחות לפי סוכן - מקור'!D527</f>
        <v>0</v>
      </c>
      <c r="G581" s="15" t="n">
        <f aca="false">'לקוחות לפי סוכן - מקור'!H527</f>
        <v>0</v>
      </c>
      <c r="H581" s="15" t="n">
        <f aca="false">'לקוחות לפי סוכן - מקור'!I527</f>
        <v>0</v>
      </c>
      <c r="I581" s="48" t="str">
        <f aca="false">'לקוחות לפי סוכן - מקור'!K527</f>
        <v>CHMI</v>
      </c>
    </row>
    <row r="582" customFormat="false" ht="15" hidden="false" customHeight="true" outlineLevel="2" collapsed="false">
      <c r="A582" s="14" t="str">
        <f aca="false">'לקוחות לפי סוכן - מקור'!A528</f>
        <v>חיים ויצמן</v>
      </c>
      <c r="B582" s="14" t="str">
        <f aca="false">'לקוחות לפי סוכן - מקור'!C528</f>
        <v>ס. פארם</v>
      </c>
      <c r="C582" s="14" t="str">
        <f aca="false">'לקוחות לפי סוכן - מקור'!E528</f>
        <v>ס.פ.ויצמן נתניה תרופות</v>
      </c>
      <c r="D582" s="22" t="n">
        <f aca="false">'לקוחות לפי סוכן - מקור'!F528</f>
        <v>0</v>
      </c>
      <c r="E582" s="22" t="n">
        <f aca="false">'לקוחות לפי סוכן - מקור'!G528</f>
        <v>14275.7</v>
      </c>
      <c r="F582" s="14" t="n">
        <f aca="false">'לקוחות לפי סוכן - מקור'!D528</f>
        <v>0</v>
      </c>
      <c r="G582" s="15" t="n">
        <f aca="false">'לקוחות לפי סוכן - מקור'!H528</f>
        <v>0</v>
      </c>
      <c r="H582" s="15" t="n">
        <f aca="false">'לקוחות לפי סוכן - מקור'!I528</f>
        <v>0</v>
      </c>
      <c r="I582" s="48" t="str">
        <f aca="false">'לקוחות לפי סוכן - מקור'!K528</f>
        <v>CHMI</v>
      </c>
    </row>
    <row r="583" customFormat="false" ht="15" hidden="false" customHeight="true" outlineLevel="2" collapsed="false">
      <c r="A583" s="14" t="str">
        <f aca="false">'לקוחות לפי סוכן - מקור'!A529</f>
        <v>חיים ויצמן</v>
      </c>
      <c r="B583" s="14" t="str">
        <f aca="false">'לקוחות לפי סוכן - מקור'!C529</f>
        <v>ס. פארם</v>
      </c>
      <c r="C583" s="14" t="str">
        <f aca="false">'לקוחות לפי סוכן - מקור'!E529</f>
        <v>ס.פ.קדימה תרופות</v>
      </c>
      <c r="D583" s="22" t="n">
        <f aca="false">'לקוחות לפי סוכן - מקור'!F529</f>
        <v>0</v>
      </c>
      <c r="E583" s="22" t="n">
        <f aca="false">'לקוחות לפי סוכן - מקור'!G529</f>
        <v>15066.9</v>
      </c>
      <c r="F583" s="14" t="n">
        <f aca="false">'לקוחות לפי סוכן - מקור'!D529</f>
        <v>0</v>
      </c>
      <c r="G583" s="15" t="n">
        <f aca="false">'לקוחות לפי סוכן - מקור'!H529</f>
        <v>0</v>
      </c>
      <c r="H583" s="15" t="n">
        <f aca="false">'לקוחות לפי סוכן - מקור'!I529</f>
        <v>0</v>
      </c>
      <c r="I583" s="48" t="str">
        <f aca="false">'לקוחות לפי סוכן - מקור'!K529</f>
        <v>CHMI</v>
      </c>
    </row>
    <row r="584" customFormat="false" ht="15" hidden="false" customHeight="true" outlineLevel="2" collapsed="false">
      <c r="A584" s="14" t="str">
        <f aca="false">'לקוחות לפי סוכן - מקור'!A530</f>
        <v>חיים ויצמן</v>
      </c>
      <c r="B584" s="14" t="str">
        <f aca="false">'לקוחות לפי סוכן - מקור'!C530</f>
        <v>ס. פארם</v>
      </c>
      <c r="C584" s="14" t="str">
        <f aca="false">'לקוחות לפי סוכן - מקור'!E530</f>
        <v>ס.פ.תל מונד תרופות</v>
      </c>
      <c r="D584" s="22" t="n">
        <f aca="false">'לקוחות לפי סוכן - מקור'!F530</f>
        <v>0</v>
      </c>
      <c r="E584" s="22" t="n">
        <f aca="false">'לקוחות לפי סוכן - מקור'!G530</f>
        <v>12098.6</v>
      </c>
      <c r="F584" s="14" t="n">
        <f aca="false">'לקוחות לפי סוכן - מקור'!D530</f>
        <v>0</v>
      </c>
      <c r="G584" s="15" t="n">
        <f aca="false">'לקוחות לפי סוכן - מקור'!H530</f>
        <v>0</v>
      </c>
      <c r="H584" s="15" t="n">
        <f aca="false">'לקוחות לפי סוכן - מקור'!I530</f>
        <v>0</v>
      </c>
      <c r="I584" s="48" t="str">
        <f aca="false">'לקוחות לפי סוכן - מקור'!K530</f>
        <v>CHMI</v>
      </c>
    </row>
    <row r="585" customFormat="false" ht="15" hidden="false" customHeight="true" outlineLevel="2" collapsed="false">
      <c r="A585" s="14" t="str">
        <f aca="false">'לקוחות לפי סוכן - מקור'!A531</f>
        <v>חיים ויצמן</v>
      </c>
      <c r="B585" s="14" t="str">
        <f aca="false">'לקוחות לפי סוכן - מקור'!C531</f>
        <v>ס. פארם</v>
      </c>
      <c r="C585" s="14" t="str">
        <f aca="false">'לקוחות לפי סוכן - מקור'!E531</f>
        <v>ס.פ.ביג פולג תרופות</v>
      </c>
      <c r="D585" s="22" t="n">
        <f aca="false">'לקוחות לפי סוכן - מקור'!F531</f>
        <v>0</v>
      </c>
      <c r="E585" s="22" t="n">
        <f aca="false">'לקוחות לפי סוכן - מקור'!G531</f>
        <v>20736.3</v>
      </c>
      <c r="F585" s="14" t="n">
        <f aca="false">'לקוחות לפי סוכן - מקור'!D531</f>
        <v>0</v>
      </c>
      <c r="G585" s="15" t="n">
        <f aca="false">'לקוחות לפי סוכן - מקור'!H531</f>
        <v>0</v>
      </c>
      <c r="H585" s="15" t="n">
        <f aca="false">'לקוחות לפי סוכן - מקור'!I531</f>
        <v>0</v>
      </c>
      <c r="I585" s="48" t="str">
        <f aca="false">'לקוחות לפי סוכן - מקור'!K531</f>
        <v>CHMI</v>
      </c>
    </row>
    <row r="586" customFormat="false" ht="15" hidden="false" customHeight="true" outlineLevel="2" collapsed="false">
      <c r="A586" s="14" t="str">
        <f aca="false">'לקוחות לפי סוכן - מקור'!A532</f>
        <v>חיים ויצמן</v>
      </c>
      <c r="B586" s="14" t="str">
        <f aca="false">'לקוחות לפי סוכן - מקור'!C532</f>
        <v>ס. פארם</v>
      </c>
      <c r="C586" s="14" t="str">
        <f aca="false">'לקוחות לפי סוכן - מקור'!E532</f>
        <v>ס.פ.הארי נתניה תרופות</v>
      </c>
      <c r="D586" s="22" t="n">
        <f aca="false">'לקוחות לפי סוכן - מקור'!F532</f>
        <v>0</v>
      </c>
      <c r="E586" s="22" t="n">
        <f aca="false">'לקוחות לפי סוכן - מקור'!G532</f>
        <v>22369.9</v>
      </c>
      <c r="F586" s="14" t="n">
        <f aca="false">'לקוחות לפי סוכן - מקור'!D532</f>
        <v>0</v>
      </c>
      <c r="G586" s="15" t="n">
        <f aca="false">'לקוחות לפי סוכן - מקור'!H532</f>
        <v>0</v>
      </c>
      <c r="H586" s="15" t="n">
        <f aca="false">'לקוחות לפי סוכן - מקור'!I532</f>
        <v>0</v>
      </c>
      <c r="I586" s="48" t="str">
        <f aca="false">'לקוחות לפי סוכן - מקור'!K532</f>
        <v>CHMI</v>
      </c>
    </row>
    <row r="587" customFormat="false" ht="15" hidden="false" customHeight="true" outlineLevel="2" collapsed="false">
      <c r="A587" s="14" t="str">
        <f aca="false">'לקוחות לפי סוכן - מקור'!A533</f>
        <v>חיים ויצמן</v>
      </c>
      <c r="B587" s="14" t="str">
        <f aca="false">'לקוחות לפי סוכן - מקור'!C533</f>
        <v>ס. פארם</v>
      </c>
      <c r="C587" s="14" t="str">
        <f aca="false">'לקוחות לפי סוכן - מקור'!E533</f>
        <v>ס.פ.עיר ימים נתניה תרופות</v>
      </c>
      <c r="D587" s="22" t="n">
        <f aca="false">'לקוחות לפי סוכן - מקור'!F533</f>
        <v>0</v>
      </c>
      <c r="E587" s="22" t="n">
        <f aca="false">'לקוחות לפי סוכן - מקור'!G533</f>
        <v>24534.9</v>
      </c>
      <c r="F587" s="14" t="n">
        <f aca="false">'לקוחות לפי סוכן - מקור'!D533</f>
        <v>0</v>
      </c>
      <c r="G587" s="15" t="n">
        <f aca="false">'לקוחות לפי סוכן - מקור'!H533</f>
        <v>0</v>
      </c>
      <c r="H587" s="15" t="n">
        <f aca="false">'לקוחות לפי סוכן - מקור'!I533</f>
        <v>0</v>
      </c>
      <c r="I587" s="48" t="str">
        <f aca="false">'לקוחות לפי סוכן - מקור'!K533</f>
        <v>CHMI</v>
      </c>
    </row>
    <row r="588" customFormat="false" ht="15" hidden="false" customHeight="true" outlineLevel="2" collapsed="false">
      <c r="A588" s="14" t="str">
        <f aca="false">'לקוחות לפי סוכן - מקור'!A534</f>
        <v>חיים ויצמן</v>
      </c>
      <c r="B588" s="14" t="str">
        <f aca="false">'לקוחות לפי סוכן - מקור'!C534</f>
        <v>ס. פארם</v>
      </c>
      <c r="C588" s="14" t="str">
        <f aca="false">'לקוחות לפי סוכן - מקור'!E534</f>
        <v>ס.פ.רמז נתניה תרופות</v>
      </c>
      <c r="D588" s="22" t="n">
        <f aca="false">'לקוחות לפי סוכן - מקור'!F534</f>
        <v>0</v>
      </c>
      <c r="E588" s="22" t="n">
        <f aca="false">'לקוחות לפי סוכן - מקור'!G534</f>
        <v>14898.9</v>
      </c>
      <c r="F588" s="14" t="n">
        <f aca="false">'לקוחות לפי סוכן - מקור'!D534</f>
        <v>0</v>
      </c>
      <c r="G588" s="15" t="n">
        <f aca="false">'לקוחות לפי סוכן - מקור'!H534</f>
        <v>0</v>
      </c>
      <c r="H588" s="15" t="n">
        <f aca="false">'לקוחות לפי סוכן - מקור'!I534</f>
        <v>0</v>
      </c>
      <c r="I588" s="48" t="str">
        <f aca="false">'לקוחות לפי סוכן - מקור'!K534</f>
        <v>CHMI</v>
      </c>
    </row>
    <row r="589" customFormat="false" ht="15" hidden="false" customHeight="true" outlineLevel="2" collapsed="false">
      <c r="A589" s="14" t="str">
        <f aca="false">'לקוחות לפי סוכן - מקור'!A535</f>
        <v>חיים ויצמן</v>
      </c>
      <c r="B589" s="14" t="str">
        <f aca="false">'לקוחות לפי סוכן - מקור'!C535</f>
        <v>ס. פארם</v>
      </c>
      <c r="C589" s="14" t="str">
        <f aca="false">'לקוחות לפי סוכן - מקור'!E535</f>
        <v>ס.פ.הרצל ראשל""צ תרופות</v>
      </c>
      <c r="D589" s="22" t="n">
        <f aca="false">'לקוחות לפי סוכן - מקור'!F535</f>
        <v>0</v>
      </c>
      <c r="E589" s="22" t="n">
        <f aca="false">'לקוחות לפי סוכן - מקור'!G535</f>
        <v>2781.9</v>
      </c>
      <c r="F589" s="14" t="n">
        <f aca="false">'לקוחות לפי סוכן - מקור'!D535</f>
        <v>0</v>
      </c>
      <c r="G589" s="15" t="n">
        <f aca="false">'לקוחות לפי סוכן - מקור'!H535</f>
        <v>0</v>
      </c>
      <c r="H589" s="15" t="n">
        <f aca="false">'לקוחות לפי סוכן - מקור'!I535</f>
        <v>0</v>
      </c>
      <c r="I589" s="48" t="str">
        <f aca="false">'לקוחות לפי סוכן - מקור'!K535</f>
        <v>CHMI</v>
      </c>
    </row>
    <row r="590" customFormat="false" ht="15" hidden="false" customHeight="true" outlineLevel="2" collapsed="false">
      <c r="A590" s="14" t="str">
        <f aca="false">'לקוחות לפי סוכן - מקור'!A536</f>
        <v>חיים ויצמן</v>
      </c>
      <c r="B590" s="14" t="str">
        <f aca="false">'לקוחות לפי סוכן - מקור'!C536</f>
        <v>ס. פארם</v>
      </c>
      <c r="C590" s="14" t="str">
        <f aca="false">'לקוחות לפי סוכן - מקור'!E536</f>
        <v>ס.פ.ישפרו נס ציונה תרופות</v>
      </c>
      <c r="D590" s="22" t="n">
        <f aca="false">'לקוחות לפי סוכן - מקור'!F536</f>
        <v>0</v>
      </c>
      <c r="E590" s="22" t="n">
        <f aca="false">'לקוחות לפי סוכן - מקור'!G536</f>
        <v>18633.4</v>
      </c>
      <c r="F590" s="14" t="n">
        <f aca="false">'לקוחות לפי סוכן - מקור'!D536</f>
        <v>0</v>
      </c>
      <c r="G590" s="15" t="n">
        <f aca="false">'לקוחות לפי סוכן - מקור'!H536</f>
        <v>0</v>
      </c>
      <c r="H590" s="15" t="n">
        <f aca="false">'לקוחות לפי סוכן - מקור'!I536</f>
        <v>0</v>
      </c>
      <c r="I590" s="48" t="str">
        <f aca="false">'לקוחות לפי סוכן - מקור'!K536</f>
        <v>CHMI</v>
      </c>
    </row>
    <row r="591" customFormat="false" ht="15" hidden="false" customHeight="true" outlineLevel="2" collapsed="false">
      <c r="A591" s="14" t="str">
        <f aca="false">'לקוחות לפי סוכן - מקור'!A537</f>
        <v>חיים ויצמן</v>
      </c>
      <c r="B591" s="14" t="str">
        <f aca="false">'לקוחות לפי סוכן - מקור'!C537</f>
        <v>ס. פארם</v>
      </c>
      <c r="C591" s="14" t="str">
        <f aca="false">'לקוחות לפי סוכן - מקור'!E537</f>
        <v>ס.פ.גלרי ראשון לציון</v>
      </c>
      <c r="D591" s="22" t="n">
        <f aca="false">'לקוחות לפי סוכן - מקור'!F537</f>
        <v>0</v>
      </c>
      <c r="E591" s="22" t="n">
        <f aca="false">'לקוחות לפי סוכן - מקור'!G537</f>
        <v>21217.3</v>
      </c>
      <c r="F591" s="14" t="n">
        <f aca="false">'לקוחות לפי סוכן - מקור'!D537</f>
        <v>0</v>
      </c>
      <c r="G591" s="15" t="n">
        <f aca="false">'לקוחות לפי סוכן - מקור'!H537</f>
        <v>0</v>
      </c>
      <c r="H591" s="15" t="n">
        <f aca="false">'לקוחות לפי סוכן - מקור'!I537</f>
        <v>0</v>
      </c>
      <c r="I591" s="48" t="str">
        <f aca="false">'לקוחות לפי סוכן - מקור'!K537</f>
        <v>CHMI</v>
      </c>
    </row>
    <row r="592" customFormat="false" ht="15" hidden="false" customHeight="true" outlineLevel="2" collapsed="false">
      <c r="A592" s="14" t="str">
        <f aca="false">'לקוחות לפי סוכן - מקור'!A538</f>
        <v>חיים ויצמן</v>
      </c>
      <c r="B592" s="14" t="str">
        <f aca="false">'לקוחות לפי סוכן - מקור'!C538</f>
        <v>ס. פארם</v>
      </c>
      <c r="C592" s="14" t="str">
        <f aca="false">'לקוחות לפי סוכן - מקור'!E538</f>
        <v>ס.פ.הזהב תרופות</v>
      </c>
      <c r="D592" s="22" t="n">
        <f aca="false">'לקוחות לפי סוכן - מקור'!F538</f>
        <v>0</v>
      </c>
      <c r="E592" s="22" t="n">
        <f aca="false">'לקוחות לפי סוכן - מקור'!G538</f>
        <v>15223.5</v>
      </c>
      <c r="F592" s="14" t="n">
        <f aca="false">'לקוחות לפי סוכן - מקור'!D538</f>
        <v>0</v>
      </c>
      <c r="G592" s="15" t="n">
        <f aca="false">'לקוחות לפי סוכן - מקור'!H538</f>
        <v>0</v>
      </c>
      <c r="H592" s="15" t="n">
        <f aca="false">'לקוחות לפי סוכן - מקור'!I538</f>
        <v>0</v>
      </c>
      <c r="I592" s="48" t="str">
        <f aca="false">'לקוחות לפי סוכן - מקור'!K538</f>
        <v>CHMI</v>
      </c>
    </row>
    <row r="593" customFormat="false" ht="15" hidden="false" customHeight="true" outlineLevel="2" collapsed="false">
      <c r="A593" s="14" t="str">
        <f aca="false">'לקוחות לפי סוכן - מקור'!A539</f>
        <v>חיים ויצמן</v>
      </c>
      <c r="B593" s="14" t="str">
        <f aca="false">'לקוחות לפי סוכן - מקור'!C539</f>
        <v>ס. פארם</v>
      </c>
      <c r="C593" s="14" t="str">
        <f aca="false">'לקוחות לפי סוכן - מקור'!E539</f>
        <v>ס.פ.שיקמה תרופות ראשון לציון</v>
      </c>
      <c r="D593" s="22" t="n">
        <f aca="false">'לקוחות לפי סוכן - מקור'!F539</f>
        <v>0</v>
      </c>
      <c r="E593" s="22" t="n">
        <f aca="false">'לקוחות לפי סוכן - מקור'!G539</f>
        <v>8519.2</v>
      </c>
      <c r="F593" s="14" t="n">
        <f aca="false">'לקוחות לפי סוכן - מקור'!D539</f>
        <v>0</v>
      </c>
      <c r="G593" s="15" t="n">
        <f aca="false">'לקוחות לפי סוכן - מקור'!H539</f>
        <v>0</v>
      </c>
      <c r="H593" s="15" t="n">
        <f aca="false">'לקוחות לפי סוכן - מקור'!I539</f>
        <v>0</v>
      </c>
      <c r="I593" s="48" t="str">
        <f aca="false">'לקוחות לפי סוכן - מקור'!K539</f>
        <v>CHMI</v>
      </c>
    </row>
    <row r="594" customFormat="false" ht="15" hidden="false" customHeight="true" outlineLevel="2" collapsed="false">
      <c r="A594" s="14" t="str">
        <f aca="false">'לקוחות לפי סוכן - מקור'!A540</f>
        <v>חיים ויצמן</v>
      </c>
      <c r="B594" s="14" t="str">
        <f aca="false">'לקוחות לפי סוכן - מקור'!C540</f>
        <v>ס. פארם</v>
      </c>
      <c r="C594" s="14" t="str">
        <f aca="false">'לקוחות לפי סוכן - מקור'!E540</f>
        <v>ס.פ.רוטישלד תרופות</v>
      </c>
      <c r="D594" s="22" t="n">
        <f aca="false">'לקוחות לפי סוכן - מקור'!F540</f>
        <v>0</v>
      </c>
      <c r="E594" s="22" t="n">
        <f aca="false">'לקוחות לפי סוכן - מקור'!G540</f>
        <v>12975.1</v>
      </c>
      <c r="F594" s="14" t="n">
        <f aca="false">'לקוחות לפי סוכן - מקור'!D540</f>
        <v>0</v>
      </c>
      <c r="G594" s="15" t="n">
        <f aca="false">'לקוחות לפי סוכן - מקור'!H540</f>
        <v>0</v>
      </c>
      <c r="H594" s="15" t="n">
        <f aca="false">'לקוחות לפי סוכן - מקור'!I540</f>
        <v>0</v>
      </c>
      <c r="I594" s="48" t="str">
        <f aca="false">'לקוחות לפי סוכן - מקור'!K540</f>
        <v>CHMI</v>
      </c>
    </row>
    <row r="595" customFormat="false" ht="15" hidden="false" customHeight="true" outlineLevel="2" collapsed="false">
      <c r="A595" s="14" t="str">
        <f aca="false">'לקוחות לפי סוכן - מקור'!A541</f>
        <v>חיים ויצמן</v>
      </c>
      <c r="B595" s="14" t="str">
        <f aca="false">'לקוחות לפי סוכן - מקור'!C541</f>
        <v>ס. פארם</v>
      </c>
      <c r="C595" s="14" t="str">
        <f aca="false">'לקוחות לפי סוכן - מקור'!E541</f>
        <v>ס.פ.לישנסקי תרופות</v>
      </c>
      <c r="D595" s="22" t="n">
        <f aca="false">'לקוחות לפי סוכן - מקור'!F541</f>
        <v>0</v>
      </c>
      <c r="E595" s="22" t="n">
        <f aca="false">'לקוחות לפי סוכן - מקור'!G541</f>
        <v>12020.2</v>
      </c>
      <c r="F595" s="14" t="n">
        <f aca="false">'לקוחות לפי סוכן - מקור'!D541</f>
        <v>0</v>
      </c>
      <c r="G595" s="15" t="n">
        <f aca="false">'לקוחות לפי סוכן - מקור'!H541</f>
        <v>0</v>
      </c>
      <c r="H595" s="15" t="n">
        <f aca="false">'לקוחות לפי סוכן - מקור'!I541</f>
        <v>0</v>
      </c>
      <c r="I595" s="48" t="str">
        <f aca="false">'לקוחות לפי סוכן - מקור'!K541</f>
        <v>CHMI</v>
      </c>
    </row>
    <row r="596" customFormat="false" ht="15" hidden="false" customHeight="true" outlineLevel="2" collapsed="false">
      <c r="A596" s="14" t="str">
        <f aca="false">'לקוחות לפי סוכן - מקור'!A542</f>
        <v>חיים ויצמן</v>
      </c>
      <c r="B596" s="14" t="str">
        <f aca="false">'לקוחות לפי סוכן - מקור'!C542</f>
        <v>ס. פארם</v>
      </c>
      <c r="C596" s="14" t="str">
        <f aca="false">'לקוחות לפי סוכן - מקור'!E542</f>
        <v>ס.פ.קניותר תרופות</v>
      </c>
      <c r="D596" s="22" t="n">
        <f aca="false">'לקוחות לפי סוכן - מקור'!F542</f>
        <v>0</v>
      </c>
      <c r="E596" s="22" t="n">
        <f aca="false">'לקוחות לפי סוכן - מקור'!G542</f>
        <v>26211.2</v>
      </c>
      <c r="F596" s="14" t="n">
        <f aca="false">'לקוחות לפי סוכן - מקור'!D542</f>
        <v>0</v>
      </c>
      <c r="G596" s="15" t="n">
        <f aca="false">'לקוחות לפי סוכן - מקור'!H542</f>
        <v>0</v>
      </c>
      <c r="H596" s="15" t="n">
        <f aca="false">'לקוחות לפי סוכן - מקור'!I542</f>
        <v>0</v>
      </c>
      <c r="I596" s="48" t="str">
        <f aca="false">'לקוחות לפי סוכן - מקור'!K542</f>
        <v>CHMI</v>
      </c>
    </row>
    <row r="597" customFormat="false" ht="15" hidden="false" customHeight="true" outlineLevel="2" collapsed="false">
      <c r="A597" s="14" t="str">
        <f aca="false">'לקוחות לפי סוכן - מקור'!A543</f>
        <v>חיים ויצמן</v>
      </c>
      <c r="B597" s="14" t="str">
        <f aca="false">'לקוחות לפי סוכן - מקור'!C543</f>
        <v>ס. פארם</v>
      </c>
      <c r="C597" s="14" t="str">
        <f aca="false">'לקוחות לפי סוכן - מקור'!E543</f>
        <v>ס.פ.ראשל""צ תרופות</v>
      </c>
      <c r="D597" s="22" t="n">
        <f aca="false">'לקוחות לפי סוכן - מקור'!F543</f>
        <v>0</v>
      </c>
      <c r="E597" s="22" t="n">
        <f aca="false">'לקוחות לפי סוכן - מקור'!G543</f>
        <v>29530.3</v>
      </c>
      <c r="F597" s="14" t="n">
        <f aca="false">'לקוחות לפי סוכן - מקור'!D543</f>
        <v>0</v>
      </c>
      <c r="G597" s="15" t="n">
        <f aca="false">'לקוחות לפי סוכן - מקור'!H543</f>
        <v>0</v>
      </c>
      <c r="H597" s="15" t="n">
        <f aca="false">'לקוחות לפי סוכן - מקור'!I543</f>
        <v>0</v>
      </c>
      <c r="I597" s="48" t="str">
        <f aca="false">'לקוחות לפי סוכן - מקור'!K543</f>
        <v>CHMI</v>
      </c>
    </row>
    <row r="598" customFormat="false" ht="15" hidden="false" customHeight="true" outlineLevel="2" collapsed="false">
      <c r="A598" s="14" t="str">
        <f aca="false">'לקוחות לפי סוכן - מקור'!A544</f>
        <v>חיים ויצמן</v>
      </c>
      <c r="B598" s="14" t="str">
        <f aca="false">'לקוחות לפי סוכן - מקור'!C544</f>
        <v>ס. פארם</v>
      </c>
      <c r="C598" s="14" t="str">
        <f aca="false">'לקוחות לפי סוכן - מקור'!E544</f>
        <v>ס.פ.אוסישקין תרופות רמת השרון</v>
      </c>
      <c r="D598" s="22" t="n">
        <f aca="false">'לקוחות לפי סוכן - מקור'!F544</f>
        <v>0</v>
      </c>
      <c r="E598" s="22" t="n">
        <f aca="false">'לקוחות לפי סוכן - מקור'!G544</f>
        <v>19009.4</v>
      </c>
      <c r="F598" s="14" t="n">
        <f aca="false">'לקוחות לפי סוכן - מקור'!D544</f>
        <v>0</v>
      </c>
      <c r="G598" s="15" t="n">
        <f aca="false">'לקוחות לפי סוכן - מקור'!H544</f>
        <v>0</v>
      </c>
      <c r="H598" s="15" t="n">
        <f aca="false">'לקוחות לפי סוכן - מקור'!I544</f>
        <v>0</v>
      </c>
      <c r="I598" s="48" t="str">
        <f aca="false">'לקוחות לפי סוכן - מקור'!K544</f>
        <v>CHMI</v>
      </c>
    </row>
    <row r="599" customFormat="false" ht="15" hidden="false" customHeight="true" outlineLevel="2" collapsed="false">
      <c r="A599" s="14" t="str">
        <f aca="false">'לקוחות לפי סוכן - מקור'!A545</f>
        <v>חיים ויצמן</v>
      </c>
      <c r="B599" s="14" t="str">
        <f aca="false">'לקוחות לפי סוכן - מקור'!C545</f>
        <v>ס. פארם</v>
      </c>
      <c r="C599" s="14" t="str">
        <f aca="false">'לקוחות לפי סוכן - מקור'!E545</f>
        <v>ס.פ.צמרות תרופות</v>
      </c>
      <c r="D599" s="22" t="n">
        <f aca="false">'לקוחות לפי סוכן - מקור'!F545</f>
        <v>0</v>
      </c>
      <c r="E599" s="22" t="n">
        <f aca="false">'לקוחות לפי סוכן - מקור'!G545</f>
        <v>30879.9</v>
      </c>
      <c r="F599" s="14" t="n">
        <f aca="false">'לקוחות לפי סוכן - מקור'!D545</f>
        <v>0</v>
      </c>
      <c r="G599" s="15" t="n">
        <f aca="false">'לקוחות לפי סוכן - מקור'!H545</f>
        <v>0</v>
      </c>
      <c r="H599" s="15" t="n">
        <f aca="false">'לקוחות לפי סוכן - מקור'!I545</f>
        <v>0</v>
      </c>
      <c r="I599" s="48" t="str">
        <f aca="false">'לקוחות לפי סוכן - מקור'!K545</f>
        <v>CHMI</v>
      </c>
    </row>
    <row r="600" customFormat="false" ht="15" hidden="false" customHeight="true" outlineLevel="2" collapsed="false">
      <c r="A600" s="14" t="str">
        <f aca="false">'לקוחות לפי סוכן - מקור'!A546</f>
        <v>חיים ויצמן</v>
      </c>
      <c r="B600" s="14" t="str">
        <f aca="false">'לקוחות לפי סוכן - מקור'!C546</f>
        <v>ס. פארם</v>
      </c>
      <c r="C600" s="14" t="str">
        <f aca="false">'לקוחות לפי סוכן - מקור'!E546</f>
        <v>ס.פ.הרצליה פיתוח תרופות</v>
      </c>
      <c r="D600" s="22" t="n">
        <f aca="false">'לקוחות לפי סוכן - מקור'!F546</f>
        <v>0</v>
      </c>
      <c r="E600" s="22" t="n">
        <f aca="false">'לקוחות לפי סוכן - מקור'!G546</f>
        <v>19731</v>
      </c>
      <c r="F600" s="14" t="n">
        <f aca="false">'לקוחות לפי סוכן - מקור'!D546</f>
        <v>0</v>
      </c>
      <c r="G600" s="15" t="n">
        <f aca="false">'לקוחות לפי סוכן - מקור'!H546</f>
        <v>0</v>
      </c>
      <c r="H600" s="15" t="n">
        <f aca="false">'לקוחות לפי סוכן - מקור'!I546</f>
        <v>0</v>
      </c>
      <c r="I600" s="48" t="str">
        <f aca="false">'לקוחות לפי סוכן - מקור'!K546</f>
        <v>CHMI</v>
      </c>
    </row>
    <row r="601" customFormat="false" ht="15" hidden="false" customHeight="true" outlineLevel="2" collapsed="false">
      <c r="A601" s="14" t="str">
        <f aca="false">'לקוחות לפי סוכן - מקור'!A547</f>
        <v>חיים ויצמן</v>
      </c>
      <c r="B601" s="14" t="str">
        <f aca="false">'לקוחות לפי סוכן - מקור'!C547</f>
        <v>ס. פארם</v>
      </c>
      <c r="C601" s="14" t="str">
        <f aca="false">'לקוחות לפי סוכן - מקור'!E547</f>
        <v>ס.פ.סוקולוב הרצליה תרופות</v>
      </c>
      <c r="D601" s="22" t="n">
        <f aca="false">'לקוחות לפי סוכן - מקור'!F547</f>
        <v>0</v>
      </c>
      <c r="E601" s="22" t="n">
        <f aca="false">'לקוחות לפי סוכן - מקור'!G547</f>
        <v>13579.9</v>
      </c>
      <c r="F601" s="14" t="n">
        <f aca="false">'לקוחות לפי סוכן - מקור'!D547</f>
        <v>0</v>
      </c>
      <c r="G601" s="15" t="n">
        <f aca="false">'לקוחות לפי סוכן - מקור'!H547</f>
        <v>0</v>
      </c>
      <c r="H601" s="15" t="n">
        <f aca="false">'לקוחות לפי סוכן - מקור'!I547</f>
        <v>0</v>
      </c>
      <c r="I601" s="48" t="str">
        <f aca="false">'לקוחות לפי סוכן - מקור'!K547</f>
        <v>CHMI</v>
      </c>
    </row>
    <row r="602" customFormat="false" ht="15" hidden="false" customHeight="true" outlineLevel="2" collapsed="false">
      <c r="A602" s="14" t="str">
        <f aca="false">'לקוחות לפי סוכן - מקור'!A548</f>
        <v>חיים ויצמן</v>
      </c>
      <c r="B602" s="14" t="str">
        <f aca="false">'לקוחות לפי סוכן - מקור'!C548</f>
        <v>ס. פארם</v>
      </c>
      <c r="C602" s="14" t="str">
        <f aca="false">'לקוחות לפי סוכן - מקור'!E548</f>
        <v>ס.פ.שפיים תרופות</v>
      </c>
      <c r="D602" s="22" t="n">
        <f aca="false">'לקוחות לפי סוכן - מקור'!F548</f>
        <v>0</v>
      </c>
      <c r="E602" s="22" t="n">
        <f aca="false">'לקוחות לפי סוכן - מקור'!G548</f>
        <v>14973.4</v>
      </c>
      <c r="F602" s="14" t="n">
        <f aca="false">'לקוחות לפי סוכן - מקור'!D548</f>
        <v>0</v>
      </c>
      <c r="G602" s="15" t="n">
        <f aca="false">'לקוחות לפי סוכן - מקור'!H548</f>
        <v>0</v>
      </c>
      <c r="H602" s="15" t="n">
        <f aca="false">'לקוחות לפי סוכן - מקור'!I548</f>
        <v>0</v>
      </c>
      <c r="I602" s="48" t="str">
        <f aca="false">'לקוחות לפי סוכן - מקור'!K548</f>
        <v>CHMI</v>
      </c>
    </row>
    <row r="603" customFormat="false" ht="15" hidden="false" customHeight="true" outlineLevel="2" collapsed="false">
      <c r="A603" s="14" t="str">
        <f aca="false">'לקוחות לפי סוכן - מקור'!A549</f>
        <v>חיים ויצמן</v>
      </c>
      <c r="B603" s="14" t="str">
        <f aca="false">'לקוחות לפי סוכן - מקור'!C549</f>
        <v>ס. פארם</v>
      </c>
      <c r="C603" s="14" t="str">
        <f aca="false">'לקוחות לפי סוכן - מקור'!E549</f>
        <v>ס.פ.שבעת הכוכבים תרופות</v>
      </c>
      <c r="D603" s="22" t="n">
        <f aca="false">'לקוחות לפי סוכן - מקור'!F549</f>
        <v>0</v>
      </c>
      <c r="E603" s="22" t="n">
        <f aca="false">'לקוחות לפי סוכן - מקור'!G549</f>
        <v>28402.3</v>
      </c>
      <c r="F603" s="14" t="n">
        <f aca="false">'לקוחות לפי סוכן - מקור'!D549</f>
        <v>0</v>
      </c>
      <c r="G603" s="15" t="n">
        <f aca="false">'לקוחות לפי סוכן - מקור'!H549</f>
        <v>0</v>
      </c>
      <c r="H603" s="15" t="n">
        <f aca="false">'לקוחות לפי סוכן - מקור'!I549</f>
        <v>0</v>
      </c>
      <c r="I603" s="48" t="str">
        <f aca="false">'לקוחות לפי סוכן - מקור'!K549</f>
        <v>CHMI</v>
      </c>
    </row>
    <row r="604" customFormat="false" ht="15" hidden="false" customHeight="true" outlineLevel="2" collapsed="false">
      <c r="A604" s="14" t="str">
        <f aca="false">'לקוחות לפי סוכן - מקור'!A550</f>
        <v>חיים ויצמן</v>
      </c>
      <c r="B604" s="14" t="str">
        <f aca="false">'לקוחות לפי סוכן - מקור'!C550</f>
        <v>ס. פארם</v>
      </c>
      <c r="C604" s="14" t="str">
        <f aca="false">'לקוחות לפי סוכן - מקור'!E550</f>
        <v>ס.פ.ארנה הרצליה תרופות</v>
      </c>
      <c r="D604" s="22" t="n">
        <f aca="false">'לקוחות לפי סוכן - מקור'!F550</f>
        <v>0</v>
      </c>
      <c r="E604" s="22" t="n">
        <f aca="false">'לקוחות לפי סוכן - מקור'!G550</f>
        <v>17575.5</v>
      </c>
      <c r="F604" s="14" t="n">
        <f aca="false">'לקוחות לפי סוכן - מקור'!D550</f>
        <v>0</v>
      </c>
      <c r="G604" s="15" t="n">
        <f aca="false">'לקוחות לפי סוכן - מקור'!H550</f>
        <v>0</v>
      </c>
      <c r="H604" s="15" t="n">
        <f aca="false">'לקוחות לפי סוכן - מקור'!I550</f>
        <v>0</v>
      </c>
      <c r="I604" s="48" t="str">
        <f aca="false">'לקוחות לפי סוכן - מקור'!K550</f>
        <v>CHMI</v>
      </c>
    </row>
    <row r="605" customFormat="false" ht="15" hidden="false" customHeight="true" outlineLevel="2" collapsed="false">
      <c r="A605" s="14" t="str">
        <f aca="false">'לקוחות לפי סוכן - מקור'!A551</f>
        <v>חיים ויצמן</v>
      </c>
      <c r="B605" s="14" t="str">
        <f aca="false">'לקוחות לפי סוכן - מקור'!C551</f>
        <v>ס. פארם</v>
      </c>
      <c r="C605" s="14" t="str">
        <f aca="false">'לקוחות לפי סוכן - מקור'!E551</f>
        <v>ס.פ.כיכר דיזנגוף תרופות</v>
      </c>
      <c r="D605" s="22" t="n">
        <f aca="false">'לקוחות לפי סוכן - מקור'!F551</f>
        <v>0</v>
      </c>
      <c r="E605" s="22" t="n">
        <f aca="false">'לקוחות לפי סוכן - מקור'!G551</f>
        <v>15642.4</v>
      </c>
      <c r="F605" s="14" t="n">
        <f aca="false">'לקוחות לפי סוכן - מקור'!D551</f>
        <v>0</v>
      </c>
      <c r="G605" s="15" t="n">
        <f aca="false">'לקוחות לפי סוכן - מקור'!H551</f>
        <v>0</v>
      </c>
      <c r="H605" s="15" t="n">
        <f aca="false">'לקוחות לפי סוכן - מקור'!I551</f>
        <v>0</v>
      </c>
      <c r="I605" s="48" t="str">
        <f aca="false">'לקוחות לפי סוכן - מקור'!K551</f>
        <v>CHMI</v>
      </c>
    </row>
    <row r="606" customFormat="false" ht="15" hidden="false" customHeight="true" outlineLevel="2" collapsed="false">
      <c r="A606" s="14" t="str">
        <f aca="false">'לקוחות לפי סוכן - מקור'!A552</f>
        <v>חיים ויצמן</v>
      </c>
      <c r="B606" s="14" t="str">
        <f aca="false">'לקוחות לפי סוכן - מקור'!C552</f>
        <v>ס. פארם</v>
      </c>
      <c r="C606" s="14" t="str">
        <f aca="false">'לקוחות לפי סוכן - מקור'!E552</f>
        <v>ס.פ.ארלוזורוב תרופות</v>
      </c>
      <c r="D606" s="22" t="n">
        <f aca="false">'לקוחות לפי סוכן - מקור'!F552</f>
        <v>0</v>
      </c>
      <c r="E606" s="22" t="n">
        <f aca="false">'לקוחות לפי סוכן - מקור'!G552</f>
        <v>10308</v>
      </c>
      <c r="F606" s="14" t="n">
        <f aca="false">'לקוחות לפי סוכן - מקור'!D552</f>
        <v>0</v>
      </c>
      <c r="G606" s="15" t="n">
        <f aca="false">'לקוחות לפי סוכן - מקור'!H552</f>
        <v>0</v>
      </c>
      <c r="H606" s="15" t="n">
        <f aca="false">'לקוחות לפי סוכן - מקור'!I552</f>
        <v>0</v>
      </c>
      <c r="I606" s="48" t="str">
        <f aca="false">'לקוחות לפי סוכן - מקור'!K552</f>
        <v>CHMI</v>
      </c>
    </row>
    <row r="607" customFormat="false" ht="15" hidden="false" customHeight="true" outlineLevel="2" collapsed="false">
      <c r="A607" s="14" t="str">
        <f aca="false">'לקוחות לפי סוכן - מקור'!A553</f>
        <v>חיים ויצמן</v>
      </c>
      <c r="B607" s="14" t="str">
        <f aca="false">'לקוחות לפי סוכן - מקור'!C553</f>
        <v>ס. פארם</v>
      </c>
      <c r="C607" s="14" t="str">
        <f aca="false">'לקוחות לפי סוכן - מקור'!E553</f>
        <v>ס.פ.כפר סבא הירוקה תרופות</v>
      </c>
      <c r="D607" s="22" t="n">
        <f aca="false">'לקוחות לפי סוכן - מקור'!F553</f>
        <v>0</v>
      </c>
      <c r="E607" s="22" t="n">
        <f aca="false">'לקוחות לפי סוכן - מקור'!G553</f>
        <v>14927.9</v>
      </c>
      <c r="F607" s="14" t="n">
        <f aca="false">'לקוחות לפי סוכן - מקור'!D553</f>
        <v>0</v>
      </c>
      <c r="G607" s="15" t="n">
        <f aca="false">'לקוחות לפי סוכן - מקור'!H553</f>
        <v>0</v>
      </c>
      <c r="H607" s="15" t="n">
        <f aca="false">'לקוחות לפי סוכן - מקור'!I553</f>
        <v>0</v>
      </c>
      <c r="I607" s="48" t="str">
        <f aca="false">'לקוחות לפי סוכן - מקור'!K553</f>
        <v>CHMI</v>
      </c>
    </row>
    <row r="608" customFormat="false" ht="15" hidden="false" customHeight="true" outlineLevel="2" collapsed="false">
      <c r="A608" s="14" t="str">
        <f aca="false">'לקוחות לפי סוכן - מקור'!A554</f>
        <v>חיים ויצמן</v>
      </c>
      <c r="B608" s="14" t="str">
        <f aca="false">'לקוחות לפי סוכן - מקור'!C554</f>
        <v>ס. פארם</v>
      </c>
      <c r="C608" s="14" t="str">
        <f aca="false">'לקוחות לפי סוכן - מקור'!E554</f>
        <v>ס.פ.בית הבד תרופות הוד השרון</v>
      </c>
      <c r="D608" s="22" t="n">
        <f aca="false">'לקוחות לפי סוכן - מקור'!F554</f>
        <v>0</v>
      </c>
      <c r="E608" s="22" t="n">
        <f aca="false">'לקוחות לפי סוכן - מקור'!G554</f>
        <v>10688.9</v>
      </c>
      <c r="F608" s="14" t="n">
        <f aca="false">'לקוחות לפי סוכן - מקור'!D554</f>
        <v>0</v>
      </c>
      <c r="G608" s="15" t="n">
        <f aca="false">'לקוחות לפי סוכן - מקור'!H554</f>
        <v>0</v>
      </c>
      <c r="H608" s="15" t="n">
        <f aca="false">'לקוחות לפי סוכן - מקור'!I554</f>
        <v>0</v>
      </c>
      <c r="I608" s="48" t="str">
        <f aca="false">'לקוחות לפי סוכן - מקור'!K554</f>
        <v>CHMI</v>
      </c>
    </row>
    <row r="609" customFormat="false" ht="15" hidden="false" customHeight="true" outlineLevel="2" collapsed="false">
      <c r="A609" s="14" t="str">
        <f aca="false">'לקוחות לפי סוכן - מקור'!A555</f>
        <v>חיים ויצמן</v>
      </c>
      <c r="B609" s="14" t="str">
        <f aca="false">'לקוחות לפי סוכן - מקור'!C555</f>
        <v>ס. פארם</v>
      </c>
      <c r="C609" s="14" t="str">
        <f aca="false">'לקוחות לפי סוכן - מקור'!E555</f>
        <v>ס.פ.אגמים נתניה תרופות</v>
      </c>
      <c r="D609" s="22" t="n">
        <f aca="false">'לקוחות לפי סוכן - מקור'!F555</f>
        <v>0</v>
      </c>
      <c r="E609" s="22" t="n">
        <f aca="false">'לקוחות לפי סוכן - מקור'!G555</f>
        <v>13338.6</v>
      </c>
      <c r="F609" s="14" t="n">
        <f aca="false">'לקוחות לפי סוכן - מקור'!D555</f>
        <v>0</v>
      </c>
      <c r="G609" s="15" t="n">
        <f aca="false">'לקוחות לפי סוכן - מקור'!H555</f>
        <v>0</v>
      </c>
      <c r="H609" s="15" t="n">
        <f aca="false">'לקוחות לפי סוכן - מקור'!I555</f>
        <v>0</v>
      </c>
      <c r="I609" s="48" t="str">
        <f aca="false">'לקוחות לפי סוכן - מקור'!K555</f>
        <v>CHMI</v>
      </c>
    </row>
    <row r="610" customFormat="false" ht="15" hidden="false" customHeight="true" outlineLevel="2" collapsed="false">
      <c r="A610" s="14" t="str">
        <f aca="false">'לקוחות לפי סוכן - מקור'!A556</f>
        <v>חיים ויצמן</v>
      </c>
      <c r="B610" s="14" t="str">
        <f aca="false">'לקוחות לפי סוכן - מקור'!C556</f>
        <v>ס. פארם</v>
      </c>
      <c r="C610" s="14" t="str">
        <f aca="false">'לקוחות לפי סוכן - מקור'!E556</f>
        <v>ס.פ.צייטלין ת""א תרופות</v>
      </c>
      <c r="D610" s="22" t="n">
        <f aca="false">'לקוחות לפי סוכן - מקור'!F556</f>
        <v>0</v>
      </c>
      <c r="E610" s="22" t="n">
        <f aca="false">'לקוחות לפי סוכן - מקור'!G556</f>
        <v>4912.1</v>
      </c>
      <c r="F610" s="14" t="n">
        <f aca="false">'לקוחות לפי סוכן - מקור'!D556</f>
        <v>0</v>
      </c>
      <c r="G610" s="15" t="n">
        <f aca="false">'לקוחות לפי סוכן - מקור'!H556</f>
        <v>0</v>
      </c>
      <c r="H610" s="15" t="n">
        <f aca="false">'לקוחות לפי סוכן - מקור'!I556</f>
        <v>0</v>
      </c>
      <c r="I610" s="48" t="str">
        <f aca="false">'לקוחות לפי סוכן - מקור'!K556</f>
        <v>CHMI</v>
      </c>
    </row>
    <row r="611" customFormat="false" ht="15" hidden="false" customHeight="true" outlineLevel="2" collapsed="false">
      <c r="A611" s="14" t="str">
        <f aca="false">'לקוחות לפי סוכן - מקור'!A557</f>
        <v>חיים ויצמן</v>
      </c>
      <c r="B611" s="14" t="str">
        <f aca="false">'לקוחות לפי סוכן - מקור'!C557</f>
        <v>ס. פארם</v>
      </c>
      <c r="C611" s="14" t="str">
        <f aca="false">'לקוחות לפי סוכן - מקור'!E557</f>
        <v>ס.פ.שרונה ת""א תרופות</v>
      </c>
      <c r="D611" s="22" t="n">
        <f aca="false">'לקוחות לפי סוכן - מקור'!F557</f>
        <v>0</v>
      </c>
      <c r="E611" s="22" t="n">
        <f aca="false">'לקוחות לפי סוכן - מקור'!G557</f>
        <v>9085.7</v>
      </c>
      <c r="F611" s="14" t="n">
        <f aca="false">'לקוחות לפי סוכן - מקור'!D557</f>
        <v>0</v>
      </c>
      <c r="G611" s="15" t="n">
        <f aca="false">'לקוחות לפי סוכן - מקור'!H557</f>
        <v>0</v>
      </c>
      <c r="H611" s="15" t="n">
        <f aca="false">'לקוחות לפי סוכן - מקור'!I557</f>
        <v>0</v>
      </c>
      <c r="I611" s="48" t="str">
        <f aca="false">'לקוחות לפי סוכן - מקור'!K557</f>
        <v>CHMI</v>
      </c>
    </row>
    <row r="612" customFormat="false" ht="15" hidden="false" customHeight="true" outlineLevel="2" collapsed="false">
      <c r="A612" s="14" t="str">
        <f aca="false">'לקוחות לפי סוכן - מקור'!A558</f>
        <v>חיים ויצמן</v>
      </c>
      <c r="B612" s="14" t="str">
        <f aca="false">'לקוחות לפי סוכן - מקור'!C558</f>
        <v>ס. פארם</v>
      </c>
      <c r="C612" s="14" t="str">
        <f aca="false">'לקוחות לפי סוכן - מקור'!E558</f>
        <v>תרופות ת""א TLV ס.פ.קניון</v>
      </c>
      <c r="D612" s="22" t="n">
        <f aca="false">'לקוחות לפי סוכן - מקור'!F558</f>
        <v>0</v>
      </c>
      <c r="E612" s="22" t="n">
        <f aca="false">'לקוחות לפי סוכן - מקור'!G558</f>
        <v>14184.4</v>
      </c>
      <c r="F612" s="14" t="n">
        <f aca="false">'לקוחות לפי סוכן - מקור'!D558</f>
        <v>0</v>
      </c>
      <c r="G612" s="15" t="n">
        <f aca="false">'לקוחות לפי סוכן - מקור'!H558</f>
        <v>0</v>
      </c>
      <c r="H612" s="15" t="n">
        <f aca="false">'לקוחות לפי סוכן - מקור'!I558</f>
        <v>0</v>
      </c>
      <c r="I612" s="48" t="str">
        <f aca="false">'לקוחות לפי סוכן - מקור'!K558</f>
        <v>CHMI</v>
      </c>
    </row>
    <row r="613" customFormat="false" ht="15" hidden="false" customHeight="true" outlineLevel="2" collapsed="false">
      <c r="A613" s="14" t="str">
        <f aca="false">'לקוחות לפי סוכן - מקור'!A559</f>
        <v>חיים ויצמן</v>
      </c>
      <c r="B613" s="14" t="str">
        <f aca="false">'לקוחות לפי סוכן - מקור'!C559</f>
        <v>ס. פארם</v>
      </c>
      <c r="C613" s="14" t="str">
        <f aca="false">'לקוחות לפי סוכן - מקור'!E559</f>
        <v>ס.פ.נופי ים ת""א תרופות</v>
      </c>
      <c r="D613" s="22" t="n">
        <f aca="false">'לקוחות לפי סוכן - מקור'!F559</f>
        <v>0</v>
      </c>
      <c r="E613" s="22" t="n">
        <f aca="false">'לקוחות לפי סוכן - מקור'!G559</f>
        <v>11984.1</v>
      </c>
      <c r="F613" s="14" t="n">
        <f aca="false">'לקוחות לפי סוכן - מקור'!D559</f>
        <v>0</v>
      </c>
      <c r="G613" s="15" t="n">
        <f aca="false">'לקוחות לפי סוכן - מקור'!H559</f>
        <v>0</v>
      </c>
      <c r="H613" s="15" t="n">
        <f aca="false">'לקוחות לפי סוכן - מקור'!I559</f>
        <v>0</v>
      </c>
      <c r="I613" s="48" t="str">
        <f aca="false">'לקוחות לפי סוכן - מקור'!K559</f>
        <v>CHMI</v>
      </c>
    </row>
    <row r="614" customFormat="false" ht="15" hidden="false" customHeight="true" outlineLevel="2" collapsed="false">
      <c r="A614" s="14" t="str">
        <f aca="false">'לקוחות לפי סוכן - מקור'!A560</f>
        <v>חיים ויצמן</v>
      </c>
      <c r="B614" s="14" t="str">
        <f aca="false">'לקוחות לפי סוכן - מקור'!C560</f>
        <v>ס. פארם</v>
      </c>
      <c r="C614" s="14" t="str">
        <f aca="false">'לקוחות לפי סוכן - מקור'!E560</f>
        <v>ס.פ. המכללה ראשל""צ תרופות</v>
      </c>
      <c r="D614" s="22" t="n">
        <f aca="false">'לקוחות לפי סוכן - מקור'!F560</f>
        <v>0</v>
      </c>
      <c r="E614" s="22" t="n">
        <f aca="false">'לקוחות לפי סוכן - מקור'!G560</f>
        <v>7012.3</v>
      </c>
      <c r="F614" s="14" t="n">
        <f aca="false">'לקוחות לפי סוכן - מקור'!D560</f>
        <v>0</v>
      </c>
      <c r="G614" s="15" t="n">
        <f aca="false">'לקוחות לפי סוכן - מקור'!H560</f>
        <v>0</v>
      </c>
      <c r="H614" s="15" t="n">
        <f aca="false">'לקוחות לפי סוכן - מקור'!I560</f>
        <v>0</v>
      </c>
      <c r="I614" s="48" t="str">
        <f aca="false">'לקוחות לפי סוכן - מקור'!K560</f>
        <v>CHMI</v>
      </c>
    </row>
    <row r="615" customFormat="false" ht="15" hidden="false" customHeight="true" outlineLevel="2" collapsed="false">
      <c r="A615" s="14" t="str">
        <f aca="false">'לקוחות לפי סוכן - מקור'!A561</f>
        <v>חיים ויצמן</v>
      </c>
      <c r="B615" s="14" t="str">
        <f aca="false">'לקוחות לפי סוכן - מקור'!C561</f>
        <v>ס. פארם</v>
      </c>
      <c r="C615" s="14" t="str">
        <f aca="false">'לקוחות לפי סוכן - מקור'!E561</f>
        <v>ס.פ.קניון ראשונים תרופות</v>
      </c>
      <c r="D615" s="22" t="n">
        <f aca="false">'לקוחות לפי סוכן - מקור'!F561</f>
        <v>0</v>
      </c>
      <c r="E615" s="22" t="n">
        <f aca="false">'לקוחות לפי סוכן - מקור'!G561</f>
        <v>14206.4</v>
      </c>
      <c r="F615" s="14" t="n">
        <f aca="false">'לקוחות לפי סוכן - מקור'!D561</f>
        <v>0</v>
      </c>
      <c r="G615" s="15" t="n">
        <f aca="false">'לקוחות לפי סוכן - מקור'!H561</f>
        <v>0</v>
      </c>
      <c r="H615" s="15" t="n">
        <f aca="false">'לקוחות לפי סוכן - מקור'!I561</f>
        <v>0</v>
      </c>
      <c r="I615" s="48" t="str">
        <f aca="false">'לקוחות לפי סוכן - מקור'!K561</f>
        <v>CHMI</v>
      </c>
    </row>
    <row r="616" customFormat="false" ht="15" hidden="false" customHeight="true" outlineLevel="2" collapsed="false">
      <c r="A616" s="14" t="str">
        <f aca="false">'לקוחות לפי סוכן - מקור'!A562</f>
        <v>חיים ויצמן</v>
      </c>
      <c r="B616" s="14" t="str">
        <f aca="false">'לקוחות לפי סוכן - מקור'!C562</f>
        <v>ס. פארם</v>
      </c>
      <c r="C616" s="14" t="str">
        <f aca="false">'לקוחות לפי סוכן - מקור'!E562</f>
        <v>ס.פ.אסף הרופא תרופות</v>
      </c>
      <c r="D616" s="22" t="n">
        <f aca="false">'לקוחות לפי סוכן - מקור'!F562</f>
        <v>0</v>
      </c>
      <c r="E616" s="22" t="n">
        <f aca="false">'לקוחות לפי סוכן - מקור'!G562</f>
        <v>7275.2</v>
      </c>
      <c r="F616" s="14" t="n">
        <f aca="false">'לקוחות לפי סוכן - מקור'!D562</f>
        <v>0</v>
      </c>
      <c r="G616" s="15" t="n">
        <f aca="false">'לקוחות לפי סוכן - מקור'!H562</f>
        <v>0</v>
      </c>
      <c r="H616" s="15" t="n">
        <f aca="false">'לקוחות לפי סוכן - מקור'!I562</f>
        <v>0</v>
      </c>
      <c r="I616" s="48" t="str">
        <f aca="false">'לקוחות לפי סוכן - מקור'!K562</f>
        <v>CHMI</v>
      </c>
    </row>
    <row r="617" customFormat="false" ht="15" hidden="false" customHeight="true" outlineLevel="2" collapsed="false">
      <c r="A617" s="14" t="str">
        <f aca="false">'לקוחות לפי סוכן - מקור'!A563</f>
        <v>חיים ויצמן</v>
      </c>
      <c r="B617" s="14" t="str">
        <f aca="false">'לקוחות לפי סוכן - מקור'!C563</f>
        <v>ס. פארם</v>
      </c>
      <c r="C617" s="14" t="str">
        <f aca="false">'לקוחות לפי סוכן - מקור'!E563</f>
        <v>ס.פ.קניון באר יעקב תרופות</v>
      </c>
      <c r="D617" s="22" t="n">
        <f aca="false">'לקוחות לפי סוכן - מקור'!F563</f>
        <v>0</v>
      </c>
      <c r="E617" s="22" t="n">
        <f aca="false">'לקוחות לפי סוכן - מקור'!G563</f>
        <v>10556.3</v>
      </c>
      <c r="F617" s="14" t="n">
        <f aca="false">'לקוחות לפי סוכן - מקור'!D563</f>
        <v>0</v>
      </c>
      <c r="G617" s="15" t="n">
        <f aca="false">'לקוחות לפי סוכן - מקור'!H563</f>
        <v>0</v>
      </c>
      <c r="H617" s="15" t="n">
        <f aca="false">'לקוחות לפי סוכן - מקור'!I563</f>
        <v>0</v>
      </c>
      <c r="I617" s="48" t="str">
        <f aca="false">'לקוחות לפי סוכן - מקור'!K563</f>
        <v>CHMI</v>
      </c>
    </row>
    <row r="618" customFormat="false" ht="15" hidden="false" customHeight="true" outlineLevel="2" collapsed="false">
      <c r="A618" s="14" t="str">
        <f aca="false">'לקוחות לפי סוכן - מקור'!A564</f>
        <v>חיים ויצמן</v>
      </c>
      <c r="B618" s="14" t="str">
        <f aca="false">'לקוחות לפי סוכן - מקור'!C564</f>
        <v>ס. פארם</v>
      </c>
      <c r="C618" s="14" t="str">
        <f aca="false">'לקוחות לפי סוכן - מקור'!E564</f>
        <v>ס.פ נעימי קרית השרון נתניה</v>
      </c>
      <c r="D618" s="22" t="n">
        <f aca="false">'לקוחות לפי סוכן - מקור'!F564</f>
        <v>0</v>
      </c>
      <c r="E618" s="22" t="n">
        <f aca="false">'לקוחות לפי סוכן - מקור'!G564</f>
        <v>7596.4</v>
      </c>
      <c r="F618" s="14" t="n">
        <f aca="false">'לקוחות לפי סוכן - מקור'!D564</f>
        <v>0</v>
      </c>
      <c r="G618" s="15" t="n">
        <f aca="false">'לקוחות לפי סוכן - מקור'!H564</f>
        <v>0</v>
      </c>
      <c r="H618" s="15" t="n">
        <f aca="false">'לקוחות לפי סוכן - מקור'!I564</f>
        <v>0</v>
      </c>
      <c r="I618" s="48" t="str">
        <f aca="false">'לקוחות לפי סוכן - מקור'!K564</f>
        <v>CHMI</v>
      </c>
    </row>
    <row r="619" customFormat="false" ht="15" hidden="false" customHeight="true" outlineLevel="2" collapsed="false">
      <c r="A619" s="14" t="str">
        <f aca="false">'לקוחות לפי סוכן - מקור'!A565</f>
        <v>חיים ויצמן</v>
      </c>
      <c r="B619" s="14" t="str">
        <f aca="false">'לקוחות לפי סוכן - מקור'!C565</f>
        <v>ס. פארם</v>
      </c>
      <c r="C619" s="14" t="str">
        <f aca="false">'לקוחות לפי סוכן - מקור'!E565</f>
        <v>ס.פ.מגדלי אלון ת""א תרופות</v>
      </c>
      <c r="D619" s="22" t="n">
        <f aca="false">'לקוחות לפי סוכן - מקור'!F565</f>
        <v>0</v>
      </c>
      <c r="E619" s="22" t="n">
        <f aca="false">'לקוחות לפי סוכן - מקור'!G565</f>
        <v>13044.7</v>
      </c>
      <c r="F619" s="14" t="n">
        <f aca="false">'לקוחות לפי סוכן - מקור'!D565</f>
        <v>0</v>
      </c>
      <c r="G619" s="15" t="n">
        <f aca="false">'לקוחות לפי סוכן - מקור'!H565</f>
        <v>0</v>
      </c>
      <c r="H619" s="15" t="n">
        <f aca="false">'לקוחות לפי סוכן - מקור'!I565</f>
        <v>0</v>
      </c>
      <c r="I619" s="48" t="str">
        <f aca="false">'לקוחות לפי סוכן - מקור'!K565</f>
        <v>CHMI</v>
      </c>
    </row>
    <row r="620" customFormat="false" ht="15" hidden="false" customHeight="true" outlineLevel="2" collapsed="false">
      <c r="A620" s="14" t="str">
        <f aca="false">'לקוחות לפי סוכן - מקור'!A566</f>
        <v>חיים ויצמן</v>
      </c>
      <c r="B620" s="14" t="str">
        <f aca="false">'לקוחות לפי סוכן - מקור'!C566</f>
        <v>ס. פארם</v>
      </c>
      <c r="C620" s="14" t="str">
        <f aca="false">'לקוחות לפי סוכן - מקור'!E566</f>
        <v>ס.פ.דרך בר לב ת""א</v>
      </c>
      <c r="D620" s="22" t="n">
        <f aca="false">'לקוחות לפי סוכן - מקור'!F566</f>
        <v>0</v>
      </c>
      <c r="E620" s="22" t="n">
        <f aca="false">'לקוחות לפי סוכן - מקור'!G566</f>
        <v>8453.8</v>
      </c>
      <c r="F620" s="14" t="n">
        <f aca="false">'לקוחות לפי סוכן - מקור'!D566</f>
        <v>0</v>
      </c>
      <c r="G620" s="15" t="n">
        <f aca="false">'לקוחות לפי סוכן - מקור'!H566</f>
        <v>0</v>
      </c>
      <c r="H620" s="15" t="n">
        <f aca="false">'לקוחות לפי סוכן - מקור'!I566</f>
        <v>0</v>
      </c>
      <c r="I620" s="48" t="str">
        <f aca="false">'לקוחות לפי סוכן - מקור'!K566</f>
        <v>CHMI</v>
      </c>
    </row>
    <row r="621" customFormat="false" ht="15" hidden="false" customHeight="true" outlineLevel="2" collapsed="false">
      <c r="A621" s="14" t="str">
        <f aca="false">'לקוחות לפי סוכן - מקור'!A567</f>
        <v>חיים ויצמן</v>
      </c>
      <c r="B621" s="14" t="str">
        <f aca="false">'לקוחות לפי סוכן - מקור'!C567</f>
        <v>ס. פארם</v>
      </c>
      <c r="C621" s="14" t="str">
        <f aca="false">'לקוחות לפי סוכן - מקור'!E567</f>
        <v>271 ס.פ. נווה הדרים ראשל""צ</v>
      </c>
      <c r="D621" s="22" t="n">
        <f aca="false">'לקוחות לפי סוכן - מקור'!F567</f>
        <v>0</v>
      </c>
      <c r="E621" s="22" t="n">
        <f aca="false">'לקוחות לפי סוכן - מקור'!G567</f>
        <v>4409.6</v>
      </c>
      <c r="F621" s="14" t="n">
        <f aca="false">'לקוחות לפי סוכן - מקור'!D567</f>
        <v>0</v>
      </c>
      <c r="G621" s="15" t="n">
        <f aca="false">'לקוחות לפי סוכן - מקור'!H567</f>
        <v>0</v>
      </c>
      <c r="H621" s="15" t="n">
        <f aca="false">'לקוחות לפי סוכן - מקור'!I567</f>
        <v>0</v>
      </c>
      <c r="I621" s="48" t="str">
        <f aca="false">'לקוחות לפי סוכן - מקור'!K567</f>
        <v>CHMI</v>
      </c>
    </row>
    <row r="622" customFormat="false" ht="15" hidden="false" customHeight="true" outlineLevel="2" collapsed="false">
      <c r="A622" s="14" t="str">
        <f aca="false">'לקוחות לפי סוכן - מקור'!A568</f>
        <v>חיים ויצמן</v>
      </c>
      <c r="B622" s="14" t="str">
        <f aca="false">'לקוחות לפי סוכן - מקור'!C568</f>
        <v>ס. פארם</v>
      </c>
      <c r="C622" s="14" t="str">
        <f aca="false">'לקוחות לפי סוכן - מקור'!E568</f>
        <v>277 סופר פארם שער ראשון</v>
      </c>
      <c r="D622" s="22" t="n">
        <f aca="false">'לקוחות לפי סוכן - מקור'!F568</f>
        <v>0</v>
      </c>
      <c r="E622" s="22" t="n">
        <f aca="false">'לקוחות לפי סוכן - מקור'!G568</f>
        <v>15513.4</v>
      </c>
      <c r="F622" s="14" t="n">
        <f aca="false">'לקוחות לפי סוכן - מקור'!D568</f>
        <v>0</v>
      </c>
      <c r="G622" s="15" t="n">
        <f aca="false">'לקוחות לפי סוכן - מקור'!H568</f>
        <v>0</v>
      </c>
      <c r="H622" s="15" t="n">
        <f aca="false">'לקוחות לפי סוכן - מקור'!I568</f>
        <v>0</v>
      </c>
      <c r="I622" s="48" t="str">
        <f aca="false">'לקוחות לפי סוכן - מקור'!K568</f>
        <v>CHMI</v>
      </c>
    </row>
    <row r="623" customFormat="false" ht="15" hidden="false" customHeight="true" outlineLevel="2" collapsed="false">
      <c r="A623" s="14" t="str">
        <f aca="false">'לקוחות לפי סוכן - מקור'!A569</f>
        <v>חיים ויצמן</v>
      </c>
      <c r="B623" s="14" t="str">
        <f aca="false">'לקוחות לפי סוכן - מקור'!C569</f>
        <v>ס. פארם</v>
      </c>
      <c r="C623" s="14" t="str">
        <f aca="false">'לקוחות לפי סוכן - מקור'!E569</f>
        <v>BM ס.פ צורן</v>
      </c>
      <c r="D623" s="22" t="n">
        <f aca="false">'לקוחות לפי סוכן - מקור'!F569</f>
        <v>0</v>
      </c>
      <c r="E623" s="22" t="n">
        <f aca="false">'לקוחות לפי סוכן - מקור'!G569</f>
        <v>15298</v>
      </c>
      <c r="F623" s="14" t="n">
        <f aca="false">'לקוחות לפי סוכן - מקור'!D569</f>
        <v>0</v>
      </c>
      <c r="G623" s="15" t="n">
        <f aca="false">'לקוחות לפי סוכן - מקור'!H569</f>
        <v>0</v>
      </c>
      <c r="H623" s="15" t="n">
        <f aca="false">'לקוחות לפי סוכן - מקור'!I569</f>
        <v>0</v>
      </c>
      <c r="I623" s="48" t="str">
        <f aca="false">'לקוחות לפי סוכן - מקור'!K569</f>
        <v>CHMI</v>
      </c>
    </row>
    <row r="624" customFormat="false" ht="15" hidden="false" customHeight="true" outlineLevel="2" collapsed="false">
      <c r="A624" s="14" t="str">
        <f aca="false">'לקוחות לפי סוכן - מקור'!A570</f>
        <v>חיים ויצמן</v>
      </c>
      <c r="B624" s="14" t="str">
        <f aca="false">'לקוחות לפי סוכן - מקור'!C570</f>
        <v>ס. פארם</v>
      </c>
      <c r="C624" s="14" t="str">
        <f aca="false">'לקוחות לפי סוכן - מקור'!E570</f>
        <v>BM ס.פ כפר יונה</v>
      </c>
      <c r="D624" s="22" t="n">
        <f aca="false">'לקוחות לפי סוכן - מקור'!F570</f>
        <v>0</v>
      </c>
      <c r="E624" s="22" t="n">
        <f aca="false">'לקוחות לפי סוכן - מקור'!G570</f>
        <v>14023.2</v>
      </c>
      <c r="F624" s="14" t="n">
        <f aca="false">'לקוחות לפי סוכן - מקור'!D570</f>
        <v>0</v>
      </c>
      <c r="G624" s="15" t="n">
        <f aca="false">'לקוחות לפי סוכן - מקור'!H570</f>
        <v>0</v>
      </c>
      <c r="H624" s="15" t="n">
        <f aca="false">'לקוחות לפי סוכן - מקור'!I570</f>
        <v>0</v>
      </c>
      <c r="I624" s="48" t="str">
        <f aca="false">'לקוחות לפי סוכן - מקור'!K570</f>
        <v>CHMI</v>
      </c>
    </row>
    <row r="625" customFormat="false" ht="15" hidden="false" customHeight="true" outlineLevel="2" collapsed="false">
      <c r="A625" s="14" t="str">
        <f aca="false">'לקוחות לפי סוכן - מקור'!A571</f>
        <v>חיים ויצמן</v>
      </c>
      <c r="B625" s="14" t="str">
        <f aca="false">'לקוחות לפי סוכן - מקור'!C571</f>
        <v>ס. פארם</v>
      </c>
      <c r="C625" s="14" t="str">
        <f aca="false">'לקוחות לפי סוכן - מקור'!E571</f>
        <v>BM ס.פ נווה זמר רעננה</v>
      </c>
      <c r="D625" s="22" t="n">
        <f aca="false">'לקוחות לפי סוכן - מקור'!F571</f>
        <v>0</v>
      </c>
      <c r="E625" s="22" t="n">
        <f aca="false">'לקוחות לפי סוכן - מקור'!G571</f>
        <v>10389.8</v>
      </c>
      <c r="F625" s="14" t="n">
        <f aca="false">'לקוחות לפי סוכן - מקור'!D571</f>
        <v>0</v>
      </c>
      <c r="G625" s="15" t="n">
        <f aca="false">'לקוחות לפי סוכן - מקור'!H571</f>
        <v>0</v>
      </c>
      <c r="H625" s="15" t="n">
        <f aca="false">'לקוחות לפי סוכן - מקור'!I571</f>
        <v>0</v>
      </c>
      <c r="I625" s="48" t="str">
        <f aca="false">'לקוחות לפי סוכן - מקור'!K571</f>
        <v>CHMI</v>
      </c>
    </row>
    <row r="626" customFormat="false" ht="15" hidden="false" customHeight="true" outlineLevel="2" collapsed="false">
      <c r="A626" s="14" t="str">
        <f aca="false">'לקוחות לפי סוכן - מקור'!A572</f>
        <v>חיים ויצמן</v>
      </c>
      <c r="B626" s="14" t="str">
        <f aca="false">'לקוחות לפי סוכן - מקור'!C572</f>
        <v>ס. פארם</v>
      </c>
      <c r="C626" s="14" t="str">
        <f aca="false">'לקוחות לפי סוכן - מקור'!E572</f>
        <v>BM ס.פ הנשיאים הוד השרון</v>
      </c>
      <c r="D626" s="22" t="n">
        <f aca="false">'לקוחות לפי סוכן - מקור'!F572</f>
        <v>0</v>
      </c>
      <c r="E626" s="22" t="n">
        <f aca="false">'לקוחות לפי סוכן - מקור'!G572</f>
        <v>10346</v>
      </c>
      <c r="F626" s="14" t="n">
        <f aca="false">'לקוחות לפי סוכן - מקור'!D572</f>
        <v>0</v>
      </c>
      <c r="G626" s="15" t="n">
        <f aca="false">'לקוחות לפי סוכן - מקור'!H572</f>
        <v>0</v>
      </c>
      <c r="H626" s="15" t="n">
        <f aca="false">'לקוחות לפי סוכן - מקור'!I572</f>
        <v>0</v>
      </c>
      <c r="I626" s="48" t="str">
        <f aca="false">'לקוחות לפי סוכן - מקור'!K572</f>
        <v>CHMI</v>
      </c>
    </row>
    <row r="627" customFormat="false" ht="15" hidden="false" customHeight="true" outlineLevel="2" collapsed="false">
      <c r="A627" s="14" t="str">
        <f aca="false">'לקוחות לפי סוכן - מקור'!A573</f>
        <v>חיים ויצמן</v>
      </c>
      <c r="B627" s="14" t="str">
        <f aca="false">'לקוחות לפי סוכן - מקור'!C573</f>
        <v>ס. פארם</v>
      </c>
      <c r="C627" s="14" t="str">
        <f aca="false">'לקוחות לפי סוכן - מקור'!E573</f>
        <v>BM ס.פ גליל ים הרצליה</v>
      </c>
      <c r="D627" s="22" t="n">
        <f aca="false">'לקוחות לפי סוכן - מקור'!F573</f>
        <v>0</v>
      </c>
      <c r="E627" s="22" t="n">
        <f aca="false">'לקוחות לפי סוכן - מקור'!G573</f>
        <v>4083.4</v>
      </c>
      <c r="F627" s="14" t="n">
        <f aca="false">'לקוחות לפי סוכן - מקור'!D573</f>
        <v>0</v>
      </c>
      <c r="G627" s="15" t="n">
        <f aca="false">'לקוחות לפי סוכן - מקור'!H573</f>
        <v>0</v>
      </c>
      <c r="H627" s="15" t="n">
        <f aca="false">'לקוחות לפי סוכן - מקור'!I573</f>
        <v>0</v>
      </c>
      <c r="I627" s="48" t="str">
        <f aca="false">'לקוחות לפי סוכן - מקור'!K573</f>
        <v>CHMI</v>
      </c>
    </row>
    <row r="628" customFormat="false" ht="15" hidden="false" customHeight="true" outlineLevel="2" collapsed="false">
      <c r="A628" s="14" t="str">
        <f aca="false">'לקוחות לפי סוכן - מקור'!A574</f>
        <v>חיים ויצמן</v>
      </c>
      <c r="B628" s="14" t="str">
        <f aca="false">'לקוחות לפי סוכן - מקור'!C574</f>
        <v>ס. פארם</v>
      </c>
      <c r="C628" s="14" t="str">
        <f aca="false">'לקוחות לפי סוכן - מקור'!E574</f>
        <v>BM ס.פ ר. אביב גימל</v>
      </c>
      <c r="D628" s="22" t="n">
        <f aca="false">'לקוחות לפי סוכן - מקור'!F574</f>
        <v>0</v>
      </c>
      <c r="E628" s="22" t="n">
        <f aca="false">'לקוחות לפי סוכן - מקור'!G574</f>
        <v>18519.5</v>
      </c>
      <c r="F628" s="14" t="n">
        <f aca="false">'לקוחות לפי סוכן - מקור'!D574</f>
        <v>0</v>
      </c>
      <c r="G628" s="15" t="n">
        <f aca="false">'לקוחות לפי סוכן - מקור'!H574</f>
        <v>0</v>
      </c>
      <c r="H628" s="15" t="n">
        <f aca="false">'לקוחות לפי סוכן - מקור'!I574</f>
        <v>0</v>
      </c>
      <c r="I628" s="48" t="str">
        <f aca="false">'לקוחות לפי סוכן - מקור'!K574</f>
        <v>CHMI</v>
      </c>
    </row>
    <row r="629" customFormat="false" ht="15" hidden="false" customHeight="true" outlineLevel="2" collapsed="false">
      <c r="A629" s="14" t="str">
        <f aca="false">'לקוחות לפי סוכן - מקור'!A575</f>
        <v>חיים ויצמן</v>
      </c>
      <c r="B629" s="14" t="str">
        <f aca="false">'לקוחות לפי סוכן - מקור'!C575</f>
        <v>ס. פארם</v>
      </c>
      <c r="C629" s="14" t="str">
        <f aca="false">'לקוחות לפי סוכן - מקור'!E575</f>
        <v>BM ס.פ נרקיסים ראשון לציון</v>
      </c>
      <c r="D629" s="22" t="n">
        <f aca="false">'לקוחות לפי סוכן - מקור'!F575</f>
        <v>0</v>
      </c>
      <c r="E629" s="22" t="n">
        <f aca="false">'לקוחות לפי סוכן - מקור'!G575</f>
        <v>10044.3</v>
      </c>
      <c r="F629" s="14" t="n">
        <f aca="false">'לקוחות לפי סוכן - מקור'!D575</f>
        <v>0</v>
      </c>
      <c r="G629" s="15" t="n">
        <f aca="false">'לקוחות לפי סוכן - מקור'!H575</f>
        <v>0</v>
      </c>
      <c r="H629" s="15" t="n">
        <f aca="false">'לקוחות לפי סוכן - מקור'!I575</f>
        <v>0</v>
      </c>
      <c r="I629" s="48" t="str">
        <f aca="false">'לקוחות לפי סוכן - מקור'!K575</f>
        <v>CHMI</v>
      </c>
    </row>
    <row r="630" customFormat="false" ht="15" hidden="false" customHeight="true" outlineLevel="2" collapsed="false">
      <c r="A630" s="14" t="str">
        <f aca="false">'לקוחות לפי סוכן - מקור'!A576</f>
        <v>חיים ויצמן</v>
      </c>
      <c r="B630" s="14" t="str">
        <f aca="false">'לקוחות לפי סוכן - מקור'!C576</f>
        <v>ס. פארם</v>
      </c>
      <c r="C630" s="14" t="str">
        <f aca="false">'לקוחות לפי סוכן - מקור'!E576</f>
        <v>BM ס.פ גאלרי ביג גלילות</v>
      </c>
      <c r="D630" s="22" t="n">
        <f aca="false">'לקוחות לפי סוכן - מקור'!F576</f>
        <v>0</v>
      </c>
      <c r="E630" s="22" t="n">
        <f aca="false">'לקוחות לפי סוכן - מקור'!G576</f>
        <v>39232.4</v>
      </c>
      <c r="F630" s="14" t="n">
        <f aca="false">'לקוחות לפי סוכן - מקור'!D576</f>
        <v>0</v>
      </c>
      <c r="G630" s="15" t="n">
        <f aca="false">'לקוחות לפי סוכן - מקור'!H576</f>
        <v>0</v>
      </c>
      <c r="H630" s="15" t="n">
        <f aca="false">'לקוחות לפי סוכן - מקור'!I576</f>
        <v>0</v>
      </c>
      <c r="I630" s="48" t="str">
        <f aca="false">'לקוחות לפי סוכן - מקור'!K576</f>
        <v>CHMI</v>
      </c>
    </row>
    <row r="631" customFormat="false" ht="15" hidden="false" customHeight="true" outlineLevel="2" collapsed="false">
      <c r="A631" s="14" t="str">
        <f aca="false">'לקוחות לפי סוכן - מקור'!A577</f>
        <v>חיים ויצמן</v>
      </c>
      <c r="B631" s="14" t="str">
        <f aca="false">'לקוחות לפי סוכן - מקור'!C577</f>
        <v>ס. פארם</v>
      </c>
      <c r="C631" s="14" t="str">
        <f aca="false">'לקוחות לפי סוכן - מקור'!E577</f>
        <v>BM  ס.פ קלנסווה</v>
      </c>
      <c r="D631" s="22" t="n">
        <f aca="false">'לקוחות לפי סוכן - מקור'!F577</f>
        <v>0</v>
      </c>
      <c r="E631" s="22" t="n">
        <f aca="false">'לקוחות לפי סוכן - מקור'!G577</f>
        <v>12240.9</v>
      </c>
      <c r="F631" s="14" t="n">
        <f aca="false">'לקוחות לפי סוכן - מקור'!D577</f>
        <v>0</v>
      </c>
      <c r="G631" s="15" t="n">
        <f aca="false">'לקוחות לפי סוכן - מקור'!H577</f>
        <v>0</v>
      </c>
      <c r="H631" s="15" t="n">
        <f aca="false">'לקוחות לפי סוכן - מקור'!I577</f>
        <v>0</v>
      </c>
      <c r="I631" s="48" t="str">
        <f aca="false">'לקוחות לפי סוכן - מקור'!K577</f>
        <v>CHMI</v>
      </c>
    </row>
    <row r="632" customFormat="false" ht="15" hidden="false" customHeight="true" outlineLevel="1" collapsed="false">
      <c r="A632" s="49" t="s">
        <v>3457</v>
      </c>
      <c r="B632" s="50" t="s">
        <v>18</v>
      </c>
      <c r="C632" s="51"/>
      <c r="D632" s="52" t="n">
        <f aca="false">SUMIFS('לקוחות לפי סוכן - מקור'!$F$2:$F$867,'לקוחות לפי סוכן - מקור'!$A$2:$A$867,$A632,'לקוחות לפי סוכן - מקור'!$C$2:$C$867,$B632)</f>
        <v>0</v>
      </c>
      <c r="E632" s="52" t="n">
        <f aca="false">SUMIFS('לקוחות לפי סוכן - מקור'!$G$2:$G$867,'לקוחות לפי סוכן - מקור'!$A$2:$A$867,$A632,'לקוחות לפי סוכן - מקור'!$C$2:$C$867,$B632)</f>
        <v>188773.6</v>
      </c>
      <c r="F632" s="51"/>
      <c r="G632" s="53" t="n">
        <f aca="false">SUMIFS('לקוחות לפי סוכן - מקור'!$H$2:$H$867,'לקוחות לפי סוכן - מקור'!$A$2:$A$867,$A632,'לקוחות לפי סוכן - מקור'!$C$2:$C$867,$B632)</f>
        <v>0</v>
      </c>
      <c r="H632" s="53" t="n">
        <f aca="false">SUMIFS('לקוחות לפי סוכן - מקור'!$I$2:$I$867,'לקוחות לפי סוכן - מקור'!$A$2:$A$867,$A632,'לקוחות לפי סוכן - מקור'!$C$2:$C$867,$B632)</f>
        <v>0</v>
      </c>
      <c r="I632" s="51"/>
      <c r="J632" s="53" t="n">
        <f aca="false">COUNTIFS('לקוחות לפי סוכן - מקור'!$A$2:$A$867,$A632,'לקוחות לפי סוכן - מקור'!$C$2:$C$867,$B632)</f>
        <v>29</v>
      </c>
    </row>
    <row r="633" customFormat="false" ht="15" hidden="false" customHeight="true" outlineLevel="2" collapsed="false">
      <c r="A633" s="14" t="str">
        <f aca="false">'לקוחות לפי סוכן - מקור'!A578</f>
        <v>חיים ויצמן</v>
      </c>
      <c r="B633" s="14" t="str">
        <f aca="false">'לקוחות לפי סוכן - מקור'!C578</f>
        <v>שופרסל BE</v>
      </c>
      <c r="C633" s="14" t="str">
        <f aca="false">'לקוחות לפי סוכן - מקור'!E578</f>
        <v>675 שרונים BE</v>
      </c>
      <c r="D633" s="22" t="n">
        <f aca="false">'לקוחות לפי סוכן - מקור'!F578</f>
        <v>0</v>
      </c>
      <c r="E633" s="22" t="n">
        <f aca="false">'לקוחות לפי סוכן - מקור'!G578</f>
        <v>3764.1</v>
      </c>
      <c r="F633" s="14" t="n">
        <f aca="false">'לקוחות לפי סוכן - מקור'!D578</f>
        <v>0</v>
      </c>
      <c r="G633" s="15" t="n">
        <f aca="false">'לקוחות לפי סוכן - מקור'!H578</f>
        <v>0</v>
      </c>
      <c r="H633" s="15" t="n">
        <f aca="false">'לקוחות לפי סוכן - מקור'!I578</f>
        <v>0</v>
      </c>
      <c r="I633" s="48" t="str">
        <f aca="false">'לקוחות לפי סוכן - מקור'!K578</f>
        <v>CHMI</v>
      </c>
    </row>
    <row r="634" customFormat="false" ht="15" hidden="false" customHeight="true" outlineLevel="2" collapsed="false">
      <c r="A634" s="14" t="str">
        <f aca="false">'לקוחות לפי סוכן - מקור'!A579</f>
        <v>חיים ויצמן</v>
      </c>
      <c r="B634" s="14" t="str">
        <f aca="false">'לקוחות לפי סוכן - מקור'!C579</f>
        <v>שופרסל BE</v>
      </c>
      <c r="C634" s="14" t="str">
        <f aca="false">'לקוחות לפי סוכן - מקור'!E579</f>
        <v>615 פארם כפר סבא BE</v>
      </c>
      <c r="D634" s="22" t="n">
        <f aca="false">'לקוחות לפי סוכן - מקור'!F579</f>
        <v>0</v>
      </c>
      <c r="E634" s="22" t="n">
        <f aca="false">'לקוחות לפי סוכן - מקור'!G579</f>
        <v>12086.8</v>
      </c>
      <c r="F634" s="14" t="n">
        <f aca="false">'לקוחות לפי סוכן - מקור'!D579</f>
        <v>0</v>
      </c>
      <c r="G634" s="15" t="n">
        <f aca="false">'לקוחות לפי סוכן - מקור'!H579</f>
        <v>0</v>
      </c>
      <c r="H634" s="15" t="n">
        <f aca="false">'לקוחות לפי סוכן - מקור'!I579</f>
        <v>0</v>
      </c>
      <c r="I634" s="48" t="str">
        <f aca="false">'לקוחות לפי סוכן - מקור'!K579</f>
        <v>CHMI</v>
      </c>
    </row>
    <row r="635" customFormat="false" ht="15" hidden="false" customHeight="true" outlineLevel="2" collapsed="false">
      <c r="A635" s="14" t="str">
        <f aca="false">'לקוחות לפי סוכן - מקור'!A580</f>
        <v>חיים ויצמן</v>
      </c>
      <c r="B635" s="14" t="str">
        <f aca="false">'לקוחות לפי סוכן - מקור'!C580</f>
        <v>שופרסל BE</v>
      </c>
      <c r="C635" s="14" t="str">
        <f aca="false">'לקוחות לפי סוכן - מקור'!E580</f>
        <v>648 מאיר כ""ס BE</v>
      </c>
      <c r="D635" s="22" t="n">
        <f aca="false">'לקוחות לפי סוכן - מקור'!F580</f>
        <v>0</v>
      </c>
      <c r="E635" s="22" t="n">
        <f aca="false">'לקוחות לפי סוכן - מקור'!G580</f>
        <v>11663.2</v>
      </c>
      <c r="F635" s="14" t="n">
        <f aca="false">'לקוחות לפי סוכן - מקור'!D580</f>
        <v>0</v>
      </c>
      <c r="G635" s="15" t="n">
        <f aca="false">'לקוחות לפי סוכן - מקור'!H580</f>
        <v>0</v>
      </c>
      <c r="H635" s="15" t="n">
        <f aca="false">'לקוחות לפי סוכן - מקור'!I580</f>
        <v>0</v>
      </c>
      <c r="I635" s="48" t="str">
        <f aca="false">'לקוחות לפי סוכן - מקור'!K580</f>
        <v>CHMI</v>
      </c>
    </row>
    <row r="636" customFormat="false" ht="15" hidden="false" customHeight="true" outlineLevel="2" collapsed="false">
      <c r="A636" s="14" t="str">
        <f aca="false">'לקוחות לפי סוכן - מקור'!A581</f>
        <v>חיים ויצמן</v>
      </c>
      <c r="B636" s="14" t="str">
        <f aca="false">'לקוחות לפי סוכן - מקור'!C581</f>
        <v>שופרסל BE</v>
      </c>
      <c r="C636" s="14" t="str">
        <f aca="false">'לקוחות לפי סוכן - מקור'!E581</f>
        <v>682  פארם כ""ס צפון ירוקה BE</v>
      </c>
      <c r="D636" s="22" t="n">
        <f aca="false">'לקוחות לפי סוכן - מקור'!F581</f>
        <v>0</v>
      </c>
      <c r="E636" s="22" t="n">
        <f aca="false">'לקוחות לפי סוכן - מקור'!G581</f>
        <v>2934.9</v>
      </c>
      <c r="F636" s="14" t="n">
        <f aca="false">'לקוחות לפי סוכן - מקור'!D581</f>
        <v>0</v>
      </c>
      <c r="G636" s="15" t="n">
        <f aca="false">'לקוחות לפי סוכן - מקור'!H581</f>
        <v>0</v>
      </c>
      <c r="H636" s="15" t="n">
        <f aca="false">'לקוחות לפי סוכן - מקור'!I581</f>
        <v>0</v>
      </c>
      <c r="I636" s="48" t="str">
        <f aca="false">'לקוחות לפי סוכן - מקור'!K581</f>
        <v>CHMI</v>
      </c>
    </row>
    <row r="637" customFormat="false" ht="15" hidden="false" customHeight="true" outlineLevel="2" collapsed="false">
      <c r="A637" s="14" t="str">
        <f aca="false">'לקוחות לפי סוכן - מקור'!A582</f>
        <v>חיים ויצמן</v>
      </c>
      <c r="B637" s="14" t="str">
        <f aca="false">'לקוחות לפי סוכן - מקור'!C582</f>
        <v>שופרסל BE</v>
      </c>
      <c r="C637" s="14" t="str">
        <f aca="false">'לקוחות לפי סוכן - מקור'!E582</f>
        <v>637  פארם רעננה BE</v>
      </c>
      <c r="D637" s="22" t="n">
        <f aca="false">'לקוחות לפי סוכן - מקור'!F582</f>
        <v>0</v>
      </c>
      <c r="E637" s="22" t="n">
        <f aca="false">'לקוחות לפי סוכן - מקור'!G582</f>
        <v>8996.9</v>
      </c>
      <c r="F637" s="14" t="n">
        <f aca="false">'לקוחות לפי סוכן - מקור'!D582</f>
        <v>0</v>
      </c>
      <c r="G637" s="15" t="n">
        <f aca="false">'לקוחות לפי סוכן - מקור'!H582</f>
        <v>0</v>
      </c>
      <c r="H637" s="15" t="n">
        <f aca="false">'לקוחות לפי סוכן - מקור'!I582</f>
        <v>0</v>
      </c>
      <c r="I637" s="48" t="str">
        <f aca="false">'לקוחות לפי סוכן - מקור'!K582</f>
        <v>CHMI</v>
      </c>
    </row>
    <row r="638" customFormat="false" ht="15" hidden="false" customHeight="true" outlineLevel="2" collapsed="false">
      <c r="A638" s="14" t="str">
        <f aca="false">'לקוחות לפי סוכן - מקור'!A583</f>
        <v>חיים ויצמן</v>
      </c>
      <c r="B638" s="14" t="str">
        <f aca="false">'לקוחות לפי סוכן - מקור'!C583</f>
        <v>שופרסל BE</v>
      </c>
      <c r="C638" s="14" t="str">
        <f aca="false">'לקוחות לפי סוכן - מקור'!E583</f>
        <v>668  קרית השרון נתניה BE</v>
      </c>
      <c r="D638" s="22" t="n">
        <f aca="false">'לקוחות לפי סוכן - מקור'!F583</f>
        <v>0</v>
      </c>
      <c r="E638" s="22" t="n">
        <f aca="false">'לקוחות לפי סוכן - מקור'!G583</f>
        <v>8221.7</v>
      </c>
      <c r="F638" s="14" t="n">
        <f aca="false">'לקוחות לפי סוכן - מקור'!D583</f>
        <v>0</v>
      </c>
      <c r="G638" s="15" t="n">
        <f aca="false">'לקוחות לפי סוכן - מקור'!H583</f>
        <v>0</v>
      </c>
      <c r="H638" s="15" t="n">
        <f aca="false">'לקוחות לפי סוכן - מקור'!I583</f>
        <v>0</v>
      </c>
      <c r="I638" s="48" t="str">
        <f aca="false">'לקוחות לפי סוכן - מקור'!K583</f>
        <v>CHMI</v>
      </c>
    </row>
    <row r="639" customFormat="false" ht="15" hidden="false" customHeight="true" outlineLevel="2" collapsed="false">
      <c r="A639" s="14" t="str">
        <f aca="false">'לקוחות לפי סוכן - מקור'!A584</f>
        <v>חיים ויצמן</v>
      </c>
      <c r="B639" s="14" t="str">
        <f aca="false">'לקוחות לפי סוכן - מקור'!C584</f>
        <v>שופרסל BE</v>
      </c>
      <c r="C639" s="14" t="str">
        <f aca="false">'לקוחות לפי סוכן - מקור'!E584</f>
        <v>651 דרורים BE</v>
      </c>
      <c r="D639" s="22" t="n">
        <f aca="false">'לקוחות לפי סוכן - מקור'!F584</f>
        <v>0</v>
      </c>
      <c r="E639" s="22" t="n">
        <f aca="false">'לקוחות לפי סוכן - מקור'!G584</f>
        <v>11065.1</v>
      </c>
      <c r="F639" s="14" t="n">
        <f aca="false">'לקוחות לפי סוכן - מקור'!D584</f>
        <v>0</v>
      </c>
      <c r="G639" s="15" t="n">
        <f aca="false">'לקוחות לפי סוכן - מקור'!H584</f>
        <v>0</v>
      </c>
      <c r="H639" s="15" t="n">
        <f aca="false">'לקוחות לפי סוכן - מקור'!I584</f>
        <v>0</v>
      </c>
      <c r="I639" s="48" t="str">
        <f aca="false">'לקוחות לפי סוכן - מקור'!K584</f>
        <v>CHMI</v>
      </c>
    </row>
    <row r="640" customFormat="false" ht="15" hidden="false" customHeight="true" outlineLevel="2" collapsed="false">
      <c r="A640" s="14" t="str">
        <f aca="false">'לקוחות לפי סוכן - מקור'!A585</f>
        <v>חיים ויצמן</v>
      </c>
      <c r="B640" s="14" t="str">
        <f aca="false">'לקוחות לפי סוכן - מקור'!C585</f>
        <v>שופרסל BE</v>
      </c>
      <c r="C640" s="14" t="str">
        <f aca="false">'לקוחות לפי סוכן - מקור'!E585</f>
        <v>614 פארם נתניה BE</v>
      </c>
      <c r="D640" s="22" t="n">
        <f aca="false">'לקוחות לפי סוכן - מקור'!F585</f>
        <v>0</v>
      </c>
      <c r="E640" s="22" t="n">
        <f aca="false">'לקוחות לפי סוכן - מקור'!G585</f>
        <v>4289.7</v>
      </c>
      <c r="F640" s="14" t="n">
        <f aca="false">'לקוחות לפי סוכן - מקור'!D585</f>
        <v>0</v>
      </c>
      <c r="G640" s="15" t="n">
        <f aca="false">'לקוחות לפי סוכן - מקור'!H585</f>
        <v>0</v>
      </c>
      <c r="H640" s="15" t="n">
        <f aca="false">'לקוחות לפי סוכן - מקור'!I585</f>
        <v>0</v>
      </c>
      <c r="I640" s="48" t="str">
        <f aca="false">'לקוחות לפי סוכן - מקור'!K585</f>
        <v>CHMI</v>
      </c>
    </row>
    <row r="641" customFormat="false" ht="15" hidden="false" customHeight="true" outlineLevel="2" collapsed="false">
      <c r="A641" s="14" t="str">
        <f aca="false">'לקוחות לפי סוכן - מקור'!A586</f>
        <v>חיים ויצמן</v>
      </c>
      <c r="B641" s="14" t="str">
        <f aca="false">'לקוחות לפי סוכן - מקור'!C586</f>
        <v>שופרסל BE</v>
      </c>
      <c r="C641" s="14" t="str">
        <f aca="false">'לקוחות לפי סוכן - מקור'!E586</f>
        <v>618 ראשל""צ BE</v>
      </c>
      <c r="D641" s="22" t="n">
        <f aca="false">'לקוחות לפי סוכן - מקור'!F586</f>
        <v>0</v>
      </c>
      <c r="E641" s="22" t="n">
        <f aca="false">'לקוחות לפי סוכן - מקור'!G586</f>
        <v>3920</v>
      </c>
      <c r="F641" s="14" t="n">
        <f aca="false">'לקוחות לפי סוכן - מקור'!D586</f>
        <v>0</v>
      </c>
      <c r="G641" s="15" t="n">
        <f aca="false">'לקוחות לפי סוכן - מקור'!H586</f>
        <v>0</v>
      </c>
      <c r="H641" s="15" t="n">
        <f aca="false">'לקוחות לפי סוכן - מקור'!I586</f>
        <v>0</v>
      </c>
      <c r="I641" s="48" t="str">
        <f aca="false">'לקוחות לפי סוכן - מקור'!K586</f>
        <v>CHMI</v>
      </c>
    </row>
    <row r="642" customFormat="false" ht="15" hidden="false" customHeight="true" outlineLevel="2" collapsed="false">
      <c r="A642" s="14" t="str">
        <f aca="false">'לקוחות לפי סוכן - מקור'!A587</f>
        <v>חיים ויצמן</v>
      </c>
      <c r="B642" s="14" t="str">
        <f aca="false">'לקוחות לפי סוכן - מקור'!C587</f>
        <v>שופרסל BE</v>
      </c>
      <c r="C642" s="14" t="str">
        <f aca="false">'לקוחות לפי סוכן - מקור'!E587</f>
        <v>674 תל ברוך BE</v>
      </c>
      <c r="D642" s="22" t="n">
        <f aca="false">'לקוחות לפי סוכן - מקור'!F587</f>
        <v>0</v>
      </c>
      <c r="E642" s="22" t="n">
        <f aca="false">'לקוחות לפי סוכן - מקור'!G587</f>
        <v>7122.2</v>
      </c>
      <c r="F642" s="14" t="n">
        <f aca="false">'לקוחות לפי סוכן - מקור'!D587</f>
        <v>0</v>
      </c>
      <c r="G642" s="15" t="n">
        <f aca="false">'לקוחות לפי סוכן - מקור'!H587</f>
        <v>0</v>
      </c>
      <c r="H642" s="15" t="n">
        <f aca="false">'לקוחות לפי סוכן - מקור'!I587</f>
        <v>0</v>
      </c>
      <c r="I642" s="48" t="str">
        <f aca="false">'לקוחות לפי סוכן - מקור'!K587</f>
        <v>CHMI</v>
      </c>
    </row>
    <row r="643" customFormat="false" ht="15" hidden="false" customHeight="true" outlineLevel="2" collapsed="false">
      <c r="A643" s="14" t="str">
        <f aca="false">'לקוחות לפי סוכן - מקור'!A588</f>
        <v>חיים ויצמן</v>
      </c>
      <c r="B643" s="14" t="str">
        <f aca="false">'לקוחות לפי סוכן - מקור'!C588</f>
        <v>שופרסל BE</v>
      </c>
      <c r="C643" s="14" t="str">
        <f aca="false">'לקוחות לפי סוכן - מקור'!E588</f>
        <v>695 אסותא רמת החייל BE</v>
      </c>
      <c r="D643" s="22" t="n">
        <f aca="false">'לקוחות לפי סוכן - מקור'!F588</f>
        <v>0</v>
      </c>
      <c r="E643" s="22" t="n">
        <f aca="false">'לקוחות לפי סוכן - מקור'!G588</f>
        <v>264.3</v>
      </c>
      <c r="F643" s="14" t="n">
        <f aca="false">'לקוחות לפי סוכן - מקור'!D588</f>
        <v>0</v>
      </c>
      <c r="G643" s="15" t="n">
        <f aca="false">'לקוחות לפי סוכן - מקור'!H588</f>
        <v>0</v>
      </c>
      <c r="H643" s="15" t="n">
        <f aca="false">'לקוחות לפי סוכן - מקור'!I588</f>
        <v>0</v>
      </c>
      <c r="I643" s="48" t="str">
        <f aca="false">'לקוחות לפי סוכן - מקור'!K588</f>
        <v>CHMI</v>
      </c>
    </row>
    <row r="644" customFormat="false" ht="15" hidden="false" customHeight="true" outlineLevel="2" collapsed="false">
      <c r="A644" s="14" t="str">
        <f aca="false">'לקוחות לפי סוכן - מקור'!A589</f>
        <v>חיים ויצמן</v>
      </c>
      <c r="B644" s="14" t="str">
        <f aca="false">'לקוחות לפי סוכן - מקור'!C589</f>
        <v>שופרסל BE</v>
      </c>
      <c r="C644" s="14" t="str">
        <f aca="false">'לקוחות לפי סוכן - מקור'!E589</f>
        <v>677 הרצליה BE</v>
      </c>
      <c r="D644" s="22" t="n">
        <f aca="false">'לקוחות לפי סוכן - מקור'!F589</f>
        <v>0</v>
      </c>
      <c r="E644" s="22" t="n">
        <f aca="false">'לקוחות לפי סוכן - מקור'!G589</f>
        <v>9802</v>
      </c>
      <c r="F644" s="14" t="n">
        <f aca="false">'לקוחות לפי סוכן - מקור'!D589</f>
        <v>0</v>
      </c>
      <c r="G644" s="15" t="n">
        <f aca="false">'לקוחות לפי סוכן - מקור'!H589</f>
        <v>0</v>
      </c>
      <c r="H644" s="15" t="n">
        <f aca="false">'לקוחות לפי סוכן - מקור'!I589</f>
        <v>0</v>
      </c>
      <c r="I644" s="48" t="str">
        <f aca="false">'לקוחות לפי סוכן - מקור'!K589</f>
        <v>CHMI</v>
      </c>
    </row>
    <row r="645" customFormat="false" ht="15" hidden="false" customHeight="true" outlineLevel="2" collapsed="false">
      <c r="A645" s="14" t="str">
        <f aca="false">'לקוחות לפי סוכן - מקור'!A590</f>
        <v>חיים ויצמן</v>
      </c>
      <c r="B645" s="14" t="str">
        <f aca="false">'לקוחות לפי סוכן - מקור'!C590</f>
        <v>שופרסל BE</v>
      </c>
      <c r="C645" s="14" t="str">
        <f aca="false">'לקוחות לפי סוכן - מקור'!E590</f>
        <v>660  רמת השרון BE</v>
      </c>
      <c r="D645" s="22" t="n">
        <f aca="false">'לקוחות לפי סוכן - מקור'!F590</f>
        <v>0</v>
      </c>
      <c r="E645" s="22" t="n">
        <f aca="false">'לקוחות לפי סוכן - מקור'!G590</f>
        <v>8982.9</v>
      </c>
      <c r="F645" s="14" t="n">
        <f aca="false">'לקוחות לפי סוכן - מקור'!D590</f>
        <v>0</v>
      </c>
      <c r="G645" s="15" t="n">
        <f aca="false">'לקוחות לפי סוכן - מקור'!H590</f>
        <v>0</v>
      </c>
      <c r="H645" s="15" t="n">
        <f aca="false">'לקוחות לפי סוכן - מקור'!I590</f>
        <v>0</v>
      </c>
      <c r="I645" s="48" t="str">
        <f aca="false">'לקוחות לפי סוכן - מקור'!K590</f>
        <v>CHMI</v>
      </c>
    </row>
    <row r="646" customFormat="false" ht="15" hidden="false" customHeight="true" outlineLevel="2" collapsed="false">
      <c r="A646" s="14" t="str">
        <f aca="false">'לקוחות לפי סוכן - מקור'!A591</f>
        <v>חיים ויצמן</v>
      </c>
      <c r="B646" s="14" t="str">
        <f aca="false">'לקוחות לפי סוכן - מקור'!C591</f>
        <v>שופרסל BE</v>
      </c>
      <c r="C646" s="14" t="str">
        <f aca="false">'לקוחות לפי סוכן - מקור'!E591</f>
        <v>653 בני ברק BE</v>
      </c>
      <c r="D646" s="22" t="n">
        <f aca="false">'לקוחות לפי סוכן - מקור'!F591</f>
        <v>0</v>
      </c>
      <c r="E646" s="22" t="n">
        <f aca="false">'לקוחות לפי סוכן - מקור'!G591</f>
        <v>3679.4</v>
      </c>
      <c r="F646" s="14" t="n">
        <f aca="false">'לקוחות לפי סוכן - מקור'!D591</f>
        <v>0</v>
      </c>
      <c r="G646" s="15" t="n">
        <f aca="false">'לקוחות לפי סוכן - מקור'!H591</f>
        <v>0</v>
      </c>
      <c r="H646" s="15" t="n">
        <f aca="false">'לקוחות לפי סוכן - מקור'!I591</f>
        <v>0</v>
      </c>
      <c r="I646" s="48" t="str">
        <f aca="false">'לקוחות לפי סוכן - מקור'!K591</f>
        <v>CHMI</v>
      </c>
    </row>
    <row r="647" customFormat="false" ht="15" hidden="false" customHeight="true" outlineLevel="2" collapsed="false">
      <c r="A647" s="14" t="str">
        <f aca="false">'לקוחות לפי סוכן - מקור'!A592</f>
        <v>חיים ויצמן</v>
      </c>
      <c r="B647" s="14" t="str">
        <f aca="false">'לקוחות לפי סוכן - מקור'!C592</f>
        <v>שופרסל BE</v>
      </c>
      <c r="C647" s="14" t="str">
        <f aca="false">'לקוחות לפי סוכן - מקור'!E592</f>
        <v>670 איכילוב BE</v>
      </c>
      <c r="D647" s="22" t="n">
        <f aca="false">'לקוחות לפי סוכן - מקור'!F592</f>
        <v>0</v>
      </c>
      <c r="E647" s="22" t="n">
        <f aca="false">'לקוחות לפי סוכן - מקור'!G592</f>
        <v>28048.9</v>
      </c>
      <c r="F647" s="14" t="n">
        <f aca="false">'לקוחות לפי סוכן - מקור'!D592</f>
        <v>0</v>
      </c>
      <c r="G647" s="15" t="n">
        <f aca="false">'לקוחות לפי סוכן - מקור'!H592</f>
        <v>0</v>
      </c>
      <c r="H647" s="15" t="n">
        <f aca="false">'לקוחות לפי סוכן - מקור'!I592</f>
        <v>0</v>
      </c>
      <c r="I647" s="48" t="str">
        <f aca="false">'לקוחות לפי סוכן - מקור'!K592</f>
        <v>CHMI</v>
      </c>
    </row>
    <row r="648" customFormat="false" ht="15" hidden="false" customHeight="true" outlineLevel="2" collapsed="false">
      <c r="A648" s="14" t="str">
        <f aca="false">'לקוחות לפי סוכן - מקור'!A593</f>
        <v>חיים ויצמן</v>
      </c>
      <c r="B648" s="14" t="str">
        <f aca="false">'לקוחות לפי סוכן - מקור'!C593</f>
        <v>שופרסל BE</v>
      </c>
      <c r="C648" s="14" t="str">
        <f aca="false">'לקוחות לפי סוכן - מקור'!E593</f>
        <v>656 בן יהודה ת""א BE</v>
      </c>
      <c r="D648" s="22" t="n">
        <f aca="false">'לקוחות לפי סוכן - מקור'!F593</f>
        <v>0</v>
      </c>
      <c r="E648" s="22" t="n">
        <f aca="false">'לקוחות לפי סוכן - מקור'!G593</f>
        <v>488.3</v>
      </c>
      <c r="F648" s="14" t="n">
        <f aca="false">'לקוחות לפי סוכן - מקור'!D593</f>
        <v>0</v>
      </c>
      <c r="G648" s="15" t="n">
        <f aca="false">'לקוחות לפי סוכן - מקור'!H593</f>
        <v>0</v>
      </c>
      <c r="H648" s="15" t="n">
        <f aca="false">'לקוחות לפי סוכן - מקור'!I593</f>
        <v>0</v>
      </c>
      <c r="I648" s="48" t="str">
        <f aca="false">'לקוחות לפי סוכן - מקור'!K593</f>
        <v>CHMI</v>
      </c>
    </row>
    <row r="649" customFormat="false" ht="15" hidden="false" customHeight="true" outlineLevel="2" collapsed="false">
      <c r="A649" s="14" t="str">
        <f aca="false">'לקוחות לפי סוכן - מקור'!A594</f>
        <v>חיים ויצמן</v>
      </c>
      <c r="B649" s="14" t="str">
        <f aca="false">'לקוחות לפי סוכן - מקור'!C594</f>
        <v>שופרסל BE</v>
      </c>
      <c r="C649" s="14" t="str">
        <f aca="false">'לקוחות לפי סוכן - מקור'!E594</f>
        <v>685 אזורי חן BE</v>
      </c>
      <c r="D649" s="22" t="n">
        <f aca="false">'לקוחות לפי סוכן - מקור'!F594</f>
        <v>0</v>
      </c>
      <c r="E649" s="22" t="n">
        <f aca="false">'לקוחות לפי סוכן - מקור'!G594</f>
        <v>246.4</v>
      </c>
      <c r="F649" s="14" t="n">
        <f aca="false">'לקוחות לפי סוכן - מקור'!D594</f>
        <v>0</v>
      </c>
      <c r="G649" s="15" t="n">
        <f aca="false">'לקוחות לפי סוכן - מקור'!H594</f>
        <v>0</v>
      </c>
      <c r="H649" s="15" t="n">
        <f aca="false">'לקוחות לפי סוכן - מקור'!I594</f>
        <v>0</v>
      </c>
      <c r="I649" s="48" t="str">
        <f aca="false">'לקוחות לפי סוכן - מקור'!K594</f>
        <v>CHMI</v>
      </c>
    </row>
    <row r="650" customFormat="false" ht="15" hidden="false" customHeight="true" outlineLevel="2" collapsed="false">
      <c r="A650" s="14" t="str">
        <f aca="false">'לקוחות לפי סוכן - מקור'!A595</f>
        <v>חיים ויצמן</v>
      </c>
      <c r="B650" s="14" t="str">
        <f aca="false">'לקוחות לפי סוכן - מקור'!C595</f>
        <v>שופרסל BE</v>
      </c>
      <c r="C650" s="14" t="str">
        <f aca="false">'לקוחות לפי סוכן - מקור'!E595</f>
        <v>621 סינמה סיטי נתניה BE</v>
      </c>
      <c r="D650" s="22" t="n">
        <f aca="false">'לקוחות לפי סוכן - מקור'!F595</f>
        <v>0</v>
      </c>
      <c r="E650" s="22" t="n">
        <f aca="false">'לקוחות לפי סוכן - מקור'!G595</f>
        <v>3454.2</v>
      </c>
      <c r="F650" s="14" t="n">
        <f aca="false">'לקוחות לפי סוכן - מקור'!D595</f>
        <v>0</v>
      </c>
      <c r="G650" s="15" t="n">
        <f aca="false">'לקוחות לפי סוכן - מקור'!H595</f>
        <v>0</v>
      </c>
      <c r="H650" s="15" t="n">
        <f aca="false">'לקוחות לפי סוכן - מקור'!I595</f>
        <v>0</v>
      </c>
      <c r="I650" s="48" t="str">
        <f aca="false">'לקוחות לפי סוכן - מקור'!K595</f>
        <v>CHMI</v>
      </c>
    </row>
    <row r="651" customFormat="false" ht="15" hidden="false" customHeight="true" outlineLevel="2" collapsed="false">
      <c r="A651" s="14" t="str">
        <f aca="false">'לקוחות לפי סוכן - מקור'!A596</f>
        <v>חיים ויצמן</v>
      </c>
      <c r="B651" s="14" t="str">
        <f aca="false">'לקוחות לפי סוכן - מקור'!C596</f>
        <v>שופרסל BE</v>
      </c>
      <c r="C651" s="14" t="str">
        <f aca="false">'לקוחות לפי סוכן - מקור'!E596</f>
        <v>201 בריגה נתניה BE</v>
      </c>
      <c r="D651" s="22" t="n">
        <f aca="false">'לקוחות לפי סוכן - מקור'!F596</f>
        <v>0</v>
      </c>
      <c r="E651" s="22" t="n">
        <f aca="false">'לקוחות לפי סוכן - מקור'!G596</f>
        <v>6481.7</v>
      </c>
      <c r="F651" s="14" t="n">
        <f aca="false">'לקוחות לפי סוכן - מקור'!D596</f>
        <v>0</v>
      </c>
      <c r="G651" s="15" t="n">
        <f aca="false">'לקוחות לפי סוכן - מקור'!H596</f>
        <v>0</v>
      </c>
      <c r="H651" s="15" t="n">
        <f aca="false">'לקוחות לפי סוכן - מקור'!I596</f>
        <v>0</v>
      </c>
      <c r="I651" s="48" t="str">
        <f aca="false">'לקוחות לפי סוכן - מקור'!K596</f>
        <v>CHMI</v>
      </c>
    </row>
    <row r="652" customFormat="false" ht="15" hidden="false" customHeight="true" outlineLevel="2" collapsed="false">
      <c r="A652" s="14" t="str">
        <f aca="false">'לקוחות לפי סוכן - מקור'!A597</f>
        <v>חיים ויצמן</v>
      </c>
      <c r="B652" s="14" t="str">
        <f aca="false">'לקוחות לפי סוכן - מקור'!C597</f>
        <v>שופרסל BE</v>
      </c>
      <c r="C652" s="14" t="str">
        <f aca="false">'לקוחות לפי סוכן - מקור'!E597</f>
        <v>665 החשמונאים BE</v>
      </c>
      <c r="D652" s="22" t="n">
        <f aca="false">'לקוחות לפי סוכן - מקור'!F597</f>
        <v>0</v>
      </c>
      <c r="E652" s="22" t="n">
        <f aca="false">'לקוחות לפי סוכן - מקור'!G597</f>
        <v>7107.6</v>
      </c>
      <c r="F652" s="14" t="n">
        <f aca="false">'לקוחות לפי סוכן - מקור'!D597</f>
        <v>0</v>
      </c>
      <c r="G652" s="15" t="n">
        <f aca="false">'לקוחות לפי סוכן - מקור'!H597</f>
        <v>0</v>
      </c>
      <c r="H652" s="15" t="n">
        <f aca="false">'לקוחות לפי סוכן - מקור'!I597</f>
        <v>0</v>
      </c>
      <c r="I652" s="48" t="str">
        <f aca="false">'לקוחות לפי סוכן - מקור'!K597</f>
        <v>CHMI</v>
      </c>
    </row>
    <row r="653" customFormat="false" ht="15" hidden="false" customHeight="true" outlineLevel="2" collapsed="false">
      <c r="A653" s="14" t="str">
        <f aca="false">'לקוחות לפי סוכן - מקור'!A598</f>
        <v>חיים ויצמן</v>
      </c>
      <c r="B653" s="14" t="str">
        <f aca="false">'לקוחות לפי סוכן - מקור'!C598</f>
        <v>שופרסל BE</v>
      </c>
      <c r="C653" s="14" t="str">
        <f aca="false">'לקוחות לפי סוכן - מקור'!E598</f>
        <v>345 מידטאון ת""א BE</v>
      </c>
      <c r="D653" s="22" t="n">
        <f aca="false">'לקוחות לפי סוכן - מקור'!F598</f>
        <v>0</v>
      </c>
      <c r="E653" s="22" t="n">
        <f aca="false">'לקוחות לפי סוכן - מקור'!G598</f>
        <v>5126.2</v>
      </c>
      <c r="F653" s="14" t="n">
        <f aca="false">'לקוחות לפי סוכן - מקור'!D598</f>
        <v>0</v>
      </c>
      <c r="G653" s="15" t="n">
        <f aca="false">'לקוחות לפי סוכן - מקור'!H598</f>
        <v>0</v>
      </c>
      <c r="H653" s="15" t="n">
        <f aca="false">'לקוחות לפי סוכן - מקור'!I598</f>
        <v>0</v>
      </c>
      <c r="I653" s="48" t="str">
        <f aca="false">'לקוחות לפי סוכן - מקור'!K598</f>
        <v>CHMI</v>
      </c>
    </row>
    <row r="654" customFormat="false" ht="15" hidden="false" customHeight="true" outlineLevel="2" collapsed="false">
      <c r="A654" s="14" t="str">
        <f aca="false">'לקוחות לפי סוכן - מקור'!A599</f>
        <v>חיים ויצמן</v>
      </c>
      <c r="B654" s="14" t="str">
        <f aca="false">'לקוחות לפי סוכן - מקור'!C599</f>
        <v>שופרסל BE</v>
      </c>
      <c r="C654" s="14" t="str">
        <f aca="false">'לקוחות לפי סוכן - מקור'!E599</f>
        <v>322 גן העיר ת""א BE</v>
      </c>
      <c r="D654" s="22" t="n">
        <f aca="false">'לקוחות לפי סוכן - מקור'!F599</f>
        <v>0</v>
      </c>
      <c r="E654" s="22" t="n">
        <f aca="false">'לקוחות לפי סוכן - מקור'!G599</f>
        <v>9307.6</v>
      </c>
      <c r="F654" s="14" t="n">
        <f aca="false">'לקוחות לפי סוכן - מקור'!D599</f>
        <v>0</v>
      </c>
      <c r="G654" s="15" t="n">
        <f aca="false">'לקוחות לפי סוכן - מקור'!H599</f>
        <v>0</v>
      </c>
      <c r="H654" s="15" t="n">
        <f aca="false">'לקוחות לפי סוכן - מקור'!I599</f>
        <v>0</v>
      </c>
      <c r="I654" s="48" t="str">
        <f aca="false">'לקוחות לפי סוכן - מקור'!K599</f>
        <v>CHMI</v>
      </c>
    </row>
    <row r="655" customFormat="false" ht="15" hidden="false" customHeight="true" outlineLevel="2" collapsed="false">
      <c r="A655" s="14" t="str">
        <f aca="false">'לקוחות לפי סוכן - מקור'!A600</f>
        <v>חיים ויצמן</v>
      </c>
      <c r="B655" s="14" t="str">
        <f aca="false">'לקוחות לפי סוכן - מקור'!C600</f>
        <v>שופרסל BE</v>
      </c>
      <c r="C655" s="14" t="str">
        <f aca="false">'לקוחות לפי סוכן - מקור'!E600</f>
        <v>41 דיזינגוף סנטר BE</v>
      </c>
      <c r="D655" s="22" t="n">
        <f aca="false">'לקוחות לפי סוכן - מקור'!F600</f>
        <v>0</v>
      </c>
      <c r="E655" s="22" t="n">
        <f aca="false">'לקוחות לפי סוכן - מקור'!G600</f>
        <v>8027.1</v>
      </c>
      <c r="F655" s="14" t="n">
        <f aca="false">'לקוחות לפי סוכן - מקור'!D600</f>
        <v>0</v>
      </c>
      <c r="G655" s="15" t="n">
        <f aca="false">'לקוחות לפי סוכן - מקור'!H600</f>
        <v>0</v>
      </c>
      <c r="H655" s="15" t="n">
        <f aca="false">'לקוחות לפי סוכן - מקור'!I600</f>
        <v>0</v>
      </c>
      <c r="I655" s="48" t="str">
        <f aca="false">'לקוחות לפי סוכן - מקור'!K600</f>
        <v>CHMI</v>
      </c>
    </row>
    <row r="656" customFormat="false" ht="15" hidden="false" customHeight="true" outlineLevel="2" collapsed="false">
      <c r="A656" s="14" t="str">
        <f aca="false">'לקוחות לפי סוכן - מקור'!A601</f>
        <v>חיים ויצמן</v>
      </c>
      <c r="B656" s="14" t="str">
        <f aca="false">'לקוחות לפי סוכן - מקור'!C601</f>
        <v>שופרסל BE</v>
      </c>
      <c r="C656" s="14" t="str">
        <f aca="false">'לקוחות לפי סוכן - מקור'!E601</f>
        <v>256 ישפרו נס ציונה B.</v>
      </c>
      <c r="D656" s="22" t="n">
        <f aca="false">'לקוחות לפי סוכן - מקור'!F601</f>
        <v>0</v>
      </c>
      <c r="E656" s="22" t="n">
        <f aca="false">'לקוחות לפי סוכן - מקור'!G601</f>
        <v>3705.3</v>
      </c>
      <c r="F656" s="14" t="n">
        <f aca="false">'לקוחות לפי סוכן - מקור'!D601</f>
        <v>0</v>
      </c>
      <c r="G656" s="15" t="n">
        <f aca="false">'לקוחות לפי סוכן - מקור'!H601</f>
        <v>0</v>
      </c>
      <c r="H656" s="15" t="n">
        <f aca="false">'לקוחות לפי סוכן - מקור'!I601</f>
        <v>0</v>
      </c>
      <c r="I656" s="48" t="str">
        <f aca="false">'לקוחות לפי סוכן - מקור'!K601</f>
        <v>CHMI</v>
      </c>
    </row>
    <row r="657" customFormat="false" ht="15" hidden="false" customHeight="true" outlineLevel="2" collapsed="false">
      <c r="A657" s="14" t="str">
        <f aca="false">'לקוחות לפי סוכן - מקור'!A602</f>
        <v>חיים ויצמן</v>
      </c>
      <c r="B657" s="14" t="str">
        <f aca="false">'לקוחות לפי סוכן - מקור'!C602</f>
        <v>שופרסל BE</v>
      </c>
      <c r="C657" s="14" t="str">
        <f aca="false">'לקוחות לפי סוכן - מקור'!E602</f>
        <v>476 ככר המושבה הוד השרון BE</v>
      </c>
      <c r="D657" s="22" t="n">
        <f aca="false">'לקוחות לפי סוכן - מקור'!F602</f>
        <v>0</v>
      </c>
      <c r="E657" s="22" t="n">
        <f aca="false">'לקוחות לפי סוכן - מקור'!G602</f>
        <v>5744</v>
      </c>
      <c r="F657" s="14" t="n">
        <f aca="false">'לקוחות לפי סוכן - מקור'!D602</f>
        <v>0</v>
      </c>
      <c r="G657" s="15" t="n">
        <f aca="false">'לקוחות לפי סוכן - מקור'!H602</f>
        <v>0</v>
      </c>
      <c r="H657" s="15" t="n">
        <f aca="false">'לקוחות לפי סוכן - מקור'!I602</f>
        <v>0</v>
      </c>
      <c r="I657" s="48" t="str">
        <f aca="false">'לקוחות לפי סוכן - מקור'!K602</f>
        <v>CHMI</v>
      </c>
    </row>
    <row r="658" customFormat="false" ht="15" hidden="false" customHeight="true" outlineLevel="2" collapsed="false">
      <c r="A658" s="14" t="str">
        <f aca="false">'לקוחות לפי סוכן - מקור'!A603</f>
        <v>חיים ויצמן</v>
      </c>
      <c r="B658" s="14" t="str">
        <f aca="false">'לקוחות לפי סוכן - מקור'!C603</f>
        <v>שופרסל BE</v>
      </c>
      <c r="C658" s="14" t="str">
        <f aca="false">'לקוחות לפי סוכן - מקור'!E603</f>
        <v>782 שיין ראשל""צ BE</v>
      </c>
      <c r="D658" s="22" t="n">
        <f aca="false">'לקוחות לפי סוכן - מקור'!F603</f>
        <v>0</v>
      </c>
      <c r="E658" s="22" t="n">
        <f aca="false">'לקוחות לפי סוכן - מקור'!G603</f>
        <v>636</v>
      </c>
      <c r="F658" s="14" t="n">
        <f aca="false">'לקוחות לפי סוכן - מקור'!D603</f>
        <v>0</v>
      </c>
      <c r="G658" s="15" t="n">
        <f aca="false">'לקוחות לפי סוכן - מקור'!H603</f>
        <v>0</v>
      </c>
      <c r="H658" s="15" t="n">
        <f aca="false">'לקוחות לפי סוכן - מקור'!I603</f>
        <v>0</v>
      </c>
      <c r="I658" s="48" t="str">
        <f aca="false">'לקוחות לפי סוכן - מקור'!K603</f>
        <v>CHMI</v>
      </c>
    </row>
    <row r="659" customFormat="false" ht="15" hidden="false" customHeight="true" outlineLevel="2" collapsed="false">
      <c r="A659" s="14" t="str">
        <f aca="false">'לקוחות לפי סוכן - מקור'!A604</f>
        <v>חיים ויצמן</v>
      </c>
      <c r="B659" s="14" t="str">
        <f aca="false">'לקוחות לפי סוכן - מקור'!C604</f>
        <v>שופרסל BE</v>
      </c>
      <c r="C659" s="14" t="str">
        <f aca="false">'לקוחות לפי סוכן - מקור'!E604</f>
        <v>762 אושיסקין רמת השרון BE</v>
      </c>
      <c r="D659" s="22" t="n">
        <f aca="false">'לקוחות לפי סוכן - מקור'!F604</f>
        <v>0</v>
      </c>
      <c r="E659" s="22" t="n">
        <f aca="false">'לקוחות לפי סוכן - מקור'!G604</f>
        <v>4767.1</v>
      </c>
      <c r="F659" s="14" t="n">
        <f aca="false">'לקוחות לפי סוכן - מקור'!D604</f>
        <v>0</v>
      </c>
      <c r="G659" s="15" t="n">
        <f aca="false">'לקוחות לפי סוכן - מקור'!H604</f>
        <v>0</v>
      </c>
      <c r="H659" s="15" t="n">
        <f aca="false">'לקוחות לפי סוכן - מקור'!I604</f>
        <v>0</v>
      </c>
      <c r="I659" s="48" t="str">
        <f aca="false">'לקוחות לפי סוכן - מקור'!K604</f>
        <v>CHMI</v>
      </c>
    </row>
    <row r="660" customFormat="false" ht="15" hidden="false" customHeight="true" outlineLevel="2" collapsed="false">
      <c r="A660" s="14" t="str">
        <f aca="false">'לקוחות לפי סוכן - מקור'!A605</f>
        <v>חיים ויצמן</v>
      </c>
      <c r="B660" s="14" t="str">
        <f aca="false">'לקוחות לפי סוכן - מקור'!C605</f>
        <v>שופרסל BE</v>
      </c>
      <c r="C660" s="14" t="str">
        <f aca="false">'לקוחות לפי סוכן - מקור'!E605</f>
        <v>781 פרישמן ת""א BE</v>
      </c>
      <c r="D660" s="22" t="n">
        <f aca="false">'לקוחות לפי סוכן - מקור'!F605</f>
        <v>0</v>
      </c>
      <c r="E660" s="22" t="n">
        <f aca="false">'לקוחות לפי סוכן - מקור'!G605</f>
        <v>4710.9</v>
      </c>
      <c r="F660" s="14" t="n">
        <f aca="false">'לקוחות לפי סוכן - מקור'!D605</f>
        <v>0</v>
      </c>
      <c r="G660" s="15" t="n">
        <f aca="false">'לקוחות לפי סוכן - מקור'!H605</f>
        <v>0</v>
      </c>
      <c r="H660" s="15" t="n">
        <f aca="false">'לקוחות לפי סוכן - מקור'!I605</f>
        <v>0</v>
      </c>
      <c r="I660" s="48" t="str">
        <f aca="false">'לקוחות לפי סוכן - מקור'!K605</f>
        <v>CHMI</v>
      </c>
    </row>
    <row r="661" customFormat="false" ht="15" hidden="false" customHeight="true" outlineLevel="2" collapsed="false">
      <c r="A661" s="14" t="str">
        <f aca="false">'לקוחות לפי סוכן - מקור'!A606</f>
        <v>חיים ויצמן</v>
      </c>
      <c r="B661" s="14" t="str">
        <f aca="false">'לקוחות לפי סוכן - מקור'!C606</f>
        <v>שופרסל BE</v>
      </c>
      <c r="C661" s="14" t="str">
        <f aca="false">'לקוחות לפי סוכן - מקור'!E606</f>
        <v>172 באר יעקב BE</v>
      </c>
      <c r="D661" s="22" t="n">
        <f aca="false">'לקוחות לפי סוכן - מקור'!F606</f>
        <v>0</v>
      </c>
      <c r="E661" s="22" t="n">
        <f aca="false">'לקוחות לפי סוכן - מקור'!G606</f>
        <v>4129.1</v>
      </c>
      <c r="F661" s="14" t="n">
        <f aca="false">'לקוחות לפי סוכן - מקור'!D606</f>
        <v>0</v>
      </c>
      <c r="G661" s="15" t="n">
        <f aca="false">'לקוחות לפי סוכן - מקור'!H606</f>
        <v>0</v>
      </c>
      <c r="H661" s="15" t="n">
        <f aca="false">'לקוחות לפי סוכן - מקור'!I606</f>
        <v>0</v>
      </c>
      <c r="I661" s="48" t="str">
        <f aca="false">'לקוחות לפי סוכן - מקור'!K606</f>
        <v>CHMI</v>
      </c>
    </row>
    <row r="662" customFormat="false" ht="15" hidden="false" customHeight="true" outlineLevel="1" collapsed="false">
      <c r="A662" s="49" t="s">
        <v>3457</v>
      </c>
      <c r="B662" s="50" t="s">
        <v>20</v>
      </c>
      <c r="C662" s="51"/>
      <c r="D662" s="52" t="n">
        <f aca="false">SUMIFS('לקוחות לפי סוכן - מקור'!$F$2:$F$867,'לקוחות לפי סוכן - מקור'!$A$2:$A$867,$A662,'לקוחות לפי סוכן - מקור'!$C$2:$C$867,$B662)</f>
        <v>0</v>
      </c>
      <c r="E662" s="52" t="n">
        <f aca="false">SUMIFS('לקוחות לפי סוכן - מקור'!$G$2:$G$867,'לקוחות לפי סוכן - מקור'!$A$2:$A$867,$A662,'לקוחות לפי סוכן - מקור'!$C$2:$C$867,$B662)</f>
        <v>41349.9</v>
      </c>
      <c r="F662" s="51"/>
      <c r="G662" s="53" t="n">
        <f aca="false">SUMIFS('לקוחות לפי סוכן - מקור'!$H$2:$H$867,'לקוחות לפי סוכן - מקור'!$A$2:$A$867,$A662,'לקוחות לפי סוכן - מקור'!$C$2:$C$867,$B662)</f>
        <v>0</v>
      </c>
      <c r="H662" s="53" t="n">
        <f aca="false">SUMIFS('לקוחות לפי סוכן - מקור'!$I$2:$I$867,'לקוחות לפי סוכן - מקור'!$A$2:$A$867,$A662,'לקוחות לפי סוכן - מקור'!$C$2:$C$867,$B662)</f>
        <v>0</v>
      </c>
      <c r="I662" s="51"/>
      <c r="J662" s="53" t="n">
        <f aca="false">COUNTIFS('לקוחות לפי סוכן - מקור'!$A$2:$A$867,$A662,'לקוחות לפי סוכן - מקור'!$C$2:$C$867,$B662)</f>
        <v>20</v>
      </c>
    </row>
    <row r="663" customFormat="false" ht="15" hidden="false" customHeight="true" outlineLevel="2" collapsed="false">
      <c r="A663" s="14" t="str">
        <f aca="false">'לקוחות לפי סוכן - מקור'!A608</f>
        <v>חיים ויצמן</v>
      </c>
      <c r="B663" s="14" t="str">
        <f aca="false">'לקוחות לפי סוכן - מקור'!C608</f>
        <v>0קופות חולים</v>
      </c>
      <c r="C663" s="14" t="str">
        <f aca="false">'לקוחות לפי סוכן - מקור'!E608</f>
        <v>מאוחדת נ.שקמה ראשל""צ</v>
      </c>
      <c r="D663" s="22" t="n">
        <f aca="false">'לקוחות לפי סוכן - מקור'!F608</f>
        <v>0</v>
      </c>
      <c r="E663" s="22" t="n">
        <f aca="false">'לקוחות לפי סוכן - מקור'!G608</f>
        <v>673.2</v>
      </c>
      <c r="F663" s="14" t="n">
        <f aca="false">'לקוחות לפי סוכן - מקור'!D608</f>
        <v>0</v>
      </c>
      <c r="G663" s="15" t="n">
        <f aca="false">'לקוחות לפי סוכן - מקור'!H608</f>
        <v>0</v>
      </c>
      <c r="H663" s="15" t="n">
        <f aca="false">'לקוחות לפי סוכן - מקור'!I608</f>
        <v>0</v>
      </c>
      <c r="I663" s="48" t="str">
        <f aca="false">'לקוחות לפי סוכן - מקור'!K608</f>
        <v>CHMI</v>
      </c>
    </row>
    <row r="664" customFormat="false" ht="15" hidden="false" customHeight="true" outlineLevel="2" collapsed="false">
      <c r="A664" s="14" t="str">
        <f aca="false">'לקוחות לפי סוכן - מקור'!A609</f>
        <v>חיים ויצמן</v>
      </c>
      <c r="B664" s="14" t="str">
        <f aca="false">'לקוחות לפי סוכן - מקור'!C609</f>
        <v>0קופות חולים</v>
      </c>
      <c r="C664" s="14" t="str">
        <f aca="false">'לקוחות לפי סוכן - מקור'!E609</f>
        <v>7123 מאוחדת כפר סבא</v>
      </c>
      <c r="D664" s="22" t="n">
        <f aca="false">'לקוחות לפי סוכן - מקור'!F609</f>
        <v>0</v>
      </c>
      <c r="E664" s="22" t="n">
        <f aca="false">'לקוחות לפי סוכן - מקור'!G609</f>
        <v>2201.8</v>
      </c>
      <c r="F664" s="14" t="n">
        <f aca="false">'לקוחות לפי סוכן - מקור'!D609</f>
        <v>0</v>
      </c>
      <c r="G664" s="15" t="n">
        <f aca="false">'לקוחות לפי סוכן - מקור'!H609</f>
        <v>0</v>
      </c>
      <c r="H664" s="15" t="n">
        <f aca="false">'לקוחות לפי סוכן - מקור'!I609</f>
        <v>0</v>
      </c>
      <c r="I664" s="48" t="str">
        <f aca="false">'לקוחות לפי סוכן - מקור'!K609</f>
        <v>CHMI</v>
      </c>
    </row>
    <row r="665" customFormat="false" ht="15" hidden="false" customHeight="true" outlineLevel="2" collapsed="false">
      <c r="A665" s="14" t="str">
        <f aca="false">'לקוחות לפי סוכן - מקור'!A610</f>
        <v>חיים ויצמן</v>
      </c>
      <c r="B665" s="14" t="str">
        <f aca="false">'לקוחות לפי סוכן - מקור'!C610</f>
        <v>0קופות חולים</v>
      </c>
      <c r="C665" s="14" t="str">
        <f aca="false">'לקוחות לפי סוכן - מקור'!E610</f>
        <v>7101 מאוחדת אבן-יהודה</v>
      </c>
      <c r="D665" s="22" t="n">
        <f aca="false">'לקוחות לפי סוכן - מקור'!F610</f>
        <v>0</v>
      </c>
      <c r="E665" s="22" t="n">
        <f aca="false">'לקוחות לפי סוכן - מקור'!G610</f>
        <v>182</v>
      </c>
      <c r="F665" s="14" t="n">
        <f aca="false">'לקוחות לפי סוכן - מקור'!D610</f>
        <v>0</v>
      </c>
      <c r="G665" s="15" t="n">
        <f aca="false">'לקוחות לפי סוכן - מקור'!H610</f>
        <v>0</v>
      </c>
      <c r="H665" s="15" t="n">
        <f aca="false">'לקוחות לפי סוכן - מקור'!I610</f>
        <v>0</v>
      </c>
      <c r="I665" s="48" t="str">
        <f aca="false">'לקוחות לפי סוכן - מקור'!K610</f>
        <v>CHMI</v>
      </c>
    </row>
    <row r="666" customFormat="false" ht="15" hidden="false" customHeight="true" outlineLevel="2" collapsed="false">
      <c r="A666" s="14" t="str">
        <f aca="false">'לקוחות לפי סוכן - מקור'!A611</f>
        <v>חיים ויצמן</v>
      </c>
      <c r="B666" s="14" t="str">
        <f aca="false">'לקוחות לפי סוכן - מקור'!C611</f>
        <v>0קופות חולים</v>
      </c>
      <c r="C666" s="14" t="str">
        <f aca="false">'לקוחות לפי סוכן - מקור'!E611</f>
        <v>4410 מאוחדת נתניה</v>
      </c>
      <c r="D666" s="22" t="n">
        <f aca="false">'לקוחות לפי סוכן - מקור'!F611</f>
        <v>0</v>
      </c>
      <c r="E666" s="22" t="n">
        <f aca="false">'לקוחות לפי סוכן - מקור'!G611</f>
        <v>4674.1</v>
      </c>
      <c r="F666" s="14" t="n">
        <f aca="false">'לקוחות לפי סוכן - מקור'!D611</f>
        <v>0</v>
      </c>
      <c r="G666" s="15" t="n">
        <f aca="false">'לקוחות לפי סוכן - מקור'!H611</f>
        <v>0</v>
      </c>
      <c r="H666" s="15" t="n">
        <f aca="false">'לקוחות לפי סוכן - מקור'!I611</f>
        <v>0</v>
      </c>
      <c r="I666" s="48" t="str">
        <f aca="false">'לקוחות לפי סוכן - מקור'!K611</f>
        <v>CHMI</v>
      </c>
    </row>
    <row r="667" customFormat="false" ht="15" hidden="false" customHeight="true" outlineLevel="2" collapsed="false">
      <c r="A667" s="14" t="str">
        <f aca="false">'לקוחות לפי סוכן - מקור'!A612</f>
        <v>חיים ויצמן</v>
      </c>
      <c r="B667" s="14" t="str">
        <f aca="false">'לקוחות לפי סוכן - מקור'!C612</f>
        <v>0קופות חולים</v>
      </c>
      <c r="C667" s="14" t="str">
        <f aca="false">'לקוחות לפי סוכן - מקור'!E612</f>
        <v>7108 מאוחדת הרצליה</v>
      </c>
      <c r="D667" s="22" t="n">
        <f aca="false">'לקוחות לפי סוכן - מקור'!F612</f>
        <v>0</v>
      </c>
      <c r="E667" s="22" t="n">
        <f aca="false">'לקוחות לפי סוכן - מקור'!G612</f>
        <v>2548.5</v>
      </c>
      <c r="F667" s="14" t="n">
        <f aca="false">'לקוחות לפי סוכן - מקור'!D612</f>
        <v>0</v>
      </c>
      <c r="G667" s="15" t="n">
        <f aca="false">'לקוחות לפי סוכן - מקור'!H612</f>
        <v>0</v>
      </c>
      <c r="H667" s="15" t="n">
        <f aca="false">'לקוחות לפי סוכן - מקור'!I612</f>
        <v>0</v>
      </c>
      <c r="I667" s="48" t="str">
        <f aca="false">'לקוחות לפי סוכן - מקור'!K612</f>
        <v>CHMI</v>
      </c>
    </row>
    <row r="668" customFormat="false" ht="15" hidden="false" customHeight="true" outlineLevel="2" collapsed="false">
      <c r="A668" s="14" t="str">
        <f aca="false">'לקוחות לפי סוכן - מקור'!A613</f>
        <v>חיים ויצמן</v>
      </c>
      <c r="B668" s="14" t="str">
        <f aca="false">'לקוחות לפי סוכן - מקור'!C613</f>
        <v>0קופות חולים</v>
      </c>
      <c r="C668" s="14" t="str">
        <f aca="false">'לקוחות לפי סוכן - מקור'!E613</f>
        <v>7105 מאוחדת אבני נזר ב""ב</v>
      </c>
      <c r="D668" s="22" t="n">
        <f aca="false">'לקוחות לפי סוכן - מקור'!F613</f>
        <v>0</v>
      </c>
      <c r="E668" s="22" t="n">
        <f aca="false">'לקוחות לפי סוכן - מקור'!G613</f>
        <v>106</v>
      </c>
      <c r="F668" s="14" t="n">
        <f aca="false">'לקוחות לפי סוכן - מקור'!D613</f>
        <v>0</v>
      </c>
      <c r="G668" s="15" t="n">
        <f aca="false">'לקוחות לפי סוכן - מקור'!H613</f>
        <v>0</v>
      </c>
      <c r="H668" s="15" t="n">
        <f aca="false">'לקוחות לפי סוכן - מקור'!I613</f>
        <v>0</v>
      </c>
      <c r="I668" s="48" t="str">
        <f aca="false">'לקוחות לפי סוכן - מקור'!K613</f>
        <v>CHMI</v>
      </c>
    </row>
    <row r="669" customFormat="false" ht="15" hidden="false" customHeight="true" outlineLevel="2" collapsed="false">
      <c r="A669" s="14" t="str">
        <f aca="false">'לקוחות לפי סוכן - מקור'!A614</f>
        <v>חיים ויצמן</v>
      </c>
      <c r="B669" s="14" t="str">
        <f aca="false">'לקוחות לפי סוכן - מקור'!C614</f>
        <v>0קופות חולים</v>
      </c>
      <c r="C669" s="14" t="str">
        <f aca="false">'לקוחות לפי סוכן - מקור'!E614</f>
        <v>7104  מאוחדת בני-ברק</v>
      </c>
      <c r="D669" s="22" t="n">
        <f aca="false">'לקוחות לפי סוכן - מקור'!F614</f>
        <v>0</v>
      </c>
      <c r="E669" s="22" t="n">
        <f aca="false">'לקוחות לפי סוכן - מקור'!G614</f>
        <v>2456.7</v>
      </c>
      <c r="F669" s="14" t="n">
        <f aca="false">'לקוחות לפי סוכן - מקור'!D614</f>
        <v>0</v>
      </c>
      <c r="G669" s="15" t="n">
        <f aca="false">'לקוחות לפי סוכן - מקור'!H614</f>
        <v>0</v>
      </c>
      <c r="H669" s="15" t="n">
        <f aca="false">'לקוחות לפי סוכן - מקור'!I614</f>
        <v>0</v>
      </c>
      <c r="I669" s="48" t="str">
        <f aca="false">'לקוחות לפי סוכן - מקור'!K614</f>
        <v>CHMI</v>
      </c>
    </row>
    <row r="670" customFormat="false" ht="15" hidden="false" customHeight="true" outlineLevel="2" collapsed="false">
      <c r="A670" s="14" t="str">
        <f aca="false">'לקוחות לפי סוכן - מקור'!A615</f>
        <v>חיים ויצמן</v>
      </c>
      <c r="B670" s="14" t="str">
        <f aca="false">'לקוחות לפי סוכן - מקור'!C615</f>
        <v>0קופות חולים</v>
      </c>
      <c r="C670" s="14" t="str">
        <f aca="false">'לקוחות לפי סוכן - מקור'!E615</f>
        <v>5910 מאוחדת תל-אביב</v>
      </c>
      <c r="D670" s="22" t="n">
        <f aca="false">'לקוחות לפי סוכן - מקור'!F615</f>
        <v>0</v>
      </c>
      <c r="E670" s="22" t="n">
        <f aca="false">'לקוחות לפי סוכן - מקור'!G615</f>
        <v>10879.4</v>
      </c>
      <c r="F670" s="14" t="n">
        <f aca="false">'לקוחות לפי סוכן - מקור'!D615</f>
        <v>0</v>
      </c>
      <c r="G670" s="15" t="n">
        <f aca="false">'לקוחות לפי סוכן - מקור'!H615</f>
        <v>0</v>
      </c>
      <c r="H670" s="15" t="n">
        <f aca="false">'לקוחות לפי סוכן - מקור'!I615</f>
        <v>0</v>
      </c>
      <c r="I670" s="48" t="str">
        <f aca="false">'לקוחות לפי סוכן - מקור'!K615</f>
        <v>CHMI</v>
      </c>
    </row>
    <row r="671" customFormat="false" ht="15" hidden="false" customHeight="true" outlineLevel="2" collapsed="false">
      <c r="A671" s="14" t="str">
        <f aca="false">'לקוחות לפי סוכן - מקור'!A616</f>
        <v>חיים ויצמן</v>
      </c>
      <c r="B671" s="14" t="str">
        <f aca="false">'לקוחות לפי סוכן - מקור'!C616</f>
        <v>0קופות חולים</v>
      </c>
      <c r="C671" s="14" t="str">
        <f aca="false">'לקוחות לפי סוכן - מקור'!E616</f>
        <v>מאוחדת צרפתי ראשון לציון</v>
      </c>
      <c r="D671" s="22" t="n">
        <f aca="false">'לקוחות לפי סוכן - מקור'!F616</f>
        <v>0</v>
      </c>
      <c r="E671" s="22" t="n">
        <f aca="false">'לקוחות לפי סוכן - מקור'!G616</f>
        <v>599</v>
      </c>
      <c r="F671" s="14" t="n">
        <f aca="false">'לקוחות לפי סוכן - מקור'!D616</f>
        <v>0</v>
      </c>
      <c r="G671" s="15" t="n">
        <f aca="false">'לקוחות לפי סוכן - מקור'!H616</f>
        <v>0</v>
      </c>
      <c r="H671" s="15" t="n">
        <f aca="false">'לקוחות לפי סוכן - מקור'!I616</f>
        <v>0</v>
      </c>
      <c r="I671" s="48" t="str">
        <f aca="false">'לקוחות לפי סוכן - מקור'!K616</f>
        <v>CHMI</v>
      </c>
    </row>
    <row r="672" customFormat="false" ht="15" hidden="false" customHeight="true" outlineLevel="2" collapsed="false">
      <c r="A672" s="14" t="str">
        <f aca="false">'לקוחות לפי סוכן - מקור'!A617</f>
        <v>חיים ויצמן</v>
      </c>
      <c r="B672" s="14" t="str">
        <f aca="false">'לקוחות לפי סוכן - מקור'!C617</f>
        <v>0קופות חולים</v>
      </c>
      <c r="C672" s="14" t="str">
        <f aca="false">'לקוחות לפי סוכן - מקור'!E617</f>
        <v>5210 (מאוחדת ראשל""צ )פיקא</v>
      </c>
      <c r="D672" s="22" t="n">
        <f aca="false">'לקוחות לפי סוכן - מקור'!F617</f>
        <v>0</v>
      </c>
      <c r="E672" s="22" t="n">
        <f aca="false">'לקוחות לפי סוכן - מקור'!G617</f>
        <v>3922.3</v>
      </c>
      <c r="F672" s="14" t="n">
        <f aca="false">'לקוחות לפי סוכן - מקור'!D617</f>
        <v>0</v>
      </c>
      <c r="G672" s="15" t="n">
        <f aca="false">'לקוחות לפי סוכן - מקור'!H617</f>
        <v>0</v>
      </c>
      <c r="H672" s="15" t="n">
        <f aca="false">'לקוחות לפי סוכן - מקור'!I617</f>
        <v>0</v>
      </c>
      <c r="I672" s="48" t="str">
        <f aca="false">'לקוחות לפי סוכן - מקור'!K617</f>
        <v>CHMI</v>
      </c>
    </row>
    <row r="673" customFormat="false" ht="15" hidden="false" customHeight="true" outlineLevel="2" collapsed="false">
      <c r="A673" s="14" t="str">
        <f aca="false">'לקוחות לפי סוכן - מקור'!A618</f>
        <v>חיים ויצמן</v>
      </c>
      <c r="B673" s="14" t="str">
        <f aca="false">'לקוחות לפי סוכן - מקור'!C618</f>
        <v>0קופות חולים</v>
      </c>
      <c r="C673" s="14" t="str">
        <f aca="false">'לקוחות לפי סוכן - מקור'!E618</f>
        <v>144 מאוחדת קריית השרון נתניה</v>
      </c>
      <c r="D673" s="22" t="n">
        <f aca="false">'לקוחות לפי סוכן - מקור'!F618</f>
        <v>0</v>
      </c>
      <c r="E673" s="22" t="n">
        <f aca="false">'לקוחות לפי סוכן - מקור'!G618</f>
        <v>378.6</v>
      </c>
      <c r="F673" s="14" t="n">
        <f aca="false">'לקוחות לפי סוכן - מקור'!D618</f>
        <v>0</v>
      </c>
      <c r="G673" s="15" t="n">
        <f aca="false">'לקוחות לפי סוכן - מקור'!H618</f>
        <v>0</v>
      </c>
      <c r="H673" s="15" t="n">
        <f aca="false">'לקוחות לפי סוכן - מקור'!I618</f>
        <v>0</v>
      </c>
      <c r="I673" s="48" t="str">
        <f aca="false">'לקוחות לפי סוכן - מקור'!K618</f>
        <v>CHMI</v>
      </c>
    </row>
    <row r="674" customFormat="false" ht="15" hidden="false" customHeight="true" outlineLevel="2" collapsed="false">
      <c r="A674" s="14" t="str">
        <f aca="false">'לקוחות לפי סוכן - מקור'!A619</f>
        <v>חיים ויצמן</v>
      </c>
      <c r="B674" s="14" t="str">
        <f aca="false">'לקוחות לפי סוכן - מקור'!C619</f>
        <v>0קופות חולים</v>
      </c>
      <c r="C674" s="14" t="str">
        <f aca="false">'לקוחות לפי סוכן - מקור'!E619</f>
        <v>מאוחדת רמת אביב חדר תרופות</v>
      </c>
      <c r="D674" s="22" t="n">
        <f aca="false">'לקוחות לפי סוכן - מקור'!F619</f>
        <v>0</v>
      </c>
      <c r="E674" s="22" t="n">
        <f aca="false">'לקוחות לפי סוכן - מקור'!G619</f>
        <v>1075.7</v>
      </c>
      <c r="F674" s="14" t="n">
        <f aca="false">'לקוחות לפי סוכן - מקור'!D619</f>
        <v>0</v>
      </c>
      <c r="G674" s="15" t="n">
        <f aca="false">'לקוחות לפי סוכן - מקור'!H619</f>
        <v>0</v>
      </c>
      <c r="H674" s="15" t="n">
        <f aca="false">'לקוחות לפי סוכן - מקור'!I619</f>
        <v>0</v>
      </c>
      <c r="I674" s="48" t="str">
        <f aca="false">'לקוחות לפי סוכן - מקור'!K619</f>
        <v>CHMI</v>
      </c>
    </row>
    <row r="675" customFormat="false" ht="15" hidden="false" customHeight="true" outlineLevel="2" collapsed="false">
      <c r="A675" s="14" t="str">
        <f aca="false">'לקוחות לפי סוכן - מקור'!A620</f>
        <v>חיים ויצמן</v>
      </c>
      <c r="B675" s="14" t="str">
        <f aca="false">'לקוחות לפי סוכן - מקור'!C620</f>
        <v>0קופות חולים</v>
      </c>
      <c r="C675" s="14" t="str">
        <f aca="false">'לקוחות לפי סוכן - מקור'!E620</f>
        <v>168 מאוחדת רעננה</v>
      </c>
      <c r="D675" s="22" t="n">
        <f aca="false">'לקוחות לפי סוכן - מקור'!F620</f>
        <v>0</v>
      </c>
      <c r="E675" s="22" t="n">
        <f aca="false">'לקוחות לפי סוכן - מקור'!G620</f>
        <v>643.7</v>
      </c>
      <c r="F675" s="14" t="n">
        <f aca="false">'לקוחות לפי סוכן - מקור'!D620</f>
        <v>0</v>
      </c>
      <c r="G675" s="15" t="n">
        <f aca="false">'לקוחות לפי סוכן - מקור'!H620</f>
        <v>0</v>
      </c>
      <c r="H675" s="15" t="n">
        <f aca="false">'לקוחות לפי סוכן - מקור'!I620</f>
        <v>0</v>
      </c>
      <c r="I675" s="48" t="str">
        <f aca="false">'לקוחות לפי סוכן - מקור'!K620</f>
        <v>CHMI</v>
      </c>
    </row>
    <row r="676" customFormat="false" ht="15" hidden="false" customHeight="true" outlineLevel="2" collapsed="false">
      <c r="A676" s="14" t="str">
        <f aca="false">'לקוחות לפי סוכן - מקור'!A621</f>
        <v>חיים ויצמן</v>
      </c>
      <c r="B676" s="14" t="str">
        <f aca="false">'לקוחות לפי סוכן - מקור'!C621</f>
        <v>0קופות חולים</v>
      </c>
      <c r="C676" s="14" t="str">
        <f aca="false">'לקוחות לפי סוכן - מקור'!E621</f>
        <v>7523 מאוחדת כפר חב""ד</v>
      </c>
      <c r="D676" s="22" t="n">
        <f aca="false">'לקוחות לפי סוכן - מקור'!F621</f>
        <v>0</v>
      </c>
      <c r="E676" s="22" t="n">
        <f aca="false">'לקוחות לפי סוכן - מקור'!G621</f>
        <v>539.4</v>
      </c>
      <c r="F676" s="14" t="n">
        <f aca="false">'לקוחות לפי סוכן - מקור'!D621</f>
        <v>0</v>
      </c>
      <c r="G676" s="15" t="n">
        <f aca="false">'לקוחות לפי סוכן - מקור'!H621</f>
        <v>0</v>
      </c>
      <c r="H676" s="15" t="n">
        <f aca="false">'לקוחות לפי סוכן - מקור'!I621</f>
        <v>0</v>
      </c>
      <c r="I676" s="48" t="str">
        <f aca="false">'לקוחות לפי סוכן - מקור'!K621</f>
        <v>CHMI</v>
      </c>
    </row>
    <row r="677" customFormat="false" ht="15" hidden="false" customHeight="true" outlineLevel="2" collapsed="false">
      <c r="A677" s="14" t="str">
        <f aca="false">'לקוחות לפי סוכן - מקור'!A622</f>
        <v>חיים ויצמן</v>
      </c>
      <c r="B677" s="14" t="str">
        <f aca="false">'לקוחות לפי סוכן - מקור'!C622</f>
        <v>0קופות חולים</v>
      </c>
      <c r="C677" s="14" t="str">
        <f aca="false">'לקוחות לפי סוכן - מקור'!E622</f>
        <v>7121 מאוחדת כפר יונה</v>
      </c>
      <c r="D677" s="22" t="n">
        <f aca="false">'לקוחות לפי סוכן - מקור'!F622</f>
        <v>0</v>
      </c>
      <c r="E677" s="22" t="n">
        <f aca="false">'לקוחות לפי סוכן - מקור'!G622</f>
        <v>2630.1</v>
      </c>
      <c r="F677" s="14" t="n">
        <f aca="false">'לקוחות לפי סוכן - מקור'!D622</f>
        <v>0</v>
      </c>
      <c r="G677" s="15" t="n">
        <f aca="false">'לקוחות לפי סוכן - מקור'!H622</f>
        <v>0</v>
      </c>
      <c r="H677" s="15" t="n">
        <f aca="false">'לקוחות לפי סוכן - מקור'!I622</f>
        <v>0</v>
      </c>
      <c r="I677" s="48" t="str">
        <f aca="false">'לקוחות לפי סוכן - מקור'!K622</f>
        <v>CHMI</v>
      </c>
    </row>
    <row r="678" customFormat="false" ht="15" hidden="false" customHeight="true" outlineLevel="2" collapsed="false">
      <c r="A678" s="14" t="str">
        <f aca="false">'לקוחות לפי סוכן - מקור'!A623</f>
        <v>חיים ויצמן</v>
      </c>
      <c r="B678" s="14" t="str">
        <f aca="false">'לקוחות לפי סוכן - מקור'!C623</f>
        <v>0קופות חולים</v>
      </c>
      <c r="C678" s="14" t="str">
        <f aca="false">'לקוחות לפי סוכן - מקור'!E623</f>
        <v>156 מאוחדת נס ציונה</v>
      </c>
      <c r="D678" s="22" t="n">
        <f aca="false">'לקוחות לפי סוכן - מקור'!F623</f>
        <v>0</v>
      </c>
      <c r="E678" s="22" t="n">
        <f aca="false">'לקוחות לפי סוכן - מקור'!G623</f>
        <v>3713</v>
      </c>
      <c r="F678" s="14" t="n">
        <f aca="false">'לקוחות לפי סוכן - מקור'!D623</f>
        <v>0</v>
      </c>
      <c r="G678" s="15" t="n">
        <f aca="false">'לקוחות לפי סוכן - מקור'!H623</f>
        <v>0</v>
      </c>
      <c r="H678" s="15" t="n">
        <f aca="false">'לקוחות לפי סוכן - מקור'!I623</f>
        <v>0</v>
      </c>
      <c r="I678" s="48" t="str">
        <f aca="false">'לקוחות לפי סוכן - מקור'!K623</f>
        <v>CHMI</v>
      </c>
    </row>
    <row r="679" customFormat="false" ht="15" hidden="false" customHeight="true" outlineLevel="2" collapsed="false">
      <c r="A679" s="14" t="str">
        <f aca="false">'לקוחות לפי סוכן - מקור'!A624</f>
        <v>חיים ויצמן</v>
      </c>
      <c r="B679" s="14" t="str">
        <f aca="false">'לקוחות לפי סוכן - מקור'!C624</f>
        <v>0קופות חולים</v>
      </c>
      <c r="C679" s="14" t="str">
        <f aca="false">'לקוחות לפי סוכן - מקור'!E624</f>
        <v>24 מאוחדת ב""ב נורוק קרית הרצוג</v>
      </c>
      <c r="D679" s="22" t="n">
        <f aca="false">'לקוחות לפי סוכן - מקור'!F624</f>
        <v>0</v>
      </c>
      <c r="E679" s="22" t="n">
        <f aca="false">'לקוחות לפי סוכן - מקור'!G624</f>
        <v>40.2</v>
      </c>
      <c r="F679" s="14" t="n">
        <f aca="false">'לקוחות לפי סוכן - מקור'!D624</f>
        <v>0</v>
      </c>
      <c r="G679" s="15" t="n">
        <f aca="false">'לקוחות לפי סוכן - מקור'!H624</f>
        <v>0</v>
      </c>
      <c r="H679" s="15" t="n">
        <f aca="false">'לקוחות לפי סוכן - מקור'!I624</f>
        <v>0</v>
      </c>
      <c r="I679" s="48" t="str">
        <f aca="false">'לקוחות לפי סוכן - מקור'!K624</f>
        <v>CHMI</v>
      </c>
    </row>
    <row r="680" customFormat="false" ht="15" hidden="false" customHeight="true" outlineLevel="2" collapsed="false">
      <c r="A680" s="14" t="str">
        <f aca="false">'לקוחות לפי סוכן - מקור'!A625</f>
        <v>חיים ויצמן</v>
      </c>
      <c r="B680" s="14" t="str">
        <f aca="false">'לקוחות לפי סוכן - מקור'!C625</f>
        <v>0קופות חולים</v>
      </c>
      <c r="C680" s="14" t="str">
        <f aca="false">'לקוחות לפי סוכן - מקור'!E625</f>
        <v>מאוחדת אונליין טלפארמה</v>
      </c>
      <c r="D680" s="22" t="n">
        <f aca="false">'לקוחות לפי סוכן - מקור'!F625</f>
        <v>0</v>
      </c>
      <c r="E680" s="22" t="n">
        <f aca="false">'לקוחות לפי סוכן - מקור'!G625</f>
        <v>134</v>
      </c>
      <c r="F680" s="14" t="n">
        <f aca="false">'לקוחות לפי סוכן - מקור'!D625</f>
        <v>0</v>
      </c>
      <c r="G680" s="15" t="n">
        <f aca="false">'לקוחות לפי סוכן - מקור'!H625</f>
        <v>0</v>
      </c>
      <c r="H680" s="15" t="n">
        <f aca="false">'לקוחות לפי סוכן - מקור'!I625</f>
        <v>0</v>
      </c>
      <c r="I680" s="48" t="str">
        <f aca="false">'לקוחות לפי סוכן - מקור'!K625</f>
        <v>CHMI</v>
      </c>
    </row>
    <row r="681" customFormat="false" ht="15" hidden="false" customHeight="true" outlineLevel="2" collapsed="false">
      <c r="A681" s="14" t="str">
        <f aca="false">'לקוחות לפי סוכן - מקור'!A626</f>
        <v>חיים ויצמן</v>
      </c>
      <c r="B681" s="14" t="str">
        <f aca="false">'לקוחות לפי סוכן - מקור'!C626</f>
        <v>0קופות חולים</v>
      </c>
      <c r="C681" s="14" t="str">
        <f aca="false">'לקוחות לפי סוכן - מקור'!E626</f>
        <v>7127 מאוחדת הקשתות בני ברק</v>
      </c>
      <c r="D681" s="22" t="n">
        <f aca="false">'לקוחות לפי סוכן - מקור'!F626</f>
        <v>0</v>
      </c>
      <c r="E681" s="22" t="n">
        <f aca="false">'לקוחות לפי סוכן - מקור'!G626</f>
        <v>692.3</v>
      </c>
      <c r="F681" s="14" t="n">
        <f aca="false">'לקוחות לפי סוכן - מקור'!D626</f>
        <v>0</v>
      </c>
      <c r="G681" s="15" t="n">
        <f aca="false">'לקוחות לפי סוכן - מקור'!H626</f>
        <v>0</v>
      </c>
      <c r="H681" s="15" t="n">
        <f aca="false">'לקוחות לפי סוכן - מקור'!I626</f>
        <v>0</v>
      </c>
      <c r="I681" s="48" t="str">
        <f aca="false">'לקוחות לפי סוכן - מקור'!K626</f>
        <v>CHMI</v>
      </c>
    </row>
    <row r="682" customFormat="false" ht="15" hidden="false" customHeight="true" outlineLevel="2" collapsed="false">
      <c r="A682" s="14" t="str">
        <f aca="false">'לקוחות לפי סוכן - מקור'!A627</f>
        <v>חיים ויצמן</v>
      </c>
      <c r="B682" s="14" t="str">
        <f aca="false">'לקוחות לפי סוכן - מקור'!C627</f>
        <v>0קופות חולים</v>
      </c>
      <c r="C682" s="14" t="str">
        <f aca="false">'לקוחות לפי סוכן - מקור'!E627</f>
        <v>מאוחדת פארם המושבה הוד השרון</v>
      </c>
      <c r="D682" s="22" t="n">
        <f aca="false">'לקוחות לפי סוכן - מקור'!F627</f>
        <v>0</v>
      </c>
      <c r="E682" s="22" t="n">
        <f aca="false">'לקוחות לפי סוכן - מקור'!G627</f>
        <v>3259.9</v>
      </c>
      <c r="F682" s="14" t="n">
        <f aca="false">'לקוחות לפי סוכן - מקור'!D627</f>
        <v>0</v>
      </c>
      <c r="G682" s="15" t="n">
        <f aca="false">'לקוחות לפי סוכן - מקור'!H627</f>
        <v>0</v>
      </c>
      <c r="H682" s="15" t="n">
        <f aca="false">'לקוחות לפי סוכן - מקור'!I627</f>
        <v>0</v>
      </c>
      <c r="I682" s="48" t="str">
        <f aca="false">'לקוחות לפי סוכן - מקור'!K627</f>
        <v>CHMI</v>
      </c>
    </row>
    <row r="683" customFormat="false" ht="15" hidden="false" customHeight="true" outlineLevel="0" collapsed="false">
      <c r="A683" s="16" t="s">
        <v>3457</v>
      </c>
      <c r="B683" s="16"/>
      <c r="C683" s="16" t="s">
        <v>3804</v>
      </c>
      <c r="D683" s="46" t="n">
        <f aca="false">SUMIF('לקוחות לפי סוכן - מקור'!$A$2:$A$867,$A683,'לקוחות לפי סוכן - מקור'!$F$2:$F$867)</f>
        <v>181437.76</v>
      </c>
      <c r="E683" s="46" t="n">
        <f aca="false">SUMIF('לקוחות לפי סוכן - מקור'!$A$2:$A$867,$A683,'לקוחות לפי סוכן - מקור'!$G$2:$G$867)</f>
        <v>1770470.43</v>
      </c>
      <c r="F683" s="16"/>
      <c r="G683" s="17" t="n">
        <f aca="false">SUMIF('לקוחות לפי סוכן - מקור'!$A$2:$A$867,$A683,'לקוחות לפי סוכן - מקור'!$H$2:$H$867)</f>
        <v>2795</v>
      </c>
      <c r="H683" s="17" t="n">
        <f aca="false">SUMIF('לקוחות לפי סוכן - מקור'!$A$2:$A$867,$A683,'לקוחות לפי סוכן - מקור'!$I$2:$I$867)</f>
        <v>2182</v>
      </c>
      <c r="I683" s="16" t="str">
        <f aca="false">IF(COUNTIFS('לקוחות לפי סוכן - מקור'!$A$2:$A$867,$A683,'לקוחות לפי סוכן - מקור'!$K$2:$K$867,"NetSuite")&gt;0,IF(COUNTIFS('לקוחות לפי סוכן - מקור'!$A$2:$A$867,$A683,'לקוחות לפי סוכן - מקור'!$K$2:$K$867,"CHMI")&gt;0,"NetSuite+CHMI ("&amp;COUNTIFS('לקוחות לפי סוכן - מקור'!$A$2:$A$867,$A683,'לקוחות לפי סוכן - מקור'!$K$2:$K$867,"NetSuite")&amp;"+"&amp;COUNTIFS('לקוחות לפי סוכן - מקור'!$A$2:$A$867,$A683,'לקוחות לפי סוכן - מקור'!$K$2:$K$867,"CHMI")&amp;")","NetSuite ("&amp;COUNTIFS('לקוחות לפי סוכן - מקור'!$A$2:$A$867,$A683,'לקוחות לפי סוכן - מקור'!$K$2:$K$867,"NetSuite")&amp;")"),"CHMI ("&amp;COUNTIFS('לקוחות לפי סוכן - מקור'!$A$2:$A$867,$A683,'לקוחות לפי סוכן - מקור'!$K$2:$K$867,"CHMI")&amp;")")</f>
        <v>NetSuite+CHMI (31+143)</v>
      </c>
      <c r="J683" s="17" t="n">
        <f aca="false">COUNTIF('לקוחות לפי סוכן - מקור'!$A$2:$A$867,$A683)</f>
        <v>174</v>
      </c>
    </row>
    <row r="684" customFormat="false" ht="15" hidden="false" customHeight="true" outlineLevel="0" collapsed="false"/>
    <row r="685" customFormat="false" ht="15" hidden="false" customHeight="true" outlineLevel="0" collapsed="false">
      <c r="A685" s="16" t="s">
        <v>25</v>
      </c>
      <c r="B685" s="16"/>
      <c r="C685" s="16"/>
      <c r="D685" s="16"/>
      <c r="E685" s="16"/>
      <c r="F685" s="16"/>
      <c r="G685" s="16"/>
      <c r="H685" s="16"/>
      <c r="I685" s="16"/>
      <c r="J685" s="16"/>
    </row>
    <row r="686" customFormat="false" ht="15" hidden="false" customHeight="true" outlineLevel="1" collapsed="false">
      <c r="A686" s="49" t="s">
        <v>25</v>
      </c>
      <c r="B686" s="50" t="s">
        <v>7</v>
      </c>
      <c r="C686" s="51"/>
      <c r="D686" s="52" t="n">
        <f aca="false">SUMIFS('לקוחות לפי סוכן - מקור'!$F$2:$F$867,'לקוחות לפי סוכן - מקור'!$A$2:$A$867,$A686,'לקוחות לפי סוכן - מקור'!$C$2:$C$867,$B686)</f>
        <v>0</v>
      </c>
      <c r="E686" s="52" t="n">
        <f aca="false">SUMIFS('לקוחות לפי סוכן - מקור'!$G$2:$G$867,'לקוחות לפי סוכן - מקור'!$A$2:$A$867,$A686,'לקוחות לפי סוכן - מקור'!$C$2:$C$867,$B686)</f>
        <v>272234.8</v>
      </c>
      <c r="F686" s="51"/>
      <c r="G686" s="53" t="n">
        <f aca="false">SUMIFS('לקוחות לפי סוכן - מקור'!$H$2:$H$867,'לקוחות לפי סוכן - מקור'!$A$2:$A$867,$A686,'לקוחות לפי סוכן - מקור'!$C$2:$C$867,$B686)</f>
        <v>0</v>
      </c>
      <c r="H686" s="53" t="n">
        <f aca="false">SUMIFS('לקוחות לפי סוכן - מקור'!$I$2:$I$867,'לקוחות לפי סוכן - מקור'!$A$2:$A$867,$A686,'לקוחות לפי סוכן - מקור'!$C$2:$C$867,$B686)</f>
        <v>0</v>
      </c>
      <c r="I686" s="51"/>
      <c r="J686" s="53" t="n">
        <f aca="false">COUNTIFS('לקוחות לפי סוכן - מקור'!$A$2:$A$867,$A686,'לקוחות לפי סוכן - מקור'!$C$2:$C$867,$B686)</f>
        <v>16</v>
      </c>
    </row>
    <row r="687" customFormat="false" ht="15" hidden="false" customHeight="true" outlineLevel="2" collapsed="false">
      <c r="A687" s="14" t="str">
        <f aca="false">'לקוחות לפי סוכן - מקור'!A628</f>
        <v>חאזם תלחמי</v>
      </c>
      <c r="B687" s="14" t="str">
        <f aca="false">'לקוחות לפי סוכן - מקור'!C628</f>
        <v>0בתי מרקחת</v>
      </c>
      <c r="C687" s="14" t="str">
        <f aca="false">'לקוחות לפי סוכן - מקור'!E628</f>
        <v>המרכז אעבלין ב.מ</v>
      </c>
      <c r="D687" s="22" t="n">
        <f aca="false">'לקוחות לפי סוכן - מקור'!F628</f>
        <v>0</v>
      </c>
      <c r="E687" s="22" t="n">
        <f aca="false">'לקוחות לפי סוכן - מקור'!G628</f>
        <v>2875.2</v>
      </c>
      <c r="F687" s="14" t="n">
        <f aca="false">'לקוחות לפי סוכן - מקור'!D628</f>
        <v>0</v>
      </c>
      <c r="G687" s="15" t="n">
        <f aca="false">'לקוחות לפי סוכן - מקור'!H628</f>
        <v>0</v>
      </c>
      <c r="H687" s="15" t="n">
        <f aca="false">'לקוחות לפי סוכן - מקור'!I628</f>
        <v>0</v>
      </c>
      <c r="I687" s="48" t="str">
        <f aca="false">'לקוחות לפי סוכן - מקור'!K628</f>
        <v>CHMI</v>
      </c>
    </row>
    <row r="688" customFormat="false" ht="15" hidden="false" customHeight="true" outlineLevel="2" collapsed="false">
      <c r="A688" s="14" t="str">
        <f aca="false">'לקוחות לפי סוכן - מקור'!A629</f>
        <v>חאזם תלחמי</v>
      </c>
      <c r="B688" s="14" t="str">
        <f aca="false">'לקוחות לפי סוכן - מקור'!C629</f>
        <v>0בתי מרקחת</v>
      </c>
      <c r="C688" s="14" t="str">
        <f aca="false">'לקוחות לפי סוכן - מקור'!E629</f>
        <v>(מדיקל הצפון מעיליה )חורי בע""מ</v>
      </c>
      <c r="D688" s="22" t="n">
        <f aca="false">'לקוחות לפי סוכן - מקור'!F629</f>
        <v>0</v>
      </c>
      <c r="E688" s="22" t="n">
        <f aca="false">'לקוחות לפי סוכן - מקור'!G629</f>
        <v>3742.5</v>
      </c>
      <c r="F688" s="14" t="n">
        <f aca="false">'לקוחות לפי סוכן - מקור'!D629</f>
        <v>0</v>
      </c>
      <c r="G688" s="15" t="n">
        <f aca="false">'לקוחות לפי סוכן - מקור'!H629</f>
        <v>0</v>
      </c>
      <c r="H688" s="15" t="n">
        <f aca="false">'לקוחות לפי סוכן - מקור'!I629</f>
        <v>0</v>
      </c>
      <c r="I688" s="48" t="str">
        <f aca="false">'לקוחות לפי סוכן - מקור'!K629</f>
        <v>CHMI</v>
      </c>
    </row>
    <row r="689" customFormat="false" ht="15" hidden="false" customHeight="true" outlineLevel="2" collapsed="false">
      <c r="A689" s="14" t="str">
        <f aca="false">'לקוחות לפי סוכן - מקור'!A630</f>
        <v>חאזם תלחמי</v>
      </c>
      <c r="B689" s="14" t="str">
        <f aca="false">'לקוחות לפי סוכן - מקור'!C630</f>
        <v>0בתי מרקחת</v>
      </c>
      <c r="C689" s="14" t="str">
        <f aca="false">'לקוחות לפי סוכן - מקור'!E630</f>
        <v>נובו פארם דיר אל אסד ב.מ</v>
      </c>
      <c r="D689" s="22" t="n">
        <f aca="false">'לקוחות לפי סוכן - מקור'!F630</f>
        <v>0</v>
      </c>
      <c r="E689" s="22" t="n">
        <f aca="false">'לקוחות לפי סוכן - מקור'!G630</f>
        <v>14900.4</v>
      </c>
      <c r="F689" s="14" t="n">
        <f aca="false">'לקוחות לפי סוכן - מקור'!D630</f>
        <v>0</v>
      </c>
      <c r="G689" s="15" t="n">
        <f aca="false">'לקוחות לפי סוכן - מקור'!H630</f>
        <v>0</v>
      </c>
      <c r="H689" s="15" t="n">
        <f aca="false">'לקוחות לפי סוכן - מקור'!I630</f>
        <v>0</v>
      </c>
      <c r="I689" s="48" t="str">
        <f aca="false">'לקוחות לפי סוכן - מקור'!K630</f>
        <v>CHMI</v>
      </c>
    </row>
    <row r="690" customFormat="false" ht="15" hidden="false" customHeight="true" outlineLevel="2" collapsed="false">
      <c r="A690" s="14" t="str">
        <f aca="false">'לקוחות לפי סוכן - מקור'!A631</f>
        <v>חאזם תלחמי</v>
      </c>
      <c r="B690" s="14" t="str">
        <f aca="false">'לקוחות לפי סוכן - מקור'!C631</f>
        <v>0בתי מרקחת</v>
      </c>
      <c r="C690" s="14" t="str">
        <f aca="false">'לקוחות לפי סוכן - מקור'!E631</f>
        <v>שביט בע""מ ק.אתא ב.מ</v>
      </c>
      <c r="D690" s="22" t="n">
        <f aca="false">'לקוחות לפי סוכן - מקור'!F631</f>
        <v>0</v>
      </c>
      <c r="E690" s="22" t="n">
        <f aca="false">'לקוחות לפי סוכן - מקור'!G631</f>
        <v>429.8</v>
      </c>
      <c r="F690" s="14" t="n">
        <f aca="false">'לקוחות לפי סוכן - מקור'!D631</f>
        <v>0</v>
      </c>
      <c r="G690" s="15" t="n">
        <f aca="false">'לקוחות לפי סוכן - מקור'!H631</f>
        <v>0</v>
      </c>
      <c r="H690" s="15" t="n">
        <f aca="false">'לקוחות לפי סוכן - מקור'!I631</f>
        <v>0</v>
      </c>
      <c r="I690" s="48" t="str">
        <f aca="false">'לקוחות לפי סוכן - מקור'!K631</f>
        <v>CHMI</v>
      </c>
    </row>
    <row r="691" customFormat="false" ht="15" hidden="false" customHeight="true" outlineLevel="2" collapsed="false">
      <c r="A691" s="14" t="str">
        <f aca="false">'לקוחות לפי סוכן - מקור'!A632</f>
        <v>חאזם תלחמי</v>
      </c>
      <c r="B691" s="14" t="str">
        <f aca="false">'לקוחות לפי סוכן - מקור'!C632</f>
        <v>0בתי מרקחת</v>
      </c>
      <c r="C691" s="14" t="str">
        <f aca="false">'לקוחות לפי סוכן - מקור'!E632</f>
        <v>חידאר פארם ב.מ</v>
      </c>
      <c r="D691" s="22" t="n">
        <f aca="false">'לקוחות לפי סוכן - מקור'!F632</f>
        <v>0</v>
      </c>
      <c r="E691" s="22" t="n">
        <f aca="false">'לקוחות לפי סוכן - מקור'!G632</f>
        <v>2601</v>
      </c>
      <c r="F691" s="14" t="n">
        <f aca="false">'לקוחות לפי סוכן - מקור'!D632</f>
        <v>0</v>
      </c>
      <c r="G691" s="15" t="n">
        <f aca="false">'לקוחות לפי סוכן - מקור'!H632</f>
        <v>0</v>
      </c>
      <c r="H691" s="15" t="n">
        <f aca="false">'לקוחות לפי סוכן - מקור'!I632</f>
        <v>0</v>
      </c>
      <c r="I691" s="48" t="str">
        <f aca="false">'לקוחות לפי סוכן - מקור'!K632</f>
        <v>CHMI</v>
      </c>
    </row>
    <row r="692" customFormat="false" ht="15" hidden="false" customHeight="true" outlineLevel="2" collapsed="false">
      <c r="A692" s="14" t="str">
        <f aca="false">'לקוחות לפי סוכן - מקור'!A633</f>
        <v>חאזם תלחמי</v>
      </c>
      <c r="B692" s="14" t="str">
        <f aca="false">'לקוחות לפי סוכן - מקור'!C633</f>
        <v>0בתי מרקחת</v>
      </c>
      <c r="C692" s="14" t="str">
        <f aca="false">'לקוחות לפי סוכן - מקור'!E633</f>
        <v>-סמי בית שאן בע""מ ב.מ</v>
      </c>
      <c r="D692" s="22" t="n">
        <f aca="false">'לקוחות לפי סוכן - מקור'!F633</f>
        <v>0</v>
      </c>
      <c r="E692" s="22" t="n">
        <f aca="false">'לקוחות לפי סוכן - מקור'!G633</f>
        <v>560.9</v>
      </c>
      <c r="F692" s="14" t="n">
        <f aca="false">'לקוחות לפי סוכן - מקור'!D633</f>
        <v>0</v>
      </c>
      <c r="G692" s="15" t="n">
        <f aca="false">'לקוחות לפי סוכן - מקור'!H633</f>
        <v>0</v>
      </c>
      <c r="H692" s="15" t="n">
        <f aca="false">'לקוחות לפי סוכן - מקור'!I633</f>
        <v>0</v>
      </c>
      <c r="I692" s="48" t="str">
        <f aca="false">'לקוחות לפי סוכן - מקור'!K633</f>
        <v>CHMI</v>
      </c>
    </row>
    <row r="693" customFormat="false" ht="15" hidden="false" customHeight="true" outlineLevel="2" collapsed="false">
      <c r="A693" s="14" t="str">
        <f aca="false">'לקוחות לפי סוכן - מקור'!A634</f>
        <v>חאזם תלחמי</v>
      </c>
      <c r="B693" s="14" t="str">
        <f aca="false">'לקוחות לפי סוכן - מקור'!C634</f>
        <v>0בתי מרקחת</v>
      </c>
      <c r="C693" s="14" t="str">
        <f aca="false">'לקוחות לפי סוכן - מקור'!E634</f>
        <v>רסקו טבריה ב.מ</v>
      </c>
      <c r="D693" s="22" t="n">
        <f aca="false">'לקוחות לפי סוכן - מקור'!F634</f>
        <v>0</v>
      </c>
      <c r="E693" s="22" t="n">
        <f aca="false">'לקוחות לפי סוכן - מקור'!G634</f>
        <v>3837.2</v>
      </c>
      <c r="F693" s="14" t="n">
        <f aca="false">'לקוחות לפי סוכן - מקור'!D634</f>
        <v>0</v>
      </c>
      <c r="G693" s="15" t="n">
        <f aca="false">'לקוחות לפי סוכן - מקור'!H634</f>
        <v>0</v>
      </c>
      <c r="H693" s="15" t="n">
        <f aca="false">'לקוחות לפי סוכן - מקור'!I634</f>
        <v>0</v>
      </c>
      <c r="I693" s="48" t="str">
        <f aca="false">'לקוחות לפי סוכן - מקור'!K634</f>
        <v>CHMI</v>
      </c>
    </row>
    <row r="694" customFormat="false" ht="15" hidden="false" customHeight="true" outlineLevel="2" collapsed="false">
      <c r="A694" s="14" t="str">
        <f aca="false">'לקוחות לפי סוכן - מקור'!A635</f>
        <v>חאזם תלחמי</v>
      </c>
      <c r="B694" s="14" t="str">
        <f aca="false">'לקוחות לפי סוכן - מקור'!C635</f>
        <v>0בתי מרקחת</v>
      </c>
      <c r="C694" s="14" t="str">
        <f aca="false">'לקוחות לפי סוכן - מקור'!E635</f>
        <v>פרמה טבריה ב.מ</v>
      </c>
      <c r="D694" s="22" t="n">
        <f aca="false">'לקוחות לפי סוכן - מקור'!F635</f>
        <v>0</v>
      </c>
      <c r="E694" s="22" t="n">
        <f aca="false">'לקוחות לפי סוכן - מקור'!G635</f>
        <v>278</v>
      </c>
      <c r="F694" s="14" t="n">
        <f aca="false">'לקוחות לפי סוכן - מקור'!D635</f>
        <v>0</v>
      </c>
      <c r="G694" s="15" t="n">
        <f aca="false">'לקוחות לפי סוכן - מקור'!H635</f>
        <v>0</v>
      </c>
      <c r="H694" s="15" t="n">
        <f aca="false">'לקוחות לפי סוכן - מקור'!I635</f>
        <v>0</v>
      </c>
      <c r="I694" s="48" t="str">
        <f aca="false">'לקוחות לפי סוכן - מקור'!K635</f>
        <v>CHMI</v>
      </c>
    </row>
    <row r="695" customFormat="false" ht="15" hidden="false" customHeight="true" outlineLevel="2" collapsed="false">
      <c r="A695" s="14" t="str">
        <f aca="false">'לקוחות לפי סוכן - מקור'!A636</f>
        <v>חאזם תלחמי</v>
      </c>
      <c r="B695" s="14" t="str">
        <f aca="false">'לקוחות לפי סוכן - מקור'!C636</f>
        <v>0בתי מרקחת</v>
      </c>
      <c r="C695" s="14" t="str">
        <f aca="false">'לקוחות לפי סוכן - מקור'!E636</f>
        <v>צפת דרום ב.מ</v>
      </c>
      <c r="D695" s="22" t="n">
        <f aca="false">'לקוחות לפי סוכן - מקור'!F636</f>
        <v>0</v>
      </c>
      <c r="E695" s="22" t="n">
        <f aca="false">'לקוחות לפי סוכן - מקור'!G636</f>
        <v>20.1</v>
      </c>
      <c r="F695" s="14" t="n">
        <f aca="false">'לקוחות לפי סוכן - מקור'!D636</f>
        <v>0</v>
      </c>
      <c r="G695" s="15" t="n">
        <f aca="false">'לקוחות לפי סוכן - מקור'!H636</f>
        <v>0</v>
      </c>
      <c r="H695" s="15" t="n">
        <f aca="false">'לקוחות לפי סוכן - מקור'!I636</f>
        <v>0</v>
      </c>
      <c r="I695" s="48" t="str">
        <f aca="false">'לקוחות לפי סוכן - מקור'!K636</f>
        <v>CHMI</v>
      </c>
    </row>
    <row r="696" customFormat="false" ht="15" hidden="false" customHeight="true" outlineLevel="2" collapsed="false">
      <c r="A696" s="14" t="str">
        <f aca="false">'לקוחות לפי סוכן - מקור'!A637</f>
        <v>חאזם תלחמי</v>
      </c>
      <c r="B696" s="14" t="str">
        <f aca="false">'לקוחות לפי סוכן - מקור'!C637</f>
        <v>0בתי מרקחת</v>
      </c>
      <c r="C696" s="14" t="str">
        <f aca="false">'לקוחות לפי סוכן - מקור'!E637</f>
        <v>.נובו פארם בית שאן ב.מ</v>
      </c>
      <c r="D696" s="22" t="n">
        <f aca="false">'לקוחות לפי סוכן - מקור'!F637</f>
        <v>0</v>
      </c>
      <c r="E696" s="22" t="n">
        <f aca="false">'לקוחות לפי סוכן - מקור'!G637</f>
        <v>6926</v>
      </c>
      <c r="F696" s="14" t="n">
        <f aca="false">'לקוחות לפי סוכן - מקור'!D637</f>
        <v>0</v>
      </c>
      <c r="G696" s="15" t="n">
        <f aca="false">'לקוחות לפי סוכן - מקור'!H637</f>
        <v>0</v>
      </c>
      <c r="H696" s="15" t="n">
        <f aca="false">'לקוחות לפי סוכן - מקור'!I637</f>
        <v>0</v>
      </c>
      <c r="I696" s="48" t="str">
        <f aca="false">'לקוחות לפי סוכן - מקור'!K637</f>
        <v>CHMI</v>
      </c>
    </row>
    <row r="697" customFormat="false" ht="15" hidden="false" customHeight="true" outlineLevel="2" collapsed="false">
      <c r="A697" s="14" t="str">
        <f aca="false">'לקוחות לפי סוכן - מקור'!A638</f>
        <v>חאזם תלחמי</v>
      </c>
      <c r="B697" s="14" t="str">
        <f aca="false">'לקוחות לפי סוכן - מקור'!C638</f>
        <v>0בתי מרקחת</v>
      </c>
      <c r="C697" s="14" t="str">
        <f aca="false">'לקוחות לפי סוכן - מקור'!E638</f>
        <v>גרין ב.מ -גבעת עדה</v>
      </c>
      <c r="D697" s="22" t="n">
        <f aca="false">'לקוחות לפי סוכן - מקור'!F638</f>
        <v>0</v>
      </c>
      <c r="E697" s="22" t="n">
        <f aca="false">'לקוחות לפי סוכן - מקור'!G638</f>
        <v>2061.6</v>
      </c>
      <c r="F697" s="14" t="n">
        <f aca="false">'לקוחות לפי סוכן - מקור'!D638</f>
        <v>0</v>
      </c>
      <c r="G697" s="15" t="n">
        <f aca="false">'לקוחות לפי סוכן - מקור'!H638</f>
        <v>0</v>
      </c>
      <c r="H697" s="15" t="n">
        <f aca="false">'לקוחות לפי סוכן - מקור'!I638</f>
        <v>0</v>
      </c>
      <c r="I697" s="48" t="str">
        <f aca="false">'לקוחות לפי סוכן - מקור'!K638</f>
        <v>CHMI</v>
      </c>
    </row>
    <row r="698" customFormat="false" ht="15" hidden="false" customHeight="true" outlineLevel="2" collapsed="false">
      <c r="A698" s="14" t="str">
        <f aca="false">'לקוחות לפי סוכן - מקור'!A639</f>
        <v>חאזם תלחמי</v>
      </c>
      <c r="B698" s="14" t="str">
        <f aca="false">'לקוחות לפי סוכן - מקור'!C639</f>
        <v>0בתי מרקחת</v>
      </c>
      <c r="C698" s="14" t="str">
        <f aca="false">'לקוחות לפי סוכן - מקור'!E639</f>
        <v>מוראד פארם ב.מ אבו סנאן</v>
      </c>
      <c r="D698" s="22" t="n">
        <f aca="false">'לקוחות לפי סוכן - מקור'!F639</f>
        <v>0</v>
      </c>
      <c r="E698" s="22" t="n">
        <f aca="false">'לקוחות לפי סוכן - מקור'!G639</f>
        <v>2578</v>
      </c>
      <c r="F698" s="14" t="n">
        <f aca="false">'לקוחות לפי סוכן - מקור'!D639</f>
        <v>0</v>
      </c>
      <c r="G698" s="15" t="n">
        <f aca="false">'לקוחות לפי סוכן - מקור'!H639</f>
        <v>0</v>
      </c>
      <c r="H698" s="15" t="n">
        <f aca="false">'לקוחות לפי סוכן - מקור'!I639</f>
        <v>0</v>
      </c>
      <c r="I698" s="48" t="str">
        <f aca="false">'לקוחות לפי סוכן - מקור'!K639</f>
        <v>CHMI</v>
      </c>
    </row>
    <row r="699" customFormat="false" ht="15" hidden="false" customHeight="true" outlineLevel="2" collapsed="false">
      <c r="A699" s="14" t="str">
        <f aca="false">'לקוחות לפי סוכן - מקור'!A640</f>
        <v>חאזם תלחמי</v>
      </c>
      <c r="B699" s="14" t="str">
        <f aca="false">'לקוחות לפי סוכן - מקור'!C640</f>
        <v>0בתי מרקחת</v>
      </c>
      <c r="C699" s="14" t="str">
        <f aca="false">'לקוחות לפי סוכן - מקור'!E640</f>
        <v>נובו פארם דבאח ב.מ</v>
      </c>
      <c r="D699" s="22" t="n">
        <f aca="false">'לקוחות לפי סוכן - מקור'!F640</f>
        <v>0</v>
      </c>
      <c r="E699" s="22" t="n">
        <f aca="false">'לקוחות לפי סוכן - מקור'!G640</f>
        <v>4126.8</v>
      </c>
      <c r="F699" s="14" t="n">
        <f aca="false">'לקוחות לפי סוכן - מקור'!D640</f>
        <v>0</v>
      </c>
      <c r="G699" s="15" t="n">
        <f aca="false">'לקוחות לפי סוכן - מקור'!H640</f>
        <v>0</v>
      </c>
      <c r="H699" s="15" t="n">
        <f aca="false">'לקוחות לפי סוכן - מקור'!I640</f>
        <v>0</v>
      </c>
      <c r="I699" s="48" t="str">
        <f aca="false">'לקוחות לפי סוכן - מקור'!K640</f>
        <v>CHMI</v>
      </c>
    </row>
    <row r="700" customFormat="false" ht="15" hidden="false" customHeight="true" outlineLevel="2" collapsed="false">
      <c r="A700" s="14" t="str">
        <f aca="false">'לקוחות לפי סוכן - מקור'!A641</f>
        <v>חאזם תלחמי</v>
      </c>
      <c r="B700" s="14" t="str">
        <f aca="false">'לקוחות לפי סוכן - מקור'!C641</f>
        <v>0בתי מרקחת</v>
      </c>
      <c r="C700" s="14" t="str">
        <f aca="false">'לקוחות לפי סוכן - מקור'!E641</f>
        <v>.אלבלד אעבלין ב.מ</v>
      </c>
      <c r="D700" s="22" t="n">
        <f aca="false">'לקוחות לפי סוכן - מקור'!F641</f>
        <v>0</v>
      </c>
      <c r="E700" s="22" t="n">
        <f aca="false">'לקוחות לפי סוכן - מקור'!G641</f>
        <v>422.1</v>
      </c>
      <c r="F700" s="14" t="n">
        <f aca="false">'לקוחות לפי סוכן - מקור'!D641</f>
        <v>0</v>
      </c>
      <c r="G700" s="15" t="n">
        <f aca="false">'לקוחות לפי סוכן - מקור'!H641</f>
        <v>0</v>
      </c>
      <c r="H700" s="15" t="n">
        <f aca="false">'לקוחות לפי סוכן - מקור'!I641</f>
        <v>0</v>
      </c>
      <c r="I700" s="48" t="str">
        <f aca="false">'לקוחות לפי סוכן - מקור'!K641</f>
        <v>CHMI</v>
      </c>
    </row>
    <row r="701" customFormat="false" ht="15" hidden="false" customHeight="true" outlineLevel="2" collapsed="false">
      <c r="A701" s="14" t="str">
        <f aca="false">'לקוחות לפי סוכן - מקור'!A642</f>
        <v>חאזם תלחמי</v>
      </c>
      <c r="B701" s="14" t="str">
        <f aca="false">'לקוחות לפי סוכן - מקור'!C642</f>
        <v>0בתי מרקחת</v>
      </c>
      <c r="C701" s="14" t="str">
        <f aca="false">'לקוחות לפי סוכן - מקור'!E642</f>
        <v>עמית נהריה ב.מ</v>
      </c>
      <c r="D701" s="22" t="n">
        <f aca="false">'לקוחות לפי סוכן - מקור'!F642</f>
        <v>0</v>
      </c>
      <c r="E701" s="22" t="n">
        <f aca="false">'לקוחות לפי סוכן - מקור'!G642</f>
        <v>3094.2</v>
      </c>
      <c r="F701" s="14" t="n">
        <f aca="false">'לקוחות לפי סוכן - מקור'!D642</f>
        <v>0</v>
      </c>
      <c r="G701" s="15" t="n">
        <f aca="false">'לקוחות לפי סוכן - מקור'!H642</f>
        <v>0</v>
      </c>
      <c r="H701" s="15" t="n">
        <f aca="false">'לקוחות לפי סוכן - מקור'!I642</f>
        <v>0</v>
      </c>
      <c r="I701" s="48" t="str">
        <f aca="false">'לקוחות לפי סוכן - מקור'!K642</f>
        <v>CHMI</v>
      </c>
    </row>
    <row r="702" customFormat="false" ht="15" hidden="false" customHeight="true" outlineLevel="2" collapsed="false">
      <c r="A702" s="14" t="str">
        <f aca="false">'לקוחות לפי סוכן - מקור'!A643</f>
        <v>חאזם תלחמי</v>
      </c>
      <c r="B702" s="14" t="str">
        <f aca="false">'לקוחות לפי סוכן - מקור'!C643</f>
        <v>0בתי מרקחת</v>
      </c>
      <c r="C702" s="14" t="str">
        <f aca="false">'לקוחות לפי סוכן - מקור'!E643</f>
        <v>בתי מרקחת פרטי</v>
      </c>
      <c r="D702" s="22" t="n">
        <f aca="false">'לקוחות לפי סוכן - מקור'!F643</f>
        <v>0</v>
      </c>
      <c r="E702" s="22" t="n">
        <f aca="false">'לקוחות לפי סוכן - מקור'!G643</f>
        <v>223781</v>
      </c>
      <c r="F702" s="14" t="n">
        <f aca="false">'לקוחות לפי סוכן - מקור'!D643</f>
        <v>0</v>
      </c>
      <c r="G702" s="15" t="n">
        <f aca="false">'לקוחות לפי סוכן - מקור'!H643</f>
        <v>0</v>
      </c>
      <c r="H702" s="15" t="n">
        <f aca="false">'לקוחות לפי סוכן - מקור'!I643</f>
        <v>0</v>
      </c>
      <c r="I702" s="48" t="str">
        <f aca="false">'לקוחות לפי סוכן - מקור'!K643</f>
        <v>CHMI</v>
      </c>
    </row>
    <row r="703" customFormat="false" ht="15" hidden="false" customHeight="true" outlineLevel="1" collapsed="false">
      <c r="A703" s="49" t="s">
        <v>25</v>
      </c>
      <c r="B703" s="50" t="s">
        <v>8</v>
      </c>
      <c r="C703" s="51"/>
      <c r="D703" s="52" t="n">
        <f aca="false">SUMIFS('לקוחות לפי סוכן - מקור'!$F$2:$F$867,'לקוחות לפי סוכן - מקור'!$A$2:$A$867,$A703,'לקוחות לפי סוכן - מקור'!$C$2:$C$867,$B703)</f>
        <v>0</v>
      </c>
      <c r="E703" s="52" t="n">
        <f aca="false">SUMIFS('לקוחות לפי סוכן - מקור'!$G$2:$G$867,'לקוחות לפי סוכן - מקור'!$A$2:$A$867,$A703,'לקוחות לפי סוכן - מקור'!$C$2:$C$867,$B703)</f>
        <v>104691.3</v>
      </c>
      <c r="F703" s="51"/>
      <c r="G703" s="53" t="n">
        <f aca="false">SUMIFS('לקוחות לפי סוכן - מקור'!$H$2:$H$867,'לקוחות לפי סוכן - מקור'!$A$2:$A$867,$A703,'לקוחות לפי סוכן - מקור'!$C$2:$C$867,$B703)</f>
        <v>0</v>
      </c>
      <c r="H703" s="53" t="n">
        <f aca="false">SUMIFS('לקוחות לפי סוכן - מקור'!$I$2:$I$867,'לקוחות לפי סוכן - מקור'!$A$2:$A$867,$A703,'לקוחות לפי סוכן - מקור'!$C$2:$C$867,$B703)</f>
        <v>0</v>
      </c>
      <c r="I703" s="51"/>
      <c r="J703" s="53" t="n">
        <f aca="false">COUNTIFS('לקוחות לפי סוכן - מקור'!$A$2:$A$867,$A703,'לקוחות לפי סוכן - מקור'!$C$2:$C$867,$B703)</f>
        <v>41</v>
      </c>
    </row>
    <row r="704" customFormat="false" ht="15" hidden="false" customHeight="true" outlineLevel="2" collapsed="false">
      <c r="A704" s="14" t="str">
        <f aca="false">'לקוחות לפי סוכן - מקור'!A644</f>
        <v>חאזם תלחמי</v>
      </c>
      <c r="B704" s="14" t="str">
        <f aca="false">'לקוחות לפי סוכן - מקור'!C644</f>
        <v>מגזר ערבי</v>
      </c>
      <c r="C704" s="14" t="str">
        <f aca="false">'לקוחות לפי סוכן - מקור'!E644</f>
        <v>כרום פארם ב.מ</v>
      </c>
      <c r="D704" s="22" t="n">
        <f aca="false">'לקוחות לפי סוכן - מקור'!F644</f>
        <v>0</v>
      </c>
      <c r="E704" s="22" t="n">
        <f aca="false">'לקוחות לפי סוכן - מקור'!G644</f>
        <v>2789.6</v>
      </c>
      <c r="F704" s="14" t="n">
        <f aca="false">'לקוחות לפי סוכן - מקור'!D644</f>
        <v>0</v>
      </c>
      <c r="G704" s="15" t="n">
        <f aca="false">'לקוחות לפי סוכן - מקור'!H644</f>
        <v>0</v>
      </c>
      <c r="H704" s="15" t="n">
        <f aca="false">'לקוחות לפי סוכן - מקור'!I644</f>
        <v>0</v>
      </c>
      <c r="I704" s="48" t="str">
        <f aca="false">'לקוחות לפי סוכן - מקור'!K644</f>
        <v>CHMI</v>
      </c>
    </row>
    <row r="705" customFormat="false" ht="15" hidden="false" customHeight="true" outlineLevel="2" collapsed="false">
      <c r="A705" s="14" t="str">
        <f aca="false">'לקוחות לפי סוכן - מקור'!A645</f>
        <v>חאזם תלחמי</v>
      </c>
      <c r="B705" s="14" t="str">
        <f aca="false">'לקוחות לפי סוכן - מקור'!C645</f>
        <v>מגזר ערבי</v>
      </c>
      <c r="C705" s="14" t="str">
        <f aca="false">'לקוחות לפי סוכן - מקור'!E645</f>
        <v>אלבלד פארם ב.מ טמרה</v>
      </c>
      <c r="D705" s="22" t="n">
        <f aca="false">'לקוחות לפי סוכן - מקור'!F645</f>
        <v>0</v>
      </c>
      <c r="E705" s="22" t="n">
        <f aca="false">'לקוחות לפי סוכן - מקור'!G645</f>
        <v>3296</v>
      </c>
      <c r="F705" s="14" t="n">
        <f aca="false">'לקוחות לפי סוכן - מקור'!D645</f>
        <v>0</v>
      </c>
      <c r="G705" s="15" t="n">
        <f aca="false">'לקוחות לפי סוכן - מקור'!H645</f>
        <v>0</v>
      </c>
      <c r="H705" s="15" t="n">
        <f aca="false">'לקוחות לפי סוכן - מקור'!I645</f>
        <v>0</v>
      </c>
      <c r="I705" s="48" t="str">
        <f aca="false">'לקוחות לפי סוכן - מקור'!K645</f>
        <v>CHMI</v>
      </c>
    </row>
    <row r="706" customFormat="false" ht="15" hidden="false" customHeight="true" outlineLevel="2" collapsed="false">
      <c r="A706" s="14" t="str">
        <f aca="false">'לקוחות לפי סוכן - מקור'!A646</f>
        <v>חאזם תלחמי</v>
      </c>
      <c r="B706" s="14" t="str">
        <f aca="false">'לקוחות לפי סוכן - מקור'!C646</f>
        <v>מגזר ערבי</v>
      </c>
      <c r="C706" s="14" t="str">
        <f aca="false">'לקוחות לפי סוכן - מקור'!E646</f>
        <v>אל בלאד שפרעם ב.מ</v>
      </c>
      <c r="D706" s="22" t="n">
        <f aca="false">'לקוחות לפי סוכן - מקור'!F646</f>
        <v>0</v>
      </c>
      <c r="E706" s="22" t="n">
        <f aca="false">'לקוחות לפי סוכן - מקור'!G646</f>
        <v>2787.8</v>
      </c>
      <c r="F706" s="14" t="n">
        <f aca="false">'לקוחות לפי סוכן - מקור'!D646</f>
        <v>0</v>
      </c>
      <c r="G706" s="15" t="n">
        <f aca="false">'לקוחות לפי סוכן - מקור'!H646</f>
        <v>0</v>
      </c>
      <c r="H706" s="15" t="n">
        <f aca="false">'לקוחות לפי סוכן - מקור'!I646</f>
        <v>0</v>
      </c>
      <c r="I706" s="48" t="str">
        <f aca="false">'לקוחות לפי סוכן - מקור'!K646</f>
        <v>CHMI</v>
      </c>
    </row>
    <row r="707" customFormat="false" ht="15" hidden="false" customHeight="true" outlineLevel="2" collapsed="false">
      <c r="A707" s="14" t="str">
        <f aca="false">'לקוחות לפי סוכן - מקור'!A647</f>
        <v>חאזם תלחמי</v>
      </c>
      <c r="B707" s="14" t="str">
        <f aca="false">'לקוחות לפי סוכן - מקור'!C647</f>
        <v>מגזר ערבי</v>
      </c>
      <c r="C707" s="14" t="str">
        <f aca="false">'לקוחות לפי סוכן - מקור'!E647</f>
        <v>אלכאוכב כ.מע'אר ב.מ</v>
      </c>
      <c r="D707" s="22" t="n">
        <f aca="false">'לקוחות לפי סוכן - מקור'!F647</f>
        <v>0</v>
      </c>
      <c r="E707" s="22" t="n">
        <f aca="false">'לקוחות לפי סוכן - מקור'!G647</f>
        <v>1593.7</v>
      </c>
      <c r="F707" s="14" t="n">
        <f aca="false">'לקוחות לפי סוכן - מקור'!D647</f>
        <v>0</v>
      </c>
      <c r="G707" s="15" t="n">
        <f aca="false">'לקוחות לפי סוכן - מקור'!H647</f>
        <v>0</v>
      </c>
      <c r="H707" s="15" t="n">
        <f aca="false">'לקוחות לפי סוכן - מקור'!I647</f>
        <v>0</v>
      </c>
      <c r="I707" s="48" t="str">
        <f aca="false">'לקוחות לפי סוכן - מקור'!K647</f>
        <v>CHMI</v>
      </c>
    </row>
    <row r="708" customFormat="false" ht="15" hidden="false" customHeight="true" outlineLevel="2" collapsed="false">
      <c r="A708" s="14" t="str">
        <f aca="false">'לקוחות לפי סוכן - מקור'!A648</f>
        <v>חאזם תלחמי</v>
      </c>
      <c r="B708" s="14" t="str">
        <f aca="false">'לקוחות לפי סוכן - מקור'!C648</f>
        <v>מגזר ערבי</v>
      </c>
      <c r="C708" s="14" t="str">
        <f aca="false">'לקוחות לפי סוכן - מקור'!E648</f>
        <v>וואן פארם ב.מ מג'ד אל כרום</v>
      </c>
      <c r="D708" s="22" t="n">
        <f aca="false">'לקוחות לפי סוכן - מקור'!F648</f>
        <v>0</v>
      </c>
      <c r="E708" s="22" t="n">
        <f aca="false">'לקוחות לפי סוכן - מקור'!G648</f>
        <v>5801.3</v>
      </c>
      <c r="F708" s="14" t="n">
        <f aca="false">'לקוחות לפי סוכן - מקור'!D648</f>
        <v>0</v>
      </c>
      <c r="G708" s="15" t="n">
        <f aca="false">'לקוחות לפי סוכן - מקור'!H648</f>
        <v>0</v>
      </c>
      <c r="H708" s="15" t="n">
        <f aca="false">'לקוחות לפי סוכן - מקור'!I648</f>
        <v>0</v>
      </c>
      <c r="I708" s="48" t="str">
        <f aca="false">'לקוחות לפי סוכן - מקור'!K648</f>
        <v>CHMI</v>
      </c>
    </row>
    <row r="709" customFormat="false" ht="15" hidden="false" customHeight="true" outlineLevel="2" collapsed="false">
      <c r="A709" s="14" t="str">
        <f aca="false">'לקוחות לפי סוכן - מקור'!A649</f>
        <v>חאזם תלחמי</v>
      </c>
      <c r="B709" s="14" t="str">
        <f aca="false">'לקוחות לפי סוכן - מקור'!C649</f>
        <v>מגזר ערבי</v>
      </c>
      <c r="C709" s="14" t="str">
        <f aca="false">'לקוחות לפי סוכן - מקור'!E649</f>
        <v>חדאד פארם ח.הגלילית ב.מ</v>
      </c>
      <c r="D709" s="22" t="n">
        <f aca="false">'לקוחות לפי סוכן - מקור'!F649</f>
        <v>0</v>
      </c>
      <c r="E709" s="22" t="n">
        <f aca="false">'לקוחות לפי סוכן - מקור'!G649</f>
        <v>2040.7</v>
      </c>
      <c r="F709" s="14" t="n">
        <f aca="false">'לקוחות לפי סוכן - מקור'!D649</f>
        <v>0</v>
      </c>
      <c r="G709" s="15" t="n">
        <f aca="false">'לקוחות לפי סוכן - מקור'!H649</f>
        <v>0</v>
      </c>
      <c r="H709" s="15" t="n">
        <f aca="false">'לקוחות לפי סוכן - מקור'!I649</f>
        <v>0</v>
      </c>
      <c r="I709" s="48" t="str">
        <f aca="false">'לקוחות לפי סוכן - מקור'!K649</f>
        <v>CHMI</v>
      </c>
    </row>
    <row r="710" customFormat="false" ht="15" hidden="false" customHeight="true" outlineLevel="2" collapsed="false">
      <c r="A710" s="14" t="str">
        <f aca="false">'לקוחות לפי סוכן - מקור'!A650</f>
        <v>חאזם תלחמי</v>
      </c>
      <c r="B710" s="14" t="str">
        <f aca="false">'לקוחות לפי סוכן - מקור'!C650</f>
        <v>מגזר ערבי</v>
      </c>
      <c r="C710" s="14" t="str">
        <f aca="false">'לקוחות לפי סוכן - מקור'!E650</f>
        <v>חמדאן פארם ב.מ</v>
      </c>
      <c r="D710" s="22" t="n">
        <f aca="false">'לקוחות לפי סוכן - מקור'!F650</f>
        <v>0</v>
      </c>
      <c r="E710" s="22" t="n">
        <f aca="false">'לקוחות לפי סוכן - מקור'!G650</f>
        <v>826.4</v>
      </c>
      <c r="F710" s="14" t="n">
        <f aca="false">'לקוחות לפי סוכן - מקור'!D650</f>
        <v>0</v>
      </c>
      <c r="G710" s="15" t="n">
        <f aca="false">'לקוחות לפי סוכן - מקור'!H650</f>
        <v>0</v>
      </c>
      <c r="H710" s="15" t="n">
        <f aca="false">'לקוחות לפי סוכן - מקור'!I650</f>
        <v>0</v>
      </c>
      <c r="I710" s="48" t="str">
        <f aca="false">'לקוחות לפי סוכן - מקור'!K650</f>
        <v>CHMI</v>
      </c>
    </row>
    <row r="711" customFormat="false" ht="15" hidden="false" customHeight="true" outlineLevel="2" collapsed="false">
      <c r="A711" s="14" t="str">
        <f aca="false">'לקוחות לפי סוכן - מקור'!A651</f>
        <v>חאזם תלחמי</v>
      </c>
      <c r="B711" s="14" t="str">
        <f aca="false">'לקוחות לפי סוכן - מקור'!C651</f>
        <v>מגזר ערבי</v>
      </c>
      <c r="C711" s="14" t="str">
        <f aca="false">'לקוחות לפי סוכן - מקור'!E651</f>
        <v>הצפון כפר סמיע ב.מ חדש</v>
      </c>
      <c r="D711" s="22" t="n">
        <f aca="false">'לקוחות לפי סוכן - מקור'!F651</f>
        <v>0</v>
      </c>
      <c r="E711" s="22" t="n">
        <f aca="false">'לקוחות לפי סוכן - מקור'!G651</f>
        <v>3994.5</v>
      </c>
      <c r="F711" s="14" t="n">
        <f aca="false">'לקוחות לפי סוכן - מקור'!D651</f>
        <v>0</v>
      </c>
      <c r="G711" s="15" t="n">
        <f aca="false">'לקוחות לפי סוכן - מקור'!H651</f>
        <v>0</v>
      </c>
      <c r="H711" s="15" t="n">
        <f aca="false">'לקוחות לפי סוכן - מקור'!I651</f>
        <v>0</v>
      </c>
      <c r="I711" s="48" t="str">
        <f aca="false">'לקוחות לפי סוכן - מקור'!K651</f>
        <v>CHMI</v>
      </c>
    </row>
    <row r="712" customFormat="false" ht="15" hidden="false" customHeight="true" outlineLevel="2" collapsed="false">
      <c r="A712" s="14" t="str">
        <f aca="false">'לקוחות לפי סוכן - מקור'!A652</f>
        <v>חאזם תלחמי</v>
      </c>
      <c r="B712" s="14" t="str">
        <f aca="false">'לקוחות לפי סוכן - מקור'!C652</f>
        <v>מגזר ערבי</v>
      </c>
      <c r="C712" s="14" t="str">
        <f aca="false">'לקוחות לפי סוכן - מקור'!E652</f>
        <v>מדיקל פארם-ראמה  ב.מ</v>
      </c>
      <c r="D712" s="22" t="n">
        <f aca="false">'לקוחות לפי סוכן - מקור'!F652</f>
        <v>0</v>
      </c>
      <c r="E712" s="22" t="n">
        <f aca="false">'לקוחות לפי סוכן - מקור'!G652</f>
        <v>1738.4</v>
      </c>
      <c r="F712" s="14" t="n">
        <f aca="false">'לקוחות לפי סוכן - מקור'!D652</f>
        <v>0</v>
      </c>
      <c r="G712" s="15" t="n">
        <f aca="false">'לקוחות לפי סוכן - מקור'!H652</f>
        <v>0</v>
      </c>
      <c r="H712" s="15" t="n">
        <f aca="false">'לקוחות לפי סוכן - מקור'!I652</f>
        <v>0</v>
      </c>
      <c r="I712" s="48" t="str">
        <f aca="false">'לקוחות לפי סוכן - מקור'!K652</f>
        <v>CHMI</v>
      </c>
    </row>
    <row r="713" customFormat="false" ht="15" hidden="false" customHeight="true" outlineLevel="2" collapsed="false">
      <c r="A713" s="14" t="str">
        <f aca="false">'לקוחות לפי סוכן - מקור'!A653</f>
        <v>חאזם תלחמי</v>
      </c>
      <c r="B713" s="14" t="str">
        <f aca="false">'לקוחות לפי סוכן - מקור'!C653</f>
        <v>מגזר ערבי</v>
      </c>
      <c r="C713" s="14" t="str">
        <f aca="false">'לקוחות לפי סוכן - מקור'!E653</f>
        <v>ספואן ב.מ שפרעם</v>
      </c>
      <c r="D713" s="22" t="n">
        <f aca="false">'לקוחות לפי סוכן - מקור'!F653</f>
        <v>0</v>
      </c>
      <c r="E713" s="22" t="n">
        <f aca="false">'לקוחות לפי סוכן - מקור'!G653</f>
        <v>5267.1</v>
      </c>
      <c r="F713" s="14" t="n">
        <f aca="false">'לקוחות לפי סוכן - מקור'!D653</f>
        <v>0</v>
      </c>
      <c r="G713" s="15" t="n">
        <f aca="false">'לקוחות לפי סוכן - מקור'!H653</f>
        <v>0</v>
      </c>
      <c r="H713" s="15" t="n">
        <f aca="false">'לקוחות לפי סוכן - מקור'!I653</f>
        <v>0</v>
      </c>
      <c r="I713" s="48" t="str">
        <f aca="false">'לקוחות לפי סוכן - מקור'!K653</f>
        <v>CHMI</v>
      </c>
    </row>
    <row r="714" customFormat="false" ht="15" hidden="false" customHeight="true" outlineLevel="2" collapsed="false">
      <c r="A714" s="14" t="str">
        <f aca="false">'לקוחות לפי סוכן - מקור'!A654</f>
        <v>חאזם תלחמי</v>
      </c>
      <c r="B714" s="14" t="str">
        <f aca="false">'לקוחות לפי סוכן - מקור'!C654</f>
        <v>מגזר ערבי</v>
      </c>
      <c r="C714" s="14" t="str">
        <f aca="false">'לקוחות לפי סוכן - מקור'!E654</f>
        <v>פארמה קואופ יפיע בע""מ ב.מ</v>
      </c>
      <c r="D714" s="22" t="n">
        <f aca="false">'לקוחות לפי סוכן - מקור'!F654</f>
        <v>0</v>
      </c>
      <c r="E714" s="22" t="n">
        <f aca="false">'לקוחות לפי סוכן - מקור'!G654</f>
        <v>9334.5</v>
      </c>
      <c r="F714" s="14" t="n">
        <f aca="false">'לקוחות לפי סוכן - מקור'!D654</f>
        <v>0</v>
      </c>
      <c r="G714" s="15" t="n">
        <f aca="false">'לקוחות לפי סוכן - מקור'!H654</f>
        <v>0</v>
      </c>
      <c r="H714" s="15" t="n">
        <f aca="false">'לקוחות לפי סוכן - מקור'!I654</f>
        <v>0</v>
      </c>
      <c r="I714" s="48" t="str">
        <f aca="false">'לקוחות לפי סוכן - מקור'!K654</f>
        <v>CHMI</v>
      </c>
    </row>
    <row r="715" customFormat="false" ht="15" hidden="false" customHeight="true" outlineLevel="2" collapsed="false">
      <c r="A715" s="14" t="str">
        <f aca="false">'לקוחות לפי סוכן - מקור'!A655</f>
        <v>חאזם תלחמי</v>
      </c>
      <c r="B715" s="14" t="str">
        <f aca="false">'לקוחות לפי סוכן - מקור'!C655</f>
        <v>מגזר ערבי</v>
      </c>
      <c r="C715" s="14" t="str">
        <f aca="false">'לקוחות לפי סוכן - מקור'!E655</f>
        <v>פרמהזול עין מאהל ב.מ</v>
      </c>
      <c r="D715" s="22" t="n">
        <f aca="false">'לקוחות לפי סוכן - מקור'!F655</f>
        <v>0</v>
      </c>
      <c r="E715" s="22" t="n">
        <f aca="false">'לקוחות לפי סוכן - מקור'!G655</f>
        <v>1362.5</v>
      </c>
      <c r="F715" s="14" t="n">
        <f aca="false">'לקוחות לפי סוכן - מקור'!D655</f>
        <v>0</v>
      </c>
      <c r="G715" s="15" t="n">
        <f aca="false">'לקוחות לפי סוכן - מקור'!H655</f>
        <v>0</v>
      </c>
      <c r="H715" s="15" t="n">
        <f aca="false">'לקוחות לפי סוכן - מקור'!I655</f>
        <v>0</v>
      </c>
      <c r="I715" s="48" t="str">
        <f aca="false">'לקוחות לפי סוכן - מקור'!K655</f>
        <v>CHMI</v>
      </c>
    </row>
    <row r="716" customFormat="false" ht="15" hidden="false" customHeight="true" outlineLevel="2" collapsed="false">
      <c r="A716" s="14" t="str">
        <f aca="false">'לקוחות לפי סוכן - מקור'!A656</f>
        <v>חאזם תלחמי</v>
      </c>
      <c r="B716" s="14" t="str">
        <f aca="false">'לקוחות לפי סוכן - מקור'!C656</f>
        <v>מגזר ערבי</v>
      </c>
      <c r="C716" s="14" t="str">
        <f aca="false">'לקוחות לפי סוכן - מקור'!E656</f>
        <v>נידאא פארם תרשיחא ב.מ</v>
      </c>
      <c r="D716" s="22" t="n">
        <f aca="false">'לקוחות לפי סוכן - מקור'!F656</f>
        <v>0</v>
      </c>
      <c r="E716" s="22" t="n">
        <f aca="false">'לקוחות לפי סוכן - מקור'!G656</f>
        <v>677.6</v>
      </c>
      <c r="F716" s="14" t="n">
        <f aca="false">'לקוחות לפי סוכן - מקור'!D656</f>
        <v>0</v>
      </c>
      <c r="G716" s="15" t="n">
        <f aca="false">'לקוחות לפי סוכן - מקור'!H656</f>
        <v>0</v>
      </c>
      <c r="H716" s="15" t="n">
        <f aca="false">'לקוחות לפי סוכן - מקור'!I656</f>
        <v>0</v>
      </c>
      <c r="I716" s="48" t="str">
        <f aca="false">'לקוחות לפי סוכן - מקור'!K656</f>
        <v>CHMI</v>
      </c>
    </row>
    <row r="717" customFormat="false" ht="15" hidden="false" customHeight="true" outlineLevel="2" collapsed="false">
      <c r="A717" s="14" t="str">
        <f aca="false">'לקוחות לפי סוכן - מקור'!A657</f>
        <v>חאזם תלחמי</v>
      </c>
      <c r="B717" s="14" t="str">
        <f aca="false">'לקוחות לפי סוכן - מקור'!C657</f>
        <v>מגזר ערבי</v>
      </c>
      <c r="C717" s="14" t="str">
        <f aca="false">'לקוחות לפי סוכן - מקור'!E657</f>
        <v>קמא פארם כפר קמא ב.מ</v>
      </c>
      <c r="D717" s="22" t="n">
        <f aca="false">'לקוחות לפי סוכן - מקור'!F657</f>
        <v>0</v>
      </c>
      <c r="E717" s="22" t="n">
        <f aca="false">'לקוחות לפי סוכן - מקור'!G657</f>
        <v>4303.2</v>
      </c>
      <c r="F717" s="14" t="n">
        <f aca="false">'לקוחות לפי סוכן - מקור'!D657</f>
        <v>0</v>
      </c>
      <c r="G717" s="15" t="n">
        <f aca="false">'לקוחות לפי סוכן - מקור'!H657</f>
        <v>0</v>
      </c>
      <c r="H717" s="15" t="n">
        <f aca="false">'לקוחות לפי סוכן - מקור'!I657</f>
        <v>0</v>
      </c>
      <c r="I717" s="48" t="str">
        <f aca="false">'לקוחות לפי סוכן - מקור'!K657</f>
        <v>CHMI</v>
      </c>
    </row>
    <row r="718" customFormat="false" ht="15" hidden="false" customHeight="true" outlineLevel="2" collapsed="false">
      <c r="A718" s="14" t="str">
        <f aca="false">'לקוחות לפי סוכן - מקור'!A658</f>
        <v>חאזם תלחמי</v>
      </c>
      <c r="B718" s="14" t="str">
        <f aca="false">'לקוחות לפי סוכן - מקור'!C658</f>
        <v>מגזר ערבי</v>
      </c>
      <c r="C718" s="14" t="str">
        <f aca="false">'לקוחות לפי סוכן - מקור'!E658</f>
        <v>איווה פארם זמר ב.מ</v>
      </c>
      <c r="D718" s="22" t="n">
        <f aca="false">'לקוחות לפי סוכן - מקור'!F658</f>
        <v>0</v>
      </c>
      <c r="E718" s="22" t="n">
        <f aca="false">'לקוחות לפי סוכן - מקור'!G658</f>
        <v>11337.4</v>
      </c>
      <c r="F718" s="14" t="n">
        <f aca="false">'לקוחות לפי סוכן - מקור'!D658</f>
        <v>0</v>
      </c>
      <c r="G718" s="15" t="n">
        <f aca="false">'לקוחות לפי סוכן - מקור'!H658</f>
        <v>0</v>
      </c>
      <c r="H718" s="15" t="n">
        <f aca="false">'לקוחות לפי סוכן - מקור'!I658</f>
        <v>0</v>
      </c>
      <c r="I718" s="48" t="str">
        <f aca="false">'לקוחות לפי סוכן - מקור'!K658</f>
        <v>CHMI</v>
      </c>
    </row>
    <row r="719" customFormat="false" ht="15" hidden="false" customHeight="true" outlineLevel="2" collapsed="false">
      <c r="A719" s="14" t="str">
        <f aca="false">'לקוחות לפי סוכן - מקור'!A659</f>
        <v>חאזם תלחמי</v>
      </c>
      <c r="B719" s="14" t="str">
        <f aca="false">'לקוחות לפי סוכן - מקור'!C659</f>
        <v>מגזר ערבי</v>
      </c>
      <c r="C719" s="14" t="str">
        <f aca="false">'לקוחות לפי סוכן - מקור'!E659</f>
        <v>אל אח'לאס רמת הגולן ב.מ</v>
      </c>
      <c r="D719" s="22" t="n">
        <f aca="false">'לקוחות לפי סוכן - מקור'!F659</f>
        <v>0</v>
      </c>
      <c r="E719" s="22" t="n">
        <f aca="false">'לקוחות לפי סוכן - מקור'!G659</f>
        <v>1594.9</v>
      </c>
      <c r="F719" s="14" t="n">
        <f aca="false">'לקוחות לפי סוכן - מקור'!D659</f>
        <v>0</v>
      </c>
      <c r="G719" s="15" t="n">
        <f aca="false">'לקוחות לפי סוכן - מקור'!H659</f>
        <v>0</v>
      </c>
      <c r="H719" s="15" t="n">
        <f aca="false">'לקוחות לפי סוכן - מקור'!I659</f>
        <v>0</v>
      </c>
      <c r="I719" s="48" t="str">
        <f aca="false">'לקוחות לפי סוכן - מקור'!K659</f>
        <v>CHMI</v>
      </c>
    </row>
    <row r="720" customFormat="false" ht="15" hidden="false" customHeight="true" outlineLevel="2" collapsed="false">
      <c r="A720" s="14" t="str">
        <f aca="false">'לקוחות לפי סוכן - מקור'!A660</f>
        <v>חאזם תלחמי</v>
      </c>
      <c r="B720" s="14" t="str">
        <f aca="false">'לקוחות לפי סוכן - מקור'!C660</f>
        <v>מגזר ערבי</v>
      </c>
      <c r="C720" s="14" t="str">
        <f aca="false">'לקוחות לפי סוכן - מקור'!E660</f>
        <v>.עין קנייה רמת הגולן ב.מ</v>
      </c>
      <c r="D720" s="22" t="n">
        <f aca="false">'לקוחות לפי סוכן - מקור'!F660</f>
        <v>0</v>
      </c>
      <c r="E720" s="22" t="n">
        <f aca="false">'לקוחות לפי סוכן - מקור'!G660</f>
        <v>4777.4</v>
      </c>
      <c r="F720" s="14" t="n">
        <f aca="false">'לקוחות לפי סוכן - מקור'!D660</f>
        <v>0</v>
      </c>
      <c r="G720" s="15" t="n">
        <f aca="false">'לקוחות לפי סוכן - מקור'!H660</f>
        <v>0</v>
      </c>
      <c r="H720" s="15" t="n">
        <f aca="false">'לקוחות לפי סוכן - מקור'!I660</f>
        <v>0</v>
      </c>
      <c r="I720" s="48" t="str">
        <f aca="false">'לקוחות לפי סוכן - מקור'!K660</f>
        <v>CHMI</v>
      </c>
    </row>
    <row r="721" customFormat="false" ht="15" hidden="false" customHeight="true" outlineLevel="2" collapsed="false">
      <c r="A721" s="14" t="str">
        <f aca="false">'לקוחות לפי סוכן - מקור'!A661</f>
        <v>חאזם תלחמי</v>
      </c>
      <c r="B721" s="14" t="str">
        <f aca="false">'לקוחות לפי סוכן - מקור'!C661</f>
        <v>מגזר ערבי</v>
      </c>
      <c r="C721" s="14" t="str">
        <f aca="false">'לקוחות לפי סוכן - מקור'!E661</f>
        <v>אל אסדי ב.מ</v>
      </c>
      <c r="D721" s="22" t="n">
        <f aca="false">'לקוחות לפי סוכן - מקור'!F661</f>
        <v>0</v>
      </c>
      <c r="E721" s="22" t="n">
        <f aca="false">'לקוחות לפי סוכן - מקור'!G661</f>
        <v>99.7</v>
      </c>
      <c r="F721" s="14" t="n">
        <f aca="false">'לקוחות לפי סוכן - מקור'!D661</f>
        <v>0</v>
      </c>
      <c r="G721" s="15" t="n">
        <f aca="false">'לקוחות לפי סוכן - מקור'!H661</f>
        <v>0</v>
      </c>
      <c r="H721" s="15" t="n">
        <f aca="false">'לקוחות לפי סוכן - מקור'!I661</f>
        <v>0</v>
      </c>
      <c r="I721" s="48" t="str">
        <f aca="false">'לקוחות לפי סוכן - מקור'!K661</f>
        <v>CHMI</v>
      </c>
    </row>
    <row r="722" customFormat="false" ht="15" hidden="false" customHeight="true" outlineLevel="2" collapsed="false">
      <c r="A722" s="14" t="str">
        <f aca="false">'לקוחות לפי סוכן - מקור'!A662</f>
        <v>חאזם תלחמי</v>
      </c>
      <c r="B722" s="14" t="str">
        <f aca="false">'לקוחות לפי סוכן - מקור'!C662</f>
        <v>מגזר ערבי</v>
      </c>
      <c r="C722" s="14" t="str">
        <f aca="false">'לקוחות לפי סוכן - מקור'!E662</f>
        <v>אל מרכז ראמה חדש ב.מ</v>
      </c>
      <c r="D722" s="22" t="n">
        <f aca="false">'לקוחות לפי סוכן - מקור'!F662</f>
        <v>0</v>
      </c>
      <c r="E722" s="22" t="n">
        <f aca="false">'לקוחות לפי סוכן - מקור'!G662</f>
        <v>160.7</v>
      </c>
      <c r="F722" s="14" t="n">
        <f aca="false">'לקוחות לפי סוכן - מקור'!D662</f>
        <v>0</v>
      </c>
      <c r="G722" s="15" t="n">
        <f aca="false">'לקוחות לפי סוכן - מקור'!H662</f>
        <v>0</v>
      </c>
      <c r="H722" s="15" t="n">
        <f aca="false">'לקוחות לפי סוכן - מקור'!I662</f>
        <v>0</v>
      </c>
      <c r="I722" s="48" t="str">
        <f aca="false">'לקוחות לפי סוכן - מקור'!K662</f>
        <v>CHMI</v>
      </c>
    </row>
    <row r="723" customFormat="false" ht="15" hidden="false" customHeight="true" outlineLevel="2" collapsed="false">
      <c r="A723" s="14" t="str">
        <f aca="false">'לקוחות לפי סוכן - מקור'!A663</f>
        <v>חאזם תלחמי</v>
      </c>
      <c r="B723" s="14" t="str">
        <f aca="false">'לקוחות לפי סוכן - מקור'!C663</f>
        <v>מגזר ערבי</v>
      </c>
      <c r="C723" s="14" t="str">
        <f aca="false">'לקוחות לפי סוכן - מקור'!E663</f>
        <v>אלעין ב.מ שפרעם</v>
      </c>
      <c r="D723" s="22" t="n">
        <f aca="false">'לקוחות לפי סוכן - מקור'!F663</f>
        <v>0</v>
      </c>
      <c r="E723" s="22" t="n">
        <f aca="false">'לקוחות לפי סוכן - מקור'!G663</f>
        <v>995.6</v>
      </c>
      <c r="F723" s="14" t="n">
        <f aca="false">'לקוחות לפי סוכן - מקור'!D663</f>
        <v>0</v>
      </c>
      <c r="G723" s="15" t="n">
        <f aca="false">'לקוחות לפי סוכן - מקור'!H663</f>
        <v>0</v>
      </c>
      <c r="H723" s="15" t="n">
        <f aca="false">'לקוחות לפי סוכן - מקור'!I663</f>
        <v>0</v>
      </c>
      <c r="I723" s="48" t="str">
        <f aca="false">'לקוחות לפי סוכן - מקור'!K663</f>
        <v>CHMI</v>
      </c>
    </row>
    <row r="724" customFormat="false" ht="15" hidden="false" customHeight="true" outlineLevel="2" collapsed="false">
      <c r="A724" s="14" t="str">
        <f aca="false">'לקוחות לפי סוכן - מקור'!A664</f>
        <v>חאזם תלחמי</v>
      </c>
      <c r="B724" s="14" t="str">
        <f aca="false">'לקוחות לפי סוכן - מקור'!C664</f>
        <v>מגזר ערבי</v>
      </c>
      <c r="C724" s="14" t="str">
        <f aca="false">'לקוחות לפי סוכן - מקור'!E664</f>
        <v>אבן סינא פארם טמרה ב.מ</v>
      </c>
      <c r="D724" s="22" t="n">
        <f aca="false">'לקוחות לפי סוכן - מקור'!F664</f>
        <v>0</v>
      </c>
      <c r="E724" s="22" t="n">
        <f aca="false">'לקוחות לפי סוכן - מקור'!G664</f>
        <v>2574.1</v>
      </c>
      <c r="F724" s="14" t="n">
        <f aca="false">'לקוחות לפי סוכן - מקור'!D664</f>
        <v>0</v>
      </c>
      <c r="G724" s="15" t="n">
        <f aca="false">'לקוחות לפי סוכן - מקור'!H664</f>
        <v>0</v>
      </c>
      <c r="H724" s="15" t="n">
        <f aca="false">'לקוחות לפי סוכן - מקור'!I664</f>
        <v>0</v>
      </c>
      <c r="I724" s="48" t="str">
        <f aca="false">'לקוחות לפי סוכן - מקור'!K664</f>
        <v>CHMI</v>
      </c>
    </row>
    <row r="725" customFormat="false" ht="15" hidden="false" customHeight="true" outlineLevel="2" collapsed="false">
      <c r="A725" s="14" t="str">
        <f aca="false">'לקוחות לפי סוכן - מקור'!A665</f>
        <v>חאזם תלחמי</v>
      </c>
      <c r="B725" s="14" t="str">
        <f aca="false">'לקוחות לפי סוכן - מקור'!C665</f>
        <v>מגזר ערבי</v>
      </c>
      <c r="C725" s="14" t="str">
        <f aca="false">'לקוחות לפי סוכן - מקור'!E665</f>
        <v>נוגידאת פארם ב.מ</v>
      </c>
      <c r="D725" s="22" t="n">
        <f aca="false">'לקוחות לפי סוכן - מקור'!F665</f>
        <v>0</v>
      </c>
      <c r="E725" s="22" t="n">
        <f aca="false">'לקוחות לפי סוכן - מקור'!G665</f>
        <v>371.8</v>
      </c>
      <c r="F725" s="14" t="n">
        <f aca="false">'לקוחות לפי סוכן - מקור'!D665</f>
        <v>0</v>
      </c>
      <c r="G725" s="15" t="n">
        <f aca="false">'לקוחות לפי סוכן - מקור'!H665</f>
        <v>0</v>
      </c>
      <c r="H725" s="15" t="n">
        <f aca="false">'לקוחות לפי סוכן - מקור'!I665</f>
        <v>0</v>
      </c>
      <c r="I725" s="48" t="str">
        <f aca="false">'לקוחות לפי סוכן - מקור'!K665</f>
        <v>CHMI</v>
      </c>
    </row>
    <row r="726" customFormat="false" ht="15" hidden="false" customHeight="true" outlineLevel="2" collapsed="false">
      <c r="A726" s="14" t="str">
        <f aca="false">'לקוחות לפי סוכן - מקור'!A666</f>
        <v>חאזם תלחמי</v>
      </c>
      <c r="B726" s="14" t="str">
        <f aca="false">'לקוחות לפי סוכן - מקור'!C666</f>
        <v>מגזר ערבי</v>
      </c>
      <c r="C726" s="14" t="str">
        <f aca="false">'לקוחות לפי סוכן - מקור'!E666</f>
        <v>איווה פארם ב.אל גרבייה ב.מ</v>
      </c>
      <c r="D726" s="22" t="n">
        <f aca="false">'לקוחות לפי סוכן - מקור'!F666</f>
        <v>0</v>
      </c>
      <c r="E726" s="22" t="n">
        <f aca="false">'לקוחות לפי סוכן - מקור'!G666</f>
        <v>2568.8</v>
      </c>
      <c r="F726" s="14" t="n">
        <f aca="false">'לקוחות לפי סוכן - מקור'!D666</f>
        <v>0</v>
      </c>
      <c r="G726" s="15" t="n">
        <f aca="false">'לקוחות לפי סוכן - מקור'!H666</f>
        <v>0</v>
      </c>
      <c r="H726" s="15" t="n">
        <f aca="false">'לקוחות לפי סוכן - מקור'!I666</f>
        <v>0</v>
      </c>
      <c r="I726" s="48" t="str">
        <f aca="false">'לקוחות לפי סוכן - מקור'!K666</f>
        <v>CHMI</v>
      </c>
    </row>
    <row r="727" customFormat="false" ht="15" hidden="false" customHeight="true" outlineLevel="2" collapsed="false">
      <c r="A727" s="14" t="str">
        <f aca="false">'לקוחות לפי סוכן - מקור'!A667</f>
        <v>חאזם תלחמי</v>
      </c>
      <c r="B727" s="14" t="str">
        <f aca="false">'לקוחות לפי סוכן - מקור'!C667</f>
        <v>מגזר ערבי</v>
      </c>
      <c r="C727" s="14" t="str">
        <f aca="false">'לקוחות לפי סוכן - מקור'!E667</f>
        <v>המרכז טמרה ב.מ</v>
      </c>
      <c r="D727" s="22" t="n">
        <f aca="false">'לקוחות לפי סוכן - מקור'!F667</f>
        <v>0</v>
      </c>
      <c r="E727" s="22" t="n">
        <f aca="false">'לקוחות לפי סוכן - מקור'!G667</f>
        <v>117.1</v>
      </c>
      <c r="F727" s="14" t="n">
        <f aca="false">'לקוחות לפי סוכן - מקור'!D667</f>
        <v>0</v>
      </c>
      <c r="G727" s="15" t="n">
        <f aca="false">'לקוחות לפי סוכן - מקור'!H667</f>
        <v>0</v>
      </c>
      <c r="H727" s="15" t="n">
        <f aca="false">'לקוחות לפי סוכן - מקור'!I667</f>
        <v>0</v>
      </c>
      <c r="I727" s="48" t="str">
        <f aca="false">'לקוחות לפי סוכן - מקור'!K667</f>
        <v>CHMI</v>
      </c>
    </row>
    <row r="728" customFormat="false" ht="15" hidden="false" customHeight="true" outlineLevel="2" collapsed="false">
      <c r="A728" s="14" t="str">
        <f aca="false">'לקוחות לפי סוכן - מקור'!A668</f>
        <v>חאזם תלחמי</v>
      </c>
      <c r="B728" s="14" t="str">
        <f aca="false">'לקוחות לפי סוכן - מקור'!C668</f>
        <v>מגזר ערבי</v>
      </c>
      <c r="C728" s="14" t="str">
        <f aca="false">'לקוחות לפי סוכן - מקור'!E668</f>
        <v>ביג פארם כפר ינוח ב.מ</v>
      </c>
      <c r="D728" s="22" t="n">
        <f aca="false">'לקוחות לפי סוכן - מקור'!F668</f>
        <v>0</v>
      </c>
      <c r="E728" s="22" t="n">
        <f aca="false">'לקוחות לפי סוכן - מקור'!G668</f>
        <v>3197.3</v>
      </c>
      <c r="F728" s="14" t="n">
        <f aca="false">'לקוחות לפי סוכן - מקור'!D668</f>
        <v>0</v>
      </c>
      <c r="G728" s="15" t="n">
        <f aca="false">'לקוחות לפי סוכן - מקור'!H668</f>
        <v>0</v>
      </c>
      <c r="H728" s="15" t="n">
        <f aca="false">'לקוחות לפי סוכן - מקור'!I668</f>
        <v>0</v>
      </c>
      <c r="I728" s="48" t="str">
        <f aca="false">'לקוחות לפי סוכן - מקור'!K668</f>
        <v>CHMI</v>
      </c>
    </row>
    <row r="729" customFormat="false" ht="15" hidden="false" customHeight="true" outlineLevel="2" collapsed="false">
      <c r="A729" s="14" t="str">
        <f aca="false">'לקוחות לפי סוכן - מקור'!A669</f>
        <v>חאזם תלחמי</v>
      </c>
      <c r="B729" s="14" t="str">
        <f aca="false">'לקוחות לפי סוכן - מקור'!C669</f>
        <v>מגזר ערבי</v>
      </c>
      <c r="C729" s="14" t="str">
        <f aca="false">'לקוחות לפי סוכן - מקור'!E669</f>
        <v>אקסטרה פארם בע""מ נצרת ב.מ</v>
      </c>
      <c r="D729" s="22" t="n">
        <f aca="false">'לקוחות לפי סוכן - מקור'!F669</f>
        <v>0</v>
      </c>
      <c r="E729" s="22" t="n">
        <f aca="false">'לקוחות לפי סוכן - מקור'!G669</f>
        <v>2489</v>
      </c>
      <c r="F729" s="14" t="n">
        <f aca="false">'לקוחות לפי סוכן - מקור'!D669</f>
        <v>0</v>
      </c>
      <c r="G729" s="15" t="n">
        <f aca="false">'לקוחות לפי סוכן - מקור'!H669</f>
        <v>0</v>
      </c>
      <c r="H729" s="15" t="n">
        <f aca="false">'לקוחות לפי סוכן - מקור'!I669</f>
        <v>0</v>
      </c>
      <c r="I729" s="48" t="str">
        <f aca="false">'לקוחות לפי סוכן - מקור'!K669</f>
        <v>CHMI</v>
      </c>
    </row>
    <row r="730" customFormat="false" ht="15" hidden="false" customHeight="true" outlineLevel="2" collapsed="false">
      <c r="A730" s="14" t="str">
        <f aca="false">'לקוחות לפי סוכן - מקור'!A670</f>
        <v>חאזם תלחמי</v>
      </c>
      <c r="B730" s="14" t="str">
        <f aca="false">'לקוחות לפי סוכן - מקור'!C670</f>
        <v>מגזר ערבי</v>
      </c>
      <c r="C730" s="14" t="str">
        <f aca="false">'לקוחות לפי סוכן - מקור'!E670</f>
        <v>טופ פארם כפר קרע ב.מ. חדש</v>
      </c>
      <c r="D730" s="22" t="n">
        <f aca="false">'לקוחות לפי סוכן - מקור'!F670</f>
        <v>0</v>
      </c>
      <c r="E730" s="22" t="n">
        <f aca="false">'לקוחות לפי סוכן - מקור'!G670</f>
        <v>838.9</v>
      </c>
      <c r="F730" s="14" t="n">
        <f aca="false">'לקוחות לפי סוכן - מקור'!D670</f>
        <v>0</v>
      </c>
      <c r="G730" s="15" t="n">
        <f aca="false">'לקוחות לפי סוכן - מקור'!H670</f>
        <v>0</v>
      </c>
      <c r="H730" s="15" t="n">
        <f aca="false">'לקוחות לפי סוכן - מקור'!I670</f>
        <v>0</v>
      </c>
      <c r="I730" s="48" t="str">
        <f aca="false">'לקוחות לפי סוכן - מקור'!K670</f>
        <v>CHMI</v>
      </c>
    </row>
    <row r="731" customFormat="false" ht="15" hidden="false" customHeight="true" outlineLevel="2" collapsed="false">
      <c r="A731" s="14" t="str">
        <f aca="false">'לקוחות לפי סוכן - מקור'!A671</f>
        <v>חאזם תלחמי</v>
      </c>
      <c r="B731" s="14" t="str">
        <f aca="false">'לקוחות לפי סוכן - מקור'!C671</f>
        <v>מגזר ערבי</v>
      </c>
      <c r="C731" s="14" t="str">
        <f aca="false">'לקוחות לפי סוכן - מקור'!E671</f>
        <v>איווה פארם אלרחמה בע""מ ב.מ</v>
      </c>
      <c r="D731" s="22" t="n">
        <f aca="false">'לקוחות לפי סוכן - מקור'!F671</f>
        <v>0</v>
      </c>
      <c r="E731" s="22" t="n">
        <f aca="false">'לקוחות לפי סוכן - מקור'!G671</f>
        <v>5981.7</v>
      </c>
      <c r="F731" s="14" t="n">
        <f aca="false">'לקוחות לפי סוכן - מקור'!D671</f>
        <v>0</v>
      </c>
      <c r="G731" s="15" t="n">
        <f aca="false">'לקוחות לפי סוכן - מקור'!H671</f>
        <v>0</v>
      </c>
      <c r="H731" s="15" t="n">
        <f aca="false">'לקוחות לפי סוכן - מקור'!I671</f>
        <v>0</v>
      </c>
      <c r="I731" s="48" t="str">
        <f aca="false">'לקוחות לפי סוכן - מקור'!K671</f>
        <v>CHMI</v>
      </c>
    </row>
    <row r="732" customFormat="false" ht="15" hidden="false" customHeight="true" outlineLevel="2" collapsed="false">
      <c r="A732" s="14" t="str">
        <f aca="false">'לקוחות לפי סוכן - מקור'!A672</f>
        <v>חאזם תלחמי</v>
      </c>
      <c r="B732" s="14" t="str">
        <f aca="false">'לקוחות לפי סוכן - מקור'!C672</f>
        <v>מגזר ערבי</v>
      </c>
      <c r="C732" s="14" t="str">
        <f aca="false">'לקוחות לפי סוכן - מקור'!E672</f>
        <v>ריאד פארם ב.מ ברטעה חדש</v>
      </c>
      <c r="D732" s="22" t="n">
        <f aca="false">'לקוחות לפי סוכן - מקור'!F672</f>
        <v>0</v>
      </c>
      <c r="E732" s="22" t="n">
        <f aca="false">'לקוחות לפי סוכן - מקור'!G672</f>
        <v>1095.8</v>
      </c>
      <c r="F732" s="14" t="n">
        <f aca="false">'לקוחות לפי סוכן - מקור'!D672</f>
        <v>0</v>
      </c>
      <c r="G732" s="15" t="n">
        <f aca="false">'לקוחות לפי סוכן - מקור'!H672</f>
        <v>0</v>
      </c>
      <c r="H732" s="15" t="n">
        <f aca="false">'לקוחות לפי סוכן - מקור'!I672</f>
        <v>0</v>
      </c>
      <c r="I732" s="48" t="str">
        <f aca="false">'לקוחות לפי סוכן - מקור'!K672</f>
        <v>CHMI</v>
      </c>
    </row>
    <row r="733" customFormat="false" ht="15" hidden="false" customHeight="true" outlineLevel="2" collapsed="false">
      <c r="A733" s="14" t="str">
        <f aca="false">'לקוחות לפי סוכן - מקור'!A673</f>
        <v>חאזם תלחמי</v>
      </c>
      <c r="B733" s="14" t="str">
        <f aca="false">'לקוחות לפי סוכן - מקור'!C673</f>
        <v>מגזר ערבי</v>
      </c>
      <c r="C733" s="14" t="str">
        <f aca="false">'לקוחות לפי סוכן - מקור'!E673</f>
        <v>מורינגה פארם בית הבריאות ב.מ מ</v>
      </c>
      <c r="D733" s="22" t="n">
        <f aca="false">'לקוחות לפי סוכן - מקור'!F673</f>
        <v>0</v>
      </c>
      <c r="E733" s="22" t="n">
        <f aca="false">'לקוחות לפי סוכן - מקור'!G673</f>
        <v>477.2</v>
      </c>
      <c r="F733" s="14" t="n">
        <f aca="false">'לקוחות לפי סוכן - מקור'!D673</f>
        <v>0</v>
      </c>
      <c r="G733" s="15" t="n">
        <f aca="false">'לקוחות לפי סוכן - מקור'!H673</f>
        <v>0</v>
      </c>
      <c r="H733" s="15" t="n">
        <f aca="false">'לקוחות לפי סוכן - מקור'!I673</f>
        <v>0</v>
      </c>
      <c r="I733" s="48" t="str">
        <f aca="false">'לקוחות לפי סוכן - מקור'!K673</f>
        <v>CHMI</v>
      </c>
    </row>
    <row r="734" customFormat="false" ht="15" hidden="false" customHeight="true" outlineLevel="2" collapsed="false">
      <c r="A734" s="14" t="str">
        <f aca="false">'לקוחות לפי סוכן - מקור'!A674</f>
        <v>חאזם תלחמי</v>
      </c>
      <c r="B734" s="14" t="str">
        <f aca="false">'לקוחות לפי סוכן - מקור'!C674</f>
        <v>מגזר ערבי</v>
      </c>
      <c r="C734" s="14" t="str">
        <f aca="false">'לקוחות לפי סוכן - מקור'!E674</f>
        <v>סיטי פארם נצרת ב.מ</v>
      </c>
      <c r="D734" s="22" t="n">
        <f aca="false">'לקוחות לפי סוכן - מקור'!F674</f>
        <v>0</v>
      </c>
      <c r="E734" s="22" t="n">
        <f aca="false">'לקוחות לפי סוכן - מקור'!G674</f>
        <v>163.4</v>
      </c>
      <c r="F734" s="14" t="n">
        <f aca="false">'לקוחות לפי סוכן - מקור'!D674</f>
        <v>0</v>
      </c>
      <c r="G734" s="15" t="n">
        <f aca="false">'לקוחות לפי סוכן - מקור'!H674</f>
        <v>0</v>
      </c>
      <c r="H734" s="15" t="n">
        <f aca="false">'לקוחות לפי סוכן - מקור'!I674</f>
        <v>0</v>
      </c>
      <c r="I734" s="48" t="str">
        <f aca="false">'לקוחות לפי סוכן - מקור'!K674</f>
        <v>CHMI</v>
      </c>
    </row>
    <row r="735" customFormat="false" ht="15" hidden="false" customHeight="true" outlineLevel="2" collapsed="false">
      <c r="A735" s="14" t="str">
        <f aca="false">'לקוחות לפי סוכן - מקור'!A675</f>
        <v>חאזם תלחמי</v>
      </c>
      <c r="B735" s="14" t="str">
        <f aca="false">'לקוחות לפי סוכן - מקור'!C675</f>
        <v>מגזר ערבי</v>
      </c>
      <c r="C735" s="14" t="str">
        <f aca="false">'לקוחות לפי סוכן - מקור'!E675</f>
        <v>מדיקל פארם שפרעם ב.מ</v>
      </c>
      <c r="D735" s="22" t="n">
        <f aca="false">'לקוחות לפי סוכן - מקור'!F675</f>
        <v>0</v>
      </c>
      <c r="E735" s="22" t="n">
        <f aca="false">'לקוחות לפי סוכן - מקור'!G675</f>
        <v>2868</v>
      </c>
      <c r="F735" s="14" t="n">
        <f aca="false">'לקוחות לפי סוכן - מקור'!D675</f>
        <v>0</v>
      </c>
      <c r="G735" s="15" t="n">
        <f aca="false">'לקוחות לפי סוכן - מקור'!H675</f>
        <v>0</v>
      </c>
      <c r="H735" s="15" t="n">
        <f aca="false">'לקוחות לפי סוכן - מקור'!I675</f>
        <v>0</v>
      </c>
      <c r="I735" s="48" t="str">
        <f aca="false">'לקוחות לפי סוכן - מקור'!K675</f>
        <v>CHMI</v>
      </c>
    </row>
    <row r="736" customFormat="false" ht="15" hidden="false" customHeight="true" outlineLevel="2" collapsed="false">
      <c r="A736" s="14" t="str">
        <f aca="false">'לקוחות לפי סוכן - מקור'!A676</f>
        <v>חאזם תלחמי</v>
      </c>
      <c r="B736" s="14" t="str">
        <f aca="false">'לקוחות לפי סוכן - מקור'!C676</f>
        <v>מגזר ערבי</v>
      </c>
      <c r="C736" s="14" t="str">
        <f aca="false">'לקוחות לפי סוכן - מקור'!E676</f>
        <v>פארמה שיא ביר אל מכסור ב.מ</v>
      </c>
      <c r="D736" s="22" t="n">
        <f aca="false">'לקוחות לפי סוכן - מקור'!F676</f>
        <v>0</v>
      </c>
      <c r="E736" s="22" t="n">
        <f aca="false">'לקוחות לפי סוכן - מקור'!G676</f>
        <v>2356.3</v>
      </c>
      <c r="F736" s="14" t="n">
        <f aca="false">'לקוחות לפי סוכן - מקור'!D676</f>
        <v>0</v>
      </c>
      <c r="G736" s="15" t="n">
        <f aca="false">'לקוחות לפי סוכן - מקור'!H676</f>
        <v>0</v>
      </c>
      <c r="H736" s="15" t="n">
        <f aca="false">'לקוחות לפי סוכן - מקור'!I676</f>
        <v>0</v>
      </c>
      <c r="I736" s="48" t="str">
        <f aca="false">'לקוחות לפי סוכן - מקור'!K676</f>
        <v>CHMI</v>
      </c>
    </row>
    <row r="737" customFormat="false" ht="15" hidden="false" customHeight="true" outlineLevel="2" collapsed="false">
      <c r="A737" s="14" t="str">
        <f aca="false">'לקוחות לפי סוכן - מקור'!A677</f>
        <v>חאזם תלחמי</v>
      </c>
      <c r="B737" s="14" t="str">
        <f aca="false">'לקוחות לפי סוכן - מקור'!C677</f>
        <v>מגזר ערבי</v>
      </c>
      <c r="C737" s="14" t="str">
        <f aca="false">'לקוחות לפי סוכן - מקור'!E677</f>
        <v>בית מרקחת אוור פארם עוספיא</v>
      </c>
      <c r="D737" s="22" t="n">
        <f aca="false">'לקוחות לפי סוכן - מקור'!F677</f>
        <v>0</v>
      </c>
      <c r="E737" s="22" t="n">
        <f aca="false">'לקוחות לפי סוכן - מקור'!G677</f>
        <v>369.9</v>
      </c>
      <c r="F737" s="14" t="n">
        <f aca="false">'לקוחות לפי סוכן - מקור'!D677</f>
        <v>0</v>
      </c>
      <c r="G737" s="15" t="n">
        <f aca="false">'לקוחות לפי סוכן - מקור'!H677</f>
        <v>0</v>
      </c>
      <c r="H737" s="15" t="n">
        <f aca="false">'לקוחות לפי סוכן - מקור'!I677</f>
        <v>0</v>
      </c>
      <c r="I737" s="48" t="str">
        <f aca="false">'לקוחות לפי סוכן - מקור'!K677</f>
        <v>CHMI</v>
      </c>
    </row>
    <row r="738" customFormat="false" ht="15" hidden="false" customHeight="true" outlineLevel="2" collapsed="false">
      <c r="A738" s="14" t="str">
        <f aca="false">'לקוחות לפי סוכן - מקור'!A678</f>
        <v>חאזם תלחמי</v>
      </c>
      <c r="B738" s="14" t="str">
        <f aca="false">'לקוחות לפי סוכן - מקור'!C678</f>
        <v>מגזר ערבי</v>
      </c>
      <c r="C738" s="14" t="str">
        <f aca="false">'לקוחות לפי סוכן - מקור'!E678</f>
        <v>אלח'רובה ב.מ באקה אל גרבייה</v>
      </c>
      <c r="D738" s="22" t="n">
        <f aca="false">'לקוחות לפי סוכן - מקור'!F678</f>
        <v>0</v>
      </c>
      <c r="E738" s="22" t="n">
        <f aca="false">'לקוחות לפי סוכן - מקור'!G678</f>
        <v>1531</v>
      </c>
      <c r="F738" s="14" t="n">
        <f aca="false">'לקוחות לפי סוכן - מקור'!D678</f>
        <v>0</v>
      </c>
      <c r="G738" s="15" t="n">
        <f aca="false">'לקוחות לפי סוכן - מקור'!H678</f>
        <v>0</v>
      </c>
      <c r="H738" s="15" t="n">
        <f aca="false">'לקוחות לפי סוכן - מקור'!I678</f>
        <v>0</v>
      </c>
      <c r="I738" s="48" t="str">
        <f aca="false">'לקוחות לפי סוכן - מקור'!K678</f>
        <v>CHMI</v>
      </c>
    </row>
    <row r="739" customFormat="false" ht="15" hidden="false" customHeight="true" outlineLevel="2" collapsed="false">
      <c r="A739" s="14" t="str">
        <f aca="false">'לקוחות לפי סוכן - מקור'!A679</f>
        <v>חאזם תלחמי</v>
      </c>
      <c r="B739" s="14" t="str">
        <f aca="false">'לקוחות לפי סוכן - מקור'!C679</f>
        <v>מגזר ערבי</v>
      </c>
      <c r="C739" s="14" t="str">
        <f aca="false">'לקוחות לפי סוכן - מקור'!E679</f>
        <v>רימא פארם כפר יאסיף ב.מ</v>
      </c>
      <c r="D739" s="22" t="n">
        <f aca="false">'לקוחות לפי סוכן - מקור'!F679</f>
        <v>0</v>
      </c>
      <c r="E739" s="22" t="n">
        <f aca="false">'לקוחות לפי סוכן - מקור'!G679</f>
        <v>7748.9</v>
      </c>
      <c r="F739" s="14" t="n">
        <f aca="false">'לקוחות לפי סוכן - מקור'!D679</f>
        <v>0</v>
      </c>
      <c r="G739" s="15" t="n">
        <f aca="false">'לקוחות לפי סוכן - מקור'!H679</f>
        <v>0</v>
      </c>
      <c r="H739" s="15" t="n">
        <f aca="false">'לקוחות לפי סוכן - מקור'!I679</f>
        <v>0</v>
      </c>
      <c r="I739" s="48" t="str">
        <f aca="false">'לקוחות לפי סוכן - מקור'!K679</f>
        <v>CHMI</v>
      </c>
    </row>
    <row r="740" customFormat="false" ht="15" hidden="false" customHeight="true" outlineLevel="2" collapsed="false">
      <c r="A740" s="14" t="str">
        <f aca="false">'לקוחות לפי סוכן - מקור'!A680</f>
        <v>חאזם תלחמי</v>
      </c>
      <c r="B740" s="14" t="str">
        <f aca="false">'לקוחות לפי סוכן - מקור'!C680</f>
        <v>מגזר ערבי</v>
      </c>
      <c r="C740" s="14" t="str">
        <f aca="false">'לקוחות לפי סוכן - מקור'!E680</f>
        <v>.רימא פארם כפר קרע ב.מ</v>
      </c>
      <c r="D740" s="22" t="n">
        <f aca="false">'לקוחות לפי סוכן - מקור'!F680</f>
        <v>0</v>
      </c>
      <c r="E740" s="22" t="n">
        <f aca="false">'לקוחות לפי סוכן - מקור'!G680</f>
        <v>210.9</v>
      </c>
      <c r="F740" s="14" t="n">
        <f aca="false">'לקוחות לפי סוכן - מקור'!D680</f>
        <v>0</v>
      </c>
      <c r="G740" s="15" t="n">
        <f aca="false">'לקוחות לפי סוכן - מקור'!H680</f>
        <v>0</v>
      </c>
      <c r="H740" s="15" t="n">
        <f aca="false">'לקוחות לפי סוכן - מקור'!I680</f>
        <v>0</v>
      </c>
      <c r="I740" s="48" t="str">
        <f aca="false">'לקוחות לפי סוכן - מקור'!K680</f>
        <v>CHMI</v>
      </c>
    </row>
    <row r="741" customFormat="false" ht="15" hidden="false" customHeight="true" outlineLevel="2" collapsed="false">
      <c r="A741" s="14" t="str">
        <f aca="false">'לקוחות לפי סוכן - מקור'!A681</f>
        <v>חאזם תלחמי</v>
      </c>
      <c r="B741" s="14" t="str">
        <f aca="false">'לקוחות לפי סוכן - מקור'!C681</f>
        <v>מגזר ערבי</v>
      </c>
      <c r="C741" s="14" t="str">
        <f aca="false">'לקוחות לפי סוכן - מקור'!E681</f>
        <v>רביע פארם כפר כסרא בימר""ק</v>
      </c>
      <c r="D741" s="22" t="n">
        <f aca="false">'לקוחות לפי סוכן - מקור'!F681</f>
        <v>0</v>
      </c>
      <c r="E741" s="22" t="n">
        <f aca="false">'לקוחות לפי סוכן - מקור'!G681</f>
        <v>39.8</v>
      </c>
      <c r="F741" s="14" t="n">
        <f aca="false">'לקוחות לפי סוכן - מקור'!D681</f>
        <v>0</v>
      </c>
      <c r="G741" s="15" t="n">
        <f aca="false">'לקוחות לפי סוכן - מקור'!H681</f>
        <v>0</v>
      </c>
      <c r="H741" s="15" t="n">
        <f aca="false">'לקוחות לפי סוכן - מקור'!I681</f>
        <v>0</v>
      </c>
      <c r="I741" s="48" t="str">
        <f aca="false">'לקוחות לפי סוכן - מקור'!K681</f>
        <v>CHMI</v>
      </c>
    </row>
    <row r="742" customFormat="false" ht="15" hidden="false" customHeight="true" outlineLevel="2" collapsed="false">
      <c r="A742" s="14" t="str">
        <f aca="false">'לקוחות לפי סוכן - מקור'!A682</f>
        <v>חאזם תלחמי</v>
      </c>
      <c r="B742" s="14" t="str">
        <f aca="false">'לקוחות לפי סוכן - מקור'!C682</f>
        <v>מגזר ערבי</v>
      </c>
      <c r="C742" s="14" t="str">
        <f aca="false">'לקוחות לפי סוכן - מקור'!E682</f>
        <v>פארמה לייף יקנעם עילית ב.מ</v>
      </c>
      <c r="D742" s="22" t="n">
        <f aca="false">'לקוחות לפי סוכן - מקור'!F682</f>
        <v>0</v>
      </c>
      <c r="E742" s="22" t="n">
        <f aca="false">'לקוחות לפי סוכן - מקור'!G682</f>
        <v>1212.9</v>
      </c>
      <c r="F742" s="14" t="n">
        <f aca="false">'לקוחות לפי סוכן - מקור'!D682</f>
        <v>0</v>
      </c>
      <c r="G742" s="15" t="n">
        <f aca="false">'לקוחות לפי סוכן - מקור'!H682</f>
        <v>0</v>
      </c>
      <c r="H742" s="15" t="n">
        <f aca="false">'לקוחות לפי סוכן - מקור'!I682</f>
        <v>0</v>
      </c>
      <c r="I742" s="48" t="str">
        <f aca="false">'לקוחות לפי סוכן - מקור'!K682</f>
        <v>CHMI</v>
      </c>
    </row>
    <row r="743" customFormat="false" ht="15" hidden="false" customHeight="true" outlineLevel="2" collapsed="false">
      <c r="A743" s="14" t="str">
        <f aca="false">'לקוחות לפי סוכן - מקור'!A683</f>
        <v>חאזם תלחמי</v>
      </c>
      <c r="B743" s="14" t="str">
        <f aca="false">'לקוחות לפי סוכן - מקור'!C683</f>
        <v>מגזר ערבי</v>
      </c>
      <c r="C743" s="14" t="str">
        <f aca="false">'לקוחות לפי סוכן - מקור'!E683</f>
        <v>ראפע פארם בע""מ נצרת</v>
      </c>
      <c r="D743" s="22" t="n">
        <f aca="false">'לקוחות לפי סוכן - מקור'!F683</f>
        <v>0</v>
      </c>
      <c r="E743" s="22" t="n">
        <f aca="false">'לקוחות לפי סוכן - מקור'!G683</f>
        <v>3176.5</v>
      </c>
      <c r="F743" s="14" t="n">
        <f aca="false">'לקוחות לפי סוכן - מקור'!D683</f>
        <v>0</v>
      </c>
      <c r="G743" s="15" t="n">
        <f aca="false">'לקוחות לפי סוכן - מקור'!H683</f>
        <v>0</v>
      </c>
      <c r="H743" s="15" t="n">
        <f aca="false">'לקוחות לפי סוכן - מקור'!I683</f>
        <v>0</v>
      </c>
      <c r="I743" s="48" t="str">
        <f aca="false">'לקוחות לפי סוכן - מקור'!K683</f>
        <v>CHMI</v>
      </c>
    </row>
    <row r="744" customFormat="false" ht="15" hidden="false" customHeight="true" outlineLevel="2" collapsed="false">
      <c r="A744" s="14" t="str">
        <f aca="false">'לקוחות לפי סוכן - מקור'!A684</f>
        <v>חאזם תלחמי</v>
      </c>
      <c r="B744" s="14" t="str">
        <f aca="false">'לקוחות לפי סוכן - מקור'!C684</f>
        <v>מגזר ערבי</v>
      </c>
      <c r="C744" s="14" t="str">
        <f aca="false">'לקוחות לפי סוכן - מקור'!E684</f>
        <v>שקד פארם זכרון יעקב ב.מ</v>
      </c>
      <c r="D744" s="22" t="n">
        <f aca="false">'לקוחות לפי סוכן - מקור'!F684</f>
        <v>0</v>
      </c>
      <c r="E744" s="22" t="n">
        <f aca="false">'לקוחות לפי סוכן - מקור'!G684</f>
        <v>523</v>
      </c>
      <c r="F744" s="14" t="n">
        <f aca="false">'לקוחות לפי סוכן - מקור'!D684</f>
        <v>0</v>
      </c>
      <c r="G744" s="15" t="n">
        <f aca="false">'לקוחות לפי סוכן - מקור'!H684</f>
        <v>0</v>
      </c>
      <c r="H744" s="15" t="n">
        <f aca="false">'לקוחות לפי סוכן - מקור'!I684</f>
        <v>0</v>
      </c>
      <c r="I744" s="48" t="str">
        <f aca="false">'לקוחות לפי סוכן - מקור'!K684</f>
        <v>CHMI</v>
      </c>
    </row>
    <row r="745" customFormat="false" ht="15" hidden="false" customHeight="true" outlineLevel="1" collapsed="false">
      <c r="A745" s="49" t="s">
        <v>25</v>
      </c>
      <c r="B745" s="50" t="s">
        <v>12</v>
      </c>
      <c r="C745" s="51"/>
      <c r="D745" s="52" t="n">
        <f aca="false">SUMIFS('לקוחות לפי סוכן - מקור'!$F$2:$F$867,'לקוחות לפי סוכן - מקור'!$A$2:$A$867,$A745,'לקוחות לפי סוכן - מקור'!$C$2:$C$867,$B745)</f>
        <v>0</v>
      </c>
      <c r="E745" s="52" t="n">
        <f aca="false">SUMIFS('לקוחות לפי סוכן - מקור'!$G$2:$G$867,'לקוחות לפי סוכן - מקור'!$A$2:$A$867,$A745,'לקוחות לפי סוכן - מקור'!$C$2:$C$867,$B745)</f>
        <v>104913.8</v>
      </c>
      <c r="F745" s="51"/>
      <c r="G745" s="53" t="n">
        <f aca="false">SUMIFS('לקוחות לפי סוכן - מקור'!$H$2:$H$867,'לקוחות לפי סוכן - מקור'!$A$2:$A$867,$A745,'לקוחות לפי סוכן - מקור'!$C$2:$C$867,$B745)</f>
        <v>0</v>
      </c>
      <c r="H745" s="53" t="n">
        <f aca="false">SUMIFS('לקוחות לפי סוכן - מקור'!$I$2:$I$867,'לקוחות לפי סוכן - מקור'!$A$2:$A$867,$A745,'לקוחות לפי סוכן - מקור'!$C$2:$C$867,$B745)</f>
        <v>0</v>
      </c>
      <c r="I745" s="51"/>
      <c r="J745" s="53" t="n">
        <f aca="false">COUNTIFS('לקוחות לפי סוכן - מקור'!$A$2:$A$867,$A745,'לקוחות לפי סוכן - מקור'!$C$2:$C$867,$B745)</f>
        <v>35</v>
      </c>
    </row>
    <row r="746" customFormat="false" ht="15" hidden="false" customHeight="true" outlineLevel="2" collapsed="false">
      <c r="A746" s="14" t="str">
        <f aca="false">'לקוחות לפי סוכן - מקור'!A685</f>
        <v>חאזם תלחמי</v>
      </c>
      <c r="B746" s="14" t="str">
        <f aca="false">'לקוחות לפי סוכן - מקור'!C685</f>
        <v>שרם</v>
      </c>
      <c r="C746" s="14" t="str">
        <f aca="false">'לקוחות לפי סוכן - מקור'!E685</f>
        <v>בלסם פארם בית ג'אן ב.מ שרמפארם</v>
      </c>
      <c r="D746" s="22" t="n">
        <f aca="false">'לקוחות לפי סוכן - מקור'!F685</f>
        <v>0</v>
      </c>
      <c r="E746" s="22" t="n">
        <f aca="false">'לקוחות לפי סוכן - מקור'!G685</f>
        <v>2841.2</v>
      </c>
      <c r="F746" s="14" t="n">
        <f aca="false">'לקוחות לפי סוכן - מקור'!D685</f>
        <v>0</v>
      </c>
      <c r="G746" s="15" t="n">
        <f aca="false">'לקוחות לפי סוכן - מקור'!H685</f>
        <v>0</v>
      </c>
      <c r="H746" s="15" t="n">
        <f aca="false">'לקוחות לפי סוכן - מקור'!I685</f>
        <v>0</v>
      </c>
      <c r="I746" s="48" t="str">
        <f aca="false">'לקוחות לפי סוכן - מקור'!K685</f>
        <v>CHMI</v>
      </c>
    </row>
    <row r="747" customFormat="false" ht="15" hidden="false" customHeight="true" outlineLevel="2" collapsed="false">
      <c r="A747" s="14" t="str">
        <f aca="false">'לקוחות לפי סוכן - מקור'!A686</f>
        <v>חאזם תלחמי</v>
      </c>
      <c r="B747" s="14" t="str">
        <f aca="false">'לקוחות לפי סוכן - מקור'!C686</f>
        <v>שרם</v>
      </c>
      <c r="C747" s="14" t="str">
        <f aca="false">'לקוחות לפי סוכן - מקור'!E686</f>
        <v>הגליל תרשיחא ב.מ שרמפארם</v>
      </c>
      <c r="D747" s="22" t="n">
        <f aca="false">'לקוחות לפי סוכן - מקור'!F686</f>
        <v>0</v>
      </c>
      <c r="E747" s="22" t="n">
        <f aca="false">'לקוחות לפי סוכן - מקור'!G686</f>
        <v>14262.8</v>
      </c>
      <c r="F747" s="14" t="n">
        <f aca="false">'לקוחות לפי סוכן - מקור'!D686</f>
        <v>0</v>
      </c>
      <c r="G747" s="15" t="n">
        <f aca="false">'לקוחות לפי סוכן - מקור'!H686</f>
        <v>0</v>
      </c>
      <c r="H747" s="15" t="n">
        <f aca="false">'לקוחות לפי סוכן - מקור'!I686</f>
        <v>0</v>
      </c>
      <c r="I747" s="48" t="str">
        <f aca="false">'לקוחות לפי סוכן - מקור'!K686</f>
        <v>CHMI</v>
      </c>
    </row>
    <row r="748" customFormat="false" ht="15" hidden="false" customHeight="true" outlineLevel="2" collapsed="false">
      <c r="A748" s="14" t="str">
        <f aca="false">'לקוחות לפי סוכן - מקור'!A687</f>
        <v>חאזם תלחמי</v>
      </c>
      <c r="B748" s="14" t="str">
        <f aca="false">'לקוחות לפי סוכן - מקור'!C687</f>
        <v>שרם</v>
      </c>
      <c r="C748" s="14" t="str">
        <f aca="false">'לקוחות לפי סוכן - מקור'!E687</f>
        <v>מטר פארם ב.מ עכו</v>
      </c>
      <c r="D748" s="22" t="n">
        <f aca="false">'לקוחות לפי סוכן - מקור'!F687</f>
        <v>0</v>
      </c>
      <c r="E748" s="22" t="n">
        <f aca="false">'לקוחות לפי סוכן - מקור'!G687</f>
        <v>1412.2</v>
      </c>
      <c r="F748" s="14" t="n">
        <f aca="false">'לקוחות לפי סוכן - מקור'!D687</f>
        <v>0</v>
      </c>
      <c r="G748" s="15" t="n">
        <f aca="false">'לקוחות לפי סוכן - מקור'!H687</f>
        <v>0</v>
      </c>
      <c r="H748" s="15" t="n">
        <f aca="false">'לקוחות לפי סוכן - מקור'!I687</f>
        <v>0</v>
      </c>
      <c r="I748" s="48" t="str">
        <f aca="false">'לקוחות לפי סוכן - מקור'!K687</f>
        <v>CHMI</v>
      </c>
    </row>
    <row r="749" customFormat="false" ht="15" hidden="false" customHeight="true" outlineLevel="2" collapsed="false">
      <c r="A749" s="14" t="str">
        <f aca="false">'לקוחות לפי סוכן - מקור'!A688</f>
        <v>חאזם תלחמי</v>
      </c>
      <c r="B749" s="14" t="str">
        <f aca="false">'לקוחות לפי סוכן - מקור'!C688</f>
        <v>שרם</v>
      </c>
      <c r="C749" s="14" t="str">
        <f aca="false">'לקוחות לפי סוכן - מקור'!E688</f>
        <v>רקפות מעלות ב.מ שרמפארם</v>
      </c>
      <c r="D749" s="22" t="n">
        <f aca="false">'לקוחות לפי סוכן - מקור'!F688</f>
        <v>0</v>
      </c>
      <c r="E749" s="22" t="n">
        <f aca="false">'לקוחות לפי סוכן - מקור'!G688</f>
        <v>5638.6</v>
      </c>
      <c r="F749" s="14" t="n">
        <f aca="false">'לקוחות לפי סוכן - מקור'!D688</f>
        <v>0</v>
      </c>
      <c r="G749" s="15" t="n">
        <f aca="false">'לקוחות לפי סוכן - מקור'!H688</f>
        <v>0</v>
      </c>
      <c r="H749" s="15" t="n">
        <f aca="false">'לקוחות לפי סוכן - מקור'!I688</f>
        <v>0</v>
      </c>
      <c r="I749" s="48" t="str">
        <f aca="false">'לקוחות לפי סוכן - מקור'!K688</f>
        <v>CHMI</v>
      </c>
    </row>
    <row r="750" customFormat="false" ht="15" hidden="false" customHeight="true" outlineLevel="2" collapsed="false">
      <c r="A750" s="14" t="str">
        <f aca="false">'לקוחות לפי סוכן - מקור'!A689</f>
        <v>חאזם תלחמי</v>
      </c>
      <c r="B750" s="14" t="str">
        <f aca="false">'לקוחות לפי סוכן - מקור'!C689</f>
        <v>שרם</v>
      </c>
      <c r="C750" s="14" t="str">
        <f aca="false">'לקוחות לפי סוכן - מקור'!E689</f>
        <v>מעלות בעמכ-פר ורדים ב.מ. שרמפא</v>
      </c>
      <c r="D750" s="22" t="n">
        <f aca="false">'לקוחות לפי סוכן - מקור'!F689</f>
        <v>0</v>
      </c>
      <c r="E750" s="22" t="n">
        <f aca="false">'לקוחות לפי סוכן - מקור'!G689</f>
        <v>2740.7</v>
      </c>
      <c r="F750" s="14" t="n">
        <f aca="false">'לקוחות לפי סוכן - מקור'!D689</f>
        <v>0</v>
      </c>
      <c r="G750" s="15" t="n">
        <f aca="false">'לקוחות לפי סוכן - מקור'!H689</f>
        <v>0</v>
      </c>
      <c r="H750" s="15" t="n">
        <f aca="false">'לקוחות לפי סוכן - מקור'!I689</f>
        <v>0</v>
      </c>
      <c r="I750" s="48" t="str">
        <f aca="false">'לקוחות לפי סוכן - מקור'!K689</f>
        <v>CHMI</v>
      </c>
    </row>
    <row r="751" customFormat="false" ht="15" hidden="false" customHeight="true" outlineLevel="2" collapsed="false">
      <c r="A751" s="14" t="str">
        <f aca="false">'לקוחות לפי סוכן - מקור'!A690</f>
        <v>חאזם תלחמי</v>
      </c>
      <c r="B751" s="14" t="str">
        <f aca="false">'לקוחות לפי סוכן - מקור'!C690</f>
        <v>שרם</v>
      </c>
      <c r="C751" s="14" t="str">
        <f aca="false">'לקוחות לפי סוכן - מקור'!E690</f>
        <v>נארימאן פארם בע""מ כפר ראמה שרמ</v>
      </c>
      <c r="D751" s="22" t="n">
        <f aca="false">'לקוחות לפי סוכן - מקור'!F690</f>
        <v>0</v>
      </c>
      <c r="E751" s="22" t="n">
        <f aca="false">'לקוחות לפי סוכן - מקור'!G690</f>
        <v>6683.7</v>
      </c>
      <c r="F751" s="14" t="n">
        <f aca="false">'לקוחות לפי סוכן - מקור'!D690</f>
        <v>0</v>
      </c>
      <c r="G751" s="15" t="n">
        <f aca="false">'לקוחות לפי סוכן - מקור'!H690</f>
        <v>0</v>
      </c>
      <c r="H751" s="15" t="n">
        <f aca="false">'לקוחות לפי סוכן - מקור'!I690</f>
        <v>0</v>
      </c>
      <c r="I751" s="48" t="str">
        <f aca="false">'לקוחות לפי סוכן - מקור'!K690</f>
        <v>CHMI</v>
      </c>
    </row>
    <row r="752" customFormat="false" ht="15" hidden="false" customHeight="true" outlineLevel="2" collapsed="false">
      <c r="A752" s="14" t="str">
        <f aca="false">'לקוחות לפי סוכן - מקור'!A691</f>
        <v>חאזם תלחמי</v>
      </c>
      <c r="B752" s="14" t="str">
        <f aca="false">'לקוחות לפי סוכן - מקור'!C691</f>
        <v>שרם</v>
      </c>
      <c r="C752" s="14" t="str">
        <f aca="false">'לקוחות לפי סוכן - מקור'!E691</f>
        <v>ספא פארם נצרת עילית ב.מ שרמפאר</v>
      </c>
      <c r="D752" s="22" t="n">
        <f aca="false">'לקוחות לפי סוכן - מקור'!F691</f>
        <v>0</v>
      </c>
      <c r="E752" s="22" t="n">
        <f aca="false">'לקוחות לפי סוכן - מקור'!G691</f>
        <v>1496.4</v>
      </c>
      <c r="F752" s="14" t="n">
        <f aca="false">'לקוחות לפי סוכן - מקור'!D691</f>
        <v>0</v>
      </c>
      <c r="G752" s="15" t="n">
        <f aca="false">'לקוחות לפי סוכן - מקור'!H691</f>
        <v>0</v>
      </c>
      <c r="H752" s="15" t="n">
        <f aca="false">'לקוחות לפי סוכן - מקור'!I691</f>
        <v>0</v>
      </c>
      <c r="I752" s="48" t="str">
        <f aca="false">'לקוחות לפי סוכן - מקור'!K691</f>
        <v>CHMI</v>
      </c>
    </row>
    <row r="753" customFormat="false" ht="15" hidden="false" customHeight="true" outlineLevel="2" collapsed="false">
      <c r="A753" s="14" t="str">
        <f aca="false">'לקוחות לפי סוכן - מקור'!A692</f>
        <v>חאזם תלחמי</v>
      </c>
      <c r="B753" s="14" t="str">
        <f aca="false">'לקוחות לפי סוכן - מקור'!C692</f>
        <v>שרם</v>
      </c>
      <c r="C753" s="14" t="str">
        <f aca="false">'לקוחות לפי סוכן - מקור'!E692</f>
        <v>טמרה פארם בע""מ  ב.מ שרמפארם</v>
      </c>
      <c r="D753" s="22" t="n">
        <f aca="false">'לקוחות לפי סוכן - מקור'!F692</f>
        <v>0</v>
      </c>
      <c r="E753" s="22" t="n">
        <f aca="false">'לקוחות לפי סוכן - מקור'!G692</f>
        <v>7846.8</v>
      </c>
      <c r="F753" s="14" t="n">
        <f aca="false">'לקוחות לפי סוכן - מקור'!D692</f>
        <v>0</v>
      </c>
      <c r="G753" s="15" t="n">
        <f aca="false">'לקוחות לפי סוכן - מקור'!H692</f>
        <v>0</v>
      </c>
      <c r="H753" s="15" t="n">
        <f aca="false">'לקוחות לפי סוכן - מקור'!I692</f>
        <v>0</v>
      </c>
      <c r="I753" s="48" t="str">
        <f aca="false">'לקוחות לפי סוכן - מקור'!K692</f>
        <v>CHMI</v>
      </c>
    </row>
    <row r="754" customFormat="false" ht="15" hidden="false" customHeight="true" outlineLevel="2" collapsed="false">
      <c r="A754" s="14" t="str">
        <f aca="false">'לקוחות לפי סוכן - מקור'!A693</f>
        <v>חאזם תלחמי</v>
      </c>
      <c r="B754" s="14" t="str">
        <f aca="false">'לקוחות לפי סוכן - מקור'!C693</f>
        <v>שרם</v>
      </c>
      <c r="C754" s="14" t="str">
        <f aca="false">'לקוחות לפי סוכן - מקור'!E693</f>
        <v>אורנים טבעון ב.מ שרמפארם</v>
      </c>
      <c r="D754" s="22" t="n">
        <f aca="false">'לקוחות לפי סוכן - מקור'!F693</f>
        <v>0</v>
      </c>
      <c r="E754" s="22" t="n">
        <f aca="false">'לקוחות לפי סוכן - מקור'!G693</f>
        <v>590</v>
      </c>
      <c r="F754" s="14" t="n">
        <f aca="false">'לקוחות לפי סוכן - מקור'!D693</f>
        <v>0</v>
      </c>
      <c r="G754" s="15" t="n">
        <f aca="false">'לקוחות לפי סוכן - מקור'!H693</f>
        <v>0</v>
      </c>
      <c r="H754" s="15" t="n">
        <f aca="false">'לקוחות לפי סוכן - מקור'!I693</f>
        <v>0</v>
      </c>
      <c r="I754" s="48" t="str">
        <f aca="false">'לקוחות לפי סוכן - מקור'!K693</f>
        <v>CHMI</v>
      </c>
    </row>
    <row r="755" customFormat="false" ht="15" hidden="false" customHeight="true" outlineLevel="2" collapsed="false">
      <c r="A755" s="14" t="str">
        <f aca="false">'לקוחות לפי סוכן - מקור'!A694</f>
        <v>חאזם תלחמי</v>
      </c>
      <c r="B755" s="14" t="str">
        <f aca="false">'לקוחות לפי סוכן - מקור'!C694</f>
        <v>שרם</v>
      </c>
      <c r="C755" s="14" t="str">
        <f aca="false">'לקוחות לפי סוכן - מקור'!E694</f>
        <v>לב כרמל בע""מ ב.מ  שרמפארם</v>
      </c>
      <c r="D755" s="22" t="n">
        <f aca="false">'לקוחות לפי סוכן - מקור'!F694</f>
        <v>0</v>
      </c>
      <c r="E755" s="22" t="n">
        <f aca="false">'לקוחות לפי סוכן - מקור'!G694</f>
        <v>3320.8</v>
      </c>
      <c r="F755" s="14" t="n">
        <f aca="false">'לקוחות לפי סוכן - מקור'!D694</f>
        <v>0</v>
      </c>
      <c r="G755" s="15" t="n">
        <f aca="false">'לקוחות לפי סוכן - מקור'!H694</f>
        <v>0</v>
      </c>
      <c r="H755" s="15" t="n">
        <f aca="false">'לקוחות לפי סוכן - מקור'!I694</f>
        <v>0</v>
      </c>
      <c r="I755" s="48" t="str">
        <f aca="false">'לקוחות לפי סוכן - מקור'!K694</f>
        <v>CHMI</v>
      </c>
    </row>
    <row r="756" customFormat="false" ht="15" hidden="false" customHeight="true" outlineLevel="2" collapsed="false">
      <c r="A756" s="14" t="str">
        <f aca="false">'לקוחות לפי סוכן - מקור'!A695</f>
        <v>חאזם תלחמי</v>
      </c>
      <c r="B756" s="14" t="str">
        <f aca="false">'לקוחות לפי סוכן - מקור'!C695</f>
        <v>שרם</v>
      </c>
      <c r="C756" s="14" t="str">
        <f aca="false">'לקוחות לפי סוכן - מקור'!E695</f>
        <v>העליה השניה בע""מ בימ""ק שרמפארם</v>
      </c>
      <c r="D756" s="22" t="n">
        <f aca="false">'לקוחות לפי סוכן - מקור'!F695</f>
        <v>0</v>
      </c>
      <c r="E756" s="22" t="n">
        <f aca="false">'לקוחות לפי סוכן - מקור'!G695</f>
        <v>4596</v>
      </c>
      <c r="F756" s="14" t="n">
        <f aca="false">'לקוחות לפי סוכן - מקור'!D695</f>
        <v>0</v>
      </c>
      <c r="G756" s="15" t="n">
        <f aca="false">'לקוחות לפי סוכן - מקור'!H695</f>
        <v>0</v>
      </c>
      <c r="H756" s="15" t="n">
        <f aca="false">'לקוחות לפי סוכן - מקור'!I695</f>
        <v>0</v>
      </c>
      <c r="I756" s="48" t="str">
        <f aca="false">'לקוחות לפי סוכן - מקור'!K695</f>
        <v>CHMI</v>
      </c>
    </row>
    <row r="757" customFormat="false" ht="15" hidden="false" customHeight="true" outlineLevel="2" collapsed="false">
      <c r="A757" s="14" t="str">
        <f aca="false">'לקוחות לפי סוכן - מקור'!A696</f>
        <v>חאזם תלחמי</v>
      </c>
      <c r="B757" s="14" t="str">
        <f aca="false">'לקוחות לפי סוכן - מקור'!C696</f>
        <v>שרם</v>
      </c>
      <c r="C757" s="14" t="str">
        <f aca="false">'לקוחות לפי סוכן - מקור'!E696</f>
        <v>צמח פארם ב.מ שרמפארם</v>
      </c>
      <c r="D757" s="22" t="n">
        <f aca="false">'לקוחות לפי סוכן - מקור'!F696</f>
        <v>0</v>
      </c>
      <c r="E757" s="22" t="n">
        <f aca="false">'לקוחות לפי סוכן - מקור'!G696</f>
        <v>3440.7</v>
      </c>
      <c r="F757" s="14" t="n">
        <f aca="false">'לקוחות לפי סוכן - מקור'!D696</f>
        <v>0</v>
      </c>
      <c r="G757" s="15" t="n">
        <f aca="false">'לקוחות לפי סוכן - מקור'!H696</f>
        <v>0</v>
      </c>
      <c r="H757" s="15" t="n">
        <f aca="false">'לקוחות לפי סוכן - מקור'!I696</f>
        <v>0</v>
      </c>
      <c r="I757" s="48" t="str">
        <f aca="false">'לקוחות לפי סוכן - מקור'!K696</f>
        <v>CHMI</v>
      </c>
    </row>
    <row r="758" customFormat="false" ht="15" hidden="false" customHeight="true" outlineLevel="2" collapsed="false">
      <c r="A758" s="14" t="str">
        <f aca="false">'לקוחות לפי סוכן - מקור'!A697</f>
        <v>חאזם תלחמי</v>
      </c>
      <c r="B758" s="14" t="str">
        <f aca="false">'לקוחות לפי סוכן - מקור'!C697</f>
        <v>שרם</v>
      </c>
      <c r="C758" s="14" t="str">
        <f aca="false">'לקוחות לפי סוכן - מקור'!E697</f>
        <v>שבתאי לוי ב.מ  חיפה שרמפארם</v>
      </c>
      <c r="D758" s="22" t="n">
        <f aca="false">'לקוחות לפי סוכן - מקור'!F697</f>
        <v>0</v>
      </c>
      <c r="E758" s="22" t="n">
        <f aca="false">'לקוחות לפי סוכן - מקור'!G697</f>
        <v>243.6</v>
      </c>
      <c r="F758" s="14" t="n">
        <f aca="false">'לקוחות לפי סוכן - מקור'!D697</f>
        <v>0</v>
      </c>
      <c r="G758" s="15" t="n">
        <f aca="false">'לקוחות לפי סוכן - מקור'!H697</f>
        <v>0</v>
      </c>
      <c r="H758" s="15" t="n">
        <f aca="false">'לקוחות לפי סוכן - מקור'!I697</f>
        <v>0</v>
      </c>
      <c r="I758" s="48" t="str">
        <f aca="false">'לקוחות לפי סוכן - מקור'!K697</f>
        <v>CHMI</v>
      </c>
    </row>
    <row r="759" customFormat="false" ht="15" hidden="false" customHeight="true" outlineLevel="2" collapsed="false">
      <c r="A759" s="14" t="str">
        <f aca="false">'לקוחות לפי סוכן - מקור'!A698</f>
        <v>חאזם תלחמי</v>
      </c>
      <c r="B759" s="14" t="str">
        <f aca="false">'לקוחות לפי סוכן - מקור'!C698</f>
        <v>שרם</v>
      </c>
      <c r="C759" s="14" t="str">
        <f aca="false">'לקוחות לפי סוכן - מקור'!E698</f>
        <v>גולן פארם קצרין ב.מ שרמפארם</v>
      </c>
      <c r="D759" s="22" t="n">
        <f aca="false">'לקוחות לפי סוכן - מקור'!F698</f>
        <v>0</v>
      </c>
      <c r="E759" s="22" t="n">
        <f aca="false">'לקוחות לפי סוכן - מקור'!G698</f>
        <v>969.2</v>
      </c>
      <c r="F759" s="14" t="n">
        <f aca="false">'לקוחות לפי סוכן - מקור'!D698</f>
        <v>0</v>
      </c>
      <c r="G759" s="15" t="n">
        <f aca="false">'לקוחות לפי סוכן - מקור'!H698</f>
        <v>0</v>
      </c>
      <c r="H759" s="15" t="n">
        <f aca="false">'לקוחות לפי סוכן - מקור'!I698</f>
        <v>0</v>
      </c>
      <c r="I759" s="48" t="str">
        <f aca="false">'לקוחות לפי סוכן - מקור'!K698</f>
        <v>CHMI</v>
      </c>
    </row>
    <row r="760" customFormat="false" ht="15" hidden="false" customHeight="true" outlineLevel="2" collapsed="false">
      <c r="A760" s="14" t="str">
        <f aca="false">'לקוחות לפי סוכן - מקור'!A699</f>
        <v>חאזם תלחמי</v>
      </c>
      <c r="B760" s="14" t="str">
        <f aca="false">'לקוחות לפי סוכן - מקור'!C699</f>
        <v>שרם</v>
      </c>
      <c r="C760" s="14" t="str">
        <f aca="false">'לקוחות לפי סוכן - מקור'!E699</f>
        <v>נוה גנים ק מוצקין 3178 ב.מ</v>
      </c>
      <c r="D760" s="22" t="n">
        <f aca="false">'לקוחות לפי סוכן - מקור'!F699</f>
        <v>0</v>
      </c>
      <c r="E760" s="22" t="n">
        <f aca="false">'לקוחות לפי סוכן - מקור'!G699</f>
        <v>818</v>
      </c>
      <c r="F760" s="14" t="n">
        <f aca="false">'לקוחות לפי סוכן - מקור'!D699</f>
        <v>0</v>
      </c>
      <c r="G760" s="15" t="n">
        <f aca="false">'לקוחות לפי סוכן - מקור'!H699</f>
        <v>0</v>
      </c>
      <c r="H760" s="15" t="n">
        <f aca="false">'לקוחות לפי סוכן - מקור'!I699</f>
        <v>0</v>
      </c>
      <c r="I760" s="48" t="str">
        <f aca="false">'לקוחות לפי סוכן - מקור'!K699</f>
        <v>CHMI</v>
      </c>
    </row>
    <row r="761" customFormat="false" ht="15" hidden="false" customHeight="true" outlineLevel="2" collapsed="false">
      <c r="A761" s="14" t="str">
        <f aca="false">'לקוחות לפי סוכן - מקור'!A700</f>
        <v>חאזם תלחמי</v>
      </c>
      <c r="B761" s="14" t="str">
        <f aca="false">'לקוחות לפי סוכן - מקור'!C700</f>
        <v>שרם</v>
      </c>
      <c r="C761" s="14" t="str">
        <f aca="false">'לקוחות לפי סוכן - מקור'!E700</f>
        <v>מזרח עכו ב.מ שרמפארם</v>
      </c>
      <c r="D761" s="22" t="n">
        <f aca="false">'לקוחות לפי סוכן - מקור'!F700</f>
        <v>0</v>
      </c>
      <c r="E761" s="22" t="n">
        <f aca="false">'לקוחות לפי סוכן - מקור'!G700</f>
        <v>9395.1</v>
      </c>
      <c r="F761" s="14" t="n">
        <f aca="false">'לקוחות לפי סוכן - מקור'!D700</f>
        <v>0</v>
      </c>
      <c r="G761" s="15" t="n">
        <f aca="false">'לקוחות לפי סוכן - מקור'!H700</f>
        <v>0</v>
      </c>
      <c r="H761" s="15" t="n">
        <f aca="false">'לקוחות לפי סוכן - מקור'!I700</f>
        <v>0</v>
      </c>
      <c r="I761" s="48" t="str">
        <f aca="false">'לקוחות לפי סוכן - מקור'!K700</f>
        <v>CHMI</v>
      </c>
    </row>
    <row r="762" customFormat="false" ht="15" hidden="false" customHeight="true" outlineLevel="2" collapsed="false">
      <c r="A762" s="14" t="str">
        <f aca="false">'לקוחות לפי סוכן - מקור'!A701</f>
        <v>חאזם תלחמי</v>
      </c>
      <c r="B762" s="14" t="str">
        <f aca="false">'לקוחות לפי סוכן - מקור'!C701</f>
        <v>שרם</v>
      </c>
      <c r="C762" s="14" t="str">
        <f aca="false">'לקוחות לפי סוכן - מקור'!E701</f>
        <v>מדיקה ק.ים-אלבוסתן פארם בע""מ ב</v>
      </c>
      <c r="D762" s="22" t="n">
        <f aca="false">'לקוחות לפי סוכן - מקור'!F701</f>
        <v>0</v>
      </c>
      <c r="E762" s="22" t="n">
        <f aca="false">'לקוחות לפי סוכן - מקור'!G701</f>
        <v>1079.9</v>
      </c>
      <c r="F762" s="14" t="n">
        <f aca="false">'לקוחות לפי סוכן - מקור'!D701</f>
        <v>0</v>
      </c>
      <c r="G762" s="15" t="n">
        <f aca="false">'לקוחות לפי סוכן - מקור'!H701</f>
        <v>0</v>
      </c>
      <c r="H762" s="15" t="n">
        <f aca="false">'לקוחות לפי סוכן - מקור'!I701</f>
        <v>0</v>
      </c>
      <c r="I762" s="48" t="str">
        <f aca="false">'לקוחות לפי סוכן - מקור'!K701</f>
        <v>CHMI</v>
      </c>
    </row>
    <row r="763" customFormat="false" ht="15" hidden="false" customHeight="true" outlineLevel="2" collapsed="false">
      <c r="A763" s="14" t="str">
        <f aca="false">'לקוחות לפי סוכן - מקור'!A702</f>
        <v>חאזם תלחמי</v>
      </c>
      <c r="B763" s="14" t="str">
        <f aca="false">'לקוחות לפי סוכן - מקור'!C702</f>
        <v>שרם</v>
      </c>
      <c r="C763" s="14" t="str">
        <f aca="false">'לקוחות לפי סוכן - מקור'!E702</f>
        <v>ב.מ שרה פארם צור יצחק שרמפארם</v>
      </c>
      <c r="D763" s="22" t="n">
        <f aca="false">'לקוחות לפי סוכן - מקור'!F702</f>
        <v>0</v>
      </c>
      <c r="E763" s="22" t="n">
        <f aca="false">'לקוחות לפי סוכן - מקור'!G702</f>
        <v>3419.7</v>
      </c>
      <c r="F763" s="14" t="n">
        <f aca="false">'לקוחות לפי סוכן - מקור'!D702</f>
        <v>0</v>
      </c>
      <c r="G763" s="15" t="n">
        <f aca="false">'לקוחות לפי סוכן - מקור'!H702</f>
        <v>0</v>
      </c>
      <c r="H763" s="15" t="n">
        <f aca="false">'לקוחות לפי סוכן - מקור'!I702</f>
        <v>0</v>
      </c>
      <c r="I763" s="48" t="str">
        <f aca="false">'לקוחות לפי סוכן - מקור'!K702</f>
        <v>CHMI</v>
      </c>
    </row>
    <row r="764" customFormat="false" ht="15" hidden="false" customHeight="true" outlineLevel="2" collapsed="false">
      <c r="A764" s="14" t="str">
        <f aca="false">'לקוחות לפי סוכן - מקור'!A703</f>
        <v>חאזם תלחמי</v>
      </c>
      <c r="B764" s="14" t="str">
        <f aca="false">'לקוחות לפי סוכן - מקור'!C703</f>
        <v>שרם</v>
      </c>
      <c r="C764" s="14" t="str">
        <f aca="false">'לקוחות לפי סוכן - מקור'!E703</f>
        <v>ריינה-אומגה פארם בע""מ שרמפארם</v>
      </c>
      <c r="D764" s="22" t="n">
        <f aca="false">'לקוחות לפי סוכן - מקור'!F703</f>
        <v>0</v>
      </c>
      <c r="E764" s="22" t="n">
        <f aca="false">'לקוחות לפי סוכן - מקור'!G703</f>
        <v>2051.3</v>
      </c>
      <c r="F764" s="14" t="n">
        <f aca="false">'לקוחות לפי סוכן - מקור'!D703</f>
        <v>0</v>
      </c>
      <c r="G764" s="15" t="n">
        <f aca="false">'לקוחות לפי סוכן - מקור'!H703</f>
        <v>0</v>
      </c>
      <c r="H764" s="15" t="n">
        <f aca="false">'לקוחות לפי סוכן - מקור'!I703</f>
        <v>0</v>
      </c>
      <c r="I764" s="48" t="str">
        <f aca="false">'לקוחות לפי סוכן - מקור'!K703</f>
        <v>CHMI</v>
      </c>
    </row>
    <row r="765" customFormat="false" ht="15" hidden="false" customHeight="true" outlineLevel="2" collapsed="false">
      <c r="A765" s="14" t="str">
        <f aca="false">'לקוחות לפי סוכן - מקור'!A704</f>
        <v>חאזם תלחמי</v>
      </c>
      <c r="B765" s="14" t="str">
        <f aca="false">'לקוחות לפי סוכן - מקור'!C704</f>
        <v>שרם</v>
      </c>
      <c r="C765" s="14" t="str">
        <f aca="false">'לקוחות לפי סוכן - מקור'!E704</f>
        <v>רמת רבין ב.מ כרמיאל שרמפארם</v>
      </c>
      <c r="D765" s="22" t="n">
        <f aca="false">'לקוחות לפי סוכן - מקור'!F704</f>
        <v>0</v>
      </c>
      <c r="E765" s="22" t="n">
        <f aca="false">'לקוחות לפי סוכן - מקור'!G704</f>
        <v>110.5</v>
      </c>
      <c r="F765" s="14" t="n">
        <f aca="false">'לקוחות לפי סוכן - מקור'!D704</f>
        <v>0</v>
      </c>
      <c r="G765" s="15" t="n">
        <f aca="false">'לקוחות לפי סוכן - מקור'!H704</f>
        <v>0</v>
      </c>
      <c r="H765" s="15" t="n">
        <f aca="false">'לקוחות לפי סוכן - מקור'!I704</f>
        <v>0</v>
      </c>
      <c r="I765" s="48" t="str">
        <f aca="false">'לקוחות לפי סוכן - מקור'!K704</f>
        <v>CHMI</v>
      </c>
    </row>
    <row r="766" customFormat="false" ht="15" hidden="false" customHeight="true" outlineLevel="2" collapsed="false">
      <c r="A766" s="14" t="str">
        <f aca="false">'לקוחות לפי סוכן - מקור'!A705</f>
        <v>חאזם תלחמי</v>
      </c>
      <c r="B766" s="14" t="str">
        <f aca="false">'לקוחות לפי סוכן - מקור'!C705</f>
        <v>שרם</v>
      </c>
      <c r="C766" s="14" t="str">
        <f aca="false">'לקוחות לפי סוכן - מקור'!E705</f>
        <v>אלאסראא שפרעם ב.מ שרמפארם</v>
      </c>
      <c r="D766" s="22" t="n">
        <f aca="false">'לקוחות לפי סוכן - מקור'!F705</f>
        <v>0</v>
      </c>
      <c r="E766" s="22" t="n">
        <f aca="false">'לקוחות לפי סוכן - מקור'!G705</f>
        <v>2808.1</v>
      </c>
      <c r="F766" s="14" t="n">
        <f aca="false">'לקוחות לפי סוכן - מקור'!D705</f>
        <v>0</v>
      </c>
      <c r="G766" s="15" t="n">
        <f aca="false">'לקוחות לפי סוכן - מקור'!H705</f>
        <v>0</v>
      </c>
      <c r="H766" s="15" t="n">
        <f aca="false">'לקוחות לפי סוכן - מקור'!I705</f>
        <v>0</v>
      </c>
      <c r="I766" s="48" t="str">
        <f aca="false">'לקוחות לפי סוכן - מקור'!K705</f>
        <v>CHMI</v>
      </c>
    </row>
    <row r="767" customFormat="false" ht="15" hidden="false" customHeight="true" outlineLevel="2" collapsed="false">
      <c r="A767" s="14" t="str">
        <f aca="false">'לקוחות לפי סוכן - מקור'!A706</f>
        <v>חאזם תלחמי</v>
      </c>
      <c r="B767" s="14" t="str">
        <f aca="false">'לקוחות לפי סוכן - מקור'!C706</f>
        <v>שרם</v>
      </c>
      <c r="C767" s="14" t="str">
        <f aca="false">'לקוחות לפי סוכן - מקור'!E706</f>
        <v>מרכז עכו ב.מ שרמפארם</v>
      </c>
      <c r="D767" s="22" t="n">
        <f aca="false">'לקוחות לפי סוכן - מקור'!F706</f>
        <v>0</v>
      </c>
      <c r="E767" s="22" t="n">
        <f aca="false">'לקוחות לפי סוכן - מקור'!G706</f>
        <v>43.4</v>
      </c>
      <c r="F767" s="14" t="n">
        <f aca="false">'לקוחות לפי סוכן - מקור'!D706</f>
        <v>0</v>
      </c>
      <c r="G767" s="15" t="n">
        <f aca="false">'לקוחות לפי סוכן - מקור'!H706</f>
        <v>0</v>
      </c>
      <c r="H767" s="15" t="n">
        <f aca="false">'לקוחות לפי סוכן - מקור'!I706</f>
        <v>0</v>
      </c>
      <c r="I767" s="48" t="str">
        <f aca="false">'לקוחות לפי סוכן - מקור'!K706</f>
        <v>CHMI</v>
      </c>
    </row>
    <row r="768" customFormat="false" ht="15" hidden="false" customHeight="true" outlineLevel="2" collapsed="false">
      <c r="A768" s="14" t="str">
        <f aca="false">'לקוחות לפי סוכן - מקור'!A707</f>
        <v>חאזם תלחמי</v>
      </c>
      <c r="B768" s="14" t="str">
        <f aca="false">'לקוחות לפי סוכן - מקור'!C707</f>
        <v>שרם</v>
      </c>
      <c r="C768" s="14" t="str">
        <f aca="false">'לקוחות לפי סוכן - מקור'!E707</f>
        <v>ספא פארם ב.מ סכנין חדש שרמפארם</v>
      </c>
      <c r="D768" s="22" t="n">
        <f aca="false">'לקוחות לפי סוכן - מקור'!F707</f>
        <v>0</v>
      </c>
      <c r="E768" s="22" t="n">
        <f aca="false">'לקוחות לפי סוכן - מקור'!G707</f>
        <v>2623.8</v>
      </c>
      <c r="F768" s="14" t="n">
        <f aca="false">'לקוחות לפי סוכן - מקור'!D707</f>
        <v>0</v>
      </c>
      <c r="G768" s="15" t="n">
        <f aca="false">'לקוחות לפי סוכן - מקור'!H707</f>
        <v>0</v>
      </c>
      <c r="H768" s="15" t="n">
        <f aca="false">'לקוחות לפי סוכן - מקור'!I707</f>
        <v>0</v>
      </c>
      <c r="I768" s="48" t="str">
        <f aca="false">'לקוחות לפי סוכן - מקור'!K707</f>
        <v>CHMI</v>
      </c>
    </row>
    <row r="769" customFormat="false" ht="15" hidden="false" customHeight="true" outlineLevel="2" collapsed="false">
      <c r="A769" s="14" t="str">
        <f aca="false">'לקוחות לפי סוכן - מקור'!A708</f>
        <v>חאזם תלחמי</v>
      </c>
      <c r="B769" s="14" t="str">
        <f aca="false">'לקוחות לפי סוכן - מקור'!C708</f>
        <v>שרם</v>
      </c>
      <c r="C769" s="14" t="str">
        <f aca="false">'לקוחות לפי סוכן - מקור'!E708</f>
        <v>פארמה פלוס שפרעם ב.מ שרמפארם</v>
      </c>
      <c r="D769" s="22" t="n">
        <f aca="false">'לקוחות לפי סוכן - מקור'!F708</f>
        <v>0</v>
      </c>
      <c r="E769" s="22" t="n">
        <f aca="false">'לקוחות לפי סוכן - מקור'!G708</f>
        <v>8166.8</v>
      </c>
      <c r="F769" s="14" t="n">
        <f aca="false">'לקוחות לפי סוכן - מקור'!D708</f>
        <v>0</v>
      </c>
      <c r="G769" s="15" t="n">
        <f aca="false">'לקוחות לפי סוכן - מקור'!H708</f>
        <v>0</v>
      </c>
      <c r="H769" s="15" t="n">
        <f aca="false">'לקוחות לפי סוכן - מקור'!I708</f>
        <v>0</v>
      </c>
      <c r="I769" s="48" t="str">
        <f aca="false">'לקוחות לפי סוכן - מקור'!K708</f>
        <v>CHMI</v>
      </c>
    </row>
    <row r="770" customFormat="false" ht="15" hidden="false" customHeight="true" outlineLevel="2" collapsed="false">
      <c r="A770" s="14" t="str">
        <f aca="false">'לקוחות לפי סוכן - מקור'!A709</f>
        <v>חאזם תלחמי</v>
      </c>
      <c r="B770" s="14" t="str">
        <f aca="false">'לקוחות לפי סוכן - מקור'!C709</f>
        <v>שרם</v>
      </c>
      <c r="C770" s="14" t="str">
        <f aca="false">'לקוחות לפי סוכן - מקור'!E709</f>
        <v>אקספו פארם מכר ב.מ שרמפארם</v>
      </c>
      <c r="D770" s="22" t="n">
        <f aca="false">'לקוחות לפי סוכן - מקור'!F709</f>
        <v>0</v>
      </c>
      <c r="E770" s="22" t="n">
        <f aca="false">'לקוחות לפי סוכן - מקור'!G709</f>
        <v>4330.6</v>
      </c>
      <c r="F770" s="14" t="n">
        <f aca="false">'לקוחות לפי סוכן - מקור'!D709</f>
        <v>0</v>
      </c>
      <c r="G770" s="15" t="n">
        <f aca="false">'לקוחות לפי סוכן - מקור'!H709</f>
        <v>0</v>
      </c>
      <c r="H770" s="15" t="n">
        <f aca="false">'לקוחות לפי סוכן - מקור'!I709</f>
        <v>0</v>
      </c>
      <c r="I770" s="48" t="str">
        <f aca="false">'לקוחות לפי סוכן - מקור'!K709</f>
        <v>CHMI</v>
      </c>
    </row>
    <row r="771" customFormat="false" ht="15" hidden="false" customHeight="true" outlineLevel="2" collapsed="false">
      <c r="A771" s="14" t="str">
        <f aca="false">'לקוחות לפי סוכן - מקור'!A710</f>
        <v>חאזם תלחמי</v>
      </c>
      <c r="B771" s="14" t="str">
        <f aca="false">'לקוחות לפי סוכן - מקור'!C710</f>
        <v>שרם</v>
      </c>
      <c r="C771" s="14" t="str">
        <f aca="false">'לקוחות לפי סוכן - מקור'!E710</f>
        <v>אקופארם ב.מ מעלות שרמפארם</v>
      </c>
      <c r="D771" s="22" t="n">
        <f aca="false">'לקוחות לפי סוכן - מקור'!F710</f>
        <v>0</v>
      </c>
      <c r="E771" s="22" t="n">
        <f aca="false">'לקוחות לפי סוכן - מקור'!G710</f>
        <v>4316.5</v>
      </c>
      <c r="F771" s="14" t="n">
        <f aca="false">'לקוחות לפי סוכן - מקור'!D710</f>
        <v>0</v>
      </c>
      <c r="G771" s="15" t="n">
        <f aca="false">'לקוחות לפי סוכן - מקור'!H710</f>
        <v>0</v>
      </c>
      <c r="H771" s="15" t="n">
        <f aca="false">'לקוחות לפי סוכן - מקור'!I710</f>
        <v>0</v>
      </c>
      <c r="I771" s="48" t="str">
        <f aca="false">'לקוחות לפי סוכן - מקור'!K710</f>
        <v>CHMI</v>
      </c>
    </row>
    <row r="772" customFormat="false" ht="15" hidden="false" customHeight="true" outlineLevel="2" collapsed="false">
      <c r="A772" s="14" t="str">
        <f aca="false">'לקוחות לפי סוכן - מקור'!A711</f>
        <v>חאזם תלחמי</v>
      </c>
      <c r="B772" s="14" t="str">
        <f aca="false">'לקוחות לפי סוכן - מקור'!C711</f>
        <v>שרם</v>
      </c>
      <c r="C772" s="14" t="str">
        <f aca="false">'לקוחות לפי סוכן - מקור'!E711</f>
        <v>אלשיפאא ב.מ כפר עראבה שרמפארם</v>
      </c>
      <c r="D772" s="22" t="n">
        <f aca="false">'לקוחות לפי סוכן - מקור'!F711</f>
        <v>0</v>
      </c>
      <c r="E772" s="22" t="n">
        <f aca="false">'לקוחות לפי סוכן - מקור'!G711</f>
        <v>164</v>
      </c>
      <c r="F772" s="14" t="n">
        <f aca="false">'לקוחות לפי סוכן - מקור'!D711</f>
        <v>0</v>
      </c>
      <c r="G772" s="15" t="n">
        <f aca="false">'לקוחות לפי סוכן - מקור'!H711</f>
        <v>0</v>
      </c>
      <c r="H772" s="15" t="n">
        <f aca="false">'לקוחות לפי סוכן - מקור'!I711</f>
        <v>0</v>
      </c>
      <c r="I772" s="48" t="str">
        <f aca="false">'לקוחות לפי סוכן - מקור'!K711</f>
        <v>CHMI</v>
      </c>
    </row>
    <row r="773" customFormat="false" ht="15" hidden="false" customHeight="true" outlineLevel="2" collapsed="false">
      <c r="A773" s="14" t="str">
        <f aca="false">'לקוחות לפי סוכן - מקור'!A712</f>
        <v>חאזם תלחמי</v>
      </c>
      <c r="B773" s="14" t="str">
        <f aca="false">'לקוחות לפי סוכן - מקור'!C712</f>
        <v>שרם</v>
      </c>
      <c r="C773" s="14" t="str">
        <f aca="false">'לקוחות לפי סוכן - מקור'!E712</f>
        <v>אסף עפולה ב.מ שרמפארם</v>
      </c>
      <c r="D773" s="22" t="n">
        <f aca="false">'לקוחות לפי סוכן - מקור'!F712</f>
        <v>0</v>
      </c>
      <c r="E773" s="22" t="n">
        <f aca="false">'לקוחות לפי סוכן - מקור'!G712</f>
        <v>747.2</v>
      </c>
      <c r="F773" s="14" t="n">
        <f aca="false">'לקוחות לפי סוכן - מקור'!D712</f>
        <v>0</v>
      </c>
      <c r="G773" s="15" t="n">
        <f aca="false">'לקוחות לפי סוכן - מקור'!H712</f>
        <v>0</v>
      </c>
      <c r="H773" s="15" t="n">
        <f aca="false">'לקוחות לפי סוכן - מקור'!I712</f>
        <v>0</v>
      </c>
      <c r="I773" s="48" t="str">
        <f aca="false">'לקוחות לפי סוכן - מקור'!K712</f>
        <v>CHMI</v>
      </c>
    </row>
    <row r="774" customFormat="false" ht="15" hidden="false" customHeight="true" outlineLevel="2" collapsed="false">
      <c r="A774" s="14" t="str">
        <f aca="false">'לקוחות לפי סוכן - מקור'!A713</f>
        <v>חאזם תלחמי</v>
      </c>
      <c r="B774" s="14" t="str">
        <f aca="false">'לקוחות לפי סוכן - מקור'!C713</f>
        <v>שרם</v>
      </c>
      <c r="C774" s="14" t="str">
        <f aca="false">'לקוחות לפי סוכן - מקור'!E713</f>
        <v>השלום כפר מוקבלה ב.מ</v>
      </c>
      <c r="D774" s="22" t="n">
        <f aca="false">'לקוחות לפי סוכן - מקור'!F713</f>
        <v>0</v>
      </c>
      <c r="E774" s="22" t="n">
        <f aca="false">'לקוחות לפי סוכן - מקור'!G713</f>
        <v>280.9</v>
      </c>
      <c r="F774" s="14" t="n">
        <f aca="false">'לקוחות לפי סוכן - מקור'!D713</f>
        <v>0</v>
      </c>
      <c r="G774" s="15" t="n">
        <f aca="false">'לקוחות לפי סוכן - מקור'!H713</f>
        <v>0</v>
      </c>
      <c r="H774" s="15" t="n">
        <f aca="false">'לקוחות לפי סוכן - מקור'!I713</f>
        <v>0</v>
      </c>
      <c r="I774" s="48" t="str">
        <f aca="false">'לקוחות לפי סוכן - מקור'!K713</f>
        <v>CHMI</v>
      </c>
    </row>
    <row r="775" customFormat="false" ht="15" hidden="false" customHeight="true" outlineLevel="2" collapsed="false">
      <c r="A775" s="14" t="str">
        <f aca="false">'לקוחות לפי סוכן - מקור'!A714</f>
        <v>חאזם תלחמי</v>
      </c>
      <c r="B775" s="14" t="str">
        <f aca="false">'לקוחות לפי סוכן - מקור'!C714</f>
        <v>שרם</v>
      </c>
      <c r="C775" s="14" t="str">
        <f aca="false">'לקוחות לפי סוכן - מקור'!E714</f>
        <v>ב.מ CPHARM טשרניחובסקי</v>
      </c>
      <c r="D775" s="22" t="n">
        <f aca="false">'לקוחות לפי סוכן - מקור'!F714</f>
        <v>0</v>
      </c>
      <c r="E775" s="22" t="n">
        <f aca="false">'לקוחות לפי סוכן - מקור'!G714</f>
        <v>47.3</v>
      </c>
      <c r="F775" s="14" t="n">
        <f aca="false">'לקוחות לפי סוכן - מקור'!D714</f>
        <v>0</v>
      </c>
      <c r="G775" s="15" t="n">
        <f aca="false">'לקוחות לפי סוכן - מקור'!H714</f>
        <v>0</v>
      </c>
      <c r="H775" s="15" t="n">
        <f aca="false">'לקוחות לפי סוכן - מקור'!I714</f>
        <v>0</v>
      </c>
      <c r="I775" s="48" t="str">
        <f aca="false">'לקוחות לפי סוכן - מקור'!K714</f>
        <v>CHMI</v>
      </c>
    </row>
    <row r="776" customFormat="false" ht="15" hidden="false" customHeight="true" outlineLevel="2" collapsed="false">
      <c r="A776" s="14" t="str">
        <f aca="false">'לקוחות לפי סוכן - מקור'!A715</f>
        <v>חאזם תלחמי</v>
      </c>
      <c r="B776" s="14" t="str">
        <f aca="false">'לקוחות לפי סוכן - מקור'!C715</f>
        <v>שרם</v>
      </c>
      <c r="C776" s="14" t="str">
        <f aca="false">'לקוחות לפי סוכן - מקור'!E715</f>
        <v>פארם פור יו ב.מ שרמפארם</v>
      </c>
      <c r="D776" s="22" t="n">
        <f aca="false">'לקוחות לפי סוכן - מקור'!F715</f>
        <v>0</v>
      </c>
      <c r="E776" s="22" t="n">
        <f aca="false">'לקוחות לפי סוכן - מקור'!G715</f>
        <v>5806.5</v>
      </c>
      <c r="F776" s="14" t="n">
        <f aca="false">'לקוחות לפי סוכן - מקור'!D715</f>
        <v>0</v>
      </c>
      <c r="G776" s="15" t="n">
        <f aca="false">'לקוחות לפי סוכן - מקור'!H715</f>
        <v>0</v>
      </c>
      <c r="H776" s="15" t="n">
        <f aca="false">'לקוחות לפי סוכן - מקור'!I715</f>
        <v>0</v>
      </c>
      <c r="I776" s="48" t="str">
        <f aca="false">'לקוחות לפי סוכן - מקור'!K715</f>
        <v>CHMI</v>
      </c>
    </row>
    <row r="777" customFormat="false" ht="15" hidden="false" customHeight="true" outlineLevel="2" collapsed="false">
      <c r="A777" s="14" t="str">
        <f aca="false">'לקוחות לפי סוכן - מקור'!A716</f>
        <v>חאזם תלחמי</v>
      </c>
      <c r="B777" s="14" t="str">
        <f aca="false">'לקוחות לפי סוכן - מקור'!C716</f>
        <v>שרם</v>
      </c>
      <c r="C777" s="14" t="str">
        <f aca="false">'לקוחות לפי סוכן - מקור'!E716</f>
        <v>אלשפא בע""מ א.א.פחם ב.מ  שרמפאר</v>
      </c>
      <c r="D777" s="22" t="n">
        <f aca="false">'לקוחות לפי סוכן - מקור'!F716</f>
        <v>0</v>
      </c>
      <c r="E777" s="22" t="n">
        <f aca="false">'לקוחות לפי סוכן - מקור'!G716</f>
        <v>701.9</v>
      </c>
      <c r="F777" s="14" t="n">
        <f aca="false">'לקוחות לפי סוכן - מקור'!D716</f>
        <v>0</v>
      </c>
      <c r="G777" s="15" t="n">
        <f aca="false">'לקוחות לפי סוכן - מקור'!H716</f>
        <v>0</v>
      </c>
      <c r="H777" s="15" t="n">
        <f aca="false">'לקוחות לפי סוכן - מקור'!I716</f>
        <v>0</v>
      </c>
      <c r="I777" s="48" t="str">
        <f aca="false">'לקוחות לפי סוכן - מקור'!K716</f>
        <v>CHMI</v>
      </c>
    </row>
    <row r="778" customFormat="false" ht="15" hidden="false" customHeight="true" outlineLevel="2" collapsed="false">
      <c r="A778" s="14" t="str">
        <f aca="false">'לקוחות לפי סוכן - מקור'!A717</f>
        <v>חאזם תלחמי</v>
      </c>
      <c r="B778" s="14" t="str">
        <f aca="false">'לקוחות לפי סוכן - מקור'!C717</f>
        <v>שרם</v>
      </c>
      <c r="C778" s="14" t="str">
        <f aca="false">'לקוחות לפי סוכן - מקור'!E717</f>
        <v>אלעין פקיעין ב.מ</v>
      </c>
      <c r="D778" s="22" t="n">
        <f aca="false">'לקוחות לפי סוכן - מקור'!F717</f>
        <v>0</v>
      </c>
      <c r="E778" s="22" t="n">
        <f aca="false">'לקוחות לפי סוכן - מקור'!G717</f>
        <v>1697</v>
      </c>
      <c r="F778" s="14" t="n">
        <f aca="false">'לקוחות לפי סוכן - מקור'!D717</f>
        <v>0</v>
      </c>
      <c r="G778" s="15" t="n">
        <f aca="false">'לקוחות לפי סוכן - מקור'!H717</f>
        <v>0</v>
      </c>
      <c r="H778" s="15" t="n">
        <f aca="false">'לקוחות לפי סוכן - מקור'!I717</f>
        <v>0</v>
      </c>
      <c r="I778" s="48" t="str">
        <f aca="false">'לקוחות לפי סוכן - מקור'!K717</f>
        <v>CHMI</v>
      </c>
    </row>
    <row r="779" customFormat="false" ht="15" hidden="false" customHeight="true" outlineLevel="2" collapsed="false">
      <c r="A779" s="14" t="str">
        <f aca="false">'לקוחות לפי סוכן - מקור'!A718</f>
        <v>חאזם תלחמי</v>
      </c>
      <c r="B779" s="14" t="str">
        <f aca="false">'לקוחות לפי סוכן - מקור'!C718</f>
        <v>שרם</v>
      </c>
      <c r="C779" s="14" t="str">
        <f aca="false">'לקוחות לפי סוכן - מקור'!E718</f>
        <v>מירוני חיפה ב.מ שרמפארם</v>
      </c>
      <c r="D779" s="22" t="n">
        <f aca="false">'לקוחות לפי סוכן - מקור'!F718</f>
        <v>0</v>
      </c>
      <c r="E779" s="22" t="n">
        <f aca="false">'לקוחות לפי סוכן - מקור'!G718</f>
        <v>126.3</v>
      </c>
      <c r="F779" s="14" t="n">
        <f aca="false">'לקוחות לפי סוכן - מקור'!D718</f>
        <v>0</v>
      </c>
      <c r="G779" s="15" t="n">
        <f aca="false">'לקוחות לפי סוכן - מקור'!H718</f>
        <v>0</v>
      </c>
      <c r="H779" s="15" t="n">
        <f aca="false">'לקוחות לפי סוכן - מקור'!I718</f>
        <v>0</v>
      </c>
      <c r="I779" s="48" t="str">
        <f aca="false">'לקוחות לפי סוכן - מקור'!K718</f>
        <v>CHMI</v>
      </c>
    </row>
    <row r="780" customFormat="false" ht="15" hidden="false" customHeight="true" outlineLevel="2" collapsed="false">
      <c r="A780" s="14" t="str">
        <f aca="false">'לקוחות לפי סוכן - מקור'!A719</f>
        <v>חאזם תלחמי</v>
      </c>
      <c r="B780" s="14" t="str">
        <f aca="false">'לקוחות לפי סוכן - מקור'!C719</f>
        <v>שרם</v>
      </c>
      <c r="C780" s="14" t="str">
        <f aca="false">'לקוחות לפי סוכן - מקור'!E719</f>
        <v>השושנים ב.מ שרמפארם</v>
      </c>
      <c r="D780" s="22" t="n">
        <f aca="false">'לקוחות לפי סוכן - מקור'!F719</f>
        <v>0</v>
      </c>
      <c r="E780" s="22" t="n">
        <f aca="false">'לקוחות לפי סוכן - מקור'!G719</f>
        <v>96.3</v>
      </c>
      <c r="F780" s="14" t="n">
        <f aca="false">'לקוחות לפי סוכן - מקור'!D719</f>
        <v>0</v>
      </c>
      <c r="G780" s="15" t="n">
        <f aca="false">'לקוחות לפי סוכן - מקור'!H719</f>
        <v>0</v>
      </c>
      <c r="H780" s="15" t="n">
        <f aca="false">'לקוחות לפי סוכן - מקור'!I719</f>
        <v>0</v>
      </c>
      <c r="I780" s="48" t="str">
        <f aca="false">'לקוחות לפי סוכן - מקור'!K719</f>
        <v>CHMI</v>
      </c>
    </row>
    <row r="781" customFormat="false" ht="15" hidden="false" customHeight="true" outlineLevel="1" collapsed="false">
      <c r="A781" s="49" t="s">
        <v>25</v>
      </c>
      <c r="B781" s="50" t="s">
        <v>15</v>
      </c>
      <c r="C781" s="51"/>
      <c r="D781" s="52" t="n">
        <f aca="false">SUMIFS('לקוחות לפי סוכן - מקור'!$F$2:$F$867,'לקוחות לפי סוכן - מקור'!$A$2:$A$867,$A781,'לקוחות לפי סוכן - מקור'!$C$2:$C$867,$B781)</f>
        <v>0</v>
      </c>
      <c r="E781" s="52" t="n">
        <f aca="false">SUMIFS('לקוחות לפי סוכן - מקור'!$G$2:$G$867,'לקוחות לפי סוכן - מקור'!$A$2:$A$867,$A781,'לקוחות לפי סוכן - מקור'!$C$2:$C$867,$B781)</f>
        <v>947315.5</v>
      </c>
      <c r="F781" s="51"/>
      <c r="G781" s="53" t="n">
        <f aca="false">SUMIFS('לקוחות לפי סוכן - מקור'!$H$2:$H$867,'לקוחות לפי סוכן - מקור'!$A$2:$A$867,$A781,'לקוחות לפי סוכן - מקור'!$C$2:$C$867,$B781)</f>
        <v>0</v>
      </c>
      <c r="H781" s="53" t="n">
        <f aca="false">SUMIFS('לקוחות לפי סוכן - מקור'!$I$2:$I$867,'לקוחות לפי סוכן - מקור'!$A$2:$A$867,$A781,'לקוחות לפי סוכן - מקור'!$C$2:$C$867,$B781)</f>
        <v>0</v>
      </c>
      <c r="I781" s="51"/>
      <c r="J781" s="53" t="n">
        <f aca="false">COUNTIFS('לקוחות לפי סוכן - מקור'!$A$2:$A$867,$A781,'לקוחות לפי סוכן - מקור'!$C$2:$C$867,$B781)</f>
        <v>87</v>
      </c>
    </row>
    <row r="782" customFormat="false" ht="15" hidden="false" customHeight="true" outlineLevel="2" collapsed="false">
      <c r="A782" s="14" t="str">
        <f aca="false">'לקוחות לפי סוכן - מקור'!A720</f>
        <v>חאזם תלחמי</v>
      </c>
      <c r="B782" s="14" t="str">
        <f aca="false">'לקוחות לפי סוכן - מקור'!C720</f>
        <v>ס. פארם</v>
      </c>
      <c r="C782" s="14" t="str">
        <f aca="false">'לקוחות לפי סוכן - מקור'!E720</f>
        <v>ס.פ. חוצות המפרץ תרופות</v>
      </c>
      <c r="D782" s="22" t="n">
        <f aca="false">'לקוחות לפי סוכן - מקור'!F720</f>
        <v>0</v>
      </c>
      <c r="E782" s="22" t="n">
        <f aca="false">'לקוחות לפי סוכן - מקור'!G720</f>
        <v>9018.5</v>
      </c>
      <c r="F782" s="14" t="n">
        <f aca="false">'לקוחות לפי סוכן - מקור'!D720</f>
        <v>0</v>
      </c>
      <c r="G782" s="15" t="n">
        <f aca="false">'לקוחות לפי סוכן - מקור'!H720</f>
        <v>0</v>
      </c>
      <c r="H782" s="15" t="n">
        <f aca="false">'לקוחות לפי סוכן - מקור'!I720</f>
        <v>0</v>
      </c>
      <c r="I782" s="48" t="str">
        <f aca="false">'לקוחות לפי סוכן - מקור'!K720</f>
        <v>CHMI</v>
      </c>
    </row>
    <row r="783" customFormat="false" ht="15" hidden="false" customHeight="true" outlineLevel="2" collapsed="false">
      <c r="A783" s="14" t="str">
        <f aca="false">'לקוחות לפי סוכן - מקור'!A721</f>
        <v>חאזם תלחמי</v>
      </c>
      <c r="B783" s="14" t="str">
        <f aca="false">'לקוחות לפי סוכן - מקור'!C721</f>
        <v>ס. פארם</v>
      </c>
      <c r="C783" s="14" t="str">
        <f aca="false">'לקוחות לפי סוכן - מקור'!E721</f>
        <v>ס.פ. לב חדרה תרופות</v>
      </c>
      <c r="D783" s="22" t="n">
        <f aca="false">'לקוחות לפי סוכן - מקור'!F721</f>
        <v>0</v>
      </c>
      <c r="E783" s="22" t="n">
        <f aca="false">'לקוחות לפי סוכן - מקור'!G721</f>
        <v>13367.9</v>
      </c>
      <c r="F783" s="14" t="n">
        <f aca="false">'לקוחות לפי סוכן - מקור'!D721</f>
        <v>0</v>
      </c>
      <c r="G783" s="15" t="n">
        <f aca="false">'לקוחות לפי סוכן - מקור'!H721</f>
        <v>0</v>
      </c>
      <c r="H783" s="15" t="n">
        <f aca="false">'לקוחות לפי סוכן - מקור'!I721</f>
        <v>0</v>
      </c>
      <c r="I783" s="48" t="str">
        <f aca="false">'לקוחות לפי סוכן - מקור'!K721</f>
        <v>CHMI</v>
      </c>
    </row>
    <row r="784" customFormat="false" ht="15" hidden="false" customHeight="true" outlineLevel="2" collapsed="false">
      <c r="A784" s="14" t="str">
        <f aca="false">'לקוחות לפי סוכן - מקור'!A722</f>
        <v>חאזם תלחמי</v>
      </c>
      <c r="B784" s="14" t="str">
        <f aca="false">'לקוחות לפי סוכן - מקור'!C722</f>
        <v>ס. פארם</v>
      </c>
      <c r="C784" s="14" t="str">
        <f aca="false">'לקוחות לפי סוכן - מקור'!E722</f>
        <v>ס.פ. קניון נחמיה קרית שמונה</v>
      </c>
      <c r="D784" s="22" t="n">
        <f aca="false">'לקוחות לפי סוכן - מקור'!F722</f>
        <v>0</v>
      </c>
      <c r="E784" s="22" t="n">
        <f aca="false">'לקוחות לפי סוכן - מקור'!G722</f>
        <v>11212.1</v>
      </c>
      <c r="F784" s="14" t="n">
        <f aca="false">'לקוחות לפי סוכן - מקור'!D722</f>
        <v>0</v>
      </c>
      <c r="G784" s="15" t="n">
        <f aca="false">'לקוחות לפי סוכן - מקור'!H722</f>
        <v>0</v>
      </c>
      <c r="H784" s="15" t="n">
        <f aca="false">'לקוחות לפי סוכן - מקור'!I722</f>
        <v>0</v>
      </c>
      <c r="I784" s="48" t="str">
        <f aca="false">'לקוחות לפי סוכן - מקור'!K722</f>
        <v>CHMI</v>
      </c>
    </row>
    <row r="785" customFormat="false" ht="15" hidden="false" customHeight="true" outlineLevel="2" collapsed="false">
      <c r="A785" s="14" t="str">
        <f aca="false">'לקוחות לפי סוכן - מקור'!A723</f>
        <v>חאזם תלחמי</v>
      </c>
      <c r="B785" s="14" t="str">
        <f aca="false">'לקוחות לפי סוכן - מקור'!C723</f>
        <v>ס. פארם</v>
      </c>
      <c r="C785" s="14" t="str">
        <f aca="false">'לקוחות לפי סוכן - מקור'!E723</f>
        <v>ס.פ. ביג עפולה תרופות</v>
      </c>
      <c r="D785" s="22" t="n">
        <f aca="false">'לקוחות לפי סוכן - מקור'!F723</f>
        <v>0</v>
      </c>
      <c r="E785" s="22" t="n">
        <f aca="false">'לקוחות לפי סוכן - מקור'!G723</f>
        <v>7619.1</v>
      </c>
      <c r="F785" s="14" t="n">
        <f aca="false">'לקוחות לפי סוכן - מקור'!D723</f>
        <v>0</v>
      </c>
      <c r="G785" s="15" t="n">
        <f aca="false">'לקוחות לפי סוכן - מקור'!H723</f>
        <v>0</v>
      </c>
      <c r="H785" s="15" t="n">
        <f aca="false">'לקוחות לפי סוכן - מקור'!I723</f>
        <v>0</v>
      </c>
      <c r="I785" s="48" t="str">
        <f aca="false">'לקוחות לפי סוכן - מקור'!K723</f>
        <v>CHMI</v>
      </c>
    </row>
    <row r="786" customFormat="false" ht="15" hidden="false" customHeight="true" outlineLevel="2" collapsed="false">
      <c r="A786" s="14" t="str">
        <f aca="false">'לקוחות לפי סוכן - מקור'!A724</f>
        <v>חאזם תלחמי</v>
      </c>
      <c r="B786" s="14" t="str">
        <f aca="false">'לקוחות לפי סוכן - מקור'!C724</f>
        <v>ס. פארם</v>
      </c>
      <c r="C786" s="14" t="str">
        <f aca="false">'לקוחות לפי סוכן - מקור'!E724</f>
        <v>ס.פ. קרית מוצקין תרופות</v>
      </c>
      <c r="D786" s="22" t="n">
        <f aca="false">'לקוחות לפי סוכן - מקור'!F724</f>
        <v>0</v>
      </c>
      <c r="E786" s="22" t="n">
        <f aca="false">'לקוחות לפי סוכן - מקור'!G724</f>
        <v>3216.4</v>
      </c>
      <c r="F786" s="14" t="n">
        <f aca="false">'לקוחות לפי סוכן - מקור'!D724</f>
        <v>0</v>
      </c>
      <c r="G786" s="15" t="n">
        <f aca="false">'לקוחות לפי סוכן - מקור'!H724</f>
        <v>0</v>
      </c>
      <c r="H786" s="15" t="n">
        <f aca="false">'לקוחות לפי סוכן - מקור'!I724</f>
        <v>0</v>
      </c>
      <c r="I786" s="48" t="str">
        <f aca="false">'לקוחות לפי סוכן - מקור'!K724</f>
        <v>CHMI</v>
      </c>
    </row>
    <row r="787" customFormat="false" ht="15" hidden="false" customHeight="true" outlineLevel="2" collapsed="false">
      <c r="A787" s="14" t="str">
        <f aca="false">'לקוחות לפי סוכן - מקור'!A725</f>
        <v>חאזם תלחמי</v>
      </c>
      <c r="B787" s="14" t="str">
        <f aca="false">'לקוחות לפי סוכן - מקור'!C725</f>
        <v>ס. פארם</v>
      </c>
      <c r="C787" s="14" t="str">
        <f aca="false">'לקוחות לפי סוכן - מקור'!E725</f>
        <v>ס.פ. חורב תרופות</v>
      </c>
      <c r="D787" s="22" t="n">
        <f aca="false">'לקוחות לפי סוכן - מקור'!F725</f>
        <v>0</v>
      </c>
      <c r="E787" s="22" t="n">
        <f aca="false">'לקוחות לפי סוכן - מקור'!G725</f>
        <v>50156</v>
      </c>
      <c r="F787" s="14" t="n">
        <f aca="false">'לקוחות לפי סוכן - מקור'!D725</f>
        <v>0</v>
      </c>
      <c r="G787" s="15" t="n">
        <f aca="false">'לקוחות לפי סוכן - מקור'!H725</f>
        <v>0</v>
      </c>
      <c r="H787" s="15" t="n">
        <f aca="false">'לקוחות לפי סוכן - מקור'!I725</f>
        <v>0</v>
      </c>
      <c r="I787" s="48" t="str">
        <f aca="false">'לקוחות לפי סוכן - מקור'!K725</f>
        <v>CHMI</v>
      </c>
    </row>
    <row r="788" customFormat="false" ht="15" hidden="false" customHeight="true" outlineLevel="2" collapsed="false">
      <c r="A788" s="14" t="str">
        <f aca="false">'לקוחות לפי סוכן - מקור'!A726</f>
        <v>חאזם תלחמי</v>
      </c>
      <c r="B788" s="14" t="str">
        <f aca="false">'לקוחות לפי סוכן - מקור'!C726</f>
        <v>ס. פארם</v>
      </c>
      <c r="C788" s="14" t="str">
        <f aca="false">'לקוחות לפי סוכן - מקור'!E726</f>
        <v>ס.פ. פרדס חנה תרופות</v>
      </c>
      <c r="D788" s="22" t="n">
        <f aca="false">'לקוחות לפי סוכן - מקור'!F726</f>
        <v>0</v>
      </c>
      <c r="E788" s="22" t="n">
        <f aca="false">'לקוחות לפי סוכן - מקור'!G726</f>
        <v>13049.1</v>
      </c>
      <c r="F788" s="14" t="n">
        <f aca="false">'לקוחות לפי סוכן - מקור'!D726</f>
        <v>0</v>
      </c>
      <c r="G788" s="15" t="n">
        <f aca="false">'לקוחות לפי סוכן - מקור'!H726</f>
        <v>0</v>
      </c>
      <c r="H788" s="15" t="n">
        <f aca="false">'לקוחות לפי סוכן - מקור'!I726</f>
        <v>0</v>
      </c>
      <c r="I788" s="48" t="str">
        <f aca="false">'לקוחות לפי סוכן - מקור'!K726</f>
        <v>CHMI</v>
      </c>
    </row>
    <row r="789" customFormat="false" ht="15" hidden="false" customHeight="true" outlineLevel="2" collapsed="false">
      <c r="A789" s="14" t="str">
        <f aca="false">'לקוחות לפי סוכן - מקור'!A727</f>
        <v>חאזם תלחמי</v>
      </c>
      <c r="B789" s="14" t="str">
        <f aca="false">'לקוחות לפי סוכן - מקור'!C727</f>
        <v>ס. פארם</v>
      </c>
      <c r="C789" s="14" t="str">
        <f aca="false">'לקוחות לפי סוכן - מקור'!E727</f>
        <v>ס.פ. ארמון תרופות חיפה</v>
      </c>
      <c r="D789" s="22" t="n">
        <f aca="false">'לקוחות לפי סוכן - מקור'!F727</f>
        <v>0</v>
      </c>
      <c r="E789" s="22" t="n">
        <f aca="false">'לקוחות לפי סוכן - מקור'!G727</f>
        <v>4279.8</v>
      </c>
      <c r="F789" s="14" t="n">
        <f aca="false">'לקוחות לפי סוכן - מקור'!D727</f>
        <v>0</v>
      </c>
      <c r="G789" s="15" t="n">
        <f aca="false">'לקוחות לפי סוכן - מקור'!H727</f>
        <v>0</v>
      </c>
      <c r="H789" s="15" t="n">
        <f aca="false">'לקוחות לפי סוכן - מקור'!I727</f>
        <v>0</v>
      </c>
      <c r="I789" s="48" t="str">
        <f aca="false">'לקוחות לפי סוכן - מקור'!K727</f>
        <v>CHMI</v>
      </c>
    </row>
    <row r="790" customFormat="false" ht="15" hidden="false" customHeight="true" outlineLevel="2" collapsed="false">
      <c r="A790" s="14" t="str">
        <f aca="false">'לקוחות לפי סוכן - מקור'!A728</f>
        <v>חאזם תלחמי</v>
      </c>
      <c r="B790" s="14" t="str">
        <f aca="false">'לקוחות לפי סוכן - מקור'!C728</f>
        <v>ס. פארם</v>
      </c>
      <c r="C790" s="14" t="str">
        <f aca="false">'לקוחות לפי סוכן - מקור'!E728</f>
        <v>ס.פ. גאלרי קריון</v>
      </c>
      <c r="D790" s="22" t="n">
        <f aca="false">'לקוחות לפי סוכן - מקור'!F728</f>
        <v>0</v>
      </c>
      <c r="E790" s="22" t="n">
        <f aca="false">'לקוחות לפי סוכן - מקור'!G728</f>
        <v>21144.2</v>
      </c>
      <c r="F790" s="14" t="n">
        <f aca="false">'לקוחות לפי סוכן - מקור'!D728</f>
        <v>0</v>
      </c>
      <c r="G790" s="15" t="n">
        <f aca="false">'לקוחות לפי סוכן - מקור'!H728</f>
        <v>0</v>
      </c>
      <c r="H790" s="15" t="n">
        <f aca="false">'לקוחות לפי סוכן - מקור'!I728</f>
        <v>0</v>
      </c>
      <c r="I790" s="48" t="str">
        <f aca="false">'לקוחות לפי סוכן - מקור'!K728</f>
        <v>CHMI</v>
      </c>
    </row>
    <row r="791" customFormat="false" ht="15" hidden="false" customHeight="true" outlineLevel="2" collapsed="false">
      <c r="A791" s="14" t="str">
        <f aca="false">'לקוחות לפי סוכן - מקור'!A729</f>
        <v>חאזם תלחמי</v>
      </c>
      <c r="B791" s="14" t="str">
        <f aca="false">'לקוחות לפי סוכן - מקור'!C729</f>
        <v>ס. פארם</v>
      </c>
      <c r="C791" s="14" t="str">
        <f aca="false">'לקוחות לפי סוכן - מקור'!E729</f>
        <v>ס.פ. גן שמואל תרופות</v>
      </c>
      <c r="D791" s="22" t="n">
        <f aca="false">'לקוחות לפי סוכן - מקור'!F729</f>
        <v>0</v>
      </c>
      <c r="E791" s="22" t="n">
        <f aca="false">'לקוחות לפי סוכן - מקור'!G729</f>
        <v>19158.8</v>
      </c>
      <c r="F791" s="14" t="n">
        <f aca="false">'לקוחות לפי סוכן - מקור'!D729</f>
        <v>0</v>
      </c>
      <c r="G791" s="15" t="n">
        <f aca="false">'לקוחות לפי סוכן - מקור'!H729</f>
        <v>0</v>
      </c>
      <c r="H791" s="15" t="n">
        <f aca="false">'לקוחות לפי סוכן - מקור'!I729</f>
        <v>0</v>
      </c>
      <c r="I791" s="48" t="str">
        <f aca="false">'לקוחות לפי סוכן - מקור'!K729</f>
        <v>CHMI</v>
      </c>
    </row>
    <row r="792" customFormat="false" ht="15" hidden="false" customHeight="true" outlineLevel="2" collapsed="false">
      <c r="A792" s="14" t="str">
        <f aca="false">'לקוחות לפי סוכן - מקור'!A730</f>
        <v>חאזם תלחמי</v>
      </c>
      <c r="B792" s="14" t="str">
        <f aca="false">'לקוחות לפי סוכן - מקור'!C730</f>
        <v>ס. פארם</v>
      </c>
      <c r="C792" s="14" t="str">
        <f aca="false">'לקוחות לפי סוכן - מקור'!E730</f>
        <v>ס.פ. סכנין תרופות</v>
      </c>
      <c r="D792" s="22" t="n">
        <f aca="false">'לקוחות לפי סוכן - מקור'!F730</f>
        <v>0</v>
      </c>
      <c r="E792" s="22" t="n">
        <f aca="false">'לקוחות לפי סוכן - מקור'!G730</f>
        <v>3568.1</v>
      </c>
      <c r="F792" s="14" t="n">
        <f aca="false">'לקוחות לפי סוכן - מקור'!D730</f>
        <v>0</v>
      </c>
      <c r="G792" s="15" t="n">
        <f aca="false">'לקוחות לפי סוכן - מקור'!H730</f>
        <v>0</v>
      </c>
      <c r="H792" s="15" t="n">
        <f aca="false">'לקוחות לפי סוכן - מקור'!I730</f>
        <v>0</v>
      </c>
      <c r="I792" s="48" t="str">
        <f aca="false">'לקוחות לפי סוכן - מקור'!K730</f>
        <v>CHMI</v>
      </c>
    </row>
    <row r="793" customFormat="false" ht="15" hidden="false" customHeight="true" outlineLevel="2" collapsed="false">
      <c r="A793" s="14" t="str">
        <f aca="false">'לקוחות לפי סוכן - מקור'!A731</f>
        <v>חאזם תלחמי</v>
      </c>
      <c r="B793" s="14" t="str">
        <f aca="false">'לקוחות לפי סוכן - מקור'!C731</f>
        <v>ס. פארם</v>
      </c>
      <c r="C793" s="14" t="str">
        <f aca="false">'לקוחות לפי סוכן - מקור'!E731</f>
        <v>ס.פ. מול זכרון תרופות</v>
      </c>
      <c r="D793" s="22" t="n">
        <f aca="false">'לקוחות לפי סוכן - מקור'!F731</f>
        <v>0</v>
      </c>
      <c r="E793" s="22" t="n">
        <f aca="false">'לקוחות לפי סוכן - מקור'!G731</f>
        <v>13427.6</v>
      </c>
      <c r="F793" s="14" t="n">
        <f aca="false">'לקוחות לפי סוכן - מקור'!D731</f>
        <v>0</v>
      </c>
      <c r="G793" s="15" t="n">
        <f aca="false">'לקוחות לפי סוכן - מקור'!H731</f>
        <v>0</v>
      </c>
      <c r="H793" s="15" t="n">
        <f aca="false">'לקוחות לפי סוכן - מקור'!I731</f>
        <v>0</v>
      </c>
      <c r="I793" s="48" t="str">
        <f aca="false">'לקוחות לפי סוכן - מקור'!K731</f>
        <v>CHMI</v>
      </c>
    </row>
    <row r="794" customFormat="false" ht="15" hidden="false" customHeight="true" outlineLevel="2" collapsed="false">
      <c r="A794" s="14" t="str">
        <f aca="false">'לקוחות לפי סוכן - מקור'!A732</f>
        <v>חאזם תלחמי</v>
      </c>
      <c r="B794" s="14" t="str">
        <f aca="false">'לקוחות לפי סוכן - מקור'!C732</f>
        <v>ס. פארם</v>
      </c>
      <c r="C794" s="14" t="str">
        <f aca="false">'לקוחות לפי סוכן - מקור'!E732</f>
        <v>ס.פ. עכו תרופות</v>
      </c>
      <c r="D794" s="22" t="n">
        <f aca="false">'לקוחות לפי סוכן - מקור'!F732</f>
        <v>0</v>
      </c>
      <c r="E794" s="22" t="n">
        <f aca="false">'לקוחות לפי סוכן - מקור'!G732</f>
        <v>3906.2</v>
      </c>
      <c r="F794" s="14" t="n">
        <f aca="false">'לקוחות לפי סוכן - מקור'!D732</f>
        <v>0</v>
      </c>
      <c r="G794" s="15" t="n">
        <f aca="false">'לקוחות לפי סוכן - מקור'!H732</f>
        <v>0</v>
      </c>
      <c r="H794" s="15" t="n">
        <f aca="false">'לקוחות לפי סוכן - מקור'!I732</f>
        <v>0</v>
      </c>
      <c r="I794" s="48" t="str">
        <f aca="false">'לקוחות לפי סוכן - מקור'!K732</f>
        <v>CHMI</v>
      </c>
    </row>
    <row r="795" customFormat="false" ht="15" hidden="false" customHeight="true" outlineLevel="2" collapsed="false">
      <c r="A795" s="14" t="str">
        <f aca="false">'לקוחות לפי סוכן - מקור'!A733</f>
        <v>חאזם תלחמי</v>
      </c>
      <c r="B795" s="14" t="str">
        <f aca="false">'לקוחות לפי סוכן - מקור'!C733</f>
        <v>ס. פארם</v>
      </c>
      <c r="C795" s="14" t="str">
        <f aca="false">'לקוחות לפי סוכן - מקור'!E733</f>
        <v>ס.פ.סינמול תרופות חיפה</v>
      </c>
      <c r="D795" s="22" t="n">
        <f aca="false">'לקוחות לפי סוכן - מקור'!F733</f>
        <v>0</v>
      </c>
      <c r="E795" s="22" t="n">
        <f aca="false">'לקוחות לפי סוכן - מקור'!G733</f>
        <v>-3933.6</v>
      </c>
      <c r="F795" s="14" t="n">
        <f aca="false">'לקוחות לפי סוכן - מקור'!D733</f>
        <v>0</v>
      </c>
      <c r="G795" s="15" t="n">
        <f aca="false">'לקוחות לפי סוכן - מקור'!H733</f>
        <v>0</v>
      </c>
      <c r="H795" s="15" t="n">
        <f aca="false">'לקוחות לפי סוכן - מקור'!I733</f>
        <v>0</v>
      </c>
      <c r="I795" s="48" t="str">
        <f aca="false">'לקוחות לפי סוכן - מקור'!K733</f>
        <v>CHMI</v>
      </c>
    </row>
    <row r="796" customFormat="false" ht="15" hidden="false" customHeight="true" outlineLevel="2" collapsed="false">
      <c r="A796" s="14" t="str">
        <f aca="false">'לקוחות לפי סוכן - מקור'!A734</f>
        <v>חאזם תלחמי</v>
      </c>
      <c r="B796" s="14" t="str">
        <f aca="false">'לקוחות לפי סוכן - מקור'!C734</f>
        <v>ס. פארם</v>
      </c>
      <c r="C796" s="14" t="str">
        <f aca="false">'לקוחות לפי סוכן - מקור'!E734</f>
        <v>ס.פ. קרית ים תרופות</v>
      </c>
      <c r="D796" s="22" t="n">
        <f aca="false">'לקוחות לפי סוכן - מקור'!F734</f>
        <v>0</v>
      </c>
      <c r="E796" s="22" t="n">
        <f aca="false">'לקוחות לפי סוכן - מקור'!G734</f>
        <v>6737.5</v>
      </c>
      <c r="F796" s="14" t="n">
        <f aca="false">'לקוחות לפי סוכן - מקור'!D734</f>
        <v>0</v>
      </c>
      <c r="G796" s="15" t="n">
        <f aca="false">'לקוחות לפי סוכן - מקור'!H734</f>
        <v>0</v>
      </c>
      <c r="H796" s="15" t="n">
        <f aca="false">'לקוחות לפי סוכן - מקור'!I734</f>
        <v>0</v>
      </c>
      <c r="I796" s="48" t="str">
        <f aca="false">'לקוחות לפי סוכן - מקור'!K734</f>
        <v>CHMI</v>
      </c>
    </row>
    <row r="797" customFormat="false" ht="15" hidden="false" customHeight="true" outlineLevel="2" collapsed="false">
      <c r="A797" s="14" t="str">
        <f aca="false">'לקוחות לפי סוכן - מקור'!A735</f>
        <v>חאזם תלחמי</v>
      </c>
      <c r="B797" s="14" t="str">
        <f aca="false">'לקוחות לפי סוכן - מקור'!C735</f>
        <v>ס. פארם</v>
      </c>
      <c r="C797" s="14" t="str">
        <f aca="false">'לקוחות לפי סוכן - מקור'!E735</f>
        <v>ס.פ. ביג פוריה תרופות</v>
      </c>
      <c r="D797" s="22" t="n">
        <f aca="false">'לקוחות לפי סוכן - מקור'!F735</f>
        <v>0</v>
      </c>
      <c r="E797" s="22" t="n">
        <f aca="false">'לקוחות לפי סוכן - מקור'!G735</f>
        <v>8873</v>
      </c>
      <c r="F797" s="14" t="n">
        <f aca="false">'לקוחות לפי סוכן - מקור'!D735</f>
        <v>0</v>
      </c>
      <c r="G797" s="15" t="n">
        <f aca="false">'לקוחות לפי סוכן - מקור'!H735</f>
        <v>0</v>
      </c>
      <c r="H797" s="15" t="n">
        <f aca="false">'לקוחות לפי סוכן - מקור'!I735</f>
        <v>0</v>
      </c>
      <c r="I797" s="48" t="str">
        <f aca="false">'לקוחות לפי סוכן - מקור'!K735</f>
        <v>CHMI</v>
      </c>
    </row>
    <row r="798" customFormat="false" ht="15" hidden="false" customHeight="true" outlineLevel="2" collapsed="false">
      <c r="A798" s="14" t="str">
        <f aca="false">'לקוחות לפי סוכן - מקור'!A736</f>
        <v>חאזם תלחמי</v>
      </c>
      <c r="B798" s="14" t="str">
        <f aca="false">'לקוחות לפי סוכן - מקור'!C736</f>
        <v>ס. פארם</v>
      </c>
      <c r="C798" s="14" t="str">
        <f aca="false">'לקוחות לפי סוכן - מקור'!E736</f>
        <v>ס.פ. ביג נצרת תרופות</v>
      </c>
      <c r="D798" s="22" t="n">
        <f aca="false">'לקוחות לפי סוכן - מקור'!F736</f>
        <v>0</v>
      </c>
      <c r="E798" s="22" t="n">
        <f aca="false">'לקוחות לפי סוכן - מקור'!G736</f>
        <v>8433.5</v>
      </c>
      <c r="F798" s="14" t="n">
        <f aca="false">'לקוחות לפי סוכן - מקור'!D736</f>
        <v>0</v>
      </c>
      <c r="G798" s="15" t="n">
        <f aca="false">'לקוחות לפי סוכן - מקור'!H736</f>
        <v>0</v>
      </c>
      <c r="H798" s="15" t="n">
        <f aca="false">'לקוחות לפי סוכן - מקור'!I736</f>
        <v>0</v>
      </c>
      <c r="I798" s="48" t="str">
        <f aca="false">'לקוחות לפי סוכן - מקור'!K736</f>
        <v>CHMI</v>
      </c>
    </row>
    <row r="799" customFormat="false" ht="15" hidden="false" customHeight="true" outlineLevel="2" collapsed="false">
      <c r="A799" s="14" t="str">
        <f aca="false">'לקוחות לפי סוכן - מקור'!A737</f>
        <v>חאזם תלחמי</v>
      </c>
      <c r="B799" s="14" t="str">
        <f aca="false">'לקוחות לפי סוכן - מקור'!C737</f>
        <v>ס. פארם</v>
      </c>
      <c r="C799" s="14" t="str">
        <f aca="false">'לקוחות לפי סוכן - מקור'!E737</f>
        <v>ס.פ. רמת ישי תרופות</v>
      </c>
      <c r="D799" s="22" t="n">
        <f aca="false">'לקוחות לפי סוכן - מקור'!F737</f>
        <v>0</v>
      </c>
      <c r="E799" s="22" t="n">
        <f aca="false">'לקוחות לפי סוכן - מקור'!G737</f>
        <v>18932.9</v>
      </c>
      <c r="F799" s="14" t="n">
        <f aca="false">'לקוחות לפי סוכן - מקור'!D737</f>
        <v>0</v>
      </c>
      <c r="G799" s="15" t="n">
        <f aca="false">'לקוחות לפי סוכן - מקור'!H737</f>
        <v>0</v>
      </c>
      <c r="H799" s="15" t="n">
        <f aca="false">'לקוחות לפי סוכן - מקור'!I737</f>
        <v>0</v>
      </c>
      <c r="I799" s="48" t="str">
        <f aca="false">'לקוחות לפי סוכן - מקור'!K737</f>
        <v>CHMI</v>
      </c>
    </row>
    <row r="800" customFormat="false" ht="15" hidden="false" customHeight="true" outlineLevel="2" collapsed="false">
      <c r="A800" s="14" t="str">
        <f aca="false">'לקוחות לפי סוכן - מקור'!A738</f>
        <v>חאזם תלחמי</v>
      </c>
      <c r="B800" s="14" t="str">
        <f aca="false">'לקוחות לפי סוכן - מקור'!C738</f>
        <v>ס. פארם</v>
      </c>
      <c r="C800" s="14" t="str">
        <f aca="false">'לקוחות לפי סוכן - מקור'!E738</f>
        <v>ס.פ. עפולה תרופות</v>
      </c>
      <c r="D800" s="22" t="n">
        <f aca="false">'לקוחות לפי סוכן - מקור'!F738</f>
        <v>0</v>
      </c>
      <c r="E800" s="22" t="n">
        <f aca="false">'לקוחות לפי סוכן - מקור'!G738</f>
        <v>13194.2</v>
      </c>
      <c r="F800" s="14" t="n">
        <f aca="false">'לקוחות לפי סוכן - מקור'!D738</f>
        <v>0</v>
      </c>
      <c r="G800" s="15" t="n">
        <f aca="false">'לקוחות לפי סוכן - מקור'!H738</f>
        <v>0</v>
      </c>
      <c r="H800" s="15" t="n">
        <f aca="false">'לקוחות לפי סוכן - מקור'!I738</f>
        <v>0</v>
      </c>
      <c r="I800" s="48" t="str">
        <f aca="false">'לקוחות לפי סוכן - מקור'!K738</f>
        <v>CHMI</v>
      </c>
    </row>
    <row r="801" customFormat="false" ht="15" hidden="false" customHeight="true" outlineLevel="2" collapsed="false">
      <c r="A801" s="14" t="str">
        <f aca="false">'לקוחות לפי סוכן - מקור'!A739</f>
        <v>חאזם תלחמי</v>
      </c>
      <c r="B801" s="14" t="str">
        <f aca="false">'לקוחות לפי סוכן - מקור'!C739</f>
        <v>ס. פארם</v>
      </c>
      <c r="C801" s="14" t="str">
        <f aca="false">'לקוחות לפי סוכן - מקור'!E739</f>
        <v>ס.פ. כפר יאסיף-תרופות</v>
      </c>
      <c r="D801" s="22" t="n">
        <f aca="false">'לקוחות לפי סוכן - מקור'!F739</f>
        <v>0</v>
      </c>
      <c r="E801" s="22" t="n">
        <f aca="false">'לקוחות לפי סוכן - מקור'!G739</f>
        <v>6314.5</v>
      </c>
      <c r="F801" s="14" t="n">
        <f aca="false">'לקוחות לפי סוכן - מקור'!D739</f>
        <v>0</v>
      </c>
      <c r="G801" s="15" t="n">
        <f aca="false">'לקוחות לפי סוכן - מקור'!H739</f>
        <v>0</v>
      </c>
      <c r="H801" s="15" t="n">
        <f aca="false">'לקוחות לפי סוכן - מקור'!I739</f>
        <v>0</v>
      </c>
      <c r="I801" s="48" t="str">
        <f aca="false">'לקוחות לפי סוכן - מקור'!K739</f>
        <v>CHMI</v>
      </c>
    </row>
    <row r="802" customFormat="false" ht="15" hidden="false" customHeight="true" outlineLevel="2" collapsed="false">
      <c r="A802" s="14" t="str">
        <f aca="false">'לקוחות לפי סוכן - מקור'!A740</f>
        <v>חאזם תלחמי</v>
      </c>
      <c r="B802" s="14" t="str">
        <f aca="false">'לקוחות לפי סוכן - מקור'!C740</f>
        <v>ס. פארם</v>
      </c>
      <c r="C802" s="14" t="str">
        <f aca="false">'לקוחות לפי סוכן - מקור'!E740</f>
        <v>ס.פ. נוה שאנן תרופות</v>
      </c>
      <c r="D802" s="22" t="n">
        <f aca="false">'לקוחות לפי סוכן - מקור'!F740</f>
        <v>0</v>
      </c>
      <c r="E802" s="22" t="n">
        <f aca="false">'לקוחות לפי סוכן - מקור'!G740</f>
        <v>14491.3</v>
      </c>
      <c r="F802" s="14" t="n">
        <f aca="false">'לקוחות לפי סוכן - מקור'!D740</f>
        <v>0</v>
      </c>
      <c r="G802" s="15" t="n">
        <f aca="false">'לקוחות לפי סוכן - מקור'!H740</f>
        <v>0</v>
      </c>
      <c r="H802" s="15" t="n">
        <f aca="false">'לקוחות לפי סוכן - מקור'!I740</f>
        <v>0</v>
      </c>
      <c r="I802" s="48" t="str">
        <f aca="false">'לקוחות לפי סוכן - מקור'!K740</f>
        <v>CHMI</v>
      </c>
    </row>
    <row r="803" customFormat="false" ht="15" hidden="false" customHeight="true" outlineLevel="2" collapsed="false">
      <c r="A803" s="14" t="str">
        <f aca="false">'לקוחות לפי סוכן - מקור'!A741</f>
        <v>חאזם תלחמי</v>
      </c>
      <c r="B803" s="14" t="str">
        <f aca="false">'לקוחות לפי סוכן - מקור'!C741</f>
        <v>ס. פארם</v>
      </c>
      <c r="C803" s="14" t="str">
        <f aca="false">'לקוחות לפי סוכן - מקור'!E741</f>
        <v>ס.פ. אודיטוריום  תרופות</v>
      </c>
      <c r="D803" s="22" t="n">
        <f aca="false">'לקוחות לפי סוכן - מקור'!F741</f>
        <v>0</v>
      </c>
      <c r="E803" s="22" t="n">
        <f aca="false">'לקוחות לפי סוכן - מקור'!G741</f>
        <v>20466.8</v>
      </c>
      <c r="F803" s="14" t="n">
        <f aca="false">'לקוחות לפי סוכן - מקור'!D741</f>
        <v>0</v>
      </c>
      <c r="G803" s="15" t="n">
        <f aca="false">'לקוחות לפי סוכן - מקור'!H741</f>
        <v>0</v>
      </c>
      <c r="H803" s="15" t="n">
        <f aca="false">'לקוחות לפי סוכן - מקור'!I741</f>
        <v>0</v>
      </c>
      <c r="I803" s="48" t="str">
        <f aca="false">'לקוחות לפי סוכן - מקור'!K741</f>
        <v>CHMI</v>
      </c>
    </row>
    <row r="804" customFormat="false" ht="15" hidden="false" customHeight="true" outlineLevel="2" collapsed="false">
      <c r="A804" s="14" t="str">
        <f aca="false">'לקוחות לפי סוכן - מקור'!A742</f>
        <v>חאזם תלחמי</v>
      </c>
      <c r="B804" s="14" t="str">
        <f aca="false">'לקוחות לפי סוכן - מקור'!C742</f>
        <v>ס. פארם</v>
      </c>
      <c r="C804" s="14" t="str">
        <f aca="false">'לקוחות לפי סוכן - מקור'!E742</f>
        <v>ס.פ. עמק סנטר עפולה תרופות</v>
      </c>
      <c r="D804" s="22" t="n">
        <f aca="false">'לקוחות לפי סוכן - מקור'!F742</f>
        <v>0</v>
      </c>
      <c r="E804" s="22" t="n">
        <f aca="false">'לקוחות לפי סוכן - מקור'!G742</f>
        <v>20480.8</v>
      </c>
      <c r="F804" s="14" t="n">
        <f aca="false">'לקוחות לפי סוכן - מקור'!D742</f>
        <v>0</v>
      </c>
      <c r="G804" s="15" t="n">
        <f aca="false">'לקוחות לפי סוכן - מקור'!H742</f>
        <v>0</v>
      </c>
      <c r="H804" s="15" t="n">
        <f aca="false">'לקוחות לפי סוכן - מקור'!I742</f>
        <v>0</v>
      </c>
      <c r="I804" s="48" t="str">
        <f aca="false">'לקוחות לפי סוכן - מקור'!K742</f>
        <v>CHMI</v>
      </c>
    </row>
    <row r="805" customFormat="false" ht="15" hidden="false" customHeight="true" outlineLevel="2" collapsed="false">
      <c r="A805" s="14" t="str">
        <f aca="false">'לקוחות לפי סוכן - מקור'!A743</f>
        <v>חאזם תלחמי</v>
      </c>
      <c r="B805" s="14" t="str">
        <f aca="false">'לקוחות לפי סוכן - מקור'!C743</f>
        <v>ס. פארם</v>
      </c>
      <c r="C805" s="14" t="str">
        <f aca="false">'לקוחות לפי סוכן - מקור'!E743</f>
        <v>ס.פ. אום אל פחם  תרופות</v>
      </c>
      <c r="D805" s="22" t="n">
        <f aca="false">'לקוחות לפי סוכן - מקור'!F743</f>
        <v>0</v>
      </c>
      <c r="E805" s="22" t="n">
        <f aca="false">'לקוחות לפי סוכן - מקור'!G743</f>
        <v>13307.7</v>
      </c>
      <c r="F805" s="14" t="n">
        <f aca="false">'לקוחות לפי סוכן - מקור'!D743</f>
        <v>0</v>
      </c>
      <c r="G805" s="15" t="n">
        <f aca="false">'לקוחות לפי סוכן - מקור'!H743</f>
        <v>0</v>
      </c>
      <c r="H805" s="15" t="n">
        <f aca="false">'לקוחות לפי סוכן - מקור'!I743</f>
        <v>0</v>
      </c>
      <c r="I805" s="48" t="str">
        <f aca="false">'לקוחות לפי סוכן - מקור'!K743</f>
        <v>CHMI</v>
      </c>
    </row>
    <row r="806" customFormat="false" ht="15" hidden="false" customHeight="true" outlineLevel="2" collapsed="false">
      <c r="A806" s="14" t="str">
        <f aca="false">'לקוחות לפי סוכן - מקור'!A744</f>
        <v>חאזם תלחמי</v>
      </c>
      <c r="B806" s="14" t="str">
        <f aca="false">'לקוחות לפי סוכן - מקור'!C744</f>
        <v>ס. פארם</v>
      </c>
      <c r="C806" s="14" t="str">
        <f aca="false">'לקוחות לפי סוכן - מקור'!E744</f>
        <v>(ס.פ. נוף הגליל )נצרת עילית</v>
      </c>
      <c r="D806" s="22" t="n">
        <f aca="false">'לקוחות לפי סוכן - מקור'!F744</f>
        <v>0</v>
      </c>
      <c r="E806" s="22" t="n">
        <f aca="false">'לקוחות לפי סוכן - מקור'!G744</f>
        <v>19466.3</v>
      </c>
      <c r="F806" s="14" t="n">
        <f aca="false">'לקוחות לפי סוכן - מקור'!D744</f>
        <v>0</v>
      </c>
      <c r="G806" s="15" t="n">
        <f aca="false">'לקוחות לפי סוכן - מקור'!H744</f>
        <v>0</v>
      </c>
      <c r="H806" s="15" t="n">
        <f aca="false">'לקוחות לפי סוכן - מקור'!I744</f>
        <v>0</v>
      </c>
      <c r="I806" s="48" t="str">
        <f aca="false">'לקוחות לפי סוכן - מקור'!K744</f>
        <v>CHMI</v>
      </c>
    </row>
    <row r="807" customFormat="false" ht="15" hidden="false" customHeight="true" outlineLevel="2" collapsed="false">
      <c r="A807" s="14" t="str">
        <f aca="false">'לקוחות לפי סוכן - מקור'!A745</f>
        <v>חאזם תלחמי</v>
      </c>
      <c r="B807" s="14" t="str">
        <f aca="false">'לקוחות לפי סוכן - מקור'!C745</f>
        <v>ס. פארם</v>
      </c>
      <c r="C807" s="14" t="str">
        <f aca="false">'לקוחות לפי סוכן - מקור'!E745</f>
        <v>ס.פ. נצרת תרופות</v>
      </c>
      <c r="D807" s="22" t="n">
        <f aca="false">'לקוחות לפי סוכן - מקור'!F745</f>
        <v>0</v>
      </c>
      <c r="E807" s="22" t="n">
        <f aca="false">'לקוחות לפי סוכן - מקור'!G745</f>
        <v>9724.6</v>
      </c>
      <c r="F807" s="14" t="n">
        <f aca="false">'לקוחות לפי סוכן - מקור'!D745</f>
        <v>0</v>
      </c>
      <c r="G807" s="15" t="n">
        <f aca="false">'לקוחות לפי סוכן - מקור'!H745</f>
        <v>0</v>
      </c>
      <c r="H807" s="15" t="n">
        <f aca="false">'לקוחות לפי סוכן - מקור'!I745</f>
        <v>0</v>
      </c>
      <c r="I807" s="48" t="str">
        <f aca="false">'לקוחות לפי סוכן - מקור'!K745</f>
        <v>CHMI</v>
      </c>
    </row>
    <row r="808" customFormat="false" ht="15" hidden="false" customHeight="true" outlineLevel="2" collapsed="false">
      <c r="A808" s="14" t="str">
        <f aca="false">'לקוחות לפי סוכן - מקור'!A746</f>
        <v>חאזם תלחמי</v>
      </c>
      <c r="B808" s="14" t="str">
        <f aca="false">'לקוחות לפי סוכן - מקור'!C746</f>
        <v>ס. פארם</v>
      </c>
      <c r="C808" s="14" t="str">
        <f aca="false">'לקוחות לפי סוכן - מקור'!E746</f>
        <v>ס.פ. ביג ק.שמונה תרופות</v>
      </c>
      <c r="D808" s="22" t="n">
        <f aca="false">'לקוחות לפי סוכן - מקור'!F746</f>
        <v>0</v>
      </c>
      <c r="E808" s="22" t="n">
        <f aca="false">'לקוחות לפי סוכן - מקור'!G746</f>
        <v>16689.7</v>
      </c>
      <c r="F808" s="14" t="n">
        <f aca="false">'לקוחות לפי סוכן - מקור'!D746</f>
        <v>0</v>
      </c>
      <c r="G808" s="15" t="n">
        <f aca="false">'לקוחות לפי סוכן - מקור'!H746</f>
        <v>0</v>
      </c>
      <c r="H808" s="15" t="n">
        <f aca="false">'לקוחות לפי סוכן - מקור'!I746</f>
        <v>0</v>
      </c>
      <c r="I808" s="48" t="str">
        <f aca="false">'לקוחות לפי סוכן - מקור'!K746</f>
        <v>CHMI</v>
      </c>
    </row>
    <row r="809" customFormat="false" ht="15" hidden="false" customHeight="true" outlineLevel="2" collapsed="false">
      <c r="A809" s="14" t="str">
        <f aca="false">'לקוחות לפי סוכן - מקור'!A747</f>
        <v>חאזם תלחמי</v>
      </c>
      <c r="B809" s="14" t="str">
        <f aca="false">'לקוחות לפי סוכן - מקור'!C747</f>
        <v>ס. פארם</v>
      </c>
      <c r="C809" s="14" t="str">
        <f aca="false">'לקוחות לפי סוכן - מקור'!E747</f>
        <v>ס.פ. טבעון תרופות</v>
      </c>
      <c r="D809" s="22" t="n">
        <f aca="false">'לקוחות לפי סוכן - מקור'!F747</f>
        <v>0</v>
      </c>
      <c r="E809" s="22" t="n">
        <f aca="false">'לקוחות לפי סוכן - מקור'!G747</f>
        <v>8155.6</v>
      </c>
      <c r="F809" s="14" t="n">
        <f aca="false">'לקוחות לפי סוכן - מקור'!D747</f>
        <v>0</v>
      </c>
      <c r="G809" s="15" t="n">
        <f aca="false">'לקוחות לפי סוכן - מקור'!H747</f>
        <v>0</v>
      </c>
      <c r="H809" s="15" t="n">
        <f aca="false">'לקוחות לפי סוכן - מקור'!I747</f>
        <v>0</v>
      </c>
      <c r="I809" s="48" t="str">
        <f aca="false">'לקוחות לפי סוכן - מקור'!K747</f>
        <v>CHMI</v>
      </c>
    </row>
    <row r="810" customFormat="false" ht="15" hidden="false" customHeight="true" outlineLevel="2" collapsed="false">
      <c r="A810" s="14" t="str">
        <f aca="false">'לקוחות לפי סוכן - מקור'!A748</f>
        <v>חאזם תלחמי</v>
      </c>
      <c r="B810" s="14" t="str">
        <f aca="false">'לקוחות לפי סוכן - מקור'!C748</f>
        <v>ס. פארם</v>
      </c>
      <c r="C810" s="14" t="str">
        <f aca="false">'לקוחות לפי סוכן - מקור'!E748</f>
        <v>ס.פ. ביג פרדס חנה תרופות</v>
      </c>
      <c r="D810" s="22" t="n">
        <f aca="false">'לקוחות לפי סוכן - מקור'!F748</f>
        <v>0</v>
      </c>
      <c r="E810" s="22" t="n">
        <f aca="false">'לקוחות לפי סוכן - מקור'!G748</f>
        <v>3527.8</v>
      </c>
      <c r="F810" s="14" t="n">
        <f aca="false">'לקוחות לפי סוכן - מקור'!D748</f>
        <v>0</v>
      </c>
      <c r="G810" s="15" t="n">
        <f aca="false">'לקוחות לפי סוכן - מקור'!H748</f>
        <v>0</v>
      </c>
      <c r="H810" s="15" t="n">
        <f aca="false">'לקוחות לפי סוכן - מקור'!I748</f>
        <v>0</v>
      </c>
      <c r="I810" s="48" t="str">
        <f aca="false">'לקוחות לפי סוכן - מקור'!K748</f>
        <v>CHMI</v>
      </c>
    </row>
    <row r="811" customFormat="false" ht="15" hidden="false" customHeight="true" outlineLevel="2" collapsed="false">
      <c r="A811" s="14" t="str">
        <f aca="false">'לקוחות לפי סוכן - מקור'!A749</f>
        <v>חאזם תלחמי</v>
      </c>
      <c r="B811" s="14" t="str">
        <f aca="false">'לקוחות לפי סוכן - מקור'!C749</f>
        <v>ס. פארם</v>
      </c>
      <c r="C811" s="14" t="str">
        <f aca="false">'לקוחות לפי סוכן - מקור'!E749</f>
        <v>ס.פ. מעלות תרופות</v>
      </c>
      <c r="D811" s="22" t="n">
        <f aca="false">'לקוחות לפי סוכן - מקור'!F749</f>
        <v>0</v>
      </c>
      <c r="E811" s="22" t="n">
        <f aca="false">'לקוחות לפי סוכן - מקור'!G749</f>
        <v>10797.7</v>
      </c>
      <c r="F811" s="14" t="n">
        <f aca="false">'לקוחות לפי סוכן - מקור'!D749</f>
        <v>0</v>
      </c>
      <c r="G811" s="15" t="n">
        <f aca="false">'לקוחות לפי סוכן - מקור'!H749</f>
        <v>0</v>
      </c>
      <c r="H811" s="15" t="n">
        <f aca="false">'לקוחות לפי סוכן - מקור'!I749</f>
        <v>0</v>
      </c>
      <c r="I811" s="48" t="str">
        <f aca="false">'לקוחות לפי סוכן - מקור'!K749</f>
        <v>CHMI</v>
      </c>
    </row>
    <row r="812" customFormat="false" ht="15" hidden="false" customHeight="true" outlineLevel="2" collapsed="false">
      <c r="A812" s="14" t="str">
        <f aca="false">'לקוחות לפי סוכן - מקור'!A750</f>
        <v>חאזם תלחמי</v>
      </c>
      <c r="B812" s="14" t="str">
        <f aca="false">'לקוחות לפי סוכן - מקור'!C750</f>
        <v>ס. פארם</v>
      </c>
      <c r="C812" s="14" t="str">
        <f aca="false">'לקוחות לפי סוכן - מקור'!E750</f>
        <v>ס.פ. זכרון יעקב תרופות</v>
      </c>
      <c r="D812" s="22" t="n">
        <f aca="false">'לקוחות לפי סוכן - מקור'!F750</f>
        <v>0</v>
      </c>
      <c r="E812" s="22" t="n">
        <f aca="false">'לקוחות לפי סוכן - מקור'!G750</f>
        <v>8671.6</v>
      </c>
      <c r="F812" s="14" t="n">
        <f aca="false">'לקוחות לפי סוכן - מקור'!D750</f>
        <v>0</v>
      </c>
      <c r="G812" s="15" t="n">
        <f aca="false">'לקוחות לפי סוכן - מקור'!H750</f>
        <v>0</v>
      </c>
      <c r="H812" s="15" t="n">
        <f aca="false">'לקוחות לפי סוכן - מקור'!I750</f>
        <v>0</v>
      </c>
      <c r="I812" s="48" t="str">
        <f aca="false">'לקוחות לפי סוכן - מקור'!K750</f>
        <v>CHMI</v>
      </c>
    </row>
    <row r="813" customFormat="false" ht="15" hidden="false" customHeight="true" outlineLevel="2" collapsed="false">
      <c r="A813" s="14" t="str">
        <f aca="false">'לקוחות לפי סוכן - מקור'!A751</f>
        <v>חאזם תלחמי</v>
      </c>
      <c r="B813" s="14" t="str">
        <f aca="false">'לקוחות לפי סוכן - מקור'!C751</f>
        <v>ס. פארם</v>
      </c>
      <c r="C813" s="14" t="str">
        <f aca="false">'לקוחות לפי סוכן - מקור'!E751</f>
        <v>ס.פ. ביג כרמיאל תרופות</v>
      </c>
      <c r="D813" s="22" t="n">
        <f aca="false">'לקוחות לפי סוכן - מקור'!F751</f>
        <v>0</v>
      </c>
      <c r="E813" s="22" t="n">
        <f aca="false">'לקוחות לפי סוכן - מקור'!G751</f>
        <v>50356.6</v>
      </c>
      <c r="F813" s="14" t="n">
        <f aca="false">'לקוחות לפי סוכן - מקור'!D751</f>
        <v>0</v>
      </c>
      <c r="G813" s="15" t="n">
        <f aca="false">'לקוחות לפי סוכן - מקור'!H751</f>
        <v>0</v>
      </c>
      <c r="H813" s="15" t="n">
        <f aca="false">'לקוחות לפי סוכן - מקור'!I751</f>
        <v>0</v>
      </c>
      <c r="I813" s="48" t="str">
        <f aca="false">'לקוחות לפי סוכן - מקור'!K751</f>
        <v>CHMI</v>
      </c>
    </row>
    <row r="814" customFormat="false" ht="15" hidden="false" customHeight="true" outlineLevel="2" collapsed="false">
      <c r="A814" s="14" t="str">
        <f aca="false">'לקוחות לפי סוכן - מקור'!A752</f>
        <v>חאזם תלחמי</v>
      </c>
      <c r="B814" s="14" t="str">
        <f aca="false">'לקוחות לפי סוכן - מקור'!C752</f>
        <v>ס. פארם</v>
      </c>
      <c r="C814" s="14" t="str">
        <f aca="false">'לקוחות לפי סוכן - מקור'!E752</f>
        <v>ס.פ. קניון טבריה תרופות</v>
      </c>
      <c r="D814" s="22" t="n">
        <f aca="false">'לקוחות לפי סוכן - מקור'!F752</f>
        <v>0</v>
      </c>
      <c r="E814" s="22" t="n">
        <f aca="false">'לקוחות לפי סוכן - מקור'!G752</f>
        <v>8075.4</v>
      </c>
      <c r="F814" s="14" t="n">
        <f aca="false">'לקוחות לפי סוכן - מקור'!D752</f>
        <v>0</v>
      </c>
      <c r="G814" s="15" t="n">
        <f aca="false">'לקוחות לפי סוכן - מקור'!H752</f>
        <v>0</v>
      </c>
      <c r="H814" s="15" t="n">
        <f aca="false">'לקוחות לפי סוכן - מקור'!I752</f>
        <v>0</v>
      </c>
      <c r="I814" s="48" t="str">
        <f aca="false">'לקוחות לפי סוכן - מקור'!K752</f>
        <v>CHMI</v>
      </c>
    </row>
    <row r="815" customFormat="false" ht="15" hidden="false" customHeight="true" outlineLevel="2" collapsed="false">
      <c r="A815" s="14" t="str">
        <f aca="false">'לקוחות לפי סוכן - מקור'!A753</f>
        <v>חאזם תלחמי</v>
      </c>
      <c r="B815" s="14" t="str">
        <f aca="false">'לקוחות לפי סוכן - מקור'!C753</f>
        <v>ס. פארם</v>
      </c>
      <c r="C815" s="14" t="str">
        <f aca="false">'לקוחות לפי סוכן - מקור'!E753</f>
        <v>ס.פ. כוכב הגעתון תרופות</v>
      </c>
      <c r="D815" s="22" t="n">
        <f aca="false">'לקוחות לפי סוכן - מקור'!F753</f>
        <v>0</v>
      </c>
      <c r="E815" s="22" t="n">
        <f aca="false">'לקוחות לפי סוכן - מקור'!G753</f>
        <v>13056.4</v>
      </c>
      <c r="F815" s="14" t="n">
        <f aca="false">'לקוחות לפי סוכן - מקור'!D753</f>
        <v>0</v>
      </c>
      <c r="G815" s="15" t="n">
        <f aca="false">'לקוחות לפי סוכן - מקור'!H753</f>
        <v>0</v>
      </c>
      <c r="H815" s="15" t="n">
        <f aca="false">'לקוחות לפי סוכן - מקור'!I753</f>
        <v>0</v>
      </c>
      <c r="I815" s="48" t="str">
        <f aca="false">'לקוחות לפי סוכן - מקור'!K753</f>
        <v>CHMI</v>
      </c>
    </row>
    <row r="816" customFormat="false" ht="15" hidden="false" customHeight="true" outlineLevel="2" collapsed="false">
      <c r="A816" s="14" t="str">
        <f aca="false">'לקוחות לפי סוכן - מקור'!A754</f>
        <v>חאזם תלחמי</v>
      </c>
      <c r="B816" s="14" t="str">
        <f aca="false">'לקוחות לפי סוכן - מקור'!C754</f>
        <v>ס. פארם</v>
      </c>
      <c r="C816" s="14" t="str">
        <f aca="false">'לקוחות לפי סוכן - מקור'!E754</f>
        <v>ס.פ. טבריה תרופות</v>
      </c>
      <c r="D816" s="22" t="n">
        <f aca="false">'לקוחות לפי סוכן - מקור'!F754</f>
        <v>0</v>
      </c>
      <c r="E816" s="22" t="n">
        <f aca="false">'לקוחות לפי סוכן - מקור'!G754</f>
        <v>11850.6</v>
      </c>
      <c r="F816" s="14" t="n">
        <f aca="false">'לקוחות לפי סוכן - מקור'!D754</f>
        <v>0</v>
      </c>
      <c r="G816" s="15" t="n">
        <f aca="false">'לקוחות לפי סוכן - מקור'!H754</f>
        <v>0</v>
      </c>
      <c r="H816" s="15" t="n">
        <f aca="false">'לקוחות לפי סוכן - מקור'!I754</f>
        <v>0</v>
      </c>
      <c r="I816" s="48" t="str">
        <f aca="false">'לקוחות לפי סוכן - מקור'!K754</f>
        <v>CHMI</v>
      </c>
    </row>
    <row r="817" customFormat="false" ht="15" hidden="false" customHeight="true" outlineLevel="2" collapsed="false">
      <c r="A817" s="14" t="str">
        <f aca="false">'לקוחות לפי סוכן - מקור'!A755</f>
        <v>חאזם תלחמי</v>
      </c>
      <c r="B817" s="14" t="str">
        <f aca="false">'לקוחות לפי סוכן - מקור'!C755</f>
        <v>ס. פארם</v>
      </c>
      <c r="C817" s="14" t="str">
        <f aca="false">'לקוחות לפי סוכן - מקור'!E755</f>
        <v>ס.פ. טמרה תרופות</v>
      </c>
      <c r="D817" s="22" t="n">
        <f aca="false">'לקוחות לפי סוכן - מקור'!F755</f>
        <v>0</v>
      </c>
      <c r="E817" s="22" t="n">
        <f aca="false">'לקוחות לפי סוכן - מקור'!G755</f>
        <v>5188.9</v>
      </c>
      <c r="F817" s="14" t="n">
        <f aca="false">'לקוחות לפי סוכן - מקור'!D755</f>
        <v>0</v>
      </c>
      <c r="G817" s="15" t="n">
        <f aca="false">'לקוחות לפי סוכן - מקור'!H755</f>
        <v>0</v>
      </c>
      <c r="H817" s="15" t="n">
        <f aca="false">'לקוחות לפי סוכן - מקור'!I755</f>
        <v>0</v>
      </c>
      <c r="I817" s="48" t="str">
        <f aca="false">'לקוחות לפי סוכן - מקור'!K755</f>
        <v>CHMI</v>
      </c>
    </row>
    <row r="818" customFormat="false" ht="15" hidden="false" customHeight="true" outlineLevel="2" collapsed="false">
      <c r="A818" s="14" t="str">
        <f aca="false">'לקוחות לפי סוכן - מקור'!A756</f>
        <v>חאזם תלחמי</v>
      </c>
      <c r="B818" s="14" t="str">
        <f aca="false">'לקוחות לפי סוכן - מקור'!C756</f>
        <v>ס. פארם</v>
      </c>
      <c r="C818" s="14" t="str">
        <f aca="false">'לקוחות לפי סוכן - מקור'!E756</f>
        <v>ס.פ. רגבה  תרופות</v>
      </c>
      <c r="D818" s="22" t="n">
        <f aca="false">'לקוחות לפי סוכן - מקור'!F756</f>
        <v>0</v>
      </c>
      <c r="E818" s="22" t="n">
        <f aca="false">'לקוחות לפי סוכן - מקור'!G756</f>
        <v>10900.5</v>
      </c>
      <c r="F818" s="14" t="n">
        <f aca="false">'לקוחות לפי סוכן - מקור'!D756</f>
        <v>0</v>
      </c>
      <c r="G818" s="15" t="n">
        <f aca="false">'לקוחות לפי סוכן - מקור'!H756</f>
        <v>0</v>
      </c>
      <c r="H818" s="15" t="n">
        <f aca="false">'לקוחות לפי סוכן - מקור'!I756</f>
        <v>0</v>
      </c>
      <c r="I818" s="48" t="str">
        <f aca="false">'לקוחות לפי סוכן - מקור'!K756</f>
        <v>CHMI</v>
      </c>
    </row>
    <row r="819" customFormat="false" ht="15" hidden="false" customHeight="true" outlineLevel="2" collapsed="false">
      <c r="A819" s="14" t="str">
        <f aca="false">'לקוחות לפי סוכן - מקור'!A757</f>
        <v>חאזם תלחמי</v>
      </c>
      <c r="B819" s="14" t="str">
        <f aca="false">'לקוחות לפי סוכן - מקור'!C757</f>
        <v>ס. פארם</v>
      </c>
      <c r="C819" s="14" t="str">
        <f aca="false">'לקוחות לפי סוכן - מקור'!E757</f>
        <v>ס.פ. קרית אתא  תרופות</v>
      </c>
      <c r="D819" s="22" t="n">
        <f aca="false">'לקוחות לפי סוכן - מקור'!F757</f>
        <v>0</v>
      </c>
      <c r="E819" s="22" t="n">
        <f aca="false">'לקוחות לפי סוכן - מקור'!G757</f>
        <v>21128.6</v>
      </c>
      <c r="F819" s="14" t="n">
        <f aca="false">'לקוחות לפי סוכן - מקור'!D757</f>
        <v>0</v>
      </c>
      <c r="G819" s="15" t="n">
        <f aca="false">'לקוחות לפי סוכן - מקור'!H757</f>
        <v>0</v>
      </c>
      <c r="H819" s="15" t="n">
        <f aca="false">'לקוחות לפי סוכן - מקור'!I757</f>
        <v>0</v>
      </c>
      <c r="I819" s="48" t="str">
        <f aca="false">'לקוחות לפי סוכן - מקור'!K757</f>
        <v>CHMI</v>
      </c>
    </row>
    <row r="820" customFormat="false" ht="15" hidden="false" customHeight="true" outlineLevel="2" collapsed="false">
      <c r="A820" s="14" t="str">
        <f aca="false">'לקוחות לפי סוכן - מקור'!A758</f>
        <v>חאזם תלחמי</v>
      </c>
      <c r="B820" s="14" t="str">
        <f aca="false">'לקוחות לפי סוכן - מקור'!C758</f>
        <v>ס. פארם</v>
      </c>
      <c r="C820" s="14" t="str">
        <f aca="false">'לקוחות לפי סוכן - מקור'!E758</f>
        <v>ס.פ. קניון לב כרמיאל</v>
      </c>
      <c r="D820" s="22" t="n">
        <f aca="false">'לקוחות לפי סוכן - מקור'!F758</f>
        <v>0</v>
      </c>
      <c r="E820" s="22" t="n">
        <f aca="false">'לקוחות לפי סוכן - מקור'!G758</f>
        <v>17359.8</v>
      </c>
      <c r="F820" s="14" t="n">
        <f aca="false">'לקוחות לפי סוכן - מקור'!D758</f>
        <v>0</v>
      </c>
      <c r="G820" s="15" t="n">
        <f aca="false">'לקוחות לפי סוכן - מקור'!H758</f>
        <v>0</v>
      </c>
      <c r="H820" s="15" t="n">
        <f aca="false">'לקוחות לפי סוכן - מקור'!I758</f>
        <v>0</v>
      </c>
      <c r="I820" s="48" t="str">
        <f aca="false">'לקוחות לפי סוכן - מקור'!K758</f>
        <v>CHMI</v>
      </c>
    </row>
    <row r="821" customFormat="false" ht="15" hidden="false" customHeight="true" outlineLevel="2" collapsed="false">
      <c r="A821" s="14" t="str">
        <f aca="false">'לקוחות לפי סוכן - מקור'!A759</f>
        <v>חאזם תלחמי</v>
      </c>
      <c r="B821" s="14" t="str">
        <f aca="false">'לקוחות לפי סוכן - מקור'!C759</f>
        <v>ס. פארם</v>
      </c>
      <c r="C821" s="14" t="str">
        <f aca="false">'לקוחות לפי סוכן - מקור'!E759</f>
        <v>ס.פ. גרנד קניון  תרופות</v>
      </c>
      <c r="D821" s="22" t="n">
        <f aca="false">'לקוחות לפי סוכן - מקור'!F759</f>
        <v>0</v>
      </c>
      <c r="E821" s="22" t="n">
        <f aca="false">'לקוחות לפי סוכן - מקור'!G759</f>
        <v>42414.2</v>
      </c>
      <c r="F821" s="14" t="n">
        <f aca="false">'לקוחות לפי סוכן - מקור'!D759</f>
        <v>0</v>
      </c>
      <c r="G821" s="15" t="n">
        <f aca="false">'לקוחות לפי סוכן - מקור'!H759</f>
        <v>0</v>
      </c>
      <c r="H821" s="15" t="n">
        <f aca="false">'לקוחות לפי סוכן - מקור'!I759</f>
        <v>0</v>
      </c>
      <c r="I821" s="48" t="str">
        <f aca="false">'לקוחות לפי סוכן - מקור'!K759</f>
        <v>CHMI</v>
      </c>
    </row>
    <row r="822" customFormat="false" ht="15" hidden="false" customHeight="true" outlineLevel="2" collapsed="false">
      <c r="A822" s="14" t="str">
        <f aca="false">'לקוחות לפי סוכן - מקור'!A760</f>
        <v>חאזם תלחמי</v>
      </c>
      <c r="B822" s="14" t="str">
        <f aca="false">'לקוחות לפי סוכן - מקור'!C760</f>
        <v>ס. פארם</v>
      </c>
      <c r="C822" s="14" t="str">
        <f aca="false">'לקוחות לפי סוכן - מקור'!E760</f>
        <v>ס.פ. מגדל העמק  תרופות</v>
      </c>
      <c r="D822" s="22" t="n">
        <f aca="false">'לקוחות לפי סוכן - מקור'!F760</f>
        <v>0</v>
      </c>
      <c r="E822" s="22" t="n">
        <f aca="false">'לקוחות לפי סוכן - מקור'!G760</f>
        <v>8282.5</v>
      </c>
      <c r="F822" s="14" t="n">
        <f aca="false">'לקוחות לפי סוכן - מקור'!D760</f>
        <v>0</v>
      </c>
      <c r="G822" s="15" t="n">
        <f aca="false">'לקוחות לפי סוכן - מקור'!H760</f>
        <v>0</v>
      </c>
      <c r="H822" s="15" t="n">
        <f aca="false">'לקוחות לפי סוכן - מקור'!I760</f>
        <v>0</v>
      </c>
      <c r="I822" s="48" t="str">
        <f aca="false">'לקוחות לפי סוכן - מקור'!K760</f>
        <v>CHMI</v>
      </c>
    </row>
    <row r="823" customFormat="false" ht="15" hidden="false" customHeight="true" outlineLevel="2" collapsed="false">
      <c r="A823" s="14" t="str">
        <f aca="false">'לקוחות לפי סוכן - מקור'!A761</f>
        <v>חאזם תלחמי</v>
      </c>
      <c r="B823" s="14" t="str">
        <f aca="false">'לקוחות לפי סוכן - מקור'!C761</f>
        <v>ס. פארם</v>
      </c>
      <c r="C823" s="14" t="str">
        <f aca="false">'לקוחות לפי סוכן - מקור'!E761</f>
        <v>ס.פ. העצמאות ק.אתא תרופות</v>
      </c>
      <c r="D823" s="22" t="n">
        <f aca="false">'לקוחות לפי סוכן - מקור'!F761</f>
        <v>0</v>
      </c>
      <c r="E823" s="22" t="n">
        <f aca="false">'לקוחות לפי סוכן - מקור'!G761</f>
        <v>6776.3</v>
      </c>
      <c r="F823" s="14" t="n">
        <f aca="false">'לקוחות לפי סוכן - מקור'!D761</f>
        <v>0</v>
      </c>
      <c r="G823" s="15" t="n">
        <f aca="false">'לקוחות לפי סוכן - מקור'!H761</f>
        <v>0</v>
      </c>
      <c r="H823" s="15" t="n">
        <f aca="false">'לקוחות לפי סוכן - מקור'!I761</f>
        <v>0</v>
      </c>
      <c r="I823" s="48" t="str">
        <f aca="false">'לקוחות לפי סוכן - מקור'!K761</f>
        <v>CHMI</v>
      </c>
    </row>
    <row r="824" customFormat="false" ht="15" hidden="false" customHeight="true" outlineLevel="2" collapsed="false">
      <c r="A824" s="14" t="str">
        <f aca="false">'לקוחות לפי סוכן - מקור'!A762</f>
        <v>חאזם תלחמי</v>
      </c>
      <c r="B824" s="14" t="str">
        <f aca="false">'לקוחות לפי סוכן - מקור'!C762</f>
        <v>ס. פארם</v>
      </c>
      <c r="C824" s="14" t="str">
        <f aca="false">'לקוחות לפי סוכן - מקור'!E762</f>
        <v>ס.פ. שפרעם תרופות</v>
      </c>
      <c r="D824" s="22" t="n">
        <f aca="false">'לקוחות לפי סוכן - מקור'!F762</f>
        <v>0</v>
      </c>
      <c r="E824" s="22" t="n">
        <f aca="false">'לקוחות לפי סוכן - מקור'!G762</f>
        <v>14403.6</v>
      </c>
      <c r="F824" s="14" t="n">
        <f aca="false">'לקוחות לפי סוכן - מקור'!D762</f>
        <v>0</v>
      </c>
      <c r="G824" s="15" t="n">
        <f aca="false">'לקוחות לפי סוכן - מקור'!H762</f>
        <v>0</v>
      </c>
      <c r="H824" s="15" t="n">
        <f aca="false">'לקוחות לפי סוכן - מקור'!I762</f>
        <v>0</v>
      </c>
      <c r="I824" s="48" t="str">
        <f aca="false">'לקוחות לפי סוכן - מקור'!K762</f>
        <v>CHMI</v>
      </c>
    </row>
    <row r="825" customFormat="false" ht="15" hidden="false" customHeight="true" outlineLevel="2" collapsed="false">
      <c r="A825" s="14" t="str">
        <f aca="false">'לקוחות לפי סוכן - מקור'!A763</f>
        <v>חאזם תלחמי</v>
      </c>
      <c r="B825" s="14" t="str">
        <f aca="false">'לקוחות לפי סוכן - מקור'!C763</f>
        <v>ס. פארם</v>
      </c>
      <c r="C825" s="14" t="str">
        <f aca="false">'לקוחות לפי סוכן - מקור'!E763</f>
        <v>ס.פ. ביג יוקנעם תרופות</v>
      </c>
      <c r="D825" s="22" t="n">
        <f aca="false">'לקוחות לפי סוכן - מקור'!F763</f>
        <v>0</v>
      </c>
      <c r="E825" s="22" t="n">
        <f aca="false">'לקוחות לפי סוכן - מקור'!G763</f>
        <v>20693.4</v>
      </c>
      <c r="F825" s="14" t="n">
        <f aca="false">'לקוחות לפי סוכן - מקור'!D763</f>
        <v>0</v>
      </c>
      <c r="G825" s="15" t="n">
        <f aca="false">'לקוחות לפי סוכן - מקור'!H763</f>
        <v>0</v>
      </c>
      <c r="H825" s="15" t="n">
        <f aca="false">'לקוחות לפי סוכן - מקור'!I763</f>
        <v>0</v>
      </c>
      <c r="I825" s="48" t="str">
        <f aca="false">'לקוחות לפי סוכן - מקור'!K763</f>
        <v>CHMI</v>
      </c>
    </row>
    <row r="826" customFormat="false" ht="15" hidden="false" customHeight="true" outlineLevel="2" collapsed="false">
      <c r="A826" s="14" t="str">
        <f aca="false">'לקוחות לפי סוכן - מקור'!A764</f>
        <v>חאזם תלחמי</v>
      </c>
      <c r="B826" s="14" t="str">
        <f aca="false">'לקוחות לפי סוכן - מקור'!C764</f>
        <v>ס. פארם</v>
      </c>
      <c r="C826" s="14" t="str">
        <f aca="false">'לקוחות לפי סוכן - מקור'!E764</f>
        <v>ס.פ. סיטי סנטר חיפה תרופות</v>
      </c>
      <c r="D826" s="22" t="n">
        <f aca="false">'לקוחות לפי סוכן - מקור'!F764</f>
        <v>0</v>
      </c>
      <c r="E826" s="22" t="n">
        <f aca="false">'לקוחות לפי סוכן - מקור'!G764</f>
        <v>9688.3</v>
      </c>
      <c r="F826" s="14" t="n">
        <f aca="false">'לקוחות לפי סוכן - מקור'!D764</f>
        <v>0</v>
      </c>
      <c r="G826" s="15" t="n">
        <f aca="false">'לקוחות לפי סוכן - מקור'!H764</f>
        <v>0</v>
      </c>
      <c r="H826" s="15" t="n">
        <f aca="false">'לקוחות לפי סוכן - מקור'!I764</f>
        <v>0</v>
      </c>
      <c r="I826" s="48" t="str">
        <f aca="false">'לקוחות לפי סוכן - מקור'!K764</f>
        <v>CHMI</v>
      </c>
    </row>
    <row r="827" customFormat="false" ht="15" hidden="false" customHeight="true" outlineLevel="2" collapsed="false">
      <c r="A827" s="14" t="str">
        <f aca="false">'לקוחות לפי סוכן - מקור'!A765</f>
        <v>חאזם תלחמי</v>
      </c>
      <c r="B827" s="14" t="str">
        <f aca="false">'לקוחות לפי סוכן - מקור'!C765</f>
        <v>ס. פארם</v>
      </c>
      <c r="C827" s="14" t="str">
        <f aca="false">'לקוחות לפי סוכן - מקור'!E765</f>
        <v>ס.פ. בית שאן תרופות</v>
      </c>
      <c r="D827" s="22" t="n">
        <f aca="false">'לקוחות לפי סוכן - מקור'!F765</f>
        <v>0</v>
      </c>
      <c r="E827" s="22" t="n">
        <f aca="false">'לקוחות לפי סוכן - מקור'!G765</f>
        <v>9631.5</v>
      </c>
      <c r="F827" s="14" t="n">
        <f aca="false">'לקוחות לפי סוכן - מקור'!D765</f>
        <v>0</v>
      </c>
      <c r="G827" s="15" t="n">
        <f aca="false">'לקוחות לפי סוכן - מקור'!H765</f>
        <v>0</v>
      </c>
      <c r="H827" s="15" t="n">
        <f aca="false">'לקוחות לפי סוכן - מקור'!I765</f>
        <v>0</v>
      </c>
      <c r="I827" s="48" t="str">
        <f aca="false">'לקוחות לפי סוכן - מקור'!K765</f>
        <v>CHMI</v>
      </c>
    </row>
    <row r="828" customFormat="false" ht="15" hidden="false" customHeight="true" outlineLevel="2" collapsed="false">
      <c r="A828" s="14" t="str">
        <f aca="false">'לקוחות לפי סוכן - מקור'!A766</f>
        <v>חאזם תלחמי</v>
      </c>
      <c r="B828" s="14" t="str">
        <f aca="false">'לקוחות לפי סוכן - מקור'!C766</f>
        <v>ס. פארם</v>
      </c>
      <c r="C828" s="14" t="str">
        <f aca="false">'לקוחות לפי סוכן - מקור'!E766</f>
        <v>ס.פ. חדרה מזרח תרופות</v>
      </c>
      <c r="D828" s="22" t="n">
        <f aca="false">'לקוחות לפי סוכן - מקור'!F766</f>
        <v>0</v>
      </c>
      <c r="E828" s="22" t="n">
        <f aca="false">'לקוחות לפי סוכן - מקור'!G766</f>
        <v>11217.1</v>
      </c>
      <c r="F828" s="14" t="n">
        <f aca="false">'לקוחות לפי סוכן - מקור'!D766</f>
        <v>0</v>
      </c>
      <c r="G828" s="15" t="n">
        <f aca="false">'לקוחות לפי סוכן - מקור'!H766</f>
        <v>0</v>
      </c>
      <c r="H828" s="15" t="n">
        <f aca="false">'לקוחות לפי סוכן - מקור'!I766</f>
        <v>0</v>
      </c>
      <c r="I828" s="48" t="str">
        <f aca="false">'לקוחות לפי סוכן - מקור'!K766</f>
        <v>CHMI</v>
      </c>
    </row>
    <row r="829" customFormat="false" ht="15" hidden="false" customHeight="true" outlineLevel="2" collapsed="false">
      <c r="A829" s="14" t="str">
        <f aca="false">'לקוחות לפי סוכן - מקור'!A767</f>
        <v>חאזם תלחמי</v>
      </c>
      <c r="B829" s="14" t="str">
        <f aca="false">'לקוחות לפי סוכן - מקור'!C767</f>
        <v>ס. פארם</v>
      </c>
      <c r="C829" s="14" t="str">
        <f aca="false">'לקוחות לפי סוכן - מקור'!E767</f>
        <v>ס.פ. רמת הנשיא חיפה תרופות</v>
      </c>
      <c r="D829" s="22" t="n">
        <f aca="false">'לקוחות לפי סוכן - מקור'!F767</f>
        <v>0</v>
      </c>
      <c r="E829" s="22" t="n">
        <f aca="false">'לקוחות לפי סוכן - מקור'!G767</f>
        <v>11174.6</v>
      </c>
      <c r="F829" s="14" t="n">
        <f aca="false">'לקוחות לפי סוכן - מקור'!D767</f>
        <v>0</v>
      </c>
      <c r="G829" s="15" t="n">
        <f aca="false">'לקוחות לפי סוכן - מקור'!H767</f>
        <v>0</v>
      </c>
      <c r="H829" s="15" t="n">
        <f aca="false">'לקוחות לפי סוכן - מקור'!I767</f>
        <v>0</v>
      </c>
      <c r="I829" s="48" t="str">
        <f aca="false">'לקוחות לפי סוכן - מקור'!K767</f>
        <v>CHMI</v>
      </c>
    </row>
    <row r="830" customFormat="false" ht="15" hidden="false" customHeight="true" outlineLevel="2" collapsed="false">
      <c r="A830" s="14" t="str">
        <f aca="false">'לקוחות לפי סוכן - מקור'!A768</f>
        <v>חאזם תלחמי</v>
      </c>
      <c r="B830" s="14" t="str">
        <f aca="false">'לקוחות לפי סוכן - מקור'!C768</f>
        <v>ס. פארם</v>
      </c>
      <c r="C830" s="14" t="str">
        <f aca="false">'לקוחות לפי סוכן - מקור'!E768</f>
        <v>ס.פ. טירת הכרמל  תרופות</v>
      </c>
      <c r="D830" s="22" t="n">
        <f aca="false">'לקוחות לפי סוכן - מקור'!F768</f>
        <v>0</v>
      </c>
      <c r="E830" s="22" t="n">
        <f aca="false">'לקוחות לפי סוכן - מקור'!G768</f>
        <v>8633.7</v>
      </c>
      <c r="F830" s="14" t="n">
        <f aca="false">'לקוחות לפי סוכן - מקור'!D768</f>
        <v>0</v>
      </c>
      <c r="G830" s="15" t="n">
        <f aca="false">'לקוחות לפי סוכן - מקור'!H768</f>
        <v>0</v>
      </c>
      <c r="H830" s="15" t="n">
        <f aca="false">'לקוחות לפי סוכן - מקור'!I768</f>
        <v>0</v>
      </c>
      <c r="I830" s="48" t="str">
        <f aca="false">'לקוחות לפי סוכן - מקור'!K768</f>
        <v>CHMI</v>
      </c>
    </row>
    <row r="831" customFormat="false" ht="15" hidden="false" customHeight="true" outlineLevel="2" collapsed="false">
      <c r="A831" s="14" t="str">
        <f aca="false">'לקוחות לפי סוכן - מקור'!A769</f>
        <v>חאזם תלחמי</v>
      </c>
      <c r="B831" s="14" t="str">
        <f aca="false">'לקוחות לפי סוכן - מקור'!C769</f>
        <v>ס. פארם</v>
      </c>
      <c r="C831" s="14" t="str">
        <f aca="false">'לקוחות לפי סוכן - מקור'!E769</f>
        <v>ס.פ. שער צפון קרית אתא תרופות</v>
      </c>
      <c r="D831" s="22" t="n">
        <f aca="false">'לקוחות לפי סוכן - מקור'!F769</f>
        <v>0</v>
      </c>
      <c r="E831" s="22" t="n">
        <f aca="false">'לקוחות לפי סוכן - מקור'!G769</f>
        <v>5607.1</v>
      </c>
      <c r="F831" s="14" t="n">
        <f aca="false">'לקוחות לפי סוכן - מקור'!D769</f>
        <v>0</v>
      </c>
      <c r="G831" s="15" t="n">
        <f aca="false">'לקוחות לפי סוכן - מקור'!H769</f>
        <v>0</v>
      </c>
      <c r="H831" s="15" t="n">
        <f aca="false">'לקוחות לפי סוכן - מקור'!I769</f>
        <v>0</v>
      </c>
      <c r="I831" s="48" t="str">
        <f aca="false">'לקוחות לפי סוכן - מקור'!K769</f>
        <v>CHMI</v>
      </c>
    </row>
    <row r="832" customFormat="false" ht="15" hidden="false" customHeight="true" outlineLevel="2" collapsed="false">
      <c r="A832" s="14" t="str">
        <f aca="false">'לקוחות לפי סוכן - מקור'!A770</f>
        <v>חאזם תלחמי</v>
      </c>
      <c r="B832" s="14" t="str">
        <f aca="false">'לקוחות לפי סוכן - מקור'!C770</f>
        <v>ס. פארם</v>
      </c>
      <c r="C832" s="14" t="str">
        <f aca="false">'לקוחות לפי סוכן - מקור'!E770</f>
        <v>ס.פ. קרית חיים תרופות</v>
      </c>
      <c r="D832" s="22" t="n">
        <f aca="false">'לקוחות לפי סוכן - מקור'!F770</f>
        <v>0</v>
      </c>
      <c r="E832" s="22" t="n">
        <f aca="false">'לקוחות לפי סוכן - מקור'!G770</f>
        <v>11554.3</v>
      </c>
      <c r="F832" s="14" t="n">
        <f aca="false">'לקוחות לפי סוכן - מקור'!D770</f>
        <v>0</v>
      </c>
      <c r="G832" s="15" t="n">
        <f aca="false">'לקוחות לפי סוכן - מקור'!H770</f>
        <v>0</v>
      </c>
      <c r="H832" s="15" t="n">
        <f aca="false">'לקוחות לפי סוכן - מקור'!I770</f>
        <v>0</v>
      </c>
      <c r="I832" s="48" t="str">
        <f aca="false">'לקוחות לפי סוכן - מקור'!K770</f>
        <v>CHMI</v>
      </c>
    </row>
    <row r="833" customFormat="false" ht="15" hidden="false" customHeight="true" outlineLevel="2" collapsed="false">
      <c r="A833" s="14" t="str">
        <f aca="false">'לקוחות לפי סוכן - מקור'!A771</f>
        <v>חאזם תלחמי</v>
      </c>
      <c r="B833" s="14" t="str">
        <f aca="false">'לקוחות לפי סוכן - מקור'!C771</f>
        <v>ס. פארם</v>
      </c>
      <c r="C833" s="14" t="str">
        <f aca="false">'לקוחות לפי סוכן - מקור'!E771</f>
        <v>ס.פ.צפת תרופות</v>
      </c>
      <c r="D833" s="22" t="n">
        <f aca="false">'לקוחות לפי סוכן - מקור'!F771</f>
        <v>0</v>
      </c>
      <c r="E833" s="22" t="n">
        <f aca="false">'לקוחות לפי סוכן - מקור'!G771</f>
        <v>6504.5</v>
      </c>
      <c r="F833" s="14" t="n">
        <f aca="false">'לקוחות לפי סוכן - מקור'!D771</f>
        <v>0</v>
      </c>
      <c r="G833" s="15" t="n">
        <f aca="false">'לקוחות לפי סוכן - מקור'!H771</f>
        <v>0</v>
      </c>
      <c r="H833" s="15" t="n">
        <f aca="false">'לקוחות לפי סוכן - מקור'!I771</f>
        <v>0</v>
      </c>
      <c r="I833" s="48" t="str">
        <f aca="false">'לקוחות לפי סוכן - מקור'!K771</f>
        <v>CHMI</v>
      </c>
    </row>
    <row r="834" customFormat="false" ht="15" hidden="false" customHeight="true" outlineLevel="2" collapsed="false">
      <c r="A834" s="14" t="str">
        <f aca="false">'לקוחות לפי סוכן - מקור'!A772</f>
        <v>חאזם תלחמי</v>
      </c>
      <c r="B834" s="14" t="str">
        <f aca="false">'לקוחות לפי סוכן - מקור'!C772</f>
        <v>ס. פארם</v>
      </c>
      <c r="C834" s="14" t="str">
        <f aca="false">'לקוחות לפי סוכן - מקור'!E772</f>
        <v>ס.פ.ארנה נהריה תרופות</v>
      </c>
      <c r="D834" s="22" t="n">
        <f aca="false">'לקוחות לפי סוכן - מקור'!F772</f>
        <v>0</v>
      </c>
      <c r="E834" s="22" t="n">
        <f aca="false">'לקוחות לפי סוכן - מקור'!G772</f>
        <v>6789</v>
      </c>
      <c r="F834" s="14" t="n">
        <f aca="false">'לקוחות לפי סוכן - מקור'!D772</f>
        <v>0</v>
      </c>
      <c r="G834" s="15" t="n">
        <f aca="false">'לקוחות לפי סוכן - מקור'!H772</f>
        <v>0</v>
      </c>
      <c r="H834" s="15" t="n">
        <f aca="false">'לקוחות לפי סוכן - מקור'!I772</f>
        <v>0</v>
      </c>
      <c r="I834" s="48" t="str">
        <f aca="false">'לקוחות לפי סוכן - מקור'!K772</f>
        <v>CHMI</v>
      </c>
    </row>
    <row r="835" customFormat="false" ht="15" hidden="false" customHeight="true" outlineLevel="2" collapsed="false">
      <c r="A835" s="14" t="str">
        <f aca="false">'לקוחות לפי סוכן - מקור'!A773</f>
        <v>חאזם תלחמי</v>
      </c>
      <c r="B835" s="14" t="str">
        <f aca="false">'לקוחות לפי סוכן - מקור'!C773</f>
        <v>ס. פארם</v>
      </c>
      <c r="C835" s="14" t="str">
        <f aca="false">'לקוחות לפי סוכן - מקור'!E773</f>
        <v>ס.פ.יפיע תרופות</v>
      </c>
      <c r="D835" s="22" t="n">
        <f aca="false">'לקוחות לפי סוכן - מקור'!F773</f>
        <v>0</v>
      </c>
      <c r="E835" s="22" t="n">
        <f aca="false">'לקוחות לפי סוכן - מקור'!G773</f>
        <v>5757</v>
      </c>
      <c r="F835" s="14" t="n">
        <f aca="false">'לקוחות לפי סוכן - מקור'!D773</f>
        <v>0</v>
      </c>
      <c r="G835" s="15" t="n">
        <f aca="false">'לקוחות לפי סוכן - מקור'!H773</f>
        <v>0</v>
      </c>
      <c r="H835" s="15" t="n">
        <f aca="false">'לקוחות לפי סוכן - מקור'!I773</f>
        <v>0</v>
      </c>
      <c r="I835" s="48" t="str">
        <f aca="false">'לקוחות לפי סוכן - מקור'!K773</f>
        <v>CHMI</v>
      </c>
    </row>
    <row r="836" customFormat="false" ht="15" hidden="false" customHeight="true" outlineLevel="2" collapsed="false">
      <c r="A836" s="14" t="str">
        <f aca="false">'לקוחות לפי סוכן - מקור'!A774</f>
        <v>חאזם תלחמי</v>
      </c>
      <c r="B836" s="14" t="str">
        <f aca="false">'לקוחות לפי סוכן - מקור'!C774</f>
        <v>ס. פארם</v>
      </c>
      <c r="C836" s="14" t="str">
        <f aca="false">'לקוחות לפי סוכן - מקור'!E774</f>
        <v>ס.פ. חיפה תרופות</v>
      </c>
      <c r="D836" s="22" t="n">
        <f aca="false">'לקוחות לפי סוכן - מקור'!F774</f>
        <v>0</v>
      </c>
      <c r="E836" s="22" t="n">
        <f aca="false">'לקוחות לפי סוכן - מקור'!G774</f>
        <v>16393.1</v>
      </c>
      <c r="F836" s="14" t="n">
        <f aca="false">'לקוחות לפי סוכן - מקור'!D774</f>
        <v>0</v>
      </c>
      <c r="G836" s="15" t="n">
        <f aca="false">'לקוחות לפי סוכן - מקור'!H774</f>
        <v>0</v>
      </c>
      <c r="H836" s="15" t="n">
        <f aca="false">'לקוחות לפי סוכן - מקור'!I774</f>
        <v>0</v>
      </c>
      <c r="I836" s="48" t="str">
        <f aca="false">'לקוחות לפי סוכן - מקור'!K774</f>
        <v>CHMI</v>
      </c>
    </row>
    <row r="837" customFormat="false" ht="15" hidden="false" customHeight="true" outlineLevel="2" collapsed="false">
      <c r="A837" s="14" t="str">
        <f aca="false">'לקוחות לפי סוכן - מקור'!A775</f>
        <v>חאזם תלחמי</v>
      </c>
      <c r="B837" s="14" t="str">
        <f aca="false">'לקוחות לפי סוכן - מקור'!C775</f>
        <v>ס. פארם</v>
      </c>
      <c r="C837" s="14" t="str">
        <f aca="false">'לקוחות לפי סוכן - מקור'!E775</f>
        <v>ס.פ. ביג צ'ק פוסט תרופות</v>
      </c>
      <c r="D837" s="22" t="n">
        <f aca="false">'לקוחות לפי סוכן - מקור'!F775</f>
        <v>0</v>
      </c>
      <c r="E837" s="22" t="n">
        <f aca="false">'לקוחות לפי סוכן - מקור'!G775</f>
        <v>10935.3</v>
      </c>
      <c r="F837" s="14" t="n">
        <f aca="false">'לקוחות לפי סוכן - מקור'!D775</f>
        <v>0</v>
      </c>
      <c r="G837" s="15" t="n">
        <f aca="false">'לקוחות לפי סוכן - מקור'!H775</f>
        <v>0</v>
      </c>
      <c r="H837" s="15" t="n">
        <f aca="false">'לקוחות לפי סוכן - מקור'!I775</f>
        <v>0</v>
      </c>
      <c r="I837" s="48" t="str">
        <f aca="false">'לקוחות לפי סוכן - מקור'!K775</f>
        <v>CHMI</v>
      </c>
    </row>
    <row r="838" customFormat="false" ht="15" hidden="false" customHeight="true" outlineLevel="2" collapsed="false">
      <c r="A838" s="14" t="str">
        <f aca="false">'לקוחות לפי סוכן - מקור'!A776</f>
        <v>חאזם תלחמי</v>
      </c>
      <c r="B838" s="14" t="str">
        <f aca="false">'לקוחות לפי סוכן - מקור'!C776</f>
        <v>ס. פארם</v>
      </c>
      <c r="C838" s="14" t="str">
        <f aca="false">'לקוחות לפי סוכן - מקור'!E776</f>
        <v>ס.פ.ביג אור עקיבא תרופות</v>
      </c>
      <c r="D838" s="22" t="n">
        <f aca="false">'לקוחות לפי סוכן - מקור'!F776</f>
        <v>0</v>
      </c>
      <c r="E838" s="22" t="n">
        <f aca="false">'לקוחות לפי סוכן - מקור'!G776</f>
        <v>11607.5</v>
      </c>
      <c r="F838" s="14" t="n">
        <f aca="false">'לקוחות לפי סוכן - מקור'!D776</f>
        <v>0</v>
      </c>
      <c r="G838" s="15" t="n">
        <f aca="false">'לקוחות לפי סוכן - מקור'!H776</f>
        <v>0</v>
      </c>
      <c r="H838" s="15" t="n">
        <f aca="false">'לקוחות לפי סוכן - מקור'!I776</f>
        <v>0</v>
      </c>
      <c r="I838" s="48" t="str">
        <f aca="false">'לקוחות לפי סוכן - מקור'!K776</f>
        <v>CHMI</v>
      </c>
    </row>
    <row r="839" customFormat="false" ht="15" hidden="false" customHeight="true" outlineLevel="2" collapsed="false">
      <c r="A839" s="14" t="str">
        <f aca="false">'לקוחות לפי סוכן - מקור'!A777</f>
        <v>חאזם תלחמי</v>
      </c>
      <c r="B839" s="14" t="str">
        <f aca="false">'לקוחות לפי סוכן - מקור'!C777</f>
        <v>ס. פארם</v>
      </c>
      <c r="C839" s="14" t="str">
        <f aca="false">'לקוחות לפי סוכן - מקור'!E777</f>
        <v>ס.פ.איינשטיין חיפה תרופות</v>
      </c>
      <c r="D839" s="22" t="n">
        <f aca="false">'לקוחות לפי סוכן - מקור'!F777</f>
        <v>0</v>
      </c>
      <c r="E839" s="22" t="n">
        <f aca="false">'לקוחות לפי סוכן - מקור'!G777</f>
        <v>10056.6</v>
      </c>
      <c r="F839" s="14" t="n">
        <f aca="false">'לקוחות לפי סוכן - מקור'!D777</f>
        <v>0</v>
      </c>
      <c r="G839" s="15" t="n">
        <f aca="false">'לקוחות לפי סוכן - מקור'!H777</f>
        <v>0</v>
      </c>
      <c r="H839" s="15" t="n">
        <f aca="false">'לקוחות לפי סוכן - מקור'!I777</f>
        <v>0</v>
      </c>
      <c r="I839" s="48" t="str">
        <f aca="false">'לקוחות לפי סוכן - מקור'!K777</f>
        <v>CHMI</v>
      </c>
    </row>
    <row r="840" customFormat="false" ht="15" hidden="false" customHeight="true" outlineLevel="2" collapsed="false">
      <c r="A840" s="14" t="str">
        <f aca="false">'לקוחות לפי סוכן - מקור'!A778</f>
        <v>חאזם תלחמי</v>
      </c>
      <c r="B840" s="14" t="str">
        <f aca="false">'לקוחות לפי סוכן - מקור'!C778</f>
        <v>ס. פארם</v>
      </c>
      <c r="C840" s="14" t="str">
        <f aca="false">'לקוחות לפי סוכן - מקור'!E778</f>
        <v>ס.פ.מול החוף חדרה תרופות</v>
      </c>
      <c r="D840" s="22" t="n">
        <f aca="false">'לקוחות לפי סוכן - מקור'!F778</f>
        <v>0</v>
      </c>
      <c r="E840" s="22" t="n">
        <f aca="false">'לקוחות לפי סוכן - מקור'!G778</f>
        <v>5365.9</v>
      </c>
      <c r="F840" s="14" t="n">
        <f aca="false">'לקוחות לפי סוכן - מקור'!D778</f>
        <v>0</v>
      </c>
      <c r="G840" s="15" t="n">
        <f aca="false">'לקוחות לפי סוכן - מקור'!H778</f>
        <v>0</v>
      </c>
      <c r="H840" s="15" t="n">
        <f aca="false">'לקוחות לפי סוכן - מקור'!I778</f>
        <v>0</v>
      </c>
      <c r="I840" s="48" t="str">
        <f aca="false">'לקוחות לפי סוכן - מקור'!K778</f>
        <v>CHMI</v>
      </c>
    </row>
    <row r="841" customFormat="false" ht="15" hidden="false" customHeight="true" outlineLevel="2" collapsed="false">
      <c r="A841" s="14" t="str">
        <f aca="false">'לקוחות לפי סוכן - מקור'!A779</f>
        <v>חאזם תלחמי</v>
      </c>
      <c r="B841" s="14" t="str">
        <f aca="false">'לקוחות לפי סוכן - מקור'!C779</f>
        <v>ס. פארם</v>
      </c>
      <c r="C841" s="14" t="str">
        <f aca="false">'לקוחות לפי סוכן - מקור'!E779</f>
        <v>BM ס.פ ירכא</v>
      </c>
      <c r="D841" s="22" t="n">
        <f aca="false">'לקוחות לפי סוכן - מקור'!F779</f>
        <v>0</v>
      </c>
      <c r="E841" s="22" t="n">
        <f aca="false">'לקוחות לפי סוכן - מקור'!G779</f>
        <v>14103.6</v>
      </c>
      <c r="F841" s="14" t="n">
        <f aca="false">'לקוחות לפי סוכן - מקור'!D779</f>
        <v>0</v>
      </c>
      <c r="G841" s="15" t="n">
        <f aca="false">'לקוחות לפי סוכן - מקור'!H779</f>
        <v>0</v>
      </c>
      <c r="H841" s="15" t="n">
        <f aca="false">'לקוחות לפי סוכן - מקור'!I779</f>
        <v>0</v>
      </c>
      <c r="I841" s="48" t="str">
        <f aca="false">'לקוחות לפי סוכן - מקור'!K779</f>
        <v>CHMI</v>
      </c>
    </row>
    <row r="842" customFormat="false" ht="15" hidden="false" customHeight="true" outlineLevel="2" collapsed="false">
      <c r="A842" s="14" t="str">
        <f aca="false">'לקוחות לפי סוכן - מקור'!A780</f>
        <v>חאזם תלחמי</v>
      </c>
      <c r="B842" s="14" t="str">
        <f aca="false">'לקוחות לפי סוכן - מקור'!C780</f>
        <v>ס. פארם</v>
      </c>
      <c r="C842" s="14" t="str">
        <f aca="false">'לקוחות לפי סוכן - מקור'!E780</f>
        <v>BM ס.פ חדרה שכונת הפארק</v>
      </c>
      <c r="D842" s="22" t="n">
        <f aca="false">'לקוחות לפי סוכן - מקור'!F780</f>
        <v>0</v>
      </c>
      <c r="E842" s="22" t="n">
        <f aca="false">'לקוחות לפי סוכן - מקור'!G780</f>
        <v>8565</v>
      </c>
      <c r="F842" s="14" t="n">
        <f aca="false">'לקוחות לפי סוכן - מקור'!D780</f>
        <v>0</v>
      </c>
      <c r="G842" s="15" t="n">
        <f aca="false">'לקוחות לפי סוכן - מקור'!H780</f>
        <v>0</v>
      </c>
      <c r="H842" s="15" t="n">
        <f aca="false">'לקוחות לפי סוכן - מקור'!I780</f>
        <v>0</v>
      </c>
      <c r="I842" s="48" t="str">
        <f aca="false">'לקוחות לפי סוכן - מקור'!K780</f>
        <v>CHMI</v>
      </c>
    </row>
    <row r="843" customFormat="false" ht="15" hidden="false" customHeight="true" outlineLevel="2" collapsed="false">
      <c r="A843" s="14" t="str">
        <f aca="false">'לקוחות לפי סוכן - מקור'!A781</f>
        <v>חאזם תלחמי</v>
      </c>
      <c r="B843" s="14" t="str">
        <f aca="false">'לקוחות לפי סוכן - מקור'!C781</f>
        <v>ס. פארם</v>
      </c>
      <c r="C843" s="14" t="str">
        <f aca="false">'לקוחות לפי סוכן - מקור'!E781</f>
        <v>BM ס.פ חריש</v>
      </c>
      <c r="D843" s="22" t="n">
        <f aca="false">'לקוחות לפי סוכן - מקור'!F781</f>
        <v>0</v>
      </c>
      <c r="E843" s="22" t="n">
        <f aca="false">'לקוחות לפי סוכן - מקור'!G781</f>
        <v>7057.5</v>
      </c>
      <c r="F843" s="14" t="n">
        <f aca="false">'לקוחות לפי סוכן - מקור'!D781</f>
        <v>0</v>
      </c>
      <c r="G843" s="15" t="n">
        <f aca="false">'לקוחות לפי סוכן - מקור'!H781</f>
        <v>0</v>
      </c>
      <c r="H843" s="15" t="n">
        <f aca="false">'לקוחות לפי סוכן - מקור'!I781</f>
        <v>0</v>
      </c>
      <c r="I843" s="48" t="str">
        <f aca="false">'לקוחות לפי סוכן - מקור'!K781</f>
        <v>CHMI</v>
      </c>
    </row>
    <row r="844" customFormat="false" ht="15" hidden="false" customHeight="true" outlineLevel="2" collapsed="false">
      <c r="A844" s="14" t="str">
        <f aca="false">'לקוחות לפי סוכן - מקור'!A782</f>
        <v>חאזם תלחמי</v>
      </c>
      <c r="B844" s="14" t="str">
        <f aca="false">'לקוחות לפי סוכן - מקור'!C782</f>
        <v>ס. פארם</v>
      </c>
      <c r="C844" s="14" t="str">
        <f aca="false">'לקוחות לפי סוכן - מקור'!E782</f>
        <v>BM ס.פ הר יונה</v>
      </c>
      <c r="D844" s="22" t="n">
        <f aca="false">'לקוחות לפי סוכן - מקור'!F782</f>
        <v>0</v>
      </c>
      <c r="E844" s="22" t="n">
        <f aca="false">'לקוחות לפי סוכן - מקור'!G782</f>
        <v>3506.3</v>
      </c>
      <c r="F844" s="14" t="n">
        <f aca="false">'לקוחות לפי סוכן - מקור'!D782</f>
        <v>0</v>
      </c>
      <c r="G844" s="15" t="n">
        <f aca="false">'לקוחות לפי סוכן - מקור'!H782</f>
        <v>0</v>
      </c>
      <c r="H844" s="15" t="n">
        <f aca="false">'לקוחות לפי סוכן - מקור'!I782</f>
        <v>0</v>
      </c>
      <c r="I844" s="48" t="str">
        <f aca="false">'לקוחות לפי סוכן - מקור'!K782</f>
        <v>CHMI</v>
      </c>
    </row>
    <row r="845" customFormat="false" ht="15" hidden="false" customHeight="true" outlineLevel="2" collapsed="false">
      <c r="A845" s="14" t="str">
        <f aca="false">'לקוחות לפי סוכן - מקור'!A783</f>
        <v>חאזם תלחמי</v>
      </c>
      <c r="B845" s="14" t="str">
        <f aca="false">'לקוחות לפי סוכן - מקור'!C783</f>
        <v>ס. פארם</v>
      </c>
      <c r="C845" s="14" t="str">
        <f aca="false">'לקוחות לפי סוכן - מקור'!E783</f>
        <v>BM ס.פ ראש פינה</v>
      </c>
      <c r="D845" s="22" t="n">
        <f aca="false">'לקוחות לפי סוכן - מקור'!F783</f>
        <v>0</v>
      </c>
      <c r="E845" s="22" t="n">
        <f aca="false">'לקוחות לפי סוכן - מקור'!G783</f>
        <v>4317.2</v>
      </c>
      <c r="F845" s="14" t="n">
        <f aca="false">'לקוחות לפי סוכן - מקור'!D783</f>
        <v>0</v>
      </c>
      <c r="G845" s="15" t="n">
        <f aca="false">'לקוחות לפי סוכן - מקור'!H783</f>
        <v>0</v>
      </c>
      <c r="H845" s="15" t="n">
        <f aca="false">'לקוחות לפי סוכן - מקור'!I783</f>
        <v>0</v>
      </c>
      <c r="I845" s="48" t="str">
        <f aca="false">'לקוחות לפי סוכן - מקור'!K783</f>
        <v>CHMI</v>
      </c>
    </row>
    <row r="846" customFormat="false" ht="15" hidden="false" customHeight="true" outlineLevel="2" collapsed="false">
      <c r="A846" s="14" t="str">
        <f aca="false">'לקוחות לפי סוכן - מקור'!A784</f>
        <v>חאזם תלחמי</v>
      </c>
      <c r="B846" s="14" t="str">
        <f aca="false">'לקוחות לפי סוכן - מקור'!C784</f>
        <v>ס. פארם</v>
      </c>
      <c r="C846" s="14" t="str">
        <f aca="false">'לקוחות לפי סוכן - מקור'!E784</f>
        <v>BM ס.פ גושן קרית מוצקין</v>
      </c>
      <c r="D846" s="22" t="n">
        <f aca="false">'לקוחות לפי סוכן - מקור'!F784</f>
        <v>0</v>
      </c>
      <c r="E846" s="22" t="n">
        <f aca="false">'לקוחות לפי סוכן - מקור'!G784</f>
        <v>5605</v>
      </c>
      <c r="F846" s="14" t="n">
        <f aca="false">'לקוחות לפי סוכן - מקור'!D784</f>
        <v>0</v>
      </c>
      <c r="G846" s="15" t="n">
        <f aca="false">'לקוחות לפי סוכן - מקור'!H784</f>
        <v>0</v>
      </c>
      <c r="H846" s="15" t="n">
        <f aca="false">'לקוחות לפי סוכן - מקור'!I784</f>
        <v>0</v>
      </c>
      <c r="I846" s="48" t="str">
        <f aca="false">'לקוחות לפי סוכן - מקור'!K784</f>
        <v>CHMI</v>
      </c>
    </row>
    <row r="847" customFormat="false" ht="15" hidden="false" customHeight="true" outlineLevel="2" collapsed="false">
      <c r="A847" s="14" t="str">
        <f aca="false">'לקוחות לפי סוכן - מקור'!A785</f>
        <v>חאזם תלחמי</v>
      </c>
      <c r="B847" s="14" t="str">
        <f aca="false">'לקוחות לפי סוכן - מקור'!C785</f>
        <v>ס. פארם</v>
      </c>
      <c r="C847" s="14" t="str">
        <f aca="false">'לקוחות לפי סוכן - מקור'!E785</f>
        <v>BM ס.פ קניון אורות</v>
      </c>
      <c r="D847" s="22" t="n">
        <f aca="false">'לקוחות לפי סוכן - מקור'!F785</f>
        <v>0</v>
      </c>
      <c r="E847" s="22" t="n">
        <f aca="false">'לקוחות לפי סוכן - מקור'!G785</f>
        <v>9877.3</v>
      </c>
      <c r="F847" s="14" t="n">
        <f aca="false">'לקוחות לפי סוכן - מקור'!D785</f>
        <v>0</v>
      </c>
      <c r="G847" s="15" t="n">
        <f aca="false">'לקוחות לפי סוכן - מקור'!H785</f>
        <v>0</v>
      </c>
      <c r="H847" s="15" t="n">
        <f aca="false">'לקוחות לפי סוכן - מקור'!I785</f>
        <v>0</v>
      </c>
      <c r="I847" s="48" t="str">
        <f aca="false">'לקוחות לפי סוכן - מקור'!K785</f>
        <v>CHMI</v>
      </c>
    </row>
    <row r="848" customFormat="false" ht="15" hidden="false" customHeight="true" outlineLevel="2" collapsed="false">
      <c r="A848" s="14" t="str">
        <f aca="false">'לקוחות לפי סוכן - מקור'!A786</f>
        <v>חאזם תלחמי</v>
      </c>
      <c r="B848" s="14" t="str">
        <f aca="false">'לקוחות לפי סוכן - מקור'!C786</f>
        <v>ס. פארם</v>
      </c>
      <c r="C848" s="14" t="str">
        <f aca="false">'לקוחות לפי סוכן - מקור'!E786</f>
        <v>BM ס.פ רכבת עפולה</v>
      </c>
      <c r="D848" s="22" t="n">
        <f aca="false">'לקוחות לפי סוכן - מקור'!F786</f>
        <v>0</v>
      </c>
      <c r="E848" s="22" t="n">
        <f aca="false">'לקוחות לפי סוכן - מקור'!G786</f>
        <v>7471.7</v>
      </c>
      <c r="F848" s="14" t="n">
        <f aca="false">'לקוחות לפי סוכן - מקור'!D786</f>
        <v>0</v>
      </c>
      <c r="G848" s="15" t="n">
        <f aca="false">'לקוחות לפי סוכן - מקור'!H786</f>
        <v>0</v>
      </c>
      <c r="H848" s="15" t="n">
        <f aca="false">'לקוחות לפי סוכן - מקור'!I786</f>
        <v>0</v>
      </c>
      <c r="I848" s="48" t="str">
        <f aca="false">'לקוחות לפי סוכן - מקור'!K786</f>
        <v>CHMI</v>
      </c>
    </row>
    <row r="849" customFormat="false" ht="15" hidden="false" customHeight="true" outlineLevel="2" collapsed="false">
      <c r="A849" s="14" t="str">
        <f aca="false">'לקוחות לפי סוכן - מקור'!A787</f>
        <v>חאזם תלחמי</v>
      </c>
      <c r="B849" s="14" t="str">
        <f aca="false">'לקוחות לפי סוכן - מקור'!C787</f>
        <v>ס. פארם</v>
      </c>
      <c r="C849" s="14" t="str">
        <f aca="false">'לקוחות לפי סוכן - מקור'!E787</f>
        <v>BM ס.פ דלית אל כרמל</v>
      </c>
      <c r="D849" s="22" t="n">
        <f aca="false">'לקוחות לפי סוכן - מקור'!F787</f>
        <v>0</v>
      </c>
      <c r="E849" s="22" t="n">
        <f aca="false">'לקוחות לפי סוכן - מקור'!G787</f>
        <v>7007.4</v>
      </c>
      <c r="F849" s="14" t="n">
        <f aca="false">'לקוחות לפי סוכן - מקור'!D787</f>
        <v>0</v>
      </c>
      <c r="G849" s="15" t="n">
        <f aca="false">'לקוחות לפי סוכן - מקור'!H787</f>
        <v>0</v>
      </c>
      <c r="H849" s="15" t="n">
        <f aca="false">'לקוחות לפי סוכן - מקור'!I787</f>
        <v>0</v>
      </c>
      <c r="I849" s="48" t="str">
        <f aca="false">'לקוחות לפי סוכן - מקור'!K787</f>
        <v>CHMI</v>
      </c>
    </row>
    <row r="850" customFormat="false" ht="15" hidden="false" customHeight="true" outlineLevel="2" collapsed="false">
      <c r="A850" s="14" t="str">
        <f aca="false">'לקוחות לפי סוכן - מקור'!A788</f>
        <v>חאזם תלחמי</v>
      </c>
      <c r="B850" s="14" t="str">
        <f aca="false">'לקוחות לפי סוכן - מקור'!C788</f>
        <v>ס. פארם</v>
      </c>
      <c r="C850" s="14" t="str">
        <f aca="false">'לקוחות לפי סוכן - מקור'!E788</f>
        <v>BM ס.פ כפר כנא</v>
      </c>
      <c r="D850" s="22" t="n">
        <f aca="false">'לקוחות לפי סוכן - מקור'!F788</f>
        <v>0</v>
      </c>
      <c r="E850" s="22" t="n">
        <f aca="false">'לקוחות לפי סוכן - מקור'!G788</f>
        <v>4153</v>
      </c>
      <c r="F850" s="14" t="n">
        <f aca="false">'לקוחות לפי סוכן - מקור'!D788</f>
        <v>0</v>
      </c>
      <c r="G850" s="15" t="n">
        <f aca="false">'לקוחות לפי סוכן - מקור'!H788</f>
        <v>0</v>
      </c>
      <c r="H850" s="15" t="n">
        <f aca="false">'לקוחות לפי סוכן - מקור'!I788</f>
        <v>0</v>
      </c>
      <c r="I850" s="48" t="str">
        <f aca="false">'לקוחות לפי סוכן - מקור'!K788</f>
        <v>CHMI</v>
      </c>
    </row>
    <row r="851" customFormat="false" ht="15" hidden="false" customHeight="true" outlineLevel="2" collapsed="false">
      <c r="A851" s="14" t="str">
        <f aca="false">'לקוחות לפי סוכן - מקור'!A789</f>
        <v>חאזם תלחמי</v>
      </c>
      <c r="B851" s="14" t="str">
        <f aca="false">'לקוחות לפי סוכן - מקור'!C789</f>
        <v>ס. פארם</v>
      </c>
      <c r="C851" s="14" t="str">
        <f aca="false">'לקוחות לפי סוכן - מקור'!E789</f>
        <v>BM ס.פ באקה סנטר</v>
      </c>
      <c r="D851" s="22" t="n">
        <f aca="false">'לקוחות לפי סוכן - מקור'!F789</f>
        <v>0</v>
      </c>
      <c r="E851" s="22" t="n">
        <f aca="false">'לקוחות לפי סוכן - מקור'!G789</f>
        <v>4079.3</v>
      </c>
      <c r="F851" s="14" t="n">
        <f aca="false">'לקוחות לפי סוכן - מקור'!D789</f>
        <v>0</v>
      </c>
      <c r="G851" s="15" t="n">
        <f aca="false">'לקוחות לפי סוכן - מקור'!H789</f>
        <v>0</v>
      </c>
      <c r="H851" s="15" t="n">
        <f aca="false">'לקוחות לפי סוכן - מקור'!I789</f>
        <v>0</v>
      </c>
      <c r="I851" s="48" t="str">
        <f aca="false">'לקוחות לפי סוכן - מקור'!K789</f>
        <v>CHMI</v>
      </c>
    </row>
    <row r="852" customFormat="false" ht="15" hidden="false" customHeight="true" outlineLevel="2" collapsed="false">
      <c r="A852" s="14" t="str">
        <f aca="false">'לקוחות לפי סוכן - מקור'!A790</f>
        <v>חאזם תלחמי</v>
      </c>
      <c r="B852" s="14" t="str">
        <f aca="false">'לקוחות לפי סוכן - מקור'!C790</f>
        <v>ס. פארם</v>
      </c>
      <c r="C852" s="14" t="str">
        <f aca="false">'לקוחות לפי סוכן - מקור'!E790</f>
        <v>BM ס.פ מול כנרת צמח</v>
      </c>
      <c r="D852" s="22" t="n">
        <f aca="false">'לקוחות לפי סוכן - מקור'!F790</f>
        <v>0</v>
      </c>
      <c r="E852" s="22" t="n">
        <f aca="false">'לקוחות לפי סוכן - מקור'!G790</f>
        <v>20586.2</v>
      </c>
      <c r="F852" s="14" t="n">
        <f aca="false">'לקוחות לפי סוכן - מקור'!D790</f>
        <v>0</v>
      </c>
      <c r="G852" s="15" t="n">
        <f aca="false">'לקוחות לפי סוכן - מקור'!H790</f>
        <v>0</v>
      </c>
      <c r="H852" s="15" t="n">
        <f aca="false">'לקוחות לפי סוכן - מקור'!I790</f>
        <v>0</v>
      </c>
      <c r="I852" s="48" t="str">
        <f aca="false">'לקוחות לפי סוכן - מקור'!K790</f>
        <v>CHMI</v>
      </c>
    </row>
    <row r="853" customFormat="false" ht="15" hidden="false" customHeight="true" outlineLevel="2" collapsed="false">
      <c r="A853" s="14" t="str">
        <f aca="false">'לקוחות לפי סוכן - מקור'!A791</f>
        <v>חאזם תלחמי</v>
      </c>
      <c r="B853" s="14" t="str">
        <f aca="false">'לקוחות לפי סוכן - מקור'!C791</f>
        <v>ס. פארם</v>
      </c>
      <c r="C853" s="14" t="str">
        <f aca="false">'לקוחות לפי סוכן - מקור'!E791</f>
        <v>BM ס.פ דושי סנטר נצרת</v>
      </c>
      <c r="D853" s="22" t="n">
        <f aca="false">'לקוחות לפי סוכן - מקור'!F791</f>
        <v>0</v>
      </c>
      <c r="E853" s="22" t="n">
        <f aca="false">'לקוחות לפי סוכן - מקור'!G791</f>
        <v>2816.3</v>
      </c>
      <c r="F853" s="14" t="n">
        <f aca="false">'לקוחות לפי סוכן - מקור'!D791</f>
        <v>0</v>
      </c>
      <c r="G853" s="15" t="n">
        <f aca="false">'לקוחות לפי סוכן - מקור'!H791</f>
        <v>0</v>
      </c>
      <c r="H853" s="15" t="n">
        <f aca="false">'לקוחות לפי סוכן - מקור'!I791</f>
        <v>0</v>
      </c>
      <c r="I853" s="48" t="str">
        <f aca="false">'לקוחות לפי סוכן - מקור'!K791</f>
        <v>CHMI</v>
      </c>
    </row>
    <row r="854" customFormat="false" ht="15" hidden="false" customHeight="true" outlineLevel="2" collapsed="false">
      <c r="A854" s="14" t="str">
        <f aca="false">'לקוחות לפי סוכן - מקור'!A792</f>
        <v>חאזם תלחמי</v>
      </c>
      <c r="B854" s="14" t="str">
        <f aca="false">'לקוחות לפי סוכן - מקור'!C792</f>
        <v>ס. פארם</v>
      </c>
      <c r="C854" s="14" t="str">
        <f aca="false">'לקוחות לפי סוכן - מקור'!E792</f>
        <v>BM ס.פ כפר קרע</v>
      </c>
      <c r="D854" s="22" t="n">
        <f aca="false">'לקוחות לפי סוכן - מקור'!F792</f>
        <v>0</v>
      </c>
      <c r="E854" s="22" t="n">
        <f aca="false">'לקוחות לפי סוכן - מקור'!G792</f>
        <v>6502.8</v>
      </c>
      <c r="F854" s="14" t="n">
        <f aca="false">'לקוחות לפי סוכן - מקור'!D792</f>
        <v>0</v>
      </c>
      <c r="G854" s="15" t="n">
        <f aca="false">'לקוחות לפי סוכן - מקור'!H792</f>
        <v>0</v>
      </c>
      <c r="H854" s="15" t="n">
        <f aca="false">'לקוחות לפי סוכן - מקור'!I792</f>
        <v>0</v>
      </c>
      <c r="I854" s="48" t="str">
        <f aca="false">'לקוחות לפי סוכן - מקור'!K792</f>
        <v>CHMI</v>
      </c>
    </row>
    <row r="855" customFormat="false" ht="15" hidden="false" customHeight="true" outlineLevel="2" collapsed="false">
      <c r="A855" s="14" t="str">
        <f aca="false">'לקוחות לפי סוכן - מקור'!A793</f>
        <v>חאזם תלחמי</v>
      </c>
      <c r="B855" s="14" t="str">
        <f aca="false">'לקוחות לפי סוכן - מקור'!C793</f>
        <v>ס. פארם</v>
      </c>
      <c r="C855" s="14" t="str">
        <f aca="false">'לקוחות לפי סוכן - מקור'!E793</f>
        <v>BM ס.פ ג'דיידה מכר</v>
      </c>
      <c r="D855" s="22" t="n">
        <f aca="false">'לקוחות לפי סוכן - מקור'!F793</f>
        <v>0</v>
      </c>
      <c r="E855" s="22" t="n">
        <f aca="false">'לקוחות לפי סוכן - מקור'!G793</f>
        <v>4360.4</v>
      </c>
      <c r="F855" s="14" t="n">
        <f aca="false">'לקוחות לפי סוכן - מקור'!D793</f>
        <v>0</v>
      </c>
      <c r="G855" s="15" t="n">
        <f aca="false">'לקוחות לפי סוכן - מקור'!H793</f>
        <v>0</v>
      </c>
      <c r="H855" s="15" t="n">
        <f aca="false">'לקוחות לפי סוכן - מקור'!I793</f>
        <v>0</v>
      </c>
      <c r="I855" s="48" t="str">
        <f aca="false">'לקוחות לפי סוכן - מקור'!K793</f>
        <v>CHMI</v>
      </c>
    </row>
    <row r="856" customFormat="false" ht="15" hidden="false" customHeight="true" outlineLevel="2" collapsed="false">
      <c r="A856" s="14" t="str">
        <f aca="false">'לקוחות לפי סוכן - מקור'!A794</f>
        <v>חאזם תלחמי</v>
      </c>
      <c r="B856" s="14" t="str">
        <f aca="false">'לקוחות לפי סוכן - מקור'!C794</f>
        <v>ס. פארם</v>
      </c>
      <c r="C856" s="14" t="str">
        <f aca="false">'לקוחות לפי סוכן - מקור'!E794</f>
        <v>BM ס.פ יוקלר עפולה</v>
      </c>
      <c r="D856" s="22" t="n">
        <f aca="false">'לקוחות לפי סוכן - מקור'!F794</f>
        <v>0</v>
      </c>
      <c r="E856" s="22" t="n">
        <f aca="false">'לקוחות לפי סוכן - מקור'!G794</f>
        <v>2375.5</v>
      </c>
      <c r="F856" s="14" t="n">
        <f aca="false">'לקוחות לפי סוכן - מקור'!D794</f>
        <v>0</v>
      </c>
      <c r="G856" s="15" t="n">
        <f aca="false">'לקוחות לפי סוכן - מקור'!H794</f>
        <v>0</v>
      </c>
      <c r="H856" s="15" t="n">
        <f aca="false">'לקוחות לפי סוכן - מקור'!I794</f>
        <v>0</v>
      </c>
      <c r="I856" s="48" t="str">
        <f aca="false">'לקוחות לפי סוכן - מקור'!K794</f>
        <v>CHMI</v>
      </c>
    </row>
    <row r="857" customFormat="false" ht="15" hidden="false" customHeight="true" outlineLevel="2" collapsed="false">
      <c r="A857" s="14" t="str">
        <f aca="false">'לקוחות לפי סוכן - מקור'!A795</f>
        <v>חאזם תלחמי</v>
      </c>
      <c r="B857" s="14" t="str">
        <f aca="false">'לקוחות לפי סוכן - מקור'!C795</f>
        <v>ס. פארם</v>
      </c>
      <c r="C857" s="14" t="str">
        <f aca="false">'לקוחות לפי סוכן - מקור'!E795</f>
        <v>BM ס.פ עראבה</v>
      </c>
      <c r="D857" s="22" t="n">
        <f aca="false">'לקוחות לפי סוכן - מקור'!F795</f>
        <v>0</v>
      </c>
      <c r="E857" s="22" t="n">
        <f aca="false">'לקוחות לפי סוכן - מקור'!G795</f>
        <v>7884.7</v>
      </c>
      <c r="F857" s="14" t="n">
        <f aca="false">'לקוחות לפי סוכן - מקור'!D795</f>
        <v>0</v>
      </c>
      <c r="G857" s="15" t="n">
        <f aca="false">'לקוחות לפי סוכן - מקור'!H795</f>
        <v>0</v>
      </c>
      <c r="H857" s="15" t="n">
        <f aca="false">'לקוחות לפי סוכן - מקור'!I795</f>
        <v>0</v>
      </c>
      <c r="I857" s="48" t="str">
        <f aca="false">'לקוחות לפי סוכן - מקור'!K795</f>
        <v>CHMI</v>
      </c>
    </row>
    <row r="858" customFormat="false" ht="15" hidden="false" customHeight="true" outlineLevel="2" collapsed="false">
      <c r="A858" s="14" t="str">
        <f aca="false">'לקוחות לפי סוכן - מקור'!A796</f>
        <v>חאזם תלחמי</v>
      </c>
      <c r="B858" s="14" t="str">
        <f aca="false">'לקוחות לפי סוכן - מקור'!C796</f>
        <v>ס. פארם</v>
      </c>
      <c r="C858" s="14" t="str">
        <f aca="false">'לקוחות לפי סוכן - מקור'!E796</f>
        <v>671 BM ס.פ פבריק עמק חפר</v>
      </c>
      <c r="D858" s="22" t="n">
        <f aca="false">'לקוחות לפי סוכן - מקור'!F796</f>
        <v>0</v>
      </c>
      <c r="E858" s="22" t="n">
        <f aca="false">'לקוחות לפי סוכן - מקור'!G796</f>
        <v>41267.4</v>
      </c>
      <c r="F858" s="14" t="n">
        <f aca="false">'לקוחות לפי סוכן - מקור'!D796</f>
        <v>0</v>
      </c>
      <c r="G858" s="15" t="n">
        <f aca="false">'לקוחות לפי סוכן - מקור'!H796</f>
        <v>0</v>
      </c>
      <c r="H858" s="15" t="n">
        <f aca="false">'לקוחות לפי סוכן - מקור'!I796</f>
        <v>0</v>
      </c>
      <c r="I858" s="48" t="str">
        <f aca="false">'לקוחות לפי סוכן - מקור'!K796</f>
        <v>CHMI</v>
      </c>
    </row>
    <row r="859" customFormat="false" ht="15" hidden="false" customHeight="true" outlineLevel="2" collapsed="false">
      <c r="A859" s="14" t="str">
        <f aca="false">'לקוחות לפי סוכן - מקור'!A797</f>
        <v>חאזם תלחמי</v>
      </c>
      <c r="B859" s="14" t="str">
        <f aca="false">'לקוחות לפי סוכן - מקור'!C797</f>
        <v>ס. פארם</v>
      </c>
      <c r="C859" s="14" t="str">
        <f aca="false">'לקוחות לפי סוכן - מקור'!E797</f>
        <v>BM ס.פ חריש בעיר</v>
      </c>
      <c r="D859" s="22" t="n">
        <f aca="false">'לקוחות לפי סוכן - מקור'!F797</f>
        <v>0</v>
      </c>
      <c r="E859" s="22" t="n">
        <f aca="false">'לקוחות לפי סוכן - מקור'!G797</f>
        <v>9129</v>
      </c>
      <c r="F859" s="14" t="n">
        <f aca="false">'לקוחות לפי סוכן - מקור'!D797</f>
        <v>0</v>
      </c>
      <c r="G859" s="15" t="n">
        <f aca="false">'לקוחות לפי סוכן - מקור'!H797</f>
        <v>0</v>
      </c>
      <c r="H859" s="15" t="n">
        <f aca="false">'לקוחות לפי סוכן - מקור'!I797</f>
        <v>0</v>
      </c>
      <c r="I859" s="48" t="str">
        <f aca="false">'לקוחות לפי סוכן - מקור'!K797</f>
        <v>CHMI</v>
      </c>
    </row>
    <row r="860" customFormat="false" ht="15" hidden="false" customHeight="true" outlineLevel="2" collapsed="false">
      <c r="A860" s="14" t="str">
        <f aca="false">'לקוחות לפי סוכן - מקור'!A798</f>
        <v>חאזם תלחמי</v>
      </c>
      <c r="B860" s="14" t="str">
        <f aca="false">'לקוחות לפי סוכן - מקור'!C798</f>
        <v>ס. פארם</v>
      </c>
      <c r="C860" s="14" t="str">
        <f aca="false">'לקוחות לפי סוכן - מקור'!E798</f>
        <v>BM ק. ים SEA ס.פ</v>
      </c>
      <c r="D860" s="22" t="n">
        <f aca="false">'לקוחות לפי סוכן - מקור'!F798</f>
        <v>0</v>
      </c>
      <c r="E860" s="22" t="n">
        <f aca="false">'לקוחות לפי סוכן - מקור'!G798</f>
        <v>5187.3</v>
      </c>
      <c r="F860" s="14" t="n">
        <f aca="false">'לקוחות לפי סוכן - מקור'!D798</f>
        <v>0</v>
      </c>
      <c r="G860" s="15" t="n">
        <f aca="false">'לקוחות לפי סוכן - מקור'!H798</f>
        <v>0</v>
      </c>
      <c r="H860" s="15" t="n">
        <f aca="false">'לקוחות לפי סוכן - מקור'!I798</f>
        <v>0</v>
      </c>
      <c r="I860" s="48" t="str">
        <f aca="false">'לקוחות לפי סוכן - מקור'!K798</f>
        <v>CHMI</v>
      </c>
    </row>
    <row r="861" customFormat="false" ht="15" hidden="false" customHeight="true" outlineLevel="2" collapsed="false">
      <c r="A861" s="14" t="str">
        <f aca="false">'לקוחות לפי סוכן - מקור'!A799</f>
        <v>חאזם תלחמי</v>
      </c>
      <c r="B861" s="14" t="str">
        <f aca="false">'לקוחות לפי סוכן - מקור'!C799</f>
        <v>ס. פארם</v>
      </c>
      <c r="C861" s="14" t="str">
        <f aca="false">'לקוחות לפי סוכן - מקור'!E799</f>
        <v>BM ס.פ גבעת אלונים</v>
      </c>
      <c r="D861" s="22" t="n">
        <f aca="false">'לקוחות לפי סוכן - מקור'!F799</f>
        <v>0</v>
      </c>
      <c r="E861" s="22" t="n">
        <f aca="false">'לקוחות לפי סוכן - מקור'!G799</f>
        <v>1815.5</v>
      </c>
      <c r="F861" s="14" t="n">
        <f aca="false">'לקוחות לפי סוכן - מקור'!D799</f>
        <v>0</v>
      </c>
      <c r="G861" s="15" t="n">
        <f aca="false">'לקוחות לפי סוכן - מקור'!H799</f>
        <v>0</v>
      </c>
      <c r="H861" s="15" t="n">
        <f aca="false">'לקוחות לפי סוכן - מקור'!I799</f>
        <v>0</v>
      </c>
      <c r="I861" s="48" t="str">
        <f aca="false">'לקוחות לפי סוכן - מקור'!K799</f>
        <v>CHMI</v>
      </c>
    </row>
    <row r="862" customFormat="false" ht="15" hidden="false" customHeight="true" outlineLevel="2" collapsed="false">
      <c r="A862" s="14" t="str">
        <f aca="false">'לקוחות לפי סוכן - מקור'!A800</f>
        <v>חאזם תלחמי</v>
      </c>
      <c r="B862" s="14" t="str">
        <f aca="false">'לקוחות לפי סוכן - מקור'!C800</f>
        <v>ס. פארם</v>
      </c>
      <c r="C862" s="14" t="str">
        <f aca="false">'לקוחות לפי סוכן - מקור'!E800</f>
        <v>BM ס.פ אעבלין</v>
      </c>
      <c r="D862" s="22" t="n">
        <f aca="false">'לקוחות לפי סוכן - מקור'!F800</f>
        <v>0</v>
      </c>
      <c r="E862" s="22" t="n">
        <f aca="false">'לקוחות לפי סוכן - מקור'!G800</f>
        <v>3026.2</v>
      </c>
      <c r="F862" s="14" t="n">
        <f aca="false">'לקוחות לפי סוכן - מקור'!D800</f>
        <v>0</v>
      </c>
      <c r="G862" s="15" t="n">
        <f aca="false">'לקוחות לפי סוכן - מקור'!H800</f>
        <v>0</v>
      </c>
      <c r="H862" s="15" t="n">
        <f aca="false">'לקוחות לפי סוכן - מקור'!I800</f>
        <v>0</v>
      </c>
      <c r="I862" s="48" t="str">
        <f aca="false">'לקוחות לפי סוכן - מקור'!K800</f>
        <v>CHMI</v>
      </c>
    </row>
    <row r="863" customFormat="false" ht="15" hidden="false" customHeight="true" outlineLevel="2" collapsed="false">
      <c r="A863" s="14" t="str">
        <f aca="false">'לקוחות לפי סוכן - מקור'!A801</f>
        <v>חאזם תלחמי</v>
      </c>
      <c r="B863" s="14" t="str">
        <f aca="false">'לקוחות לפי סוכן - מקור'!C801</f>
        <v>ס. פארם</v>
      </c>
      <c r="C863" s="14" t="str">
        <f aca="false">'לקוחות לפי סוכן - מקור'!E801</f>
        <v>BM ס.פ פארק תעשיות עמק חפר</v>
      </c>
      <c r="D863" s="22" t="n">
        <f aca="false">'לקוחות לפי סוכן - מקור'!F801</f>
        <v>0</v>
      </c>
      <c r="E863" s="22" t="n">
        <f aca="false">'לקוחות לפי סוכן - מקור'!G801</f>
        <v>-995.5</v>
      </c>
      <c r="F863" s="14" t="n">
        <f aca="false">'לקוחות לפי סוכן - מקור'!D801</f>
        <v>0</v>
      </c>
      <c r="G863" s="15" t="n">
        <f aca="false">'לקוחות לפי סוכן - מקור'!H801</f>
        <v>0</v>
      </c>
      <c r="H863" s="15" t="n">
        <f aca="false">'לקוחות לפי סוכן - מקור'!I801</f>
        <v>0</v>
      </c>
      <c r="I863" s="48" t="str">
        <f aca="false">'לקוחות לפי סוכן - מקור'!K801</f>
        <v>CHMI</v>
      </c>
    </row>
    <row r="864" customFormat="false" ht="15" hidden="false" customHeight="true" outlineLevel="2" collapsed="false">
      <c r="A864" s="14" t="str">
        <f aca="false">'לקוחות לפי סוכן - מקור'!A802</f>
        <v>חאזם תלחמי</v>
      </c>
      <c r="B864" s="14" t="str">
        <f aca="false">'לקוחות לפי סוכן - מקור'!C802</f>
        <v>ס. פארם</v>
      </c>
      <c r="C864" s="14" t="str">
        <f aca="false">'לקוחות לפי סוכן - מקור'!E802</f>
        <v>BM ס.פ הבנקים חיפה</v>
      </c>
      <c r="D864" s="22" t="n">
        <f aca="false">'לקוחות לפי סוכן - מקור'!F802</f>
        <v>0</v>
      </c>
      <c r="E864" s="22" t="n">
        <f aca="false">'לקוחות לפי סוכן - מקור'!G802</f>
        <v>3940.4</v>
      </c>
      <c r="F864" s="14" t="n">
        <f aca="false">'לקוחות לפי סוכן - מקור'!D802</f>
        <v>0</v>
      </c>
      <c r="G864" s="15" t="n">
        <f aca="false">'לקוחות לפי סוכן - מקור'!H802</f>
        <v>0</v>
      </c>
      <c r="H864" s="15" t="n">
        <f aca="false">'לקוחות לפי סוכן - מקור'!I802</f>
        <v>0</v>
      </c>
      <c r="I864" s="48" t="str">
        <f aca="false">'לקוחות לפי סוכן - מקור'!K802</f>
        <v>CHMI</v>
      </c>
    </row>
    <row r="865" customFormat="false" ht="15" hidden="false" customHeight="true" outlineLevel="2" collapsed="false">
      <c r="A865" s="14" t="str">
        <f aca="false">'לקוחות לפי סוכן - מקור'!A803</f>
        <v>חאזם תלחמי</v>
      </c>
      <c r="B865" s="14" t="str">
        <f aca="false">'לקוחות לפי סוכן - מקור'!C803</f>
        <v>ס. פארם</v>
      </c>
      <c r="C865" s="14" t="str">
        <f aca="false">'לקוחות לפי סוכן - מקור'!E803</f>
        <v>BM ס.פ ביג מגדל העמק</v>
      </c>
      <c r="D865" s="22" t="n">
        <f aca="false">'לקוחות לפי סוכן - מקור'!F803</f>
        <v>0</v>
      </c>
      <c r="E865" s="22" t="n">
        <f aca="false">'לקוחות לפי סוכן - מקור'!G803</f>
        <v>6794</v>
      </c>
      <c r="F865" s="14" t="n">
        <f aca="false">'לקוחות לפי סוכן - מקור'!D803</f>
        <v>0</v>
      </c>
      <c r="G865" s="15" t="n">
        <f aca="false">'לקוחות לפי סוכן - מקור'!H803</f>
        <v>0</v>
      </c>
      <c r="H865" s="15" t="n">
        <f aca="false">'לקוחות לפי סוכן - מקור'!I803</f>
        <v>0</v>
      </c>
      <c r="I865" s="48" t="str">
        <f aca="false">'לקוחות לפי סוכן - מקור'!K803</f>
        <v>CHMI</v>
      </c>
    </row>
    <row r="866" customFormat="false" ht="15" hidden="false" customHeight="true" outlineLevel="2" collapsed="false">
      <c r="A866" s="14" t="str">
        <f aca="false">'לקוחות לפי סוכן - מקור'!A804</f>
        <v>חאזם תלחמי</v>
      </c>
      <c r="B866" s="14" t="str">
        <f aca="false">'לקוחות לפי סוכן - מקור'!C804</f>
        <v>ס. פארם</v>
      </c>
      <c r="C866" s="14" t="str">
        <f aca="false">'לקוחות לפי סוכן - מקור'!E804</f>
        <v>BM ס.פ אפקה קרית ביאליק</v>
      </c>
      <c r="D866" s="22" t="n">
        <f aca="false">'לקוחות לפי סוכן - מקור'!F804</f>
        <v>0</v>
      </c>
      <c r="E866" s="22" t="n">
        <f aca="false">'לקוחות לפי סוכן - מקור'!G804</f>
        <v>2209.3</v>
      </c>
      <c r="F866" s="14" t="n">
        <f aca="false">'לקוחות לפי סוכן - מקור'!D804</f>
        <v>0</v>
      </c>
      <c r="G866" s="15" t="n">
        <f aca="false">'לקוחות לפי סוכן - מקור'!H804</f>
        <v>0</v>
      </c>
      <c r="H866" s="15" t="n">
        <f aca="false">'לקוחות לפי סוכן - מקור'!I804</f>
        <v>0</v>
      </c>
      <c r="I866" s="48" t="str">
        <f aca="false">'לקוחות לפי סוכן - מקור'!K804</f>
        <v>CHMI</v>
      </c>
    </row>
    <row r="867" customFormat="false" ht="15" hidden="false" customHeight="true" outlineLevel="2" collapsed="false">
      <c r="A867" s="14" t="str">
        <f aca="false">'לקוחות לפי סוכן - מקור'!A805</f>
        <v>חאזם תלחמי</v>
      </c>
      <c r="B867" s="14" t="str">
        <f aca="false">'לקוחות לפי סוכן - מקור'!C805</f>
        <v>ס. פארם</v>
      </c>
      <c r="C867" s="14" t="str">
        <f aca="false">'לקוחות לפי סוכן - מקור'!E805</f>
        <v>BM ס.פ צים טמרה</v>
      </c>
      <c r="D867" s="22" t="n">
        <f aca="false">'לקוחות לפי סוכן - מקור'!F805</f>
        <v>0</v>
      </c>
      <c r="E867" s="22" t="n">
        <f aca="false">'לקוחות לפי סוכן - מקור'!G805</f>
        <v>4665</v>
      </c>
      <c r="F867" s="14" t="n">
        <f aca="false">'לקוחות לפי סוכן - מקור'!D805</f>
        <v>0</v>
      </c>
      <c r="G867" s="15" t="n">
        <f aca="false">'לקוחות לפי סוכן - מקור'!H805</f>
        <v>0</v>
      </c>
      <c r="H867" s="15" t="n">
        <f aca="false">'לקוחות לפי סוכן - מקור'!I805</f>
        <v>0</v>
      </c>
      <c r="I867" s="48" t="str">
        <f aca="false">'לקוחות לפי סוכן - מקור'!K805</f>
        <v>CHMI</v>
      </c>
    </row>
    <row r="868" customFormat="false" ht="15" hidden="false" customHeight="true" outlineLevel="2" collapsed="false">
      <c r="A868" s="14" t="str">
        <f aca="false">'לקוחות לפי סוכן - מקור'!A806</f>
        <v>חאזם תלחמי</v>
      </c>
      <c r="B868" s="14" t="str">
        <f aca="false">'לקוחות לפי סוכן - מקור'!C806</f>
        <v>ס. פארם</v>
      </c>
      <c r="C868" s="14" t="str">
        <f aca="false">'לקוחות לפי סוכן - מקור'!E806</f>
        <v>BM ס.פ האומנים קרית מוצקין</v>
      </c>
      <c r="D868" s="22" t="n">
        <f aca="false">'לקוחות לפי סוכן - מקור'!F806</f>
        <v>0</v>
      </c>
      <c r="E868" s="22" t="n">
        <f aca="false">'לקוחות לפי סוכן - מקור'!G806</f>
        <v>1149.7</v>
      </c>
      <c r="F868" s="14" t="n">
        <f aca="false">'לקוחות לפי סוכן - מקור'!D806</f>
        <v>0</v>
      </c>
      <c r="G868" s="15" t="n">
        <f aca="false">'לקוחות לפי סוכן - מקור'!H806</f>
        <v>0</v>
      </c>
      <c r="H868" s="15" t="n">
        <f aca="false">'לקוחות לפי סוכן - מקור'!I806</f>
        <v>0</v>
      </c>
      <c r="I868" s="48" t="str">
        <f aca="false">'לקוחות לפי סוכן - מקור'!K806</f>
        <v>CHMI</v>
      </c>
    </row>
    <row r="869" customFormat="false" ht="15" hidden="false" customHeight="true" outlineLevel="1" collapsed="false">
      <c r="A869" s="49" t="s">
        <v>25</v>
      </c>
      <c r="B869" s="50" t="s">
        <v>18</v>
      </c>
      <c r="C869" s="51"/>
      <c r="D869" s="52" t="n">
        <f aca="false">SUMIFS('לקוחות לפי סוכן - מקור'!$F$2:$F$867,'לקוחות לפי סוכן - מקור'!$A$2:$A$867,$A869,'לקוחות לפי סוכן - מקור'!$C$2:$C$867,$B869)</f>
        <v>0</v>
      </c>
      <c r="E869" s="52" t="n">
        <f aca="false">SUMIFS('לקוחות לפי סוכן - מקור'!$G$2:$G$867,'לקוחות לפי סוכן - מקור'!$A$2:$A$867,$A869,'לקוחות לפי סוכן - מקור'!$C$2:$C$867,$B869)</f>
        <v>198224.6</v>
      </c>
      <c r="F869" s="51"/>
      <c r="G869" s="53" t="n">
        <f aca="false">SUMIFS('לקוחות לפי סוכן - מקור'!$H$2:$H$867,'לקוחות לפי סוכן - מקור'!$A$2:$A$867,$A869,'לקוחות לפי סוכן - מקור'!$C$2:$C$867,$B869)</f>
        <v>0</v>
      </c>
      <c r="H869" s="53" t="n">
        <f aca="false">SUMIFS('לקוחות לפי סוכן - מקור'!$I$2:$I$867,'לקוחות לפי סוכן - מקור'!$A$2:$A$867,$A869,'לקוחות לפי סוכן - מקור'!$C$2:$C$867,$B869)</f>
        <v>0</v>
      </c>
      <c r="I869" s="51"/>
      <c r="J869" s="53" t="n">
        <f aca="false">COUNTIFS('לקוחות לפי סוכן - מקור'!$A$2:$A$867,$A869,'לקוחות לפי סוכן - מקור'!$C$2:$C$867,$B869)</f>
        <v>29</v>
      </c>
    </row>
    <row r="870" customFormat="false" ht="15" hidden="false" customHeight="true" outlineLevel="2" collapsed="false">
      <c r="A870" s="14" t="str">
        <f aca="false">'לקוחות לפי סוכן - מקור'!A807</f>
        <v>חאזם תלחמי</v>
      </c>
      <c r="B870" s="14" t="str">
        <f aca="false">'לקוחות לפי סוכן - מקור'!C807</f>
        <v>שופרסל BE</v>
      </c>
      <c r="C870" s="14" t="str">
        <f aca="false">'לקוחות לפי סוכן - מקור'!E807</f>
        <v>650 חיפה BE</v>
      </c>
      <c r="D870" s="22" t="n">
        <f aca="false">'לקוחות לפי סוכן - מקור'!F807</f>
        <v>0</v>
      </c>
      <c r="E870" s="22" t="n">
        <f aca="false">'לקוחות לפי סוכן - מקור'!G807</f>
        <v>21263.9</v>
      </c>
      <c r="F870" s="14" t="n">
        <f aca="false">'לקוחות לפי סוכן - מקור'!D807</f>
        <v>0</v>
      </c>
      <c r="G870" s="15" t="n">
        <f aca="false">'לקוחות לפי סוכן - מקור'!H807</f>
        <v>0</v>
      </c>
      <c r="H870" s="15" t="n">
        <f aca="false">'לקוחות לפי סוכן - מקור'!I807</f>
        <v>0</v>
      </c>
      <c r="I870" s="48" t="str">
        <f aca="false">'לקוחות לפי סוכן - מקור'!K807</f>
        <v>CHMI</v>
      </c>
    </row>
    <row r="871" customFormat="false" ht="15" hidden="false" customHeight="true" outlineLevel="2" collapsed="false">
      <c r="A871" s="14" t="str">
        <f aca="false">'לקוחות לפי סוכן - מקור'!A808</f>
        <v>חאזם תלחמי</v>
      </c>
      <c r="B871" s="14" t="str">
        <f aca="false">'לקוחות לפי סוכן - מקור'!C808</f>
        <v>שופרסל BE</v>
      </c>
      <c r="C871" s="14" t="str">
        <f aca="false">'לקוחות לפי סוכן - מקור'!E808</f>
        <v>659 פארם הדר חיפה BE</v>
      </c>
      <c r="D871" s="22" t="n">
        <f aca="false">'לקוחות לפי סוכן - מקור'!F808</f>
        <v>0</v>
      </c>
      <c r="E871" s="22" t="n">
        <f aca="false">'לקוחות לפי סוכן - מקור'!G808</f>
        <v>5019.8</v>
      </c>
      <c r="F871" s="14" t="n">
        <f aca="false">'לקוחות לפי סוכן - מקור'!D808</f>
        <v>0</v>
      </c>
      <c r="G871" s="15" t="n">
        <f aca="false">'לקוחות לפי סוכן - מקור'!H808</f>
        <v>0</v>
      </c>
      <c r="H871" s="15" t="n">
        <f aca="false">'לקוחות לפי סוכן - מקור'!I808</f>
        <v>0</v>
      </c>
      <c r="I871" s="48" t="str">
        <f aca="false">'לקוחות לפי סוכן - מקור'!K808</f>
        <v>CHMI</v>
      </c>
    </row>
    <row r="872" customFormat="false" ht="15" hidden="false" customHeight="true" outlineLevel="2" collapsed="false">
      <c r="A872" s="14" t="str">
        <f aca="false">'לקוחות לפי סוכן - מקור'!A809</f>
        <v>חאזם תלחמי</v>
      </c>
      <c r="B872" s="14" t="str">
        <f aca="false">'לקוחות לפי סוכן - מקור'!C809</f>
        <v>שופרסל BE</v>
      </c>
      <c r="C872" s="14" t="str">
        <f aca="false">'לקוחות לפי סוכן - מקור'!E809</f>
        <v>633 תל חנן נשר BE</v>
      </c>
      <c r="D872" s="22" t="n">
        <f aca="false">'לקוחות לפי סוכן - מקור'!F809</f>
        <v>0</v>
      </c>
      <c r="E872" s="22" t="n">
        <f aca="false">'לקוחות לפי סוכן - מקור'!G809</f>
        <v>7251.7</v>
      </c>
      <c r="F872" s="14" t="n">
        <f aca="false">'לקוחות לפי סוכן - מקור'!D809</f>
        <v>0</v>
      </c>
      <c r="G872" s="15" t="n">
        <f aca="false">'לקוחות לפי סוכן - מקור'!H809</f>
        <v>0</v>
      </c>
      <c r="H872" s="15" t="n">
        <f aca="false">'לקוחות לפי סוכן - מקור'!I809</f>
        <v>0</v>
      </c>
      <c r="I872" s="48" t="str">
        <f aca="false">'לקוחות לפי סוכן - מקור'!K809</f>
        <v>CHMI</v>
      </c>
    </row>
    <row r="873" customFormat="false" ht="15" hidden="false" customHeight="true" outlineLevel="2" collapsed="false">
      <c r="A873" s="14" t="str">
        <f aca="false">'לקוחות לפי סוכן - מקור'!A810</f>
        <v>חאזם תלחמי</v>
      </c>
      <c r="B873" s="14" t="str">
        <f aca="false">'לקוחות לפי סוכן - מקור'!C810</f>
        <v>שופרסל BE</v>
      </c>
      <c r="C873" s="14" t="str">
        <f aca="false">'לקוחות לפי סוכן - מקור'!E810</f>
        <v>638 משמר השרון BE</v>
      </c>
      <c r="D873" s="22" t="n">
        <f aca="false">'לקוחות לפי סוכן - מקור'!F810</f>
        <v>0</v>
      </c>
      <c r="E873" s="22" t="n">
        <f aca="false">'לקוחות לפי סוכן - מקור'!G810</f>
        <v>22837.6</v>
      </c>
      <c r="F873" s="14" t="n">
        <f aca="false">'לקוחות לפי סוכן - מקור'!D810</f>
        <v>0</v>
      </c>
      <c r="G873" s="15" t="n">
        <f aca="false">'לקוחות לפי סוכן - מקור'!H810</f>
        <v>0</v>
      </c>
      <c r="H873" s="15" t="n">
        <f aca="false">'לקוחות לפי סוכן - מקור'!I810</f>
        <v>0</v>
      </c>
      <c r="I873" s="48" t="str">
        <f aca="false">'לקוחות לפי סוכן - מקור'!K810</f>
        <v>CHMI</v>
      </c>
    </row>
    <row r="874" customFormat="false" ht="15" hidden="false" customHeight="true" outlineLevel="2" collapsed="false">
      <c r="A874" s="14" t="str">
        <f aca="false">'לקוחות לפי סוכן - מקור'!A811</f>
        <v>חאזם תלחמי</v>
      </c>
      <c r="B874" s="14" t="str">
        <f aca="false">'לקוחות לפי סוכן - מקור'!C811</f>
        <v>שופרסל BE</v>
      </c>
      <c r="C874" s="14" t="str">
        <f aca="false">'לקוחות לפי סוכן - מקור'!E811</f>
        <v>640 דלית אל כרמל BE</v>
      </c>
      <c r="D874" s="22" t="n">
        <f aca="false">'לקוחות לפי סוכן - מקור'!F811</f>
        <v>0</v>
      </c>
      <c r="E874" s="22" t="n">
        <f aca="false">'לקוחות לפי סוכן - מקור'!G811</f>
        <v>11115.8</v>
      </c>
      <c r="F874" s="14" t="n">
        <f aca="false">'לקוחות לפי סוכן - מקור'!D811</f>
        <v>0</v>
      </c>
      <c r="G874" s="15" t="n">
        <f aca="false">'לקוחות לפי סוכן - מקור'!H811</f>
        <v>0</v>
      </c>
      <c r="H874" s="15" t="n">
        <f aca="false">'לקוחות לפי סוכן - מקור'!I811</f>
        <v>0</v>
      </c>
      <c r="I874" s="48" t="str">
        <f aca="false">'לקוחות לפי סוכן - מקור'!K811</f>
        <v>CHMI</v>
      </c>
    </row>
    <row r="875" customFormat="false" ht="15" hidden="false" customHeight="true" outlineLevel="2" collapsed="false">
      <c r="A875" s="14" t="str">
        <f aca="false">'לקוחות לפי סוכן - מקור'!A812</f>
        <v>חאזם תלחמי</v>
      </c>
      <c r="B875" s="14" t="str">
        <f aca="false">'לקוחות לפי סוכן - מקור'!C812</f>
        <v>שופרסל BE</v>
      </c>
      <c r="C875" s="14" t="str">
        <f aca="false">'לקוחות לפי סוכן - מקור'!E812</f>
        <v>673 פנורמה חיפה BE</v>
      </c>
      <c r="D875" s="22" t="n">
        <f aca="false">'לקוחות לפי סוכן - מקור'!F812</f>
        <v>0</v>
      </c>
      <c r="E875" s="22" t="n">
        <f aca="false">'לקוחות לפי סוכן - מקור'!G812</f>
        <v>1746.6</v>
      </c>
      <c r="F875" s="14" t="n">
        <f aca="false">'לקוחות לפי סוכן - מקור'!D812</f>
        <v>0</v>
      </c>
      <c r="G875" s="15" t="n">
        <f aca="false">'לקוחות לפי סוכן - מקור'!H812</f>
        <v>0</v>
      </c>
      <c r="H875" s="15" t="n">
        <f aca="false">'לקוחות לפי סוכן - מקור'!I812</f>
        <v>0</v>
      </c>
      <c r="I875" s="48" t="str">
        <f aca="false">'לקוחות לפי סוכן - מקור'!K812</f>
        <v>CHMI</v>
      </c>
    </row>
    <row r="876" customFormat="false" ht="15" hidden="false" customHeight="true" outlineLevel="2" collapsed="false">
      <c r="A876" s="14" t="str">
        <f aca="false">'לקוחות לפי סוכן - מקור'!A813</f>
        <v>חאזם תלחמי</v>
      </c>
      <c r="B876" s="14" t="str">
        <f aca="false">'לקוחות לפי סוכן - מקור'!C813</f>
        <v>שופרסל BE</v>
      </c>
      <c r="C876" s="14" t="str">
        <f aca="false">'לקוחות לפי סוכן - מקור'!E813</f>
        <v>635 ראש פינה BE</v>
      </c>
      <c r="D876" s="22" t="n">
        <f aca="false">'לקוחות לפי סוכן - מקור'!F813</f>
        <v>0</v>
      </c>
      <c r="E876" s="22" t="n">
        <f aca="false">'לקוחות לפי סוכן - מקור'!G813</f>
        <v>6157.7</v>
      </c>
      <c r="F876" s="14" t="n">
        <f aca="false">'לקוחות לפי סוכן - מקור'!D813</f>
        <v>0</v>
      </c>
      <c r="G876" s="15" t="n">
        <f aca="false">'לקוחות לפי סוכן - מקור'!H813</f>
        <v>0</v>
      </c>
      <c r="H876" s="15" t="n">
        <f aca="false">'לקוחות לפי סוכן - מקור'!I813</f>
        <v>0</v>
      </c>
      <c r="I876" s="48" t="str">
        <f aca="false">'לקוחות לפי סוכן - מקור'!K813</f>
        <v>CHMI</v>
      </c>
    </row>
    <row r="877" customFormat="false" ht="15" hidden="false" customHeight="true" outlineLevel="2" collapsed="false">
      <c r="A877" s="14" t="str">
        <f aca="false">'לקוחות לפי סוכן - מקור'!A814</f>
        <v>חאזם תלחמי</v>
      </c>
      <c r="B877" s="14" t="str">
        <f aca="false">'לקוחות לפי סוכן - מקור'!C814</f>
        <v>שופרסל BE</v>
      </c>
      <c r="C877" s="14" t="str">
        <f aca="false">'לקוחות לפי סוכן - מקור'!E814</f>
        <v>658   קרית אתא BE</v>
      </c>
      <c r="D877" s="22" t="n">
        <f aca="false">'לקוחות לפי סוכן - מקור'!F814</f>
        <v>0</v>
      </c>
      <c r="E877" s="22" t="n">
        <f aca="false">'לקוחות לפי סוכן - מקור'!G814</f>
        <v>179.4</v>
      </c>
      <c r="F877" s="14" t="n">
        <f aca="false">'לקוחות לפי סוכן - מקור'!D814</f>
        <v>0</v>
      </c>
      <c r="G877" s="15" t="n">
        <f aca="false">'לקוחות לפי סוכן - מקור'!H814</f>
        <v>0</v>
      </c>
      <c r="H877" s="15" t="n">
        <f aca="false">'לקוחות לפי סוכן - מקור'!I814</f>
        <v>0</v>
      </c>
      <c r="I877" s="48" t="str">
        <f aca="false">'לקוחות לפי סוכן - מקור'!K814</f>
        <v>CHMI</v>
      </c>
    </row>
    <row r="878" customFormat="false" ht="15" hidden="false" customHeight="true" outlineLevel="2" collapsed="false">
      <c r="A878" s="14" t="str">
        <f aca="false">'לקוחות לפי סוכן - מקור'!A815</f>
        <v>חאזם תלחמי</v>
      </c>
      <c r="B878" s="14" t="str">
        <f aca="false">'לקוחות לפי סוכן - מקור'!C815</f>
        <v>שופרסל BE</v>
      </c>
      <c r="C878" s="14" t="str">
        <f aca="false">'לקוחות לפי סוכן - מקור'!E815</f>
        <v>697 ירכא BE</v>
      </c>
      <c r="D878" s="22" t="n">
        <f aca="false">'לקוחות לפי סוכן - מקור'!F815</f>
        <v>0</v>
      </c>
      <c r="E878" s="22" t="n">
        <f aca="false">'לקוחות לפי סוכן - מקור'!G815</f>
        <v>10992.7</v>
      </c>
      <c r="F878" s="14" t="n">
        <f aca="false">'לקוחות לפי סוכן - מקור'!D815</f>
        <v>0</v>
      </c>
      <c r="G878" s="15" t="n">
        <f aca="false">'לקוחות לפי סוכן - מקור'!H815</f>
        <v>0</v>
      </c>
      <c r="H878" s="15" t="n">
        <f aca="false">'לקוחות לפי סוכן - מקור'!I815</f>
        <v>0</v>
      </c>
      <c r="I878" s="48" t="str">
        <f aca="false">'לקוחות לפי סוכן - מקור'!K815</f>
        <v>CHMI</v>
      </c>
    </row>
    <row r="879" customFormat="false" ht="15" hidden="false" customHeight="true" outlineLevel="2" collapsed="false">
      <c r="A879" s="14" t="str">
        <f aca="false">'לקוחות לפי סוכן - מקור'!A816</f>
        <v>חאזם תלחמי</v>
      </c>
      <c r="B879" s="14" t="str">
        <f aca="false">'לקוחות לפי סוכן - מקור'!C816</f>
        <v>שופרסל BE</v>
      </c>
      <c r="C879" s="14" t="str">
        <f aca="false">'לקוחות לפי סוכן - מקור'!E816</f>
        <v>642 אלונים טבעון BE</v>
      </c>
      <c r="D879" s="22" t="n">
        <f aca="false">'לקוחות לפי סוכן - מקור'!F816</f>
        <v>0</v>
      </c>
      <c r="E879" s="22" t="n">
        <f aca="false">'לקוחות לפי סוכן - מקור'!G816</f>
        <v>6458.2</v>
      </c>
      <c r="F879" s="14" t="n">
        <f aca="false">'לקוחות לפי סוכן - מקור'!D816</f>
        <v>0</v>
      </c>
      <c r="G879" s="15" t="n">
        <f aca="false">'לקוחות לפי סוכן - מקור'!H816</f>
        <v>0</v>
      </c>
      <c r="H879" s="15" t="n">
        <f aca="false">'לקוחות לפי סוכן - מקור'!I816</f>
        <v>0</v>
      </c>
      <c r="I879" s="48" t="str">
        <f aca="false">'לקוחות לפי סוכן - מקור'!K816</f>
        <v>CHMI</v>
      </c>
    </row>
    <row r="880" customFormat="false" ht="15" hidden="false" customHeight="true" outlineLevel="2" collapsed="false">
      <c r="A880" s="14" t="str">
        <f aca="false">'לקוחות לפי סוכן - מקור'!A817</f>
        <v>חאזם תלחמי</v>
      </c>
      <c r="B880" s="14" t="str">
        <f aca="false">'לקוחות לפי סוכן - מקור'!C817</f>
        <v>שופרסל BE</v>
      </c>
      <c r="C880" s="14" t="str">
        <f aca="false">'לקוחות לפי סוכן - מקור'!E817</f>
        <v>676   יקנעם BE</v>
      </c>
      <c r="D880" s="22" t="n">
        <f aca="false">'לקוחות לפי סוכן - מקור'!F817</f>
        <v>0</v>
      </c>
      <c r="E880" s="22" t="n">
        <f aca="false">'לקוחות לפי סוכן - מקור'!G817</f>
        <v>14554</v>
      </c>
      <c r="F880" s="14" t="n">
        <f aca="false">'לקוחות לפי סוכן - מקור'!D817</f>
        <v>0</v>
      </c>
      <c r="G880" s="15" t="n">
        <f aca="false">'לקוחות לפי סוכן - מקור'!H817</f>
        <v>0</v>
      </c>
      <c r="H880" s="15" t="n">
        <f aca="false">'לקוחות לפי סוכן - מקור'!I817</f>
        <v>0</v>
      </c>
      <c r="I880" s="48" t="str">
        <f aca="false">'לקוחות לפי סוכן - מקור'!K817</f>
        <v>CHMI</v>
      </c>
    </row>
    <row r="881" customFormat="false" ht="15" hidden="false" customHeight="true" outlineLevel="2" collapsed="false">
      <c r="A881" s="14" t="str">
        <f aca="false">'לקוחות לפי סוכן - מקור'!A818</f>
        <v>חאזם תלחמי</v>
      </c>
      <c r="B881" s="14" t="str">
        <f aca="false">'לקוחות לפי סוכן - מקור'!C818</f>
        <v>שופרסל BE</v>
      </c>
      <c r="C881" s="14" t="str">
        <f aca="false">'לקוחות לפי סוכן - מקור'!E818</f>
        <v>649  פארם עכו BE</v>
      </c>
      <c r="D881" s="22" t="n">
        <f aca="false">'לקוחות לפי סוכן - מקור'!F818</f>
        <v>0</v>
      </c>
      <c r="E881" s="22" t="n">
        <f aca="false">'לקוחות לפי סוכן - מקור'!G818</f>
        <v>3983.1</v>
      </c>
      <c r="F881" s="14" t="n">
        <f aca="false">'לקוחות לפי סוכן - מקור'!D818</f>
        <v>0</v>
      </c>
      <c r="G881" s="15" t="n">
        <f aca="false">'לקוחות לפי סוכן - מקור'!H818</f>
        <v>0</v>
      </c>
      <c r="H881" s="15" t="n">
        <f aca="false">'לקוחות לפי סוכן - מקור'!I818</f>
        <v>0</v>
      </c>
      <c r="I881" s="48" t="str">
        <f aca="false">'לקוחות לפי סוכן - מקור'!K818</f>
        <v>CHMI</v>
      </c>
    </row>
    <row r="882" customFormat="false" ht="15" hidden="false" customHeight="true" outlineLevel="2" collapsed="false">
      <c r="A882" s="14" t="str">
        <f aca="false">'לקוחות לפי סוכן - מקור'!A819</f>
        <v>חאזם תלחמי</v>
      </c>
      <c r="B882" s="14" t="str">
        <f aca="false">'לקוחות לפי סוכן - מקור'!C819</f>
        <v>שופרסל BE</v>
      </c>
      <c r="C882" s="14" t="str">
        <f aca="false">'לקוחות לפי סוכן - מקור'!E819</f>
        <v>617 (נוף הגליל )נצרת BE</v>
      </c>
      <c r="D882" s="22" t="n">
        <f aca="false">'לקוחות לפי סוכן - מקור'!F819</f>
        <v>0</v>
      </c>
      <c r="E882" s="22" t="n">
        <f aca="false">'לקוחות לפי סוכן - מקור'!G819</f>
        <v>3160.2</v>
      </c>
      <c r="F882" s="14" t="n">
        <f aca="false">'לקוחות לפי סוכן - מקור'!D819</f>
        <v>0</v>
      </c>
      <c r="G882" s="15" t="n">
        <f aca="false">'לקוחות לפי סוכן - מקור'!H819</f>
        <v>0</v>
      </c>
      <c r="H882" s="15" t="n">
        <f aca="false">'לקוחות לפי סוכן - מקור'!I819</f>
        <v>0</v>
      </c>
      <c r="I882" s="48" t="str">
        <f aca="false">'לקוחות לפי סוכן - מקור'!K819</f>
        <v>CHMI</v>
      </c>
    </row>
    <row r="883" customFormat="false" ht="15" hidden="false" customHeight="true" outlineLevel="2" collapsed="false">
      <c r="A883" s="14" t="str">
        <f aca="false">'לקוחות לפי סוכן - מקור'!A820</f>
        <v>חאזם תלחמי</v>
      </c>
      <c r="B883" s="14" t="str">
        <f aca="false">'לקוחות לפי סוכן - מקור'!C820</f>
        <v>שופרסל BE</v>
      </c>
      <c r="C883" s="14" t="str">
        <f aca="false">'לקוחות לפי סוכן - מקור'!E820</f>
        <v>678 עפולה BE</v>
      </c>
      <c r="D883" s="22" t="n">
        <f aca="false">'לקוחות לפי סוכן - מקור'!F820</f>
        <v>0</v>
      </c>
      <c r="E883" s="22" t="n">
        <f aca="false">'לקוחות לפי סוכן - מקור'!G820</f>
        <v>5883.6</v>
      </c>
      <c r="F883" s="14" t="n">
        <f aca="false">'לקוחות לפי סוכן - מקור'!D820</f>
        <v>0</v>
      </c>
      <c r="G883" s="15" t="n">
        <f aca="false">'לקוחות לפי סוכן - מקור'!H820</f>
        <v>0</v>
      </c>
      <c r="H883" s="15" t="n">
        <f aca="false">'לקוחות לפי סוכן - מקור'!I820</f>
        <v>0</v>
      </c>
      <c r="I883" s="48" t="str">
        <f aca="false">'לקוחות לפי סוכן - מקור'!K820</f>
        <v>CHMI</v>
      </c>
    </row>
    <row r="884" customFormat="false" ht="15" hidden="false" customHeight="true" outlineLevel="2" collapsed="false">
      <c r="A884" s="14" t="str">
        <f aca="false">'לקוחות לפי סוכן - מקור'!A821</f>
        <v>חאזם תלחמי</v>
      </c>
      <c r="B884" s="14" t="str">
        <f aca="false">'לקוחות לפי סוכן - מקור'!C821</f>
        <v>שופרסל BE</v>
      </c>
      <c r="C884" s="14" t="str">
        <f aca="false">'לקוחות לפי סוכן - מקור'!E821</f>
        <v>613 נהריה BE</v>
      </c>
      <c r="D884" s="22" t="n">
        <f aca="false">'לקוחות לפי סוכן - מקור'!F821</f>
        <v>0</v>
      </c>
      <c r="E884" s="22" t="n">
        <f aca="false">'לקוחות לפי סוכן - מקור'!G821</f>
        <v>5446.1</v>
      </c>
      <c r="F884" s="14" t="n">
        <f aca="false">'לקוחות לפי סוכן - מקור'!D821</f>
        <v>0</v>
      </c>
      <c r="G884" s="15" t="n">
        <f aca="false">'לקוחות לפי סוכן - מקור'!H821</f>
        <v>0</v>
      </c>
      <c r="H884" s="15" t="n">
        <f aca="false">'לקוחות לפי סוכן - מקור'!I821</f>
        <v>0</v>
      </c>
      <c r="I884" s="48" t="str">
        <f aca="false">'לקוחות לפי סוכן - מקור'!K821</f>
        <v>CHMI</v>
      </c>
    </row>
    <row r="885" customFormat="false" ht="15" hidden="false" customHeight="true" outlineLevel="2" collapsed="false">
      <c r="A885" s="14" t="str">
        <f aca="false">'לקוחות לפי סוכן - מקור'!A822</f>
        <v>חאזם תלחמי</v>
      </c>
      <c r="B885" s="14" t="str">
        <f aca="false">'לקוחות לפי סוכן - מקור'!C822</f>
        <v>שופרסל BE</v>
      </c>
      <c r="C885" s="14" t="str">
        <f aca="false">'לקוחות לפי סוכן - מקור'!E822</f>
        <v>698  כרמיאל BE</v>
      </c>
      <c r="D885" s="22" t="n">
        <f aca="false">'לקוחות לפי סוכן - מקור'!F822</f>
        <v>0</v>
      </c>
      <c r="E885" s="22" t="n">
        <f aca="false">'לקוחות לפי סוכן - מקור'!G822</f>
        <v>3568.7</v>
      </c>
      <c r="F885" s="14" t="n">
        <f aca="false">'לקוחות לפי סוכן - מקור'!D822</f>
        <v>0</v>
      </c>
      <c r="G885" s="15" t="n">
        <f aca="false">'לקוחות לפי סוכן - מקור'!H822</f>
        <v>0</v>
      </c>
      <c r="H885" s="15" t="n">
        <f aca="false">'לקוחות לפי סוכן - מקור'!I822</f>
        <v>0</v>
      </c>
      <c r="I885" s="48" t="str">
        <f aca="false">'לקוחות לפי סוכן - מקור'!K822</f>
        <v>CHMI</v>
      </c>
    </row>
    <row r="886" customFormat="false" ht="15" hidden="false" customHeight="true" outlineLevel="2" collapsed="false">
      <c r="A886" s="14" t="str">
        <f aca="false">'לקוחות לפי סוכן - מקור'!A823</f>
        <v>חאזם תלחמי</v>
      </c>
      <c r="B886" s="14" t="str">
        <f aca="false">'לקוחות לפי סוכן - מקור'!C823</f>
        <v>שופרסל BE</v>
      </c>
      <c r="C886" s="14" t="str">
        <f aca="false">'לקוחות לפי סוכן - מקור'!E823</f>
        <v>679 כרכור מדיקל BE</v>
      </c>
      <c r="D886" s="22" t="n">
        <f aca="false">'לקוחות לפי סוכן - מקור'!F823</f>
        <v>0</v>
      </c>
      <c r="E886" s="22" t="n">
        <f aca="false">'לקוחות לפי סוכן - מקור'!G823</f>
        <v>6566.1</v>
      </c>
      <c r="F886" s="14" t="n">
        <f aca="false">'לקוחות לפי סוכן - מקור'!D823</f>
        <v>0</v>
      </c>
      <c r="G886" s="15" t="n">
        <f aca="false">'לקוחות לפי סוכן - מקור'!H823</f>
        <v>0</v>
      </c>
      <c r="H886" s="15" t="n">
        <f aca="false">'לקוחות לפי סוכן - מקור'!I823</f>
        <v>0</v>
      </c>
      <c r="I886" s="48" t="str">
        <f aca="false">'לקוחות לפי סוכן - מקור'!K823</f>
        <v>CHMI</v>
      </c>
    </row>
    <row r="887" customFormat="false" ht="15" hidden="false" customHeight="true" outlineLevel="2" collapsed="false">
      <c r="A887" s="14" t="str">
        <f aca="false">'לקוחות לפי סוכן - מקור'!A824</f>
        <v>חאזם תלחמי</v>
      </c>
      <c r="B887" s="14" t="str">
        <f aca="false">'לקוחות לפי סוכן - מקור'!C824</f>
        <v>שופרסל BE</v>
      </c>
      <c r="C887" s="14" t="str">
        <f aca="false">'לקוחות לפי סוכן - מקור'!E824</f>
        <v>601 פרדס חנה BE</v>
      </c>
      <c r="D887" s="22" t="n">
        <f aca="false">'לקוחות לפי סוכן - מקור'!F824</f>
        <v>0</v>
      </c>
      <c r="E887" s="22" t="n">
        <f aca="false">'לקוחות לפי סוכן - מקור'!G824</f>
        <v>2580.6</v>
      </c>
      <c r="F887" s="14" t="n">
        <f aca="false">'לקוחות לפי סוכן - מקור'!D824</f>
        <v>0</v>
      </c>
      <c r="G887" s="15" t="n">
        <f aca="false">'לקוחות לפי סוכן - מקור'!H824</f>
        <v>0</v>
      </c>
      <c r="H887" s="15" t="n">
        <f aca="false">'לקוחות לפי סוכן - מקור'!I824</f>
        <v>0</v>
      </c>
      <c r="I887" s="48" t="str">
        <f aca="false">'לקוחות לפי סוכן - מקור'!K824</f>
        <v>CHMI</v>
      </c>
    </row>
    <row r="888" customFormat="false" ht="15" hidden="false" customHeight="true" outlineLevel="2" collapsed="false">
      <c r="A888" s="14" t="str">
        <f aca="false">'לקוחות לפי סוכן - מקור'!A825</f>
        <v>חאזם תלחמי</v>
      </c>
      <c r="B888" s="14" t="str">
        <f aca="false">'לקוחות לפי סוכן - מקור'!C825</f>
        <v>שופרסל BE</v>
      </c>
      <c r="C888" s="14" t="str">
        <f aca="false">'לקוחות לפי סוכן - מקור'!E825</f>
        <v>667 הלל יפה חדרה BE</v>
      </c>
      <c r="D888" s="22" t="n">
        <f aca="false">'לקוחות לפי סוכן - מקור'!F825</f>
        <v>0</v>
      </c>
      <c r="E888" s="22" t="n">
        <f aca="false">'לקוחות לפי סוכן - מקור'!G825</f>
        <v>10551</v>
      </c>
      <c r="F888" s="14" t="n">
        <f aca="false">'לקוחות לפי סוכן - מקור'!D825</f>
        <v>0</v>
      </c>
      <c r="G888" s="15" t="n">
        <f aca="false">'לקוחות לפי סוכן - מקור'!H825</f>
        <v>0</v>
      </c>
      <c r="H888" s="15" t="n">
        <f aca="false">'לקוחות לפי סוכן - מקור'!I825</f>
        <v>0</v>
      </c>
      <c r="I888" s="48" t="str">
        <f aca="false">'לקוחות לפי סוכן - מקור'!K825</f>
        <v>CHMI</v>
      </c>
    </row>
    <row r="889" customFormat="false" ht="15" hidden="false" customHeight="true" outlineLevel="2" collapsed="false">
      <c r="A889" s="14" t="str">
        <f aca="false">'לקוחות לפי סוכן - מקור'!A826</f>
        <v>חאזם תלחמי</v>
      </c>
      <c r="B889" s="14" t="str">
        <f aca="false">'לקוחות לפי סוכן - מקור'!C826</f>
        <v>שופרסל BE</v>
      </c>
      <c r="C889" s="14" t="str">
        <f aca="false">'לקוחות לפי סוכן - מקור'!E826</f>
        <v>252 עין שמר BE</v>
      </c>
      <c r="D889" s="22" t="n">
        <f aca="false">'לקוחות לפי סוכן - מקור'!F826</f>
        <v>0</v>
      </c>
      <c r="E889" s="22" t="n">
        <f aca="false">'לקוחות לפי סוכן - מקור'!G826</f>
        <v>2289.4</v>
      </c>
      <c r="F889" s="14" t="n">
        <f aca="false">'לקוחות לפי סוכן - מקור'!D826</f>
        <v>0</v>
      </c>
      <c r="G889" s="15" t="n">
        <f aca="false">'לקוחות לפי סוכן - מקור'!H826</f>
        <v>0</v>
      </c>
      <c r="H889" s="15" t="n">
        <f aca="false">'לקוחות לפי סוכן - מקור'!I826</f>
        <v>0</v>
      </c>
      <c r="I889" s="48" t="str">
        <f aca="false">'לקוחות לפי סוכן - מקור'!K826</f>
        <v>CHMI</v>
      </c>
    </row>
    <row r="890" customFormat="false" ht="15" hidden="false" customHeight="true" outlineLevel="2" collapsed="false">
      <c r="A890" s="14" t="str">
        <f aca="false">'לקוחות לפי סוכן - מקור'!A827</f>
        <v>חאזם תלחמי</v>
      </c>
      <c r="B890" s="14" t="str">
        <f aca="false">'לקוחות לפי סוכן - מקור'!C827</f>
        <v>שופרסל BE</v>
      </c>
      <c r="C890" s="14" t="str">
        <f aca="false">'לקוחות לפי סוכן - מקור'!E827</f>
        <v>דיל עמק חפר BE</v>
      </c>
      <c r="D890" s="22" t="n">
        <f aca="false">'לקוחות לפי סוכן - מקור'!F827</f>
        <v>0</v>
      </c>
      <c r="E890" s="22" t="n">
        <f aca="false">'לקוחות לפי סוכן - מקור'!G827</f>
        <v>4261.8</v>
      </c>
      <c r="F890" s="14" t="n">
        <f aca="false">'לקוחות לפי סוכן - מקור'!D827</f>
        <v>0</v>
      </c>
      <c r="G890" s="15" t="n">
        <f aca="false">'לקוחות לפי סוכן - מקור'!H827</f>
        <v>0</v>
      </c>
      <c r="H890" s="15" t="n">
        <f aca="false">'לקוחות לפי סוכן - מקור'!I827</f>
        <v>0</v>
      </c>
      <c r="I890" s="48" t="str">
        <f aca="false">'לקוחות לפי סוכן - מקור'!K827</f>
        <v>CHMI</v>
      </c>
    </row>
    <row r="891" customFormat="false" ht="15" hidden="false" customHeight="true" outlineLevel="2" collapsed="false">
      <c r="A891" s="14" t="str">
        <f aca="false">'לקוחות לפי סוכן - מקור'!A828</f>
        <v>חאזם תלחמי</v>
      </c>
      <c r="B891" s="14" t="str">
        <f aca="false">'לקוחות לפי סוכן - מקור'!C828</f>
        <v>שופרסל BE</v>
      </c>
      <c r="C891" s="14" t="str">
        <f aca="false">'לקוחות לפי סוכן - מקור'!E828</f>
        <v>242 ויוה חדרה BE</v>
      </c>
      <c r="D891" s="22" t="n">
        <f aca="false">'לקוחות לפי סוכן - מקור'!F828</f>
        <v>0</v>
      </c>
      <c r="E891" s="22" t="n">
        <f aca="false">'לקוחות לפי סוכן - מקור'!G828</f>
        <v>3297.8</v>
      </c>
      <c r="F891" s="14" t="n">
        <f aca="false">'לקוחות לפי סוכן - מקור'!D828</f>
        <v>0</v>
      </c>
      <c r="G891" s="15" t="n">
        <f aca="false">'לקוחות לפי סוכן - מקור'!H828</f>
        <v>0</v>
      </c>
      <c r="H891" s="15" t="n">
        <f aca="false">'לקוחות לפי סוכן - מקור'!I828</f>
        <v>0</v>
      </c>
      <c r="I891" s="48" t="str">
        <f aca="false">'לקוחות לפי סוכן - מקור'!K828</f>
        <v>CHMI</v>
      </c>
    </row>
    <row r="892" customFormat="false" ht="15" hidden="false" customHeight="true" outlineLevel="2" collapsed="false">
      <c r="A892" s="14" t="str">
        <f aca="false">'לקוחות לפי סוכן - מקור'!A829</f>
        <v>חאזם תלחמי</v>
      </c>
      <c r="B892" s="14" t="str">
        <f aca="false">'לקוחות לפי סוכן - מקור'!C829</f>
        <v>שופרסל BE</v>
      </c>
      <c r="C892" s="14" t="str">
        <f aca="false">'לקוחות לפי סוכן - מקור'!E829</f>
        <v>763 שפרעם BE</v>
      </c>
      <c r="D892" s="22" t="n">
        <f aca="false">'לקוחות לפי סוכן - מקור'!F829</f>
        <v>0</v>
      </c>
      <c r="E892" s="22" t="n">
        <f aca="false">'לקוחות לפי סוכן - מקור'!G829</f>
        <v>2558.8</v>
      </c>
      <c r="F892" s="14" t="n">
        <f aca="false">'לקוחות לפי סוכן - מקור'!D829</f>
        <v>0</v>
      </c>
      <c r="G892" s="15" t="n">
        <f aca="false">'לקוחות לפי סוכן - מקור'!H829</f>
        <v>0</v>
      </c>
      <c r="H892" s="15" t="n">
        <f aca="false">'לקוחות לפי סוכן - מקור'!I829</f>
        <v>0</v>
      </c>
      <c r="I892" s="48" t="str">
        <f aca="false">'לקוחות לפי סוכן - מקור'!K829</f>
        <v>CHMI</v>
      </c>
    </row>
    <row r="893" customFormat="false" ht="15" hidden="false" customHeight="true" outlineLevel="2" collapsed="false">
      <c r="A893" s="14" t="str">
        <f aca="false">'לקוחות לפי סוכן - מקור'!A830</f>
        <v>חאזם תלחמי</v>
      </c>
      <c r="B893" s="14" t="str">
        <f aca="false">'לקוחות לפי סוכן - מקור'!C830</f>
        <v>שופרסל BE</v>
      </c>
      <c r="C893" s="14" t="str">
        <f aca="false">'לקוחות לפי סוכן - מקור'!E830</f>
        <v>(128)שופרסל ב. טירת הכרמל BE</v>
      </c>
      <c r="D893" s="22" t="n">
        <f aca="false">'לקוחות לפי סוכן - מקור'!F830</f>
        <v>0</v>
      </c>
      <c r="E893" s="22" t="n">
        <f aca="false">'לקוחות לפי סוכן - מקור'!G830</f>
        <v>10499.6</v>
      </c>
      <c r="F893" s="14" t="n">
        <f aca="false">'לקוחות לפי סוכן - מקור'!D830</f>
        <v>0</v>
      </c>
      <c r="G893" s="15" t="n">
        <f aca="false">'לקוחות לפי סוכן - מקור'!H830</f>
        <v>0</v>
      </c>
      <c r="H893" s="15" t="n">
        <f aca="false">'לקוחות לפי סוכן - מקור'!I830</f>
        <v>0</v>
      </c>
      <c r="I893" s="48" t="str">
        <f aca="false">'לקוחות לפי סוכן - מקור'!K830</f>
        <v>CHMI</v>
      </c>
    </row>
    <row r="894" customFormat="false" ht="15" hidden="false" customHeight="true" outlineLevel="2" collapsed="false">
      <c r="A894" s="14" t="str">
        <f aca="false">'לקוחות לפי סוכן - מקור'!A831</f>
        <v>חאזם תלחמי</v>
      </c>
      <c r="B894" s="14" t="str">
        <f aca="false">'לקוחות לפי סוכן - מקור'!C831</f>
        <v>שופרסל BE</v>
      </c>
      <c r="C894" s="14" t="str">
        <f aca="false">'לקוחות לפי סוכן - מקור'!E831</f>
        <v>713 אור ים אור עקיבא BE</v>
      </c>
      <c r="D894" s="22" t="n">
        <f aca="false">'לקוחות לפי סוכן - מקור'!F831</f>
        <v>0</v>
      </c>
      <c r="E894" s="22" t="n">
        <f aca="false">'לקוחות לפי סוכן - מקור'!G831</f>
        <v>2572.5</v>
      </c>
      <c r="F894" s="14" t="n">
        <f aca="false">'לקוחות לפי סוכן - מקור'!D831</f>
        <v>0</v>
      </c>
      <c r="G894" s="15" t="n">
        <f aca="false">'לקוחות לפי סוכן - מקור'!H831</f>
        <v>0</v>
      </c>
      <c r="H894" s="15" t="n">
        <f aca="false">'לקוחות לפי סוכן - מקור'!I831</f>
        <v>0</v>
      </c>
      <c r="I894" s="48" t="str">
        <f aca="false">'לקוחות לפי סוכן - מקור'!K831</f>
        <v>CHMI</v>
      </c>
    </row>
    <row r="895" customFormat="false" ht="15" hidden="false" customHeight="true" outlineLevel="2" collapsed="false">
      <c r="A895" s="14" t="str">
        <f aca="false">'לקוחות לפי סוכן - מקור'!A832</f>
        <v>חאזם תלחמי</v>
      </c>
      <c r="B895" s="14" t="str">
        <f aca="false">'לקוחות לפי סוכן - מקור'!C832</f>
        <v>שופרסל BE</v>
      </c>
      <c r="C895" s="14" t="str">
        <f aca="false">'לקוחות לפי סוכן - מקור'!E832</f>
        <v>714 סכנין BE</v>
      </c>
      <c r="D895" s="22" t="n">
        <f aca="false">'לקוחות לפי סוכן - מקור'!F832</f>
        <v>0</v>
      </c>
      <c r="E895" s="22" t="n">
        <f aca="false">'לקוחות לפי סוכן - מקור'!G832</f>
        <v>5135.7</v>
      </c>
      <c r="F895" s="14" t="n">
        <f aca="false">'לקוחות לפי סוכן - מקור'!D832</f>
        <v>0</v>
      </c>
      <c r="G895" s="15" t="n">
        <f aca="false">'לקוחות לפי סוכן - מקור'!H832</f>
        <v>0</v>
      </c>
      <c r="H895" s="15" t="n">
        <f aca="false">'לקוחות לפי סוכן - מקור'!I832</f>
        <v>0</v>
      </c>
      <c r="I895" s="48" t="str">
        <f aca="false">'לקוחות לפי סוכן - מקור'!K832</f>
        <v>CHMI</v>
      </c>
    </row>
    <row r="896" customFormat="false" ht="15" hidden="false" customHeight="true" outlineLevel="2" collapsed="false">
      <c r="A896" s="14" t="str">
        <f aca="false">'לקוחות לפי סוכן - מקור'!A833</f>
        <v>חאזם תלחמי</v>
      </c>
      <c r="B896" s="14" t="str">
        <f aca="false">'לקוחות לפי סוכן - מקור'!C833</f>
        <v>שופרסל BE</v>
      </c>
      <c r="C896" s="14" t="str">
        <f aca="false">'לקוחות לפי סוכן - מקור'!E833</f>
        <v>712  עין הים חדרה BE</v>
      </c>
      <c r="D896" s="22" t="n">
        <f aca="false">'לקוחות לפי סוכן - מקור'!F833</f>
        <v>0</v>
      </c>
      <c r="E896" s="22" t="n">
        <f aca="false">'לקוחות לפי סוכן - מקור'!G833</f>
        <v>4672.9</v>
      </c>
      <c r="F896" s="14" t="n">
        <f aca="false">'לקוחות לפי סוכן - מקור'!D833</f>
        <v>0</v>
      </c>
      <c r="G896" s="15" t="n">
        <f aca="false">'לקוחות לפי סוכן - מקור'!H833</f>
        <v>0</v>
      </c>
      <c r="H896" s="15" t="n">
        <f aca="false">'לקוחות לפי סוכן - מקור'!I833</f>
        <v>0</v>
      </c>
      <c r="I896" s="48" t="str">
        <f aca="false">'לקוחות לפי סוכן - מקור'!K833</f>
        <v>CHMI</v>
      </c>
    </row>
    <row r="897" customFormat="false" ht="15" hidden="false" customHeight="true" outlineLevel="2" collapsed="false">
      <c r="A897" s="14" t="str">
        <f aca="false">'לקוחות לפי סוכן - מקור'!A834</f>
        <v>חאזם תלחמי</v>
      </c>
      <c r="B897" s="14" t="str">
        <f aca="false">'לקוחות לפי סוכן - מקור'!C834</f>
        <v>שופרסל BE</v>
      </c>
      <c r="C897" s="14" t="str">
        <f aca="false">'לקוחות לפי סוכן - מקור'!E834</f>
        <v>112 מוצקין BE</v>
      </c>
      <c r="D897" s="22" t="n">
        <f aca="false">'לקוחות לפי סוכן - מקור'!F834</f>
        <v>0</v>
      </c>
      <c r="E897" s="22" t="n">
        <f aca="false">'לקוחות לפי סוכן - מקור'!G834</f>
        <v>1459</v>
      </c>
      <c r="F897" s="14" t="n">
        <f aca="false">'לקוחות לפי סוכן - מקור'!D834</f>
        <v>0</v>
      </c>
      <c r="G897" s="15" t="n">
        <f aca="false">'לקוחות לפי סוכן - מקור'!H834</f>
        <v>0</v>
      </c>
      <c r="H897" s="15" t="n">
        <f aca="false">'לקוחות לפי סוכן - מקור'!I834</f>
        <v>0</v>
      </c>
      <c r="I897" s="48" t="str">
        <f aca="false">'לקוחות לפי סוכן - מקור'!K834</f>
        <v>CHMI</v>
      </c>
    </row>
    <row r="898" customFormat="false" ht="15" hidden="false" customHeight="true" outlineLevel="2" collapsed="false">
      <c r="A898" s="14" t="str">
        <f aca="false">'לקוחות לפי סוכן - מקור'!A835</f>
        <v>חאזם תלחמי</v>
      </c>
      <c r="B898" s="14" t="str">
        <f aca="false">'לקוחות לפי סוכן - מקור'!C835</f>
        <v>שופרסל BE</v>
      </c>
      <c r="C898" s="14" t="str">
        <f aca="false">'לקוחות לפי סוכן - מקור'!E835</f>
        <v>518 כפר קרע BE</v>
      </c>
      <c r="D898" s="22" t="n">
        <f aca="false">'לקוחות לפי סוכן - מקור'!F835</f>
        <v>0</v>
      </c>
      <c r="E898" s="22" t="n">
        <f aca="false">'לקוחות לפי סוכן - מקור'!G835</f>
        <v>12160.3</v>
      </c>
      <c r="F898" s="14" t="n">
        <f aca="false">'לקוחות לפי סוכן - מקור'!D835</f>
        <v>0</v>
      </c>
      <c r="G898" s="15" t="n">
        <f aca="false">'לקוחות לפי סוכן - מקור'!H835</f>
        <v>0</v>
      </c>
      <c r="H898" s="15" t="n">
        <f aca="false">'לקוחות לפי סוכן - מקור'!I835</f>
        <v>0</v>
      </c>
      <c r="I898" s="48" t="str">
        <f aca="false">'לקוחות לפי סוכן - מקור'!K835</f>
        <v>CHMI</v>
      </c>
    </row>
    <row r="899" customFormat="false" ht="15" hidden="false" customHeight="true" outlineLevel="1" collapsed="false">
      <c r="A899" s="49" t="s">
        <v>25</v>
      </c>
      <c r="B899" s="50" t="s">
        <v>20</v>
      </c>
      <c r="C899" s="51"/>
      <c r="D899" s="52" t="n">
        <f aca="false">SUMIFS('לקוחות לפי סוכן - מקור'!$F$2:$F$867,'לקוחות לפי סוכן - מקור'!$A$2:$A$867,$A899,'לקוחות לפי סוכן - מקור'!$C$2:$C$867,$B899)</f>
        <v>0</v>
      </c>
      <c r="E899" s="52" t="n">
        <f aca="false">SUMIFS('לקוחות לפי סוכן - מקור'!$G$2:$G$867,'לקוחות לפי סוכן - מקור'!$A$2:$A$867,$A899,'לקוחות לפי סוכן - מקור'!$C$2:$C$867,$B899)</f>
        <v>53367.1</v>
      </c>
      <c r="F899" s="51"/>
      <c r="G899" s="53" t="n">
        <f aca="false">SUMIFS('לקוחות לפי סוכן - מקור'!$H$2:$H$867,'לקוחות לפי סוכן - מקור'!$A$2:$A$867,$A899,'לקוחות לפי סוכן - מקור'!$C$2:$C$867,$B899)</f>
        <v>0</v>
      </c>
      <c r="H899" s="53" t="n">
        <f aca="false">SUMIFS('לקוחות לפי סוכן - מקור'!$I$2:$I$867,'לקוחות לפי סוכן - מקור'!$A$2:$A$867,$A899,'לקוחות לפי סוכן - מקור'!$C$2:$C$867,$B899)</f>
        <v>0</v>
      </c>
      <c r="I899" s="51"/>
      <c r="J899" s="53" t="n">
        <f aca="false">COUNTIFS('לקוחות לפי סוכן - מקור'!$A$2:$A$867,$A899,'לקוחות לפי סוכן - מקור'!$C$2:$C$867,$B899)</f>
        <v>29</v>
      </c>
    </row>
    <row r="900" customFormat="false" ht="15" hidden="false" customHeight="true" outlineLevel="2" collapsed="false">
      <c r="A900" s="14" t="str">
        <f aca="false">'לקוחות לפי סוכן - מקור'!A837</f>
        <v>חאזם תלחמי</v>
      </c>
      <c r="B900" s="14" t="str">
        <f aca="false">'לקוחות לפי סוכן - מקור'!C837</f>
        <v>0קופות חולים</v>
      </c>
      <c r="C900" s="14" t="str">
        <f aca="false">'לקוחות לפי סוכן - מקור'!E837</f>
        <v>7407 מאוחדת ירכא</v>
      </c>
      <c r="D900" s="22" t="n">
        <f aca="false">'לקוחות לפי סוכן - מקור'!F837</f>
        <v>0</v>
      </c>
      <c r="E900" s="22" t="n">
        <f aca="false">'לקוחות לפי סוכן - מקור'!G837</f>
        <v>6527.4</v>
      </c>
      <c r="F900" s="14" t="n">
        <f aca="false">'לקוחות לפי סוכן - מקור'!D837</f>
        <v>0</v>
      </c>
      <c r="G900" s="15" t="n">
        <f aca="false">'לקוחות לפי סוכן - מקור'!H837</f>
        <v>0</v>
      </c>
      <c r="H900" s="15" t="n">
        <f aca="false">'לקוחות לפי סוכן - מקור'!I837</f>
        <v>0</v>
      </c>
      <c r="I900" s="48" t="str">
        <f aca="false">'לקוחות לפי סוכן - מקור'!K837</f>
        <v>CHMI</v>
      </c>
    </row>
    <row r="901" customFormat="false" ht="15" hidden="false" customHeight="true" outlineLevel="2" collapsed="false">
      <c r="A901" s="14" t="str">
        <f aca="false">'לקוחות לפי סוכן - מקור'!A838</f>
        <v>חאזם תלחמי</v>
      </c>
      <c r="B901" s="14" t="str">
        <f aca="false">'לקוחות לפי סוכן - מקור'!C838</f>
        <v>0קופות חולים</v>
      </c>
      <c r="C901" s="14" t="str">
        <f aca="false">'לקוחות לפי סוכן - מקור'!E838</f>
        <v>7401  מאוחדת אום אל פחם</v>
      </c>
      <c r="D901" s="22" t="n">
        <f aca="false">'לקוחות לפי סוכן - מקור'!F838</f>
        <v>0</v>
      </c>
      <c r="E901" s="22" t="n">
        <f aca="false">'לקוחות לפי סוכן - מקור'!G838</f>
        <v>5095.6</v>
      </c>
      <c r="F901" s="14" t="n">
        <f aca="false">'לקוחות לפי סוכן - מקור'!D838</f>
        <v>0</v>
      </c>
      <c r="G901" s="15" t="n">
        <f aca="false">'לקוחות לפי סוכן - מקור'!H838</f>
        <v>0</v>
      </c>
      <c r="H901" s="15" t="n">
        <f aca="false">'לקוחות לפי סוכן - מקור'!I838</f>
        <v>0</v>
      </c>
      <c r="I901" s="48" t="str">
        <f aca="false">'לקוחות לפי סוכן - מקור'!K838</f>
        <v>CHMI</v>
      </c>
    </row>
    <row r="902" customFormat="false" ht="15" hidden="false" customHeight="true" outlineLevel="2" collapsed="false">
      <c r="A902" s="14" t="str">
        <f aca="false">'לקוחות לפי סוכן - מקור'!A839</f>
        <v>חאזם תלחמי</v>
      </c>
      <c r="B902" s="14" t="str">
        <f aca="false">'לקוחות לפי סוכן - מקור'!C839</f>
        <v>0קופות חולים</v>
      </c>
      <c r="C902" s="14" t="str">
        <f aca="false">'לקוחות לפי סוכן - מקור'!E839</f>
        <v>7406 מאוחדת טבריה</v>
      </c>
      <c r="D902" s="22" t="n">
        <f aca="false">'לקוחות לפי סוכן - מקור'!F839</f>
        <v>0</v>
      </c>
      <c r="E902" s="22" t="n">
        <f aca="false">'לקוחות לפי סוכן - מקור'!G839</f>
        <v>1627.6</v>
      </c>
      <c r="F902" s="14" t="n">
        <f aca="false">'לקוחות לפי סוכן - מקור'!D839</f>
        <v>0</v>
      </c>
      <c r="G902" s="15" t="n">
        <f aca="false">'לקוחות לפי סוכן - מקור'!H839</f>
        <v>0</v>
      </c>
      <c r="H902" s="15" t="n">
        <f aca="false">'לקוחות לפי סוכן - מקור'!I839</f>
        <v>0</v>
      </c>
      <c r="I902" s="48" t="str">
        <f aca="false">'לקוחות לפי סוכן - מקור'!K839</f>
        <v>CHMI</v>
      </c>
    </row>
    <row r="903" customFormat="false" ht="15" hidden="false" customHeight="true" outlineLevel="2" collapsed="false">
      <c r="A903" s="14" t="str">
        <f aca="false">'לקוחות לפי סוכן - מקור'!A840</f>
        <v>חאזם תלחמי</v>
      </c>
      <c r="B903" s="14" t="str">
        <f aca="false">'לקוחות לפי סוכן - מקור'!C840</f>
        <v>0קופות חולים</v>
      </c>
      <c r="C903" s="14" t="str">
        <f aca="false">'לקוחות לפי סוכן - מקור'!E840</f>
        <v>7411  מאוחדת כרמיאל</v>
      </c>
      <c r="D903" s="22" t="n">
        <f aca="false">'לקוחות לפי סוכן - מקור'!F840</f>
        <v>0</v>
      </c>
      <c r="E903" s="22" t="n">
        <f aca="false">'לקוחות לפי סוכן - מקור'!G840</f>
        <v>944.2</v>
      </c>
      <c r="F903" s="14" t="n">
        <f aca="false">'לקוחות לפי סוכן - מקור'!D840</f>
        <v>0</v>
      </c>
      <c r="G903" s="15" t="n">
        <f aca="false">'לקוחות לפי סוכן - מקור'!H840</f>
        <v>0</v>
      </c>
      <c r="H903" s="15" t="n">
        <f aca="false">'לקוחות לפי סוכן - מקור'!I840</f>
        <v>0</v>
      </c>
      <c r="I903" s="48" t="str">
        <f aca="false">'לקוחות לפי סוכן - מקור'!K840</f>
        <v>CHMI</v>
      </c>
    </row>
    <row r="904" customFormat="false" ht="15" hidden="false" customHeight="true" outlineLevel="2" collapsed="false">
      <c r="A904" s="14" t="str">
        <f aca="false">'לקוחות לפי סוכן - מקור'!A841</f>
        <v>חאזם תלחמי</v>
      </c>
      <c r="B904" s="14" t="str">
        <f aca="false">'לקוחות לפי סוכן - מקור'!C841</f>
        <v>0קופות חולים</v>
      </c>
      <c r="C904" s="14" t="str">
        <f aca="false">'לקוחות לפי סוכן - מקור'!E841</f>
        <v>7408 מאוחדת כפר חסידים</v>
      </c>
      <c r="D904" s="22" t="n">
        <f aca="false">'לקוחות לפי סוכן - מקור'!F841</f>
        <v>0</v>
      </c>
      <c r="E904" s="22" t="n">
        <f aca="false">'לקוחות לפי סוכן - מקור'!G841</f>
        <v>479.9</v>
      </c>
      <c r="F904" s="14" t="n">
        <f aca="false">'לקוחות לפי סוכן - מקור'!D841</f>
        <v>0</v>
      </c>
      <c r="G904" s="15" t="n">
        <f aca="false">'לקוחות לפי סוכן - מקור'!H841</f>
        <v>0</v>
      </c>
      <c r="H904" s="15" t="n">
        <f aca="false">'לקוחות לפי סוכן - מקור'!I841</f>
        <v>0</v>
      </c>
      <c r="I904" s="48" t="str">
        <f aca="false">'לקוחות לפי סוכן - מקור'!K841</f>
        <v>CHMI</v>
      </c>
    </row>
    <row r="905" customFormat="false" ht="15" hidden="false" customHeight="true" outlineLevel="2" collapsed="false">
      <c r="A905" s="14" t="str">
        <f aca="false">'לקוחות לפי סוכן - מקור'!A842</f>
        <v>חאזם תלחמי</v>
      </c>
      <c r="B905" s="14" t="str">
        <f aca="false">'לקוחות לפי סוכן - מקור'!C842</f>
        <v>0קופות חולים</v>
      </c>
      <c r="C905" s="14" t="str">
        <f aca="false">'לקוחות לפי סוכן - מקור'!E842</f>
        <v>7405 מאוחדת חיפה</v>
      </c>
      <c r="D905" s="22" t="n">
        <f aca="false">'לקוחות לפי סוכן - מקור'!F842</f>
        <v>0</v>
      </c>
      <c r="E905" s="22" t="n">
        <f aca="false">'לקוחות לפי סוכן - מקור'!G842</f>
        <v>4501.9</v>
      </c>
      <c r="F905" s="14" t="n">
        <f aca="false">'לקוחות לפי סוכן - מקור'!D842</f>
        <v>0</v>
      </c>
      <c r="G905" s="15" t="n">
        <f aca="false">'לקוחות לפי סוכן - מקור'!H842</f>
        <v>0</v>
      </c>
      <c r="H905" s="15" t="n">
        <f aca="false">'לקוחות לפי סוכן - מקור'!I842</f>
        <v>0</v>
      </c>
      <c r="I905" s="48" t="str">
        <f aca="false">'לקוחות לפי סוכן - מקור'!K842</f>
        <v>CHMI</v>
      </c>
    </row>
    <row r="906" customFormat="false" ht="15" hidden="false" customHeight="true" outlineLevel="2" collapsed="false">
      <c r="A906" s="14" t="str">
        <f aca="false">'לקוחות לפי סוכן - מקור'!A843</f>
        <v>חאזם תלחמי</v>
      </c>
      <c r="B906" s="14" t="str">
        <f aca="false">'לקוחות לפי סוכן - מקור'!C843</f>
        <v>0קופות חולים</v>
      </c>
      <c r="C906" s="14" t="str">
        <f aca="false">'לקוחות לפי סוכן - מקור'!E843</f>
        <v>7403 מאוחדת חדרה</v>
      </c>
      <c r="D906" s="22" t="n">
        <f aca="false">'לקוחות לפי סוכן - מקור'!F843</f>
        <v>0</v>
      </c>
      <c r="E906" s="22" t="n">
        <f aca="false">'לקוחות לפי סוכן - מקור'!G843</f>
        <v>2849.2</v>
      </c>
      <c r="F906" s="14" t="n">
        <f aca="false">'לקוחות לפי סוכן - מקור'!D843</f>
        <v>0</v>
      </c>
      <c r="G906" s="15" t="n">
        <f aca="false">'לקוחות לפי סוכן - מקור'!H843</f>
        <v>0</v>
      </c>
      <c r="H906" s="15" t="n">
        <f aca="false">'לקוחות לפי סוכן - מקור'!I843</f>
        <v>0</v>
      </c>
      <c r="I906" s="48" t="str">
        <f aca="false">'לקוחות לפי סוכן - מקור'!K843</f>
        <v>CHMI</v>
      </c>
    </row>
    <row r="907" customFormat="false" ht="15" hidden="false" customHeight="true" outlineLevel="2" collapsed="false">
      <c r="A907" s="14" t="str">
        <f aca="false">'לקוחות לפי סוכן - מקור'!A844</f>
        <v>חאזם תלחמי</v>
      </c>
      <c r="B907" s="14" t="str">
        <f aca="false">'לקוחות לפי סוכן - מקור'!C844</f>
        <v>0קופות חולים</v>
      </c>
      <c r="C907" s="14" t="str">
        <f aca="false">'לקוחות לפי סוכן - מקור'!E844</f>
        <v>מאוחדת מגדלי נצרת</v>
      </c>
      <c r="D907" s="22" t="n">
        <f aca="false">'לקוחות לפי סוכן - מקור'!F844</f>
        <v>0</v>
      </c>
      <c r="E907" s="22" t="n">
        <f aca="false">'לקוחות לפי סוכן - מקור'!G844</f>
        <v>447</v>
      </c>
      <c r="F907" s="14" t="n">
        <f aca="false">'לקוחות לפי סוכן - מקור'!D844</f>
        <v>0</v>
      </c>
      <c r="G907" s="15" t="n">
        <f aca="false">'לקוחות לפי סוכן - מקור'!H844</f>
        <v>0</v>
      </c>
      <c r="H907" s="15" t="n">
        <f aca="false">'לקוחות לפי סוכן - מקור'!I844</f>
        <v>0</v>
      </c>
      <c r="I907" s="48" t="str">
        <f aca="false">'לקוחות לפי סוכן - מקור'!K844</f>
        <v>CHMI</v>
      </c>
    </row>
    <row r="908" customFormat="false" ht="15" hidden="false" customHeight="true" outlineLevel="2" collapsed="false">
      <c r="A908" s="14" t="str">
        <f aca="false">'לקוחות לפי סוכן - מקור'!A845</f>
        <v>חאזם תלחמי</v>
      </c>
      <c r="B908" s="14" t="str">
        <f aca="false">'לקוחות לפי סוכן - מקור'!C845</f>
        <v>0קופות חולים</v>
      </c>
      <c r="C908" s="14" t="str">
        <f aca="false">'לקוחות לפי סוכן - מקור'!E845</f>
        <v>מאוחדת נצרת-סניף המרכז הלבן)פא</v>
      </c>
      <c r="D908" s="22" t="n">
        <f aca="false">'לקוחות לפי סוכן - מקור'!F845</f>
        <v>0</v>
      </c>
      <c r="E908" s="22" t="n">
        <f aca="false">'לקוחות לפי סוכן - מקור'!G845</f>
        <v>181.5</v>
      </c>
      <c r="F908" s="14" t="n">
        <f aca="false">'לקוחות לפי סוכן - מקור'!D845</f>
        <v>0</v>
      </c>
      <c r="G908" s="15" t="n">
        <f aca="false">'לקוחות לפי סוכן - מקור'!H845</f>
        <v>0</v>
      </c>
      <c r="H908" s="15" t="n">
        <f aca="false">'לקוחות לפי סוכן - מקור'!I845</f>
        <v>0</v>
      </c>
      <c r="I908" s="48" t="str">
        <f aca="false">'לקוחות לפי סוכן - מקור'!K845</f>
        <v>CHMI</v>
      </c>
    </row>
    <row r="909" customFormat="false" ht="15" hidden="false" customHeight="true" outlineLevel="2" collapsed="false">
      <c r="A909" s="14" t="str">
        <f aca="false">'לקוחות לפי סוכן - מקור'!A846</f>
        <v>חאזם תלחמי</v>
      </c>
      <c r="B909" s="14" t="str">
        <f aca="false">'לקוחות לפי סוכן - מקור'!C846</f>
        <v>0קופות חולים</v>
      </c>
      <c r="C909" s="14" t="str">
        <f aca="false">'לקוחות לפי סוכן - מקור'!E846</f>
        <v>7409   מאוחדת כפר כנא</v>
      </c>
      <c r="D909" s="22" t="n">
        <f aca="false">'לקוחות לפי סוכן - מקור'!F846</f>
        <v>0</v>
      </c>
      <c r="E909" s="22" t="n">
        <f aca="false">'לקוחות לפי סוכן - מקור'!G846</f>
        <v>1505.7</v>
      </c>
      <c r="F909" s="14" t="n">
        <f aca="false">'לקוחות לפי סוכן - מקור'!D846</f>
        <v>0</v>
      </c>
      <c r="G909" s="15" t="n">
        <f aca="false">'לקוחות לפי סוכן - מקור'!H846</f>
        <v>0</v>
      </c>
      <c r="H909" s="15" t="n">
        <f aca="false">'לקוחות לפי סוכן - מקור'!I846</f>
        <v>0</v>
      </c>
      <c r="I909" s="48" t="str">
        <f aca="false">'לקוחות לפי סוכן - מקור'!K846</f>
        <v>CHMI</v>
      </c>
    </row>
    <row r="910" customFormat="false" ht="15" hidden="false" customHeight="true" outlineLevel="2" collapsed="false">
      <c r="A910" s="14" t="str">
        <f aca="false">'לקוחות לפי סוכן - מקור'!A847</f>
        <v>חאזם תלחמי</v>
      </c>
      <c r="B910" s="14" t="str">
        <f aca="false">'לקוחות לפי סוכן - מקור'!C847</f>
        <v>0קופות חולים</v>
      </c>
      <c r="C910" s="14" t="str">
        <f aca="false">'לקוחות לפי סוכן - מקור'!E847</f>
        <v>7410  מאוחדת כפר קרע</v>
      </c>
      <c r="D910" s="22" t="n">
        <f aca="false">'לקוחות לפי סוכן - מקור'!F847</f>
        <v>0</v>
      </c>
      <c r="E910" s="22" t="n">
        <f aca="false">'לקוחות לפי סוכן - מקור'!G847</f>
        <v>795.1</v>
      </c>
      <c r="F910" s="14" t="n">
        <f aca="false">'לקוחות לפי סוכן - מקור'!D847</f>
        <v>0</v>
      </c>
      <c r="G910" s="15" t="n">
        <f aca="false">'לקוחות לפי סוכן - מקור'!H847</f>
        <v>0</v>
      </c>
      <c r="H910" s="15" t="n">
        <f aca="false">'לקוחות לפי סוכן - מקור'!I847</f>
        <v>0</v>
      </c>
      <c r="I910" s="48" t="str">
        <f aca="false">'לקוחות לפי סוכן - מקור'!K847</f>
        <v>CHMI</v>
      </c>
    </row>
    <row r="911" customFormat="false" ht="15" hidden="false" customHeight="true" outlineLevel="2" collapsed="false">
      <c r="A911" s="14" t="str">
        <f aca="false">'לקוחות לפי סוכן - מקור'!A848</f>
        <v>חאזם תלחמי</v>
      </c>
      <c r="B911" s="14" t="str">
        <f aca="false">'לקוחות לפי סוכן - מקור'!C848</f>
        <v>0קופות חולים</v>
      </c>
      <c r="C911" s="14" t="str">
        <f aca="false">'לקוחות לפי סוכן - מקור'!E848</f>
        <v>מאוחדת צפת</v>
      </c>
      <c r="D911" s="22" t="n">
        <f aca="false">'לקוחות לפי סוכן - מקור'!F848</f>
        <v>0</v>
      </c>
      <c r="E911" s="22" t="n">
        <f aca="false">'לקוחות לפי סוכן - מקור'!G848</f>
        <v>1189.9</v>
      </c>
      <c r="F911" s="14" t="n">
        <f aca="false">'לקוחות לפי סוכן - מקור'!D848</f>
        <v>0</v>
      </c>
      <c r="G911" s="15" t="n">
        <f aca="false">'לקוחות לפי סוכן - מקור'!H848</f>
        <v>0</v>
      </c>
      <c r="H911" s="15" t="n">
        <f aca="false">'לקוחות לפי סוכן - מקור'!I848</f>
        <v>0</v>
      </c>
      <c r="I911" s="48" t="str">
        <f aca="false">'לקוחות לפי סוכן - מקור'!K848</f>
        <v>CHMI</v>
      </c>
    </row>
    <row r="912" customFormat="false" ht="15" hidden="false" customHeight="true" outlineLevel="2" collapsed="false">
      <c r="A912" s="14" t="str">
        <f aca="false">'לקוחות לפי סוכן - מקור'!A849</f>
        <v>חאזם תלחמי</v>
      </c>
      <c r="B912" s="14" t="str">
        <f aca="false">'לקוחות לפי סוכן - מקור'!C849</f>
        <v>0קופות חולים</v>
      </c>
      <c r="C912" s="14" t="str">
        <f aca="false">'לקוחות לפי סוכן - מקור'!E849</f>
        <v>7402 מאוחדת אור עקיבא</v>
      </c>
      <c r="D912" s="22" t="n">
        <f aca="false">'לקוחות לפי סוכן - מקור'!F849</f>
        <v>0</v>
      </c>
      <c r="E912" s="22" t="n">
        <f aca="false">'לקוחות לפי סוכן - מקור'!G849</f>
        <v>541.8</v>
      </c>
      <c r="F912" s="14" t="n">
        <f aca="false">'לקוחות לפי סוכן - מקור'!D849</f>
        <v>0</v>
      </c>
      <c r="G912" s="15" t="n">
        <f aca="false">'לקוחות לפי סוכן - מקור'!H849</f>
        <v>0</v>
      </c>
      <c r="H912" s="15" t="n">
        <f aca="false">'לקוחות לפי סוכן - מקור'!I849</f>
        <v>0</v>
      </c>
      <c r="I912" s="48" t="str">
        <f aca="false">'לקוחות לפי סוכן - מקור'!K849</f>
        <v>CHMI</v>
      </c>
    </row>
    <row r="913" customFormat="false" ht="15" hidden="false" customHeight="true" outlineLevel="2" collapsed="false">
      <c r="A913" s="14" t="str">
        <f aca="false">'לקוחות לפי סוכן - מקור'!A850</f>
        <v>חאזם תלחמי</v>
      </c>
      <c r="B913" s="14" t="str">
        <f aca="false">'לקוחות לפי סוכן - מקור'!C850</f>
        <v>0קופות חולים</v>
      </c>
      <c r="C913" s="14" t="str">
        <f aca="false">'לקוחות לפי סוכן - מקור'!E850</f>
        <v>150 מאוחדת חדר תרופות סכנין</v>
      </c>
      <c r="D913" s="22" t="n">
        <f aca="false">'לקוחות לפי סוכן - מקור'!F850</f>
        <v>0</v>
      </c>
      <c r="E913" s="22" t="n">
        <f aca="false">'לקוחות לפי סוכן - מקור'!G850</f>
        <v>610.6</v>
      </c>
      <c r="F913" s="14" t="n">
        <f aca="false">'לקוחות לפי סוכן - מקור'!D850</f>
        <v>0</v>
      </c>
      <c r="G913" s="15" t="n">
        <f aca="false">'לקוחות לפי סוכן - מקור'!H850</f>
        <v>0</v>
      </c>
      <c r="H913" s="15" t="n">
        <f aca="false">'לקוחות לפי סוכן - מקור'!I850</f>
        <v>0</v>
      </c>
      <c r="I913" s="48" t="str">
        <f aca="false">'לקוחות לפי סוכן - מקור'!K850</f>
        <v>CHMI</v>
      </c>
    </row>
    <row r="914" customFormat="false" ht="15" hidden="false" customHeight="true" outlineLevel="2" collapsed="false">
      <c r="A914" s="14" t="str">
        <f aca="false">'לקוחות לפי סוכן - מקור'!A851</f>
        <v>חאזם תלחמי</v>
      </c>
      <c r="B914" s="14" t="str">
        <f aca="false">'לקוחות לפי סוכן - מקור'!C851</f>
        <v>0קופות חולים</v>
      </c>
      <c r="C914" s="14" t="str">
        <f aca="false">'לקוחות לפי סוכן - מקור'!E851</f>
        <v>163 מאוחדת עוספיא</v>
      </c>
      <c r="D914" s="22" t="n">
        <f aca="false">'לקוחות לפי סוכן - מקור'!F851</f>
        <v>0</v>
      </c>
      <c r="E914" s="22" t="n">
        <f aca="false">'לקוחות לפי סוכן - מקור'!G851</f>
        <v>1533.1</v>
      </c>
      <c r="F914" s="14" t="n">
        <f aca="false">'לקוחות לפי סוכן - מקור'!D851</f>
        <v>0</v>
      </c>
      <c r="G914" s="15" t="n">
        <f aca="false">'לקוחות לפי סוכן - מקור'!H851</f>
        <v>0</v>
      </c>
      <c r="H914" s="15" t="n">
        <f aca="false">'לקוחות לפי סוכן - מקור'!I851</f>
        <v>0</v>
      </c>
      <c r="I914" s="48" t="str">
        <f aca="false">'לקוחות לפי סוכן - מקור'!K851</f>
        <v>CHMI</v>
      </c>
    </row>
    <row r="915" customFormat="false" ht="15" hidden="false" customHeight="true" outlineLevel="2" collapsed="false">
      <c r="A915" s="14" t="str">
        <f aca="false">'לקוחות לפי סוכן - מקור'!A852</f>
        <v>חאזם תלחמי</v>
      </c>
      <c r="B915" s="14" t="str">
        <f aca="false">'לקוחות לפי סוכן - מקור'!C852</f>
        <v>0קופות חולים</v>
      </c>
      <c r="C915" s="14" t="str">
        <f aca="false">'לקוחות לפי סוכן - מקור'!E852</f>
        <v>7418  מאוחדת עכו</v>
      </c>
      <c r="D915" s="22" t="n">
        <f aca="false">'לקוחות לפי סוכן - מקור'!F852</f>
        <v>0</v>
      </c>
      <c r="E915" s="22" t="n">
        <f aca="false">'לקוחות לפי סוכן - מקור'!G852</f>
        <v>2975.3</v>
      </c>
      <c r="F915" s="14" t="n">
        <f aca="false">'לקוחות לפי סוכן - מקור'!D852</f>
        <v>0</v>
      </c>
      <c r="G915" s="15" t="n">
        <f aca="false">'לקוחות לפי סוכן - מקור'!H852</f>
        <v>0</v>
      </c>
      <c r="H915" s="15" t="n">
        <f aca="false">'לקוחות לפי סוכן - מקור'!I852</f>
        <v>0</v>
      </c>
      <c r="I915" s="48" t="str">
        <f aca="false">'לקוחות לפי סוכן - מקור'!K852</f>
        <v>CHMI</v>
      </c>
    </row>
    <row r="916" customFormat="false" ht="15" hidden="false" customHeight="true" outlineLevel="2" collapsed="false">
      <c r="A916" s="14" t="str">
        <f aca="false">'לקוחות לפי סוכן - מקור'!A853</f>
        <v>חאזם תלחמי</v>
      </c>
      <c r="B916" s="14" t="str">
        <f aca="false">'לקוחות לפי סוכן - מקור'!C853</f>
        <v>0קופות חולים</v>
      </c>
      <c r="C916" s="14" t="str">
        <f aca="false">'לקוחות לפי סוכן - מקור'!E853</f>
        <v>164 מאוחדת פרדס חנה</v>
      </c>
      <c r="D916" s="22" t="n">
        <f aca="false">'לקוחות לפי סוכן - מקור'!F853</f>
        <v>0</v>
      </c>
      <c r="E916" s="22" t="n">
        <f aca="false">'לקוחות לפי סוכן - מקור'!G853</f>
        <v>1123.6</v>
      </c>
      <c r="F916" s="14" t="n">
        <f aca="false">'לקוחות לפי סוכן - מקור'!D853</f>
        <v>0</v>
      </c>
      <c r="G916" s="15" t="n">
        <f aca="false">'לקוחות לפי סוכן - מקור'!H853</f>
        <v>0</v>
      </c>
      <c r="H916" s="15" t="n">
        <f aca="false">'לקוחות לפי סוכן - מקור'!I853</f>
        <v>0</v>
      </c>
      <c r="I916" s="48" t="str">
        <f aca="false">'לקוחות לפי סוכן - מקור'!K853</f>
        <v>CHMI</v>
      </c>
    </row>
    <row r="917" customFormat="false" ht="15" hidden="false" customHeight="true" outlineLevel="2" collapsed="false">
      <c r="A917" s="14" t="str">
        <f aca="false">'לקוחות לפי סוכן - מקור'!A854</f>
        <v>חאזם תלחמי</v>
      </c>
      <c r="B917" s="14" t="str">
        <f aca="false">'לקוחות לפי סוכן - מקור'!C854</f>
        <v>0קופות חולים</v>
      </c>
      <c r="C917" s="14" t="str">
        <f aca="false">'לקוחות לפי סוכן - מקור'!E854</f>
        <v>7420 מאוחדת טבריה עילית</v>
      </c>
      <c r="D917" s="22" t="n">
        <f aca="false">'לקוחות לפי סוכן - מקור'!F854</f>
        <v>0</v>
      </c>
      <c r="E917" s="22" t="n">
        <f aca="false">'לקוחות לפי סוכן - מקור'!G854</f>
        <v>142.8</v>
      </c>
      <c r="F917" s="14" t="n">
        <f aca="false">'לקוחות לפי סוכן - מקור'!D854</f>
        <v>0</v>
      </c>
      <c r="G917" s="15" t="n">
        <f aca="false">'לקוחות לפי סוכן - מקור'!H854</f>
        <v>0</v>
      </c>
      <c r="H917" s="15" t="n">
        <f aca="false">'לקוחות לפי סוכן - מקור'!I854</f>
        <v>0</v>
      </c>
      <c r="I917" s="48" t="str">
        <f aca="false">'לקוחות לפי סוכן - מקור'!K854</f>
        <v>CHMI</v>
      </c>
    </row>
    <row r="918" customFormat="false" ht="15" hidden="false" customHeight="true" outlineLevel="2" collapsed="false">
      <c r="A918" s="14" t="str">
        <f aca="false">'לקוחות לפי סוכן - מקור'!A855</f>
        <v>חאזם תלחמי</v>
      </c>
      <c r="B918" s="14" t="str">
        <f aca="false">'לקוחות לפי סוכן - מקור'!C855</f>
        <v>0קופות חולים</v>
      </c>
      <c r="C918" s="14" t="str">
        <f aca="false">'לקוחות לפי סוכן - מקור'!E855</f>
        <v>7421 מאוחדת נהריה</v>
      </c>
      <c r="D918" s="22" t="n">
        <f aca="false">'לקוחות לפי סוכן - מקור'!F855</f>
        <v>0</v>
      </c>
      <c r="E918" s="22" t="n">
        <f aca="false">'לקוחות לפי סוכן - מקור'!G855</f>
        <v>1271.2</v>
      </c>
      <c r="F918" s="14" t="n">
        <f aca="false">'לקוחות לפי סוכן - מקור'!D855</f>
        <v>0</v>
      </c>
      <c r="G918" s="15" t="n">
        <f aca="false">'לקוחות לפי סוכן - מקור'!H855</f>
        <v>0</v>
      </c>
      <c r="H918" s="15" t="n">
        <f aca="false">'לקוחות לפי סוכן - מקור'!I855</f>
        <v>0</v>
      </c>
      <c r="I918" s="48" t="str">
        <f aca="false">'לקוחות לפי סוכן - מקור'!K855</f>
        <v>CHMI</v>
      </c>
    </row>
    <row r="919" customFormat="false" ht="15" hidden="false" customHeight="true" outlineLevel="2" collapsed="false">
      <c r="A919" s="14" t="str">
        <f aca="false">'לקוחות לפי סוכן - מקור'!A856</f>
        <v>חאזם תלחמי</v>
      </c>
      <c r="B919" s="14" t="str">
        <f aca="false">'לקוחות לפי סוכן - מקור'!C856</f>
        <v>0קופות חולים</v>
      </c>
      <c r="C919" s="14" t="str">
        <f aca="false">'לקוחות לפי סוכן - מקור'!E856</f>
        <v>7422 מאוחדת חריש</v>
      </c>
      <c r="D919" s="22" t="n">
        <f aca="false">'לקוחות לפי סוכן - מקור'!F856</f>
        <v>0</v>
      </c>
      <c r="E919" s="22" t="n">
        <f aca="false">'לקוחות לפי סוכן - מקור'!G856</f>
        <v>2329</v>
      </c>
      <c r="F919" s="14" t="n">
        <f aca="false">'לקוחות לפי סוכן - מקור'!D856</f>
        <v>0</v>
      </c>
      <c r="G919" s="15" t="n">
        <f aca="false">'לקוחות לפי סוכן - מקור'!H856</f>
        <v>0</v>
      </c>
      <c r="H919" s="15" t="n">
        <f aca="false">'לקוחות לפי סוכן - מקור'!I856</f>
        <v>0</v>
      </c>
      <c r="I919" s="48" t="str">
        <f aca="false">'לקוחות לפי סוכן - מקור'!K856</f>
        <v>CHMI</v>
      </c>
    </row>
    <row r="920" customFormat="false" ht="15" hidden="false" customHeight="true" outlineLevel="2" collapsed="false">
      <c r="A920" s="14" t="str">
        <f aca="false">'לקוחות לפי סוכן - מקור'!A857</f>
        <v>חאזם תלחמי</v>
      </c>
      <c r="B920" s="14" t="str">
        <f aca="false">'לקוחות לפי סוכן - מקור'!C857</f>
        <v>0קופות חולים</v>
      </c>
      <c r="C920" s="14" t="str">
        <f aca="false">'לקוחות לפי סוכן - מקור'!E857</f>
        <v>7419 מאוחדת פארם זכרון יעקב</v>
      </c>
      <c r="D920" s="22" t="n">
        <f aca="false">'לקוחות לפי סוכן - מקור'!F857</f>
        <v>0</v>
      </c>
      <c r="E920" s="22" t="n">
        <f aca="false">'לקוחות לפי סוכן - מקור'!G857</f>
        <v>1536.6</v>
      </c>
      <c r="F920" s="14" t="n">
        <f aca="false">'לקוחות לפי סוכן - מקור'!D857</f>
        <v>0</v>
      </c>
      <c r="G920" s="15" t="n">
        <f aca="false">'לקוחות לפי סוכן - מקור'!H857</f>
        <v>0</v>
      </c>
      <c r="H920" s="15" t="n">
        <f aca="false">'לקוחות לפי סוכן - מקור'!I857</f>
        <v>0</v>
      </c>
      <c r="I920" s="48" t="str">
        <f aca="false">'לקוחות לפי סוכן - מקור'!K857</f>
        <v>CHMI</v>
      </c>
    </row>
    <row r="921" customFormat="false" ht="15" hidden="false" customHeight="true" outlineLevel="2" collapsed="false">
      <c r="A921" s="14" t="str">
        <f aca="false">'לקוחות לפי סוכן - מקור'!A858</f>
        <v>חאזם תלחמי</v>
      </c>
      <c r="B921" s="14" t="str">
        <f aca="false">'לקוחות לפי סוכן - מקור'!C858</f>
        <v>0קופות חולים</v>
      </c>
      <c r="C921" s="14" t="str">
        <f aca="false">'לקוחות לפי סוכן - מקור'!E858</f>
        <v>מאוחדת בר כוכבא חיפה</v>
      </c>
      <c r="D921" s="22" t="n">
        <f aca="false">'לקוחות לפי סוכן - מקור'!F858</f>
        <v>0</v>
      </c>
      <c r="E921" s="22" t="n">
        <f aca="false">'לקוחות לפי סוכן - מקור'!G858</f>
        <v>496.4</v>
      </c>
      <c r="F921" s="14" t="n">
        <f aca="false">'לקוחות לפי סוכן - מקור'!D858</f>
        <v>0</v>
      </c>
      <c r="G921" s="15" t="n">
        <f aca="false">'לקוחות לפי סוכן - מקור'!H858</f>
        <v>0</v>
      </c>
      <c r="H921" s="15" t="n">
        <f aca="false">'לקוחות לפי סוכן - מקור'!I858</f>
        <v>0</v>
      </c>
      <c r="I921" s="48" t="str">
        <f aca="false">'לקוחות לפי סוכן - מקור'!K858</f>
        <v>CHMI</v>
      </c>
    </row>
    <row r="922" customFormat="false" ht="15" hidden="false" customHeight="true" outlineLevel="2" collapsed="false">
      <c r="A922" s="14" t="str">
        <f aca="false">'לקוחות לפי סוכן - מקור'!A859</f>
        <v>חאזם תלחמי</v>
      </c>
      <c r="B922" s="14" t="str">
        <f aca="false">'לקוחות לפי סוכן - מקור'!C859</f>
        <v>0קופות חולים</v>
      </c>
      <c r="C922" s="14" t="str">
        <f aca="false">'לקוחות לפי סוכן - מקור'!E859</f>
        <v>7424 מאוחדת פארם פסגות ים</v>
      </c>
      <c r="D922" s="22" t="n">
        <f aca="false">'לקוחות לפי סוכן - מקור'!F859</f>
        <v>0</v>
      </c>
      <c r="E922" s="22" t="n">
        <f aca="false">'לקוחות לפי סוכן - מקור'!G859</f>
        <v>2072.6</v>
      </c>
      <c r="F922" s="14" t="n">
        <f aca="false">'לקוחות לפי סוכן - מקור'!D859</f>
        <v>0</v>
      </c>
      <c r="G922" s="15" t="n">
        <f aca="false">'לקוחות לפי סוכן - מקור'!H859</f>
        <v>0</v>
      </c>
      <c r="H922" s="15" t="n">
        <f aca="false">'לקוחות לפי סוכן - מקור'!I859</f>
        <v>0</v>
      </c>
      <c r="I922" s="48" t="str">
        <f aca="false">'לקוחות לפי סוכן - מקור'!K859</f>
        <v>CHMI</v>
      </c>
    </row>
    <row r="923" customFormat="false" ht="15" hidden="false" customHeight="true" outlineLevel="2" collapsed="false">
      <c r="A923" s="14" t="str">
        <f aca="false">'לקוחות לפי סוכן - מקור'!A860</f>
        <v>חאזם תלחמי</v>
      </c>
      <c r="B923" s="14" t="str">
        <f aca="false">'לקוחות לפי סוכן - מקור'!C860</f>
        <v>0קופות חולים</v>
      </c>
      <c r="C923" s="14" t="str">
        <f aca="false">'לקוחות לפי סוכן - מקור'!E860</f>
        <v>7427 מאוחדת קרית אתא</v>
      </c>
      <c r="D923" s="22" t="n">
        <f aca="false">'לקוחות לפי סוכן - מקור'!F860</f>
        <v>0</v>
      </c>
      <c r="E923" s="22" t="n">
        <f aca="false">'לקוחות לפי סוכן - מקור'!G860</f>
        <v>1049.4</v>
      </c>
      <c r="F923" s="14" t="n">
        <f aca="false">'לקוחות לפי סוכן - מקור'!D860</f>
        <v>0</v>
      </c>
      <c r="G923" s="15" t="n">
        <f aca="false">'לקוחות לפי סוכן - מקור'!H860</f>
        <v>0</v>
      </c>
      <c r="H923" s="15" t="n">
        <f aca="false">'לקוחות לפי סוכן - מקור'!I860</f>
        <v>0</v>
      </c>
      <c r="I923" s="48" t="str">
        <f aca="false">'לקוחות לפי סוכן - מקור'!K860</f>
        <v>CHMI</v>
      </c>
    </row>
    <row r="924" customFormat="false" ht="15" hidden="false" customHeight="true" outlineLevel="2" collapsed="false">
      <c r="A924" s="14" t="str">
        <f aca="false">'לקוחות לפי סוכן - מקור'!A861</f>
        <v>חאזם תלחמי</v>
      </c>
      <c r="B924" s="14" t="str">
        <f aca="false">'לקוחות לפי סוכן - מקור'!C861</f>
        <v>0קופות חולים</v>
      </c>
      <c r="C924" s="14" t="str">
        <f aca="false">'לקוחות לפי סוכן - מקור'!E861</f>
        <v>7426 מאוחדת פארם ויוה חדרה</v>
      </c>
      <c r="D924" s="22" t="n">
        <f aca="false">'לקוחות לפי סוכן - מקור'!F861</f>
        <v>0</v>
      </c>
      <c r="E924" s="22" t="n">
        <f aca="false">'לקוחות לפי סוכן - מקור'!G861</f>
        <v>8138.5</v>
      </c>
      <c r="F924" s="14" t="n">
        <f aca="false">'לקוחות לפי סוכן - מקור'!D861</f>
        <v>0</v>
      </c>
      <c r="G924" s="15" t="n">
        <f aca="false">'לקוחות לפי סוכן - מקור'!H861</f>
        <v>0</v>
      </c>
      <c r="H924" s="15" t="n">
        <f aca="false">'לקוחות לפי סוכן - מקור'!I861</f>
        <v>0</v>
      </c>
      <c r="I924" s="48" t="str">
        <f aca="false">'לקוחות לפי סוכן - מקור'!K861</f>
        <v>CHMI</v>
      </c>
    </row>
    <row r="925" customFormat="false" ht="15" hidden="false" customHeight="true" outlineLevel="2" collapsed="false">
      <c r="A925" s="14" t="str">
        <f aca="false">'לקוחות לפי סוכן - מקור'!A862</f>
        <v>חאזם תלחמי</v>
      </c>
      <c r="B925" s="14" t="str">
        <f aca="false">'לקוחות לפי סוכן - מקור'!C862</f>
        <v>0קופות חולים</v>
      </c>
      <c r="C925" s="14" t="str">
        <f aca="false">'לקוחות לפי סוכן - מקור'!E862</f>
        <v>7434 מאוחדת פארם שפרעם</v>
      </c>
      <c r="D925" s="22" t="n">
        <f aca="false">'לקוחות לפי סוכן - מקור'!F862</f>
        <v>0</v>
      </c>
      <c r="E925" s="22" t="n">
        <f aca="false">'לקוחות לפי סוכן - מקור'!G862</f>
        <v>1519.4</v>
      </c>
      <c r="F925" s="14" t="n">
        <f aca="false">'לקוחות לפי סוכן - מקור'!D862</f>
        <v>0</v>
      </c>
      <c r="G925" s="15" t="n">
        <f aca="false">'לקוחות לפי סוכן - מקור'!H862</f>
        <v>0</v>
      </c>
      <c r="H925" s="15" t="n">
        <f aca="false">'לקוחות לפי סוכן - מקור'!I862</f>
        <v>0</v>
      </c>
      <c r="I925" s="48" t="str">
        <f aca="false">'לקוחות לפי סוכן - מקור'!K862</f>
        <v>CHMI</v>
      </c>
    </row>
    <row r="926" customFormat="false" ht="15" hidden="false" customHeight="true" outlineLevel="2" collapsed="false">
      <c r="A926" s="14" t="str">
        <f aca="false">'לקוחות לפי סוכן - מקור'!A863</f>
        <v>חאזם תלחמי</v>
      </c>
      <c r="B926" s="14" t="str">
        <f aca="false">'לקוחות לפי סוכן - מקור'!C863</f>
        <v>0קופות חולים</v>
      </c>
      <c r="C926" s="14" t="str">
        <f aca="false">'לקוחות לפי סוכן - מקור'!E863</f>
        <v>7433 מאוחדת פארם לב כרמיאל</v>
      </c>
      <c r="D926" s="22" t="n">
        <f aca="false">'לקוחות לפי סוכן - מקור'!F863</f>
        <v>0</v>
      </c>
      <c r="E926" s="22" t="n">
        <f aca="false">'לקוחות לפי סוכן - מקור'!G863</f>
        <v>660.9</v>
      </c>
      <c r="F926" s="14" t="n">
        <f aca="false">'לקוחות לפי סוכן - מקור'!D863</f>
        <v>0</v>
      </c>
      <c r="G926" s="15" t="n">
        <f aca="false">'לקוחות לפי סוכן - מקור'!H863</f>
        <v>0</v>
      </c>
      <c r="H926" s="15" t="n">
        <f aca="false">'לקוחות לפי סוכן - מקור'!I863</f>
        <v>0</v>
      </c>
      <c r="I926" s="48" t="str">
        <f aca="false">'לקוחות לפי סוכן - מקור'!K863</f>
        <v>CHMI</v>
      </c>
    </row>
    <row r="927" customFormat="false" ht="15" hidden="false" customHeight="true" outlineLevel="2" collapsed="false">
      <c r="A927" s="14" t="str">
        <f aca="false">'לקוחות לפי סוכן - מקור'!A864</f>
        <v>חאזם תלחמי</v>
      </c>
      <c r="B927" s="14" t="str">
        <f aca="false">'לקוחות לפי סוכן - מקור'!C864</f>
        <v>0קופות חולים</v>
      </c>
      <c r="C927" s="14" t="str">
        <f aca="false">'לקוחות לפי סוכן - מקור'!E864</f>
        <v>7435 מאוחדת פארם כאבול</v>
      </c>
      <c r="D927" s="22" t="n">
        <f aca="false">'לקוחות לפי סוכן - מקור'!F864</f>
        <v>0</v>
      </c>
      <c r="E927" s="22" t="n">
        <f aca="false">'לקוחות לפי סוכן - מקור'!G864</f>
        <v>926.3</v>
      </c>
      <c r="F927" s="14" t="n">
        <f aca="false">'לקוחות לפי סוכן - מקור'!D864</f>
        <v>0</v>
      </c>
      <c r="G927" s="15" t="n">
        <f aca="false">'לקוחות לפי סוכן - מקור'!H864</f>
        <v>0</v>
      </c>
      <c r="H927" s="15" t="n">
        <f aca="false">'לקוחות לפי סוכן - מקור'!I864</f>
        <v>0</v>
      </c>
      <c r="I927" s="48" t="str">
        <f aca="false">'לקוחות לפי סוכן - מקור'!K864</f>
        <v>CHMI</v>
      </c>
    </row>
    <row r="928" customFormat="false" ht="15" hidden="false" customHeight="true" outlineLevel="2" collapsed="false">
      <c r="A928" s="14" t="str">
        <f aca="false">'לקוחות לפי סוכן - מקור'!A865</f>
        <v>חאזם תלחמי</v>
      </c>
      <c r="B928" s="14" t="str">
        <f aca="false">'לקוחות לפי סוכן - מקור'!C865</f>
        <v>0קופות חולים</v>
      </c>
      <c r="C928" s="14" t="str">
        <f aca="false">'לקוחות לפי סוכן - מקור'!E865</f>
        <v>מאוחדת פארם עפולה עילית</v>
      </c>
      <c r="D928" s="22" t="n">
        <f aca="false">'לקוחות לפי סוכן - מקור'!F865</f>
        <v>0</v>
      </c>
      <c r="E928" s="22" t="n">
        <f aca="false">'לקוחות לפי סוכן - מקור'!G865</f>
        <v>294.6</v>
      </c>
      <c r="F928" s="14" t="n">
        <f aca="false">'לקוחות לפי סוכן - מקור'!D865</f>
        <v>0</v>
      </c>
      <c r="G928" s="15" t="n">
        <f aca="false">'לקוחות לפי סוכן - מקור'!H865</f>
        <v>0</v>
      </c>
      <c r="H928" s="15" t="n">
        <f aca="false">'לקוחות לפי סוכן - מקור'!I865</f>
        <v>0</v>
      </c>
      <c r="I928" s="48" t="str">
        <f aca="false">'לקוחות לפי סוכן - מקור'!K865</f>
        <v>CHMI</v>
      </c>
    </row>
    <row r="929" customFormat="false" ht="15" hidden="false" customHeight="true" outlineLevel="0" collapsed="false">
      <c r="A929" s="16" t="s">
        <v>25</v>
      </c>
      <c r="B929" s="16"/>
      <c r="C929" s="16" t="s">
        <v>3804</v>
      </c>
      <c r="D929" s="46" t="n">
        <f aca="false">SUMIF('לקוחות לפי סוכן - מקור'!$A$2:$A$867,$A929,'לקוחות לפי סוכן - מקור'!$F$2:$F$867)</f>
        <v>0</v>
      </c>
      <c r="E929" s="46" t="n">
        <f aca="false">SUMIF('לקוחות לפי סוכן - מקור'!$A$2:$A$867,$A929,'לקוחות לפי סוכן - מקור'!$G$2:$G$867)</f>
        <v>1680747.1</v>
      </c>
      <c r="F929" s="16"/>
      <c r="G929" s="17" t="n">
        <f aca="false">SUMIF('לקוחות לפי סוכן - מקור'!$A$2:$A$867,$A929,'לקוחות לפי סוכן - מקור'!$H$2:$H$867)</f>
        <v>0</v>
      </c>
      <c r="H929" s="17" t="n">
        <f aca="false">SUMIF('לקוחות לפי סוכן - מקור'!$A$2:$A$867,$A929,'לקוחות לפי סוכן - מקור'!$I$2:$I$867)</f>
        <v>0</v>
      </c>
      <c r="I929" s="16" t="str">
        <f aca="false">IF(COUNTIFS('לקוחות לפי סוכן - מקור'!$A$2:$A$867,$A929,'לקוחות לפי סוכן - מקור'!$K$2:$K$867,"NetSuite")&gt;0,IF(COUNTIFS('לקוחות לפי סוכן - מקור'!$A$2:$A$867,$A929,'לקוחות לפי סוכן - מקור'!$K$2:$K$867,"CHMI")&gt;0,"NetSuite+CHMI ("&amp;COUNTIFS('לקוחות לפי סוכן - מקור'!$A$2:$A$867,$A929,'לקוחות לפי סוכן - מקור'!$K$2:$K$867,"NetSuite")&amp;"+"&amp;COUNTIFS('לקוחות לפי סוכן - מקור'!$A$2:$A$867,$A929,'לקוחות לפי סוכן - מקור'!$K$2:$K$867,"CHMI")&amp;")","NetSuite ("&amp;COUNTIFS('לקוחות לפי סוכן - מקור'!$A$2:$A$867,$A929,'לקוחות לפי סוכן - מקור'!$K$2:$K$867,"NetSuite")&amp;")"),"CHMI ("&amp;COUNTIFS('לקוחות לפי סוכן - מקור'!$A$2:$A$867,$A929,'לקוחות לפי סוכן - מקור'!$K$2:$K$867,"CHMI")&amp;")")</f>
        <v>CHMI (237)</v>
      </c>
      <c r="J929" s="17" t="n">
        <f aca="false">COUNTIF('לקוחות לפי סוכן - מקור'!$A$2:$A$867,$A929)</f>
        <v>237</v>
      </c>
    </row>
    <row r="930" customFormat="false" ht="15" hidden="false" customHeight="true" outlineLevel="0" collapsed="false"/>
    <row r="931" customFormat="false" ht="15" hidden="false" customHeight="true" outlineLevel="0" collapsed="false">
      <c r="A931" s="16" t="s">
        <v>27</v>
      </c>
      <c r="B931" s="16"/>
      <c r="C931" s="16"/>
      <c r="D931" s="16"/>
      <c r="E931" s="16"/>
      <c r="F931" s="16"/>
      <c r="G931" s="16"/>
      <c r="H931" s="16"/>
      <c r="I931" s="16"/>
      <c r="J931" s="16"/>
    </row>
    <row r="932" customFormat="false" ht="15" hidden="false" customHeight="true" outlineLevel="1" collapsed="false">
      <c r="A932" s="49" t="s">
        <v>27</v>
      </c>
      <c r="B932" s="50" t="s">
        <v>18</v>
      </c>
      <c r="C932" s="51"/>
      <c r="D932" s="52" t="n">
        <f aca="false">SUMIFS('לקוחות לפי סוכן - מקור'!$F$2:$F$867,'לקוחות לפי סוכן - מקור'!$A$2:$A$867,$A932,'לקוחות לפי סוכן - מקור'!$C$2:$C$867,$B932)</f>
        <v>0</v>
      </c>
      <c r="E932" s="52" t="n">
        <f aca="false">SUMIFS('לקוחות לפי סוכן - מקור'!$G$2:$G$867,'לקוחות לפי סוכן - מקור'!$A$2:$A$867,$A932,'לקוחות לפי סוכן - מקור'!$C$2:$C$867,$B932)</f>
        <v>15621.3</v>
      </c>
      <c r="F932" s="51"/>
      <c r="G932" s="53" t="n">
        <f aca="false">SUMIFS('לקוחות לפי סוכן - מקור'!$H$2:$H$867,'לקוחות לפי סוכן - מקור'!$A$2:$A$867,$A932,'לקוחות לפי סוכן - מקור'!$C$2:$C$867,$B932)</f>
        <v>0</v>
      </c>
      <c r="H932" s="53" t="n">
        <f aca="false">SUMIFS('לקוחות לפי סוכן - מקור'!$I$2:$I$867,'לקוחות לפי סוכן - מקור'!$A$2:$A$867,$A932,'לקוחות לפי סוכן - מקור'!$C$2:$C$867,$B932)</f>
        <v>0</v>
      </c>
      <c r="I932" s="51"/>
      <c r="J932" s="53" t="n">
        <f aca="false">COUNTIFS('לקוחות לפי סוכן - מקור'!$A$2:$A$867,$A932,'לקוחות לפי סוכן - מקור'!$C$2:$C$867,$B932)</f>
        <v>1</v>
      </c>
    </row>
    <row r="933" customFormat="false" ht="15" hidden="false" customHeight="true" outlineLevel="2" collapsed="false">
      <c r="A933" s="14" t="str">
        <f aca="false">'לקוחות לפי סוכן - מקור'!A866</f>
        <v>עיסא</v>
      </c>
      <c r="B933" s="14" t="str">
        <f aca="false">'לקוחות לפי סוכן - מקור'!C866</f>
        <v>שופרסל BE</v>
      </c>
      <c r="C933" s="14" t="str">
        <f aca="false">'לקוחות לפי סוכן - מקור'!E866</f>
        <v>824  אונליין לונג פ""ת BE</v>
      </c>
      <c r="D933" s="22" t="n">
        <f aca="false">'לקוחות לפי סוכן - מקור'!F866</f>
        <v>0</v>
      </c>
      <c r="E933" s="22" t="n">
        <f aca="false">'לקוחות לפי סוכן - מקור'!G866</f>
        <v>15621.3</v>
      </c>
      <c r="F933" s="14" t="n">
        <f aca="false">'לקוחות לפי סוכן - מקור'!D866</f>
        <v>0</v>
      </c>
      <c r="G933" s="15" t="n">
        <f aca="false">'לקוחות לפי סוכן - מקור'!H866</f>
        <v>0</v>
      </c>
      <c r="H933" s="15" t="n">
        <f aca="false">'לקוחות לפי סוכן - מקור'!I866</f>
        <v>0</v>
      </c>
      <c r="I933" s="48" t="str">
        <f aca="false">'לקוחות לפי סוכן - מקור'!K866</f>
        <v>CHMI</v>
      </c>
    </row>
    <row r="934" customFormat="false" ht="15" hidden="false" customHeight="true" outlineLevel="1" collapsed="false">
      <c r="A934" s="49" t="s">
        <v>27</v>
      </c>
      <c r="B934" s="50" t="s">
        <v>20</v>
      </c>
      <c r="C934" s="51"/>
      <c r="D934" s="52" t="n">
        <f aca="false">SUMIFS('לקוחות לפי סוכן - מקור'!$F$2:$F$867,'לקוחות לפי סוכן - מקור'!$A$2:$A$867,$A934,'לקוחות לפי סוכן - מקור'!$C$2:$C$867,$B934)</f>
        <v>0</v>
      </c>
      <c r="E934" s="52" t="n">
        <f aca="false">SUMIFS('לקוחות לפי סוכן - מקור'!$G$2:$G$867,'לקוחות לפי סוכן - מקור'!$A$2:$A$867,$A934,'לקוחות לפי סוכן - מקור'!$C$2:$C$867,$B934)</f>
        <v>586.8</v>
      </c>
      <c r="F934" s="51"/>
      <c r="G934" s="53" t="n">
        <f aca="false">SUMIFS('לקוחות לפי סוכן - מקור'!$H$2:$H$867,'לקוחות לפי סוכן - מקור'!$A$2:$A$867,$A934,'לקוחות לפי סוכן - מקור'!$C$2:$C$867,$B934)</f>
        <v>0</v>
      </c>
      <c r="H934" s="53" t="n">
        <f aca="false">SUMIFS('לקוחות לפי סוכן - מקור'!$I$2:$I$867,'לקוחות לפי סוכן - מקור'!$A$2:$A$867,$A934,'לקוחות לפי סוכן - מקור'!$C$2:$C$867,$B934)</f>
        <v>0</v>
      </c>
      <c r="I934" s="51"/>
      <c r="J934" s="53" t="n">
        <f aca="false">COUNTIFS('לקוחות לפי סוכן - מקור'!$A$2:$A$867,$A934,'לקוחות לפי סוכן - מקור'!$C$2:$C$867,$B934)</f>
        <v>1</v>
      </c>
    </row>
    <row r="935" customFormat="false" ht="15" hidden="false" customHeight="true" outlineLevel="2" collapsed="false">
      <c r="A935" s="14" t="str">
        <f aca="false">'לקוחות לפי סוכן - מקור'!A867</f>
        <v>עיסא</v>
      </c>
      <c r="B935" s="14" t="str">
        <f aca="false">'לקוחות לפי סוכן - מקור'!C867</f>
        <v>0קופות חולים</v>
      </c>
      <c r="C935" s="14" t="str">
        <f aca="false">'לקוחות לפי סוכן - מקור'!E867</f>
        <v>ק.חולים מכבי</v>
      </c>
      <c r="D935" s="22" t="n">
        <f aca="false">'לקוחות לפי סוכן - מקור'!F867</f>
        <v>0</v>
      </c>
      <c r="E935" s="22" t="n">
        <f aca="false">'לקוחות לפי סוכן - מקור'!G867</f>
        <v>586.8</v>
      </c>
      <c r="F935" s="14" t="n">
        <f aca="false">'לקוחות לפי סוכן - מקור'!D867</f>
        <v>0</v>
      </c>
      <c r="G935" s="15" t="n">
        <f aca="false">'לקוחות לפי סוכן - מקור'!H867</f>
        <v>0</v>
      </c>
      <c r="H935" s="15" t="n">
        <f aca="false">'לקוחות לפי סוכן - מקור'!I867</f>
        <v>0</v>
      </c>
      <c r="I935" s="48" t="str">
        <f aca="false">'לקוחות לפי סוכן - מקור'!K867</f>
        <v>CHMI</v>
      </c>
    </row>
    <row r="936" customFormat="false" ht="15" hidden="false" customHeight="true" outlineLevel="0" collapsed="false">
      <c r="A936" s="16" t="s">
        <v>27</v>
      </c>
      <c r="B936" s="16"/>
      <c r="C936" s="16" t="s">
        <v>3804</v>
      </c>
      <c r="D936" s="46" t="n">
        <f aca="false">SUMIF('לקוחות לפי סוכן - מקור'!$A$2:$A$867,$A936,'לקוחות לפי סוכן - מקור'!$F$2:$F$867)</f>
        <v>0</v>
      </c>
      <c r="E936" s="46" t="n">
        <f aca="false">SUMIF('לקוחות לפי סוכן - מקור'!$A$2:$A$867,$A936,'לקוחות לפי סוכן - מקור'!$G$2:$G$867)</f>
        <v>16208.1</v>
      </c>
      <c r="F936" s="16"/>
      <c r="G936" s="17" t="n">
        <f aca="false">SUMIF('לקוחות לפי סוכן - מקור'!$A$2:$A$867,$A936,'לקוחות לפי סוכן - מקור'!$H$2:$H$867)</f>
        <v>0</v>
      </c>
      <c r="H936" s="17" t="n">
        <f aca="false">SUMIF('לקוחות לפי סוכן - מקור'!$A$2:$A$867,$A936,'לקוחות לפי סוכן - מקור'!$I$2:$I$867)</f>
        <v>0</v>
      </c>
      <c r="I936" s="16" t="str">
        <f aca="false">IF(COUNTIFS('לקוחות לפי סוכן - מקור'!$A$2:$A$867,$A936,'לקוחות לפי סוכן - מקור'!$K$2:$K$867,"NetSuite")&gt;0,IF(COUNTIFS('לקוחות לפי סוכן - מקור'!$A$2:$A$867,$A936,'לקוחות לפי סוכן - מקור'!$K$2:$K$867,"CHMI")&gt;0,"NetSuite+CHMI ("&amp;COUNTIFS('לקוחות לפי סוכן - מקור'!$A$2:$A$867,$A936,'לקוחות לפי סוכן - מקור'!$K$2:$K$867,"NetSuite")&amp;"+"&amp;COUNTIFS('לקוחות לפי סוכן - מקור'!$A$2:$A$867,$A936,'לקוחות לפי סוכן - מקור'!$K$2:$K$867,"CHMI")&amp;")","NetSuite ("&amp;COUNTIFS('לקוחות לפי סוכן - מקור'!$A$2:$A$867,$A936,'לקוחות לפי סוכן - מקור'!$K$2:$K$867,"NetSuite")&amp;")"),"CHMI ("&amp;COUNTIFS('לקוחות לפי סוכן - מקור'!$A$2:$A$867,$A936,'לקוחות לפי סוכן - מקור'!$K$2:$K$867,"CHMI")&amp;")")</f>
        <v>CHMI (2)</v>
      </c>
      <c r="J936" s="17" t="n">
        <f aca="false">COUNTIF('לקוחות לפי סוכן - מקור'!$A$2:$A$867,$A936)</f>
        <v>2</v>
      </c>
    </row>
    <row r="937" customFormat="false" ht="15" hidden="false" customHeight="true" outlineLevel="0" collapsed="false"/>
    <row r="938" customFormat="false" ht="15" hidden="false" customHeight="true" outlineLevel="0" collapsed="false">
      <c r="A938" s="16" t="s">
        <v>3458</v>
      </c>
      <c r="B938" s="16"/>
      <c r="C938" s="16"/>
      <c r="D938" s="16"/>
      <c r="E938" s="16"/>
      <c r="F938" s="16"/>
      <c r="G938" s="16"/>
      <c r="H938" s="16"/>
      <c r="I938" s="16"/>
      <c r="J938" s="16"/>
    </row>
    <row r="939" customFormat="false" ht="15" hidden="false" customHeight="true" outlineLevel="1" collapsed="false">
      <c r="A939" s="49" t="s">
        <v>3458</v>
      </c>
      <c r="B939" s="50" t="s">
        <v>20</v>
      </c>
      <c r="C939" s="51"/>
      <c r="D939" s="52" t="n">
        <f aca="false">SUMIFS('לקוחות לפי סוכן - מקור'!$F$2:$F$867,'לקוחות לפי סוכן - מקור'!$A$2:$A$867,$A939,'לקוחות לפי סוכן - מקור'!$C$2:$C$867,$B939)</f>
        <v>0</v>
      </c>
      <c r="E939" s="52" t="n">
        <f aca="false">SUMIFS('לקוחות לפי סוכן - מקור'!$G$2:$G$867,'לקוחות לפי סוכן - מקור'!$A$2:$A$867,$A939,'לקוחות לפי סוכן - מקור'!$C$2:$C$867,$B939)</f>
        <v>0</v>
      </c>
      <c r="F939" s="51"/>
      <c r="G939" s="53" t="n">
        <f aca="false">SUMIFS('לקוחות לפי סוכן - מקור'!$H$2:$H$867,'לקוחות לפי סוכן - מקור'!$A$2:$A$867,$A939,'לקוחות לפי סוכן - מקור'!$C$2:$C$867,$B939)</f>
        <v>0</v>
      </c>
      <c r="H939" s="53" t="n">
        <f aca="false">SUMIFS('לקוחות לפי סוכן - מקור'!$I$2:$I$867,'לקוחות לפי סוכן - מקור'!$A$2:$A$867,$A939,'לקוחות לפי סוכן - מקור'!$C$2:$C$867,$B939)</f>
        <v>0</v>
      </c>
      <c r="I939" s="51"/>
      <c r="J939" s="53" t="n">
        <f aca="false">COUNTIFS('לקוחות לפי סוכן - מקור'!$A$2:$A$867,$A939,'לקוחות לפי סוכן - מקור'!$C$2:$C$867,$B939)</f>
        <v>0</v>
      </c>
    </row>
    <row r="940" customFormat="false" ht="15" hidden="false" customHeight="true" outlineLevel="0" collapsed="false">
      <c r="A940" s="16" t="s">
        <v>3458</v>
      </c>
      <c r="B940" s="16"/>
      <c r="C940" s="16" t="s">
        <v>3804</v>
      </c>
      <c r="D940" s="46" t="n">
        <f aca="false">SUMIF('לקוחות לפי סוכן - מקור'!$A$2:$A$867,$A940,'לקוחות לפי סוכן - מקור'!$F$2:$F$867)</f>
        <v>0</v>
      </c>
      <c r="E940" s="46" t="n">
        <f aca="false">SUMIF('לקוחות לפי סוכן - מקור'!$A$2:$A$867,$A940,'לקוחות לפי סוכן - מקור'!$G$2:$G$867)</f>
        <v>0</v>
      </c>
      <c r="F940" s="16"/>
      <c r="G940" s="17" t="n">
        <f aca="false">SUMIF('לקוחות לפי סוכן - מקור'!$A$2:$A$867,$A940,'לקוחות לפי סוכן - מקור'!$H$2:$H$867)</f>
        <v>0</v>
      </c>
      <c r="H940" s="17" t="n">
        <f aca="false">SUMIF('לקוחות לפי סוכן - מקור'!$A$2:$A$867,$A940,'לקוחות לפי סוכן - מקור'!$I$2:$I$867)</f>
        <v>0</v>
      </c>
      <c r="I940" s="16" t="s">
        <v>3541</v>
      </c>
      <c r="J940" s="17" t="n">
        <f aca="false">COUNTIF('לקוחות לפי סוכן - מקור'!$A$2:$A$867,$A940)</f>
        <v>0</v>
      </c>
    </row>
    <row r="941" customFormat="false" ht="15" hidden="false" customHeight="true" outlineLevel="0" collapsed="false">
      <c r="A941" s="16" t="s">
        <v>3805</v>
      </c>
      <c r="B941" s="16"/>
      <c r="C941" s="16" t="s">
        <v>3806</v>
      </c>
      <c r="D941" s="16"/>
      <c r="E941" s="16"/>
      <c r="F941" s="16"/>
      <c r="G941" s="16"/>
      <c r="H941" s="16"/>
      <c r="I941" s="16"/>
      <c r="J941" s="16" t="n">
        <f aca="false">COUNTA('לקוחות לפי סוכן - מקור'!$A$2:$A$867)-SUMPRODUCT(COUNTIF('לקוחות לפי סוכן - מקור'!$A$2:$A$867,{"אמזלג × מירב שירה","אזולאי דוד","סטניסלב נסאר","אורלי בלאיש","חיים ויצמן","חאזם תלחמי","עיסא","- Unassigned -"}))</f>
        <v>0</v>
      </c>
    </row>
    <row r="942" customFormat="false" ht="15" hidden="false" customHeight="true" outlineLevel="0" collapsed="false"/>
    <row r="943" customFormat="false" ht="15" hidden="false" customHeight="true" outlineLevel="0" collapsed="false">
      <c r="A943" s="54" t="s">
        <v>3807</v>
      </c>
      <c r="B943" s="54"/>
      <c r="C943" s="54" t="s">
        <v>3808</v>
      </c>
      <c r="D943" s="55" t="n">
        <f aca="false">SUM('לקוחות לפי סוכן - מקור'!$F$2:$F$867)</f>
        <v>1183030.88</v>
      </c>
      <c r="E943" s="55" t="n">
        <f aca="false">SUM('לקוחות לפי סוכן - מקור'!$G$2:$G$867)</f>
        <v>7771534.87</v>
      </c>
      <c r="F943" s="54"/>
      <c r="G943" s="56" t="n">
        <f aca="false">SUM('לקוחות לפי סוכן - מקור'!$H$2:$H$867)</f>
        <v>17979</v>
      </c>
      <c r="H943" s="56" t="n">
        <f aca="false">SUM('לקוחות לפי סוכן - מקור'!$I$2:$I$867)</f>
        <v>12283</v>
      </c>
      <c r="I943" s="54"/>
      <c r="J943" s="56" t="n">
        <f aca="false">COUNTA('לקוחות לפי סוכן - מקור'!$A$2:$A$867)</f>
        <v>862</v>
      </c>
    </row>
    <row r="944" customFormat="false" ht="15" hidden="false" customHeight="true" outlineLevel="0" collapsed="false"/>
    <row r="945" customFormat="false" ht="15" hidden="false" customHeight="true" outlineLevel="0" collapsed="false"/>
    <row r="946" customFormat="false" ht="15" hidden="false" customHeight="true" outlineLevel="0" collapsed="false">
      <c r="A946" s="57" t="s">
        <v>3809</v>
      </c>
    </row>
    <row r="947" customFormat="false" ht="15" hidden="false" customHeight="true" outlineLevel="0" collapsed="false"/>
    <row r="948" customFormat="false" ht="15" hidden="false" customHeight="true" outlineLevel="0" collapsed="false"/>
    <row r="949" customFormat="false" ht="15" hidden="false" customHeight="true" outlineLevel="0" collapsed="false"/>
    <row r="950" customFormat="false" ht="15" hidden="false" customHeight="true" outlineLevel="0" collapsed="false"/>
    <row r="951" customFormat="false" ht="15" hidden="false" customHeight="true" outlineLevel="0" collapsed="false"/>
    <row r="952" customFormat="false" ht="15" hidden="false" customHeight="true" outlineLevel="0" collapsed="false"/>
    <row r="953" customFormat="false" ht="15" hidden="false" customHeight="true" outlineLevel="0" collapsed="false"/>
    <row r="954" customFormat="false" ht="15" hidden="false" customHeight="true" outlineLevel="0" collapsed="false"/>
    <row r="955" customFormat="false" ht="15" hidden="false" customHeight="true" outlineLevel="0" collapsed="false"/>
    <row r="956" customFormat="false" ht="15" hidden="false" customHeight="true" outlineLevel="0" collapsed="false"/>
    <row r="957" customFormat="false" ht="15" hidden="false" customHeight="true" outlineLevel="0" collapsed="false"/>
    <row r="958" customFormat="false" ht="15" hidden="false" customHeight="true" outlineLevel="0" collapsed="false"/>
    <row r="960" customFormat="false" ht="15" hidden="false" customHeight="true" outlineLevel="0" collapsed="false"/>
    <row r="963" customFormat="false" ht="1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2026-10-04T11:25:04Z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